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7" rupBuild="10000"/>
  <workbookPr codeName="ThisWorkbook" defaultThemeVersion="166925"/>
  <bookViews>
    <workbookView activeTab="1"/>
  </bookViews>
  <sheets>
    <sheet name="Employés" sheetId="1" r:id="rId1"/>
    <sheet name="Présence du Jour" sheetId="2" r:id="rId2"/>
    <sheet name="Liste à imprimer" sheetId="3" r:id="rId3"/>
    <sheet name="Historique" sheetId="4" r:id="rId4"/>
    <sheet name="Paramètres" sheetId="5" r:id="rId5"/>
    <sheet name="Guide d'utilisation" sheetId="6" r:id="rId6"/>
  </sheets>
  <definedNames>
    <definedName name="Emp_ID">'Employés'!$B$4:$B$303</definedName>
    <definedName name="Emp_Nom">'Employés'!$C$4:$C$303</definedName>
    <definedName name="Emp_Poste">'Employés'!$D$4:$D$303</definedName>
    <definedName name="Emp_Equipe">'Employés'!$E$4:$E$303</definedName>
    <definedName name="Emp_Statut">'Employés'!$F$4:$F$303</definedName>
    <definedName name="Emp_Rang">'Employés'!$H$4:$H$303</definedName>
    <definedName name="Pres_Check">'Présence du Jour'!$B$15:$B$314</definedName>
    <definedName name="Pres_ID">'Présence du Jour'!$C$15:$C$314</definedName>
    <definedName name="DatesDisponibles">OFFSET('Liste à imprimer'!$I$2,0,0,MAX(1,COUNTA('Liste à imprimer'!$I$2:$I$5000)),1)</definedName>
    <definedName name="NomEntreprise">'Paramètres'!$C$5</definedName>
    <definedName name="ChantierDefaut">'Paramètres'!$C$6</definedName>
    <definedName name="CheminPDF">'Paramètres'!$C$9</definedName>
    <definedName name="_xlnm.Print_Area" localSheetId="0">'Employés'!$B$1:$F$303</definedName>
    <definedName name="_xlnm.Print_Area" localSheetId="1">'Présence du Jour'!$B$1:$E$314</definedName>
    <definedName name="_xlnm.Print_Area" localSheetId="2">'Liste à imprimer'!$B$1:$E$60</definedName>
    <definedName name="_xlnm.Print_Area" localSheetId="3">'Historique'!$B$1:$G$3</definedName>
    <definedName name="_xlnm.Print_Area" localSheetId="4">'Paramètres'!$B$1:$D$22</definedName>
    <definedName name="_xlnm.Print_Area" localSheetId="5">'Guide d''utilisation'!$B$1:$B$41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dd/mm/yyyy"/>
  </numFmts>
  <fonts count="18">
    <font>
      <sz val="11"/>
      <color rgb="FF000000"/>
      <name val="Calibri"/>
    </font>
    <font>
      <b/>
      <sz val="20"/>
      <color rgb="FFFFFFFF"/>
      <name val="Calibri"/>
    </font>
    <font>
      <b/>
      <sz val="20"/>
      <color rgb="FFFFFFFF"/>
      <name val="Calibri"/>
    </font>
    <font>
      <i/>
      <sz val="11"/>
      <color rgb="FFFFFFFF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b/>
      <sz val="11"/>
      <color rgb="FF1F3864"/>
      <name val="Calibri"/>
    </font>
    <font>
      <b/>
      <sz val="12"/>
      <color rgb="FF1F3864"/>
      <name val="Calibri"/>
    </font>
    <font>
      <b/>
      <sz val="12"/>
      <color rgb="FF006100"/>
      <name val="Calibri"/>
    </font>
    <font>
      <b/>
      <sz val="11"/>
      <color rgb="FF1F3864"/>
      <name val="Calibri"/>
    </font>
    <font>
      <b/>
      <sz val="10"/>
      <color rgb="FFFFFFFF"/>
      <name val="Calibri"/>
    </font>
    <font>
      <b/>
      <sz val="22"/>
      <color rgb="FF1F3864"/>
      <name val="Calibri"/>
    </font>
    <font>
      <b/>
      <sz val="22"/>
      <color rgb="FF548235"/>
      <name val="Calibri"/>
    </font>
    <font>
      <i/>
      <sz val="9"/>
      <color rgb="FF808080"/>
      <name val="Calibri"/>
    </font>
    <font>
      <b/>
      <sz val="11"/>
      <color rgb="FF000000"/>
      <name val="Calibri"/>
    </font>
    <font>
      <i/>
      <sz val="11"/>
      <color rgb="FF808080"/>
      <name val="Calibri"/>
    </font>
    <font>
      <b/>
      <sz val="14"/>
      <color rgb="FFFFFFFF"/>
      <name val="Calibri"/>
    </font>
    <font>
      <sz val="11"/>
      <color rgb="FF00000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3864"/>
        <bgColor rgb="FF1F3864"/>
      </patternFill>
    </fill>
    <fill>
      <patternFill patternType="solid">
        <fgColor rgb="FF2E4E7E"/>
        <bgColor rgb="FF2E4E7E"/>
      </patternFill>
    </fill>
    <fill>
      <patternFill patternType="solid">
        <fgColor rgb="FFFFF2CC"/>
        <bgColor rgb="FFFFF2CC"/>
      </patternFill>
    </fill>
    <fill>
      <patternFill patternType="solid">
        <fgColor rgb="FF2E75B6"/>
        <bgColor rgb="FF2E75B6"/>
      </patternFill>
    </fill>
    <fill>
      <patternFill patternType="solid">
        <fgColor rgb="FF548235"/>
        <bgColor rgb="FF548235"/>
      </patternFill>
    </fill>
    <fill>
      <patternFill patternType="solid">
        <fgColor rgb="FFC0504E"/>
        <bgColor rgb="FFC0504E"/>
      </patternFill>
    </fill>
    <fill>
      <patternFill patternType="solid">
        <fgColor rgb="FFBF9000"/>
        <bgColor rgb="FFBF9000"/>
      </patternFill>
    </fill>
    <fill>
      <patternFill patternType="solid">
        <fgColor rgb="FFF2F2F2"/>
        <bgColor rgb="FFF2F2F2"/>
      </patternFill>
    </fill>
  </fills>
  <borders count="6">
    <border>
      <left/>
      <right/>
      <top/>
      <bottom/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2E75B6"/>
      </left>
      <right style="thin">
        <color rgb="FF2E75B6"/>
      </right>
      <top style="thin">
        <color rgb="FF2E75B6"/>
      </top>
      <bottom style="thin">
        <color rgb="FF2E75B6"/>
      </bottom>
      <diagonal/>
    </border>
    <border>
      <left style="dashed">
        <color rgb="FF808080"/>
      </left>
      <right style="dashed">
        <color rgb="FF808080"/>
      </right>
      <top style="dashed">
        <color rgb="FF808080"/>
      </top>
      <bottom style="dashed">
        <color rgb="FF80808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4" borderId="2" xfId="0" applyFill="1" applyBorder="1" applyAlignment="1" applyProtection="1">
      <alignment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49" fontId="0" fillId="4" borderId="2" xfId="0" applyNumberFormat="1" applyFill="1" applyBorder="1" applyAlignment="1" applyProtection="1">
      <alignment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1" fontId="11" fillId="9" borderId="2" xfId="0" applyNumberFormat="1" applyFont="1" applyFill="1" applyBorder="1" applyAlignment="1">
      <alignment horizontal="center" vertical="center"/>
    </xf>
    <xf numFmtId="9" fontId="12" fillId="9" borderId="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0" fillId="0" borderId="2" xfId="0" applyBorder="1"/>
    <xf numFmtId="0" fontId="14" fillId="0" borderId="2" xfId="0" applyFont="1" applyBorder="1" applyAlignment="1">
      <alignment horizontal="left" vertical="center"/>
    </xf>
    <xf numFmtId="0" fontId="4" fillId="5" borderId="4" xfId="0" applyFont="1" applyFill="1" applyBorder="1" applyAlignment="1">
      <alignment horizontal="left" vertical="center"/>
    </xf>
    <xf numFmtId="0" fontId="15" fillId="9" borderId="5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</cellXfs>
  <cellStyles count="1">
    <cellStyle name="Normal" xfId="0" builtinId="0"/>
  </cellStyles>
  <dxfs count="4">
    <dxf>
      <fill>
        <patternFill>
          <bgColor rgb="FFEAF1FA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8CBAD"/>
        </patternFill>
      </fill>
    </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Relationship Id="rId8" Type="http://schemas.microsoft.com/office/2006/relationships/vbaProject" Target="vbaProject.bin"/></Relationship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10</xdr:row>
      <xdr:rowOff>57150</xdr:rowOff>
    </xdr:from>
    <xdr:to>
      <xdr:col>2</xdr:col>
      <xdr:colOff>96837</xdr:colOff>
      <xdr:row>12</xdr:row>
      <xdr:rowOff>0</xdr:rowOff>
    </xdr:to>
    <xdr:sp macro="NouvelleJournee" textlink="">
      <xdr:nvSpPr>
        <xdr:cNvPr id="2" name="Button 2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2E75B6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Nouvelle</a:t>
          </a:r>
        </a:p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journée</a:t>
          </a:r>
        </a:p>
      </xdr:txBody>
    </xdr:sp>
    <xdr:clientData/>
  </xdr:twoCellAnchor>
  <xdr:twoCellAnchor editAs="oneCell">
    <xdr:from>
      <xdr:col>2</xdr:col>
      <xdr:colOff>153987</xdr:colOff>
      <xdr:row>10</xdr:row>
      <xdr:rowOff>57150</xdr:rowOff>
    </xdr:from>
    <xdr:to>
      <xdr:col>3</xdr:col>
      <xdr:colOff>127000</xdr:colOff>
      <xdr:row>12</xdr:row>
      <xdr:rowOff>0</xdr:rowOff>
    </xdr:to>
    <xdr:sp macro="ToutCocher" textlink="">
      <xdr:nvSpPr>
        <xdr:cNvPr id="3" name="Button 3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2A9D8F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Tout</a:t>
          </a:r>
        </a:p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cocher</a:t>
          </a:r>
        </a:p>
      </xdr:txBody>
    </xdr:sp>
    <xdr:clientData/>
  </xdr:twoCellAnchor>
  <xdr:twoCellAnchor editAs="oneCell">
    <xdr:from>
      <xdr:col>3</xdr:col>
      <xdr:colOff>184150</xdr:colOff>
      <xdr:row>10</xdr:row>
      <xdr:rowOff>57150</xdr:rowOff>
    </xdr:from>
    <xdr:to>
      <xdr:col>3</xdr:col>
      <xdr:colOff>1204912</xdr:colOff>
      <xdr:row>12</xdr:row>
      <xdr:rowOff>0</xdr:rowOff>
    </xdr:to>
    <xdr:sp macro="ToutDecocher" textlink="">
      <xdr:nvSpPr>
        <xdr:cNvPr id="4" name="Button 4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808080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Tout</a:t>
          </a:r>
        </a:p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décocher</a:t>
          </a:r>
        </a:p>
      </xdr:txBody>
    </xdr:sp>
    <xdr:clientData/>
  </xdr:twoCellAnchor>
  <xdr:twoCellAnchor editAs="oneCell">
    <xdr:from>
      <xdr:col>3</xdr:col>
      <xdr:colOff>1262062</xdr:colOff>
      <xdr:row>10</xdr:row>
      <xdr:rowOff>57150</xdr:rowOff>
    </xdr:from>
    <xdr:to>
      <xdr:col>3</xdr:col>
      <xdr:colOff>2282825</xdr:colOff>
      <xdr:row>12</xdr:row>
      <xdr:rowOff>0</xdr:rowOff>
    </xdr:to>
    <xdr:sp macro="EnregistrerJournee" textlink="">
      <xdr:nvSpPr>
        <xdr:cNvPr id="5" name="Button 5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548235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Enregistrer</a:t>
          </a:r>
        </a:p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la journée</a:t>
          </a:r>
        </a:p>
      </xdr:txBody>
    </xdr:sp>
    <xdr:clientData/>
  </xdr:twoCellAnchor>
  <xdr:twoCellAnchor editAs="oneCell">
    <xdr:from>
      <xdr:col>3</xdr:col>
      <xdr:colOff>2339975</xdr:colOff>
      <xdr:row>10</xdr:row>
      <xdr:rowOff>57150</xdr:rowOff>
    </xdr:from>
    <xdr:to>
      <xdr:col>4</xdr:col>
      <xdr:colOff>646112</xdr:colOff>
      <xdr:row>12</xdr:row>
      <xdr:rowOff>0</xdr:rowOff>
    </xdr:to>
    <xdr:sp macro="Imprimer" textlink="">
      <xdr:nvSpPr>
        <xdr:cNvPr id="6" name="Button 6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1F3864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Imprimer</a:t>
          </a:r>
        </a:p>
      </xdr:txBody>
    </xdr:sp>
    <xdr:clientData/>
  </xdr:twoCellAnchor>
  <xdr:twoCellAnchor editAs="oneCell">
    <xdr:from>
      <xdr:col>4</xdr:col>
      <xdr:colOff>703262</xdr:colOff>
      <xdr:row>10</xdr:row>
      <xdr:rowOff>57150</xdr:rowOff>
    </xdr:from>
    <xdr:to>
      <xdr:col>4</xdr:col>
      <xdr:colOff>1724025</xdr:colOff>
      <xdr:row>12</xdr:row>
      <xdr:rowOff>0</xdr:rowOff>
    </xdr:to>
    <xdr:sp macro="ExporterPDF" textlink="">
      <xdr:nvSpPr>
        <xdr:cNvPr id="7" name="Button 7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BF9000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Exporter</a:t>
          </a:r>
        </a:p>
        <a:p>
          <a:pPr algn="ctr"/>
          <a:r>
            <a:rPr lang="fr-FR" sz="1000" b="1">
              <a:solidFill>
                <a:srgbClr val="FFFFFF"/>
              </a:solidFill>
              <a:latin typeface="Calibri"/>
            </a:rPr>
            <a:t>en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Imprimer" textlink="">
      <xdr:nvSpPr>
        <xdr:cNvPr id="2" name="Button 2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1F3864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/>
            </a:rPr>
            <a:t>Imprimer</a:t>
          </a:r>
        </a:p>
      </xdr:txBody>
    </xdr:sp>
    <xdr:clientData/>
  </xdr:twoCellAnchor>
  <xdr:twoCellAnchor editAs="oneCell"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ExporterPDF" textlink="">
      <xdr:nvSpPr>
        <xdr:cNvPr id="3" name="Button 3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BF9000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/>
            </a:rPr>
            <a:t>Exporter en PDF</a:t>
          </a:r>
        </a:p>
      </xdr:txBody>
    </xdr:sp>
    <xdr:clientData/>
  </xdr:twoCellAnchor>
  <xdr:twoCellAnchor editAs="oneCell">
    <xdr:from>
      <xdr:col>6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AllerSaisie" textlink="">
      <xdr:nvSpPr>
        <xdr:cNvPr id="4" name="Button 4"/>
        <xdr:cNvSpPr/>
      </xdr:nvSpPr>
      <xdr:spPr>
        <a:xfrm>
          <a:off x="0" y="0"/>
          <a:ext cx="0" cy="0"/>
        </a:xfrm>
        <a:prstGeom prst="roundRect">
          <a:avLst>
            <a:gd name="adj" fmla="val 16667"/>
          </a:avLst>
        </a:prstGeom>
        <a:solidFill>
          <a:srgbClr val="548235"/>
        </a:solidFill>
        <a:ln>
          <a:noFill/>
        </a:ln>
      </xdr:spPr>
      <xdr:txBody>
        <a:bodyPr vertOverflow="clip" horzOverflow="clip" wrap="square" lIns="18000" rIns="18000" tIns="9000" bIns="900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/>
            </a:rPr>
            <a:t>Retour à la saisie</a:t>
          </a:r>
        </a:p>
      </xdr:txBody>
    </xdr:sp>
    <xdr:clientData/>
  </xdr:twoCellAnchor>
</xdr:wsDr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Employes">
    <tabColor rgb="FF2E75B6"/>
    <pageSetUpPr fitToPage="1"/>
  </sheetPr>
  <dimension ref="B1:H303"/>
  <sheetViews>
    <sheetView showGridLines="0" workbookViewId="0">
      <pane ySplit="3" topLeftCell="A4" activePane="bottomRight" state="frozen"/>
      <selection pane="bottomRight" activeCell="A4" sqref="A4"/>
    </sheetView>
  </sheetViews>
  <sheetFormatPr defaultRowHeight="15"/>
  <cols>
    <col min="1" max="1" width="3" customWidth="1"/>
    <col min="2" max="2" width="16" customWidth="1"/>
    <col min="3" max="3" width="32" customWidth="1"/>
    <col min="4" max="4" width="20" customWidth="1"/>
    <col min="5" max="5" width="16" customWidth="1"/>
    <col min="6" max="6" width="14" customWidth="1"/>
    <col min="8" max="8" width="12" customWidth="1" hidden="1"/>
  </cols>
  <sheetData>
    <row r="1" ht="40" customHeight="1">
      <c r="B1" s="1" t="inlineStr">
        <is>
          <t xml:space="preserve">  EMPLOYÉS</t>
        </is>
      </c>
    </row>
    <row r="2" ht="18" customHeight="1">
      <c r="B2" s="3">
        <f>"Liste du personnel  —  "&amp;NomEntreprise</f>
      </c>
    </row>
    <row r="3" ht="26" customHeight="1">
      <c r="B3" s="5" t="inlineStr">
        <is>
          <t xml:space="preserve">ID Employé</t>
        </is>
      </c>
      <c r="C3" s="5" t="inlineStr">
        <is>
          <t xml:space="preserve">Nom et Prénom</t>
        </is>
      </c>
      <c r="D3" s="5" t="inlineStr">
        <is>
          <t xml:space="preserve">Poste</t>
        </is>
      </c>
      <c r="E3" s="5" t="inlineStr">
        <is>
          <t xml:space="preserve">Équipe</t>
        </is>
      </c>
      <c r="F3" s="5" t="inlineStr">
        <is>
          <t xml:space="preserve">Statut</t>
        </is>
      </c>
      <c r="H3" s="16">
        <v>0</v>
      </c>
    </row>
    <row r="4">
      <c r="B4" s="10" t="inlineStr">
        <is>
          <t xml:space="preserve">EMP-001</t>
        </is>
      </c>
      <c r="C4" s="9" t="inlineStr">
        <is>
          <t xml:space="preserve">Youssef El Amrani</t>
        </is>
      </c>
      <c r="D4" s="9" t="inlineStr">
        <is>
          <t xml:space="preserve">Maçon</t>
        </is>
      </c>
      <c r="E4" s="9" t="inlineStr">
        <is>
          <t xml:space="preserve">Équipe A</t>
        </is>
      </c>
      <c r="F4" s="10" t="inlineStr">
        <is>
          <t xml:space="preserve">Actif</t>
        </is>
      </c>
      <c r="H4" s="16">
        <f>IF($B4="","",IF($F4="Actif",MAX($H$3:H3)+1,""))</f>
      </c>
    </row>
    <row r="5">
      <c r="B5" s="10" t="inlineStr">
        <is>
          <t xml:space="preserve">EMP-002</t>
        </is>
      </c>
      <c r="C5" s="9" t="inlineStr">
        <is>
          <t xml:space="preserve">Karim Benali</t>
        </is>
      </c>
      <c r="D5" s="9" t="inlineStr">
        <is>
          <t xml:space="preserve">Charpentier</t>
        </is>
      </c>
      <c r="E5" s="9" t="inlineStr">
        <is>
          <t xml:space="preserve">Équipe A</t>
        </is>
      </c>
      <c r="F5" s="10" t="inlineStr">
        <is>
          <t xml:space="preserve">Actif</t>
        </is>
      </c>
      <c r="H5" s="16">
        <f>IF($B5="","",IF($F5="Actif",MAX($H$3:H4)+1,""))</f>
      </c>
    </row>
    <row r="6">
      <c r="B6" s="10" t="inlineStr">
        <is>
          <t xml:space="preserve">EMP-003</t>
        </is>
      </c>
      <c r="C6" s="9" t="inlineStr">
        <is>
          <t xml:space="preserve">Rachid Toumi</t>
        </is>
      </c>
      <c r="D6" s="9" t="inlineStr">
        <is>
          <t xml:space="preserve">Électricien</t>
        </is>
      </c>
      <c r="E6" s="9" t="inlineStr">
        <is>
          <t xml:space="preserve">Équipe B</t>
        </is>
      </c>
      <c r="F6" s="10" t="inlineStr">
        <is>
          <t xml:space="preserve">Actif</t>
        </is>
      </c>
      <c r="H6" s="16">
        <f>IF($B6="","",IF($F6="Actif",MAX($H$3:H5)+1,""))</f>
      </c>
    </row>
    <row r="7">
      <c r="B7" s="10" t="inlineStr">
        <is>
          <t xml:space="preserve">EMP-004</t>
        </is>
      </c>
      <c r="C7" s="9" t="inlineStr">
        <is>
          <t xml:space="preserve">Hassan Cherki</t>
        </is>
      </c>
      <c r="D7" s="9" t="inlineStr">
        <is>
          <t xml:space="preserve">Manœuvre</t>
        </is>
      </c>
      <c r="E7" s="9" t="inlineStr">
        <is>
          <t xml:space="preserve">Équipe B</t>
        </is>
      </c>
      <c r="F7" s="10" t="inlineStr">
        <is>
          <t xml:space="preserve">Actif</t>
        </is>
      </c>
      <c r="H7" s="16">
        <f>IF($B7="","",IF($F7="Actif",MAX($H$3:H6)+1,""))</f>
      </c>
    </row>
    <row r="8">
      <c r="B8" s="10" t="inlineStr">
        <is>
          <t xml:space="preserve">EMP-005</t>
        </is>
      </c>
      <c r="C8" s="9" t="inlineStr">
        <is>
          <t xml:space="preserve">Saïd Mansouri</t>
        </is>
      </c>
      <c r="D8" s="9" t="inlineStr">
        <is>
          <t xml:space="preserve">Grutier</t>
        </is>
      </c>
      <c r="E8" s="9" t="inlineStr">
        <is>
          <t xml:space="preserve">Équipe C</t>
        </is>
      </c>
      <c r="F8" s="10" t="inlineStr">
        <is>
          <t xml:space="preserve">Actif</t>
        </is>
      </c>
      <c r="H8" s="16">
        <f>IF($B8="","",IF($F8="Actif",MAX($H$3:H7)+1,""))</f>
      </c>
    </row>
    <row r="9">
      <c r="B9" s="10" t="inlineStr">
        <is>
          <t xml:space="preserve">EMP-006</t>
        </is>
      </c>
      <c r="C9" s="9" t="inlineStr">
        <is>
          <t xml:space="preserve">Omar Fassi</t>
        </is>
      </c>
      <c r="D9" s="9" t="inlineStr">
        <is>
          <t xml:space="preserve">Plombier</t>
        </is>
      </c>
      <c r="E9" s="9" t="inlineStr">
        <is>
          <t xml:space="preserve">Équipe C</t>
        </is>
      </c>
      <c r="F9" s="10" t="inlineStr">
        <is>
          <t xml:space="preserve">Actif</t>
        </is>
      </c>
      <c r="H9" s="16">
        <f>IF($B9="","",IF($F9="Actif",MAX($H$3:H8)+1,""))</f>
      </c>
    </row>
    <row r="10">
      <c r="B10" s="10" t="inlineStr">
        <is>
          <t xml:space="preserve">EMP-007</t>
        </is>
      </c>
      <c r="C10" s="9" t="inlineStr">
        <is>
          <t xml:space="preserve">Nabil Idrissi</t>
        </is>
      </c>
      <c r="D10" s="9" t="inlineStr">
        <is>
          <t xml:space="preserve">Peintre</t>
        </is>
      </c>
      <c r="E10" s="9" t="inlineStr">
        <is>
          <t xml:space="preserve">Équipe A</t>
        </is>
      </c>
      <c r="F10" s="10" t="inlineStr">
        <is>
          <t xml:space="preserve">Inactif</t>
        </is>
      </c>
      <c r="H10" s="16">
        <f>IF($B10="","",IF($F10="Actif",MAX($H$3:H9)+1,""))</f>
      </c>
    </row>
    <row r="11">
      <c r="B11" s="10"/>
      <c r="C11" s="9"/>
      <c r="D11" s="9"/>
      <c r="E11" s="9"/>
      <c r="F11" s="10"/>
      <c r="H11" s="16">
        <f>IF($B11="","",IF($F11="Actif",MAX($H$3:H10)+1,""))</f>
      </c>
    </row>
    <row r="12">
      <c r="B12" s="10"/>
      <c r="C12" s="9"/>
      <c r="D12" s="9"/>
      <c r="E12" s="9"/>
      <c r="F12" s="10"/>
      <c r="H12" s="16">
        <f>IF($B12="","",IF($F12="Actif",MAX($H$3:H11)+1,""))</f>
      </c>
    </row>
    <row r="13">
      <c r="B13" s="10"/>
      <c r="C13" s="9"/>
      <c r="D13" s="9"/>
      <c r="E13" s="9"/>
      <c r="F13" s="10"/>
      <c r="H13" s="16">
        <f>IF($B13="","",IF($F13="Actif",MAX($H$3:H12)+1,""))</f>
      </c>
    </row>
    <row r="14">
      <c r="B14" s="10"/>
      <c r="C14" s="9"/>
      <c r="D14" s="9"/>
      <c r="E14" s="9"/>
      <c r="F14" s="10"/>
      <c r="H14" s="16">
        <f>IF($B14="","",IF($F14="Actif",MAX($H$3:H13)+1,""))</f>
      </c>
    </row>
    <row r="15">
      <c r="B15" s="10"/>
      <c r="C15" s="9"/>
      <c r="D15" s="9"/>
      <c r="E15" s="9"/>
      <c r="F15" s="10"/>
      <c r="H15" s="16">
        <f>IF($B15="","",IF($F15="Actif",MAX($H$3:H14)+1,""))</f>
      </c>
    </row>
    <row r="16">
      <c r="B16" s="10"/>
      <c r="C16" s="9"/>
      <c r="D16" s="9"/>
      <c r="E16" s="9"/>
      <c r="F16" s="10"/>
      <c r="H16" s="16">
        <f>IF($B16="","",IF($F16="Actif",MAX($H$3:H15)+1,""))</f>
      </c>
    </row>
    <row r="17">
      <c r="B17" s="10"/>
      <c r="C17" s="9"/>
      <c r="D17" s="9"/>
      <c r="E17" s="9"/>
      <c r="F17" s="10"/>
      <c r="H17" s="16">
        <f>IF($B17="","",IF($F17="Actif",MAX($H$3:H16)+1,""))</f>
      </c>
    </row>
    <row r="18">
      <c r="B18" s="10"/>
      <c r="C18" s="9"/>
      <c r="D18" s="9"/>
      <c r="E18" s="9"/>
      <c r="F18" s="10"/>
      <c r="H18" s="16">
        <f>IF($B18="","",IF($F18="Actif",MAX($H$3:H17)+1,""))</f>
      </c>
    </row>
    <row r="19">
      <c r="B19" s="10"/>
      <c r="C19" s="9"/>
      <c r="D19" s="9"/>
      <c r="E19" s="9"/>
      <c r="F19" s="10"/>
      <c r="H19" s="16">
        <f>IF($B19="","",IF($F19="Actif",MAX($H$3:H18)+1,""))</f>
      </c>
    </row>
    <row r="20">
      <c r="B20" s="10"/>
      <c r="C20" s="9"/>
      <c r="D20" s="9"/>
      <c r="E20" s="9"/>
      <c r="F20" s="10"/>
      <c r="H20" s="16">
        <f>IF($B20="","",IF($F20="Actif",MAX($H$3:H19)+1,""))</f>
      </c>
    </row>
    <row r="21">
      <c r="B21" s="10"/>
      <c r="C21" s="9"/>
      <c r="D21" s="9"/>
      <c r="E21" s="9"/>
      <c r="F21" s="10"/>
      <c r="H21" s="16">
        <f>IF($B21="","",IF($F21="Actif",MAX($H$3:H20)+1,""))</f>
      </c>
    </row>
    <row r="22">
      <c r="B22" s="10"/>
      <c r="C22" s="9"/>
      <c r="D22" s="9"/>
      <c r="E22" s="9"/>
      <c r="F22" s="10"/>
      <c r="H22" s="16">
        <f>IF($B22="","",IF($F22="Actif",MAX($H$3:H21)+1,""))</f>
      </c>
    </row>
    <row r="23">
      <c r="B23" s="10"/>
      <c r="C23" s="9"/>
      <c r="D23" s="9"/>
      <c r="E23" s="9"/>
      <c r="F23" s="10"/>
      <c r="H23" s="16">
        <f>IF($B23="","",IF($F23="Actif",MAX($H$3:H22)+1,""))</f>
      </c>
    </row>
    <row r="24">
      <c r="B24" s="10"/>
      <c r="C24" s="9"/>
      <c r="D24" s="9"/>
      <c r="E24" s="9"/>
      <c r="F24" s="10"/>
      <c r="H24" s="16">
        <f>IF($B24="","",IF($F24="Actif",MAX($H$3:H23)+1,""))</f>
      </c>
    </row>
    <row r="25">
      <c r="B25" s="10"/>
      <c r="C25" s="9"/>
      <c r="D25" s="9"/>
      <c r="E25" s="9"/>
      <c r="F25" s="10"/>
      <c r="H25" s="16">
        <f>IF($B25="","",IF($F25="Actif",MAX($H$3:H24)+1,""))</f>
      </c>
    </row>
    <row r="26">
      <c r="B26" s="10"/>
      <c r="C26" s="9"/>
      <c r="D26" s="9"/>
      <c r="E26" s="9"/>
      <c r="F26" s="10"/>
      <c r="H26" s="16">
        <f>IF($B26="","",IF($F26="Actif",MAX($H$3:H25)+1,""))</f>
      </c>
    </row>
    <row r="27">
      <c r="B27" s="10"/>
      <c r="C27" s="9"/>
      <c r="D27" s="9"/>
      <c r="E27" s="9"/>
      <c r="F27" s="10"/>
      <c r="H27" s="16">
        <f>IF($B27="","",IF($F27="Actif",MAX($H$3:H26)+1,""))</f>
      </c>
    </row>
    <row r="28">
      <c r="B28" s="10"/>
      <c r="C28" s="9"/>
      <c r="D28" s="9"/>
      <c r="E28" s="9"/>
      <c r="F28" s="10"/>
      <c r="H28" s="16">
        <f>IF($B28="","",IF($F28="Actif",MAX($H$3:H27)+1,""))</f>
      </c>
    </row>
    <row r="29">
      <c r="B29" s="10"/>
      <c r="C29" s="9"/>
      <c r="D29" s="9"/>
      <c r="E29" s="9"/>
      <c r="F29" s="10"/>
      <c r="H29" s="16">
        <f>IF($B29="","",IF($F29="Actif",MAX($H$3:H28)+1,""))</f>
      </c>
    </row>
    <row r="30">
      <c r="B30" s="10"/>
      <c r="C30" s="9"/>
      <c r="D30" s="9"/>
      <c r="E30" s="9"/>
      <c r="F30" s="10"/>
      <c r="H30" s="16">
        <f>IF($B30="","",IF($F30="Actif",MAX($H$3:H29)+1,""))</f>
      </c>
    </row>
    <row r="31">
      <c r="B31" s="10"/>
      <c r="C31" s="9"/>
      <c r="D31" s="9"/>
      <c r="E31" s="9"/>
      <c r="F31" s="10"/>
      <c r="H31" s="16">
        <f>IF($B31="","",IF($F31="Actif",MAX($H$3:H30)+1,""))</f>
      </c>
    </row>
    <row r="32">
      <c r="B32" s="10"/>
      <c r="C32" s="9"/>
      <c r="D32" s="9"/>
      <c r="E32" s="9"/>
      <c r="F32" s="10"/>
      <c r="H32" s="16">
        <f>IF($B32="","",IF($F32="Actif",MAX($H$3:H31)+1,""))</f>
      </c>
    </row>
    <row r="33">
      <c r="B33" s="10"/>
      <c r="C33" s="9"/>
      <c r="D33" s="9"/>
      <c r="E33" s="9"/>
      <c r="F33" s="10"/>
      <c r="H33" s="16">
        <f>IF($B33="","",IF($F33="Actif",MAX($H$3:H32)+1,""))</f>
      </c>
    </row>
    <row r="34">
      <c r="B34" s="10"/>
      <c r="C34" s="9"/>
      <c r="D34" s="9"/>
      <c r="E34" s="9"/>
      <c r="F34" s="10"/>
      <c r="H34" s="16">
        <f>IF($B34="","",IF($F34="Actif",MAX($H$3:H33)+1,""))</f>
      </c>
    </row>
    <row r="35">
      <c r="B35" s="10"/>
      <c r="C35" s="9"/>
      <c r="D35" s="9"/>
      <c r="E35" s="9"/>
      <c r="F35" s="10"/>
      <c r="H35" s="16">
        <f>IF($B35="","",IF($F35="Actif",MAX($H$3:H34)+1,""))</f>
      </c>
    </row>
    <row r="36">
      <c r="B36" s="10"/>
      <c r="C36" s="9"/>
      <c r="D36" s="9"/>
      <c r="E36" s="9"/>
      <c r="F36" s="10"/>
      <c r="H36" s="16">
        <f>IF($B36="","",IF($F36="Actif",MAX($H$3:H35)+1,""))</f>
      </c>
    </row>
    <row r="37">
      <c r="B37" s="10"/>
      <c r="C37" s="9"/>
      <c r="D37" s="9"/>
      <c r="E37" s="9"/>
      <c r="F37" s="10"/>
      <c r="H37" s="16">
        <f>IF($B37="","",IF($F37="Actif",MAX($H$3:H36)+1,""))</f>
      </c>
    </row>
    <row r="38">
      <c r="B38" s="10"/>
      <c r="C38" s="9"/>
      <c r="D38" s="9"/>
      <c r="E38" s="9"/>
      <c r="F38" s="10"/>
      <c r="H38" s="16">
        <f>IF($B38="","",IF($F38="Actif",MAX($H$3:H37)+1,""))</f>
      </c>
    </row>
    <row r="39">
      <c r="B39" s="10"/>
      <c r="C39" s="9"/>
      <c r="D39" s="9"/>
      <c r="E39" s="9"/>
      <c r="F39" s="10"/>
      <c r="H39" s="16">
        <f>IF($B39="","",IF($F39="Actif",MAX($H$3:H38)+1,""))</f>
      </c>
    </row>
    <row r="40">
      <c r="B40" s="10"/>
      <c r="C40" s="9"/>
      <c r="D40" s="9"/>
      <c r="E40" s="9"/>
      <c r="F40" s="10"/>
      <c r="H40" s="16">
        <f>IF($B40="","",IF($F40="Actif",MAX($H$3:H39)+1,""))</f>
      </c>
    </row>
    <row r="41">
      <c r="B41" s="10"/>
      <c r="C41" s="9"/>
      <c r="D41" s="9"/>
      <c r="E41" s="9"/>
      <c r="F41" s="10"/>
      <c r="H41" s="16">
        <f>IF($B41="","",IF($F41="Actif",MAX($H$3:H40)+1,""))</f>
      </c>
    </row>
    <row r="42">
      <c r="B42" s="10"/>
      <c r="C42" s="9"/>
      <c r="D42" s="9"/>
      <c r="E42" s="9"/>
      <c r="F42" s="10"/>
      <c r="H42" s="16">
        <f>IF($B42="","",IF($F42="Actif",MAX($H$3:H41)+1,""))</f>
      </c>
    </row>
    <row r="43">
      <c r="B43" s="10"/>
      <c r="C43" s="9"/>
      <c r="D43" s="9"/>
      <c r="E43" s="9"/>
      <c r="F43" s="10"/>
      <c r="H43" s="16">
        <f>IF($B43="","",IF($F43="Actif",MAX($H$3:H42)+1,""))</f>
      </c>
    </row>
    <row r="44">
      <c r="B44" s="10"/>
      <c r="C44" s="9"/>
      <c r="D44" s="9"/>
      <c r="E44" s="9"/>
      <c r="F44" s="10"/>
      <c r="H44" s="16">
        <f>IF($B44="","",IF($F44="Actif",MAX($H$3:H43)+1,""))</f>
      </c>
    </row>
    <row r="45">
      <c r="B45" s="10"/>
      <c r="C45" s="9"/>
      <c r="D45" s="9"/>
      <c r="E45" s="9"/>
      <c r="F45" s="10"/>
      <c r="H45" s="16">
        <f>IF($B45="","",IF($F45="Actif",MAX($H$3:H44)+1,""))</f>
      </c>
    </row>
    <row r="46">
      <c r="B46" s="10"/>
      <c r="C46" s="9"/>
      <c r="D46" s="9"/>
      <c r="E46" s="9"/>
      <c r="F46" s="10"/>
      <c r="H46" s="16">
        <f>IF($B46="","",IF($F46="Actif",MAX($H$3:H45)+1,""))</f>
      </c>
    </row>
    <row r="47">
      <c r="B47" s="10"/>
      <c r="C47" s="9"/>
      <c r="D47" s="9"/>
      <c r="E47" s="9"/>
      <c r="F47" s="10"/>
      <c r="H47" s="16">
        <f>IF($B47="","",IF($F47="Actif",MAX($H$3:H46)+1,""))</f>
      </c>
    </row>
    <row r="48">
      <c r="B48" s="10"/>
      <c r="C48" s="9"/>
      <c r="D48" s="9"/>
      <c r="E48" s="9"/>
      <c r="F48" s="10"/>
      <c r="H48" s="16">
        <f>IF($B48="","",IF($F48="Actif",MAX($H$3:H47)+1,""))</f>
      </c>
    </row>
    <row r="49">
      <c r="B49" s="10"/>
      <c r="C49" s="9"/>
      <c r="D49" s="9"/>
      <c r="E49" s="9"/>
      <c r="F49" s="10"/>
      <c r="H49" s="16">
        <f>IF($B49="","",IF($F49="Actif",MAX($H$3:H48)+1,""))</f>
      </c>
    </row>
    <row r="50">
      <c r="B50" s="10"/>
      <c r="C50" s="9"/>
      <c r="D50" s="9"/>
      <c r="E50" s="9"/>
      <c r="F50" s="10"/>
      <c r="H50" s="16">
        <f>IF($B50="","",IF($F50="Actif",MAX($H$3:H49)+1,""))</f>
      </c>
    </row>
    <row r="51">
      <c r="B51" s="10"/>
      <c r="C51" s="9"/>
      <c r="D51" s="9"/>
      <c r="E51" s="9"/>
      <c r="F51" s="10"/>
      <c r="H51" s="16">
        <f>IF($B51="","",IF($F51="Actif",MAX($H$3:H50)+1,""))</f>
      </c>
    </row>
    <row r="52">
      <c r="B52" s="10"/>
      <c r="C52" s="9"/>
      <c r="D52" s="9"/>
      <c r="E52" s="9"/>
      <c r="F52" s="10"/>
      <c r="H52" s="16">
        <f>IF($B52="","",IF($F52="Actif",MAX($H$3:H51)+1,""))</f>
      </c>
    </row>
    <row r="53">
      <c r="B53" s="10"/>
      <c r="C53" s="9"/>
      <c r="D53" s="9"/>
      <c r="E53" s="9"/>
      <c r="F53" s="10"/>
      <c r="H53" s="16">
        <f>IF($B53="","",IF($F53="Actif",MAX($H$3:H52)+1,""))</f>
      </c>
    </row>
    <row r="54">
      <c r="B54" s="10"/>
      <c r="C54" s="9"/>
      <c r="D54" s="9"/>
      <c r="E54" s="9"/>
      <c r="F54" s="10"/>
      <c r="H54" s="16">
        <f>IF($B54="","",IF($F54="Actif",MAX($H$3:H53)+1,""))</f>
      </c>
    </row>
    <row r="55">
      <c r="B55" s="10"/>
      <c r="C55" s="9"/>
      <c r="D55" s="9"/>
      <c r="E55" s="9"/>
      <c r="F55" s="10"/>
      <c r="H55" s="16">
        <f>IF($B55="","",IF($F55="Actif",MAX($H$3:H54)+1,""))</f>
      </c>
    </row>
    <row r="56">
      <c r="B56" s="10"/>
      <c r="C56" s="9"/>
      <c r="D56" s="9"/>
      <c r="E56" s="9"/>
      <c r="F56" s="10"/>
      <c r="H56" s="16">
        <f>IF($B56="","",IF($F56="Actif",MAX($H$3:H55)+1,""))</f>
      </c>
    </row>
    <row r="57">
      <c r="B57" s="10"/>
      <c r="C57" s="9"/>
      <c r="D57" s="9"/>
      <c r="E57" s="9"/>
      <c r="F57" s="10"/>
      <c r="H57" s="16">
        <f>IF($B57="","",IF($F57="Actif",MAX($H$3:H56)+1,""))</f>
      </c>
    </row>
    <row r="58">
      <c r="B58" s="10"/>
      <c r="C58" s="9"/>
      <c r="D58" s="9"/>
      <c r="E58" s="9"/>
      <c r="F58" s="10"/>
      <c r="H58" s="16">
        <f>IF($B58="","",IF($F58="Actif",MAX($H$3:H57)+1,""))</f>
      </c>
    </row>
    <row r="59">
      <c r="B59" s="10"/>
      <c r="C59" s="9"/>
      <c r="D59" s="9"/>
      <c r="E59" s="9"/>
      <c r="F59" s="10"/>
      <c r="H59" s="16">
        <f>IF($B59="","",IF($F59="Actif",MAX($H$3:H58)+1,""))</f>
      </c>
    </row>
    <row r="60">
      <c r="B60" s="10"/>
      <c r="C60" s="9"/>
      <c r="D60" s="9"/>
      <c r="E60" s="9"/>
      <c r="F60" s="10"/>
      <c r="H60" s="16">
        <f>IF($B60="","",IF($F60="Actif",MAX($H$3:H59)+1,""))</f>
      </c>
    </row>
    <row r="61">
      <c r="B61" s="10"/>
      <c r="C61" s="9"/>
      <c r="D61" s="9"/>
      <c r="E61" s="9"/>
      <c r="F61" s="10"/>
      <c r="H61" s="16">
        <f>IF($B61="","",IF($F61="Actif",MAX($H$3:H60)+1,""))</f>
      </c>
    </row>
    <row r="62">
      <c r="B62" s="10"/>
      <c r="C62" s="9"/>
      <c r="D62" s="9"/>
      <c r="E62" s="9"/>
      <c r="F62" s="10"/>
      <c r="H62" s="16">
        <f>IF($B62="","",IF($F62="Actif",MAX($H$3:H61)+1,""))</f>
      </c>
    </row>
    <row r="63">
      <c r="B63" s="10"/>
      <c r="C63" s="9"/>
      <c r="D63" s="9"/>
      <c r="E63" s="9"/>
      <c r="F63" s="10"/>
      <c r="H63" s="16">
        <f>IF($B63="","",IF($F63="Actif",MAX($H$3:H62)+1,""))</f>
      </c>
    </row>
    <row r="64">
      <c r="B64" s="10"/>
      <c r="C64" s="9"/>
      <c r="D64" s="9"/>
      <c r="E64" s="9"/>
      <c r="F64" s="10"/>
      <c r="H64" s="16">
        <f>IF($B64="","",IF($F64="Actif",MAX($H$3:H63)+1,""))</f>
      </c>
    </row>
    <row r="65">
      <c r="B65" s="10"/>
      <c r="C65" s="9"/>
      <c r="D65" s="9"/>
      <c r="E65" s="9"/>
      <c r="F65" s="10"/>
      <c r="H65" s="16">
        <f>IF($B65="","",IF($F65="Actif",MAX($H$3:H64)+1,""))</f>
      </c>
    </row>
    <row r="66">
      <c r="B66" s="10"/>
      <c r="C66" s="9"/>
      <c r="D66" s="9"/>
      <c r="E66" s="9"/>
      <c r="F66" s="10"/>
      <c r="H66" s="16">
        <f>IF($B66="","",IF($F66="Actif",MAX($H$3:H65)+1,""))</f>
      </c>
    </row>
    <row r="67">
      <c r="B67" s="10"/>
      <c r="C67" s="9"/>
      <c r="D67" s="9"/>
      <c r="E67" s="9"/>
      <c r="F67" s="10"/>
      <c r="H67" s="16">
        <f>IF($B67="","",IF($F67="Actif",MAX($H$3:H66)+1,""))</f>
      </c>
    </row>
    <row r="68">
      <c r="B68" s="10"/>
      <c r="C68" s="9"/>
      <c r="D68" s="9"/>
      <c r="E68" s="9"/>
      <c r="F68" s="10"/>
      <c r="H68" s="16">
        <f>IF($B68="","",IF($F68="Actif",MAX($H$3:H67)+1,""))</f>
      </c>
    </row>
    <row r="69">
      <c r="B69" s="10"/>
      <c r="C69" s="9"/>
      <c r="D69" s="9"/>
      <c r="E69" s="9"/>
      <c r="F69" s="10"/>
      <c r="H69" s="16">
        <f>IF($B69="","",IF($F69="Actif",MAX($H$3:H68)+1,""))</f>
      </c>
    </row>
    <row r="70">
      <c r="B70" s="10"/>
      <c r="C70" s="9"/>
      <c r="D70" s="9"/>
      <c r="E70" s="9"/>
      <c r="F70" s="10"/>
      <c r="H70" s="16">
        <f>IF($B70="","",IF($F70="Actif",MAX($H$3:H69)+1,""))</f>
      </c>
    </row>
    <row r="71">
      <c r="B71" s="10"/>
      <c r="C71" s="9"/>
      <c r="D71" s="9"/>
      <c r="E71" s="9"/>
      <c r="F71" s="10"/>
      <c r="H71" s="16">
        <f>IF($B71="","",IF($F71="Actif",MAX($H$3:H70)+1,""))</f>
      </c>
    </row>
    <row r="72">
      <c r="B72" s="10"/>
      <c r="C72" s="9"/>
      <c r="D72" s="9"/>
      <c r="E72" s="9"/>
      <c r="F72" s="10"/>
      <c r="H72" s="16">
        <f>IF($B72="","",IF($F72="Actif",MAX($H$3:H71)+1,""))</f>
      </c>
    </row>
    <row r="73">
      <c r="B73" s="10"/>
      <c r="C73" s="9"/>
      <c r="D73" s="9"/>
      <c r="E73" s="9"/>
      <c r="F73" s="10"/>
      <c r="H73" s="16">
        <f>IF($B73="","",IF($F73="Actif",MAX($H$3:H72)+1,""))</f>
      </c>
    </row>
    <row r="74">
      <c r="B74" s="10"/>
      <c r="C74" s="9"/>
      <c r="D74" s="9"/>
      <c r="E74" s="9"/>
      <c r="F74" s="10"/>
      <c r="H74" s="16">
        <f>IF($B74="","",IF($F74="Actif",MAX($H$3:H73)+1,""))</f>
      </c>
    </row>
    <row r="75">
      <c r="B75" s="10"/>
      <c r="C75" s="9"/>
      <c r="D75" s="9"/>
      <c r="E75" s="9"/>
      <c r="F75" s="10"/>
      <c r="H75" s="16">
        <f>IF($B75="","",IF($F75="Actif",MAX($H$3:H74)+1,""))</f>
      </c>
    </row>
    <row r="76">
      <c r="B76" s="10"/>
      <c r="C76" s="9"/>
      <c r="D76" s="9"/>
      <c r="E76" s="9"/>
      <c r="F76" s="10"/>
      <c r="H76" s="16">
        <f>IF($B76="","",IF($F76="Actif",MAX($H$3:H75)+1,""))</f>
      </c>
    </row>
    <row r="77">
      <c r="B77" s="10"/>
      <c r="C77" s="9"/>
      <c r="D77" s="9"/>
      <c r="E77" s="9"/>
      <c r="F77" s="10"/>
      <c r="H77" s="16">
        <f>IF($B77="","",IF($F77="Actif",MAX($H$3:H76)+1,""))</f>
      </c>
    </row>
    <row r="78">
      <c r="B78" s="10"/>
      <c r="C78" s="9"/>
      <c r="D78" s="9"/>
      <c r="E78" s="9"/>
      <c r="F78" s="10"/>
      <c r="H78" s="16">
        <f>IF($B78="","",IF($F78="Actif",MAX($H$3:H77)+1,""))</f>
      </c>
    </row>
    <row r="79">
      <c r="B79" s="10"/>
      <c r="C79" s="9"/>
      <c r="D79" s="9"/>
      <c r="E79" s="9"/>
      <c r="F79" s="10"/>
      <c r="H79" s="16">
        <f>IF($B79="","",IF($F79="Actif",MAX($H$3:H78)+1,""))</f>
      </c>
    </row>
    <row r="80">
      <c r="B80" s="10"/>
      <c r="C80" s="9"/>
      <c r="D80" s="9"/>
      <c r="E80" s="9"/>
      <c r="F80" s="10"/>
      <c r="H80" s="16">
        <f>IF($B80="","",IF($F80="Actif",MAX($H$3:H79)+1,""))</f>
      </c>
    </row>
    <row r="81">
      <c r="B81" s="10"/>
      <c r="C81" s="9"/>
      <c r="D81" s="9"/>
      <c r="E81" s="9"/>
      <c r="F81" s="10"/>
      <c r="H81" s="16">
        <f>IF($B81="","",IF($F81="Actif",MAX($H$3:H80)+1,""))</f>
      </c>
    </row>
    <row r="82">
      <c r="B82" s="10"/>
      <c r="C82" s="9"/>
      <c r="D82" s="9"/>
      <c r="E82" s="9"/>
      <c r="F82" s="10"/>
      <c r="H82" s="16">
        <f>IF($B82="","",IF($F82="Actif",MAX($H$3:H81)+1,""))</f>
      </c>
    </row>
    <row r="83">
      <c r="B83" s="10"/>
      <c r="C83" s="9"/>
      <c r="D83" s="9"/>
      <c r="E83" s="9"/>
      <c r="F83" s="10"/>
      <c r="H83" s="16">
        <f>IF($B83="","",IF($F83="Actif",MAX($H$3:H82)+1,""))</f>
      </c>
    </row>
    <row r="84">
      <c r="B84" s="10"/>
      <c r="C84" s="9"/>
      <c r="D84" s="9"/>
      <c r="E84" s="9"/>
      <c r="F84" s="10"/>
      <c r="H84" s="16">
        <f>IF($B84="","",IF($F84="Actif",MAX($H$3:H83)+1,""))</f>
      </c>
    </row>
    <row r="85">
      <c r="B85" s="10"/>
      <c r="C85" s="9"/>
      <c r="D85" s="9"/>
      <c r="E85" s="9"/>
      <c r="F85" s="10"/>
      <c r="H85" s="16">
        <f>IF($B85="","",IF($F85="Actif",MAX($H$3:H84)+1,""))</f>
      </c>
    </row>
    <row r="86">
      <c r="B86" s="10"/>
      <c r="C86" s="9"/>
      <c r="D86" s="9"/>
      <c r="E86" s="9"/>
      <c r="F86" s="10"/>
      <c r="H86" s="16">
        <f>IF($B86="","",IF($F86="Actif",MAX($H$3:H85)+1,""))</f>
      </c>
    </row>
    <row r="87">
      <c r="B87" s="10"/>
      <c r="C87" s="9"/>
      <c r="D87" s="9"/>
      <c r="E87" s="9"/>
      <c r="F87" s="10"/>
      <c r="H87" s="16">
        <f>IF($B87="","",IF($F87="Actif",MAX($H$3:H86)+1,""))</f>
      </c>
    </row>
    <row r="88">
      <c r="B88" s="10"/>
      <c r="C88" s="9"/>
      <c r="D88" s="9"/>
      <c r="E88" s="9"/>
      <c r="F88" s="10"/>
      <c r="H88" s="16">
        <f>IF($B88="","",IF($F88="Actif",MAX($H$3:H87)+1,""))</f>
      </c>
    </row>
    <row r="89">
      <c r="B89" s="10"/>
      <c r="C89" s="9"/>
      <c r="D89" s="9"/>
      <c r="E89" s="9"/>
      <c r="F89" s="10"/>
      <c r="H89" s="16">
        <f>IF($B89="","",IF($F89="Actif",MAX($H$3:H88)+1,""))</f>
      </c>
    </row>
    <row r="90">
      <c r="B90" s="10"/>
      <c r="C90" s="9"/>
      <c r="D90" s="9"/>
      <c r="E90" s="9"/>
      <c r="F90" s="10"/>
      <c r="H90" s="16">
        <f>IF($B90="","",IF($F90="Actif",MAX($H$3:H89)+1,""))</f>
      </c>
    </row>
    <row r="91">
      <c r="B91" s="10"/>
      <c r="C91" s="9"/>
      <c r="D91" s="9"/>
      <c r="E91" s="9"/>
      <c r="F91" s="10"/>
      <c r="H91" s="16">
        <f>IF($B91="","",IF($F91="Actif",MAX($H$3:H90)+1,""))</f>
      </c>
    </row>
    <row r="92">
      <c r="B92" s="10"/>
      <c r="C92" s="9"/>
      <c r="D92" s="9"/>
      <c r="E92" s="9"/>
      <c r="F92" s="10"/>
      <c r="H92" s="16">
        <f>IF($B92="","",IF($F92="Actif",MAX($H$3:H91)+1,""))</f>
      </c>
    </row>
    <row r="93">
      <c r="B93" s="10"/>
      <c r="C93" s="9"/>
      <c r="D93" s="9"/>
      <c r="E93" s="9"/>
      <c r="F93" s="10"/>
      <c r="H93" s="16">
        <f>IF($B93="","",IF($F93="Actif",MAX($H$3:H92)+1,""))</f>
      </c>
    </row>
    <row r="94">
      <c r="B94" s="10"/>
      <c r="C94" s="9"/>
      <c r="D94" s="9"/>
      <c r="E94" s="9"/>
      <c r="F94" s="10"/>
      <c r="H94" s="16">
        <f>IF($B94="","",IF($F94="Actif",MAX($H$3:H93)+1,""))</f>
      </c>
    </row>
    <row r="95">
      <c r="B95" s="10"/>
      <c r="C95" s="9"/>
      <c r="D95" s="9"/>
      <c r="E95" s="9"/>
      <c r="F95" s="10"/>
      <c r="H95" s="16">
        <f>IF($B95="","",IF($F95="Actif",MAX($H$3:H94)+1,""))</f>
      </c>
    </row>
    <row r="96">
      <c r="B96" s="10"/>
      <c r="C96" s="9"/>
      <c r="D96" s="9"/>
      <c r="E96" s="9"/>
      <c r="F96" s="10"/>
      <c r="H96" s="16">
        <f>IF($B96="","",IF($F96="Actif",MAX($H$3:H95)+1,""))</f>
      </c>
    </row>
    <row r="97">
      <c r="B97" s="10"/>
      <c r="C97" s="9"/>
      <c r="D97" s="9"/>
      <c r="E97" s="9"/>
      <c r="F97" s="10"/>
      <c r="H97" s="16">
        <f>IF($B97="","",IF($F97="Actif",MAX($H$3:H96)+1,""))</f>
      </c>
    </row>
    <row r="98">
      <c r="B98" s="10"/>
      <c r="C98" s="9"/>
      <c r="D98" s="9"/>
      <c r="E98" s="9"/>
      <c r="F98" s="10"/>
      <c r="H98" s="16">
        <f>IF($B98="","",IF($F98="Actif",MAX($H$3:H97)+1,""))</f>
      </c>
    </row>
    <row r="99">
      <c r="B99" s="10"/>
      <c r="C99" s="9"/>
      <c r="D99" s="9"/>
      <c r="E99" s="9"/>
      <c r="F99" s="10"/>
      <c r="H99" s="16">
        <f>IF($B99="","",IF($F99="Actif",MAX($H$3:H98)+1,""))</f>
      </c>
    </row>
    <row r="100">
      <c r="B100" s="10"/>
      <c r="C100" s="9"/>
      <c r="D100" s="9"/>
      <c r="E100" s="9"/>
      <c r="F100" s="10"/>
      <c r="H100" s="16">
        <f>IF($B100="","",IF($F100="Actif",MAX($H$3:H99)+1,""))</f>
      </c>
    </row>
    <row r="101">
      <c r="B101" s="10"/>
      <c r="C101" s="9"/>
      <c r="D101" s="9"/>
      <c r="E101" s="9"/>
      <c r="F101" s="10"/>
      <c r="H101" s="16">
        <f>IF($B101="","",IF($F101="Actif",MAX($H$3:H100)+1,""))</f>
      </c>
    </row>
    <row r="102">
      <c r="B102" s="10"/>
      <c r="C102" s="9"/>
      <c r="D102" s="9"/>
      <c r="E102" s="9"/>
      <c r="F102" s="10"/>
      <c r="H102" s="16">
        <f>IF($B102="","",IF($F102="Actif",MAX($H$3:H101)+1,""))</f>
      </c>
    </row>
    <row r="103">
      <c r="B103" s="10"/>
      <c r="C103" s="9"/>
      <c r="D103" s="9"/>
      <c r="E103" s="9"/>
      <c r="F103" s="10"/>
      <c r="H103" s="16">
        <f>IF($B103="","",IF($F103="Actif",MAX($H$3:H102)+1,""))</f>
      </c>
    </row>
    <row r="104">
      <c r="B104" s="10"/>
      <c r="C104" s="9"/>
      <c r="D104" s="9"/>
      <c r="E104" s="9"/>
      <c r="F104" s="10"/>
      <c r="H104" s="16">
        <f>IF($B104="","",IF($F104="Actif",MAX($H$3:H103)+1,""))</f>
      </c>
    </row>
    <row r="105">
      <c r="B105" s="10"/>
      <c r="C105" s="9"/>
      <c r="D105" s="9"/>
      <c r="E105" s="9"/>
      <c r="F105" s="10"/>
      <c r="H105" s="16">
        <f>IF($B105="","",IF($F105="Actif",MAX($H$3:H104)+1,""))</f>
      </c>
    </row>
    <row r="106">
      <c r="B106" s="10"/>
      <c r="C106" s="9"/>
      <c r="D106" s="9"/>
      <c r="E106" s="9"/>
      <c r="F106" s="10"/>
      <c r="H106" s="16">
        <f>IF($B106="","",IF($F106="Actif",MAX($H$3:H105)+1,""))</f>
      </c>
    </row>
    <row r="107">
      <c r="B107" s="10"/>
      <c r="C107" s="9"/>
      <c r="D107" s="9"/>
      <c r="E107" s="9"/>
      <c r="F107" s="10"/>
      <c r="H107" s="16">
        <f>IF($B107="","",IF($F107="Actif",MAX($H$3:H106)+1,""))</f>
      </c>
    </row>
    <row r="108">
      <c r="B108" s="10"/>
      <c r="C108" s="9"/>
      <c r="D108" s="9"/>
      <c r="E108" s="9"/>
      <c r="F108" s="10"/>
      <c r="H108" s="16">
        <f>IF($B108="","",IF($F108="Actif",MAX($H$3:H107)+1,""))</f>
      </c>
    </row>
    <row r="109">
      <c r="B109" s="10"/>
      <c r="C109" s="9"/>
      <c r="D109" s="9"/>
      <c r="E109" s="9"/>
      <c r="F109" s="10"/>
      <c r="H109" s="16">
        <f>IF($B109="","",IF($F109="Actif",MAX($H$3:H108)+1,""))</f>
      </c>
    </row>
    <row r="110">
      <c r="B110" s="10"/>
      <c r="C110" s="9"/>
      <c r="D110" s="9"/>
      <c r="E110" s="9"/>
      <c r="F110" s="10"/>
      <c r="H110" s="16">
        <f>IF($B110="","",IF($F110="Actif",MAX($H$3:H109)+1,""))</f>
      </c>
    </row>
    <row r="111">
      <c r="B111" s="10"/>
      <c r="C111" s="9"/>
      <c r="D111" s="9"/>
      <c r="E111" s="9"/>
      <c r="F111" s="10"/>
      <c r="H111" s="16">
        <f>IF($B111="","",IF($F111="Actif",MAX($H$3:H110)+1,""))</f>
      </c>
    </row>
    <row r="112">
      <c r="B112" s="10"/>
      <c r="C112" s="9"/>
      <c r="D112" s="9"/>
      <c r="E112" s="9"/>
      <c r="F112" s="10"/>
      <c r="H112" s="16">
        <f>IF($B112="","",IF($F112="Actif",MAX($H$3:H111)+1,""))</f>
      </c>
    </row>
    <row r="113">
      <c r="B113" s="10"/>
      <c r="C113" s="9"/>
      <c r="D113" s="9"/>
      <c r="E113" s="9"/>
      <c r="F113" s="10"/>
      <c r="H113" s="16">
        <f>IF($B113="","",IF($F113="Actif",MAX($H$3:H112)+1,""))</f>
      </c>
    </row>
    <row r="114">
      <c r="B114" s="10"/>
      <c r="C114" s="9"/>
      <c r="D114" s="9"/>
      <c r="E114" s="9"/>
      <c r="F114" s="10"/>
      <c r="H114" s="16">
        <f>IF($B114="","",IF($F114="Actif",MAX($H$3:H113)+1,""))</f>
      </c>
    </row>
    <row r="115">
      <c r="B115" s="10"/>
      <c r="C115" s="9"/>
      <c r="D115" s="9"/>
      <c r="E115" s="9"/>
      <c r="F115" s="10"/>
      <c r="H115" s="16">
        <f>IF($B115="","",IF($F115="Actif",MAX($H$3:H114)+1,""))</f>
      </c>
    </row>
    <row r="116">
      <c r="B116" s="10"/>
      <c r="C116" s="9"/>
      <c r="D116" s="9"/>
      <c r="E116" s="9"/>
      <c r="F116" s="10"/>
      <c r="H116" s="16">
        <f>IF($B116="","",IF($F116="Actif",MAX($H$3:H115)+1,""))</f>
      </c>
    </row>
    <row r="117">
      <c r="B117" s="10"/>
      <c r="C117" s="9"/>
      <c r="D117" s="9"/>
      <c r="E117" s="9"/>
      <c r="F117" s="10"/>
      <c r="H117" s="16">
        <f>IF($B117="","",IF($F117="Actif",MAX($H$3:H116)+1,""))</f>
      </c>
    </row>
    <row r="118">
      <c r="B118" s="10"/>
      <c r="C118" s="9"/>
      <c r="D118" s="9"/>
      <c r="E118" s="9"/>
      <c r="F118" s="10"/>
      <c r="H118" s="16">
        <f>IF($B118="","",IF($F118="Actif",MAX($H$3:H117)+1,""))</f>
      </c>
    </row>
    <row r="119">
      <c r="B119" s="10"/>
      <c r="C119" s="9"/>
      <c r="D119" s="9"/>
      <c r="E119" s="9"/>
      <c r="F119" s="10"/>
      <c r="H119" s="16">
        <f>IF($B119="","",IF($F119="Actif",MAX($H$3:H118)+1,""))</f>
      </c>
    </row>
    <row r="120">
      <c r="B120" s="10"/>
      <c r="C120" s="9"/>
      <c r="D120" s="9"/>
      <c r="E120" s="9"/>
      <c r="F120" s="10"/>
      <c r="H120" s="16">
        <f>IF($B120="","",IF($F120="Actif",MAX($H$3:H119)+1,""))</f>
      </c>
    </row>
    <row r="121">
      <c r="B121" s="10"/>
      <c r="C121" s="9"/>
      <c r="D121" s="9"/>
      <c r="E121" s="9"/>
      <c r="F121" s="10"/>
      <c r="H121" s="16">
        <f>IF($B121="","",IF($F121="Actif",MAX($H$3:H120)+1,""))</f>
      </c>
    </row>
    <row r="122">
      <c r="B122" s="10"/>
      <c r="C122" s="9"/>
      <c r="D122" s="9"/>
      <c r="E122" s="9"/>
      <c r="F122" s="10"/>
      <c r="H122" s="16">
        <f>IF($B122="","",IF($F122="Actif",MAX($H$3:H121)+1,""))</f>
      </c>
    </row>
    <row r="123">
      <c r="B123" s="10"/>
      <c r="C123" s="9"/>
      <c r="D123" s="9"/>
      <c r="E123" s="9"/>
      <c r="F123" s="10"/>
      <c r="H123" s="16">
        <f>IF($B123="","",IF($F123="Actif",MAX($H$3:H122)+1,""))</f>
      </c>
    </row>
    <row r="124">
      <c r="B124" s="10"/>
      <c r="C124" s="9"/>
      <c r="D124" s="9"/>
      <c r="E124" s="9"/>
      <c r="F124" s="10"/>
      <c r="H124" s="16">
        <f>IF($B124="","",IF($F124="Actif",MAX($H$3:H123)+1,""))</f>
      </c>
    </row>
    <row r="125">
      <c r="B125" s="10"/>
      <c r="C125" s="9"/>
      <c r="D125" s="9"/>
      <c r="E125" s="9"/>
      <c r="F125" s="10"/>
      <c r="H125" s="16">
        <f>IF($B125="","",IF($F125="Actif",MAX($H$3:H124)+1,""))</f>
      </c>
    </row>
    <row r="126">
      <c r="B126" s="10"/>
      <c r="C126" s="9"/>
      <c r="D126" s="9"/>
      <c r="E126" s="9"/>
      <c r="F126" s="10"/>
      <c r="H126" s="16">
        <f>IF($B126="","",IF($F126="Actif",MAX($H$3:H125)+1,""))</f>
      </c>
    </row>
    <row r="127">
      <c r="B127" s="10"/>
      <c r="C127" s="9"/>
      <c r="D127" s="9"/>
      <c r="E127" s="9"/>
      <c r="F127" s="10"/>
      <c r="H127" s="16">
        <f>IF($B127="","",IF($F127="Actif",MAX($H$3:H126)+1,""))</f>
      </c>
    </row>
    <row r="128">
      <c r="B128" s="10"/>
      <c r="C128" s="9"/>
      <c r="D128" s="9"/>
      <c r="E128" s="9"/>
      <c r="F128" s="10"/>
      <c r="H128" s="16">
        <f>IF($B128="","",IF($F128="Actif",MAX($H$3:H127)+1,""))</f>
      </c>
    </row>
    <row r="129">
      <c r="B129" s="10"/>
      <c r="C129" s="9"/>
      <c r="D129" s="9"/>
      <c r="E129" s="9"/>
      <c r="F129" s="10"/>
      <c r="H129" s="16">
        <f>IF($B129="","",IF($F129="Actif",MAX($H$3:H128)+1,""))</f>
      </c>
    </row>
    <row r="130">
      <c r="B130" s="10"/>
      <c r="C130" s="9"/>
      <c r="D130" s="9"/>
      <c r="E130" s="9"/>
      <c r="F130" s="10"/>
      <c r="H130" s="16">
        <f>IF($B130="","",IF($F130="Actif",MAX($H$3:H129)+1,""))</f>
      </c>
    </row>
    <row r="131">
      <c r="B131" s="10"/>
      <c r="C131" s="9"/>
      <c r="D131" s="9"/>
      <c r="E131" s="9"/>
      <c r="F131" s="10"/>
      <c r="H131" s="16">
        <f>IF($B131="","",IF($F131="Actif",MAX($H$3:H130)+1,""))</f>
      </c>
    </row>
    <row r="132">
      <c r="B132" s="10"/>
      <c r="C132" s="9"/>
      <c r="D132" s="9"/>
      <c r="E132" s="9"/>
      <c r="F132" s="10"/>
      <c r="H132" s="16">
        <f>IF($B132="","",IF($F132="Actif",MAX($H$3:H131)+1,""))</f>
      </c>
    </row>
    <row r="133">
      <c r="B133" s="10"/>
      <c r="C133" s="9"/>
      <c r="D133" s="9"/>
      <c r="E133" s="9"/>
      <c r="F133" s="10"/>
      <c r="H133" s="16">
        <f>IF($B133="","",IF($F133="Actif",MAX($H$3:H132)+1,""))</f>
      </c>
    </row>
    <row r="134">
      <c r="B134" s="10"/>
      <c r="C134" s="9"/>
      <c r="D134" s="9"/>
      <c r="E134" s="9"/>
      <c r="F134" s="10"/>
      <c r="H134" s="16">
        <f>IF($B134="","",IF($F134="Actif",MAX($H$3:H133)+1,""))</f>
      </c>
    </row>
    <row r="135">
      <c r="B135" s="10"/>
      <c r="C135" s="9"/>
      <c r="D135" s="9"/>
      <c r="E135" s="9"/>
      <c r="F135" s="10"/>
      <c r="H135" s="16">
        <f>IF($B135="","",IF($F135="Actif",MAX($H$3:H134)+1,""))</f>
      </c>
    </row>
    <row r="136">
      <c r="B136" s="10"/>
      <c r="C136" s="9"/>
      <c r="D136" s="9"/>
      <c r="E136" s="9"/>
      <c r="F136" s="10"/>
      <c r="H136" s="16">
        <f>IF($B136="","",IF($F136="Actif",MAX($H$3:H135)+1,""))</f>
      </c>
    </row>
    <row r="137">
      <c r="B137" s="10"/>
      <c r="C137" s="9"/>
      <c r="D137" s="9"/>
      <c r="E137" s="9"/>
      <c r="F137" s="10"/>
      <c r="H137" s="16">
        <f>IF($B137="","",IF($F137="Actif",MAX($H$3:H136)+1,""))</f>
      </c>
    </row>
    <row r="138">
      <c r="B138" s="10"/>
      <c r="C138" s="9"/>
      <c r="D138" s="9"/>
      <c r="E138" s="9"/>
      <c r="F138" s="10"/>
      <c r="H138" s="16">
        <f>IF($B138="","",IF($F138="Actif",MAX($H$3:H137)+1,""))</f>
      </c>
    </row>
    <row r="139">
      <c r="B139" s="10"/>
      <c r="C139" s="9"/>
      <c r="D139" s="9"/>
      <c r="E139" s="9"/>
      <c r="F139" s="10"/>
      <c r="H139" s="16">
        <f>IF($B139="","",IF($F139="Actif",MAX($H$3:H138)+1,""))</f>
      </c>
    </row>
    <row r="140">
      <c r="B140" s="10"/>
      <c r="C140" s="9"/>
      <c r="D140" s="9"/>
      <c r="E140" s="9"/>
      <c r="F140" s="10"/>
      <c r="H140" s="16">
        <f>IF($B140="","",IF($F140="Actif",MAX($H$3:H139)+1,""))</f>
      </c>
    </row>
    <row r="141">
      <c r="B141" s="10"/>
      <c r="C141" s="9"/>
      <c r="D141" s="9"/>
      <c r="E141" s="9"/>
      <c r="F141" s="10"/>
      <c r="H141" s="16">
        <f>IF($B141="","",IF($F141="Actif",MAX($H$3:H140)+1,""))</f>
      </c>
    </row>
    <row r="142">
      <c r="B142" s="10"/>
      <c r="C142" s="9"/>
      <c r="D142" s="9"/>
      <c r="E142" s="9"/>
      <c r="F142" s="10"/>
      <c r="H142" s="16">
        <f>IF($B142="","",IF($F142="Actif",MAX($H$3:H141)+1,""))</f>
      </c>
    </row>
    <row r="143">
      <c r="B143" s="10"/>
      <c r="C143" s="9"/>
      <c r="D143" s="9"/>
      <c r="E143" s="9"/>
      <c r="F143" s="10"/>
      <c r="H143" s="16">
        <f>IF($B143="","",IF($F143="Actif",MAX($H$3:H142)+1,""))</f>
      </c>
    </row>
    <row r="144">
      <c r="B144" s="10"/>
      <c r="C144" s="9"/>
      <c r="D144" s="9"/>
      <c r="E144" s="9"/>
      <c r="F144" s="10"/>
      <c r="H144" s="16">
        <f>IF($B144="","",IF($F144="Actif",MAX($H$3:H143)+1,""))</f>
      </c>
    </row>
    <row r="145">
      <c r="B145" s="10"/>
      <c r="C145" s="9"/>
      <c r="D145" s="9"/>
      <c r="E145" s="9"/>
      <c r="F145" s="10"/>
      <c r="H145" s="16">
        <f>IF($B145="","",IF($F145="Actif",MAX($H$3:H144)+1,""))</f>
      </c>
    </row>
    <row r="146">
      <c r="B146" s="10"/>
      <c r="C146" s="9"/>
      <c r="D146" s="9"/>
      <c r="E146" s="9"/>
      <c r="F146" s="10"/>
      <c r="H146" s="16">
        <f>IF($B146="","",IF($F146="Actif",MAX($H$3:H145)+1,""))</f>
      </c>
    </row>
    <row r="147">
      <c r="B147" s="10"/>
      <c r="C147" s="9"/>
      <c r="D147" s="9"/>
      <c r="E147" s="9"/>
      <c r="F147" s="10"/>
      <c r="H147" s="16">
        <f>IF($B147="","",IF($F147="Actif",MAX($H$3:H146)+1,""))</f>
      </c>
    </row>
    <row r="148">
      <c r="B148" s="10"/>
      <c r="C148" s="9"/>
      <c r="D148" s="9"/>
      <c r="E148" s="9"/>
      <c r="F148" s="10"/>
      <c r="H148" s="16">
        <f>IF($B148="","",IF($F148="Actif",MAX($H$3:H147)+1,""))</f>
      </c>
    </row>
    <row r="149">
      <c r="B149" s="10"/>
      <c r="C149" s="9"/>
      <c r="D149" s="9"/>
      <c r="E149" s="9"/>
      <c r="F149" s="10"/>
      <c r="H149" s="16">
        <f>IF($B149="","",IF($F149="Actif",MAX($H$3:H148)+1,""))</f>
      </c>
    </row>
    <row r="150">
      <c r="B150" s="10"/>
      <c r="C150" s="9"/>
      <c r="D150" s="9"/>
      <c r="E150" s="9"/>
      <c r="F150" s="10"/>
      <c r="H150" s="16">
        <f>IF($B150="","",IF($F150="Actif",MAX($H$3:H149)+1,""))</f>
      </c>
    </row>
    <row r="151">
      <c r="B151" s="10"/>
      <c r="C151" s="9"/>
      <c r="D151" s="9"/>
      <c r="E151" s="9"/>
      <c r="F151" s="10"/>
      <c r="H151" s="16">
        <f>IF($B151="","",IF($F151="Actif",MAX($H$3:H150)+1,""))</f>
      </c>
    </row>
    <row r="152">
      <c r="B152" s="10"/>
      <c r="C152" s="9"/>
      <c r="D152" s="9"/>
      <c r="E152" s="9"/>
      <c r="F152" s="10"/>
      <c r="H152" s="16">
        <f>IF($B152="","",IF($F152="Actif",MAX($H$3:H151)+1,""))</f>
      </c>
    </row>
    <row r="153">
      <c r="B153" s="10"/>
      <c r="C153" s="9"/>
      <c r="D153" s="9"/>
      <c r="E153" s="9"/>
      <c r="F153" s="10"/>
      <c r="H153" s="16">
        <f>IF($B153="","",IF($F153="Actif",MAX($H$3:H152)+1,""))</f>
      </c>
    </row>
    <row r="154">
      <c r="B154" s="10"/>
      <c r="C154" s="9"/>
      <c r="D154" s="9"/>
      <c r="E154" s="9"/>
      <c r="F154" s="10"/>
      <c r="H154" s="16">
        <f>IF($B154="","",IF($F154="Actif",MAX($H$3:H153)+1,""))</f>
      </c>
    </row>
    <row r="155">
      <c r="B155" s="10"/>
      <c r="C155" s="9"/>
      <c r="D155" s="9"/>
      <c r="E155" s="9"/>
      <c r="F155" s="10"/>
      <c r="H155" s="16">
        <f>IF($B155="","",IF($F155="Actif",MAX($H$3:H154)+1,""))</f>
      </c>
    </row>
    <row r="156">
      <c r="B156" s="10"/>
      <c r="C156" s="9"/>
      <c r="D156" s="9"/>
      <c r="E156" s="9"/>
      <c r="F156" s="10"/>
      <c r="H156" s="16">
        <f>IF($B156="","",IF($F156="Actif",MAX($H$3:H155)+1,""))</f>
      </c>
    </row>
    <row r="157">
      <c r="B157" s="10"/>
      <c r="C157" s="9"/>
      <c r="D157" s="9"/>
      <c r="E157" s="9"/>
      <c r="F157" s="10"/>
      <c r="H157" s="16">
        <f>IF($B157="","",IF($F157="Actif",MAX($H$3:H156)+1,""))</f>
      </c>
    </row>
    <row r="158">
      <c r="B158" s="10"/>
      <c r="C158" s="9"/>
      <c r="D158" s="9"/>
      <c r="E158" s="9"/>
      <c r="F158" s="10"/>
      <c r="H158" s="16">
        <f>IF($B158="","",IF($F158="Actif",MAX($H$3:H157)+1,""))</f>
      </c>
    </row>
    <row r="159">
      <c r="B159" s="10"/>
      <c r="C159" s="9"/>
      <c r="D159" s="9"/>
      <c r="E159" s="9"/>
      <c r="F159" s="10"/>
      <c r="H159" s="16">
        <f>IF($B159="","",IF($F159="Actif",MAX($H$3:H158)+1,""))</f>
      </c>
    </row>
    <row r="160">
      <c r="B160" s="10"/>
      <c r="C160" s="9"/>
      <c r="D160" s="9"/>
      <c r="E160" s="9"/>
      <c r="F160" s="10"/>
      <c r="H160" s="16">
        <f>IF($B160="","",IF($F160="Actif",MAX($H$3:H159)+1,""))</f>
      </c>
    </row>
    <row r="161">
      <c r="B161" s="10"/>
      <c r="C161" s="9"/>
      <c r="D161" s="9"/>
      <c r="E161" s="9"/>
      <c r="F161" s="10"/>
      <c r="H161" s="16">
        <f>IF($B161="","",IF($F161="Actif",MAX($H$3:H160)+1,""))</f>
      </c>
    </row>
    <row r="162">
      <c r="B162" s="10"/>
      <c r="C162" s="9"/>
      <c r="D162" s="9"/>
      <c r="E162" s="9"/>
      <c r="F162" s="10"/>
      <c r="H162" s="16">
        <f>IF($B162="","",IF($F162="Actif",MAX($H$3:H161)+1,""))</f>
      </c>
    </row>
    <row r="163">
      <c r="B163" s="10"/>
      <c r="C163" s="9"/>
      <c r="D163" s="9"/>
      <c r="E163" s="9"/>
      <c r="F163" s="10"/>
      <c r="H163" s="16">
        <f>IF($B163="","",IF($F163="Actif",MAX($H$3:H162)+1,""))</f>
      </c>
    </row>
    <row r="164">
      <c r="B164" s="10"/>
      <c r="C164" s="9"/>
      <c r="D164" s="9"/>
      <c r="E164" s="9"/>
      <c r="F164" s="10"/>
      <c r="H164" s="16">
        <f>IF($B164="","",IF($F164="Actif",MAX($H$3:H163)+1,""))</f>
      </c>
    </row>
    <row r="165">
      <c r="B165" s="10"/>
      <c r="C165" s="9"/>
      <c r="D165" s="9"/>
      <c r="E165" s="9"/>
      <c r="F165" s="10"/>
      <c r="H165" s="16">
        <f>IF($B165="","",IF($F165="Actif",MAX($H$3:H164)+1,""))</f>
      </c>
    </row>
    <row r="166">
      <c r="B166" s="10"/>
      <c r="C166" s="9"/>
      <c r="D166" s="9"/>
      <c r="E166" s="9"/>
      <c r="F166" s="10"/>
      <c r="H166" s="16">
        <f>IF($B166="","",IF($F166="Actif",MAX($H$3:H165)+1,""))</f>
      </c>
    </row>
    <row r="167">
      <c r="B167" s="10"/>
      <c r="C167" s="9"/>
      <c r="D167" s="9"/>
      <c r="E167" s="9"/>
      <c r="F167" s="10"/>
      <c r="H167" s="16">
        <f>IF($B167="","",IF($F167="Actif",MAX($H$3:H166)+1,""))</f>
      </c>
    </row>
    <row r="168">
      <c r="B168" s="10"/>
      <c r="C168" s="9"/>
      <c r="D168" s="9"/>
      <c r="E168" s="9"/>
      <c r="F168" s="10"/>
      <c r="H168" s="16">
        <f>IF($B168="","",IF($F168="Actif",MAX($H$3:H167)+1,""))</f>
      </c>
    </row>
    <row r="169">
      <c r="B169" s="10"/>
      <c r="C169" s="9"/>
      <c r="D169" s="9"/>
      <c r="E169" s="9"/>
      <c r="F169" s="10"/>
      <c r="H169" s="16">
        <f>IF($B169="","",IF($F169="Actif",MAX($H$3:H168)+1,""))</f>
      </c>
    </row>
    <row r="170">
      <c r="B170" s="10"/>
      <c r="C170" s="9"/>
      <c r="D170" s="9"/>
      <c r="E170" s="9"/>
      <c r="F170" s="10"/>
      <c r="H170" s="16">
        <f>IF($B170="","",IF($F170="Actif",MAX($H$3:H169)+1,""))</f>
      </c>
    </row>
    <row r="171">
      <c r="B171" s="10"/>
      <c r="C171" s="9"/>
      <c r="D171" s="9"/>
      <c r="E171" s="9"/>
      <c r="F171" s="10"/>
      <c r="H171" s="16">
        <f>IF($B171="","",IF($F171="Actif",MAX($H$3:H170)+1,""))</f>
      </c>
    </row>
    <row r="172">
      <c r="B172" s="10"/>
      <c r="C172" s="9"/>
      <c r="D172" s="9"/>
      <c r="E172" s="9"/>
      <c r="F172" s="10"/>
      <c r="H172" s="16">
        <f>IF($B172="","",IF($F172="Actif",MAX($H$3:H171)+1,""))</f>
      </c>
    </row>
    <row r="173">
      <c r="B173" s="10"/>
      <c r="C173" s="9"/>
      <c r="D173" s="9"/>
      <c r="E173" s="9"/>
      <c r="F173" s="10"/>
      <c r="H173" s="16">
        <f>IF($B173="","",IF($F173="Actif",MAX($H$3:H172)+1,""))</f>
      </c>
    </row>
    <row r="174">
      <c r="B174" s="10"/>
      <c r="C174" s="9"/>
      <c r="D174" s="9"/>
      <c r="E174" s="9"/>
      <c r="F174" s="10"/>
      <c r="H174" s="16">
        <f>IF($B174="","",IF($F174="Actif",MAX($H$3:H173)+1,""))</f>
      </c>
    </row>
    <row r="175">
      <c r="B175" s="10"/>
      <c r="C175" s="9"/>
      <c r="D175" s="9"/>
      <c r="E175" s="9"/>
      <c r="F175" s="10"/>
      <c r="H175" s="16">
        <f>IF($B175="","",IF($F175="Actif",MAX($H$3:H174)+1,""))</f>
      </c>
    </row>
    <row r="176">
      <c r="B176" s="10"/>
      <c r="C176" s="9"/>
      <c r="D176" s="9"/>
      <c r="E176" s="9"/>
      <c r="F176" s="10"/>
      <c r="H176" s="16">
        <f>IF($B176="","",IF($F176="Actif",MAX($H$3:H175)+1,""))</f>
      </c>
    </row>
    <row r="177">
      <c r="B177" s="10"/>
      <c r="C177" s="9"/>
      <c r="D177" s="9"/>
      <c r="E177" s="9"/>
      <c r="F177" s="10"/>
      <c r="H177" s="16">
        <f>IF($B177="","",IF($F177="Actif",MAX($H$3:H176)+1,""))</f>
      </c>
    </row>
    <row r="178">
      <c r="B178" s="10"/>
      <c r="C178" s="9"/>
      <c r="D178" s="9"/>
      <c r="E178" s="9"/>
      <c r="F178" s="10"/>
      <c r="H178" s="16">
        <f>IF($B178="","",IF($F178="Actif",MAX($H$3:H177)+1,""))</f>
      </c>
    </row>
    <row r="179">
      <c r="B179" s="10"/>
      <c r="C179" s="9"/>
      <c r="D179" s="9"/>
      <c r="E179" s="9"/>
      <c r="F179" s="10"/>
      <c r="H179" s="16">
        <f>IF($B179="","",IF($F179="Actif",MAX($H$3:H178)+1,""))</f>
      </c>
    </row>
    <row r="180">
      <c r="B180" s="10"/>
      <c r="C180" s="9"/>
      <c r="D180" s="9"/>
      <c r="E180" s="9"/>
      <c r="F180" s="10"/>
      <c r="H180" s="16">
        <f>IF($B180="","",IF($F180="Actif",MAX($H$3:H179)+1,""))</f>
      </c>
    </row>
    <row r="181">
      <c r="B181" s="10"/>
      <c r="C181" s="9"/>
      <c r="D181" s="9"/>
      <c r="E181" s="9"/>
      <c r="F181" s="10"/>
      <c r="H181" s="16">
        <f>IF($B181="","",IF($F181="Actif",MAX($H$3:H180)+1,""))</f>
      </c>
    </row>
    <row r="182">
      <c r="B182" s="10"/>
      <c r="C182" s="9"/>
      <c r="D182" s="9"/>
      <c r="E182" s="9"/>
      <c r="F182" s="10"/>
      <c r="H182" s="16">
        <f>IF($B182="","",IF($F182="Actif",MAX($H$3:H181)+1,""))</f>
      </c>
    </row>
    <row r="183">
      <c r="B183" s="10"/>
      <c r="C183" s="9"/>
      <c r="D183" s="9"/>
      <c r="E183" s="9"/>
      <c r="F183" s="10"/>
      <c r="H183" s="16">
        <f>IF($B183="","",IF($F183="Actif",MAX($H$3:H182)+1,""))</f>
      </c>
    </row>
    <row r="184">
      <c r="B184" s="10"/>
      <c r="C184" s="9"/>
      <c r="D184" s="9"/>
      <c r="E184" s="9"/>
      <c r="F184" s="10"/>
      <c r="H184" s="16">
        <f>IF($B184="","",IF($F184="Actif",MAX($H$3:H183)+1,""))</f>
      </c>
    </row>
    <row r="185">
      <c r="B185" s="10"/>
      <c r="C185" s="9"/>
      <c r="D185" s="9"/>
      <c r="E185" s="9"/>
      <c r="F185" s="10"/>
      <c r="H185" s="16">
        <f>IF($B185="","",IF($F185="Actif",MAX($H$3:H184)+1,""))</f>
      </c>
    </row>
    <row r="186">
      <c r="B186" s="10"/>
      <c r="C186" s="9"/>
      <c r="D186" s="9"/>
      <c r="E186" s="9"/>
      <c r="F186" s="10"/>
      <c r="H186" s="16">
        <f>IF($B186="","",IF($F186="Actif",MAX($H$3:H185)+1,""))</f>
      </c>
    </row>
    <row r="187">
      <c r="B187" s="10"/>
      <c r="C187" s="9"/>
      <c r="D187" s="9"/>
      <c r="E187" s="9"/>
      <c r="F187" s="10"/>
      <c r="H187" s="16">
        <f>IF($B187="","",IF($F187="Actif",MAX($H$3:H186)+1,""))</f>
      </c>
    </row>
    <row r="188">
      <c r="B188" s="10"/>
      <c r="C188" s="9"/>
      <c r="D188" s="9"/>
      <c r="E188" s="9"/>
      <c r="F188" s="10"/>
      <c r="H188" s="16">
        <f>IF($B188="","",IF($F188="Actif",MAX($H$3:H187)+1,""))</f>
      </c>
    </row>
    <row r="189">
      <c r="B189" s="10"/>
      <c r="C189" s="9"/>
      <c r="D189" s="9"/>
      <c r="E189" s="9"/>
      <c r="F189" s="10"/>
      <c r="H189" s="16">
        <f>IF($B189="","",IF($F189="Actif",MAX($H$3:H188)+1,""))</f>
      </c>
    </row>
    <row r="190">
      <c r="B190" s="10"/>
      <c r="C190" s="9"/>
      <c r="D190" s="9"/>
      <c r="E190" s="9"/>
      <c r="F190" s="10"/>
      <c r="H190" s="16">
        <f>IF($B190="","",IF($F190="Actif",MAX($H$3:H189)+1,""))</f>
      </c>
    </row>
    <row r="191">
      <c r="B191" s="10"/>
      <c r="C191" s="9"/>
      <c r="D191" s="9"/>
      <c r="E191" s="9"/>
      <c r="F191" s="10"/>
      <c r="H191" s="16">
        <f>IF($B191="","",IF($F191="Actif",MAX($H$3:H190)+1,""))</f>
      </c>
    </row>
    <row r="192">
      <c r="B192" s="10"/>
      <c r="C192" s="9"/>
      <c r="D192" s="9"/>
      <c r="E192" s="9"/>
      <c r="F192" s="10"/>
      <c r="H192" s="16">
        <f>IF($B192="","",IF($F192="Actif",MAX($H$3:H191)+1,""))</f>
      </c>
    </row>
    <row r="193">
      <c r="B193" s="10"/>
      <c r="C193" s="9"/>
      <c r="D193" s="9"/>
      <c r="E193" s="9"/>
      <c r="F193" s="10"/>
      <c r="H193" s="16">
        <f>IF($B193="","",IF($F193="Actif",MAX($H$3:H192)+1,""))</f>
      </c>
    </row>
    <row r="194">
      <c r="B194" s="10"/>
      <c r="C194" s="9"/>
      <c r="D194" s="9"/>
      <c r="E194" s="9"/>
      <c r="F194" s="10"/>
      <c r="H194" s="16">
        <f>IF($B194="","",IF($F194="Actif",MAX($H$3:H193)+1,""))</f>
      </c>
    </row>
    <row r="195">
      <c r="B195" s="10"/>
      <c r="C195" s="9"/>
      <c r="D195" s="9"/>
      <c r="E195" s="9"/>
      <c r="F195" s="10"/>
      <c r="H195" s="16">
        <f>IF($B195="","",IF($F195="Actif",MAX($H$3:H194)+1,""))</f>
      </c>
    </row>
    <row r="196">
      <c r="B196" s="10"/>
      <c r="C196" s="9"/>
      <c r="D196" s="9"/>
      <c r="E196" s="9"/>
      <c r="F196" s="10"/>
      <c r="H196" s="16">
        <f>IF($B196="","",IF($F196="Actif",MAX($H$3:H195)+1,""))</f>
      </c>
    </row>
    <row r="197">
      <c r="B197" s="10"/>
      <c r="C197" s="9"/>
      <c r="D197" s="9"/>
      <c r="E197" s="9"/>
      <c r="F197" s="10"/>
      <c r="H197" s="16">
        <f>IF($B197="","",IF($F197="Actif",MAX($H$3:H196)+1,""))</f>
      </c>
    </row>
    <row r="198">
      <c r="B198" s="10"/>
      <c r="C198" s="9"/>
      <c r="D198" s="9"/>
      <c r="E198" s="9"/>
      <c r="F198" s="10"/>
      <c r="H198" s="16">
        <f>IF($B198="","",IF($F198="Actif",MAX($H$3:H197)+1,""))</f>
      </c>
    </row>
    <row r="199">
      <c r="B199" s="10"/>
      <c r="C199" s="9"/>
      <c r="D199" s="9"/>
      <c r="E199" s="9"/>
      <c r="F199" s="10"/>
      <c r="H199" s="16">
        <f>IF($B199="","",IF($F199="Actif",MAX($H$3:H198)+1,""))</f>
      </c>
    </row>
    <row r="200">
      <c r="B200" s="10"/>
      <c r="C200" s="9"/>
      <c r="D200" s="9"/>
      <c r="E200" s="9"/>
      <c r="F200" s="10"/>
      <c r="H200" s="16">
        <f>IF($B200="","",IF($F200="Actif",MAX($H$3:H199)+1,""))</f>
      </c>
    </row>
    <row r="201">
      <c r="B201" s="10"/>
      <c r="C201" s="9"/>
      <c r="D201" s="9"/>
      <c r="E201" s="9"/>
      <c r="F201" s="10"/>
      <c r="H201" s="16">
        <f>IF($B201="","",IF($F201="Actif",MAX($H$3:H200)+1,""))</f>
      </c>
    </row>
    <row r="202">
      <c r="B202" s="10"/>
      <c r="C202" s="9"/>
      <c r="D202" s="9"/>
      <c r="E202" s="9"/>
      <c r="F202" s="10"/>
      <c r="H202" s="16">
        <f>IF($B202="","",IF($F202="Actif",MAX($H$3:H201)+1,""))</f>
      </c>
    </row>
    <row r="203">
      <c r="B203" s="10"/>
      <c r="C203" s="9"/>
      <c r="D203" s="9"/>
      <c r="E203" s="9"/>
      <c r="F203" s="10"/>
      <c r="H203" s="16">
        <f>IF($B203="","",IF($F203="Actif",MAX($H$3:H202)+1,""))</f>
      </c>
    </row>
    <row r="204">
      <c r="B204" s="10"/>
      <c r="C204" s="9"/>
      <c r="D204" s="9"/>
      <c r="E204" s="9"/>
      <c r="F204" s="10"/>
      <c r="H204" s="16">
        <f>IF($B204="","",IF($F204="Actif",MAX($H$3:H203)+1,""))</f>
      </c>
    </row>
    <row r="205">
      <c r="B205" s="10"/>
      <c r="C205" s="9"/>
      <c r="D205" s="9"/>
      <c r="E205" s="9"/>
      <c r="F205" s="10"/>
      <c r="H205" s="16">
        <f>IF($B205="","",IF($F205="Actif",MAX($H$3:H204)+1,""))</f>
      </c>
    </row>
    <row r="206">
      <c r="B206" s="10"/>
      <c r="C206" s="9"/>
      <c r="D206" s="9"/>
      <c r="E206" s="9"/>
      <c r="F206" s="10"/>
      <c r="H206" s="16">
        <f>IF($B206="","",IF($F206="Actif",MAX($H$3:H205)+1,""))</f>
      </c>
    </row>
    <row r="207">
      <c r="B207" s="10"/>
      <c r="C207" s="9"/>
      <c r="D207" s="9"/>
      <c r="E207" s="9"/>
      <c r="F207" s="10"/>
      <c r="H207" s="16">
        <f>IF($B207="","",IF($F207="Actif",MAX($H$3:H206)+1,""))</f>
      </c>
    </row>
    <row r="208">
      <c r="B208" s="10"/>
      <c r="C208" s="9"/>
      <c r="D208" s="9"/>
      <c r="E208" s="9"/>
      <c r="F208" s="10"/>
      <c r="H208" s="16">
        <f>IF($B208="","",IF($F208="Actif",MAX($H$3:H207)+1,""))</f>
      </c>
    </row>
    <row r="209">
      <c r="B209" s="10"/>
      <c r="C209" s="9"/>
      <c r="D209" s="9"/>
      <c r="E209" s="9"/>
      <c r="F209" s="10"/>
      <c r="H209" s="16">
        <f>IF($B209="","",IF($F209="Actif",MAX($H$3:H208)+1,""))</f>
      </c>
    </row>
    <row r="210">
      <c r="B210" s="10"/>
      <c r="C210" s="9"/>
      <c r="D210" s="9"/>
      <c r="E210" s="9"/>
      <c r="F210" s="10"/>
      <c r="H210" s="16">
        <f>IF($B210="","",IF($F210="Actif",MAX($H$3:H209)+1,""))</f>
      </c>
    </row>
    <row r="211">
      <c r="B211" s="10"/>
      <c r="C211" s="9"/>
      <c r="D211" s="9"/>
      <c r="E211" s="9"/>
      <c r="F211" s="10"/>
      <c r="H211" s="16">
        <f>IF($B211="","",IF($F211="Actif",MAX($H$3:H210)+1,""))</f>
      </c>
    </row>
    <row r="212">
      <c r="B212" s="10"/>
      <c r="C212" s="9"/>
      <c r="D212" s="9"/>
      <c r="E212" s="9"/>
      <c r="F212" s="10"/>
      <c r="H212" s="16">
        <f>IF($B212="","",IF($F212="Actif",MAX($H$3:H211)+1,""))</f>
      </c>
    </row>
    <row r="213">
      <c r="B213" s="10"/>
      <c r="C213" s="9"/>
      <c r="D213" s="9"/>
      <c r="E213" s="9"/>
      <c r="F213" s="10"/>
      <c r="H213" s="16">
        <f>IF($B213="","",IF($F213="Actif",MAX($H$3:H212)+1,""))</f>
      </c>
    </row>
    <row r="214">
      <c r="B214" s="10"/>
      <c r="C214" s="9"/>
      <c r="D214" s="9"/>
      <c r="E214" s="9"/>
      <c r="F214" s="10"/>
      <c r="H214" s="16">
        <f>IF($B214="","",IF($F214="Actif",MAX($H$3:H213)+1,""))</f>
      </c>
    </row>
    <row r="215">
      <c r="B215" s="10"/>
      <c r="C215" s="9"/>
      <c r="D215" s="9"/>
      <c r="E215" s="9"/>
      <c r="F215" s="10"/>
      <c r="H215" s="16">
        <f>IF($B215="","",IF($F215="Actif",MAX($H$3:H214)+1,""))</f>
      </c>
    </row>
    <row r="216">
      <c r="B216" s="10"/>
      <c r="C216" s="9"/>
      <c r="D216" s="9"/>
      <c r="E216" s="9"/>
      <c r="F216" s="10"/>
      <c r="H216" s="16">
        <f>IF($B216="","",IF($F216="Actif",MAX($H$3:H215)+1,""))</f>
      </c>
    </row>
    <row r="217">
      <c r="B217" s="10"/>
      <c r="C217" s="9"/>
      <c r="D217" s="9"/>
      <c r="E217" s="9"/>
      <c r="F217" s="10"/>
      <c r="H217" s="16">
        <f>IF($B217="","",IF($F217="Actif",MAX($H$3:H216)+1,""))</f>
      </c>
    </row>
    <row r="218">
      <c r="B218" s="10"/>
      <c r="C218" s="9"/>
      <c r="D218" s="9"/>
      <c r="E218" s="9"/>
      <c r="F218" s="10"/>
      <c r="H218" s="16">
        <f>IF($B218="","",IF($F218="Actif",MAX($H$3:H217)+1,""))</f>
      </c>
    </row>
    <row r="219">
      <c r="B219" s="10"/>
      <c r="C219" s="9"/>
      <c r="D219" s="9"/>
      <c r="E219" s="9"/>
      <c r="F219" s="10"/>
      <c r="H219" s="16">
        <f>IF($B219="","",IF($F219="Actif",MAX($H$3:H218)+1,""))</f>
      </c>
    </row>
    <row r="220">
      <c r="B220" s="10"/>
      <c r="C220" s="9"/>
      <c r="D220" s="9"/>
      <c r="E220" s="9"/>
      <c r="F220" s="10"/>
      <c r="H220" s="16">
        <f>IF($B220="","",IF($F220="Actif",MAX($H$3:H219)+1,""))</f>
      </c>
    </row>
    <row r="221">
      <c r="B221" s="10"/>
      <c r="C221" s="9"/>
      <c r="D221" s="9"/>
      <c r="E221" s="9"/>
      <c r="F221" s="10"/>
      <c r="H221" s="16">
        <f>IF($B221="","",IF($F221="Actif",MAX($H$3:H220)+1,""))</f>
      </c>
    </row>
    <row r="222">
      <c r="B222" s="10"/>
      <c r="C222" s="9"/>
      <c r="D222" s="9"/>
      <c r="E222" s="9"/>
      <c r="F222" s="10"/>
      <c r="H222" s="16">
        <f>IF($B222="","",IF($F222="Actif",MAX($H$3:H221)+1,""))</f>
      </c>
    </row>
    <row r="223">
      <c r="B223" s="10"/>
      <c r="C223" s="9"/>
      <c r="D223" s="9"/>
      <c r="E223" s="9"/>
      <c r="F223" s="10"/>
      <c r="H223" s="16">
        <f>IF($B223="","",IF($F223="Actif",MAX($H$3:H222)+1,""))</f>
      </c>
    </row>
    <row r="224">
      <c r="B224" s="10"/>
      <c r="C224" s="9"/>
      <c r="D224" s="9"/>
      <c r="E224" s="9"/>
      <c r="F224" s="10"/>
      <c r="H224" s="16">
        <f>IF($B224="","",IF($F224="Actif",MAX($H$3:H223)+1,""))</f>
      </c>
    </row>
    <row r="225">
      <c r="B225" s="10"/>
      <c r="C225" s="9"/>
      <c r="D225" s="9"/>
      <c r="E225" s="9"/>
      <c r="F225" s="10"/>
      <c r="H225" s="16">
        <f>IF($B225="","",IF($F225="Actif",MAX($H$3:H224)+1,""))</f>
      </c>
    </row>
    <row r="226">
      <c r="B226" s="10"/>
      <c r="C226" s="9"/>
      <c r="D226" s="9"/>
      <c r="E226" s="9"/>
      <c r="F226" s="10"/>
      <c r="H226" s="16">
        <f>IF($B226="","",IF($F226="Actif",MAX($H$3:H225)+1,""))</f>
      </c>
    </row>
    <row r="227">
      <c r="B227" s="10"/>
      <c r="C227" s="9"/>
      <c r="D227" s="9"/>
      <c r="E227" s="9"/>
      <c r="F227" s="10"/>
      <c r="H227" s="16">
        <f>IF($B227="","",IF($F227="Actif",MAX($H$3:H226)+1,""))</f>
      </c>
    </row>
    <row r="228">
      <c r="B228" s="10"/>
      <c r="C228" s="9"/>
      <c r="D228" s="9"/>
      <c r="E228" s="9"/>
      <c r="F228" s="10"/>
      <c r="H228" s="16">
        <f>IF($B228="","",IF($F228="Actif",MAX($H$3:H227)+1,""))</f>
      </c>
    </row>
    <row r="229">
      <c r="B229" s="10"/>
      <c r="C229" s="9"/>
      <c r="D229" s="9"/>
      <c r="E229" s="9"/>
      <c r="F229" s="10"/>
      <c r="H229" s="16">
        <f>IF($B229="","",IF($F229="Actif",MAX($H$3:H228)+1,""))</f>
      </c>
    </row>
    <row r="230">
      <c r="B230" s="10"/>
      <c r="C230" s="9"/>
      <c r="D230" s="9"/>
      <c r="E230" s="9"/>
      <c r="F230" s="10"/>
      <c r="H230" s="16">
        <f>IF($B230="","",IF($F230="Actif",MAX($H$3:H229)+1,""))</f>
      </c>
    </row>
    <row r="231">
      <c r="B231" s="10"/>
      <c r="C231" s="9"/>
      <c r="D231" s="9"/>
      <c r="E231" s="9"/>
      <c r="F231" s="10"/>
      <c r="H231" s="16">
        <f>IF($B231="","",IF($F231="Actif",MAX($H$3:H230)+1,""))</f>
      </c>
    </row>
    <row r="232">
      <c r="B232" s="10"/>
      <c r="C232" s="9"/>
      <c r="D232" s="9"/>
      <c r="E232" s="9"/>
      <c r="F232" s="10"/>
      <c r="H232" s="16">
        <f>IF($B232="","",IF($F232="Actif",MAX($H$3:H231)+1,""))</f>
      </c>
    </row>
    <row r="233">
      <c r="B233" s="10"/>
      <c r="C233" s="9"/>
      <c r="D233" s="9"/>
      <c r="E233" s="9"/>
      <c r="F233" s="10"/>
      <c r="H233" s="16">
        <f>IF($B233="","",IF($F233="Actif",MAX($H$3:H232)+1,""))</f>
      </c>
    </row>
    <row r="234">
      <c r="B234" s="10"/>
      <c r="C234" s="9"/>
      <c r="D234" s="9"/>
      <c r="E234" s="9"/>
      <c r="F234" s="10"/>
      <c r="H234" s="16">
        <f>IF($B234="","",IF($F234="Actif",MAX($H$3:H233)+1,""))</f>
      </c>
    </row>
    <row r="235">
      <c r="B235" s="10"/>
      <c r="C235" s="9"/>
      <c r="D235" s="9"/>
      <c r="E235" s="9"/>
      <c r="F235" s="10"/>
      <c r="H235" s="16">
        <f>IF($B235="","",IF($F235="Actif",MAX($H$3:H234)+1,""))</f>
      </c>
    </row>
    <row r="236">
      <c r="B236" s="10"/>
      <c r="C236" s="9"/>
      <c r="D236" s="9"/>
      <c r="E236" s="9"/>
      <c r="F236" s="10"/>
      <c r="H236" s="16">
        <f>IF($B236="","",IF($F236="Actif",MAX($H$3:H235)+1,""))</f>
      </c>
    </row>
    <row r="237">
      <c r="B237" s="10"/>
      <c r="C237" s="9"/>
      <c r="D237" s="9"/>
      <c r="E237" s="9"/>
      <c r="F237" s="10"/>
      <c r="H237" s="16">
        <f>IF($B237="","",IF($F237="Actif",MAX($H$3:H236)+1,""))</f>
      </c>
    </row>
    <row r="238">
      <c r="B238" s="10"/>
      <c r="C238" s="9"/>
      <c r="D238" s="9"/>
      <c r="E238" s="9"/>
      <c r="F238" s="10"/>
      <c r="H238" s="16">
        <f>IF($B238="","",IF($F238="Actif",MAX($H$3:H237)+1,""))</f>
      </c>
    </row>
    <row r="239">
      <c r="B239" s="10"/>
      <c r="C239" s="9"/>
      <c r="D239" s="9"/>
      <c r="E239" s="9"/>
      <c r="F239" s="10"/>
      <c r="H239" s="16">
        <f>IF($B239="","",IF($F239="Actif",MAX($H$3:H238)+1,""))</f>
      </c>
    </row>
    <row r="240">
      <c r="B240" s="10"/>
      <c r="C240" s="9"/>
      <c r="D240" s="9"/>
      <c r="E240" s="9"/>
      <c r="F240" s="10"/>
      <c r="H240" s="16">
        <f>IF($B240="","",IF($F240="Actif",MAX($H$3:H239)+1,""))</f>
      </c>
    </row>
    <row r="241">
      <c r="B241" s="10"/>
      <c r="C241" s="9"/>
      <c r="D241" s="9"/>
      <c r="E241" s="9"/>
      <c r="F241" s="10"/>
      <c r="H241" s="16">
        <f>IF($B241="","",IF($F241="Actif",MAX($H$3:H240)+1,""))</f>
      </c>
    </row>
    <row r="242">
      <c r="B242" s="10"/>
      <c r="C242" s="9"/>
      <c r="D242" s="9"/>
      <c r="E242" s="9"/>
      <c r="F242" s="10"/>
      <c r="H242" s="16">
        <f>IF($B242="","",IF($F242="Actif",MAX($H$3:H241)+1,""))</f>
      </c>
    </row>
    <row r="243">
      <c r="B243" s="10"/>
      <c r="C243" s="9"/>
      <c r="D243" s="9"/>
      <c r="E243" s="9"/>
      <c r="F243" s="10"/>
      <c r="H243" s="16">
        <f>IF($B243="","",IF($F243="Actif",MAX($H$3:H242)+1,""))</f>
      </c>
    </row>
    <row r="244">
      <c r="B244" s="10"/>
      <c r="C244" s="9"/>
      <c r="D244" s="9"/>
      <c r="E244" s="9"/>
      <c r="F244" s="10"/>
      <c r="H244" s="16">
        <f>IF($B244="","",IF($F244="Actif",MAX($H$3:H243)+1,""))</f>
      </c>
    </row>
    <row r="245">
      <c r="B245" s="10"/>
      <c r="C245" s="9"/>
      <c r="D245" s="9"/>
      <c r="E245" s="9"/>
      <c r="F245" s="10"/>
      <c r="H245" s="16">
        <f>IF($B245="","",IF($F245="Actif",MAX($H$3:H244)+1,""))</f>
      </c>
    </row>
    <row r="246">
      <c r="B246" s="10"/>
      <c r="C246" s="9"/>
      <c r="D246" s="9"/>
      <c r="E246" s="9"/>
      <c r="F246" s="10"/>
      <c r="H246" s="16">
        <f>IF($B246="","",IF($F246="Actif",MAX($H$3:H245)+1,""))</f>
      </c>
    </row>
    <row r="247">
      <c r="B247" s="10"/>
      <c r="C247" s="9"/>
      <c r="D247" s="9"/>
      <c r="E247" s="9"/>
      <c r="F247" s="10"/>
      <c r="H247" s="16">
        <f>IF($B247="","",IF($F247="Actif",MAX($H$3:H246)+1,""))</f>
      </c>
    </row>
    <row r="248">
      <c r="B248" s="10"/>
      <c r="C248" s="9"/>
      <c r="D248" s="9"/>
      <c r="E248" s="9"/>
      <c r="F248" s="10"/>
      <c r="H248" s="16">
        <f>IF($B248="","",IF($F248="Actif",MAX($H$3:H247)+1,""))</f>
      </c>
    </row>
    <row r="249">
      <c r="B249" s="10"/>
      <c r="C249" s="9"/>
      <c r="D249" s="9"/>
      <c r="E249" s="9"/>
      <c r="F249" s="10"/>
      <c r="H249" s="16">
        <f>IF($B249="","",IF($F249="Actif",MAX($H$3:H248)+1,""))</f>
      </c>
    </row>
    <row r="250">
      <c r="B250" s="10"/>
      <c r="C250" s="9"/>
      <c r="D250" s="9"/>
      <c r="E250" s="9"/>
      <c r="F250" s="10"/>
      <c r="H250" s="16">
        <f>IF($B250="","",IF($F250="Actif",MAX($H$3:H249)+1,""))</f>
      </c>
    </row>
    <row r="251">
      <c r="B251" s="10"/>
      <c r="C251" s="9"/>
      <c r="D251" s="9"/>
      <c r="E251" s="9"/>
      <c r="F251" s="10"/>
      <c r="H251" s="16">
        <f>IF($B251="","",IF($F251="Actif",MAX($H$3:H250)+1,""))</f>
      </c>
    </row>
    <row r="252">
      <c r="B252" s="10"/>
      <c r="C252" s="9"/>
      <c r="D252" s="9"/>
      <c r="E252" s="9"/>
      <c r="F252" s="10"/>
      <c r="H252" s="16">
        <f>IF($B252="","",IF($F252="Actif",MAX($H$3:H251)+1,""))</f>
      </c>
    </row>
    <row r="253">
      <c r="B253" s="10"/>
      <c r="C253" s="9"/>
      <c r="D253" s="9"/>
      <c r="E253" s="9"/>
      <c r="F253" s="10"/>
      <c r="H253" s="16">
        <f>IF($B253="","",IF($F253="Actif",MAX($H$3:H252)+1,""))</f>
      </c>
    </row>
    <row r="254">
      <c r="B254" s="10"/>
      <c r="C254" s="9"/>
      <c r="D254" s="9"/>
      <c r="E254" s="9"/>
      <c r="F254" s="10"/>
      <c r="H254" s="16">
        <f>IF($B254="","",IF($F254="Actif",MAX($H$3:H253)+1,""))</f>
      </c>
    </row>
    <row r="255">
      <c r="B255" s="10"/>
      <c r="C255" s="9"/>
      <c r="D255" s="9"/>
      <c r="E255" s="9"/>
      <c r="F255" s="10"/>
      <c r="H255" s="16">
        <f>IF($B255="","",IF($F255="Actif",MAX($H$3:H254)+1,""))</f>
      </c>
    </row>
    <row r="256">
      <c r="B256" s="10"/>
      <c r="C256" s="9"/>
      <c r="D256" s="9"/>
      <c r="E256" s="9"/>
      <c r="F256" s="10"/>
      <c r="H256" s="16">
        <f>IF($B256="","",IF($F256="Actif",MAX($H$3:H255)+1,""))</f>
      </c>
    </row>
    <row r="257">
      <c r="B257" s="10"/>
      <c r="C257" s="9"/>
      <c r="D257" s="9"/>
      <c r="E257" s="9"/>
      <c r="F257" s="10"/>
      <c r="H257" s="16">
        <f>IF($B257="","",IF($F257="Actif",MAX($H$3:H256)+1,""))</f>
      </c>
    </row>
    <row r="258">
      <c r="B258" s="10"/>
      <c r="C258" s="9"/>
      <c r="D258" s="9"/>
      <c r="E258" s="9"/>
      <c r="F258" s="10"/>
      <c r="H258" s="16">
        <f>IF($B258="","",IF($F258="Actif",MAX($H$3:H257)+1,""))</f>
      </c>
    </row>
    <row r="259">
      <c r="B259" s="10"/>
      <c r="C259" s="9"/>
      <c r="D259" s="9"/>
      <c r="E259" s="9"/>
      <c r="F259" s="10"/>
      <c r="H259" s="16">
        <f>IF($B259="","",IF($F259="Actif",MAX($H$3:H258)+1,""))</f>
      </c>
    </row>
    <row r="260">
      <c r="B260" s="10"/>
      <c r="C260" s="9"/>
      <c r="D260" s="9"/>
      <c r="E260" s="9"/>
      <c r="F260" s="10"/>
      <c r="H260" s="16">
        <f>IF($B260="","",IF($F260="Actif",MAX($H$3:H259)+1,""))</f>
      </c>
    </row>
    <row r="261">
      <c r="B261" s="10"/>
      <c r="C261" s="9"/>
      <c r="D261" s="9"/>
      <c r="E261" s="9"/>
      <c r="F261" s="10"/>
      <c r="H261" s="16">
        <f>IF($B261="","",IF($F261="Actif",MAX($H$3:H260)+1,""))</f>
      </c>
    </row>
    <row r="262">
      <c r="B262" s="10"/>
      <c r="C262" s="9"/>
      <c r="D262" s="9"/>
      <c r="E262" s="9"/>
      <c r="F262" s="10"/>
      <c r="H262" s="16">
        <f>IF($B262="","",IF($F262="Actif",MAX($H$3:H261)+1,""))</f>
      </c>
    </row>
    <row r="263">
      <c r="B263" s="10"/>
      <c r="C263" s="9"/>
      <c r="D263" s="9"/>
      <c r="E263" s="9"/>
      <c r="F263" s="10"/>
      <c r="H263" s="16">
        <f>IF($B263="","",IF($F263="Actif",MAX($H$3:H262)+1,""))</f>
      </c>
    </row>
    <row r="264">
      <c r="B264" s="10"/>
      <c r="C264" s="9"/>
      <c r="D264" s="9"/>
      <c r="E264" s="9"/>
      <c r="F264" s="10"/>
      <c r="H264" s="16">
        <f>IF($B264="","",IF($F264="Actif",MAX($H$3:H263)+1,""))</f>
      </c>
    </row>
    <row r="265">
      <c r="B265" s="10"/>
      <c r="C265" s="9"/>
      <c r="D265" s="9"/>
      <c r="E265" s="9"/>
      <c r="F265" s="10"/>
      <c r="H265" s="16">
        <f>IF($B265="","",IF($F265="Actif",MAX($H$3:H264)+1,""))</f>
      </c>
    </row>
    <row r="266">
      <c r="B266" s="10"/>
      <c r="C266" s="9"/>
      <c r="D266" s="9"/>
      <c r="E266" s="9"/>
      <c r="F266" s="10"/>
      <c r="H266" s="16">
        <f>IF($B266="","",IF($F266="Actif",MAX($H$3:H265)+1,""))</f>
      </c>
    </row>
    <row r="267">
      <c r="B267" s="10"/>
      <c r="C267" s="9"/>
      <c r="D267" s="9"/>
      <c r="E267" s="9"/>
      <c r="F267" s="10"/>
      <c r="H267" s="16">
        <f>IF($B267="","",IF($F267="Actif",MAX($H$3:H266)+1,""))</f>
      </c>
    </row>
    <row r="268">
      <c r="B268" s="10"/>
      <c r="C268" s="9"/>
      <c r="D268" s="9"/>
      <c r="E268" s="9"/>
      <c r="F268" s="10"/>
      <c r="H268" s="16">
        <f>IF($B268="","",IF($F268="Actif",MAX($H$3:H267)+1,""))</f>
      </c>
    </row>
    <row r="269">
      <c r="B269" s="10"/>
      <c r="C269" s="9"/>
      <c r="D269" s="9"/>
      <c r="E269" s="9"/>
      <c r="F269" s="10"/>
      <c r="H269" s="16">
        <f>IF($B269="","",IF($F269="Actif",MAX($H$3:H268)+1,""))</f>
      </c>
    </row>
    <row r="270">
      <c r="B270" s="10"/>
      <c r="C270" s="9"/>
      <c r="D270" s="9"/>
      <c r="E270" s="9"/>
      <c r="F270" s="10"/>
      <c r="H270" s="16">
        <f>IF($B270="","",IF($F270="Actif",MAX($H$3:H269)+1,""))</f>
      </c>
    </row>
    <row r="271">
      <c r="B271" s="10"/>
      <c r="C271" s="9"/>
      <c r="D271" s="9"/>
      <c r="E271" s="9"/>
      <c r="F271" s="10"/>
      <c r="H271" s="16">
        <f>IF($B271="","",IF($F271="Actif",MAX($H$3:H270)+1,""))</f>
      </c>
    </row>
    <row r="272">
      <c r="B272" s="10"/>
      <c r="C272" s="9"/>
      <c r="D272" s="9"/>
      <c r="E272" s="9"/>
      <c r="F272" s="10"/>
      <c r="H272" s="16">
        <f>IF($B272="","",IF($F272="Actif",MAX($H$3:H271)+1,""))</f>
      </c>
    </row>
    <row r="273">
      <c r="B273" s="10"/>
      <c r="C273" s="9"/>
      <c r="D273" s="9"/>
      <c r="E273" s="9"/>
      <c r="F273" s="10"/>
      <c r="H273" s="16">
        <f>IF($B273="","",IF($F273="Actif",MAX($H$3:H272)+1,""))</f>
      </c>
    </row>
    <row r="274">
      <c r="B274" s="10"/>
      <c r="C274" s="9"/>
      <c r="D274" s="9"/>
      <c r="E274" s="9"/>
      <c r="F274" s="10"/>
      <c r="H274" s="16">
        <f>IF($B274="","",IF($F274="Actif",MAX($H$3:H273)+1,""))</f>
      </c>
    </row>
    <row r="275">
      <c r="B275" s="10"/>
      <c r="C275" s="9"/>
      <c r="D275" s="9"/>
      <c r="E275" s="9"/>
      <c r="F275" s="10"/>
      <c r="H275" s="16">
        <f>IF($B275="","",IF($F275="Actif",MAX($H$3:H274)+1,""))</f>
      </c>
    </row>
    <row r="276">
      <c r="B276" s="10"/>
      <c r="C276" s="9"/>
      <c r="D276" s="9"/>
      <c r="E276" s="9"/>
      <c r="F276" s="10"/>
      <c r="H276" s="16">
        <f>IF($B276="","",IF($F276="Actif",MAX($H$3:H275)+1,""))</f>
      </c>
    </row>
    <row r="277">
      <c r="B277" s="10"/>
      <c r="C277" s="9"/>
      <c r="D277" s="9"/>
      <c r="E277" s="9"/>
      <c r="F277" s="10"/>
      <c r="H277" s="16">
        <f>IF($B277="","",IF($F277="Actif",MAX($H$3:H276)+1,""))</f>
      </c>
    </row>
    <row r="278">
      <c r="B278" s="10"/>
      <c r="C278" s="9"/>
      <c r="D278" s="9"/>
      <c r="E278" s="9"/>
      <c r="F278" s="10"/>
      <c r="H278" s="16">
        <f>IF($B278="","",IF($F278="Actif",MAX($H$3:H277)+1,""))</f>
      </c>
    </row>
    <row r="279">
      <c r="B279" s="10"/>
      <c r="C279" s="9"/>
      <c r="D279" s="9"/>
      <c r="E279" s="9"/>
      <c r="F279" s="10"/>
      <c r="H279" s="16">
        <f>IF($B279="","",IF($F279="Actif",MAX($H$3:H278)+1,""))</f>
      </c>
    </row>
    <row r="280">
      <c r="B280" s="10"/>
      <c r="C280" s="9"/>
      <c r="D280" s="9"/>
      <c r="E280" s="9"/>
      <c r="F280" s="10"/>
      <c r="H280" s="16">
        <f>IF($B280="","",IF($F280="Actif",MAX($H$3:H279)+1,""))</f>
      </c>
    </row>
    <row r="281">
      <c r="B281" s="10"/>
      <c r="C281" s="9"/>
      <c r="D281" s="9"/>
      <c r="E281" s="9"/>
      <c r="F281" s="10"/>
      <c r="H281" s="16">
        <f>IF($B281="","",IF($F281="Actif",MAX($H$3:H280)+1,""))</f>
      </c>
    </row>
    <row r="282">
      <c r="B282" s="10"/>
      <c r="C282" s="9"/>
      <c r="D282" s="9"/>
      <c r="E282" s="9"/>
      <c r="F282" s="10"/>
      <c r="H282" s="16">
        <f>IF($B282="","",IF($F282="Actif",MAX($H$3:H281)+1,""))</f>
      </c>
    </row>
    <row r="283">
      <c r="B283" s="10"/>
      <c r="C283" s="9"/>
      <c r="D283" s="9"/>
      <c r="E283" s="9"/>
      <c r="F283" s="10"/>
      <c r="H283" s="16">
        <f>IF($B283="","",IF($F283="Actif",MAX($H$3:H282)+1,""))</f>
      </c>
    </row>
    <row r="284">
      <c r="B284" s="10"/>
      <c r="C284" s="9"/>
      <c r="D284" s="9"/>
      <c r="E284" s="9"/>
      <c r="F284" s="10"/>
      <c r="H284" s="16">
        <f>IF($B284="","",IF($F284="Actif",MAX($H$3:H283)+1,""))</f>
      </c>
    </row>
    <row r="285">
      <c r="B285" s="10"/>
      <c r="C285" s="9"/>
      <c r="D285" s="9"/>
      <c r="E285" s="9"/>
      <c r="F285" s="10"/>
      <c r="H285" s="16">
        <f>IF($B285="","",IF($F285="Actif",MAX($H$3:H284)+1,""))</f>
      </c>
    </row>
    <row r="286">
      <c r="B286" s="10"/>
      <c r="C286" s="9"/>
      <c r="D286" s="9"/>
      <c r="E286" s="9"/>
      <c r="F286" s="10"/>
      <c r="H286" s="16">
        <f>IF($B286="","",IF($F286="Actif",MAX($H$3:H285)+1,""))</f>
      </c>
    </row>
    <row r="287">
      <c r="B287" s="10"/>
      <c r="C287" s="9"/>
      <c r="D287" s="9"/>
      <c r="E287" s="9"/>
      <c r="F287" s="10"/>
      <c r="H287" s="16">
        <f>IF($B287="","",IF($F287="Actif",MAX($H$3:H286)+1,""))</f>
      </c>
    </row>
    <row r="288">
      <c r="B288" s="10"/>
      <c r="C288" s="9"/>
      <c r="D288" s="9"/>
      <c r="E288" s="9"/>
      <c r="F288" s="10"/>
      <c r="H288" s="16">
        <f>IF($B288="","",IF($F288="Actif",MAX($H$3:H287)+1,""))</f>
      </c>
    </row>
    <row r="289">
      <c r="B289" s="10"/>
      <c r="C289" s="9"/>
      <c r="D289" s="9"/>
      <c r="E289" s="9"/>
      <c r="F289" s="10"/>
      <c r="H289" s="16">
        <f>IF($B289="","",IF($F289="Actif",MAX($H$3:H288)+1,""))</f>
      </c>
    </row>
    <row r="290">
      <c r="B290" s="10"/>
      <c r="C290" s="9"/>
      <c r="D290" s="9"/>
      <c r="E290" s="9"/>
      <c r="F290" s="10"/>
      <c r="H290" s="16">
        <f>IF($B290="","",IF($F290="Actif",MAX($H$3:H289)+1,""))</f>
      </c>
    </row>
    <row r="291">
      <c r="B291" s="10"/>
      <c r="C291" s="9"/>
      <c r="D291" s="9"/>
      <c r="E291" s="9"/>
      <c r="F291" s="10"/>
      <c r="H291" s="16">
        <f>IF($B291="","",IF($F291="Actif",MAX($H$3:H290)+1,""))</f>
      </c>
    </row>
    <row r="292">
      <c r="B292" s="10"/>
      <c r="C292" s="9"/>
      <c r="D292" s="9"/>
      <c r="E292" s="9"/>
      <c r="F292" s="10"/>
      <c r="H292" s="16">
        <f>IF($B292="","",IF($F292="Actif",MAX($H$3:H291)+1,""))</f>
      </c>
    </row>
    <row r="293">
      <c r="B293" s="10"/>
      <c r="C293" s="9"/>
      <c r="D293" s="9"/>
      <c r="E293" s="9"/>
      <c r="F293" s="10"/>
      <c r="H293" s="16">
        <f>IF($B293="","",IF($F293="Actif",MAX($H$3:H292)+1,""))</f>
      </c>
    </row>
    <row r="294">
      <c r="B294" s="10"/>
      <c r="C294" s="9"/>
      <c r="D294" s="9"/>
      <c r="E294" s="9"/>
      <c r="F294" s="10"/>
      <c r="H294" s="16">
        <f>IF($B294="","",IF($F294="Actif",MAX($H$3:H293)+1,""))</f>
      </c>
    </row>
    <row r="295">
      <c r="B295" s="10"/>
      <c r="C295" s="9"/>
      <c r="D295" s="9"/>
      <c r="E295" s="9"/>
      <c r="F295" s="10"/>
      <c r="H295" s="16">
        <f>IF($B295="","",IF($F295="Actif",MAX($H$3:H294)+1,""))</f>
      </c>
    </row>
    <row r="296">
      <c r="B296" s="10"/>
      <c r="C296" s="9"/>
      <c r="D296" s="9"/>
      <c r="E296" s="9"/>
      <c r="F296" s="10"/>
      <c r="H296" s="16">
        <f>IF($B296="","",IF($F296="Actif",MAX($H$3:H295)+1,""))</f>
      </c>
    </row>
    <row r="297">
      <c r="B297" s="10"/>
      <c r="C297" s="9"/>
      <c r="D297" s="9"/>
      <c r="E297" s="9"/>
      <c r="F297" s="10"/>
      <c r="H297" s="16">
        <f>IF($B297="","",IF($F297="Actif",MAX($H$3:H296)+1,""))</f>
      </c>
    </row>
    <row r="298">
      <c r="B298" s="10"/>
      <c r="C298" s="9"/>
      <c r="D298" s="9"/>
      <c r="E298" s="9"/>
      <c r="F298" s="10"/>
      <c r="H298" s="16">
        <f>IF($B298="","",IF($F298="Actif",MAX($H$3:H297)+1,""))</f>
      </c>
    </row>
    <row r="299">
      <c r="B299" s="10"/>
      <c r="C299" s="9"/>
      <c r="D299" s="9"/>
      <c r="E299" s="9"/>
      <c r="F299" s="10"/>
      <c r="H299" s="16">
        <f>IF($B299="","",IF($F299="Actif",MAX($H$3:H298)+1,""))</f>
      </c>
    </row>
    <row r="300">
      <c r="B300" s="10"/>
      <c r="C300" s="9"/>
      <c r="D300" s="9"/>
      <c r="E300" s="9"/>
      <c r="F300" s="10"/>
      <c r="H300" s="16">
        <f>IF($B300="","",IF($F300="Actif",MAX($H$3:H299)+1,""))</f>
      </c>
    </row>
    <row r="301">
      <c r="B301" s="10"/>
      <c r="C301" s="9"/>
      <c r="D301" s="9"/>
      <c r="E301" s="9"/>
      <c r="F301" s="10"/>
      <c r="H301" s="16">
        <f>IF($B301="","",IF($F301="Actif",MAX($H$3:H300)+1,""))</f>
      </c>
    </row>
    <row r="302">
      <c r="B302" s="10"/>
      <c r="C302" s="9"/>
      <c r="D302" s="9"/>
      <c r="E302" s="9"/>
      <c r="F302" s="10"/>
      <c r="H302" s="16">
        <f>IF($B302="","",IF($F302="Actif",MAX($H$3:H301)+1,""))</f>
      </c>
    </row>
    <row r="303">
      <c r="B303" s="10"/>
      <c r="C303" s="9"/>
      <c r="D303" s="9"/>
      <c r="E303" s="9"/>
      <c r="F303" s="10"/>
      <c r="H303" s="16">
        <f>IF($B303="","",IF($F303="Actif",MAX($H$3:H302)+1,""))</f>
      </c>
    </row>
  </sheetData>
  <sheetProtection sheet="1" objects="1" scenarios="1" formatCells="0" formatColumns="0" formatRows="0" selectLockedCells="1" selectUnlockedCells="1"/>
  <autoFilter ref="B3:F303"/>
  <mergeCells count="2">
    <mergeCell ref="B1:F1"/>
    <mergeCell ref="B2:F2"/>
  </mergeCells>
  <conditionalFormatting sqref="F4:F303">
    <cfRule type="expression" dxfId="2" priority="1">
      <formula>$F4="Actif"</formula>
    </cfRule>
  </conditionalFormatting>
  <conditionalFormatting sqref="F4:F303">
    <cfRule type="expression" dxfId="3" priority="2">
      <formula>$F4="Inactif"</formula>
    </cfRule>
  </conditionalFormatting>
  <conditionalFormatting sqref="B4:F303">
    <cfRule type="expression" dxfId="0" priority="6">
      <formula>MOD(ROW(),2)=0</formula>
    </cfRule>
  </conditionalFormatting>
  <dataValidations count="1">
    <dataValidation type="list" allowBlank="1" showInputMessage="1" showErrorMessage="1" sqref="F4:F303">
      <formula1>"Actif,Inactif"</formula1>
    </dataValidation>
  </dataValidations>
  <printOptions horizontalCentered="1"/>
  <pageMargins left="0.4" right="0.4" top="0.5" bottom="0.5" header="0.2" footer="0.2"/>
  <pageSetup paperSize="9" orientation="landscape" fitToWidth="1" fitToHeight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Presence">
    <tabColor rgb="FF548235"/>
    <pageSetUpPr fitToPage="1"/>
  </sheetPr>
  <dimension ref="B1:E314"/>
  <sheetViews>
    <sheetView showGridLines="0" workbookViewId="0">
      <pane ySplit="14" topLeftCell="A15" activePane="bottomRight" state="frozen"/>
      <selection pane="bottomRight" activeCell="A15" sqref="A15"/>
    </sheetView>
  </sheetViews>
  <sheetFormatPr defaultRowHeight="15"/>
  <cols>
    <col min="1" max="1" width="3" customWidth="1"/>
    <col min="2" max="2" width="14" customWidth="1"/>
    <col min="3" max="3" width="15" customWidth="1"/>
    <col min="4" max="4" width="40" customWidth="1"/>
    <col min="5" max="5" width="26" customWidth="1"/>
  </cols>
  <sheetData>
    <row r="1" ht="40" customHeight="1">
      <c r="B1" s="1" t="inlineStr">
        <is>
          <t xml:space="preserve">  GESTION DES PRÉSENCES</t>
        </is>
      </c>
    </row>
    <row r="2" ht="18" customHeight="1">
      <c r="B2" s="3">
        <f>"Feuille de présence journalière   —   "&amp;NomEntreprise</f>
      </c>
    </row>
    <row r="4" ht="24" customHeight="1">
      <c r="B4" s="7" t="inlineStr">
        <is>
          <t xml:space="preserve">Date :</t>
        </is>
      </c>
      <c r="C4" s="11">
        <v>46209</v>
      </c>
      <c r="D4" s="7" t="inlineStr">
        <is>
          <t xml:space="preserve">Chantier :</t>
        </is>
      </c>
      <c r="E4" s="9"/>
    </row>
    <row r="6">
      <c r="B6" s="17" t="inlineStr">
        <is>
          <t xml:space="preserve">Employés actifs</t>
        </is>
      </c>
      <c r="C6" s="18" t="inlineStr">
        <is>
          <t xml:space="preserve">Présents</t>
        </is>
      </c>
      <c r="D6" s="19" t="inlineStr">
        <is>
          <t xml:space="preserve">Absents</t>
        </is>
      </c>
      <c r="E6" s="20" t="inlineStr">
        <is>
          <t xml:space="preserve">Taux de présence</t>
        </is>
      </c>
    </row>
    <row r="7" ht="30" customHeight="1">
      <c r="B7" s="21">
        <f>COUNTIF(Emp_Statut,"Actif")</f>
      </c>
      <c r="C7" s="21">
        <f>COUNTA(Pres_Check)</f>
      </c>
      <c r="D7" s="21">
        <f>MAX(0,$B$7-$C$7)</f>
      </c>
      <c r="E7" s="22">
        <f>IF($B$7=0,0,$C$7/$B$7)</f>
      </c>
    </row>
    <row r="9" ht="20" customHeight="1">
      <c r="B9" s="7" t="inlineStr">
        <is>
          <t xml:space="preserve">Recherche :</t>
        </is>
      </c>
      <c r="C9" s="9"/>
    </row>
    <row r="14" ht="24" customHeight="1">
      <c r="B14" s="5" t="inlineStr">
        <is>
          <t xml:space="preserve">Présent</t>
        </is>
      </c>
      <c r="C14" s="5" t="inlineStr">
        <is>
          <t xml:space="preserve">ID</t>
        </is>
      </c>
      <c r="D14" s="5" t="inlineStr">
        <is>
          <t xml:space="preserve">Nom et Prénom</t>
        </is>
      </c>
      <c r="E14" s="5" t="inlineStr">
        <is>
          <t xml:space="preserve">Poste</t>
        </is>
      </c>
    </row>
    <row r="15">
      <c r="B15" s="13"/>
      <c r="C15" s="14">
        <f>IFERROR(INDEX(Emp_ID,MATCH(1,Emp_Rang,0)),"")</f>
      </c>
      <c r="D15" s="15">
        <f>IF($C15="","",IFERROR(INDEX(Emp_Nom,MATCH($C15,Emp_ID,0)),""))</f>
      </c>
      <c r="E15" s="16">
        <f>IF($C15="","",IFERROR(INDEX(Emp_Poste,MATCH($C15,Emp_ID,0)),""))</f>
      </c>
    </row>
    <row r="16">
      <c r="B16" s="13"/>
      <c r="C16" s="14">
        <f>IFERROR(INDEX(Emp_ID,MATCH(2,Emp_Rang,0)),"")</f>
      </c>
      <c r="D16" s="15">
        <f>IF($C16="","",IFERROR(INDEX(Emp_Nom,MATCH($C16,Emp_ID,0)),""))</f>
      </c>
      <c r="E16" s="16">
        <f>IF($C16="","",IFERROR(INDEX(Emp_Poste,MATCH($C16,Emp_ID,0)),""))</f>
      </c>
    </row>
    <row r="17">
      <c r="B17" s="13"/>
      <c r="C17" s="14">
        <f>IFERROR(INDEX(Emp_ID,MATCH(3,Emp_Rang,0)),"")</f>
      </c>
      <c r="D17" s="15">
        <f>IF($C17="","",IFERROR(INDEX(Emp_Nom,MATCH($C17,Emp_ID,0)),""))</f>
      </c>
      <c r="E17" s="16">
        <f>IF($C17="","",IFERROR(INDEX(Emp_Poste,MATCH($C17,Emp_ID,0)),""))</f>
      </c>
    </row>
    <row r="18">
      <c r="B18" s="13"/>
      <c r="C18" s="14">
        <f>IFERROR(INDEX(Emp_ID,MATCH(4,Emp_Rang,0)),"")</f>
      </c>
      <c r="D18" s="15">
        <f>IF($C18="","",IFERROR(INDEX(Emp_Nom,MATCH($C18,Emp_ID,0)),""))</f>
      </c>
      <c r="E18" s="16">
        <f>IF($C18="","",IFERROR(INDEX(Emp_Poste,MATCH($C18,Emp_ID,0)),""))</f>
      </c>
    </row>
    <row r="19">
      <c r="B19" s="13"/>
      <c r="C19" s="14">
        <f>IFERROR(INDEX(Emp_ID,MATCH(5,Emp_Rang,0)),"")</f>
      </c>
      <c r="D19" s="15">
        <f>IF($C19="","",IFERROR(INDEX(Emp_Nom,MATCH($C19,Emp_ID,0)),""))</f>
      </c>
      <c r="E19" s="16">
        <f>IF($C19="","",IFERROR(INDEX(Emp_Poste,MATCH($C19,Emp_ID,0)),""))</f>
      </c>
    </row>
    <row r="20">
      <c r="B20" s="13"/>
      <c r="C20" s="14">
        <f>IFERROR(INDEX(Emp_ID,MATCH(6,Emp_Rang,0)),"")</f>
      </c>
      <c r="D20" s="15">
        <f>IF($C20="","",IFERROR(INDEX(Emp_Nom,MATCH($C20,Emp_ID,0)),""))</f>
      </c>
      <c r="E20" s="16">
        <f>IF($C20="","",IFERROR(INDEX(Emp_Poste,MATCH($C20,Emp_ID,0)),""))</f>
      </c>
    </row>
    <row r="21">
      <c r="B21" s="13"/>
      <c r="C21" s="14">
        <f>IFERROR(INDEX(Emp_ID,MATCH(7,Emp_Rang,0)),"")</f>
      </c>
      <c r="D21" s="15">
        <f>IF($C21="","",IFERROR(INDEX(Emp_Nom,MATCH($C21,Emp_ID,0)),""))</f>
      </c>
      <c r="E21" s="16">
        <f>IF($C21="","",IFERROR(INDEX(Emp_Poste,MATCH($C21,Emp_ID,0)),""))</f>
      </c>
    </row>
    <row r="22">
      <c r="B22" s="13"/>
      <c r="C22" s="14">
        <f>IFERROR(INDEX(Emp_ID,MATCH(8,Emp_Rang,0)),"")</f>
      </c>
      <c r="D22" s="15">
        <f>IF($C22="","",IFERROR(INDEX(Emp_Nom,MATCH($C22,Emp_ID,0)),""))</f>
      </c>
      <c r="E22" s="16">
        <f>IF($C22="","",IFERROR(INDEX(Emp_Poste,MATCH($C22,Emp_ID,0)),""))</f>
      </c>
    </row>
    <row r="23">
      <c r="B23" s="13"/>
      <c r="C23" s="14">
        <f>IFERROR(INDEX(Emp_ID,MATCH(9,Emp_Rang,0)),"")</f>
      </c>
      <c r="D23" s="15">
        <f>IF($C23="","",IFERROR(INDEX(Emp_Nom,MATCH($C23,Emp_ID,0)),""))</f>
      </c>
      <c r="E23" s="16">
        <f>IF($C23="","",IFERROR(INDEX(Emp_Poste,MATCH($C23,Emp_ID,0)),""))</f>
      </c>
    </row>
    <row r="24">
      <c r="B24" s="13"/>
      <c r="C24" s="14">
        <f>IFERROR(INDEX(Emp_ID,MATCH(10,Emp_Rang,0)),"")</f>
      </c>
      <c r="D24" s="15">
        <f>IF($C24="","",IFERROR(INDEX(Emp_Nom,MATCH($C24,Emp_ID,0)),""))</f>
      </c>
      <c r="E24" s="16">
        <f>IF($C24="","",IFERROR(INDEX(Emp_Poste,MATCH($C24,Emp_ID,0)),""))</f>
      </c>
    </row>
    <row r="25">
      <c r="B25" s="13"/>
      <c r="C25" s="14">
        <f>IFERROR(INDEX(Emp_ID,MATCH(11,Emp_Rang,0)),"")</f>
      </c>
      <c r="D25" s="15">
        <f>IF($C25="","",IFERROR(INDEX(Emp_Nom,MATCH($C25,Emp_ID,0)),""))</f>
      </c>
      <c r="E25" s="16">
        <f>IF($C25="","",IFERROR(INDEX(Emp_Poste,MATCH($C25,Emp_ID,0)),""))</f>
      </c>
    </row>
    <row r="26">
      <c r="B26" s="13"/>
      <c r="C26" s="14">
        <f>IFERROR(INDEX(Emp_ID,MATCH(12,Emp_Rang,0)),"")</f>
      </c>
      <c r="D26" s="15">
        <f>IF($C26="","",IFERROR(INDEX(Emp_Nom,MATCH($C26,Emp_ID,0)),""))</f>
      </c>
      <c r="E26" s="16">
        <f>IF($C26="","",IFERROR(INDEX(Emp_Poste,MATCH($C26,Emp_ID,0)),""))</f>
      </c>
    </row>
    <row r="27">
      <c r="B27" s="13"/>
      <c r="C27" s="14">
        <f>IFERROR(INDEX(Emp_ID,MATCH(13,Emp_Rang,0)),"")</f>
      </c>
      <c r="D27" s="15">
        <f>IF($C27="","",IFERROR(INDEX(Emp_Nom,MATCH($C27,Emp_ID,0)),""))</f>
      </c>
      <c r="E27" s="16">
        <f>IF($C27="","",IFERROR(INDEX(Emp_Poste,MATCH($C27,Emp_ID,0)),""))</f>
      </c>
    </row>
    <row r="28">
      <c r="B28" s="13"/>
      <c r="C28" s="14">
        <f>IFERROR(INDEX(Emp_ID,MATCH(14,Emp_Rang,0)),"")</f>
      </c>
      <c r="D28" s="15">
        <f>IF($C28="","",IFERROR(INDEX(Emp_Nom,MATCH($C28,Emp_ID,0)),""))</f>
      </c>
      <c r="E28" s="16">
        <f>IF($C28="","",IFERROR(INDEX(Emp_Poste,MATCH($C28,Emp_ID,0)),""))</f>
      </c>
    </row>
    <row r="29">
      <c r="B29" s="13"/>
      <c r="C29" s="14">
        <f>IFERROR(INDEX(Emp_ID,MATCH(15,Emp_Rang,0)),"")</f>
      </c>
      <c r="D29" s="15">
        <f>IF($C29="","",IFERROR(INDEX(Emp_Nom,MATCH($C29,Emp_ID,0)),""))</f>
      </c>
      <c r="E29" s="16">
        <f>IF($C29="","",IFERROR(INDEX(Emp_Poste,MATCH($C29,Emp_ID,0)),""))</f>
      </c>
    </row>
    <row r="30">
      <c r="B30" s="13"/>
      <c r="C30" s="14">
        <f>IFERROR(INDEX(Emp_ID,MATCH(16,Emp_Rang,0)),"")</f>
      </c>
      <c r="D30" s="15">
        <f>IF($C30="","",IFERROR(INDEX(Emp_Nom,MATCH($C30,Emp_ID,0)),""))</f>
      </c>
      <c r="E30" s="16">
        <f>IF($C30="","",IFERROR(INDEX(Emp_Poste,MATCH($C30,Emp_ID,0)),""))</f>
      </c>
    </row>
    <row r="31">
      <c r="B31" s="13"/>
      <c r="C31" s="14">
        <f>IFERROR(INDEX(Emp_ID,MATCH(17,Emp_Rang,0)),"")</f>
      </c>
      <c r="D31" s="15">
        <f>IF($C31="","",IFERROR(INDEX(Emp_Nom,MATCH($C31,Emp_ID,0)),""))</f>
      </c>
      <c r="E31" s="16">
        <f>IF($C31="","",IFERROR(INDEX(Emp_Poste,MATCH($C31,Emp_ID,0)),""))</f>
      </c>
    </row>
    <row r="32">
      <c r="B32" s="13"/>
      <c r="C32" s="14">
        <f>IFERROR(INDEX(Emp_ID,MATCH(18,Emp_Rang,0)),"")</f>
      </c>
      <c r="D32" s="15">
        <f>IF($C32="","",IFERROR(INDEX(Emp_Nom,MATCH($C32,Emp_ID,0)),""))</f>
      </c>
      <c r="E32" s="16">
        <f>IF($C32="","",IFERROR(INDEX(Emp_Poste,MATCH($C32,Emp_ID,0)),""))</f>
      </c>
    </row>
    <row r="33">
      <c r="B33" s="13"/>
      <c r="C33" s="14">
        <f>IFERROR(INDEX(Emp_ID,MATCH(19,Emp_Rang,0)),"")</f>
      </c>
      <c r="D33" s="15">
        <f>IF($C33="","",IFERROR(INDEX(Emp_Nom,MATCH($C33,Emp_ID,0)),""))</f>
      </c>
      <c r="E33" s="16">
        <f>IF($C33="","",IFERROR(INDEX(Emp_Poste,MATCH($C33,Emp_ID,0)),""))</f>
      </c>
    </row>
    <row r="34">
      <c r="B34" s="13"/>
      <c r="C34" s="14">
        <f>IFERROR(INDEX(Emp_ID,MATCH(20,Emp_Rang,0)),"")</f>
      </c>
      <c r="D34" s="15">
        <f>IF($C34="","",IFERROR(INDEX(Emp_Nom,MATCH($C34,Emp_ID,0)),""))</f>
      </c>
      <c r="E34" s="16">
        <f>IF($C34="","",IFERROR(INDEX(Emp_Poste,MATCH($C34,Emp_ID,0)),""))</f>
      </c>
    </row>
    <row r="35">
      <c r="B35" s="13"/>
      <c r="C35" s="14">
        <f>IFERROR(INDEX(Emp_ID,MATCH(21,Emp_Rang,0)),"")</f>
      </c>
      <c r="D35" s="15">
        <f>IF($C35="","",IFERROR(INDEX(Emp_Nom,MATCH($C35,Emp_ID,0)),""))</f>
      </c>
      <c r="E35" s="16">
        <f>IF($C35="","",IFERROR(INDEX(Emp_Poste,MATCH($C35,Emp_ID,0)),""))</f>
      </c>
    </row>
    <row r="36">
      <c r="B36" s="13"/>
      <c r="C36" s="14">
        <f>IFERROR(INDEX(Emp_ID,MATCH(22,Emp_Rang,0)),"")</f>
      </c>
      <c r="D36" s="15">
        <f>IF($C36="","",IFERROR(INDEX(Emp_Nom,MATCH($C36,Emp_ID,0)),""))</f>
      </c>
      <c r="E36" s="16">
        <f>IF($C36="","",IFERROR(INDEX(Emp_Poste,MATCH($C36,Emp_ID,0)),""))</f>
      </c>
    </row>
    <row r="37">
      <c r="B37" s="13"/>
      <c r="C37" s="14">
        <f>IFERROR(INDEX(Emp_ID,MATCH(23,Emp_Rang,0)),"")</f>
      </c>
      <c r="D37" s="15">
        <f>IF($C37="","",IFERROR(INDEX(Emp_Nom,MATCH($C37,Emp_ID,0)),""))</f>
      </c>
      <c r="E37" s="16">
        <f>IF($C37="","",IFERROR(INDEX(Emp_Poste,MATCH($C37,Emp_ID,0)),""))</f>
      </c>
    </row>
    <row r="38">
      <c r="B38" s="13"/>
      <c r="C38" s="14">
        <f>IFERROR(INDEX(Emp_ID,MATCH(24,Emp_Rang,0)),"")</f>
      </c>
      <c r="D38" s="15">
        <f>IF($C38="","",IFERROR(INDEX(Emp_Nom,MATCH($C38,Emp_ID,0)),""))</f>
      </c>
      <c r="E38" s="16">
        <f>IF($C38="","",IFERROR(INDEX(Emp_Poste,MATCH($C38,Emp_ID,0)),""))</f>
      </c>
    </row>
    <row r="39">
      <c r="B39" s="13"/>
      <c r="C39" s="14">
        <f>IFERROR(INDEX(Emp_ID,MATCH(25,Emp_Rang,0)),"")</f>
      </c>
      <c r="D39" s="15">
        <f>IF($C39="","",IFERROR(INDEX(Emp_Nom,MATCH($C39,Emp_ID,0)),""))</f>
      </c>
      <c r="E39" s="16">
        <f>IF($C39="","",IFERROR(INDEX(Emp_Poste,MATCH($C39,Emp_ID,0)),""))</f>
      </c>
    </row>
    <row r="40">
      <c r="B40" s="13"/>
      <c r="C40" s="14">
        <f>IFERROR(INDEX(Emp_ID,MATCH(26,Emp_Rang,0)),"")</f>
      </c>
      <c r="D40" s="15">
        <f>IF($C40="","",IFERROR(INDEX(Emp_Nom,MATCH($C40,Emp_ID,0)),""))</f>
      </c>
      <c r="E40" s="16">
        <f>IF($C40="","",IFERROR(INDEX(Emp_Poste,MATCH($C40,Emp_ID,0)),""))</f>
      </c>
    </row>
    <row r="41">
      <c r="B41" s="13"/>
      <c r="C41" s="14">
        <f>IFERROR(INDEX(Emp_ID,MATCH(27,Emp_Rang,0)),"")</f>
      </c>
      <c r="D41" s="15">
        <f>IF($C41="","",IFERROR(INDEX(Emp_Nom,MATCH($C41,Emp_ID,0)),""))</f>
      </c>
      <c r="E41" s="16">
        <f>IF($C41="","",IFERROR(INDEX(Emp_Poste,MATCH($C41,Emp_ID,0)),""))</f>
      </c>
    </row>
    <row r="42">
      <c r="B42" s="13"/>
      <c r="C42" s="14">
        <f>IFERROR(INDEX(Emp_ID,MATCH(28,Emp_Rang,0)),"")</f>
      </c>
      <c r="D42" s="15">
        <f>IF($C42="","",IFERROR(INDEX(Emp_Nom,MATCH($C42,Emp_ID,0)),""))</f>
      </c>
      <c r="E42" s="16">
        <f>IF($C42="","",IFERROR(INDEX(Emp_Poste,MATCH($C42,Emp_ID,0)),""))</f>
      </c>
    </row>
    <row r="43">
      <c r="B43" s="13"/>
      <c r="C43" s="14">
        <f>IFERROR(INDEX(Emp_ID,MATCH(29,Emp_Rang,0)),"")</f>
      </c>
      <c r="D43" s="15">
        <f>IF($C43="","",IFERROR(INDEX(Emp_Nom,MATCH($C43,Emp_ID,0)),""))</f>
      </c>
      <c r="E43" s="16">
        <f>IF($C43="","",IFERROR(INDEX(Emp_Poste,MATCH($C43,Emp_ID,0)),""))</f>
      </c>
    </row>
    <row r="44">
      <c r="B44" s="13"/>
      <c r="C44" s="14">
        <f>IFERROR(INDEX(Emp_ID,MATCH(30,Emp_Rang,0)),"")</f>
      </c>
      <c r="D44" s="15">
        <f>IF($C44="","",IFERROR(INDEX(Emp_Nom,MATCH($C44,Emp_ID,0)),""))</f>
      </c>
      <c r="E44" s="16">
        <f>IF($C44="","",IFERROR(INDEX(Emp_Poste,MATCH($C44,Emp_ID,0)),""))</f>
      </c>
    </row>
    <row r="45">
      <c r="B45" s="13"/>
      <c r="C45" s="14">
        <f>IFERROR(INDEX(Emp_ID,MATCH(31,Emp_Rang,0)),"")</f>
      </c>
      <c r="D45" s="15">
        <f>IF($C45="","",IFERROR(INDEX(Emp_Nom,MATCH($C45,Emp_ID,0)),""))</f>
      </c>
      <c r="E45" s="16">
        <f>IF($C45="","",IFERROR(INDEX(Emp_Poste,MATCH($C45,Emp_ID,0)),""))</f>
      </c>
    </row>
    <row r="46">
      <c r="B46" s="13"/>
      <c r="C46" s="14">
        <f>IFERROR(INDEX(Emp_ID,MATCH(32,Emp_Rang,0)),"")</f>
      </c>
      <c r="D46" s="15">
        <f>IF($C46="","",IFERROR(INDEX(Emp_Nom,MATCH($C46,Emp_ID,0)),""))</f>
      </c>
      <c r="E46" s="16">
        <f>IF($C46="","",IFERROR(INDEX(Emp_Poste,MATCH($C46,Emp_ID,0)),""))</f>
      </c>
    </row>
    <row r="47">
      <c r="B47" s="13"/>
      <c r="C47" s="14">
        <f>IFERROR(INDEX(Emp_ID,MATCH(33,Emp_Rang,0)),"")</f>
      </c>
      <c r="D47" s="15">
        <f>IF($C47="","",IFERROR(INDEX(Emp_Nom,MATCH($C47,Emp_ID,0)),""))</f>
      </c>
      <c r="E47" s="16">
        <f>IF($C47="","",IFERROR(INDEX(Emp_Poste,MATCH($C47,Emp_ID,0)),""))</f>
      </c>
    </row>
    <row r="48">
      <c r="B48" s="13"/>
      <c r="C48" s="14">
        <f>IFERROR(INDEX(Emp_ID,MATCH(34,Emp_Rang,0)),"")</f>
      </c>
      <c r="D48" s="15">
        <f>IF($C48="","",IFERROR(INDEX(Emp_Nom,MATCH($C48,Emp_ID,0)),""))</f>
      </c>
      <c r="E48" s="16">
        <f>IF($C48="","",IFERROR(INDEX(Emp_Poste,MATCH($C48,Emp_ID,0)),""))</f>
      </c>
    </row>
    <row r="49">
      <c r="B49" s="13"/>
      <c r="C49" s="14">
        <f>IFERROR(INDEX(Emp_ID,MATCH(35,Emp_Rang,0)),"")</f>
      </c>
      <c r="D49" s="15">
        <f>IF($C49="","",IFERROR(INDEX(Emp_Nom,MATCH($C49,Emp_ID,0)),""))</f>
      </c>
      <c r="E49" s="16">
        <f>IF($C49="","",IFERROR(INDEX(Emp_Poste,MATCH($C49,Emp_ID,0)),""))</f>
      </c>
    </row>
    <row r="50">
      <c r="B50" s="13"/>
      <c r="C50" s="14">
        <f>IFERROR(INDEX(Emp_ID,MATCH(36,Emp_Rang,0)),"")</f>
      </c>
      <c r="D50" s="15">
        <f>IF($C50="","",IFERROR(INDEX(Emp_Nom,MATCH($C50,Emp_ID,0)),""))</f>
      </c>
      <c r="E50" s="16">
        <f>IF($C50="","",IFERROR(INDEX(Emp_Poste,MATCH($C50,Emp_ID,0)),""))</f>
      </c>
    </row>
    <row r="51">
      <c r="B51" s="13"/>
      <c r="C51" s="14">
        <f>IFERROR(INDEX(Emp_ID,MATCH(37,Emp_Rang,0)),"")</f>
      </c>
      <c r="D51" s="15">
        <f>IF($C51="","",IFERROR(INDEX(Emp_Nom,MATCH($C51,Emp_ID,0)),""))</f>
      </c>
      <c r="E51" s="16">
        <f>IF($C51="","",IFERROR(INDEX(Emp_Poste,MATCH($C51,Emp_ID,0)),""))</f>
      </c>
    </row>
    <row r="52">
      <c r="B52" s="13"/>
      <c r="C52" s="14">
        <f>IFERROR(INDEX(Emp_ID,MATCH(38,Emp_Rang,0)),"")</f>
      </c>
      <c r="D52" s="15">
        <f>IF($C52="","",IFERROR(INDEX(Emp_Nom,MATCH($C52,Emp_ID,0)),""))</f>
      </c>
      <c r="E52" s="16">
        <f>IF($C52="","",IFERROR(INDEX(Emp_Poste,MATCH($C52,Emp_ID,0)),""))</f>
      </c>
    </row>
    <row r="53">
      <c r="B53" s="13"/>
      <c r="C53" s="14">
        <f>IFERROR(INDEX(Emp_ID,MATCH(39,Emp_Rang,0)),"")</f>
      </c>
      <c r="D53" s="15">
        <f>IF($C53="","",IFERROR(INDEX(Emp_Nom,MATCH($C53,Emp_ID,0)),""))</f>
      </c>
      <c r="E53" s="16">
        <f>IF($C53="","",IFERROR(INDEX(Emp_Poste,MATCH($C53,Emp_ID,0)),""))</f>
      </c>
    </row>
    <row r="54">
      <c r="B54" s="13"/>
      <c r="C54" s="14">
        <f>IFERROR(INDEX(Emp_ID,MATCH(40,Emp_Rang,0)),"")</f>
      </c>
      <c r="D54" s="15">
        <f>IF($C54="","",IFERROR(INDEX(Emp_Nom,MATCH($C54,Emp_ID,0)),""))</f>
      </c>
      <c r="E54" s="16">
        <f>IF($C54="","",IFERROR(INDEX(Emp_Poste,MATCH($C54,Emp_ID,0)),""))</f>
      </c>
    </row>
    <row r="55">
      <c r="B55" s="13"/>
      <c r="C55" s="14">
        <f>IFERROR(INDEX(Emp_ID,MATCH(41,Emp_Rang,0)),"")</f>
      </c>
      <c r="D55" s="15">
        <f>IF($C55="","",IFERROR(INDEX(Emp_Nom,MATCH($C55,Emp_ID,0)),""))</f>
      </c>
      <c r="E55" s="16">
        <f>IF($C55="","",IFERROR(INDEX(Emp_Poste,MATCH($C55,Emp_ID,0)),""))</f>
      </c>
    </row>
    <row r="56">
      <c r="B56" s="13"/>
      <c r="C56" s="14">
        <f>IFERROR(INDEX(Emp_ID,MATCH(42,Emp_Rang,0)),"")</f>
      </c>
      <c r="D56" s="15">
        <f>IF($C56="","",IFERROR(INDEX(Emp_Nom,MATCH($C56,Emp_ID,0)),""))</f>
      </c>
      <c r="E56" s="16">
        <f>IF($C56="","",IFERROR(INDEX(Emp_Poste,MATCH($C56,Emp_ID,0)),""))</f>
      </c>
    </row>
    <row r="57">
      <c r="B57" s="13"/>
      <c r="C57" s="14">
        <f>IFERROR(INDEX(Emp_ID,MATCH(43,Emp_Rang,0)),"")</f>
      </c>
      <c r="D57" s="15">
        <f>IF($C57="","",IFERROR(INDEX(Emp_Nom,MATCH($C57,Emp_ID,0)),""))</f>
      </c>
      <c r="E57" s="16">
        <f>IF($C57="","",IFERROR(INDEX(Emp_Poste,MATCH($C57,Emp_ID,0)),""))</f>
      </c>
    </row>
    <row r="58">
      <c r="B58" s="13"/>
      <c r="C58" s="14">
        <f>IFERROR(INDEX(Emp_ID,MATCH(44,Emp_Rang,0)),"")</f>
      </c>
      <c r="D58" s="15">
        <f>IF($C58="","",IFERROR(INDEX(Emp_Nom,MATCH($C58,Emp_ID,0)),""))</f>
      </c>
      <c r="E58" s="16">
        <f>IF($C58="","",IFERROR(INDEX(Emp_Poste,MATCH($C58,Emp_ID,0)),""))</f>
      </c>
    </row>
    <row r="59">
      <c r="B59" s="13"/>
      <c r="C59" s="14">
        <f>IFERROR(INDEX(Emp_ID,MATCH(45,Emp_Rang,0)),"")</f>
      </c>
      <c r="D59" s="15">
        <f>IF($C59="","",IFERROR(INDEX(Emp_Nom,MATCH($C59,Emp_ID,0)),""))</f>
      </c>
      <c r="E59" s="16">
        <f>IF($C59="","",IFERROR(INDEX(Emp_Poste,MATCH($C59,Emp_ID,0)),""))</f>
      </c>
    </row>
    <row r="60">
      <c r="B60" s="13"/>
      <c r="C60" s="14">
        <f>IFERROR(INDEX(Emp_ID,MATCH(46,Emp_Rang,0)),"")</f>
      </c>
      <c r="D60" s="15">
        <f>IF($C60="","",IFERROR(INDEX(Emp_Nom,MATCH($C60,Emp_ID,0)),""))</f>
      </c>
      <c r="E60" s="16">
        <f>IF($C60="","",IFERROR(INDEX(Emp_Poste,MATCH($C60,Emp_ID,0)),""))</f>
      </c>
    </row>
    <row r="61">
      <c r="B61" s="13"/>
      <c r="C61" s="14">
        <f>IFERROR(INDEX(Emp_ID,MATCH(47,Emp_Rang,0)),"")</f>
      </c>
      <c r="D61" s="15">
        <f>IF($C61="","",IFERROR(INDEX(Emp_Nom,MATCH($C61,Emp_ID,0)),""))</f>
      </c>
      <c r="E61" s="16">
        <f>IF($C61="","",IFERROR(INDEX(Emp_Poste,MATCH($C61,Emp_ID,0)),""))</f>
      </c>
    </row>
    <row r="62">
      <c r="B62" s="13"/>
      <c r="C62" s="14">
        <f>IFERROR(INDEX(Emp_ID,MATCH(48,Emp_Rang,0)),"")</f>
      </c>
      <c r="D62" s="15">
        <f>IF($C62="","",IFERROR(INDEX(Emp_Nom,MATCH($C62,Emp_ID,0)),""))</f>
      </c>
      <c r="E62" s="16">
        <f>IF($C62="","",IFERROR(INDEX(Emp_Poste,MATCH($C62,Emp_ID,0)),""))</f>
      </c>
    </row>
    <row r="63">
      <c r="B63" s="13"/>
      <c r="C63" s="14">
        <f>IFERROR(INDEX(Emp_ID,MATCH(49,Emp_Rang,0)),"")</f>
      </c>
      <c r="D63" s="15">
        <f>IF($C63="","",IFERROR(INDEX(Emp_Nom,MATCH($C63,Emp_ID,0)),""))</f>
      </c>
      <c r="E63" s="16">
        <f>IF($C63="","",IFERROR(INDEX(Emp_Poste,MATCH($C63,Emp_ID,0)),""))</f>
      </c>
    </row>
    <row r="64">
      <c r="B64" s="13"/>
      <c r="C64" s="14">
        <f>IFERROR(INDEX(Emp_ID,MATCH(50,Emp_Rang,0)),"")</f>
      </c>
      <c r="D64" s="15">
        <f>IF($C64="","",IFERROR(INDEX(Emp_Nom,MATCH($C64,Emp_ID,0)),""))</f>
      </c>
      <c r="E64" s="16">
        <f>IF($C64="","",IFERROR(INDEX(Emp_Poste,MATCH($C64,Emp_ID,0)),""))</f>
      </c>
    </row>
    <row r="65">
      <c r="B65" s="13"/>
      <c r="C65" s="14">
        <f>IFERROR(INDEX(Emp_ID,MATCH(51,Emp_Rang,0)),"")</f>
      </c>
      <c r="D65" s="15">
        <f>IF($C65="","",IFERROR(INDEX(Emp_Nom,MATCH($C65,Emp_ID,0)),""))</f>
      </c>
      <c r="E65" s="16">
        <f>IF($C65="","",IFERROR(INDEX(Emp_Poste,MATCH($C65,Emp_ID,0)),""))</f>
      </c>
    </row>
    <row r="66">
      <c r="B66" s="13"/>
      <c r="C66" s="14">
        <f>IFERROR(INDEX(Emp_ID,MATCH(52,Emp_Rang,0)),"")</f>
      </c>
      <c r="D66" s="15">
        <f>IF($C66="","",IFERROR(INDEX(Emp_Nom,MATCH($C66,Emp_ID,0)),""))</f>
      </c>
      <c r="E66" s="16">
        <f>IF($C66="","",IFERROR(INDEX(Emp_Poste,MATCH($C66,Emp_ID,0)),""))</f>
      </c>
    </row>
    <row r="67">
      <c r="B67" s="13"/>
      <c r="C67" s="14">
        <f>IFERROR(INDEX(Emp_ID,MATCH(53,Emp_Rang,0)),"")</f>
      </c>
      <c r="D67" s="15">
        <f>IF($C67="","",IFERROR(INDEX(Emp_Nom,MATCH($C67,Emp_ID,0)),""))</f>
      </c>
      <c r="E67" s="16">
        <f>IF($C67="","",IFERROR(INDEX(Emp_Poste,MATCH($C67,Emp_ID,0)),""))</f>
      </c>
    </row>
    <row r="68">
      <c r="B68" s="13"/>
      <c r="C68" s="14">
        <f>IFERROR(INDEX(Emp_ID,MATCH(54,Emp_Rang,0)),"")</f>
      </c>
      <c r="D68" s="15">
        <f>IF($C68="","",IFERROR(INDEX(Emp_Nom,MATCH($C68,Emp_ID,0)),""))</f>
      </c>
      <c r="E68" s="16">
        <f>IF($C68="","",IFERROR(INDEX(Emp_Poste,MATCH($C68,Emp_ID,0)),""))</f>
      </c>
    </row>
    <row r="69">
      <c r="B69" s="13"/>
      <c r="C69" s="14">
        <f>IFERROR(INDEX(Emp_ID,MATCH(55,Emp_Rang,0)),"")</f>
      </c>
      <c r="D69" s="15">
        <f>IF($C69="","",IFERROR(INDEX(Emp_Nom,MATCH($C69,Emp_ID,0)),""))</f>
      </c>
      <c r="E69" s="16">
        <f>IF($C69="","",IFERROR(INDEX(Emp_Poste,MATCH($C69,Emp_ID,0)),""))</f>
      </c>
    </row>
    <row r="70">
      <c r="B70" s="13"/>
      <c r="C70" s="14">
        <f>IFERROR(INDEX(Emp_ID,MATCH(56,Emp_Rang,0)),"")</f>
      </c>
      <c r="D70" s="15">
        <f>IF($C70="","",IFERROR(INDEX(Emp_Nom,MATCH($C70,Emp_ID,0)),""))</f>
      </c>
      <c r="E70" s="16">
        <f>IF($C70="","",IFERROR(INDEX(Emp_Poste,MATCH($C70,Emp_ID,0)),""))</f>
      </c>
    </row>
    <row r="71">
      <c r="B71" s="13"/>
      <c r="C71" s="14">
        <f>IFERROR(INDEX(Emp_ID,MATCH(57,Emp_Rang,0)),"")</f>
      </c>
      <c r="D71" s="15">
        <f>IF($C71="","",IFERROR(INDEX(Emp_Nom,MATCH($C71,Emp_ID,0)),""))</f>
      </c>
      <c r="E71" s="16">
        <f>IF($C71="","",IFERROR(INDEX(Emp_Poste,MATCH($C71,Emp_ID,0)),""))</f>
      </c>
    </row>
    <row r="72">
      <c r="B72" s="13"/>
      <c r="C72" s="14">
        <f>IFERROR(INDEX(Emp_ID,MATCH(58,Emp_Rang,0)),"")</f>
      </c>
      <c r="D72" s="15">
        <f>IF($C72="","",IFERROR(INDEX(Emp_Nom,MATCH($C72,Emp_ID,0)),""))</f>
      </c>
      <c r="E72" s="16">
        <f>IF($C72="","",IFERROR(INDEX(Emp_Poste,MATCH($C72,Emp_ID,0)),""))</f>
      </c>
    </row>
    <row r="73">
      <c r="B73" s="13"/>
      <c r="C73" s="14">
        <f>IFERROR(INDEX(Emp_ID,MATCH(59,Emp_Rang,0)),"")</f>
      </c>
      <c r="D73" s="15">
        <f>IF($C73="","",IFERROR(INDEX(Emp_Nom,MATCH($C73,Emp_ID,0)),""))</f>
      </c>
      <c r="E73" s="16">
        <f>IF($C73="","",IFERROR(INDEX(Emp_Poste,MATCH($C73,Emp_ID,0)),""))</f>
      </c>
    </row>
    <row r="74">
      <c r="B74" s="13"/>
      <c r="C74" s="14">
        <f>IFERROR(INDEX(Emp_ID,MATCH(60,Emp_Rang,0)),"")</f>
      </c>
      <c r="D74" s="15">
        <f>IF($C74="","",IFERROR(INDEX(Emp_Nom,MATCH($C74,Emp_ID,0)),""))</f>
      </c>
      <c r="E74" s="16">
        <f>IF($C74="","",IFERROR(INDEX(Emp_Poste,MATCH($C74,Emp_ID,0)),""))</f>
      </c>
    </row>
    <row r="75">
      <c r="B75" s="13"/>
      <c r="C75" s="14">
        <f>IFERROR(INDEX(Emp_ID,MATCH(61,Emp_Rang,0)),"")</f>
      </c>
      <c r="D75" s="15">
        <f>IF($C75="","",IFERROR(INDEX(Emp_Nom,MATCH($C75,Emp_ID,0)),""))</f>
      </c>
      <c r="E75" s="16">
        <f>IF($C75="","",IFERROR(INDEX(Emp_Poste,MATCH($C75,Emp_ID,0)),""))</f>
      </c>
    </row>
    <row r="76">
      <c r="B76" s="13"/>
      <c r="C76" s="14">
        <f>IFERROR(INDEX(Emp_ID,MATCH(62,Emp_Rang,0)),"")</f>
      </c>
      <c r="D76" s="15">
        <f>IF($C76="","",IFERROR(INDEX(Emp_Nom,MATCH($C76,Emp_ID,0)),""))</f>
      </c>
      <c r="E76" s="16">
        <f>IF($C76="","",IFERROR(INDEX(Emp_Poste,MATCH($C76,Emp_ID,0)),""))</f>
      </c>
    </row>
    <row r="77">
      <c r="B77" s="13"/>
      <c r="C77" s="14">
        <f>IFERROR(INDEX(Emp_ID,MATCH(63,Emp_Rang,0)),"")</f>
      </c>
      <c r="D77" s="15">
        <f>IF($C77="","",IFERROR(INDEX(Emp_Nom,MATCH($C77,Emp_ID,0)),""))</f>
      </c>
      <c r="E77" s="16">
        <f>IF($C77="","",IFERROR(INDEX(Emp_Poste,MATCH($C77,Emp_ID,0)),""))</f>
      </c>
    </row>
    <row r="78">
      <c r="B78" s="13"/>
      <c r="C78" s="14">
        <f>IFERROR(INDEX(Emp_ID,MATCH(64,Emp_Rang,0)),"")</f>
      </c>
      <c r="D78" s="15">
        <f>IF($C78="","",IFERROR(INDEX(Emp_Nom,MATCH($C78,Emp_ID,0)),""))</f>
      </c>
      <c r="E78" s="16">
        <f>IF($C78="","",IFERROR(INDEX(Emp_Poste,MATCH($C78,Emp_ID,0)),""))</f>
      </c>
    </row>
    <row r="79">
      <c r="B79" s="13"/>
      <c r="C79" s="14">
        <f>IFERROR(INDEX(Emp_ID,MATCH(65,Emp_Rang,0)),"")</f>
      </c>
      <c r="D79" s="15">
        <f>IF($C79="","",IFERROR(INDEX(Emp_Nom,MATCH($C79,Emp_ID,0)),""))</f>
      </c>
      <c r="E79" s="16">
        <f>IF($C79="","",IFERROR(INDEX(Emp_Poste,MATCH($C79,Emp_ID,0)),""))</f>
      </c>
    </row>
    <row r="80">
      <c r="B80" s="13"/>
      <c r="C80" s="14">
        <f>IFERROR(INDEX(Emp_ID,MATCH(66,Emp_Rang,0)),"")</f>
      </c>
      <c r="D80" s="15">
        <f>IF($C80="","",IFERROR(INDEX(Emp_Nom,MATCH($C80,Emp_ID,0)),""))</f>
      </c>
      <c r="E80" s="16">
        <f>IF($C80="","",IFERROR(INDEX(Emp_Poste,MATCH($C80,Emp_ID,0)),""))</f>
      </c>
    </row>
    <row r="81">
      <c r="B81" s="13"/>
      <c r="C81" s="14">
        <f>IFERROR(INDEX(Emp_ID,MATCH(67,Emp_Rang,0)),"")</f>
      </c>
      <c r="D81" s="15">
        <f>IF($C81="","",IFERROR(INDEX(Emp_Nom,MATCH($C81,Emp_ID,0)),""))</f>
      </c>
      <c r="E81" s="16">
        <f>IF($C81="","",IFERROR(INDEX(Emp_Poste,MATCH($C81,Emp_ID,0)),""))</f>
      </c>
    </row>
    <row r="82">
      <c r="B82" s="13"/>
      <c r="C82" s="14">
        <f>IFERROR(INDEX(Emp_ID,MATCH(68,Emp_Rang,0)),"")</f>
      </c>
      <c r="D82" s="15">
        <f>IF($C82="","",IFERROR(INDEX(Emp_Nom,MATCH($C82,Emp_ID,0)),""))</f>
      </c>
      <c r="E82" s="16">
        <f>IF($C82="","",IFERROR(INDEX(Emp_Poste,MATCH($C82,Emp_ID,0)),""))</f>
      </c>
    </row>
    <row r="83">
      <c r="B83" s="13"/>
      <c r="C83" s="14">
        <f>IFERROR(INDEX(Emp_ID,MATCH(69,Emp_Rang,0)),"")</f>
      </c>
      <c r="D83" s="15">
        <f>IF($C83="","",IFERROR(INDEX(Emp_Nom,MATCH($C83,Emp_ID,0)),""))</f>
      </c>
      <c r="E83" s="16">
        <f>IF($C83="","",IFERROR(INDEX(Emp_Poste,MATCH($C83,Emp_ID,0)),""))</f>
      </c>
    </row>
    <row r="84">
      <c r="B84" s="13"/>
      <c r="C84" s="14">
        <f>IFERROR(INDEX(Emp_ID,MATCH(70,Emp_Rang,0)),"")</f>
      </c>
      <c r="D84" s="15">
        <f>IF($C84="","",IFERROR(INDEX(Emp_Nom,MATCH($C84,Emp_ID,0)),""))</f>
      </c>
      <c r="E84" s="16">
        <f>IF($C84="","",IFERROR(INDEX(Emp_Poste,MATCH($C84,Emp_ID,0)),""))</f>
      </c>
    </row>
    <row r="85">
      <c r="B85" s="13"/>
      <c r="C85" s="14">
        <f>IFERROR(INDEX(Emp_ID,MATCH(71,Emp_Rang,0)),"")</f>
      </c>
      <c r="D85" s="15">
        <f>IF($C85="","",IFERROR(INDEX(Emp_Nom,MATCH($C85,Emp_ID,0)),""))</f>
      </c>
      <c r="E85" s="16">
        <f>IF($C85="","",IFERROR(INDEX(Emp_Poste,MATCH($C85,Emp_ID,0)),""))</f>
      </c>
    </row>
    <row r="86">
      <c r="B86" s="13"/>
      <c r="C86" s="14">
        <f>IFERROR(INDEX(Emp_ID,MATCH(72,Emp_Rang,0)),"")</f>
      </c>
      <c r="D86" s="15">
        <f>IF($C86="","",IFERROR(INDEX(Emp_Nom,MATCH($C86,Emp_ID,0)),""))</f>
      </c>
      <c r="E86" s="16">
        <f>IF($C86="","",IFERROR(INDEX(Emp_Poste,MATCH($C86,Emp_ID,0)),""))</f>
      </c>
    </row>
    <row r="87">
      <c r="B87" s="13"/>
      <c r="C87" s="14">
        <f>IFERROR(INDEX(Emp_ID,MATCH(73,Emp_Rang,0)),"")</f>
      </c>
      <c r="D87" s="15">
        <f>IF($C87="","",IFERROR(INDEX(Emp_Nom,MATCH($C87,Emp_ID,0)),""))</f>
      </c>
      <c r="E87" s="16">
        <f>IF($C87="","",IFERROR(INDEX(Emp_Poste,MATCH($C87,Emp_ID,0)),""))</f>
      </c>
    </row>
    <row r="88">
      <c r="B88" s="13"/>
      <c r="C88" s="14">
        <f>IFERROR(INDEX(Emp_ID,MATCH(74,Emp_Rang,0)),"")</f>
      </c>
      <c r="D88" s="15">
        <f>IF($C88="","",IFERROR(INDEX(Emp_Nom,MATCH($C88,Emp_ID,0)),""))</f>
      </c>
      <c r="E88" s="16">
        <f>IF($C88="","",IFERROR(INDEX(Emp_Poste,MATCH($C88,Emp_ID,0)),""))</f>
      </c>
    </row>
    <row r="89">
      <c r="B89" s="13"/>
      <c r="C89" s="14">
        <f>IFERROR(INDEX(Emp_ID,MATCH(75,Emp_Rang,0)),"")</f>
      </c>
      <c r="D89" s="15">
        <f>IF($C89="","",IFERROR(INDEX(Emp_Nom,MATCH($C89,Emp_ID,0)),""))</f>
      </c>
      <c r="E89" s="16">
        <f>IF($C89="","",IFERROR(INDEX(Emp_Poste,MATCH($C89,Emp_ID,0)),""))</f>
      </c>
    </row>
    <row r="90">
      <c r="B90" s="13"/>
      <c r="C90" s="14">
        <f>IFERROR(INDEX(Emp_ID,MATCH(76,Emp_Rang,0)),"")</f>
      </c>
      <c r="D90" s="15">
        <f>IF($C90="","",IFERROR(INDEX(Emp_Nom,MATCH($C90,Emp_ID,0)),""))</f>
      </c>
      <c r="E90" s="16">
        <f>IF($C90="","",IFERROR(INDEX(Emp_Poste,MATCH($C90,Emp_ID,0)),""))</f>
      </c>
    </row>
    <row r="91">
      <c r="B91" s="13"/>
      <c r="C91" s="14">
        <f>IFERROR(INDEX(Emp_ID,MATCH(77,Emp_Rang,0)),"")</f>
      </c>
      <c r="D91" s="15">
        <f>IF($C91="","",IFERROR(INDEX(Emp_Nom,MATCH($C91,Emp_ID,0)),""))</f>
      </c>
      <c r="E91" s="16">
        <f>IF($C91="","",IFERROR(INDEX(Emp_Poste,MATCH($C91,Emp_ID,0)),""))</f>
      </c>
    </row>
    <row r="92">
      <c r="B92" s="13"/>
      <c r="C92" s="14">
        <f>IFERROR(INDEX(Emp_ID,MATCH(78,Emp_Rang,0)),"")</f>
      </c>
      <c r="D92" s="15">
        <f>IF($C92="","",IFERROR(INDEX(Emp_Nom,MATCH($C92,Emp_ID,0)),""))</f>
      </c>
      <c r="E92" s="16">
        <f>IF($C92="","",IFERROR(INDEX(Emp_Poste,MATCH($C92,Emp_ID,0)),""))</f>
      </c>
    </row>
    <row r="93">
      <c r="B93" s="13"/>
      <c r="C93" s="14">
        <f>IFERROR(INDEX(Emp_ID,MATCH(79,Emp_Rang,0)),"")</f>
      </c>
      <c r="D93" s="15">
        <f>IF($C93="","",IFERROR(INDEX(Emp_Nom,MATCH($C93,Emp_ID,0)),""))</f>
      </c>
      <c r="E93" s="16">
        <f>IF($C93="","",IFERROR(INDEX(Emp_Poste,MATCH($C93,Emp_ID,0)),""))</f>
      </c>
    </row>
    <row r="94">
      <c r="B94" s="13"/>
      <c r="C94" s="14">
        <f>IFERROR(INDEX(Emp_ID,MATCH(80,Emp_Rang,0)),"")</f>
      </c>
      <c r="D94" s="15">
        <f>IF($C94="","",IFERROR(INDEX(Emp_Nom,MATCH($C94,Emp_ID,0)),""))</f>
      </c>
      <c r="E94" s="16">
        <f>IF($C94="","",IFERROR(INDEX(Emp_Poste,MATCH($C94,Emp_ID,0)),""))</f>
      </c>
    </row>
    <row r="95">
      <c r="B95" s="13"/>
      <c r="C95" s="14">
        <f>IFERROR(INDEX(Emp_ID,MATCH(81,Emp_Rang,0)),"")</f>
      </c>
      <c r="D95" s="15">
        <f>IF($C95="","",IFERROR(INDEX(Emp_Nom,MATCH($C95,Emp_ID,0)),""))</f>
      </c>
      <c r="E95" s="16">
        <f>IF($C95="","",IFERROR(INDEX(Emp_Poste,MATCH($C95,Emp_ID,0)),""))</f>
      </c>
    </row>
    <row r="96">
      <c r="B96" s="13"/>
      <c r="C96" s="14">
        <f>IFERROR(INDEX(Emp_ID,MATCH(82,Emp_Rang,0)),"")</f>
      </c>
      <c r="D96" s="15">
        <f>IF($C96="","",IFERROR(INDEX(Emp_Nom,MATCH($C96,Emp_ID,0)),""))</f>
      </c>
      <c r="E96" s="16">
        <f>IF($C96="","",IFERROR(INDEX(Emp_Poste,MATCH($C96,Emp_ID,0)),""))</f>
      </c>
    </row>
    <row r="97">
      <c r="B97" s="13"/>
      <c r="C97" s="14">
        <f>IFERROR(INDEX(Emp_ID,MATCH(83,Emp_Rang,0)),"")</f>
      </c>
      <c r="D97" s="15">
        <f>IF($C97="","",IFERROR(INDEX(Emp_Nom,MATCH($C97,Emp_ID,0)),""))</f>
      </c>
      <c r="E97" s="16">
        <f>IF($C97="","",IFERROR(INDEX(Emp_Poste,MATCH($C97,Emp_ID,0)),""))</f>
      </c>
    </row>
    <row r="98">
      <c r="B98" s="13"/>
      <c r="C98" s="14">
        <f>IFERROR(INDEX(Emp_ID,MATCH(84,Emp_Rang,0)),"")</f>
      </c>
      <c r="D98" s="15">
        <f>IF($C98="","",IFERROR(INDEX(Emp_Nom,MATCH($C98,Emp_ID,0)),""))</f>
      </c>
      <c r="E98" s="16">
        <f>IF($C98="","",IFERROR(INDEX(Emp_Poste,MATCH($C98,Emp_ID,0)),""))</f>
      </c>
    </row>
    <row r="99">
      <c r="B99" s="13"/>
      <c r="C99" s="14">
        <f>IFERROR(INDEX(Emp_ID,MATCH(85,Emp_Rang,0)),"")</f>
      </c>
      <c r="D99" s="15">
        <f>IF($C99="","",IFERROR(INDEX(Emp_Nom,MATCH($C99,Emp_ID,0)),""))</f>
      </c>
      <c r="E99" s="16">
        <f>IF($C99="","",IFERROR(INDEX(Emp_Poste,MATCH($C99,Emp_ID,0)),""))</f>
      </c>
    </row>
    <row r="100">
      <c r="B100" s="13"/>
      <c r="C100" s="14">
        <f>IFERROR(INDEX(Emp_ID,MATCH(86,Emp_Rang,0)),"")</f>
      </c>
      <c r="D100" s="15">
        <f>IF($C100="","",IFERROR(INDEX(Emp_Nom,MATCH($C100,Emp_ID,0)),""))</f>
      </c>
      <c r="E100" s="16">
        <f>IF($C100="","",IFERROR(INDEX(Emp_Poste,MATCH($C100,Emp_ID,0)),""))</f>
      </c>
    </row>
    <row r="101">
      <c r="B101" s="13"/>
      <c r="C101" s="14">
        <f>IFERROR(INDEX(Emp_ID,MATCH(87,Emp_Rang,0)),"")</f>
      </c>
      <c r="D101" s="15">
        <f>IF($C101="","",IFERROR(INDEX(Emp_Nom,MATCH($C101,Emp_ID,0)),""))</f>
      </c>
      <c r="E101" s="16">
        <f>IF($C101="","",IFERROR(INDEX(Emp_Poste,MATCH($C101,Emp_ID,0)),""))</f>
      </c>
    </row>
    <row r="102">
      <c r="B102" s="13"/>
      <c r="C102" s="14">
        <f>IFERROR(INDEX(Emp_ID,MATCH(88,Emp_Rang,0)),"")</f>
      </c>
      <c r="D102" s="15">
        <f>IF($C102="","",IFERROR(INDEX(Emp_Nom,MATCH($C102,Emp_ID,0)),""))</f>
      </c>
      <c r="E102" s="16">
        <f>IF($C102="","",IFERROR(INDEX(Emp_Poste,MATCH($C102,Emp_ID,0)),""))</f>
      </c>
    </row>
    <row r="103">
      <c r="B103" s="13"/>
      <c r="C103" s="14">
        <f>IFERROR(INDEX(Emp_ID,MATCH(89,Emp_Rang,0)),"")</f>
      </c>
      <c r="D103" s="15">
        <f>IF($C103="","",IFERROR(INDEX(Emp_Nom,MATCH($C103,Emp_ID,0)),""))</f>
      </c>
      <c r="E103" s="16">
        <f>IF($C103="","",IFERROR(INDEX(Emp_Poste,MATCH($C103,Emp_ID,0)),""))</f>
      </c>
    </row>
    <row r="104">
      <c r="B104" s="13"/>
      <c r="C104" s="14">
        <f>IFERROR(INDEX(Emp_ID,MATCH(90,Emp_Rang,0)),"")</f>
      </c>
      <c r="D104" s="15">
        <f>IF($C104="","",IFERROR(INDEX(Emp_Nom,MATCH($C104,Emp_ID,0)),""))</f>
      </c>
      <c r="E104" s="16">
        <f>IF($C104="","",IFERROR(INDEX(Emp_Poste,MATCH($C104,Emp_ID,0)),""))</f>
      </c>
    </row>
    <row r="105">
      <c r="B105" s="13"/>
      <c r="C105" s="14">
        <f>IFERROR(INDEX(Emp_ID,MATCH(91,Emp_Rang,0)),"")</f>
      </c>
      <c r="D105" s="15">
        <f>IF($C105="","",IFERROR(INDEX(Emp_Nom,MATCH($C105,Emp_ID,0)),""))</f>
      </c>
      <c r="E105" s="16">
        <f>IF($C105="","",IFERROR(INDEX(Emp_Poste,MATCH($C105,Emp_ID,0)),""))</f>
      </c>
    </row>
    <row r="106">
      <c r="B106" s="13"/>
      <c r="C106" s="14">
        <f>IFERROR(INDEX(Emp_ID,MATCH(92,Emp_Rang,0)),"")</f>
      </c>
      <c r="D106" s="15">
        <f>IF($C106="","",IFERROR(INDEX(Emp_Nom,MATCH($C106,Emp_ID,0)),""))</f>
      </c>
      <c r="E106" s="16">
        <f>IF($C106="","",IFERROR(INDEX(Emp_Poste,MATCH($C106,Emp_ID,0)),""))</f>
      </c>
    </row>
    <row r="107">
      <c r="B107" s="13"/>
      <c r="C107" s="14">
        <f>IFERROR(INDEX(Emp_ID,MATCH(93,Emp_Rang,0)),"")</f>
      </c>
      <c r="D107" s="15">
        <f>IF($C107="","",IFERROR(INDEX(Emp_Nom,MATCH($C107,Emp_ID,0)),""))</f>
      </c>
      <c r="E107" s="16">
        <f>IF($C107="","",IFERROR(INDEX(Emp_Poste,MATCH($C107,Emp_ID,0)),""))</f>
      </c>
    </row>
    <row r="108">
      <c r="B108" s="13"/>
      <c r="C108" s="14">
        <f>IFERROR(INDEX(Emp_ID,MATCH(94,Emp_Rang,0)),"")</f>
      </c>
      <c r="D108" s="15">
        <f>IF($C108="","",IFERROR(INDEX(Emp_Nom,MATCH($C108,Emp_ID,0)),""))</f>
      </c>
      <c r="E108" s="16">
        <f>IF($C108="","",IFERROR(INDEX(Emp_Poste,MATCH($C108,Emp_ID,0)),""))</f>
      </c>
    </row>
    <row r="109">
      <c r="B109" s="13"/>
      <c r="C109" s="14">
        <f>IFERROR(INDEX(Emp_ID,MATCH(95,Emp_Rang,0)),"")</f>
      </c>
      <c r="D109" s="15">
        <f>IF($C109="","",IFERROR(INDEX(Emp_Nom,MATCH($C109,Emp_ID,0)),""))</f>
      </c>
      <c r="E109" s="16">
        <f>IF($C109="","",IFERROR(INDEX(Emp_Poste,MATCH($C109,Emp_ID,0)),""))</f>
      </c>
    </row>
    <row r="110">
      <c r="B110" s="13"/>
      <c r="C110" s="14">
        <f>IFERROR(INDEX(Emp_ID,MATCH(96,Emp_Rang,0)),"")</f>
      </c>
      <c r="D110" s="15">
        <f>IF($C110="","",IFERROR(INDEX(Emp_Nom,MATCH($C110,Emp_ID,0)),""))</f>
      </c>
      <c r="E110" s="16">
        <f>IF($C110="","",IFERROR(INDEX(Emp_Poste,MATCH($C110,Emp_ID,0)),""))</f>
      </c>
    </row>
    <row r="111">
      <c r="B111" s="13"/>
      <c r="C111" s="14">
        <f>IFERROR(INDEX(Emp_ID,MATCH(97,Emp_Rang,0)),"")</f>
      </c>
      <c r="D111" s="15">
        <f>IF($C111="","",IFERROR(INDEX(Emp_Nom,MATCH($C111,Emp_ID,0)),""))</f>
      </c>
      <c r="E111" s="16">
        <f>IF($C111="","",IFERROR(INDEX(Emp_Poste,MATCH($C111,Emp_ID,0)),""))</f>
      </c>
    </row>
    <row r="112">
      <c r="B112" s="13"/>
      <c r="C112" s="14">
        <f>IFERROR(INDEX(Emp_ID,MATCH(98,Emp_Rang,0)),"")</f>
      </c>
      <c r="D112" s="15">
        <f>IF($C112="","",IFERROR(INDEX(Emp_Nom,MATCH($C112,Emp_ID,0)),""))</f>
      </c>
      <c r="E112" s="16">
        <f>IF($C112="","",IFERROR(INDEX(Emp_Poste,MATCH($C112,Emp_ID,0)),""))</f>
      </c>
    </row>
    <row r="113">
      <c r="B113" s="13"/>
      <c r="C113" s="14">
        <f>IFERROR(INDEX(Emp_ID,MATCH(99,Emp_Rang,0)),"")</f>
      </c>
      <c r="D113" s="15">
        <f>IF($C113="","",IFERROR(INDEX(Emp_Nom,MATCH($C113,Emp_ID,0)),""))</f>
      </c>
      <c r="E113" s="16">
        <f>IF($C113="","",IFERROR(INDEX(Emp_Poste,MATCH($C113,Emp_ID,0)),""))</f>
      </c>
    </row>
    <row r="114">
      <c r="B114" s="13"/>
      <c r="C114" s="14">
        <f>IFERROR(INDEX(Emp_ID,MATCH(100,Emp_Rang,0)),"")</f>
      </c>
      <c r="D114" s="15">
        <f>IF($C114="","",IFERROR(INDEX(Emp_Nom,MATCH($C114,Emp_ID,0)),""))</f>
      </c>
      <c r="E114" s="16">
        <f>IF($C114="","",IFERROR(INDEX(Emp_Poste,MATCH($C114,Emp_ID,0)),""))</f>
      </c>
    </row>
    <row r="115">
      <c r="B115" s="13"/>
      <c r="C115" s="14">
        <f>IFERROR(INDEX(Emp_ID,MATCH(101,Emp_Rang,0)),"")</f>
      </c>
      <c r="D115" s="15">
        <f>IF($C115="","",IFERROR(INDEX(Emp_Nom,MATCH($C115,Emp_ID,0)),""))</f>
      </c>
      <c r="E115" s="16">
        <f>IF($C115="","",IFERROR(INDEX(Emp_Poste,MATCH($C115,Emp_ID,0)),""))</f>
      </c>
    </row>
    <row r="116">
      <c r="B116" s="13"/>
      <c r="C116" s="14">
        <f>IFERROR(INDEX(Emp_ID,MATCH(102,Emp_Rang,0)),"")</f>
      </c>
      <c r="D116" s="15">
        <f>IF($C116="","",IFERROR(INDEX(Emp_Nom,MATCH($C116,Emp_ID,0)),""))</f>
      </c>
      <c r="E116" s="16">
        <f>IF($C116="","",IFERROR(INDEX(Emp_Poste,MATCH($C116,Emp_ID,0)),""))</f>
      </c>
    </row>
    <row r="117">
      <c r="B117" s="13"/>
      <c r="C117" s="14">
        <f>IFERROR(INDEX(Emp_ID,MATCH(103,Emp_Rang,0)),"")</f>
      </c>
      <c r="D117" s="15">
        <f>IF($C117="","",IFERROR(INDEX(Emp_Nom,MATCH($C117,Emp_ID,0)),""))</f>
      </c>
      <c r="E117" s="16">
        <f>IF($C117="","",IFERROR(INDEX(Emp_Poste,MATCH($C117,Emp_ID,0)),""))</f>
      </c>
    </row>
    <row r="118">
      <c r="B118" s="13"/>
      <c r="C118" s="14">
        <f>IFERROR(INDEX(Emp_ID,MATCH(104,Emp_Rang,0)),"")</f>
      </c>
      <c r="D118" s="15">
        <f>IF($C118="","",IFERROR(INDEX(Emp_Nom,MATCH($C118,Emp_ID,0)),""))</f>
      </c>
      <c r="E118" s="16">
        <f>IF($C118="","",IFERROR(INDEX(Emp_Poste,MATCH($C118,Emp_ID,0)),""))</f>
      </c>
    </row>
    <row r="119">
      <c r="B119" s="13"/>
      <c r="C119" s="14">
        <f>IFERROR(INDEX(Emp_ID,MATCH(105,Emp_Rang,0)),"")</f>
      </c>
      <c r="D119" s="15">
        <f>IF($C119="","",IFERROR(INDEX(Emp_Nom,MATCH($C119,Emp_ID,0)),""))</f>
      </c>
      <c r="E119" s="16">
        <f>IF($C119="","",IFERROR(INDEX(Emp_Poste,MATCH($C119,Emp_ID,0)),""))</f>
      </c>
    </row>
    <row r="120">
      <c r="B120" s="13"/>
      <c r="C120" s="14">
        <f>IFERROR(INDEX(Emp_ID,MATCH(106,Emp_Rang,0)),"")</f>
      </c>
      <c r="D120" s="15">
        <f>IF($C120="","",IFERROR(INDEX(Emp_Nom,MATCH($C120,Emp_ID,0)),""))</f>
      </c>
      <c r="E120" s="16">
        <f>IF($C120="","",IFERROR(INDEX(Emp_Poste,MATCH($C120,Emp_ID,0)),""))</f>
      </c>
    </row>
    <row r="121">
      <c r="B121" s="13"/>
      <c r="C121" s="14">
        <f>IFERROR(INDEX(Emp_ID,MATCH(107,Emp_Rang,0)),"")</f>
      </c>
      <c r="D121" s="15">
        <f>IF($C121="","",IFERROR(INDEX(Emp_Nom,MATCH($C121,Emp_ID,0)),""))</f>
      </c>
      <c r="E121" s="16">
        <f>IF($C121="","",IFERROR(INDEX(Emp_Poste,MATCH($C121,Emp_ID,0)),""))</f>
      </c>
    </row>
    <row r="122">
      <c r="B122" s="13"/>
      <c r="C122" s="14">
        <f>IFERROR(INDEX(Emp_ID,MATCH(108,Emp_Rang,0)),"")</f>
      </c>
      <c r="D122" s="15">
        <f>IF($C122="","",IFERROR(INDEX(Emp_Nom,MATCH($C122,Emp_ID,0)),""))</f>
      </c>
      <c r="E122" s="16">
        <f>IF($C122="","",IFERROR(INDEX(Emp_Poste,MATCH($C122,Emp_ID,0)),""))</f>
      </c>
    </row>
    <row r="123">
      <c r="B123" s="13"/>
      <c r="C123" s="14">
        <f>IFERROR(INDEX(Emp_ID,MATCH(109,Emp_Rang,0)),"")</f>
      </c>
      <c r="D123" s="15">
        <f>IF($C123="","",IFERROR(INDEX(Emp_Nom,MATCH($C123,Emp_ID,0)),""))</f>
      </c>
      <c r="E123" s="16">
        <f>IF($C123="","",IFERROR(INDEX(Emp_Poste,MATCH($C123,Emp_ID,0)),""))</f>
      </c>
    </row>
    <row r="124">
      <c r="B124" s="13"/>
      <c r="C124" s="14">
        <f>IFERROR(INDEX(Emp_ID,MATCH(110,Emp_Rang,0)),"")</f>
      </c>
      <c r="D124" s="15">
        <f>IF($C124="","",IFERROR(INDEX(Emp_Nom,MATCH($C124,Emp_ID,0)),""))</f>
      </c>
      <c r="E124" s="16">
        <f>IF($C124="","",IFERROR(INDEX(Emp_Poste,MATCH($C124,Emp_ID,0)),""))</f>
      </c>
    </row>
    <row r="125">
      <c r="B125" s="13"/>
      <c r="C125" s="14">
        <f>IFERROR(INDEX(Emp_ID,MATCH(111,Emp_Rang,0)),"")</f>
      </c>
      <c r="D125" s="15">
        <f>IF($C125="","",IFERROR(INDEX(Emp_Nom,MATCH($C125,Emp_ID,0)),""))</f>
      </c>
      <c r="E125" s="16">
        <f>IF($C125="","",IFERROR(INDEX(Emp_Poste,MATCH($C125,Emp_ID,0)),""))</f>
      </c>
    </row>
    <row r="126">
      <c r="B126" s="13"/>
      <c r="C126" s="14">
        <f>IFERROR(INDEX(Emp_ID,MATCH(112,Emp_Rang,0)),"")</f>
      </c>
      <c r="D126" s="15">
        <f>IF($C126="","",IFERROR(INDEX(Emp_Nom,MATCH($C126,Emp_ID,0)),""))</f>
      </c>
      <c r="E126" s="16">
        <f>IF($C126="","",IFERROR(INDEX(Emp_Poste,MATCH($C126,Emp_ID,0)),""))</f>
      </c>
    </row>
    <row r="127">
      <c r="B127" s="13"/>
      <c r="C127" s="14">
        <f>IFERROR(INDEX(Emp_ID,MATCH(113,Emp_Rang,0)),"")</f>
      </c>
      <c r="D127" s="15">
        <f>IF($C127="","",IFERROR(INDEX(Emp_Nom,MATCH($C127,Emp_ID,0)),""))</f>
      </c>
      <c r="E127" s="16">
        <f>IF($C127="","",IFERROR(INDEX(Emp_Poste,MATCH($C127,Emp_ID,0)),""))</f>
      </c>
    </row>
    <row r="128">
      <c r="B128" s="13"/>
      <c r="C128" s="14">
        <f>IFERROR(INDEX(Emp_ID,MATCH(114,Emp_Rang,0)),"")</f>
      </c>
      <c r="D128" s="15">
        <f>IF($C128="","",IFERROR(INDEX(Emp_Nom,MATCH($C128,Emp_ID,0)),""))</f>
      </c>
      <c r="E128" s="16">
        <f>IF($C128="","",IFERROR(INDEX(Emp_Poste,MATCH($C128,Emp_ID,0)),""))</f>
      </c>
    </row>
    <row r="129">
      <c r="B129" s="13"/>
      <c r="C129" s="14">
        <f>IFERROR(INDEX(Emp_ID,MATCH(115,Emp_Rang,0)),"")</f>
      </c>
      <c r="D129" s="15">
        <f>IF($C129="","",IFERROR(INDEX(Emp_Nom,MATCH($C129,Emp_ID,0)),""))</f>
      </c>
      <c r="E129" s="16">
        <f>IF($C129="","",IFERROR(INDEX(Emp_Poste,MATCH($C129,Emp_ID,0)),""))</f>
      </c>
    </row>
    <row r="130">
      <c r="B130" s="13"/>
      <c r="C130" s="14">
        <f>IFERROR(INDEX(Emp_ID,MATCH(116,Emp_Rang,0)),"")</f>
      </c>
      <c r="D130" s="15">
        <f>IF($C130="","",IFERROR(INDEX(Emp_Nom,MATCH($C130,Emp_ID,0)),""))</f>
      </c>
      <c r="E130" s="16">
        <f>IF($C130="","",IFERROR(INDEX(Emp_Poste,MATCH($C130,Emp_ID,0)),""))</f>
      </c>
    </row>
    <row r="131">
      <c r="B131" s="13"/>
      <c r="C131" s="14">
        <f>IFERROR(INDEX(Emp_ID,MATCH(117,Emp_Rang,0)),"")</f>
      </c>
      <c r="D131" s="15">
        <f>IF($C131="","",IFERROR(INDEX(Emp_Nom,MATCH($C131,Emp_ID,0)),""))</f>
      </c>
      <c r="E131" s="16">
        <f>IF($C131="","",IFERROR(INDEX(Emp_Poste,MATCH($C131,Emp_ID,0)),""))</f>
      </c>
    </row>
    <row r="132">
      <c r="B132" s="13"/>
      <c r="C132" s="14">
        <f>IFERROR(INDEX(Emp_ID,MATCH(118,Emp_Rang,0)),"")</f>
      </c>
      <c r="D132" s="15">
        <f>IF($C132="","",IFERROR(INDEX(Emp_Nom,MATCH($C132,Emp_ID,0)),""))</f>
      </c>
      <c r="E132" s="16">
        <f>IF($C132="","",IFERROR(INDEX(Emp_Poste,MATCH($C132,Emp_ID,0)),""))</f>
      </c>
    </row>
    <row r="133">
      <c r="B133" s="13"/>
      <c r="C133" s="14">
        <f>IFERROR(INDEX(Emp_ID,MATCH(119,Emp_Rang,0)),"")</f>
      </c>
      <c r="D133" s="15">
        <f>IF($C133="","",IFERROR(INDEX(Emp_Nom,MATCH($C133,Emp_ID,0)),""))</f>
      </c>
      <c r="E133" s="16">
        <f>IF($C133="","",IFERROR(INDEX(Emp_Poste,MATCH($C133,Emp_ID,0)),""))</f>
      </c>
    </row>
    <row r="134">
      <c r="B134" s="13"/>
      <c r="C134" s="14">
        <f>IFERROR(INDEX(Emp_ID,MATCH(120,Emp_Rang,0)),"")</f>
      </c>
      <c r="D134" s="15">
        <f>IF($C134="","",IFERROR(INDEX(Emp_Nom,MATCH($C134,Emp_ID,0)),""))</f>
      </c>
      <c r="E134" s="16">
        <f>IF($C134="","",IFERROR(INDEX(Emp_Poste,MATCH($C134,Emp_ID,0)),""))</f>
      </c>
    </row>
    <row r="135">
      <c r="B135" s="13"/>
      <c r="C135" s="14">
        <f>IFERROR(INDEX(Emp_ID,MATCH(121,Emp_Rang,0)),"")</f>
      </c>
      <c r="D135" s="15">
        <f>IF($C135="","",IFERROR(INDEX(Emp_Nom,MATCH($C135,Emp_ID,0)),""))</f>
      </c>
      <c r="E135" s="16">
        <f>IF($C135="","",IFERROR(INDEX(Emp_Poste,MATCH($C135,Emp_ID,0)),""))</f>
      </c>
    </row>
    <row r="136">
      <c r="B136" s="13"/>
      <c r="C136" s="14">
        <f>IFERROR(INDEX(Emp_ID,MATCH(122,Emp_Rang,0)),"")</f>
      </c>
      <c r="D136" s="15">
        <f>IF($C136="","",IFERROR(INDEX(Emp_Nom,MATCH($C136,Emp_ID,0)),""))</f>
      </c>
      <c r="E136" s="16">
        <f>IF($C136="","",IFERROR(INDEX(Emp_Poste,MATCH($C136,Emp_ID,0)),""))</f>
      </c>
    </row>
    <row r="137">
      <c r="B137" s="13"/>
      <c r="C137" s="14">
        <f>IFERROR(INDEX(Emp_ID,MATCH(123,Emp_Rang,0)),"")</f>
      </c>
      <c r="D137" s="15">
        <f>IF($C137="","",IFERROR(INDEX(Emp_Nom,MATCH($C137,Emp_ID,0)),""))</f>
      </c>
      <c r="E137" s="16">
        <f>IF($C137="","",IFERROR(INDEX(Emp_Poste,MATCH($C137,Emp_ID,0)),""))</f>
      </c>
    </row>
    <row r="138">
      <c r="B138" s="13"/>
      <c r="C138" s="14">
        <f>IFERROR(INDEX(Emp_ID,MATCH(124,Emp_Rang,0)),"")</f>
      </c>
      <c r="D138" s="15">
        <f>IF($C138="","",IFERROR(INDEX(Emp_Nom,MATCH($C138,Emp_ID,0)),""))</f>
      </c>
      <c r="E138" s="16">
        <f>IF($C138="","",IFERROR(INDEX(Emp_Poste,MATCH($C138,Emp_ID,0)),""))</f>
      </c>
    </row>
    <row r="139">
      <c r="B139" s="13"/>
      <c r="C139" s="14">
        <f>IFERROR(INDEX(Emp_ID,MATCH(125,Emp_Rang,0)),"")</f>
      </c>
      <c r="D139" s="15">
        <f>IF($C139="","",IFERROR(INDEX(Emp_Nom,MATCH($C139,Emp_ID,0)),""))</f>
      </c>
      <c r="E139" s="16">
        <f>IF($C139="","",IFERROR(INDEX(Emp_Poste,MATCH($C139,Emp_ID,0)),""))</f>
      </c>
    </row>
    <row r="140">
      <c r="B140" s="13"/>
      <c r="C140" s="14">
        <f>IFERROR(INDEX(Emp_ID,MATCH(126,Emp_Rang,0)),"")</f>
      </c>
      <c r="D140" s="15">
        <f>IF($C140="","",IFERROR(INDEX(Emp_Nom,MATCH($C140,Emp_ID,0)),""))</f>
      </c>
      <c r="E140" s="16">
        <f>IF($C140="","",IFERROR(INDEX(Emp_Poste,MATCH($C140,Emp_ID,0)),""))</f>
      </c>
    </row>
    <row r="141">
      <c r="B141" s="13"/>
      <c r="C141" s="14">
        <f>IFERROR(INDEX(Emp_ID,MATCH(127,Emp_Rang,0)),"")</f>
      </c>
      <c r="D141" s="15">
        <f>IF($C141="","",IFERROR(INDEX(Emp_Nom,MATCH($C141,Emp_ID,0)),""))</f>
      </c>
      <c r="E141" s="16">
        <f>IF($C141="","",IFERROR(INDEX(Emp_Poste,MATCH($C141,Emp_ID,0)),""))</f>
      </c>
    </row>
    <row r="142">
      <c r="B142" s="13"/>
      <c r="C142" s="14">
        <f>IFERROR(INDEX(Emp_ID,MATCH(128,Emp_Rang,0)),"")</f>
      </c>
      <c r="D142" s="15">
        <f>IF($C142="","",IFERROR(INDEX(Emp_Nom,MATCH($C142,Emp_ID,0)),""))</f>
      </c>
      <c r="E142" s="16">
        <f>IF($C142="","",IFERROR(INDEX(Emp_Poste,MATCH($C142,Emp_ID,0)),""))</f>
      </c>
    </row>
    <row r="143">
      <c r="B143" s="13"/>
      <c r="C143" s="14">
        <f>IFERROR(INDEX(Emp_ID,MATCH(129,Emp_Rang,0)),"")</f>
      </c>
      <c r="D143" s="15">
        <f>IF($C143="","",IFERROR(INDEX(Emp_Nom,MATCH($C143,Emp_ID,0)),""))</f>
      </c>
      <c r="E143" s="16">
        <f>IF($C143="","",IFERROR(INDEX(Emp_Poste,MATCH($C143,Emp_ID,0)),""))</f>
      </c>
    </row>
    <row r="144">
      <c r="B144" s="13"/>
      <c r="C144" s="14">
        <f>IFERROR(INDEX(Emp_ID,MATCH(130,Emp_Rang,0)),"")</f>
      </c>
      <c r="D144" s="15">
        <f>IF($C144="","",IFERROR(INDEX(Emp_Nom,MATCH($C144,Emp_ID,0)),""))</f>
      </c>
      <c r="E144" s="16">
        <f>IF($C144="","",IFERROR(INDEX(Emp_Poste,MATCH($C144,Emp_ID,0)),""))</f>
      </c>
    </row>
    <row r="145">
      <c r="B145" s="13"/>
      <c r="C145" s="14">
        <f>IFERROR(INDEX(Emp_ID,MATCH(131,Emp_Rang,0)),"")</f>
      </c>
      <c r="D145" s="15">
        <f>IF($C145="","",IFERROR(INDEX(Emp_Nom,MATCH($C145,Emp_ID,0)),""))</f>
      </c>
      <c r="E145" s="16">
        <f>IF($C145="","",IFERROR(INDEX(Emp_Poste,MATCH($C145,Emp_ID,0)),""))</f>
      </c>
    </row>
    <row r="146">
      <c r="B146" s="13"/>
      <c r="C146" s="14">
        <f>IFERROR(INDEX(Emp_ID,MATCH(132,Emp_Rang,0)),"")</f>
      </c>
      <c r="D146" s="15">
        <f>IF($C146="","",IFERROR(INDEX(Emp_Nom,MATCH($C146,Emp_ID,0)),""))</f>
      </c>
      <c r="E146" s="16">
        <f>IF($C146="","",IFERROR(INDEX(Emp_Poste,MATCH($C146,Emp_ID,0)),""))</f>
      </c>
    </row>
    <row r="147">
      <c r="B147" s="13"/>
      <c r="C147" s="14">
        <f>IFERROR(INDEX(Emp_ID,MATCH(133,Emp_Rang,0)),"")</f>
      </c>
      <c r="D147" s="15">
        <f>IF($C147="","",IFERROR(INDEX(Emp_Nom,MATCH($C147,Emp_ID,0)),""))</f>
      </c>
      <c r="E147" s="16">
        <f>IF($C147="","",IFERROR(INDEX(Emp_Poste,MATCH($C147,Emp_ID,0)),""))</f>
      </c>
    </row>
    <row r="148">
      <c r="B148" s="13"/>
      <c r="C148" s="14">
        <f>IFERROR(INDEX(Emp_ID,MATCH(134,Emp_Rang,0)),"")</f>
      </c>
      <c r="D148" s="15">
        <f>IF($C148="","",IFERROR(INDEX(Emp_Nom,MATCH($C148,Emp_ID,0)),""))</f>
      </c>
      <c r="E148" s="16">
        <f>IF($C148="","",IFERROR(INDEX(Emp_Poste,MATCH($C148,Emp_ID,0)),""))</f>
      </c>
    </row>
    <row r="149">
      <c r="B149" s="13"/>
      <c r="C149" s="14">
        <f>IFERROR(INDEX(Emp_ID,MATCH(135,Emp_Rang,0)),"")</f>
      </c>
      <c r="D149" s="15">
        <f>IF($C149="","",IFERROR(INDEX(Emp_Nom,MATCH($C149,Emp_ID,0)),""))</f>
      </c>
      <c r="E149" s="16">
        <f>IF($C149="","",IFERROR(INDEX(Emp_Poste,MATCH($C149,Emp_ID,0)),""))</f>
      </c>
    </row>
    <row r="150">
      <c r="B150" s="13"/>
      <c r="C150" s="14">
        <f>IFERROR(INDEX(Emp_ID,MATCH(136,Emp_Rang,0)),"")</f>
      </c>
      <c r="D150" s="15">
        <f>IF($C150="","",IFERROR(INDEX(Emp_Nom,MATCH($C150,Emp_ID,0)),""))</f>
      </c>
      <c r="E150" s="16">
        <f>IF($C150="","",IFERROR(INDEX(Emp_Poste,MATCH($C150,Emp_ID,0)),""))</f>
      </c>
    </row>
    <row r="151">
      <c r="B151" s="13"/>
      <c r="C151" s="14">
        <f>IFERROR(INDEX(Emp_ID,MATCH(137,Emp_Rang,0)),"")</f>
      </c>
      <c r="D151" s="15">
        <f>IF($C151="","",IFERROR(INDEX(Emp_Nom,MATCH($C151,Emp_ID,0)),""))</f>
      </c>
      <c r="E151" s="16">
        <f>IF($C151="","",IFERROR(INDEX(Emp_Poste,MATCH($C151,Emp_ID,0)),""))</f>
      </c>
    </row>
    <row r="152">
      <c r="B152" s="13"/>
      <c r="C152" s="14">
        <f>IFERROR(INDEX(Emp_ID,MATCH(138,Emp_Rang,0)),"")</f>
      </c>
      <c r="D152" s="15">
        <f>IF($C152="","",IFERROR(INDEX(Emp_Nom,MATCH($C152,Emp_ID,0)),""))</f>
      </c>
      <c r="E152" s="16">
        <f>IF($C152="","",IFERROR(INDEX(Emp_Poste,MATCH($C152,Emp_ID,0)),""))</f>
      </c>
    </row>
    <row r="153">
      <c r="B153" s="13"/>
      <c r="C153" s="14">
        <f>IFERROR(INDEX(Emp_ID,MATCH(139,Emp_Rang,0)),"")</f>
      </c>
      <c r="D153" s="15">
        <f>IF($C153="","",IFERROR(INDEX(Emp_Nom,MATCH($C153,Emp_ID,0)),""))</f>
      </c>
      <c r="E153" s="16">
        <f>IF($C153="","",IFERROR(INDEX(Emp_Poste,MATCH($C153,Emp_ID,0)),""))</f>
      </c>
    </row>
    <row r="154">
      <c r="B154" s="13"/>
      <c r="C154" s="14">
        <f>IFERROR(INDEX(Emp_ID,MATCH(140,Emp_Rang,0)),"")</f>
      </c>
      <c r="D154" s="15">
        <f>IF($C154="","",IFERROR(INDEX(Emp_Nom,MATCH($C154,Emp_ID,0)),""))</f>
      </c>
      <c r="E154" s="16">
        <f>IF($C154="","",IFERROR(INDEX(Emp_Poste,MATCH($C154,Emp_ID,0)),""))</f>
      </c>
    </row>
    <row r="155">
      <c r="B155" s="13"/>
      <c r="C155" s="14">
        <f>IFERROR(INDEX(Emp_ID,MATCH(141,Emp_Rang,0)),"")</f>
      </c>
      <c r="D155" s="15">
        <f>IF($C155="","",IFERROR(INDEX(Emp_Nom,MATCH($C155,Emp_ID,0)),""))</f>
      </c>
      <c r="E155" s="16">
        <f>IF($C155="","",IFERROR(INDEX(Emp_Poste,MATCH($C155,Emp_ID,0)),""))</f>
      </c>
    </row>
    <row r="156">
      <c r="B156" s="13"/>
      <c r="C156" s="14">
        <f>IFERROR(INDEX(Emp_ID,MATCH(142,Emp_Rang,0)),"")</f>
      </c>
      <c r="D156" s="15">
        <f>IF($C156="","",IFERROR(INDEX(Emp_Nom,MATCH($C156,Emp_ID,0)),""))</f>
      </c>
      <c r="E156" s="16">
        <f>IF($C156="","",IFERROR(INDEX(Emp_Poste,MATCH($C156,Emp_ID,0)),""))</f>
      </c>
    </row>
    <row r="157">
      <c r="B157" s="13"/>
      <c r="C157" s="14">
        <f>IFERROR(INDEX(Emp_ID,MATCH(143,Emp_Rang,0)),"")</f>
      </c>
      <c r="D157" s="15">
        <f>IF($C157="","",IFERROR(INDEX(Emp_Nom,MATCH($C157,Emp_ID,0)),""))</f>
      </c>
      <c r="E157" s="16">
        <f>IF($C157="","",IFERROR(INDEX(Emp_Poste,MATCH($C157,Emp_ID,0)),""))</f>
      </c>
    </row>
    <row r="158">
      <c r="B158" s="13"/>
      <c r="C158" s="14">
        <f>IFERROR(INDEX(Emp_ID,MATCH(144,Emp_Rang,0)),"")</f>
      </c>
      <c r="D158" s="15">
        <f>IF($C158="","",IFERROR(INDEX(Emp_Nom,MATCH($C158,Emp_ID,0)),""))</f>
      </c>
      <c r="E158" s="16">
        <f>IF($C158="","",IFERROR(INDEX(Emp_Poste,MATCH($C158,Emp_ID,0)),""))</f>
      </c>
    </row>
    <row r="159">
      <c r="B159" s="13"/>
      <c r="C159" s="14">
        <f>IFERROR(INDEX(Emp_ID,MATCH(145,Emp_Rang,0)),"")</f>
      </c>
      <c r="D159" s="15">
        <f>IF($C159="","",IFERROR(INDEX(Emp_Nom,MATCH($C159,Emp_ID,0)),""))</f>
      </c>
      <c r="E159" s="16">
        <f>IF($C159="","",IFERROR(INDEX(Emp_Poste,MATCH($C159,Emp_ID,0)),""))</f>
      </c>
    </row>
    <row r="160">
      <c r="B160" s="13"/>
      <c r="C160" s="14">
        <f>IFERROR(INDEX(Emp_ID,MATCH(146,Emp_Rang,0)),"")</f>
      </c>
      <c r="D160" s="15">
        <f>IF($C160="","",IFERROR(INDEX(Emp_Nom,MATCH($C160,Emp_ID,0)),""))</f>
      </c>
      <c r="E160" s="16">
        <f>IF($C160="","",IFERROR(INDEX(Emp_Poste,MATCH($C160,Emp_ID,0)),""))</f>
      </c>
    </row>
    <row r="161">
      <c r="B161" s="13"/>
      <c r="C161" s="14">
        <f>IFERROR(INDEX(Emp_ID,MATCH(147,Emp_Rang,0)),"")</f>
      </c>
      <c r="D161" s="15">
        <f>IF($C161="","",IFERROR(INDEX(Emp_Nom,MATCH($C161,Emp_ID,0)),""))</f>
      </c>
      <c r="E161" s="16">
        <f>IF($C161="","",IFERROR(INDEX(Emp_Poste,MATCH($C161,Emp_ID,0)),""))</f>
      </c>
    </row>
    <row r="162">
      <c r="B162" s="13"/>
      <c r="C162" s="14">
        <f>IFERROR(INDEX(Emp_ID,MATCH(148,Emp_Rang,0)),"")</f>
      </c>
      <c r="D162" s="15">
        <f>IF($C162="","",IFERROR(INDEX(Emp_Nom,MATCH($C162,Emp_ID,0)),""))</f>
      </c>
      <c r="E162" s="16">
        <f>IF($C162="","",IFERROR(INDEX(Emp_Poste,MATCH($C162,Emp_ID,0)),""))</f>
      </c>
    </row>
    <row r="163">
      <c r="B163" s="13"/>
      <c r="C163" s="14">
        <f>IFERROR(INDEX(Emp_ID,MATCH(149,Emp_Rang,0)),"")</f>
      </c>
      <c r="D163" s="15">
        <f>IF($C163="","",IFERROR(INDEX(Emp_Nom,MATCH($C163,Emp_ID,0)),""))</f>
      </c>
      <c r="E163" s="16">
        <f>IF($C163="","",IFERROR(INDEX(Emp_Poste,MATCH($C163,Emp_ID,0)),""))</f>
      </c>
    </row>
    <row r="164">
      <c r="B164" s="13"/>
      <c r="C164" s="14">
        <f>IFERROR(INDEX(Emp_ID,MATCH(150,Emp_Rang,0)),"")</f>
      </c>
      <c r="D164" s="15">
        <f>IF($C164="","",IFERROR(INDEX(Emp_Nom,MATCH($C164,Emp_ID,0)),""))</f>
      </c>
      <c r="E164" s="16">
        <f>IF($C164="","",IFERROR(INDEX(Emp_Poste,MATCH($C164,Emp_ID,0)),""))</f>
      </c>
    </row>
    <row r="165">
      <c r="B165" s="13"/>
      <c r="C165" s="14">
        <f>IFERROR(INDEX(Emp_ID,MATCH(151,Emp_Rang,0)),"")</f>
      </c>
      <c r="D165" s="15">
        <f>IF($C165="","",IFERROR(INDEX(Emp_Nom,MATCH($C165,Emp_ID,0)),""))</f>
      </c>
      <c r="E165" s="16">
        <f>IF($C165="","",IFERROR(INDEX(Emp_Poste,MATCH($C165,Emp_ID,0)),""))</f>
      </c>
    </row>
    <row r="166">
      <c r="B166" s="13"/>
      <c r="C166" s="14">
        <f>IFERROR(INDEX(Emp_ID,MATCH(152,Emp_Rang,0)),"")</f>
      </c>
      <c r="D166" s="15">
        <f>IF($C166="","",IFERROR(INDEX(Emp_Nom,MATCH($C166,Emp_ID,0)),""))</f>
      </c>
      <c r="E166" s="16">
        <f>IF($C166="","",IFERROR(INDEX(Emp_Poste,MATCH($C166,Emp_ID,0)),""))</f>
      </c>
    </row>
    <row r="167">
      <c r="B167" s="13"/>
      <c r="C167" s="14">
        <f>IFERROR(INDEX(Emp_ID,MATCH(153,Emp_Rang,0)),"")</f>
      </c>
      <c r="D167" s="15">
        <f>IF($C167="","",IFERROR(INDEX(Emp_Nom,MATCH($C167,Emp_ID,0)),""))</f>
      </c>
      <c r="E167" s="16">
        <f>IF($C167="","",IFERROR(INDEX(Emp_Poste,MATCH($C167,Emp_ID,0)),""))</f>
      </c>
    </row>
    <row r="168">
      <c r="B168" s="13"/>
      <c r="C168" s="14">
        <f>IFERROR(INDEX(Emp_ID,MATCH(154,Emp_Rang,0)),"")</f>
      </c>
      <c r="D168" s="15">
        <f>IF($C168="","",IFERROR(INDEX(Emp_Nom,MATCH($C168,Emp_ID,0)),""))</f>
      </c>
      <c r="E168" s="16">
        <f>IF($C168="","",IFERROR(INDEX(Emp_Poste,MATCH($C168,Emp_ID,0)),""))</f>
      </c>
    </row>
    <row r="169">
      <c r="B169" s="13"/>
      <c r="C169" s="14">
        <f>IFERROR(INDEX(Emp_ID,MATCH(155,Emp_Rang,0)),"")</f>
      </c>
      <c r="D169" s="15">
        <f>IF($C169="","",IFERROR(INDEX(Emp_Nom,MATCH($C169,Emp_ID,0)),""))</f>
      </c>
      <c r="E169" s="16">
        <f>IF($C169="","",IFERROR(INDEX(Emp_Poste,MATCH($C169,Emp_ID,0)),""))</f>
      </c>
    </row>
    <row r="170">
      <c r="B170" s="13"/>
      <c r="C170" s="14">
        <f>IFERROR(INDEX(Emp_ID,MATCH(156,Emp_Rang,0)),"")</f>
      </c>
      <c r="D170" s="15">
        <f>IF($C170="","",IFERROR(INDEX(Emp_Nom,MATCH($C170,Emp_ID,0)),""))</f>
      </c>
      <c r="E170" s="16">
        <f>IF($C170="","",IFERROR(INDEX(Emp_Poste,MATCH($C170,Emp_ID,0)),""))</f>
      </c>
    </row>
    <row r="171">
      <c r="B171" s="13"/>
      <c r="C171" s="14">
        <f>IFERROR(INDEX(Emp_ID,MATCH(157,Emp_Rang,0)),"")</f>
      </c>
      <c r="D171" s="15">
        <f>IF($C171="","",IFERROR(INDEX(Emp_Nom,MATCH($C171,Emp_ID,0)),""))</f>
      </c>
      <c r="E171" s="16">
        <f>IF($C171="","",IFERROR(INDEX(Emp_Poste,MATCH($C171,Emp_ID,0)),""))</f>
      </c>
    </row>
    <row r="172">
      <c r="B172" s="13"/>
      <c r="C172" s="14">
        <f>IFERROR(INDEX(Emp_ID,MATCH(158,Emp_Rang,0)),"")</f>
      </c>
      <c r="D172" s="15">
        <f>IF($C172="","",IFERROR(INDEX(Emp_Nom,MATCH($C172,Emp_ID,0)),""))</f>
      </c>
      <c r="E172" s="16">
        <f>IF($C172="","",IFERROR(INDEX(Emp_Poste,MATCH($C172,Emp_ID,0)),""))</f>
      </c>
    </row>
    <row r="173">
      <c r="B173" s="13"/>
      <c r="C173" s="14">
        <f>IFERROR(INDEX(Emp_ID,MATCH(159,Emp_Rang,0)),"")</f>
      </c>
      <c r="D173" s="15">
        <f>IF($C173="","",IFERROR(INDEX(Emp_Nom,MATCH($C173,Emp_ID,0)),""))</f>
      </c>
      <c r="E173" s="16">
        <f>IF($C173="","",IFERROR(INDEX(Emp_Poste,MATCH($C173,Emp_ID,0)),""))</f>
      </c>
    </row>
    <row r="174">
      <c r="B174" s="13"/>
      <c r="C174" s="14">
        <f>IFERROR(INDEX(Emp_ID,MATCH(160,Emp_Rang,0)),"")</f>
      </c>
      <c r="D174" s="15">
        <f>IF($C174="","",IFERROR(INDEX(Emp_Nom,MATCH($C174,Emp_ID,0)),""))</f>
      </c>
      <c r="E174" s="16">
        <f>IF($C174="","",IFERROR(INDEX(Emp_Poste,MATCH($C174,Emp_ID,0)),""))</f>
      </c>
    </row>
    <row r="175">
      <c r="B175" s="13"/>
      <c r="C175" s="14">
        <f>IFERROR(INDEX(Emp_ID,MATCH(161,Emp_Rang,0)),"")</f>
      </c>
      <c r="D175" s="15">
        <f>IF($C175="","",IFERROR(INDEX(Emp_Nom,MATCH($C175,Emp_ID,0)),""))</f>
      </c>
      <c r="E175" s="16">
        <f>IF($C175="","",IFERROR(INDEX(Emp_Poste,MATCH($C175,Emp_ID,0)),""))</f>
      </c>
    </row>
    <row r="176">
      <c r="B176" s="13"/>
      <c r="C176" s="14">
        <f>IFERROR(INDEX(Emp_ID,MATCH(162,Emp_Rang,0)),"")</f>
      </c>
      <c r="D176" s="15">
        <f>IF($C176="","",IFERROR(INDEX(Emp_Nom,MATCH($C176,Emp_ID,0)),""))</f>
      </c>
      <c r="E176" s="16">
        <f>IF($C176="","",IFERROR(INDEX(Emp_Poste,MATCH($C176,Emp_ID,0)),""))</f>
      </c>
    </row>
    <row r="177">
      <c r="B177" s="13"/>
      <c r="C177" s="14">
        <f>IFERROR(INDEX(Emp_ID,MATCH(163,Emp_Rang,0)),"")</f>
      </c>
      <c r="D177" s="15">
        <f>IF($C177="","",IFERROR(INDEX(Emp_Nom,MATCH($C177,Emp_ID,0)),""))</f>
      </c>
      <c r="E177" s="16">
        <f>IF($C177="","",IFERROR(INDEX(Emp_Poste,MATCH($C177,Emp_ID,0)),""))</f>
      </c>
    </row>
    <row r="178">
      <c r="B178" s="13"/>
      <c r="C178" s="14">
        <f>IFERROR(INDEX(Emp_ID,MATCH(164,Emp_Rang,0)),"")</f>
      </c>
      <c r="D178" s="15">
        <f>IF($C178="","",IFERROR(INDEX(Emp_Nom,MATCH($C178,Emp_ID,0)),""))</f>
      </c>
      <c r="E178" s="16">
        <f>IF($C178="","",IFERROR(INDEX(Emp_Poste,MATCH($C178,Emp_ID,0)),""))</f>
      </c>
    </row>
    <row r="179">
      <c r="B179" s="13"/>
      <c r="C179" s="14">
        <f>IFERROR(INDEX(Emp_ID,MATCH(165,Emp_Rang,0)),"")</f>
      </c>
      <c r="D179" s="15">
        <f>IF($C179="","",IFERROR(INDEX(Emp_Nom,MATCH($C179,Emp_ID,0)),""))</f>
      </c>
      <c r="E179" s="16">
        <f>IF($C179="","",IFERROR(INDEX(Emp_Poste,MATCH($C179,Emp_ID,0)),""))</f>
      </c>
    </row>
    <row r="180">
      <c r="B180" s="13"/>
      <c r="C180" s="14">
        <f>IFERROR(INDEX(Emp_ID,MATCH(166,Emp_Rang,0)),"")</f>
      </c>
      <c r="D180" s="15">
        <f>IF($C180="","",IFERROR(INDEX(Emp_Nom,MATCH($C180,Emp_ID,0)),""))</f>
      </c>
      <c r="E180" s="16">
        <f>IF($C180="","",IFERROR(INDEX(Emp_Poste,MATCH($C180,Emp_ID,0)),""))</f>
      </c>
    </row>
    <row r="181">
      <c r="B181" s="13"/>
      <c r="C181" s="14">
        <f>IFERROR(INDEX(Emp_ID,MATCH(167,Emp_Rang,0)),"")</f>
      </c>
      <c r="D181" s="15">
        <f>IF($C181="","",IFERROR(INDEX(Emp_Nom,MATCH($C181,Emp_ID,0)),""))</f>
      </c>
      <c r="E181" s="16">
        <f>IF($C181="","",IFERROR(INDEX(Emp_Poste,MATCH($C181,Emp_ID,0)),""))</f>
      </c>
    </row>
    <row r="182">
      <c r="B182" s="13"/>
      <c r="C182" s="14">
        <f>IFERROR(INDEX(Emp_ID,MATCH(168,Emp_Rang,0)),"")</f>
      </c>
      <c r="D182" s="15">
        <f>IF($C182="","",IFERROR(INDEX(Emp_Nom,MATCH($C182,Emp_ID,0)),""))</f>
      </c>
      <c r="E182" s="16">
        <f>IF($C182="","",IFERROR(INDEX(Emp_Poste,MATCH($C182,Emp_ID,0)),""))</f>
      </c>
    </row>
    <row r="183">
      <c r="B183" s="13"/>
      <c r="C183" s="14">
        <f>IFERROR(INDEX(Emp_ID,MATCH(169,Emp_Rang,0)),"")</f>
      </c>
      <c r="D183" s="15">
        <f>IF($C183="","",IFERROR(INDEX(Emp_Nom,MATCH($C183,Emp_ID,0)),""))</f>
      </c>
      <c r="E183" s="16">
        <f>IF($C183="","",IFERROR(INDEX(Emp_Poste,MATCH($C183,Emp_ID,0)),""))</f>
      </c>
    </row>
    <row r="184">
      <c r="B184" s="13"/>
      <c r="C184" s="14">
        <f>IFERROR(INDEX(Emp_ID,MATCH(170,Emp_Rang,0)),"")</f>
      </c>
      <c r="D184" s="15">
        <f>IF($C184="","",IFERROR(INDEX(Emp_Nom,MATCH($C184,Emp_ID,0)),""))</f>
      </c>
      <c r="E184" s="16">
        <f>IF($C184="","",IFERROR(INDEX(Emp_Poste,MATCH($C184,Emp_ID,0)),""))</f>
      </c>
    </row>
    <row r="185">
      <c r="B185" s="13"/>
      <c r="C185" s="14">
        <f>IFERROR(INDEX(Emp_ID,MATCH(171,Emp_Rang,0)),"")</f>
      </c>
      <c r="D185" s="15">
        <f>IF($C185="","",IFERROR(INDEX(Emp_Nom,MATCH($C185,Emp_ID,0)),""))</f>
      </c>
      <c r="E185" s="16">
        <f>IF($C185="","",IFERROR(INDEX(Emp_Poste,MATCH($C185,Emp_ID,0)),""))</f>
      </c>
    </row>
    <row r="186">
      <c r="B186" s="13"/>
      <c r="C186" s="14">
        <f>IFERROR(INDEX(Emp_ID,MATCH(172,Emp_Rang,0)),"")</f>
      </c>
      <c r="D186" s="15">
        <f>IF($C186="","",IFERROR(INDEX(Emp_Nom,MATCH($C186,Emp_ID,0)),""))</f>
      </c>
      <c r="E186" s="16">
        <f>IF($C186="","",IFERROR(INDEX(Emp_Poste,MATCH($C186,Emp_ID,0)),""))</f>
      </c>
    </row>
    <row r="187">
      <c r="B187" s="13"/>
      <c r="C187" s="14">
        <f>IFERROR(INDEX(Emp_ID,MATCH(173,Emp_Rang,0)),"")</f>
      </c>
      <c r="D187" s="15">
        <f>IF($C187="","",IFERROR(INDEX(Emp_Nom,MATCH($C187,Emp_ID,0)),""))</f>
      </c>
      <c r="E187" s="16">
        <f>IF($C187="","",IFERROR(INDEX(Emp_Poste,MATCH($C187,Emp_ID,0)),""))</f>
      </c>
    </row>
    <row r="188">
      <c r="B188" s="13"/>
      <c r="C188" s="14">
        <f>IFERROR(INDEX(Emp_ID,MATCH(174,Emp_Rang,0)),"")</f>
      </c>
      <c r="D188" s="15">
        <f>IF($C188="","",IFERROR(INDEX(Emp_Nom,MATCH($C188,Emp_ID,0)),""))</f>
      </c>
      <c r="E188" s="16">
        <f>IF($C188="","",IFERROR(INDEX(Emp_Poste,MATCH($C188,Emp_ID,0)),""))</f>
      </c>
    </row>
    <row r="189">
      <c r="B189" s="13"/>
      <c r="C189" s="14">
        <f>IFERROR(INDEX(Emp_ID,MATCH(175,Emp_Rang,0)),"")</f>
      </c>
      <c r="D189" s="15">
        <f>IF($C189="","",IFERROR(INDEX(Emp_Nom,MATCH($C189,Emp_ID,0)),""))</f>
      </c>
      <c r="E189" s="16">
        <f>IF($C189="","",IFERROR(INDEX(Emp_Poste,MATCH($C189,Emp_ID,0)),""))</f>
      </c>
    </row>
    <row r="190">
      <c r="B190" s="13"/>
      <c r="C190" s="14">
        <f>IFERROR(INDEX(Emp_ID,MATCH(176,Emp_Rang,0)),"")</f>
      </c>
      <c r="D190" s="15">
        <f>IF($C190="","",IFERROR(INDEX(Emp_Nom,MATCH($C190,Emp_ID,0)),""))</f>
      </c>
      <c r="E190" s="16">
        <f>IF($C190="","",IFERROR(INDEX(Emp_Poste,MATCH($C190,Emp_ID,0)),""))</f>
      </c>
    </row>
    <row r="191">
      <c r="B191" s="13"/>
      <c r="C191" s="14">
        <f>IFERROR(INDEX(Emp_ID,MATCH(177,Emp_Rang,0)),"")</f>
      </c>
      <c r="D191" s="15">
        <f>IF($C191="","",IFERROR(INDEX(Emp_Nom,MATCH($C191,Emp_ID,0)),""))</f>
      </c>
      <c r="E191" s="16">
        <f>IF($C191="","",IFERROR(INDEX(Emp_Poste,MATCH($C191,Emp_ID,0)),""))</f>
      </c>
    </row>
    <row r="192">
      <c r="B192" s="13"/>
      <c r="C192" s="14">
        <f>IFERROR(INDEX(Emp_ID,MATCH(178,Emp_Rang,0)),"")</f>
      </c>
      <c r="D192" s="15">
        <f>IF($C192="","",IFERROR(INDEX(Emp_Nom,MATCH($C192,Emp_ID,0)),""))</f>
      </c>
      <c r="E192" s="16">
        <f>IF($C192="","",IFERROR(INDEX(Emp_Poste,MATCH($C192,Emp_ID,0)),""))</f>
      </c>
    </row>
    <row r="193">
      <c r="B193" s="13"/>
      <c r="C193" s="14">
        <f>IFERROR(INDEX(Emp_ID,MATCH(179,Emp_Rang,0)),"")</f>
      </c>
      <c r="D193" s="15">
        <f>IF($C193="","",IFERROR(INDEX(Emp_Nom,MATCH($C193,Emp_ID,0)),""))</f>
      </c>
      <c r="E193" s="16">
        <f>IF($C193="","",IFERROR(INDEX(Emp_Poste,MATCH($C193,Emp_ID,0)),""))</f>
      </c>
    </row>
    <row r="194">
      <c r="B194" s="13"/>
      <c r="C194" s="14">
        <f>IFERROR(INDEX(Emp_ID,MATCH(180,Emp_Rang,0)),"")</f>
      </c>
      <c r="D194" s="15">
        <f>IF($C194="","",IFERROR(INDEX(Emp_Nom,MATCH($C194,Emp_ID,0)),""))</f>
      </c>
      <c r="E194" s="16">
        <f>IF($C194="","",IFERROR(INDEX(Emp_Poste,MATCH($C194,Emp_ID,0)),""))</f>
      </c>
    </row>
    <row r="195">
      <c r="B195" s="13"/>
      <c r="C195" s="14">
        <f>IFERROR(INDEX(Emp_ID,MATCH(181,Emp_Rang,0)),"")</f>
      </c>
      <c r="D195" s="15">
        <f>IF($C195="","",IFERROR(INDEX(Emp_Nom,MATCH($C195,Emp_ID,0)),""))</f>
      </c>
      <c r="E195" s="16">
        <f>IF($C195="","",IFERROR(INDEX(Emp_Poste,MATCH($C195,Emp_ID,0)),""))</f>
      </c>
    </row>
    <row r="196">
      <c r="B196" s="13"/>
      <c r="C196" s="14">
        <f>IFERROR(INDEX(Emp_ID,MATCH(182,Emp_Rang,0)),"")</f>
      </c>
      <c r="D196" s="15">
        <f>IF($C196="","",IFERROR(INDEX(Emp_Nom,MATCH($C196,Emp_ID,0)),""))</f>
      </c>
      <c r="E196" s="16">
        <f>IF($C196="","",IFERROR(INDEX(Emp_Poste,MATCH($C196,Emp_ID,0)),""))</f>
      </c>
    </row>
    <row r="197">
      <c r="B197" s="13"/>
      <c r="C197" s="14">
        <f>IFERROR(INDEX(Emp_ID,MATCH(183,Emp_Rang,0)),"")</f>
      </c>
      <c r="D197" s="15">
        <f>IF($C197="","",IFERROR(INDEX(Emp_Nom,MATCH($C197,Emp_ID,0)),""))</f>
      </c>
      <c r="E197" s="16">
        <f>IF($C197="","",IFERROR(INDEX(Emp_Poste,MATCH($C197,Emp_ID,0)),""))</f>
      </c>
    </row>
    <row r="198">
      <c r="B198" s="13"/>
      <c r="C198" s="14">
        <f>IFERROR(INDEX(Emp_ID,MATCH(184,Emp_Rang,0)),"")</f>
      </c>
      <c r="D198" s="15">
        <f>IF($C198="","",IFERROR(INDEX(Emp_Nom,MATCH($C198,Emp_ID,0)),""))</f>
      </c>
      <c r="E198" s="16">
        <f>IF($C198="","",IFERROR(INDEX(Emp_Poste,MATCH($C198,Emp_ID,0)),""))</f>
      </c>
    </row>
    <row r="199">
      <c r="B199" s="13"/>
      <c r="C199" s="14">
        <f>IFERROR(INDEX(Emp_ID,MATCH(185,Emp_Rang,0)),"")</f>
      </c>
      <c r="D199" s="15">
        <f>IF($C199="","",IFERROR(INDEX(Emp_Nom,MATCH($C199,Emp_ID,0)),""))</f>
      </c>
      <c r="E199" s="16">
        <f>IF($C199="","",IFERROR(INDEX(Emp_Poste,MATCH($C199,Emp_ID,0)),""))</f>
      </c>
    </row>
    <row r="200">
      <c r="B200" s="13"/>
      <c r="C200" s="14">
        <f>IFERROR(INDEX(Emp_ID,MATCH(186,Emp_Rang,0)),"")</f>
      </c>
      <c r="D200" s="15">
        <f>IF($C200="","",IFERROR(INDEX(Emp_Nom,MATCH($C200,Emp_ID,0)),""))</f>
      </c>
      <c r="E200" s="16">
        <f>IF($C200="","",IFERROR(INDEX(Emp_Poste,MATCH($C200,Emp_ID,0)),""))</f>
      </c>
    </row>
    <row r="201">
      <c r="B201" s="13"/>
      <c r="C201" s="14">
        <f>IFERROR(INDEX(Emp_ID,MATCH(187,Emp_Rang,0)),"")</f>
      </c>
      <c r="D201" s="15">
        <f>IF($C201="","",IFERROR(INDEX(Emp_Nom,MATCH($C201,Emp_ID,0)),""))</f>
      </c>
      <c r="E201" s="16">
        <f>IF($C201="","",IFERROR(INDEX(Emp_Poste,MATCH($C201,Emp_ID,0)),""))</f>
      </c>
    </row>
    <row r="202">
      <c r="B202" s="13"/>
      <c r="C202" s="14">
        <f>IFERROR(INDEX(Emp_ID,MATCH(188,Emp_Rang,0)),"")</f>
      </c>
      <c r="D202" s="15">
        <f>IF($C202="","",IFERROR(INDEX(Emp_Nom,MATCH($C202,Emp_ID,0)),""))</f>
      </c>
      <c r="E202" s="16">
        <f>IF($C202="","",IFERROR(INDEX(Emp_Poste,MATCH($C202,Emp_ID,0)),""))</f>
      </c>
    </row>
    <row r="203">
      <c r="B203" s="13"/>
      <c r="C203" s="14">
        <f>IFERROR(INDEX(Emp_ID,MATCH(189,Emp_Rang,0)),"")</f>
      </c>
      <c r="D203" s="15">
        <f>IF($C203="","",IFERROR(INDEX(Emp_Nom,MATCH($C203,Emp_ID,0)),""))</f>
      </c>
      <c r="E203" s="16">
        <f>IF($C203="","",IFERROR(INDEX(Emp_Poste,MATCH($C203,Emp_ID,0)),""))</f>
      </c>
    </row>
    <row r="204">
      <c r="B204" s="13"/>
      <c r="C204" s="14">
        <f>IFERROR(INDEX(Emp_ID,MATCH(190,Emp_Rang,0)),"")</f>
      </c>
      <c r="D204" s="15">
        <f>IF($C204="","",IFERROR(INDEX(Emp_Nom,MATCH($C204,Emp_ID,0)),""))</f>
      </c>
      <c r="E204" s="16">
        <f>IF($C204="","",IFERROR(INDEX(Emp_Poste,MATCH($C204,Emp_ID,0)),""))</f>
      </c>
    </row>
    <row r="205">
      <c r="B205" s="13"/>
      <c r="C205" s="14">
        <f>IFERROR(INDEX(Emp_ID,MATCH(191,Emp_Rang,0)),"")</f>
      </c>
      <c r="D205" s="15">
        <f>IF($C205="","",IFERROR(INDEX(Emp_Nom,MATCH($C205,Emp_ID,0)),""))</f>
      </c>
      <c r="E205" s="16">
        <f>IF($C205="","",IFERROR(INDEX(Emp_Poste,MATCH($C205,Emp_ID,0)),""))</f>
      </c>
    </row>
    <row r="206">
      <c r="B206" s="13"/>
      <c r="C206" s="14">
        <f>IFERROR(INDEX(Emp_ID,MATCH(192,Emp_Rang,0)),"")</f>
      </c>
      <c r="D206" s="15">
        <f>IF($C206="","",IFERROR(INDEX(Emp_Nom,MATCH($C206,Emp_ID,0)),""))</f>
      </c>
      <c r="E206" s="16">
        <f>IF($C206="","",IFERROR(INDEX(Emp_Poste,MATCH($C206,Emp_ID,0)),""))</f>
      </c>
    </row>
    <row r="207">
      <c r="B207" s="13"/>
      <c r="C207" s="14">
        <f>IFERROR(INDEX(Emp_ID,MATCH(193,Emp_Rang,0)),"")</f>
      </c>
      <c r="D207" s="15">
        <f>IF($C207="","",IFERROR(INDEX(Emp_Nom,MATCH($C207,Emp_ID,0)),""))</f>
      </c>
      <c r="E207" s="16">
        <f>IF($C207="","",IFERROR(INDEX(Emp_Poste,MATCH($C207,Emp_ID,0)),""))</f>
      </c>
    </row>
    <row r="208">
      <c r="B208" s="13"/>
      <c r="C208" s="14">
        <f>IFERROR(INDEX(Emp_ID,MATCH(194,Emp_Rang,0)),"")</f>
      </c>
      <c r="D208" s="15">
        <f>IF($C208="","",IFERROR(INDEX(Emp_Nom,MATCH($C208,Emp_ID,0)),""))</f>
      </c>
      <c r="E208" s="16">
        <f>IF($C208="","",IFERROR(INDEX(Emp_Poste,MATCH($C208,Emp_ID,0)),""))</f>
      </c>
    </row>
    <row r="209">
      <c r="B209" s="13"/>
      <c r="C209" s="14">
        <f>IFERROR(INDEX(Emp_ID,MATCH(195,Emp_Rang,0)),"")</f>
      </c>
      <c r="D209" s="15">
        <f>IF($C209="","",IFERROR(INDEX(Emp_Nom,MATCH($C209,Emp_ID,0)),""))</f>
      </c>
      <c r="E209" s="16">
        <f>IF($C209="","",IFERROR(INDEX(Emp_Poste,MATCH($C209,Emp_ID,0)),""))</f>
      </c>
    </row>
    <row r="210">
      <c r="B210" s="13"/>
      <c r="C210" s="14">
        <f>IFERROR(INDEX(Emp_ID,MATCH(196,Emp_Rang,0)),"")</f>
      </c>
      <c r="D210" s="15">
        <f>IF($C210="","",IFERROR(INDEX(Emp_Nom,MATCH($C210,Emp_ID,0)),""))</f>
      </c>
      <c r="E210" s="16">
        <f>IF($C210="","",IFERROR(INDEX(Emp_Poste,MATCH($C210,Emp_ID,0)),""))</f>
      </c>
    </row>
    <row r="211">
      <c r="B211" s="13"/>
      <c r="C211" s="14">
        <f>IFERROR(INDEX(Emp_ID,MATCH(197,Emp_Rang,0)),"")</f>
      </c>
      <c r="D211" s="15">
        <f>IF($C211="","",IFERROR(INDEX(Emp_Nom,MATCH($C211,Emp_ID,0)),""))</f>
      </c>
      <c r="E211" s="16">
        <f>IF($C211="","",IFERROR(INDEX(Emp_Poste,MATCH($C211,Emp_ID,0)),""))</f>
      </c>
    </row>
    <row r="212">
      <c r="B212" s="13"/>
      <c r="C212" s="14">
        <f>IFERROR(INDEX(Emp_ID,MATCH(198,Emp_Rang,0)),"")</f>
      </c>
      <c r="D212" s="15">
        <f>IF($C212="","",IFERROR(INDEX(Emp_Nom,MATCH($C212,Emp_ID,0)),""))</f>
      </c>
      <c r="E212" s="16">
        <f>IF($C212="","",IFERROR(INDEX(Emp_Poste,MATCH($C212,Emp_ID,0)),""))</f>
      </c>
    </row>
    <row r="213">
      <c r="B213" s="13"/>
      <c r="C213" s="14">
        <f>IFERROR(INDEX(Emp_ID,MATCH(199,Emp_Rang,0)),"")</f>
      </c>
      <c r="D213" s="15">
        <f>IF($C213="","",IFERROR(INDEX(Emp_Nom,MATCH($C213,Emp_ID,0)),""))</f>
      </c>
      <c r="E213" s="16">
        <f>IF($C213="","",IFERROR(INDEX(Emp_Poste,MATCH($C213,Emp_ID,0)),""))</f>
      </c>
    </row>
    <row r="214">
      <c r="B214" s="13"/>
      <c r="C214" s="14">
        <f>IFERROR(INDEX(Emp_ID,MATCH(200,Emp_Rang,0)),"")</f>
      </c>
      <c r="D214" s="15">
        <f>IF($C214="","",IFERROR(INDEX(Emp_Nom,MATCH($C214,Emp_ID,0)),""))</f>
      </c>
      <c r="E214" s="16">
        <f>IF($C214="","",IFERROR(INDEX(Emp_Poste,MATCH($C214,Emp_ID,0)),""))</f>
      </c>
    </row>
    <row r="215">
      <c r="B215" s="13"/>
      <c r="C215" s="14">
        <f>IFERROR(INDEX(Emp_ID,MATCH(201,Emp_Rang,0)),"")</f>
      </c>
      <c r="D215" s="15">
        <f>IF($C215="","",IFERROR(INDEX(Emp_Nom,MATCH($C215,Emp_ID,0)),""))</f>
      </c>
      <c r="E215" s="16">
        <f>IF($C215="","",IFERROR(INDEX(Emp_Poste,MATCH($C215,Emp_ID,0)),""))</f>
      </c>
    </row>
    <row r="216">
      <c r="B216" s="13"/>
      <c r="C216" s="14">
        <f>IFERROR(INDEX(Emp_ID,MATCH(202,Emp_Rang,0)),"")</f>
      </c>
      <c r="D216" s="15">
        <f>IF($C216="","",IFERROR(INDEX(Emp_Nom,MATCH($C216,Emp_ID,0)),""))</f>
      </c>
      <c r="E216" s="16">
        <f>IF($C216="","",IFERROR(INDEX(Emp_Poste,MATCH($C216,Emp_ID,0)),""))</f>
      </c>
    </row>
    <row r="217">
      <c r="B217" s="13"/>
      <c r="C217" s="14">
        <f>IFERROR(INDEX(Emp_ID,MATCH(203,Emp_Rang,0)),"")</f>
      </c>
      <c r="D217" s="15">
        <f>IF($C217="","",IFERROR(INDEX(Emp_Nom,MATCH($C217,Emp_ID,0)),""))</f>
      </c>
      <c r="E217" s="16">
        <f>IF($C217="","",IFERROR(INDEX(Emp_Poste,MATCH($C217,Emp_ID,0)),""))</f>
      </c>
    </row>
    <row r="218">
      <c r="B218" s="13"/>
      <c r="C218" s="14">
        <f>IFERROR(INDEX(Emp_ID,MATCH(204,Emp_Rang,0)),"")</f>
      </c>
      <c r="D218" s="15">
        <f>IF($C218="","",IFERROR(INDEX(Emp_Nom,MATCH($C218,Emp_ID,0)),""))</f>
      </c>
      <c r="E218" s="16">
        <f>IF($C218="","",IFERROR(INDEX(Emp_Poste,MATCH($C218,Emp_ID,0)),""))</f>
      </c>
    </row>
    <row r="219">
      <c r="B219" s="13"/>
      <c r="C219" s="14">
        <f>IFERROR(INDEX(Emp_ID,MATCH(205,Emp_Rang,0)),"")</f>
      </c>
      <c r="D219" s="15">
        <f>IF($C219="","",IFERROR(INDEX(Emp_Nom,MATCH($C219,Emp_ID,0)),""))</f>
      </c>
      <c r="E219" s="16">
        <f>IF($C219="","",IFERROR(INDEX(Emp_Poste,MATCH($C219,Emp_ID,0)),""))</f>
      </c>
    </row>
    <row r="220">
      <c r="B220" s="13"/>
      <c r="C220" s="14">
        <f>IFERROR(INDEX(Emp_ID,MATCH(206,Emp_Rang,0)),"")</f>
      </c>
      <c r="D220" s="15">
        <f>IF($C220="","",IFERROR(INDEX(Emp_Nom,MATCH($C220,Emp_ID,0)),""))</f>
      </c>
      <c r="E220" s="16">
        <f>IF($C220="","",IFERROR(INDEX(Emp_Poste,MATCH($C220,Emp_ID,0)),""))</f>
      </c>
    </row>
    <row r="221">
      <c r="B221" s="13"/>
      <c r="C221" s="14">
        <f>IFERROR(INDEX(Emp_ID,MATCH(207,Emp_Rang,0)),"")</f>
      </c>
      <c r="D221" s="15">
        <f>IF($C221="","",IFERROR(INDEX(Emp_Nom,MATCH($C221,Emp_ID,0)),""))</f>
      </c>
      <c r="E221" s="16">
        <f>IF($C221="","",IFERROR(INDEX(Emp_Poste,MATCH($C221,Emp_ID,0)),""))</f>
      </c>
    </row>
    <row r="222">
      <c r="B222" s="13"/>
      <c r="C222" s="14">
        <f>IFERROR(INDEX(Emp_ID,MATCH(208,Emp_Rang,0)),"")</f>
      </c>
      <c r="D222" s="15">
        <f>IF($C222="","",IFERROR(INDEX(Emp_Nom,MATCH($C222,Emp_ID,0)),""))</f>
      </c>
      <c r="E222" s="16">
        <f>IF($C222="","",IFERROR(INDEX(Emp_Poste,MATCH($C222,Emp_ID,0)),""))</f>
      </c>
    </row>
    <row r="223">
      <c r="B223" s="13"/>
      <c r="C223" s="14">
        <f>IFERROR(INDEX(Emp_ID,MATCH(209,Emp_Rang,0)),"")</f>
      </c>
      <c r="D223" s="15">
        <f>IF($C223="","",IFERROR(INDEX(Emp_Nom,MATCH($C223,Emp_ID,0)),""))</f>
      </c>
      <c r="E223" s="16">
        <f>IF($C223="","",IFERROR(INDEX(Emp_Poste,MATCH($C223,Emp_ID,0)),""))</f>
      </c>
    </row>
    <row r="224">
      <c r="B224" s="13"/>
      <c r="C224" s="14">
        <f>IFERROR(INDEX(Emp_ID,MATCH(210,Emp_Rang,0)),"")</f>
      </c>
      <c r="D224" s="15">
        <f>IF($C224="","",IFERROR(INDEX(Emp_Nom,MATCH($C224,Emp_ID,0)),""))</f>
      </c>
      <c r="E224" s="16">
        <f>IF($C224="","",IFERROR(INDEX(Emp_Poste,MATCH($C224,Emp_ID,0)),""))</f>
      </c>
    </row>
    <row r="225">
      <c r="B225" s="13"/>
      <c r="C225" s="14">
        <f>IFERROR(INDEX(Emp_ID,MATCH(211,Emp_Rang,0)),"")</f>
      </c>
      <c r="D225" s="15">
        <f>IF($C225="","",IFERROR(INDEX(Emp_Nom,MATCH($C225,Emp_ID,0)),""))</f>
      </c>
      <c r="E225" s="16">
        <f>IF($C225="","",IFERROR(INDEX(Emp_Poste,MATCH($C225,Emp_ID,0)),""))</f>
      </c>
    </row>
    <row r="226">
      <c r="B226" s="13"/>
      <c r="C226" s="14">
        <f>IFERROR(INDEX(Emp_ID,MATCH(212,Emp_Rang,0)),"")</f>
      </c>
      <c r="D226" s="15">
        <f>IF($C226="","",IFERROR(INDEX(Emp_Nom,MATCH($C226,Emp_ID,0)),""))</f>
      </c>
      <c r="E226" s="16">
        <f>IF($C226="","",IFERROR(INDEX(Emp_Poste,MATCH($C226,Emp_ID,0)),""))</f>
      </c>
    </row>
    <row r="227">
      <c r="B227" s="13"/>
      <c r="C227" s="14">
        <f>IFERROR(INDEX(Emp_ID,MATCH(213,Emp_Rang,0)),"")</f>
      </c>
      <c r="D227" s="15">
        <f>IF($C227="","",IFERROR(INDEX(Emp_Nom,MATCH($C227,Emp_ID,0)),""))</f>
      </c>
      <c r="E227" s="16">
        <f>IF($C227="","",IFERROR(INDEX(Emp_Poste,MATCH($C227,Emp_ID,0)),""))</f>
      </c>
    </row>
    <row r="228">
      <c r="B228" s="13"/>
      <c r="C228" s="14">
        <f>IFERROR(INDEX(Emp_ID,MATCH(214,Emp_Rang,0)),"")</f>
      </c>
      <c r="D228" s="15">
        <f>IF($C228="","",IFERROR(INDEX(Emp_Nom,MATCH($C228,Emp_ID,0)),""))</f>
      </c>
      <c r="E228" s="16">
        <f>IF($C228="","",IFERROR(INDEX(Emp_Poste,MATCH($C228,Emp_ID,0)),""))</f>
      </c>
    </row>
    <row r="229">
      <c r="B229" s="13"/>
      <c r="C229" s="14">
        <f>IFERROR(INDEX(Emp_ID,MATCH(215,Emp_Rang,0)),"")</f>
      </c>
      <c r="D229" s="15">
        <f>IF($C229="","",IFERROR(INDEX(Emp_Nom,MATCH($C229,Emp_ID,0)),""))</f>
      </c>
      <c r="E229" s="16">
        <f>IF($C229="","",IFERROR(INDEX(Emp_Poste,MATCH($C229,Emp_ID,0)),""))</f>
      </c>
    </row>
    <row r="230">
      <c r="B230" s="13"/>
      <c r="C230" s="14">
        <f>IFERROR(INDEX(Emp_ID,MATCH(216,Emp_Rang,0)),"")</f>
      </c>
      <c r="D230" s="15">
        <f>IF($C230="","",IFERROR(INDEX(Emp_Nom,MATCH($C230,Emp_ID,0)),""))</f>
      </c>
      <c r="E230" s="16">
        <f>IF($C230="","",IFERROR(INDEX(Emp_Poste,MATCH($C230,Emp_ID,0)),""))</f>
      </c>
    </row>
    <row r="231">
      <c r="B231" s="13"/>
      <c r="C231" s="14">
        <f>IFERROR(INDEX(Emp_ID,MATCH(217,Emp_Rang,0)),"")</f>
      </c>
      <c r="D231" s="15">
        <f>IF($C231="","",IFERROR(INDEX(Emp_Nom,MATCH($C231,Emp_ID,0)),""))</f>
      </c>
      <c r="E231" s="16">
        <f>IF($C231="","",IFERROR(INDEX(Emp_Poste,MATCH($C231,Emp_ID,0)),""))</f>
      </c>
    </row>
    <row r="232">
      <c r="B232" s="13"/>
      <c r="C232" s="14">
        <f>IFERROR(INDEX(Emp_ID,MATCH(218,Emp_Rang,0)),"")</f>
      </c>
      <c r="D232" s="15">
        <f>IF($C232="","",IFERROR(INDEX(Emp_Nom,MATCH($C232,Emp_ID,0)),""))</f>
      </c>
      <c r="E232" s="16">
        <f>IF($C232="","",IFERROR(INDEX(Emp_Poste,MATCH($C232,Emp_ID,0)),""))</f>
      </c>
    </row>
    <row r="233">
      <c r="B233" s="13"/>
      <c r="C233" s="14">
        <f>IFERROR(INDEX(Emp_ID,MATCH(219,Emp_Rang,0)),"")</f>
      </c>
      <c r="D233" s="15">
        <f>IF($C233="","",IFERROR(INDEX(Emp_Nom,MATCH($C233,Emp_ID,0)),""))</f>
      </c>
      <c r="E233" s="16">
        <f>IF($C233="","",IFERROR(INDEX(Emp_Poste,MATCH($C233,Emp_ID,0)),""))</f>
      </c>
    </row>
    <row r="234">
      <c r="B234" s="13"/>
      <c r="C234" s="14">
        <f>IFERROR(INDEX(Emp_ID,MATCH(220,Emp_Rang,0)),"")</f>
      </c>
      <c r="D234" s="15">
        <f>IF($C234="","",IFERROR(INDEX(Emp_Nom,MATCH($C234,Emp_ID,0)),""))</f>
      </c>
      <c r="E234" s="16">
        <f>IF($C234="","",IFERROR(INDEX(Emp_Poste,MATCH($C234,Emp_ID,0)),""))</f>
      </c>
    </row>
    <row r="235">
      <c r="B235" s="13"/>
      <c r="C235" s="14">
        <f>IFERROR(INDEX(Emp_ID,MATCH(221,Emp_Rang,0)),"")</f>
      </c>
      <c r="D235" s="15">
        <f>IF($C235="","",IFERROR(INDEX(Emp_Nom,MATCH($C235,Emp_ID,0)),""))</f>
      </c>
      <c r="E235" s="16">
        <f>IF($C235="","",IFERROR(INDEX(Emp_Poste,MATCH($C235,Emp_ID,0)),""))</f>
      </c>
    </row>
    <row r="236">
      <c r="B236" s="13"/>
      <c r="C236" s="14">
        <f>IFERROR(INDEX(Emp_ID,MATCH(222,Emp_Rang,0)),"")</f>
      </c>
      <c r="D236" s="15">
        <f>IF($C236="","",IFERROR(INDEX(Emp_Nom,MATCH($C236,Emp_ID,0)),""))</f>
      </c>
      <c r="E236" s="16">
        <f>IF($C236="","",IFERROR(INDEX(Emp_Poste,MATCH($C236,Emp_ID,0)),""))</f>
      </c>
    </row>
    <row r="237">
      <c r="B237" s="13"/>
      <c r="C237" s="14">
        <f>IFERROR(INDEX(Emp_ID,MATCH(223,Emp_Rang,0)),"")</f>
      </c>
      <c r="D237" s="15">
        <f>IF($C237="","",IFERROR(INDEX(Emp_Nom,MATCH($C237,Emp_ID,0)),""))</f>
      </c>
      <c r="E237" s="16">
        <f>IF($C237="","",IFERROR(INDEX(Emp_Poste,MATCH($C237,Emp_ID,0)),""))</f>
      </c>
    </row>
    <row r="238">
      <c r="B238" s="13"/>
      <c r="C238" s="14">
        <f>IFERROR(INDEX(Emp_ID,MATCH(224,Emp_Rang,0)),"")</f>
      </c>
      <c r="D238" s="15">
        <f>IF($C238="","",IFERROR(INDEX(Emp_Nom,MATCH($C238,Emp_ID,0)),""))</f>
      </c>
      <c r="E238" s="16">
        <f>IF($C238="","",IFERROR(INDEX(Emp_Poste,MATCH($C238,Emp_ID,0)),""))</f>
      </c>
    </row>
    <row r="239">
      <c r="B239" s="13"/>
      <c r="C239" s="14">
        <f>IFERROR(INDEX(Emp_ID,MATCH(225,Emp_Rang,0)),"")</f>
      </c>
      <c r="D239" s="15">
        <f>IF($C239="","",IFERROR(INDEX(Emp_Nom,MATCH($C239,Emp_ID,0)),""))</f>
      </c>
      <c r="E239" s="16">
        <f>IF($C239="","",IFERROR(INDEX(Emp_Poste,MATCH($C239,Emp_ID,0)),""))</f>
      </c>
    </row>
    <row r="240">
      <c r="B240" s="13"/>
      <c r="C240" s="14">
        <f>IFERROR(INDEX(Emp_ID,MATCH(226,Emp_Rang,0)),"")</f>
      </c>
      <c r="D240" s="15">
        <f>IF($C240="","",IFERROR(INDEX(Emp_Nom,MATCH($C240,Emp_ID,0)),""))</f>
      </c>
      <c r="E240" s="16">
        <f>IF($C240="","",IFERROR(INDEX(Emp_Poste,MATCH($C240,Emp_ID,0)),""))</f>
      </c>
    </row>
    <row r="241">
      <c r="B241" s="13"/>
      <c r="C241" s="14">
        <f>IFERROR(INDEX(Emp_ID,MATCH(227,Emp_Rang,0)),"")</f>
      </c>
      <c r="D241" s="15">
        <f>IF($C241="","",IFERROR(INDEX(Emp_Nom,MATCH($C241,Emp_ID,0)),""))</f>
      </c>
      <c r="E241" s="16">
        <f>IF($C241="","",IFERROR(INDEX(Emp_Poste,MATCH($C241,Emp_ID,0)),""))</f>
      </c>
    </row>
    <row r="242">
      <c r="B242" s="13"/>
      <c r="C242" s="14">
        <f>IFERROR(INDEX(Emp_ID,MATCH(228,Emp_Rang,0)),"")</f>
      </c>
      <c r="D242" s="15">
        <f>IF($C242="","",IFERROR(INDEX(Emp_Nom,MATCH($C242,Emp_ID,0)),""))</f>
      </c>
      <c r="E242" s="16">
        <f>IF($C242="","",IFERROR(INDEX(Emp_Poste,MATCH($C242,Emp_ID,0)),""))</f>
      </c>
    </row>
    <row r="243">
      <c r="B243" s="13"/>
      <c r="C243" s="14">
        <f>IFERROR(INDEX(Emp_ID,MATCH(229,Emp_Rang,0)),"")</f>
      </c>
      <c r="D243" s="15">
        <f>IF($C243="","",IFERROR(INDEX(Emp_Nom,MATCH($C243,Emp_ID,0)),""))</f>
      </c>
      <c r="E243" s="16">
        <f>IF($C243="","",IFERROR(INDEX(Emp_Poste,MATCH($C243,Emp_ID,0)),""))</f>
      </c>
    </row>
    <row r="244">
      <c r="B244" s="13"/>
      <c r="C244" s="14">
        <f>IFERROR(INDEX(Emp_ID,MATCH(230,Emp_Rang,0)),"")</f>
      </c>
      <c r="D244" s="15">
        <f>IF($C244="","",IFERROR(INDEX(Emp_Nom,MATCH($C244,Emp_ID,0)),""))</f>
      </c>
      <c r="E244" s="16">
        <f>IF($C244="","",IFERROR(INDEX(Emp_Poste,MATCH($C244,Emp_ID,0)),""))</f>
      </c>
    </row>
    <row r="245">
      <c r="B245" s="13"/>
      <c r="C245" s="14">
        <f>IFERROR(INDEX(Emp_ID,MATCH(231,Emp_Rang,0)),"")</f>
      </c>
      <c r="D245" s="15">
        <f>IF($C245="","",IFERROR(INDEX(Emp_Nom,MATCH($C245,Emp_ID,0)),""))</f>
      </c>
      <c r="E245" s="16">
        <f>IF($C245="","",IFERROR(INDEX(Emp_Poste,MATCH($C245,Emp_ID,0)),""))</f>
      </c>
    </row>
    <row r="246">
      <c r="B246" s="13"/>
      <c r="C246" s="14">
        <f>IFERROR(INDEX(Emp_ID,MATCH(232,Emp_Rang,0)),"")</f>
      </c>
      <c r="D246" s="15">
        <f>IF($C246="","",IFERROR(INDEX(Emp_Nom,MATCH($C246,Emp_ID,0)),""))</f>
      </c>
      <c r="E246" s="16">
        <f>IF($C246="","",IFERROR(INDEX(Emp_Poste,MATCH($C246,Emp_ID,0)),""))</f>
      </c>
    </row>
    <row r="247">
      <c r="B247" s="13"/>
      <c r="C247" s="14">
        <f>IFERROR(INDEX(Emp_ID,MATCH(233,Emp_Rang,0)),"")</f>
      </c>
      <c r="D247" s="15">
        <f>IF($C247="","",IFERROR(INDEX(Emp_Nom,MATCH($C247,Emp_ID,0)),""))</f>
      </c>
      <c r="E247" s="16">
        <f>IF($C247="","",IFERROR(INDEX(Emp_Poste,MATCH($C247,Emp_ID,0)),""))</f>
      </c>
    </row>
    <row r="248">
      <c r="B248" s="13"/>
      <c r="C248" s="14">
        <f>IFERROR(INDEX(Emp_ID,MATCH(234,Emp_Rang,0)),"")</f>
      </c>
      <c r="D248" s="15">
        <f>IF($C248="","",IFERROR(INDEX(Emp_Nom,MATCH($C248,Emp_ID,0)),""))</f>
      </c>
      <c r="E248" s="16">
        <f>IF($C248="","",IFERROR(INDEX(Emp_Poste,MATCH($C248,Emp_ID,0)),""))</f>
      </c>
    </row>
    <row r="249">
      <c r="B249" s="13"/>
      <c r="C249" s="14">
        <f>IFERROR(INDEX(Emp_ID,MATCH(235,Emp_Rang,0)),"")</f>
      </c>
      <c r="D249" s="15">
        <f>IF($C249="","",IFERROR(INDEX(Emp_Nom,MATCH($C249,Emp_ID,0)),""))</f>
      </c>
      <c r="E249" s="16">
        <f>IF($C249="","",IFERROR(INDEX(Emp_Poste,MATCH($C249,Emp_ID,0)),""))</f>
      </c>
    </row>
    <row r="250">
      <c r="B250" s="13"/>
      <c r="C250" s="14">
        <f>IFERROR(INDEX(Emp_ID,MATCH(236,Emp_Rang,0)),"")</f>
      </c>
      <c r="D250" s="15">
        <f>IF($C250="","",IFERROR(INDEX(Emp_Nom,MATCH($C250,Emp_ID,0)),""))</f>
      </c>
      <c r="E250" s="16">
        <f>IF($C250="","",IFERROR(INDEX(Emp_Poste,MATCH($C250,Emp_ID,0)),""))</f>
      </c>
    </row>
    <row r="251">
      <c r="B251" s="13"/>
      <c r="C251" s="14">
        <f>IFERROR(INDEX(Emp_ID,MATCH(237,Emp_Rang,0)),"")</f>
      </c>
      <c r="D251" s="15">
        <f>IF($C251="","",IFERROR(INDEX(Emp_Nom,MATCH($C251,Emp_ID,0)),""))</f>
      </c>
      <c r="E251" s="16">
        <f>IF($C251="","",IFERROR(INDEX(Emp_Poste,MATCH($C251,Emp_ID,0)),""))</f>
      </c>
    </row>
    <row r="252">
      <c r="B252" s="13"/>
      <c r="C252" s="14">
        <f>IFERROR(INDEX(Emp_ID,MATCH(238,Emp_Rang,0)),"")</f>
      </c>
      <c r="D252" s="15">
        <f>IF($C252="","",IFERROR(INDEX(Emp_Nom,MATCH($C252,Emp_ID,0)),""))</f>
      </c>
      <c r="E252" s="16">
        <f>IF($C252="","",IFERROR(INDEX(Emp_Poste,MATCH($C252,Emp_ID,0)),""))</f>
      </c>
    </row>
    <row r="253">
      <c r="B253" s="13"/>
      <c r="C253" s="14">
        <f>IFERROR(INDEX(Emp_ID,MATCH(239,Emp_Rang,0)),"")</f>
      </c>
      <c r="D253" s="15">
        <f>IF($C253="","",IFERROR(INDEX(Emp_Nom,MATCH($C253,Emp_ID,0)),""))</f>
      </c>
      <c r="E253" s="16">
        <f>IF($C253="","",IFERROR(INDEX(Emp_Poste,MATCH($C253,Emp_ID,0)),""))</f>
      </c>
    </row>
    <row r="254">
      <c r="B254" s="13"/>
      <c r="C254" s="14">
        <f>IFERROR(INDEX(Emp_ID,MATCH(240,Emp_Rang,0)),"")</f>
      </c>
      <c r="D254" s="15">
        <f>IF($C254="","",IFERROR(INDEX(Emp_Nom,MATCH($C254,Emp_ID,0)),""))</f>
      </c>
      <c r="E254" s="16">
        <f>IF($C254="","",IFERROR(INDEX(Emp_Poste,MATCH($C254,Emp_ID,0)),""))</f>
      </c>
    </row>
    <row r="255">
      <c r="B255" s="13"/>
      <c r="C255" s="14">
        <f>IFERROR(INDEX(Emp_ID,MATCH(241,Emp_Rang,0)),"")</f>
      </c>
      <c r="D255" s="15">
        <f>IF($C255="","",IFERROR(INDEX(Emp_Nom,MATCH($C255,Emp_ID,0)),""))</f>
      </c>
      <c r="E255" s="16">
        <f>IF($C255="","",IFERROR(INDEX(Emp_Poste,MATCH($C255,Emp_ID,0)),""))</f>
      </c>
    </row>
    <row r="256">
      <c r="B256" s="13"/>
      <c r="C256" s="14">
        <f>IFERROR(INDEX(Emp_ID,MATCH(242,Emp_Rang,0)),"")</f>
      </c>
      <c r="D256" s="15">
        <f>IF($C256="","",IFERROR(INDEX(Emp_Nom,MATCH($C256,Emp_ID,0)),""))</f>
      </c>
      <c r="E256" s="16">
        <f>IF($C256="","",IFERROR(INDEX(Emp_Poste,MATCH($C256,Emp_ID,0)),""))</f>
      </c>
    </row>
    <row r="257">
      <c r="B257" s="13"/>
      <c r="C257" s="14">
        <f>IFERROR(INDEX(Emp_ID,MATCH(243,Emp_Rang,0)),"")</f>
      </c>
      <c r="D257" s="15">
        <f>IF($C257="","",IFERROR(INDEX(Emp_Nom,MATCH($C257,Emp_ID,0)),""))</f>
      </c>
      <c r="E257" s="16">
        <f>IF($C257="","",IFERROR(INDEX(Emp_Poste,MATCH($C257,Emp_ID,0)),""))</f>
      </c>
    </row>
    <row r="258">
      <c r="B258" s="13"/>
      <c r="C258" s="14">
        <f>IFERROR(INDEX(Emp_ID,MATCH(244,Emp_Rang,0)),"")</f>
      </c>
      <c r="D258" s="15">
        <f>IF($C258="","",IFERROR(INDEX(Emp_Nom,MATCH($C258,Emp_ID,0)),""))</f>
      </c>
      <c r="E258" s="16">
        <f>IF($C258="","",IFERROR(INDEX(Emp_Poste,MATCH($C258,Emp_ID,0)),""))</f>
      </c>
    </row>
    <row r="259">
      <c r="B259" s="13"/>
      <c r="C259" s="14">
        <f>IFERROR(INDEX(Emp_ID,MATCH(245,Emp_Rang,0)),"")</f>
      </c>
      <c r="D259" s="15">
        <f>IF($C259="","",IFERROR(INDEX(Emp_Nom,MATCH($C259,Emp_ID,0)),""))</f>
      </c>
      <c r="E259" s="16">
        <f>IF($C259="","",IFERROR(INDEX(Emp_Poste,MATCH($C259,Emp_ID,0)),""))</f>
      </c>
    </row>
    <row r="260">
      <c r="B260" s="13"/>
      <c r="C260" s="14">
        <f>IFERROR(INDEX(Emp_ID,MATCH(246,Emp_Rang,0)),"")</f>
      </c>
      <c r="D260" s="15">
        <f>IF($C260="","",IFERROR(INDEX(Emp_Nom,MATCH($C260,Emp_ID,0)),""))</f>
      </c>
      <c r="E260" s="16">
        <f>IF($C260="","",IFERROR(INDEX(Emp_Poste,MATCH($C260,Emp_ID,0)),""))</f>
      </c>
    </row>
    <row r="261">
      <c r="B261" s="13"/>
      <c r="C261" s="14">
        <f>IFERROR(INDEX(Emp_ID,MATCH(247,Emp_Rang,0)),"")</f>
      </c>
      <c r="D261" s="15">
        <f>IF($C261="","",IFERROR(INDEX(Emp_Nom,MATCH($C261,Emp_ID,0)),""))</f>
      </c>
      <c r="E261" s="16">
        <f>IF($C261="","",IFERROR(INDEX(Emp_Poste,MATCH($C261,Emp_ID,0)),""))</f>
      </c>
    </row>
    <row r="262">
      <c r="B262" s="13"/>
      <c r="C262" s="14">
        <f>IFERROR(INDEX(Emp_ID,MATCH(248,Emp_Rang,0)),"")</f>
      </c>
      <c r="D262" s="15">
        <f>IF($C262="","",IFERROR(INDEX(Emp_Nom,MATCH($C262,Emp_ID,0)),""))</f>
      </c>
      <c r="E262" s="16">
        <f>IF($C262="","",IFERROR(INDEX(Emp_Poste,MATCH($C262,Emp_ID,0)),""))</f>
      </c>
    </row>
    <row r="263">
      <c r="B263" s="13"/>
      <c r="C263" s="14">
        <f>IFERROR(INDEX(Emp_ID,MATCH(249,Emp_Rang,0)),"")</f>
      </c>
      <c r="D263" s="15">
        <f>IF($C263="","",IFERROR(INDEX(Emp_Nom,MATCH($C263,Emp_ID,0)),""))</f>
      </c>
      <c r="E263" s="16">
        <f>IF($C263="","",IFERROR(INDEX(Emp_Poste,MATCH($C263,Emp_ID,0)),""))</f>
      </c>
    </row>
    <row r="264">
      <c r="B264" s="13"/>
      <c r="C264" s="14">
        <f>IFERROR(INDEX(Emp_ID,MATCH(250,Emp_Rang,0)),"")</f>
      </c>
      <c r="D264" s="15">
        <f>IF($C264="","",IFERROR(INDEX(Emp_Nom,MATCH($C264,Emp_ID,0)),""))</f>
      </c>
      <c r="E264" s="16">
        <f>IF($C264="","",IFERROR(INDEX(Emp_Poste,MATCH($C264,Emp_ID,0)),""))</f>
      </c>
    </row>
    <row r="265">
      <c r="B265" s="13"/>
      <c r="C265" s="14">
        <f>IFERROR(INDEX(Emp_ID,MATCH(251,Emp_Rang,0)),"")</f>
      </c>
      <c r="D265" s="15">
        <f>IF($C265="","",IFERROR(INDEX(Emp_Nom,MATCH($C265,Emp_ID,0)),""))</f>
      </c>
      <c r="E265" s="16">
        <f>IF($C265="","",IFERROR(INDEX(Emp_Poste,MATCH($C265,Emp_ID,0)),""))</f>
      </c>
    </row>
    <row r="266">
      <c r="B266" s="13"/>
      <c r="C266" s="14">
        <f>IFERROR(INDEX(Emp_ID,MATCH(252,Emp_Rang,0)),"")</f>
      </c>
      <c r="D266" s="15">
        <f>IF($C266="","",IFERROR(INDEX(Emp_Nom,MATCH($C266,Emp_ID,0)),""))</f>
      </c>
      <c r="E266" s="16">
        <f>IF($C266="","",IFERROR(INDEX(Emp_Poste,MATCH($C266,Emp_ID,0)),""))</f>
      </c>
    </row>
    <row r="267">
      <c r="B267" s="13"/>
      <c r="C267" s="14">
        <f>IFERROR(INDEX(Emp_ID,MATCH(253,Emp_Rang,0)),"")</f>
      </c>
      <c r="D267" s="15">
        <f>IF($C267="","",IFERROR(INDEX(Emp_Nom,MATCH($C267,Emp_ID,0)),""))</f>
      </c>
      <c r="E267" s="16">
        <f>IF($C267="","",IFERROR(INDEX(Emp_Poste,MATCH($C267,Emp_ID,0)),""))</f>
      </c>
    </row>
    <row r="268">
      <c r="B268" s="13"/>
      <c r="C268" s="14">
        <f>IFERROR(INDEX(Emp_ID,MATCH(254,Emp_Rang,0)),"")</f>
      </c>
      <c r="D268" s="15">
        <f>IF($C268="","",IFERROR(INDEX(Emp_Nom,MATCH($C268,Emp_ID,0)),""))</f>
      </c>
      <c r="E268" s="16">
        <f>IF($C268="","",IFERROR(INDEX(Emp_Poste,MATCH($C268,Emp_ID,0)),""))</f>
      </c>
    </row>
    <row r="269">
      <c r="B269" s="13"/>
      <c r="C269" s="14">
        <f>IFERROR(INDEX(Emp_ID,MATCH(255,Emp_Rang,0)),"")</f>
      </c>
      <c r="D269" s="15">
        <f>IF($C269="","",IFERROR(INDEX(Emp_Nom,MATCH($C269,Emp_ID,0)),""))</f>
      </c>
      <c r="E269" s="16">
        <f>IF($C269="","",IFERROR(INDEX(Emp_Poste,MATCH($C269,Emp_ID,0)),""))</f>
      </c>
    </row>
    <row r="270">
      <c r="B270" s="13"/>
      <c r="C270" s="14">
        <f>IFERROR(INDEX(Emp_ID,MATCH(256,Emp_Rang,0)),"")</f>
      </c>
      <c r="D270" s="15">
        <f>IF($C270="","",IFERROR(INDEX(Emp_Nom,MATCH($C270,Emp_ID,0)),""))</f>
      </c>
      <c r="E270" s="16">
        <f>IF($C270="","",IFERROR(INDEX(Emp_Poste,MATCH($C270,Emp_ID,0)),""))</f>
      </c>
    </row>
    <row r="271">
      <c r="B271" s="13"/>
      <c r="C271" s="14">
        <f>IFERROR(INDEX(Emp_ID,MATCH(257,Emp_Rang,0)),"")</f>
      </c>
      <c r="D271" s="15">
        <f>IF($C271="","",IFERROR(INDEX(Emp_Nom,MATCH($C271,Emp_ID,0)),""))</f>
      </c>
      <c r="E271" s="16">
        <f>IF($C271="","",IFERROR(INDEX(Emp_Poste,MATCH($C271,Emp_ID,0)),""))</f>
      </c>
    </row>
    <row r="272">
      <c r="B272" s="13"/>
      <c r="C272" s="14">
        <f>IFERROR(INDEX(Emp_ID,MATCH(258,Emp_Rang,0)),"")</f>
      </c>
      <c r="D272" s="15">
        <f>IF($C272="","",IFERROR(INDEX(Emp_Nom,MATCH($C272,Emp_ID,0)),""))</f>
      </c>
      <c r="E272" s="16">
        <f>IF($C272="","",IFERROR(INDEX(Emp_Poste,MATCH($C272,Emp_ID,0)),""))</f>
      </c>
    </row>
    <row r="273">
      <c r="B273" s="13"/>
      <c r="C273" s="14">
        <f>IFERROR(INDEX(Emp_ID,MATCH(259,Emp_Rang,0)),"")</f>
      </c>
      <c r="D273" s="15">
        <f>IF($C273="","",IFERROR(INDEX(Emp_Nom,MATCH($C273,Emp_ID,0)),""))</f>
      </c>
      <c r="E273" s="16">
        <f>IF($C273="","",IFERROR(INDEX(Emp_Poste,MATCH($C273,Emp_ID,0)),""))</f>
      </c>
    </row>
    <row r="274">
      <c r="B274" s="13"/>
      <c r="C274" s="14">
        <f>IFERROR(INDEX(Emp_ID,MATCH(260,Emp_Rang,0)),"")</f>
      </c>
      <c r="D274" s="15">
        <f>IF($C274="","",IFERROR(INDEX(Emp_Nom,MATCH($C274,Emp_ID,0)),""))</f>
      </c>
      <c r="E274" s="16">
        <f>IF($C274="","",IFERROR(INDEX(Emp_Poste,MATCH($C274,Emp_ID,0)),""))</f>
      </c>
    </row>
    <row r="275">
      <c r="B275" s="13"/>
      <c r="C275" s="14">
        <f>IFERROR(INDEX(Emp_ID,MATCH(261,Emp_Rang,0)),"")</f>
      </c>
      <c r="D275" s="15">
        <f>IF($C275="","",IFERROR(INDEX(Emp_Nom,MATCH($C275,Emp_ID,0)),""))</f>
      </c>
      <c r="E275" s="16">
        <f>IF($C275="","",IFERROR(INDEX(Emp_Poste,MATCH($C275,Emp_ID,0)),""))</f>
      </c>
    </row>
    <row r="276">
      <c r="B276" s="13"/>
      <c r="C276" s="14">
        <f>IFERROR(INDEX(Emp_ID,MATCH(262,Emp_Rang,0)),"")</f>
      </c>
      <c r="D276" s="15">
        <f>IF($C276="","",IFERROR(INDEX(Emp_Nom,MATCH($C276,Emp_ID,0)),""))</f>
      </c>
      <c r="E276" s="16">
        <f>IF($C276="","",IFERROR(INDEX(Emp_Poste,MATCH($C276,Emp_ID,0)),""))</f>
      </c>
    </row>
    <row r="277">
      <c r="B277" s="13"/>
      <c r="C277" s="14">
        <f>IFERROR(INDEX(Emp_ID,MATCH(263,Emp_Rang,0)),"")</f>
      </c>
      <c r="D277" s="15">
        <f>IF($C277="","",IFERROR(INDEX(Emp_Nom,MATCH($C277,Emp_ID,0)),""))</f>
      </c>
      <c r="E277" s="16">
        <f>IF($C277="","",IFERROR(INDEX(Emp_Poste,MATCH($C277,Emp_ID,0)),""))</f>
      </c>
    </row>
    <row r="278">
      <c r="B278" s="13"/>
      <c r="C278" s="14">
        <f>IFERROR(INDEX(Emp_ID,MATCH(264,Emp_Rang,0)),"")</f>
      </c>
      <c r="D278" s="15">
        <f>IF($C278="","",IFERROR(INDEX(Emp_Nom,MATCH($C278,Emp_ID,0)),""))</f>
      </c>
      <c r="E278" s="16">
        <f>IF($C278="","",IFERROR(INDEX(Emp_Poste,MATCH($C278,Emp_ID,0)),""))</f>
      </c>
    </row>
    <row r="279">
      <c r="B279" s="13"/>
      <c r="C279" s="14">
        <f>IFERROR(INDEX(Emp_ID,MATCH(265,Emp_Rang,0)),"")</f>
      </c>
      <c r="D279" s="15">
        <f>IF($C279="","",IFERROR(INDEX(Emp_Nom,MATCH($C279,Emp_ID,0)),""))</f>
      </c>
      <c r="E279" s="16">
        <f>IF($C279="","",IFERROR(INDEX(Emp_Poste,MATCH($C279,Emp_ID,0)),""))</f>
      </c>
    </row>
    <row r="280">
      <c r="B280" s="13"/>
      <c r="C280" s="14">
        <f>IFERROR(INDEX(Emp_ID,MATCH(266,Emp_Rang,0)),"")</f>
      </c>
      <c r="D280" s="15">
        <f>IF($C280="","",IFERROR(INDEX(Emp_Nom,MATCH($C280,Emp_ID,0)),""))</f>
      </c>
      <c r="E280" s="16">
        <f>IF($C280="","",IFERROR(INDEX(Emp_Poste,MATCH($C280,Emp_ID,0)),""))</f>
      </c>
    </row>
    <row r="281">
      <c r="B281" s="13"/>
      <c r="C281" s="14">
        <f>IFERROR(INDEX(Emp_ID,MATCH(267,Emp_Rang,0)),"")</f>
      </c>
      <c r="D281" s="15">
        <f>IF($C281="","",IFERROR(INDEX(Emp_Nom,MATCH($C281,Emp_ID,0)),""))</f>
      </c>
      <c r="E281" s="16">
        <f>IF($C281="","",IFERROR(INDEX(Emp_Poste,MATCH($C281,Emp_ID,0)),""))</f>
      </c>
    </row>
    <row r="282">
      <c r="B282" s="13"/>
      <c r="C282" s="14">
        <f>IFERROR(INDEX(Emp_ID,MATCH(268,Emp_Rang,0)),"")</f>
      </c>
      <c r="D282" s="15">
        <f>IF($C282="","",IFERROR(INDEX(Emp_Nom,MATCH($C282,Emp_ID,0)),""))</f>
      </c>
      <c r="E282" s="16">
        <f>IF($C282="","",IFERROR(INDEX(Emp_Poste,MATCH($C282,Emp_ID,0)),""))</f>
      </c>
    </row>
    <row r="283">
      <c r="B283" s="13"/>
      <c r="C283" s="14">
        <f>IFERROR(INDEX(Emp_ID,MATCH(269,Emp_Rang,0)),"")</f>
      </c>
      <c r="D283" s="15">
        <f>IF($C283="","",IFERROR(INDEX(Emp_Nom,MATCH($C283,Emp_ID,0)),""))</f>
      </c>
      <c r="E283" s="16">
        <f>IF($C283="","",IFERROR(INDEX(Emp_Poste,MATCH($C283,Emp_ID,0)),""))</f>
      </c>
    </row>
    <row r="284">
      <c r="B284" s="13"/>
      <c r="C284" s="14">
        <f>IFERROR(INDEX(Emp_ID,MATCH(270,Emp_Rang,0)),"")</f>
      </c>
      <c r="D284" s="15">
        <f>IF($C284="","",IFERROR(INDEX(Emp_Nom,MATCH($C284,Emp_ID,0)),""))</f>
      </c>
      <c r="E284" s="16">
        <f>IF($C284="","",IFERROR(INDEX(Emp_Poste,MATCH($C284,Emp_ID,0)),""))</f>
      </c>
    </row>
    <row r="285">
      <c r="B285" s="13"/>
      <c r="C285" s="14">
        <f>IFERROR(INDEX(Emp_ID,MATCH(271,Emp_Rang,0)),"")</f>
      </c>
      <c r="D285" s="15">
        <f>IF($C285="","",IFERROR(INDEX(Emp_Nom,MATCH($C285,Emp_ID,0)),""))</f>
      </c>
      <c r="E285" s="16">
        <f>IF($C285="","",IFERROR(INDEX(Emp_Poste,MATCH($C285,Emp_ID,0)),""))</f>
      </c>
    </row>
    <row r="286">
      <c r="B286" s="13"/>
      <c r="C286" s="14">
        <f>IFERROR(INDEX(Emp_ID,MATCH(272,Emp_Rang,0)),"")</f>
      </c>
      <c r="D286" s="15">
        <f>IF($C286="","",IFERROR(INDEX(Emp_Nom,MATCH($C286,Emp_ID,0)),""))</f>
      </c>
      <c r="E286" s="16">
        <f>IF($C286="","",IFERROR(INDEX(Emp_Poste,MATCH($C286,Emp_ID,0)),""))</f>
      </c>
    </row>
    <row r="287">
      <c r="B287" s="13"/>
      <c r="C287" s="14">
        <f>IFERROR(INDEX(Emp_ID,MATCH(273,Emp_Rang,0)),"")</f>
      </c>
      <c r="D287" s="15">
        <f>IF($C287="","",IFERROR(INDEX(Emp_Nom,MATCH($C287,Emp_ID,0)),""))</f>
      </c>
      <c r="E287" s="16">
        <f>IF($C287="","",IFERROR(INDEX(Emp_Poste,MATCH($C287,Emp_ID,0)),""))</f>
      </c>
    </row>
    <row r="288">
      <c r="B288" s="13"/>
      <c r="C288" s="14">
        <f>IFERROR(INDEX(Emp_ID,MATCH(274,Emp_Rang,0)),"")</f>
      </c>
      <c r="D288" s="15">
        <f>IF($C288="","",IFERROR(INDEX(Emp_Nom,MATCH($C288,Emp_ID,0)),""))</f>
      </c>
      <c r="E288" s="16">
        <f>IF($C288="","",IFERROR(INDEX(Emp_Poste,MATCH($C288,Emp_ID,0)),""))</f>
      </c>
    </row>
    <row r="289">
      <c r="B289" s="13"/>
      <c r="C289" s="14">
        <f>IFERROR(INDEX(Emp_ID,MATCH(275,Emp_Rang,0)),"")</f>
      </c>
      <c r="D289" s="15">
        <f>IF($C289="","",IFERROR(INDEX(Emp_Nom,MATCH($C289,Emp_ID,0)),""))</f>
      </c>
      <c r="E289" s="16">
        <f>IF($C289="","",IFERROR(INDEX(Emp_Poste,MATCH($C289,Emp_ID,0)),""))</f>
      </c>
    </row>
    <row r="290">
      <c r="B290" s="13"/>
      <c r="C290" s="14">
        <f>IFERROR(INDEX(Emp_ID,MATCH(276,Emp_Rang,0)),"")</f>
      </c>
      <c r="D290" s="15">
        <f>IF($C290="","",IFERROR(INDEX(Emp_Nom,MATCH($C290,Emp_ID,0)),""))</f>
      </c>
      <c r="E290" s="16">
        <f>IF($C290="","",IFERROR(INDEX(Emp_Poste,MATCH($C290,Emp_ID,0)),""))</f>
      </c>
    </row>
    <row r="291">
      <c r="B291" s="13"/>
      <c r="C291" s="14">
        <f>IFERROR(INDEX(Emp_ID,MATCH(277,Emp_Rang,0)),"")</f>
      </c>
      <c r="D291" s="15">
        <f>IF($C291="","",IFERROR(INDEX(Emp_Nom,MATCH($C291,Emp_ID,0)),""))</f>
      </c>
      <c r="E291" s="16">
        <f>IF($C291="","",IFERROR(INDEX(Emp_Poste,MATCH($C291,Emp_ID,0)),""))</f>
      </c>
    </row>
    <row r="292">
      <c r="B292" s="13"/>
      <c r="C292" s="14">
        <f>IFERROR(INDEX(Emp_ID,MATCH(278,Emp_Rang,0)),"")</f>
      </c>
      <c r="D292" s="15">
        <f>IF($C292="","",IFERROR(INDEX(Emp_Nom,MATCH($C292,Emp_ID,0)),""))</f>
      </c>
      <c r="E292" s="16">
        <f>IF($C292="","",IFERROR(INDEX(Emp_Poste,MATCH($C292,Emp_ID,0)),""))</f>
      </c>
    </row>
    <row r="293">
      <c r="B293" s="13"/>
      <c r="C293" s="14">
        <f>IFERROR(INDEX(Emp_ID,MATCH(279,Emp_Rang,0)),"")</f>
      </c>
      <c r="D293" s="15">
        <f>IF($C293="","",IFERROR(INDEX(Emp_Nom,MATCH($C293,Emp_ID,0)),""))</f>
      </c>
      <c r="E293" s="16">
        <f>IF($C293="","",IFERROR(INDEX(Emp_Poste,MATCH($C293,Emp_ID,0)),""))</f>
      </c>
    </row>
    <row r="294">
      <c r="B294" s="13"/>
      <c r="C294" s="14">
        <f>IFERROR(INDEX(Emp_ID,MATCH(280,Emp_Rang,0)),"")</f>
      </c>
      <c r="D294" s="15">
        <f>IF($C294="","",IFERROR(INDEX(Emp_Nom,MATCH($C294,Emp_ID,0)),""))</f>
      </c>
      <c r="E294" s="16">
        <f>IF($C294="","",IFERROR(INDEX(Emp_Poste,MATCH($C294,Emp_ID,0)),""))</f>
      </c>
    </row>
    <row r="295">
      <c r="B295" s="13"/>
      <c r="C295" s="14">
        <f>IFERROR(INDEX(Emp_ID,MATCH(281,Emp_Rang,0)),"")</f>
      </c>
      <c r="D295" s="15">
        <f>IF($C295="","",IFERROR(INDEX(Emp_Nom,MATCH($C295,Emp_ID,0)),""))</f>
      </c>
      <c r="E295" s="16">
        <f>IF($C295="","",IFERROR(INDEX(Emp_Poste,MATCH($C295,Emp_ID,0)),""))</f>
      </c>
    </row>
    <row r="296">
      <c r="B296" s="13"/>
      <c r="C296" s="14">
        <f>IFERROR(INDEX(Emp_ID,MATCH(282,Emp_Rang,0)),"")</f>
      </c>
      <c r="D296" s="15">
        <f>IF($C296="","",IFERROR(INDEX(Emp_Nom,MATCH($C296,Emp_ID,0)),""))</f>
      </c>
      <c r="E296" s="16">
        <f>IF($C296="","",IFERROR(INDEX(Emp_Poste,MATCH($C296,Emp_ID,0)),""))</f>
      </c>
    </row>
    <row r="297">
      <c r="B297" s="13"/>
      <c r="C297" s="14">
        <f>IFERROR(INDEX(Emp_ID,MATCH(283,Emp_Rang,0)),"")</f>
      </c>
      <c r="D297" s="15">
        <f>IF($C297="","",IFERROR(INDEX(Emp_Nom,MATCH($C297,Emp_ID,0)),""))</f>
      </c>
      <c r="E297" s="16">
        <f>IF($C297="","",IFERROR(INDEX(Emp_Poste,MATCH($C297,Emp_ID,0)),""))</f>
      </c>
    </row>
    <row r="298">
      <c r="B298" s="13"/>
      <c r="C298" s="14">
        <f>IFERROR(INDEX(Emp_ID,MATCH(284,Emp_Rang,0)),"")</f>
      </c>
      <c r="D298" s="15">
        <f>IF($C298="","",IFERROR(INDEX(Emp_Nom,MATCH($C298,Emp_ID,0)),""))</f>
      </c>
      <c r="E298" s="16">
        <f>IF($C298="","",IFERROR(INDEX(Emp_Poste,MATCH($C298,Emp_ID,0)),""))</f>
      </c>
    </row>
    <row r="299">
      <c r="B299" s="13"/>
      <c r="C299" s="14">
        <f>IFERROR(INDEX(Emp_ID,MATCH(285,Emp_Rang,0)),"")</f>
      </c>
      <c r="D299" s="15">
        <f>IF($C299="","",IFERROR(INDEX(Emp_Nom,MATCH($C299,Emp_ID,0)),""))</f>
      </c>
      <c r="E299" s="16">
        <f>IF($C299="","",IFERROR(INDEX(Emp_Poste,MATCH($C299,Emp_ID,0)),""))</f>
      </c>
    </row>
    <row r="300">
      <c r="B300" s="13"/>
      <c r="C300" s="14">
        <f>IFERROR(INDEX(Emp_ID,MATCH(286,Emp_Rang,0)),"")</f>
      </c>
      <c r="D300" s="15">
        <f>IF($C300="","",IFERROR(INDEX(Emp_Nom,MATCH($C300,Emp_ID,0)),""))</f>
      </c>
      <c r="E300" s="16">
        <f>IF($C300="","",IFERROR(INDEX(Emp_Poste,MATCH($C300,Emp_ID,0)),""))</f>
      </c>
    </row>
    <row r="301">
      <c r="B301" s="13"/>
      <c r="C301" s="14">
        <f>IFERROR(INDEX(Emp_ID,MATCH(287,Emp_Rang,0)),"")</f>
      </c>
      <c r="D301" s="15">
        <f>IF($C301="","",IFERROR(INDEX(Emp_Nom,MATCH($C301,Emp_ID,0)),""))</f>
      </c>
      <c r="E301" s="16">
        <f>IF($C301="","",IFERROR(INDEX(Emp_Poste,MATCH($C301,Emp_ID,0)),""))</f>
      </c>
    </row>
    <row r="302">
      <c r="B302" s="13"/>
      <c r="C302" s="14">
        <f>IFERROR(INDEX(Emp_ID,MATCH(288,Emp_Rang,0)),"")</f>
      </c>
      <c r="D302" s="15">
        <f>IF($C302="","",IFERROR(INDEX(Emp_Nom,MATCH($C302,Emp_ID,0)),""))</f>
      </c>
      <c r="E302" s="16">
        <f>IF($C302="","",IFERROR(INDEX(Emp_Poste,MATCH($C302,Emp_ID,0)),""))</f>
      </c>
    </row>
    <row r="303">
      <c r="B303" s="13"/>
      <c r="C303" s="14">
        <f>IFERROR(INDEX(Emp_ID,MATCH(289,Emp_Rang,0)),"")</f>
      </c>
      <c r="D303" s="15">
        <f>IF($C303="","",IFERROR(INDEX(Emp_Nom,MATCH($C303,Emp_ID,0)),""))</f>
      </c>
      <c r="E303" s="16">
        <f>IF($C303="","",IFERROR(INDEX(Emp_Poste,MATCH($C303,Emp_ID,0)),""))</f>
      </c>
    </row>
    <row r="304">
      <c r="B304" s="13"/>
      <c r="C304" s="14">
        <f>IFERROR(INDEX(Emp_ID,MATCH(290,Emp_Rang,0)),"")</f>
      </c>
      <c r="D304" s="15">
        <f>IF($C304="","",IFERROR(INDEX(Emp_Nom,MATCH($C304,Emp_ID,0)),""))</f>
      </c>
      <c r="E304" s="16">
        <f>IF($C304="","",IFERROR(INDEX(Emp_Poste,MATCH($C304,Emp_ID,0)),""))</f>
      </c>
    </row>
    <row r="305">
      <c r="B305" s="13"/>
      <c r="C305" s="14">
        <f>IFERROR(INDEX(Emp_ID,MATCH(291,Emp_Rang,0)),"")</f>
      </c>
      <c r="D305" s="15">
        <f>IF($C305="","",IFERROR(INDEX(Emp_Nom,MATCH($C305,Emp_ID,0)),""))</f>
      </c>
      <c r="E305" s="16">
        <f>IF($C305="","",IFERROR(INDEX(Emp_Poste,MATCH($C305,Emp_ID,0)),""))</f>
      </c>
    </row>
    <row r="306">
      <c r="B306" s="13"/>
      <c r="C306" s="14">
        <f>IFERROR(INDEX(Emp_ID,MATCH(292,Emp_Rang,0)),"")</f>
      </c>
      <c r="D306" s="15">
        <f>IF($C306="","",IFERROR(INDEX(Emp_Nom,MATCH($C306,Emp_ID,0)),""))</f>
      </c>
      <c r="E306" s="16">
        <f>IF($C306="","",IFERROR(INDEX(Emp_Poste,MATCH($C306,Emp_ID,0)),""))</f>
      </c>
    </row>
    <row r="307">
      <c r="B307" s="13"/>
      <c r="C307" s="14">
        <f>IFERROR(INDEX(Emp_ID,MATCH(293,Emp_Rang,0)),"")</f>
      </c>
      <c r="D307" s="15">
        <f>IF($C307="","",IFERROR(INDEX(Emp_Nom,MATCH($C307,Emp_ID,0)),""))</f>
      </c>
      <c r="E307" s="16">
        <f>IF($C307="","",IFERROR(INDEX(Emp_Poste,MATCH($C307,Emp_ID,0)),""))</f>
      </c>
    </row>
    <row r="308">
      <c r="B308" s="13"/>
      <c r="C308" s="14">
        <f>IFERROR(INDEX(Emp_ID,MATCH(294,Emp_Rang,0)),"")</f>
      </c>
      <c r="D308" s="15">
        <f>IF($C308="","",IFERROR(INDEX(Emp_Nom,MATCH($C308,Emp_ID,0)),""))</f>
      </c>
      <c r="E308" s="16">
        <f>IF($C308="","",IFERROR(INDEX(Emp_Poste,MATCH($C308,Emp_ID,0)),""))</f>
      </c>
    </row>
    <row r="309">
      <c r="B309" s="13"/>
      <c r="C309" s="14">
        <f>IFERROR(INDEX(Emp_ID,MATCH(295,Emp_Rang,0)),"")</f>
      </c>
      <c r="D309" s="15">
        <f>IF($C309="","",IFERROR(INDEX(Emp_Nom,MATCH($C309,Emp_ID,0)),""))</f>
      </c>
      <c r="E309" s="16">
        <f>IF($C309="","",IFERROR(INDEX(Emp_Poste,MATCH($C309,Emp_ID,0)),""))</f>
      </c>
    </row>
    <row r="310">
      <c r="B310" s="13"/>
      <c r="C310" s="14">
        <f>IFERROR(INDEX(Emp_ID,MATCH(296,Emp_Rang,0)),"")</f>
      </c>
      <c r="D310" s="15">
        <f>IF($C310="","",IFERROR(INDEX(Emp_Nom,MATCH($C310,Emp_ID,0)),""))</f>
      </c>
      <c r="E310" s="16">
        <f>IF($C310="","",IFERROR(INDEX(Emp_Poste,MATCH($C310,Emp_ID,0)),""))</f>
      </c>
    </row>
    <row r="311">
      <c r="B311" s="13"/>
      <c r="C311" s="14">
        <f>IFERROR(INDEX(Emp_ID,MATCH(297,Emp_Rang,0)),"")</f>
      </c>
      <c r="D311" s="15">
        <f>IF($C311="","",IFERROR(INDEX(Emp_Nom,MATCH($C311,Emp_ID,0)),""))</f>
      </c>
      <c r="E311" s="16">
        <f>IF($C311="","",IFERROR(INDEX(Emp_Poste,MATCH($C311,Emp_ID,0)),""))</f>
      </c>
    </row>
    <row r="312">
      <c r="B312" s="13"/>
      <c r="C312" s="14">
        <f>IFERROR(INDEX(Emp_ID,MATCH(298,Emp_Rang,0)),"")</f>
      </c>
      <c r="D312" s="15">
        <f>IF($C312="","",IFERROR(INDEX(Emp_Nom,MATCH($C312,Emp_ID,0)),""))</f>
      </c>
      <c r="E312" s="16">
        <f>IF($C312="","",IFERROR(INDEX(Emp_Poste,MATCH($C312,Emp_ID,0)),""))</f>
      </c>
    </row>
    <row r="313">
      <c r="B313" s="13"/>
      <c r="C313" s="14">
        <f>IFERROR(INDEX(Emp_ID,MATCH(299,Emp_Rang,0)),"")</f>
      </c>
      <c r="D313" s="15">
        <f>IF($C313="","",IFERROR(INDEX(Emp_Nom,MATCH($C313,Emp_ID,0)),""))</f>
      </c>
      <c r="E313" s="16">
        <f>IF($C313="","",IFERROR(INDEX(Emp_Poste,MATCH($C313,Emp_ID,0)),""))</f>
      </c>
    </row>
    <row r="314">
      <c r="B314" s="13"/>
      <c r="C314" s="14">
        <f>IFERROR(INDEX(Emp_ID,MATCH(300,Emp_Rang,0)),"")</f>
      </c>
      <c r="D314" s="15">
        <f>IF($C314="","",IFERROR(INDEX(Emp_Nom,MATCH($C314,Emp_ID,0)),""))</f>
      </c>
      <c r="E314" s="16">
        <f>IF($C314="","",IFERROR(INDEX(Emp_Poste,MATCH($C314,Emp_ID,0)),""))</f>
      </c>
    </row>
  </sheetData>
  <sheetProtection sheet="1" objects="1" scenarios="1" formatCells="0" formatColumns="0" formatRows="0" selectLockedCells="1" selectUnlockedCells="1"/>
  <mergeCells count="3">
    <mergeCell ref="B1:E1"/>
    <mergeCell ref="B2:E2"/>
    <mergeCell ref="C9:E9"/>
  </mergeCells>
  <conditionalFormatting sqref="B15:B314">
    <cfRule type="expression" dxfId="1" priority="1">
      <formula>$B15&lt;&gt;""</formula>
    </cfRule>
  </conditionalFormatting>
  <conditionalFormatting sqref="C15:E314">
    <cfRule type="expression" dxfId="0" priority="6">
      <formula>MOD(ROW(),2)=0</formula>
    </cfRule>
  </conditionalFormatting>
  <printOptions horizontalCentered="1"/>
  <pageMargins left="0.4" right="0.4" top="0.5" bottom="0.5" header="0.2" footer="0.2"/>
  <pageSetup paperSize="9" orientation="portrait" fitToWidth="1" fitToHeight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sImpression">
    <tabColor rgb="FF808080"/>
    <pageSetUpPr fitToPage="1"/>
  </sheetPr>
  <dimension ref="B1:E5"/>
  <sheetViews>
    <sheetView showGridLines="0" workbookViewId="0"/>
  </sheetViews>
  <sheetFormatPr defaultRowHeight="15"/>
  <cols>
    <col min="1" max="1" width="3" customWidth="1"/>
    <col min="2" max="2" width="8" customWidth="1"/>
    <col min="3" max="3" width="16" customWidth="1"/>
    <col min="4" max="4" width="40" customWidth="1"/>
    <col min="5" max="5" width="28" customWidth="1"/>
    <col min="7" max="7" width="16" customWidth="1"/>
    <col min="8" max="8" width="16" customWidth="1"/>
    <col min="9" max="9" width="14" customWidth="1" hidden="1"/>
  </cols>
  <sheetData>
    <row r="1" ht="30" customHeight="1">
      <c r="B1" s="2">
        <f>NomEntreprise</f>
      </c>
    </row>
    <row r="2" ht="24" customHeight="1">
      <c r="B2" s="4" t="inlineStr">
        <is>
          <t xml:space="preserve">LISTE DE PRÉSENCE</t>
        </is>
      </c>
    </row>
    <row r="3" ht="22" customHeight="1">
      <c r="B3" s="7" t="inlineStr">
        <is>
          <t xml:space="preserve">Date :</t>
        </is>
      </c>
      <c r="C3" s="11">
        <v>46209</v>
      </c>
      <c r="D3" s="7" t="inlineStr">
        <is>
          <t xml:space="preserve">Chantier :</t>
        </is>
      </c>
      <c r="E3" s="25"/>
    </row>
    <row r="5" ht="24" customHeight="1">
      <c r="B5" s="5" t="inlineStr">
        <is>
          <t xml:space="preserve">N°</t>
        </is>
      </c>
      <c r="C5" s="5" t="inlineStr">
        <is>
          <t xml:space="preserve">ID</t>
        </is>
      </c>
      <c r="D5" s="5" t="inlineStr">
        <is>
          <t xml:space="preserve">Nom et Prénom</t>
        </is>
      </c>
      <c r="E5" s="5" t="inlineStr">
        <is>
          <t xml:space="preserve">Poste</t>
        </is>
      </c>
    </row>
  </sheetData>
  <sheetProtection sheet="1" objects="1" scenarios="1" formatCells="0" formatColumns="0" formatRows="0" selectLockedCells="1" selectUnlockedCells="1"/>
  <mergeCells count="2">
    <mergeCell ref="B1:E1"/>
    <mergeCell ref="B2:E2"/>
  </mergeCells>
  <dataValidations count="1">
    <dataValidation type="list" allowBlank="1" showInputMessage="1" showErrorMessage="1" sqref="C3">
      <formula1>DatesDisponibles</formula1>
    </dataValidation>
  </dataValidations>
  <printOptions horizontalCentered="1"/>
  <pageMargins left="0.4" right="0.4" top="0.5" bottom="0.5" header="0.2" footer="0.2"/>
  <pageSetup paperSize="9" orientation="portrait" fitToWidth="1" fitToHeight="1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sHistorique">
    <tabColor rgb="FF1F3864"/>
    <pageSetUpPr fitToPage="1"/>
  </sheetPr>
  <dimension ref="B1:G3"/>
  <sheetViews>
    <sheetView showGridLines="0" workbookViewId="0">
      <pane ySplit="3" topLeftCell="A4" activePane="bottomRight" state="frozen"/>
      <selection pane="bottomRight" activeCell="A4" sqref="A4"/>
    </sheetView>
  </sheetViews>
  <sheetFormatPr defaultRowHeight="15"/>
  <cols>
    <col min="1" max="1" width="3" customWidth="1"/>
    <col min="2" max="2" width="14" customWidth="1"/>
    <col min="3" max="3" width="16" customWidth="1"/>
    <col min="4" max="4" width="30" customWidth="1"/>
    <col min="5" max="5" width="22" customWidth="1"/>
    <col min="6" max="6" width="12" customWidth="1"/>
    <col min="7" max="7" width="20" customWidth="1"/>
  </cols>
  <sheetData>
    <row r="1" ht="40" customHeight="1">
      <c r="B1" s="1" t="inlineStr">
        <is>
          <t xml:space="preserve">  HISTORIQUE DES PRÉSENCES</t>
        </is>
      </c>
    </row>
    <row r="2" ht="18" customHeight="1">
      <c r="B2" s="3" t="inlineStr">
        <is>
          <t xml:space="preserve">  Chaque journée enregistrée est conservée ici. Ne pas modifier ni supprimer manuellement.</t>
        </is>
      </c>
    </row>
    <row r="3" ht="26" customHeight="1">
      <c r="B3" s="5" t="inlineStr">
        <is>
          <t xml:space="preserve">Date</t>
        </is>
      </c>
      <c r="C3" s="5" t="inlineStr">
        <is>
          <t xml:space="preserve">ID</t>
        </is>
      </c>
      <c r="D3" s="5" t="inlineStr">
        <is>
          <t xml:space="preserve">Nom et Prénom</t>
        </is>
      </c>
      <c r="E3" s="5" t="inlineStr">
        <is>
          <t xml:space="preserve">Poste</t>
        </is>
      </c>
      <c r="F3" s="5" t="inlineStr">
        <is>
          <t xml:space="preserve">Présent</t>
        </is>
      </c>
      <c r="G3" s="5" t="inlineStr">
        <is>
          <t xml:space="preserve">Chantier</t>
        </is>
      </c>
    </row>
  </sheetData>
  <sheetProtection sheet="1" objects="1" scenarios="1" formatCells="0" formatColumns="0" formatRows="0" selectLockedCells="1" selectUnlockedCells="1"/>
  <autoFilter ref="B3:G3"/>
  <mergeCells count="2">
    <mergeCell ref="B1:G1"/>
    <mergeCell ref="B2:G2"/>
  </mergeCells>
  <printOptions horizontalCentered="1"/>
  <pageMargins left="0.4" right="0.4" top="0.5" bottom="0.5" header="0.2" footer="0.2"/>
  <pageSetup paperSize="9" orientation="landscape" fitToWidth="1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wsParametres">
    <tabColor rgb="FF2A9D8F"/>
    <pageSetUpPr fitToPage="1"/>
  </sheetPr>
  <dimension ref="B1:D22"/>
  <sheetViews>
    <sheetView showGridLines="0" workbookViewId="0"/>
  </sheetViews>
  <sheetFormatPr defaultRowHeight="15"/>
  <cols>
    <col min="1" max="1" width="3" customWidth="1"/>
    <col min="2" max="2" width="34" customWidth="1"/>
    <col min="3" max="3" width="44" customWidth="1"/>
    <col min="4" max="4" width="30" customWidth="1"/>
  </cols>
  <sheetData>
    <row r="1" ht="40" customHeight="1">
      <c r="B1" s="1" t="inlineStr">
        <is>
          <t xml:space="preserve">  PARAMÈTRES DU CLASSEUR</t>
        </is>
      </c>
    </row>
    <row r="2" ht="18" customHeight="1">
      <c r="B2" s="3" t="inlineStr">
        <is>
          <t xml:space="preserve">  Configurez ici le classeur sans toucher aux formules ni au code.</t>
        </is>
      </c>
    </row>
    <row r="4" ht="20" customHeight="1">
      <c r="B4" s="26" t="inlineStr">
        <is>
          <t xml:space="preserve">  Général</t>
        </is>
      </c>
    </row>
    <row r="5" ht="22" customHeight="1">
      <c r="B5" s="8" t="inlineStr">
        <is>
          <t xml:space="preserve">Nom de l'entreprise</t>
        </is>
      </c>
      <c r="C5" s="9" t="inlineStr">
        <is>
          <t xml:space="preserve">Mon Entreprise BTP</t>
        </is>
      </c>
      <c r="D5" s="23" t="inlineStr">
        <is>
          <t xml:space="preserve">Apparaît sur toutes les feuilles et l'impression.</t>
        </is>
      </c>
    </row>
    <row r="6" ht="22" customHeight="1">
      <c r="B6" s="8" t="inlineStr">
        <is>
          <t xml:space="preserve">Chantier par défaut</t>
        </is>
      </c>
      <c r="C6" s="9" t="inlineStr">
        <is>
          <t xml:space="preserve">Chantier principal</t>
        </is>
      </c>
      <c r="D6" s="23" t="inlineStr">
        <is>
          <t xml:space="preserve">Proposé automatiquement chaque matin.</t>
        </is>
      </c>
    </row>
    <row r="8" ht="20" customHeight="1">
      <c r="B8" s="26" t="inlineStr">
        <is>
          <t xml:space="preserve">  Impression / PDF</t>
        </is>
      </c>
    </row>
    <row r="9" ht="22" customHeight="1">
      <c r="B9" s="8" t="inlineStr">
        <is>
          <t xml:space="preserve">Dossier d'export PDF</t>
        </is>
      </c>
      <c r="C9" s="9"/>
      <c r="D9" s="23" t="inlineStr">
        <is>
          <t xml:space="preserve">Laisser vide = dossier du classeur.</t>
        </is>
      </c>
    </row>
    <row r="10" ht="22" customHeight="1">
      <c r="B10" s="8" t="inlineStr">
        <is>
          <t xml:space="preserve">Marque de présence</t>
        </is>
      </c>
      <c r="C10" s="9" t="inlineStr">
        <is>
          <t xml:space="preserve">X</t>
        </is>
      </c>
      <c r="D10" s="23" t="inlineStr">
        <is>
          <t xml:space="preserve">Symbole utilisé pour cocher (info).</t>
        </is>
      </c>
    </row>
    <row r="12" ht="20" customHeight="1">
      <c r="B12" s="26" t="inlineStr">
        <is>
          <t xml:space="preserve">  Logo de l'entreprise</t>
        </is>
      </c>
    </row>
    <row r="13">
      <c r="B13" s="27" t="inlineStr">
        <is>
          <t xml:space="preserve">  (Insérez ici le logo : Insertion ▸ Images)</t>
        </is>
      </c>
      <c r="D13" s="23" t="inlineStr">
        <is>
          <t xml:space="preserve">Emplacement réservé au logo. L'image n'est pas gérée par les macros.</t>
        </is>
      </c>
    </row>
    <row r="20" ht="20" customHeight="1">
      <c r="B20" s="26" t="inlineStr">
        <is>
          <t xml:space="preserve">  Options générales</t>
        </is>
      </c>
    </row>
    <row r="21" ht="20" customHeight="1">
      <c r="B21" s="8" t="inlineStr">
        <is>
          <t xml:space="preserve">Capacité employés</t>
        </is>
      </c>
      <c r="C21" s="24" t="inlineStr">
        <is>
          <t xml:space="preserve">300 employés</t>
        </is>
      </c>
    </row>
    <row r="22" ht="20" customHeight="1">
      <c r="B22" s="8" t="inlineStr">
        <is>
          <t xml:space="preserve">Capacité historique</t>
        </is>
      </c>
      <c r="C22" s="24" t="inlineStr">
        <is>
          <t xml:space="preserve">Illimitée (plusieurs milliers)</t>
        </is>
      </c>
    </row>
  </sheetData>
  <sheetProtection sheet="1" objects="1" scenarios="1" formatCells="0" formatColumns="0" formatRows="0" selectLockedCells="1" selectUnlockedCells="1"/>
  <mergeCells count="7">
    <mergeCell ref="B1:D1"/>
    <mergeCell ref="B2:D2"/>
    <mergeCell ref="B4:D4"/>
    <mergeCell ref="B8:D8"/>
    <mergeCell ref="B12:D12"/>
    <mergeCell ref="B13:C18"/>
    <mergeCell ref="B20:D20"/>
  </mergeCells>
  <printOptions horizontalCentered="1"/>
  <pageMargins left="0.4" right="0.4" top="0.5" bottom="0.5" header="0.2" footer="0.2"/>
  <pageSetup paperSize="9" orientation="portrait" fitToWidth="1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wsGuide">
    <tabColor rgb="FFBF9000"/>
    <pageSetUpPr fitToPage="1"/>
  </sheetPr>
  <dimension ref="B1:B40"/>
  <sheetViews>
    <sheetView showGridLines="0" workbookViewId="0"/>
  </sheetViews>
  <sheetFormatPr defaultRowHeight="15"/>
  <cols>
    <col min="1" max="1" width="3" customWidth="1"/>
    <col min="2" max="2" width="100" customWidth="1"/>
  </cols>
  <sheetData>
    <row r="1" ht="40" customHeight="1">
      <c r="B1" s="1" t="inlineStr">
        <is>
          <t xml:space="preserve">  GUIDE D'UTILISATION</t>
        </is>
      </c>
    </row>
    <row r="3" ht="32" customHeight="1">
      <c r="B3" s="30" t="inlineStr">
        <is>
          <t xml:space="preserve">Bienvenue ! Ce classeur est un logiciel de gestion des présences. Suivez ce guide pour l'utiliser chaque matin en moins de deux minutes.</t>
        </is>
      </c>
    </row>
    <row r="5" ht="24" customHeight="1">
      <c r="B5" s="28" t="inlineStr">
        <is>
          <t xml:space="preserve">  1. Première configuration (à faire une seule fois)</t>
        </is>
      </c>
    </row>
    <row r="6" ht="30" customHeight="1">
      <c r="B6" s="29" t="inlineStr">
        <is>
          <t xml:space="preserve">• Ouvrez l'onglet « Paramètres » et saisissez le nom de votre entreprise et le chantier par défaut.</t>
        </is>
      </c>
    </row>
    <row r="7" ht="44" customHeight="1">
      <c r="B7" s="29" t="inlineStr">
        <is>
          <t xml:space="preserve">• Ouvrez l'onglet « Employés » et saisissez vos employés : ID, Nom et Prénom, Poste, Équipe et Statut (Actif/Inactif). Les ID existent déjà chez vous, il n'y a rien à générer.</t>
        </is>
      </c>
    </row>
    <row r="8" ht="30" customHeight="1">
      <c r="B8" s="29" t="inlineStr">
        <is>
          <t xml:space="preserve">• Pour modifier un employé : changez simplement son nom ou son poste ; la modification apparaît automatiquement partout.</t>
        </is>
      </c>
    </row>
    <row r="9" ht="30" customHeight="1">
      <c r="B9" s="29" t="inlineStr">
        <is>
          <t xml:space="preserve">• Pour désactiver un employé : mettez son Statut sur « Inactif ». Il disparaît alors de la feuille de présence, sans perdre son historique.</t>
        </is>
      </c>
    </row>
    <row r="10" ht="30" customHeight="1">
      <c r="B10" s="29" t="inlineStr">
        <is>
          <t xml:space="preserve">• Enregistrez le fichier au format .xlsm (Fichier ▸ Enregistrer sous ▸ « Classeur Excel prenant en charge les macros (*.xlsm) »).</t>
        </is>
      </c>
    </row>
    <row r="11" ht="30" customHeight="1">
      <c r="B11" s="29" t="inlineStr">
        <is>
          <t xml:space="preserve">• À la première ouverture, cliquez sur « Activer les macros » (barre d'avertissement jaune en haut).</t>
        </is>
      </c>
    </row>
    <row r="13" ht="24" customHeight="1">
      <c r="B13" s="28" t="inlineStr">
        <is>
          <t xml:space="preserve">  2. Utilisation quotidienne (chaque matin)</t>
        </is>
      </c>
    </row>
    <row r="14">
      <c r="B14" s="30" t="inlineStr">
        <is>
          <t xml:space="preserve">1)  Ouvrez le fichier.</t>
        </is>
      </c>
    </row>
    <row r="15">
      <c r="B15" s="30" t="inlineStr">
        <is>
          <t xml:space="preserve">2)  Allez sur l'onglet « Présence du Jour ».</t>
        </is>
      </c>
    </row>
    <row r="16">
      <c r="B16" s="30" t="inlineStr">
        <is>
          <t xml:space="preserve">3)  Vérifiez la date (elle se met automatiquement au jour actuel).</t>
        </is>
      </c>
    </row>
    <row r="17" ht="32" customHeight="1">
      <c r="B17" s="30" t="inlineStr">
        <is>
          <t xml:space="preserve">4)  Cochez les employés présents : double-cliquez dans la colonne « Présent » (un « X » vert apparaît). Double-cliquez à nouveau pour décocher.</t>
        </is>
      </c>
    </row>
    <row r="18">
      <c r="B18" s="30" t="inlineStr">
        <is>
          <t xml:space="preserve">5)  Cliquez sur le bouton « Enregistrer la journée ».</t>
        </is>
      </c>
    </row>
    <row r="19" ht="30" customHeight="1">
      <c r="B19" s="30" t="inlineStr">
        <is>
          <t xml:space="preserve">6)  Vérifiez la feuille « Liste à imprimer » (elle est générée automatiquement).</t>
        </is>
      </c>
    </row>
    <row r="20">
      <c r="B20" s="30" t="inlineStr">
        <is>
          <t xml:space="preserve">7)  Cliquez sur « Imprimer » ou « Exporter en PDF ».</t>
        </is>
      </c>
    </row>
    <row r="21" ht="30" customHeight="1">
      <c r="B21" s="29" t="inlineStr">
        <is>
          <t xml:space="preserve">Astuce : utilisez « Tout cocher » / « Tout décocher » et la barre de recherche pour aller encore plus vite.</t>
        </is>
      </c>
    </row>
    <row r="23" ht="24" customHeight="1">
      <c r="B23" s="28" t="inlineStr">
        <is>
          <t xml:space="preserve">  3. Consulter et réimprimer une journée passée</t>
        </is>
      </c>
    </row>
    <row r="24" ht="20" customHeight="1">
      <c r="B24" s="29" t="inlineStr">
        <is>
          <t xml:space="preserve">• Allez sur l'onglet « Liste à imprimer ».</t>
        </is>
      </c>
    </row>
    <row r="25" ht="30" customHeight="1">
      <c r="B25" s="29" t="inlineStr">
        <is>
          <t xml:space="preserve">• Dans la case « Date », choisissez une date dans la liste déroulante : la liste des présents de ce jour s'affiche automatiquement.</t>
        </is>
      </c>
    </row>
    <row r="26" ht="20" customHeight="1">
      <c r="B26" s="29" t="inlineStr">
        <is>
          <t xml:space="preserve">• Cliquez sur « Imprimer » ou « Exporter en PDF » pour cette journée.</t>
        </is>
      </c>
    </row>
    <row r="27" ht="30" customHeight="1">
      <c r="B27" s="29" t="inlineStr">
        <is>
          <t xml:space="preserve">• L'onglet « Historique » conserve toutes les journées enregistrées. Ne le modifiez pas manuellement.</t>
        </is>
      </c>
    </row>
    <row r="29" ht="24" customHeight="1">
      <c r="B29" s="28" t="inlineStr">
        <is>
          <t xml:space="preserve">  4. Sauvegarde et bonnes pratiques</t>
        </is>
      </c>
    </row>
    <row r="30" ht="20" customHeight="1">
      <c r="B30" s="29" t="inlineStr">
        <is>
          <t xml:space="preserve">• Le classeur se sauvegarde automatiquement avant chaque impression/export.</t>
        </is>
      </c>
    </row>
    <row r="31" ht="30" customHeight="1">
      <c r="B31" s="29" t="inlineStr">
        <is>
          <t xml:space="preserve">• Faites régulièrement une copie de sécurité du fichier .xlsm (sur une clé USB ou un espace partagé).</t>
        </is>
      </c>
    </row>
    <row r="32" ht="20" customHeight="1">
      <c r="B32" s="29" t="inlineStr">
        <is>
          <t xml:space="preserve">• Ne supprimez jamais la feuille « Historique » ni la feuille « Employés ».</t>
        </is>
      </c>
    </row>
    <row r="33" ht="20" customHeight="1">
      <c r="B33" s="29" t="inlineStr">
        <is>
          <t xml:space="preserve">• Si un bouton ne réagit pas, vérifiez que les macros sont activées.</t>
        </is>
      </c>
    </row>
    <row r="35" ht="24" customHeight="1">
      <c r="B35" s="28" t="inlineStr">
        <is>
          <t xml:space="preserve">  5. Les feuilles du classeur</t>
        </is>
      </c>
    </row>
    <row r="36" ht="20" customHeight="1">
      <c r="B36" s="29" t="inlineStr">
        <is>
          <t xml:space="preserve">• Employés : la liste de votre personnel (informations fixes).</t>
        </is>
      </c>
    </row>
    <row r="37" ht="20" customHeight="1">
      <c r="B37" s="29" t="inlineStr">
        <is>
          <t xml:space="preserve">• Présence du Jour : la saisie quotidienne (feuille principale).</t>
        </is>
      </c>
    </row>
    <row r="38" ht="20" customHeight="1">
      <c r="B38" s="29" t="inlineStr">
        <is>
          <t xml:space="preserve">• Liste à imprimer : la liste propre, prête à imprimer.</t>
        </is>
      </c>
    </row>
    <row r="39" ht="20" customHeight="1">
      <c r="B39" s="29" t="inlineStr">
        <is>
          <t xml:space="preserve">• Historique : l'archive de toutes les journées.</t>
        </is>
      </c>
    </row>
    <row r="40" ht="20" customHeight="1">
      <c r="B40" s="29" t="inlineStr">
        <is>
          <t xml:space="preserve">• Paramètres : la configuration du classeur.</t>
        </is>
      </c>
    </row>
  </sheetData>
  <sheetProtection sheet="1" objects="1" scenarios="1" formatCells="0" formatColumns="0" formatRows="0" selectLockedCells="1" selectUnlockedCells="1"/>
  <printOptions horizontalCentered="1"/>
  <pageMargins left="0.4" right="0.4" top="0.5" bottom="0.5" header="0.2" footer="0.2"/>
  <pageSetup paperSize="9" orientation="portrait" fitToWidth="1" fitToHeight="0"/>
</worksheet>
</file>

<file path=docProps/app.xml><?xml version="1.0" encoding="utf-8"?>
<Properties xmlns="http://schemas.openxmlformats.org/officeDocument/2006/extended-properties">
  <Application>Kiro xlsxgen</Application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Gestion des Présences</dc:title>
  <dc:creator>Kiro</dc:creator>
  <dcterms:created xsi:type="dcterms:W3CDTF">2026-07-06T23:27:54Z</dcterms:created>
  <dcterms:modified xsi:type="dcterms:W3CDTF">2026-07-06T23:27:54Z</dcterms:modified>
</cp:coreProperties>
</file>