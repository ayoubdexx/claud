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7" lowestEdited="7" rupBuild="10000"/>
  <workbookPr codeName="ThisWorkbook" defaultThemeVersion="166925"/>
  <bookViews>
    <workbookView activeTab="0"/>
  </bookViews>
  <sheets>
    <sheet name="Présence du Mois" sheetId="1" r:id="rId1"/>
    <sheet name="Feuille du Jour" sheetId="2" r:id="rId2"/>
  </sheets>
  <calcPr calcId="0" fullCalcOnLoad="1"/>
</workbook>
</file>

<file path=xl/styles.xml><?xml version="1.0" encoding="utf-8"?>
<styleSheet xmlns="http://schemas.openxmlformats.org/spreadsheetml/2006/main">
  <numFmts count="1">
    <numFmt numFmtId="164" formatCode="mmmm yyyy"/>
  </numFmts>
  <fonts count="19">
    <font>
      <sz val="11"/>
      <color rgb="FF000000"/>
      <name val="Calibri"/>
    </font>
    <font>
      <b/>
      <sz val="18"/>
      <color rgb="FFFFFFFF"/>
      <name val="Calibri"/>
    </font>
    <font>
      <i/>
      <sz val="11"/>
      <color rgb="FF7F8C8D"/>
      <name val="Calibri"/>
    </font>
    <font>
      <i/>
      <sz val="10"/>
      <color rgb="FF7F8C8D"/>
      <name val="Calibri"/>
    </font>
    <font>
      <b/>
      <sz val="11"/>
      <color rgb="FF2C3E50"/>
      <name val="Calibri"/>
    </font>
    <font>
      <b/>
      <sz val="13"/>
      <color rgb="FF7D6608"/>
      <name val="Calibri"/>
    </font>
    <font>
      <b/>
      <sz val="12"/>
      <color rgb="FF7D6608"/>
      <name val="Calibri"/>
    </font>
    <font>
      <b/>
      <sz val="14"/>
      <color rgb="FF7D6608"/>
      <name val="Calibri"/>
    </font>
    <font>
      <b/>
      <sz val="14"/>
      <color rgb="FF2C3E50"/>
      <name val="Calibri"/>
    </font>
    <font>
      <b/>
      <sz val="12"/>
      <color rgb="FF2C3E50"/>
      <name val="Calibri"/>
    </font>
    <font>
      <b/>
      <sz val="11"/>
      <color rgb="FFFFFFFF"/>
      <name val="Calibri"/>
    </font>
    <font>
      <b/>
      <sz val="10"/>
      <color rgb="FFFFFFFF"/>
      <name val="Calibri"/>
    </font>
    <font>
      <sz val="9"/>
      <color rgb="FFFFFFFF"/>
      <name val="Calibri"/>
    </font>
    <font>
      <sz val="11"/>
      <color rgb="FF7F8C8D"/>
      <name val="Calibri"/>
    </font>
    <font>
      <sz val="11"/>
      <color rgb="FF2C3E50"/>
      <name val="Calibri"/>
    </font>
    <font>
      <b/>
      <sz val="11"/>
      <color rgb="FF1E8449"/>
      <name val="Calibri"/>
    </font>
    <font>
      <b/>
      <sz val="12"/>
      <color rgb="FF1E8449"/>
      <name val="Calibri"/>
    </font>
    <font>
      <b/>
      <sz val="10"/>
      <color rgb="FF2C3E50"/>
      <name val="Calibri"/>
    </font>
    <font>
      <b/>
      <sz val="12"/>
      <color rgb="FFFFFFFF"/>
      <name val="Calibri"/>
    </font>
  </fonts>
  <fills count="6">
    <fill>
      <patternFill patternType="none"/>
    </fill>
    <fill>
      <patternFill patternType="gray125"/>
    </fill>
    <fill>
      <patternFill patternType="solid">
        <fgColor rgb="FF2C3E50"/>
        <bgColor rgb="FF2C3E50"/>
      </patternFill>
    </fill>
    <fill>
      <patternFill patternType="solid">
        <fgColor rgb="FFFEF9E7"/>
        <bgColor rgb="FFFEF9E7"/>
      </patternFill>
    </fill>
    <fill>
      <patternFill patternType="solid">
        <fgColor rgb="FF34495E"/>
        <bgColor rgb="FF34495E"/>
      </patternFill>
    </fill>
    <fill>
      <patternFill patternType="solid">
        <fgColor rgb="FFECF0F1"/>
        <bgColor rgb="FFECF0F1"/>
      </patternFill>
    </fill>
  </fills>
  <borders count="2">
    <border>
      <left/>
      <right/>
      <top/>
      <bottom/>
      <diagonal/>
    </border>
    <border>
      <left style="thin">
        <color rgb="FFBDC3C7"/>
      </left>
      <right style="thin">
        <color rgb="FFBDC3C7"/>
      </right>
      <top style="thin">
        <color rgb="FFBDC3C7"/>
      </top>
      <bottom style="thin">
        <color rgb="FFBDC3C7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2" borderId="0" xfId="0" applyFont="1" applyFill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right" vertical="center"/>
    </xf>
    <xf numFmtId="164" fontId="5" fillId="3" borderId="1" xfId="0" applyNumberFormat="1" applyFont="1" applyFill="1" applyBorder="1" applyAlignment="1" applyProtection="1">
      <alignment horizontal="center" vertical="center"/>
      <protection locked="0"/>
    </xf>
    <xf numFmtId="0" fontId="6" fillId="3" borderId="1" xfId="0" applyFont="1" applyFill="1" applyBorder="1" applyAlignment="1" applyProtection="1">
      <alignment horizontal="left"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10" fillId="4" borderId="1" xfId="0" applyFont="1" applyFill="1" applyBorder="1" applyAlignment="1">
      <alignment horizontal="center" vertical="center" wrapText="1"/>
    </xf>
    <xf numFmtId="0" fontId="11" fillId="4" borderId="1" xfId="0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4" fillId="0" borderId="1" xfId="0" applyFont="1" applyBorder="1" applyAlignment="1" applyProtection="1">
      <alignment horizontal="center" vertical="center"/>
      <protection locked="0"/>
    </xf>
    <xf numFmtId="0" fontId="14" fillId="0" borderId="1" xfId="0" applyFont="1" applyBorder="1" applyAlignment="1" applyProtection="1">
      <alignment horizontal="left" vertical="center"/>
      <protection locked="0"/>
    </xf>
    <xf numFmtId="0" fontId="13" fillId="0" borderId="1" xfId="0" applyFont="1" applyBorder="1" applyAlignment="1" applyProtection="1">
      <alignment horizontal="left" vertical="center"/>
      <protection locked="0"/>
    </xf>
    <xf numFmtId="0" fontId="15" fillId="0" borderId="1" xfId="0" applyFont="1" applyBorder="1" applyAlignment="1">
      <alignment horizontal="center" vertical="center"/>
    </xf>
    <xf numFmtId="0" fontId="16" fillId="0" borderId="1" xfId="0" applyFont="1" applyBorder="1" applyAlignment="1" applyProtection="1">
      <alignment horizontal="center" vertical="center"/>
      <protection locked="0"/>
    </xf>
    <xf numFmtId="0" fontId="17" fillId="5" borderId="1" xfId="0" applyFont="1" applyFill="1" applyBorder="1" applyAlignment="1">
      <alignment horizontal="center" vertical="center"/>
    </xf>
    <xf numFmtId="0" fontId="17" fillId="5" borderId="1" xfId="0" applyFont="1" applyFill="1" applyBorder="1" applyAlignment="1">
      <alignment horizontal="right" vertical="center"/>
    </xf>
    <xf numFmtId="0" fontId="18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4">
    <dxf>
      <font>
        <b/>
        <color rgb="FF1E8449"/>
      </font>
      <fill>
        <patternFill>
          <bgColor rgb="FFD5F5E3"/>
        </patternFill>
      </fill>
    </dxf>
    <dxf>
      <fill>
        <patternFill>
          <bgColor rgb="FFEAF1F8"/>
        </patternFill>
      </fill>
    </dxf>
    <dxf>
      <fill>
        <patternFill>
          <bgColor rgb="FFE3E7E9"/>
        </patternFill>
      </fill>
    </dxf>
    <dxf>
      <fill>
        <patternFill>
          <bgColor rgb="FFF4F6F7"/>
        </patternFill>
      </fill>
    </dxf>
  </dxfs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styles" Target="styles.xml"/><Relationship Id="rId4" Type="http://schemas.microsoft.com/office/2006/relationships/vbaProject" Target="vbaProject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wsMois"/>
  <dimension ref="B1:AK86"/>
  <sheetViews>
    <sheetView showGridLines="0" workbookViewId="0">
      <pane xSplit="6" ySplit="5" topLeftCell="G6" activePane="bottomRight" state="frozen"/>
      <selection pane="bottomRight" activeCell="G6" sqref="G6"/>
    </sheetView>
  </sheetViews>
  <sheetFormatPr defaultRowHeight="18"/>
  <cols>
    <col min="1" max="1" width="2.5" customWidth="1"/>
    <col min="2" max="2" width="5" customWidth="1"/>
    <col min="3" max="3" width="13" customWidth="1"/>
    <col min="4" max="4" width="28" customWidth="1"/>
    <col min="5" max="5" width="16" customWidth="1"/>
    <col min="6" max="6" width="7" customWidth="1"/>
    <col min="7" max="7" width="3.6" customWidth="1"/>
    <col min="8" max="8" width="3.6" customWidth="1"/>
    <col min="9" max="9" width="3.6" customWidth="1"/>
    <col min="10" max="10" width="3.6" customWidth="1"/>
    <col min="11" max="11" width="3.6" customWidth="1"/>
    <col min="12" max="12" width="3.6" customWidth="1"/>
    <col min="13" max="13" width="3.6" customWidth="1"/>
    <col min="14" max="14" width="3.6" customWidth="1"/>
    <col min="15" max="15" width="3.6" customWidth="1"/>
    <col min="16" max="16" width="3.6" customWidth="1"/>
    <col min="17" max="17" width="3.6" customWidth="1"/>
    <col min="18" max="18" width="3.6" customWidth="1"/>
    <col min="19" max="19" width="3.6" customWidth="1"/>
    <col min="20" max="20" width="3.6" customWidth="1"/>
    <col min="21" max="21" width="3.6" customWidth="1"/>
    <col min="22" max="22" width="3.6" customWidth="1"/>
    <col min="23" max="23" width="3.6" customWidth="1"/>
    <col min="24" max="24" width="3.6" customWidth="1"/>
    <col min="25" max="25" width="3.6" customWidth="1"/>
    <col min="26" max="26" width="3.6" customWidth="1"/>
    <col min="27" max="27" width="3.6" customWidth="1"/>
    <col min="28" max="28" width="3.6" customWidth="1"/>
    <col min="29" max="29" width="3.6" customWidth="1"/>
    <col min="30" max="30" width="3.6" customWidth="1"/>
    <col min="31" max="31" width="3.6" customWidth="1"/>
    <col min="32" max="32" width="3.6" customWidth="1"/>
    <col min="33" max="33" width="3.6" customWidth="1"/>
    <col min="34" max="34" width="3.6" customWidth="1"/>
    <col min="35" max="35" width="3.6" customWidth="1"/>
    <col min="36" max="36" width="3.6" customWidth="1"/>
    <col min="37" max="37" width="3.6" customWidth="1"/>
  </cols>
  <sheetData>
    <row r="1" ht="30" customHeight="1">
      <c r="B1" s="1" t="inlineStr">
        <is>
          <t xml:space="preserve">PRÉSENCE DU MOIS</t>
        </is>
      </c>
    </row>
    <row r="2" ht="22" customHeight="1">
      <c r="B2" s="4" t="inlineStr">
        <is>
          <t xml:space="preserve">Mois :</t>
        </is>
      </c>
      <c r="C2" s="5">
        <v>46204</v>
      </c>
    </row>
    <row r="3" ht="20" customHeight="1">
      <c r="B3" s="4" t="inlineStr">
        <is>
          <t xml:space="preserve">Chantier :</t>
        </is>
      </c>
      <c r="C3" s="6" t="inlineStr">
        <is>
          <t xml:space="preserve"/>
        </is>
      </c>
    </row>
    <row r="4" ht="16" customHeight="1">
      <c r="B4" s="3" t="inlineStr">
        <is>
          <t xml:space="preserve">Double-cliquez sur une case pour marquer ✓ présent.</t>
        </is>
      </c>
      <c r="F4" s="10" t="inlineStr">
        <is>
          <t xml:space="preserve">Total</t>
        </is>
      </c>
      <c r="G4" s="12">
        <f>IF(G5="","",LEFT(TEXT(DATE(YEAR($C$2),MONTH($C$2),G5),"ddd"),1))</f>
      </c>
      <c r="H4" s="12">
        <f>IF(H5="","",LEFT(TEXT(DATE(YEAR($C$2),MONTH($C$2),H5),"ddd"),1))</f>
      </c>
      <c r="I4" s="12">
        <f>IF(I5="","",LEFT(TEXT(DATE(YEAR($C$2),MONTH($C$2),I5),"ddd"),1))</f>
      </c>
      <c r="J4" s="12">
        <f>IF(J5="","",LEFT(TEXT(DATE(YEAR($C$2),MONTH($C$2),J5),"ddd"),1))</f>
      </c>
      <c r="K4" s="12">
        <f>IF(K5="","",LEFT(TEXT(DATE(YEAR($C$2),MONTH($C$2),K5),"ddd"),1))</f>
      </c>
      <c r="L4" s="12">
        <f>IF(L5="","",LEFT(TEXT(DATE(YEAR($C$2),MONTH($C$2),L5),"ddd"),1))</f>
      </c>
      <c r="M4" s="12">
        <f>IF(M5="","",LEFT(TEXT(DATE(YEAR($C$2),MONTH($C$2),M5),"ddd"),1))</f>
      </c>
      <c r="N4" s="12">
        <f>IF(N5="","",LEFT(TEXT(DATE(YEAR($C$2),MONTH($C$2),N5),"ddd"),1))</f>
      </c>
      <c r="O4" s="12">
        <f>IF(O5="","",LEFT(TEXT(DATE(YEAR($C$2),MONTH($C$2),O5),"ddd"),1))</f>
      </c>
      <c r="P4" s="12">
        <f>IF(P5="","",LEFT(TEXT(DATE(YEAR($C$2),MONTH($C$2),P5),"ddd"),1))</f>
      </c>
      <c r="Q4" s="12">
        <f>IF(Q5="","",LEFT(TEXT(DATE(YEAR($C$2),MONTH($C$2),Q5),"ddd"),1))</f>
      </c>
      <c r="R4" s="12">
        <f>IF(R5="","",LEFT(TEXT(DATE(YEAR($C$2),MONTH($C$2),R5),"ddd"),1))</f>
      </c>
      <c r="S4" s="12">
        <f>IF(S5="","",LEFT(TEXT(DATE(YEAR($C$2),MONTH($C$2),S5),"ddd"),1))</f>
      </c>
      <c r="T4" s="12">
        <f>IF(T5="","",LEFT(TEXT(DATE(YEAR($C$2),MONTH($C$2),T5),"ddd"),1))</f>
      </c>
      <c r="U4" s="12">
        <f>IF(U5="","",LEFT(TEXT(DATE(YEAR($C$2),MONTH($C$2),U5),"ddd"),1))</f>
      </c>
      <c r="V4" s="12">
        <f>IF(V5="","",LEFT(TEXT(DATE(YEAR($C$2),MONTH($C$2),V5),"ddd"),1))</f>
      </c>
      <c r="W4" s="12">
        <f>IF(W5="","",LEFT(TEXT(DATE(YEAR($C$2),MONTH($C$2),W5),"ddd"),1))</f>
      </c>
      <c r="X4" s="12">
        <f>IF(X5="","",LEFT(TEXT(DATE(YEAR($C$2),MONTH($C$2),X5),"ddd"),1))</f>
      </c>
      <c r="Y4" s="12">
        <f>IF(Y5="","",LEFT(TEXT(DATE(YEAR($C$2),MONTH($C$2),Y5),"ddd"),1))</f>
      </c>
      <c r="Z4" s="12">
        <f>IF(Z5="","",LEFT(TEXT(DATE(YEAR($C$2),MONTH($C$2),Z5),"ddd"),1))</f>
      </c>
      <c r="AA4" s="12">
        <f>IF(AA5="","",LEFT(TEXT(DATE(YEAR($C$2),MONTH($C$2),AA5),"ddd"),1))</f>
      </c>
      <c r="AB4" s="12">
        <f>IF(AB5="","",LEFT(TEXT(DATE(YEAR($C$2),MONTH($C$2),AB5),"ddd"),1))</f>
      </c>
      <c r="AC4" s="12">
        <f>IF(AC5="","",LEFT(TEXT(DATE(YEAR($C$2),MONTH($C$2),AC5),"ddd"),1))</f>
      </c>
      <c r="AD4" s="12">
        <f>IF(AD5="","",LEFT(TEXT(DATE(YEAR($C$2),MONTH($C$2),AD5),"ddd"),1))</f>
      </c>
      <c r="AE4" s="12">
        <f>IF(AE5="","",LEFT(TEXT(DATE(YEAR($C$2),MONTH($C$2),AE5),"ddd"),1))</f>
      </c>
      <c r="AF4" s="12">
        <f>IF(AF5="","",LEFT(TEXT(DATE(YEAR($C$2),MONTH($C$2),AF5),"ddd"),1))</f>
      </c>
      <c r="AG4" s="12">
        <f>IF(AG5="","",LEFT(TEXT(DATE(YEAR($C$2),MONTH($C$2),AG5),"ddd"),1))</f>
      </c>
      <c r="AH4" s="12">
        <f>IF(AH5="","",LEFT(TEXT(DATE(YEAR($C$2),MONTH($C$2),AH5),"ddd"),1))</f>
      </c>
      <c r="AI4" s="12">
        <f>IF(AI5="","",LEFT(TEXT(DATE(YEAR($C$2),MONTH($C$2),AI5),"ddd"),1))</f>
      </c>
      <c r="AJ4" s="12">
        <f>IF(AJ5="","",LEFT(TEXT(DATE(YEAR($C$2),MONTH($C$2),AJ5),"ddd"),1))</f>
      </c>
      <c r="AK4" s="12">
        <f>IF(AK5="","",LEFT(TEXT(DATE(YEAR($C$2),MONTH($C$2),AK5),"ddd"),1))</f>
      </c>
    </row>
    <row r="5" ht="20" customHeight="1">
      <c r="B5" s="10" t="inlineStr">
        <is>
          <t xml:space="preserve">N°</t>
        </is>
      </c>
      <c r="C5" s="10" t="inlineStr">
        <is>
          <t xml:space="preserve">ID</t>
        </is>
      </c>
      <c r="D5" s="10" t="inlineStr">
        <is>
          <t xml:space="preserve">Nom et Prénom</t>
        </is>
      </c>
      <c r="E5" s="10" t="inlineStr">
        <is>
          <t xml:space="preserve">Poste</t>
        </is>
      </c>
      <c r="F5" s="10" t="inlineStr">
        <is>
          <t xml:space="preserve"/>
        </is>
      </c>
      <c r="G5" s="11">
        <f>IF(COLUMN()-6&lt;=DAY(EOMONTH($C$2,0)),COLUMN()-6,"")</f>
      </c>
      <c r="H5" s="11">
        <f>IF(COLUMN()-6&lt;=DAY(EOMONTH($C$2,0)),COLUMN()-6,"")</f>
      </c>
      <c r="I5" s="11">
        <f>IF(COLUMN()-6&lt;=DAY(EOMONTH($C$2,0)),COLUMN()-6,"")</f>
      </c>
      <c r="J5" s="11">
        <f>IF(COLUMN()-6&lt;=DAY(EOMONTH($C$2,0)),COLUMN()-6,"")</f>
      </c>
      <c r="K5" s="11">
        <f>IF(COLUMN()-6&lt;=DAY(EOMONTH($C$2,0)),COLUMN()-6,"")</f>
      </c>
      <c r="L5" s="11">
        <f>IF(COLUMN()-6&lt;=DAY(EOMONTH($C$2,0)),COLUMN()-6,"")</f>
      </c>
      <c r="M5" s="11">
        <f>IF(COLUMN()-6&lt;=DAY(EOMONTH($C$2,0)),COLUMN()-6,"")</f>
      </c>
      <c r="N5" s="11">
        <f>IF(COLUMN()-6&lt;=DAY(EOMONTH($C$2,0)),COLUMN()-6,"")</f>
      </c>
      <c r="O5" s="11">
        <f>IF(COLUMN()-6&lt;=DAY(EOMONTH($C$2,0)),COLUMN()-6,"")</f>
      </c>
      <c r="P5" s="11">
        <f>IF(COLUMN()-6&lt;=DAY(EOMONTH($C$2,0)),COLUMN()-6,"")</f>
      </c>
      <c r="Q5" s="11">
        <f>IF(COLUMN()-6&lt;=DAY(EOMONTH($C$2,0)),COLUMN()-6,"")</f>
      </c>
      <c r="R5" s="11">
        <f>IF(COLUMN()-6&lt;=DAY(EOMONTH($C$2,0)),COLUMN()-6,"")</f>
      </c>
      <c r="S5" s="11">
        <f>IF(COLUMN()-6&lt;=DAY(EOMONTH($C$2,0)),COLUMN()-6,"")</f>
      </c>
      <c r="T5" s="11">
        <f>IF(COLUMN()-6&lt;=DAY(EOMONTH($C$2,0)),COLUMN()-6,"")</f>
      </c>
      <c r="U5" s="11">
        <f>IF(COLUMN()-6&lt;=DAY(EOMONTH($C$2,0)),COLUMN()-6,"")</f>
      </c>
      <c r="V5" s="11">
        <f>IF(COLUMN()-6&lt;=DAY(EOMONTH($C$2,0)),COLUMN()-6,"")</f>
      </c>
      <c r="W5" s="11">
        <f>IF(COLUMN()-6&lt;=DAY(EOMONTH($C$2,0)),COLUMN()-6,"")</f>
      </c>
      <c r="X5" s="11">
        <f>IF(COLUMN()-6&lt;=DAY(EOMONTH($C$2,0)),COLUMN()-6,"")</f>
      </c>
      <c r="Y5" s="11">
        <f>IF(COLUMN()-6&lt;=DAY(EOMONTH($C$2,0)),COLUMN()-6,"")</f>
      </c>
      <c r="Z5" s="11">
        <f>IF(COLUMN()-6&lt;=DAY(EOMONTH($C$2,0)),COLUMN()-6,"")</f>
      </c>
      <c r="AA5" s="11">
        <f>IF(COLUMN()-6&lt;=DAY(EOMONTH($C$2,0)),COLUMN()-6,"")</f>
      </c>
      <c r="AB5" s="11">
        <f>IF(COLUMN()-6&lt;=DAY(EOMONTH($C$2,0)),COLUMN()-6,"")</f>
      </c>
      <c r="AC5" s="11">
        <f>IF(COLUMN()-6&lt;=DAY(EOMONTH($C$2,0)),COLUMN()-6,"")</f>
      </c>
      <c r="AD5" s="11">
        <f>IF(COLUMN()-6&lt;=DAY(EOMONTH($C$2,0)),COLUMN()-6,"")</f>
      </c>
      <c r="AE5" s="11">
        <f>IF(COLUMN()-6&lt;=DAY(EOMONTH($C$2,0)),COLUMN()-6,"")</f>
      </c>
      <c r="AF5" s="11">
        <f>IF(COLUMN()-6&lt;=DAY(EOMONTH($C$2,0)),COLUMN()-6,"")</f>
      </c>
      <c r="AG5" s="11">
        <f>IF(COLUMN()-6&lt;=DAY(EOMONTH($C$2,0)),COLUMN()-6,"")</f>
      </c>
      <c r="AH5" s="11">
        <f>IF(COLUMN()-6&lt;=DAY(EOMONTH($C$2,0)),COLUMN()-6,"")</f>
      </c>
      <c r="AI5" s="11">
        <f>IF(COLUMN()-6&lt;=DAY(EOMONTH($C$2,0)),COLUMN()-6,"")</f>
      </c>
      <c r="AJ5" s="11">
        <f>IF(COLUMN()-6&lt;=DAY(EOMONTH($C$2,0)),COLUMN()-6,"")</f>
      </c>
      <c r="AK5" s="11">
        <f>IF(COLUMN()-6&lt;=DAY(EOMONTH($C$2,0)),COLUMN()-6,"")</f>
      </c>
    </row>
    <row r="6">
      <c r="B6" s="13">
        <v>1</v>
      </c>
      <c r="C6" s="14" t="inlineStr">
        <is>
          <t xml:space="preserve">EMP-001</t>
        </is>
      </c>
      <c r="D6" s="15" t="inlineStr">
        <is>
          <t xml:space="preserve">Youssef El Amrani</t>
        </is>
      </c>
      <c r="E6" s="16" t="inlineStr">
        <is>
          <t xml:space="preserve">Chef de chantier</t>
        </is>
      </c>
      <c r="F6" s="17">
        <f>IF(C6="","",COUNTIF(G6:AK6,UNICHAR(10003)))</f>
      </c>
      <c r="G6" s="18"/>
      <c r="H6" s="18"/>
      <c r="I6" s="18"/>
      <c r="J6" s="18"/>
      <c r="K6" s="18"/>
      <c r="L6" s="18" t="inlineStr">
        <is>
          <t xml:space="preserve">✓</t>
        </is>
      </c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</row>
    <row r="7">
      <c r="B7" s="13">
        <v>2</v>
      </c>
      <c r="C7" s="14" t="inlineStr">
        <is>
          <t xml:space="preserve">EMP-002</t>
        </is>
      </c>
      <c r="D7" s="15" t="inlineStr">
        <is>
          <t xml:space="preserve">Rachid Benali</t>
        </is>
      </c>
      <c r="E7" s="16" t="inlineStr">
        <is>
          <t xml:space="preserve">Maçon</t>
        </is>
      </c>
      <c r="F7" s="17">
        <f>IF(C7="","",COUNTIF(G7:AK7,UNICHAR(10003)))</f>
      </c>
      <c r="G7" s="18"/>
      <c r="H7" s="18"/>
      <c r="I7" s="18"/>
      <c r="J7" s="18"/>
      <c r="K7" s="18"/>
      <c r="L7" s="18" t="inlineStr">
        <is>
          <t xml:space="preserve">✓</t>
        </is>
      </c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</row>
    <row r="8">
      <c r="B8" s="13">
        <v>3</v>
      </c>
      <c r="C8" s="14" t="inlineStr">
        <is>
          <t xml:space="preserve">EMP-003</t>
        </is>
      </c>
      <c r="D8" s="15" t="inlineStr">
        <is>
          <t xml:space="preserve">Hassan Toumi</t>
        </is>
      </c>
      <c r="E8" s="16" t="inlineStr">
        <is>
          <t xml:space="preserve">Coffreur</t>
        </is>
      </c>
      <c r="F8" s="17">
        <f>IF(C8="","",COUNTIF(G8:AK8,UNICHAR(10003)))</f>
      </c>
      <c r="G8" s="18"/>
      <c r="H8" s="18"/>
      <c r="I8" s="18"/>
      <c r="J8" s="18"/>
      <c r="K8" s="18"/>
      <c r="L8" s="18" t="inlineStr">
        <is>
          <t xml:space="preserve">✓</t>
        </is>
      </c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</row>
    <row r="9">
      <c r="B9" s="13">
        <v>4</v>
      </c>
      <c r="C9" s="14" t="inlineStr">
        <is>
          <t xml:space="preserve">EMP-004</t>
        </is>
      </c>
      <c r="D9" s="15" t="inlineStr">
        <is>
          <t xml:space="preserve">Karim Idrissi</t>
        </is>
      </c>
      <c r="E9" s="16" t="inlineStr">
        <is>
          <t xml:space="preserve">Ferrailleur</t>
        </is>
      </c>
      <c r="F9" s="17">
        <f>IF(C9="","",COUNTIF(G9:AK9,UNICHAR(10003)))</f>
      </c>
      <c r="G9" s="18"/>
      <c r="H9" s="18"/>
      <c r="I9" s="18"/>
      <c r="J9" s="18"/>
      <c r="K9" s="18"/>
      <c r="L9" s="18" t="inlineStr">
        <is>
          <t xml:space="preserve">✓</t>
        </is>
      </c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</row>
    <row r="10">
      <c r="B10" s="13">
        <v>5</v>
      </c>
      <c r="C10" s="14" t="inlineStr">
        <is>
          <t xml:space="preserve">EMP-005</t>
        </is>
      </c>
      <c r="D10" s="15" t="inlineStr">
        <is>
          <t xml:space="preserve">Said Ouazzani</t>
        </is>
      </c>
      <c r="E10" s="16" t="inlineStr">
        <is>
          <t xml:space="preserve">Manœuvre</t>
        </is>
      </c>
      <c r="F10" s="17">
        <f>IF(C10="","",COUNTIF(G10:AK10,UNICHAR(10003)))</f>
      </c>
      <c r="G10" s="18"/>
      <c r="H10" s="18"/>
      <c r="I10" s="18"/>
      <c r="J10" s="18"/>
      <c r="K10" s="18"/>
      <c r="L10" s="18" t="inlineStr">
        <is>
          <t xml:space="preserve">✓</t>
        </is>
      </c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</row>
    <row r="11">
      <c r="B11" s="13">
        <v>6</v>
      </c>
      <c r="C11" s="14" t="inlineStr">
        <is>
          <t xml:space="preserve">EMP-006</t>
        </is>
      </c>
      <c r="D11" s="15" t="inlineStr">
        <is>
          <t xml:space="preserve">Mohamed Fassi</t>
        </is>
      </c>
      <c r="E11" s="16" t="inlineStr">
        <is>
          <t xml:space="preserve">Électricien</t>
        </is>
      </c>
      <c r="F11" s="17">
        <f>IF(C11="","",COUNTIF(G11:AK11,UNICHAR(10003)))</f>
      </c>
      <c r="G11" s="18"/>
      <c r="H11" s="18"/>
      <c r="I11" s="18"/>
      <c r="J11" s="18"/>
      <c r="K11" s="18"/>
      <c r="L11" s="18" t="inlineStr">
        <is>
          <t xml:space="preserve">✓</t>
        </is>
      </c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</row>
    <row r="12">
      <c r="B12" s="13">
        <v>7</v>
      </c>
      <c r="C12" s="14" t="inlineStr">
        <is>
          <t xml:space="preserve">EMP-007</t>
        </is>
      </c>
      <c r="D12" s="15" t="inlineStr">
        <is>
          <t xml:space="preserve">Abdellah Naciri</t>
        </is>
      </c>
      <c r="E12" s="16" t="inlineStr">
        <is>
          <t xml:space="preserve">Plombier</t>
        </is>
      </c>
      <c r="F12" s="17">
        <f>IF(C12="","",COUNTIF(G12:AK12,UNICHAR(10003)))</f>
      </c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</row>
    <row r="13">
      <c r="B13" s="13">
        <v>8</v>
      </c>
      <c r="C13" s="14" t="inlineStr">
        <is>
          <t xml:space="preserve">EMP-008</t>
        </is>
      </c>
      <c r="D13" s="15" t="inlineStr">
        <is>
          <t xml:space="preserve">Omar Sabri</t>
        </is>
      </c>
      <c r="E13" s="16" t="inlineStr">
        <is>
          <t xml:space="preserve">Grutier</t>
        </is>
      </c>
      <c r="F13" s="17">
        <f>IF(C13="","",COUNTIF(G13:AK13,UNICHAR(10003)))</f>
      </c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</row>
    <row r="14">
      <c r="B14" s="13">
        <v>9</v>
      </c>
      <c r="C14" s="14" t="inlineStr">
        <is>
          <t xml:space="preserve">EMP-009</t>
        </is>
      </c>
      <c r="D14" s="15" t="inlineStr">
        <is>
          <t xml:space="preserve">Brahim Alaoui</t>
        </is>
      </c>
      <c r="E14" s="16" t="inlineStr">
        <is>
          <t xml:space="preserve">Peintre</t>
        </is>
      </c>
      <c r="F14" s="17">
        <f>IF(C14="","",COUNTIF(G14:AK14,UNICHAR(10003)))</f>
      </c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</row>
    <row r="15">
      <c r="B15" s="13">
        <v>10</v>
      </c>
      <c r="C15" s="14" t="inlineStr">
        <is>
          <t xml:space="preserve">EMP-010</t>
        </is>
      </c>
      <c r="D15" s="15" t="inlineStr">
        <is>
          <t xml:space="preserve">Nabil Chraibi</t>
        </is>
      </c>
      <c r="E15" s="16" t="inlineStr">
        <is>
          <t xml:space="preserve">Manœuvre</t>
        </is>
      </c>
      <c r="F15" s="17">
        <f>IF(C15="","",COUNTIF(G15:AK15,UNICHAR(10003)))</f>
      </c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</row>
    <row r="16">
      <c r="B16" s="13"/>
      <c r="C16" s="14"/>
      <c r="D16" s="15"/>
      <c r="E16" s="16"/>
      <c r="F16" s="17">
        <f>IF(C16="","",COUNTIF(G16:AK16,UNICHAR(10003)))</f>
      </c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</row>
    <row r="17">
      <c r="B17" s="13"/>
      <c r="C17" s="14"/>
      <c r="D17" s="15"/>
      <c r="E17" s="16"/>
      <c r="F17" s="17">
        <f>IF(C17="","",COUNTIF(G17:AK17,UNICHAR(10003)))</f>
      </c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</row>
    <row r="18">
      <c r="B18" s="13"/>
      <c r="C18" s="14"/>
      <c r="D18" s="15"/>
      <c r="E18" s="16"/>
      <c r="F18" s="17">
        <f>IF(C18="","",COUNTIF(G18:AK18,UNICHAR(10003)))</f>
      </c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</row>
    <row r="19">
      <c r="B19" s="13"/>
      <c r="C19" s="14"/>
      <c r="D19" s="15"/>
      <c r="E19" s="16"/>
      <c r="F19" s="17">
        <f>IF(C19="","",COUNTIF(G19:AK19,UNICHAR(10003)))</f>
      </c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</row>
    <row r="20">
      <c r="B20" s="13"/>
      <c r="C20" s="14"/>
      <c r="D20" s="15"/>
      <c r="E20" s="16"/>
      <c r="F20" s="17">
        <f>IF(C20="","",COUNTIF(G20:AK20,UNICHAR(10003)))</f>
      </c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</row>
    <row r="21">
      <c r="B21" s="13"/>
      <c r="C21" s="14"/>
      <c r="D21" s="15"/>
      <c r="E21" s="16"/>
      <c r="F21" s="17">
        <f>IF(C21="","",COUNTIF(G21:AK21,UNICHAR(10003)))</f>
      </c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</row>
    <row r="22">
      <c r="B22" s="13"/>
      <c r="C22" s="14"/>
      <c r="D22" s="15"/>
      <c r="E22" s="16"/>
      <c r="F22" s="17">
        <f>IF(C22="","",COUNTIF(G22:AK22,UNICHAR(10003)))</f>
      </c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</row>
    <row r="23">
      <c r="B23" s="13"/>
      <c r="C23" s="14"/>
      <c r="D23" s="15"/>
      <c r="E23" s="16"/>
      <c r="F23" s="17">
        <f>IF(C23="","",COUNTIF(G23:AK23,UNICHAR(10003)))</f>
      </c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</row>
    <row r="24">
      <c r="B24" s="13"/>
      <c r="C24" s="14"/>
      <c r="D24" s="15"/>
      <c r="E24" s="16"/>
      <c r="F24" s="17">
        <f>IF(C24="","",COUNTIF(G24:AK24,UNICHAR(10003)))</f>
      </c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</row>
    <row r="25">
      <c r="B25" s="13"/>
      <c r="C25" s="14"/>
      <c r="D25" s="15"/>
      <c r="E25" s="16"/>
      <c r="F25" s="17">
        <f>IF(C25="","",COUNTIF(G25:AK25,UNICHAR(10003)))</f>
      </c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</row>
    <row r="26">
      <c r="B26" s="13"/>
      <c r="C26" s="14"/>
      <c r="D26" s="15"/>
      <c r="E26" s="16"/>
      <c r="F26" s="17">
        <f>IF(C26="","",COUNTIF(G26:AK26,UNICHAR(10003)))</f>
      </c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</row>
    <row r="27">
      <c r="B27" s="13"/>
      <c r="C27" s="14"/>
      <c r="D27" s="15"/>
      <c r="E27" s="16"/>
      <c r="F27" s="17">
        <f>IF(C27="","",COUNTIF(G27:AK27,UNICHAR(10003)))</f>
      </c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</row>
    <row r="28">
      <c r="B28" s="13"/>
      <c r="C28" s="14"/>
      <c r="D28" s="15"/>
      <c r="E28" s="16"/>
      <c r="F28" s="17">
        <f>IF(C28="","",COUNTIF(G28:AK28,UNICHAR(10003)))</f>
      </c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</row>
    <row r="29">
      <c r="B29" s="13"/>
      <c r="C29" s="14"/>
      <c r="D29" s="15"/>
      <c r="E29" s="16"/>
      <c r="F29" s="17">
        <f>IF(C29="","",COUNTIF(G29:AK29,UNICHAR(10003)))</f>
      </c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</row>
    <row r="30">
      <c r="B30" s="13"/>
      <c r="C30" s="14"/>
      <c r="D30" s="15"/>
      <c r="E30" s="16"/>
      <c r="F30" s="17">
        <f>IF(C30="","",COUNTIF(G30:AK30,UNICHAR(10003)))</f>
      </c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</row>
    <row r="31">
      <c r="B31" s="13"/>
      <c r="C31" s="14"/>
      <c r="D31" s="15"/>
      <c r="E31" s="16"/>
      <c r="F31" s="17">
        <f>IF(C31="","",COUNTIF(G31:AK31,UNICHAR(10003)))</f>
      </c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</row>
    <row r="32">
      <c r="B32" s="13"/>
      <c r="C32" s="14"/>
      <c r="D32" s="15"/>
      <c r="E32" s="16"/>
      <c r="F32" s="17">
        <f>IF(C32="","",COUNTIF(G32:AK32,UNICHAR(10003)))</f>
      </c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</row>
    <row r="33">
      <c r="B33" s="13"/>
      <c r="C33" s="14"/>
      <c r="D33" s="15"/>
      <c r="E33" s="16"/>
      <c r="F33" s="17">
        <f>IF(C33="","",COUNTIF(G33:AK33,UNICHAR(10003)))</f>
      </c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</row>
    <row r="34">
      <c r="B34" s="13"/>
      <c r="C34" s="14"/>
      <c r="D34" s="15"/>
      <c r="E34" s="16"/>
      <c r="F34" s="17">
        <f>IF(C34="","",COUNTIF(G34:AK34,UNICHAR(10003)))</f>
      </c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</row>
    <row r="35">
      <c r="B35" s="13"/>
      <c r="C35" s="14"/>
      <c r="D35" s="15"/>
      <c r="E35" s="16"/>
      <c r="F35" s="17">
        <f>IF(C35="","",COUNTIF(G35:AK35,UNICHAR(10003)))</f>
      </c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</row>
    <row r="36">
      <c r="B36" s="13"/>
      <c r="C36" s="14"/>
      <c r="D36" s="15"/>
      <c r="E36" s="16"/>
      <c r="F36" s="17">
        <f>IF(C36="","",COUNTIF(G36:AK36,UNICHAR(10003)))</f>
      </c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</row>
    <row r="37">
      <c r="B37" s="13"/>
      <c r="C37" s="14"/>
      <c r="D37" s="15"/>
      <c r="E37" s="16"/>
      <c r="F37" s="17">
        <f>IF(C37="","",COUNTIF(G37:AK37,UNICHAR(10003)))</f>
      </c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</row>
    <row r="38">
      <c r="B38" s="13"/>
      <c r="C38" s="14"/>
      <c r="D38" s="15"/>
      <c r="E38" s="16"/>
      <c r="F38" s="17">
        <f>IF(C38="","",COUNTIF(G38:AK38,UNICHAR(10003)))</f>
      </c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18"/>
      <c r="AH38" s="18"/>
      <c r="AI38" s="18"/>
      <c r="AJ38" s="18"/>
      <c r="AK38" s="18"/>
    </row>
    <row r="39">
      <c r="B39" s="13"/>
      <c r="C39" s="14"/>
      <c r="D39" s="15"/>
      <c r="E39" s="16"/>
      <c r="F39" s="17">
        <f>IF(C39="","",COUNTIF(G39:AK39,UNICHAR(10003)))</f>
      </c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18"/>
      <c r="AI39" s="18"/>
      <c r="AJ39" s="18"/>
      <c r="AK39" s="18"/>
    </row>
    <row r="40">
      <c r="B40" s="13"/>
      <c r="C40" s="14"/>
      <c r="D40" s="15"/>
      <c r="E40" s="16"/>
      <c r="F40" s="17">
        <f>IF(C40="","",COUNTIF(G40:AK40,UNICHAR(10003)))</f>
      </c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8"/>
      <c r="AH40" s="18"/>
      <c r="AI40" s="18"/>
      <c r="AJ40" s="18"/>
      <c r="AK40" s="18"/>
    </row>
    <row r="41">
      <c r="B41" s="13"/>
      <c r="C41" s="14"/>
      <c r="D41" s="15"/>
      <c r="E41" s="16"/>
      <c r="F41" s="17">
        <f>IF(C41="","",COUNTIF(G41:AK41,UNICHAR(10003)))</f>
      </c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 s="18"/>
      <c r="AH41" s="18"/>
      <c r="AI41" s="18"/>
      <c r="AJ41" s="18"/>
      <c r="AK41" s="18"/>
    </row>
    <row r="42">
      <c r="B42" s="13"/>
      <c r="C42" s="14"/>
      <c r="D42" s="15"/>
      <c r="E42" s="16"/>
      <c r="F42" s="17">
        <f>IF(C42="","",COUNTIF(G42:AK42,UNICHAR(10003)))</f>
      </c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  <c r="AI42" s="18"/>
      <c r="AJ42" s="18"/>
      <c r="AK42" s="18"/>
    </row>
    <row r="43">
      <c r="B43" s="13"/>
      <c r="C43" s="14"/>
      <c r="D43" s="15"/>
      <c r="E43" s="16"/>
      <c r="F43" s="17">
        <f>IF(C43="","",COUNTIF(G43:AK43,UNICHAR(10003)))</f>
      </c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8"/>
      <c r="AH43" s="18"/>
      <c r="AI43" s="18"/>
      <c r="AJ43" s="18"/>
      <c r="AK43" s="18"/>
    </row>
    <row r="44">
      <c r="B44" s="13"/>
      <c r="C44" s="14"/>
      <c r="D44" s="15"/>
      <c r="E44" s="16"/>
      <c r="F44" s="17">
        <f>IF(C44="","",COUNTIF(G44:AK44,UNICHAR(10003)))</f>
      </c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18"/>
      <c r="AH44" s="18"/>
      <c r="AI44" s="18"/>
      <c r="AJ44" s="18"/>
      <c r="AK44" s="18"/>
    </row>
    <row r="45">
      <c r="B45" s="13"/>
      <c r="C45" s="14"/>
      <c r="D45" s="15"/>
      <c r="E45" s="16"/>
      <c r="F45" s="17">
        <f>IF(C45="","",COUNTIF(G45:AK45,UNICHAR(10003)))</f>
      </c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8"/>
      <c r="AH45" s="18"/>
      <c r="AI45" s="18"/>
      <c r="AJ45" s="18"/>
      <c r="AK45" s="18"/>
    </row>
    <row r="46">
      <c r="B46" s="13"/>
      <c r="C46" s="14"/>
      <c r="D46" s="15"/>
      <c r="E46" s="16"/>
      <c r="F46" s="17">
        <f>IF(C46="","",COUNTIF(G46:AK46,UNICHAR(10003)))</f>
      </c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18"/>
      <c r="AH46" s="18"/>
      <c r="AI46" s="18"/>
      <c r="AJ46" s="18"/>
      <c r="AK46" s="18"/>
    </row>
    <row r="47">
      <c r="B47" s="13"/>
      <c r="C47" s="14"/>
      <c r="D47" s="15"/>
      <c r="E47" s="16"/>
      <c r="F47" s="17">
        <f>IF(C47="","",COUNTIF(G47:AK47,UNICHAR(10003)))</f>
      </c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18"/>
      <c r="AI47" s="18"/>
      <c r="AJ47" s="18"/>
      <c r="AK47" s="18"/>
    </row>
    <row r="48">
      <c r="B48" s="13"/>
      <c r="C48" s="14"/>
      <c r="D48" s="15"/>
      <c r="E48" s="16"/>
      <c r="F48" s="17">
        <f>IF(C48="","",COUNTIF(G48:AK48,UNICHAR(10003)))</f>
      </c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  <c r="AI48" s="18"/>
      <c r="AJ48" s="18"/>
      <c r="AK48" s="18"/>
    </row>
    <row r="49">
      <c r="B49" s="13"/>
      <c r="C49" s="14"/>
      <c r="D49" s="15"/>
      <c r="E49" s="16"/>
      <c r="F49" s="17">
        <f>IF(C49="","",COUNTIF(G49:AK49,UNICHAR(10003)))</f>
      </c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H49" s="18"/>
      <c r="AI49" s="18"/>
      <c r="AJ49" s="18"/>
      <c r="AK49" s="18"/>
    </row>
    <row r="50">
      <c r="B50" s="13"/>
      <c r="C50" s="14"/>
      <c r="D50" s="15"/>
      <c r="E50" s="16"/>
      <c r="F50" s="17">
        <f>IF(C50="","",COUNTIF(G50:AK50,UNICHAR(10003)))</f>
      </c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/>
      <c r="AJ50" s="18"/>
      <c r="AK50" s="18"/>
    </row>
    <row r="51">
      <c r="B51" s="13"/>
      <c r="C51" s="14"/>
      <c r="D51" s="15"/>
      <c r="E51" s="16"/>
      <c r="F51" s="17">
        <f>IF(C51="","",COUNTIF(G51:AK51,UNICHAR(10003)))</f>
      </c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  <c r="AI51" s="18"/>
      <c r="AJ51" s="18"/>
      <c r="AK51" s="18"/>
    </row>
    <row r="52">
      <c r="B52" s="13"/>
      <c r="C52" s="14"/>
      <c r="D52" s="15"/>
      <c r="E52" s="16"/>
      <c r="F52" s="17">
        <f>IF(C52="","",COUNTIF(G52:AK52,UNICHAR(10003)))</f>
      </c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</row>
    <row r="53">
      <c r="B53" s="13"/>
      <c r="C53" s="14"/>
      <c r="D53" s="15"/>
      <c r="E53" s="16"/>
      <c r="F53" s="17">
        <f>IF(C53="","",COUNTIF(G53:AK53,UNICHAR(10003)))</f>
      </c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18"/>
      <c r="AJ53" s="18"/>
      <c r="AK53" s="18"/>
    </row>
    <row r="54">
      <c r="B54" s="13"/>
      <c r="C54" s="14"/>
      <c r="D54" s="15"/>
      <c r="E54" s="16"/>
      <c r="F54" s="17">
        <f>IF(C54="","",COUNTIF(G54:AK54,UNICHAR(10003)))</f>
      </c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  <c r="AI54" s="18"/>
      <c r="AJ54" s="18"/>
      <c r="AK54" s="18"/>
    </row>
    <row r="55">
      <c r="B55" s="13"/>
      <c r="C55" s="14"/>
      <c r="D55" s="15"/>
      <c r="E55" s="16"/>
      <c r="F55" s="17">
        <f>IF(C55="","",COUNTIF(G55:AK55,UNICHAR(10003)))</f>
      </c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  <c r="AI55" s="18"/>
      <c r="AJ55" s="18"/>
      <c r="AK55" s="18"/>
    </row>
    <row r="56">
      <c r="B56" s="13"/>
      <c r="C56" s="14"/>
      <c r="D56" s="15"/>
      <c r="E56" s="16"/>
      <c r="F56" s="17">
        <f>IF(C56="","",COUNTIF(G56:AK56,UNICHAR(10003)))</f>
      </c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</row>
    <row r="57">
      <c r="B57" s="13"/>
      <c r="C57" s="14"/>
      <c r="D57" s="15"/>
      <c r="E57" s="16"/>
      <c r="F57" s="17">
        <f>IF(C57="","",COUNTIF(G57:AK57,UNICHAR(10003)))</f>
      </c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</row>
    <row r="58">
      <c r="B58" s="13"/>
      <c r="C58" s="14"/>
      <c r="D58" s="15"/>
      <c r="E58" s="16"/>
      <c r="F58" s="17">
        <f>IF(C58="","",COUNTIF(G58:AK58,UNICHAR(10003)))</f>
      </c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</row>
    <row r="59">
      <c r="B59" s="13"/>
      <c r="C59" s="14"/>
      <c r="D59" s="15"/>
      <c r="E59" s="16"/>
      <c r="F59" s="17">
        <f>IF(C59="","",COUNTIF(G59:AK59,UNICHAR(10003)))</f>
      </c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</row>
    <row r="60">
      <c r="B60" s="13"/>
      <c r="C60" s="14"/>
      <c r="D60" s="15"/>
      <c r="E60" s="16"/>
      <c r="F60" s="17">
        <f>IF(C60="","",COUNTIF(G60:AK60,UNICHAR(10003)))</f>
      </c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</row>
    <row r="61">
      <c r="B61" s="13"/>
      <c r="C61" s="14"/>
      <c r="D61" s="15"/>
      <c r="E61" s="16"/>
      <c r="F61" s="17">
        <f>IF(C61="","",COUNTIF(G61:AK61,UNICHAR(10003)))</f>
      </c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</row>
    <row r="62">
      <c r="B62" s="13"/>
      <c r="C62" s="14"/>
      <c r="D62" s="15"/>
      <c r="E62" s="16"/>
      <c r="F62" s="17">
        <f>IF(C62="","",COUNTIF(G62:AK62,UNICHAR(10003)))</f>
      </c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</row>
    <row r="63">
      <c r="B63" s="13"/>
      <c r="C63" s="14"/>
      <c r="D63" s="15"/>
      <c r="E63" s="16"/>
      <c r="F63" s="17">
        <f>IF(C63="","",COUNTIF(G63:AK63,UNICHAR(10003)))</f>
      </c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</row>
    <row r="64">
      <c r="B64" s="13"/>
      <c r="C64" s="14"/>
      <c r="D64" s="15"/>
      <c r="E64" s="16"/>
      <c r="F64" s="17">
        <f>IF(C64="","",COUNTIF(G64:AK64,UNICHAR(10003)))</f>
      </c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8"/>
      <c r="AJ64" s="18"/>
      <c r="AK64" s="18"/>
    </row>
    <row r="65">
      <c r="B65" s="13"/>
      <c r="C65" s="14"/>
      <c r="D65" s="15"/>
      <c r="E65" s="16"/>
      <c r="F65" s="17">
        <f>IF(C65="","",COUNTIF(G65:AK65,UNICHAR(10003)))</f>
      </c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/>
      <c r="AJ65" s="18"/>
      <c r="AK65" s="18"/>
    </row>
    <row r="66">
      <c r="B66" s="13"/>
      <c r="C66" s="14"/>
      <c r="D66" s="15"/>
      <c r="E66" s="16"/>
      <c r="F66" s="17">
        <f>IF(C66="","",COUNTIF(G66:AK66,UNICHAR(10003)))</f>
      </c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</row>
    <row r="67">
      <c r="B67" s="13"/>
      <c r="C67" s="14"/>
      <c r="D67" s="15"/>
      <c r="E67" s="16"/>
      <c r="F67" s="17">
        <f>IF(C67="","",COUNTIF(G67:AK67,UNICHAR(10003)))</f>
      </c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</row>
    <row r="68">
      <c r="B68" s="13"/>
      <c r="C68" s="14"/>
      <c r="D68" s="15"/>
      <c r="E68" s="16"/>
      <c r="F68" s="17">
        <f>IF(C68="","",COUNTIF(G68:AK68,UNICHAR(10003)))</f>
      </c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8"/>
      <c r="AK68" s="18"/>
    </row>
    <row r="69">
      <c r="B69" s="13"/>
      <c r="C69" s="14"/>
      <c r="D69" s="15"/>
      <c r="E69" s="16"/>
      <c r="F69" s="17">
        <f>IF(C69="","",COUNTIF(G69:AK69,UNICHAR(10003)))</f>
      </c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</row>
    <row r="70">
      <c r="B70" s="13"/>
      <c r="C70" s="14"/>
      <c r="D70" s="15"/>
      <c r="E70" s="16"/>
      <c r="F70" s="17">
        <f>IF(C70="","",COUNTIF(G70:AK70,UNICHAR(10003)))</f>
      </c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/>
      <c r="AJ70" s="18"/>
      <c r="AK70" s="18"/>
    </row>
    <row r="71">
      <c r="B71" s="13"/>
      <c r="C71" s="14"/>
      <c r="D71" s="15"/>
      <c r="E71" s="16"/>
      <c r="F71" s="17">
        <f>IF(C71="","",COUNTIF(G71:AK71,UNICHAR(10003)))</f>
      </c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</row>
    <row r="72">
      <c r="B72" s="13"/>
      <c r="C72" s="14"/>
      <c r="D72" s="15"/>
      <c r="E72" s="16"/>
      <c r="F72" s="17">
        <f>IF(C72="","",COUNTIF(G72:AK72,UNICHAR(10003)))</f>
      </c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</row>
    <row r="73">
      <c r="B73" s="13"/>
      <c r="C73" s="14"/>
      <c r="D73" s="15"/>
      <c r="E73" s="16"/>
      <c r="F73" s="17">
        <f>IF(C73="","",COUNTIF(G73:AK73,UNICHAR(10003)))</f>
      </c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  <c r="AI73" s="18"/>
      <c r="AJ73" s="18"/>
      <c r="AK73" s="18"/>
    </row>
    <row r="74">
      <c r="B74" s="13"/>
      <c r="C74" s="14"/>
      <c r="D74" s="15"/>
      <c r="E74" s="16"/>
      <c r="F74" s="17">
        <f>IF(C74="","",COUNTIF(G74:AK74,UNICHAR(10003)))</f>
      </c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/>
      <c r="AJ74" s="18"/>
      <c r="AK74" s="18"/>
    </row>
    <row r="75">
      <c r="B75" s="13"/>
      <c r="C75" s="14"/>
      <c r="D75" s="15"/>
      <c r="E75" s="16"/>
      <c r="F75" s="17">
        <f>IF(C75="","",COUNTIF(G75:AK75,UNICHAR(10003)))</f>
      </c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  <c r="AI75" s="18"/>
      <c r="AJ75" s="18"/>
      <c r="AK75" s="18"/>
    </row>
    <row r="76">
      <c r="B76" s="13"/>
      <c r="C76" s="14"/>
      <c r="D76" s="15"/>
      <c r="E76" s="16"/>
      <c r="F76" s="17">
        <f>IF(C76="","",COUNTIF(G76:AK76,UNICHAR(10003)))</f>
      </c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  <c r="AI76" s="18"/>
      <c r="AJ76" s="18"/>
      <c r="AK76" s="18"/>
    </row>
    <row r="77">
      <c r="B77" s="13"/>
      <c r="C77" s="14"/>
      <c r="D77" s="15"/>
      <c r="E77" s="16"/>
      <c r="F77" s="17">
        <f>IF(C77="","",COUNTIF(G77:AK77,UNICHAR(10003)))</f>
      </c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18"/>
      <c r="AJ77" s="18"/>
      <c r="AK77" s="18"/>
    </row>
    <row r="78">
      <c r="B78" s="13"/>
      <c r="C78" s="14"/>
      <c r="D78" s="15"/>
      <c r="E78" s="16"/>
      <c r="F78" s="17">
        <f>IF(C78="","",COUNTIF(G78:AK78,UNICHAR(10003)))</f>
      </c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/>
      <c r="AJ78" s="18"/>
      <c r="AK78" s="18"/>
    </row>
    <row r="79">
      <c r="B79" s="13"/>
      <c r="C79" s="14"/>
      <c r="D79" s="15"/>
      <c r="E79" s="16"/>
      <c r="F79" s="17">
        <f>IF(C79="","",COUNTIF(G79:AK79,UNICHAR(10003)))</f>
      </c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  <c r="AI79" s="18"/>
      <c r="AJ79" s="18"/>
      <c r="AK79" s="18"/>
    </row>
    <row r="80">
      <c r="B80" s="13"/>
      <c r="C80" s="14"/>
      <c r="D80" s="15"/>
      <c r="E80" s="16"/>
      <c r="F80" s="17">
        <f>IF(C80="","",COUNTIF(G80:AK80,UNICHAR(10003)))</f>
      </c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</row>
    <row r="81">
      <c r="B81" s="13"/>
      <c r="C81" s="14"/>
      <c r="D81" s="15"/>
      <c r="E81" s="16"/>
      <c r="F81" s="17">
        <f>IF(C81="","",COUNTIF(G81:AK81,UNICHAR(10003)))</f>
      </c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</row>
    <row r="82">
      <c r="B82" s="13"/>
      <c r="C82" s="14"/>
      <c r="D82" s="15"/>
      <c r="E82" s="16"/>
      <c r="F82" s="17">
        <f>IF(C82="","",COUNTIF(G82:AK82,UNICHAR(10003)))</f>
      </c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  <c r="AI82" s="18"/>
      <c r="AJ82" s="18"/>
      <c r="AK82" s="18"/>
    </row>
    <row r="83">
      <c r="B83" s="13"/>
      <c r="C83" s="14"/>
      <c r="D83" s="15"/>
      <c r="E83" s="16"/>
      <c r="F83" s="17">
        <f>IF(C83="","",COUNTIF(G83:AK83,UNICHAR(10003)))</f>
      </c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/>
      <c r="AJ83" s="18"/>
      <c r="AK83" s="18"/>
    </row>
    <row r="84">
      <c r="B84" s="13"/>
      <c r="C84" s="14"/>
      <c r="D84" s="15"/>
      <c r="E84" s="16"/>
      <c r="F84" s="17">
        <f>IF(C84="","",COUNTIF(G84:AK84,UNICHAR(10003)))</f>
      </c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/>
      <c r="AJ84" s="18"/>
      <c r="AK84" s="18"/>
    </row>
    <row r="85">
      <c r="B85" s="13"/>
      <c r="C85" s="14"/>
      <c r="D85" s="15"/>
      <c r="E85" s="16"/>
      <c r="F85" s="17">
        <f>IF(C85="","",COUNTIF(G85:AK85,UNICHAR(10003)))</f>
      </c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  <c r="AA85" s="18"/>
      <c r="AB85" s="18"/>
      <c r="AC85" s="18"/>
      <c r="AD85" s="18"/>
      <c r="AE85" s="18"/>
      <c r="AF85" s="18"/>
      <c r="AG85" s="18"/>
      <c r="AH85" s="18"/>
      <c r="AI85" s="18"/>
      <c r="AJ85" s="18"/>
      <c r="AK85" s="18"/>
    </row>
    <row r="86" ht="20" customHeight="1">
      <c r="E86" s="20" t="inlineStr">
        <is>
          <t xml:space="preserve">Présents / jour :</t>
        </is>
      </c>
      <c r="F86" s="19"/>
      <c r="G86" s="19">
        <f>COUNTIF(G6:G85,UNICHAR(10003))</f>
      </c>
      <c r="H86" s="19">
        <f>COUNTIF(H6:H85,UNICHAR(10003))</f>
      </c>
      <c r="I86" s="19">
        <f>COUNTIF(I6:I85,UNICHAR(10003))</f>
      </c>
      <c r="J86" s="19">
        <f>COUNTIF(J6:J85,UNICHAR(10003))</f>
      </c>
      <c r="K86" s="19">
        <f>COUNTIF(K6:K85,UNICHAR(10003))</f>
      </c>
      <c r="L86" s="19">
        <f>COUNTIF(L6:L85,UNICHAR(10003))</f>
      </c>
      <c r="M86" s="19">
        <f>COUNTIF(M6:M85,UNICHAR(10003))</f>
      </c>
      <c r="N86" s="19">
        <f>COUNTIF(N6:N85,UNICHAR(10003))</f>
      </c>
      <c r="O86" s="19">
        <f>COUNTIF(O6:O85,UNICHAR(10003))</f>
      </c>
      <c r="P86" s="19">
        <f>COUNTIF(P6:P85,UNICHAR(10003))</f>
      </c>
      <c r="Q86" s="19">
        <f>COUNTIF(Q6:Q85,UNICHAR(10003))</f>
      </c>
      <c r="R86" s="19">
        <f>COUNTIF(R6:R85,UNICHAR(10003))</f>
      </c>
      <c r="S86" s="19">
        <f>COUNTIF(S6:S85,UNICHAR(10003))</f>
      </c>
      <c r="T86" s="19">
        <f>COUNTIF(T6:T85,UNICHAR(10003))</f>
      </c>
      <c r="U86" s="19">
        <f>COUNTIF(U6:U85,UNICHAR(10003))</f>
      </c>
      <c r="V86" s="19">
        <f>COUNTIF(V6:V85,UNICHAR(10003))</f>
      </c>
      <c r="W86" s="19">
        <f>COUNTIF(W6:W85,UNICHAR(10003))</f>
      </c>
      <c r="X86" s="19">
        <f>COUNTIF(X6:X85,UNICHAR(10003))</f>
      </c>
      <c r="Y86" s="19">
        <f>COUNTIF(Y6:Y85,UNICHAR(10003))</f>
      </c>
      <c r="Z86" s="19">
        <f>COUNTIF(Z6:Z85,UNICHAR(10003))</f>
      </c>
      <c r="AA86" s="19">
        <f>COUNTIF(AA6:AA85,UNICHAR(10003))</f>
      </c>
      <c r="AB86" s="19">
        <f>COUNTIF(AB6:AB85,UNICHAR(10003))</f>
      </c>
      <c r="AC86" s="19">
        <f>COUNTIF(AC6:AC85,UNICHAR(10003))</f>
      </c>
      <c r="AD86" s="19">
        <f>COUNTIF(AD6:AD85,UNICHAR(10003))</f>
      </c>
      <c r="AE86" s="19">
        <f>COUNTIF(AE6:AE85,UNICHAR(10003))</f>
      </c>
      <c r="AF86" s="19">
        <f>COUNTIF(AF6:AF85,UNICHAR(10003))</f>
      </c>
      <c r="AG86" s="19">
        <f>COUNTIF(AG6:AG85,UNICHAR(10003))</f>
      </c>
      <c r="AH86" s="19">
        <f>COUNTIF(AH6:AH85,UNICHAR(10003))</f>
      </c>
      <c r="AI86" s="19">
        <f>COUNTIF(AI6:AI85,UNICHAR(10003))</f>
      </c>
      <c r="AJ86" s="19">
        <f>COUNTIF(AJ6:AJ85,UNICHAR(10003))</f>
      </c>
      <c r="AK86" s="19">
        <f>COUNTIF(AK6:AK85,UNICHAR(10003))</f>
      </c>
    </row>
  </sheetData>
  <mergeCells count="4">
    <mergeCell ref="B1:C1"/>
    <mergeCell ref="C3:E3"/>
    <mergeCell ref="B4:E4"/>
    <mergeCell ref="F4:F5"/>
  </mergeCells>
  <conditionalFormatting sqref="G6:AK85">
    <cfRule type="expression" dxfId="0" priority="1">
      <formula>G6=UNICHAR(10003)</formula>
    </cfRule>
  </conditionalFormatting>
  <conditionalFormatting sqref="G6:AK85">
    <cfRule type="expression" dxfId="2" priority="2">
      <formula>G$5=""</formula>
    </cfRule>
  </conditionalFormatting>
  <conditionalFormatting sqref="G6:AK85">
    <cfRule type="expression" dxfId="1" priority="3">
      <formula>AND(G$5&lt;&gt;"",WEEKDAY(DATE(YEAR($C$2),MONTH($C$2),G$5),2)&gt;=6)</formula>
    </cfRule>
  </conditionalFormatting>
  <conditionalFormatting sqref="G4:AK5">
    <cfRule type="expression" dxfId="2" priority="4">
      <formula>G$5=""</formula>
    </cfRule>
  </conditionalFormatting>
  <conditionalFormatting sqref="G4:AK5">
    <cfRule type="expression" dxfId="1" priority="5">
      <formula>AND(G$5&lt;&gt;"",WEEKDAY(DATE(YEAR($C$2),MONTH($C$2),G$5),2)&gt;=6)</formula>
    </cfRule>
  </conditionalFormatting>
  <conditionalFormatting sqref="B6:F85">
    <cfRule type="expression" dxfId="3" priority="6">
      <formula>MOD(ROW(),2)=0</formula>
    </cfRule>
  </conditionalFormatting>
  <printOptions horizontalCentered="1"/>
  <pageMargins left="0.4" right="0.4" top="0.5" bottom="0.5" header="0.2" footer="0.2"/>
</worksheet>
</file>

<file path=xl/worksheets/sheet2.xml><?xml version="1.0" encoding="utf-8"?>
<worksheet xmlns="http://schemas.openxmlformats.org/spreadsheetml/2006/main" xmlns:r="http://schemas.openxmlformats.org/officeDocument/2006/relationships">
  <sheetPr codeName="wsJour">
    <pageSetUpPr fitToPage="1"/>
  </sheetPr>
  <dimension ref="B1:F5"/>
  <sheetViews>
    <sheetView showGridLines="0" workbookViewId="0"/>
  </sheetViews>
  <sheetFormatPr defaultRowHeight="15"/>
  <cols>
    <col min="1" max="1" width="2.5" customWidth="1"/>
    <col min="2" max="2" width="6" customWidth="1"/>
    <col min="3" max="3" width="14" customWidth="1"/>
    <col min="4" max="4" width="32" customWidth="1"/>
    <col min="5" max="5" width="20" customWidth="1"/>
    <col min="6" max="6" width="26" customWidth="1"/>
  </cols>
  <sheetData>
    <row r="1" ht="30" customHeight="1">
      <c r="B1" s="1" t="inlineStr">
        <is>
          <t xml:space="preserve">LISTE DE PRÉSENCE DU JOUR</t>
        </is>
      </c>
    </row>
    <row r="2" ht="18" customHeight="1">
      <c r="B2" s="2" t="inlineStr">
        <is>
          <t xml:space="preserve">Générée automatiquement depuis la feuille « Présence du Mois »</t>
        </is>
      </c>
    </row>
    <row r="3" ht="24" customHeight="1">
      <c r="B3" s="4" t="inlineStr">
        <is>
          <t xml:space="preserve">Jour :</t>
        </is>
      </c>
      <c r="C3" s="7">
        <v>6</v>
      </c>
      <c r="D3" s="4" t="inlineStr">
        <is>
          <t xml:space="preserve">Date :</t>
        </is>
      </c>
      <c r="E3" s="8">
        <f>IF($C$3="","",TEXT(DATE(YEAR('Présence du Mois'!$C$2),MONTH('Présence du Mois'!$C$2),$C$3),"dddd d mmmm yyyy"))</f>
      </c>
    </row>
    <row r="4" ht="20" customHeight="1">
      <c r="B4" s="4" t="inlineStr">
        <is>
          <t xml:space="preserve">Chantier :</t>
        </is>
      </c>
      <c r="C4" s="9">
        <f>'Présence du Mois'!$C$3</f>
      </c>
    </row>
    <row r="5" ht="22" customHeight="1">
      <c r="B5" s="21" t="inlineStr">
        <is>
          <t xml:space="preserve">N°</t>
        </is>
      </c>
      <c r="C5" s="21" t="inlineStr">
        <is>
          <t xml:space="preserve">ID</t>
        </is>
      </c>
      <c r="D5" s="21" t="inlineStr">
        <is>
          <t xml:space="preserve">Nom et Prénom</t>
        </is>
      </c>
      <c r="E5" s="21" t="inlineStr">
        <is>
          <t xml:space="preserve">Poste</t>
        </is>
      </c>
      <c r="F5" s="21" t="inlineStr">
        <is>
          <t xml:space="preserve">Signature</t>
        </is>
      </c>
    </row>
  </sheetData>
  <mergeCells count="4">
    <mergeCell ref="B1:F1"/>
    <mergeCell ref="B2:F2"/>
    <mergeCell ref="E3:F3"/>
    <mergeCell ref="C4:F4"/>
  </mergeCells>
  <dataValidations count="1">
    <dataValidation type="whole" operator="between" allowBlank="1" showInputMessage="1" showErrorMessage="1" sqref="C3">
      <formula1>1</formula1>
      <formula2>31</formula2>
    </dataValidation>
  </dataValidations>
  <printOptions horizontalCentered="1"/>
  <pageMargins left="0.5" right="0.5" top="0.6" bottom="0.6" header="0.3" footer="0.3"/>
  <pageSetup paperSize="9" orientation="portrait" fitToWidth="1" fitToHeight="0"/>
</worksheet>
</file>

<file path=docProps/app.xml><?xml version="1.0" encoding="utf-8"?>
<Properties xmlns="http://schemas.openxmlformats.org/officeDocument/2006/extended-properties">
  <Application>Kiro xlsxgen</Application>
  <Company/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title>Système de Gestion des Présences</dc:title>
  <dc:creator>Kiro</dc:creator>
  <dcterms:created xsi:type="dcterms:W3CDTF">2026-07-06T22:39:43Z</dcterms:created>
  <dcterms:modified xsi:type="dcterms:W3CDTF">2026-07-06T22:39:43Z</dcterms:modified>
</cp:coreProperties>
</file>