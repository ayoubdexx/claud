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styles.xml" ContentType="application/vnd.openxmlformats-officedocument.spreadsheetml.styles+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drawings/drawing4.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Types>
</file>

<file path=_rels/.rels><?xml version="1.0" encoding="UTF-8" standalone="yes"?><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7" lowestEdited="7" rupBuild="10000"/>
  <workbookPr defaultThemeVersion="166925"/>
  <bookViews>
    <workbookView activeTab="3"/>
  </bookViews>
  <sheets>
    <sheet name="PARAMÈTRES" sheetId="1" r:id="rId1"/>
    <sheet name="EMPLOYÉS" sheetId="2" r:id="rId2"/>
    <sheet name="POINTAGE" sheetId="3" r:id="rId3"/>
    <sheet name="TABLEAU DE BORD" sheetId="4" r:id="rId4"/>
    <sheet name="RECHERCHE" sheetId="5" r:id="rId5"/>
    <sheet name="PAIE (15 Jours)" sheetId="6" r:id="rId6"/>
    <sheet name="IMPRESSION" sheetId="7" r:id="rId7"/>
  </sheets>
  <definedNames>
    <definedName name="NomSociete">'PARAMÈTRES'!$B$5</definedName>
    <definedName name="AdresseSociete">'PARAMÈTRES'!$B$6</definedName>
    <definedName name="TelephoneSociete">'PARAMÈTRES'!$B$7</definedName>
    <definedName name="EmailSociete">'PARAMÈTRES'!$E$7</definedName>
    <definedName name="AnneeCourante">'PARAMÈTRES'!$B$10</definedName>
    <definedName name="MoisCourant">'PARAMÈTRES'!$E$10</definedName>
    <definedName name="PeriodePaie">'PARAMÈTRES'!$B$11</definedName>
    <definedName name="Devise">'PARAMÈTRES'!$E$11</definedName>
    <definedName name="HeuresJour">'PARAMÈTRES'!$B$12</definedName>
    <definedName name="TauxHSDefaut">'PARAMÈTRES'!$E$12</definedName>
    <definedName name="BudgetPaie">'PARAMÈTRES'!$H$10</definedName>
    <definedName name="MoisLibelle">'PARAMÈTRES'!$H$11</definedName>
    <definedName name="ListeCategories">tblCategories[Catégorie]</definedName>
    <definedName name="Categories_Salaire">tblCategories[Salaire journalier]</definedName>
    <definedName name="Categories_TauxHS">tblCategories[Taux horaire HS]</definedName>
    <definedName name="Employes_ID">'EMPLOYÉS'!$A$6:$A$305</definedName>
    <definedName name="Employes_Nom">'EMPLOYÉS'!$B$6:$B$305</definedName>
    <definedName name="Employes_Categorie">'EMPLOYÉS'!$C$6:$C$305</definedName>
    <definedName name="Employes_Embauche">'EMPLOYÉS'!$D$6:$D$305</definedName>
    <definedName name="Employes_Statut">'EMPLOYÉS'!$E$6:$E$305</definedName>
    <definedName name="Employes_Telephone">'EMPLOYÉS'!$F$6:$F$305</definedName>
    <definedName name="Employes_Notes">'EMPLOYÉS'!$G$6:$G$305</definedName>
    <definedName name="Pointage_ID">'POINTAGE'!$A$7:$A$306</definedName>
    <definedName name="Pointage_Nom">'POINTAGE'!$B$7:$B$306</definedName>
    <definedName name="Pointage_Categorie">'POINTAGE'!$C$7:$C$306</definedName>
    <definedName name="Pointage_Travailles">'POINTAGE'!$BN$7:$BN$306</definedName>
    <definedName name="Pointage_Absences">'POINTAGE'!$BO$7:$BO$306</definedName>
    <definedName name="Pointage_Conges">'POINTAGE'!$BP$7:$BP$306</definedName>
    <definedName name="Pointage_Maladies">'POINTAGE'!$BQ$7:$BQ$306</definedName>
    <definedName name="Pointage_HS">'POINTAGE'!$BR$7:$BR$306</definedName>
    <definedName name="Pointage_Estime">'POINTAGE'!$BS$7:$BS$306</definedName>
    <definedName name="RechercheEmployePos">'RECHERCHE'!$J$1</definedName>
    <definedName name="RechercheID">'RECHERCHE'!$J$2</definedName>
    <definedName name="RecherchePointagePos">'RECHERCHE'!$J$3</definedName>
    <definedName name="Paie_SalaireJour">'PAIE (15 Jours)'!$D$7:$D$306</definedName>
    <definedName name="Paie_TauxHS">'PAIE (15 Jours)'!$E$7:$E$306</definedName>
    <definedName name="Paie_Jours1">'PAIE (15 Jours)'!$F$7:$F$306</definedName>
    <definedName name="Paie_HS1">'PAIE (15 Jours)'!$H$7:$H$306</definedName>
    <definedName name="Paie_MontantHS1">'PAIE (15 Jours)'!$J$7:$J$306</definedName>
    <definedName name="Paie_Brut1">'PAIE (15 Jours)'!$K$7:$K$306</definedName>
    <definedName name="Paie_Retenues1">'PAIE (15 Jours)'!$L$7:$L$306</definedName>
    <definedName name="Paie_Net1">'PAIE (15 Jours)'!$M$7:$M$306</definedName>
    <definedName name="Paie_Jours2">'PAIE (15 Jours)'!$N$7:$N$306</definedName>
    <definedName name="Paie_HS2">'PAIE (15 Jours)'!$P$7:$P$306</definedName>
    <definedName name="Paie_MontantHS2">'PAIE (15 Jours)'!$R$7:$R$306</definedName>
    <definedName name="Paie_Brut2">'PAIE (15 Jours)'!$S$7:$S$306</definedName>
    <definedName name="Paie_Retenues2">'PAIE (15 Jours)'!$T$7:$T$306</definedName>
    <definedName name="Paie_Net2">'PAIE (15 Jours)'!$U$7:$U$306</definedName>
    <definedName name="Paie_MontantHS">'PAIE (15 Jours)'!$Y$7:$Y$306</definedName>
    <definedName name="Paie_BrutMensuel">'PAIE (15 Jours)'!$V$7:$V$306</definedName>
    <definedName name="Paie_Retenues">'PAIE (15 Jours)'!$W$7:$W$306</definedName>
    <definedName name="Paie_NetMensuel">'PAIE (15 Jours)'!$X$7:$X$306</definedName>
    <definedName name="ImpressionPos">'IMPRESSION'!$L$1</definedName>
    <definedName name="_xlnm.Print_Area" localSheetId="6">OFFSET('IMPRESSION'!$A$1,0,0,IF('IMPRESSION'!$B$5="Un employé",23,27+IFERROR(LOOKUP(2,1/(Pointage_ID&lt;&gt;""),ROW(Pointage_ID)-MIN(ROW(Pointage_ID))+1),1)),10)</definedName>
    <definedName name="_xlnm.Print_Area" localSheetId="0">'PARAMÈTRES'!$A$1:$J$24</definedName>
    <definedName name="_xlnm.Print_Area" localSheetId="1">'EMPLOYÉS'!$A$1:$G$305</definedName>
    <definedName name="_xlnm.Print_Area" localSheetId="2">'POINTAGE'!$A$1:$BS$306</definedName>
    <definedName name="_xlnm.Print_Area" localSheetId="3">'TABLEAU DE BORD'!$A$1:$M$44</definedName>
    <definedName name="_xlnm.Print_Area" localSheetId="4">'RECHERCHE'!$B$1:$F$20</definedName>
    <definedName name="_xlnm.Print_Area" localSheetId="5">'PAIE (15 Jours)'!$A$1:$X$306</definedName>
  </definedNames>
  <calcPr calcId="0" fullCalcOnLoad="1"/>
</workbook>
</file>

<file path=xl/styles.xml><?xml version="1.0" encoding="utf-8"?>
<styleSheet xmlns="http://schemas.openxmlformats.org/spreadsheetml/2006/main">
  <numFmts count="2">
    <numFmt numFmtId="164" formatCode="dd/mm/yyyy"/>
    <numFmt numFmtId="165" formatCode="ddd dd"/>
  </numFmts>
  <fonts count="21">
    <font>
      <sz val="11"/>
      <color rgb="FF000000"/>
      <name val="Calibri"/>
    </font>
    <font>
      <b/>
      <sz val="9"/>
      <color rgb="FFFFFFFF"/>
      <name val="Calibri"/>
    </font>
    <font>
      <b/>
      <sz val="9"/>
      <color rgb="FF17365D"/>
      <name val="Calibri"/>
    </font>
    <font>
      <b/>
      <sz val="20"/>
      <color rgb="FFFFFFFF"/>
      <name val="Calibri"/>
    </font>
    <font>
      <i/>
      <sz val="10"/>
      <color rgb="FFFFFFFF"/>
      <name val="Calibri"/>
    </font>
    <font>
      <b/>
      <sz val="11"/>
      <color rgb="FFFFFFFF"/>
      <name val="Calibri"/>
    </font>
    <font>
      <b/>
      <sz val="13"/>
      <color rgb="FF7F8C8D"/>
      <name val="Calibri"/>
    </font>
    <font>
      <b/>
      <sz val="10"/>
      <color rgb="FFFFFFFF"/>
      <name val="Calibri"/>
    </font>
    <font>
      <b/>
      <sz val="8"/>
      <color rgb="FF17365D"/>
      <name val="Calibri"/>
    </font>
    <font>
      <b/>
      <sz val="10"/>
      <color rgb="FF17365D"/>
      <name val="Calibri"/>
    </font>
    <font>
      <b/>
      <sz val="11"/>
      <color rgb="FF17365D"/>
      <name val="Calibri"/>
    </font>
    <font>
      <sz val="8"/>
      <color rgb="FFFFFFFF"/>
      <name val="Calibri"/>
    </font>
    <font>
      <i/>
      <sz val="9"/>
      <color rgb="FF7F8C8D"/>
      <name val="Calibri"/>
    </font>
    <font>
      <b/>
      <sz val="21"/>
      <color rgb="FF17365D"/>
      <name val="Calibri"/>
    </font>
    <font>
      <b/>
      <sz val="20"/>
      <color rgb="FF17365D"/>
      <name val="Calibri"/>
    </font>
    <font>
      <b/>
      <sz val="17"/>
      <color rgb="FF17365D"/>
      <name val="Calibri"/>
    </font>
    <font>
      <b/>
      <sz val="11"/>
      <color rgb="FF1F2933"/>
      <name val="Calibri"/>
    </font>
    <font>
      <b/>
      <sz val="11"/>
      <color rgb="FF17365D"/>
      <name val="Calibri"/>
    </font>
    <font>
      <b/>
      <sz val="13"/>
      <color rgb="FFFFFFFF"/>
      <name val="Calibri"/>
    </font>
    <font>
      <b/>
      <sz val="18"/>
      <color rgb="FF17365D"/>
      <name val="Calibri"/>
    </font>
    <font>
      <sz val="9"/>
      <color rgb="FF7F8C8D"/>
      <name val="Calibri"/>
    </font>
  </fonts>
  <fills count="16">
    <fill>
      <patternFill patternType="none"/>
    </fill>
    <fill>
      <patternFill patternType="gray125"/>
    </fill>
    <fill>
      <patternFill patternType="solid">
        <fgColor rgb="FF244A73"/>
        <bgColor rgb="FF244A73"/>
      </patternFill>
    </fill>
    <fill>
      <patternFill patternType="solid">
        <fgColor rgb="FFFFF2CC"/>
        <bgColor rgb="FFFFF2CC"/>
      </patternFill>
    </fill>
    <fill>
      <patternFill patternType="solid">
        <fgColor rgb="FF17365D"/>
        <bgColor rgb="FF17365D"/>
      </patternFill>
    </fill>
    <fill>
      <patternFill patternType="solid">
        <fgColor rgb="FF2F75B5"/>
        <bgColor rgb="FF2F75B5"/>
      </patternFill>
    </fill>
    <fill>
      <patternFill patternType="solid">
        <fgColor rgb="FF1F8A8A"/>
        <bgColor rgb="FF1F8A8A"/>
      </patternFill>
    </fill>
    <fill>
      <patternFill patternType="solid">
        <fgColor rgb="FFF3F6F8"/>
        <bgColor rgb="FFF3F6F8"/>
      </patternFill>
    </fill>
    <fill>
      <patternFill patternType="solid">
        <fgColor rgb="FF70AD47"/>
        <bgColor rgb="FF70AD47"/>
      </patternFill>
    </fill>
    <fill>
      <patternFill patternType="solid">
        <fgColor rgb="FFD6A100"/>
        <bgColor rgb="FFD6A100"/>
      </patternFill>
    </fill>
    <fill>
      <patternFill patternType="solid">
        <fgColor rgb="FFFFFFFF"/>
        <bgColor rgb="FFFFFFFF"/>
      </patternFill>
    </fill>
    <fill>
      <patternFill patternType="solid">
        <fgColor rgb="FFE2F0D9"/>
        <bgColor rgb="FFE2F0D9"/>
      </patternFill>
    </fill>
    <fill>
      <patternFill patternType="solid">
        <fgColor rgb="FFDDEBF7"/>
        <bgColor rgb="FFDDEBF7"/>
      </patternFill>
    </fill>
    <fill>
      <patternFill patternType="solid">
        <fgColor rgb="FFF8FAFC"/>
        <bgColor rgb="FFF8FAFC"/>
      </patternFill>
    </fill>
    <fill>
      <patternFill patternType="solid">
        <fgColor rgb="FFC00000"/>
        <bgColor rgb="FFC00000"/>
      </patternFill>
    </fill>
    <fill>
      <patternFill patternType="solid">
        <fgColor rgb="FFED7D31"/>
        <bgColor rgb="FFED7D31"/>
      </patternFill>
    </fill>
  </fills>
  <borders count="6">
    <border>
      <left/>
      <right/>
      <top/>
      <bottom/>
      <diagonal/>
    </border>
    <border>
      <left style="thin">
        <color rgb="FFFFFFFF"/>
      </left>
      <right style="thin">
        <color rgb="FFFFFFFF"/>
      </right>
      <top style="thin">
        <color rgb="FFFFFFFF"/>
      </top>
      <bottom style="thin">
        <color rgb="FFFFFFFF"/>
      </bottom>
      <diagonal/>
    </border>
    <border>
      <left style="thin">
        <color rgb="FFD6A100"/>
      </left>
      <right style="thin">
        <color rgb="FFD6A100"/>
      </right>
      <top style="thin">
        <color rgb="FFD6A100"/>
      </top>
      <bottom style="thin">
        <color rgb="FFD6A100"/>
      </bottom>
      <diagonal/>
    </border>
    <border>
      <left style="medium">
        <color rgb="FFD9E1E8"/>
      </left>
      <right style="medium">
        <color rgb="FFD9E1E8"/>
      </right>
      <top style="medium">
        <color rgb="FFD9E1E8"/>
      </top>
      <bottom style="medium">
        <color rgb="FFD9E1E8"/>
      </bottom>
      <diagonal/>
    </border>
    <border>
      <left style="thin">
        <color rgb="FFD9E1E8"/>
      </left>
      <right style="thin">
        <color rgb="FFD9E1E8"/>
      </right>
      <top style="thin">
        <color rgb="FFD9E1E8"/>
      </top>
      <bottom style="thin">
        <color rgb="FFD9E1E8"/>
      </bottom>
      <diagonal/>
    </border>
    <border>
      <left/>
      <right/>
      <top style="medium">
        <color rgb="FF17365D"/>
      </top>
      <bottom/>
      <diagonal/>
    </border>
  </borders>
  <cellStyleXfs count="1">
    <xf numFmtId="0" fontId="0" fillId="0" borderId="0"/>
  </cellStyleXfs>
  <cellXfs count="48">
    <xf numFmtId="0" fontId="0" fillId="0" borderId="0" xfId="0"/>
    <xf numFmtId="0" fontId="1" fillId="2" borderId="1" xfId="0" applyFont="1" applyFill="1" applyBorder="1" applyAlignment="1">
      <alignment horizontal="center" vertical="center" wrapText="1"/>
    </xf>
    <xf numFmtId="0" fontId="2" fillId="3" borderId="2" xfId="0" applyFont="1" applyFill="1" applyBorder="1" applyAlignment="1">
      <alignment horizontal="center" vertical="center" wrapText="1"/>
    </xf>
    <xf numFmtId="0" fontId="3" fillId="4" borderId="0" xfId="0" applyFont="1" applyFill="1" applyAlignment="1">
      <alignment horizontal="left" vertical="center"/>
    </xf>
    <xf numFmtId="0" fontId="3" fillId="4" borderId="0" xfId="0" applyFont="1" applyFill="1" applyAlignment="1">
      <alignment horizontal="center" vertical="center"/>
    </xf>
    <xf numFmtId="0" fontId="4" fillId="2" borderId="0" xfId="0" applyFont="1" applyFill="1" applyAlignment="1">
      <alignment horizontal="left" vertical="center"/>
    </xf>
    <xf numFmtId="0" fontId="5" fillId="5" borderId="1" xfId="0" applyFont="1" applyFill="1" applyBorder="1" applyAlignment="1">
      <alignment horizontal="left" vertical="center"/>
    </xf>
    <xf numFmtId="0" fontId="5" fillId="6" borderId="1" xfId="0" applyFont="1" applyFill="1" applyBorder="1" applyAlignment="1">
      <alignment horizontal="left" vertical="center"/>
    </xf>
    <xf numFmtId="0" fontId="6" fillId="7" borderId="3" xfId="0" applyFont="1" applyFill="1" applyBorder="1" applyAlignment="1" applyProtection="1">
      <alignment horizontal="center" vertical="center" wrapText="1"/>
      <protection locked="0"/>
    </xf>
    <xf numFmtId="0" fontId="7" fillId="4" borderId="1" xfId="0" applyFont="1" applyFill="1" applyBorder="1" applyAlignment="1">
      <alignment horizontal="center" vertical="center" wrapText="1"/>
    </xf>
    <xf numFmtId="0" fontId="1" fillId="5" borderId="1" xfId="0" applyFont="1" applyFill="1" applyBorder="1" applyAlignment="1">
      <alignment horizontal="center" vertical="center" wrapText="1"/>
    </xf>
    <xf numFmtId="0" fontId="1" fillId="8" borderId="1" xfId="0" applyFont="1" applyFill="1" applyBorder="1" applyAlignment="1">
      <alignment horizontal="center" vertical="center" wrapText="1"/>
    </xf>
    <xf numFmtId="0" fontId="1" fillId="9" borderId="1" xfId="0" applyFont="1" applyFill="1" applyBorder="1" applyAlignment="1">
      <alignment horizontal="center" vertical="center" wrapText="1"/>
    </xf>
    <xf numFmtId="0" fontId="8" fillId="7" borderId="4" xfId="0" applyFont="1" applyFill="1" applyBorder="1" applyAlignment="1">
      <alignment horizontal="center" vertical="center" wrapText="1"/>
    </xf>
    <xf numFmtId="0" fontId="9" fillId="7" borderId="4" xfId="0" applyFont="1" applyFill="1" applyBorder="1" applyAlignment="1">
      <alignment horizontal="left" vertical="center"/>
    </xf>
    <xf numFmtId="0" fontId="0" fillId="3" borderId="4" xfId="0" applyFill="1" applyBorder="1" applyAlignment="1" applyProtection="1">
      <alignment vertical="center"/>
      <protection locked="0"/>
    </xf>
    <xf numFmtId="0" fontId="0" fillId="3" borderId="4" xfId="0" applyFill="1" applyBorder="1" applyAlignment="1" applyProtection="1">
      <alignment horizontal="center" vertical="center"/>
      <protection locked="0"/>
    </xf>
    <xf numFmtId="164" fontId="0" fillId="3" borderId="4" xfId="0" applyNumberFormat="1" applyFill="1" applyBorder="1" applyAlignment="1" applyProtection="1">
      <alignment horizontal="center" vertical="center"/>
      <protection locked="0"/>
    </xf>
    <xf numFmtId="4" fontId="0" fillId="3" borderId="4" xfId="0" applyNumberFormat="1" applyFill="1" applyBorder="1" applyAlignment="1" applyProtection="1">
      <alignment horizontal="right" vertical="center"/>
      <protection locked="0"/>
    </xf>
    <xf numFmtId="0" fontId="0" fillId="10" borderId="4" xfId="0" applyFill="1" applyBorder="1" applyAlignment="1">
      <alignment vertical="center"/>
    </xf>
    <xf numFmtId="0" fontId="0" fillId="10" borderId="4" xfId="0" applyFill="1" applyBorder="1" applyAlignment="1">
      <alignment horizontal="center" vertical="center"/>
    </xf>
    <xf numFmtId="164" fontId="0" fillId="10" borderId="4" xfId="0" applyNumberFormat="1" applyFill="1" applyBorder="1" applyAlignment="1">
      <alignment horizontal="center" vertical="center"/>
    </xf>
    <xf numFmtId="3" fontId="0" fillId="11" borderId="4" xfId="0" applyNumberFormat="1" applyFill="1" applyBorder="1" applyAlignment="1">
      <alignment horizontal="center" vertical="center"/>
    </xf>
    <xf numFmtId="2" fontId="0" fillId="11" borderId="4" xfId="0" applyNumberFormat="1" applyFill="1" applyBorder="1" applyAlignment="1">
      <alignment horizontal="center" vertical="center"/>
    </xf>
    <xf numFmtId="4" fontId="0" fillId="11" borderId="4" xfId="0" applyNumberFormat="1" applyFill="1" applyBorder="1" applyAlignment="1">
      <alignment horizontal="right" vertical="center"/>
    </xf>
    <xf numFmtId="4" fontId="10" fillId="12" borderId="4" xfId="0" applyNumberFormat="1" applyFont="1" applyFill="1" applyBorder="1" applyAlignment="1">
      <alignment horizontal="right" vertical="center"/>
    </xf>
    <xf numFmtId="0" fontId="0" fillId="0" borderId="4" xfId="0" applyBorder="1" applyAlignment="1" applyProtection="1">
      <alignment horizontal="center" vertical="center"/>
      <protection locked="0"/>
    </xf>
    <xf numFmtId="2" fontId="0" fillId="12" borderId="4" xfId="0" applyNumberFormat="1" applyFill="1" applyBorder="1" applyAlignment="1" applyProtection="1">
      <alignment horizontal="center" vertical="center"/>
      <protection locked="0"/>
    </xf>
    <xf numFmtId="165" fontId="1" fillId="5" borderId="1" xfId="0" applyNumberFormat="1" applyFont="1" applyFill="1" applyBorder="1" applyAlignment="1">
      <alignment horizontal="center" vertical="center"/>
    </xf>
    <xf numFmtId="0" fontId="11" fillId="10" borderId="0" xfId="0" applyFont="1" applyFill="1"/>
    <xf numFmtId="0" fontId="12" fillId="0" borderId="0" xfId="0" applyFont="1" applyAlignment="1">
      <alignment vertical="center" wrapText="1"/>
    </xf>
    <xf numFmtId="0" fontId="7" fillId="5" borderId="1" xfId="0" applyFont="1" applyFill="1" applyBorder="1" applyAlignment="1">
      <alignment horizontal="center" vertical="center"/>
    </xf>
    <xf numFmtId="3" fontId="13" fillId="13" borderId="4" xfId="0" applyNumberFormat="1" applyFont="1" applyFill="1" applyBorder="1" applyAlignment="1">
      <alignment horizontal="center" vertical="center"/>
    </xf>
    <xf numFmtId="2" fontId="14" fillId="13" borderId="4" xfId="0" applyNumberFormat="1" applyFont="1" applyFill="1" applyBorder="1" applyAlignment="1">
      <alignment horizontal="center" vertical="center"/>
    </xf>
    <xf numFmtId="4" fontId="15" fillId="13" borderId="4" xfId="0" applyNumberFormat="1" applyFont="1" applyFill="1" applyBorder="1" applyAlignment="1">
      <alignment horizontal="center" vertical="center"/>
    </xf>
    <xf numFmtId="0" fontId="16" fillId="10" borderId="4" xfId="0" applyFont="1" applyFill="1" applyBorder="1" applyAlignment="1">
      <alignment vertical="center"/>
    </xf>
    <xf numFmtId="4" fontId="17" fillId="11" borderId="4" xfId="0" applyNumberFormat="1" applyFont="1" applyFill="1" applyBorder="1" applyAlignment="1">
      <alignment horizontal="right" vertical="center"/>
    </xf>
    <xf numFmtId="0" fontId="18" fillId="9" borderId="1" xfId="0" applyFont="1" applyFill="1" applyBorder="1" applyAlignment="1">
      <alignment horizontal="center" vertical="center"/>
    </xf>
    <xf numFmtId="4" fontId="19" fillId="3" borderId="2" xfId="0" applyNumberFormat="1" applyFont="1" applyFill="1" applyBorder="1" applyAlignment="1">
      <alignment horizontal="center" vertical="center"/>
    </xf>
    <xf numFmtId="0" fontId="20" fillId="0" borderId="5" xfId="0" applyFont="1" applyBorder="1" applyAlignment="1">
      <alignment horizontal="center" vertical="top"/>
    </xf>
    <xf numFmtId="0" fontId="7" fillId="8" borderId="1" xfId="0" applyFont="1" applyFill="1" applyBorder="1" applyAlignment="1">
      <alignment horizontal="center" vertical="center"/>
    </xf>
    <xf numFmtId="0" fontId="7" fillId="14" borderId="1" xfId="0" applyFont="1" applyFill="1" applyBorder="1" applyAlignment="1">
      <alignment horizontal="center" vertical="center"/>
    </xf>
    <xf numFmtId="0" fontId="7" fillId="15" borderId="1" xfId="0" applyFont="1" applyFill="1" applyBorder="1" applyAlignment="1">
      <alignment horizontal="center" vertical="center"/>
    </xf>
    <xf numFmtId="0" fontId="7" fillId="6" borderId="1" xfId="0" applyFont="1" applyFill="1" applyBorder="1" applyAlignment="1">
      <alignment horizontal="center" vertical="center"/>
    </xf>
    <xf numFmtId="0" fontId="7" fillId="9" borderId="1" xfId="0" applyFont="1" applyFill="1" applyBorder="1" applyAlignment="1">
      <alignment horizontal="center" vertical="center"/>
    </xf>
    <xf numFmtId="0" fontId="10" fillId="7" borderId="4" xfId="0" applyFont="1" applyFill="1" applyBorder="1" applyAlignment="1">
      <alignment horizontal="center"/>
    </xf>
    <xf numFmtId="3" fontId="0" fillId="0" borderId="4" xfId="0" applyNumberFormat="1" applyBorder="1"/>
    <xf numFmtId="4" fontId="0" fillId="0" borderId="4" xfId="0" applyNumberFormat="1" applyBorder="1"/>
  </cellXfs>
  <cellStyles count="1">
    <cellStyle name="Normal" xfId="0" builtinId="0"/>
  </cellStyles>
  <dxfs count="11">
    <dxf>
      <font>
        <b/>
        <color rgb="FF006100"/>
      </font>
      <fill>
        <patternFill>
          <bgColor rgb="FFC6EFCE"/>
        </patternFill>
      </fill>
    </dxf>
    <dxf>
      <font>
        <b/>
        <color rgb="FF9C0006"/>
      </font>
      <fill>
        <patternFill>
          <bgColor rgb="FFFFC7CE"/>
        </patternFill>
      </fill>
    </dxf>
    <dxf>
      <font>
        <b/>
        <color rgb="FF17365D"/>
      </font>
      <fill>
        <patternFill>
          <bgColor rgb="FFDDEBF7"/>
        </patternFill>
      </fill>
    </dxf>
    <dxf>
      <font>
        <b/>
        <color rgb="FF7030A0"/>
      </font>
      <fill>
        <patternFill>
          <bgColor rgb="FFE4DFEC"/>
        </patternFill>
      </fill>
    </dxf>
    <dxf>
      <font>
        <b/>
        <color rgb="FF9C6500"/>
      </font>
      <fill>
        <patternFill>
          <bgColor rgb="FFFFEB9C"/>
        </patternFill>
      </fill>
    </dxf>
    <dxf>
      <font>
        <color rgb="FFC00000"/>
      </font>
      <fill>
        <patternFill>
          <bgColor rgb="FFFCE4D6"/>
        </patternFill>
      </fill>
    </dxf>
    <dxf>
      <font>
        <color rgb="FF548235"/>
      </font>
      <fill>
        <patternFill>
          <bgColor rgb="FFE2F0D9"/>
        </patternFill>
      </fill>
    </dxf>
    <dxf>
      <font>
        <color rgb="FF7F8C8D"/>
      </font>
      <fill>
        <patternFill>
          <bgColor rgb="FFE7E6E6"/>
        </patternFill>
      </fill>
    </dxf>
    <dxf>
      <font>
        <b/>
        <color rgb="FFFFFFFF"/>
      </font>
      <fill>
        <patternFill>
          <bgColor rgb="FF9EADBA"/>
        </patternFill>
      </fill>
    </dxf>
    <dxf>
      <font>
        <b/>
        <color rgb="FFC00000"/>
      </font>
      <fill>
        <patternFill>
          <bgColor rgb="FFFFC7CE"/>
        </patternFill>
      </fill>
    </dxf>
    <dxf>
      <fill>
        <patternFill>
          <bgColor rgb="FFF8FAFC"/>
        </patternFill>
      </fill>
    </dxf>
  </dxfs>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c:chart>
    <c:title>
      <c:tx>
        <c:rich>
          <a:bodyPr/>
          <a:p>
            <a:r>
              <a:rPr lang="en-US" b="1" sz="1200"/>
              <a:t>Taux de présence</a:t>
            </a:r>
          </a:p>
        </c:rich>
      </c:tx>
      <c:overlay val="0"/>
    </c:title>
    <c:autoTitleDeleted val="0"/>
    <c:plotArea>
      <c:layout/>
      <c:pieChart>
        <c:varyColors val="1"/>
        <c:ser>
          <c:idx val="0"/>
          <c:order val="0"/>
          <c:tx>
            <c:strRef>
              <c:f>'TABLEAU DE BORD'!$P$1</c:f>
            </c:strRef>
          </c:tx>
          <c:dPt>
            <c:idx val="0"/>
            <c:bubble3D val="0"/>
            <c:spPr>
              <a:solidFill>
                <a:srgbClr val="70AD47"/>
              </a:solidFill>
            </c:spPr>
          </c:dPt>
          <c:dPt>
            <c:idx val="1"/>
            <c:bubble3D val="0"/>
            <c:spPr>
              <a:solidFill>
                <a:srgbClr val="C00000"/>
              </a:solidFill>
            </c:spPr>
          </c:dPt>
          <c:dPt>
            <c:idx val="2"/>
            <c:bubble3D val="0"/>
            <c:spPr>
              <a:solidFill>
                <a:srgbClr val="5B9BD5"/>
              </a:solidFill>
            </c:spPr>
          </c:dPt>
          <c:dPt>
            <c:idx val="3"/>
            <c:bubble3D val="0"/>
            <c:spPr>
              <a:solidFill>
                <a:srgbClr val="7030A0"/>
              </a:solidFill>
            </c:spPr>
          </c:dPt>
          <c:cat>
            <c:strRef>
              <c:f>'TABLEAU DE BORD'!$P$2:$P$5</c:f>
            </c:strRef>
          </c:cat>
          <c:val>
            <c:numRef>
              <c:f>'TABLEAU DE BORD'!$Q$2:$Q$5</c:f>
            </c:numRef>
          </c:val>
        </c:ser>
        <c:firstSliceAng val="0"/>
      </c:pieChart>
    </c:plotArea>
    <c:legend>
      <c:legendPos val="b"/>
      <c:overlay val="0"/>
    </c:legend>
    <c:plotVisOnly val="1"/>
  </c:chart>
</c:chartSpace>
</file>

<file path=xl/charts/chart2.xml><?xml version="1.0" encoding="utf-8"?>
<c:chartSpace xmlns:c="http://schemas.openxmlformats.org/drawingml/2006/chart" xmlns:a="http://schemas.openxmlformats.org/drawingml/2006/main" xmlns:r="http://schemas.openxmlformats.org/officeDocument/2006/relationships">
  <c:chart>
    <c:title>
      <c:tx>
        <c:rich>
          <a:bodyPr/>
          <a:p>
            <a:r>
              <a:rPr lang="en-US" b="1" sz="1200"/>
              <a:t>Employés par catégorie</a:t>
            </a:r>
          </a:p>
        </c:rich>
      </c:tx>
      <c:overlay val="0"/>
    </c:title>
    <c:autoTitleDeleted val="0"/>
    <c:plotArea>
      <c:layout/>
      <c:barChart>
        <c:barDir val="col"/>
        <c:grouping val="clustered"/>
        <c:varyColors val="0"/>
        <c:ser>
          <c:idx val="0"/>
          <c:order val="0"/>
          <c:tx>
            <c:strRef>
              <c:f>'TABLEAU DE BORD'!$T$1</c:f>
            </c:strRef>
          </c:tx>
          <c:spPr>
            <a:solidFill>
              <a:srgbClr val="2F75B5"/>
            </a:solidFill>
          </c:spPr>
          <c:cat>
            <c:strRef>
              <c:f>'TABLEAU DE BORD'!$S$2:$S$51</c:f>
            </c:strRef>
          </c:cat>
          <c:val>
            <c:numRef>
              <c:f>'TABLEAU DE BORD'!$T$2:$T$51</c:f>
            </c:numRef>
          </c:val>
        </c:ser>
        <c:axId val="111111111"/>
        <c:axId val="222222222"/>
      </c:barChart>
      <c:catAx>
        <c:axId val="111111111"/>
        <c:scaling>
          <c:orientation val="minMax"/>
        </c:scaling>
        <c:delete val="0"/>
        <c:axPos val="b"/>
        <c:crossAx val="222222222"/>
      </c:catAx>
      <c:valAx>
        <c:axId val="222222222"/>
        <c:scaling>
          <c:orientation val="minMax"/>
        </c:scaling>
        <c:delete val="0"/>
        <c:axPos val="l"/>
        <c:crossAx val="111111111"/>
      </c:valAx>
    </c:plotArea>
    <c:legend>
      <c:legendPos val="b"/>
      <c:overlay val="0"/>
    </c:legend>
    <c:plotVisOnly val="1"/>
  </c:chart>
</c:chartSpace>
</file>

<file path=xl/charts/chart3.xml><?xml version="1.0" encoding="utf-8"?>
<c:chartSpace xmlns:c="http://schemas.openxmlformats.org/drawingml/2006/chart" xmlns:a="http://schemas.openxmlformats.org/drawingml/2006/main" xmlns:r="http://schemas.openxmlformats.org/officeDocument/2006/relationships">
  <c:chart>
    <c:title>
      <c:tx>
        <c:rich>
          <a:bodyPr/>
          <a:p>
            <a:r>
              <a:rPr lang="en-US" b="1" sz="1200"/>
              <a:t>Heures supplémentaires par catégorie</a:t>
            </a:r>
          </a:p>
        </c:rich>
      </c:tx>
      <c:overlay val="0"/>
    </c:title>
    <c:autoTitleDeleted val="0"/>
    <c:plotArea>
      <c:layout/>
      <c:barChart>
        <c:barDir val="col"/>
        <c:grouping val="clustered"/>
        <c:varyColors val="0"/>
        <c:ser>
          <c:idx val="0"/>
          <c:order val="0"/>
          <c:tx>
            <c:strRef>
              <c:f>'TABLEAU DE BORD'!$Q$9</c:f>
            </c:strRef>
          </c:tx>
          <c:spPr>
            <a:solidFill>
              <a:srgbClr val="ED7D31"/>
            </a:solidFill>
          </c:spPr>
          <c:cat>
            <c:strRef>
              <c:f>'TABLEAU DE BORD'!$P$10:$P$59</c:f>
            </c:strRef>
          </c:cat>
          <c:val>
            <c:numRef>
              <c:f>'TABLEAU DE BORD'!$Q$10:$Q$59</c:f>
            </c:numRef>
          </c:val>
        </c:ser>
        <c:axId val="111111111"/>
        <c:axId val="222222222"/>
      </c:barChart>
      <c:catAx>
        <c:axId val="111111111"/>
        <c:scaling>
          <c:orientation val="minMax"/>
        </c:scaling>
        <c:delete val="0"/>
        <c:axPos val="b"/>
        <c:crossAx val="222222222"/>
      </c:catAx>
      <c:valAx>
        <c:axId val="222222222"/>
        <c:scaling>
          <c:orientation val="minMax"/>
        </c:scaling>
        <c:delete val="0"/>
        <c:axPos val="l"/>
        <c:crossAx val="111111111"/>
      </c:valAx>
    </c:plotArea>
    <c:legend>
      <c:legendPos val="b"/>
      <c:overlay val="0"/>
    </c:legend>
    <c:plotVisOnly val="1"/>
  </c:chart>
</c:chartSpace>
</file>

<file path=xl/charts/chart4.xml><?xml version="1.0" encoding="utf-8"?>
<c:chartSpace xmlns:c="http://schemas.openxmlformats.org/drawingml/2006/chart" xmlns:a="http://schemas.openxmlformats.org/drawingml/2006/main" xmlns:r="http://schemas.openxmlformats.org/officeDocument/2006/relationships">
  <c:chart>
    <c:title>
      <c:tx>
        <c:rich>
          <a:bodyPr/>
          <a:p>
            <a:r>
              <a:rPr lang="en-US" b="1" sz="1200"/>
              <a:t>Évolution de la paie brute mensuelle</a:t>
            </a:r>
          </a:p>
        </c:rich>
      </c:tx>
      <c:overlay val="0"/>
    </c:title>
    <c:autoTitleDeleted val="0"/>
    <c:plotArea>
      <c:layout/>
      <c:lineChart>
        <c:grouping val="standard"/>
        <c:varyColors val="0"/>
        <c:ser>
          <c:idx val="0"/>
          <c:order val="0"/>
          <c:tx>
            <c:strRef>
              <c:f>'TABLEAU DE BORD'!$W$1</c:f>
            </c:strRef>
          </c:tx>
          <c:spPr>
            <a:ln w="28575">
              <a:solidFill>
                <a:srgbClr val="1F8A8A"/>
              </a:solidFill>
            </a:ln>
          </c:spPr>
          <c:marker>
            <c:symbol val="circle"/>
            <c:size val="5"/>
          </c:marker>
          <c:cat>
            <c:numRef>
              <c:f>'TABLEAU DE BORD'!$V$2:$V$32</c:f>
            </c:numRef>
          </c:cat>
          <c:val>
            <c:numRef>
              <c:f>'TABLEAU DE BORD'!$W$2:$W$32</c:f>
            </c:numRef>
          </c:val>
        </c:ser>
        <c:smooth val="0"/>
        <c:axId val="111111111"/>
        <c:axId val="222222222"/>
      </c:lineChart>
      <c:catAx>
        <c:axId val="111111111"/>
        <c:scaling>
          <c:orientation val="minMax"/>
        </c:scaling>
        <c:delete val="0"/>
        <c:axPos val="b"/>
        <c:crossAx val="222222222"/>
      </c:catAx>
      <c:valAx>
        <c:axId val="222222222"/>
        <c:scaling>
          <c:orientation val="minMax"/>
        </c:scaling>
        <c:delete val="0"/>
        <c:axPos val="l"/>
        <c:crossAx val="111111111"/>
      </c:valAx>
    </c:plotArea>
    <c:legend>
      <c:legendPos val="b"/>
      <c:overlay val="0"/>
    </c:legend>
    <c:plotVisOnly val="1"/>
  </c:chart>
</c:chartSpace>
</file>

<file path=xl/drawings/_rels/drawing4.xml.rels><?xml version="1.0" encoding="UTF-8" standalone="yes"?><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 Id="rId4" Type="http://schemas.openxmlformats.org/officeDocument/2006/relationships/chart" Target="../charts/chart4.xml"/></Relationships>
</file>

<file path=xl/drawings/drawing4.xml><?xml version="1.0" encoding="utf-8"?>
<xdr:wsDr xmlns:xdr="http://schemas.openxmlformats.org/drawingml/2006/spreadsheetDrawing" xmlns:a="http://schemas.openxmlformats.org/drawingml/2006/main">
  <xdr:twoCellAnchor editAs="oneCell">
    <xdr:from>
      <xdr:col>1</xdr:col>
      <xdr:colOff>0</xdr:colOff>
      <xdr:row>12</xdr:row>
      <xdr:rowOff>0</xdr:rowOff>
    </xdr:from>
    <xdr:to>
      <xdr:col>6</xdr:col>
      <xdr:colOff>0</xdr:colOff>
      <xdr:row>27</xdr:row>
      <xdr:rowOff>0</xdr:rowOff>
    </xdr:to>
    <xdr:graphicFrame macro="">
      <xdr:nvGraphicFramePr>
        <xdr:cNvPr id="2" name="Chart 1"/>
        <xdr:cNvGraphicFramePr/>
      </xdr:nvGraphicFramePr>
      <xdr:xfrm>
        <a:off x="0" y="0"/>
        <a:ext cx="5486400" cy="32004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6</xdr:col>
      <xdr:colOff>0</xdr:colOff>
      <xdr:row>12</xdr:row>
      <xdr:rowOff>0</xdr:rowOff>
    </xdr:from>
    <xdr:to>
      <xdr:col>12</xdr:col>
      <xdr:colOff>0</xdr:colOff>
      <xdr:row>27</xdr:row>
      <xdr:rowOff>0</xdr:rowOff>
    </xdr:to>
    <xdr:graphicFrame macro="">
      <xdr:nvGraphicFramePr>
        <xdr:cNvPr id="3" name="Chart 2"/>
        <xdr:cNvGraphicFramePr/>
      </xdr:nvGraphicFramePr>
      <xdr:xfrm>
        <a:off x="0" y="0"/>
        <a:ext cx="5486400" cy="320040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xdr:col>
      <xdr:colOff>0</xdr:colOff>
      <xdr:row>28</xdr:row>
      <xdr:rowOff>0</xdr:rowOff>
    </xdr:from>
    <xdr:to>
      <xdr:col>6</xdr:col>
      <xdr:colOff>0</xdr:colOff>
      <xdr:row>43</xdr:row>
      <xdr:rowOff>0</xdr:rowOff>
    </xdr:to>
    <xdr:graphicFrame macro="">
      <xdr:nvGraphicFramePr>
        <xdr:cNvPr id="4" name="Chart 3"/>
        <xdr:cNvGraphicFramePr/>
      </xdr:nvGraphicFramePr>
      <xdr:xfrm>
        <a:off x="0" y="0"/>
        <a:ext cx="5486400" cy="320040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6</xdr:col>
      <xdr:colOff>0</xdr:colOff>
      <xdr:row>28</xdr:row>
      <xdr:rowOff>0</xdr:rowOff>
    </xdr:from>
    <xdr:to>
      <xdr:col>12</xdr:col>
      <xdr:colOff>0</xdr:colOff>
      <xdr:row>43</xdr:row>
      <xdr:rowOff>0</xdr:rowOff>
    </xdr:to>
    <xdr:graphicFrame macro="">
      <xdr:nvGraphicFramePr>
        <xdr:cNvPr id="5" name="Chart 4"/>
        <xdr:cNvGraphicFramePr/>
      </xdr:nvGraphicFramePr>
      <xdr:xfrm>
        <a:off x="0" y="0"/>
        <a:ext cx="5486400" cy="320040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tables/table1.xml><?xml version="1.0" encoding="utf-8"?>
<table xmlns="http://schemas.openxmlformats.org/spreadsheetml/2006/main" id="1" name="tblCategories" displayName="tblCategories" ref="A13:C63" headerRowCount="1" totalsRowShown="0">
  <autoFilter ref="A13:C63"/>
  <tableColumns count="3">
    <tableColumn id="1" name="Catégorie"/>
    <tableColumn id="2" name="Salaire journalier"/>
    <tableColumn id="3" name="Taux horaire HS"/>
  </tableColumns>
  <tableStyleInfo name="TableStyleMedium2" showFirstColumn="0" showLastColumn="0" showRowStripes="1" showColumnStripes="0"/>
</table>
</file>

<file path=xl/tables/table2.xml><?xml version="1.0" encoding="utf-8"?>
<table xmlns="http://schemas.openxmlformats.org/spreadsheetml/2006/main" id="2" name="tblEmployes" displayName="tblEmployes" ref="A5:G305" headerRowCount="1" totalsRowShown="0">
  <autoFilter ref="A5:G305"/>
  <tableColumns count="7">
    <tableColumn id="1" name="ID employé"/>
    <tableColumn id="2" name="Nom complet"/>
    <tableColumn id="3" name="Catégorie"/>
    <tableColumn id="4" name="Date d'embauche"/>
    <tableColumn id="5" name="Statut"/>
    <tableColumn id="6" name="Téléphone"/>
    <tableColumn id="7" name="Notes"/>
  </tableColumns>
  <tableStyleInfo name="TableStyleMedium2" showFirstColumn="0" showLastColumn="0" showRowStripes="1" showColumnStripes="0"/>
</table>
</file>

<file path=xl/tables/table3.xml><?xml version="1.0" encoding="utf-8"?>
<table xmlns="http://schemas.openxmlformats.org/spreadsheetml/2006/main" id="3" name="tblPaie" displayName="tblPaie" ref="A6:X306" headerRowCount="1" totalsRowShown="0">
  <autoFilter ref="A6:X306"/>
  <tableColumns count="24">
    <tableColumn id="1" name="ID employé"/>
    <tableColumn id="2" name="Nom complet"/>
    <tableColumn id="3" name="Catégorie"/>
    <tableColumn id="4" name="Salaire / jour"/>
    <tableColumn id="5" name="Taux horaire HS"/>
    <tableColumn id="6" name="Jours Q1"/>
    <tableColumn id="7" name="Abs. Q1"/>
    <tableColumn id="8" name="HS Q1"/>
    <tableColumn id="9" name="Salaire base Q1"/>
    <tableColumn id="10" name="Montant HS Q1"/>
    <tableColumn id="11" name="Brut Q1"/>
    <tableColumn id="12" name="Retenues Q1"/>
    <tableColumn id="13" name="Net Q1"/>
    <tableColumn id="14" name="Jours Q2"/>
    <tableColumn id="15" name="Abs. Q2"/>
    <tableColumn id="16" name="HS Q2"/>
    <tableColumn id="17" name="Salaire base Q2"/>
    <tableColumn id="18" name="Montant HS Q2"/>
    <tableColumn id="19" name="Brut Q2"/>
    <tableColumn id="20" name="Retenues Q2"/>
    <tableColumn id="21" name="Net Q2"/>
    <tableColumn id="22" name="Brut mensuel"/>
    <tableColumn id="23" name="Retenues mensuelles"/>
    <tableColumn id="24" name="Net mensuel"/>
  </tableColumns>
  <tableStyleInfo name="TableStyleMedium4" showFirstColumn="0" showLastColumn="0" showRowStripes="1" showColumnStripes="0"/>
</table>
</file>

<file path=xl/worksheets/_rels/sheet1.xml.rels><?xml version="1.0" encoding="UTF-8" standalone="yes"?><Relationships xmlns="http://schemas.openxmlformats.org/package/2006/relationships"><Relationship Id="rId1" Type="http://schemas.openxmlformats.org/officeDocument/2006/relationships/table" Target="../tables/table1.xml"/></Relationships>
</file>

<file path=xl/worksheets/_rels/sheet2.xml.rels><?xml version="1.0" encoding="UTF-8" standalone="yes"?><Relationships xmlns="http://schemas.openxmlformats.org/package/2006/relationships"><Relationship Id="rId1" Type="http://schemas.openxmlformats.org/officeDocument/2006/relationships/table" Target="../tables/table2.xml"/></Relationships>
</file>

<file path=xl/worksheets/_rels/sheet4.xml.rels><?xml version="1.0" encoding="UTF-8" standalone="yes"?><Relationships xmlns="http://schemas.openxmlformats.org/package/2006/relationships"><Relationship Id="rId1" Type="http://schemas.openxmlformats.org/officeDocument/2006/relationships/drawing" Target="../drawings/drawing4.xml"/></Relationships>
</file>

<file path=xl/worksheets/_rels/sheet6.xml.rels><?xml version="1.0" encoding="UTF-8" standalone="yes"?><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sheetPr>
    <tabColor rgb="FF17365D"/>
    <pageSetUpPr fitToPage="1"/>
  </sheetPr>
  <dimension ref="A1:H63"/>
  <sheetViews>
    <sheetView showGridLines="0" workbookViewId="0">
      <pane ySplit="13" topLeftCell="A14" activePane="bottomRight" state="frozen"/>
      <selection pane="bottomRight" activeCell="A14" sqref="A14"/>
    </sheetView>
  </sheetViews>
  <sheetFormatPr defaultRowHeight="15"/>
  <cols>
    <col min="1" max="1" width="23" customWidth="1"/>
    <col min="2" max="2" width="24" customWidth="1"/>
    <col min="3" max="3" width="4" customWidth="1"/>
    <col min="4" max="4" width="23" customWidth="1"/>
    <col min="5" max="5" width="24" customWidth="1"/>
    <col min="6" max="6" width="4" customWidth="1"/>
    <col min="7" max="7" width="14" customWidth="1"/>
    <col min="8" max="8" width="14" customWidth="1"/>
    <col min="9" max="9" width="14" customWidth="1"/>
    <col min="10" max="10" width="14" customWidth="1"/>
  </cols>
  <sheetData>
    <row r="1" ht="23" customHeight="1">
      <c r="A1" s="2" t="inlineStr">
        <is>
          <t xml:space="preserve">⚙ PARAMÈTRES</t>
        </is>
      </c>
      <c r="B1" s="1" t="inlineStr">
        <is>
          <t xml:space="preserve">👥 EMPLOYÉS</t>
        </is>
      </c>
      <c r="C1" s="1" t="inlineStr">
        <is>
          <t xml:space="preserve">✓</t>
        </is>
      </c>
      <c r="D1" s="1" t="inlineStr">
        <is>
          <t xml:space="preserve">▦ TABLEAU DE BORD</t>
        </is>
      </c>
      <c r="E1" s="1" t="inlineStr">
        <is>
          <t xml:space="preserve">⌕ RECHERCHE</t>
        </is>
      </c>
      <c r="F1" s="1" t="inlineStr">
        <is>
          <t xml:space="preserve">MAD</t>
        </is>
      </c>
      <c r="G1" s="1" t="inlineStr">
        <is>
          <t xml:space="preserve">▤ IMPRESSION</t>
        </is>
      </c>
    </row>
    <row r="2" ht="34" customHeight="1">
      <c r="A2" s="3" t="inlineStr">
        <is>
          <t xml:space="preserve">  PARAMÈTRES DE L’ENTREPRISE</t>
        </is>
      </c>
    </row>
    <row r="3" ht="18" customHeight="1">
      <c r="A3" s="5" t="inlineStr">
        <is>
          <t xml:space="preserve">  Toutes les données jaunes sont modifiables ; les calculs des autres feuilles s’adaptent automatiquement.</t>
        </is>
      </c>
    </row>
    <row r="4">
      <c r="A4" s="6" t="inlineStr">
        <is>
          <t xml:space="preserve">  IDENTITÉ ET COORDONNÉES</t>
        </is>
      </c>
      <c r="H4" s="8" t="inlineStr">
        <is>
          <t xml:space="preserve">LOGO
(à insérer si souhaité)</t>
        </is>
      </c>
    </row>
    <row r="5">
      <c r="A5" s="14" t="inlineStr">
        <is>
          <t xml:space="preserve">Nom de l’entreprise</t>
        </is>
      </c>
      <c r="B5" s="15" t="inlineStr">
        <is>
          <t xml:space="preserve">Société BTP Exemple SARL</t>
        </is>
      </c>
    </row>
    <row r="6">
      <c r="A6" s="14" t="inlineStr">
        <is>
          <t xml:space="preserve">Adresse</t>
        </is>
      </c>
      <c r="B6" s="15" t="inlineStr">
        <is>
          <t xml:space="preserve">Adresse de l’entreprise, Maroc</t>
        </is>
      </c>
    </row>
    <row r="7">
      <c r="A7" s="14" t="inlineStr">
        <is>
          <t xml:space="preserve">Téléphone</t>
        </is>
      </c>
      <c r="B7" s="16" t="inlineStr">
        <is>
          <t xml:space="preserve">05 00 00 00 00</t>
        </is>
      </c>
      <c r="D7" s="14" t="inlineStr">
        <is>
          <t xml:space="preserve">E-mail</t>
        </is>
      </c>
      <c r="E7" s="15" t="inlineStr">
        <is>
          <t xml:space="preserve">contact@exemple.ma</t>
        </is>
      </c>
    </row>
    <row r="9">
      <c r="A9" s="7" t="inlineStr">
        <is>
          <t xml:space="preserve">  PÉRIODE ET RÈGLES DE PAIE</t>
        </is>
      </c>
    </row>
    <row r="10">
      <c r="A10" s="14" t="inlineStr">
        <is>
          <t xml:space="preserve">Année en cours</t>
        </is>
      </c>
      <c r="B10" s="16">
        <v>2026</v>
      </c>
      <c r="D10" s="14" t="inlineStr">
        <is>
          <t xml:space="preserve">Mois (1 à 12)</t>
        </is>
      </c>
      <c r="E10" s="16">
        <v>7</v>
      </c>
      <c r="G10" s="14" t="inlineStr">
        <is>
          <t xml:space="preserve">Budget de paie mensuel</t>
        </is>
      </c>
      <c r="H10" s="18">
        <v>100000</v>
      </c>
    </row>
    <row r="11">
      <c r="A11" s="14" t="inlineStr">
        <is>
          <t xml:space="preserve">Période de paie (jours)</t>
        </is>
      </c>
      <c r="B11" s="20">
        <v>15</v>
      </c>
      <c r="D11" s="14" t="inlineStr">
        <is>
          <t xml:space="preserve">Devise</t>
        </is>
      </c>
      <c r="E11" s="16" t="inlineStr">
        <is>
          <t xml:space="preserve">MAD</t>
        </is>
      </c>
      <c r="G11" s="14" t="inlineStr">
        <is>
          <t xml:space="preserve">Mois sélectionné</t>
        </is>
      </c>
      <c r="H11" s="20">
        <f>CHOOSE(MoisCourant,"Janvier","Février","Mars","Avril","Mai","Juin","Juillet","Août","Septembre","Octobre","Novembre","Décembre")&amp;" "&amp;AnneeCourante</f>
      </c>
    </row>
    <row r="12">
      <c r="A12" s="14" t="inlineStr">
        <is>
          <t xml:space="preserve">Heures de travail / jour</t>
        </is>
      </c>
      <c r="B12" s="16">
        <v>8</v>
      </c>
      <c r="D12" s="14" t="inlineStr">
        <is>
          <t xml:space="preserve">Taux HS par défaut</t>
        </is>
      </c>
      <c r="E12" s="18">
        <v>18.75</v>
      </c>
      <c r="G12" s="30" t="inlineStr">
        <is>
          <t xml:space="preserve">Les taux de catégorie remplacent le taux HS par défaut.</t>
        </is>
      </c>
    </row>
    <row r="13">
      <c r="A13" s="9" t="inlineStr">
        <is>
          <t xml:space="preserve">Catégorie</t>
        </is>
      </c>
      <c r="B13" s="9" t="inlineStr">
        <is>
          <t xml:space="preserve">Salaire journalier</t>
        </is>
      </c>
      <c r="C13" s="9" t="inlineStr">
        <is>
          <t xml:space="preserve">Taux horaire HS</t>
        </is>
      </c>
      <c r="D13" s="30" t="inlineStr">
        <is>
          <t xml:space="preserve">Ajoutez ou modifiez les catégories dans les lignes jaunes ; les listes déroulantes se mettent à jour.</t>
        </is>
      </c>
    </row>
    <row r="14">
      <c r="A14" s="15" t="inlineStr">
        <is>
          <t xml:space="preserve">Ouvrier</t>
        </is>
      </c>
      <c r="B14" s="18">
        <v>150.0</v>
      </c>
      <c r="C14" s="18">
        <v>23.44</v>
      </c>
      <c r="D14" s="30" t="inlineStr">
        <is>
          <t xml:space="preserve">IMPORTANT — Ce fichier représente un mois de paie. Avant de changer de mois, enregistrez une copie d’archive puis effacez les anciennes saisies de POINTAGE. Sans VBA, Excel ne peut pas effacer automatiquement les données saisies.</t>
        </is>
      </c>
    </row>
    <row r="15">
      <c r="A15" s="15" t="inlineStr">
        <is>
          <t xml:space="preserve">Manœuvre</t>
        </is>
      </c>
      <c r="B15" s="18">
        <v>120.0</v>
      </c>
      <c r="C15" s="18">
        <v>18.75</v>
      </c>
    </row>
    <row r="16">
      <c r="A16" s="15" t="inlineStr">
        <is>
          <t xml:space="preserve">Chef d'équipe</t>
        </is>
      </c>
      <c r="B16" s="18">
        <v>220.0</v>
      </c>
      <c r="C16" s="18">
        <v>34.38</v>
      </c>
    </row>
    <row r="17">
      <c r="A17" s="15" t="inlineStr">
        <is>
          <t xml:space="preserve">Conducteur d'engins</t>
        </is>
      </c>
      <c r="B17" s="18">
        <v>250.0</v>
      </c>
      <c r="C17" s="18">
        <v>39.06</v>
      </c>
    </row>
    <row r="18">
      <c r="A18" s="15" t="inlineStr">
        <is>
          <t xml:space="preserve">Maçon</t>
        </is>
      </c>
      <c r="B18" s="18">
        <v>180.0</v>
      </c>
      <c r="C18" s="18">
        <v>28.13</v>
      </c>
    </row>
    <row r="19">
      <c r="A19" s="15" t="inlineStr">
        <is>
          <t xml:space="preserve">Coffreur</t>
        </is>
      </c>
      <c r="B19" s="18">
        <v>185.0</v>
      </c>
      <c r="C19" s="18">
        <v>28.91</v>
      </c>
    </row>
    <row r="20">
      <c r="A20" s="15" t="inlineStr">
        <is>
          <t xml:space="preserve">Ferrailleur</t>
        </is>
      </c>
      <c r="B20" s="18">
        <v>190.0</v>
      </c>
      <c r="C20" s="18">
        <v>29.69</v>
      </c>
    </row>
    <row r="21">
      <c r="A21" s="15" t="inlineStr">
        <is>
          <t xml:space="preserve">Électricien</t>
        </is>
      </c>
      <c r="B21" s="18">
        <v>210.0</v>
      </c>
      <c r="C21" s="18">
        <v>32.81</v>
      </c>
    </row>
    <row r="22">
      <c r="A22" s="15"/>
      <c r="B22" s="18"/>
      <c r="C22" s="18"/>
    </row>
    <row r="23">
      <c r="A23" s="15"/>
      <c r="B23" s="18"/>
      <c r="C23" s="18"/>
    </row>
    <row r="24">
      <c r="A24" s="15"/>
      <c r="B24" s="18"/>
      <c r="C24" s="18"/>
    </row>
    <row r="25">
      <c r="A25" s="15"/>
      <c r="B25" s="18"/>
      <c r="C25" s="18"/>
    </row>
    <row r="26">
      <c r="A26" s="15"/>
      <c r="B26" s="18"/>
      <c r="C26" s="18"/>
    </row>
    <row r="27">
      <c r="A27" s="15"/>
      <c r="B27" s="18"/>
      <c r="C27" s="18"/>
    </row>
    <row r="28">
      <c r="A28" s="15"/>
      <c r="B28" s="18"/>
      <c r="C28" s="18"/>
    </row>
    <row r="29">
      <c r="A29" s="15"/>
      <c r="B29" s="18"/>
      <c r="C29" s="18"/>
    </row>
    <row r="30">
      <c r="A30" s="15"/>
      <c r="B30" s="18"/>
      <c r="C30" s="18"/>
    </row>
    <row r="31">
      <c r="A31" s="15"/>
      <c r="B31" s="18"/>
      <c r="C31" s="18"/>
    </row>
    <row r="32">
      <c r="A32" s="15"/>
      <c r="B32" s="18"/>
      <c r="C32" s="18"/>
    </row>
    <row r="33">
      <c r="A33" s="15"/>
      <c r="B33" s="18"/>
      <c r="C33" s="18"/>
    </row>
    <row r="34">
      <c r="A34" s="15"/>
      <c r="B34" s="18"/>
      <c r="C34" s="18"/>
    </row>
    <row r="35">
      <c r="A35" s="15"/>
      <c r="B35" s="18"/>
      <c r="C35" s="18"/>
    </row>
    <row r="36">
      <c r="A36" s="15"/>
      <c r="B36" s="18"/>
      <c r="C36" s="18"/>
    </row>
    <row r="37">
      <c r="A37" s="15"/>
      <c r="B37" s="18"/>
      <c r="C37" s="18"/>
    </row>
    <row r="38">
      <c r="A38" s="15"/>
      <c r="B38" s="18"/>
      <c r="C38" s="18"/>
    </row>
    <row r="39">
      <c r="A39" s="15"/>
      <c r="B39" s="18"/>
      <c r="C39" s="18"/>
    </row>
    <row r="40">
      <c r="A40" s="15"/>
      <c r="B40" s="18"/>
      <c r="C40" s="18"/>
    </row>
    <row r="41">
      <c r="A41" s="15"/>
      <c r="B41" s="18"/>
      <c r="C41" s="18"/>
    </row>
    <row r="42">
      <c r="A42" s="15"/>
      <c r="B42" s="18"/>
      <c r="C42" s="18"/>
    </row>
    <row r="43">
      <c r="A43" s="15"/>
      <c r="B43" s="18"/>
      <c r="C43" s="18"/>
    </row>
    <row r="44">
      <c r="A44" s="15"/>
      <c r="B44" s="18"/>
      <c r="C44" s="18"/>
    </row>
    <row r="45">
      <c r="A45" s="15"/>
      <c r="B45" s="18"/>
      <c r="C45" s="18"/>
    </row>
    <row r="46">
      <c r="A46" s="15"/>
      <c r="B46" s="18"/>
      <c r="C46" s="18"/>
    </row>
    <row r="47">
      <c r="A47" s="15"/>
      <c r="B47" s="18"/>
      <c r="C47" s="18"/>
    </row>
    <row r="48">
      <c r="A48" s="15"/>
      <c r="B48" s="18"/>
      <c r="C48" s="18"/>
    </row>
    <row r="49">
      <c r="A49" s="15"/>
      <c r="B49" s="18"/>
      <c r="C49" s="18"/>
    </row>
    <row r="50">
      <c r="A50" s="15"/>
      <c r="B50" s="18"/>
      <c r="C50" s="18"/>
    </row>
    <row r="51">
      <c r="A51" s="15"/>
      <c r="B51" s="18"/>
      <c r="C51" s="18"/>
    </row>
    <row r="52">
      <c r="A52" s="15"/>
      <c r="B52" s="18"/>
      <c r="C52" s="18"/>
    </row>
    <row r="53">
      <c r="A53" s="15"/>
      <c r="B53" s="18"/>
      <c r="C53" s="18"/>
    </row>
    <row r="54">
      <c r="A54" s="15"/>
      <c r="B54" s="18"/>
      <c r="C54" s="18"/>
    </row>
    <row r="55">
      <c r="A55" s="15"/>
      <c r="B55" s="18"/>
      <c r="C55" s="18"/>
    </row>
    <row r="56">
      <c r="A56" s="15"/>
      <c r="B56" s="18"/>
      <c r="C56" s="18"/>
    </row>
    <row r="57">
      <c r="A57" s="15"/>
      <c r="B57" s="18"/>
      <c r="C57" s="18"/>
    </row>
    <row r="58">
      <c r="A58" s="15"/>
      <c r="B58" s="18"/>
      <c r="C58" s="18"/>
    </row>
    <row r="59">
      <c r="A59" s="15"/>
      <c r="B59" s="18"/>
      <c r="C59" s="18"/>
    </row>
    <row r="60">
      <c r="A60" s="15"/>
      <c r="B60" s="18"/>
      <c r="C60" s="18"/>
    </row>
    <row r="61">
      <c r="A61" s="15"/>
      <c r="B61" s="18"/>
      <c r="C61" s="18"/>
    </row>
    <row r="62">
      <c r="A62" s="15"/>
      <c r="B62" s="18"/>
      <c r="C62" s="18"/>
    </row>
    <row r="63">
      <c r="A63" s="15"/>
      <c r="B63" s="18"/>
      <c r="C63" s="18"/>
    </row>
  </sheetData>
  <sheetProtection sheet="1" objects="1" scenarios="1" formatCells="0" formatColumns="0" formatRows="0" selectLockedCells="1" selectUnlockedCells="0"/>
  <mergeCells count="14">
    <mergeCell ref="A2:J2"/>
    <mergeCell ref="A3:J3"/>
    <mergeCell ref="A4:F4"/>
    <mergeCell ref="B5:F5"/>
    <mergeCell ref="B6:F6"/>
    <mergeCell ref="B7:C7"/>
    <mergeCell ref="E7:F7"/>
    <mergeCell ref="H4:J7"/>
    <mergeCell ref="A9:F9"/>
    <mergeCell ref="H10:J10"/>
    <mergeCell ref="H11:J11"/>
    <mergeCell ref="G12:J12"/>
    <mergeCell ref="D13:J13"/>
    <mergeCell ref="D14:J16"/>
  </mergeCells>
  <dataValidations count="6">
    <dataValidation type="whole" operator="between" allowBlank="1" showInputMessage="1" showErrorMessage="1" sqref="B10">
      <formula1>2020</formula1>
      <formula2>2100</formula2>
    </dataValidation>
    <dataValidation type="list" allowBlank="0" showInputMessage="1" showErrorMessage="1" sqref="E10">
      <formula1>"1,2,3,4,5,6,7,8,9,10,11,12"</formula1>
    </dataValidation>
    <dataValidation type="decimal" operator="greaterThan" allowBlank="1" showInputMessage="1" showErrorMessage="1" sqref="B12">
      <formula1>0</formula1>
    </dataValidation>
    <dataValidation type="decimal" operator="greaterThanOrEqual" allowBlank="1" showInputMessage="1" showErrorMessage="1" sqref="E12">
      <formula1>0</formula1>
    </dataValidation>
    <dataValidation type="decimal" operator="greaterThanOrEqual" allowBlank="1" showInputMessage="1" showErrorMessage="1" sqref="H10">
      <formula1>0</formula1>
    </dataValidation>
    <dataValidation type="decimal" operator="greaterThanOrEqual" allowBlank="1" showInputMessage="1" showErrorMessage="1" sqref="B14:C63">
      <formula1>0</formula1>
    </dataValidation>
  </dataValidations>
  <hyperlinks>
    <hyperlink ref="A1" location="'PARAMÈTRES'!A1" display="⚙ PARAMÈTRES"/>
    <hyperlink ref="B1" location="'EMPLOYÉS'!A1" display="👥 EMPLOYÉS"/>
    <hyperlink ref="C1" location="'POINTAGE'!A1" display="✓"/>
    <hyperlink ref="D1" location="'TABLEAU DE BORD'!A1" display="▦ TABLEAU DE BORD"/>
    <hyperlink ref="E1" location="'RECHERCHE'!A1" display="⌕ RECHERCHE"/>
    <hyperlink ref="F1" location="'PAIE (15 Jours)'!A1" display="MAD"/>
    <hyperlink ref="G1" location="'IMPRESSION'!A1" display="▤ IMPRESSION"/>
  </hyperlinks>
  <printOptions horizontalCentered="1"/>
  <pageMargins left="0.4" right="0.4" top="0.5" bottom="0.5" header="0.2" footer="0.2"/>
  <pageSetup paperSize="9" orientation="portrait" fitToWidth="1" fitToHeight="1"/>
  <tableParts count="1">
    <tablePart r:id="rId1"/>
  </tableParts>
</worksheet>
</file>

<file path=xl/worksheets/sheet2.xml><?xml version="1.0" encoding="utf-8"?>
<worksheet xmlns="http://schemas.openxmlformats.org/spreadsheetml/2006/main" xmlns:r="http://schemas.openxmlformats.org/officeDocument/2006/relationships">
  <sheetPr>
    <tabColor rgb="FF2F75B5"/>
    <pageSetUpPr fitToPage="1"/>
  </sheetPr>
  <dimension ref="A1:G305"/>
  <sheetViews>
    <sheetView showGridLines="0" workbookViewId="0">
      <pane xSplit="1" ySplit="5" topLeftCell="B6" activePane="bottomRight" state="frozen"/>
      <selection pane="bottomRight" activeCell="B6" sqref="B6"/>
    </sheetView>
  </sheetViews>
  <sheetFormatPr defaultRowHeight="15"/>
  <cols>
    <col min="1" max="1" width="16" customWidth="1"/>
    <col min="2" max="2" width="28" customWidth="1"/>
    <col min="3" max="3" width="24" customWidth="1"/>
    <col min="4" max="4" width="16" customWidth="1"/>
    <col min="5" max="5" width="13" customWidth="1"/>
    <col min="6" max="6" width="17" customWidth="1"/>
    <col min="7" max="7" width="38" customWidth="1"/>
  </cols>
  <sheetData>
    <row r="1" ht="23" customHeight="1">
      <c r="A1" s="1" t="inlineStr">
        <is>
          <t xml:space="preserve">⚙ PARAMÈTRES</t>
        </is>
      </c>
      <c r="B1" s="2" t="inlineStr">
        <is>
          <t xml:space="preserve">👥 EMPLOYÉS</t>
        </is>
      </c>
      <c r="C1" s="1" t="inlineStr">
        <is>
          <t xml:space="preserve">✓ POINTAGE</t>
        </is>
      </c>
      <c r="D1" s="1" t="inlineStr">
        <is>
          <t xml:space="preserve">▦ TABLEAU DE BORD</t>
        </is>
      </c>
      <c r="E1" s="1" t="inlineStr">
        <is>
          <t xml:space="preserve">⌕ RECHERCHE</t>
        </is>
      </c>
      <c r="F1" s="1" t="inlineStr">
        <is>
          <t xml:space="preserve">MAD PAIE</t>
        </is>
      </c>
      <c r="G1" s="1" t="inlineStr">
        <is>
          <t xml:space="preserve">▤ IMPRESSION</t>
        </is>
      </c>
    </row>
    <row r="2" ht="34" customHeight="1">
      <c r="A2" s="3" t="inlineStr">
        <is>
          <t xml:space="preserve">  BASE DES EMPLOYÉS</t>
        </is>
      </c>
    </row>
    <row r="3" ht="18" customHeight="1">
      <c r="A3" s="5" t="inlineStr">
        <is>
          <t xml:space="preserve">  Saisissez le nom : l’identifiant est créé automatiquement. Une ligne correspond à un matricule ; le tri reste désactivé par protection.</t>
        </is>
      </c>
    </row>
    <row r="5" ht="28" customHeight="1">
      <c r="A5" s="9" t="inlineStr">
        <is>
          <t xml:space="preserve">ID employé</t>
        </is>
      </c>
      <c r="B5" s="9" t="inlineStr">
        <is>
          <t xml:space="preserve">Nom complet</t>
        </is>
      </c>
      <c r="C5" s="9" t="inlineStr">
        <is>
          <t xml:space="preserve">Catégorie</t>
        </is>
      </c>
      <c r="D5" s="9" t="inlineStr">
        <is>
          <t xml:space="preserve">Date d'embauche</t>
        </is>
      </c>
      <c r="E5" s="9" t="inlineStr">
        <is>
          <t xml:space="preserve">Statut</t>
        </is>
      </c>
      <c r="F5" s="9" t="inlineStr">
        <is>
          <t xml:space="preserve">Téléphone</t>
        </is>
      </c>
      <c r="G5" s="9" t="inlineStr">
        <is>
          <t xml:space="preserve">Notes</t>
        </is>
      </c>
    </row>
    <row r="6">
      <c r="A6" s="20">
        <f>IF($B6="","","EMP-"&amp;TEXT(ROW()-5,"0000"))</f>
      </c>
      <c r="B6" s="15" t="inlineStr">
        <is>
          <t xml:space="preserve">Employé Exemple 01</t>
        </is>
      </c>
      <c r="C6" s="15" t="inlineStr">
        <is>
          <t xml:space="preserve">Ouvrier</t>
        </is>
      </c>
      <c r="D6" s="17">
        <v>45672</v>
      </c>
      <c r="E6" s="16" t="inlineStr">
        <is>
          <t xml:space="preserve">Actif</t>
        </is>
      </c>
      <c r="F6" s="16" t="inlineStr">
        <is>
          <t xml:space="preserve">06 00 00 00 01</t>
        </is>
      </c>
      <c r="G6" s="15" t="inlineStr">
        <is>
          <t xml:space="preserve">Exemple à remplacer</t>
        </is>
      </c>
    </row>
    <row r="7">
      <c r="A7" s="20">
        <f>IF($B7="","","EMP-"&amp;TEXT(ROW()-5,"0000"))</f>
      </c>
      <c r="B7" s="15" t="inlineStr">
        <is>
          <t xml:space="preserve">Employé Exemple 02</t>
        </is>
      </c>
      <c r="C7" s="15" t="inlineStr">
        <is>
          <t xml:space="preserve">Manœuvre</t>
        </is>
      </c>
      <c r="D7" s="17">
        <v>45717</v>
      </c>
      <c r="E7" s="16" t="inlineStr">
        <is>
          <t xml:space="preserve">Actif</t>
        </is>
      </c>
      <c r="F7" s="16" t="inlineStr">
        <is>
          <t xml:space="preserve">06 00 00 00 02</t>
        </is>
      </c>
      <c r="G7" s="15" t="inlineStr">
        <is>
          <t xml:space="preserve">Exemple à remplacer</t>
        </is>
      </c>
    </row>
    <row r="8">
      <c r="A8" s="20">
        <f>IF($B8="","","EMP-"&amp;TEXT(ROW()-5,"0000"))</f>
      </c>
      <c r="B8" s="15" t="inlineStr">
        <is>
          <t xml:space="preserve">Employé Exemple 03</t>
        </is>
      </c>
      <c r="C8" s="15" t="inlineStr">
        <is>
          <t xml:space="preserve">Chef d'équipe</t>
        </is>
      </c>
      <c r="D8" s="17">
        <v>45545</v>
      </c>
      <c r="E8" s="16" t="inlineStr">
        <is>
          <t xml:space="preserve">Actif</t>
        </is>
      </c>
      <c r="F8" s="16" t="inlineStr">
        <is>
          <t xml:space="preserve">06 00 00 00 03</t>
        </is>
      </c>
      <c r="G8" s="15" t="inlineStr">
        <is>
          <t xml:space="preserve">Exemple à remplacer</t>
        </is>
      </c>
    </row>
    <row r="9">
      <c r="A9" s="20">
        <f>IF($B9="","","EMP-"&amp;TEXT(ROW()-5,"0000"))</f>
      </c>
      <c r="B9" s="15"/>
      <c r="C9" s="15"/>
      <c r="D9" s="17"/>
      <c r="E9" s="16"/>
      <c r="F9" s="16"/>
      <c r="G9" s="15"/>
    </row>
    <row r="10">
      <c r="A10" s="20">
        <f>IF($B10="","","EMP-"&amp;TEXT(ROW()-5,"0000"))</f>
      </c>
      <c r="B10" s="15"/>
      <c r="C10" s="15"/>
      <c r="D10" s="17"/>
      <c r="E10" s="16"/>
      <c r="F10" s="16"/>
      <c r="G10" s="15"/>
    </row>
    <row r="11">
      <c r="A11" s="20">
        <f>IF($B11="","","EMP-"&amp;TEXT(ROW()-5,"0000"))</f>
      </c>
      <c r="B11" s="15"/>
      <c r="C11" s="15"/>
      <c r="D11" s="17"/>
      <c r="E11" s="16"/>
      <c r="F11" s="16"/>
      <c r="G11" s="15"/>
    </row>
    <row r="12">
      <c r="A12" s="20">
        <f>IF($B12="","","EMP-"&amp;TEXT(ROW()-5,"0000"))</f>
      </c>
      <c r="B12" s="15"/>
      <c r="C12" s="15"/>
      <c r="D12" s="17"/>
      <c r="E12" s="16"/>
      <c r="F12" s="16"/>
      <c r="G12" s="15"/>
    </row>
    <row r="13">
      <c r="A13" s="20">
        <f>IF($B13="","","EMP-"&amp;TEXT(ROW()-5,"0000"))</f>
      </c>
      <c r="B13" s="15"/>
      <c r="C13" s="15"/>
      <c r="D13" s="17"/>
      <c r="E13" s="16"/>
      <c r="F13" s="16"/>
      <c r="G13" s="15"/>
    </row>
    <row r="14">
      <c r="A14" s="20">
        <f>IF($B14="","","EMP-"&amp;TEXT(ROW()-5,"0000"))</f>
      </c>
      <c r="B14" s="15"/>
      <c r="C14" s="15"/>
      <c r="D14" s="17"/>
      <c r="E14" s="16"/>
      <c r="F14" s="16"/>
      <c r="G14" s="15"/>
    </row>
    <row r="15">
      <c r="A15" s="20">
        <f>IF($B15="","","EMP-"&amp;TEXT(ROW()-5,"0000"))</f>
      </c>
      <c r="B15" s="15"/>
      <c r="C15" s="15"/>
      <c r="D15" s="17"/>
      <c r="E15" s="16"/>
      <c r="F15" s="16"/>
      <c r="G15" s="15"/>
    </row>
    <row r="16">
      <c r="A16" s="20">
        <f>IF($B16="","","EMP-"&amp;TEXT(ROW()-5,"0000"))</f>
      </c>
      <c r="B16" s="15"/>
      <c r="C16" s="15"/>
      <c r="D16" s="17"/>
      <c r="E16" s="16"/>
      <c r="F16" s="16"/>
      <c r="G16" s="15"/>
    </row>
    <row r="17">
      <c r="A17" s="20">
        <f>IF($B17="","","EMP-"&amp;TEXT(ROW()-5,"0000"))</f>
      </c>
      <c r="B17" s="15"/>
      <c r="C17" s="15"/>
      <c r="D17" s="17"/>
      <c r="E17" s="16"/>
      <c r="F17" s="16"/>
      <c r="G17" s="15"/>
    </row>
    <row r="18">
      <c r="A18" s="20">
        <f>IF($B18="","","EMP-"&amp;TEXT(ROW()-5,"0000"))</f>
      </c>
      <c r="B18" s="15"/>
      <c r="C18" s="15"/>
      <c r="D18" s="17"/>
      <c r="E18" s="16"/>
      <c r="F18" s="16"/>
      <c r="G18" s="15"/>
    </row>
    <row r="19">
      <c r="A19" s="20">
        <f>IF($B19="","","EMP-"&amp;TEXT(ROW()-5,"0000"))</f>
      </c>
      <c r="B19" s="15"/>
      <c r="C19" s="15"/>
      <c r="D19" s="17"/>
      <c r="E19" s="16"/>
      <c r="F19" s="16"/>
      <c r="G19" s="15"/>
    </row>
    <row r="20">
      <c r="A20" s="20">
        <f>IF($B20="","","EMP-"&amp;TEXT(ROW()-5,"0000"))</f>
      </c>
      <c r="B20" s="15"/>
      <c r="C20" s="15"/>
      <c r="D20" s="17"/>
      <c r="E20" s="16"/>
      <c r="F20" s="16"/>
      <c r="G20" s="15"/>
    </row>
    <row r="21">
      <c r="A21" s="20">
        <f>IF($B21="","","EMP-"&amp;TEXT(ROW()-5,"0000"))</f>
      </c>
      <c r="B21" s="15"/>
      <c r="C21" s="15"/>
      <c r="D21" s="17"/>
      <c r="E21" s="16"/>
      <c r="F21" s="16"/>
      <c r="G21" s="15"/>
    </row>
    <row r="22">
      <c r="A22" s="20">
        <f>IF($B22="","","EMP-"&amp;TEXT(ROW()-5,"0000"))</f>
      </c>
      <c r="B22" s="15"/>
      <c r="C22" s="15"/>
      <c r="D22" s="17"/>
      <c r="E22" s="16"/>
      <c r="F22" s="16"/>
      <c r="G22" s="15"/>
    </row>
    <row r="23">
      <c r="A23" s="20">
        <f>IF($B23="","","EMP-"&amp;TEXT(ROW()-5,"0000"))</f>
      </c>
      <c r="B23" s="15"/>
      <c r="C23" s="15"/>
      <c r="D23" s="17"/>
      <c r="E23" s="16"/>
      <c r="F23" s="16"/>
      <c r="G23" s="15"/>
    </row>
    <row r="24">
      <c r="A24" s="20">
        <f>IF($B24="","","EMP-"&amp;TEXT(ROW()-5,"0000"))</f>
      </c>
      <c r="B24" s="15"/>
      <c r="C24" s="15"/>
      <c r="D24" s="17"/>
      <c r="E24" s="16"/>
      <c r="F24" s="16"/>
      <c r="G24" s="15"/>
    </row>
    <row r="25">
      <c r="A25" s="20">
        <f>IF($B25="","","EMP-"&amp;TEXT(ROW()-5,"0000"))</f>
      </c>
      <c r="B25" s="15"/>
      <c r="C25" s="15"/>
      <c r="D25" s="17"/>
      <c r="E25" s="16"/>
      <c r="F25" s="16"/>
      <c r="G25" s="15"/>
    </row>
    <row r="26">
      <c r="A26" s="20">
        <f>IF($B26="","","EMP-"&amp;TEXT(ROW()-5,"0000"))</f>
      </c>
      <c r="B26" s="15"/>
      <c r="C26" s="15"/>
      <c r="D26" s="17"/>
      <c r="E26" s="16"/>
      <c r="F26" s="16"/>
      <c r="G26" s="15"/>
    </row>
    <row r="27">
      <c r="A27" s="20">
        <f>IF($B27="","","EMP-"&amp;TEXT(ROW()-5,"0000"))</f>
      </c>
      <c r="B27" s="15"/>
      <c r="C27" s="15"/>
      <c r="D27" s="17"/>
      <c r="E27" s="16"/>
      <c r="F27" s="16"/>
      <c r="G27" s="15"/>
    </row>
    <row r="28">
      <c r="A28" s="20">
        <f>IF($B28="","","EMP-"&amp;TEXT(ROW()-5,"0000"))</f>
      </c>
      <c r="B28" s="15"/>
      <c r="C28" s="15"/>
      <c r="D28" s="17"/>
      <c r="E28" s="16"/>
      <c r="F28" s="16"/>
      <c r="G28" s="15"/>
    </row>
    <row r="29">
      <c r="A29" s="20">
        <f>IF($B29="","","EMP-"&amp;TEXT(ROW()-5,"0000"))</f>
      </c>
      <c r="B29" s="15"/>
      <c r="C29" s="15"/>
      <c r="D29" s="17"/>
      <c r="E29" s="16"/>
      <c r="F29" s="16"/>
      <c r="G29" s="15"/>
    </row>
    <row r="30">
      <c r="A30" s="20">
        <f>IF($B30="","","EMP-"&amp;TEXT(ROW()-5,"0000"))</f>
      </c>
      <c r="B30" s="15"/>
      <c r="C30" s="15"/>
      <c r="D30" s="17"/>
      <c r="E30" s="16"/>
      <c r="F30" s="16"/>
      <c r="G30" s="15"/>
    </row>
    <row r="31">
      <c r="A31" s="20">
        <f>IF($B31="","","EMP-"&amp;TEXT(ROW()-5,"0000"))</f>
      </c>
      <c r="B31" s="15"/>
      <c r="C31" s="15"/>
      <c r="D31" s="17"/>
      <c r="E31" s="16"/>
      <c r="F31" s="16"/>
      <c r="G31" s="15"/>
    </row>
    <row r="32">
      <c r="A32" s="20">
        <f>IF($B32="","","EMP-"&amp;TEXT(ROW()-5,"0000"))</f>
      </c>
      <c r="B32" s="15"/>
      <c r="C32" s="15"/>
      <c r="D32" s="17"/>
      <c r="E32" s="16"/>
      <c r="F32" s="16"/>
      <c r="G32" s="15"/>
    </row>
    <row r="33">
      <c r="A33" s="20">
        <f>IF($B33="","","EMP-"&amp;TEXT(ROW()-5,"0000"))</f>
      </c>
      <c r="B33" s="15"/>
      <c r="C33" s="15"/>
      <c r="D33" s="17"/>
      <c r="E33" s="16"/>
      <c r="F33" s="16"/>
      <c r="G33" s="15"/>
    </row>
    <row r="34">
      <c r="A34" s="20">
        <f>IF($B34="","","EMP-"&amp;TEXT(ROW()-5,"0000"))</f>
      </c>
      <c r="B34" s="15"/>
      <c r="C34" s="15"/>
      <c r="D34" s="17"/>
      <c r="E34" s="16"/>
      <c r="F34" s="16"/>
      <c r="G34" s="15"/>
    </row>
    <row r="35">
      <c r="A35" s="20">
        <f>IF($B35="","","EMP-"&amp;TEXT(ROW()-5,"0000"))</f>
      </c>
      <c r="B35" s="15"/>
      <c r="C35" s="15"/>
      <c r="D35" s="17"/>
      <c r="E35" s="16"/>
      <c r="F35" s="16"/>
      <c r="G35" s="15"/>
    </row>
    <row r="36">
      <c r="A36" s="20">
        <f>IF($B36="","","EMP-"&amp;TEXT(ROW()-5,"0000"))</f>
      </c>
      <c r="B36" s="15"/>
      <c r="C36" s="15"/>
      <c r="D36" s="17"/>
      <c r="E36" s="16"/>
      <c r="F36" s="16"/>
      <c r="G36" s="15"/>
    </row>
    <row r="37">
      <c r="A37" s="20">
        <f>IF($B37="","","EMP-"&amp;TEXT(ROW()-5,"0000"))</f>
      </c>
      <c r="B37" s="15"/>
      <c r="C37" s="15"/>
      <c r="D37" s="17"/>
      <c r="E37" s="16"/>
      <c r="F37" s="16"/>
      <c r="G37" s="15"/>
    </row>
    <row r="38">
      <c r="A38" s="20">
        <f>IF($B38="","","EMP-"&amp;TEXT(ROW()-5,"0000"))</f>
      </c>
      <c r="B38" s="15"/>
      <c r="C38" s="15"/>
      <c r="D38" s="17"/>
      <c r="E38" s="16"/>
      <c r="F38" s="16"/>
      <c r="G38" s="15"/>
    </row>
    <row r="39">
      <c r="A39" s="20">
        <f>IF($B39="","","EMP-"&amp;TEXT(ROW()-5,"0000"))</f>
      </c>
      <c r="B39" s="15"/>
      <c r="C39" s="15"/>
      <c r="D39" s="17"/>
      <c r="E39" s="16"/>
      <c r="F39" s="16"/>
      <c r="G39" s="15"/>
    </row>
    <row r="40">
      <c r="A40" s="20">
        <f>IF($B40="","","EMP-"&amp;TEXT(ROW()-5,"0000"))</f>
      </c>
      <c r="B40" s="15"/>
      <c r="C40" s="15"/>
      <c r="D40" s="17"/>
      <c r="E40" s="16"/>
      <c r="F40" s="16"/>
      <c r="G40" s="15"/>
    </row>
    <row r="41">
      <c r="A41" s="20">
        <f>IF($B41="","","EMP-"&amp;TEXT(ROW()-5,"0000"))</f>
      </c>
      <c r="B41" s="15"/>
      <c r="C41" s="15"/>
      <c r="D41" s="17"/>
      <c r="E41" s="16"/>
      <c r="F41" s="16"/>
      <c r="G41" s="15"/>
    </row>
    <row r="42">
      <c r="A42" s="20">
        <f>IF($B42="","","EMP-"&amp;TEXT(ROW()-5,"0000"))</f>
      </c>
      <c r="B42" s="15"/>
      <c r="C42" s="15"/>
      <c r="D42" s="17"/>
      <c r="E42" s="16"/>
      <c r="F42" s="16"/>
      <c r="G42" s="15"/>
    </row>
    <row r="43">
      <c r="A43" s="20">
        <f>IF($B43="","","EMP-"&amp;TEXT(ROW()-5,"0000"))</f>
      </c>
      <c r="B43" s="15"/>
      <c r="C43" s="15"/>
      <c r="D43" s="17"/>
      <c r="E43" s="16"/>
      <c r="F43" s="16"/>
      <c r="G43" s="15"/>
    </row>
    <row r="44">
      <c r="A44" s="20">
        <f>IF($B44="","","EMP-"&amp;TEXT(ROW()-5,"0000"))</f>
      </c>
      <c r="B44" s="15"/>
      <c r="C44" s="15"/>
      <c r="D44" s="17"/>
      <c r="E44" s="16"/>
      <c r="F44" s="16"/>
      <c r="G44" s="15"/>
    </row>
    <row r="45">
      <c r="A45" s="20">
        <f>IF($B45="","","EMP-"&amp;TEXT(ROW()-5,"0000"))</f>
      </c>
      <c r="B45" s="15"/>
      <c r="C45" s="15"/>
      <c r="D45" s="17"/>
      <c r="E45" s="16"/>
      <c r="F45" s="16"/>
      <c r="G45" s="15"/>
    </row>
    <row r="46">
      <c r="A46" s="20">
        <f>IF($B46="","","EMP-"&amp;TEXT(ROW()-5,"0000"))</f>
      </c>
      <c r="B46" s="15"/>
      <c r="C46" s="15"/>
      <c r="D46" s="17"/>
      <c r="E46" s="16"/>
      <c r="F46" s="16"/>
      <c r="G46" s="15"/>
    </row>
    <row r="47">
      <c r="A47" s="20">
        <f>IF($B47="","","EMP-"&amp;TEXT(ROW()-5,"0000"))</f>
      </c>
      <c r="B47" s="15"/>
      <c r="C47" s="15"/>
      <c r="D47" s="17"/>
      <c r="E47" s="16"/>
      <c r="F47" s="16"/>
      <c r="G47" s="15"/>
    </row>
    <row r="48">
      <c r="A48" s="20">
        <f>IF($B48="","","EMP-"&amp;TEXT(ROW()-5,"0000"))</f>
      </c>
      <c r="B48" s="15"/>
      <c r="C48" s="15"/>
      <c r="D48" s="17"/>
      <c r="E48" s="16"/>
      <c r="F48" s="16"/>
      <c r="G48" s="15"/>
    </row>
    <row r="49">
      <c r="A49" s="20">
        <f>IF($B49="","","EMP-"&amp;TEXT(ROW()-5,"0000"))</f>
      </c>
      <c r="B49" s="15"/>
      <c r="C49" s="15"/>
      <c r="D49" s="17"/>
      <c r="E49" s="16"/>
      <c r="F49" s="16"/>
      <c r="G49" s="15"/>
    </row>
    <row r="50">
      <c r="A50" s="20">
        <f>IF($B50="","","EMP-"&amp;TEXT(ROW()-5,"0000"))</f>
      </c>
      <c r="B50" s="15"/>
      <c r="C50" s="15"/>
      <c r="D50" s="17"/>
      <c r="E50" s="16"/>
      <c r="F50" s="16"/>
      <c r="G50" s="15"/>
    </row>
    <row r="51">
      <c r="A51" s="20">
        <f>IF($B51="","","EMP-"&amp;TEXT(ROW()-5,"0000"))</f>
      </c>
      <c r="B51" s="15"/>
      <c r="C51" s="15"/>
      <c r="D51" s="17"/>
      <c r="E51" s="16"/>
      <c r="F51" s="16"/>
      <c r="G51" s="15"/>
    </row>
    <row r="52">
      <c r="A52" s="20">
        <f>IF($B52="","","EMP-"&amp;TEXT(ROW()-5,"0000"))</f>
      </c>
      <c r="B52" s="15"/>
      <c r="C52" s="15"/>
      <c r="D52" s="17"/>
      <c r="E52" s="16"/>
      <c r="F52" s="16"/>
      <c r="G52" s="15"/>
    </row>
    <row r="53">
      <c r="A53" s="20">
        <f>IF($B53="","","EMP-"&amp;TEXT(ROW()-5,"0000"))</f>
      </c>
      <c r="B53" s="15"/>
      <c r="C53" s="15"/>
      <c r="D53" s="17"/>
      <c r="E53" s="16"/>
      <c r="F53" s="16"/>
      <c r="G53" s="15"/>
    </row>
    <row r="54">
      <c r="A54" s="20">
        <f>IF($B54="","","EMP-"&amp;TEXT(ROW()-5,"0000"))</f>
      </c>
      <c r="B54" s="15"/>
      <c r="C54" s="15"/>
      <c r="D54" s="17"/>
      <c r="E54" s="16"/>
      <c r="F54" s="16"/>
      <c r="G54" s="15"/>
    </row>
    <row r="55">
      <c r="A55" s="20">
        <f>IF($B55="","","EMP-"&amp;TEXT(ROW()-5,"0000"))</f>
      </c>
      <c r="B55" s="15"/>
      <c r="C55" s="15"/>
      <c r="D55" s="17"/>
      <c r="E55" s="16"/>
      <c r="F55" s="16"/>
      <c r="G55" s="15"/>
    </row>
    <row r="56">
      <c r="A56" s="20">
        <f>IF($B56="","","EMP-"&amp;TEXT(ROW()-5,"0000"))</f>
      </c>
      <c r="B56" s="15"/>
      <c r="C56" s="15"/>
      <c r="D56" s="17"/>
      <c r="E56" s="16"/>
      <c r="F56" s="16"/>
      <c r="G56" s="15"/>
    </row>
    <row r="57">
      <c r="A57" s="20">
        <f>IF($B57="","","EMP-"&amp;TEXT(ROW()-5,"0000"))</f>
      </c>
      <c r="B57" s="15"/>
      <c r="C57" s="15"/>
      <c r="D57" s="17"/>
      <c r="E57" s="16"/>
      <c r="F57" s="16"/>
      <c r="G57" s="15"/>
    </row>
    <row r="58">
      <c r="A58" s="20">
        <f>IF($B58="","","EMP-"&amp;TEXT(ROW()-5,"0000"))</f>
      </c>
      <c r="B58" s="15"/>
      <c r="C58" s="15"/>
      <c r="D58" s="17"/>
      <c r="E58" s="16"/>
      <c r="F58" s="16"/>
      <c r="G58" s="15"/>
    </row>
    <row r="59">
      <c r="A59" s="20">
        <f>IF($B59="","","EMP-"&amp;TEXT(ROW()-5,"0000"))</f>
      </c>
      <c r="B59" s="15"/>
      <c r="C59" s="15"/>
      <c r="D59" s="17"/>
      <c r="E59" s="16"/>
      <c r="F59" s="16"/>
      <c r="G59" s="15"/>
    </row>
    <row r="60">
      <c r="A60" s="20">
        <f>IF($B60="","","EMP-"&amp;TEXT(ROW()-5,"0000"))</f>
      </c>
      <c r="B60" s="15"/>
      <c r="C60" s="15"/>
      <c r="D60" s="17"/>
      <c r="E60" s="16"/>
      <c r="F60" s="16"/>
      <c r="G60" s="15"/>
    </row>
    <row r="61">
      <c r="A61" s="20">
        <f>IF($B61="","","EMP-"&amp;TEXT(ROW()-5,"0000"))</f>
      </c>
      <c r="B61" s="15"/>
      <c r="C61" s="15"/>
      <c r="D61" s="17"/>
      <c r="E61" s="16"/>
      <c r="F61" s="16"/>
      <c r="G61" s="15"/>
    </row>
    <row r="62">
      <c r="A62" s="20">
        <f>IF($B62="","","EMP-"&amp;TEXT(ROW()-5,"0000"))</f>
      </c>
      <c r="B62" s="15"/>
      <c r="C62" s="15"/>
      <c r="D62" s="17"/>
      <c r="E62" s="16"/>
      <c r="F62" s="16"/>
      <c r="G62" s="15"/>
    </row>
    <row r="63">
      <c r="A63" s="20">
        <f>IF($B63="","","EMP-"&amp;TEXT(ROW()-5,"0000"))</f>
      </c>
      <c r="B63" s="15"/>
      <c r="C63" s="15"/>
      <c r="D63" s="17"/>
      <c r="E63" s="16"/>
      <c r="F63" s="16"/>
      <c r="G63" s="15"/>
    </row>
    <row r="64">
      <c r="A64" s="20">
        <f>IF($B64="","","EMP-"&amp;TEXT(ROW()-5,"0000"))</f>
      </c>
      <c r="B64" s="15"/>
      <c r="C64" s="15"/>
      <c r="D64" s="17"/>
      <c r="E64" s="16"/>
      <c r="F64" s="16"/>
      <c r="G64" s="15"/>
    </row>
    <row r="65">
      <c r="A65" s="20">
        <f>IF($B65="","","EMP-"&amp;TEXT(ROW()-5,"0000"))</f>
      </c>
      <c r="B65" s="15"/>
      <c r="C65" s="15"/>
      <c r="D65" s="17"/>
      <c r="E65" s="16"/>
      <c r="F65" s="16"/>
      <c r="G65" s="15"/>
    </row>
    <row r="66">
      <c r="A66" s="20">
        <f>IF($B66="","","EMP-"&amp;TEXT(ROW()-5,"0000"))</f>
      </c>
      <c r="B66" s="15"/>
      <c r="C66" s="15"/>
      <c r="D66" s="17"/>
      <c r="E66" s="16"/>
      <c r="F66" s="16"/>
      <c r="G66" s="15"/>
    </row>
    <row r="67">
      <c r="A67" s="20">
        <f>IF($B67="","","EMP-"&amp;TEXT(ROW()-5,"0000"))</f>
      </c>
      <c r="B67" s="15"/>
      <c r="C67" s="15"/>
      <c r="D67" s="17"/>
      <c r="E67" s="16"/>
      <c r="F67" s="16"/>
      <c r="G67" s="15"/>
    </row>
    <row r="68">
      <c r="A68" s="20">
        <f>IF($B68="","","EMP-"&amp;TEXT(ROW()-5,"0000"))</f>
      </c>
      <c r="B68" s="15"/>
      <c r="C68" s="15"/>
      <c r="D68" s="17"/>
      <c r="E68" s="16"/>
      <c r="F68" s="16"/>
      <c r="G68" s="15"/>
    </row>
    <row r="69">
      <c r="A69" s="20">
        <f>IF($B69="","","EMP-"&amp;TEXT(ROW()-5,"0000"))</f>
      </c>
      <c r="B69" s="15"/>
      <c r="C69" s="15"/>
      <c r="D69" s="17"/>
      <c r="E69" s="16"/>
      <c r="F69" s="16"/>
      <c r="G69" s="15"/>
    </row>
    <row r="70">
      <c r="A70" s="20">
        <f>IF($B70="","","EMP-"&amp;TEXT(ROW()-5,"0000"))</f>
      </c>
      <c r="B70" s="15"/>
      <c r="C70" s="15"/>
      <c r="D70" s="17"/>
      <c r="E70" s="16"/>
      <c r="F70" s="16"/>
      <c r="G70" s="15"/>
    </row>
    <row r="71">
      <c r="A71" s="20">
        <f>IF($B71="","","EMP-"&amp;TEXT(ROW()-5,"0000"))</f>
      </c>
      <c r="B71" s="15"/>
      <c r="C71" s="15"/>
      <c r="D71" s="17"/>
      <c r="E71" s="16"/>
      <c r="F71" s="16"/>
      <c r="G71" s="15"/>
    </row>
    <row r="72">
      <c r="A72" s="20">
        <f>IF($B72="","","EMP-"&amp;TEXT(ROW()-5,"0000"))</f>
      </c>
      <c r="B72" s="15"/>
      <c r="C72" s="15"/>
      <c r="D72" s="17"/>
      <c r="E72" s="16"/>
      <c r="F72" s="16"/>
      <c r="G72" s="15"/>
    </row>
    <row r="73">
      <c r="A73" s="20">
        <f>IF($B73="","","EMP-"&amp;TEXT(ROW()-5,"0000"))</f>
      </c>
      <c r="B73" s="15"/>
      <c r="C73" s="15"/>
      <c r="D73" s="17"/>
      <c r="E73" s="16"/>
      <c r="F73" s="16"/>
      <c r="G73" s="15"/>
    </row>
    <row r="74">
      <c r="A74" s="20">
        <f>IF($B74="","","EMP-"&amp;TEXT(ROW()-5,"0000"))</f>
      </c>
      <c r="B74" s="15"/>
      <c r="C74" s="15"/>
      <c r="D74" s="17"/>
      <c r="E74" s="16"/>
      <c r="F74" s="16"/>
      <c r="G74" s="15"/>
    </row>
    <row r="75">
      <c r="A75" s="20">
        <f>IF($B75="","","EMP-"&amp;TEXT(ROW()-5,"0000"))</f>
      </c>
      <c r="B75" s="15"/>
      <c r="C75" s="15"/>
      <c r="D75" s="17"/>
      <c r="E75" s="16"/>
      <c r="F75" s="16"/>
      <c r="G75" s="15"/>
    </row>
    <row r="76">
      <c r="A76" s="20">
        <f>IF($B76="","","EMP-"&amp;TEXT(ROW()-5,"0000"))</f>
      </c>
      <c r="B76" s="15"/>
      <c r="C76" s="15"/>
      <c r="D76" s="17"/>
      <c r="E76" s="16"/>
      <c r="F76" s="16"/>
      <c r="G76" s="15"/>
    </row>
    <row r="77">
      <c r="A77" s="20">
        <f>IF($B77="","","EMP-"&amp;TEXT(ROW()-5,"0000"))</f>
      </c>
      <c r="B77" s="15"/>
      <c r="C77" s="15"/>
      <c r="D77" s="17"/>
      <c r="E77" s="16"/>
      <c r="F77" s="16"/>
      <c r="G77" s="15"/>
    </row>
    <row r="78">
      <c r="A78" s="20">
        <f>IF($B78="","","EMP-"&amp;TEXT(ROW()-5,"0000"))</f>
      </c>
      <c r="B78" s="15"/>
      <c r="C78" s="15"/>
      <c r="D78" s="17"/>
      <c r="E78" s="16"/>
      <c r="F78" s="16"/>
      <c r="G78" s="15"/>
    </row>
    <row r="79">
      <c r="A79" s="20">
        <f>IF($B79="","","EMP-"&amp;TEXT(ROW()-5,"0000"))</f>
      </c>
      <c r="B79" s="15"/>
      <c r="C79" s="15"/>
      <c r="D79" s="17"/>
      <c r="E79" s="16"/>
      <c r="F79" s="16"/>
      <c r="G79" s="15"/>
    </row>
    <row r="80">
      <c r="A80" s="20">
        <f>IF($B80="","","EMP-"&amp;TEXT(ROW()-5,"0000"))</f>
      </c>
      <c r="B80" s="15"/>
      <c r="C80" s="15"/>
      <c r="D80" s="17"/>
      <c r="E80" s="16"/>
      <c r="F80" s="16"/>
      <c r="G80" s="15"/>
    </row>
    <row r="81">
      <c r="A81" s="20">
        <f>IF($B81="","","EMP-"&amp;TEXT(ROW()-5,"0000"))</f>
      </c>
      <c r="B81" s="15"/>
      <c r="C81" s="15"/>
      <c r="D81" s="17"/>
      <c r="E81" s="16"/>
      <c r="F81" s="16"/>
      <c r="G81" s="15"/>
    </row>
    <row r="82">
      <c r="A82" s="20">
        <f>IF($B82="","","EMP-"&amp;TEXT(ROW()-5,"0000"))</f>
      </c>
      <c r="B82" s="15"/>
      <c r="C82" s="15"/>
      <c r="D82" s="17"/>
      <c r="E82" s="16"/>
      <c r="F82" s="16"/>
      <c r="G82" s="15"/>
    </row>
    <row r="83">
      <c r="A83" s="20">
        <f>IF($B83="","","EMP-"&amp;TEXT(ROW()-5,"0000"))</f>
      </c>
      <c r="B83" s="15"/>
      <c r="C83" s="15"/>
      <c r="D83" s="17"/>
      <c r="E83" s="16"/>
      <c r="F83" s="16"/>
      <c r="G83" s="15"/>
    </row>
    <row r="84">
      <c r="A84" s="20">
        <f>IF($B84="","","EMP-"&amp;TEXT(ROW()-5,"0000"))</f>
      </c>
      <c r="B84" s="15"/>
      <c r="C84" s="15"/>
      <c r="D84" s="17"/>
      <c r="E84" s="16"/>
      <c r="F84" s="16"/>
      <c r="G84" s="15"/>
    </row>
    <row r="85">
      <c r="A85" s="20">
        <f>IF($B85="","","EMP-"&amp;TEXT(ROW()-5,"0000"))</f>
      </c>
      <c r="B85" s="15"/>
      <c r="C85" s="15"/>
      <c r="D85" s="17"/>
      <c r="E85" s="16"/>
      <c r="F85" s="16"/>
      <c r="G85" s="15"/>
    </row>
    <row r="86">
      <c r="A86" s="20">
        <f>IF($B86="","","EMP-"&amp;TEXT(ROW()-5,"0000"))</f>
      </c>
      <c r="B86" s="15"/>
      <c r="C86" s="15"/>
      <c r="D86" s="17"/>
      <c r="E86" s="16"/>
      <c r="F86" s="16"/>
      <c r="G86" s="15"/>
    </row>
    <row r="87">
      <c r="A87" s="20">
        <f>IF($B87="","","EMP-"&amp;TEXT(ROW()-5,"0000"))</f>
      </c>
      <c r="B87" s="15"/>
      <c r="C87" s="15"/>
      <c r="D87" s="17"/>
      <c r="E87" s="16"/>
      <c r="F87" s="16"/>
      <c r="G87" s="15"/>
    </row>
    <row r="88">
      <c r="A88" s="20">
        <f>IF($B88="","","EMP-"&amp;TEXT(ROW()-5,"0000"))</f>
      </c>
      <c r="B88" s="15"/>
      <c r="C88" s="15"/>
      <c r="D88" s="17"/>
      <c r="E88" s="16"/>
      <c r="F88" s="16"/>
      <c r="G88" s="15"/>
    </row>
    <row r="89">
      <c r="A89" s="20">
        <f>IF($B89="","","EMP-"&amp;TEXT(ROW()-5,"0000"))</f>
      </c>
      <c r="B89" s="15"/>
      <c r="C89" s="15"/>
      <c r="D89" s="17"/>
      <c r="E89" s="16"/>
      <c r="F89" s="16"/>
      <c r="G89" s="15"/>
    </row>
    <row r="90">
      <c r="A90" s="20">
        <f>IF($B90="","","EMP-"&amp;TEXT(ROW()-5,"0000"))</f>
      </c>
      <c r="B90" s="15"/>
      <c r="C90" s="15"/>
      <c r="D90" s="17"/>
      <c r="E90" s="16"/>
      <c r="F90" s="16"/>
      <c r="G90" s="15"/>
    </row>
    <row r="91">
      <c r="A91" s="20">
        <f>IF($B91="","","EMP-"&amp;TEXT(ROW()-5,"0000"))</f>
      </c>
      <c r="B91" s="15"/>
      <c r="C91" s="15"/>
      <c r="D91" s="17"/>
      <c r="E91" s="16"/>
      <c r="F91" s="16"/>
      <c r="G91" s="15"/>
    </row>
    <row r="92">
      <c r="A92" s="20">
        <f>IF($B92="","","EMP-"&amp;TEXT(ROW()-5,"0000"))</f>
      </c>
      <c r="B92" s="15"/>
      <c r="C92" s="15"/>
      <c r="D92" s="17"/>
      <c r="E92" s="16"/>
      <c r="F92" s="16"/>
      <c r="G92" s="15"/>
    </row>
    <row r="93">
      <c r="A93" s="20">
        <f>IF($B93="","","EMP-"&amp;TEXT(ROW()-5,"0000"))</f>
      </c>
      <c r="B93" s="15"/>
      <c r="C93" s="15"/>
      <c r="D93" s="17"/>
      <c r="E93" s="16"/>
      <c r="F93" s="16"/>
      <c r="G93" s="15"/>
    </row>
    <row r="94">
      <c r="A94" s="20">
        <f>IF($B94="","","EMP-"&amp;TEXT(ROW()-5,"0000"))</f>
      </c>
      <c r="B94" s="15"/>
      <c r="C94" s="15"/>
      <c r="D94" s="17"/>
      <c r="E94" s="16"/>
      <c r="F94" s="16"/>
      <c r="G94" s="15"/>
    </row>
    <row r="95">
      <c r="A95" s="20">
        <f>IF($B95="","","EMP-"&amp;TEXT(ROW()-5,"0000"))</f>
      </c>
      <c r="B95" s="15"/>
      <c r="C95" s="15"/>
      <c r="D95" s="17"/>
      <c r="E95" s="16"/>
      <c r="F95" s="16"/>
      <c r="G95" s="15"/>
    </row>
    <row r="96">
      <c r="A96" s="20">
        <f>IF($B96="","","EMP-"&amp;TEXT(ROW()-5,"0000"))</f>
      </c>
      <c r="B96" s="15"/>
      <c r="C96" s="15"/>
      <c r="D96" s="17"/>
      <c r="E96" s="16"/>
      <c r="F96" s="16"/>
      <c r="G96" s="15"/>
    </row>
    <row r="97">
      <c r="A97" s="20">
        <f>IF($B97="","","EMP-"&amp;TEXT(ROW()-5,"0000"))</f>
      </c>
      <c r="B97" s="15"/>
      <c r="C97" s="15"/>
      <c r="D97" s="17"/>
      <c r="E97" s="16"/>
      <c r="F97" s="16"/>
      <c r="G97" s="15"/>
    </row>
    <row r="98">
      <c r="A98" s="20">
        <f>IF($B98="","","EMP-"&amp;TEXT(ROW()-5,"0000"))</f>
      </c>
      <c r="B98" s="15"/>
      <c r="C98" s="15"/>
      <c r="D98" s="17"/>
      <c r="E98" s="16"/>
      <c r="F98" s="16"/>
      <c r="G98" s="15"/>
    </row>
    <row r="99">
      <c r="A99" s="20">
        <f>IF($B99="","","EMP-"&amp;TEXT(ROW()-5,"0000"))</f>
      </c>
      <c r="B99" s="15"/>
      <c r="C99" s="15"/>
      <c r="D99" s="17"/>
      <c r="E99" s="16"/>
      <c r="F99" s="16"/>
      <c r="G99" s="15"/>
    </row>
    <row r="100">
      <c r="A100" s="20">
        <f>IF($B100="","","EMP-"&amp;TEXT(ROW()-5,"0000"))</f>
      </c>
      <c r="B100" s="15"/>
      <c r="C100" s="15"/>
      <c r="D100" s="17"/>
      <c r="E100" s="16"/>
      <c r="F100" s="16"/>
      <c r="G100" s="15"/>
    </row>
    <row r="101">
      <c r="A101" s="20">
        <f>IF($B101="","","EMP-"&amp;TEXT(ROW()-5,"0000"))</f>
      </c>
      <c r="B101" s="15"/>
      <c r="C101" s="15"/>
      <c r="D101" s="17"/>
      <c r="E101" s="16"/>
      <c r="F101" s="16"/>
      <c r="G101" s="15"/>
    </row>
    <row r="102">
      <c r="A102" s="20">
        <f>IF($B102="","","EMP-"&amp;TEXT(ROW()-5,"0000"))</f>
      </c>
      <c r="B102" s="15"/>
      <c r="C102" s="15"/>
      <c r="D102" s="17"/>
      <c r="E102" s="16"/>
      <c r="F102" s="16"/>
      <c r="G102" s="15"/>
    </row>
    <row r="103">
      <c r="A103" s="20">
        <f>IF($B103="","","EMP-"&amp;TEXT(ROW()-5,"0000"))</f>
      </c>
      <c r="B103" s="15"/>
      <c r="C103" s="15"/>
      <c r="D103" s="17"/>
      <c r="E103" s="16"/>
      <c r="F103" s="16"/>
      <c r="G103" s="15"/>
    </row>
    <row r="104">
      <c r="A104" s="20">
        <f>IF($B104="","","EMP-"&amp;TEXT(ROW()-5,"0000"))</f>
      </c>
      <c r="B104" s="15"/>
      <c r="C104" s="15"/>
      <c r="D104" s="17"/>
      <c r="E104" s="16"/>
      <c r="F104" s="16"/>
      <c r="G104" s="15"/>
    </row>
    <row r="105">
      <c r="A105" s="20">
        <f>IF($B105="","","EMP-"&amp;TEXT(ROW()-5,"0000"))</f>
      </c>
      <c r="B105" s="15"/>
      <c r="C105" s="15"/>
      <c r="D105" s="17"/>
      <c r="E105" s="16"/>
      <c r="F105" s="16"/>
      <c r="G105" s="15"/>
    </row>
    <row r="106">
      <c r="A106" s="20">
        <f>IF($B106="","","EMP-"&amp;TEXT(ROW()-5,"0000"))</f>
      </c>
      <c r="B106" s="15"/>
      <c r="C106" s="15"/>
      <c r="D106" s="17"/>
      <c r="E106" s="16"/>
      <c r="F106" s="16"/>
      <c r="G106" s="15"/>
    </row>
    <row r="107">
      <c r="A107" s="20">
        <f>IF($B107="","","EMP-"&amp;TEXT(ROW()-5,"0000"))</f>
      </c>
      <c r="B107" s="15"/>
      <c r="C107" s="15"/>
      <c r="D107" s="17"/>
      <c r="E107" s="16"/>
      <c r="F107" s="16"/>
      <c r="G107" s="15"/>
    </row>
    <row r="108">
      <c r="A108" s="20">
        <f>IF($B108="","","EMP-"&amp;TEXT(ROW()-5,"0000"))</f>
      </c>
      <c r="B108" s="15"/>
      <c r="C108" s="15"/>
      <c r="D108" s="17"/>
      <c r="E108" s="16"/>
      <c r="F108" s="16"/>
      <c r="G108" s="15"/>
    </row>
    <row r="109">
      <c r="A109" s="20">
        <f>IF($B109="","","EMP-"&amp;TEXT(ROW()-5,"0000"))</f>
      </c>
      <c r="B109" s="15"/>
      <c r="C109" s="15"/>
      <c r="D109" s="17"/>
      <c r="E109" s="16"/>
      <c r="F109" s="16"/>
      <c r="G109" s="15"/>
    </row>
    <row r="110">
      <c r="A110" s="20">
        <f>IF($B110="","","EMP-"&amp;TEXT(ROW()-5,"0000"))</f>
      </c>
      <c r="B110" s="15"/>
      <c r="C110" s="15"/>
      <c r="D110" s="17"/>
      <c r="E110" s="16"/>
      <c r="F110" s="16"/>
      <c r="G110" s="15"/>
    </row>
    <row r="111">
      <c r="A111" s="20">
        <f>IF($B111="","","EMP-"&amp;TEXT(ROW()-5,"0000"))</f>
      </c>
      <c r="B111" s="15"/>
      <c r="C111" s="15"/>
      <c r="D111" s="17"/>
      <c r="E111" s="16"/>
      <c r="F111" s="16"/>
      <c r="G111" s="15"/>
    </row>
    <row r="112">
      <c r="A112" s="20">
        <f>IF($B112="","","EMP-"&amp;TEXT(ROW()-5,"0000"))</f>
      </c>
      <c r="B112" s="15"/>
      <c r="C112" s="15"/>
      <c r="D112" s="17"/>
      <c r="E112" s="16"/>
      <c r="F112" s="16"/>
      <c r="G112" s="15"/>
    </row>
    <row r="113">
      <c r="A113" s="20">
        <f>IF($B113="","","EMP-"&amp;TEXT(ROW()-5,"0000"))</f>
      </c>
      <c r="B113" s="15"/>
      <c r="C113" s="15"/>
      <c r="D113" s="17"/>
      <c r="E113" s="16"/>
      <c r="F113" s="16"/>
      <c r="G113" s="15"/>
    </row>
    <row r="114">
      <c r="A114" s="20">
        <f>IF($B114="","","EMP-"&amp;TEXT(ROW()-5,"0000"))</f>
      </c>
      <c r="B114" s="15"/>
      <c r="C114" s="15"/>
      <c r="D114" s="17"/>
      <c r="E114" s="16"/>
      <c r="F114" s="16"/>
      <c r="G114" s="15"/>
    </row>
    <row r="115">
      <c r="A115" s="20">
        <f>IF($B115="","","EMP-"&amp;TEXT(ROW()-5,"0000"))</f>
      </c>
      <c r="B115" s="15"/>
      <c r="C115" s="15"/>
      <c r="D115" s="17"/>
      <c r="E115" s="16"/>
      <c r="F115" s="16"/>
      <c r="G115" s="15"/>
    </row>
    <row r="116">
      <c r="A116" s="20">
        <f>IF($B116="","","EMP-"&amp;TEXT(ROW()-5,"0000"))</f>
      </c>
      <c r="B116" s="15"/>
      <c r="C116" s="15"/>
      <c r="D116" s="17"/>
      <c r="E116" s="16"/>
      <c r="F116" s="16"/>
      <c r="G116" s="15"/>
    </row>
    <row r="117">
      <c r="A117" s="20">
        <f>IF($B117="","","EMP-"&amp;TEXT(ROW()-5,"0000"))</f>
      </c>
      <c r="B117" s="15"/>
      <c r="C117" s="15"/>
      <c r="D117" s="17"/>
      <c r="E117" s="16"/>
      <c r="F117" s="16"/>
      <c r="G117" s="15"/>
    </row>
    <row r="118">
      <c r="A118" s="20">
        <f>IF($B118="","","EMP-"&amp;TEXT(ROW()-5,"0000"))</f>
      </c>
      <c r="B118" s="15"/>
      <c r="C118" s="15"/>
      <c r="D118" s="17"/>
      <c r="E118" s="16"/>
      <c r="F118" s="16"/>
      <c r="G118" s="15"/>
    </row>
    <row r="119">
      <c r="A119" s="20">
        <f>IF($B119="","","EMP-"&amp;TEXT(ROW()-5,"0000"))</f>
      </c>
      <c r="B119" s="15"/>
      <c r="C119" s="15"/>
      <c r="D119" s="17"/>
      <c r="E119" s="16"/>
      <c r="F119" s="16"/>
      <c r="G119" s="15"/>
    </row>
    <row r="120">
      <c r="A120" s="20">
        <f>IF($B120="","","EMP-"&amp;TEXT(ROW()-5,"0000"))</f>
      </c>
      <c r="B120" s="15"/>
      <c r="C120" s="15"/>
      <c r="D120" s="17"/>
      <c r="E120" s="16"/>
      <c r="F120" s="16"/>
      <c r="G120" s="15"/>
    </row>
    <row r="121">
      <c r="A121" s="20">
        <f>IF($B121="","","EMP-"&amp;TEXT(ROW()-5,"0000"))</f>
      </c>
      <c r="B121" s="15"/>
      <c r="C121" s="15"/>
      <c r="D121" s="17"/>
      <c r="E121" s="16"/>
      <c r="F121" s="16"/>
      <c r="G121" s="15"/>
    </row>
    <row r="122">
      <c r="A122" s="20">
        <f>IF($B122="","","EMP-"&amp;TEXT(ROW()-5,"0000"))</f>
      </c>
      <c r="B122" s="15"/>
      <c r="C122" s="15"/>
      <c r="D122" s="17"/>
      <c r="E122" s="16"/>
      <c r="F122" s="16"/>
      <c r="G122" s="15"/>
    </row>
    <row r="123">
      <c r="A123" s="20">
        <f>IF($B123="","","EMP-"&amp;TEXT(ROW()-5,"0000"))</f>
      </c>
      <c r="B123" s="15"/>
      <c r="C123" s="15"/>
      <c r="D123" s="17"/>
      <c r="E123" s="16"/>
      <c r="F123" s="16"/>
      <c r="G123" s="15"/>
    </row>
    <row r="124">
      <c r="A124" s="20">
        <f>IF($B124="","","EMP-"&amp;TEXT(ROW()-5,"0000"))</f>
      </c>
      <c r="B124" s="15"/>
      <c r="C124" s="15"/>
      <c r="D124" s="17"/>
      <c r="E124" s="16"/>
      <c r="F124" s="16"/>
      <c r="G124" s="15"/>
    </row>
    <row r="125">
      <c r="A125" s="20">
        <f>IF($B125="","","EMP-"&amp;TEXT(ROW()-5,"0000"))</f>
      </c>
      <c r="B125" s="15"/>
      <c r="C125" s="15"/>
      <c r="D125" s="17"/>
      <c r="E125" s="16"/>
      <c r="F125" s="16"/>
      <c r="G125" s="15"/>
    </row>
    <row r="126">
      <c r="A126" s="20">
        <f>IF($B126="","","EMP-"&amp;TEXT(ROW()-5,"0000"))</f>
      </c>
      <c r="B126" s="15"/>
      <c r="C126" s="15"/>
      <c r="D126" s="17"/>
      <c r="E126" s="16"/>
      <c r="F126" s="16"/>
      <c r="G126" s="15"/>
    </row>
    <row r="127">
      <c r="A127" s="20">
        <f>IF($B127="","","EMP-"&amp;TEXT(ROW()-5,"0000"))</f>
      </c>
      <c r="B127" s="15"/>
      <c r="C127" s="15"/>
      <c r="D127" s="17"/>
      <c r="E127" s="16"/>
      <c r="F127" s="16"/>
      <c r="G127" s="15"/>
    </row>
    <row r="128">
      <c r="A128" s="20">
        <f>IF($B128="","","EMP-"&amp;TEXT(ROW()-5,"0000"))</f>
      </c>
      <c r="B128" s="15"/>
      <c r="C128" s="15"/>
      <c r="D128" s="17"/>
      <c r="E128" s="16"/>
      <c r="F128" s="16"/>
      <c r="G128" s="15"/>
    </row>
    <row r="129">
      <c r="A129" s="20">
        <f>IF($B129="","","EMP-"&amp;TEXT(ROW()-5,"0000"))</f>
      </c>
      <c r="B129" s="15"/>
      <c r="C129" s="15"/>
      <c r="D129" s="17"/>
      <c r="E129" s="16"/>
      <c r="F129" s="16"/>
      <c r="G129" s="15"/>
    </row>
    <row r="130">
      <c r="A130" s="20">
        <f>IF($B130="","","EMP-"&amp;TEXT(ROW()-5,"0000"))</f>
      </c>
      <c r="B130" s="15"/>
      <c r="C130" s="15"/>
      <c r="D130" s="17"/>
      <c r="E130" s="16"/>
      <c r="F130" s="16"/>
      <c r="G130" s="15"/>
    </row>
    <row r="131">
      <c r="A131" s="20">
        <f>IF($B131="","","EMP-"&amp;TEXT(ROW()-5,"0000"))</f>
      </c>
      <c r="B131" s="15"/>
      <c r="C131" s="15"/>
      <c r="D131" s="17"/>
      <c r="E131" s="16"/>
      <c r="F131" s="16"/>
      <c r="G131" s="15"/>
    </row>
    <row r="132">
      <c r="A132" s="20">
        <f>IF($B132="","","EMP-"&amp;TEXT(ROW()-5,"0000"))</f>
      </c>
      <c r="B132" s="15"/>
      <c r="C132" s="15"/>
      <c r="D132" s="17"/>
      <c r="E132" s="16"/>
      <c r="F132" s="16"/>
      <c r="G132" s="15"/>
    </row>
    <row r="133">
      <c r="A133" s="20">
        <f>IF($B133="","","EMP-"&amp;TEXT(ROW()-5,"0000"))</f>
      </c>
      <c r="B133" s="15"/>
      <c r="C133" s="15"/>
      <c r="D133" s="17"/>
      <c r="E133" s="16"/>
      <c r="F133" s="16"/>
      <c r="G133" s="15"/>
    </row>
    <row r="134">
      <c r="A134" s="20">
        <f>IF($B134="","","EMP-"&amp;TEXT(ROW()-5,"0000"))</f>
      </c>
      <c r="B134" s="15"/>
      <c r="C134" s="15"/>
      <c r="D134" s="17"/>
      <c r="E134" s="16"/>
      <c r="F134" s="16"/>
      <c r="G134" s="15"/>
    </row>
    <row r="135">
      <c r="A135" s="20">
        <f>IF($B135="","","EMP-"&amp;TEXT(ROW()-5,"0000"))</f>
      </c>
      <c r="B135" s="15"/>
      <c r="C135" s="15"/>
      <c r="D135" s="17"/>
      <c r="E135" s="16"/>
      <c r="F135" s="16"/>
      <c r="G135" s="15"/>
    </row>
    <row r="136">
      <c r="A136" s="20">
        <f>IF($B136="","","EMP-"&amp;TEXT(ROW()-5,"0000"))</f>
      </c>
      <c r="B136" s="15"/>
      <c r="C136" s="15"/>
      <c r="D136" s="17"/>
      <c r="E136" s="16"/>
      <c r="F136" s="16"/>
      <c r="G136" s="15"/>
    </row>
    <row r="137">
      <c r="A137" s="20">
        <f>IF($B137="","","EMP-"&amp;TEXT(ROW()-5,"0000"))</f>
      </c>
      <c r="B137" s="15"/>
      <c r="C137" s="15"/>
      <c r="D137" s="17"/>
      <c r="E137" s="16"/>
      <c r="F137" s="16"/>
      <c r="G137" s="15"/>
    </row>
    <row r="138">
      <c r="A138" s="20">
        <f>IF($B138="","","EMP-"&amp;TEXT(ROW()-5,"0000"))</f>
      </c>
      <c r="B138" s="15"/>
      <c r="C138" s="15"/>
      <c r="D138" s="17"/>
      <c r="E138" s="16"/>
      <c r="F138" s="16"/>
      <c r="G138" s="15"/>
    </row>
    <row r="139">
      <c r="A139" s="20">
        <f>IF($B139="","","EMP-"&amp;TEXT(ROW()-5,"0000"))</f>
      </c>
      <c r="B139" s="15"/>
      <c r="C139" s="15"/>
      <c r="D139" s="17"/>
      <c r="E139" s="16"/>
      <c r="F139" s="16"/>
      <c r="G139" s="15"/>
    </row>
    <row r="140">
      <c r="A140" s="20">
        <f>IF($B140="","","EMP-"&amp;TEXT(ROW()-5,"0000"))</f>
      </c>
      <c r="B140" s="15"/>
      <c r="C140" s="15"/>
      <c r="D140" s="17"/>
      <c r="E140" s="16"/>
      <c r="F140" s="16"/>
      <c r="G140" s="15"/>
    </row>
    <row r="141">
      <c r="A141" s="20">
        <f>IF($B141="","","EMP-"&amp;TEXT(ROW()-5,"0000"))</f>
      </c>
      <c r="B141" s="15"/>
      <c r="C141" s="15"/>
      <c r="D141" s="17"/>
      <c r="E141" s="16"/>
      <c r="F141" s="16"/>
      <c r="G141" s="15"/>
    </row>
    <row r="142">
      <c r="A142" s="20">
        <f>IF($B142="","","EMP-"&amp;TEXT(ROW()-5,"0000"))</f>
      </c>
      <c r="B142" s="15"/>
      <c r="C142" s="15"/>
      <c r="D142" s="17"/>
      <c r="E142" s="16"/>
      <c r="F142" s="16"/>
      <c r="G142" s="15"/>
    </row>
    <row r="143">
      <c r="A143" s="20">
        <f>IF($B143="","","EMP-"&amp;TEXT(ROW()-5,"0000"))</f>
      </c>
      <c r="B143" s="15"/>
      <c r="C143" s="15"/>
      <c r="D143" s="17"/>
      <c r="E143" s="16"/>
      <c r="F143" s="16"/>
      <c r="G143" s="15"/>
    </row>
    <row r="144">
      <c r="A144" s="20">
        <f>IF($B144="","","EMP-"&amp;TEXT(ROW()-5,"0000"))</f>
      </c>
      <c r="B144" s="15"/>
      <c r="C144" s="15"/>
      <c r="D144" s="17"/>
      <c r="E144" s="16"/>
      <c r="F144" s="16"/>
      <c r="G144" s="15"/>
    </row>
    <row r="145">
      <c r="A145" s="20">
        <f>IF($B145="","","EMP-"&amp;TEXT(ROW()-5,"0000"))</f>
      </c>
      <c r="B145" s="15"/>
      <c r="C145" s="15"/>
      <c r="D145" s="17"/>
      <c r="E145" s="16"/>
      <c r="F145" s="16"/>
      <c r="G145" s="15"/>
    </row>
    <row r="146">
      <c r="A146" s="20">
        <f>IF($B146="","","EMP-"&amp;TEXT(ROW()-5,"0000"))</f>
      </c>
      <c r="B146" s="15"/>
      <c r="C146" s="15"/>
      <c r="D146" s="17"/>
      <c r="E146" s="16"/>
      <c r="F146" s="16"/>
      <c r="G146" s="15"/>
    </row>
    <row r="147">
      <c r="A147" s="20">
        <f>IF($B147="","","EMP-"&amp;TEXT(ROW()-5,"0000"))</f>
      </c>
      <c r="B147" s="15"/>
      <c r="C147" s="15"/>
      <c r="D147" s="17"/>
      <c r="E147" s="16"/>
      <c r="F147" s="16"/>
      <c r="G147" s="15"/>
    </row>
    <row r="148">
      <c r="A148" s="20">
        <f>IF($B148="","","EMP-"&amp;TEXT(ROW()-5,"0000"))</f>
      </c>
      <c r="B148" s="15"/>
      <c r="C148" s="15"/>
      <c r="D148" s="17"/>
      <c r="E148" s="16"/>
      <c r="F148" s="16"/>
      <c r="G148" s="15"/>
    </row>
    <row r="149">
      <c r="A149" s="20">
        <f>IF($B149="","","EMP-"&amp;TEXT(ROW()-5,"0000"))</f>
      </c>
      <c r="B149" s="15"/>
      <c r="C149" s="15"/>
      <c r="D149" s="17"/>
      <c r="E149" s="16"/>
      <c r="F149" s="16"/>
      <c r="G149" s="15"/>
    </row>
    <row r="150">
      <c r="A150" s="20">
        <f>IF($B150="","","EMP-"&amp;TEXT(ROW()-5,"0000"))</f>
      </c>
      <c r="B150" s="15"/>
      <c r="C150" s="15"/>
      <c r="D150" s="17"/>
      <c r="E150" s="16"/>
      <c r="F150" s="16"/>
      <c r="G150" s="15"/>
    </row>
    <row r="151">
      <c r="A151" s="20">
        <f>IF($B151="","","EMP-"&amp;TEXT(ROW()-5,"0000"))</f>
      </c>
      <c r="B151" s="15"/>
      <c r="C151" s="15"/>
      <c r="D151" s="17"/>
      <c r="E151" s="16"/>
      <c r="F151" s="16"/>
      <c r="G151" s="15"/>
    </row>
    <row r="152">
      <c r="A152" s="20">
        <f>IF($B152="","","EMP-"&amp;TEXT(ROW()-5,"0000"))</f>
      </c>
      <c r="B152" s="15"/>
      <c r="C152" s="15"/>
      <c r="D152" s="17"/>
      <c r="E152" s="16"/>
      <c r="F152" s="16"/>
      <c r="G152" s="15"/>
    </row>
    <row r="153">
      <c r="A153" s="20">
        <f>IF($B153="","","EMP-"&amp;TEXT(ROW()-5,"0000"))</f>
      </c>
      <c r="B153" s="15"/>
      <c r="C153" s="15"/>
      <c r="D153" s="17"/>
      <c r="E153" s="16"/>
      <c r="F153" s="16"/>
      <c r="G153" s="15"/>
    </row>
    <row r="154">
      <c r="A154" s="20">
        <f>IF($B154="","","EMP-"&amp;TEXT(ROW()-5,"0000"))</f>
      </c>
      <c r="B154" s="15"/>
      <c r="C154" s="15"/>
      <c r="D154" s="17"/>
      <c r="E154" s="16"/>
      <c r="F154" s="16"/>
      <c r="G154" s="15"/>
    </row>
    <row r="155">
      <c r="A155" s="20">
        <f>IF($B155="","","EMP-"&amp;TEXT(ROW()-5,"0000"))</f>
      </c>
      <c r="B155" s="15"/>
      <c r="C155" s="15"/>
      <c r="D155" s="17"/>
      <c r="E155" s="16"/>
      <c r="F155" s="16"/>
      <c r="G155" s="15"/>
    </row>
    <row r="156">
      <c r="A156" s="20">
        <f>IF($B156="","","EMP-"&amp;TEXT(ROW()-5,"0000"))</f>
      </c>
      <c r="B156" s="15"/>
      <c r="C156" s="15"/>
      <c r="D156" s="17"/>
      <c r="E156" s="16"/>
      <c r="F156" s="16"/>
      <c r="G156" s="15"/>
    </row>
    <row r="157">
      <c r="A157" s="20">
        <f>IF($B157="","","EMP-"&amp;TEXT(ROW()-5,"0000"))</f>
      </c>
      <c r="B157" s="15"/>
      <c r="C157" s="15"/>
      <c r="D157" s="17"/>
      <c r="E157" s="16"/>
      <c r="F157" s="16"/>
      <c r="G157" s="15"/>
    </row>
    <row r="158">
      <c r="A158" s="20">
        <f>IF($B158="","","EMP-"&amp;TEXT(ROW()-5,"0000"))</f>
      </c>
      <c r="B158" s="15"/>
      <c r="C158" s="15"/>
      <c r="D158" s="17"/>
      <c r="E158" s="16"/>
      <c r="F158" s="16"/>
      <c r="G158" s="15"/>
    </row>
    <row r="159">
      <c r="A159" s="20">
        <f>IF($B159="","","EMP-"&amp;TEXT(ROW()-5,"0000"))</f>
      </c>
      <c r="B159" s="15"/>
      <c r="C159" s="15"/>
      <c r="D159" s="17"/>
      <c r="E159" s="16"/>
      <c r="F159" s="16"/>
      <c r="G159" s="15"/>
    </row>
    <row r="160">
      <c r="A160" s="20">
        <f>IF($B160="","","EMP-"&amp;TEXT(ROW()-5,"0000"))</f>
      </c>
      <c r="B160" s="15"/>
      <c r="C160" s="15"/>
      <c r="D160" s="17"/>
      <c r="E160" s="16"/>
      <c r="F160" s="16"/>
      <c r="G160" s="15"/>
    </row>
    <row r="161">
      <c r="A161" s="20">
        <f>IF($B161="","","EMP-"&amp;TEXT(ROW()-5,"0000"))</f>
      </c>
      <c r="B161" s="15"/>
      <c r="C161" s="15"/>
      <c r="D161" s="17"/>
      <c r="E161" s="16"/>
      <c r="F161" s="16"/>
      <c r="G161" s="15"/>
    </row>
    <row r="162">
      <c r="A162" s="20">
        <f>IF($B162="","","EMP-"&amp;TEXT(ROW()-5,"0000"))</f>
      </c>
      <c r="B162" s="15"/>
      <c r="C162" s="15"/>
      <c r="D162" s="17"/>
      <c r="E162" s="16"/>
      <c r="F162" s="16"/>
      <c r="G162" s="15"/>
    </row>
    <row r="163">
      <c r="A163" s="20">
        <f>IF($B163="","","EMP-"&amp;TEXT(ROW()-5,"0000"))</f>
      </c>
      <c r="B163" s="15"/>
      <c r="C163" s="15"/>
      <c r="D163" s="17"/>
      <c r="E163" s="16"/>
      <c r="F163" s="16"/>
      <c r="G163" s="15"/>
    </row>
    <row r="164">
      <c r="A164" s="20">
        <f>IF($B164="","","EMP-"&amp;TEXT(ROW()-5,"0000"))</f>
      </c>
      <c r="B164" s="15"/>
      <c r="C164" s="15"/>
      <c r="D164" s="17"/>
      <c r="E164" s="16"/>
      <c r="F164" s="16"/>
      <c r="G164" s="15"/>
    </row>
    <row r="165">
      <c r="A165" s="20">
        <f>IF($B165="","","EMP-"&amp;TEXT(ROW()-5,"0000"))</f>
      </c>
      <c r="B165" s="15"/>
      <c r="C165" s="15"/>
      <c r="D165" s="17"/>
      <c r="E165" s="16"/>
      <c r="F165" s="16"/>
      <c r="G165" s="15"/>
    </row>
    <row r="166">
      <c r="A166" s="20">
        <f>IF($B166="","","EMP-"&amp;TEXT(ROW()-5,"0000"))</f>
      </c>
      <c r="B166" s="15"/>
      <c r="C166" s="15"/>
      <c r="D166" s="17"/>
      <c r="E166" s="16"/>
      <c r="F166" s="16"/>
      <c r="G166" s="15"/>
    </row>
    <row r="167">
      <c r="A167" s="20">
        <f>IF($B167="","","EMP-"&amp;TEXT(ROW()-5,"0000"))</f>
      </c>
      <c r="B167" s="15"/>
      <c r="C167" s="15"/>
      <c r="D167" s="17"/>
      <c r="E167" s="16"/>
      <c r="F167" s="16"/>
      <c r="G167" s="15"/>
    </row>
    <row r="168">
      <c r="A168" s="20">
        <f>IF($B168="","","EMP-"&amp;TEXT(ROW()-5,"0000"))</f>
      </c>
      <c r="B168" s="15"/>
      <c r="C168" s="15"/>
      <c r="D168" s="17"/>
      <c r="E168" s="16"/>
      <c r="F168" s="16"/>
      <c r="G168" s="15"/>
    </row>
    <row r="169">
      <c r="A169" s="20">
        <f>IF($B169="","","EMP-"&amp;TEXT(ROW()-5,"0000"))</f>
      </c>
      <c r="B169" s="15"/>
      <c r="C169" s="15"/>
      <c r="D169" s="17"/>
      <c r="E169" s="16"/>
      <c r="F169" s="16"/>
      <c r="G169" s="15"/>
    </row>
    <row r="170">
      <c r="A170" s="20">
        <f>IF($B170="","","EMP-"&amp;TEXT(ROW()-5,"0000"))</f>
      </c>
      <c r="B170" s="15"/>
      <c r="C170" s="15"/>
      <c r="D170" s="17"/>
      <c r="E170" s="16"/>
      <c r="F170" s="16"/>
      <c r="G170" s="15"/>
    </row>
    <row r="171">
      <c r="A171" s="20">
        <f>IF($B171="","","EMP-"&amp;TEXT(ROW()-5,"0000"))</f>
      </c>
      <c r="B171" s="15"/>
      <c r="C171" s="15"/>
      <c r="D171" s="17"/>
      <c r="E171" s="16"/>
      <c r="F171" s="16"/>
      <c r="G171" s="15"/>
    </row>
    <row r="172">
      <c r="A172" s="20">
        <f>IF($B172="","","EMP-"&amp;TEXT(ROW()-5,"0000"))</f>
      </c>
      <c r="B172" s="15"/>
      <c r="C172" s="15"/>
      <c r="D172" s="17"/>
      <c r="E172" s="16"/>
      <c r="F172" s="16"/>
      <c r="G172" s="15"/>
    </row>
    <row r="173">
      <c r="A173" s="20">
        <f>IF($B173="","","EMP-"&amp;TEXT(ROW()-5,"0000"))</f>
      </c>
      <c r="B173" s="15"/>
      <c r="C173" s="15"/>
      <c r="D173" s="17"/>
      <c r="E173" s="16"/>
      <c r="F173" s="16"/>
      <c r="G173" s="15"/>
    </row>
    <row r="174">
      <c r="A174" s="20">
        <f>IF($B174="","","EMP-"&amp;TEXT(ROW()-5,"0000"))</f>
      </c>
      <c r="B174" s="15"/>
      <c r="C174" s="15"/>
      <c r="D174" s="17"/>
      <c r="E174" s="16"/>
      <c r="F174" s="16"/>
      <c r="G174" s="15"/>
    </row>
    <row r="175">
      <c r="A175" s="20">
        <f>IF($B175="","","EMP-"&amp;TEXT(ROW()-5,"0000"))</f>
      </c>
      <c r="B175" s="15"/>
      <c r="C175" s="15"/>
      <c r="D175" s="17"/>
      <c r="E175" s="16"/>
      <c r="F175" s="16"/>
      <c r="G175" s="15"/>
    </row>
    <row r="176">
      <c r="A176" s="20">
        <f>IF($B176="","","EMP-"&amp;TEXT(ROW()-5,"0000"))</f>
      </c>
      <c r="B176" s="15"/>
      <c r="C176" s="15"/>
      <c r="D176" s="17"/>
      <c r="E176" s="16"/>
      <c r="F176" s="16"/>
      <c r="G176" s="15"/>
    </row>
    <row r="177">
      <c r="A177" s="20">
        <f>IF($B177="","","EMP-"&amp;TEXT(ROW()-5,"0000"))</f>
      </c>
      <c r="B177" s="15"/>
      <c r="C177" s="15"/>
      <c r="D177" s="17"/>
      <c r="E177" s="16"/>
      <c r="F177" s="16"/>
      <c r="G177" s="15"/>
    </row>
    <row r="178">
      <c r="A178" s="20">
        <f>IF($B178="","","EMP-"&amp;TEXT(ROW()-5,"0000"))</f>
      </c>
      <c r="B178" s="15"/>
      <c r="C178" s="15"/>
      <c r="D178" s="17"/>
      <c r="E178" s="16"/>
      <c r="F178" s="16"/>
      <c r="G178" s="15"/>
    </row>
    <row r="179">
      <c r="A179" s="20">
        <f>IF($B179="","","EMP-"&amp;TEXT(ROW()-5,"0000"))</f>
      </c>
      <c r="B179" s="15"/>
      <c r="C179" s="15"/>
      <c r="D179" s="17"/>
      <c r="E179" s="16"/>
      <c r="F179" s="16"/>
      <c r="G179" s="15"/>
    </row>
    <row r="180">
      <c r="A180" s="20">
        <f>IF($B180="","","EMP-"&amp;TEXT(ROW()-5,"0000"))</f>
      </c>
      <c r="B180" s="15"/>
      <c r="C180" s="15"/>
      <c r="D180" s="17"/>
      <c r="E180" s="16"/>
      <c r="F180" s="16"/>
      <c r="G180" s="15"/>
    </row>
    <row r="181">
      <c r="A181" s="20">
        <f>IF($B181="","","EMP-"&amp;TEXT(ROW()-5,"0000"))</f>
      </c>
      <c r="B181" s="15"/>
      <c r="C181" s="15"/>
      <c r="D181" s="17"/>
      <c r="E181" s="16"/>
      <c r="F181" s="16"/>
      <c r="G181" s="15"/>
    </row>
    <row r="182">
      <c r="A182" s="20">
        <f>IF($B182="","","EMP-"&amp;TEXT(ROW()-5,"0000"))</f>
      </c>
      <c r="B182" s="15"/>
      <c r="C182" s="15"/>
      <c r="D182" s="17"/>
      <c r="E182" s="16"/>
      <c r="F182" s="16"/>
      <c r="G182" s="15"/>
    </row>
    <row r="183">
      <c r="A183" s="20">
        <f>IF($B183="","","EMP-"&amp;TEXT(ROW()-5,"0000"))</f>
      </c>
      <c r="B183" s="15"/>
      <c r="C183" s="15"/>
      <c r="D183" s="17"/>
      <c r="E183" s="16"/>
      <c r="F183" s="16"/>
      <c r="G183" s="15"/>
    </row>
    <row r="184">
      <c r="A184" s="20">
        <f>IF($B184="","","EMP-"&amp;TEXT(ROW()-5,"0000"))</f>
      </c>
      <c r="B184" s="15"/>
      <c r="C184" s="15"/>
      <c r="D184" s="17"/>
      <c r="E184" s="16"/>
      <c r="F184" s="16"/>
      <c r="G184" s="15"/>
    </row>
    <row r="185">
      <c r="A185" s="20">
        <f>IF($B185="","","EMP-"&amp;TEXT(ROW()-5,"0000"))</f>
      </c>
      <c r="B185" s="15"/>
      <c r="C185" s="15"/>
      <c r="D185" s="17"/>
      <c r="E185" s="16"/>
      <c r="F185" s="16"/>
      <c r="G185" s="15"/>
    </row>
    <row r="186">
      <c r="A186" s="20">
        <f>IF($B186="","","EMP-"&amp;TEXT(ROW()-5,"0000"))</f>
      </c>
      <c r="B186" s="15"/>
      <c r="C186" s="15"/>
      <c r="D186" s="17"/>
      <c r="E186" s="16"/>
      <c r="F186" s="16"/>
      <c r="G186" s="15"/>
    </row>
    <row r="187">
      <c r="A187" s="20">
        <f>IF($B187="","","EMP-"&amp;TEXT(ROW()-5,"0000"))</f>
      </c>
      <c r="B187" s="15"/>
      <c r="C187" s="15"/>
      <c r="D187" s="17"/>
      <c r="E187" s="16"/>
      <c r="F187" s="16"/>
      <c r="G187" s="15"/>
    </row>
    <row r="188">
      <c r="A188" s="20">
        <f>IF($B188="","","EMP-"&amp;TEXT(ROW()-5,"0000"))</f>
      </c>
      <c r="B188" s="15"/>
      <c r="C188" s="15"/>
      <c r="D188" s="17"/>
      <c r="E188" s="16"/>
      <c r="F188" s="16"/>
      <c r="G188" s="15"/>
    </row>
    <row r="189">
      <c r="A189" s="20">
        <f>IF($B189="","","EMP-"&amp;TEXT(ROW()-5,"0000"))</f>
      </c>
      <c r="B189" s="15"/>
      <c r="C189" s="15"/>
      <c r="D189" s="17"/>
      <c r="E189" s="16"/>
      <c r="F189" s="16"/>
      <c r="G189" s="15"/>
    </row>
    <row r="190">
      <c r="A190" s="20">
        <f>IF($B190="","","EMP-"&amp;TEXT(ROW()-5,"0000"))</f>
      </c>
      <c r="B190" s="15"/>
      <c r="C190" s="15"/>
      <c r="D190" s="17"/>
      <c r="E190" s="16"/>
      <c r="F190" s="16"/>
      <c r="G190" s="15"/>
    </row>
    <row r="191">
      <c r="A191" s="20">
        <f>IF($B191="","","EMP-"&amp;TEXT(ROW()-5,"0000"))</f>
      </c>
      <c r="B191" s="15"/>
      <c r="C191" s="15"/>
      <c r="D191" s="17"/>
      <c r="E191" s="16"/>
      <c r="F191" s="16"/>
      <c r="G191" s="15"/>
    </row>
    <row r="192">
      <c r="A192" s="20">
        <f>IF($B192="","","EMP-"&amp;TEXT(ROW()-5,"0000"))</f>
      </c>
      <c r="B192" s="15"/>
      <c r="C192" s="15"/>
      <c r="D192" s="17"/>
      <c r="E192" s="16"/>
      <c r="F192" s="16"/>
      <c r="G192" s="15"/>
    </row>
    <row r="193">
      <c r="A193" s="20">
        <f>IF($B193="","","EMP-"&amp;TEXT(ROW()-5,"0000"))</f>
      </c>
      <c r="B193" s="15"/>
      <c r="C193" s="15"/>
      <c r="D193" s="17"/>
      <c r="E193" s="16"/>
      <c r="F193" s="16"/>
      <c r="G193" s="15"/>
    </row>
    <row r="194">
      <c r="A194" s="20">
        <f>IF($B194="","","EMP-"&amp;TEXT(ROW()-5,"0000"))</f>
      </c>
      <c r="B194" s="15"/>
      <c r="C194" s="15"/>
      <c r="D194" s="17"/>
      <c r="E194" s="16"/>
      <c r="F194" s="16"/>
      <c r="G194" s="15"/>
    </row>
    <row r="195">
      <c r="A195" s="20">
        <f>IF($B195="","","EMP-"&amp;TEXT(ROW()-5,"0000"))</f>
      </c>
      <c r="B195" s="15"/>
      <c r="C195" s="15"/>
      <c r="D195" s="17"/>
      <c r="E195" s="16"/>
      <c r="F195" s="16"/>
      <c r="G195" s="15"/>
    </row>
    <row r="196">
      <c r="A196" s="20">
        <f>IF($B196="","","EMP-"&amp;TEXT(ROW()-5,"0000"))</f>
      </c>
      <c r="B196" s="15"/>
      <c r="C196" s="15"/>
      <c r="D196" s="17"/>
      <c r="E196" s="16"/>
      <c r="F196" s="16"/>
      <c r="G196" s="15"/>
    </row>
    <row r="197">
      <c r="A197" s="20">
        <f>IF($B197="","","EMP-"&amp;TEXT(ROW()-5,"0000"))</f>
      </c>
      <c r="B197" s="15"/>
      <c r="C197" s="15"/>
      <c r="D197" s="17"/>
      <c r="E197" s="16"/>
      <c r="F197" s="16"/>
      <c r="G197" s="15"/>
    </row>
    <row r="198">
      <c r="A198" s="20">
        <f>IF($B198="","","EMP-"&amp;TEXT(ROW()-5,"0000"))</f>
      </c>
      <c r="B198" s="15"/>
      <c r="C198" s="15"/>
      <c r="D198" s="17"/>
      <c r="E198" s="16"/>
      <c r="F198" s="16"/>
      <c r="G198" s="15"/>
    </row>
    <row r="199">
      <c r="A199" s="20">
        <f>IF($B199="","","EMP-"&amp;TEXT(ROW()-5,"0000"))</f>
      </c>
      <c r="B199" s="15"/>
      <c r="C199" s="15"/>
      <c r="D199" s="17"/>
      <c r="E199" s="16"/>
      <c r="F199" s="16"/>
      <c r="G199" s="15"/>
    </row>
    <row r="200">
      <c r="A200" s="20">
        <f>IF($B200="","","EMP-"&amp;TEXT(ROW()-5,"0000"))</f>
      </c>
      <c r="B200" s="15"/>
      <c r="C200" s="15"/>
      <c r="D200" s="17"/>
      <c r="E200" s="16"/>
      <c r="F200" s="16"/>
      <c r="G200" s="15"/>
    </row>
    <row r="201">
      <c r="A201" s="20">
        <f>IF($B201="","","EMP-"&amp;TEXT(ROW()-5,"0000"))</f>
      </c>
      <c r="B201" s="15"/>
      <c r="C201" s="15"/>
      <c r="D201" s="17"/>
      <c r="E201" s="16"/>
      <c r="F201" s="16"/>
      <c r="G201" s="15"/>
    </row>
    <row r="202">
      <c r="A202" s="20">
        <f>IF($B202="","","EMP-"&amp;TEXT(ROW()-5,"0000"))</f>
      </c>
      <c r="B202" s="15"/>
      <c r="C202" s="15"/>
      <c r="D202" s="17"/>
      <c r="E202" s="16"/>
      <c r="F202" s="16"/>
      <c r="G202" s="15"/>
    </row>
    <row r="203">
      <c r="A203" s="20">
        <f>IF($B203="","","EMP-"&amp;TEXT(ROW()-5,"0000"))</f>
      </c>
      <c r="B203" s="15"/>
      <c r="C203" s="15"/>
      <c r="D203" s="17"/>
      <c r="E203" s="16"/>
      <c r="F203" s="16"/>
      <c r="G203" s="15"/>
    </row>
    <row r="204">
      <c r="A204" s="20">
        <f>IF($B204="","","EMP-"&amp;TEXT(ROW()-5,"0000"))</f>
      </c>
      <c r="B204" s="15"/>
      <c r="C204" s="15"/>
      <c r="D204" s="17"/>
      <c r="E204" s="16"/>
      <c r="F204" s="16"/>
      <c r="G204" s="15"/>
    </row>
    <row r="205">
      <c r="A205" s="20">
        <f>IF($B205="","","EMP-"&amp;TEXT(ROW()-5,"0000"))</f>
      </c>
      <c r="B205" s="15"/>
      <c r="C205" s="15"/>
      <c r="D205" s="17"/>
      <c r="E205" s="16"/>
      <c r="F205" s="16"/>
      <c r="G205" s="15"/>
    </row>
    <row r="206">
      <c r="A206" s="20">
        <f>IF($B206="","","EMP-"&amp;TEXT(ROW()-5,"0000"))</f>
      </c>
      <c r="B206" s="15"/>
      <c r="C206" s="15"/>
      <c r="D206" s="17"/>
      <c r="E206" s="16"/>
      <c r="F206" s="16"/>
      <c r="G206" s="15"/>
    </row>
    <row r="207">
      <c r="A207" s="20">
        <f>IF($B207="","","EMP-"&amp;TEXT(ROW()-5,"0000"))</f>
      </c>
      <c r="B207" s="15"/>
      <c r="C207" s="15"/>
      <c r="D207" s="17"/>
      <c r="E207" s="16"/>
      <c r="F207" s="16"/>
      <c r="G207" s="15"/>
    </row>
    <row r="208">
      <c r="A208" s="20">
        <f>IF($B208="","","EMP-"&amp;TEXT(ROW()-5,"0000"))</f>
      </c>
      <c r="B208" s="15"/>
      <c r="C208" s="15"/>
      <c r="D208" s="17"/>
      <c r="E208" s="16"/>
      <c r="F208" s="16"/>
      <c r="G208" s="15"/>
    </row>
    <row r="209">
      <c r="A209" s="20">
        <f>IF($B209="","","EMP-"&amp;TEXT(ROW()-5,"0000"))</f>
      </c>
      <c r="B209" s="15"/>
      <c r="C209" s="15"/>
      <c r="D209" s="17"/>
      <c r="E209" s="16"/>
      <c r="F209" s="16"/>
      <c r="G209" s="15"/>
    </row>
    <row r="210">
      <c r="A210" s="20">
        <f>IF($B210="","","EMP-"&amp;TEXT(ROW()-5,"0000"))</f>
      </c>
      <c r="B210" s="15"/>
      <c r="C210" s="15"/>
      <c r="D210" s="17"/>
      <c r="E210" s="16"/>
      <c r="F210" s="16"/>
      <c r="G210" s="15"/>
    </row>
    <row r="211">
      <c r="A211" s="20">
        <f>IF($B211="","","EMP-"&amp;TEXT(ROW()-5,"0000"))</f>
      </c>
      <c r="B211" s="15"/>
      <c r="C211" s="15"/>
      <c r="D211" s="17"/>
      <c r="E211" s="16"/>
      <c r="F211" s="16"/>
      <c r="G211" s="15"/>
    </row>
    <row r="212">
      <c r="A212" s="20">
        <f>IF($B212="","","EMP-"&amp;TEXT(ROW()-5,"0000"))</f>
      </c>
      <c r="B212" s="15"/>
      <c r="C212" s="15"/>
      <c r="D212" s="17"/>
      <c r="E212" s="16"/>
      <c r="F212" s="16"/>
      <c r="G212" s="15"/>
    </row>
    <row r="213">
      <c r="A213" s="20">
        <f>IF($B213="","","EMP-"&amp;TEXT(ROW()-5,"0000"))</f>
      </c>
      <c r="B213" s="15"/>
      <c r="C213" s="15"/>
      <c r="D213" s="17"/>
      <c r="E213" s="16"/>
      <c r="F213" s="16"/>
      <c r="G213" s="15"/>
    </row>
    <row r="214">
      <c r="A214" s="20">
        <f>IF($B214="","","EMP-"&amp;TEXT(ROW()-5,"0000"))</f>
      </c>
      <c r="B214" s="15"/>
      <c r="C214" s="15"/>
      <c r="D214" s="17"/>
      <c r="E214" s="16"/>
      <c r="F214" s="16"/>
      <c r="G214" s="15"/>
    </row>
    <row r="215">
      <c r="A215" s="20">
        <f>IF($B215="","","EMP-"&amp;TEXT(ROW()-5,"0000"))</f>
      </c>
      <c r="B215" s="15"/>
      <c r="C215" s="15"/>
      <c r="D215" s="17"/>
      <c r="E215" s="16"/>
      <c r="F215" s="16"/>
      <c r="G215" s="15"/>
    </row>
    <row r="216">
      <c r="A216" s="20">
        <f>IF($B216="","","EMP-"&amp;TEXT(ROW()-5,"0000"))</f>
      </c>
      <c r="B216" s="15"/>
      <c r="C216" s="15"/>
      <c r="D216" s="17"/>
      <c r="E216" s="16"/>
      <c r="F216" s="16"/>
      <c r="G216" s="15"/>
    </row>
    <row r="217">
      <c r="A217" s="20">
        <f>IF($B217="","","EMP-"&amp;TEXT(ROW()-5,"0000"))</f>
      </c>
      <c r="B217" s="15"/>
      <c r="C217" s="15"/>
      <c r="D217" s="17"/>
      <c r="E217" s="16"/>
      <c r="F217" s="16"/>
      <c r="G217" s="15"/>
    </row>
    <row r="218">
      <c r="A218" s="20">
        <f>IF($B218="","","EMP-"&amp;TEXT(ROW()-5,"0000"))</f>
      </c>
      <c r="B218" s="15"/>
      <c r="C218" s="15"/>
      <c r="D218" s="17"/>
      <c r="E218" s="16"/>
      <c r="F218" s="16"/>
      <c r="G218" s="15"/>
    </row>
    <row r="219">
      <c r="A219" s="20">
        <f>IF($B219="","","EMP-"&amp;TEXT(ROW()-5,"0000"))</f>
      </c>
      <c r="B219" s="15"/>
      <c r="C219" s="15"/>
      <c r="D219" s="17"/>
      <c r="E219" s="16"/>
      <c r="F219" s="16"/>
      <c r="G219" s="15"/>
    </row>
    <row r="220">
      <c r="A220" s="20">
        <f>IF($B220="","","EMP-"&amp;TEXT(ROW()-5,"0000"))</f>
      </c>
      <c r="B220" s="15"/>
      <c r="C220" s="15"/>
      <c r="D220" s="17"/>
      <c r="E220" s="16"/>
      <c r="F220" s="16"/>
      <c r="G220" s="15"/>
    </row>
    <row r="221">
      <c r="A221" s="20">
        <f>IF($B221="","","EMP-"&amp;TEXT(ROW()-5,"0000"))</f>
      </c>
      <c r="B221" s="15"/>
      <c r="C221" s="15"/>
      <c r="D221" s="17"/>
      <c r="E221" s="16"/>
      <c r="F221" s="16"/>
      <c r="G221" s="15"/>
    </row>
    <row r="222">
      <c r="A222" s="20">
        <f>IF($B222="","","EMP-"&amp;TEXT(ROW()-5,"0000"))</f>
      </c>
      <c r="B222" s="15"/>
      <c r="C222" s="15"/>
      <c r="D222" s="17"/>
      <c r="E222" s="16"/>
      <c r="F222" s="16"/>
      <c r="G222" s="15"/>
    </row>
    <row r="223">
      <c r="A223" s="20">
        <f>IF($B223="","","EMP-"&amp;TEXT(ROW()-5,"0000"))</f>
      </c>
      <c r="B223" s="15"/>
      <c r="C223" s="15"/>
      <c r="D223" s="17"/>
      <c r="E223" s="16"/>
      <c r="F223" s="16"/>
      <c r="G223" s="15"/>
    </row>
    <row r="224">
      <c r="A224" s="20">
        <f>IF($B224="","","EMP-"&amp;TEXT(ROW()-5,"0000"))</f>
      </c>
      <c r="B224" s="15"/>
      <c r="C224" s="15"/>
      <c r="D224" s="17"/>
      <c r="E224" s="16"/>
      <c r="F224" s="16"/>
      <c r="G224" s="15"/>
    </row>
    <row r="225">
      <c r="A225" s="20">
        <f>IF($B225="","","EMP-"&amp;TEXT(ROW()-5,"0000"))</f>
      </c>
      <c r="B225" s="15"/>
      <c r="C225" s="15"/>
      <c r="D225" s="17"/>
      <c r="E225" s="16"/>
      <c r="F225" s="16"/>
      <c r="G225" s="15"/>
    </row>
    <row r="226">
      <c r="A226" s="20">
        <f>IF($B226="","","EMP-"&amp;TEXT(ROW()-5,"0000"))</f>
      </c>
      <c r="B226" s="15"/>
      <c r="C226" s="15"/>
      <c r="D226" s="17"/>
      <c r="E226" s="16"/>
      <c r="F226" s="16"/>
      <c r="G226" s="15"/>
    </row>
    <row r="227">
      <c r="A227" s="20">
        <f>IF($B227="","","EMP-"&amp;TEXT(ROW()-5,"0000"))</f>
      </c>
      <c r="B227" s="15"/>
      <c r="C227" s="15"/>
      <c r="D227" s="17"/>
      <c r="E227" s="16"/>
      <c r="F227" s="16"/>
      <c r="G227" s="15"/>
    </row>
    <row r="228">
      <c r="A228" s="20">
        <f>IF($B228="","","EMP-"&amp;TEXT(ROW()-5,"0000"))</f>
      </c>
      <c r="B228" s="15"/>
      <c r="C228" s="15"/>
      <c r="D228" s="17"/>
      <c r="E228" s="16"/>
      <c r="F228" s="16"/>
      <c r="G228" s="15"/>
    </row>
    <row r="229">
      <c r="A229" s="20">
        <f>IF($B229="","","EMP-"&amp;TEXT(ROW()-5,"0000"))</f>
      </c>
      <c r="B229" s="15"/>
      <c r="C229" s="15"/>
      <c r="D229" s="17"/>
      <c r="E229" s="16"/>
      <c r="F229" s="16"/>
      <c r="G229" s="15"/>
    </row>
    <row r="230">
      <c r="A230" s="20">
        <f>IF($B230="","","EMP-"&amp;TEXT(ROW()-5,"0000"))</f>
      </c>
      <c r="B230" s="15"/>
      <c r="C230" s="15"/>
      <c r="D230" s="17"/>
      <c r="E230" s="16"/>
      <c r="F230" s="16"/>
      <c r="G230" s="15"/>
    </row>
    <row r="231">
      <c r="A231" s="20">
        <f>IF($B231="","","EMP-"&amp;TEXT(ROW()-5,"0000"))</f>
      </c>
      <c r="B231" s="15"/>
      <c r="C231" s="15"/>
      <c r="D231" s="17"/>
      <c r="E231" s="16"/>
      <c r="F231" s="16"/>
      <c r="G231" s="15"/>
    </row>
    <row r="232">
      <c r="A232" s="20">
        <f>IF($B232="","","EMP-"&amp;TEXT(ROW()-5,"0000"))</f>
      </c>
      <c r="B232" s="15"/>
      <c r="C232" s="15"/>
      <c r="D232" s="17"/>
      <c r="E232" s="16"/>
      <c r="F232" s="16"/>
      <c r="G232" s="15"/>
    </row>
    <row r="233">
      <c r="A233" s="20">
        <f>IF($B233="","","EMP-"&amp;TEXT(ROW()-5,"0000"))</f>
      </c>
      <c r="B233" s="15"/>
      <c r="C233" s="15"/>
      <c r="D233" s="17"/>
      <c r="E233" s="16"/>
      <c r="F233" s="16"/>
      <c r="G233" s="15"/>
    </row>
    <row r="234">
      <c r="A234" s="20">
        <f>IF($B234="","","EMP-"&amp;TEXT(ROW()-5,"0000"))</f>
      </c>
      <c r="B234" s="15"/>
      <c r="C234" s="15"/>
      <c r="D234" s="17"/>
      <c r="E234" s="16"/>
      <c r="F234" s="16"/>
      <c r="G234" s="15"/>
    </row>
    <row r="235">
      <c r="A235" s="20">
        <f>IF($B235="","","EMP-"&amp;TEXT(ROW()-5,"0000"))</f>
      </c>
      <c r="B235" s="15"/>
      <c r="C235" s="15"/>
      <c r="D235" s="17"/>
      <c r="E235" s="16"/>
      <c r="F235" s="16"/>
      <c r="G235" s="15"/>
    </row>
    <row r="236">
      <c r="A236" s="20">
        <f>IF($B236="","","EMP-"&amp;TEXT(ROW()-5,"0000"))</f>
      </c>
      <c r="B236" s="15"/>
      <c r="C236" s="15"/>
      <c r="D236" s="17"/>
      <c r="E236" s="16"/>
      <c r="F236" s="16"/>
      <c r="G236" s="15"/>
    </row>
    <row r="237">
      <c r="A237" s="20">
        <f>IF($B237="","","EMP-"&amp;TEXT(ROW()-5,"0000"))</f>
      </c>
      <c r="B237" s="15"/>
      <c r="C237" s="15"/>
      <c r="D237" s="17"/>
      <c r="E237" s="16"/>
      <c r="F237" s="16"/>
      <c r="G237" s="15"/>
    </row>
    <row r="238">
      <c r="A238" s="20">
        <f>IF($B238="","","EMP-"&amp;TEXT(ROW()-5,"0000"))</f>
      </c>
      <c r="B238" s="15"/>
      <c r="C238" s="15"/>
      <c r="D238" s="17"/>
      <c r="E238" s="16"/>
      <c r="F238" s="16"/>
      <c r="G238" s="15"/>
    </row>
    <row r="239">
      <c r="A239" s="20">
        <f>IF($B239="","","EMP-"&amp;TEXT(ROW()-5,"0000"))</f>
      </c>
      <c r="B239" s="15"/>
      <c r="C239" s="15"/>
      <c r="D239" s="17"/>
      <c r="E239" s="16"/>
      <c r="F239" s="16"/>
      <c r="G239" s="15"/>
    </row>
    <row r="240">
      <c r="A240" s="20">
        <f>IF($B240="","","EMP-"&amp;TEXT(ROW()-5,"0000"))</f>
      </c>
      <c r="B240" s="15"/>
      <c r="C240" s="15"/>
      <c r="D240" s="17"/>
      <c r="E240" s="16"/>
      <c r="F240" s="16"/>
      <c r="G240" s="15"/>
    </row>
    <row r="241">
      <c r="A241" s="20">
        <f>IF($B241="","","EMP-"&amp;TEXT(ROW()-5,"0000"))</f>
      </c>
      <c r="B241" s="15"/>
      <c r="C241" s="15"/>
      <c r="D241" s="17"/>
      <c r="E241" s="16"/>
      <c r="F241" s="16"/>
      <c r="G241" s="15"/>
    </row>
    <row r="242">
      <c r="A242" s="20">
        <f>IF($B242="","","EMP-"&amp;TEXT(ROW()-5,"0000"))</f>
      </c>
      <c r="B242" s="15"/>
      <c r="C242" s="15"/>
      <c r="D242" s="17"/>
      <c r="E242" s="16"/>
      <c r="F242" s="16"/>
      <c r="G242" s="15"/>
    </row>
    <row r="243">
      <c r="A243" s="20">
        <f>IF($B243="","","EMP-"&amp;TEXT(ROW()-5,"0000"))</f>
      </c>
      <c r="B243" s="15"/>
      <c r="C243" s="15"/>
      <c r="D243" s="17"/>
      <c r="E243" s="16"/>
      <c r="F243" s="16"/>
      <c r="G243" s="15"/>
    </row>
    <row r="244">
      <c r="A244" s="20">
        <f>IF($B244="","","EMP-"&amp;TEXT(ROW()-5,"0000"))</f>
      </c>
      <c r="B244" s="15"/>
      <c r="C244" s="15"/>
      <c r="D244" s="17"/>
      <c r="E244" s="16"/>
      <c r="F244" s="16"/>
      <c r="G244" s="15"/>
    </row>
    <row r="245">
      <c r="A245" s="20">
        <f>IF($B245="","","EMP-"&amp;TEXT(ROW()-5,"0000"))</f>
      </c>
      <c r="B245" s="15"/>
      <c r="C245" s="15"/>
      <c r="D245" s="17"/>
      <c r="E245" s="16"/>
      <c r="F245" s="16"/>
      <c r="G245" s="15"/>
    </row>
    <row r="246">
      <c r="A246" s="20">
        <f>IF($B246="","","EMP-"&amp;TEXT(ROW()-5,"0000"))</f>
      </c>
      <c r="B246" s="15"/>
      <c r="C246" s="15"/>
      <c r="D246" s="17"/>
      <c r="E246" s="16"/>
      <c r="F246" s="16"/>
      <c r="G246" s="15"/>
    </row>
    <row r="247">
      <c r="A247" s="20">
        <f>IF($B247="","","EMP-"&amp;TEXT(ROW()-5,"0000"))</f>
      </c>
      <c r="B247" s="15"/>
      <c r="C247" s="15"/>
      <c r="D247" s="17"/>
      <c r="E247" s="16"/>
      <c r="F247" s="16"/>
      <c r="G247" s="15"/>
    </row>
    <row r="248">
      <c r="A248" s="20">
        <f>IF($B248="","","EMP-"&amp;TEXT(ROW()-5,"0000"))</f>
      </c>
      <c r="B248" s="15"/>
      <c r="C248" s="15"/>
      <c r="D248" s="17"/>
      <c r="E248" s="16"/>
      <c r="F248" s="16"/>
      <c r="G248" s="15"/>
    </row>
    <row r="249">
      <c r="A249" s="20">
        <f>IF($B249="","","EMP-"&amp;TEXT(ROW()-5,"0000"))</f>
      </c>
      <c r="B249" s="15"/>
      <c r="C249" s="15"/>
      <c r="D249" s="17"/>
      <c r="E249" s="16"/>
      <c r="F249" s="16"/>
      <c r="G249" s="15"/>
    </row>
    <row r="250">
      <c r="A250" s="20">
        <f>IF($B250="","","EMP-"&amp;TEXT(ROW()-5,"0000"))</f>
      </c>
      <c r="B250" s="15"/>
      <c r="C250" s="15"/>
      <c r="D250" s="17"/>
      <c r="E250" s="16"/>
      <c r="F250" s="16"/>
      <c r="G250" s="15"/>
    </row>
    <row r="251">
      <c r="A251" s="20">
        <f>IF($B251="","","EMP-"&amp;TEXT(ROW()-5,"0000"))</f>
      </c>
      <c r="B251" s="15"/>
      <c r="C251" s="15"/>
      <c r="D251" s="17"/>
      <c r="E251" s="16"/>
      <c r="F251" s="16"/>
      <c r="G251" s="15"/>
    </row>
    <row r="252">
      <c r="A252" s="20">
        <f>IF($B252="","","EMP-"&amp;TEXT(ROW()-5,"0000"))</f>
      </c>
      <c r="B252" s="15"/>
      <c r="C252" s="15"/>
      <c r="D252" s="17"/>
      <c r="E252" s="16"/>
      <c r="F252" s="16"/>
      <c r="G252" s="15"/>
    </row>
    <row r="253">
      <c r="A253" s="20">
        <f>IF($B253="","","EMP-"&amp;TEXT(ROW()-5,"0000"))</f>
      </c>
      <c r="B253" s="15"/>
      <c r="C253" s="15"/>
      <c r="D253" s="17"/>
      <c r="E253" s="16"/>
      <c r="F253" s="16"/>
      <c r="G253" s="15"/>
    </row>
    <row r="254">
      <c r="A254" s="20">
        <f>IF($B254="","","EMP-"&amp;TEXT(ROW()-5,"0000"))</f>
      </c>
      <c r="B254" s="15"/>
      <c r="C254" s="15"/>
      <c r="D254" s="17"/>
      <c r="E254" s="16"/>
      <c r="F254" s="16"/>
      <c r="G254" s="15"/>
    </row>
    <row r="255">
      <c r="A255" s="20">
        <f>IF($B255="","","EMP-"&amp;TEXT(ROW()-5,"0000"))</f>
      </c>
      <c r="B255" s="15"/>
      <c r="C255" s="15"/>
      <c r="D255" s="17"/>
      <c r="E255" s="16"/>
      <c r="F255" s="16"/>
      <c r="G255" s="15"/>
    </row>
    <row r="256">
      <c r="A256" s="20">
        <f>IF($B256="","","EMP-"&amp;TEXT(ROW()-5,"0000"))</f>
      </c>
      <c r="B256" s="15"/>
      <c r="C256" s="15"/>
      <c r="D256" s="17"/>
      <c r="E256" s="16"/>
      <c r="F256" s="16"/>
      <c r="G256" s="15"/>
    </row>
    <row r="257">
      <c r="A257" s="20">
        <f>IF($B257="","","EMP-"&amp;TEXT(ROW()-5,"0000"))</f>
      </c>
      <c r="B257" s="15"/>
      <c r="C257" s="15"/>
      <c r="D257" s="17"/>
      <c r="E257" s="16"/>
      <c r="F257" s="16"/>
      <c r="G257" s="15"/>
    </row>
    <row r="258">
      <c r="A258" s="20">
        <f>IF($B258="","","EMP-"&amp;TEXT(ROW()-5,"0000"))</f>
      </c>
      <c r="B258" s="15"/>
      <c r="C258" s="15"/>
      <c r="D258" s="17"/>
      <c r="E258" s="16"/>
      <c r="F258" s="16"/>
      <c r="G258" s="15"/>
    </row>
    <row r="259">
      <c r="A259" s="20">
        <f>IF($B259="","","EMP-"&amp;TEXT(ROW()-5,"0000"))</f>
      </c>
      <c r="B259" s="15"/>
      <c r="C259" s="15"/>
      <c r="D259" s="17"/>
      <c r="E259" s="16"/>
      <c r="F259" s="16"/>
      <c r="G259" s="15"/>
    </row>
    <row r="260">
      <c r="A260" s="20">
        <f>IF($B260="","","EMP-"&amp;TEXT(ROW()-5,"0000"))</f>
      </c>
      <c r="B260" s="15"/>
      <c r="C260" s="15"/>
      <c r="D260" s="17"/>
      <c r="E260" s="16"/>
      <c r="F260" s="16"/>
      <c r="G260" s="15"/>
    </row>
    <row r="261">
      <c r="A261" s="20">
        <f>IF($B261="","","EMP-"&amp;TEXT(ROW()-5,"0000"))</f>
      </c>
      <c r="B261" s="15"/>
      <c r="C261" s="15"/>
      <c r="D261" s="17"/>
      <c r="E261" s="16"/>
      <c r="F261" s="16"/>
      <c r="G261" s="15"/>
    </row>
    <row r="262">
      <c r="A262" s="20">
        <f>IF($B262="","","EMP-"&amp;TEXT(ROW()-5,"0000"))</f>
      </c>
      <c r="B262" s="15"/>
      <c r="C262" s="15"/>
      <c r="D262" s="17"/>
      <c r="E262" s="16"/>
      <c r="F262" s="16"/>
      <c r="G262" s="15"/>
    </row>
    <row r="263">
      <c r="A263" s="20">
        <f>IF($B263="","","EMP-"&amp;TEXT(ROW()-5,"0000"))</f>
      </c>
      <c r="B263" s="15"/>
      <c r="C263" s="15"/>
      <c r="D263" s="17"/>
      <c r="E263" s="16"/>
      <c r="F263" s="16"/>
      <c r="G263" s="15"/>
    </row>
    <row r="264">
      <c r="A264" s="20">
        <f>IF($B264="","","EMP-"&amp;TEXT(ROW()-5,"0000"))</f>
      </c>
      <c r="B264" s="15"/>
      <c r="C264" s="15"/>
      <c r="D264" s="17"/>
      <c r="E264" s="16"/>
      <c r="F264" s="16"/>
      <c r="G264" s="15"/>
    </row>
    <row r="265">
      <c r="A265" s="20">
        <f>IF($B265="","","EMP-"&amp;TEXT(ROW()-5,"0000"))</f>
      </c>
      <c r="B265" s="15"/>
      <c r="C265" s="15"/>
      <c r="D265" s="17"/>
      <c r="E265" s="16"/>
      <c r="F265" s="16"/>
      <c r="G265" s="15"/>
    </row>
    <row r="266">
      <c r="A266" s="20">
        <f>IF($B266="","","EMP-"&amp;TEXT(ROW()-5,"0000"))</f>
      </c>
      <c r="B266" s="15"/>
      <c r="C266" s="15"/>
      <c r="D266" s="17"/>
      <c r="E266" s="16"/>
      <c r="F266" s="16"/>
      <c r="G266" s="15"/>
    </row>
    <row r="267">
      <c r="A267" s="20">
        <f>IF($B267="","","EMP-"&amp;TEXT(ROW()-5,"0000"))</f>
      </c>
      <c r="B267" s="15"/>
      <c r="C267" s="15"/>
      <c r="D267" s="17"/>
      <c r="E267" s="16"/>
      <c r="F267" s="16"/>
      <c r="G267" s="15"/>
    </row>
    <row r="268">
      <c r="A268" s="20">
        <f>IF($B268="","","EMP-"&amp;TEXT(ROW()-5,"0000"))</f>
      </c>
      <c r="B268" s="15"/>
      <c r="C268" s="15"/>
      <c r="D268" s="17"/>
      <c r="E268" s="16"/>
      <c r="F268" s="16"/>
      <c r="G268" s="15"/>
    </row>
    <row r="269">
      <c r="A269" s="20">
        <f>IF($B269="","","EMP-"&amp;TEXT(ROW()-5,"0000"))</f>
      </c>
      <c r="B269" s="15"/>
      <c r="C269" s="15"/>
      <c r="D269" s="17"/>
      <c r="E269" s="16"/>
      <c r="F269" s="16"/>
      <c r="G269" s="15"/>
    </row>
    <row r="270">
      <c r="A270" s="20">
        <f>IF($B270="","","EMP-"&amp;TEXT(ROW()-5,"0000"))</f>
      </c>
      <c r="B270" s="15"/>
      <c r="C270" s="15"/>
      <c r="D270" s="17"/>
      <c r="E270" s="16"/>
      <c r="F270" s="16"/>
      <c r="G270" s="15"/>
    </row>
    <row r="271">
      <c r="A271" s="20">
        <f>IF($B271="","","EMP-"&amp;TEXT(ROW()-5,"0000"))</f>
      </c>
      <c r="B271" s="15"/>
      <c r="C271" s="15"/>
      <c r="D271" s="17"/>
      <c r="E271" s="16"/>
      <c r="F271" s="16"/>
      <c r="G271" s="15"/>
    </row>
    <row r="272">
      <c r="A272" s="20">
        <f>IF($B272="","","EMP-"&amp;TEXT(ROW()-5,"0000"))</f>
      </c>
      <c r="B272" s="15"/>
      <c r="C272" s="15"/>
      <c r="D272" s="17"/>
      <c r="E272" s="16"/>
      <c r="F272" s="16"/>
      <c r="G272" s="15"/>
    </row>
    <row r="273">
      <c r="A273" s="20">
        <f>IF($B273="","","EMP-"&amp;TEXT(ROW()-5,"0000"))</f>
      </c>
      <c r="B273" s="15"/>
      <c r="C273" s="15"/>
      <c r="D273" s="17"/>
      <c r="E273" s="16"/>
      <c r="F273" s="16"/>
      <c r="G273" s="15"/>
    </row>
    <row r="274">
      <c r="A274" s="20">
        <f>IF($B274="","","EMP-"&amp;TEXT(ROW()-5,"0000"))</f>
      </c>
      <c r="B274" s="15"/>
      <c r="C274" s="15"/>
      <c r="D274" s="17"/>
      <c r="E274" s="16"/>
      <c r="F274" s="16"/>
      <c r="G274" s="15"/>
    </row>
    <row r="275">
      <c r="A275" s="20">
        <f>IF($B275="","","EMP-"&amp;TEXT(ROW()-5,"0000"))</f>
      </c>
      <c r="B275" s="15"/>
      <c r="C275" s="15"/>
      <c r="D275" s="17"/>
      <c r="E275" s="16"/>
      <c r="F275" s="16"/>
      <c r="G275" s="15"/>
    </row>
    <row r="276">
      <c r="A276" s="20">
        <f>IF($B276="","","EMP-"&amp;TEXT(ROW()-5,"0000"))</f>
      </c>
      <c r="B276" s="15"/>
      <c r="C276" s="15"/>
      <c r="D276" s="17"/>
      <c r="E276" s="16"/>
      <c r="F276" s="16"/>
      <c r="G276" s="15"/>
    </row>
    <row r="277">
      <c r="A277" s="20">
        <f>IF($B277="","","EMP-"&amp;TEXT(ROW()-5,"0000"))</f>
      </c>
      <c r="B277" s="15"/>
      <c r="C277" s="15"/>
      <c r="D277" s="17"/>
      <c r="E277" s="16"/>
      <c r="F277" s="16"/>
      <c r="G277" s="15"/>
    </row>
    <row r="278">
      <c r="A278" s="20">
        <f>IF($B278="","","EMP-"&amp;TEXT(ROW()-5,"0000"))</f>
      </c>
      <c r="B278" s="15"/>
      <c r="C278" s="15"/>
      <c r="D278" s="17"/>
      <c r="E278" s="16"/>
      <c r="F278" s="16"/>
      <c r="G278" s="15"/>
    </row>
    <row r="279">
      <c r="A279" s="20">
        <f>IF($B279="","","EMP-"&amp;TEXT(ROW()-5,"0000"))</f>
      </c>
      <c r="B279" s="15"/>
      <c r="C279" s="15"/>
      <c r="D279" s="17"/>
      <c r="E279" s="16"/>
      <c r="F279" s="16"/>
      <c r="G279" s="15"/>
    </row>
    <row r="280">
      <c r="A280" s="20">
        <f>IF($B280="","","EMP-"&amp;TEXT(ROW()-5,"0000"))</f>
      </c>
      <c r="B280" s="15"/>
      <c r="C280" s="15"/>
      <c r="D280" s="17"/>
      <c r="E280" s="16"/>
      <c r="F280" s="16"/>
      <c r="G280" s="15"/>
    </row>
    <row r="281">
      <c r="A281" s="20">
        <f>IF($B281="","","EMP-"&amp;TEXT(ROW()-5,"0000"))</f>
      </c>
      <c r="B281" s="15"/>
      <c r="C281" s="15"/>
      <c r="D281" s="17"/>
      <c r="E281" s="16"/>
      <c r="F281" s="16"/>
      <c r="G281" s="15"/>
    </row>
    <row r="282">
      <c r="A282" s="20">
        <f>IF($B282="","","EMP-"&amp;TEXT(ROW()-5,"0000"))</f>
      </c>
      <c r="B282" s="15"/>
      <c r="C282" s="15"/>
      <c r="D282" s="17"/>
      <c r="E282" s="16"/>
      <c r="F282" s="16"/>
      <c r="G282" s="15"/>
    </row>
    <row r="283">
      <c r="A283" s="20">
        <f>IF($B283="","","EMP-"&amp;TEXT(ROW()-5,"0000"))</f>
      </c>
      <c r="B283" s="15"/>
      <c r="C283" s="15"/>
      <c r="D283" s="17"/>
      <c r="E283" s="16"/>
      <c r="F283" s="16"/>
      <c r="G283" s="15"/>
    </row>
    <row r="284">
      <c r="A284" s="20">
        <f>IF($B284="","","EMP-"&amp;TEXT(ROW()-5,"0000"))</f>
      </c>
      <c r="B284" s="15"/>
      <c r="C284" s="15"/>
      <c r="D284" s="17"/>
      <c r="E284" s="16"/>
      <c r="F284" s="16"/>
      <c r="G284" s="15"/>
    </row>
    <row r="285">
      <c r="A285" s="20">
        <f>IF($B285="","","EMP-"&amp;TEXT(ROW()-5,"0000"))</f>
      </c>
      <c r="B285" s="15"/>
      <c r="C285" s="15"/>
      <c r="D285" s="17"/>
      <c r="E285" s="16"/>
      <c r="F285" s="16"/>
      <c r="G285" s="15"/>
    </row>
    <row r="286">
      <c r="A286" s="20">
        <f>IF($B286="","","EMP-"&amp;TEXT(ROW()-5,"0000"))</f>
      </c>
      <c r="B286" s="15"/>
      <c r="C286" s="15"/>
      <c r="D286" s="17"/>
      <c r="E286" s="16"/>
      <c r="F286" s="16"/>
      <c r="G286" s="15"/>
    </row>
    <row r="287">
      <c r="A287" s="20">
        <f>IF($B287="","","EMP-"&amp;TEXT(ROW()-5,"0000"))</f>
      </c>
      <c r="B287" s="15"/>
      <c r="C287" s="15"/>
      <c r="D287" s="17"/>
      <c r="E287" s="16"/>
      <c r="F287" s="16"/>
      <c r="G287" s="15"/>
    </row>
    <row r="288">
      <c r="A288" s="20">
        <f>IF($B288="","","EMP-"&amp;TEXT(ROW()-5,"0000"))</f>
      </c>
      <c r="B288" s="15"/>
      <c r="C288" s="15"/>
      <c r="D288" s="17"/>
      <c r="E288" s="16"/>
      <c r="F288" s="16"/>
      <c r="G288" s="15"/>
    </row>
    <row r="289">
      <c r="A289" s="20">
        <f>IF($B289="","","EMP-"&amp;TEXT(ROW()-5,"0000"))</f>
      </c>
      <c r="B289" s="15"/>
      <c r="C289" s="15"/>
      <c r="D289" s="17"/>
      <c r="E289" s="16"/>
      <c r="F289" s="16"/>
      <c r="G289" s="15"/>
    </row>
    <row r="290">
      <c r="A290" s="20">
        <f>IF($B290="","","EMP-"&amp;TEXT(ROW()-5,"0000"))</f>
      </c>
      <c r="B290" s="15"/>
      <c r="C290" s="15"/>
      <c r="D290" s="17"/>
      <c r="E290" s="16"/>
      <c r="F290" s="16"/>
      <c r="G290" s="15"/>
    </row>
    <row r="291">
      <c r="A291" s="20">
        <f>IF($B291="","","EMP-"&amp;TEXT(ROW()-5,"0000"))</f>
      </c>
      <c r="B291" s="15"/>
      <c r="C291" s="15"/>
      <c r="D291" s="17"/>
      <c r="E291" s="16"/>
      <c r="F291" s="16"/>
      <c r="G291" s="15"/>
    </row>
    <row r="292">
      <c r="A292" s="20">
        <f>IF($B292="","","EMP-"&amp;TEXT(ROW()-5,"0000"))</f>
      </c>
      <c r="B292" s="15"/>
      <c r="C292" s="15"/>
      <c r="D292" s="17"/>
      <c r="E292" s="16"/>
      <c r="F292" s="16"/>
      <c r="G292" s="15"/>
    </row>
    <row r="293">
      <c r="A293" s="20">
        <f>IF($B293="","","EMP-"&amp;TEXT(ROW()-5,"0000"))</f>
      </c>
      <c r="B293" s="15"/>
      <c r="C293" s="15"/>
      <c r="D293" s="17"/>
      <c r="E293" s="16"/>
      <c r="F293" s="16"/>
      <c r="G293" s="15"/>
    </row>
    <row r="294">
      <c r="A294" s="20">
        <f>IF($B294="","","EMP-"&amp;TEXT(ROW()-5,"0000"))</f>
      </c>
      <c r="B294" s="15"/>
      <c r="C294" s="15"/>
      <c r="D294" s="17"/>
      <c r="E294" s="16"/>
      <c r="F294" s="16"/>
      <c r="G294" s="15"/>
    </row>
    <row r="295">
      <c r="A295" s="20">
        <f>IF($B295="","","EMP-"&amp;TEXT(ROW()-5,"0000"))</f>
      </c>
      <c r="B295" s="15"/>
      <c r="C295" s="15"/>
      <c r="D295" s="17"/>
      <c r="E295" s="16"/>
      <c r="F295" s="16"/>
      <c r="G295" s="15"/>
    </row>
    <row r="296">
      <c r="A296" s="20">
        <f>IF($B296="","","EMP-"&amp;TEXT(ROW()-5,"0000"))</f>
      </c>
      <c r="B296" s="15"/>
      <c r="C296" s="15"/>
      <c r="D296" s="17"/>
      <c r="E296" s="16"/>
      <c r="F296" s="16"/>
      <c r="G296" s="15"/>
    </row>
    <row r="297">
      <c r="A297" s="20">
        <f>IF($B297="","","EMP-"&amp;TEXT(ROW()-5,"0000"))</f>
      </c>
      <c r="B297" s="15"/>
      <c r="C297" s="15"/>
      <c r="D297" s="17"/>
      <c r="E297" s="16"/>
      <c r="F297" s="16"/>
      <c r="G297" s="15"/>
    </row>
    <row r="298">
      <c r="A298" s="20">
        <f>IF($B298="","","EMP-"&amp;TEXT(ROW()-5,"0000"))</f>
      </c>
      <c r="B298" s="15"/>
      <c r="C298" s="15"/>
      <c r="D298" s="17"/>
      <c r="E298" s="16"/>
      <c r="F298" s="16"/>
      <c r="G298" s="15"/>
    </row>
    <row r="299">
      <c r="A299" s="20">
        <f>IF($B299="","","EMP-"&amp;TEXT(ROW()-5,"0000"))</f>
      </c>
      <c r="B299" s="15"/>
      <c r="C299" s="15"/>
      <c r="D299" s="17"/>
      <c r="E299" s="16"/>
      <c r="F299" s="16"/>
      <c r="G299" s="15"/>
    </row>
    <row r="300">
      <c r="A300" s="20">
        <f>IF($B300="","","EMP-"&amp;TEXT(ROW()-5,"0000"))</f>
      </c>
      <c r="B300" s="15"/>
      <c r="C300" s="15"/>
      <c r="D300" s="17"/>
      <c r="E300" s="16"/>
      <c r="F300" s="16"/>
      <c r="G300" s="15"/>
    </row>
    <row r="301">
      <c r="A301" s="20">
        <f>IF($B301="","","EMP-"&amp;TEXT(ROW()-5,"0000"))</f>
      </c>
      <c r="B301" s="15"/>
      <c r="C301" s="15"/>
      <c r="D301" s="17"/>
      <c r="E301" s="16"/>
      <c r="F301" s="16"/>
      <c r="G301" s="15"/>
    </row>
    <row r="302">
      <c r="A302" s="20">
        <f>IF($B302="","","EMP-"&amp;TEXT(ROW()-5,"0000"))</f>
      </c>
      <c r="B302" s="15"/>
      <c r="C302" s="15"/>
      <c r="D302" s="17"/>
      <c r="E302" s="16"/>
      <c r="F302" s="16"/>
      <c r="G302" s="15"/>
    </row>
    <row r="303">
      <c r="A303" s="20">
        <f>IF($B303="","","EMP-"&amp;TEXT(ROW()-5,"0000"))</f>
      </c>
      <c r="B303" s="15"/>
      <c r="C303" s="15"/>
      <c r="D303" s="17"/>
      <c r="E303" s="16"/>
      <c r="F303" s="16"/>
      <c r="G303" s="15"/>
    </row>
    <row r="304">
      <c r="A304" s="20">
        <f>IF($B304="","","EMP-"&amp;TEXT(ROW()-5,"0000"))</f>
      </c>
      <c r="B304" s="15"/>
      <c r="C304" s="15"/>
      <c r="D304" s="17"/>
      <c r="E304" s="16"/>
      <c r="F304" s="16"/>
      <c r="G304" s="15"/>
    </row>
    <row r="305">
      <c r="A305" s="20">
        <f>IF($B305="","","EMP-"&amp;TEXT(ROW()-5,"0000"))</f>
      </c>
      <c r="B305" s="15"/>
      <c r="C305" s="15"/>
      <c r="D305" s="17"/>
      <c r="E305" s="16"/>
      <c r="F305" s="16"/>
      <c r="G305" s="15"/>
    </row>
  </sheetData>
  <sheetProtection sheet="1" objects="1" scenarios="1" formatCells="0" formatColumns="0" formatRows="0" selectLockedCells="1" selectUnlockedCells="0"/>
  <mergeCells count="2">
    <mergeCell ref="A2:G2"/>
    <mergeCell ref="A3:G3"/>
  </mergeCells>
  <conditionalFormatting sqref="E6:E305">
    <cfRule type="expression" dxfId="6" priority="1">
      <formula>$E6="Actif"</formula>
    </cfRule>
  </conditionalFormatting>
  <conditionalFormatting sqref="E6:E305">
    <cfRule type="expression" dxfId="5" priority="2">
      <formula>$E6="Inactif"</formula>
    </cfRule>
  </conditionalFormatting>
  <dataValidations count="2">
    <dataValidation type="list" allowBlank="1" showInputMessage="1" showErrorMessage="1" sqref="C6:C305">
      <formula1>ListeCategories</formula1>
    </dataValidation>
    <dataValidation type="list" allowBlank="1" showInputMessage="1" showErrorMessage="1" sqref="E6:E305">
      <formula1>"Actif,Inactif"</formula1>
    </dataValidation>
  </dataValidations>
  <hyperlinks>
    <hyperlink ref="A1" location="'PARAMÈTRES'!A1" display="⚙ PARAMÈTRES"/>
    <hyperlink ref="B1" location="'EMPLOYÉS'!A1" display="👥 EMPLOYÉS"/>
    <hyperlink ref="C1" location="'POINTAGE'!A1" display="✓ POINTAGE"/>
    <hyperlink ref="D1" location="'TABLEAU DE BORD'!A1" display="▦ TABLEAU DE BORD"/>
    <hyperlink ref="E1" location="'RECHERCHE'!A1" display="⌕ RECHERCHE"/>
    <hyperlink ref="F1" location="'PAIE (15 Jours)'!A1" display="MAD PAIE"/>
    <hyperlink ref="G1" location="'IMPRESSION'!A1" display="▤ IMPRESSION"/>
  </hyperlinks>
  <printOptions horizontalCentered="1"/>
  <pageMargins left="0.4" right="0.4" top="0.5" bottom="0.5" header="0.2" footer="0.2"/>
  <pageSetup paperSize="9" orientation="landscape" fitToWidth="1" fitToHeight="0"/>
  <tableParts count="1">
    <tablePart r:id="rId1"/>
  </tableParts>
</worksheet>
</file>

<file path=xl/worksheets/sheet3.xml><?xml version="1.0" encoding="utf-8"?>
<worksheet xmlns="http://schemas.openxmlformats.org/spreadsheetml/2006/main" xmlns:r="http://schemas.openxmlformats.org/officeDocument/2006/relationships">
  <sheetPr>
    <tabColor rgb="FF1F8A8A"/>
    <pageSetUpPr fitToPage="1"/>
  </sheetPr>
  <dimension ref="A1:BS306"/>
  <sheetViews>
    <sheetView showGridLines="0" workbookViewId="0">
      <pane xSplit="3" ySplit="6" topLeftCell="D7" activePane="bottomRight" state="frozen"/>
      <selection pane="bottomRight" activeCell="D7" sqref="D7"/>
    </sheetView>
  </sheetViews>
  <sheetFormatPr defaultRowHeight="15"/>
  <cols>
    <col min="1" max="1" width="16" customWidth="1"/>
    <col min="2" max="2" width="27" customWidth="1"/>
    <col min="3" max="3" width="22" customWidth="1"/>
    <col min="4" max="4" width="9.5" customWidth="1"/>
    <col min="5" max="5" width="6" customWidth="1"/>
    <col min="6" max="6" width="9.5" customWidth="1"/>
    <col min="7" max="7" width="6" customWidth="1"/>
    <col min="8" max="8" width="9.5" customWidth="1"/>
    <col min="9" max="9" width="6" customWidth="1"/>
    <col min="10" max="10" width="9.5" customWidth="1"/>
    <col min="11" max="11" width="6" customWidth="1"/>
    <col min="12" max="12" width="9.5" customWidth="1"/>
    <col min="13" max="13" width="6" customWidth="1"/>
    <col min="14" max="14" width="9.5" customWidth="1"/>
    <col min="15" max="15" width="6" customWidth="1"/>
    <col min="16" max="16" width="9.5" customWidth="1"/>
    <col min="17" max="17" width="6" customWidth="1"/>
    <col min="18" max="18" width="9.5" customWidth="1"/>
    <col min="19" max="19" width="6" customWidth="1"/>
    <col min="20" max="20" width="9.5" customWidth="1"/>
    <col min="21" max="21" width="6" customWidth="1"/>
    <col min="22" max="22" width="9.5" customWidth="1"/>
    <col min="23" max="23" width="6" customWidth="1"/>
    <col min="24" max="24" width="9.5" customWidth="1"/>
    <col min="25" max="25" width="6" customWidth="1"/>
    <col min="26" max="26" width="9.5" customWidth="1"/>
    <col min="27" max="27" width="6" customWidth="1"/>
    <col min="28" max="28" width="9.5" customWidth="1"/>
    <col min="29" max="29" width="6" customWidth="1"/>
    <col min="30" max="30" width="9.5" customWidth="1"/>
    <col min="31" max="31" width="6" customWidth="1"/>
    <col min="32" max="32" width="9.5" customWidth="1"/>
    <col min="33" max="33" width="6" customWidth="1"/>
    <col min="34" max="34" width="9.5" customWidth="1"/>
    <col min="35" max="35" width="6" customWidth="1"/>
    <col min="36" max="36" width="9.5" customWidth="1"/>
    <col min="37" max="37" width="6" customWidth="1"/>
    <col min="38" max="38" width="9.5" customWidth="1"/>
    <col min="39" max="39" width="6" customWidth="1"/>
    <col min="40" max="40" width="9.5" customWidth="1"/>
    <col min="41" max="41" width="6" customWidth="1"/>
    <col min="42" max="42" width="9.5" customWidth="1"/>
    <col min="43" max="43" width="6" customWidth="1"/>
    <col min="44" max="44" width="9.5" customWidth="1"/>
    <col min="45" max="45" width="6" customWidth="1"/>
    <col min="46" max="46" width="9.5" customWidth="1"/>
    <col min="47" max="47" width="6" customWidth="1"/>
    <col min="48" max="48" width="9.5" customWidth="1"/>
    <col min="49" max="49" width="6" customWidth="1"/>
    <col min="50" max="50" width="9.5" customWidth="1"/>
    <col min="51" max="51" width="6" customWidth="1"/>
    <col min="52" max="52" width="9.5" customWidth="1"/>
    <col min="53" max="53" width="6" customWidth="1"/>
    <col min="54" max="54" width="9.5" customWidth="1"/>
    <col min="55" max="55" width="6" customWidth="1"/>
    <col min="56" max="56" width="9.5" customWidth="1"/>
    <col min="57" max="57" width="6" customWidth="1"/>
    <col min="58" max="58" width="9.5" customWidth="1"/>
    <col min="59" max="59" width="6" customWidth="1"/>
    <col min="60" max="60" width="9.5" customWidth="1"/>
    <col min="61" max="61" width="6" customWidth="1"/>
    <col min="62" max="62" width="9.5" customWidth="1"/>
    <col min="63" max="63" width="6" customWidth="1"/>
    <col min="64" max="64" width="9.5" customWidth="1"/>
    <col min="65" max="65" width="6" customWidth="1"/>
    <col min="66" max="66" width="11" customWidth="1"/>
    <col min="67" max="67" width="10" customWidth="1"/>
    <col min="68" max="68" width="9" customWidth="1"/>
    <col min="69" max="69" width="9" customWidth="1"/>
    <col min="70" max="70" width="9" customWidth="1"/>
    <col min="71" max="71" width="16" customWidth="1"/>
  </cols>
  <sheetData>
    <row r="1" ht="23" customHeight="1">
      <c r="A1" s="1" t="inlineStr">
        <is>
          <t xml:space="preserve">⚙ PARAMÈTRES</t>
        </is>
      </c>
      <c r="B1" s="1" t="inlineStr">
        <is>
          <t xml:space="preserve">👥 EMPLOYÉS</t>
        </is>
      </c>
      <c r="C1" s="2" t="inlineStr">
        <is>
          <t xml:space="preserve">✓ POINTAGE</t>
        </is>
      </c>
      <c r="D1" s="1" t="inlineStr">
        <is>
          <t xml:space="preserve">▦ TABLEAU DE BORD</t>
        </is>
      </c>
      <c r="E1" s="1" t="inlineStr">
        <is>
          <t xml:space="preserve">⌕</t>
        </is>
      </c>
      <c r="F1" s="1" t="inlineStr">
        <is>
          <t xml:space="preserve">MAD PAIE</t>
        </is>
      </c>
      <c r="G1" s="1" t="inlineStr">
        <is>
          <t xml:space="preserve">▤</t>
        </is>
      </c>
    </row>
    <row r="2" ht="34" customHeight="1">
      <c r="A2" s="3" t="inlineStr">
        <is>
          <t xml:space="preserve">  POINTAGE MENSUEL ET HEURES SUPPLÉMENTAIRES</t>
        </is>
      </c>
    </row>
    <row r="3" ht="18" customHeight="1">
      <c r="A3" s="5" t="inlineStr">
        <is>
          <t xml:space="preserve">  Choisissez Présent, Absent, Congé ou Maladie ; saisissez les heures supplémentaires dans la colonne HS.</t>
        </is>
      </c>
    </row>
    <row r="5" ht="23" customHeight="1">
      <c r="A5" s="9" t="inlineStr">
        <is>
          <t xml:space="preserve">ID employé</t>
        </is>
      </c>
      <c r="B5" s="9" t="inlineStr">
        <is>
          <t xml:space="preserve">Nom complet</t>
        </is>
      </c>
      <c r="C5" s="9" t="inlineStr">
        <is>
          <t xml:space="preserve">Catégorie</t>
        </is>
      </c>
      <c r="D5" s="28">
        <f>IF(1&lt;=DAY(EOMONTH(DATE(AnneeCourante,MoisCourant,1),0)),DATE(AnneeCourante,MoisCourant,1),"")</f>
      </c>
      <c r="F5" s="28">
        <f>IF(2&lt;=DAY(EOMONTH(DATE(AnneeCourante,MoisCourant,1),0)),DATE(AnneeCourante,MoisCourant,2),"")</f>
      </c>
      <c r="H5" s="28">
        <f>IF(3&lt;=DAY(EOMONTH(DATE(AnneeCourante,MoisCourant,1),0)),DATE(AnneeCourante,MoisCourant,3),"")</f>
      </c>
      <c r="J5" s="28">
        <f>IF(4&lt;=DAY(EOMONTH(DATE(AnneeCourante,MoisCourant,1),0)),DATE(AnneeCourante,MoisCourant,4),"")</f>
      </c>
      <c r="L5" s="28">
        <f>IF(5&lt;=DAY(EOMONTH(DATE(AnneeCourante,MoisCourant,1),0)),DATE(AnneeCourante,MoisCourant,5),"")</f>
      </c>
      <c r="N5" s="28">
        <f>IF(6&lt;=DAY(EOMONTH(DATE(AnneeCourante,MoisCourant,1),0)),DATE(AnneeCourante,MoisCourant,6),"")</f>
      </c>
      <c r="P5" s="28">
        <f>IF(7&lt;=DAY(EOMONTH(DATE(AnneeCourante,MoisCourant,1),0)),DATE(AnneeCourante,MoisCourant,7),"")</f>
      </c>
      <c r="R5" s="28">
        <f>IF(8&lt;=DAY(EOMONTH(DATE(AnneeCourante,MoisCourant,1),0)),DATE(AnneeCourante,MoisCourant,8),"")</f>
      </c>
      <c r="T5" s="28">
        <f>IF(9&lt;=DAY(EOMONTH(DATE(AnneeCourante,MoisCourant,1),0)),DATE(AnneeCourante,MoisCourant,9),"")</f>
      </c>
      <c r="V5" s="28">
        <f>IF(10&lt;=DAY(EOMONTH(DATE(AnneeCourante,MoisCourant,1),0)),DATE(AnneeCourante,MoisCourant,10),"")</f>
      </c>
      <c r="X5" s="28">
        <f>IF(11&lt;=DAY(EOMONTH(DATE(AnneeCourante,MoisCourant,1),0)),DATE(AnneeCourante,MoisCourant,11),"")</f>
      </c>
      <c r="Z5" s="28">
        <f>IF(12&lt;=DAY(EOMONTH(DATE(AnneeCourante,MoisCourant,1),0)),DATE(AnneeCourante,MoisCourant,12),"")</f>
      </c>
      <c r="AB5" s="28">
        <f>IF(13&lt;=DAY(EOMONTH(DATE(AnneeCourante,MoisCourant,1),0)),DATE(AnneeCourante,MoisCourant,13),"")</f>
      </c>
      <c r="AD5" s="28">
        <f>IF(14&lt;=DAY(EOMONTH(DATE(AnneeCourante,MoisCourant,1),0)),DATE(AnneeCourante,MoisCourant,14),"")</f>
      </c>
      <c r="AF5" s="28">
        <f>IF(15&lt;=DAY(EOMONTH(DATE(AnneeCourante,MoisCourant,1),0)),DATE(AnneeCourante,MoisCourant,15),"")</f>
      </c>
      <c r="AH5" s="28">
        <f>IF(16&lt;=DAY(EOMONTH(DATE(AnneeCourante,MoisCourant,1),0)),DATE(AnneeCourante,MoisCourant,16),"")</f>
      </c>
      <c r="AJ5" s="28">
        <f>IF(17&lt;=DAY(EOMONTH(DATE(AnneeCourante,MoisCourant,1),0)),DATE(AnneeCourante,MoisCourant,17),"")</f>
      </c>
      <c r="AL5" s="28">
        <f>IF(18&lt;=DAY(EOMONTH(DATE(AnneeCourante,MoisCourant,1),0)),DATE(AnneeCourante,MoisCourant,18),"")</f>
      </c>
      <c r="AN5" s="28">
        <f>IF(19&lt;=DAY(EOMONTH(DATE(AnneeCourante,MoisCourant,1),0)),DATE(AnneeCourante,MoisCourant,19),"")</f>
      </c>
      <c r="AP5" s="28">
        <f>IF(20&lt;=DAY(EOMONTH(DATE(AnneeCourante,MoisCourant,1),0)),DATE(AnneeCourante,MoisCourant,20),"")</f>
      </c>
      <c r="AR5" s="28">
        <f>IF(21&lt;=DAY(EOMONTH(DATE(AnneeCourante,MoisCourant,1),0)),DATE(AnneeCourante,MoisCourant,21),"")</f>
      </c>
      <c r="AT5" s="28">
        <f>IF(22&lt;=DAY(EOMONTH(DATE(AnneeCourante,MoisCourant,1),0)),DATE(AnneeCourante,MoisCourant,22),"")</f>
      </c>
      <c r="AV5" s="28">
        <f>IF(23&lt;=DAY(EOMONTH(DATE(AnneeCourante,MoisCourant,1),0)),DATE(AnneeCourante,MoisCourant,23),"")</f>
      </c>
      <c r="AX5" s="28">
        <f>IF(24&lt;=DAY(EOMONTH(DATE(AnneeCourante,MoisCourant,1),0)),DATE(AnneeCourante,MoisCourant,24),"")</f>
      </c>
      <c r="AZ5" s="28">
        <f>IF(25&lt;=DAY(EOMONTH(DATE(AnneeCourante,MoisCourant,1),0)),DATE(AnneeCourante,MoisCourant,25),"")</f>
      </c>
      <c r="BB5" s="28">
        <f>IF(26&lt;=DAY(EOMONTH(DATE(AnneeCourante,MoisCourant,1),0)),DATE(AnneeCourante,MoisCourant,26),"")</f>
      </c>
      <c r="BD5" s="28">
        <f>IF(27&lt;=DAY(EOMONTH(DATE(AnneeCourante,MoisCourant,1),0)),DATE(AnneeCourante,MoisCourant,27),"")</f>
      </c>
      <c r="BF5" s="28">
        <f>IF(28&lt;=DAY(EOMONTH(DATE(AnneeCourante,MoisCourant,1),0)),DATE(AnneeCourante,MoisCourant,28),"")</f>
      </c>
      <c r="BH5" s="28">
        <f>IF(29&lt;=DAY(EOMONTH(DATE(AnneeCourante,MoisCourant,1),0)),DATE(AnneeCourante,MoisCourant,29),"")</f>
      </c>
      <c r="BJ5" s="28">
        <f>IF(30&lt;=DAY(EOMONTH(DATE(AnneeCourante,MoisCourant,1),0)),DATE(AnneeCourante,MoisCourant,30),"")</f>
      </c>
      <c r="BL5" s="28">
        <f>IF(31&lt;=DAY(EOMONTH(DATE(AnneeCourante,MoisCourant,1),0)),DATE(AnneeCourante,MoisCourant,31),"")</f>
      </c>
      <c r="BN5" s="12" t="inlineStr">
        <is>
          <t xml:space="preserve">SYNTHÈSE DU MOIS</t>
        </is>
      </c>
    </row>
    <row r="6" ht="28" customHeight="1">
      <c r="D6" s="13" t="inlineStr">
        <is>
          <t xml:space="preserve">Statut</t>
        </is>
      </c>
      <c r="E6" s="13" t="inlineStr">
        <is>
          <t xml:space="preserve">HS</t>
        </is>
      </c>
      <c r="F6" s="13" t="inlineStr">
        <is>
          <t xml:space="preserve">Statut</t>
        </is>
      </c>
      <c r="G6" s="13" t="inlineStr">
        <is>
          <t xml:space="preserve">HS</t>
        </is>
      </c>
      <c r="H6" s="13" t="inlineStr">
        <is>
          <t xml:space="preserve">Statut</t>
        </is>
      </c>
      <c r="I6" s="13" t="inlineStr">
        <is>
          <t xml:space="preserve">HS</t>
        </is>
      </c>
      <c r="J6" s="13" t="inlineStr">
        <is>
          <t xml:space="preserve">Statut</t>
        </is>
      </c>
      <c r="K6" s="13" t="inlineStr">
        <is>
          <t xml:space="preserve">HS</t>
        </is>
      </c>
      <c r="L6" s="13" t="inlineStr">
        <is>
          <t xml:space="preserve">Statut</t>
        </is>
      </c>
      <c r="M6" s="13" t="inlineStr">
        <is>
          <t xml:space="preserve">HS</t>
        </is>
      </c>
      <c r="N6" s="13" t="inlineStr">
        <is>
          <t xml:space="preserve">Statut</t>
        </is>
      </c>
      <c r="O6" s="13" t="inlineStr">
        <is>
          <t xml:space="preserve">HS</t>
        </is>
      </c>
      <c r="P6" s="13" t="inlineStr">
        <is>
          <t xml:space="preserve">Statut</t>
        </is>
      </c>
      <c r="Q6" s="13" t="inlineStr">
        <is>
          <t xml:space="preserve">HS</t>
        </is>
      </c>
      <c r="R6" s="13" t="inlineStr">
        <is>
          <t xml:space="preserve">Statut</t>
        </is>
      </c>
      <c r="S6" s="13" t="inlineStr">
        <is>
          <t xml:space="preserve">HS</t>
        </is>
      </c>
      <c r="T6" s="13" t="inlineStr">
        <is>
          <t xml:space="preserve">Statut</t>
        </is>
      </c>
      <c r="U6" s="13" t="inlineStr">
        <is>
          <t xml:space="preserve">HS</t>
        </is>
      </c>
      <c r="V6" s="13" t="inlineStr">
        <is>
          <t xml:space="preserve">Statut</t>
        </is>
      </c>
      <c r="W6" s="13" t="inlineStr">
        <is>
          <t xml:space="preserve">HS</t>
        </is>
      </c>
      <c r="X6" s="13" t="inlineStr">
        <is>
          <t xml:space="preserve">Statut</t>
        </is>
      </c>
      <c r="Y6" s="13" t="inlineStr">
        <is>
          <t xml:space="preserve">HS</t>
        </is>
      </c>
      <c r="Z6" s="13" t="inlineStr">
        <is>
          <t xml:space="preserve">Statut</t>
        </is>
      </c>
      <c r="AA6" s="13" t="inlineStr">
        <is>
          <t xml:space="preserve">HS</t>
        </is>
      </c>
      <c r="AB6" s="13" t="inlineStr">
        <is>
          <t xml:space="preserve">Statut</t>
        </is>
      </c>
      <c r="AC6" s="13" t="inlineStr">
        <is>
          <t xml:space="preserve">HS</t>
        </is>
      </c>
      <c r="AD6" s="13" t="inlineStr">
        <is>
          <t xml:space="preserve">Statut</t>
        </is>
      </c>
      <c r="AE6" s="13" t="inlineStr">
        <is>
          <t xml:space="preserve">HS</t>
        </is>
      </c>
      <c r="AF6" s="13" t="inlineStr">
        <is>
          <t xml:space="preserve">Statut</t>
        </is>
      </c>
      <c r="AG6" s="13" t="inlineStr">
        <is>
          <t xml:space="preserve">HS</t>
        </is>
      </c>
      <c r="AH6" s="13" t="inlineStr">
        <is>
          <t xml:space="preserve">Statut</t>
        </is>
      </c>
      <c r="AI6" s="13" t="inlineStr">
        <is>
          <t xml:space="preserve">HS</t>
        </is>
      </c>
      <c r="AJ6" s="13" t="inlineStr">
        <is>
          <t xml:space="preserve">Statut</t>
        </is>
      </c>
      <c r="AK6" s="13" t="inlineStr">
        <is>
          <t xml:space="preserve">HS</t>
        </is>
      </c>
      <c r="AL6" s="13" t="inlineStr">
        <is>
          <t xml:space="preserve">Statut</t>
        </is>
      </c>
      <c r="AM6" s="13" t="inlineStr">
        <is>
          <t xml:space="preserve">HS</t>
        </is>
      </c>
      <c r="AN6" s="13" t="inlineStr">
        <is>
          <t xml:space="preserve">Statut</t>
        </is>
      </c>
      <c r="AO6" s="13" t="inlineStr">
        <is>
          <t xml:space="preserve">HS</t>
        </is>
      </c>
      <c r="AP6" s="13" t="inlineStr">
        <is>
          <t xml:space="preserve">Statut</t>
        </is>
      </c>
      <c r="AQ6" s="13" t="inlineStr">
        <is>
          <t xml:space="preserve">HS</t>
        </is>
      </c>
      <c r="AR6" s="13" t="inlineStr">
        <is>
          <t xml:space="preserve">Statut</t>
        </is>
      </c>
      <c r="AS6" s="13" t="inlineStr">
        <is>
          <t xml:space="preserve">HS</t>
        </is>
      </c>
      <c r="AT6" s="13" t="inlineStr">
        <is>
          <t xml:space="preserve">Statut</t>
        </is>
      </c>
      <c r="AU6" s="13" t="inlineStr">
        <is>
          <t xml:space="preserve">HS</t>
        </is>
      </c>
      <c r="AV6" s="13" t="inlineStr">
        <is>
          <t xml:space="preserve">Statut</t>
        </is>
      </c>
      <c r="AW6" s="13" t="inlineStr">
        <is>
          <t xml:space="preserve">HS</t>
        </is>
      </c>
      <c r="AX6" s="13" t="inlineStr">
        <is>
          <t xml:space="preserve">Statut</t>
        </is>
      </c>
      <c r="AY6" s="13" t="inlineStr">
        <is>
          <t xml:space="preserve">HS</t>
        </is>
      </c>
      <c r="AZ6" s="13" t="inlineStr">
        <is>
          <t xml:space="preserve">Statut</t>
        </is>
      </c>
      <c r="BA6" s="13" t="inlineStr">
        <is>
          <t xml:space="preserve">HS</t>
        </is>
      </c>
      <c r="BB6" s="13" t="inlineStr">
        <is>
          <t xml:space="preserve">Statut</t>
        </is>
      </c>
      <c r="BC6" s="13" t="inlineStr">
        <is>
          <t xml:space="preserve">HS</t>
        </is>
      </c>
      <c r="BD6" s="13" t="inlineStr">
        <is>
          <t xml:space="preserve">Statut</t>
        </is>
      </c>
      <c r="BE6" s="13" t="inlineStr">
        <is>
          <t xml:space="preserve">HS</t>
        </is>
      </c>
      <c r="BF6" s="13" t="inlineStr">
        <is>
          <t xml:space="preserve">Statut</t>
        </is>
      </c>
      <c r="BG6" s="13" t="inlineStr">
        <is>
          <t xml:space="preserve">HS</t>
        </is>
      </c>
      <c r="BH6" s="13" t="inlineStr">
        <is>
          <t xml:space="preserve">Statut</t>
        </is>
      </c>
      <c r="BI6" s="13" t="inlineStr">
        <is>
          <t xml:space="preserve">HS</t>
        </is>
      </c>
      <c r="BJ6" s="13" t="inlineStr">
        <is>
          <t xml:space="preserve">Statut</t>
        </is>
      </c>
      <c r="BK6" s="13" t="inlineStr">
        <is>
          <t xml:space="preserve">HS</t>
        </is>
      </c>
      <c r="BL6" s="13" t="inlineStr">
        <is>
          <t xml:space="preserve">Statut</t>
        </is>
      </c>
      <c r="BM6" s="13" t="inlineStr">
        <is>
          <t xml:space="preserve">HS</t>
        </is>
      </c>
      <c r="BN6" s="12" t="inlineStr">
        <is>
          <t xml:space="preserve">Jours travaillés</t>
        </is>
      </c>
      <c r="BO6" s="12" t="inlineStr">
        <is>
          <t xml:space="preserve">Absences</t>
        </is>
      </c>
      <c r="BP6" s="12" t="inlineStr">
        <is>
          <t xml:space="preserve">Congés</t>
        </is>
      </c>
      <c r="BQ6" s="12" t="inlineStr">
        <is>
          <t xml:space="preserve">Maladies</t>
        </is>
      </c>
      <c r="BR6" s="12" t="inlineStr">
        <is>
          <t xml:space="preserve">Heures HS</t>
        </is>
      </c>
      <c r="BS6" s="12" t="inlineStr">
        <is>
          <t xml:space="preserve">Salaire estimé</t>
        </is>
      </c>
    </row>
    <row r="7">
      <c r="A7" s="20">
        <f>IF(AND(INDEX(Employes_Nom,1)&lt;&gt;"",INDEX(Employes_Statut,1)="Actif",OR(INDEX(Employes_Embauche,1)="",INDEX(Employes_Embauche,1)&lt;=EOMONTH(DATE(AnneeCourante,MoisCourant,1),0))),INDEX(Employes_ID,1),"")</f>
      </c>
      <c r="B7" s="19">
        <f>IF($A7="","",INDEX(Employes_Nom,MATCH($A7,Employes_ID,0)))</f>
      </c>
      <c r="C7" s="20">
        <f>IF($A7="","",INDEX(Employes_Categorie,MATCH($A7,Employes_ID,0)))</f>
      </c>
      <c r="D7" s="26"/>
      <c r="E7" s="27"/>
      <c r="F7" s="26"/>
      <c r="G7" s="27"/>
      <c r="H7" s="26"/>
      <c r="I7" s="27"/>
      <c r="J7" s="26"/>
      <c r="K7" s="27"/>
      <c r="L7" s="26"/>
      <c r="M7" s="27"/>
      <c r="N7" s="26"/>
      <c r="O7" s="27"/>
      <c r="P7" s="26"/>
      <c r="Q7" s="27"/>
      <c r="R7" s="26"/>
      <c r="S7" s="27"/>
      <c r="T7" s="26"/>
      <c r="U7" s="27"/>
      <c r="V7" s="26"/>
      <c r="W7" s="27"/>
      <c r="X7" s="26"/>
      <c r="Y7" s="27"/>
      <c r="Z7" s="26"/>
      <c r="AA7" s="27"/>
      <c r="AB7" s="26"/>
      <c r="AC7" s="27"/>
      <c r="AD7" s="26"/>
      <c r="AE7" s="27"/>
      <c r="AF7" s="26"/>
      <c r="AG7" s="27"/>
      <c r="AH7" s="26"/>
      <c r="AI7" s="27"/>
      <c r="AJ7" s="26"/>
      <c r="AK7" s="27"/>
      <c r="AL7" s="26"/>
      <c r="AM7" s="27"/>
      <c r="AN7" s="26"/>
      <c r="AO7" s="27"/>
      <c r="AP7" s="26"/>
      <c r="AQ7" s="27"/>
      <c r="AR7" s="26"/>
      <c r="AS7" s="27"/>
      <c r="AT7" s="26"/>
      <c r="AU7" s="27"/>
      <c r="AV7" s="26"/>
      <c r="AW7" s="27"/>
      <c r="AX7" s="26"/>
      <c r="AY7" s="27"/>
      <c r="AZ7" s="26"/>
      <c r="BA7" s="27"/>
      <c r="BB7" s="26"/>
      <c r="BC7" s="27"/>
      <c r="BD7" s="26"/>
      <c r="BE7" s="27"/>
      <c r="BF7" s="26"/>
      <c r="BG7" s="27"/>
      <c r="BH7" s="26"/>
      <c r="BI7" s="27"/>
      <c r="BJ7" s="26"/>
      <c r="BK7" s="27"/>
      <c r="BL7" s="26"/>
      <c r="BM7" s="27"/>
      <c r="BN7" s="22">
        <f>IF($A7="","",SUM(IF($D$5&lt;&gt;"",--(D7="Présent"),0),IF($F$5&lt;&gt;"",--(F7="Présent"),0),IF($H$5&lt;&gt;"",--(H7="Présent"),0),IF($J$5&lt;&gt;"",--(J7="Présent"),0),IF($L$5&lt;&gt;"",--(L7="Présent"),0),IF($N$5&lt;&gt;"",--(N7="Présent"),0),IF($P$5&lt;&gt;"",--(P7="Présent"),0),IF($R$5&lt;&gt;"",--(R7="Présent"),0),IF($T$5&lt;&gt;"",--(T7="Présent"),0),IF($V$5&lt;&gt;"",--(V7="Présent"),0),IF($X$5&lt;&gt;"",--(X7="Présent"),0),IF($Z$5&lt;&gt;"",--(Z7="Présent"),0),IF($AB$5&lt;&gt;"",--(AB7="Présent"),0),IF($AD$5&lt;&gt;"",--(AD7="Présent"),0),IF($AF$5&lt;&gt;"",--(AF7="Présent"),0),IF($AH$5&lt;&gt;"",--(AH7="Présent"),0),IF($AJ$5&lt;&gt;"",--(AJ7="Présent"),0),IF($AL$5&lt;&gt;"",--(AL7="Présent"),0),IF($AN$5&lt;&gt;"",--(AN7="Présent"),0),IF($AP$5&lt;&gt;"",--(AP7="Présent"),0),IF($AR$5&lt;&gt;"",--(AR7="Présent"),0),IF($AT$5&lt;&gt;"",--(AT7="Présent"),0),IF($AV$5&lt;&gt;"",--(AV7="Présent"),0),IF($AX$5&lt;&gt;"",--(AX7="Présent"),0),IF($AZ$5&lt;&gt;"",--(AZ7="Présent"),0),IF($BB$5&lt;&gt;"",--(BB7="Présent"),0),IF($BD$5&lt;&gt;"",--(BD7="Présent"),0),IF($BF$5&lt;&gt;"",--(BF7="Présent"),0),IF($BH$5&lt;&gt;"",--(BH7="Présent"),0),IF($BJ$5&lt;&gt;"",--(BJ7="Présent"),0),IF($BL$5&lt;&gt;"",--(BL7="Présent"),0)))</f>
      </c>
      <c r="BO7" s="22">
        <f>IF($A7="","",SUM(IF($D$5&lt;&gt;"",--(D7="Absent"),0),IF($F$5&lt;&gt;"",--(F7="Absent"),0),IF($H$5&lt;&gt;"",--(H7="Absent"),0),IF($J$5&lt;&gt;"",--(J7="Absent"),0),IF($L$5&lt;&gt;"",--(L7="Absent"),0),IF($N$5&lt;&gt;"",--(N7="Absent"),0),IF($P$5&lt;&gt;"",--(P7="Absent"),0),IF($R$5&lt;&gt;"",--(R7="Absent"),0),IF($T$5&lt;&gt;"",--(T7="Absent"),0),IF($V$5&lt;&gt;"",--(V7="Absent"),0),IF($X$5&lt;&gt;"",--(X7="Absent"),0),IF($Z$5&lt;&gt;"",--(Z7="Absent"),0),IF($AB$5&lt;&gt;"",--(AB7="Absent"),0),IF($AD$5&lt;&gt;"",--(AD7="Absent"),0),IF($AF$5&lt;&gt;"",--(AF7="Absent"),0),IF($AH$5&lt;&gt;"",--(AH7="Absent"),0),IF($AJ$5&lt;&gt;"",--(AJ7="Absent"),0),IF($AL$5&lt;&gt;"",--(AL7="Absent"),0),IF($AN$5&lt;&gt;"",--(AN7="Absent"),0),IF($AP$5&lt;&gt;"",--(AP7="Absent"),0),IF($AR$5&lt;&gt;"",--(AR7="Absent"),0),IF($AT$5&lt;&gt;"",--(AT7="Absent"),0),IF($AV$5&lt;&gt;"",--(AV7="Absent"),0),IF($AX$5&lt;&gt;"",--(AX7="Absent"),0),IF($AZ$5&lt;&gt;"",--(AZ7="Absent"),0),IF($BB$5&lt;&gt;"",--(BB7="Absent"),0),IF($BD$5&lt;&gt;"",--(BD7="Absent"),0),IF($BF$5&lt;&gt;"",--(BF7="Absent"),0),IF($BH$5&lt;&gt;"",--(BH7="Absent"),0),IF($BJ$5&lt;&gt;"",--(BJ7="Absent"),0),IF($BL$5&lt;&gt;"",--(BL7="Absent"),0)))</f>
      </c>
      <c r="BP7" s="22">
        <f>IF($A7="","",SUM(IF($D$5&lt;&gt;"",--(D7="Congé"),0),IF($F$5&lt;&gt;"",--(F7="Congé"),0),IF($H$5&lt;&gt;"",--(H7="Congé"),0),IF($J$5&lt;&gt;"",--(J7="Congé"),0),IF($L$5&lt;&gt;"",--(L7="Congé"),0),IF($N$5&lt;&gt;"",--(N7="Congé"),0),IF($P$5&lt;&gt;"",--(P7="Congé"),0),IF($R$5&lt;&gt;"",--(R7="Congé"),0),IF($T$5&lt;&gt;"",--(T7="Congé"),0),IF($V$5&lt;&gt;"",--(V7="Congé"),0),IF($X$5&lt;&gt;"",--(X7="Congé"),0),IF($Z$5&lt;&gt;"",--(Z7="Congé"),0),IF($AB$5&lt;&gt;"",--(AB7="Congé"),0),IF($AD$5&lt;&gt;"",--(AD7="Congé"),0),IF($AF$5&lt;&gt;"",--(AF7="Congé"),0),IF($AH$5&lt;&gt;"",--(AH7="Congé"),0),IF($AJ$5&lt;&gt;"",--(AJ7="Congé"),0),IF($AL$5&lt;&gt;"",--(AL7="Congé"),0),IF($AN$5&lt;&gt;"",--(AN7="Congé"),0),IF($AP$5&lt;&gt;"",--(AP7="Congé"),0),IF($AR$5&lt;&gt;"",--(AR7="Congé"),0),IF($AT$5&lt;&gt;"",--(AT7="Congé"),0),IF($AV$5&lt;&gt;"",--(AV7="Congé"),0),IF($AX$5&lt;&gt;"",--(AX7="Congé"),0),IF($AZ$5&lt;&gt;"",--(AZ7="Congé"),0),IF($BB$5&lt;&gt;"",--(BB7="Congé"),0),IF($BD$5&lt;&gt;"",--(BD7="Congé"),0),IF($BF$5&lt;&gt;"",--(BF7="Congé"),0),IF($BH$5&lt;&gt;"",--(BH7="Congé"),0),IF($BJ$5&lt;&gt;"",--(BJ7="Congé"),0),IF($BL$5&lt;&gt;"",--(BL7="Congé"),0)))</f>
      </c>
      <c r="BQ7" s="22">
        <f>IF($A7="","",SUM(IF($D$5&lt;&gt;"",--(D7="Maladie"),0),IF($F$5&lt;&gt;"",--(F7="Maladie"),0),IF($H$5&lt;&gt;"",--(H7="Maladie"),0),IF($J$5&lt;&gt;"",--(J7="Maladie"),0),IF($L$5&lt;&gt;"",--(L7="Maladie"),0),IF($N$5&lt;&gt;"",--(N7="Maladie"),0),IF($P$5&lt;&gt;"",--(P7="Maladie"),0),IF($R$5&lt;&gt;"",--(R7="Maladie"),0),IF($T$5&lt;&gt;"",--(T7="Maladie"),0),IF($V$5&lt;&gt;"",--(V7="Maladie"),0),IF($X$5&lt;&gt;"",--(X7="Maladie"),0),IF($Z$5&lt;&gt;"",--(Z7="Maladie"),0),IF($AB$5&lt;&gt;"",--(AB7="Maladie"),0),IF($AD$5&lt;&gt;"",--(AD7="Maladie"),0),IF($AF$5&lt;&gt;"",--(AF7="Maladie"),0),IF($AH$5&lt;&gt;"",--(AH7="Maladie"),0),IF($AJ$5&lt;&gt;"",--(AJ7="Maladie"),0),IF($AL$5&lt;&gt;"",--(AL7="Maladie"),0),IF($AN$5&lt;&gt;"",--(AN7="Maladie"),0),IF($AP$5&lt;&gt;"",--(AP7="Maladie"),0),IF($AR$5&lt;&gt;"",--(AR7="Maladie"),0),IF($AT$5&lt;&gt;"",--(AT7="Maladie"),0),IF($AV$5&lt;&gt;"",--(AV7="Maladie"),0),IF($AX$5&lt;&gt;"",--(AX7="Maladie"),0),IF($AZ$5&lt;&gt;"",--(AZ7="Maladie"),0),IF($BB$5&lt;&gt;"",--(BB7="Maladie"),0),IF($BD$5&lt;&gt;"",--(BD7="Maladie"),0),IF($BF$5&lt;&gt;"",--(BF7="Maladie"),0),IF($BH$5&lt;&gt;"",--(BH7="Maladie"),0),IF($BJ$5&lt;&gt;"",--(BJ7="Maladie"),0),IF($BL$5&lt;&gt;"",--(BL7="Maladie"),0)))</f>
      </c>
      <c r="BR7" s="23">
        <f>IF($A7="","",SUM(IF($D$5&lt;&gt;"",IF(D7="Présent",E7,0),0),IF($F$5&lt;&gt;"",IF(F7="Présent",G7,0),0),IF($H$5&lt;&gt;"",IF(H7="Présent",I7,0),0),IF($J$5&lt;&gt;"",IF(J7="Présent",K7,0),0),IF($L$5&lt;&gt;"",IF(L7="Présent",M7,0),0),IF($N$5&lt;&gt;"",IF(N7="Présent",O7,0),0),IF($P$5&lt;&gt;"",IF(P7="Présent",Q7,0),0),IF($R$5&lt;&gt;"",IF(R7="Présent",S7,0),0),IF($T$5&lt;&gt;"",IF(T7="Présent",U7,0),0),IF($V$5&lt;&gt;"",IF(V7="Présent",W7,0),0),IF($X$5&lt;&gt;"",IF(X7="Présent",Y7,0),0),IF($Z$5&lt;&gt;"",IF(Z7="Présent",AA7,0),0),IF($AB$5&lt;&gt;"",IF(AB7="Présent",AC7,0),0),IF($AD$5&lt;&gt;"",IF(AD7="Présent",AE7,0),0),IF($AF$5&lt;&gt;"",IF(AF7="Présent",AG7,0),0),IF($AH$5&lt;&gt;"",IF(AH7="Présent",AI7,0),0),IF($AJ$5&lt;&gt;"",IF(AJ7="Présent",AK7,0),0),IF($AL$5&lt;&gt;"",IF(AL7="Présent",AM7,0),0),IF($AN$5&lt;&gt;"",IF(AN7="Présent",AO7,0),0),IF($AP$5&lt;&gt;"",IF(AP7="Présent",AQ7,0),0),IF($AR$5&lt;&gt;"",IF(AR7="Présent",AS7,0),0),IF($AT$5&lt;&gt;"",IF(AT7="Présent",AU7,0),0),IF($AV$5&lt;&gt;"",IF(AV7="Présent",AW7,0),0),IF($AX$5&lt;&gt;"",IF(AX7="Présent",AY7,0),0),IF($AZ$5&lt;&gt;"",IF(AZ7="Présent",BA7,0),0),IF($BB$5&lt;&gt;"",IF(BB7="Présent",BC7,0),0),IF($BD$5&lt;&gt;"",IF(BD7="Présent",BE7,0),0),IF($BF$5&lt;&gt;"",IF(BF7="Présent",BG7,0),0),IF($BH$5&lt;&gt;"",IF(BH7="Présent",BI7,0),0),IF($BJ$5&lt;&gt;"",IF(BJ7="Présent",BK7,0),0),IF($BL$5&lt;&gt;"",IF(BL7="Présent",BM7,0),0)))</f>
      </c>
      <c r="BS7" s="25">
        <f>IF($A7="","",$BN7*IFERROR(INDEX(Categories_Salaire,MATCH($C7,ListeCategories,0)),0)+$BR7*IF(IFERROR(INDEX(Categories_TauxHS,MATCH($C7,ListeCategories,0)),0)&gt;0,IFERROR(INDEX(Categories_TauxHS,MATCH($C7,ListeCategories,0)),0),TauxHSDefaut))</f>
      </c>
    </row>
    <row r="8">
      <c r="A8" s="20">
        <f>IF(AND(INDEX(Employes_Nom,2)&lt;&gt;"",INDEX(Employes_Statut,2)="Actif",OR(INDEX(Employes_Embauche,2)="",INDEX(Employes_Embauche,2)&lt;=EOMONTH(DATE(AnneeCourante,MoisCourant,1),0))),INDEX(Employes_ID,2),"")</f>
      </c>
      <c r="B8" s="19">
        <f>IF($A8="","",INDEX(Employes_Nom,MATCH($A8,Employes_ID,0)))</f>
      </c>
      <c r="C8" s="20">
        <f>IF($A8="","",INDEX(Employes_Categorie,MATCH($A8,Employes_ID,0)))</f>
      </c>
      <c r="D8" s="26"/>
      <c r="E8" s="27"/>
      <c r="F8" s="26"/>
      <c r="G8" s="27"/>
      <c r="H8" s="26"/>
      <c r="I8" s="27"/>
      <c r="J8" s="26"/>
      <c r="K8" s="27"/>
      <c r="L8" s="26"/>
      <c r="M8" s="27"/>
      <c r="N8" s="26"/>
      <c r="O8" s="27"/>
      <c r="P8" s="26"/>
      <c r="Q8" s="27"/>
      <c r="R8" s="26"/>
      <c r="S8" s="27"/>
      <c r="T8" s="26"/>
      <c r="U8" s="27"/>
      <c r="V8" s="26"/>
      <c r="W8" s="27"/>
      <c r="X8" s="26"/>
      <c r="Y8" s="27"/>
      <c r="Z8" s="26"/>
      <c r="AA8" s="27"/>
      <c r="AB8" s="26"/>
      <c r="AC8" s="27"/>
      <c r="AD8" s="26"/>
      <c r="AE8" s="27"/>
      <c r="AF8" s="26"/>
      <c r="AG8" s="27"/>
      <c r="AH8" s="26"/>
      <c r="AI8" s="27"/>
      <c r="AJ8" s="26"/>
      <c r="AK8" s="27"/>
      <c r="AL8" s="26"/>
      <c r="AM8" s="27"/>
      <c r="AN8" s="26"/>
      <c r="AO8" s="27"/>
      <c r="AP8" s="26"/>
      <c r="AQ8" s="27"/>
      <c r="AR8" s="26"/>
      <c r="AS8" s="27"/>
      <c r="AT8" s="26"/>
      <c r="AU8" s="27"/>
      <c r="AV8" s="26"/>
      <c r="AW8" s="27"/>
      <c r="AX8" s="26"/>
      <c r="AY8" s="27"/>
      <c r="AZ8" s="26"/>
      <c r="BA8" s="27"/>
      <c r="BB8" s="26"/>
      <c r="BC8" s="27"/>
      <c r="BD8" s="26"/>
      <c r="BE8" s="27"/>
      <c r="BF8" s="26"/>
      <c r="BG8" s="27"/>
      <c r="BH8" s="26"/>
      <c r="BI8" s="27"/>
      <c r="BJ8" s="26"/>
      <c r="BK8" s="27"/>
      <c r="BL8" s="26"/>
      <c r="BM8" s="27"/>
      <c r="BN8" s="22">
        <f>IF($A8="","",SUM(IF($D$5&lt;&gt;"",--(D8="Présent"),0),IF($F$5&lt;&gt;"",--(F8="Présent"),0),IF($H$5&lt;&gt;"",--(H8="Présent"),0),IF($J$5&lt;&gt;"",--(J8="Présent"),0),IF($L$5&lt;&gt;"",--(L8="Présent"),0),IF($N$5&lt;&gt;"",--(N8="Présent"),0),IF($P$5&lt;&gt;"",--(P8="Présent"),0),IF($R$5&lt;&gt;"",--(R8="Présent"),0),IF($T$5&lt;&gt;"",--(T8="Présent"),0),IF($V$5&lt;&gt;"",--(V8="Présent"),0),IF($X$5&lt;&gt;"",--(X8="Présent"),0),IF($Z$5&lt;&gt;"",--(Z8="Présent"),0),IF($AB$5&lt;&gt;"",--(AB8="Présent"),0),IF($AD$5&lt;&gt;"",--(AD8="Présent"),0),IF($AF$5&lt;&gt;"",--(AF8="Présent"),0),IF($AH$5&lt;&gt;"",--(AH8="Présent"),0),IF($AJ$5&lt;&gt;"",--(AJ8="Présent"),0),IF($AL$5&lt;&gt;"",--(AL8="Présent"),0),IF($AN$5&lt;&gt;"",--(AN8="Présent"),0),IF($AP$5&lt;&gt;"",--(AP8="Présent"),0),IF($AR$5&lt;&gt;"",--(AR8="Présent"),0),IF($AT$5&lt;&gt;"",--(AT8="Présent"),0),IF($AV$5&lt;&gt;"",--(AV8="Présent"),0),IF($AX$5&lt;&gt;"",--(AX8="Présent"),0),IF($AZ$5&lt;&gt;"",--(AZ8="Présent"),0),IF($BB$5&lt;&gt;"",--(BB8="Présent"),0),IF($BD$5&lt;&gt;"",--(BD8="Présent"),0),IF($BF$5&lt;&gt;"",--(BF8="Présent"),0),IF($BH$5&lt;&gt;"",--(BH8="Présent"),0),IF($BJ$5&lt;&gt;"",--(BJ8="Présent"),0),IF($BL$5&lt;&gt;"",--(BL8="Présent"),0)))</f>
      </c>
      <c r="BO8" s="22">
        <f>IF($A8="","",SUM(IF($D$5&lt;&gt;"",--(D8="Absent"),0),IF($F$5&lt;&gt;"",--(F8="Absent"),0),IF($H$5&lt;&gt;"",--(H8="Absent"),0),IF($J$5&lt;&gt;"",--(J8="Absent"),0),IF($L$5&lt;&gt;"",--(L8="Absent"),0),IF($N$5&lt;&gt;"",--(N8="Absent"),0),IF($P$5&lt;&gt;"",--(P8="Absent"),0),IF($R$5&lt;&gt;"",--(R8="Absent"),0),IF($T$5&lt;&gt;"",--(T8="Absent"),0),IF($V$5&lt;&gt;"",--(V8="Absent"),0),IF($X$5&lt;&gt;"",--(X8="Absent"),0),IF($Z$5&lt;&gt;"",--(Z8="Absent"),0),IF($AB$5&lt;&gt;"",--(AB8="Absent"),0),IF($AD$5&lt;&gt;"",--(AD8="Absent"),0),IF($AF$5&lt;&gt;"",--(AF8="Absent"),0),IF($AH$5&lt;&gt;"",--(AH8="Absent"),0),IF($AJ$5&lt;&gt;"",--(AJ8="Absent"),0),IF($AL$5&lt;&gt;"",--(AL8="Absent"),0),IF($AN$5&lt;&gt;"",--(AN8="Absent"),0),IF($AP$5&lt;&gt;"",--(AP8="Absent"),0),IF($AR$5&lt;&gt;"",--(AR8="Absent"),0),IF($AT$5&lt;&gt;"",--(AT8="Absent"),0),IF($AV$5&lt;&gt;"",--(AV8="Absent"),0),IF($AX$5&lt;&gt;"",--(AX8="Absent"),0),IF($AZ$5&lt;&gt;"",--(AZ8="Absent"),0),IF($BB$5&lt;&gt;"",--(BB8="Absent"),0),IF($BD$5&lt;&gt;"",--(BD8="Absent"),0),IF($BF$5&lt;&gt;"",--(BF8="Absent"),0),IF($BH$5&lt;&gt;"",--(BH8="Absent"),0),IF($BJ$5&lt;&gt;"",--(BJ8="Absent"),0),IF($BL$5&lt;&gt;"",--(BL8="Absent"),0)))</f>
      </c>
      <c r="BP8" s="22">
        <f>IF($A8="","",SUM(IF($D$5&lt;&gt;"",--(D8="Congé"),0),IF($F$5&lt;&gt;"",--(F8="Congé"),0),IF($H$5&lt;&gt;"",--(H8="Congé"),0),IF($J$5&lt;&gt;"",--(J8="Congé"),0),IF($L$5&lt;&gt;"",--(L8="Congé"),0),IF($N$5&lt;&gt;"",--(N8="Congé"),0),IF($P$5&lt;&gt;"",--(P8="Congé"),0),IF($R$5&lt;&gt;"",--(R8="Congé"),0),IF($T$5&lt;&gt;"",--(T8="Congé"),0),IF($V$5&lt;&gt;"",--(V8="Congé"),0),IF($X$5&lt;&gt;"",--(X8="Congé"),0),IF($Z$5&lt;&gt;"",--(Z8="Congé"),0),IF($AB$5&lt;&gt;"",--(AB8="Congé"),0),IF($AD$5&lt;&gt;"",--(AD8="Congé"),0),IF($AF$5&lt;&gt;"",--(AF8="Congé"),0),IF($AH$5&lt;&gt;"",--(AH8="Congé"),0),IF($AJ$5&lt;&gt;"",--(AJ8="Congé"),0),IF($AL$5&lt;&gt;"",--(AL8="Congé"),0),IF($AN$5&lt;&gt;"",--(AN8="Congé"),0),IF($AP$5&lt;&gt;"",--(AP8="Congé"),0),IF($AR$5&lt;&gt;"",--(AR8="Congé"),0),IF($AT$5&lt;&gt;"",--(AT8="Congé"),0),IF($AV$5&lt;&gt;"",--(AV8="Congé"),0),IF($AX$5&lt;&gt;"",--(AX8="Congé"),0),IF($AZ$5&lt;&gt;"",--(AZ8="Congé"),0),IF($BB$5&lt;&gt;"",--(BB8="Congé"),0),IF($BD$5&lt;&gt;"",--(BD8="Congé"),0),IF($BF$5&lt;&gt;"",--(BF8="Congé"),0),IF($BH$5&lt;&gt;"",--(BH8="Congé"),0),IF($BJ$5&lt;&gt;"",--(BJ8="Congé"),0),IF($BL$5&lt;&gt;"",--(BL8="Congé"),0)))</f>
      </c>
      <c r="BQ8" s="22">
        <f>IF($A8="","",SUM(IF($D$5&lt;&gt;"",--(D8="Maladie"),0),IF($F$5&lt;&gt;"",--(F8="Maladie"),0),IF($H$5&lt;&gt;"",--(H8="Maladie"),0),IF($J$5&lt;&gt;"",--(J8="Maladie"),0),IF($L$5&lt;&gt;"",--(L8="Maladie"),0),IF($N$5&lt;&gt;"",--(N8="Maladie"),0),IF($P$5&lt;&gt;"",--(P8="Maladie"),0),IF($R$5&lt;&gt;"",--(R8="Maladie"),0),IF($T$5&lt;&gt;"",--(T8="Maladie"),0),IF($V$5&lt;&gt;"",--(V8="Maladie"),0),IF($X$5&lt;&gt;"",--(X8="Maladie"),0),IF($Z$5&lt;&gt;"",--(Z8="Maladie"),0),IF($AB$5&lt;&gt;"",--(AB8="Maladie"),0),IF($AD$5&lt;&gt;"",--(AD8="Maladie"),0),IF($AF$5&lt;&gt;"",--(AF8="Maladie"),0),IF($AH$5&lt;&gt;"",--(AH8="Maladie"),0),IF($AJ$5&lt;&gt;"",--(AJ8="Maladie"),0),IF($AL$5&lt;&gt;"",--(AL8="Maladie"),0),IF($AN$5&lt;&gt;"",--(AN8="Maladie"),0),IF($AP$5&lt;&gt;"",--(AP8="Maladie"),0),IF($AR$5&lt;&gt;"",--(AR8="Maladie"),0),IF($AT$5&lt;&gt;"",--(AT8="Maladie"),0),IF($AV$5&lt;&gt;"",--(AV8="Maladie"),0),IF($AX$5&lt;&gt;"",--(AX8="Maladie"),0),IF($AZ$5&lt;&gt;"",--(AZ8="Maladie"),0),IF($BB$5&lt;&gt;"",--(BB8="Maladie"),0),IF($BD$5&lt;&gt;"",--(BD8="Maladie"),0),IF($BF$5&lt;&gt;"",--(BF8="Maladie"),0),IF($BH$5&lt;&gt;"",--(BH8="Maladie"),0),IF($BJ$5&lt;&gt;"",--(BJ8="Maladie"),0),IF($BL$5&lt;&gt;"",--(BL8="Maladie"),0)))</f>
      </c>
      <c r="BR8" s="23">
        <f>IF($A8="","",SUM(IF($D$5&lt;&gt;"",IF(D8="Présent",E8,0),0),IF($F$5&lt;&gt;"",IF(F8="Présent",G8,0),0),IF($H$5&lt;&gt;"",IF(H8="Présent",I8,0),0),IF($J$5&lt;&gt;"",IF(J8="Présent",K8,0),0),IF($L$5&lt;&gt;"",IF(L8="Présent",M8,0),0),IF($N$5&lt;&gt;"",IF(N8="Présent",O8,0),0),IF($P$5&lt;&gt;"",IF(P8="Présent",Q8,0),0),IF($R$5&lt;&gt;"",IF(R8="Présent",S8,0),0),IF($T$5&lt;&gt;"",IF(T8="Présent",U8,0),0),IF($V$5&lt;&gt;"",IF(V8="Présent",W8,0),0),IF($X$5&lt;&gt;"",IF(X8="Présent",Y8,0),0),IF($Z$5&lt;&gt;"",IF(Z8="Présent",AA8,0),0),IF($AB$5&lt;&gt;"",IF(AB8="Présent",AC8,0),0),IF($AD$5&lt;&gt;"",IF(AD8="Présent",AE8,0),0),IF($AF$5&lt;&gt;"",IF(AF8="Présent",AG8,0),0),IF($AH$5&lt;&gt;"",IF(AH8="Présent",AI8,0),0),IF($AJ$5&lt;&gt;"",IF(AJ8="Présent",AK8,0),0),IF($AL$5&lt;&gt;"",IF(AL8="Présent",AM8,0),0),IF($AN$5&lt;&gt;"",IF(AN8="Présent",AO8,0),0),IF($AP$5&lt;&gt;"",IF(AP8="Présent",AQ8,0),0),IF($AR$5&lt;&gt;"",IF(AR8="Présent",AS8,0),0),IF($AT$5&lt;&gt;"",IF(AT8="Présent",AU8,0),0),IF($AV$5&lt;&gt;"",IF(AV8="Présent",AW8,0),0),IF($AX$5&lt;&gt;"",IF(AX8="Présent",AY8,0),0),IF($AZ$5&lt;&gt;"",IF(AZ8="Présent",BA8,0),0),IF($BB$5&lt;&gt;"",IF(BB8="Présent",BC8,0),0),IF($BD$5&lt;&gt;"",IF(BD8="Présent",BE8,0),0),IF($BF$5&lt;&gt;"",IF(BF8="Présent",BG8,0),0),IF($BH$5&lt;&gt;"",IF(BH8="Présent",BI8,0),0),IF($BJ$5&lt;&gt;"",IF(BJ8="Présent",BK8,0),0),IF($BL$5&lt;&gt;"",IF(BL8="Présent",BM8,0),0)))</f>
      </c>
      <c r="BS8" s="25">
        <f>IF($A8="","",$BN8*IFERROR(INDEX(Categories_Salaire,MATCH($C8,ListeCategories,0)),0)+$BR8*IF(IFERROR(INDEX(Categories_TauxHS,MATCH($C8,ListeCategories,0)),0)&gt;0,IFERROR(INDEX(Categories_TauxHS,MATCH($C8,ListeCategories,0)),0),TauxHSDefaut))</f>
      </c>
    </row>
    <row r="9">
      <c r="A9" s="20">
        <f>IF(AND(INDEX(Employes_Nom,3)&lt;&gt;"",INDEX(Employes_Statut,3)="Actif",OR(INDEX(Employes_Embauche,3)="",INDEX(Employes_Embauche,3)&lt;=EOMONTH(DATE(AnneeCourante,MoisCourant,1),0))),INDEX(Employes_ID,3),"")</f>
      </c>
      <c r="B9" s="19">
        <f>IF($A9="","",INDEX(Employes_Nom,MATCH($A9,Employes_ID,0)))</f>
      </c>
      <c r="C9" s="20">
        <f>IF($A9="","",INDEX(Employes_Categorie,MATCH($A9,Employes_ID,0)))</f>
      </c>
      <c r="D9" s="26"/>
      <c r="E9" s="27"/>
      <c r="F9" s="26"/>
      <c r="G9" s="27"/>
      <c r="H9" s="26"/>
      <c r="I9" s="27"/>
      <c r="J9" s="26"/>
      <c r="K9" s="27"/>
      <c r="L9" s="26"/>
      <c r="M9" s="27"/>
      <c r="N9" s="26"/>
      <c r="O9" s="27"/>
      <c r="P9" s="26"/>
      <c r="Q9" s="27"/>
      <c r="R9" s="26"/>
      <c r="S9" s="27"/>
      <c r="T9" s="26"/>
      <c r="U9" s="27"/>
      <c r="V9" s="26"/>
      <c r="W9" s="27"/>
      <c r="X9" s="26"/>
      <c r="Y9" s="27"/>
      <c r="Z9" s="26"/>
      <c r="AA9" s="27"/>
      <c r="AB9" s="26"/>
      <c r="AC9" s="27"/>
      <c r="AD9" s="26"/>
      <c r="AE9" s="27"/>
      <c r="AF9" s="26"/>
      <c r="AG9" s="27"/>
      <c r="AH9" s="26"/>
      <c r="AI9" s="27"/>
      <c r="AJ9" s="26"/>
      <c r="AK9" s="27"/>
      <c r="AL9" s="26"/>
      <c r="AM9" s="27"/>
      <c r="AN9" s="26"/>
      <c r="AO9" s="27"/>
      <c r="AP9" s="26"/>
      <c r="AQ9" s="27"/>
      <c r="AR9" s="26"/>
      <c r="AS9" s="27"/>
      <c r="AT9" s="26"/>
      <c r="AU9" s="27"/>
      <c r="AV9" s="26"/>
      <c r="AW9" s="27"/>
      <c r="AX9" s="26"/>
      <c r="AY9" s="27"/>
      <c r="AZ9" s="26"/>
      <c r="BA9" s="27"/>
      <c r="BB9" s="26"/>
      <c r="BC9" s="27"/>
      <c r="BD9" s="26"/>
      <c r="BE9" s="27"/>
      <c r="BF9" s="26"/>
      <c r="BG9" s="27"/>
      <c r="BH9" s="26"/>
      <c r="BI9" s="27"/>
      <c r="BJ9" s="26"/>
      <c r="BK9" s="27"/>
      <c r="BL9" s="26"/>
      <c r="BM9" s="27"/>
      <c r="BN9" s="22">
        <f>IF($A9="","",SUM(IF($D$5&lt;&gt;"",--(D9="Présent"),0),IF($F$5&lt;&gt;"",--(F9="Présent"),0),IF($H$5&lt;&gt;"",--(H9="Présent"),0),IF($J$5&lt;&gt;"",--(J9="Présent"),0),IF($L$5&lt;&gt;"",--(L9="Présent"),0),IF($N$5&lt;&gt;"",--(N9="Présent"),0),IF($P$5&lt;&gt;"",--(P9="Présent"),0),IF($R$5&lt;&gt;"",--(R9="Présent"),0),IF($T$5&lt;&gt;"",--(T9="Présent"),0),IF($V$5&lt;&gt;"",--(V9="Présent"),0),IF($X$5&lt;&gt;"",--(X9="Présent"),0),IF($Z$5&lt;&gt;"",--(Z9="Présent"),0),IF($AB$5&lt;&gt;"",--(AB9="Présent"),0),IF($AD$5&lt;&gt;"",--(AD9="Présent"),0),IF($AF$5&lt;&gt;"",--(AF9="Présent"),0),IF($AH$5&lt;&gt;"",--(AH9="Présent"),0),IF($AJ$5&lt;&gt;"",--(AJ9="Présent"),0),IF($AL$5&lt;&gt;"",--(AL9="Présent"),0),IF($AN$5&lt;&gt;"",--(AN9="Présent"),0),IF($AP$5&lt;&gt;"",--(AP9="Présent"),0),IF($AR$5&lt;&gt;"",--(AR9="Présent"),0),IF($AT$5&lt;&gt;"",--(AT9="Présent"),0),IF($AV$5&lt;&gt;"",--(AV9="Présent"),0),IF($AX$5&lt;&gt;"",--(AX9="Présent"),0),IF($AZ$5&lt;&gt;"",--(AZ9="Présent"),0),IF($BB$5&lt;&gt;"",--(BB9="Présent"),0),IF($BD$5&lt;&gt;"",--(BD9="Présent"),0),IF($BF$5&lt;&gt;"",--(BF9="Présent"),0),IF($BH$5&lt;&gt;"",--(BH9="Présent"),0),IF($BJ$5&lt;&gt;"",--(BJ9="Présent"),0),IF($BL$5&lt;&gt;"",--(BL9="Présent"),0)))</f>
      </c>
      <c r="BO9" s="22">
        <f>IF($A9="","",SUM(IF($D$5&lt;&gt;"",--(D9="Absent"),0),IF($F$5&lt;&gt;"",--(F9="Absent"),0),IF($H$5&lt;&gt;"",--(H9="Absent"),0),IF($J$5&lt;&gt;"",--(J9="Absent"),0),IF($L$5&lt;&gt;"",--(L9="Absent"),0),IF($N$5&lt;&gt;"",--(N9="Absent"),0),IF($P$5&lt;&gt;"",--(P9="Absent"),0),IF($R$5&lt;&gt;"",--(R9="Absent"),0),IF($T$5&lt;&gt;"",--(T9="Absent"),0),IF($V$5&lt;&gt;"",--(V9="Absent"),0),IF($X$5&lt;&gt;"",--(X9="Absent"),0),IF($Z$5&lt;&gt;"",--(Z9="Absent"),0),IF($AB$5&lt;&gt;"",--(AB9="Absent"),0),IF($AD$5&lt;&gt;"",--(AD9="Absent"),0),IF($AF$5&lt;&gt;"",--(AF9="Absent"),0),IF($AH$5&lt;&gt;"",--(AH9="Absent"),0),IF($AJ$5&lt;&gt;"",--(AJ9="Absent"),0),IF($AL$5&lt;&gt;"",--(AL9="Absent"),0),IF($AN$5&lt;&gt;"",--(AN9="Absent"),0),IF($AP$5&lt;&gt;"",--(AP9="Absent"),0),IF($AR$5&lt;&gt;"",--(AR9="Absent"),0),IF($AT$5&lt;&gt;"",--(AT9="Absent"),0),IF($AV$5&lt;&gt;"",--(AV9="Absent"),0),IF($AX$5&lt;&gt;"",--(AX9="Absent"),0),IF($AZ$5&lt;&gt;"",--(AZ9="Absent"),0),IF($BB$5&lt;&gt;"",--(BB9="Absent"),0),IF($BD$5&lt;&gt;"",--(BD9="Absent"),0),IF($BF$5&lt;&gt;"",--(BF9="Absent"),0),IF($BH$5&lt;&gt;"",--(BH9="Absent"),0),IF($BJ$5&lt;&gt;"",--(BJ9="Absent"),0),IF($BL$5&lt;&gt;"",--(BL9="Absent"),0)))</f>
      </c>
      <c r="BP9" s="22">
        <f>IF($A9="","",SUM(IF($D$5&lt;&gt;"",--(D9="Congé"),0),IF($F$5&lt;&gt;"",--(F9="Congé"),0),IF($H$5&lt;&gt;"",--(H9="Congé"),0),IF($J$5&lt;&gt;"",--(J9="Congé"),0),IF($L$5&lt;&gt;"",--(L9="Congé"),0),IF($N$5&lt;&gt;"",--(N9="Congé"),0),IF($P$5&lt;&gt;"",--(P9="Congé"),0),IF($R$5&lt;&gt;"",--(R9="Congé"),0),IF($T$5&lt;&gt;"",--(T9="Congé"),0),IF($V$5&lt;&gt;"",--(V9="Congé"),0),IF($X$5&lt;&gt;"",--(X9="Congé"),0),IF($Z$5&lt;&gt;"",--(Z9="Congé"),0),IF($AB$5&lt;&gt;"",--(AB9="Congé"),0),IF($AD$5&lt;&gt;"",--(AD9="Congé"),0),IF($AF$5&lt;&gt;"",--(AF9="Congé"),0),IF($AH$5&lt;&gt;"",--(AH9="Congé"),0),IF($AJ$5&lt;&gt;"",--(AJ9="Congé"),0),IF($AL$5&lt;&gt;"",--(AL9="Congé"),0),IF($AN$5&lt;&gt;"",--(AN9="Congé"),0),IF($AP$5&lt;&gt;"",--(AP9="Congé"),0),IF($AR$5&lt;&gt;"",--(AR9="Congé"),0),IF($AT$5&lt;&gt;"",--(AT9="Congé"),0),IF($AV$5&lt;&gt;"",--(AV9="Congé"),0),IF($AX$5&lt;&gt;"",--(AX9="Congé"),0),IF($AZ$5&lt;&gt;"",--(AZ9="Congé"),0),IF($BB$5&lt;&gt;"",--(BB9="Congé"),0),IF($BD$5&lt;&gt;"",--(BD9="Congé"),0),IF($BF$5&lt;&gt;"",--(BF9="Congé"),0),IF($BH$5&lt;&gt;"",--(BH9="Congé"),0),IF($BJ$5&lt;&gt;"",--(BJ9="Congé"),0),IF($BL$5&lt;&gt;"",--(BL9="Congé"),0)))</f>
      </c>
      <c r="BQ9" s="22">
        <f>IF($A9="","",SUM(IF($D$5&lt;&gt;"",--(D9="Maladie"),0),IF($F$5&lt;&gt;"",--(F9="Maladie"),0),IF($H$5&lt;&gt;"",--(H9="Maladie"),0),IF($J$5&lt;&gt;"",--(J9="Maladie"),0),IF($L$5&lt;&gt;"",--(L9="Maladie"),0),IF($N$5&lt;&gt;"",--(N9="Maladie"),0),IF($P$5&lt;&gt;"",--(P9="Maladie"),0),IF($R$5&lt;&gt;"",--(R9="Maladie"),0),IF($T$5&lt;&gt;"",--(T9="Maladie"),0),IF($V$5&lt;&gt;"",--(V9="Maladie"),0),IF($X$5&lt;&gt;"",--(X9="Maladie"),0),IF($Z$5&lt;&gt;"",--(Z9="Maladie"),0),IF($AB$5&lt;&gt;"",--(AB9="Maladie"),0),IF($AD$5&lt;&gt;"",--(AD9="Maladie"),0),IF($AF$5&lt;&gt;"",--(AF9="Maladie"),0),IF($AH$5&lt;&gt;"",--(AH9="Maladie"),0),IF($AJ$5&lt;&gt;"",--(AJ9="Maladie"),0),IF($AL$5&lt;&gt;"",--(AL9="Maladie"),0),IF($AN$5&lt;&gt;"",--(AN9="Maladie"),0),IF($AP$5&lt;&gt;"",--(AP9="Maladie"),0),IF($AR$5&lt;&gt;"",--(AR9="Maladie"),0),IF($AT$5&lt;&gt;"",--(AT9="Maladie"),0),IF($AV$5&lt;&gt;"",--(AV9="Maladie"),0),IF($AX$5&lt;&gt;"",--(AX9="Maladie"),0),IF($AZ$5&lt;&gt;"",--(AZ9="Maladie"),0),IF($BB$5&lt;&gt;"",--(BB9="Maladie"),0),IF($BD$5&lt;&gt;"",--(BD9="Maladie"),0),IF($BF$5&lt;&gt;"",--(BF9="Maladie"),0),IF($BH$5&lt;&gt;"",--(BH9="Maladie"),0),IF($BJ$5&lt;&gt;"",--(BJ9="Maladie"),0),IF($BL$5&lt;&gt;"",--(BL9="Maladie"),0)))</f>
      </c>
      <c r="BR9" s="23">
        <f>IF($A9="","",SUM(IF($D$5&lt;&gt;"",IF(D9="Présent",E9,0),0),IF($F$5&lt;&gt;"",IF(F9="Présent",G9,0),0),IF($H$5&lt;&gt;"",IF(H9="Présent",I9,0),0),IF($J$5&lt;&gt;"",IF(J9="Présent",K9,0),0),IF($L$5&lt;&gt;"",IF(L9="Présent",M9,0),0),IF($N$5&lt;&gt;"",IF(N9="Présent",O9,0),0),IF($P$5&lt;&gt;"",IF(P9="Présent",Q9,0),0),IF($R$5&lt;&gt;"",IF(R9="Présent",S9,0),0),IF($T$5&lt;&gt;"",IF(T9="Présent",U9,0),0),IF($V$5&lt;&gt;"",IF(V9="Présent",W9,0),0),IF($X$5&lt;&gt;"",IF(X9="Présent",Y9,0),0),IF($Z$5&lt;&gt;"",IF(Z9="Présent",AA9,0),0),IF($AB$5&lt;&gt;"",IF(AB9="Présent",AC9,0),0),IF($AD$5&lt;&gt;"",IF(AD9="Présent",AE9,0),0),IF($AF$5&lt;&gt;"",IF(AF9="Présent",AG9,0),0),IF($AH$5&lt;&gt;"",IF(AH9="Présent",AI9,0),0),IF($AJ$5&lt;&gt;"",IF(AJ9="Présent",AK9,0),0),IF($AL$5&lt;&gt;"",IF(AL9="Présent",AM9,0),0),IF($AN$5&lt;&gt;"",IF(AN9="Présent",AO9,0),0),IF($AP$5&lt;&gt;"",IF(AP9="Présent",AQ9,0),0),IF($AR$5&lt;&gt;"",IF(AR9="Présent",AS9,0),0),IF($AT$5&lt;&gt;"",IF(AT9="Présent",AU9,0),0),IF($AV$5&lt;&gt;"",IF(AV9="Présent",AW9,0),0),IF($AX$5&lt;&gt;"",IF(AX9="Présent",AY9,0),0),IF($AZ$5&lt;&gt;"",IF(AZ9="Présent",BA9,0),0),IF($BB$5&lt;&gt;"",IF(BB9="Présent",BC9,0),0),IF($BD$5&lt;&gt;"",IF(BD9="Présent",BE9,0),0),IF($BF$5&lt;&gt;"",IF(BF9="Présent",BG9,0),0),IF($BH$5&lt;&gt;"",IF(BH9="Présent",BI9,0),0),IF($BJ$5&lt;&gt;"",IF(BJ9="Présent",BK9,0),0),IF($BL$5&lt;&gt;"",IF(BL9="Présent",BM9,0),0)))</f>
      </c>
      <c r="BS9" s="25">
        <f>IF($A9="","",$BN9*IFERROR(INDEX(Categories_Salaire,MATCH($C9,ListeCategories,0)),0)+$BR9*IF(IFERROR(INDEX(Categories_TauxHS,MATCH($C9,ListeCategories,0)),0)&gt;0,IFERROR(INDEX(Categories_TauxHS,MATCH($C9,ListeCategories,0)),0),TauxHSDefaut))</f>
      </c>
    </row>
    <row r="10">
      <c r="A10" s="20">
        <f>IF(AND(INDEX(Employes_Nom,4)&lt;&gt;"",INDEX(Employes_Statut,4)="Actif",OR(INDEX(Employes_Embauche,4)="",INDEX(Employes_Embauche,4)&lt;=EOMONTH(DATE(AnneeCourante,MoisCourant,1),0))),INDEX(Employes_ID,4),"")</f>
      </c>
      <c r="B10" s="19">
        <f>IF($A10="","",INDEX(Employes_Nom,MATCH($A10,Employes_ID,0)))</f>
      </c>
      <c r="C10" s="20">
        <f>IF($A10="","",INDEX(Employes_Categorie,MATCH($A10,Employes_ID,0)))</f>
      </c>
      <c r="D10" s="26"/>
      <c r="E10" s="27"/>
      <c r="F10" s="26"/>
      <c r="G10" s="27"/>
      <c r="H10" s="26"/>
      <c r="I10" s="27"/>
      <c r="J10" s="26"/>
      <c r="K10" s="27"/>
      <c r="L10" s="26"/>
      <c r="M10" s="27"/>
      <c r="N10" s="26"/>
      <c r="O10" s="27"/>
      <c r="P10" s="26"/>
      <c r="Q10" s="27"/>
      <c r="R10" s="26"/>
      <c r="S10" s="27"/>
      <c r="T10" s="26"/>
      <c r="U10" s="27"/>
      <c r="V10" s="26"/>
      <c r="W10" s="27"/>
      <c r="X10" s="26"/>
      <c r="Y10" s="27"/>
      <c r="Z10" s="26"/>
      <c r="AA10" s="27"/>
      <c r="AB10" s="26"/>
      <c r="AC10" s="27"/>
      <c r="AD10" s="26"/>
      <c r="AE10" s="27"/>
      <c r="AF10" s="26"/>
      <c r="AG10" s="27"/>
      <c r="AH10" s="26"/>
      <c r="AI10" s="27"/>
      <c r="AJ10" s="26"/>
      <c r="AK10" s="27"/>
      <c r="AL10" s="26"/>
      <c r="AM10" s="27"/>
      <c r="AN10" s="26"/>
      <c r="AO10" s="27"/>
      <c r="AP10" s="26"/>
      <c r="AQ10" s="27"/>
      <c r="AR10" s="26"/>
      <c r="AS10" s="27"/>
      <c r="AT10" s="26"/>
      <c r="AU10" s="27"/>
      <c r="AV10" s="26"/>
      <c r="AW10" s="27"/>
      <c r="AX10" s="26"/>
      <c r="AY10" s="27"/>
      <c r="AZ10" s="26"/>
      <c r="BA10" s="27"/>
      <c r="BB10" s="26"/>
      <c r="BC10" s="27"/>
      <c r="BD10" s="26"/>
      <c r="BE10" s="27"/>
      <c r="BF10" s="26"/>
      <c r="BG10" s="27"/>
      <c r="BH10" s="26"/>
      <c r="BI10" s="27"/>
      <c r="BJ10" s="26"/>
      <c r="BK10" s="27"/>
      <c r="BL10" s="26"/>
      <c r="BM10" s="27"/>
      <c r="BN10" s="22">
        <f>IF($A10="","",SUM(IF($D$5&lt;&gt;"",--(D10="Présent"),0),IF($F$5&lt;&gt;"",--(F10="Présent"),0),IF($H$5&lt;&gt;"",--(H10="Présent"),0),IF($J$5&lt;&gt;"",--(J10="Présent"),0),IF($L$5&lt;&gt;"",--(L10="Présent"),0),IF($N$5&lt;&gt;"",--(N10="Présent"),0),IF($P$5&lt;&gt;"",--(P10="Présent"),0),IF($R$5&lt;&gt;"",--(R10="Présent"),0),IF($T$5&lt;&gt;"",--(T10="Présent"),0),IF($V$5&lt;&gt;"",--(V10="Présent"),0),IF($X$5&lt;&gt;"",--(X10="Présent"),0),IF($Z$5&lt;&gt;"",--(Z10="Présent"),0),IF($AB$5&lt;&gt;"",--(AB10="Présent"),0),IF($AD$5&lt;&gt;"",--(AD10="Présent"),0),IF($AF$5&lt;&gt;"",--(AF10="Présent"),0),IF($AH$5&lt;&gt;"",--(AH10="Présent"),0),IF($AJ$5&lt;&gt;"",--(AJ10="Présent"),0),IF($AL$5&lt;&gt;"",--(AL10="Présent"),0),IF($AN$5&lt;&gt;"",--(AN10="Présent"),0),IF($AP$5&lt;&gt;"",--(AP10="Présent"),0),IF($AR$5&lt;&gt;"",--(AR10="Présent"),0),IF($AT$5&lt;&gt;"",--(AT10="Présent"),0),IF($AV$5&lt;&gt;"",--(AV10="Présent"),0),IF($AX$5&lt;&gt;"",--(AX10="Présent"),0),IF($AZ$5&lt;&gt;"",--(AZ10="Présent"),0),IF($BB$5&lt;&gt;"",--(BB10="Présent"),0),IF($BD$5&lt;&gt;"",--(BD10="Présent"),0),IF($BF$5&lt;&gt;"",--(BF10="Présent"),0),IF($BH$5&lt;&gt;"",--(BH10="Présent"),0),IF($BJ$5&lt;&gt;"",--(BJ10="Présent"),0),IF($BL$5&lt;&gt;"",--(BL10="Présent"),0)))</f>
      </c>
      <c r="BO10" s="22">
        <f>IF($A10="","",SUM(IF($D$5&lt;&gt;"",--(D10="Absent"),0),IF($F$5&lt;&gt;"",--(F10="Absent"),0),IF($H$5&lt;&gt;"",--(H10="Absent"),0),IF($J$5&lt;&gt;"",--(J10="Absent"),0),IF($L$5&lt;&gt;"",--(L10="Absent"),0),IF($N$5&lt;&gt;"",--(N10="Absent"),0),IF($P$5&lt;&gt;"",--(P10="Absent"),0),IF($R$5&lt;&gt;"",--(R10="Absent"),0),IF($T$5&lt;&gt;"",--(T10="Absent"),0),IF($V$5&lt;&gt;"",--(V10="Absent"),0),IF($X$5&lt;&gt;"",--(X10="Absent"),0),IF($Z$5&lt;&gt;"",--(Z10="Absent"),0),IF($AB$5&lt;&gt;"",--(AB10="Absent"),0),IF($AD$5&lt;&gt;"",--(AD10="Absent"),0),IF($AF$5&lt;&gt;"",--(AF10="Absent"),0),IF($AH$5&lt;&gt;"",--(AH10="Absent"),0),IF($AJ$5&lt;&gt;"",--(AJ10="Absent"),0),IF($AL$5&lt;&gt;"",--(AL10="Absent"),0),IF($AN$5&lt;&gt;"",--(AN10="Absent"),0),IF($AP$5&lt;&gt;"",--(AP10="Absent"),0),IF($AR$5&lt;&gt;"",--(AR10="Absent"),0),IF($AT$5&lt;&gt;"",--(AT10="Absent"),0),IF($AV$5&lt;&gt;"",--(AV10="Absent"),0),IF($AX$5&lt;&gt;"",--(AX10="Absent"),0),IF($AZ$5&lt;&gt;"",--(AZ10="Absent"),0),IF($BB$5&lt;&gt;"",--(BB10="Absent"),0),IF($BD$5&lt;&gt;"",--(BD10="Absent"),0),IF($BF$5&lt;&gt;"",--(BF10="Absent"),0),IF($BH$5&lt;&gt;"",--(BH10="Absent"),0),IF($BJ$5&lt;&gt;"",--(BJ10="Absent"),0),IF($BL$5&lt;&gt;"",--(BL10="Absent"),0)))</f>
      </c>
      <c r="BP10" s="22">
        <f>IF($A10="","",SUM(IF($D$5&lt;&gt;"",--(D10="Congé"),0),IF($F$5&lt;&gt;"",--(F10="Congé"),0),IF($H$5&lt;&gt;"",--(H10="Congé"),0),IF($J$5&lt;&gt;"",--(J10="Congé"),0),IF($L$5&lt;&gt;"",--(L10="Congé"),0),IF($N$5&lt;&gt;"",--(N10="Congé"),0),IF($P$5&lt;&gt;"",--(P10="Congé"),0),IF($R$5&lt;&gt;"",--(R10="Congé"),0),IF($T$5&lt;&gt;"",--(T10="Congé"),0),IF($V$5&lt;&gt;"",--(V10="Congé"),0),IF($X$5&lt;&gt;"",--(X10="Congé"),0),IF($Z$5&lt;&gt;"",--(Z10="Congé"),0),IF($AB$5&lt;&gt;"",--(AB10="Congé"),0),IF($AD$5&lt;&gt;"",--(AD10="Congé"),0),IF($AF$5&lt;&gt;"",--(AF10="Congé"),0),IF($AH$5&lt;&gt;"",--(AH10="Congé"),0),IF($AJ$5&lt;&gt;"",--(AJ10="Congé"),0),IF($AL$5&lt;&gt;"",--(AL10="Congé"),0),IF($AN$5&lt;&gt;"",--(AN10="Congé"),0),IF($AP$5&lt;&gt;"",--(AP10="Congé"),0),IF($AR$5&lt;&gt;"",--(AR10="Congé"),0),IF($AT$5&lt;&gt;"",--(AT10="Congé"),0),IF($AV$5&lt;&gt;"",--(AV10="Congé"),0),IF($AX$5&lt;&gt;"",--(AX10="Congé"),0),IF($AZ$5&lt;&gt;"",--(AZ10="Congé"),0),IF($BB$5&lt;&gt;"",--(BB10="Congé"),0),IF($BD$5&lt;&gt;"",--(BD10="Congé"),0),IF($BF$5&lt;&gt;"",--(BF10="Congé"),0),IF($BH$5&lt;&gt;"",--(BH10="Congé"),0),IF($BJ$5&lt;&gt;"",--(BJ10="Congé"),0),IF($BL$5&lt;&gt;"",--(BL10="Congé"),0)))</f>
      </c>
      <c r="BQ10" s="22">
        <f>IF($A10="","",SUM(IF($D$5&lt;&gt;"",--(D10="Maladie"),0),IF($F$5&lt;&gt;"",--(F10="Maladie"),0),IF($H$5&lt;&gt;"",--(H10="Maladie"),0),IF($J$5&lt;&gt;"",--(J10="Maladie"),0),IF($L$5&lt;&gt;"",--(L10="Maladie"),0),IF($N$5&lt;&gt;"",--(N10="Maladie"),0),IF($P$5&lt;&gt;"",--(P10="Maladie"),0),IF($R$5&lt;&gt;"",--(R10="Maladie"),0),IF($T$5&lt;&gt;"",--(T10="Maladie"),0),IF($V$5&lt;&gt;"",--(V10="Maladie"),0),IF($X$5&lt;&gt;"",--(X10="Maladie"),0),IF($Z$5&lt;&gt;"",--(Z10="Maladie"),0),IF($AB$5&lt;&gt;"",--(AB10="Maladie"),0),IF($AD$5&lt;&gt;"",--(AD10="Maladie"),0),IF($AF$5&lt;&gt;"",--(AF10="Maladie"),0),IF($AH$5&lt;&gt;"",--(AH10="Maladie"),0),IF($AJ$5&lt;&gt;"",--(AJ10="Maladie"),0),IF($AL$5&lt;&gt;"",--(AL10="Maladie"),0),IF($AN$5&lt;&gt;"",--(AN10="Maladie"),0),IF($AP$5&lt;&gt;"",--(AP10="Maladie"),0),IF($AR$5&lt;&gt;"",--(AR10="Maladie"),0),IF($AT$5&lt;&gt;"",--(AT10="Maladie"),0),IF($AV$5&lt;&gt;"",--(AV10="Maladie"),0),IF($AX$5&lt;&gt;"",--(AX10="Maladie"),0),IF($AZ$5&lt;&gt;"",--(AZ10="Maladie"),0),IF($BB$5&lt;&gt;"",--(BB10="Maladie"),0),IF($BD$5&lt;&gt;"",--(BD10="Maladie"),0),IF($BF$5&lt;&gt;"",--(BF10="Maladie"),0),IF($BH$5&lt;&gt;"",--(BH10="Maladie"),0),IF($BJ$5&lt;&gt;"",--(BJ10="Maladie"),0),IF($BL$5&lt;&gt;"",--(BL10="Maladie"),0)))</f>
      </c>
      <c r="BR10" s="23">
        <f>IF($A10="","",SUM(IF($D$5&lt;&gt;"",IF(D10="Présent",E10,0),0),IF($F$5&lt;&gt;"",IF(F10="Présent",G10,0),0),IF($H$5&lt;&gt;"",IF(H10="Présent",I10,0),0),IF($J$5&lt;&gt;"",IF(J10="Présent",K10,0),0),IF($L$5&lt;&gt;"",IF(L10="Présent",M10,0),0),IF($N$5&lt;&gt;"",IF(N10="Présent",O10,0),0),IF($P$5&lt;&gt;"",IF(P10="Présent",Q10,0),0),IF($R$5&lt;&gt;"",IF(R10="Présent",S10,0),0),IF($T$5&lt;&gt;"",IF(T10="Présent",U10,0),0),IF($V$5&lt;&gt;"",IF(V10="Présent",W10,0),0),IF($X$5&lt;&gt;"",IF(X10="Présent",Y10,0),0),IF($Z$5&lt;&gt;"",IF(Z10="Présent",AA10,0),0),IF($AB$5&lt;&gt;"",IF(AB10="Présent",AC10,0),0),IF($AD$5&lt;&gt;"",IF(AD10="Présent",AE10,0),0),IF($AF$5&lt;&gt;"",IF(AF10="Présent",AG10,0),0),IF($AH$5&lt;&gt;"",IF(AH10="Présent",AI10,0),0),IF($AJ$5&lt;&gt;"",IF(AJ10="Présent",AK10,0),0),IF($AL$5&lt;&gt;"",IF(AL10="Présent",AM10,0),0),IF($AN$5&lt;&gt;"",IF(AN10="Présent",AO10,0),0),IF($AP$5&lt;&gt;"",IF(AP10="Présent",AQ10,0),0),IF($AR$5&lt;&gt;"",IF(AR10="Présent",AS10,0),0),IF($AT$5&lt;&gt;"",IF(AT10="Présent",AU10,0),0),IF($AV$5&lt;&gt;"",IF(AV10="Présent",AW10,0),0),IF($AX$5&lt;&gt;"",IF(AX10="Présent",AY10,0),0),IF($AZ$5&lt;&gt;"",IF(AZ10="Présent",BA10,0),0),IF($BB$5&lt;&gt;"",IF(BB10="Présent",BC10,0),0),IF($BD$5&lt;&gt;"",IF(BD10="Présent",BE10,0),0),IF($BF$5&lt;&gt;"",IF(BF10="Présent",BG10,0),0),IF($BH$5&lt;&gt;"",IF(BH10="Présent",BI10,0),0),IF($BJ$5&lt;&gt;"",IF(BJ10="Présent",BK10,0),0),IF($BL$5&lt;&gt;"",IF(BL10="Présent",BM10,0),0)))</f>
      </c>
      <c r="BS10" s="25">
        <f>IF($A10="","",$BN10*IFERROR(INDEX(Categories_Salaire,MATCH($C10,ListeCategories,0)),0)+$BR10*IF(IFERROR(INDEX(Categories_TauxHS,MATCH($C10,ListeCategories,0)),0)&gt;0,IFERROR(INDEX(Categories_TauxHS,MATCH($C10,ListeCategories,0)),0),TauxHSDefaut))</f>
      </c>
    </row>
    <row r="11">
      <c r="A11" s="20">
        <f>IF(AND(INDEX(Employes_Nom,5)&lt;&gt;"",INDEX(Employes_Statut,5)="Actif",OR(INDEX(Employes_Embauche,5)="",INDEX(Employes_Embauche,5)&lt;=EOMONTH(DATE(AnneeCourante,MoisCourant,1),0))),INDEX(Employes_ID,5),"")</f>
      </c>
      <c r="B11" s="19">
        <f>IF($A11="","",INDEX(Employes_Nom,MATCH($A11,Employes_ID,0)))</f>
      </c>
      <c r="C11" s="20">
        <f>IF($A11="","",INDEX(Employes_Categorie,MATCH($A11,Employes_ID,0)))</f>
      </c>
      <c r="D11" s="26"/>
      <c r="E11" s="27"/>
      <c r="F11" s="26"/>
      <c r="G11" s="27"/>
      <c r="H11" s="26"/>
      <c r="I11" s="27"/>
      <c r="J11" s="26"/>
      <c r="K11" s="27"/>
      <c r="L11" s="26"/>
      <c r="M11" s="27"/>
      <c r="N11" s="26"/>
      <c r="O11" s="27"/>
      <c r="P11" s="26"/>
      <c r="Q11" s="27"/>
      <c r="R11" s="26"/>
      <c r="S11" s="27"/>
      <c r="T11" s="26"/>
      <c r="U11" s="27"/>
      <c r="V11" s="26"/>
      <c r="W11" s="27"/>
      <c r="X11" s="26"/>
      <c r="Y11" s="27"/>
      <c r="Z11" s="26"/>
      <c r="AA11" s="27"/>
      <c r="AB11" s="26"/>
      <c r="AC11" s="27"/>
      <c r="AD11" s="26"/>
      <c r="AE11" s="27"/>
      <c r="AF11" s="26"/>
      <c r="AG11" s="27"/>
      <c r="AH11" s="26"/>
      <c r="AI11" s="27"/>
      <c r="AJ11" s="26"/>
      <c r="AK11" s="27"/>
      <c r="AL11" s="26"/>
      <c r="AM11" s="27"/>
      <c r="AN11" s="26"/>
      <c r="AO11" s="27"/>
      <c r="AP11" s="26"/>
      <c r="AQ11" s="27"/>
      <c r="AR11" s="26"/>
      <c r="AS11" s="27"/>
      <c r="AT11" s="26"/>
      <c r="AU11" s="27"/>
      <c r="AV11" s="26"/>
      <c r="AW11" s="27"/>
      <c r="AX11" s="26"/>
      <c r="AY11" s="27"/>
      <c r="AZ11" s="26"/>
      <c r="BA11" s="27"/>
      <c r="BB11" s="26"/>
      <c r="BC11" s="27"/>
      <c r="BD11" s="26"/>
      <c r="BE11" s="27"/>
      <c r="BF11" s="26"/>
      <c r="BG11" s="27"/>
      <c r="BH11" s="26"/>
      <c r="BI11" s="27"/>
      <c r="BJ11" s="26"/>
      <c r="BK11" s="27"/>
      <c r="BL11" s="26"/>
      <c r="BM11" s="27"/>
      <c r="BN11" s="22">
        <f>IF($A11="","",SUM(IF($D$5&lt;&gt;"",--(D11="Présent"),0),IF($F$5&lt;&gt;"",--(F11="Présent"),0),IF($H$5&lt;&gt;"",--(H11="Présent"),0),IF($J$5&lt;&gt;"",--(J11="Présent"),0),IF($L$5&lt;&gt;"",--(L11="Présent"),0),IF($N$5&lt;&gt;"",--(N11="Présent"),0),IF($P$5&lt;&gt;"",--(P11="Présent"),0),IF($R$5&lt;&gt;"",--(R11="Présent"),0),IF($T$5&lt;&gt;"",--(T11="Présent"),0),IF($V$5&lt;&gt;"",--(V11="Présent"),0),IF($X$5&lt;&gt;"",--(X11="Présent"),0),IF($Z$5&lt;&gt;"",--(Z11="Présent"),0),IF($AB$5&lt;&gt;"",--(AB11="Présent"),0),IF($AD$5&lt;&gt;"",--(AD11="Présent"),0),IF($AF$5&lt;&gt;"",--(AF11="Présent"),0),IF($AH$5&lt;&gt;"",--(AH11="Présent"),0),IF($AJ$5&lt;&gt;"",--(AJ11="Présent"),0),IF($AL$5&lt;&gt;"",--(AL11="Présent"),0),IF($AN$5&lt;&gt;"",--(AN11="Présent"),0),IF($AP$5&lt;&gt;"",--(AP11="Présent"),0),IF($AR$5&lt;&gt;"",--(AR11="Présent"),0),IF($AT$5&lt;&gt;"",--(AT11="Présent"),0),IF($AV$5&lt;&gt;"",--(AV11="Présent"),0),IF($AX$5&lt;&gt;"",--(AX11="Présent"),0),IF($AZ$5&lt;&gt;"",--(AZ11="Présent"),0),IF($BB$5&lt;&gt;"",--(BB11="Présent"),0),IF($BD$5&lt;&gt;"",--(BD11="Présent"),0),IF($BF$5&lt;&gt;"",--(BF11="Présent"),0),IF($BH$5&lt;&gt;"",--(BH11="Présent"),0),IF($BJ$5&lt;&gt;"",--(BJ11="Présent"),0),IF($BL$5&lt;&gt;"",--(BL11="Présent"),0)))</f>
      </c>
      <c r="BO11" s="22">
        <f>IF($A11="","",SUM(IF($D$5&lt;&gt;"",--(D11="Absent"),0),IF($F$5&lt;&gt;"",--(F11="Absent"),0),IF($H$5&lt;&gt;"",--(H11="Absent"),0),IF($J$5&lt;&gt;"",--(J11="Absent"),0),IF($L$5&lt;&gt;"",--(L11="Absent"),0),IF($N$5&lt;&gt;"",--(N11="Absent"),0),IF($P$5&lt;&gt;"",--(P11="Absent"),0),IF($R$5&lt;&gt;"",--(R11="Absent"),0),IF($T$5&lt;&gt;"",--(T11="Absent"),0),IF($V$5&lt;&gt;"",--(V11="Absent"),0),IF($X$5&lt;&gt;"",--(X11="Absent"),0),IF($Z$5&lt;&gt;"",--(Z11="Absent"),0),IF($AB$5&lt;&gt;"",--(AB11="Absent"),0),IF($AD$5&lt;&gt;"",--(AD11="Absent"),0),IF($AF$5&lt;&gt;"",--(AF11="Absent"),0),IF($AH$5&lt;&gt;"",--(AH11="Absent"),0),IF($AJ$5&lt;&gt;"",--(AJ11="Absent"),0),IF($AL$5&lt;&gt;"",--(AL11="Absent"),0),IF($AN$5&lt;&gt;"",--(AN11="Absent"),0),IF($AP$5&lt;&gt;"",--(AP11="Absent"),0),IF($AR$5&lt;&gt;"",--(AR11="Absent"),0),IF($AT$5&lt;&gt;"",--(AT11="Absent"),0),IF($AV$5&lt;&gt;"",--(AV11="Absent"),0),IF($AX$5&lt;&gt;"",--(AX11="Absent"),0),IF($AZ$5&lt;&gt;"",--(AZ11="Absent"),0),IF($BB$5&lt;&gt;"",--(BB11="Absent"),0),IF($BD$5&lt;&gt;"",--(BD11="Absent"),0),IF($BF$5&lt;&gt;"",--(BF11="Absent"),0),IF($BH$5&lt;&gt;"",--(BH11="Absent"),0),IF($BJ$5&lt;&gt;"",--(BJ11="Absent"),0),IF($BL$5&lt;&gt;"",--(BL11="Absent"),0)))</f>
      </c>
      <c r="BP11" s="22">
        <f>IF($A11="","",SUM(IF($D$5&lt;&gt;"",--(D11="Congé"),0),IF($F$5&lt;&gt;"",--(F11="Congé"),0),IF($H$5&lt;&gt;"",--(H11="Congé"),0),IF($J$5&lt;&gt;"",--(J11="Congé"),0),IF($L$5&lt;&gt;"",--(L11="Congé"),0),IF($N$5&lt;&gt;"",--(N11="Congé"),0),IF($P$5&lt;&gt;"",--(P11="Congé"),0),IF($R$5&lt;&gt;"",--(R11="Congé"),0),IF($T$5&lt;&gt;"",--(T11="Congé"),0),IF($V$5&lt;&gt;"",--(V11="Congé"),0),IF($X$5&lt;&gt;"",--(X11="Congé"),0),IF($Z$5&lt;&gt;"",--(Z11="Congé"),0),IF($AB$5&lt;&gt;"",--(AB11="Congé"),0),IF($AD$5&lt;&gt;"",--(AD11="Congé"),0),IF($AF$5&lt;&gt;"",--(AF11="Congé"),0),IF($AH$5&lt;&gt;"",--(AH11="Congé"),0),IF($AJ$5&lt;&gt;"",--(AJ11="Congé"),0),IF($AL$5&lt;&gt;"",--(AL11="Congé"),0),IF($AN$5&lt;&gt;"",--(AN11="Congé"),0),IF($AP$5&lt;&gt;"",--(AP11="Congé"),0),IF($AR$5&lt;&gt;"",--(AR11="Congé"),0),IF($AT$5&lt;&gt;"",--(AT11="Congé"),0),IF($AV$5&lt;&gt;"",--(AV11="Congé"),0),IF($AX$5&lt;&gt;"",--(AX11="Congé"),0),IF($AZ$5&lt;&gt;"",--(AZ11="Congé"),0),IF($BB$5&lt;&gt;"",--(BB11="Congé"),0),IF($BD$5&lt;&gt;"",--(BD11="Congé"),0),IF($BF$5&lt;&gt;"",--(BF11="Congé"),0),IF($BH$5&lt;&gt;"",--(BH11="Congé"),0),IF($BJ$5&lt;&gt;"",--(BJ11="Congé"),0),IF($BL$5&lt;&gt;"",--(BL11="Congé"),0)))</f>
      </c>
      <c r="BQ11" s="22">
        <f>IF($A11="","",SUM(IF($D$5&lt;&gt;"",--(D11="Maladie"),0),IF($F$5&lt;&gt;"",--(F11="Maladie"),0),IF($H$5&lt;&gt;"",--(H11="Maladie"),0),IF($J$5&lt;&gt;"",--(J11="Maladie"),0),IF($L$5&lt;&gt;"",--(L11="Maladie"),0),IF($N$5&lt;&gt;"",--(N11="Maladie"),0),IF($P$5&lt;&gt;"",--(P11="Maladie"),0),IF($R$5&lt;&gt;"",--(R11="Maladie"),0),IF($T$5&lt;&gt;"",--(T11="Maladie"),0),IF($V$5&lt;&gt;"",--(V11="Maladie"),0),IF($X$5&lt;&gt;"",--(X11="Maladie"),0),IF($Z$5&lt;&gt;"",--(Z11="Maladie"),0),IF($AB$5&lt;&gt;"",--(AB11="Maladie"),0),IF($AD$5&lt;&gt;"",--(AD11="Maladie"),0),IF($AF$5&lt;&gt;"",--(AF11="Maladie"),0),IF($AH$5&lt;&gt;"",--(AH11="Maladie"),0),IF($AJ$5&lt;&gt;"",--(AJ11="Maladie"),0),IF($AL$5&lt;&gt;"",--(AL11="Maladie"),0),IF($AN$5&lt;&gt;"",--(AN11="Maladie"),0),IF($AP$5&lt;&gt;"",--(AP11="Maladie"),0),IF($AR$5&lt;&gt;"",--(AR11="Maladie"),0),IF($AT$5&lt;&gt;"",--(AT11="Maladie"),0),IF($AV$5&lt;&gt;"",--(AV11="Maladie"),0),IF($AX$5&lt;&gt;"",--(AX11="Maladie"),0),IF($AZ$5&lt;&gt;"",--(AZ11="Maladie"),0),IF($BB$5&lt;&gt;"",--(BB11="Maladie"),0),IF($BD$5&lt;&gt;"",--(BD11="Maladie"),0),IF($BF$5&lt;&gt;"",--(BF11="Maladie"),0),IF($BH$5&lt;&gt;"",--(BH11="Maladie"),0),IF($BJ$5&lt;&gt;"",--(BJ11="Maladie"),0),IF($BL$5&lt;&gt;"",--(BL11="Maladie"),0)))</f>
      </c>
      <c r="BR11" s="23">
        <f>IF($A11="","",SUM(IF($D$5&lt;&gt;"",IF(D11="Présent",E11,0),0),IF($F$5&lt;&gt;"",IF(F11="Présent",G11,0),0),IF($H$5&lt;&gt;"",IF(H11="Présent",I11,0),0),IF($J$5&lt;&gt;"",IF(J11="Présent",K11,0),0),IF($L$5&lt;&gt;"",IF(L11="Présent",M11,0),0),IF($N$5&lt;&gt;"",IF(N11="Présent",O11,0),0),IF($P$5&lt;&gt;"",IF(P11="Présent",Q11,0),0),IF($R$5&lt;&gt;"",IF(R11="Présent",S11,0),0),IF($T$5&lt;&gt;"",IF(T11="Présent",U11,0),0),IF($V$5&lt;&gt;"",IF(V11="Présent",W11,0),0),IF($X$5&lt;&gt;"",IF(X11="Présent",Y11,0),0),IF($Z$5&lt;&gt;"",IF(Z11="Présent",AA11,0),0),IF($AB$5&lt;&gt;"",IF(AB11="Présent",AC11,0),0),IF($AD$5&lt;&gt;"",IF(AD11="Présent",AE11,0),0),IF($AF$5&lt;&gt;"",IF(AF11="Présent",AG11,0),0),IF($AH$5&lt;&gt;"",IF(AH11="Présent",AI11,0),0),IF($AJ$5&lt;&gt;"",IF(AJ11="Présent",AK11,0),0),IF($AL$5&lt;&gt;"",IF(AL11="Présent",AM11,0),0),IF($AN$5&lt;&gt;"",IF(AN11="Présent",AO11,0),0),IF($AP$5&lt;&gt;"",IF(AP11="Présent",AQ11,0),0),IF($AR$5&lt;&gt;"",IF(AR11="Présent",AS11,0),0),IF($AT$5&lt;&gt;"",IF(AT11="Présent",AU11,0),0),IF($AV$5&lt;&gt;"",IF(AV11="Présent",AW11,0),0),IF($AX$5&lt;&gt;"",IF(AX11="Présent",AY11,0),0),IF($AZ$5&lt;&gt;"",IF(AZ11="Présent",BA11,0),0),IF($BB$5&lt;&gt;"",IF(BB11="Présent",BC11,0),0),IF($BD$5&lt;&gt;"",IF(BD11="Présent",BE11,0),0),IF($BF$5&lt;&gt;"",IF(BF11="Présent",BG11,0),0),IF($BH$5&lt;&gt;"",IF(BH11="Présent",BI11,0),0),IF($BJ$5&lt;&gt;"",IF(BJ11="Présent",BK11,0),0),IF($BL$5&lt;&gt;"",IF(BL11="Présent",BM11,0),0)))</f>
      </c>
      <c r="BS11" s="25">
        <f>IF($A11="","",$BN11*IFERROR(INDEX(Categories_Salaire,MATCH($C11,ListeCategories,0)),0)+$BR11*IF(IFERROR(INDEX(Categories_TauxHS,MATCH($C11,ListeCategories,0)),0)&gt;0,IFERROR(INDEX(Categories_TauxHS,MATCH($C11,ListeCategories,0)),0),TauxHSDefaut))</f>
      </c>
    </row>
    <row r="12">
      <c r="A12" s="20">
        <f>IF(AND(INDEX(Employes_Nom,6)&lt;&gt;"",INDEX(Employes_Statut,6)="Actif",OR(INDEX(Employes_Embauche,6)="",INDEX(Employes_Embauche,6)&lt;=EOMONTH(DATE(AnneeCourante,MoisCourant,1),0))),INDEX(Employes_ID,6),"")</f>
      </c>
      <c r="B12" s="19">
        <f>IF($A12="","",INDEX(Employes_Nom,MATCH($A12,Employes_ID,0)))</f>
      </c>
      <c r="C12" s="20">
        <f>IF($A12="","",INDEX(Employes_Categorie,MATCH($A12,Employes_ID,0)))</f>
      </c>
      <c r="D12" s="26"/>
      <c r="E12" s="27"/>
      <c r="F12" s="26"/>
      <c r="G12" s="27"/>
      <c r="H12" s="26"/>
      <c r="I12" s="27"/>
      <c r="J12" s="26"/>
      <c r="K12" s="27"/>
      <c r="L12" s="26"/>
      <c r="M12" s="27"/>
      <c r="N12" s="26"/>
      <c r="O12" s="27"/>
      <c r="P12" s="26"/>
      <c r="Q12" s="27"/>
      <c r="R12" s="26"/>
      <c r="S12" s="27"/>
      <c r="T12" s="26"/>
      <c r="U12" s="27"/>
      <c r="V12" s="26"/>
      <c r="W12" s="27"/>
      <c r="X12" s="26"/>
      <c r="Y12" s="27"/>
      <c r="Z12" s="26"/>
      <c r="AA12" s="27"/>
      <c r="AB12" s="26"/>
      <c r="AC12" s="27"/>
      <c r="AD12" s="26"/>
      <c r="AE12" s="27"/>
      <c r="AF12" s="26"/>
      <c r="AG12" s="27"/>
      <c r="AH12" s="26"/>
      <c r="AI12" s="27"/>
      <c r="AJ12" s="26"/>
      <c r="AK12" s="27"/>
      <c r="AL12" s="26"/>
      <c r="AM12" s="27"/>
      <c r="AN12" s="26"/>
      <c r="AO12" s="27"/>
      <c r="AP12" s="26"/>
      <c r="AQ12" s="27"/>
      <c r="AR12" s="26"/>
      <c r="AS12" s="27"/>
      <c r="AT12" s="26"/>
      <c r="AU12" s="27"/>
      <c r="AV12" s="26"/>
      <c r="AW12" s="27"/>
      <c r="AX12" s="26"/>
      <c r="AY12" s="27"/>
      <c r="AZ12" s="26"/>
      <c r="BA12" s="27"/>
      <c r="BB12" s="26"/>
      <c r="BC12" s="27"/>
      <c r="BD12" s="26"/>
      <c r="BE12" s="27"/>
      <c r="BF12" s="26"/>
      <c r="BG12" s="27"/>
      <c r="BH12" s="26"/>
      <c r="BI12" s="27"/>
      <c r="BJ12" s="26"/>
      <c r="BK12" s="27"/>
      <c r="BL12" s="26"/>
      <c r="BM12" s="27"/>
      <c r="BN12" s="22">
        <f>IF($A12="","",SUM(IF($D$5&lt;&gt;"",--(D12="Présent"),0),IF($F$5&lt;&gt;"",--(F12="Présent"),0),IF($H$5&lt;&gt;"",--(H12="Présent"),0),IF($J$5&lt;&gt;"",--(J12="Présent"),0),IF($L$5&lt;&gt;"",--(L12="Présent"),0),IF($N$5&lt;&gt;"",--(N12="Présent"),0),IF($P$5&lt;&gt;"",--(P12="Présent"),0),IF($R$5&lt;&gt;"",--(R12="Présent"),0),IF($T$5&lt;&gt;"",--(T12="Présent"),0),IF($V$5&lt;&gt;"",--(V12="Présent"),0),IF($X$5&lt;&gt;"",--(X12="Présent"),0),IF($Z$5&lt;&gt;"",--(Z12="Présent"),0),IF($AB$5&lt;&gt;"",--(AB12="Présent"),0),IF($AD$5&lt;&gt;"",--(AD12="Présent"),0),IF($AF$5&lt;&gt;"",--(AF12="Présent"),0),IF($AH$5&lt;&gt;"",--(AH12="Présent"),0),IF($AJ$5&lt;&gt;"",--(AJ12="Présent"),0),IF($AL$5&lt;&gt;"",--(AL12="Présent"),0),IF($AN$5&lt;&gt;"",--(AN12="Présent"),0),IF($AP$5&lt;&gt;"",--(AP12="Présent"),0),IF($AR$5&lt;&gt;"",--(AR12="Présent"),0),IF($AT$5&lt;&gt;"",--(AT12="Présent"),0),IF($AV$5&lt;&gt;"",--(AV12="Présent"),0),IF($AX$5&lt;&gt;"",--(AX12="Présent"),0),IF($AZ$5&lt;&gt;"",--(AZ12="Présent"),0),IF($BB$5&lt;&gt;"",--(BB12="Présent"),0),IF($BD$5&lt;&gt;"",--(BD12="Présent"),0),IF($BF$5&lt;&gt;"",--(BF12="Présent"),0),IF($BH$5&lt;&gt;"",--(BH12="Présent"),0),IF($BJ$5&lt;&gt;"",--(BJ12="Présent"),0),IF($BL$5&lt;&gt;"",--(BL12="Présent"),0)))</f>
      </c>
      <c r="BO12" s="22">
        <f>IF($A12="","",SUM(IF($D$5&lt;&gt;"",--(D12="Absent"),0),IF($F$5&lt;&gt;"",--(F12="Absent"),0),IF($H$5&lt;&gt;"",--(H12="Absent"),0),IF($J$5&lt;&gt;"",--(J12="Absent"),0),IF($L$5&lt;&gt;"",--(L12="Absent"),0),IF($N$5&lt;&gt;"",--(N12="Absent"),0),IF($P$5&lt;&gt;"",--(P12="Absent"),0),IF($R$5&lt;&gt;"",--(R12="Absent"),0),IF($T$5&lt;&gt;"",--(T12="Absent"),0),IF($V$5&lt;&gt;"",--(V12="Absent"),0),IF($X$5&lt;&gt;"",--(X12="Absent"),0),IF($Z$5&lt;&gt;"",--(Z12="Absent"),0),IF($AB$5&lt;&gt;"",--(AB12="Absent"),0),IF($AD$5&lt;&gt;"",--(AD12="Absent"),0),IF($AF$5&lt;&gt;"",--(AF12="Absent"),0),IF($AH$5&lt;&gt;"",--(AH12="Absent"),0),IF($AJ$5&lt;&gt;"",--(AJ12="Absent"),0),IF($AL$5&lt;&gt;"",--(AL12="Absent"),0),IF($AN$5&lt;&gt;"",--(AN12="Absent"),0),IF($AP$5&lt;&gt;"",--(AP12="Absent"),0),IF($AR$5&lt;&gt;"",--(AR12="Absent"),0),IF($AT$5&lt;&gt;"",--(AT12="Absent"),0),IF($AV$5&lt;&gt;"",--(AV12="Absent"),0),IF($AX$5&lt;&gt;"",--(AX12="Absent"),0),IF($AZ$5&lt;&gt;"",--(AZ12="Absent"),0),IF($BB$5&lt;&gt;"",--(BB12="Absent"),0),IF($BD$5&lt;&gt;"",--(BD12="Absent"),0),IF($BF$5&lt;&gt;"",--(BF12="Absent"),0),IF($BH$5&lt;&gt;"",--(BH12="Absent"),0),IF($BJ$5&lt;&gt;"",--(BJ12="Absent"),0),IF($BL$5&lt;&gt;"",--(BL12="Absent"),0)))</f>
      </c>
      <c r="BP12" s="22">
        <f>IF($A12="","",SUM(IF($D$5&lt;&gt;"",--(D12="Congé"),0),IF($F$5&lt;&gt;"",--(F12="Congé"),0),IF($H$5&lt;&gt;"",--(H12="Congé"),0),IF($J$5&lt;&gt;"",--(J12="Congé"),0),IF($L$5&lt;&gt;"",--(L12="Congé"),0),IF($N$5&lt;&gt;"",--(N12="Congé"),0),IF($P$5&lt;&gt;"",--(P12="Congé"),0),IF($R$5&lt;&gt;"",--(R12="Congé"),0),IF($T$5&lt;&gt;"",--(T12="Congé"),0),IF($V$5&lt;&gt;"",--(V12="Congé"),0),IF($X$5&lt;&gt;"",--(X12="Congé"),0),IF($Z$5&lt;&gt;"",--(Z12="Congé"),0),IF($AB$5&lt;&gt;"",--(AB12="Congé"),0),IF($AD$5&lt;&gt;"",--(AD12="Congé"),0),IF($AF$5&lt;&gt;"",--(AF12="Congé"),0),IF($AH$5&lt;&gt;"",--(AH12="Congé"),0),IF($AJ$5&lt;&gt;"",--(AJ12="Congé"),0),IF($AL$5&lt;&gt;"",--(AL12="Congé"),0),IF($AN$5&lt;&gt;"",--(AN12="Congé"),0),IF($AP$5&lt;&gt;"",--(AP12="Congé"),0),IF($AR$5&lt;&gt;"",--(AR12="Congé"),0),IF($AT$5&lt;&gt;"",--(AT12="Congé"),0),IF($AV$5&lt;&gt;"",--(AV12="Congé"),0),IF($AX$5&lt;&gt;"",--(AX12="Congé"),0),IF($AZ$5&lt;&gt;"",--(AZ12="Congé"),0),IF($BB$5&lt;&gt;"",--(BB12="Congé"),0),IF($BD$5&lt;&gt;"",--(BD12="Congé"),0),IF($BF$5&lt;&gt;"",--(BF12="Congé"),0),IF($BH$5&lt;&gt;"",--(BH12="Congé"),0),IF($BJ$5&lt;&gt;"",--(BJ12="Congé"),0),IF($BL$5&lt;&gt;"",--(BL12="Congé"),0)))</f>
      </c>
      <c r="BQ12" s="22">
        <f>IF($A12="","",SUM(IF($D$5&lt;&gt;"",--(D12="Maladie"),0),IF($F$5&lt;&gt;"",--(F12="Maladie"),0),IF($H$5&lt;&gt;"",--(H12="Maladie"),0),IF($J$5&lt;&gt;"",--(J12="Maladie"),0),IF($L$5&lt;&gt;"",--(L12="Maladie"),0),IF($N$5&lt;&gt;"",--(N12="Maladie"),0),IF($P$5&lt;&gt;"",--(P12="Maladie"),0),IF($R$5&lt;&gt;"",--(R12="Maladie"),0),IF($T$5&lt;&gt;"",--(T12="Maladie"),0),IF($V$5&lt;&gt;"",--(V12="Maladie"),0),IF($X$5&lt;&gt;"",--(X12="Maladie"),0),IF($Z$5&lt;&gt;"",--(Z12="Maladie"),0),IF($AB$5&lt;&gt;"",--(AB12="Maladie"),0),IF($AD$5&lt;&gt;"",--(AD12="Maladie"),0),IF($AF$5&lt;&gt;"",--(AF12="Maladie"),0),IF($AH$5&lt;&gt;"",--(AH12="Maladie"),0),IF($AJ$5&lt;&gt;"",--(AJ12="Maladie"),0),IF($AL$5&lt;&gt;"",--(AL12="Maladie"),0),IF($AN$5&lt;&gt;"",--(AN12="Maladie"),0),IF($AP$5&lt;&gt;"",--(AP12="Maladie"),0),IF($AR$5&lt;&gt;"",--(AR12="Maladie"),0),IF($AT$5&lt;&gt;"",--(AT12="Maladie"),0),IF($AV$5&lt;&gt;"",--(AV12="Maladie"),0),IF($AX$5&lt;&gt;"",--(AX12="Maladie"),0),IF($AZ$5&lt;&gt;"",--(AZ12="Maladie"),0),IF($BB$5&lt;&gt;"",--(BB12="Maladie"),0),IF($BD$5&lt;&gt;"",--(BD12="Maladie"),0),IF($BF$5&lt;&gt;"",--(BF12="Maladie"),0),IF($BH$5&lt;&gt;"",--(BH12="Maladie"),0),IF($BJ$5&lt;&gt;"",--(BJ12="Maladie"),0),IF($BL$5&lt;&gt;"",--(BL12="Maladie"),0)))</f>
      </c>
      <c r="BR12" s="23">
        <f>IF($A12="","",SUM(IF($D$5&lt;&gt;"",IF(D12="Présent",E12,0),0),IF($F$5&lt;&gt;"",IF(F12="Présent",G12,0),0),IF($H$5&lt;&gt;"",IF(H12="Présent",I12,0),0),IF($J$5&lt;&gt;"",IF(J12="Présent",K12,0),0),IF($L$5&lt;&gt;"",IF(L12="Présent",M12,0),0),IF($N$5&lt;&gt;"",IF(N12="Présent",O12,0),0),IF($P$5&lt;&gt;"",IF(P12="Présent",Q12,0),0),IF($R$5&lt;&gt;"",IF(R12="Présent",S12,0),0),IF($T$5&lt;&gt;"",IF(T12="Présent",U12,0),0),IF($V$5&lt;&gt;"",IF(V12="Présent",W12,0),0),IF($X$5&lt;&gt;"",IF(X12="Présent",Y12,0),0),IF($Z$5&lt;&gt;"",IF(Z12="Présent",AA12,0),0),IF($AB$5&lt;&gt;"",IF(AB12="Présent",AC12,0),0),IF($AD$5&lt;&gt;"",IF(AD12="Présent",AE12,0),0),IF($AF$5&lt;&gt;"",IF(AF12="Présent",AG12,0),0),IF($AH$5&lt;&gt;"",IF(AH12="Présent",AI12,0),0),IF($AJ$5&lt;&gt;"",IF(AJ12="Présent",AK12,0),0),IF($AL$5&lt;&gt;"",IF(AL12="Présent",AM12,0),0),IF($AN$5&lt;&gt;"",IF(AN12="Présent",AO12,0),0),IF($AP$5&lt;&gt;"",IF(AP12="Présent",AQ12,0),0),IF($AR$5&lt;&gt;"",IF(AR12="Présent",AS12,0),0),IF($AT$5&lt;&gt;"",IF(AT12="Présent",AU12,0),0),IF($AV$5&lt;&gt;"",IF(AV12="Présent",AW12,0),0),IF($AX$5&lt;&gt;"",IF(AX12="Présent",AY12,0),0),IF($AZ$5&lt;&gt;"",IF(AZ12="Présent",BA12,0),0),IF($BB$5&lt;&gt;"",IF(BB12="Présent",BC12,0),0),IF($BD$5&lt;&gt;"",IF(BD12="Présent",BE12,0),0),IF($BF$5&lt;&gt;"",IF(BF12="Présent",BG12,0),0),IF($BH$5&lt;&gt;"",IF(BH12="Présent",BI12,0),0),IF($BJ$5&lt;&gt;"",IF(BJ12="Présent",BK12,0),0),IF($BL$5&lt;&gt;"",IF(BL12="Présent",BM12,0),0)))</f>
      </c>
      <c r="BS12" s="25">
        <f>IF($A12="","",$BN12*IFERROR(INDEX(Categories_Salaire,MATCH($C12,ListeCategories,0)),0)+$BR12*IF(IFERROR(INDEX(Categories_TauxHS,MATCH($C12,ListeCategories,0)),0)&gt;0,IFERROR(INDEX(Categories_TauxHS,MATCH($C12,ListeCategories,0)),0),TauxHSDefaut))</f>
      </c>
    </row>
    <row r="13">
      <c r="A13" s="20">
        <f>IF(AND(INDEX(Employes_Nom,7)&lt;&gt;"",INDEX(Employes_Statut,7)="Actif",OR(INDEX(Employes_Embauche,7)="",INDEX(Employes_Embauche,7)&lt;=EOMONTH(DATE(AnneeCourante,MoisCourant,1),0))),INDEX(Employes_ID,7),"")</f>
      </c>
      <c r="B13" s="19">
        <f>IF($A13="","",INDEX(Employes_Nom,MATCH($A13,Employes_ID,0)))</f>
      </c>
      <c r="C13" s="20">
        <f>IF($A13="","",INDEX(Employes_Categorie,MATCH($A13,Employes_ID,0)))</f>
      </c>
      <c r="D13" s="26"/>
      <c r="E13" s="27"/>
      <c r="F13" s="26"/>
      <c r="G13" s="27"/>
      <c r="H13" s="26"/>
      <c r="I13" s="27"/>
      <c r="J13" s="26"/>
      <c r="K13" s="27"/>
      <c r="L13" s="26"/>
      <c r="M13" s="27"/>
      <c r="N13" s="26"/>
      <c r="O13" s="27"/>
      <c r="P13" s="26"/>
      <c r="Q13" s="27"/>
      <c r="R13" s="26"/>
      <c r="S13" s="27"/>
      <c r="T13" s="26"/>
      <c r="U13" s="27"/>
      <c r="V13" s="26"/>
      <c r="W13" s="27"/>
      <c r="X13" s="26"/>
      <c r="Y13" s="27"/>
      <c r="Z13" s="26"/>
      <c r="AA13" s="27"/>
      <c r="AB13" s="26"/>
      <c r="AC13" s="27"/>
      <c r="AD13" s="26"/>
      <c r="AE13" s="27"/>
      <c r="AF13" s="26"/>
      <c r="AG13" s="27"/>
      <c r="AH13" s="26"/>
      <c r="AI13" s="27"/>
      <c r="AJ13" s="26"/>
      <c r="AK13" s="27"/>
      <c r="AL13" s="26"/>
      <c r="AM13" s="27"/>
      <c r="AN13" s="26"/>
      <c r="AO13" s="27"/>
      <c r="AP13" s="26"/>
      <c r="AQ13" s="27"/>
      <c r="AR13" s="26"/>
      <c r="AS13" s="27"/>
      <c r="AT13" s="26"/>
      <c r="AU13" s="27"/>
      <c r="AV13" s="26"/>
      <c r="AW13" s="27"/>
      <c r="AX13" s="26"/>
      <c r="AY13" s="27"/>
      <c r="AZ13" s="26"/>
      <c r="BA13" s="27"/>
      <c r="BB13" s="26"/>
      <c r="BC13" s="27"/>
      <c r="BD13" s="26"/>
      <c r="BE13" s="27"/>
      <c r="BF13" s="26"/>
      <c r="BG13" s="27"/>
      <c r="BH13" s="26"/>
      <c r="BI13" s="27"/>
      <c r="BJ13" s="26"/>
      <c r="BK13" s="27"/>
      <c r="BL13" s="26"/>
      <c r="BM13" s="27"/>
      <c r="BN13" s="22">
        <f>IF($A13="","",SUM(IF($D$5&lt;&gt;"",--(D13="Présent"),0),IF($F$5&lt;&gt;"",--(F13="Présent"),0),IF($H$5&lt;&gt;"",--(H13="Présent"),0),IF($J$5&lt;&gt;"",--(J13="Présent"),0),IF($L$5&lt;&gt;"",--(L13="Présent"),0),IF($N$5&lt;&gt;"",--(N13="Présent"),0),IF($P$5&lt;&gt;"",--(P13="Présent"),0),IF($R$5&lt;&gt;"",--(R13="Présent"),0),IF($T$5&lt;&gt;"",--(T13="Présent"),0),IF($V$5&lt;&gt;"",--(V13="Présent"),0),IF($X$5&lt;&gt;"",--(X13="Présent"),0),IF($Z$5&lt;&gt;"",--(Z13="Présent"),0),IF($AB$5&lt;&gt;"",--(AB13="Présent"),0),IF($AD$5&lt;&gt;"",--(AD13="Présent"),0),IF($AF$5&lt;&gt;"",--(AF13="Présent"),0),IF($AH$5&lt;&gt;"",--(AH13="Présent"),0),IF($AJ$5&lt;&gt;"",--(AJ13="Présent"),0),IF($AL$5&lt;&gt;"",--(AL13="Présent"),0),IF($AN$5&lt;&gt;"",--(AN13="Présent"),0),IF($AP$5&lt;&gt;"",--(AP13="Présent"),0),IF($AR$5&lt;&gt;"",--(AR13="Présent"),0),IF($AT$5&lt;&gt;"",--(AT13="Présent"),0),IF($AV$5&lt;&gt;"",--(AV13="Présent"),0),IF($AX$5&lt;&gt;"",--(AX13="Présent"),0),IF($AZ$5&lt;&gt;"",--(AZ13="Présent"),0),IF($BB$5&lt;&gt;"",--(BB13="Présent"),0),IF($BD$5&lt;&gt;"",--(BD13="Présent"),0),IF($BF$5&lt;&gt;"",--(BF13="Présent"),0),IF($BH$5&lt;&gt;"",--(BH13="Présent"),0),IF($BJ$5&lt;&gt;"",--(BJ13="Présent"),0),IF($BL$5&lt;&gt;"",--(BL13="Présent"),0)))</f>
      </c>
      <c r="BO13" s="22">
        <f>IF($A13="","",SUM(IF($D$5&lt;&gt;"",--(D13="Absent"),0),IF($F$5&lt;&gt;"",--(F13="Absent"),0),IF($H$5&lt;&gt;"",--(H13="Absent"),0),IF($J$5&lt;&gt;"",--(J13="Absent"),0),IF($L$5&lt;&gt;"",--(L13="Absent"),0),IF($N$5&lt;&gt;"",--(N13="Absent"),0),IF($P$5&lt;&gt;"",--(P13="Absent"),0),IF($R$5&lt;&gt;"",--(R13="Absent"),0),IF($T$5&lt;&gt;"",--(T13="Absent"),0),IF($V$5&lt;&gt;"",--(V13="Absent"),0),IF($X$5&lt;&gt;"",--(X13="Absent"),0),IF($Z$5&lt;&gt;"",--(Z13="Absent"),0),IF($AB$5&lt;&gt;"",--(AB13="Absent"),0),IF($AD$5&lt;&gt;"",--(AD13="Absent"),0),IF($AF$5&lt;&gt;"",--(AF13="Absent"),0),IF($AH$5&lt;&gt;"",--(AH13="Absent"),0),IF($AJ$5&lt;&gt;"",--(AJ13="Absent"),0),IF($AL$5&lt;&gt;"",--(AL13="Absent"),0),IF($AN$5&lt;&gt;"",--(AN13="Absent"),0),IF($AP$5&lt;&gt;"",--(AP13="Absent"),0),IF($AR$5&lt;&gt;"",--(AR13="Absent"),0),IF($AT$5&lt;&gt;"",--(AT13="Absent"),0),IF($AV$5&lt;&gt;"",--(AV13="Absent"),0),IF($AX$5&lt;&gt;"",--(AX13="Absent"),0),IF($AZ$5&lt;&gt;"",--(AZ13="Absent"),0),IF($BB$5&lt;&gt;"",--(BB13="Absent"),0),IF($BD$5&lt;&gt;"",--(BD13="Absent"),0),IF($BF$5&lt;&gt;"",--(BF13="Absent"),0),IF($BH$5&lt;&gt;"",--(BH13="Absent"),0),IF($BJ$5&lt;&gt;"",--(BJ13="Absent"),0),IF($BL$5&lt;&gt;"",--(BL13="Absent"),0)))</f>
      </c>
      <c r="BP13" s="22">
        <f>IF($A13="","",SUM(IF($D$5&lt;&gt;"",--(D13="Congé"),0),IF($F$5&lt;&gt;"",--(F13="Congé"),0),IF($H$5&lt;&gt;"",--(H13="Congé"),0),IF($J$5&lt;&gt;"",--(J13="Congé"),0),IF($L$5&lt;&gt;"",--(L13="Congé"),0),IF($N$5&lt;&gt;"",--(N13="Congé"),0),IF($P$5&lt;&gt;"",--(P13="Congé"),0),IF($R$5&lt;&gt;"",--(R13="Congé"),0),IF($T$5&lt;&gt;"",--(T13="Congé"),0),IF($V$5&lt;&gt;"",--(V13="Congé"),0),IF($X$5&lt;&gt;"",--(X13="Congé"),0),IF($Z$5&lt;&gt;"",--(Z13="Congé"),0),IF($AB$5&lt;&gt;"",--(AB13="Congé"),0),IF($AD$5&lt;&gt;"",--(AD13="Congé"),0),IF($AF$5&lt;&gt;"",--(AF13="Congé"),0),IF($AH$5&lt;&gt;"",--(AH13="Congé"),0),IF($AJ$5&lt;&gt;"",--(AJ13="Congé"),0),IF($AL$5&lt;&gt;"",--(AL13="Congé"),0),IF($AN$5&lt;&gt;"",--(AN13="Congé"),0),IF($AP$5&lt;&gt;"",--(AP13="Congé"),0),IF($AR$5&lt;&gt;"",--(AR13="Congé"),0),IF($AT$5&lt;&gt;"",--(AT13="Congé"),0),IF($AV$5&lt;&gt;"",--(AV13="Congé"),0),IF($AX$5&lt;&gt;"",--(AX13="Congé"),0),IF($AZ$5&lt;&gt;"",--(AZ13="Congé"),0),IF($BB$5&lt;&gt;"",--(BB13="Congé"),0),IF($BD$5&lt;&gt;"",--(BD13="Congé"),0),IF($BF$5&lt;&gt;"",--(BF13="Congé"),0),IF($BH$5&lt;&gt;"",--(BH13="Congé"),0),IF($BJ$5&lt;&gt;"",--(BJ13="Congé"),0),IF($BL$5&lt;&gt;"",--(BL13="Congé"),0)))</f>
      </c>
      <c r="BQ13" s="22">
        <f>IF($A13="","",SUM(IF($D$5&lt;&gt;"",--(D13="Maladie"),0),IF($F$5&lt;&gt;"",--(F13="Maladie"),0),IF($H$5&lt;&gt;"",--(H13="Maladie"),0),IF($J$5&lt;&gt;"",--(J13="Maladie"),0),IF($L$5&lt;&gt;"",--(L13="Maladie"),0),IF($N$5&lt;&gt;"",--(N13="Maladie"),0),IF($P$5&lt;&gt;"",--(P13="Maladie"),0),IF($R$5&lt;&gt;"",--(R13="Maladie"),0),IF($T$5&lt;&gt;"",--(T13="Maladie"),0),IF($V$5&lt;&gt;"",--(V13="Maladie"),0),IF($X$5&lt;&gt;"",--(X13="Maladie"),0),IF($Z$5&lt;&gt;"",--(Z13="Maladie"),0),IF($AB$5&lt;&gt;"",--(AB13="Maladie"),0),IF($AD$5&lt;&gt;"",--(AD13="Maladie"),0),IF($AF$5&lt;&gt;"",--(AF13="Maladie"),0),IF($AH$5&lt;&gt;"",--(AH13="Maladie"),0),IF($AJ$5&lt;&gt;"",--(AJ13="Maladie"),0),IF($AL$5&lt;&gt;"",--(AL13="Maladie"),0),IF($AN$5&lt;&gt;"",--(AN13="Maladie"),0),IF($AP$5&lt;&gt;"",--(AP13="Maladie"),0),IF($AR$5&lt;&gt;"",--(AR13="Maladie"),0),IF($AT$5&lt;&gt;"",--(AT13="Maladie"),0),IF($AV$5&lt;&gt;"",--(AV13="Maladie"),0),IF($AX$5&lt;&gt;"",--(AX13="Maladie"),0),IF($AZ$5&lt;&gt;"",--(AZ13="Maladie"),0),IF($BB$5&lt;&gt;"",--(BB13="Maladie"),0),IF($BD$5&lt;&gt;"",--(BD13="Maladie"),0),IF($BF$5&lt;&gt;"",--(BF13="Maladie"),0),IF($BH$5&lt;&gt;"",--(BH13="Maladie"),0),IF($BJ$5&lt;&gt;"",--(BJ13="Maladie"),0),IF($BL$5&lt;&gt;"",--(BL13="Maladie"),0)))</f>
      </c>
      <c r="BR13" s="23">
        <f>IF($A13="","",SUM(IF($D$5&lt;&gt;"",IF(D13="Présent",E13,0),0),IF($F$5&lt;&gt;"",IF(F13="Présent",G13,0),0),IF($H$5&lt;&gt;"",IF(H13="Présent",I13,0),0),IF($J$5&lt;&gt;"",IF(J13="Présent",K13,0),0),IF($L$5&lt;&gt;"",IF(L13="Présent",M13,0),0),IF($N$5&lt;&gt;"",IF(N13="Présent",O13,0),0),IF($P$5&lt;&gt;"",IF(P13="Présent",Q13,0),0),IF($R$5&lt;&gt;"",IF(R13="Présent",S13,0),0),IF($T$5&lt;&gt;"",IF(T13="Présent",U13,0),0),IF($V$5&lt;&gt;"",IF(V13="Présent",W13,0),0),IF($X$5&lt;&gt;"",IF(X13="Présent",Y13,0),0),IF($Z$5&lt;&gt;"",IF(Z13="Présent",AA13,0),0),IF($AB$5&lt;&gt;"",IF(AB13="Présent",AC13,0),0),IF($AD$5&lt;&gt;"",IF(AD13="Présent",AE13,0),0),IF($AF$5&lt;&gt;"",IF(AF13="Présent",AG13,0),0),IF($AH$5&lt;&gt;"",IF(AH13="Présent",AI13,0),0),IF($AJ$5&lt;&gt;"",IF(AJ13="Présent",AK13,0),0),IF($AL$5&lt;&gt;"",IF(AL13="Présent",AM13,0),0),IF($AN$5&lt;&gt;"",IF(AN13="Présent",AO13,0),0),IF($AP$5&lt;&gt;"",IF(AP13="Présent",AQ13,0),0),IF($AR$5&lt;&gt;"",IF(AR13="Présent",AS13,0),0),IF($AT$5&lt;&gt;"",IF(AT13="Présent",AU13,0),0),IF($AV$5&lt;&gt;"",IF(AV13="Présent",AW13,0),0),IF($AX$5&lt;&gt;"",IF(AX13="Présent",AY13,0),0),IF($AZ$5&lt;&gt;"",IF(AZ13="Présent",BA13,0),0),IF($BB$5&lt;&gt;"",IF(BB13="Présent",BC13,0),0),IF($BD$5&lt;&gt;"",IF(BD13="Présent",BE13,0),0),IF($BF$5&lt;&gt;"",IF(BF13="Présent",BG13,0),0),IF($BH$5&lt;&gt;"",IF(BH13="Présent",BI13,0),0),IF($BJ$5&lt;&gt;"",IF(BJ13="Présent",BK13,0),0),IF($BL$5&lt;&gt;"",IF(BL13="Présent",BM13,0),0)))</f>
      </c>
      <c r="BS13" s="25">
        <f>IF($A13="","",$BN13*IFERROR(INDEX(Categories_Salaire,MATCH($C13,ListeCategories,0)),0)+$BR13*IF(IFERROR(INDEX(Categories_TauxHS,MATCH($C13,ListeCategories,0)),0)&gt;0,IFERROR(INDEX(Categories_TauxHS,MATCH($C13,ListeCategories,0)),0),TauxHSDefaut))</f>
      </c>
    </row>
    <row r="14">
      <c r="A14" s="20">
        <f>IF(AND(INDEX(Employes_Nom,8)&lt;&gt;"",INDEX(Employes_Statut,8)="Actif",OR(INDEX(Employes_Embauche,8)="",INDEX(Employes_Embauche,8)&lt;=EOMONTH(DATE(AnneeCourante,MoisCourant,1),0))),INDEX(Employes_ID,8),"")</f>
      </c>
      <c r="B14" s="19">
        <f>IF($A14="","",INDEX(Employes_Nom,MATCH($A14,Employes_ID,0)))</f>
      </c>
      <c r="C14" s="20">
        <f>IF($A14="","",INDEX(Employes_Categorie,MATCH($A14,Employes_ID,0)))</f>
      </c>
      <c r="D14" s="26"/>
      <c r="E14" s="27"/>
      <c r="F14" s="26"/>
      <c r="G14" s="27"/>
      <c r="H14" s="26"/>
      <c r="I14" s="27"/>
      <c r="J14" s="26"/>
      <c r="K14" s="27"/>
      <c r="L14" s="26"/>
      <c r="M14" s="27"/>
      <c r="N14" s="26"/>
      <c r="O14" s="27"/>
      <c r="P14" s="26"/>
      <c r="Q14" s="27"/>
      <c r="R14" s="26"/>
      <c r="S14" s="27"/>
      <c r="T14" s="26"/>
      <c r="U14" s="27"/>
      <c r="V14" s="26"/>
      <c r="W14" s="27"/>
      <c r="X14" s="26"/>
      <c r="Y14" s="27"/>
      <c r="Z14" s="26"/>
      <c r="AA14" s="27"/>
      <c r="AB14" s="26"/>
      <c r="AC14" s="27"/>
      <c r="AD14" s="26"/>
      <c r="AE14" s="27"/>
      <c r="AF14" s="26"/>
      <c r="AG14" s="27"/>
      <c r="AH14" s="26"/>
      <c r="AI14" s="27"/>
      <c r="AJ14" s="26"/>
      <c r="AK14" s="27"/>
      <c r="AL14" s="26"/>
      <c r="AM14" s="27"/>
      <c r="AN14" s="26"/>
      <c r="AO14" s="27"/>
      <c r="AP14" s="26"/>
      <c r="AQ14" s="27"/>
      <c r="AR14" s="26"/>
      <c r="AS14" s="27"/>
      <c r="AT14" s="26"/>
      <c r="AU14" s="27"/>
      <c r="AV14" s="26"/>
      <c r="AW14" s="27"/>
      <c r="AX14" s="26"/>
      <c r="AY14" s="27"/>
      <c r="AZ14" s="26"/>
      <c r="BA14" s="27"/>
      <c r="BB14" s="26"/>
      <c r="BC14" s="27"/>
      <c r="BD14" s="26"/>
      <c r="BE14" s="27"/>
      <c r="BF14" s="26"/>
      <c r="BG14" s="27"/>
      <c r="BH14" s="26"/>
      <c r="BI14" s="27"/>
      <c r="BJ14" s="26"/>
      <c r="BK14" s="27"/>
      <c r="BL14" s="26"/>
      <c r="BM14" s="27"/>
      <c r="BN14" s="22">
        <f>IF($A14="","",SUM(IF($D$5&lt;&gt;"",--(D14="Présent"),0),IF($F$5&lt;&gt;"",--(F14="Présent"),0),IF($H$5&lt;&gt;"",--(H14="Présent"),0),IF($J$5&lt;&gt;"",--(J14="Présent"),0),IF($L$5&lt;&gt;"",--(L14="Présent"),0),IF($N$5&lt;&gt;"",--(N14="Présent"),0),IF($P$5&lt;&gt;"",--(P14="Présent"),0),IF($R$5&lt;&gt;"",--(R14="Présent"),0),IF($T$5&lt;&gt;"",--(T14="Présent"),0),IF($V$5&lt;&gt;"",--(V14="Présent"),0),IF($X$5&lt;&gt;"",--(X14="Présent"),0),IF($Z$5&lt;&gt;"",--(Z14="Présent"),0),IF($AB$5&lt;&gt;"",--(AB14="Présent"),0),IF($AD$5&lt;&gt;"",--(AD14="Présent"),0),IF($AF$5&lt;&gt;"",--(AF14="Présent"),0),IF($AH$5&lt;&gt;"",--(AH14="Présent"),0),IF($AJ$5&lt;&gt;"",--(AJ14="Présent"),0),IF($AL$5&lt;&gt;"",--(AL14="Présent"),0),IF($AN$5&lt;&gt;"",--(AN14="Présent"),0),IF($AP$5&lt;&gt;"",--(AP14="Présent"),0),IF($AR$5&lt;&gt;"",--(AR14="Présent"),0),IF($AT$5&lt;&gt;"",--(AT14="Présent"),0),IF($AV$5&lt;&gt;"",--(AV14="Présent"),0),IF($AX$5&lt;&gt;"",--(AX14="Présent"),0),IF($AZ$5&lt;&gt;"",--(AZ14="Présent"),0),IF($BB$5&lt;&gt;"",--(BB14="Présent"),0),IF($BD$5&lt;&gt;"",--(BD14="Présent"),0),IF($BF$5&lt;&gt;"",--(BF14="Présent"),0),IF($BH$5&lt;&gt;"",--(BH14="Présent"),0),IF($BJ$5&lt;&gt;"",--(BJ14="Présent"),0),IF($BL$5&lt;&gt;"",--(BL14="Présent"),0)))</f>
      </c>
      <c r="BO14" s="22">
        <f>IF($A14="","",SUM(IF($D$5&lt;&gt;"",--(D14="Absent"),0),IF($F$5&lt;&gt;"",--(F14="Absent"),0),IF($H$5&lt;&gt;"",--(H14="Absent"),0),IF($J$5&lt;&gt;"",--(J14="Absent"),0),IF($L$5&lt;&gt;"",--(L14="Absent"),0),IF($N$5&lt;&gt;"",--(N14="Absent"),0),IF($P$5&lt;&gt;"",--(P14="Absent"),0),IF($R$5&lt;&gt;"",--(R14="Absent"),0),IF($T$5&lt;&gt;"",--(T14="Absent"),0),IF($V$5&lt;&gt;"",--(V14="Absent"),0),IF($X$5&lt;&gt;"",--(X14="Absent"),0),IF($Z$5&lt;&gt;"",--(Z14="Absent"),0),IF($AB$5&lt;&gt;"",--(AB14="Absent"),0),IF($AD$5&lt;&gt;"",--(AD14="Absent"),0),IF($AF$5&lt;&gt;"",--(AF14="Absent"),0),IF($AH$5&lt;&gt;"",--(AH14="Absent"),0),IF($AJ$5&lt;&gt;"",--(AJ14="Absent"),0),IF($AL$5&lt;&gt;"",--(AL14="Absent"),0),IF($AN$5&lt;&gt;"",--(AN14="Absent"),0),IF($AP$5&lt;&gt;"",--(AP14="Absent"),0),IF($AR$5&lt;&gt;"",--(AR14="Absent"),0),IF($AT$5&lt;&gt;"",--(AT14="Absent"),0),IF($AV$5&lt;&gt;"",--(AV14="Absent"),0),IF($AX$5&lt;&gt;"",--(AX14="Absent"),0),IF($AZ$5&lt;&gt;"",--(AZ14="Absent"),0),IF($BB$5&lt;&gt;"",--(BB14="Absent"),0),IF($BD$5&lt;&gt;"",--(BD14="Absent"),0),IF($BF$5&lt;&gt;"",--(BF14="Absent"),0),IF($BH$5&lt;&gt;"",--(BH14="Absent"),0),IF($BJ$5&lt;&gt;"",--(BJ14="Absent"),0),IF($BL$5&lt;&gt;"",--(BL14="Absent"),0)))</f>
      </c>
      <c r="BP14" s="22">
        <f>IF($A14="","",SUM(IF($D$5&lt;&gt;"",--(D14="Congé"),0),IF($F$5&lt;&gt;"",--(F14="Congé"),0),IF($H$5&lt;&gt;"",--(H14="Congé"),0),IF($J$5&lt;&gt;"",--(J14="Congé"),0),IF($L$5&lt;&gt;"",--(L14="Congé"),0),IF($N$5&lt;&gt;"",--(N14="Congé"),0),IF($P$5&lt;&gt;"",--(P14="Congé"),0),IF($R$5&lt;&gt;"",--(R14="Congé"),0),IF($T$5&lt;&gt;"",--(T14="Congé"),0),IF($V$5&lt;&gt;"",--(V14="Congé"),0),IF($X$5&lt;&gt;"",--(X14="Congé"),0),IF($Z$5&lt;&gt;"",--(Z14="Congé"),0),IF($AB$5&lt;&gt;"",--(AB14="Congé"),0),IF($AD$5&lt;&gt;"",--(AD14="Congé"),0),IF($AF$5&lt;&gt;"",--(AF14="Congé"),0),IF($AH$5&lt;&gt;"",--(AH14="Congé"),0),IF($AJ$5&lt;&gt;"",--(AJ14="Congé"),0),IF($AL$5&lt;&gt;"",--(AL14="Congé"),0),IF($AN$5&lt;&gt;"",--(AN14="Congé"),0),IF($AP$5&lt;&gt;"",--(AP14="Congé"),0),IF($AR$5&lt;&gt;"",--(AR14="Congé"),0),IF($AT$5&lt;&gt;"",--(AT14="Congé"),0),IF($AV$5&lt;&gt;"",--(AV14="Congé"),0),IF($AX$5&lt;&gt;"",--(AX14="Congé"),0),IF($AZ$5&lt;&gt;"",--(AZ14="Congé"),0),IF($BB$5&lt;&gt;"",--(BB14="Congé"),0),IF($BD$5&lt;&gt;"",--(BD14="Congé"),0),IF($BF$5&lt;&gt;"",--(BF14="Congé"),0),IF($BH$5&lt;&gt;"",--(BH14="Congé"),0),IF($BJ$5&lt;&gt;"",--(BJ14="Congé"),0),IF($BL$5&lt;&gt;"",--(BL14="Congé"),0)))</f>
      </c>
      <c r="BQ14" s="22">
        <f>IF($A14="","",SUM(IF($D$5&lt;&gt;"",--(D14="Maladie"),0),IF($F$5&lt;&gt;"",--(F14="Maladie"),0),IF($H$5&lt;&gt;"",--(H14="Maladie"),0),IF($J$5&lt;&gt;"",--(J14="Maladie"),0),IF($L$5&lt;&gt;"",--(L14="Maladie"),0),IF($N$5&lt;&gt;"",--(N14="Maladie"),0),IF($P$5&lt;&gt;"",--(P14="Maladie"),0),IF($R$5&lt;&gt;"",--(R14="Maladie"),0),IF($T$5&lt;&gt;"",--(T14="Maladie"),0),IF($V$5&lt;&gt;"",--(V14="Maladie"),0),IF($X$5&lt;&gt;"",--(X14="Maladie"),0),IF($Z$5&lt;&gt;"",--(Z14="Maladie"),0),IF($AB$5&lt;&gt;"",--(AB14="Maladie"),0),IF($AD$5&lt;&gt;"",--(AD14="Maladie"),0),IF($AF$5&lt;&gt;"",--(AF14="Maladie"),0),IF($AH$5&lt;&gt;"",--(AH14="Maladie"),0),IF($AJ$5&lt;&gt;"",--(AJ14="Maladie"),0),IF($AL$5&lt;&gt;"",--(AL14="Maladie"),0),IF($AN$5&lt;&gt;"",--(AN14="Maladie"),0),IF($AP$5&lt;&gt;"",--(AP14="Maladie"),0),IF($AR$5&lt;&gt;"",--(AR14="Maladie"),0),IF($AT$5&lt;&gt;"",--(AT14="Maladie"),0),IF($AV$5&lt;&gt;"",--(AV14="Maladie"),0),IF($AX$5&lt;&gt;"",--(AX14="Maladie"),0),IF($AZ$5&lt;&gt;"",--(AZ14="Maladie"),0),IF($BB$5&lt;&gt;"",--(BB14="Maladie"),0),IF($BD$5&lt;&gt;"",--(BD14="Maladie"),0),IF($BF$5&lt;&gt;"",--(BF14="Maladie"),0),IF($BH$5&lt;&gt;"",--(BH14="Maladie"),0),IF($BJ$5&lt;&gt;"",--(BJ14="Maladie"),0),IF($BL$5&lt;&gt;"",--(BL14="Maladie"),0)))</f>
      </c>
      <c r="BR14" s="23">
        <f>IF($A14="","",SUM(IF($D$5&lt;&gt;"",IF(D14="Présent",E14,0),0),IF($F$5&lt;&gt;"",IF(F14="Présent",G14,0),0),IF($H$5&lt;&gt;"",IF(H14="Présent",I14,0),0),IF($J$5&lt;&gt;"",IF(J14="Présent",K14,0),0),IF($L$5&lt;&gt;"",IF(L14="Présent",M14,0),0),IF($N$5&lt;&gt;"",IF(N14="Présent",O14,0),0),IF($P$5&lt;&gt;"",IF(P14="Présent",Q14,0),0),IF($R$5&lt;&gt;"",IF(R14="Présent",S14,0),0),IF($T$5&lt;&gt;"",IF(T14="Présent",U14,0),0),IF($V$5&lt;&gt;"",IF(V14="Présent",W14,0),0),IF($X$5&lt;&gt;"",IF(X14="Présent",Y14,0),0),IF($Z$5&lt;&gt;"",IF(Z14="Présent",AA14,0),0),IF($AB$5&lt;&gt;"",IF(AB14="Présent",AC14,0),0),IF($AD$5&lt;&gt;"",IF(AD14="Présent",AE14,0),0),IF($AF$5&lt;&gt;"",IF(AF14="Présent",AG14,0),0),IF($AH$5&lt;&gt;"",IF(AH14="Présent",AI14,0),0),IF($AJ$5&lt;&gt;"",IF(AJ14="Présent",AK14,0),0),IF($AL$5&lt;&gt;"",IF(AL14="Présent",AM14,0),0),IF($AN$5&lt;&gt;"",IF(AN14="Présent",AO14,0),0),IF($AP$5&lt;&gt;"",IF(AP14="Présent",AQ14,0),0),IF($AR$5&lt;&gt;"",IF(AR14="Présent",AS14,0),0),IF($AT$5&lt;&gt;"",IF(AT14="Présent",AU14,0),0),IF($AV$5&lt;&gt;"",IF(AV14="Présent",AW14,0),0),IF($AX$5&lt;&gt;"",IF(AX14="Présent",AY14,0),0),IF($AZ$5&lt;&gt;"",IF(AZ14="Présent",BA14,0),0),IF($BB$5&lt;&gt;"",IF(BB14="Présent",BC14,0),0),IF($BD$5&lt;&gt;"",IF(BD14="Présent",BE14,0),0),IF($BF$5&lt;&gt;"",IF(BF14="Présent",BG14,0),0),IF($BH$5&lt;&gt;"",IF(BH14="Présent",BI14,0),0),IF($BJ$5&lt;&gt;"",IF(BJ14="Présent",BK14,0),0),IF($BL$5&lt;&gt;"",IF(BL14="Présent",BM14,0),0)))</f>
      </c>
      <c r="BS14" s="25">
        <f>IF($A14="","",$BN14*IFERROR(INDEX(Categories_Salaire,MATCH($C14,ListeCategories,0)),0)+$BR14*IF(IFERROR(INDEX(Categories_TauxHS,MATCH($C14,ListeCategories,0)),0)&gt;0,IFERROR(INDEX(Categories_TauxHS,MATCH($C14,ListeCategories,0)),0),TauxHSDefaut))</f>
      </c>
    </row>
    <row r="15">
      <c r="A15" s="20">
        <f>IF(AND(INDEX(Employes_Nom,9)&lt;&gt;"",INDEX(Employes_Statut,9)="Actif",OR(INDEX(Employes_Embauche,9)="",INDEX(Employes_Embauche,9)&lt;=EOMONTH(DATE(AnneeCourante,MoisCourant,1),0))),INDEX(Employes_ID,9),"")</f>
      </c>
      <c r="B15" s="19">
        <f>IF($A15="","",INDEX(Employes_Nom,MATCH($A15,Employes_ID,0)))</f>
      </c>
      <c r="C15" s="20">
        <f>IF($A15="","",INDEX(Employes_Categorie,MATCH($A15,Employes_ID,0)))</f>
      </c>
      <c r="D15" s="26"/>
      <c r="E15" s="27"/>
      <c r="F15" s="26"/>
      <c r="G15" s="27"/>
      <c r="H15" s="26"/>
      <c r="I15" s="27"/>
      <c r="J15" s="26"/>
      <c r="K15" s="27"/>
      <c r="L15" s="26"/>
      <c r="M15" s="27"/>
      <c r="N15" s="26"/>
      <c r="O15" s="27"/>
      <c r="P15" s="26"/>
      <c r="Q15" s="27"/>
      <c r="R15" s="26"/>
      <c r="S15" s="27"/>
      <c r="T15" s="26"/>
      <c r="U15" s="27"/>
      <c r="V15" s="26"/>
      <c r="W15" s="27"/>
      <c r="X15" s="26"/>
      <c r="Y15" s="27"/>
      <c r="Z15" s="26"/>
      <c r="AA15" s="27"/>
      <c r="AB15" s="26"/>
      <c r="AC15" s="27"/>
      <c r="AD15" s="26"/>
      <c r="AE15" s="27"/>
      <c r="AF15" s="26"/>
      <c r="AG15" s="27"/>
      <c r="AH15" s="26"/>
      <c r="AI15" s="27"/>
      <c r="AJ15" s="26"/>
      <c r="AK15" s="27"/>
      <c r="AL15" s="26"/>
      <c r="AM15" s="27"/>
      <c r="AN15" s="26"/>
      <c r="AO15" s="27"/>
      <c r="AP15" s="26"/>
      <c r="AQ15" s="27"/>
      <c r="AR15" s="26"/>
      <c r="AS15" s="27"/>
      <c r="AT15" s="26"/>
      <c r="AU15" s="27"/>
      <c r="AV15" s="26"/>
      <c r="AW15" s="27"/>
      <c r="AX15" s="26"/>
      <c r="AY15" s="27"/>
      <c r="AZ15" s="26"/>
      <c r="BA15" s="27"/>
      <c r="BB15" s="26"/>
      <c r="BC15" s="27"/>
      <c r="BD15" s="26"/>
      <c r="BE15" s="27"/>
      <c r="BF15" s="26"/>
      <c r="BG15" s="27"/>
      <c r="BH15" s="26"/>
      <c r="BI15" s="27"/>
      <c r="BJ15" s="26"/>
      <c r="BK15" s="27"/>
      <c r="BL15" s="26"/>
      <c r="BM15" s="27"/>
      <c r="BN15" s="22">
        <f>IF($A15="","",SUM(IF($D$5&lt;&gt;"",--(D15="Présent"),0),IF($F$5&lt;&gt;"",--(F15="Présent"),0),IF($H$5&lt;&gt;"",--(H15="Présent"),0),IF($J$5&lt;&gt;"",--(J15="Présent"),0),IF($L$5&lt;&gt;"",--(L15="Présent"),0),IF($N$5&lt;&gt;"",--(N15="Présent"),0),IF($P$5&lt;&gt;"",--(P15="Présent"),0),IF($R$5&lt;&gt;"",--(R15="Présent"),0),IF($T$5&lt;&gt;"",--(T15="Présent"),0),IF($V$5&lt;&gt;"",--(V15="Présent"),0),IF($X$5&lt;&gt;"",--(X15="Présent"),0),IF($Z$5&lt;&gt;"",--(Z15="Présent"),0),IF($AB$5&lt;&gt;"",--(AB15="Présent"),0),IF($AD$5&lt;&gt;"",--(AD15="Présent"),0),IF($AF$5&lt;&gt;"",--(AF15="Présent"),0),IF($AH$5&lt;&gt;"",--(AH15="Présent"),0),IF($AJ$5&lt;&gt;"",--(AJ15="Présent"),0),IF($AL$5&lt;&gt;"",--(AL15="Présent"),0),IF($AN$5&lt;&gt;"",--(AN15="Présent"),0),IF($AP$5&lt;&gt;"",--(AP15="Présent"),0),IF($AR$5&lt;&gt;"",--(AR15="Présent"),0),IF($AT$5&lt;&gt;"",--(AT15="Présent"),0),IF($AV$5&lt;&gt;"",--(AV15="Présent"),0),IF($AX$5&lt;&gt;"",--(AX15="Présent"),0),IF($AZ$5&lt;&gt;"",--(AZ15="Présent"),0),IF($BB$5&lt;&gt;"",--(BB15="Présent"),0),IF($BD$5&lt;&gt;"",--(BD15="Présent"),0),IF($BF$5&lt;&gt;"",--(BF15="Présent"),0),IF($BH$5&lt;&gt;"",--(BH15="Présent"),0),IF($BJ$5&lt;&gt;"",--(BJ15="Présent"),0),IF($BL$5&lt;&gt;"",--(BL15="Présent"),0)))</f>
      </c>
      <c r="BO15" s="22">
        <f>IF($A15="","",SUM(IF($D$5&lt;&gt;"",--(D15="Absent"),0),IF($F$5&lt;&gt;"",--(F15="Absent"),0),IF($H$5&lt;&gt;"",--(H15="Absent"),0),IF($J$5&lt;&gt;"",--(J15="Absent"),0),IF($L$5&lt;&gt;"",--(L15="Absent"),0),IF($N$5&lt;&gt;"",--(N15="Absent"),0),IF($P$5&lt;&gt;"",--(P15="Absent"),0),IF($R$5&lt;&gt;"",--(R15="Absent"),0),IF($T$5&lt;&gt;"",--(T15="Absent"),0),IF($V$5&lt;&gt;"",--(V15="Absent"),0),IF($X$5&lt;&gt;"",--(X15="Absent"),0),IF($Z$5&lt;&gt;"",--(Z15="Absent"),0),IF($AB$5&lt;&gt;"",--(AB15="Absent"),0),IF($AD$5&lt;&gt;"",--(AD15="Absent"),0),IF($AF$5&lt;&gt;"",--(AF15="Absent"),0),IF($AH$5&lt;&gt;"",--(AH15="Absent"),0),IF($AJ$5&lt;&gt;"",--(AJ15="Absent"),0),IF($AL$5&lt;&gt;"",--(AL15="Absent"),0),IF($AN$5&lt;&gt;"",--(AN15="Absent"),0),IF($AP$5&lt;&gt;"",--(AP15="Absent"),0),IF($AR$5&lt;&gt;"",--(AR15="Absent"),0),IF($AT$5&lt;&gt;"",--(AT15="Absent"),0),IF($AV$5&lt;&gt;"",--(AV15="Absent"),0),IF($AX$5&lt;&gt;"",--(AX15="Absent"),0),IF($AZ$5&lt;&gt;"",--(AZ15="Absent"),0),IF($BB$5&lt;&gt;"",--(BB15="Absent"),0),IF($BD$5&lt;&gt;"",--(BD15="Absent"),0),IF($BF$5&lt;&gt;"",--(BF15="Absent"),0),IF($BH$5&lt;&gt;"",--(BH15="Absent"),0),IF($BJ$5&lt;&gt;"",--(BJ15="Absent"),0),IF($BL$5&lt;&gt;"",--(BL15="Absent"),0)))</f>
      </c>
      <c r="BP15" s="22">
        <f>IF($A15="","",SUM(IF($D$5&lt;&gt;"",--(D15="Congé"),0),IF($F$5&lt;&gt;"",--(F15="Congé"),0),IF($H$5&lt;&gt;"",--(H15="Congé"),0),IF($J$5&lt;&gt;"",--(J15="Congé"),0),IF($L$5&lt;&gt;"",--(L15="Congé"),0),IF($N$5&lt;&gt;"",--(N15="Congé"),0),IF($P$5&lt;&gt;"",--(P15="Congé"),0),IF($R$5&lt;&gt;"",--(R15="Congé"),0),IF($T$5&lt;&gt;"",--(T15="Congé"),0),IF($V$5&lt;&gt;"",--(V15="Congé"),0),IF($X$5&lt;&gt;"",--(X15="Congé"),0),IF($Z$5&lt;&gt;"",--(Z15="Congé"),0),IF($AB$5&lt;&gt;"",--(AB15="Congé"),0),IF($AD$5&lt;&gt;"",--(AD15="Congé"),0),IF($AF$5&lt;&gt;"",--(AF15="Congé"),0),IF($AH$5&lt;&gt;"",--(AH15="Congé"),0),IF($AJ$5&lt;&gt;"",--(AJ15="Congé"),0),IF($AL$5&lt;&gt;"",--(AL15="Congé"),0),IF($AN$5&lt;&gt;"",--(AN15="Congé"),0),IF($AP$5&lt;&gt;"",--(AP15="Congé"),0),IF($AR$5&lt;&gt;"",--(AR15="Congé"),0),IF($AT$5&lt;&gt;"",--(AT15="Congé"),0),IF($AV$5&lt;&gt;"",--(AV15="Congé"),0),IF($AX$5&lt;&gt;"",--(AX15="Congé"),0),IF($AZ$5&lt;&gt;"",--(AZ15="Congé"),0),IF($BB$5&lt;&gt;"",--(BB15="Congé"),0),IF($BD$5&lt;&gt;"",--(BD15="Congé"),0),IF($BF$5&lt;&gt;"",--(BF15="Congé"),0),IF($BH$5&lt;&gt;"",--(BH15="Congé"),0),IF($BJ$5&lt;&gt;"",--(BJ15="Congé"),0),IF($BL$5&lt;&gt;"",--(BL15="Congé"),0)))</f>
      </c>
      <c r="BQ15" s="22">
        <f>IF($A15="","",SUM(IF($D$5&lt;&gt;"",--(D15="Maladie"),0),IF($F$5&lt;&gt;"",--(F15="Maladie"),0),IF($H$5&lt;&gt;"",--(H15="Maladie"),0),IF($J$5&lt;&gt;"",--(J15="Maladie"),0),IF($L$5&lt;&gt;"",--(L15="Maladie"),0),IF($N$5&lt;&gt;"",--(N15="Maladie"),0),IF($P$5&lt;&gt;"",--(P15="Maladie"),0),IF($R$5&lt;&gt;"",--(R15="Maladie"),0),IF($T$5&lt;&gt;"",--(T15="Maladie"),0),IF($V$5&lt;&gt;"",--(V15="Maladie"),0),IF($X$5&lt;&gt;"",--(X15="Maladie"),0),IF($Z$5&lt;&gt;"",--(Z15="Maladie"),0),IF($AB$5&lt;&gt;"",--(AB15="Maladie"),0),IF($AD$5&lt;&gt;"",--(AD15="Maladie"),0),IF($AF$5&lt;&gt;"",--(AF15="Maladie"),0),IF($AH$5&lt;&gt;"",--(AH15="Maladie"),0),IF($AJ$5&lt;&gt;"",--(AJ15="Maladie"),0),IF($AL$5&lt;&gt;"",--(AL15="Maladie"),0),IF($AN$5&lt;&gt;"",--(AN15="Maladie"),0),IF($AP$5&lt;&gt;"",--(AP15="Maladie"),0),IF($AR$5&lt;&gt;"",--(AR15="Maladie"),0),IF($AT$5&lt;&gt;"",--(AT15="Maladie"),0),IF($AV$5&lt;&gt;"",--(AV15="Maladie"),0),IF($AX$5&lt;&gt;"",--(AX15="Maladie"),0),IF($AZ$5&lt;&gt;"",--(AZ15="Maladie"),0),IF($BB$5&lt;&gt;"",--(BB15="Maladie"),0),IF($BD$5&lt;&gt;"",--(BD15="Maladie"),0),IF($BF$5&lt;&gt;"",--(BF15="Maladie"),0),IF($BH$5&lt;&gt;"",--(BH15="Maladie"),0),IF($BJ$5&lt;&gt;"",--(BJ15="Maladie"),0),IF($BL$5&lt;&gt;"",--(BL15="Maladie"),0)))</f>
      </c>
      <c r="BR15" s="23">
        <f>IF($A15="","",SUM(IF($D$5&lt;&gt;"",IF(D15="Présent",E15,0),0),IF($F$5&lt;&gt;"",IF(F15="Présent",G15,0),0),IF($H$5&lt;&gt;"",IF(H15="Présent",I15,0),0),IF($J$5&lt;&gt;"",IF(J15="Présent",K15,0),0),IF($L$5&lt;&gt;"",IF(L15="Présent",M15,0),0),IF($N$5&lt;&gt;"",IF(N15="Présent",O15,0),0),IF($P$5&lt;&gt;"",IF(P15="Présent",Q15,0),0),IF($R$5&lt;&gt;"",IF(R15="Présent",S15,0),0),IF($T$5&lt;&gt;"",IF(T15="Présent",U15,0),0),IF($V$5&lt;&gt;"",IF(V15="Présent",W15,0),0),IF($X$5&lt;&gt;"",IF(X15="Présent",Y15,0),0),IF($Z$5&lt;&gt;"",IF(Z15="Présent",AA15,0),0),IF($AB$5&lt;&gt;"",IF(AB15="Présent",AC15,0),0),IF($AD$5&lt;&gt;"",IF(AD15="Présent",AE15,0),0),IF($AF$5&lt;&gt;"",IF(AF15="Présent",AG15,0),0),IF($AH$5&lt;&gt;"",IF(AH15="Présent",AI15,0),0),IF($AJ$5&lt;&gt;"",IF(AJ15="Présent",AK15,0),0),IF($AL$5&lt;&gt;"",IF(AL15="Présent",AM15,0),0),IF($AN$5&lt;&gt;"",IF(AN15="Présent",AO15,0),0),IF($AP$5&lt;&gt;"",IF(AP15="Présent",AQ15,0),0),IF($AR$5&lt;&gt;"",IF(AR15="Présent",AS15,0),0),IF($AT$5&lt;&gt;"",IF(AT15="Présent",AU15,0),0),IF($AV$5&lt;&gt;"",IF(AV15="Présent",AW15,0),0),IF($AX$5&lt;&gt;"",IF(AX15="Présent",AY15,0),0),IF($AZ$5&lt;&gt;"",IF(AZ15="Présent",BA15,0),0),IF($BB$5&lt;&gt;"",IF(BB15="Présent",BC15,0),0),IF($BD$5&lt;&gt;"",IF(BD15="Présent",BE15,0),0),IF($BF$5&lt;&gt;"",IF(BF15="Présent",BG15,0),0),IF($BH$5&lt;&gt;"",IF(BH15="Présent",BI15,0),0),IF($BJ$5&lt;&gt;"",IF(BJ15="Présent",BK15,0),0),IF($BL$5&lt;&gt;"",IF(BL15="Présent",BM15,0),0)))</f>
      </c>
      <c r="BS15" s="25">
        <f>IF($A15="","",$BN15*IFERROR(INDEX(Categories_Salaire,MATCH($C15,ListeCategories,0)),0)+$BR15*IF(IFERROR(INDEX(Categories_TauxHS,MATCH($C15,ListeCategories,0)),0)&gt;0,IFERROR(INDEX(Categories_TauxHS,MATCH($C15,ListeCategories,0)),0),TauxHSDefaut))</f>
      </c>
    </row>
    <row r="16">
      <c r="A16" s="20">
        <f>IF(AND(INDEX(Employes_Nom,10)&lt;&gt;"",INDEX(Employes_Statut,10)="Actif",OR(INDEX(Employes_Embauche,10)="",INDEX(Employes_Embauche,10)&lt;=EOMONTH(DATE(AnneeCourante,MoisCourant,1),0))),INDEX(Employes_ID,10),"")</f>
      </c>
      <c r="B16" s="19">
        <f>IF($A16="","",INDEX(Employes_Nom,MATCH($A16,Employes_ID,0)))</f>
      </c>
      <c r="C16" s="20">
        <f>IF($A16="","",INDEX(Employes_Categorie,MATCH($A16,Employes_ID,0)))</f>
      </c>
      <c r="D16" s="26"/>
      <c r="E16" s="27"/>
      <c r="F16" s="26"/>
      <c r="G16" s="27"/>
      <c r="H16" s="26"/>
      <c r="I16" s="27"/>
      <c r="J16" s="26"/>
      <c r="K16" s="27"/>
      <c r="L16" s="26"/>
      <c r="M16" s="27"/>
      <c r="N16" s="26"/>
      <c r="O16" s="27"/>
      <c r="P16" s="26"/>
      <c r="Q16" s="27"/>
      <c r="R16" s="26"/>
      <c r="S16" s="27"/>
      <c r="T16" s="26"/>
      <c r="U16" s="27"/>
      <c r="V16" s="26"/>
      <c r="W16" s="27"/>
      <c r="X16" s="26"/>
      <c r="Y16" s="27"/>
      <c r="Z16" s="26"/>
      <c r="AA16" s="27"/>
      <c r="AB16" s="26"/>
      <c r="AC16" s="27"/>
      <c r="AD16" s="26"/>
      <c r="AE16" s="27"/>
      <c r="AF16" s="26"/>
      <c r="AG16" s="27"/>
      <c r="AH16" s="26"/>
      <c r="AI16" s="27"/>
      <c r="AJ16" s="26"/>
      <c r="AK16" s="27"/>
      <c r="AL16" s="26"/>
      <c r="AM16" s="27"/>
      <c r="AN16" s="26"/>
      <c r="AO16" s="27"/>
      <c r="AP16" s="26"/>
      <c r="AQ16" s="27"/>
      <c r="AR16" s="26"/>
      <c r="AS16" s="27"/>
      <c r="AT16" s="26"/>
      <c r="AU16" s="27"/>
      <c r="AV16" s="26"/>
      <c r="AW16" s="27"/>
      <c r="AX16" s="26"/>
      <c r="AY16" s="27"/>
      <c r="AZ16" s="26"/>
      <c r="BA16" s="27"/>
      <c r="BB16" s="26"/>
      <c r="BC16" s="27"/>
      <c r="BD16" s="26"/>
      <c r="BE16" s="27"/>
      <c r="BF16" s="26"/>
      <c r="BG16" s="27"/>
      <c r="BH16" s="26"/>
      <c r="BI16" s="27"/>
      <c r="BJ16" s="26"/>
      <c r="BK16" s="27"/>
      <c r="BL16" s="26"/>
      <c r="BM16" s="27"/>
      <c r="BN16" s="22">
        <f>IF($A16="","",SUM(IF($D$5&lt;&gt;"",--(D16="Présent"),0),IF($F$5&lt;&gt;"",--(F16="Présent"),0),IF($H$5&lt;&gt;"",--(H16="Présent"),0),IF($J$5&lt;&gt;"",--(J16="Présent"),0),IF($L$5&lt;&gt;"",--(L16="Présent"),0),IF($N$5&lt;&gt;"",--(N16="Présent"),0),IF($P$5&lt;&gt;"",--(P16="Présent"),0),IF($R$5&lt;&gt;"",--(R16="Présent"),0),IF($T$5&lt;&gt;"",--(T16="Présent"),0),IF($V$5&lt;&gt;"",--(V16="Présent"),0),IF($X$5&lt;&gt;"",--(X16="Présent"),0),IF($Z$5&lt;&gt;"",--(Z16="Présent"),0),IF($AB$5&lt;&gt;"",--(AB16="Présent"),0),IF($AD$5&lt;&gt;"",--(AD16="Présent"),0),IF($AF$5&lt;&gt;"",--(AF16="Présent"),0),IF($AH$5&lt;&gt;"",--(AH16="Présent"),0),IF($AJ$5&lt;&gt;"",--(AJ16="Présent"),0),IF($AL$5&lt;&gt;"",--(AL16="Présent"),0),IF($AN$5&lt;&gt;"",--(AN16="Présent"),0),IF($AP$5&lt;&gt;"",--(AP16="Présent"),0),IF($AR$5&lt;&gt;"",--(AR16="Présent"),0),IF($AT$5&lt;&gt;"",--(AT16="Présent"),0),IF($AV$5&lt;&gt;"",--(AV16="Présent"),0),IF($AX$5&lt;&gt;"",--(AX16="Présent"),0),IF($AZ$5&lt;&gt;"",--(AZ16="Présent"),0),IF($BB$5&lt;&gt;"",--(BB16="Présent"),0),IF($BD$5&lt;&gt;"",--(BD16="Présent"),0),IF($BF$5&lt;&gt;"",--(BF16="Présent"),0),IF($BH$5&lt;&gt;"",--(BH16="Présent"),0),IF($BJ$5&lt;&gt;"",--(BJ16="Présent"),0),IF($BL$5&lt;&gt;"",--(BL16="Présent"),0)))</f>
      </c>
      <c r="BO16" s="22">
        <f>IF($A16="","",SUM(IF($D$5&lt;&gt;"",--(D16="Absent"),0),IF($F$5&lt;&gt;"",--(F16="Absent"),0),IF($H$5&lt;&gt;"",--(H16="Absent"),0),IF($J$5&lt;&gt;"",--(J16="Absent"),0),IF($L$5&lt;&gt;"",--(L16="Absent"),0),IF($N$5&lt;&gt;"",--(N16="Absent"),0),IF($P$5&lt;&gt;"",--(P16="Absent"),0),IF($R$5&lt;&gt;"",--(R16="Absent"),0),IF($T$5&lt;&gt;"",--(T16="Absent"),0),IF($V$5&lt;&gt;"",--(V16="Absent"),0),IF($X$5&lt;&gt;"",--(X16="Absent"),0),IF($Z$5&lt;&gt;"",--(Z16="Absent"),0),IF($AB$5&lt;&gt;"",--(AB16="Absent"),0),IF($AD$5&lt;&gt;"",--(AD16="Absent"),0),IF($AF$5&lt;&gt;"",--(AF16="Absent"),0),IF($AH$5&lt;&gt;"",--(AH16="Absent"),0),IF($AJ$5&lt;&gt;"",--(AJ16="Absent"),0),IF($AL$5&lt;&gt;"",--(AL16="Absent"),0),IF($AN$5&lt;&gt;"",--(AN16="Absent"),0),IF($AP$5&lt;&gt;"",--(AP16="Absent"),0),IF($AR$5&lt;&gt;"",--(AR16="Absent"),0),IF($AT$5&lt;&gt;"",--(AT16="Absent"),0),IF($AV$5&lt;&gt;"",--(AV16="Absent"),0),IF($AX$5&lt;&gt;"",--(AX16="Absent"),0),IF($AZ$5&lt;&gt;"",--(AZ16="Absent"),0),IF($BB$5&lt;&gt;"",--(BB16="Absent"),0),IF($BD$5&lt;&gt;"",--(BD16="Absent"),0),IF($BF$5&lt;&gt;"",--(BF16="Absent"),0),IF($BH$5&lt;&gt;"",--(BH16="Absent"),0),IF($BJ$5&lt;&gt;"",--(BJ16="Absent"),0),IF($BL$5&lt;&gt;"",--(BL16="Absent"),0)))</f>
      </c>
      <c r="BP16" s="22">
        <f>IF($A16="","",SUM(IF($D$5&lt;&gt;"",--(D16="Congé"),0),IF($F$5&lt;&gt;"",--(F16="Congé"),0),IF($H$5&lt;&gt;"",--(H16="Congé"),0),IF($J$5&lt;&gt;"",--(J16="Congé"),0),IF($L$5&lt;&gt;"",--(L16="Congé"),0),IF($N$5&lt;&gt;"",--(N16="Congé"),0),IF($P$5&lt;&gt;"",--(P16="Congé"),0),IF($R$5&lt;&gt;"",--(R16="Congé"),0),IF($T$5&lt;&gt;"",--(T16="Congé"),0),IF($V$5&lt;&gt;"",--(V16="Congé"),0),IF($X$5&lt;&gt;"",--(X16="Congé"),0),IF($Z$5&lt;&gt;"",--(Z16="Congé"),0),IF($AB$5&lt;&gt;"",--(AB16="Congé"),0),IF($AD$5&lt;&gt;"",--(AD16="Congé"),0),IF($AF$5&lt;&gt;"",--(AF16="Congé"),0),IF($AH$5&lt;&gt;"",--(AH16="Congé"),0),IF($AJ$5&lt;&gt;"",--(AJ16="Congé"),0),IF($AL$5&lt;&gt;"",--(AL16="Congé"),0),IF($AN$5&lt;&gt;"",--(AN16="Congé"),0),IF($AP$5&lt;&gt;"",--(AP16="Congé"),0),IF($AR$5&lt;&gt;"",--(AR16="Congé"),0),IF($AT$5&lt;&gt;"",--(AT16="Congé"),0),IF($AV$5&lt;&gt;"",--(AV16="Congé"),0),IF($AX$5&lt;&gt;"",--(AX16="Congé"),0),IF($AZ$5&lt;&gt;"",--(AZ16="Congé"),0),IF($BB$5&lt;&gt;"",--(BB16="Congé"),0),IF($BD$5&lt;&gt;"",--(BD16="Congé"),0),IF($BF$5&lt;&gt;"",--(BF16="Congé"),0),IF($BH$5&lt;&gt;"",--(BH16="Congé"),0),IF($BJ$5&lt;&gt;"",--(BJ16="Congé"),0),IF($BL$5&lt;&gt;"",--(BL16="Congé"),0)))</f>
      </c>
      <c r="BQ16" s="22">
        <f>IF($A16="","",SUM(IF($D$5&lt;&gt;"",--(D16="Maladie"),0),IF($F$5&lt;&gt;"",--(F16="Maladie"),0),IF($H$5&lt;&gt;"",--(H16="Maladie"),0),IF($J$5&lt;&gt;"",--(J16="Maladie"),0),IF($L$5&lt;&gt;"",--(L16="Maladie"),0),IF($N$5&lt;&gt;"",--(N16="Maladie"),0),IF($P$5&lt;&gt;"",--(P16="Maladie"),0),IF($R$5&lt;&gt;"",--(R16="Maladie"),0),IF($T$5&lt;&gt;"",--(T16="Maladie"),0),IF($V$5&lt;&gt;"",--(V16="Maladie"),0),IF($X$5&lt;&gt;"",--(X16="Maladie"),0),IF($Z$5&lt;&gt;"",--(Z16="Maladie"),0),IF($AB$5&lt;&gt;"",--(AB16="Maladie"),0),IF($AD$5&lt;&gt;"",--(AD16="Maladie"),0),IF($AF$5&lt;&gt;"",--(AF16="Maladie"),0),IF($AH$5&lt;&gt;"",--(AH16="Maladie"),0),IF($AJ$5&lt;&gt;"",--(AJ16="Maladie"),0),IF($AL$5&lt;&gt;"",--(AL16="Maladie"),0),IF($AN$5&lt;&gt;"",--(AN16="Maladie"),0),IF($AP$5&lt;&gt;"",--(AP16="Maladie"),0),IF($AR$5&lt;&gt;"",--(AR16="Maladie"),0),IF($AT$5&lt;&gt;"",--(AT16="Maladie"),0),IF($AV$5&lt;&gt;"",--(AV16="Maladie"),0),IF($AX$5&lt;&gt;"",--(AX16="Maladie"),0),IF($AZ$5&lt;&gt;"",--(AZ16="Maladie"),0),IF($BB$5&lt;&gt;"",--(BB16="Maladie"),0),IF($BD$5&lt;&gt;"",--(BD16="Maladie"),0),IF($BF$5&lt;&gt;"",--(BF16="Maladie"),0),IF($BH$5&lt;&gt;"",--(BH16="Maladie"),0),IF($BJ$5&lt;&gt;"",--(BJ16="Maladie"),0),IF($BL$5&lt;&gt;"",--(BL16="Maladie"),0)))</f>
      </c>
      <c r="BR16" s="23">
        <f>IF($A16="","",SUM(IF($D$5&lt;&gt;"",IF(D16="Présent",E16,0),0),IF($F$5&lt;&gt;"",IF(F16="Présent",G16,0),0),IF($H$5&lt;&gt;"",IF(H16="Présent",I16,0),0),IF($J$5&lt;&gt;"",IF(J16="Présent",K16,0),0),IF($L$5&lt;&gt;"",IF(L16="Présent",M16,0),0),IF($N$5&lt;&gt;"",IF(N16="Présent",O16,0),0),IF($P$5&lt;&gt;"",IF(P16="Présent",Q16,0),0),IF($R$5&lt;&gt;"",IF(R16="Présent",S16,0),0),IF($T$5&lt;&gt;"",IF(T16="Présent",U16,0),0),IF($V$5&lt;&gt;"",IF(V16="Présent",W16,0),0),IF($X$5&lt;&gt;"",IF(X16="Présent",Y16,0),0),IF($Z$5&lt;&gt;"",IF(Z16="Présent",AA16,0),0),IF($AB$5&lt;&gt;"",IF(AB16="Présent",AC16,0),0),IF($AD$5&lt;&gt;"",IF(AD16="Présent",AE16,0),0),IF($AF$5&lt;&gt;"",IF(AF16="Présent",AG16,0),0),IF($AH$5&lt;&gt;"",IF(AH16="Présent",AI16,0),0),IF($AJ$5&lt;&gt;"",IF(AJ16="Présent",AK16,0),0),IF($AL$5&lt;&gt;"",IF(AL16="Présent",AM16,0),0),IF($AN$5&lt;&gt;"",IF(AN16="Présent",AO16,0),0),IF($AP$5&lt;&gt;"",IF(AP16="Présent",AQ16,0),0),IF($AR$5&lt;&gt;"",IF(AR16="Présent",AS16,0),0),IF($AT$5&lt;&gt;"",IF(AT16="Présent",AU16,0),0),IF($AV$5&lt;&gt;"",IF(AV16="Présent",AW16,0),0),IF($AX$5&lt;&gt;"",IF(AX16="Présent",AY16,0),0),IF($AZ$5&lt;&gt;"",IF(AZ16="Présent",BA16,0),0),IF($BB$5&lt;&gt;"",IF(BB16="Présent",BC16,0),0),IF($BD$5&lt;&gt;"",IF(BD16="Présent",BE16,0),0),IF($BF$5&lt;&gt;"",IF(BF16="Présent",BG16,0),0),IF($BH$5&lt;&gt;"",IF(BH16="Présent",BI16,0),0),IF($BJ$5&lt;&gt;"",IF(BJ16="Présent",BK16,0),0),IF($BL$5&lt;&gt;"",IF(BL16="Présent",BM16,0),0)))</f>
      </c>
      <c r="BS16" s="25">
        <f>IF($A16="","",$BN16*IFERROR(INDEX(Categories_Salaire,MATCH($C16,ListeCategories,0)),0)+$BR16*IF(IFERROR(INDEX(Categories_TauxHS,MATCH($C16,ListeCategories,0)),0)&gt;0,IFERROR(INDEX(Categories_TauxHS,MATCH($C16,ListeCategories,0)),0),TauxHSDefaut))</f>
      </c>
    </row>
    <row r="17">
      <c r="A17" s="20">
        <f>IF(AND(INDEX(Employes_Nom,11)&lt;&gt;"",INDEX(Employes_Statut,11)="Actif",OR(INDEX(Employes_Embauche,11)="",INDEX(Employes_Embauche,11)&lt;=EOMONTH(DATE(AnneeCourante,MoisCourant,1),0))),INDEX(Employes_ID,11),"")</f>
      </c>
      <c r="B17" s="19">
        <f>IF($A17="","",INDEX(Employes_Nom,MATCH($A17,Employes_ID,0)))</f>
      </c>
      <c r="C17" s="20">
        <f>IF($A17="","",INDEX(Employes_Categorie,MATCH($A17,Employes_ID,0)))</f>
      </c>
      <c r="D17" s="26"/>
      <c r="E17" s="27"/>
      <c r="F17" s="26"/>
      <c r="G17" s="27"/>
      <c r="H17" s="26"/>
      <c r="I17" s="27"/>
      <c r="J17" s="26"/>
      <c r="K17" s="27"/>
      <c r="L17" s="26"/>
      <c r="M17" s="27"/>
      <c r="N17" s="26"/>
      <c r="O17" s="27"/>
      <c r="P17" s="26"/>
      <c r="Q17" s="27"/>
      <c r="R17" s="26"/>
      <c r="S17" s="27"/>
      <c r="T17" s="26"/>
      <c r="U17" s="27"/>
      <c r="V17" s="26"/>
      <c r="W17" s="27"/>
      <c r="X17" s="26"/>
      <c r="Y17" s="27"/>
      <c r="Z17" s="26"/>
      <c r="AA17" s="27"/>
      <c r="AB17" s="26"/>
      <c r="AC17" s="27"/>
      <c r="AD17" s="26"/>
      <c r="AE17" s="27"/>
      <c r="AF17" s="26"/>
      <c r="AG17" s="27"/>
      <c r="AH17" s="26"/>
      <c r="AI17" s="27"/>
      <c r="AJ17" s="26"/>
      <c r="AK17" s="27"/>
      <c r="AL17" s="26"/>
      <c r="AM17" s="27"/>
      <c r="AN17" s="26"/>
      <c r="AO17" s="27"/>
      <c r="AP17" s="26"/>
      <c r="AQ17" s="27"/>
      <c r="AR17" s="26"/>
      <c r="AS17" s="27"/>
      <c r="AT17" s="26"/>
      <c r="AU17" s="27"/>
      <c r="AV17" s="26"/>
      <c r="AW17" s="27"/>
      <c r="AX17" s="26"/>
      <c r="AY17" s="27"/>
      <c r="AZ17" s="26"/>
      <c r="BA17" s="27"/>
      <c r="BB17" s="26"/>
      <c r="BC17" s="27"/>
      <c r="BD17" s="26"/>
      <c r="BE17" s="27"/>
      <c r="BF17" s="26"/>
      <c r="BG17" s="27"/>
      <c r="BH17" s="26"/>
      <c r="BI17" s="27"/>
      <c r="BJ17" s="26"/>
      <c r="BK17" s="27"/>
      <c r="BL17" s="26"/>
      <c r="BM17" s="27"/>
      <c r="BN17" s="22">
        <f>IF($A17="","",SUM(IF($D$5&lt;&gt;"",--(D17="Présent"),0),IF($F$5&lt;&gt;"",--(F17="Présent"),0),IF($H$5&lt;&gt;"",--(H17="Présent"),0),IF($J$5&lt;&gt;"",--(J17="Présent"),0),IF($L$5&lt;&gt;"",--(L17="Présent"),0),IF($N$5&lt;&gt;"",--(N17="Présent"),0),IF($P$5&lt;&gt;"",--(P17="Présent"),0),IF($R$5&lt;&gt;"",--(R17="Présent"),0),IF($T$5&lt;&gt;"",--(T17="Présent"),0),IF($V$5&lt;&gt;"",--(V17="Présent"),0),IF($X$5&lt;&gt;"",--(X17="Présent"),0),IF($Z$5&lt;&gt;"",--(Z17="Présent"),0),IF($AB$5&lt;&gt;"",--(AB17="Présent"),0),IF($AD$5&lt;&gt;"",--(AD17="Présent"),0),IF($AF$5&lt;&gt;"",--(AF17="Présent"),0),IF($AH$5&lt;&gt;"",--(AH17="Présent"),0),IF($AJ$5&lt;&gt;"",--(AJ17="Présent"),0),IF($AL$5&lt;&gt;"",--(AL17="Présent"),0),IF($AN$5&lt;&gt;"",--(AN17="Présent"),0),IF($AP$5&lt;&gt;"",--(AP17="Présent"),0),IF($AR$5&lt;&gt;"",--(AR17="Présent"),0),IF($AT$5&lt;&gt;"",--(AT17="Présent"),0),IF($AV$5&lt;&gt;"",--(AV17="Présent"),0),IF($AX$5&lt;&gt;"",--(AX17="Présent"),0),IF($AZ$5&lt;&gt;"",--(AZ17="Présent"),0),IF($BB$5&lt;&gt;"",--(BB17="Présent"),0),IF($BD$5&lt;&gt;"",--(BD17="Présent"),0),IF($BF$5&lt;&gt;"",--(BF17="Présent"),0),IF($BH$5&lt;&gt;"",--(BH17="Présent"),0),IF($BJ$5&lt;&gt;"",--(BJ17="Présent"),0),IF($BL$5&lt;&gt;"",--(BL17="Présent"),0)))</f>
      </c>
      <c r="BO17" s="22">
        <f>IF($A17="","",SUM(IF($D$5&lt;&gt;"",--(D17="Absent"),0),IF($F$5&lt;&gt;"",--(F17="Absent"),0),IF($H$5&lt;&gt;"",--(H17="Absent"),0),IF($J$5&lt;&gt;"",--(J17="Absent"),0),IF($L$5&lt;&gt;"",--(L17="Absent"),0),IF($N$5&lt;&gt;"",--(N17="Absent"),0),IF($P$5&lt;&gt;"",--(P17="Absent"),0),IF($R$5&lt;&gt;"",--(R17="Absent"),0),IF($T$5&lt;&gt;"",--(T17="Absent"),0),IF($V$5&lt;&gt;"",--(V17="Absent"),0),IF($X$5&lt;&gt;"",--(X17="Absent"),0),IF($Z$5&lt;&gt;"",--(Z17="Absent"),0),IF($AB$5&lt;&gt;"",--(AB17="Absent"),0),IF($AD$5&lt;&gt;"",--(AD17="Absent"),0),IF($AF$5&lt;&gt;"",--(AF17="Absent"),0),IF($AH$5&lt;&gt;"",--(AH17="Absent"),0),IF($AJ$5&lt;&gt;"",--(AJ17="Absent"),0),IF($AL$5&lt;&gt;"",--(AL17="Absent"),0),IF($AN$5&lt;&gt;"",--(AN17="Absent"),0),IF($AP$5&lt;&gt;"",--(AP17="Absent"),0),IF($AR$5&lt;&gt;"",--(AR17="Absent"),0),IF($AT$5&lt;&gt;"",--(AT17="Absent"),0),IF($AV$5&lt;&gt;"",--(AV17="Absent"),0),IF($AX$5&lt;&gt;"",--(AX17="Absent"),0),IF($AZ$5&lt;&gt;"",--(AZ17="Absent"),0),IF($BB$5&lt;&gt;"",--(BB17="Absent"),0),IF($BD$5&lt;&gt;"",--(BD17="Absent"),0),IF($BF$5&lt;&gt;"",--(BF17="Absent"),0),IF($BH$5&lt;&gt;"",--(BH17="Absent"),0),IF($BJ$5&lt;&gt;"",--(BJ17="Absent"),0),IF($BL$5&lt;&gt;"",--(BL17="Absent"),0)))</f>
      </c>
      <c r="BP17" s="22">
        <f>IF($A17="","",SUM(IF($D$5&lt;&gt;"",--(D17="Congé"),0),IF($F$5&lt;&gt;"",--(F17="Congé"),0),IF($H$5&lt;&gt;"",--(H17="Congé"),0),IF($J$5&lt;&gt;"",--(J17="Congé"),0),IF($L$5&lt;&gt;"",--(L17="Congé"),0),IF($N$5&lt;&gt;"",--(N17="Congé"),0),IF($P$5&lt;&gt;"",--(P17="Congé"),0),IF($R$5&lt;&gt;"",--(R17="Congé"),0),IF($T$5&lt;&gt;"",--(T17="Congé"),0),IF($V$5&lt;&gt;"",--(V17="Congé"),0),IF($X$5&lt;&gt;"",--(X17="Congé"),0),IF($Z$5&lt;&gt;"",--(Z17="Congé"),0),IF($AB$5&lt;&gt;"",--(AB17="Congé"),0),IF($AD$5&lt;&gt;"",--(AD17="Congé"),0),IF($AF$5&lt;&gt;"",--(AF17="Congé"),0),IF($AH$5&lt;&gt;"",--(AH17="Congé"),0),IF($AJ$5&lt;&gt;"",--(AJ17="Congé"),0),IF($AL$5&lt;&gt;"",--(AL17="Congé"),0),IF($AN$5&lt;&gt;"",--(AN17="Congé"),0),IF($AP$5&lt;&gt;"",--(AP17="Congé"),0),IF($AR$5&lt;&gt;"",--(AR17="Congé"),0),IF($AT$5&lt;&gt;"",--(AT17="Congé"),0),IF($AV$5&lt;&gt;"",--(AV17="Congé"),0),IF($AX$5&lt;&gt;"",--(AX17="Congé"),0),IF($AZ$5&lt;&gt;"",--(AZ17="Congé"),0),IF($BB$5&lt;&gt;"",--(BB17="Congé"),0),IF($BD$5&lt;&gt;"",--(BD17="Congé"),0),IF($BF$5&lt;&gt;"",--(BF17="Congé"),0),IF($BH$5&lt;&gt;"",--(BH17="Congé"),0),IF($BJ$5&lt;&gt;"",--(BJ17="Congé"),0),IF($BL$5&lt;&gt;"",--(BL17="Congé"),0)))</f>
      </c>
      <c r="BQ17" s="22">
        <f>IF($A17="","",SUM(IF($D$5&lt;&gt;"",--(D17="Maladie"),0),IF($F$5&lt;&gt;"",--(F17="Maladie"),0),IF($H$5&lt;&gt;"",--(H17="Maladie"),0),IF($J$5&lt;&gt;"",--(J17="Maladie"),0),IF($L$5&lt;&gt;"",--(L17="Maladie"),0),IF($N$5&lt;&gt;"",--(N17="Maladie"),0),IF($P$5&lt;&gt;"",--(P17="Maladie"),0),IF($R$5&lt;&gt;"",--(R17="Maladie"),0),IF($T$5&lt;&gt;"",--(T17="Maladie"),0),IF($V$5&lt;&gt;"",--(V17="Maladie"),0),IF($X$5&lt;&gt;"",--(X17="Maladie"),0),IF($Z$5&lt;&gt;"",--(Z17="Maladie"),0),IF($AB$5&lt;&gt;"",--(AB17="Maladie"),0),IF($AD$5&lt;&gt;"",--(AD17="Maladie"),0),IF($AF$5&lt;&gt;"",--(AF17="Maladie"),0),IF($AH$5&lt;&gt;"",--(AH17="Maladie"),0),IF($AJ$5&lt;&gt;"",--(AJ17="Maladie"),0),IF($AL$5&lt;&gt;"",--(AL17="Maladie"),0),IF($AN$5&lt;&gt;"",--(AN17="Maladie"),0),IF($AP$5&lt;&gt;"",--(AP17="Maladie"),0),IF($AR$5&lt;&gt;"",--(AR17="Maladie"),0),IF($AT$5&lt;&gt;"",--(AT17="Maladie"),0),IF($AV$5&lt;&gt;"",--(AV17="Maladie"),0),IF($AX$5&lt;&gt;"",--(AX17="Maladie"),0),IF($AZ$5&lt;&gt;"",--(AZ17="Maladie"),0),IF($BB$5&lt;&gt;"",--(BB17="Maladie"),0),IF($BD$5&lt;&gt;"",--(BD17="Maladie"),0),IF($BF$5&lt;&gt;"",--(BF17="Maladie"),0),IF($BH$5&lt;&gt;"",--(BH17="Maladie"),0),IF($BJ$5&lt;&gt;"",--(BJ17="Maladie"),0),IF($BL$5&lt;&gt;"",--(BL17="Maladie"),0)))</f>
      </c>
      <c r="BR17" s="23">
        <f>IF($A17="","",SUM(IF($D$5&lt;&gt;"",IF(D17="Présent",E17,0),0),IF($F$5&lt;&gt;"",IF(F17="Présent",G17,0),0),IF($H$5&lt;&gt;"",IF(H17="Présent",I17,0),0),IF($J$5&lt;&gt;"",IF(J17="Présent",K17,0),0),IF($L$5&lt;&gt;"",IF(L17="Présent",M17,0),0),IF($N$5&lt;&gt;"",IF(N17="Présent",O17,0),0),IF($P$5&lt;&gt;"",IF(P17="Présent",Q17,0),0),IF($R$5&lt;&gt;"",IF(R17="Présent",S17,0),0),IF($T$5&lt;&gt;"",IF(T17="Présent",U17,0),0),IF($V$5&lt;&gt;"",IF(V17="Présent",W17,0),0),IF($X$5&lt;&gt;"",IF(X17="Présent",Y17,0),0),IF($Z$5&lt;&gt;"",IF(Z17="Présent",AA17,0),0),IF($AB$5&lt;&gt;"",IF(AB17="Présent",AC17,0),0),IF($AD$5&lt;&gt;"",IF(AD17="Présent",AE17,0),0),IF($AF$5&lt;&gt;"",IF(AF17="Présent",AG17,0),0),IF($AH$5&lt;&gt;"",IF(AH17="Présent",AI17,0),0),IF($AJ$5&lt;&gt;"",IF(AJ17="Présent",AK17,0),0),IF($AL$5&lt;&gt;"",IF(AL17="Présent",AM17,0),0),IF($AN$5&lt;&gt;"",IF(AN17="Présent",AO17,0),0),IF($AP$5&lt;&gt;"",IF(AP17="Présent",AQ17,0),0),IF($AR$5&lt;&gt;"",IF(AR17="Présent",AS17,0),0),IF($AT$5&lt;&gt;"",IF(AT17="Présent",AU17,0),0),IF($AV$5&lt;&gt;"",IF(AV17="Présent",AW17,0),0),IF($AX$5&lt;&gt;"",IF(AX17="Présent",AY17,0),0),IF($AZ$5&lt;&gt;"",IF(AZ17="Présent",BA17,0),0),IF($BB$5&lt;&gt;"",IF(BB17="Présent",BC17,0),0),IF($BD$5&lt;&gt;"",IF(BD17="Présent",BE17,0),0),IF($BF$5&lt;&gt;"",IF(BF17="Présent",BG17,0),0),IF($BH$5&lt;&gt;"",IF(BH17="Présent",BI17,0),0),IF($BJ$5&lt;&gt;"",IF(BJ17="Présent",BK17,0),0),IF($BL$5&lt;&gt;"",IF(BL17="Présent",BM17,0),0)))</f>
      </c>
      <c r="BS17" s="25">
        <f>IF($A17="","",$BN17*IFERROR(INDEX(Categories_Salaire,MATCH($C17,ListeCategories,0)),0)+$BR17*IF(IFERROR(INDEX(Categories_TauxHS,MATCH($C17,ListeCategories,0)),0)&gt;0,IFERROR(INDEX(Categories_TauxHS,MATCH($C17,ListeCategories,0)),0),TauxHSDefaut))</f>
      </c>
    </row>
    <row r="18">
      <c r="A18" s="20">
        <f>IF(AND(INDEX(Employes_Nom,12)&lt;&gt;"",INDEX(Employes_Statut,12)="Actif",OR(INDEX(Employes_Embauche,12)="",INDEX(Employes_Embauche,12)&lt;=EOMONTH(DATE(AnneeCourante,MoisCourant,1),0))),INDEX(Employes_ID,12),"")</f>
      </c>
      <c r="B18" s="19">
        <f>IF($A18="","",INDEX(Employes_Nom,MATCH($A18,Employes_ID,0)))</f>
      </c>
      <c r="C18" s="20">
        <f>IF($A18="","",INDEX(Employes_Categorie,MATCH($A18,Employes_ID,0)))</f>
      </c>
      <c r="D18" s="26"/>
      <c r="E18" s="27"/>
      <c r="F18" s="26"/>
      <c r="G18" s="27"/>
      <c r="H18" s="26"/>
      <c r="I18" s="27"/>
      <c r="J18" s="26"/>
      <c r="K18" s="27"/>
      <c r="L18" s="26"/>
      <c r="M18" s="27"/>
      <c r="N18" s="26"/>
      <c r="O18" s="27"/>
      <c r="P18" s="26"/>
      <c r="Q18" s="27"/>
      <c r="R18" s="26"/>
      <c r="S18" s="27"/>
      <c r="T18" s="26"/>
      <c r="U18" s="27"/>
      <c r="V18" s="26"/>
      <c r="W18" s="27"/>
      <c r="X18" s="26"/>
      <c r="Y18" s="27"/>
      <c r="Z18" s="26"/>
      <c r="AA18" s="27"/>
      <c r="AB18" s="26"/>
      <c r="AC18" s="27"/>
      <c r="AD18" s="26"/>
      <c r="AE18" s="27"/>
      <c r="AF18" s="26"/>
      <c r="AG18" s="27"/>
      <c r="AH18" s="26"/>
      <c r="AI18" s="27"/>
      <c r="AJ18" s="26"/>
      <c r="AK18" s="27"/>
      <c r="AL18" s="26"/>
      <c r="AM18" s="27"/>
      <c r="AN18" s="26"/>
      <c r="AO18" s="27"/>
      <c r="AP18" s="26"/>
      <c r="AQ18" s="27"/>
      <c r="AR18" s="26"/>
      <c r="AS18" s="27"/>
      <c r="AT18" s="26"/>
      <c r="AU18" s="27"/>
      <c r="AV18" s="26"/>
      <c r="AW18" s="27"/>
      <c r="AX18" s="26"/>
      <c r="AY18" s="27"/>
      <c r="AZ18" s="26"/>
      <c r="BA18" s="27"/>
      <c r="BB18" s="26"/>
      <c r="BC18" s="27"/>
      <c r="BD18" s="26"/>
      <c r="BE18" s="27"/>
      <c r="BF18" s="26"/>
      <c r="BG18" s="27"/>
      <c r="BH18" s="26"/>
      <c r="BI18" s="27"/>
      <c r="BJ18" s="26"/>
      <c r="BK18" s="27"/>
      <c r="BL18" s="26"/>
      <c r="BM18" s="27"/>
      <c r="BN18" s="22">
        <f>IF($A18="","",SUM(IF($D$5&lt;&gt;"",--(D18="Présent"),0),IF($F$5&lt;&gt;"",--(F18="Présent"),0),IF($H$5&lt;&gt;"",--(H18="Présent"),0),IF($J$5&lt;&gt;"",--(J18="Présent"),0),IF($L$5&lt;&gt;"",--(L18="Présent"),0),IF($N$5&lt;&gt;"",--(N18="Présent"),0),IF($P$5&lt;&gt;"",--(P18="Présent"),0),IF($R$5&lt;&gt;"",--(R18="Présent"),0),IF($T$5&lt;&gt;"",--(T18="Présent"),0),IF($V$5&lt;&gt;"",--(V18="Présent"),0),IF($X$5&lt;&gt;"",--(X18="Présent"),0),IF($Z$5&lt;&gt;"",--(Z18="Présent"),0),IF($AB$5&lt;&gt;"",--(AB18="Présent"),0),IF($AD$5&lt;&gt;"",--(AD18="Présent"),0),IF($AF$5&lt;&gt;"",--(AF18="Présent"),0),IF($AH$5&lt;&gt;"",--(AH18="Présent"),0),IF($AJ$5&lt;&gt;"",--(AJ18="Présent"),0),IF($AL$5&lt;&gt;"",--(AL18="Présent"),0),IF($AN$5&lt;&gt;"",--(AN18="Présent"),0),IF($AP$5&lt;&gt;"",--(AP18="Présent"),0),IF($AR$5&lt;&gt;"",--(AR18="Présent"),0),IF($AT$5&lt;&gt;"",--(AT18="Présent"),0),IF($AV$5&lt;&gt;"",--(AV18="Présent"),0),IF($AX$5&lt;&gt;"",--(AX18="Présent"),0),IF($AZ$5&lt;&gt;"",--(AZ18="Présent"),0),IF($BB$5&lt;&gt;"",--(BB18="Présent"),0),IF($BD$5&lt;&gt;"",--(BD18="Présent"),0),IF($BF$5&lt;&gt;"",--(BF18="Présent"),0),IF($BH$5&lt;&gt;"",--(BH18="Présent"),0),IF($BJ$5&lt;&gt;"",--(BJ18="Présent"),0),IF($BL$5&lt;&gt;"",--(BL18="Présent"),0)))</f>
      </c>
      <c r="BO18" s="22">
        <f>IF($A18="","",SUM(IF($D$5&lt;&gt;"",--(D18="Absent"),0),IF($F$5&lt;&gt;"",--(F18="Absent"),0),IF($H$5&lt;&gt;"",--(H18="Absent"),0),IF($J$5&lt;&gt;"",--(J18="Absent"),0),IF($L$5&lt;&gt;"",--(L18="Absent"),0),IF($N$5&lt;&gt;"",--(N18="Absent"),0),IF($P$5&lt;&gt;"",--(P18="Absent"),0),IF($R$5&lt;&gt;"",--(R18="Absent"),0),IF($T$5&lt;&gt;"",--(T18="Absent"),0),IF($V$5&lt;&gt;"",--(V18="Absent"),0),IF($X$5&lt;&gt;"",--(X18="Absent"),0),IF($Z$5&lt;&gt;"",--(Z18="Absent"),0),IF($AB$5&lt;&gt;"",--(AB18="Absent"),0),IF($AD$5&lt;&gt;"",--(AD18="Absent"),0),IF($AF$5&lt;&gt;"",--(AF18="Absent"),0),IF($AH$5&lt;&gt;"",--(AH18="Absent"),0),IF($AJ$5&lt;&gt;"",--(AJ18="Absent"),0),IF($AL$5&lt;&gt;"",--(AL18="Absent"),0),IF($AN$5&lt;&gt;"",--(AN18="Absent"),0),IF($AP$5&lt;&gt;"",--(AP18="Absent"),0),IF($AR$5&lt;&gt;"",--(AR18="Absent"),0),IF($AT$5&lt;&gt;"",--(AT18="Absent"),0),IF($AV$5&lt;&gt;"",--(AV18="Absent"),0),IF($AX$5&lt;&gt;"",--(AX18="Absent"),0),IF($AZ$5&lt;&gt;"",--(AZ18="Absent"),0),IF($BB$5&lt;&gt;"",--(BB18="Absent"),0),IF($BD$5&lt;&gt;"",--(BD18="Absent"),0),IF($BF$5&lt;&gt;"",--(BF18="Absent"),0),IF($BH$5&lt;&gt;"",--(BH18="Absent"),0),IF($BJ$5&lt;&gt;"",--(BJ18="Absent"),0),IF($BL$5&lt;&gt;"",--(BL18="Absent"),0)))</f>
      </c>
      <c r="BP18" s="22">
        <f>IF($A18="","",SUM(IF($D$5&lt;&gt;"",--(D18="Congé"),0),IF($F$5&lt;&gt;"",--(F18="Congé"),0),IF($H$5&lt;&gt;"",--(H18="Congé"),0),IF($J$5&lt;&gt;"",--(J18="Congé"),0),IF($L$5&lt;&gt;"",--(L18="Congé"),0),IF($N$5&lt;&gt;"",--(N18="Congé"),0),IF($P$5&lt;&gt;"",--(P18="Congé"),0),IF($R$5&lt;&gt;"",--(R18="Congé"),0),IF($T$5&lt;&gt;"",--(T18="Congé"),0),IF($V$5&lt;&gt;"",--(V18="Congé"),0),IF($X$5&lt;&gt;"",--(X18="Congé"),0),IF($Z$5&lt;&gt;"",--(Z18="Congé"),0),IF($AB$5&lt;&gt;"",--(AB18="Congé"),0),IF($AD$5&lt;&gt;"",--(AD18="Congé"),0),IF($AF$5&lt;&gt;"",--(AF18="Congé"),0),IF($AH$5&lt;&gt;"",--(AH18="Congé"),0),IF($AJ$5&lt;&gt;"",--(AJ18="Congé"),0),IF($AL$5&lt;&gt;"",--(AL18="Congé"),0),IF($AN$5&lt;&gt;"",--(AN18="Congé"),0),IF($AP$5&lt;&gt;"",--(AP18="Congé"),0),IF($AR$5&lt;&gt;"",--(AR18="Congé"),0),IF($AT$5&lt;&gt;"",--(AT18="Congé"),0),IF($AV$5&lt;&gt;"",--(AV18="Congé"),0),IF($AX$5&lt;&gt;"",--(AX18="Congé"),0),IF($AZ$5&lt;&gt;"",--(AZ18="Congé"),0),IF($BB$5&lt;&gt;"",--(BB18="Congé"),0),IF($BD$5&lt;&gt;"",--(BD18="Congé"),0),IF($BF$5&lt;&gt;"",--(BF18="Congé"),0),IF($BH$5&lt;&gt;"",--(BH18="Congé"),0),IF($BJ$5&lt;&gt;"",--(BJ18="Congé"),0),IF($BL$5&lt;&gt;"",--(BL18="Congé"),0)))</f>
      </c>
      <c r="BQ18" s="22">
        <f>IF($A18="","",SUM(IF($D$5&lt;&gt;"",--(D18="Maladie"),0),IF($F$5&lt;&gt;"",--(F18="Maladie"),0),IF($H$5&lt;&gt;"",--(H18="Maladie"),0),IF($J$5&lt;&gt;"",--(J18="Maladie"),0),IF($L$5&lt;&gt;"",--(L18="Maladie"),0),IF($N$5&lt;&gt;"",--(N18="Maladie"),0),IF($P$5&lt;&gt;"",--(P18="Maladie"),0),IF($R$5&lt;&gt;"",--(R18="Maladie"),0),IF($T$5&lt;&gt;"",--(T18="Maladie"),0),IF($V$5&lt;&gt;"",--(V18="Maladie"),0),IF($X$5&lt;&gt;"",--(X18="Maladie"),0),IF($Z$5&lt;&gt;"",--(Z18="Maladie"),0),IF($AB$5&lt;&gt;"",--(AB18="Maladie"),0),IF($AD$5&lt;&gt;"",--(AD18="Maladie"),0),IF($AF$5&lt;&gt;"",--(AF18="Maladie"),0),IF($AH$5&lt;&gt;"",--(AH18="Maladie"),0),IF($AJ$5&lt;&gt;"",--(AJ18="Maladie"),0),IF($AL$5&lt;&gt;"",--(AL18="Maladie"),0),IF($AN$5&lt;&gt;"",--(AN18="Maladie"),0),IF($AP$5&lt;&gt;"",--(AP18="Maladie"),0),IF($AR$5&lt;&gt;"",--(AR18="Maladie"),0),IF($AT$5&lt;&gt;"",--(AT18="Maladie"),0),IF($AV$5&lt;&gt;"",--(AV18="Maladie"),0),IF($AX$5&lt;&gt;"",--(AX18="Maladie"),0),IF($AZ$5&lt;&gt;"",--(AZ18="Maladie"),0),IF($BB$5&lt;&gt;"",--(BB18="Maladie"),0),IF($BD$5&lt;&gt;"",--(BD18="Maladie"),0),IF($BF$5&lt;&gt;"",--(BF18="Maladie"),0),IF($BH$5&lt;&gt;"",--(BH18="Maladie"),0),IF($BJ$5&lt;&gt;"",--(BJ18="Maladie"),0),IF($BL$5&lt;&gt;"",--(BL18="Maladie"),0)))</f>
      </c>
      <c r="BR18" s="23">
        <f>IF($A18="","",SUM(IF($D$5&lt;&gt;"",IF(D18="Présent",E18,0),0),IF($F$5&lt;&gt;"",IF(F18="Présent",G18,0),0),IF($H$5&lt;&gt;"",IF(H18="Présent",I18,0),0),IF($J$5&lt;&gt;"",IF(J18="Présent",K18,0),0),IF($L$5&lt;&gt;"",IF(L18="Présent",M18,0),0),IF($N$5&lt;&gt;"",IF(N18="Présent",O18,0),0),IF($P$5&lt;&gt;"",IF(P18="Présent",Q18,0),0),IF($R$5&lt;&gt;"",IF(R18="Présent",S18,0),0),IF($T$5&lt;&gt;"",IF(T18="Présent",U18,0),0),IF($V$5&lt;&gt;"",IF(V18="Présent",W18,0),0),IF($X$5&lt;&gt;"",IF(X18="Présent",Y18,0),0),IF($Z$5&lt;&gt;"",IF(Z18="Présent",AA18,0),0),IF($AB$5&lt;&gt;"",IF(AB18="Présent",AC18,0),0),IF($AD$5&lt;&gt;"",IF(AD18="Présent",AE18,0),0),IF($AF$5&lt;&gt;"",IF(AF18="Présent",AG18,0),0),IF($AH$5&lt;&gt;"",IF(AH18="Présent",AI18,0),0),IF($AJ$5&lt;&gt;"",IF(AJ18="Présent",AK18,0),0),IF($AL$5&lt;&gt;"",IF(AL18="Présent",AM18,0),0),IF($AN$5&lt;&gt;"",IF(AN18="Présent",AO18,0),0),IF($AP$5&lt;&gt;"",IF(AP18="Présent",AQ18,0),0),IF($AR$5&lt;&gt;"",IF(AR18="Présent",AS18,0),0),IF($AT$5&lt;&gt;"",IF(AT18="Présent",AU18,0),0),IF($AV$5&lt;&gt;"",IF(AV18="Présent",AW18,0),0),IF($AX$5&lt;&gt;"",IF(AX18="Présent",AY18,0),0),IF($AZ$5&lt;&gt;"",IF(AZ18="Présent",BA18,0),0),IF($BB$5&lt;&gt;"",IF(BB18="Présent",BC18,0),0),IF($BD$5&lt;&gt;"",IF(BD18="Présent",BE18,0),0),IF($BF$5&lt;&gt;"",IF(BF18="Présent",BG18,0),0),IF($BH$5&lt;&gt;"",IF(BH18="Présent",BI18,0),0),IF($BJ$5&lt;&gt;"",IF(BJ18="Présent",BK18,0),0),IF($BL$5&lt;&gt;"",IF(BL18="Présent",BM18,0),0)))</f>
      </c>
      <c r="BS18" s="25">
        <f>IF($A18="","",$BN18*IFERROR(INDEX(Categories_Salaire,MATCH($C18,ListeCategories,0)),0)+$BR18*IF(IFERROR(INDEX(Categories_TauxHS,MATCH($C18,ListeCategories,0)),0)&gt;0,IFERROR(INDEX(Categories_TauxHS,MATCH($C18,ListeCategories,0)),0),TauxHSDefaut))</f>
      </c>
    </row>
    <row r="19">
      <c r="A19" s="20">
        <f>IF(AND(INDEX(Employes_Nom,13)&lt;&gt;"",INDEX(Employes_Statut,13)="Actif",OR(INDEX(Employes_Embauche,13)="",INDEX(Employes_Embauche,13)&lt;=EOMONTH(DATE(AnneeCourante,MoisCourant,1),0))),INDEX(Employes_ID,13),"")</f>
      </c>
      <c r="B19" s="19">
        <f>IF($A19="","",INDEX(Employes_Nom,MATCH($A19,Employes_ID,0)))</f>
      </c>
      <c r="C19" s="20">
        <f>IF($A19="","",INDEX(Employes_Categorie,MATCH($A19,Employes_ID,0)))</f>
      </c>
      <c r="D19" s="26"/>
      <c r="E19" s="27"/>
      <c r="F19" s="26"/>
      <c r="G19" s="27"/>
      <c r="H19" s="26"/>
      <c r="I19" s="27"/>
      <c r="J19" s="26"/>
      <c r="K19" s="27"/>
      <c r="L19" s="26"/>
      <c r="M19" s="27"/>
      <c r="N19" s="26"/>
      <c r="O19" s="27"/>
      <c r="P19" s="26"/>
      <c r="Q19" s="27"/>
      <c r="R19" s="26"/>
      <c r="S19" s="27"/>
      <c r="T19" s="26"/>
      <c r="U19" s="27"/>
      <c r="V19" s="26"/>
      <c r="W19" s="27"/>
      <c r="X19" s="26"/>
      <c r="Y19" s="27"/>
      <c r="Z19" s="26"/>
      <c r="AA19" s="27"/>
      <c r="AB19" s="26"/>
      <c r="AC19" s="27"/>
      <c r="AD19" s="26"/>
      <c r="AE19" s="27"/>
      <c r="AF19" s="26"/>
      <c r="AG19" s="27"/>
      <c r="AH19" s="26"/>
      <c r="AI19" s="27"/>
      <c r="AJ19" s="26"/>
      <c r="AK19" s="27"/>
      <c r="AL19" s="26"/>
      <c r="AM19" s="27"/>
      <c r="AN19" s="26"/>
      <c r="AO19" s="27"/>
      <c r="AP19" s="26"/>
      <c r="AQ19" s="27"/>
      <c r="AR19" s="26"/>
      <c r="AS19" s="27"/>
      <c r="AT19" s="26"/>
      <c r="AU19" s="27"/>
      <c r="AV19" s="26"/>
      <c r="AW19" s="27"/>
      <c r="AX19" s="26"/>
      <c r="AY19" s="27"/>
      <c r="AZ19" s="26"/>
      <c r="BA19" s="27"/>
      <c r="BB19" s="26"/>
      <c r="BC19" s="27"/>
      <c r="BD19" s="26"/>
      <c r="BE19" s="27"/>
      <c r="BF19" s="26"/>
      <c r="BG19" s="27"/>
      <c r="BH19" s="26"/>
      <c r="BI19" s="27"/>
      <c r="BJ19" s="26"/>
      <c r="BK19" s="27"/>
      <c r="BL19" s="26"/>
      <c r="BM19" s="27"/>
      <c r="BN19" s="22">
        <f>IF($A19="","",SUM(IF($D$5&lt;&gt;"",--(D19="Présent"),0),IF($F$5&lt;&gt;"",--(F19="Présent"),0),IF($H$5&lt;&gt;"",--(H19="Présent"),0),IF($J$5&lt;&gt;"",--(J19="Présent"),0),IF($L$5&lt;&gt;"",--(L19="Présent"),0),IF($N$5&lt;&gt;"",--(N19="Présent"),0),IF($P$5&lt;&gt;"",--(P19="Présent"),0),IF($R$5&lt;&gt;"",--(R19="Présent"),0),IF($T$5&lt;&gt;"",--(T19="Présent"),0),IF($V$5&lt;&gt;"",--(V19="Présent"),0),IF($X$5&lt;&gt;"",--(X19="Présent"),0),IF($Z$5&lt;&gt;"",--(Z19="Présent"),0),IF($AB$5&lt;&gt;"",--(AB19="Présent"),0),IF($AD$5&lt;&gt;"",--(AD19="Présent"),0),IF($AF$5&lt;&gt;"",--(AF19="Présent"),0),IF($AH$5&lt;&gt;"",--(AH19="Présent"),0),IF($AJ$5&lt;&gt;"",--(AJ19="Présent"),0),IF($AL$5&lt;&gt;"",--(AL19="Présent"),0),IF($AN$5&lt;&gt;"",--(AN19="Présent"),0),IF($AP$5&lt;&gt;"",--(AP19="Présent"),0),IF($AR$5&lt;&gt;"",--(AR19="Présent"),0),IF($AT$5&lt;&gt;"",--(AT19="Présent"),0),IF($AV$5&lt;&gt;"",--(AV19="Présent"),0),IF($AX$5&lt;&gt;"",--(AX19="Présent"),0),IF($AZ$5&lt;&gt;"",--(AZ19="Présent"),0),IF($BB$5&lt;&gt;"",--(BB19="Présent"),0),IF($BD$5&lt;&gt;"",--(BD19="Présent"),0),IF($BF$5&lt;&gt;"",--(BF19="Présent"),0),IF($BH$5&lt;&gt;"",--(BH19="Présent"),0),IF($BJ$5&lt;&gt;"",--(BJ19="Présent"),0),IF($BL$5&lt;&gt;"",--(BL19="Présent"),0)))</f>
      </c>
      <c r="BO19" s="22">
        <f>IF($A19="","",SUM(IF($D$5&lt;&gt;"",--(D19="Absent"),0),IF($F$5&lt;&gt;"",--(F19="Absent"),0),IF($H$5&lt;&gt;"",--(H19="Absent"),0),IF($J$5&lt;&gt;"",--(J19="Absent"),0),IF($L$5&lt;&gt;"",--(L19="Absent"),0),IF($N$5&lt;&gt;"",--(N19="Absent"),0),IF($P$5&lt;&gt;"",--(P19="Absent"),0),IF($R$5&lt;&gt;"",--(R19="Absent"),0),IF($T$5&lt;&gt;"",--(T19="Absent"),0),IF($V$5&lt;&gt;"",--(V19="Absent"),0),IF($X$5&lt;&gt;"",--(X19="Absent"),0),IF($Z$5&lt;&gt;"",--(Z19="Absent"),0),IF($AB$5&lt;&gt;"",--(AB19="Absent"),0),IF($AD$5&lt;&gt;"",--(AD19="Absent"),0),IF($AF$5&lt;&gt;"",--(AF19="Absent"),0),IF($AH$5&lt;&gt;"",--(AH19="Absent"),0),IF($AJ$5&lt;&gt;"",--(AJ19="Absent"),0),IF($AL$5&lt;&gt;"",--(AL19="Absent"),0),IF($AN$5&lt;&gt;"",--(AN19="Absent"),0),IF($AP$5&lt;&gt;"",--(AP19="Absent"),0),IF($AR$5&lt;&gt;"",--(AR19="Absent"),0),IF($AT$5&lt;&gt;"",--(AT19="Absent"),0),IF($AV$5&lt;&gt;"",--(AV19="Absent"),0),IF($AX$5&lt;&gt;"",--(AX19="Absent"),0),IF($AZ$5&lt;&gt;"",--(AZ19="Absent"),0),IF($BB$5&lt;&gt;"",--(BB19="Absent"),0),IF($BD$5&lt;&gt;"",--(BD19="Absent"),0),IF($BF$5&lt;&gt;"",--(BF19="Absent"),0),IF($BH$5&lt;&gt;"",--(BH19="Absent"),0),IF($BJ$5&lt;&gt;"",--(BJ19="Absent"),0),IF($BL$5&lt;&gt;"",--(BL19="Absent"),0)))</f>
      </c>
      <c r="BP19" s="22">
        <f>IF($A19="","",SUM(IF($D$5&lt;&gt;"",--(D19="Congé"),0),IF($F$5&lt;&gt;"",--(F19="Congé"),0),IF($H$5&lt;&gt;"",--(H19="Congé"),0),IF($J$5&lt;&gt;"",--(J19="Congé"),0),IF($L$5&lt;&gt;"",--(L19="Congé"),0),IF($N$5&lt;&gt;"",--(N19="Congé"),0),IF($P$5&lt;&gt;"",--(P19="Congé"),0),IF($R$5&lt;&gt;"",--(R19="Congé"),0),IF($T$5&lt;&gt;"",--(T19="Congé"),0),IF($V$5&lt;&gt;"",--(V19="Congé"),0),IF($X$5&lt;&gt;"",--(X19="Congé"),0),IF($Z$5&lt;&gt;"",--(Z19="Congé"),0),IF($AB$5&lt;&gt;"",--(AB19="Congé"),0),IF($AD$5&lt;&gt;"",--(AD19="Congé"),0),IF($AF$5&lt;&gt;"",--(AF19="Congé"),0),IF($AH$5&lt;&gt;"",--(AH19="Congé"),0),IF($AJ$5&lt;&gt;"",--(AJ19="Congé"),0),IF($AL$5&lt;&gt;"",--(AL19="Congé"),0),IF($AN$5&lt;&gt;"",--(AN19="Congé"),0),IF($AP$5&lt;&gt;"",--(AP19="Congé"),0),IF($AR$5&lt;&gt;"",--(AR19="Congé"),0),IF($AT$5&lt;&gt;"",--(AT19="Congé"),0),IF($AV$5&lt;&gt;"",--(AV19="Congé"),0),IF($AX$5&lt;&gt;"",--(AX19="Congé"),0),IF($AZ$5&lt;&gt;"",--(AZ19="Congé"),0),IF($BB$5&lt;&gt;"",--(BB19="Congé"),0),IF($BD$5&lt;&gt;"",--(BD19="Congé"),0),IF($BF$5&lt;&gt;"",--(BF19="Congé"),0),IF($BH$5&lt;&gt;"",--(BH19="Congé"),0),IF($BJ$5&lt;&gt;"",--(BJ19="Congé"),0),IF($BL$5&lt;&gt;"",--(BL19="Congé"),0)))</f>
      </c>
      <c r="BQ19" s="22">
        <f>IF($A19="","",SUM(IF($D$5&lt;&gt;"",--(D19="Maladie"),0),IF($F$5&lt;&gt;"",--(F19="Maladie"),0),IF($H$5&lt;&gt;"",--(H19="Maladie"),0),IF($J$5&lt;&gt;"",--(J19="Maladie"),0),IF($L$5&lt;&gt;"",--(L19="Maladie"),0),IF($N$5&lt;&gt;"",--(N19="Maladie"),0),IF($P$5&lt;&gt;"",--(P19="Maladie"),0),IF($R$5&lt;&gt;"",--(R19="Maladie"),0),IF($T$5&lt;&gt;"",--(T19="Maladie"),0),IF($V$5&lt;&gt;"",--(V19="Maladie"),0),IF($X$5&lt;&gt;"",--(X19="Maladie"),0),IF($Z$5&lt;&gt;"",--(Z19="Maladie"),0),IF($AB$5&lt;&gt;"",--(AB19="Maladie"),0),IF($AD$5&lt;&gt;"",--(AD19="Maladie"),0),IF($AF$5&lt;&gt;"",--(AF19="Maladie"),0),IF($AH$5&lt;&gt;"",--(AH19="Maladie"),0),IF($AJ$5&lt;&gt;"",--(AJ19="Maladie"),0),IF($AL$5&lt;&gt;"",--(AL19="Maladie"),0),IF($AN$5&lt;&gt;"",--(AN19="Maladie"),0),IF($AP$5&lt;&gt;"",--(AP19="Maladie"),0),IF($AR$5&lt;&gt;"",--(AR19="Maladie"),0),IF($AT$5&lt;&gt;"",--(AT19="Maladie"),0),IF($AV$5&lt;&gt;"",--(AV19="Maladie"),0),IF($AX$5&lt;&gt;"",--(AX19="Maladie"),0),IF($AZ$5&lt;&gt;"",--(AZ19="Maladie"),0),IF($BB$5&lt;&gt;"",--(BB19="Maladie"),0),IF($BD$5&lt;&gt;"",--(BD19="Maladie"),0),IF($BF$5&lt;&gt;"",--(BF19="Maladie"),0),IF($BH$5&lt;&gt;"",--(BH19="Maladie"),0),IF($BJ$5&lt;&gt;"",--(BJ19="Maladie"),0),IF($BL$5&lt;&gt;"",--(BL19="Maladie"),0)))</f>
      </c>
      <c r="BR19" s="23">
        <f>IF($A19="","",SUM(IF($D$5&lt;&gt;"",IF(D19="Présent",E19,0),0),IF($F$5&lt;&gt;"",IF(F19="Présent",G19,0),0),IF($H$5&lt;&gt;"",IF(H19="Présent",I19,0),0),IF($J$5&lt;&gt;"",IF(J19="Présent",K19,0),0),IF($L$5&lt;&gt;"",IF(L19="Présent",M19,0),0),IF($N$5&lt;&gt;"",IF(N19="Présent",O19,0),0),IF($P$5&lt;&gt;"",IF(P19="Présent",Q19,0),0),IF($R$5&lt;&gt;"",IF(R19="Présent",S19,0),0),IF($T$5&lt;&gt;"",IF(T19="Présent",U19,0),0),IF($V$5&lt;&gt;"",IF(V19="Présent",W19,0),0),IF($X$5&lt;&gt;"",IF(X19="Présent",Y19,0),0),IF($Z$5&lt;&gt;"",IF(Z19="Présent",AA19,0),0),IF($AB$5&lt;&gt;"",IF(AB19="Présent",AC19,0),0),IF($AD$5&lt;&gt;"",IF(AD19="Présent",AE19,0),0),IF($AF$5&lt;&gt;"",IF(AF19="Présent",AG19,0),0),IF($AH$5&lt;&gt;"",IF(AH19="Présent",AI19,0),0),IF($AJ$5&lt;&gt;"",IF(AJ19="Présent",AK19,0),0),IF($AL$5&lt;&gt;"",IF(AL19="Présent",AM19,0),0),IF($AN$5&lt;&gt;"",IF(AN19="Présent",AO19,0),0),IF($AP$5&lt;&gt;"",IF(AP19="Présent",AQ19,0),0),IF($AR$5&lt;&gt;"",IF(AR19="Présent",AS19,0),0),IF($AT$5&lt;&gt;"",IF(AT19="Présent",AU19,0),0),IF($AV$5&lt;&gt;"",IF(AV19="Présent",AW19,0),0),IF($AX$5&lt;&gt;"",IF(AX19="Présent",AY19,0),0),IF($AZ$5&lt;&gt;"",IF(AZ19="Présent",BA19,0),0),IF($BB$5&lt;&gt;"",IF(BB19="Présent",BC19,0),0),IF($BD$5&lt;&gt;"",IF(BD19="Présent",BE19,0),0),IF($BF$5&lt;&gt;"",IF(BF19="Présent",BG19,0),0),IF($BH$5&lt;&gt;"",IF(BH19="Présent",BI19,0),0),IF($BJ$5&lt;&gt;"",IF(BJ19="Présent",BK19,0),0),IF($BL$5&lt;&gt;"",IF(BL19="Présent",BM19,0),0)))</f>
      </c>
      <c r="BS19" s="25">
        <f>IF($A19="","",$BN19*IFERROR(INDEX(Categories_Salaire,MATCH($C19,ListeCategories,0)),0)+$BR19*IF(IFERROR(INDEX(Categories_TauxHS,MATCH($C19,ListeCategories,0)),0)&gt;0,IFERROR(INDEX(Categories_TauxHS,MATCH($C19,ListeCategories,0)),0),TauxHSDefaut))</f>
      </c>
    </row>
    <row r="20">
      <c r="A20" s="20">
        <f>IF(AND(INDEX(Employes_Nom,14)&lt;&gt;"",INDEX(Employes_Statut,14)="Actif",OR(INDEX(Employes_Embauche,14)="",INDEX(Employes_Embauche,14)&lt;=EOMONTH(DATE(AnneeCourante,MoisCourant,1),0))),INDEX(Employes_ID,14),"")</f>
      </c>
      <c r="B20" s="19">
        <f>IF($A20="","",INDEX(Employes_Nom,MATCH($A20,Employes_ID,0)))</f>
      </c>
      <c r="C20" s="20">
        <f>IF($A20="","",INDEX(Employes_Categorie,MATCH($A20,Employes_ID,0)))</f>
      </c>
      <c r="D20" s="26"/>
      <c r="E20" s="27"/>
      <c r="F20" s="26"/>
      <c r="G20" s="27"/>
      <c r="H20" s="26"/>
      <c r="I20" s="27"/>
      <c r="J20" s="26"/>
      <c r="K20" s="27"/>
      <c r="L20" s="26"/>
      <c r="M20" s="27"/>
      <c r="N20" s="26"/>
      <c r="O20" s="27"/>
      <c r="P20" s="26"/>
      <c r="Q20" s="27"/>
      <c r="R20" s="26"/>
      <c r="S20" s="27"/>
      <c r="T20" s="26"/>
      <c r="U20" s="27"/>
      <c r="V20" s="26"/>
      <c r="W20" s="27"/>
      <c r="X20" s="26"/>
      <c r="Y20" s="27"/>
      <c r="Z20" s="26"/>
      <c r="AA20" s="27"/>
      <c r="AB20" s="26"/>
      <c r="AC20" s="27"/>
      <c r="AD20" s="26"/>
      <c r="AE20" s="27"/>
      <c r="AF20" s="26"/>
      <c r="AG20" s="27"/>
      <c r="AH20" s="26"/>
      <c r="AI20" s="27"/>
      <c r="AJ20" s="26"/>
      <c r="AK20" s="27"/>
      <c r="AL20" s="26"/>
      <c r="AM20" s="27"/>
      <c r="AN20" s="26"/>
      <c r="AO20" s="27"/>
      <c r="AP20" s="26"/>
      <c r="AQ20" s="27"/>
      <c r="AR20" s="26"/>
      <c r="AS20" s="27"/>
      <c r="AT20" s="26"/>
      <c r="AU20" s="27"/>
      <c r="AV20" s="26"/>
      <c r="AW20" s="27"/>
      <c r="AX20" s="26"/>
      <c r="AY20" s="27"/>
      <c r="AZ20" s="26"/>
      <c r="BA20" s="27"/>
      <c r="BB20" s="26"/>
      <c r="BC20" s="27"/>
      <c r="BD20" s="26"/>
      <c r="BE20" s="27"/>
      <c r="BF20" s="26"/>
      <c r="BG20" s="27"/>
      <c r="BH20" s="26"/>
      <c r="BI20" s="27"/>
      <c r="BJ20" s="26"/>
      <c r="BK20" s="27"/>
      <c r="BL20" s="26"/>
      <c r="BM20" s="27"/>
      <c r="BN20" s="22">
        <f>IF($A20="","",SUM(IF($D$5&lt;&gt;"",--(D20="Présent"),0),IF($F$5&lt;&gt;"",--(F20="Présent"),0),IF($H$5&lt;&gt;"",--(H20="Présent"),0),IF($J$5&lt;&gt;"",--(J20="Présent"),0),IF($L$5&lt;&gt;"",--(L20="Présent"),0),IF($N$5&lt;&gt;"",--(N20="Présent"),0),IF($P$5&lt;&gt;"",--(P20="Présent"),0),IF($R$5&lt;&gt;"",--(R20="Présent"),0),IF($T$5&lt;&gt;"",--(T20="Présent"),0),IF($V$5&lt;&gt;"",--(V20="Présent"),0),IF($X$5&lt;&gt;"",--(X20="Présent"),0),IF($Z$5&lt;&gt;"",--(Z20="Présent"),0),IF($AB$5&lt;&gt;"",--(AB20="Présent"),0),IF($AD$5&lt;&gt;"",--(AD20="Présent"),0),IF($AF$5&lt;&gt;"",--(AF20="Présent"),0),IF($AH$5&lt;&gt;"",--(AH20="Présent"),0),IF($AJ$5&lt;&gt;"",--(AJ20="Présent"),0),IF($AL$5&lt;&gt;"",--(AL20="Présent"),0),IF($AN$5&lt;&gt;"",--(AN20="Présent"),0),IF($AP$5&lt;&gt;"",--(AP20="Présent"),0),IF($AR$5&lt;&gt;"",--(AR20="Présent"),0),IF($AT$5&lt;&gt;"",--(AT20="Présent"),0),IF($AV$5&lt;&gt;"",--(AV20="Présent"),0),IF($AX$5&lt;&gt;"",--(AX20="Présent"),0),IF($AZ$5&lt;&gt;"",--(AZ20="Présent"),0),IF($BB$5&lt;&gt;"",--(BB20="Présent"),0),IF($BD$5&lt;&gt;"",--(BD20="Présent"),0),IF($BF$5&lt;&gt;"",--(BF20="Présent"),0),IF($BH$5&lt;&gt;"",--(BH20="Présent"),0),IF($BJ$5&lt;&gt;"",--(BJ20="Présent"),0),IF($BL$5&lt;&gt;"",--(BL20="Présent"),0)))</f>
      </c>
      <c r="BO20" s="22">
        <f>IF($A20="","",SUM(IF($D$5&lt;&gt;"",--(D20="Absent"),0),IF($F$5&lt;&gt;"",--(F20="Absent"),0),IF($H$5&lt;&gt;"",--(H20="Absent"),0),IF($J$5&lt;&gt;"",--(J20="Absent"),0),IF($L$5&lt;&gt;"",--(L20="Absent"),0),IF($N$5&lt;&gt;"",--(N20="Absent"),0),IF($P$5&lt;&gt;"",--(P20="Absent"),0),IF($R$5&lt;&gt;"",--(R20="Absent"),0),IF($T$5&lt;&gt;"",--(T20="Absent"),0),IF($V$5&lt;&gt;"",--(V20="Absent"),0),IF($X$5&lt;&gt;"",--(X20="Absent"),0),IF($Z$5&lt;&gt;"",--(Z20="Absent"),0),IF($AB$5&lt;&gt;"",--(AB20="Absent"),0),IF($AD$5&lt;&gt;"",--(AD20="Absent"),0),IF($AF$5&lt;&gt;"",--(AF20="Absent"),0),IF($AH$5&lt;&gt;"",--(AH20="Absent"),0),IF($AJ$5&lt;&gt;"",--(AJ20="Absent"),0),IF($AL$5&lt;&gt;"",--(AL20="Absent"),0),IF($AN$5&lt;&gt;"",--(AN20="Absent"),0),IF($AP$5&lt;&gt;"",--(AP20="Absent"),0),IF($AR$5&lt;&gt;"",--(AR20="Absent"),0),IF($AT$5&lt;&gt;"",--(AT20="Absent"),0),IF($AV$5&lt;&gt;"",--(AV20="Absent"),0),IF($AX$5&lt;&gt;"",--(AX20="Absent"),0),IF($AZ$5&lt;&gt;"",--(AZ20="Absent"),0),IF($BB$5&lt;&gt;"",--(BB20="Absent"),0),IF($BD$5&lt;&gt;"",--(BD20="Absent"),0),IF($BF$5&lt;&gt;"",--(BF20="Absent"),0),IF($BH$5&lt;&gt;"",--(BH20="Absent"),0),IF($BJ$5&lt;&gt;"",--(BJ20="Absent"),0),IF($BL$5&lt;&gt;"",--(BL20="Absent"),0)))</f>
      </c>
      <c r="BP20" s="22">
        <f>IF($A20="","",SUM(IF($D$5&lt;&gt;"",--(D20="Congé"),0),IF($F$5&lt;&gt;"",--(F20="Congé"),0),IF($H$5&lt;&gt;"",--(H20="Congé"),0),IF($J$5&lt;&gt;"",--(J20="Congé"),0),IF($L$5&lt;&gt;"",--(L20="Congé"),0),IF($N$5&lt;&gt;"",--(N20="Congé"),0),IF($P$5&lt;&gt;"",--(P20="Congé"),0),IF($R$5&lt;&gt;"",--(R20="Congé"),0),IF($T$5&lt;&gt;"",--(T20="Congé"),0),IF($V$5&lt;&gt;"",--(V20="Congé"),0),IF($X$5&lt;&gt;"",--(X20="Congé"),0),IF($Z$5&lt;&gt;"",--(Z20="Congé"),0),IF($AB$5&lt;&gt;"",--(AB20="Congé"),0),IF($AD$5&lt;&gt;"",--(AD20="Congé"),0),IF($AF$5&lt;&gt;"",--(AF20="Congé"),0),IF($AH$5&lt;&gt;"",--(AH20="Congé"),0),IF($AJ$5&lt;&gt;"",--(AJ20="Congé"),0),IF($AL$5&lt;&gt;"",--(AL20="Congé"),0),IF($AN$5&lt;&gt;"",--(AN20="Congé"),0),IF($AP$5&lt;&gt;"",--(AP20="Congé"),0),IF($AR$5&lt;&gt;"",--(AR20="Congé"),0),IF($AT$5&lt;&gt;"",--(AT20="Congé"),0),IF($AV$5&lt;&gt;"",--(AV20="Congé"),0),IF($AX$5&lt;&gt;"",--(AX20="Congé"),0),IF($AZ$5&lt;&gt;"",--(AZ20="Congé"),0),IF($BB$5&lt;&gt;"",--(BB20="Congé"),0),IF($BD$5&lt;&gt;"",--(BD20="Congé"),0),IF($BF$5&lt;&gt;"",--(BF20="Congé"),0),IF($BH$5&lt;&gt;"",--(BH20="Congé"),0),IF($BJ$5&lt;&gt;"",--(BJ20="Congé"),0),IF($BL$5&lt;&gt;"",--(BL20="Congé"),0)))</f>
      </c>
      <c r="BQ20" s="22">
        <f>IF($A20="","",SUM(IF($D$5&lt;&gt;"",--(D20="Maladie"),0),IF($F$5&lt;&gt;"",--(F20="Maladie"),0),IF($H$5&lt;&gt;"",--(H20="Maladie"),0),IF($J$5&lt;&gt;"",--(J20="Maladie"),0),IF($L$5&lt;&gt;"",--(L20="Maladie"),0),IF($N$5&lt;&gt;"",--(N20="Maladie"),0),IF($P$5&lt;&gt;"",--(P20="Maladie"),0),IF($R$5&lt;&gt;"",--(R20="Maladie"),0),IF($T$5&lt;&gt;"",--(T20="Maladie"),0),IF($V$5&lt;&gt;"",--(V20="Maladie"),0),IF($X$5&lt;&gt;"",--(X20="Maladie"),0),IF($Z$5&lt;&gt;"",--(Z20="Maladie"),0),IF($AB$5&lt;&gt;"",--(AB20="Maladie"),0),IF($AD$5&lt;&gt;"",--(AD20="Maladie"),0),IF($AF$5&lt;&gt;"",--(AF20="Maladie"),0),IF($AH$5&lt;&gt;"",--(AH20="Maladie"),0),IF($AJ$5&lt;&gt;"",--(AJ20="Maladie"),0),IF($AL$5&lt;&gt;"",--(AL20="Maladie"),0),IF($AN$5&lt;&gt;"",--(AN20="Maladie"),0),IF($AP$5&lt;&gt;"",--(AP20="Maladie"),0),IF($AR$5&lt;&gt;"",--(AR20="Maladie"),0),IF($AT$5&lt;&gt;"",--(AT20="Maladie"),0),IF($AV$5&lt;&gt;"",--(AV20="Maladie"),0),IF($AX$5&lt;&gt;"",--(AX20="Maladie"),0),IF($AZ$5&lt;&gt;"",--(AZ20="Maladie"),0),IF($BB$5&lt;&gt;"",--(BB20="Maladie"),0),IF($BD$5&lt;&gt;"",--(BD20="Maladie"),0),IF($BF$5&lt;&gt;"",--(BF20="Maladie"),0),IF($BH$5&lt;&gt;"",--(BH20="Maladie"),0),IF($BJ$5&lt;&gt;"",--(BJ20="Maladie"),0),IF($BL$5&lt;&gt;"",--(BL20="Maladie"),0)))</f>
      </c>
      <c r="BR20" s="23">
        <f>IF($A20="","",SUM(IF($D$5&lt;&gt;"",IF(D20="Présent",E20,0),0),IF($F$5&lt;&gt;"",IF(F20="Présent",G20,0),0),IF($H$5&lt;&gt;"",IF(H20="Présent",I20,0),0),IF($J$5&lt;&gt;"",IF(J20="Présent",K20,0),0),IF($L$5&lt;&gt;"",IF(L20="Présent",M20,0),0),IF($N$5&lt;&gt;"",IF(N20="Présent",O20,0),0),IF($P$5&lt;&gt;"",IF(P20="Présent",Q20,0),0),IF($R$5&lt;&gt;"",IF(R20="Présent",S20,0),0),IF($T$5&lt;&gt;"",IF(T20="Présent",U20,0),0),IF($V$5&lt;&gt;"",IF(V20="Présent",W20,0),0),IF($X$5&lt;&gt;"",IF(X20="Présent",Y20,0),0),IF($Z$5&lt;&gt;"",IF(Z20="Présent",AA20,0),0),IF($AB$5&lt;&gt;"",IF(AB20="Présent",AC20,0),0),IF($AD$5&lt;&gt;"",IF(AD20="Présent",AE20,0),0),IF($AF$5&lt;&gt;"",IF(AF20="Présent",AG20,0),0),IF($AH$5&lt;&gt;"",IF(AH20="Présent",AI20,0),0),IF($AJ$5&lt;&gt;"",IF(AJ20="Présent",AK20,0),0),IF($AL$5&lt;&gt;"",IF(AL20="Présent",AM20,0),0),IF($AN$5&lt;&gt;"",IF(AN20="Présent",AO20,0),0),IF($AP$5&lt;&gt;"",IF(AP20="Présent",AQ20,0),0),IF($AR$5&lt;&gt;"",IF(AR20="Présent",AS20,0),0),IF($AT$5&lt;&gt;"",IF(AT20="Présent",AU20,0),0),IF($AV$5&lt;&gt;"",IF(AV20="Présent",AW20,0),0),IF($AX$5&lt;&gt;"",IF(AX20="Présent",AY20,0),0),IF($AZ$5&lt;&gt;"",IF(AZ20="Présent",BA20,0),0),IF($BB$5&lt;&gt;"",IF(BB20="Présent",BC20,0),0),IF($BD$5&lt;&gt;"",IF(BD20="Présent",BE20,0),0),IF($BF$5&lt;&gt;"",IF(BF20="Présent",BG20,0),0),IF($BH$5&lt;&gt;"",IF(BH20="Présent",BI20,0),0),IF($BJ$5&lt;&gt;"",IF(BJ20="Présent",BK20,0),0),IF($BL$5&lt;&gt;"",IF(BL20="Présent",BM20,0),0)))</f>
      </c>
      <c r="BS20" s="25">
        <f>IF($A20="","",$BN20*IFERROR(INDEX(Categories_Salaire,MATCH($C20,ListeCategories,0)),0)+$BR20*IF(IFERROR(INDEX(Categories_TauxHS,MATCH($C20,ListeCategories,0)),0)&gt;0,IFERROR(INDEX(Categories_TauxHS,MATCH($C20,ListeCategories,0)),0),TauxHSDefaut))</f>
      </c>
    </row>
    <row r="21">
      <c r="A21" s="20">
        <f>IF(AND(INDEX(Employes_Nom,15)&lt;&gt;"",INDEX(Employes_Statut,15)="Actif",OR(INDEX(Employes_Embauche,15)="",INDEX(Employes_Embauche,15)&lt;=EOMONTH(DATE(AnneeCourante,MoisCourant,1),0))),INDEX(Employes_ID,15),"")</f>
      </c>
      <c r="B21" s="19">
        <f>IF($A21="","",INDEX(Employes_Nom,MATCH($A21,Employes_ID,0)))</f>
      </c>
      <c r="C21" s="20">
        <f>IF($A21="","",INDEX(Employes_Categorie,MATCH($A21,Employes_ID,0)))</f>
      </c>
      <c r="D21" s="26"/>
      <c r="E21" s="27"/>
      <c r="F21" s="26"/>
      <c r="G21" s="27"/>
      <c r="H21" s="26"/>
      <c r="I21" s="27"/>
      <c r="J21" s="26"/>
      <c r="K21" s="27"/>
      <c r="L21" s="26"/>
      <c r="M21" s="27"/>
      <c r="N21" s="26"/>
      <c r="O21" s="27"/>
      <c r="P21" s="26"/>
      <c r="Q21" s="27"/>
      <c r="R21" s="26"/>
      <c r="S21" s="27"/>
      <c r="T21" s="26"/>
      <c r="U21" s="27"/>
      <c r="V21" s="26"/>
      <c r="W21" s="27"/>
      <c r="X21" s="26"/>
      <c r="Y21" s="27"/>
      <c r="Z21" s="26"/>
      <c r="AA21" s="27"/>
      <c r="AB21" s="26"/>
      <c r="AC21" s="27"/>
      <c r="AD21" s="26"/>
      <c r="AE21" s="27"/>
      <c r="AF21" s="26"/>
      <c r="AG21" s="27"/>
      <c r="AH21" s="26"/>
      <c r="AI21" s="27"/>
      <c r="AJ21" s="26"/>
      <c r="AK21" s="27"/>
      <c r="AL21" s="26"/>
      <c r="AM21" s="27"/>
      <c r="AN21" s="26"/>
      <c r="AO21" s="27"/>
      <c r="AP21" s="26"/>
      <c r="AQ21" s="27"/>
      <c r="AR21" s="26"/>
      <c r="AS21" s="27"/>
      <c r="AT21" s="26"/>
      <c r="AU21" s="27"/>
      <c r="AV21" s="26"/>
      <c r="AW21" s="27"/>
      <c r="AX21" s="26"/>
      <c r="AY21" s="27"/>
      <c r="AZ21" s="26"/>
      <c r="BA21" s="27"/>
      <c r="BB21" s="26"/>
      <c r="BC21" s="27"/>
      <c r="BD21" s="26"/>
      <c r="BE21" s="27"/>
      <c r="BF21" s="26"/>
      <c r="BG21" s="27"/>
      <c r="BH21" s="26"/>
      <c r="BI21" s="27"/>
      <c r="BJ21" s="26"/>
      <c r="BK21" s="27"/>
      <c r="BL21" s="26"/>
      <c r="BM21" s="27"/>
      <c r="BN21" s="22">
        <f>IF($A21="","",SUM(IF($D$5&lt;&gt;"",--(D21="Présent"),0),IF($F$5&lt;&gt;"",--(F21="Présent"),0),IF($H$5&lt;&gt;"",--(H21="Présent"),0),IF($J$5&lt;&gt;"",--(J21="Présent"),0),IF($L$5&lt;&gt;"",--(L21="Présent"),0),IF($N$5&lt;&gt;"",--(N21="Présent"),0),IF($P$5&lt;&gt;"",--(P21="Présent"),0),IF($R$5&lt;&gt;"",--(R21="Présent"),0),IF($T$5&lt;&gt;"",--(T21="Présent"),0),IF($V$5&lt;&gt;"",--(V21="Présent"),0),IF($X$5&lt;&gt;"",--(X21="Présent"),0),IF($Z$5&lt;&gt;"",--(Z21="Présent"),0),IF($AB$5&lt;&gt;"",--(AB21="Présent"),0),IF($AD$5&lt;&gt;"",--(AD21="Présent"),0),IF($AF$5&lt;&gt;"",--(AF21="Présent"),0),IF($AH$5&lt;&gt;"",--(AH21="Présent"),0),IF($AJ$5&lt;&gt;"",--(AJ21="Présent"),0),IF($AL$5&lt;&gt;"",--(AL21="Présent"),0),IF($AN$5&lt;&gt;"",--(AN21="Présent"),0),IF($AP$5&lt;&gt;"",--(AP21="Présent"),0),IF($AR$5&lt;&gt;"",--(AR21="Présent"),0),IF($AT$5&lt;&gt;"",--(AT21="Présent"),0),IF($AV$5&lt;&gt;"",--(AV21="Présent"),0),IF($AX$5&lt;&gt;"",--(AX21="Présent"),0),IF($AZ$5&lt;&gt;"",--(AZ21="Présent"),0),IF($BB$5&lt;&gt;"",--(BB21="Présent"),0),IF($BD$5&lt;&gt;"",--(BD21="Présent"),0),IF($BF$5&lt;&gt;"",--(BF21="Présent"),0),IF($BH$5&lt;&gt;"",--(BH21="Présent"),0),IF($BJ$5&lt;&gt;"",--(BJ21="Présent"),0),IF($BL$5&lt;&gt;"",--(BL21="Présent"),0)))</f>
      </c>
      <c r="BO21" s="22">
        <f>IF($A21="","",SUM(IF($D$5&lt;&gt;"",--(D21="Absent"),0),IF($F$5&lt;&gt;"",--(F21="Absent"),0),IF($H$5&lt;&gt;"",--(H21="Absent"),0),IF($J$5&lt;&gt;"",--(J21="Absent"),0),IF($L$5&lt;&gt;"",--(L21="Absent"),0),IF($N$5&lt;&gt;"",--(N21="Absent"),0),IF($P$5&lt;&gt;"",--(P21="Absent"),0),IF($R$5&lt;&gt;"",--(R21="Absent"),0),IF($T$5&lt;&gt;"",--(T21="Absent"),0),IF($V$5&lt;&gt;"",--(V21="Absent"),0),IF($X$5&lt;&gt;"",--(X21="Absent"),0),IF($Z$5&lt;&gt;"",--(Z21="Absent"),0),IF($AB$5&lt;&gt;"",--(AB21="Absent"),0),IF($AD$5&lt;&gt;"",--(AD21="Absent"),0),IF($AF$5&lt;&gt;"",--(AF21="Absent"),0),IF($AH$5&lt;&gt;"",--(AH21="Absent"),0),IF($AJ$5&lt;&gt;"",--(AJ21="Absent"),0),IF($AL$5&lt;&gt;"",--(AL21="Absent"),0),IF($AN$5&lt;&gt;"",--(AN21="Absent"),0),IF($AP$5&lt;&gt;"",--(AP21="Absent"),0),IF($AR$5&lt;&gt;"",--(AR21="Absent"),0),IF($AT$5&lt;&gt;"",--(AT21="Absent"),0),IF($AV$5&lt;&gt;"",--(AV21="Absent"),0),IF($AX$5&lt;&gt;"",--(AX21="Absent"),0),IF($AZ$5&lt;&gt;"",--(AZ21="Absent"),0),IF($BB$5&lt;&gt;"",--(BB21="Absent"),0),IF($BD$5&lt;&gt;"",--(BD21="Absent"),0),IF($BF$5&lt;&gt;"",--(BF21="Absent"),0),IF($BH$5&lt;&gt;"",--(BH21="Absent"),0),IF($BJ$5&lt;&gt;"",--(BJ21="Absent"),0),IF($BL$5&lt;&gt;"",--(BL21="Absent"),0)))</f>
      </c>
      <c r="BP21" s="22">
        <f>IF($A21="","",SUM(IF($D$5&lt;&gt;"",--(D21="Congé"),0),IF($F$5&lt;&gt;"",--(F21="Congé"),0),IF($H$5&lt;&gt;"",--(H21="Congé"),0),IF($J$5&lt;&gt;"",--(J21="Congé"),0),IF($L$5&lt;&gt;"",--(L21="Congé"),0),IF($N$5&lt;&gt;"",--(N21="Congé"),0),IF($P$5&lt;&gt;"",--(P21="Congé"),0),IF($R$5&lt;&gt;"",--(R21="Congé"),0),IF($T$5&lt;&gt;"",--(T21="Congé"),0),IF($V$5&lt;&gt;"",--(V21="Congé"),0),IF($X$5&lt;&gt;"",--(X21="Congé"),0),IF($Z$5&lt;&gt;"",--(Z21="Congé"),0),IF($AB$5&lt;&gt;"",--(AB21="Congé"),0),IF($AD$5&lt;&gt;"",--(AD21="Congé"),0),IF($AF$5&lt;&gt;"",--(AF21="Congé"),0),IF($AH$5&lt;&gt;"",--(AH21="Congé"),0),IF($AJ$5&lt;&gt;"",--(AJ21="Congé"),0),IF($AL$5&lt;&gt;"",--(AL21="Congé"),0),IF($AN$5&lt;&gt;"",--(AN21="Congé"),0),IF($AP$5&lt;&gt;"",--(AP21="Congé"),0),IF($AR$5&lt;&gt;"",--(AR21="Congé"),0),IF($AT$5&lt;&gt;"",--(AT21="Congé"),0),IF($AV$5&lt;&gt;"",--(AV21="Congé"),0),IF($AX$5&lt;&gt;"",--(AX21="Congé"),0),IF($AZ$5&lt;&gt;"",--(AZ21="Congé"),0),IF($BB$5&lt;&gt;"",--(BB21="Congé"),0),IF($BD$5&lt;&gt;"",--(BD21="Congé"),0),IF($BF$5&lt;&gt;"",--(BF21="Congé"),0),IF($BH$5&lt;&gt;"",--(BH21="Congé"),0),IF($BJ$5&lt;&gt;"",--(BJ21="Congé"),0),IF($BL$5&lt;&gt;"",--(BL21="Congé"),0)))</f>
      </c>
      <c r="BQ21" s="22">
        <f>IF($A21="","",SUM(IF($D$5&lt;&gt;"",--(D21="Maladie"),0),IF($F$5&lt;&gt;"",--(F21="Maladie"),0),IF($H$5&lt;&gt;"",--(H21="Maladie"),0),IF($J$5&lt;&gt;"",--(J21="Maladie"),0),IF($L$5&lt;&gt;"",--(L21="Maladie"),0),IF($N$5&lt;&gt;"",--(N21="Maladie"),0),IF($P$5&lt;&gt;"",--(P21="Maladie"),0),IF($R$5&lt;&gt;"",--(R21="Maladie"),0),IF($T$5&lt;&gt;"",--(T21="Maladie"),0),IF($V$5&lt;&gt;"",--(V21="Maladie"),0),IF($X$5&lt;&gt;"",--(X21="Maladie"),0),IF($Z$5&lt;&gt;"",--(Z21="Maladie"),0),IF($AB$5&lt;&gt;"",--(AB21="Maladie"),0),IF($AD$5&lt;&gt;"",--(AD21="Maladie"),0),IF($AF$5&lt;&gt;"",--(AF21="Maladie"),0),IF($AH$5&lt;&gt;"",--(AH21="Maladie"),0),IF($AJ$5&lt;&gt;"",--(AJ21="Maladie"),0),IF($AL$5&lt;&gt;"",--(AL21="Maladie"),0),IF($AN$5&lt;&gt;"",--(AN21="Maladie"),0),IF($AP$5&lt;&gt;"",--(AP21="Maladie"),0),IF($AR$5&lt;&gt;"",--(AR21="Maladie"),0),IF($AT$5&lt;&gt;"",--(AT21="Maladie"),0),IF($AV$5&lt;&gt;"",--(AV21="Maladie"),0),IF($AX$5&lt;&gt;"",--(AX21="Maladie"),0),IF($AZ$5&lt;&gt;"",--(AZ21="Maladie"),0),IF($BB$5&lt;&gt;"",--(BB21="Maladie"),0),IF($BD$5&lt;&gt;"",--(BD21="Maladie"),0),IF($BF$5&lt;&gt;"",--(BF21="Maladie"),0),IF($BH$5&lt;&gt;"",--(BH21="Maladie"),0),IF($BJ$5&lt;&gt;"",--(BJ21="Maladie"),0),IF($BL$5&lt;&gt;"",--(BL21="Maladie"),0)))</f>
      </c>
      <c r="BR21" s="23">
        <f>IF($A21="","",SUM(IF($D$5&lt;&gt;"",IF(D21="Présent",E21,0),0),IF($F$5&lt;&gt;"",IF(F21="Présent",G21,0),0),IF($H$5&lt;&gt;"",IF(H21="Présent",I21,0),0),IF($J$5&lt;&gt;"",IF(J21="Présent",K21,0),0),IF($L$5&lt;&gt;"",IF(L21="Présent",M21,0),0),IF($N$5&lt;&gt;"",IF(N21="Présent",O21,0),0),IF($P$5&lt;&gt;"",IF(P21="Présent",Q21,0),0),IF($R$5&lt;&gt;"",IF(R21="Présent",S21,0),0),IF($T$5&lt;&gt;"",IF(T21="Présent",U21,0),0),IF($V$5&lt;&gt;"",IF(V21="Présent",W21,0),0),IF($X$5&lt;&gt;"",IF(X21="Présent",Y21,0),0),IF($Z$5&lt;&gt;"",IF(Z21="Présent",AA21,0),0),IF($AB$5&lt;&gt;"",IF(AB21="Présent",AC21,0),0),IF($AD$5&lt;&gt;"",IF(AD21="Présent",AE21,0),0),IF($AF$5&lt;&gt;"",IF(AF21="Présent",AG21,0),0),IF($AH$5&lt;&gt;"",IF(AH21="Présent",AI21,0),0),IF($AJ$5&lt;&gt;"",IF(AJ21="Présent",AK21,0),0),IF($AL$5&lt;&gt;"",IF(AL21="Présent",AM21,0),0),IF($AN$5&lt;&gt;"",IF(AN21="Présent",AO21,0),0),IF($AP$5&lt;&gt;"",IF(AP21="Présent",AQ21,0),0),IF($AR$5&lt;&gt;"",IF(AR21="Présent",AS21,0),0),IF($AT$5&lt;&gt;"",IF(AT21="Présent",AU21,0),0),IF($AV$5&lt;&gt;"",IF(AV21="Présent",AW21,0),0),IF($AX$5&lt;&gt;"",IF(AX21="Présent",AY21,0),0),IF($AZ$5&lt;&gt;"",IF(AZ21="Présent",BA21,0),0),IF($BB$5&lt;&gt;"",IF(BB21="Présent",BC21,0),0),IF($BD$5&lt;&gt;"",IF(BD21="Présent",BE21,0),0),IF($BF$5&lt;&gt;"",IF(BF21="Présent",BG21,0),0),IF($BH$5&lt;&gt;"",IF(BH21="Présent",BI21,0),0),IF($BJ$5&lt;&gt;"",IF(BJ21="Présent",BK21,0),0),IF($BL$5&lt;&gt;"",IF(BL21="Présent",BM21,0),0)))</f>
      </c>
      <c r="BS21" s="25">
        <f>IF($A21="","",$BN21*IFERROR(INDEX(Categories_Salaire,MATCH($C21,ListeCategories,0)),0)+$BR21*IF(IFERROR(INDEX(Categories_TauxHS,MATCH($C21,ListeCategories,0)),0)&gt;0,IFERROR(INDEX(Categories_TauxHS,MATCH($C21,ListeCategories,0)),0),TauxHSDefaut))</f>
      </c>
    </row>
    <row r="22">
      <c r="A22" s="20">
        <f>IF(AND(INDEX(Employes_Nom,16)&lt;&gt;"",INDEX(Employes_Statut,16)="Actif",OR(INDEX(Employes_Embauche,16)="",INDEX(Employes_Embauche,16)&lt;=EOMONTH(DATE(AnneeCourante,MoisCourant,1),0))),INDEX(Employes_ID,16),"")</f>
      </c>
      <c r="B22" s="19">
        <f>IF($A22="","",INDEX(Employes_Nom,MATCH($A22,Employes_ID,0)))</f>
      </c>
      <c r="C22" s="20">
        <f>IF($A22="","",INDEX(Employes_Categorie,MATCH($A22,Employes_ID,0)))</f>
      </c>
      <c r="D22" s="26"/>
      <c r="E22" s="27"/>
      <c r="F22" s="26"/>
      <c r="G22" s="27"/>
      <c r="H22" s="26"/>
      <c r="I22" s="27"/>
      <c r="J22" s="26"/>
      <c r="K22" s="27"/>
      <c r="L22" s="26"/>
      <c r="M22" s="27"/>
      <c r="N22" s="26"/>
      <c r="O22" s="27"/>
      <c r="P22" s="26"/>
      <c r="Q22" s="27"/>
      <c r="R22" s="26"/>
      <c r="S22" s="27"/>
      <c r="T22" s="26"/>
      <c r="U22" s="27"/>
      <c r="V22" s="26"/>
      <c r="W22" s="27"/>
      <c r="X22" s="26"/>
      <c r="Y22" s="27"/>
      <c r="Z22" s="26"/>
      <c r="AA22" s="27"/>
      <c r="AB22" s="26"/>
      <c r="AC22" s="27"/>
      <c r="AD22" s="26"/>
      <c r="AE22" s="27"/>
      <c r="AF22" s="26"/>
      <c r="AG22" s="27"/>
      <c r="AH22" s="26"/>
      <c r="AI22" s="27"/>
      <c r="AJ22" s="26"/>
      <c r="AK22" s="27"/>
      <c r="AL22" s="26"/>
      <c r="AM22" s="27"/>
      <c r="AN22" s="26"/>
      <c r="AO22" s="27"/>
      <c r="AP22" s="26"/>
      <c r="AQ22" s="27"/>
      <c r="AR22" s="26"/>
      <c r="AS22" s="27"/>
      <c r="AT22" s="26"/>
      <c r="AU22" s="27"/>
      <c r="AV22" s="26"/>
      <c r="AW22" s="27"/>
      <c r="AX22" s="26"/>
      <c r="AY22" s="27"/>
      <c r="AZ22" s="26"/>
      <c r="BA22" s="27"/>
      <c r="BB22" s="26"/>
      <c r="BC22" s="27"/>
      <c r="BD22" s="26"/>
      <c r="BE22" s="27"/>
      <c r="BF22" s="26"/>
      <c r="BG22" s="27"/>
      <c r="BH22" s="26"/>
      <c r="BI22" s="27"/>
      <c r="BJ22" s="26"/>
      <c r="BK22" s="27"/>
      <c r="BL22" s="26"/>
      <c r="BM22" s="27"/>
      <c r="BN22" s="22">
        <f>IF($A22="","",SUM(IF($D$5&lt;&gt;"",--(D22="Présent"),0),IF($F$5&lt;&gt;"",--(F22="Présent"),0),IF($H$5&lt;&gt;"",--(H22="Présent"),0),IF($J$5&lt;&gt;"",--(J22="Présent"),0),IF($L$5&lt;&gt;"",--(L22="Présent"),0),IF($N$5&lt;&gt;"",--(N22="Présent"),0),IF($P$5&lt;&gt;"",--(P22="Présent"),0),IF($R$5&lt;&gt;"",--(R22="Présent"),0),IF($T$5&lt;&gt;"",--(T22="Présent"),0),IF($V$5&lt;&gt;"",--(V22="Présent"),0),IF($X$5&lt;&gt;"",--(X22="Présent"),0),IF($Z$5&lt;&gt;"",--(Z22="Présent"),0),IF($AB$5&lt;&gt;"",--(AB22="Présent"),0),IF($AD$5&lt;&gt;"",--(AD22="Présent"),0),IF($AF$5&lt;&gt;"",--(AF22="Présent"),0),IF($AH$5&lt;&gt;"",--(AH22="Présent"),0),IF($AJ$5&lt;&gt;"",--(AJ22="Présent"),0),IF($AL$5&lt;&gt;"",--(AL22="Présent"),0),IF($AN$5&lt;&gt;"",--(AN22="Présent"),0),IF($AP$5&lt;&gt;"",--(AP22="Présent"),0),IF($AR$5&lt;&gt;"",--(AR22="Présent"),0),IF($AT$5&lt;&gt;"",--(AT22="Présent"),0),IF($AV$5&lt;&gt;"",--(AV22="Présent"),0),IF($AX$5&lt;&gt;"",--(AX22="Présent"),0),IF($AZ$5&lt;&gt;"",--(AZ22="Présent"),0),IF($BB$5&lt;&gt;"",--(BB22="Présent"),0),IF($BD$5&lt;&gt;"",--(BD22="Présent"),0),IF($BF$5&lt;&gt;"",--(BF22="Présent"),0),IF($BH$5&lt;&gt;"",--(BH22="Présent"),0),IF($BJ$5&lt;&gt;"",--(BJ22="Présent"),0),IF($BL$5&lt;&gt;"",--(BL22="Présent"),0)))</f>
      </c>
      <c r="BO22" s="22">
        <f>IF($A22="","",SUM(IF($D$5&lt;&gt;"",--(D22="Absent"),0),IF($F$5&lt;&gt;"",--(F22="Absent"),0),IF($H$5&lt;&gt;"",--(H22="Absent"),0),IF($J$5&lt;&gt;"",--(J22="Absent"),0),IF($L$5&lt;&gt;"",--(L22="Absent"),0),IF($N$5&lt;&gt;"",--(N22="Absent"),0),IF($P$5&lt;&gt;"",--(P22="Absent"),0),IF($R$5&lt;&gt;"",--(R22="Absent"),0),IF($T$5&lt;&gt;"",--(T22="Absent"),0),IF($V$5&lt;&gt;"",--(V22="Absent"),0),IF($X$5&lt;&gt;"",--(X22="Absent"),0),IF($Z$5&lt;&gt;"",--(Z22="Absent"),0),IF($AB$5&lt;&gt;"",--(AB22="Absent"),0),IF($AD$5&lt;&gt;"",--(AD22="Absent"),0),IF($AF$5&lt;&gt;"",--(AF22="Absent"),0),IF($AH$5&lt;&gt;"",--(AH22="Absent"),0),IF($AJ$5&lt;&gt;"",--(AJ22="Absent"),0),IF($AL$5&lt;&gt;"",--(AL22="Absent"),0),IF($AN$5&lt;&gt;"",--(AN22="Absent"),0),IF($AP$5&lt;&gt;"",--(AP22="Absent"),0),IF($AR$5&lt;&gt;"",--(AR22="Absent"),0),IF($AT$5&lt;&gt;"",--(AT22="Absent"),0),IF($AV$5&lt;&gt;"",--(AV22="Absent"),0),IF($AX$5&lt;&gt;"",--(AX22="Absent"),0),IF($AZ$5&lt;&gt;"",--(AZ22="Absent"),0),IF($BB$5&lt;&gt;"",--(BB22="Absent"),0),IF($BD$5&lt;&gt;"",--(BD22="Absent"),0),IF($BF$5&lt;&gt;"",--(BF22="Absent"),0),IF($BH$5&lt;&gt;"",--(BH22="Absent"),0),IF($BJ$5&lt;&gt;"",--(BJ22="Absent"),0),IF($BL$5&lt;&gt;"",--(BL22="Absent"),0)))</f>
      </c>
      <c r="BP22" s="22">
        <f>IF($A22="","",SUM(IF($D$5&lt;&gt;"",--(D22="Congé"),0),IF($F$5&lt;&gt;"",--(F22="Congé"),0),IF($H$5&lt;&gt;"",--(H22="Congé"),0),IF($J$5&lt;&gt;"",--(J22="Congé"),0),IF($L$5&lt;&gt;"",--(L22="Congé"),0),IF($N$5&lt;&gt;"",--(N22="Congé"),0),IF($P$5&lt;&gt;"",--(P22="Congé"),0),IF($R$5&lt;&gt;"",--(R22="Congé"),0),IF($T$5&lt;&gt;"",--(T22="Congé"),0),IF($V$5&lt;&gt;"",--(V22="Congé"),0),IF($X$5&lt;&gt;"",--(X22="Congé"),0),IF($Z$5&lt;&gt;"",--(Z22="Congé"),0),IF($AB$5&lt;&gt;"",--(AB22="Congé"),0),IF($AD$5&lt;&gt;"",--(AD22="Congé"),0),IF($AF$5&lt;&gt;"",--(AF22="Congé"),0),IF($AH$5&lt;&gt;"",--(AH22="Congé"),0),IF($AJ$5&lt;&gt;"",--(AJ22="Congé"),0),IF($AL$5&lt;&gt;"",--(AL22="Congé"),0),IF($AN$5&lt;&gt;"",--(AN22="Congé"),0),IF($AP$5&lt;&gt;"",--(AP22="Congé"),0),IF($AR$5&lt;&gt;"",--(AR22="Congé"),0),IF($AT$5&lt;&gt;"",--(AT22="Congé"),0),IF($AV$5&lt;&gt;"",--(AV22="Congé"),0),IF($AX$5&lt;&gt;"",--(AX22="Congé"),0),IF($AZ$5&lt;&gt;"",--(AZ22="Congé"),0),IF($BB$5&lt;&gt;"",--(BB22="Congé"),0),IF($BD$5&lt;&gt;"",--(BD22="Congé"),0),IF($BF$5&lt;&gt;"",--(BF22="Congé"),0),IF($BH$5&lt;&gt;"",--(BH22="Congé"),0),IF($BJ$5&lt;&gt;"",--(BJ22="Congé"),0),IF($BL$5&lt;&gt;"",--(BL22="Congé"),0)))</f>
      </c>
      <c r="BQ22" s="22">
        <f>IF($A22="","",SUM(IF($D$5&lt;&gt;"",--(D22="Maladie"),0),IF($F$5&lt;&gt;"",--(F22="Maladie"),0),IF($H$5&lt;&gt;"",--(H22="Maladie"),0),IF($J$5&lt;&gt;"",--(J22="Maladie"),0),IF($L$5&lt;&gt;"",--(L22="Maladie"),0),IF($N$5&lt;&gt;"",--(N22="Maladie"),0),IF($P$5&lt;&gt;"",--(P22="Maladie"),0),IF($R$5&lt;&gt;"",--(R22="Maladie"),0),IF($T$5&lt;&gt;"",--(T22="Maladie"),0),IF($V$5&lt;&gt;"",--(V22="Maladie"),0),IF($X$5&lt;&gt;"",--(X22="Maladie"),0),IF($Z$5&lt;&gt;"",--(Z22="Maladie"),0),IF($AB$5&lt;&gt;"",--(AB22="Maladie"),0),IF($AD$5&lt;&gt;"",--(AD22="Maladie"),0),IF($AF$5&lt;&gt;"",--(AF22="Maladie"),0),IF($AH$5&lt;&gt;"",--(AH22="Maladie"),0),IF($AJ$5&lt;&gt;"",--(AJ22="Maladie"),0),IF($AL$5&lt;&gt;"",--(AL22="Maladie"),0),IF($AN$5&lt;&gt;"",--(AN22="Maladie"),0),IF($AP$5&lt;&gt;"",--(AP22="Maladie"),0),IF($AR$5&lt;&gt;"",--(AR22="Maladie"),0),IF($AT$5&lt;&gt;"",--(AT22="Maladie"),0),IF($AV$5&lt;&gt;"",--(AV22="Maladie"),0),IF($AX$5&lt;&gt;"",--(AX22="Maladie"),0),IF($AZ$5&lt;&gt;"",--(AZ22="Maladie"),0),IF($BB$5&lt;&gt;"",--(BB22="Maladie"),0),IF($BD$5&lt;&gt;"",--(BD22="Maladie"),0),IF($BF$5&lt;&gt;"",--(BF22="Maladie"),0),IF($BH$5&lt;&gt;"",--(BH22="Maladie"),0),IF($BJ$5&lt;&gt;"",--(BJ22="Maladie"),0),IF($BL$5&lt;&gt;"",--(BL22="Maladie"),0)))</f>
      </c>
      <c r="BR22" s="23">
        <f>IF($A22="","",SUM(IF($D$5&lt;&gt;"",IF(D22="Présent",E22,0),0),IF($F$5&lt;&gt;"",IF(F22="Présent",G22,0),0),IF($H$5&lt;&gt;"",IF(H22="Présent",I22,0),0),IF($J$5&lt;&gt;"",IF(J22="Présent",K22,0),0),IF($L$5&lt;&gt;"",IF(L22="Présent",M22,0),0),IF($N$5&lt;&gt;"",IF(N22="Présent",O22,0),0),IF($P$5&lt;&gt;"",IF(P22="Présent",Q22,0),0),IF($R$5&lt;&gt;"",IF(R22="Présent",S22,0),0),IF($T$5&lt;&gt;"",IF(T22="Présent",U22,0),0),IF($V$5&lt;&gt;"",IF(V22="Présent",W22,0),0),IF($X$5&lt;&gt;"",IF(X22="Présent",Y22,0),0),IF($Z$5&lt;&gt;"",IF(Z22="Présent",AA22,0),0),IF($AB$5&lt;&gt;"",IF(AB22="Présent",AC22,0),0),IF($AD$5&lt;&gt;"",IF(AD22="Présent",AE22,0),0),IF($AF$5&lt;&gt;"",IF(AF22="Présent",AG22,0),0),IF($AH$5&lt;&gt;"",IF(AH22="Présent",AI22,0),0),IF($AJ$5&lt;&gt;"",IF(AJ22="Présent",AK22,0),0),IF($AL$5&lt;&gt;"",IF(AL22="Présent",AM22,0),0),IF($AN$5&lt;&gt;"",IF(AN22="Présent",AO22,0),0),IF($AP$5&lt;&gt;"",IF(AP22="Présent",AQ22,0),0),IF($AR$5&lt;&gt;"",IF(AR22="Présent",AS22,0),0),IF($AT$5&lt;&gt;"",IF(AT22="Présent",AU22,0),0),IF($AV$5&lt;&gt;"",IF(AV22="Présent",AW22,0),0),IF($AX$5&lt;&gt;"",IF(AX22="Présent",AY22,0),0),IF($AZ$5&lt;&gt;"",IF(AZ22="Présent",BA22,0),0),IF($BB$5&lt;&gt;"",IF(BB22="Présent",BC22,0),0),IF($BD$5&lt;&gt;"",IF(BD22="Présent",BE22,0),0),IF($BF$5&lt;&gt;"",IF(BF22="Présent",BG22,0),0),IF($BH$5&lt;&gt;"",IF(BH22="Présent",BI22,0),0),IF($BJ$5&lt;&gt;"",IF(BJ22="Présent",BK22,0),0),IF($BL$5&lt;&gt;"",IF(BL22="Présent",BM22,0),0)))</f>
      </c>
      <c r="BS22" s="25">
        <f>IF($A22="","",$BN22*IFERROR(INDEX(Categories_Salaire,MATCH($C22,ListeCategories,0)),0)+$BR22*IF(IFERROR(INDEX(Categories_TauxHS,MATCH($C22,ListeCategories,0)),0)&gt;0,IFERROR(INDEX(Categories_TauxHS,MATCH($C22,ListeCategories,0)),0),TauxHSDefaut))</f>
      </c>
    </row>
    <row r="23">
      <c r="A23" s="20">
        <f>IF(AND(INDEX(Employes_Nom,17)&lt;&gt;"",INDEX(Employes_Statut,17)="Actif",OR(INDEX(Employes_Embauche,17)="",INDEX(Employes_Embauche,17)&lt;=EOMONTH(DATE(AnneeCourante,MoisCourant,1),0))),INDEX(Employes_ID,17),"")</f>
      </c>
      <c r="B23" s="19">
        <f>IF($A23="","",INDEX(Employes_Nom,MATCH($A23,Employes_ID,0)))</f>
      </c>
      <c r="C23" s="20">
        <f>IF($A23="","",INDEX(Employes_Categorie,MATCH($A23,Employes_ID,0)))</f>
      </c>
      <c r="D23" s="26"/>
      <c r="E23" s="27"/>
      <c r="F23" s="26"/>
      <c r="G23" s="27"/>
      <c r="H23" s="26"/>
      <c r="I23" s="27"/>
      <c r="J23" s="26"/>
      <c r="K23" s="27"/>
      <c r="L23" s="26"/>
      <c r="M23" s="27"/>
      <c r="N23" s="26"/>
      <c r="O23" s="27"/>
      <c r="P23" s="26"/>
      <c r="Q23" s="27"/>
      <c r="R23" s="26"/>
      <c r="S23" s="27"/>
      <c r="T23" s="26"/>
      <c r="U23" s="27"/>
      <c r="V23" s="26"/>
      <c r="W23" s="27"/>
      <c r="X23" s="26"/>
      <c r="Y23" s="27"/>
      <c r="Z23" s="26"/>
      <c r="AA23" s="27"/>
      <c r="AB23" s="26"/>
      <c r="AC23" s="27"/>
      <c r="AD23" s="26"/>
      <c r="AE23" s="27"/>
      <c r="AF23" s="26"/>
      <c r="AG23" s="27"/>
      <c r="AH23" s="26"/>
      <c r="AI23" s="27"/>
      <c r="AJ23" s="26"/>
      <c r="AK23" s="27"/>
      <c r="AL23" s="26"/>
      <c r="AM23" s="27"/>
      <c r="AN23" s="26"/>
      <c r="AO23" s="27"/>
      <c r="AP23" s="26"/>
      <c r="AQ23" s="27"/>
      <c r="AR23" s="26"/>
      <c r="AS23" s="27"/>
      <c r="AT23" s="26"/>
      <c r="AU23" s="27"/>
      <c r="AV23" s="26"/>
      <c r="AW23" s="27"/>
      <c r="AX23" s="26"/>
      <c r="AY23" s="27"/>
      <c r="AZ23" s="26"/>
      <c r="BA23" s="27"/>
      <c r="BB23" s="26"/>
      <c r="BC23" s="27"/>
      <c r="BD23" s="26"/>
      <c r="BE23" s="27"/>
      <c r="BF23" s="26"/>
      <c r="BG23" s="27"/>
      <c r="BH23" s="26"/>
      <c r="BI23" s="27"/>
      <c r="BJ23" s="26"/>
      <c r="BK23" s="27"/>
      <c r="BL23" s="26"/>
      <c r="BM23" s="27"/>
      <c r="BN23" s="22">
        <f>IF($A23="","",SUM(IF($D$5&lt;&gt;"",--(D23="Présent"),0),IF($F$5&lt;&gt;"",--(F23="Présent"),0),IF($H$5&lt;&gt;"",--(H23="Présent"),0),IF($J$5&lt;&gt;"",--(J23="Présent"),0),IF($L$5&lt;&gt;"",--(L23="Présent"),0),IF($N$5&lt;&gt;"",--(N23="Présent"),0),IF($P$5&lt;&gt;"",--(P23="Présent"),0),IF($R$5&lt;&gt;"",--(R23="Présent"),0),IF($T$5&lt;&gt;"",--(T23="Présent"),0),IF($V$5&lt;&gt;"",--(V23="Présent"),0),IF($X$5&lt;&gt;"",--(X23="Présent"),0),IF($Z$5&lt;&gt;"",--(Z23="Présent"),0),IF($AB$5&lt;&gt;"",--(AB23="Présent"),0),IF($AD$5&lt;&gt;"",--(AD23="Présent"),0),IF($AF$5&lt;&gt;"",--(AF23="Présent"),0),IF($AH$5&lt;&gt;"",--(AH23="Présent"),0),IF($AJ$5&lt;&gt;"",--(AJ23="Présent"),0),IF($AL$5&lt;&gt;"",--(AL23="Présent"),0),IF($AN$5&lt;&gt;"",--(AN23="Présent"),0),IF($AP$5&lt;&gt;"",--(AP23="Présent"),0),IF($AR$5&lt;&gt;"",--(AR23="Présent"),0),IF($AT$5&lt;&gt;"",--(AT23="Présent"),0),IF($AV$5&lt;&gt;"",--(AV23="Présent"),0),IF($AX$5&lt;&gt;"",--(AX23="Présent"),0),IF($AZ$5&lt;&gt;"",--(AZ23="Présent"),0),IF($BB$5&lt;&gt;"",--(BB23="Présent"),0),IF($BD$5&lt;&gt;"",--(BD23="Présent"),0),IF($BF$5&lt;&gt;"",--(BF23="Présent"),0),IF($BH$5&lt;&gt;"",--(BH23="Présent"),0),IF($BJ$5&lt;&gt;"",--(BJ23="Présent"),0),IF($BL$5&lt;&gt;"",--(BL23="Présent"),0)))</f>
      </c>
      <c r="BO23" s="22">
        <f>IF($A23="","",SUM(IF($D$5&lt;&gt;"",--(D23="Absent"),0),IF($F$5&lt;&gt;"",--(F23="Absent"),0),IF($H$5&lt;&gt;"",--(H23="Absent"),0),IF($J$5&lt;&gt;"",--(J23="Absent"),0),IF($L$5&lt;&gt;"",--(L23="Absent"),0),IF($N$5&lt;&gt;"",--(N23="Absent"),0),IF($P$5&lt;&gt;"",--(P23="Absent"),0),IF($R$5&lt;&gt;"",--(R23="Absent"),0),IF($T$5&lt;&gt;"",--(T23="Absent"),0),IF($V$5&lt;&gt;"",--(V23="Absent"),0),IF($X$5&lt;&gt;"",--(X23="Absent"),0),IF($Z$5&lt;&gt;"",--(Z23="Absent"),0),IF($AB$5&lt;&gt;"",--(AB23="Absent"),0),IF($AD$5&lt;&gt;"",--(AD23="Absent"),0),IF($AF$5&lt;&gt;"",--(AF23="Absent"),0),IF($AH$5&lt;&gt;"",--(AH23="Absent"),0),IF($AJ$5&lt;&gt;"",--(AJ23="Absent"),0),IF($AL$5&lt;&gt;"",--(AL23="Absent"),0),IF($AN$5&lt;&gt;"",--(AN23="Absent"),0),IF($AP$5&lt;&gt;"",--(AP23="Absent"),0),IF($AR$5&lt;&gt;"",--(AR23="Absent"),0),IF($AT$5&lt;&gt;"",--(AT23="Absent"),0),IF($AV$5&lt;&gt;"",--(AV23="Absent"),0),IF($AX$5&lt;&gt;"",--(AX23="Absent"),0),IF($AZ$5&lt;&gt;"",--(AZ23="Absent"),0),IF($BB$5&lt;&gt;"",--(BB23="Absent"),0),IF($BD$5&lt;&gt;"",--(BD23="Absent"),0),IF($BF$5&lt;&gt;"",--(BF23="Absent"),0),IF($BH$5&lt;&gt;"",--(BH23="Absent"),0),IF($BJ$5&lt;&gt;"",--(BJ23="Absent"),0),IF($BL$5&lt;&gt;"",--(BL23="Absent"),0)))</f>
      </c>
      <c r="BP23" s="22">
        <f>IF($A23="","",SUM(IF($D$5&lt;&gt;"",--(D23="Congé"),0),IF($F$5&lt;&gt;"",--(F23="Congé"),0),IF($H$5&lt;&gt;"",--(H23="Congé"),0),IF($J$5&lt;&gt;"",--(J23="Congé"),0),IF($L$5&lt;&gt;"",--(L23="Congé"),0),IF($N$5&lt;&gt;"",--(N23="Congé"),0),IF($P$5&lt;&gt;"",--(P23="Congé"),0),IF($R$5&lt;&gt;"",--(R23="Congé"),0),IF($T$5&lt;&gt;"",--(T23="Congé"),0),IF($V$5&lt;&gt;"",--(V23="Congé"),0),IF($X$5&lt;&gt;"",--(X23="Congé"),0),IF($Z$5&lt;&gt;"",--(Z23="Congé"),0),IF($AB$5&lt;&gt;"",--(AB23="Congé"),0),IF($AD$5&lt;&gt;"",--(AD23="Congé"),0),IF($AF$5&lt;&gt;"",--(AF23="Congé"),0),IF($AH$5&lt;&gt;"",--(AH23="Congé"),0),IF($AJ$5&lt;&gt;"",--(AJ23="Congé"),0),IF($AL$5&lt;&gt;"",--(AL23="Congé"),0),IF($AN$5&lt;&gt;"",--(AN23="Congé"),0),IF($AP$5&lt;&gt;"",--(AP23="Congé"),0),IF($AR$5&lt;&gt;"",--(AR23="Congé"),0),IF($AT$5&lt;&gt;"",--(AT23="Congé"),0),IF($AV$5&lt;&gt;"",--(AV23="Congé"),0),IF($AX$5&lt;&gt;"",--(AX23="Congé"),0),IF($AZ$5&lt;&gt;"",--(AZ23="Congé"),0),IF($BB$5&lt;&gt;"",--(BB23="Congé"),0),IF($BD$5&lt;&gt;"",--(BD23="Congé"),0),IF($BF$5&lt;&gt;"",--(BF23="Congé"),0),IF($BH$5&lt;&gt;"",--(BH23="Congé"),0),IF($BJ$5&lt;&gt;"",--(BJ23="Congé"),0),IF($BL$5&lt;&gt;"",--(BL23="Congé"),0)))</f>
      </c>
      <c r="BQ23" s="22">
        <f>IF($A23="","",SUM(IF($D$5&lt;&gt;"",--(D23="Maladie"),0),IF($F$5&lt;&gt;"",--(F23="Maladie"),0),IF($H$5&lt;&gt;"",--(H23="Maladie"),0),IF($J$5&lt;&gt;"",--(J23="Maladie"),0),IF($L$5&lt;&gt;"",--(L23="Maladie"),0),IF($N$5&lt;&gt;"",--(N23="Maladie"),0),IF($P$5&lt;&gt;"",--(P23="Maladie"),0),IF($R$5&lt;&gt;"",--(R23="Maladie"),0),IF($T$5&lt;&gt;"",--(T23="Maladie"),0),IF($V$5&lt;&gt;"",--(V23="Maladie"),0),IF($X$5&lt;&gt;"",--(X23="Maladie"),0),IF($Z$5&lt;&gt;"",--(Z23="Maladie"),0),IF($AB$5&lt;&gt;"",--(AB23="Maladie"),0),IF($AD$5&lt;&gt;"",--(AD23="Maladie"),0),IF($AF$5&lt;&gt;"",--(AF23="Maladie"),0),IF($AH$5&lt;&gt;"",--(AH23="Maladie"),0),IF($AJ$5&lt;&gt;"",--(AJ23="Maladie"),0),IF($AL$5&lt;&gt;"",--(AL23="Maladie"),0),IF($AN$5&lt;&gt;"",--(AN23="Maladie"),0),IF($AP$5&lt;&gt;"",--(AP23="Maladie"),0),IF($AR$5&lt;&gt;"",--(AR23="Maladie"),0),IF($AT$5&lt;&gt;"",--(AT23="Maladie"),0),IF($AV$5&lt;&gt;"",--(AV23="Maladie"),0),IF($AX$5&lt;&gt;"",--(AX23="Maladie"),0),IF($AZ$5&lt;&gt;"",--(AZ23="Maladie"),0),IF($BB$5&lt;&gt;"",--(BB23="Maladie"),0),IF($BD$5&lt;&gt;"",--(BD23="Maladie"),0),IF($BF$5&lt;&gt;"",--(BF23="Maladie"),0),IF($BH$5&lt;&gt;"",--(BH23="Maladie"),0),IF($BJ$5&lt;&gt;"",--(BJ23="Maladie"),0),IF($BL$5&lt;&gt;"",--(BL23="Maladie"),0)))</f>
      </c>
      <c r="BR23" s="23">
        <f>IF($A23="","",SUM(IF($D$5&lt;&gt;"",IF(D23="Présent",E23,0),0),IF($F$5&lt;&gt;"",IF(F23="Présent",G23,0),0),IF($H$5&lt;&gt;"",IF(H23="Présent",I23,0),0),IF($J$5&lt;&gt;"",IF(J23="Présent",K23,0),0),IF($L$5&lt;&gt;"",IF(L23="Présent",M23,0),0),IF($N$5&lt;&gt;"",IF(N23="Présent",O23,0),0),IF($P$5&lt;&gt;"",IF(P23="Présent",Q23,0),0),IF($R$5&lt;&gt;"",IF(R23="Présent",S23,0),0),IF($T$5&lt;&gt;"",IF(T23="Présent",U23,0),0),IF($V$5&lt;&gt;"",IF(V23="Présent",W23,0),0),IF($X$5&lt;&gt;"",IF(X23="Présent",Y23,0),0),IF($Z$5&lt;&gt;"",IF(Z23="Présent",AA23,0),0),IF($AB$5&lt;&gt;"",IF(AB23="Présent",AC23,0),0),IF($AD$5&lt;&gt;"",IF(AD23="Présent",AE23,0),0),IF($AF$5&lt;&gt;"",IF(AF23="Présent",AG23,0),0),IF($AH$5&lt;&gt;"",IF(AH23="Présent",AI23,0),0),IF($AJ$5&lt;&gt;"",IF(AJ23="Présent",AK23,0),0),IF($AL$5&lt;&gt;"",IF(AL23="Présent",AM23,0),0),IF($AN$5&lt;&gt;"",IF(AN23="Présent",AO23,0),0),IF($AP$5&lt;&gt;"",IF(AP23="Présent",AQ23,0),0),IF($AR$5&lt;&gt;"",IF(AR23="Présent",AS23,0),0),IF($AT$5&lt;&gt;"",IF(AT23="Présent",AU23,0),0),IF($AV$5&lt;&gt;"",IF(AV23="Présent",AW23,0),0),IF($AX$5&lt;&gt;"",IF(AX23="Présent",AY23,0),0),IF($AZ$5&lt;&gt;"",IF(AZ23="Présent",BA23,0),0),IF($BB$5&lt;&gt;"",IF(BB23="Présent",BC23,0),0),IF($BD$5&lt;&gt;"",IF(BD23="Présent",BE23,0),0),IF($BF$5&lt;&gt;"",IF(BF23="Présent",BG23,0),0),IF($BH$5&lt;&gt;"",IF(BH23="Présent",BI23,0),0),IF($BJ$5&lt;&gt;"",IF(BJ23="Présent",BK23,0),0),IF($BL$5&lt;&gt;"",IF(BL23="Présent",BM23,0),0)))</f>
      </c>
      <c r="BS23" s="25">
        <f>IF($A23="","",$BN23*IFERROR(INDEX(Categories_Salaire,MATCH($C23,ListeCategories,0)),0)+$BR23*IF(IFERROR(INDEX(Categories_TauxHS,MATCH($C23,ListeCategories,0)),0)&gt;0,IFERROR(INDEX(Categories_TauxHS,MATCH($C23,ListeCategories,0)),0),TauxHSDefaut))</f>
      </c>
    </row>
    <row r="24">
      <c r="A24" s="20">
        <f>IF(AND(INDEX(Employes_Nom,18)&lt;&gt;"",INDEX(Employes_Statut,18)="Actif",OR(INDEX(Employes_Embauche,18)="",INDEX(Employes_Embauche,18)&lt;=EOMONTH(DATE(AnneeCourante,MoisCourant,1),0))),INDEX(Employes_ID,18),"")</f>
      </c>
      <c r="B24" s="19">
        <f>IF($A24="","",INDEX(Employes_Nom,MATCH($A24,Employes_ID,0)))</f>
      </c>
      <c r="C24" s="20">
        <f>IF($A24="","",INDEX(Employes_Categorie,MATCH($A24,Employes_ID,0)))</f>
      </c>
      <c r="D24" s="26"/>
      <c r="E24" s="27"/>
      <c r="F24" s="26"/>
      <c r="G24" s="27"/>
      <c r="H24" s="26"/>
      <c r="I24" s="27"/>
      <c r="J24" s="26"/>
      <c r="K24" s="27"/>
      <c r="L24" s="26"/>
      <c r="M24" s="27"/>
      <c r="N24" s="26"/>
      <c r="O24" s="27"/>
      <c r="P24" s="26"/>
      <c r="Q24" s="27"/>
      <c r="R24" s="26"/>
      <c r="S24" s="27"/>
      <c r="T24" s="26"/>
      <c r="U24" s="27"/>
      <c r="V24" s="26"/>
      <c r="W24" s="27"/>
      <c r="X24" s="26"/>
      <c r="Y24" s="27"/>
      <c r="Z24" s="26"/>
      <c r="AA24" s="27"/>
      <c r="AB24" s="26"/>
      <c r="AC24" s="27"/>
      <c r="AD24" s="26"/>
      <c r="AE24" s="27"/>
      <c r="AF24" s="26"/>
      <c r="AG24" s="27"/>
      <c r="AH24" s="26"/>
      <c r="AI24" s="27"/>
      <c r="AJ24" s="26"/>
      <c r="AK24" s="27"/>
      <c r="AL24" s="26"/>
      <c r="AM24" s="27"/>
      <c r="AN24" s="26"/>
      <c r="AO24" s="27"/>
      <c r="AP24" s="26"/>
      <c r="AQ24" s="27"/>
      <c r="AR24" s="26"/>
      <c r="AS24" s="27"/>
      <c r="AT24" s="26"/>
      <c r="AU24" s="27"/>
      <c r="AV24" s="26"/>
      <c r="AW24" s="27"/>
      <c r="AX24" s="26"/>
      <c r="AY24" s="27"/>
      <c r="AZ24" s="26"/>
      <c r="BA24" s="27"/>
      <c r="BB24" s="26"/>
      <c r="BC24" s="27"/>
      <c r="BD24" s="26"/>
      <c r="BE24" s="27"/>
      <c r="BF24" s="26"/>
      <c r="BG24" s="27"/>
      <c r="BH24" s="26"/>
      <c r="BI24" s="27"/>
      <c r="BJ24" s="26"/>
      <c r="BK24" s="27"/>
      <c r="BL24" s="26"/>
      <c r="BM24" s="27"/>
      <c r="BN24" s="22">
        <f>IF($A24="","",SUM(IF($D$5&lt;&gt;"",--(D24="Présent"),0),IF($F$5&lt;&gt;"",--(F24="Présent"),0),IF($H$5&lt;&gt;"",--(H24="Présent"),0),IF($J$5&lt;&gt;"",--(J24="Présent"),0),IF($L$5&lt;&gt;"",--(L24="Présent"),0),IF($N$5&lt;&gt;"",--(N24="Présent"),0),IF($P$5&lt;&gt;"",--(P24="Présent"),0),IF($R$5&lt;&gt;"",--(R24="Présent"),0),IF($T$5&lt;&gt;"",--(T24="Présent"),0),IF($V$5&lt;&gt;"",--(V24="Présent"),0),IF($X$5&lt;&gt;"",--(X24="Présent"),0),IF($Z$5&lt;&gt;"",--(Z24="Présent"),0),IF($AB$5&lt;&gt;"",--(AB24="Présent"),0),IF($AD$5&lt;&gt;"",--(AD24="Présent"),0),IF($AF$5&lt;&gt;"",--(AF24="Présent"),0),IF($AH$5&lt;&gt;"",--(AH24="Présent"),0),IF($AJ$5&lt;&gt;"",--(AJ24="Présent"),0),IF($AL$5&lt;&gt;"",--(AL24="Présent"),0),IF($AN$5&lt;&gt;"",--(AN24="Présent"),0),IF($AP$5&lt;&gt;"",--(AP24="Présent"),0),IF($AR$5&lt;&gt;"",--(AR24="Présent"),0),IF($AT$5&lt;&gt;"",--(AT24="Présent"),0),IF($AV$5&lt;&gt;"",--(AV24="Présent"),0),IF($AX$5&lt;&gt;"",--(AX24="Présent"),0),IF($AZ$5&lt;&gt;"",--(AZ24="Présent"),0),IF($BB$5&lt;&gt;"",--(BB24="Présent"),0),IF($BD$5&lt;&gt;"",--(BD24="Présent"),0),IF($BF$5&lt;&gt;"",--(BF24="Présent"),0),IF($BH$5&lt;&gt;"",--(BH24="Présent"),0),IF($BJ$5&lt;&gt;"",--(BJ24="Présent"),0),IF($BL$5&lt;&gt;"",--(BL24="Présent"),0)))</f>
      </c>
      <c r="BO24" s="22">
        <f>IF($A24="","",SUM(IF($D$5&lt;&gt;"",--(D24="Absent"),0),IF($F$5&lt;&gt;"",--(F24="Absent"),0),IF($H$5&lt;&gt;"",--(H24="Absent"),0),IF($J$5&lt;&gt;"",--(J24="Absent"),0),IF($L$5&lt;&gt;"",--(L24="Absent"),0),IF($N$5&lt;&gt;"",--(N24="Absent"),0),IF($P$5&lt;&gt;"",--(P24="Absent"),0),IF($R$5&lt;&gt;"",--(R24="Absent"),0),IF($T$5&lt;&gt;"",--(T24="Absent"),0),IF($V$5&lt;&gt;"",--(V24="Absent"),0),IF($X$5&lt;&gt;"",--(X24="Absent"),0),IF($Z$5&lt;&gt;"",--(Z24="Absent"),0),IF($AB$5&lt;&gt;"",--(AB24="Absent"),0),IF($AD$5&lt;&gt;"",--(AD24="Absent"),0),IF($AF$5&lt;&gt;"",--(AF24="Absent"),0),IF($AH$5&lt;&gt;"",--(AH24="Absent"),0),IF($AJ$5&lt;&gt;"",--(AJ24="Absent"),0),IF($AL$5&lt;&gt;"",--(AL24="Absent"),0),IF($AN$5&lt;&gt;"",--(AN24="Absent"),0),IF($AP$5&lt;&gt;"",--(AP24="Absent"),0),IF($AR$5&lt;&gt;"",--(AR24="Absent"),0),IF($AT$5&lt;&gt;"",--(AT24="Absent"),0),IF($AV$5&lt;&gt;"",--(AV24="Absent"),0),IF($AX$5&lt;&gt;"",--(AX24="Absent"),0),IF($AZ$5&lt;&gt;"",--(AZ24="Absent"),0),IF($BB$5&lt;&gt;"",--(BB24="Absent"),0),IF($BD$5&lt;&gt;"",--(BD24="Absent"),0),IF($BF$5&lt;&gt;"",--(BF24="Absent"),0),IF($BH$5&lt;&gt;"",--(BH24="Absent"),0),IF($BJ$5&lt;&gt;"",--(BJ24="Absent"),0),IF($BL$5&lt;&gt;"",--(BL24="Absent"),0)))</f>
      </c>
      <c r="BP24" s="22">
        <f>IF($A24="","",SUM(IF($D$5&lt;&gt;"",--(D24="Congé"),0),IF($F$5&lt;&gt;"",--(F24="Congé"),0),IF($H$5&lt;&gt;"",--(H24="Congé"),0),IF($J$5&lt;&gt;"",--(J24="Congé"),0),IF($L$5&lt;&gt;"",--(L24="Congé"),0),IF($N$5&lt;&gt;"",--(N24="Congé"),0),IF($P$5&lt;&gt;"",--(P24="Congé"),0),IF($R$5&lt;&gt;"",--(R24="Congé"),0),IF($T$5&lt;&gt;"",--(T24="Congé"),0),IF($V$5&lt;&gt;"",--(V24="Congé"),0),IF($X$5&lt;&gt;"",--(X24="Congé"),0),IF($Z$5&lt;&gt;"",--(Z24="Congé"),0),IF($AB$5&lt;&gt;"",--(AB24="Congé"),0),IF($AD$5&lt;&gt;"",--(AD24="Congé"),0),IF($AF$5&lt;&gt;"",--(AF24="Congé"),0),IF($AH$5&lt;&gt;"",--(AH24="Congé"),0),IF($AJ$5&lt;&gt;"",--(AJ24="Congé"),0),IF($AL$5&lt;&gt;"",--(AL24="Congé"),0),IF($AN$5&lt;&gt;"",--(AN24="Congé"),0),IF($AP$5&lt;&gt;"",--(AP24="Congé"),0),IF($AR$5&lt;&gt;"",--(AR24="Congé"),0),IF($AT$5&lt;&gt;"",--(AT24="Congé"),0),IF($AV$5&lt;&gt;"",--(AV24="Congé"),0),IF($AX$5&lt;&gt;"",--(AX24="Congé"),0),IF($AZ$5&lt;&gt;"",--(AZ24="Congé"),0),IF($BB$5&lt;&gt;"",--(BB24="Congé"),0),IF($BD$5&lt;&gt;"",--(BD24="Congé"),0),IF($BF$5&lt;&gt;"",--(BF24="Congé"),0),IF($BH$5&lt;&gt;"",--(BH24="Congé"),0),IF($BJ$5&lt;&gt;"",--(BJ24="Congé"),0),IF($BL$5&lt;&gt;"",--(BL24="Congé"),0)))</f>
      </c>
      <c r="BQ24" s="22">
        <f>IF($A24="","",SUM(IF($D$5&lt;&gt;"",--(D24="Maladie"),0),IF($F$5&lt;&gt;"",--(F24="Maladie"),0),IF($H$5&lt;&gt;"",--(H24="Maladie"),0),IF($J$5&lt;&gt;"",--(J24="Maladie"),0),IF($L$5&lt;&gt;"",--(L24="Maladie"),0),IF($N$5&lt;&gt;"",--(N24="Maladie"),0),IF($P$5&lt;&gt;"",--(P24="Maladie"),0),IF($R$5&lt;&gt;"",--(R24="Maladie"),0),IF($T$5&lt;&gt;"",--(T24="Maladie"),0),IF($V$5&lt;&gt;"",--(V24="Maladie"),0),IF($X$5&lt;&gt;"",--(X24="Maladie"),0),IF($Z$5&lt;&gt;"",--(Z24="Maladie"),0),IF($AB$5&lt;&gt;"",--(AB24="Maladie"),0),IF($AD$5&lt;&gt;"",--(AD24="Maladie"),0),IF($AF$5&lt;&gt;"",--(AF24="Maladie"),0),IF($AH$5&lt;&gt;"",--(AH24="Maladie"),0),IF($AJ$5&lt;&gt;"",--(AJ24="Maladie"),0),IF($AL$5&lt;&gt;"",--(AL24="Maladie"),0),IF($AN$5&lt;&gt;"",--(AN24="Maladie"),0),IF($AP$5&lt;&gt;"",--(AP24="Maladie"),0),IF($AR$5&lt;&gt;"",--(AR24="Maladie"),0),IF($AT$5&lt;&gt;"",--(AT24="Maladie"),0),IF($AV$5&lt;&gt;"",--(AV24="Maladie"),0),IF($AX$5&lt;&gt;"",--(AX24="Maladie"),0),IF($AZ$5&lt;&gt;"",--(AZ24="Maladie"),0),IF($BB$5&lt;&gt;"",--(BB24="Maladie"),0),IF($BD$5&lt;&gt;"",--(BD24="Maladie"),0),IF($BF$5&lt;&gt;"",--(BF24="Maladie"),0),IF($BH$5&lt;&gt;"",--(BH24="Maladie"),0),IF($BJ$5&lt;&gt;"",--(BJ24="Maladie"),0),IF($BL$5&lt;&gt;"",--(BL24="Maladie"),0)))</f>
      </c>
      <c r="BR24" s="23">
        <f>IF($A24="","",SUM(IF($D$5&lt;&gt;"",IF(D24="Présent",E24,0),0),IF($F$5&lt;&gt;"",IF(F24="Présent",G24,0),0),IF($H$5&lt;&gt;"",IF(H24="Présent",I24,0),0),IF($J$5&lt;&gt;"",IF(J24="Présent",K24,0),0),IF($L$5&lt;&gt;"",IF(L24="Présent",M24,0),0),IF($N$5&lt;&gt;"",IF(N24="Présent",O24,0),0),IF($P$5&lt;&gt;"",IF(P24="Présent",Q24,0),0),IF($R$5&lt;&gt;"",IF(R24="Présent",S24,0),0),IF($T$5&lt;&gt;"",IF(T24="Présent",U24,0),0),IF($V$5&lt;&gt;"",IF(V24="Présent",W24,0),0),IF($X$5&lt;&gt;"",IF(X24="Présent",Y24,0),0),IF($Z$5&lt;&gt;"",IF(Z24="Présent",AA24,0),0),IF($AB$5&lt;&gt;"",IF(AB24="Présent",AC24,0),0),IF($AD$5&lt;&gt;"",IF(AD24="Présent",AE24,0),0),IF($AF$5&lt;&gt;"",IF(AF24="Présent",AG24,0),0),IF($AH$5&lt;&gt;"",IF(AH24="Présent",AI24,0),0),IF($AJ$5&lt;&gt;"",IF(AJ24="Présent",AK24,0),0),IF($AL$5&lt;&gt;"",IF(AL24="Présent",AM24,0),0),IF($AN$5&lt;&gt;"",IF(AN24="Présent",AO24,0),0),IF($AP$5&lt;&gt;"",IF(AP24="Présent",AQ24,0),0),IF($AR$5&lt;&gt;"",IF(AR24="Présent",AS24,0),0),IF($AT$5&lt;&gt;"",IF(AT24="Présent",AU24,0),0),IF($AV$5&lt;&gt;"",IF(AV24="Présent",AW24,0),0),IF($AX$5&lt;&gt;"",IF(AX24="Présent",AY24,0),0),IF($AZ$5&lt;&gt;"",IF(AZ24="Présent",BA24,0),0),IF($BB$5&lt;&gt;"",IF(BB24="Présent",BC24,0),0),IF($BD$5&lt;&gt;"",IF(BD24="Présent",BE24,0),0),IF($BF$5&lt;&gt;"",IF(BF24="Présent",BG24,0),0),IF($BH$5&lt;&gt;"",IF(BH24="Présent",BI24,0),0),IF($BJ$5&lt;&gt;"",IF(BJ24="Présent",BK24,0),0),IF($BL$5&lt;&gt;"",IF(BL24="Présent",BM24,0),0)))</f>
      </c>
      <c r="BS24" s="25">
        <f>IF($A24="","",$BN24*IFERROR(INDEX(Categories_Salaire,MATCH($C24,ListeCategories,0)),0)+$BR24*IF(IFERROR(INDEX(Categories_TauxHS,MATCH($C24,ListeCategories,0)),0)&gt;0,IFERROR(INDEX(Categories_TauxHS,MATCH($C24,ListeCategories,0)),0),TauxHSDefaut))</f>
      </c>
    </row>
    <row r="25">
      <c r="A25" s="20">
        <f>IF(AND(INDEX(Employes_Nom,19)&lt;&gt;"",INDEX(Employes_Statut,19)="Actif",OR(INDEX(Employes_Embauche,19)="",INDEX(Employes_Embauche,19)&lt;=EOMONTH(DATE(AnneeCourante,MoisCourant,1),0))),INDEX(Employes_ID,19),"")</f>
      </c>
      <c r="B25" s="19">
        <f>IF($A25="","",INDEX(Employes_Nom,MATCH($A25,Employes_ID,0)))</f>
      </c>
      <c r="C25" s="20">
        <f>IF($A25="","",INDEX(Employes_Categorie,MATCH($A25,Employes_ID,0)))</f>
      </c>
      <c r="D25" s="26"/>
      <c r="E25" s="27"/>
      <c r="F25" s="26"/>
      <c r="G25" s="27"/>
      <c r="H25" s="26"/>
      <c r="I25" s="27"/>
      <c r="J25" s="26"/>
      <c r="K25" s="27"/>
      <c r="L25" s="26"/>
      <c r="M25" s="27"/>
      <c r="N25" s="26"/>
      <c r="O25" s="27"/>
      <c r="P25" s="26"/>
      <c r="Q25" s="27"/>
      <c r="R25" s="26"/>
      <c r="S25" s="27"/>
      <c r="T25" s="26"/>
      <c r="U25" s="27"/>
      <c r="V25" s="26"/>
      <c r="W25" s="27"/>
      <c r="X25" s="26"/>
      <c r="Y25" s="27"/>
      <c r="Z25" s="26"/>
      <c r="AA25" s="27"/>
      <c r="AB25" s="26"/>
      <c r="AC25" s="27"/>
      <c r="AD25" s="26"/>
      <c r="AE25" s="27"/>
      <c r="AF25" s="26"/>
      <c r="AG25" s="27"/>
      <c r="AH25" s="26"/>
      <c r="AI25" s="27"/>
      <c r="AJ25" s="26"/>
      <c r="AK25" s="27"/>
      <c r="AL25" s="26"/>
      <c r="AM25" s="27"/>
      <c r="AN25" s="26"/>
      <c r="AO25" s="27"/>
      <c r="AP25" s="26"/>
      <c r="AQ25" s="27"/>
      <c r="AR25" s="26"/>
      <c r="AS25" s="27"/>
      <c r="AT25" s="26"/>
      <c r="AU25" s="27"/>
      <c r="AV25" s="26"/>
      <c r="AW25" s="27"/>
      <c r="AX25" s="26"/>
      <c r="AY25" s="27"/>
      <c r="AZ25" s="26"/>
      <c r="BA25" s="27"/>
      <c r="BB25" s="26"/>
      <c r="BC25" s="27"/>
      <c r="BD25" s="26"/>
      <c r="BE25" s="27"/>
      <c r="BF25" s="26"/>
      <c r="BG25" s="27"/>
      <c r="BH25" s="26"/>
      <c r="BI25" s="27"/>
      <c r="BJ25" s="26"/>
      <c r="BK25" s="27"/>
      <c r="BL25" s="26"/>
      <c r="BM25" s="27"/>
      <c r="BN25" s="22">
        <f>IF($A25="","",SUM(IF($D$5&lt;&gt;"",--(D25="Présent"),0),IF($F$5&lt;&gt;"",--(F25="Présent"),0),IF($H$5&lt;&gt;"",--(H25="Présent"),0),IF($J$5&lt;&gt;"",--(J25="Présent"),0),IF($L$5&lt;&gt;"",--(L25="Présent"),0),IF($N$5&lt;&gt;"",--(N25="Présent"),0),IF($P$5&lt;&gt;"",--(P25="Présent"),0),IF($R$5&lt;&gt;"",--(R25="Présent"),0),IF($T$5&lt;&gt;"",--(T25="Présent"),0),IF($V$5&lt;&gt;"",--(V25="Présent"),0),IF($X$5&lt;&gt;"",--(X25="Présent"),0),IF($Z$5&lt;&gt;"",--(Z25="Présent"),0),IF($AB$5&lt;&gt;"",--(AB25="Présent"),0),IF($AD$5&lt;&gt;"",--(AD25="Présent"),0),IF($AF$5&lt;&gt;"",--(AF25="Présent"),0),IF($AH$5&lt;&gt;"",--(AH25="Présent"),0),IF($AJ$5&lt;&gt;"",--(AJ25="Présent"),0),IF($AL$5&lt;&gt;"",--(AL25="Présent"),0),IF($AN$5&lt;&gt;"",--(AN25="Présent"),0),IF($AP$5&lt;&gt;"",--(AP25="Présent"),0),IF($AR$5&lt;&gt;"",--(AR25="Présent"),0),IF($AT$5&lt;&gt;"",--(AT25="Présent"),0),IF($AV$5&lt;&gt;"",--(AV25="Présent"),0),IF($AX$5&lt;&gt;"",--(AX25="Présent"),0),IF($AZ$5&lt;&gt;"",--(AZ25="Présent"),0),IF($BB$5&lt;&gt;"",--(BB25="Présent"),0),IF($BD$5&lt;&gt;"",--(BD25="Présent"),0),IF($BF$5&lt;&gt;"",--(BF25="Présent"),0),IF($BH$5&lt;&gt;"",--(BH25="Présent"),0),IF($BJ$5&lt;&gt;"",--(BJ25="Présent"),0),IF($BL$5&lt;&gt;"",--(BL25="Présent"),0)))</f>
      </c>
      <c r="BO25" s="22">
        <f>IF($A25="","",SUM(IF($D$5&lt;&gt;"",--(D25="Absent"),0),IF($F$5&lt;&gt;"",--(F25="Absent"),0),IF($H$5&lt;&gt;"",--(H25="Absent"),0),IF($J$5&lt;&gt;"",--(J25="Absent"),0),IF($L$5&lt;&gt;"",--(L25="Absent"),0),IF($N$5&lt;&gt;"",--(N25="Absent"),0),IF($P$5&lt;&gt;"",--(P25="Absent"),0),IF($R$5&lt;&gt;"",--(R25="Absent"),0),IF($T$5&lt;&gt;"",--(T25="Absent"),0),IF($V$5&lt;&gt;"",--(V25="Absent"),0),IF($X$5&lt;&gt;"",--(X25="Absent"),0),IF($Z$5&lt;&gt;"",--(Z25="Absent"),0),IF($AB$5&lt;&gt;"",--(AB25="Absent"),0),IF($AD$5&lt;&gt;"",--(AD25="Absent"),0),IF($AF$5&lt;&gt;"",--(AF25="Absent"),0),IF($AH$5&lt;&gt;"",--(AH25="Absent"),0),IF($AJ$5&lt;&gt;"",--(AJ25="Absent"),0),IF($AL$5&lt;&gt;"",--(AL25="Absent"),0),IF($AN$5&lt;&gt;"",--(AN25="Absent"),0),IF($AP$5&lt;&gt;"",--(AP25="Absent"),0),IF($AR$5&lt;&gt;"",--(AR25="Absent"),0),IF($AT$5&lt;&gt;"",--(AT25="Absent"),0),IF($AV$5&lt;&gt;"",--(AV25="Absent"),0),IF($AX$5&lt;&gt;"",--(AX25="Absent"),0),IF($AZ$5&lt;&gt;"",--(AZ25="Absent"),0),IF($BB$5&lt;&gt;"",--(BB25="Absent"),0),IF($BD$5&lt;&gt;"",--(BD25="Absent"),0),IF($BF$5&lt;&gt;"",--(BF25="Absent"),0),IF($BH$5&lt;&gt;"",--(BH25="Absent"),0),IF($BJ$5&lt;&gt;"",--(BJ25="Absent"),0),IF($BL$5&lt;&gt;"",--(BL25="Absent"),0)))</f>
      </c>
      <c r="BP25" s="22">
        <f>IF($A25="","",SUM(IF($D$5&lt;&gt;"",--(D25="Congé"),0),IF($F$5&lt;&gt;"",--(F25="Congé"),0),IF($H$5&lt;&gt;"",--(H25="Congé"),0),IF($J$5&lt;&gt;"",--(J25="Congé"),0),IF($L$5&lt;&gt;"",--(L25="Congé"),0),IF($N$5&lt;&gt;"",--(N25="Congé"),0),IF($P$5&lt;&gt;"",--(P25="Congé"),0),IF($R$5&lt;&gt;"",--(R25="Congé"),0),IF($T$5&lt;&gt;"",--(T25="Congé"),0),IF($V$5&lt;&gt;"",--(V25="Congé"),0),IF($X$5&lt;&gt;"",--(X25="Congé"),0),IF($Z$5&lt;&gt;"",--(Z25="Congé"),0),IF($AB$5&lt;&gt;"",--(AB25="Congé"),0),IF($AD$5&lt;&gt;"",--(AD25="Congé"),0),IF($AF$5&lt;&gt;"",--(AF25="Congé"),0),IF($AH$5&lt;&gt;"",--(AH25="Congé"),0),IF($AJ$5&lt;&gt;"",--(AJ25="Congé"),0),IF($AL$5&lt;&gt;"",--(AL25="Congé"),0),IF($AN$5&lt;&gt;"",--(AN25="Congé"),0),IF($AP$5&lt;&gt;"",--(AP25="Congé"),0),IF($AR$5&lt;&gt;"",--(AR25="Congé"),0),IF($AT$5&lt;&gt;"",--(AT25="Congé"),0),IF($AV$5&lt;&gt;"",--(AV25="Congé"),0),IF($AX$5&lt;&gt;"",--(AX25="Congé"),0),IF($AZ$5&lt;&gt;"",--(AZ25="Congé"),0),IF($BB$5&lt;&gt;"",--(BB25="Congé"),0),IF($BD$5&lt;&gt;"",--(BD25="Congé"),0),IF($BF$5&lt;&gt;"",--(BF25="Congé"),0),IF($BH$5&lt;&gt;"",--(BH25="Congé"),0),IF($BJ$5&lt;&gt;"",--(BJ25="Congé"),0),IF($BL$5&lt;&gt;"",--(BL25="Congé"),0)))</f>
      </c>
      <c r="BQ25" s="22">
        <f>IF($A25="","",SUM(IF($D$5&lt;&gt;"",--(D25="Maladie"),0),IF($F$5&lt;&gt;"",--(F25="Maladie"),0),IF($H$5&lt;&gt;"",--(H25="Maladie"),0),IF($J$5&lt;&gt;"",--(J25="Maladie"),0),IF($L$5&lt;&gt;"",--(L25="Maladie"),0),IF($N$5&lt;&gt;"",--(N25="Maladie"),0),IF($P$5&lt;&gt;"",--(P25="Maladie"),0),IF($R$5&lt;&gt;"",--(R25="Maladie"),0),IF($T$5&lt;&gt;"",--(T25="Maladie"),0),IF($V$5&lt;&gt;"",--(V25="Maladie"),0),IF($X$5&lt;&gt;"",--(X25="Maladie"),0),IF($Z$5&lt;&gt;"",--(Z25="Maladie"),0),IF($AB$5&lt;&gt;"",--(AB25="Maladie"),0),IF($AD$5&lt;&gt;"",--(AD25="Maladie"),0),IF($AF$5&lt;&gt;"",--(AF25="Maladie"),0),IF($AH$5&lt;&gt;"",--(AH25="Maladie"),0),IF($AJ$5&lt;&gt;"",--(AJ25="Maladie"),0),IF($AL$5&lt;&gt;"",--(AL25="Maladie"),0),IF($AN$5&lt;&gt;"",--(AN25="Maladie"),0),IF($AP$5&lt;&gt;"",--(AP25="Maladie"),0),IF($AR$5&lt;&gt;"",--(AR25="Maladie"),0),IF($AT$5&lt;&gt;"",--(AT25="Maladie"),0),IF($AV$5&lt;&gt;"",--(AV25="Maladie"),0),IF($AX$5&lt;&gt;"",--(AX25="Maladie"),0),IF($AZ$5&lt;&gt;"",--(AZ25="Maladie"),0),IF($BB$5&lt;&gt;"",--(BB25="Maladie"),0),IF($BD$5&lt;&gt;"",--(BD25="Maladie"),0),IF($BF$5&lt;&gt;"",--(BF25="Maladie"),0),IF($BH$5&lt;&gt;"",--(BH25="Maladie"),0),IF($BJ$5&lt;&gt;"",--(BJ25="Maladie"),0),IF($BL$5&lt;&gt;"",--(BL25="Maladie"),0)))</f>
      </c>
      <c r="BR25" s="23">
        <f>IF($A25="","",SUM(IF($D$5&lt;&gt;"",IF(D25="Présent",E25,0),0),IF($F$5&lt;&gt;"",IF(F25="Présent",G25,0),0),IF($H$5&lt;&gt;"",IF(H25="Présent",I25,0),0),IF($J$5&lt;&gt;"",IF(J25="Présent",K25,0),0),IF($L$5&lt;&gt;"",IF(L25="Présent",M25,0),0),IF($N$5&lt;&gt;"",IF(N25="Présent",O25,0),0),IF($P$5&lt;&gt;"",IF(P25="Présent",Q25,0),0),IF($R$5&lt;&gt;"",IF(R25="Présent",S25,0),0),IF($T$5&lt;&gt;"",IF(T25="Présent",U25,0),0),IF($V$5&lt;&gt;"",IF(V25="Présent",W25,0),0),IF($X$5&lt;&gt;"",IF(X25="Présent",Y25,0),0),IF($Z$5&lt;&gt;"",IF(Z25="Présent",AA25,0),0),IF($AB$5&lt;&gt;"",IF(AB25="Présent",AC25,0),0),IF($AD$5&lt;&gt;"",IF(AD25="Présent",AE25,0),0),IF($AF$5&lt;&gt;"",IF(AF25="Présent",AG25,0),0),IF($AH$5&lt;&gt;"",IF(AH25="Présent",AI25,0),0),IF($AJ$5&lt;&gt;"",IF(AJ25="Présent",AK25,0),0),IF($AL$5&lt;&gt;"",IF(AL25="Présent",AM25,0),0),IF($AN$5&lt;&gt;"",IF(AN25="Présent",AO25,0),0),IF($AP$5&lt;&gt;"",IF(AP25="Présent",AQ25,0),0),IF($AR$5&lt;&gt;"",IF(AR25="Présent",AS25,0),0),IF($AT$5&lt;&gt;"",IF(AT25="Présent",AU25,0),0),IF($AV$5&lt;&gt;"",IF(AV25="Présent",AW25,0),0),IF($AX$5&lt;&gt;"",IF(AX25="Présent",AY25,0),0),IF($AZ$5&lt;&gt;"",IF(AZ25="Présent",BA25,0),0),IF($BB$5&lt;&gt;"",IF(BB25="Présent",BC25,0),0),IF($BD$5&lt;&gt;"",IF(BD25="Présent",BE25,0),0),IF($BF$5&lt;&gt;"",IF(BF25="Présent",BG25,0),0),IF($BH$5&lt;&gt;"",IF(BH25="Présent",BI25,0),0),IF($BJ$5&lt;&gt;"",IF(BJ25="Présent",BK25,0),0),IF($BL$5&lt;&gt;"",IF(BL25="Présent",BM25,0),0)))</f>
      </c>
      <c r="BS25" s="25">
        <f>IF($A25="","",$BN25*IFERROR(INDEX(Categories_Salaire,MATCH($C25,ListeCategories,0)),0)+$BR25*IF(IFERROR(INDEX(Categories_TauxHS,MATCH($C25,ListeCategories,0)),0)&gt;0,IFERROR(INDEX(Categories_TauxHS,MATCH($C25,ListeCategories,0)),0),TauxHSDefaut))</f>
      </c>
    </row>
    <row r="26">
      <c r="A26" s="20">
        <f>IF(AND(INDEX(Employes_Nom,20)&lt;&gt;"",INDEX(Employes_Statut,20)="Actif",OR(INDEX(Employes_Embauche,20)="",INDEX(Employes_Embauche,20)&lt;=EOMONTH(DATE(AnneeCourante,MoisCourant,1),0))),INDEX(Employes_ID,20),"")</f>
      </c>
      <c r="B26" s="19">
        <f>IF($A26="","",INDEX(Employes_Nom,MATCH($A26,Employes_ID,0)))</f>
      </c>
      <c r="C26" s="20">
        <f>IF($A26="","",INDEX(Employes_Categorie,MATCH($A26,Employes_ID,0)))</f>
      </c>
      <c r="D26" s="26"/>
      <c r="E26" s="27"/>
      <c r="F26" s="26"/>
      <c r="G26" s="27"/>
      <c r="H26" s="26"/>
      <c r="I26" s="27"/>
      <c r="J26" s="26"/>
      <c r="K26" s="27"/>
      <c r="L26" s="26"/>
      <c r="M26" s="27"/>
      <c r="N26" s="26"/>
      <c r="O26" s="27"/>
      <c r="P26" s="26"/>
      <c r="Q26" s="27"/>
      <c r="R26" s="26"/>
      <c r="S26" s="27"/>
      <c r="T26" s="26"/>
      <c r="U26" s="27"/>
      <c r="V26" s="26"/>
      <c r="W26" s="27"/>
      <c r="X26" s="26"/>
      <c r="Y26" s="27"/>
      <c r="Z26" s="26"/>
      <c r="AA26" s="27"/>
      <c r="AB26" s="26"/>
      <c r="AC26" s="27"/>
      <c r="AD26" s="26"/>
      <c r="AE26" s="27"/>
      <c r="AF26" s="26"/>
      <c r="AG26" s="27"/>
      <c r="AH26" s="26"/>
      <c r="AI26" s="27"/>
      <c r="AJ26" s="26"/>
      <c r="AK26" s="27"/>
      <c r="AL26" s="26"/>
      <c r="AM26" s="27"/>
      <c r="AN26" s="26"/>
      <c r="AO26" s="27"/>
      <c r="AP26" s="26"/>
      <c r="AQ26" s="27"/>
      <c r="AR26" s="26"/>
      <c r="AS26" s="27"/>
      <c r="AT26" s="26"/>
      <c r="AU26" s="27"/>
      <c r="AV26" s="26"/>
      <c r="AW26" s="27"/>
      <c r="AX26" s="26"/>
      <c r="AY26" s="27"/>
      <c r="AZ26" s="26"/>
      <c r="BA26" s="27"/>
      <c r="BB26" s="26"/>
      <c r="BC26" s="27"/>
      <c r="BD26" s="26"/>
      <c r="BE26" s="27"/>
      <c r="BF26" s="26"/>
      <c r="BG26" s="27"/>
      <c r="BH26" s="26"/>
      <c r="BI26" s="27"/>
      <c r="BJ26" s="26"/>
      <c r="BK26" s="27"/>
      <c r="BL26" s="26"/>
      <c r="BM26" s="27"/>
      <c r="BN26" s="22">
        <f>IF($A26="","",SUM(IF($D$5&lt;&gt;"",--(D26="Présent"),0),IF($F$5&lt;&gt;"",--(F26="Présent"),0),IF($H$5&lt;&gt;"",--(H26="Présent"),0),IF($J$5&lt;&gt;"",--(J26="Présent"),0),IF($L$5&lt;&gt;"",--(L26="Présent"),0),IF($N$5&lt;&gt;"",--(N26="Présent"),0),IF($P$5&lt;&gt;"",--(P26="Présent"),0),IF($R$5&lt;&gt;"",--(R26="Présent"),0),IF($T$5&lt;&gt;"",--(T26="Présent"),0),IF($V$5&lt;&gt;"",--(V26="Présent"),0),IF($X$5&lt;&gt;"",--(X26="Présent"),0),IF($Z$5&lt;&gt;"",--(Z26="Présent"),0),IF($AB$5&lt;&gt;"",--(AB26="Présent"),0),IF($AD$5&lt;&gt;"",--(AD26="Présent"),0),IF($AF$5&lt;&gt;"",--(AF26="Présent"),0),IF($AH$5&lt;&gt;"",--(AH26="Présent"),0),IF($AJ$5&lt;&gt;"",--(AJ26="Présent"),0),IF($AL$5&lt;&gt;"",--(AL26="Présent"),0),IF($AN$5&lt;&gt;"",--(AN26="Présent"),0),IF($AP$5&lt;&gt;"",--(AP26="Présent"),0),IF($AR$5&lt;&gt;"",--(AR26="Présent"),0),IF($AT$5&lt;&gt;"",--(AT26="Présent"),0),IF($AV$5&lt;&gt;"",--(AV26="Présent"),0),IF($AX$5&lt;&gt;"",--(AX26="Présent"),0),IF($AZ$5&lt;&gt;"",--(AZ26="Présent"),0),IF($BB$5&lt;&gt;"",--(BB26="Présent"),0),IF($BD$5&lt;&gt;"",--(BD26="Présent"),0),IF($BF$5&lt;&gt;"",--(BF26="Présent"),0),IF($BH$5&lt;&gt;"",--(BH26="Présent"),0),IF($BJ$5&lt;&gt;"",--(BJ26="Présent"),0),IF($BL$5&lt;&gt;"",--(BL26="Présent"),0)))</f>
      </c>
      <c r="BO26" s="22">
        <f>IF($A26="","",SUM(IF($D$5&lt;&gt;"",--(D26="Absent"),0),IF($F$5&lt;&gt;"",--(F26="Absent"),0),IF($H$5&lt;&gt;"",--(H26="Absent"),0),IF($J$5&lt;&gt;"",--(J26="Absent"),0),IF($L$5&lt;&gt;"",--(L26="Absent"),0),IF($N$5&lt;&gt;"",--(N26="Absent"),0),IF($P$5&lt;&gt;"",--(P26="Absent"),0),IF($R$5&lt;&gt;"",--(R26="Absent"),0),IF($T$5&lt;&gt;"",--(T26="Absent"),0),IF($V$5&lt;&gt;"",--(V26="Absent"),0),IF($X$5&lt;&gt;"",--(X26="Absent"),0),IF($Z$5&lt;&gt;"",--(Z26="Absent"),0),IF($AB$5&lt;&gt;"",--(AB26="Absent"),0),IF($AD$5&lt;&gt;"",--(AD26="Absent"),0),IF($AF$5&lt;&gt;"",--(AF26="Absent"),0),IF($AH$5&lt;&gt;"",--(AH26="Absent"),0),IF($AJ$5&lt;&gt;"",--(AJ26="Absent"),0),IF($AL$5&lt;&gt;"",--(AL26="Absent"),0),IF($AN$5&lt;&gt;"",--(AN26="Absent"),0),IF($AP$5&lt;&gt;"",--(AP26="Absent"),0),IF($AR$5&lt;&gt;"",--(AR26="Absent"),0),IF($AT$5&lt;&gt;"",--(AT26="Absent"),0),IF($AV$5&lt;&gt;"",--(AV26="Absent"),0),IF($AX$5&lt;&gt;"",--(AX26="Absent"),0),IF($AZ$5&lt;&gt;"",--(AZ26="Absent"),0),IF($BB$5&lt;&gt;"",--(BB26="Absent"),0),IF($BD$5&lt;&gt;"",--(BD26="Absent"),0),IF($BF$5&lt;&gt;"",--(BF26="Absent"),0),IF($BH$5&lt;&gt;"",--(BH26="Absent"),0),IF($BJ$5&lt;&gt;"",--(BJ26="Absent"),0),IF($BL$5&lt;&gt;"",--(BL26="Absent"),0)))</f>
      </c>
      <c r="BP26" s="22">
        <f>IF($A26="","",SUM(IF($D$5&lt;&gt;"",--(D26="Congé"),0),IF($F$5&lt;&gt;"",--(F26="Congé"),0),IF($H$5&lt;&gt;"",--(H26="Congé"),0),IF($J$5&lt;&gt;"",--(J26="Congé"),0),IF($L$5&lt;&gt;"",--(L26="Congé"),0),IF($N$5&lt;&gt;"",--(N26="Congé"),0),IF($P$5&lt;&gt;"",--(P26="Congé"),0),IF($R$5&lt;&gt;"",--(R26="Congé"),0),IF($T$5&lt;&gt;"",--(T26="Congé"),0),IF($V$5&lt;&gt;"",--(V26="Congé"),0),IF($X$5&lt;&gt;"",--(X26="Congé"),0),IF($Z$5&lt;&gt;"",--(Z26="Congé"),0),IF($AB$5&lt;&gt;"",--(AB26="Congé"),0),IF($AD$5&lt;&gt;"",--(AD26="Congé"),0),IF($AF$5&lt;&gt;"",--(AF26="Congé"),0),IF($AH$5&lt;&gt;"",--(AH26="Congé"),0),IF($AJ$5&lt;&gt;"",--(AJ26="Congé"),0),IF($AL$5&lt;&gt;"",--(AL26="Congé"),0),IF($AN$5&lt;&gt;"",--(AN26="Congé"),0),IF($AP$5&lt;&gt;"",--(AP26="Congé"),0),IF($AR$5&lt;&gt;"",--(AR26="Congé"),0),IF($AT$5&lt;&gt;"",--(AT26="Congé"),0),IF($AV$5&lt;&gt;"",--(AV26="Congé"),0),IF($AX$5&lt;&gt;"",--(AX26="Congé"),0),IF($AZ$5&lt;&gt;"",--(AZ26="Congé"),0),IF($BB$5&lt;&gt;"",--(BB26="Congé"),0),IF($BD$5&lt;&gt;"",--(BD26="Congé"),0),IF($BF$5&lt;&gt;"",--(BF26="Congé"),0),IF($BH$5&lt;&gt;"",--(BH26="Congé"),0),IF($BJ$5&lt;&gt;"",--(BJ26="Congé"),0),IF($BL$5&lt;&gt;"",--(BL26="Congé"),0)))</f>
      </c>
      <c r="BQ26" s="22">
        <f>IF($A26="","",SUM(IF($D$5&lt;&gt;"",--(D26="Maladie"),0),IF($F$5&lt;&gt;"",--(F26="Maladie"),0),IF($H$5&lt;&gt;"",--(H26="Maladie"),0),IF($J$5&lt;&gt;"",--(J26="Maladie"),0),IF($L$5&lt;&gt;"",--(L26="Maladie"),0),IF($N$5&lt;&gt;"",--(N26="Maladie"),0),IF($P$5&lt;&gt;"",--(P26="Maladie"),0),IF($R$5&lt;&gt;"",--(R26="Maladie"),0),IF($T$5&lt;&gt;"",--(T26="Maladie"),0),IF($V$5&lt;&gt;"",--(V26="Maladie"),0),IF($X$5&lt;&gt;"",--(X26="Maladie"),0),IF($Z$5&lt;&gt;"",--(Z26="Maladie"),0),IF($AB$5&lt;&gt;"",--(AB26="Maladie"),0),IF($AD$5&lt;&gt;"",--(AD26="Maladie"),0),IF($AF$5&lt;&gt;"",--(AF26="Maladie"),0),IF($AH$5&lt;&gt;"",--(AH26="Maladie"),0),IF($AJ$5&lt;&gt;"",--(AJ26="Maladie"),0),IF($AL$5&lt;&gt;"",--(AL26="Maladie"),0),IF($AN$5&lt;&gt;"",--(AN26="Maladie"),0),IF($AP$5&lt;&gt;"",--(AP26="Maladie"),0),IF($AR$5&lt;&gt;"",--(AR26="Maladie"),0),IF($AT$5&lt;&gt;"",--(AT26="Maladie"),0),IF($AV$5&lt;&gt;"",--(AV26="Maladie"),0),IF($AX$5&lt;&gt;"",--(AX26="Maladie"),0),IF($AZ$5&lt;&gt;"",--(AZ26="Maladie"),0),IF($BB$5&lt;&gt;"",--(BB26="Maladie"),0),IF($BD$5&lt;&gt;"",--(BD26="Maladie"),0),IF($BF$5&lt;&gt;"",--(BF26="Maladie"),0),IF($BH$5&lt;&gt;"",--(BH26="Maladie"),0),IF($BJ$5&lt;&gt;"",--(BJ26="Maladie"),0),IF($BL$5&lt;&gt;"",--(BL26="Maladie"),0)))</f>
      </c>
      <c r="BR26" s="23">
        <f>IF($A26="","",SUM(IF($D$5&lt;&gt;"",IF(D26="Présent",E26,0),0),IF($F$5&lt;&gt;"",IF(F26="Présent",G26,0),0),IF($H$5&lt;&gt;"",IF(H26="Présent",I26,0),0),IF($J$5&lt;&gt;"",IF(J26="Présent",K26,0),0),IF($L$5&lt;&gt;"",IF(L26="Présent",M26,0),0),IF($N$5&lt;&gt;"",IF(N26="Présent",O26,0),0),IF($P$5&lt;&gt;"",IF(P26="Présent",Q26,0),0),IF($R$5&lt;&gt;"",IF(R26="Présent",S26,0),0),IF($T$5&lt;&gt;"",IF(T26="Présent",U26,0),0),IF($V$5&lt;&gt;"",IF(V26="Présent",W26,0),0),IF($X$5&lt;&gt;"",IF(X26="Présent",Y26,0),0),IF($Z$5&lt;&gt;"",IF(Z26="Présent",AA26,0),0),IF($AB$5&lt;&gt;"",IF(AB26="Présent",AC26,0),0),IF($AD$5&lt;&gt;"",IF(AD26="Présent",AE26,0),0),IF($AF$5&lt;&gt;"",IF(AF26="Présent",AG26,0),0),IF($AH$5&lt;&gt;"",IF(AH26="Présent",AI26,0),0),IF($AJ$5&lt;&gt;"",IF(AJ26="Présent",AK26,0),0),IF($AL$5&lt;&gt;"",IF(AL26="Présent",AM26,0),0),IF($AN$5&lt;&gt;"",IF(AN26="Présent",AO26,0),0),IF($AP$5&lt;&gt;"",IF(AP26="Présent",AQ26,0),0),IF($AR$5&lt;&gt;"",IF(AR26="Présent",AS26,0),0),IF($AT$5&lt;&gt;"",IF(AT26="Présent",AU26,0),0),IF($AV$5&lt;&gt;"",IF(AV26="Présent",AW26,0),0),IF($AX$5&lt;&gt;"",IF(AX26="Présent",AY26,0),0),IF($AZ$5&lt;&gt;"",IF(AZ26="Présent",BA26,0),0),IF($BB$5&lt;&gt;"",IF(BB26="Présent",BC26,0),0),IF($BD$5&lt;&gt;"",IF(BD26="Présent",BE26,0),0),IF($BF$5&lt;&gt;"",IF(BF26="Présent",BG26,0),0),IF($BH$5&lt;&gt;"",IF(BH26="Présent",BI26,0),0),IF($BJ$5&lt;&gt;"",IF(BJ26="Présent",BK26,0),0),IF($BL$5&lt;&gt;"",IF(BL26="Présent",BM26,0),0)))</f>
      </c>
      <c r="BS26" s="25">
        <f>IF($A26="","",$BN26*IFERROR(INDEX(Categories_Salaire,MATCH($C26,ListeCategories,0)),0)+$BR26*IF(IFERROR(INDEX(Categories_TauxHS,MATCH($C26,ListeCategories,0)),0)&gt;0,IFERROR(INDEX(Categories_TauxHS,MATCH($C26,ListeCategories,0)),0),TauxHSDefaut))</f>
      </c>
    </row>
    <row r="27">
      <c r="A27" s="20">
        <f>IF(AND(INDEX(Employes_Nom,21)&lt;&gt;"",INDEX(Employes_Statut,21)="Actif",OR(INDEX(Employes_Embauche,21)="",INDEX(Employes_Embauche,21)&lt;=EOMONTH(DATE(AnneeCourante,MoisCourant,1),0))),INDEX(Employes_ID,21),"")</f>
      </c>
      <c r="B27" s="19">
        <f>IF($A27="","",INDEX(Employes_Nom,MATCH($A27,Employes_ID,0)))</f>
      </c>
      <c r="C27" s="20">
        <f>IF($A27="","",INDEX(Employes_Categorie,MATCH($A27,Employes_ID,0)))</f>
      </c>
      <c r="D27" s="26"/>
      <c r="E27" s="27"/>
      <c r="F27" s="26"/>
      <c r="G27" s="27"/>
      <c r="H27" s="26"/>
      <c r="I27" s="27"/>
      <c r="J27" s="26"/>
      <c r="K27" s="27"/>
      <c r="L27" s="26"/>
      <c r="M27" s="27"/>
      <c r="N27" s="26"/>
      <c r="O27" s="27"/>
      <c r="P27" s="26"/>
      <c r="Q27" s="27"/>
      <c r="R27" s="26"/>
      <c r="S27" s="27"/>
      <c r="T27" s="26"/>
      <c r="U27" s="27"/>
      <c r="V27" s="26"/>
      <c r="W27" s="27"/>
      <c r="X27" s="26"/>
      <c r="Y27" s="27"/>
      <c r="Z27" s="26"/>
      <c r="AA27" s="27"/>
      <c r="AB27" s="26"/>
      <c r="AC27" s="27"/>
      <c r="AD27" s="26"/>
      <c r="AE27" s="27"/>
      <c r="AF27" s="26"/>
      <c r="AG27" s="27"/>
      <c r="AH27" s="26"/>
      <c r="AI27" s="27"/>
      <c r="AJ27" s="26"/>
      <c r="AK27" s="27"/>
      <c r="AL27" s="26"/>
      <c r="AM27" s="27"/>
      <c r="AN27" s="26"/>
      <c r="AO27" s="27"/>
      <c r="AP27" s="26"/>
      <c r="AQ27" s="27"/>
      <c r="AR27" s="26"/>
      <c r="AS27" s="27"/>
      <c r="AT27" s="26"/>
      <c r="AU27" s="27"/>
      <c r="AV27" s="26"/>
      <c r="AW27" s="27"/>
      <c r="AX27" s="26"/>
      <c r="AY27" s="27"/>
      <c r="AZ27" s="26"/>
      <c r="BA27" s="27"/>
      <c r="BB27" s="26"/>
      <c r="BC27" s="27"/>
      <c r="BD27" s="26"/>
      <c r="BE27" s="27"/>
      <c r="BF27" s="26"/>
      <c r="BG27" s="27"/>
      <c r="BH27" s="26"/>
      <c r="BI27" s="27"/>
      <c r="BJ27" s="26"/>
      <c r="BK27" s="27"/>
      <c r="BL27" s="26"/>
      <c r="BM27" s="27"/>
      <c r="BN27" s="22">
        <f>IF($A27="","",SUM(IF($D$5&lt;&gt;"",--(D27="Présent"),0),IF($F$5&lt;&gt;"",--(F27="Présent"),0),IF($H$5&lt;&gt;"",--(H27="Présent"),0),IF($J$5&lt;&gt;"",--(J27="Présent"),0),IF($L$5&lt;&gt;"",--(L27="Présent"),0),IF($N$5&lt;&gt;"",--(N27="Présent"),0),IF($P$5&lt;&gt;"",--(P27="Présent"),0),IF($R$5&lt;&gt;"",--(R27="Présent"),0),IF($T$5&lt;&gt;"",--(T27="Présent"),0),IF($V$5&lt;&gt;"",--(V27="Présent"),0),IF($X$5&lt;&gt;"",--(X27="Présent"),0),IF($Z$5&lt;&gt;"",--(Z27="Présent"),0),IF($AB$5&lt;&gt;"",--(AB27="Présent"),0),IF($AD$5&lt;&gt;"",--(AD27="Présent"),0),IF($AF$5&lt;&gt;"",--(AF27="Présent"),0),IF($AH$5&lt;&gt;"",--(AH27="Présent"),0),IF($AJ$5&lt;&gt;"",--(AJ27="Présent"),0),IF($AL$5&lt;&gt;"",--(AL27="Présent"),0),IF($AN$5&lt;&gt;"",--(AN27="Présent"),0),IF($AP$5&lt;&gt;"",--(AP27="Présent"),0),IF($AR$5&lt;&gt;"",--(AR27="Présent"),0),IF($AT$5&lt;&gt;"",--(AT27="Présent"),0),IF($AV$5&lt;&gt;"",--(AV27="Présent"),0),IF($AX$5&lt;&gt;"",--(AX27="Présent"),0),IF($AZ$5&lt;&gt;"",--(AZ27="Présent"),0),IF($BB$5&lt;&gt;"",--(BB27="Présent"),0),IF($BD$5&lt;&gt;"",--(BD27="Présent"),0),IF($BF$5&lt;&gt;"",--(BF27="Présent"),0),IF($BH$5&lt;&gt;"",--(BH27="Présent"),0),IF($BJ$5&lt;&gt;"",--(BJ27="Présent"),0),IF($BL$5&lt;&gt;"",--(BL27="Présent"),0)))</f>
      </c>
      <c r="BO27" s="22">
        <f>IF($A27="","",SUM(IF($D$5&lt;&gt;"",--(D27="Absent"),0),IF($F$5&lt;&gt;"",--(F27="Absent"),0),IF($H$5&lt;&gt;"",--(H27="Absent"),0),IF($J$5&lt;&gt;"",--(J27="Absent"),0),IF($L$5&lt;&gt;"",--(L27="Absent"),0),IF($N$5&lt;&gt;"",--(N27="Absent"),0),IF($P$5&lt;&gt;"",--(P27="Absent"),0),IF($R$5&lt;&gt;"",--(R27="Absent"),0),IF($T$5&lt;&gt;"",--(T27="Absent"),0),IF($V$5&lt;&gt;"",--(V27="Absent"),0),IF($X$5&lt;&gt;"",--(X27="Absent"),0),IF($Z$5&lt;&gt;"",--(Z27="Absent"),0),IF($AB$5&lt;&gt;"",--(AB27="Absent"),0),IF($AD$5&lt;&gt;"",--(AD27="Absent"),0),IF($AF$5&lt;&gt;"",--(AF27="Absent"),0),IF($AH$5&lt;&gt;"",--(AH27="Absent"),0),IF($AJ$5&lt;&gt;"",--(AJ27="Absent"),0),IF($AL$5&lt;&gt;"",--(AL27="Absent"),0),IF($AN$5&lt;&gt;"",--(AN27="Absent"),0),IF($AP$5&lt;&gt;"",--(AP27="Absent"),0),IF($AR$5&lt;&gt;"",--(AR27="Absent"),0),IF($AT$5&lt;&gt;"",--(AT27="Absent"),0),IF($AV$5&lt;&gt;"",--(AV27="Absent"),0),IF($AX$5&lt;&gt;"",--(AX27="Absent"),0),IF($AZ$5&lt;&gt;"",--(AZ27="Absent"),0),IF($BB$5&lt;&gt;"",--(BB27="Absent"),0),IF($BD$5&lt;&gt;"",--(BD27="Absent"),0),IF($BF$5&lt;&gt;"",--(BF27="Absent"),0),IF($BH$5&lt;&gt;"",--(BH27="Absent"),0),IF($BJ$5&lt;&gt;"",--(BJ27="Absent"),0),IF($BL$5&lt;&gt;"",--(BL27="Absent"),0)))</f>
      </c>
      <c r="BP27" s="22">
        <f>IF($A27="","",SUM(IF($D$5&lt;&gt;"",--(D27="Congé"),0),IF($F$5&lt;&gt;"",--(F27="Congé"),0),IF($H$5&lt;&gt;"",--(H27="Congé"),0),IF($J$5&lt;&gt;"",--(J27="Congé"),0),IF($L$5&lt;&gt;"",--(L27="Congé"),0),IF($N$5&lt;&gt;"",--(N27="Congé"),0),IF($P$5&lt;&gt;"",--(P27="Congé"),0),IF($R$5&lt;&gt;"",--(R27="Congé"),0),IF($T$5&lt;&gt;"",--(T27="Congé"),0),IF($V$5&lt;&gt;"",--(V27="Congé"),0),IF($X$5&lt;&gt;"",--(X27="Congé"),0),IF($Z$5&lt;&gt;"",--(Z27="Congé"),0),IF($AB$5&lt;&gt;"",--(AB27="Congé"),0),IF($AD$5&lt;&gt;"",--(AD27="Congé"),0),IF($AF$5&lt;&gt;"",--(AF27="Congé"),0),IF($AH$5&lt;&gt;"",--(AH27="Congé"),0),IF($AJ$5&lt;&gt;"",--(AJ27="Congé"),0),IF($AL$5&lt;&gt;"",--(AL27="Congé"),0),IF($AN$5&lt;&gt;"",--(AN27="Congé"),0),IF($AP$5&lt;&gt;"",--(AP27="Congé"),0),IF($AR$5&lt;&gt;"",--(AR27="Congé"),0),IF($AT$5&lt;&gt;"",--(AT27="Congé"),0),IF($AV$5&lt;&gt;"",--(AV27="Congé"),0),IF($AX$5&lt;&gt;"",--(AX27="Congé"),0),IF($AZ$5&lt;&gt;"",--(AZ27="Congé"),0),IF($BB$5&lt;&gt;"",--(BB27="Congé"),0),IF($BD$5&lt;&gt;"",--(BD27="Congé"),0),IF($BF$5&lt;&gt;"",--(BF27="Congé"),0),IF($BH$5&lt;&gt;"",--(BH27="Congé"),0),IF($BJ$5&lt;&gt;"",--(BJ27="Congé"),0),IF($BL$5&lt;&gt;"",--(BL27="Congé"),0)))</f>
      </c>
      <c r="BQ27" s="22">
        <f>IF($A27="","",SUM(IF($D$5&lt;&gt;"",--(D27="Maladie"),0),IF($F$5&lt;&gt;"",--(F27="Maladie"),0),IF($H$5&lt;&gt;"",--(H27="Maladie"),0),IF($J$5&lt;&gt;"",--(J27="Maladie"),0),IF($L$5&lt;&gt;"",--(L27="Maladie"),0),IF($N$5&lt;&gt;"",--(N27="Maladie"),0),IF($P$5&lt;&gt;"",--(P27="Maladie"),0),IF($R$5&lt;&gt;"",--(R27="Maladie"),0),IF($T$5&lt;&gt;"",--(T27="Maladie"),0),IF($V$5&lt;&gt;"",--(V27="Maladie"),0),IF($X$5&lt;&gt;"",--(X27="Maladie"),0),IF($Z$5&lt;&gt;"",--(Z27="Maladie"),0),IF($AB$5&lt;&gt;"",--(AB27="Maladie"),0),IF($AD$5&lt;&gt;"",--(AD27="Maladie"),0),IF($AF$5&lt;&gt;"",--(AF27="Maladie"),0),IF($AH$5&lt;&gt;"",--(AH27="Maladie"),0),IF($AJ$5&lt;&gt;"",--(AJ27="Maladie"),0),IF($AL$5&lt;&gt;"",--(AL27="Maladie"),0),IF($AN$5&lt;&gt;"",--(AN27="Maladie"),0),IF($AP$5&lt;&gt;"",--(AP27="Maladie"),0),IF($AR$5&lt;&gt;"",--(AR27="Maladie"),0),IF($AT$5&lt;&gt;"",--(AT27="Maladie"),0),IF($AV$5&lt;&gt;"",--(AV27="Maladie"),0),IF($AX$5&lt;&gt;"",--(AX27="Maladie"),0),IF($AZ$5&lt;&gt;"",--(AZ27="Maladie"),0),IF($BB$5&lt;&gt;"",--(BB27="Maladie"),0),IF($BD$5&lt;&gt;"",--(BD27="Maladie"),0),IF($BF$5&lt;&gt;"",--(BF27="Maladie"),0),IF($BH$5&lt;&gt;"",--(BH27="Maladie"),0),IF($BJ$5&lt;&gt;"",--(BJ27="Maladie"),0),IF($BL$5&lt;&gt;"",--(BL27="Maladie"),0)))</f>
      </c>
      <c r="BR27" s="23">
        <f>IF($A27="","",SUM(IF($D$5&lt;&gt;"",IF(D27="Présent",E27,0),0),IF($F$5&lt;&gt;"",IF(F27="Présent",G27,0),0),IF($H$5&lt;&gt;"",IF(H27="Présent",I27,0),0),IF($J$5&lt;&gt;"",IF(J27="Présent",K27,0),0),IF($L$5&lt;&gt;"",IF(L27="Présent",M27,0),0),IF($N$5&lt;&gt;"",IF(N27="Présent",O27,0),0),IF($P$5&lt;&gt;"",IF(P27="Présent",Q27,0),0),IF($R$5&lt;&gt;"",IF(R27="Présent",S27,0),0),IF($T$5&lt;&gt;"",IF(T27="Présent",U27,0),0),IF($V$5&lt;&gt;"",IF(V27="Présent",W27,0),0),IF($X$5&lt;&gt;"",IF(X27="Présent",Y27,0),0),IF($Z$5&lt;&gt;"",IF(Z27="Présent",AA27,0),0),IF($AB$5&lt;&gt;"",IF(AB27="Présent",AC27,0),0),IF($AD$5&lt;&gt;"",IF(AD27="Présent",AE27,0),0),IF($AF$5&lt;&gt;"",IF(AF27="Présent",AG27,0),0),IF($AH$5&lt;&gt;"",IF(AH27="Présent",AI27,0),0),IF($AJ$5&lt;&gt;"",IF(AJ27="Présent",AK27,0),0),IF($AL$5&lt;&gt;"",IF(AL27="Présent",AM27,0),0),IF($AN$5&lt;&gt;"",IF(AN27="Présent",AO27,0),0),IF($AP$5&lt;&gt;"",IF(AP27="Présent",AQ27,0),0),IF($AR$5&lt;&gt;"",IF(AR27="Présent",AS27,0),0),IF($AT$5&lt;&gt;"",IF(AT27="Présent",AU27,0),0),IF($AV$5&lt;&gt;"",IF(AV27="Présent",AW27,0),0),IF($AX$5&lt;&gt;"",IF(AX27="Présent",AY27,0),0),IF($AZ$5&lt;&gt;"",IF(AZ27="Présent",BA27,0),0),IF($BB$5&lt;&gt;"",IF(BB27="Présent",BC27,0),0),IF($BD$5&lt;&gt;"",IF(BD27="Présent",BE27,0),0),IF($BF$5&lt;&gt;"",IF(BF27="Présent",BG27,0),0),IF($BH$5&lt;&gt;"",IF(BH27="Présent",BI27,0),0),IF($BJ$5&lt;&gt;"",IF(BJ27="Présent",BK27,0),0),IF($BL$5&lt;&gt;"",IF(BL27="Présent",BM27,0),0)))</f>
      </c>
      <c r="BS27" s="25">
        <f>IF($A27="","",$BN27*IFERROR(INDEX(Categories_Salaire,MATCH($C27,ListeCategories,0)),0)+$BR27*IF(IFERROR(INDEX(Categories_TauxHS,MATCH($C27,ListeCategories,0)),0)&gt;0,IFERROR(INDEX(Categories_TauxHS,MATCH($C27,ListeCategories,0)),0),TauxHSDefaut))</f>
      </c>
    </row>
    <row r="28">
      <c r="A28" s="20">
        <f>IF(AND(INDEX(Employes_Nom,22)&lt;&gt;"",INDEX(Employes_Statut,22)="Actif",OR(INDEX(Employes_Embauche,22)="",INDEX(Employes_Embauche,22)&lt;=EOMONTH(DATE(AnneeCourante,MoisCourant,1),0))),INDEX(Employes_ID,22),"")</f>
      </c>
      <c r="B28" s="19">
        <f>IF($A28="","",INDEX(Employes_Nom,MATCH($A28,Employes_ID,0)))</f>
      </c>
      <c r="C28" s="20">
        <f>IF($A28="","",INDEX(Employes_Categorie,MATCH($A28,Employes_ID,0)))</f>
      </c>
      <c r="D28" s="26"/>
      <c r="E28" s="27"/>
      <c r="F28" s="26"/>
      <c r="G28" s="27"/>
      <c r="H28" s="26"/>
      <c r="I28" s="27"/>
      <c r="J28" s="26"/>
      <c r="K28" s="27"/>
      <c r="L28" s="26"/>
      <c r="M28" s="27"/>
      <c r="N28" s="26"/>
      <c r="O28" s="27"/>
      <c r="P28" s="26"/>
      <c r="Q28" s="27"/>
      <c r="R28" s="26"/>
      <c r="S28" s="27"/>
      <c r="T28" s="26"/>
      <c r="U28" s="27"/>
      <c r="V28" s="26"/>
      <c r="W28" s="27"/>
      <c r="X28" s="26"/>
      <c r="Y28" s="27"/>
      <c r="Z28" s="26"/>
      <c r="AA28" s="27"/>
      <c r="AB28" s="26"/>
      <c r="AC28" s="27"/>
      <c r="AD28" s="26"/>
      <c r="AE28" s="27"/>
      <c r="AF28" s="26"/>
      <c r="AG28" s="27"/>
      <c r="AH28" s="26"/>
      <c r="AI28" s="27"/>
      <c r="AJ28" s="26"/>
      <c r="AK28" s="27"/>
      <c r="AL28" s="26"/>
      <c r="AM28" s="27"/>
      <c r="AN28" s="26"/>
      <c r="AO28" s="27"/>
      <c r="AP28" s="26"/>
      <c r="AQ28" s="27"/>
      <c r="AR28" s="26"/>
      <c r="AS28" s="27"/>
      <c r="AT28" s="26"/>
      <c r="AU28" s="27"/>
      <c r="AV28" s="26"/>
      <c r="AW28" s="27"/>
      <c r="AX28" s="26"/>
      <c r="AY28" s="27"/>
      <c r="AZ28" s="26"/>
      <c r="BA28" s="27"/>
      <c r="BB28" s="26"/>
      <c r="BC28" s="27"/>
      <c r="BD28" s="26"/>
      <c r="BE28" s="27"/>
      <c r="BF28" s="26"/>
      <c r="BG28" s="27"/>
      <c r="BH28" s="26"/>
      <c r="BI28" s="27"/>
      <c r="BJ28" s="26"/>
      <c r="BK28" s="27"/>
      <c r="BL28" s="26"/>
      <c r="BM28" s="27"/>
      <c r="BN28" s="22">
        <f>IF($A28="","",SUM(IF($D$5&lt;&gt;"",--(D28="Présent"),0),IF($F$5&lt;&gt;"",--(F28="Présent"),0),IF($H$5&lt;&gt;"",--(H28="Présent"),0),IF($J$5&lt;&gt;"",--(J28="Présent"),0),IF($L$5&lt;&gt;"",--(L28="Présent"),0),IF($N$5&lt;&gt;"",--(N28="Présent"),0),IF($P$5&lt;&gt;"",--(P28="Présent"),0),IF($R$5&lt;&gt;"",--(R28="Présent"),0),IF($T$5&lt;&gt;"",--(T28="Présent"),0),IF($V$5&lt;&gt;"",--(V28="Présent"),0),IF($X$5&lt;&gt;"",--(X28="Présent"),0),IF($Z$5&lt;&gt;"",--(Z28="Présent"),0),IF($AB$5&lt;&gt;"",--(AB28="Présent"),0),IF($AD$5&lt;&gt;"",--(AD28="Présent"),0),IF($AF$5&lt;&gt;"",--(AF28="Présent"),0),IF($AH$5&lt;&gt;"",--(AH28="Présent"),0),IF($AJ$5&lt;&gt;"",--(AJ28="Présent"),0),IF($AL$5&lt;&gt;"",--(AL28="Présent"),0),IF($AN$5&lt;&gt;"",--(AN28="Présent"),0),IF($AP$5&lt;&gt;"",--(AP28="Présent"),0),IF($AR$5&lt;&gt;"",--(AR28="Présent"),0),IF($AT$5&lt;&gt;"",--(AT28="Présent"),0),IF($AV$5&lt;&gt;"",--(AV28="Présent"),0),IF($AX$5&lt;&gt;"",--(AX28="Présent"),0),IF($AZ$5&lt;&gt;"",--(AZ28="Présent"),0),IF($BB$5&lt;&gt;"",--(BB28="Présent"),0),IF($BD$5&lt;&gt;"",--(BD28="Présent"),0),IF($BF$5&lt;&gt;"",--(BF28="Présent"),0),IF($BH$5&lt;&gt;"",--(BH28="Présent"),0),IF($BJ$5&lt;&gt;"",--(BJ28="Présent"),0),IF($BL$5&lt;&gt;"",--(BL28="Présent"),0)))</f>
      </c>
      <c r="BO28" s="22">
        <f>IF($A28="","",SUM(IF($D$5&lt;&gt;"",--(D28="Absent"),0),IF($F$5&lt;&gt;"",--(F28="Absent"),0),IF($H$5&lt;&gt;"",--(H28="Absent"),0),IF($J$5&lt;&gt;"",--(J28="Absent"),0),IF($L$5&lt;&gt;"",--(L28="Absent"),0),IF($N$5&lt;&gt;"",--(N28="Absent"),0),IF($P$5&lt;&gt;"",--(P28="Absent"),0),IF($R$5&lt;&gt;"",--(R28="Absent"),0),IF($T$5&lt;&gt;"",--(T28="Absent"),0),IF($V$5&lt;&gt;"",--(V28="Absent"),0),IF($X$5&lt;&gt;"",--(X28="Absent"),0),IF($Z$5&lt;&gt;"",--(Z28="Absent"),0),IF($AB$5&lt;&gt;"",--(AB28="Absent"),0),IF($AD$5&lt;&gt;"",--(AD28="Absent"),0),IF($AF$5&lt;&gt;"",--(AF28="Absent"),0),IF($AH$5&lt;&gt;"",--(AH28="Absent"),0),IF($AJ$5&lt;&gt;"",--(AJ28="Absent"),0),IF($AL$5&lt;&gt;"",--(AL28="Absent"),0),IF($AN$5&lt;&gt;"",--(AN28="Absent"),0),IF($AP$5&lt;&gt;"",--(AP28="Absent"),0),IF($AR$5&lt;&gt;"",--(AR28="Absent"),0),IF($AT$5&lt;&gt;"",--(AT28="Absent"),0),IF($AV$5&lt;&gt;"",--(AV28="Absent"),0),IF($AX$5&lt;&gt;"",--(AX28="Absent"),0),IF($AZ$5&lt;&gt;"",--(AZ28="Absent"),0),IF($BB$5&lt;&gt;"",--(BB28="Absent"),0),IF($BD$5&lt;&gt;"",--(BD28="Absent"),0),IF($BF$5&lt;&gt;"",--(BF28="Absent"),0),IF($BH$5&lt;&gt;"",--(BH28="Absent"),0),IF($BJ$5&lt;&gt;"",--(BJ28="Absent"),0),IF($BL$5&lt;&gt;"",--(BL28="Absent"),0)))</f>
      </c>
      <c r="BP28" s="22">
        <f>IF($A28="","",SUM(IF($D$5&lt;&gt;"",--(D28="Congé"),0),IF($F$5&lt;&gt;"",--(F28="Congé"),0),IF($H$5&lt;&gt;"",--(H28="Congé"),0),IF($J$5&lt;&gt;"",--(J28="Congé"),0),IF($L$5&lt;&gt;"",--(L28="Congé"),0),IF($N$5&lt;&gt;"",--(N28="Congé"),0),IF($P$5&lt;&gt;"",--(P28="Congé"),0),IF($R$5&lt;&gt;"",--(R28="Congé"),0),IF($T$5&lt;&gt;"",--(T28="Congé"),0),IF($V$5&lt;&gt;"",--(V28="Congé"),0),IF($X$5&lt;&gt;"",--(X28="Congé"),0),IF($Z$5&lt;&gt;"",--(Z28="Congé"),0),IF($AB$5&lt;&gt;"",--(AB28="Congé"),0),IF($AD$5&lt;&gt;"",--(AD28="Congé"),0),IF($AF$5&lt;&gt;"",--(AF28="Congé"),0),IF($AH$5&lt;&gt;"",--(AH28="Congé"),0),IF($AJ$5&lt;&gt;"",--(AJ28="Congé"),0),IF($AL$5&lt;&gt;"",--(AL28="Congé"),0),IF($AN$5&lt;&gt;"",--(AN28="Congé"),0),IF($AP$5&lt;&gt;"",--(AP28="Congé"),0),IF($AR$5&lt;&gt;"",--(AR28="Congé"),0),IF($AT$5&lt;&gt;"",--(AT28="Congé"),0),IF($AV$5&lt;&gt;"",--(AV28="Congé"),0),IF($AX$5&lt;&gt;"",--(AX28="Congé"),0),IF($AZ$5&lt;&gt;"",--(AZ28="Congé"),0),IF($BB$5&lt;&gt;"",--(BB28="Congé"),0),IF($BD$5&lt;&gt;"",--(BD28="Congé"),0),IF($BF$5&lt;&gt;"",--(BF28="Congé"),0),IF($BH$5&lt;&gt;"",--(BH28="Congé"),0),IF($BJ$5&lt;&gt;"",--(BJ28="Congé"),0),IF($BL$5&lt;&gt;"",--(BL28="Congé"),0)))</f>
      </c>
      <c r="BQ28" s="22">
        <f>IF($A28="","",SUM(IF($D$5&lt;&gt;"",--(D28="Maladie"),0),IF($F$5&lt;&gt;"",--(F28="Maladie"),0),IF($H$5&lt;&gt;"",--(H28="Maladie"),0),IF($J$5&lt;&gt;"",--(J28="Maladie"),0),IF($L$5&lt;&gt;"",--(L28="Maladie"),0),IF($N$5&lt;&gt;"",--(N28="Maladie"),0),IF($P$5&lt;&gt;"",--(P28="Maladie"),0),IF($R$5&lt;&gt;"",--(R28="Maladie"),0),IF($T$5&lt;&gt;"",--(T28="Maladie"),0),IF($V$5&lt;&gt;"",--(V28="Maladie"),0),IF($X$5&lt;&gt;"",--(X28="Maladie"),0),IF($Z$5&lt;&gt;"",--(Z28="Maladie"),0),IF($AB$5&lt;&gt;"",--(AB28="Maladie"),0),IF($AD$5&lt;&gt;"",--(AD28="Maladie"),0),IF($AF$5&lt;&gt;"",--(AF28="Maladie"),0),IF($AH$5&lt;&gt;"",--(AH28="Maladie"),0),IF($AJ$5&lt;&gt;"",--(AJ28="Maladie"),0),IF($AL$5&lt;&gt;"",--(AL28="Maladie"),0),IF($AN$5&lt;&gt;"",--(AN28="Maladie"),0),IF($AP$5&lt;&gt;"",--(AP28="Maladie"),0),IF($AR$5&lt;&gt;"",--(AR28="Maladie"),0),IF($AT$5&lt;&gt;"",--(AT28="Maladie"),0),IF($AV$5&lt;&gt;"",--(AV28="Maladie"),0),IF($AX$5&lt;&gt;"",--(AX28="Maladie"),0),IF($AZ$5&lt;&gt;"",--(AZ28="Maladie"),0),IF($BB$5&lt;&gt;"",--(BB28="Maladie"),0),IF($BD$5&lt;&gt;"",--(BD28="Maladie"),0),IF($BF$5&lt;&gt;"",--(BF28="Maladie"),0),IF($BH$5&lt;&gt;"",--(BH28="Maladie"),0),IF($BJ$5&lt;&gt;"",--(BJ28="Maladie"),0),IF($BL$5&lt;&gt;"",--(BL28="Maladie"),0)))</f>
      </c>
      <c r="BR28" s="23">
        <f>IF($A28="","",SUM(IF($D$5&lt;&gt;"",IF(D28="Présent",E28,0),0),IF($F$5&lt;&gt;"",IF(F28="Présent",G28,0),0),IF($H$5&lt;&gt;"",IF(H28="Présent",I28,0),0),IF($J$5&lt;&gt;"",IF(J28="Présent",K28,0),0),IF($L$5&lt;&gt;"",IF(L28="Présent",M28,0),0),IF($N$5&lt;&gt;"",IF(N28="Présent",O28,0),0),IF($P$5&lt;&gt;"",IF(P28="Présent",Q28,0),0),IF($R$5&lt;&gt;"",IF(R28="Présent",S28,0),0),IF($T$5&lt;&gt;"",IF(T28="Présent",U28,0),0),IF($V$5&lt;&gt;"",IF(V28="Présent",W28,0),0),IF($X$5&lt;&gt;"",IF(X28="Présent",Y28,0),0),IF($Z$5&lt;&gt;"",IF(Z28="Présent",AA28,0),0),IF($AB$5&lt;&gt;"",IF(AB28="Présent",AC28,0),0),IF($AD$5&lt;&gt;"",IF(AD28="Présent",AE28,0),0),IF($AF$5&lt;&gt;"",IF(AF28="Présent",AG28,0),0),IF($AH$5&lt;&gt;"",IF(AH28="Présent",AI28,0),0),IF($AJ$5&lt;&gt;"",IF(AJ28="Présent",AK28,0),0),IF($AL$5&lt;&gt;"",IF(AL28="Présent",AM28,0),0),IF($AN$5&lt;&gt;"",IF(AN28="Présent",AO28,0),0),IF($AP$5&lt;&gt;"",IF(AP28="Présent",AQ28,0),0),IF($AR$5&lt;&gt;"",IF(AR28="Présent",AS28,0),0),IF($AT$5&lt;&gt;"",IF(AT28="Présent",AU28,0),0),IF($AV$5&lt;&gt;"",IF(AV28="Présent",AW28,0),0),IF($AX$5&lt;&gt;"",IF(AX28="Présent",AY28,0),0),IF($AZ$5&lt;&gt;"",IF(AZ28="Présent",BA28,0),0),IF($BB$5&lt;&gt;"",IF(BB28="Présent",BC28,0),0),IF($BD$5&lt;&gt;"",IF(BD28="Présent",BE28,0),0),IF($BF$5&lt;&gt;"",IF(BF28="Présent",BG28,0),0),IF($BH$5&lt;&gt;"",IF(BH28="Présent",BI28,0),0),IF($BJ$5&lt;&gt;"",IF(BJ28="Présent",BK28,0),0),IF($BL$5&lt;&gt;"",IF(BL28="Présent",BM28,0),0)))</f>
      </c>
      <c r="BS28" s="25">
        <f>IF($A28="","",$BN28*IFERROR(INDEX(Categories_Salaire,MATCH($C28,ListeCategories,0)),0)+$BR28*IF(IFERROR(INDEX(Categories_TauxHS,MATCH($C28,ListeCategories,0)),0)&gt;0,IFERROR(INDEX(Categories_TauxHS,MATCH($C28,ListeCategories,0)),0),TauxHSDefaut))</f>
      </c>
    </row>
    <row r="29">
      <c r="A29" s="20">
        <f>IF(AND(INDEX(Employes_Nom,23)&lt;&gt;"",INDEX(Employes_Statut,23)="Actif",OR(INDEX(Employes_Embauche,23)="",INDEX(Employes_Embauche,23)&lt;=EOMONTH(DATE(AnneeCourante,MoisCourant,1),0))),INDEX(Employes_ID,23),"")</f>
      </c>
      <c r="B29" s="19">
        <f>IF($A29="","",INDEX(Employes_Nom,MATCH($A29,Employes_ID,0)))</f>
      </c>
      <c r="C29" s="20">
        <f>IF($A29="","",INDEX(Employes_Categorie,MATCH($A29,Employes_ID,0)))</f>
      </c>
      <c r="D29" s="26"/>
      <c r="E29" s="27"/>
      <c r="F29" s="26"/>
      <c r="G29" s="27"/>
      <c r="H29" s="26"/>
      <c r="I29" s="27"/>
      <c r="J29" s="26"/>
      <c r="K29" s="27"/>
      <c r="L29" s="26"/>
      <c r="M29" s="27"/>
      <c r="N29" s="26"/>
      <c r="O29" s="27"/>
      <c r="P29" s="26"/>
      <c r="Q29" s="27"/>
      <c r="R29" s="26"/>
      <c r="S29" s="27"/>
      <c r="T29" s="26"/>
      <c r="U29" s="27"/>
      <c r="V29" s="26"/>
      <c r="W29" s="27"/>
      <c r="X29" s="26"/>
      <c r="Y29" s="27"/>
      <c r="Z29" s="26"/>
      <c r="AA29" s="27"/>
      <c r="AB29" s="26"/>
      <c r="AC29" s="27"/>
      <c r="AD29" s="26"/>
      <c r="AE29" s="27"/>
      <c r="AF29" s="26"/>
      <c r="AG29" s="27"/>
      <c r="AH29" s="26"/>
      <c r="AI29" s="27"/>
      <c r="AJ29" s="26"/>
      <c r="AK29" s="27"/>
      <c r="AL29" s="26"/>
      <c r="AM29" s="27"/>
      <c r="AN29" s="26"/>
      <c r="AO29" s="27"/>
      <c r="AP29" s="26"/>
      <c r="AQ29" s="27"/>
      <c r="AR29" s="26"/>
      <c r="AS29" s="27"/>
      <c r="AT29" s="26"/>
      <c r="AU29" s="27"/>
      <c r="AV29" s="26"/>
      <c r="AW29" s="27"/>
      <c r="AX29" s="26"/>
      <c r="AY29" s="27"/>
      <c r="AZ29" s="26"/>
      <c r="BA29" s="27"/>
      <c r="BB29" s="26"/>
      <c r="BC29" s="27"/>
      <c r="BD29" s="26"/>
      <c r="BE29" s="27"/>
      <c r="BF29" s="26"/>
      <c r="BG29" s="27"/>
      <c r="BH29" s="26"/>
      <c r="BI29" s="27"/>
      <c r="BJ29" s="26"/>
      <c r="BK29" s="27"/>
      <c r="BL29" s="26"/>
      <c r="BM29" s="27"/>
      <c r="BN29" s="22">
        <f>IF($A29="","",SUM(IF($D$5&lt;&gt;"",--(D29="Présent"),0),IF($F$5&lt;&gt;"",--(F29="Présent"),0),IF($H$5&lt;&gt;"",--(H29="Présent"),0),IF($J$5&lt;&gt;"",--(J29="Présent"),0),IF($L$5&lt;&gt;"",--(L29="Présent"),0),IF($N$5&lt;&gt;"",--(N29="Présent"),0),IF($P$5&lt;&gt;"",--(P29="Présent"),0),IF($R$5&lt;&gt;"",--(R29="Présent"),0),IF($T$5&lt;&gt;"",--(T29="Présent"),0),IF($V$5&lt;&gt;"",--(V29="Présent"),0),IF($X$5&lt;&gt;"",--(X29="Présent"),0),IF($Z$5&lt;&gt;"",--(Z29="Présent"),0),IF($AB$5&lt;&gt;"",--(AB29="Présent"),0),IF($AD$5&lt;&gt;"",--(AD29="Présent"),0),IF($AF$5&lt;&gt;"",--(AF29="Présent"),0),IF($AH$5&lt;&gt;"",--(AH29="Présent"),0),IF($AJ$5&lt;&gt;"",--(AJ29="Présent"),0),IF($AL$5&lt;&gt;"",--(AL29="Présent"),0),IF($AN$5&lt;&gt;"",--(AN29="Présent"),0),IF($AP$5&lt;&gt;"",--(AP29="Présent"),0),IF($AR$5&lt;&gt;"",--(AR29="Présent"),0),IF($AT$5&lt;&gt;"",--(AT29="Présent"),0),IF($AV$5&lt;&gt;"",--(AV29="Présent"),0),IF($AX$5&lt;&gt;"",--(AX29="Présent"),0),IF($AZ$5&lt;&gt;"",--(AZ29="Présent"),0),IF($BB$5&lt;&gt;"",--(BB29="Présent"),0),IF($BD$5&lt;&gt;"",--(BD29="Présent"),0),IF($BF$5&lt;&gt;"",--(BF29="Présent"),0),IF($BH$5&lt;&gt;"",--(BH29="Présent"),0),IF($BJ$5&lt;&gt;"",--(BJ29="Présent"),0),IF($BL$5&lt;&gt;"",--(BL29="Présent"),0)))</f>
      </c>
      <c r="BO29" s="22">
        <f>IF($A29="","",SUM(IF($D$5&lt;&gt;"",--(D29="Absent"),0),IF($F$5&lt;&gt;"",--(F29="Absent"),0),IF($H$5&lt;&gt;"",--(H29="Absent"),0),IF($J$5&lt;&gt;"",--(J29="Absent"),0),IF($L$5&lt;&gt;"",--(L29="Absent"),0),IF($N$5&lt;&gt;"",--(N29="Absent"),0),IF($P$5&lt;&gt;"",--(P29="Absent"),0),IF($R$5&lt;&gt;"",--(R29="Absent"),0),IF($T$5&lt;&gt;"",--(T29="Absent"),0),IF($V$5&lt;&gt;"",--(V29="Absent"),0),IF($X$5&lt;&gt;"",--(X29="Absent"),0),IF($Z$5&lt;&gt;"",--(Z29="Absent"),0),IF($AB$5&lt;&gt;"",--(AB29="Absent"),0),IF($AD$5&lt;&gt;"",--(AD29="Absent"),0),IF($AF$5&lt;&gt;"",--(AF29="Absent"),0),IF($AH$5&lt;&gt;"",--(AH29="Absent"),0),IF($AJ$5&lt;&gt;"",--(AJ29="Absent"),0),IF($AL$5&lt;&gt;"",--(AL29="Absent"),0),IF($AN$5&lt;&gt;"",--(AN29="Absent"),0),IF($AP$5&lt;&gt;"",--(AP29="Absent"),0),IF($AR$5&lt;&gt;"",--(AR29="Absent"),0),IF($AT$5&lt;&gt;"",--(AT29="Absent"),0),IF($AV$5&lt;&gt;"",--(AV29="Absent"),0),IF($AX$5&lt;&gt;"",--(AX29="Absent"),0),IF($AZ$5&lt;&gt;"",--(AZ29="Absent"),0),IF($BB$5&lt;&gt;"",--(BB29="Absent"),0),IF($BD$5&lt;&gt;"",--(BD29="Absent"),0),IF($BF$5&lt;&gt;"",--(BF29="Absent"),0),IF($BH$5&lt;&gt;"",--(BH29="Absent"),0),IF($BJ$5&lt;&gt;"",--(BJ29="Absent"),0),IF($BL$5&lt;&gt;"",--(BL29="Absent"),0)))</f>
      </c>
      <c r="BP29" s="22">
        <f>IF($A29="","",SUM(IF($D$5&lt;&gt;"",--(D29="Congé"),0),IF($F$5&lt;&gt;"",--(F29="Congé"),0),IF($H$5&lt;&gt;"",--(H29="Congé"),0),IF($J$5&lt;&gt;"",--(J29="Congé"),0),IF($L$5&lt;&gt;"",--(L29="Congé"),0),IF($N$5&lt;&gt;"",--(N29="Congé"),0),IF($P$5&lt;&gt;"",--(P29="Congé"),0),IF($R$5&lt;&gt;"",--(R29="Congé"),0),IF($T$5&lt;&gt;"",--(T29="Congé"),0),IF($V$5&lt;&gt;"",--(V29="Congé"),0),IF($X$5&lt;&gt;"",--(X29="Congé"),0),IF($Z$5&lt;&gt;"",--(Z29="Congé"),0),IF($AB$5&lt;&gt;"",--(AB29="Congé"),0),IF($AD$5&lt;&gt;"",--(AD29="Congé"),0),IF($AF$5&lt;&gt;"",--(AF29="Congé"),0),IF($AH$5&lt;&gt;"",--(AH29="Congé"),0),IF($AJ$5&lt;&gt;"",--(AJ29="Congé"),0),IF($AL$5&lt;&gt;"",--(AL29="Congé"),0),IF($AN$5&lt;&gt;"",--(AN29="Congé"),0),IF($AP$5&lt;&gt;"",--(AP29="Congé"),0),IF($AR$5&lt;&gt;"",--(AR29="Congé"),0),IF($AT$5&lt;&gt;"",--(AT29="Congé"),0),IF($AV$5&lt;&gt;"",--(AV29="Congé"),0),IF($AX$5&lt;&gt;"",--(AX29="Congé"),0),IF($AZ$5&lt;&gt;"",--(AZ29="Congé"),0),IF($BB$5&lt;&gt;"",--(BB29="Congé"),0),IF($BD$5&lt;&gt;"",--(BD29="Congé"),0),IF($BF$5&lt;&gt;"",--(BF29="Congé"),0),IF($BH$5&lt;&gt;"",--(BH29="Congé"),0),IF($BJ$5&lt;&gt;"",--(BJ29="Congé"),0),IF($BL$5&lt;&gt;"",--(BL29="Congé"),0)))</f>
      </c>
      <c r="BQ29" s="22">
        <f>IF($A29="","",SUM(IF($D$5&lt;&gt;"",--(D29="Maladie"),0),IF($F$5&lt;&gt;"",--(F29="Maladie"),0),IF($H$5&lt;&gt;"",--(H29="Maladie"),0),IF($J$5&lt;&gt;"",--(J29="Maladie"),0),IF($L$5&lt;&gt;"",--(L29="Maladie"),0),IF($N$5&lt;&gt;"",--(N29="Maladie"),0),IF($P$5&lt;&gt;"",--(P29="Maladie"),0),IF($R$5&lt;&gt;"",--(R29="Maladie"),0),IF($T$5&lt;&gt;"",--(T29="Maladie"),0),IF($V$5&lt;&gt;"",--(V29="Maladie"),0),IF($X$5&lt;&gt;"",--(X29="Maladie"),0),IF($Z$5&lt;&gt;"",--(Z29="Maladie"),0),IF($AB$5&lt;&gt;"",--(AB29="Maladie"),0),IF($AD$5&lt;&gt;"",--(AD29="Maladie"),0),IF($AF$5&lt;&gt;"",--(AF29="Maladie"),0),IF($AH$5&lt;&gt;"",--(AH29="Maladie"),0),IF($AJ$5&lt;&gt;"",--(AJ29="Maladie"),0),IF($AL$5&lt;&gt;"",--(AL29="Maladie"),0),IF($AN$5&lt;&gt;"",--(AN29="Maladie"),0),IF($AP$5&lt;&gt;"",--(AP29="Maladie"),0),IF($AR$5&lt;&gt;"",--(AR29="Maladie"),0),IF($AT$5&lt;&gt;"",--(AT29="Maladie"),0),IF($AV$5&lt;&gt;"",--(AV29="Maladie"),0),IF($AX$5&lt;&gt;"",--(AX29="Maladie"),0),IF($AZ$5&lt;&gt;"",--(AZ29="Maladie"),0),IF($BB$5&lt;&gt;"",--(BB29="Maladie"),0),IF($BD$5&lt;&gt;"",--(BD29="Maladie"),0),IF($BF$5&lt;&gt;"",--(BF29="Maladie"),0),IF($BH$5&lt;&gt;"",--(BH29="Maladie"),0),IF($BJ$5&lt;&gt;"",--(BJ29="Maladie"),0),IF($BL$5&lt;&gt;"",--(BL29="Maladie"),0)))</f>
      </c>
      <c r="BR29" s="23">
        <f>IF($A29="","",SUM(IF($D$5&lt;&gt;"",IF(D29="Présent",E29,0),0),IF($F$5&lt;&gt;"",IF(F29="Présent",G29,0),0),IF($H$5&lt;&gt;"",IF(H29="Présent",I29,0),0),IF($J$5&lt;&gt;"",IF(J29="Présent",K29,0),0),IF($L$5&lt;&gt;"",IF(L29="Présent",M29,0),0),IF($N$5&lt;&gt;"",IF(N29="Présent",O29,0),0),IF($P$5&lt;&gt;"",IF(P29="Présent",Q29,0),0),IF($R$5&lt;&gt;"",IF(R29="Présent",S29,0),0),IF($T$5&lt;&gt;"",IF(T29="Présent",U29,0),0),IF($V$5&lt;&gt;"",IF(V29="Présent",W29,0),0),IF($X$5&lt;&gt;"",IF(X29="Présent",Y29,0),0),IF($Z$5&lt;&gt;"",IF(Z29="Présent",AA29,0),0),IF($AB$5&lt;&gt;"",IF(AB29="Présent",AC29,0),0),IF($AD$5&lt;&gt;"",IF(AD29="Présent",AE29,0),0),IF($AF$5&lt;&gt;"",IF(AF29="Présent",AG29,0),0),IF($AH$5&lt;&gt;"",IF(AH29="Présent",AI29,0),0),IF($AJ$5&lt;&gt;"",IF(AJ29="Présent",AK29,0),0),IF($AL$5&lt;&gt;"",IF(AL29="Présent",AM29,0),0),IF($AN$5&lt;&gt;"",IF(AN29="Présent",AO29,0),0),IF($AP$5&lt;&gt;"",IF(AP29="Présent",AQ29,0),0),IF($AR$5&lt;&gt;"",IF(AR29="Présent",AS29,0),0),IF($AT$5&lt;&gt;"",IF(AT29="Présent",AU29,0),0),IF($AV$5&lt;&gt;"",IF(AV29="Présent",AW29,0),0),IF($AX$5&lt;&gt;"",IF(AX29="Présent",AY29,0),0),IF($AZ$5&lt;&gt;"",IF(AZ29="Présent",BA29,0),0),IF($BB$5&lt;&gt;"",IF(BB29="Présent",BC29,0),0),IF($BD$5&lt;&gt;"",IF(BD29="Présent",BE29,0),0),IF($BF$5&lt;&gt;"",IF(BF29="Présent",BG29,0),0),IF($BH$5&lt;&gt;"",IF(BH29="Présent",BI29,0),0),IF($BJ$5&lt;&gt;"",IF(BJ29="Présent",BK29,0),0),IF($BL$5&lt;&gt;"",IF(BL29="Présent",BM29,0),0)))</f>
      </c>
      <c r="BS29" s="25">
        <f>IF($A29="","",$BN29*IFERROR(INDEX(Categories_Salaire,MATCH($C29,ListeCategories,0)),0)+$BR29*IF(IFERROR(INDEX(Categories_TauxHS,MATCH($C29,ListeCategories,0)),0)&gt;0,IFERROR(INDEX(Categories_TauxHS,MATCH($C29,ListeCategories,0)),0),TauxHSDefaut))</f>
      </c>
    </row>
    <row r="30">
      <c r="A30" s="20">
        <f>IF(AND(INDEX(Employes_Nom,24)&lt;&gt;"",INDEX(Employes_Statut,24)="Actif",OR(INDEX(Employes_Embauche,24)="",INDEX(Employes_Embauche,24)&lt;=EOMONTH(DATE(AnneeCourante,MoisCourant,1),0))),INDEX(Employes_ID,24),"")</f>
      </c>
      <c r="B30" s="19">
        <f>IF($A30="","",INDEX(Employes_Nom,MATCH($A30,Employes_ID,0)))</f>
      </c>
      <c r="C30" s="20">
        <f>IF($A30="","",INDEX(Employes_Categorie,MATCH($A30,Employes_ID,0)))</f>
      </c>
      <c r="D30" s="26"/>
      <c r="E30" s="27"/>
      <c r="F30" s="26"/>
      <c r="G30" s="27"/>
      <c r="H30" s="26"/>
      <c r="I30" s="27"/>
      <c r="J30" s="26"/>
      <c r="K30" s="27"/>
      <c r="L30" s="26"/>
      <c r="M30" s="27"/>
      <c r="N30" s="26"/>
      <c r="O30" s="27"/>
      <c r="P30" s="26"/>
      <c r="Q30" s="27"/>
      <c r="R30" s="26"/>
      <c r="S30" s="27"/>
      <c r="T30" s="26"/>
      <c r="U30" s="27"/>
      <c r="V30" s="26"/>
      <c r="W30" s="27"/>
      <c r="X30" s="26"/>
      <c r="Y30" s="27"/>
      <c r="Z30" s="26"/>
      <c r="AA30" s="27"/>
      <c r="AB30" s="26"/>
      <c r="AC30" s="27"/>
      <c r="AD30" s="26"/>
      <c r="AE30" s="27"/>
      <c r="AF30" s="26"/>
      <c r="AG30" s="27"/>
      <c r="AH30" s="26"/>
      <c r="AI30" s="27"/>
      <c r="AJ30" s="26"/>
      <c r="AK30" s="27"/>
      <c r="AL30" s="26"/>
      <c r="AM30" s="27"/>
      <c r="AN30" s="26"/>
      <c r="AO30" s="27"/>
      <c r="AP30" s="26"/>
      <c r="AQ30" s="27"/>
      <c r="AR30" s="26"/>
      <c r="AS30" s="27"/>
      <c r="AT30" s="26"/>
      <c r="AU30" s="27"/>
      <c r="AV30" s="26"/>
      <c r="AW30" s="27"/>
      <c r="AX30" s="26"/>
      <c r="AY30" s="27"/>
      <c r="AZ30" s="26"/>
      <c r="BA30" s="27"/>
      <c r="BB30" s="26"/>
      <c r="BC30" s="27"/>
      <c r="BD30" s="26"/>
      <c r="BE30" s="27"/>
      <c r="BF30" s="26"/>
      <c r="BG30" s="27"/>
      <c r="BH30" s="26"/>
      <c r="BI30" s="27"/>
      <c r="BJ30" s="26"/>
      <c r="BK30" s="27"/>
      <c r="BL30" s="26"/>
      <c r="BM30" s="27"/>
      <c r="BN30" s="22">
        <f>IF($A30="","",SUM(IF($D$5&lt;&gt;"",--(D30="Présent"),0),IF($F$5&lt;&gt;"",--(F30="Présent"),0),IF($H$5&lt;&gt;"",--(H30="Présent"),0),IF($J$5&lt;&gt;"",--(J30="Présent"),0),IF($L$5&lt;&gt;"",--(L30="Présent"),0),IF($N$5&lt;&gt;"",--(N30="Présent"),0),IF($P$5&lt;&gt;"",--(P30="Présent"),0),IF($R$5&lt;&gt;"",--(R30="Présent"),0),IF($T$5&lt;&gt;"",--(T30="Présent"),0),IF($V$5&lt;&gt;"",--(V30="Présent"),0),IF($X$5&lt;&gt;"",--(X30="Présent"),0),IF($Z$5&lt;&gt;"",--(Z30="Présent"),0),IF($AB$5&lt;&gt;"",--(AB30="Présent"),0),IF($AD$5&lt;&gt;"",--(AD30="Présent"),0),IF($AF$5&lt;&gt;"",--(AF30="Présent"),0),IF($AH$5&lt;&gt;"",--(AH30="Présent"),0),IF($AJ$5&lt;&gt;"",--(AJ30="Présent"),0),IF($AL$5&lt;&gt;"",--(AL30="Présent"),0),IF($AN$5&lt;&gt;"",--(AN30="Présent"),0),IF($AP$5&lt;&gt;"",--(AP30="Présent"),0),IF($AR$5&lt;&gt;"",--(AR30="Présent"),0),IF($AT$5&lt;&gt;"",--(AT30="Présent"),0),IF($AV$5&lt;&gt;"",--(AV30="Présent"),0),IF($AX$5&lt;&gt;"",--(AX30="Présent"),0),IF($AZ$5&lt;&gt;"",--(AZ30="Présent"),0),IF($BB$5&lt;&gt;"",--(BB30="Présent"),0),IF($BD$5&lt;&gt;"",--(BD30="Présent"),0),IF($BF$5&lt;&gt;"",--(BF30="Présent"),0),IF($BH$5&lt;&gt;"",--(BH30="Présent"),0),IF($BJ$5&lt;&gt;"",--(BJ30="Présent"),0),IF($BL$5&lt;&gt;"",--(BL30="Présent"),0)))</f>
      </c>
      <c r="BO30" s="22">
        <f>IF($A30="","",SUM(IF($D$5&lt;&gt;"",--(D30="Absent"),0),IF($F$5&lt;&gt;"",--(F30="Absent"),0),IF($H$5&lt;&gt;"",--(H30="Absent"),0),IF($J$5&lt;&gt;"",--(J30="Absent"),0),IF($L$5&lt;&gt;"",--(L30="Absent"),0),IF($N$5&lt;&gt;"",--(N30="Absent"),0),IF($P$5&lt;&gt;"",--(P30="Absent"),0),IF($R$5&lt;&gt;"",--(R30="Absent"),0),IF($T$5&lt;&gt;"",--(T30="Absent"),0),IF($V$5&lt;&gt;"",--(V30="Absent"),0),IF($X$5&lt;&gt;"",--(X30="Absent"),0),IF($Z$5&lt;&gt;"",--(Z30="Absent"),0),IF($AB$5&lt;&gt;"",--(AB30="Absent"),0),IF($AD$5&lt;&gt;"",--(AD30="Absent"),0),IF($AF$5&lt;&gt;"",--(AF30="Absent"),0),IF($AH$5&lt;&gt;"",--(AH30="Absent"),0),IF($AJ$5&lt;&gt;"",--(AJ30="Absent"),0),IF($AL$5&lt;&gt;"",--(AL30="Absent"),0),IF($AN$5&lt;&gt;"",--(AN30="Absent"),0),IF($AP$5&lt;&gt;"",--(AP30="Absent"),0),IF($AR$5&lt;&gt;"",--(AR30="Absent"),0),IF($AT$5&lt;&gt;"",--(AT30="Absent"),0),IF($AV$5&lt;&gt;"",--(AV30="Absent"),0),IF($AX$5&lt;&gt;"",--(AX30="Absent"),0),IF($AZ$5&lt;&gt;"",--(AZ30="Absent"),0),IF($BB$5&lt;&gt;"",--(BB30="Absent"),0),IF($BD$5&lt;&gt;"",--(BD30="Absent"),0),IF($BF$5&lt;&gt;"",--(BF30="Absent"),0),IF($BH$5&lt;&gt;"",--(BH30="Absent"),0),IF($BJ$5&lt;&gt;"",--(BJ30="Absent"),0),IF($BL$5&lt;&gt;"",--(BL30="Absent"),0)))</f>
      </c>
      <c r="BP30" s="22">
        <f>IF($A30="","",SUM(IF($D$5&lt;&gt;"",--(D30="Congé"),0),IF($F$5&lt;&gt;"",--(F30="Congé"),0),IF($H$5&lt;&gt;"",--(H30="Congé"),0),IF($J$5&lt;&gt;"",--(J30="Congé"),0),IF($L$5&lt;&gt;"",--(L30="Congé"),0),IF($N$5&lt;&gt;"",--(N30="Congé"),0),IF($P$5&lt;&gt;"",--(P30="Congé"),0),IF($R$5&lt;&gt;"",--(R30="Congé"),0),IF($T$5&lt;&gt;"",--(T30="Congé"),0),IF($V$5&lt;&gt;"",--(V30="Congé"),0),IF($X$5&lt;&gt;"",--(X30="Congé"),0),IF($Z$5&lt;&gt;"",--(Z30="Congé"),0),IF($AB$5&lt;&gt;"",--(AB30="Congé"),0),IF($AD$5&lt;&gt;"",--(AD30="Congé"),0),IF($AF$5&lt;&gt;"",--(AF30="Congé"),0),IF($AH$5&lt;&gt;"",--(AH30="Congé"),0),IF($AJ$5&lt;&gt;"",--(AJ30="Congé"),0),IF($AL$5&lt;&gt;"",--(AL30="Congé"),0),IF($AN$5&lt;&gt;"",--(AN30="Congé"),0),IF($AP$5&lt;&gt;"",--(AP30="Congé"),0),IF($AR$5&lt;&gt;"",--(AR30="Congé"),0),IF($AT$5&lt;&gt;"",--(AT30="Congé"),0),IF($AV$5&lt;&gt;"",--(AV30="Congé"),0),IF($AX$5&lt;&gt;"",--(AX30="Congé"),0),IF($AZ$5&lt;&gt;"",--(AZ30="Congé"),0),IF($BB$5&lt;&gt;"",--(BB30="Congé"),0),IF($BD$5&lt;&gt;"",--(BD30="Congé"),0),IF($BF$5&lt;&gt;"",--(BF30="Congé"),0),IF($BH$5&lt;&gt;"",--(BH30="Congé"),0),IF($BJ$5&lt;&gt;"",--(BJ30="Congé"),0),IF($BL$5&lt;&gt;"",--(BL30="Congé"),0)))</f>
      </c>
      <c r="BQ30" s="22">
        <f>IF($A30="","",SUM(IF($D$5&lt;&gt;"",--(D30="Maladie"),0),IF($F$5&lt;&gt;"",--(F30="Maladie"),0),IF($H$5&lt;&gt;"",--(H30="Maladie"),0),IF($J$5&lt;&gt;"",--(J30="Maladie"),0),IF($L$5&lt;&gt;"",--(L30="Maladie"),0),IF($N$5&lt;&gt;"",--(N30="Maladie"),0),IF($P$5&lt;&gt;"",--(P30="Maladie"),0),IF($R$5&lt;&gt;"",--(R30="Maladie"),0),IF($T$5&lt;&gt;"",--(T30="Maladie"),0),IF($V$5&lt;&gt;"",--(V30="Maladie"),0),IF($X$5&lt;&gt;"",--(X30="Maladie"),0),IF($Z$5&lt;&gt;"",--(Z30="Maladie"),0),IF($AB$5&lt;&gt;"",--(AB30="Maladie"),0),IF($AD$5&lt;&gt;"",--(AD30="Maladie"),0),IF($AF$5&lt;&gt;"",--(AF30="Maladie"),0),IF($AH$5&lt;&gt;"",--(AH30="Maladie"),0),IF($AJ$5&lt;&gt;"",--(AJ30="Maladie"),0),IF($AL$5&lt;&gt;"",--(AL30="Maladie"),0),IF($AN$5&lt;&gt;"",--(AN30="Maladie"),0),IF($AP$5&lt;&gt;"",--(AP30="Maladie"),0),IF($AR$5&lt;&gt;"",--(AR30="Maladie"),0),IF($AT$5&lt;&gt;"",--(AT30="Maladie"),0),IF($AV$5&lt;&gt;"",--(AV30="Maladie"),0),IF($AX$5&lt;&gt;"",--(AX30="Maladie"),0),IF($AZ$5&lt;&gt;"",--(AZ30="Maladie"),0),IF($BB$5&lt;&gt;"",--(BB30="Maladie"),0),IF($BD$5&lt;&gt;"",--(BD30="Maladie"),0),IF($BF$5&lt;&gt;"",--(BF30="Maladie"),0),IF($BH$5&lt;&gt;"",--(BH30="Maladie"),0),IF($BJ$5&lt;&gt;"",--(BJ30="Maladie"),0),IF($BL$5&lt;&gt;"",--(BL30="Maladie"),0)))</f>
      </c>
      <c r="BR30" s="23">
        <f>IF($A30="","",SUM(IF($D$5&lt;&gt;"",IF(D30="Présent",E30,0),0),IF($F$5&lt;&gt;"",IF(F30="Présent",G30,0),0),IF($H$5&lt;&gt;"",IF(H30="Présent",I30,0),0),IF($J$5&lt;&gt;"",IF(J30="Présent",K30,0),0),IF($L$5&lt;&gt;"",IF(L30="Présent",M30,0),0),IF($N$5&lt;&gt;"",IF(N30="Présent",O30,0),0),IF($P$5&lt;&gt;"",IF(P30="Présent",Q30,0),0),IF($R$5&lt;&gt;"",IF(R30="Présent",S30,0),0),IF($T$5&lt;&gt;"",IF(T30="Présent",U30,0),0),IF($V$5&lt;&gt;"",IF(V30="Présent",W30,0),0),IF($X$5&lt;&gt;"",IF(X30="Présent",Y30,0),0),IF($Z$5&lt;&gt;"",IF(Z30="Présent",AA30,0),0),IF($AB$5&lt;&gt;"",IF(AB30="Présent",AC30,0),0),IF($AD$5&lt;&gt;"",IF(AD30="Présent",AE30,0),0),IF($AF$5&lt;&gt;"",IF(AF30="Présent",AG30,0),0),IF($AH$5&lt;&gt;"",IF(AH30="Présent",AI30,0),0),IF($AJ$5&lt;&gt;"",IF(AJ30="Présent",AK30,0),0),IF($AL$5&lt;&gt;"",IF(AL30="Présent",AM30,0),0),IF($AN$5&lt;&gt;"",IF(AN30="Présent",AO30,0),0),IF($AP$5&lt;&gt;"",IF(AP30="Présent",AQ30,0),0),IF($AR$5&lt;&gt;"",IF(AR30="Présent",AS30,0),0),IF($AT$5&lt;&gt;"",IF(AT30="Présent",AU30,0),0),IF($AV$5&lt;&gt;"",IF(AV30="Présent",AW30,0),0),IF($AX$5&lt;&gt;"",IF(AX30="Présent",AY30,0),0),IF($AZ$5&lt;&gt;"",IF(AZ30="Présent",BA30,0),0),IF($BB$5&lt;&gt;"",IF(BB30="Présent",BC30,0),0),IF($BD$5&lt;&gt;"",IF(BD30="Présent",BE30,0),0),IF($BF$5&lt;&gt;"",IF(BF30="Présent",BG30,0),0),IF($BH$5&lt;&gt;"",IF(BH30="Présent",BI30,0),0),IF($BJ$5&lt;&gt;"",IF(BJ30="Présent",BK30,0),0),IF($BL$5&lt;&gt;"",IF(BL30="Présent",BM30,0),0)))</f>
      </c>
      <c r="BS30" s="25">
        <f>IF($A30="","",$BN30*IFERROR(INDEX(Categories_Salaire,MATCH($C30,ListeCategories,0)),0)+$BR30*IF(IFERROR(INDEX(Categories_TauxHS,MATCH($C30,ListeCategories,0)),0)&gt;0,IFERROR(INDEX(Categories_TauxHS,MATCH($C30,ListeCategories,0)),0),TauxHSDefaut))</f>
      </c>
    </row>
    <row r="31">
      <c r="A31" s="20">
        <f>IF(AND(INDEX(Employes_Nom,25)&lt;&gt;"",INDEX(Employes_Statut,25)="Actif",OR(INDEX(Employes_Embauche,25)="",INDEX(Employes_Embauche,25)&lt;=EOMONTH(DATE(AnneeCourante,MoisCourant,1),0))),INDEX(Employes_ID,25),"")</f>
      </c>
      <c r="B31" s="19">
        <f>IF($A31="","",INDEX(Employes_Nom,MATCH($A31,Employes_ID,0)))</f>
      </c>
      <c r="C31" s="20">
        <f>IF($A31="","",INDEX(Employes_Categorie,MATCH($A31,Employes_ID,0)))</f>
      </c>
      <c r="D31" s="26"/>
      <c r="E31" s="27"/>
      <c r="F31" s="26"/>
      <c r="G31" s="27"/>
      <c r="H31" s="26"/>
      <c r="I31" s="27"/>
      <c r="J31" s="26"/>
      <c r="K31" s="27"/>
      <c r="L31" s="26"/>
      <c r="M31" s="27"/>
      <c r="N31" s="26"/>
      <c r="O31" s="27"/>
      <c r="P31" s="26"/>
      <c r="Q31" s="27"/>
      <c r="R31" s="26"/>
      <c r="S31" s="27"/>
      <c r="T31" s="26"/>
      <c r="U31" s="27"/>
      <c r="V31" s="26"/>
      <c r="W31" s="27"/>
      <c r="X31" s="26"/>
      <c r="Y31" s="27"/>
      <c r="Z31" s="26"/>
      <c r="AA31" s="27"/>
      <c r="AB31" s="26"/>
      <c r="AC31" s="27"/>
      <c r="AD31" s="26"/>
      <c r="AE31" s="27"/>
      <c r="AF31" s="26"/>
      <c r="AG31" s="27"/>
      <c r="AH31" s="26"/>
      <c r="AI31" s="27"/>
      <c r="AJ31" s="26"/>
      <c r="AK31" s="27"/>
      <c r="AL31" s="26"/>
      <c r="AM31" s="27"/>
      <c r="AN31" s="26"/>
      <c r="AO31" s="27"/>
      <c r="AP31" s="26"/>
      <c r="AQ31" s="27"/>
      <c r="AR31" s="26"/>
      <c r="AS31" s="27"/>
      <c r="AT31" s="26"/>
      <c r="AU31" s="27"/>
      <c r="AV31" s="26"/>
      <c r="AW31" s="27"/>
      <c r="AX31" s="26"/>
      <c r="AY31" s="27"/>
      <c r="AZ31" s="26"/>
      <c r="BA31" s="27"/>
      <c r="BB31" s="26"/>
      <c r="BC31" s="27"/>
      <c r="BD31" s="26"/>
      <c r="BE31" s="27"/>
      <c r="BF31" s="26"/>
      <c r="BG31" s="27"/>
      <c r="BH31" s="26"/>
      <c r="BI31" s="27"/>
      <c r="BJ31" s="26"/>
      <c r="BK31" s="27"/>
      <c r="BL31" s="26"/>
      <c r="BM31" s="27"/>
      <c r="BN31" s="22">
        <f>IF($A31="","",SUM(IF($D$5&lt;&gt;"",--(D31="Présent"),0),IF($F$5&lt;&gt;"",--(F31="Présent"),0),IF($H$5&lt;&gt;"",--(H31="Présent"),0),IF($J$5&lt;&gt;"",--(J31="Présent"),0),IF($L$5&lt;&gt;"",--(L31="Présent"),0),IF($N$5&lt;&gt;"",--(N31="Présent"),0),IF($P$5&lt;&gt;"",--(P31="Présent"),0),IF($R$5&lt;&gt;"",--(R31="Présent"),0),IF($T$5&lt;&gt;"",--(T31="Présent"),0),IF($V$5&lt;&gt;"",--(V31="Présent"),0),IF($X$5&lt;&gt;"",--(X31="Présent"),0),IF($Z$5&lt;&gt;"",--(Z31="Présent"),0),IF($AB$5&lt;&gt;"",--(AB31="Présent"),0),IF($AD$5&lt;&gt;"",--(AD31="Présent"),0),IF($AF$5&lt;&gt;"",--(AF31="Présent"),0),IF($AH$5&lt;&gt;"",--(AH31="Présent"),0),IF($AJ$5&lt;&gt;"",--(AJ31="Présent"),0),IF($AL$5&lt;&gt;"",--(AL31="Présent"),0),IF($AN$5&lt;&gt;"",--(AN31="Présent"),0),IF($AP$5&lt;&gt;"",--(AP31="Présent"),0),IF($AR$5&lt;&gt;"",--(AR31="Présent"),0),IF($AT$5&lt;&gt;"",--(AT31="Présent"),0),IF($AV$5&lt;&gt;"",--(AV31="Présent"),0),IF($AX$5&lt;&gt;"",--(AX31="Présent"),0),IF($AZ$5&lt;&gt;"",--(AZ31="Présent"),0),IF($BB$5&lt;&gt;"",--(BB31="Présent"),0),IF($BD$5&lt;&gt;"",--(BD31="Présent"),0),IF($BF$5&lt;&gt;"",--(BF31="Présent"),0),IF($BH$5&lt;&gt;"",--(BH31="Présent"),0),IF($BJ$5&lt;&gt;"",--(BJ31="Présent"),0),IF($BL$5&lt;&gt;"",--(BL31="Présent"),0)))</f>
      </c>
      <c r="BO31" s="22">
        <f>IF($A31="","",SUM(IF($D$5&lt;&gt;"",--(D31="Absent"),0),IF($F$5&lt;&gt;"",--(F31="Absent"),0),IF($H$5&lt;&gt;"",--(H31="Absent"),0),IF($J$5&lt;&gt;"",--(J31="Absent"),0),IF($L$5&lt;&gt;"",--(L31="Absent"),0),IF($N$5&lt;&gt;"",--(N31="Absent"),0),IF($P$5&lt;&gt;"",--(P31="Absent"),0),IF($R$5&lt;&gt;"",--(R31="Absent"),0),IF($T$5&lt;&gt;"",--(T31="Absent"),0),IF($V$5&lt;&gt;"",--(V31="Absent"),0),IF($X$5&lt;&gt;"",--(X31="Absent"),0),IF($Z$5&lt;&gt;"",--(Z31="Absent"),0),IF($AB$5&lt;&gt;"",--(AB31="Absent"),0),IF($AD$5&lt;&gt;"",--(AD31="Absent"),0),IF($AF$5&lt;&gt;"",--(AF31="Absent"),0),IF($AH$5&lt;&gt;"",--(AH31="Absent"),0),IF($AJ$5&lt;&gt;"",--(AJ31="Absent"),0),IF($AL$5&lt;&gt;"",--(AL31="Absent"),0),IF($AN$5&lt;&gt;"",--(AN31="Absent"),0),IF($AP$5&lt;&gt;"",--(AP31="Absent"),0),IF($AR$5&lt;&gt;"",--(AR31="Absent"),0),IF($AT$5&lt;&gt;"",--(AT31="Absent"),0),IF($AV$5&lt;&gt;"",--(AV31="Absent"),0),IF($AX$5&lt;&gt;"",--(AX31="Absent"),0),IF($AZ$5&lt;&gt;"",--(AZ31="Absent"),0),IF($BB$5&lt;&gt;"",--(BB31="Absent"),0),IF($BD$5&lt;&gt;"",--(BD31="Absent"),0),IF($BF$5&lt;&gt;"",--(BF31="Absent"),0),IF($BH$5&lt;&gt;"",--(BH31="Absent"),0),IF($BJ$5&lt;&gt;"",--(BJ31="Absent"),0),IF($BL$5&lt;&gt;"",--(BL31="Absent"),0)))</f>
      </c>
      <c r="BP31" s="22">
        <f>IF($A31="","",SUM(IF($D$5&lt;&gt;"",--(D31="Congé"),0),IF($F$5&lt;&gt;"",--(F31="Congé"),0),IF($H$5&lt;&gt;"",--(H31="Congé"),0),IF($J$5&lt;&gt;"",--(J31="Congé"),0),IF($L$5&lt;&gt;"",--(L31="Congé"),0),IF($N$5&lt;&gt;"",--(N31="Congé"),0),IF($P$5&lt;&gt;"",--(P31="Congé"),0),IF($R$5&lt;&gt;"",--(R31="Congé"),0),IF($T$5&lt;&gt;"",--(T31="Congé"),0),IF($V$5&lt;&gt;"",--(V31="Congé"),0),IF($X$5&lt;&gt;"",--(X31="Congé"),0),IF($Z$5&lt;&gt;"",--(Z31="Congé"),0),IF($AB$5&lt;&gt;"",--(AB31="Congé"),0),IF($AD$5&lt;&gt;"",--(AD31="Congé"),0),IF($AF$5&lt;&gt;"",--(AF31="Congé"),0),IF($AH$5&lt;&gt;"",--(AH31="Congé"),0),IF($AJ$5&lt;&gt;"",--(AJ31="Congé"),0),IF($AL$5&lt;&gt;"",--(AL31="Congé"),0),IF($AN$5&lt;&gt;"",--(AN31="Congé"),0),IF($AP$5&lt;&gt;"",--(AP31="Congé"),0),IF($AR$5&lt;&gt;"",--(AR31="Congé"),0),IF($AT$5&lt;&gt;"",--(AT31="Congé"),0),IF($AV$5&lt;&gt;"",--(AV31="Congé"),0),IF($AX$5&lt;&gt;"",--(AX31="Congé"),0),IF($AZ$5&lt;&gt;"",--(AZ31="Congé"),0),IF($BB$5&lt;&gt;"",--(BB31="Congé"),0),IF($BD$5&lt;&gt;"",--(BD31="Congé"),0),IF($BF$5&lt;&gt;"",--(BF31="Congé"),0),IF($BH$5&lt;&gt;"",--(BH31="Congé"),0),IF($BJ$5&lt;&gt;"",--(BJ31="Congé"),0),IF($BL$5&lt;&gt;"",--(BL31="Congé"),0)))</f>
      </c>
      <c r="BQ31" s="22">
        <f>IF($A31="","",SUM(IF($D$5&lt;&gt;"",--(D31="Maladie"),0),IF($F$5&lt;&gt;"",--(F31="Maladie"),0),IF($H$5&lt;&gt;"",--(H31="Maladie"),0),IF($J$5&lt;&gt;"",--(J31="Maladie"),0),IF($L$5&lt;&gt;"",--(L31="Maladie"),0),IF($N$5&lt;&gt;"",--(N31="Maladie"),0),IF($P$5&lt;&gt;"",--(P31="Maladie"),0),IF($R$5&lt;&gt;"",--(R31="Maladie"),0),IF($T$5&lt;&gt;"",--(T31="Maladie"),0),IF($V$5&lt;&gt;"",--(V31="Maladie"),0),IF($X$5&lt;&gt;"",--(X31="Maladie"),0),IF($Z$5&lt;&gt;"",--(Z31="Maladie"),0),IF($AB$5&lt;&gt;"",--(AB31="Maladie"),0),IF($AD$5&lt;&gt;"",--(AD31="Maladie"),0),IF($AF$5&lt;&gt;"",--(AF31="Maladie"),0),IF($AH$5&lt;&gt;"",--(AH31="Maladie"),0),IF($AJ$5&lt;&gt;"",--(AJ31="Maladie"),0),IF($AL$5&lt;&gt;"",--(AL31="Maladie"),0),IF($AN$5&lt;&gt;"",--(AN31="Maladie"),0),IF($AP$5&lt;&gt;"",--(AP31="Maladie"),0),IF($AR$5&lt;&gt;"",--(AR31="Maladie"),0),IF($AT$5&lt;&gt;"",--(AT31="Maladie"),0),IF($AV$5&lt;&gt;"",--(AV31="Maladie"),0),IF($AX$5&lt;&gt;"",--(AX31="Maladie"),0),IF($AZ$5&lt;&gt;"",--(AZ31="Maladie"),0),IF($BB$5&lt;&gt;"",--(BB31="Maladie"),0),IF($BD$5&lt;&gt;"",--(BD31="Maladie"),0),IF($BF$5&lt;&gt;"",--(BF31="Maladie"),0),IF($BH$5&lt;&gt;"",--(BH31="Maladie"),0),IF($BJ$5&lt;&gt;"",--(BJ31="Maladie"),0),IF($BL$5&lt;&gt;"",--(BL31="Maladie"),0)))</f>
      </c>
      <c r="BR31" s="23">
        <f>IF($A31="","",SUM(IF($D$5&lt;&gt;"",IF(D31="Présent",E31,0),0),IF($F$5&lt;&gt;"",IF(F31="Présent",G31,0),0),IF($H$5&lt;&gt;"",IF(H31="Présent",I31,0),0),IF($J$5&lt;&gt;"",IF(J31="Présent",K31,0),0),IF($L$5&lt;&gt;"",IF(L31="Présent",M31,0),0),IF($N$5&lt;&gt;"",IF(N31="Présent",O31,0),0),IF($P$5&lt;&gt;"",IF(P31="Présent",Q31,0),0),IF($R$5&lt;&gt;"",IF(R31="Présent",S31,0),0),IF($T$5&lt;&gt;"",IF(T31="Présent",U31,0),0),IF($V$5&lt;&gt;"",IF(V31="Présent",W31,0),0),IF($X$5&lt;&gt;"",IF(X31="Présent",Y31,0),0),IF($Z$5&lt;&gt;"",IF(Z31="Présent",AA31,0),0),IF($AB$5&lt;&gt;"",IF(AB31="Présent",AC31,0),0),IF($AD$5&lt;&gt;"",IF(AD31="Présent",AE31,0),0),IF($AF$5&lt;&gt;"",IF(AF31="Présent",AG31,0),0),IF($AH$5&lt;&gt;"",IF(AH31="Présent",AI31,0),0),IF($AJ$5&lt;&gt;"",IF(AJ31="Présent",AK31,0),0),IF($AL$5&lt;&gt;"",IF(AL31="Présent",AM31,0),0),IF($AN$5&lt;&gt;"",IF(AN31="Présent",AO31,0),0),IF($AP$5&lt;&gt;"",IF(AP31="Présent",AQ31,0),0),IF($AR$5&lt;&gt;"",IF(AR31="Présent",AS31,0),0),IF($AT$5&lt;&gt;"",IF(AT31="Présent",AU31,0),0),IF($AV$5&lt;&gt;"",IF(AV31="Présent",AW31,0),0),IF($AX$5&lt;&gt;"",IF(AX31="Présent",AY31,0),0),IF($AZ$5&lt;&gt;"",IF(AZ31="Présent",BA31,0),0),IF($BB$5&lt;&gt;"",IF(BB31="Présent",BC31,0),0),IF($BD$5&lt;&gt;"",IF(BD31="Présent",BE31,0),0),IF($BF$5&lt;&gt;"",IF(BF31="Présent",BG31,0),0),IF($BH$5&lt;&gt;"",IF(BH31="Présent",BI31,0),0),IF($BJ$5&lt;&gt;"",IF(BJ31="Présent",BK31,0),0),IF($BL$5&lt;&gt;"",IF(BL31="Présent",BM31,0),0)))</f>
      </c>
      <c r="BS31" s="25">
        <f>IF($A31="","",$BN31*IFERROR(INDEX(Categories_Salaire,MATCH($C31,ListeCategories,0)),0)+$BR31*IF(IFERROR(INDEX(Categories_TauxHS,MATCH($C31,ListeCategories,0)),0)&gt;0,IFERROR(INDEX(Categories_TauxHS,MATCH($C31,ListeCategories,0)),0),TauxHSDefaut))</f>
      </c>
    </row>
    <row r="32">
      <c r="A32" s="20">
        <f>IF(AND(INDEX(Employes_Nom,26)&lt;&gt;"",INDEX(Employes_Statut,26)="Actif",OR(INDEX(Employes_Embauche,26)="",INDEX(Employes_Embauche,26)&lt;=EOMONTH(DATE(AnneeCourante,MoisCourant,1),0))),INDEX(Employes_ID,26),"")</f>
      </c>
      <c r="B32" s="19">
        <f>IF($A32="","",INDEX(Employes_Nom,MATCH($A32,Employes_ID,0)))</f>
      </c>
      <c r="C32" s="20">
        <f>IF($A32="","",INDEX(Employes_Categorie,MATCH($A32,Employes_ID,0)))</f>
      </c>
      <c r="D32" s="26"/>
      <c r="E32" s="27"/>
      <c r="F32" s="26"/>
      <c r="G32" s="27"/>
      <c r="H32" s="26"/>
      <c r="I32" s="27"/>
      <c r="J32" s="26"/>
      <c r="K32" s="27"/>
      <c r="L32" s="26"/>
      <c r="M32" s="27"/>
      <c r="N32" s="26"/>
      <c r="O32" s="27"/>
      <c r="P32" s="26"/>
      <c r="Q32" s="27"/>
      <c r="R32" s="26"/>
      <c r="S32" s="27"/>
      <c r="T32" s="26"/>
      <c r="U32" s="27"/>
      <c r="V32" s="26"/>
      <c r="W32" s="27"/>
      <c r="X32" s="26"/>
      <c r="Y32" s="27"/>
      <c r="Z32" s="26"/>
      <c r="AA32" s="27"/>
      <c r="AB32" s="26"/>
      <c r="AC32" s="27"/>
      <c r="AD32" s="26"/>
      <c r="AE32" s="27"/>
      <c r="AF32" s="26"/>
      <c r="AG32" s="27"/>
      <c r="AH32" s="26"/>
      <c r="AI32" s="27"/>
      <c r="AJ32" s="26"/>
      <c r="AK32" s="27"/>
      <c r="AL32" s="26"/>
      <c r="AM32" s="27"/>
      <c r="AN32" s="26"/>
      <c r="AO32" s="27"/>
      <c r="AP32" s="26"/>
      <c r="AQ32" s="27"/>
      <c r="AR32" s="26"/>
      <c r="AS32" s="27"/>
      <c r="AT32" s="26"/>
      <c r="AU32" s="27"/>
      <c r="AV32" s="26"/>
      <c r="AW32" s="27"/>
      <c r="AX32" s="26"/>
      <c r="AY32" s="27"/>
      <c r="AZ32" s="26"/>
      <c r="BA32" s="27"/>
      <c r="BB32" s="26"/>
      <c r="BC32" s="27"/>
      <c r="BD32" s="26"/>
      <c r="BE32" s="27"/>
      <c r="BF32" s="26"/>
      <c r="BG32" s="27"/>
      <c r="BH32" s="26"/>
      <c r="BI32" s="27"/>
      <c r="BJ32" s="26"/>
      <c r="BK32" s="27"/>
      <c r="BL32" s="26"/>
      <c r="BM32" s="27"/>
      <c r="BN32" s="22">
        <f>IF($A32="","",SUM(IF($D$5&lt;&gt;"",--(D32="Présent"),0),IF($F$5&lt;&gt;"",--(F32="Présent"),0),IF($H$5&lt;&gt;"",--(H32="Présent"),0),IF($J$5&lt;&gt;"",--(J32="Présent"),0),IF($L$5&lt;&gt;"",--(L32="Présent"),0),IF($N$5&lt;&gt;"",--(N32="Présent"),0),IF($P$5&lt;&gt;"",--(P32="Présent"),0),IF($R$5&lt;&gt;"",--(R32="Présent"),0),IF($T$5&lt;&gt;"",--(T32="Présent"),0),IF($V$5&lt;&gt;"",--(V32="Présent"),0),IF($X$5&lt;&gt;"",--(X32="Présent"),0),IF($Z$5&lt;&gt;"",--(Z32="Présent"),0),IF($AB$5&lt;&gt;"",--(AB32="Présent"),0),IF($AD$5&lt;&gt;"",--(AD32="Présent"),0),IF($AF$5&lt;&gt;"",--(AF32="Présent"),0),IF($AH$5&lt;&gt;"",--(AH32="Présent"),0),IF($AJ$5&lt;&gt;"",--(AJ32="Présent"),0),IF($AL$5&lt;&gt;"",--(AL32="Présent"),0),IF($AN$5&lt;&gt;"",--(AN32="Présent"),0),IF($AP$5&lt;&gt;"",--(AP32="Présent"),0),IF($AR$5&lt;&gt;"",--(AR32="Présent"),0),IF($AT$5&lt;&gt;"",--(AT32="Présent"),0),IF($AV$5&lt;&gt;"",--(AV32="Présent"),0),IF($AX$5&lt;&gt;"",--(AX32="Présent"),0),IF($AZ$5&lt;&gt;"",--(AZ32="Présent"),0),IF($BB$5&lt;&gt;"",--(BB32="Présent"),0),IF($BD$5&lt;&gt;"",--(BD32="Présent"),0),IF($BF$5&lt;&gt;"",--(BF32="Présent"),0),IF($BH$5&lt;&gt;"",--(BH32="Présent"),0),IF($BJ$5&lt;&gt;"",--(BJ32="Présent"),0),IF($BL$5&lt;&gt;"",--(BL32="Présent"),0)))</f>
      </c>
      <c r="BO32" s="22">
        <f>IF($A32="","",SUM(IF($D$5&lt;&gt;"",--(D32="Absent"),0),IF($F$5&lt;&gt;"",--(F32="Absent"),0),IF($H$5&lt;&gt;"",--(H32="Absent"),0),IF($J$5&lt;&gt;"",--(J32="Absent"),0),IF($L$5&lt;&gt;"",--(L32="Absent"),0),IF($N$5&lt;&gt;"",--(N32="Absent"),0),IF($P$5&lt;&gt;"",--(P32="Absent"),0),IF($R$5&lt;&gt;"",--(R32="Absent"),0),IF($T$5&lt;&gt;"",--(T32="Absent"),0),IF($V$5&lt;&gt;"",--(V32="Absent"),0),IF($X$5&lt;&gt;"",--(X32="Absent"),0),IF($Z$5&lt;&gt;"",--(Z32="Absent"),0),IF($AB$5&lt;&gt;"",--(AB32="Absent"),0),IF($AD$5&lt;&gt;"",--(AD32="Absent"),0),IF($AF$5&lt;&gt;"",--(AF32="Absent"),0),IF($AH$5&lt;&gt;"",--(AH32="Absent"),0),IF($AJ$5&lt;&gt;"",--(AJ32="Absent"),0),IF($AL$5&lt;&gt;"",--(AL32="Absent"),0),IF($AN$5&lt;&gt;"",--(AN32="Absent"),0),IF($AP$5&lt;&gt;"",--(AP32="Absent"),0),IF($AR$5&lt;&gt;"",--(AR32="Absent"),0),IF($AT$5&lt;&gt;"",--(AT32="Absent"),0),IF($AV$5&lt;&gt;"",--(AV32="Absent"),0),IF($AX$5&lt;&gt;"",--(AX32="Absent"),0),IF($AZ$5&lt;&gt;"",--(AZ32="Absent"),0),IF($BB$5&lt;&gt;"",--(BB32="Absent"),0),IF($BD$5&lt;&gt;"",--(BD32="Absent"),0),IF($BF$5&lt;&gt;"",--(BF32="Absent"),0),IF($BH$5&lt;&gt;"",--(BH32="Absent"),0),IF($BJ$5&lt;&gt;"",--(BJ32="Absent"),0),IF($BL$5&lt;&gt;"",--(BL32="Absent"),0)))</f>
      </c>
      <c r="BP32" s="22">
        <f>IF($A32="","",SUM(IF($D$5&lt;&gt;"",--(D32="Congé"),0),IF($F$5&lt;&gt;"",--(F32="Congé"),0),IF($H$5&lt;&gt;"",--(H32="Congé"),0),IF($J$5&lt;&gt;"",--(J32="Congé"),0),IF($L$5&lt;&gt;"",--(L32="Congé"),0),IF($N$5&lt;&gt;"",--(N32="Congé"),0),IF($P$5&lt;&gt;"",--(P32="Congé"),0),IF($R$5&lt;&gt;"",--(R32="Congé"),0),IF($T$5&lt;&gt;"",--(T32="Congé"),0),IF($V$5&lt;&gt;"",--(V32="Congé"),0),IF($X$5&lt;&gt;"",--(X32="Congé"),0),IF($Z$5&lt;&gt;"",--(Z32="Congé"),0),IF($AB$5&lt;&gt;"",--(AB32="Congé"),0),IF($AD$5&lt;&gt;"",--(AD32="Congé"),0),IF($AF$5&lt;&gt;"",--(AF32="Congé"),0),IF($AH$5&lt;&gt;"",--(AH32="Congé"),0),IF($AJ$5&lt;&gt;"",--(AJ32="Congé"),0),IF($AL$5&lt;&gt;"",--(AL32="Congé"),0),IF($AN$5&lt;&gt;"",--(AN32="Congé"),0),IF($AP$5&lt;&gt;"",--(AP32="Congé"),0),IF($AR$5&lt;&gt;"",--(AR32="Congé"),0),IF($AT$5&lt;&gt;"",--(AT32="Congé"),0),IF($AV$5&lt;&gt;"",--(AV32="Congé"),0),IF($AX$5&lt;&gt;"",--(AX32="Congé"),0),IF($AZ$5&lt;&gt;"",--(AZ32="Congé"),0),IF($BB$5&lt;&gt;"",--(BB32="Congé"),0),IF($BD$5&lt;&gt;"",--(BD32="Congé"),0),IF($BF$5&lt;&gt;"",--(BF32="Congé"),0),IF($BH$5&lt;&gt;"",--(BH32="Congé"),0),IF($BJ$5&lt;&gt;"",--(BJ32="Congé"),0),IF($BL$5&lt;&gt;"",--(BL32="Congé"),0)))</f>
      </c>
      <c r="BQ32" s="22">
        <f>IF($A32="","",SUM(IF($D$5&lt;&gt;"",--(D32="Maladie"),0),IF($F$5&lt;&gt;"",--(F32="Maladie"),0),IF($H$5&lt;&gt;"",--(H32="Maladie"),0),IF($J$5&lt;&gt;"",--(J32="Maladie"),0),IF($L$5&lt;&gt;"",--(L32="Maladie"),0),IF($N$5&lt;&gt;"",--(N32="Maladie"),0),IF($P$5&lt;&gt;"",--(P32="Maladie"),0),IF($R$5&lt;&gt;"",--(R32="Maladie"),0),IF($T$5&lt;&gt;"",--(T32="Maladie"),0),IF($V$5&lt;&gt;"",--(V32="Maladie"),0),IF($X$5&lt;&gt;"",--(X32="Maladie"),0),IF($Z$5&lt;&gt;"",--(Z32="Maladie"),0),IF($AB$5&lt;&gt;"",--(AB32="Maladie"),0),IF($AD$5&lt;&gt;"",--(AD32="Maladie"),0),IF($AF$5&lt;&gt;"",--(AF32="Maladie"),0),IF($AH$5&lt;&gt;"",--(AH32="Maladie"),0),IF($AJ$5&lt;&gt;"",--(AJ32="Maladie"),0),IF($AL$5&lt;&gt;"",--(AL32="Maladie"),0),IF($AN$5&lt;&gt;"",--(AN32="Maladie"),0),IF($AP$5&lt;&gt;"",--(AP32="Maladie"),0),IF($AR$5&lt;&gt;"",--(AR32="Maladie"),0),IF($AT$5&lt;&gt;"",--(AT32="Maladie"),0),IF($AV$5&lt;&gt;"",--(AV32="Maladie"),0),IF($AX$5&lt;&gt;"",--(AX32="Maladie"),0),IF($AZ$5&lt;&gt;"",--(AZ32="Maladie"),0),IF($BB$5&lt;&gt;"",--(BB32="Maladie"),0),IF($BD$5&lt;&gt;"",--(BD32="Maladie"),0),IF($BF$5&lt;&gt;"",--(BF32="Maladie"),0),IF($BH$5&lt;&gt;"",--(BH32="Maladie"),0),IF($BJ$5&lt;&gt;"",--(BJ32="Maladie"),0),IF($BL$5&lt;&gt;"",--(BL32="Maladie"),0)))</f>
      </c>
      <c r="BR32" s="23">
        <f>IF($A32="","",SUM(IF($D$5&lt;&gt;"",IF(D32="Présent",E32,0),0),IF($F$5&lt;&gt;"",IF(F32="Présent",G32,0),0),IF($H$5&lt;&gt;"",IF(H32="Présent",I32,0),0),IF($J$5&lt;&gt;"",IF(J32="Présent",K32,0),0),IF($L$5&lt;&gt;"",IF(L32="Présent",M32,0),0),IF($N$5&lt;&gt;"",IF(N32="Présent",O32,0),0),IF($P$5&lt;&gt;"",IF(P32="Présent",Q32,0),0),IF($R$5&lt;&gt;"",IF(R32="Présent",S32,0),0),IF($T$5&lt;&gt;"",IF(T32="Présent",U32,0),0),IF($V$5&lt;&gt;"",IF(V32="Présent",W32,0),0),IF($X$5&lt;&gt;"",IF(X32="Présent",Y32,0),0),IF($Z$5&lt;&gt;"",IF(Z32="Présent",AA32,0),0),IF($AB$5&lt;&gt;"",IF(AB32="Présent",AC32,0),0),IF($AD$5&lt;&gt;"",IF(AD32="Présent",AE32,0),0),IF($AF$5&lt;&gt;"",IF(AF32="Présent",AG32,0),0),IF($AH$5&lt;&gt;"",IF(AH32="Présent",AI32,0),0),IF($AJ$5&lt;&gt;"",IF(AJ32="Présent",AK32,0),0),IF($AL$5&lt;&gt;"",IF(AL32="Présent",AM32,0),0),IF($AN$5&lt;&gt;"",IF(AN32="Présent",AO32,0),0),IF($AP$5&lt;&gt;"",IF(AP32="Présent",AQ32,0),0),IF($AR$5&lt;&gt;"",IF(AR32="Présent",AS32,0),0),IF($AT$5&lt;&gt;"",IF(AT32="Présent",AU32,0),0),IF($AV$5&lt;&gt;"",IF(AV32="Présent",AW32,0),0),IF($AX$5&lt;&gt;"",IF(AX32="Présent",AY32,0),0),IF($AZ$5&lt;&gt;"",IF(AZ32="Présent",BA32,0),0),IF($BB$5&lt;&gt;"",IF(BB32="Présent",BC32,0),0),IF($BD$5&lt;&gt;"",IF(BD32="Présent",BE32,0),0),IF($BF$5&lt;&gt;"",IF(BF32="Présent",BG32,0),0),IF($BH$5&lt;&gt;"",IF(BH32="Présent",BI32,0),0),IF($BJ$5&lt;&gt;"",IF(BJ32="Présent",BK32,0),0),IF($BL$5&lt;&gt;"",IF(BL32="Présent",BM32,0),0)))</f>
      </c>
      <c r="BS32" s="25">
        <f>IF($A32="","",$BN32*IFERROR(INDEX(Categories_Salaire,MATCH($C32,ListeCategories,0)),0)+$BR32*IF(IFERROR(INDEX(Categories_TauxHS,MATCH($C32,ListeCategories,0)),0)&gt;0,IFERROR(INDEX(Categories_TauxHS,MATCH($C32,ListeCategories,0)),0),TauxHSDefaut))</f>
      </c>
    </row>
    <row r="33">
      <c r="A33" s="20">
        <f>IF(AND(INDEX(Employes_Nom,27)&lt;&gt;"",INDEX(Employes_Statut,27)="Actif",OR(INDEX(Employes_Embauche,27)="",INDEX(Employes_Embauche,27)&lt;=EOMONTH(DATE(AnneeCourante,MoisCourant,1),0))),INDEX(Employes_ID,27),"")</f>
      </c>
      <c r="B33" s="19">
        <f>IF($A33="","",INDEX(Employes_Nom,MATCH($A33,Employes_ID,0)))</f>
      </c>
      <c r="C33" s="20">
        <f>IF($A33="","",INDEX(Employes_Categorie,MATCH($A33,Employes_ID,0)))</f>
      </c>
      <c r="D33" s="26"/>
      <c r="E33" s="27"/>
      <c r="F33" s="26"/>
      <c r="G33" s="27"/>
      <c r="H33" s="26"/>
      <c r="I33" s="27"/>
      <c r="J33" s="26"/>
      <c r="K33" s="27"/>
      <c r="L33" s="26"/>
      <c r="M33" s="27"/>
      <c r="N33" s="26"/>
      <c r="O33" s="27"/>
      <c r="P33" s="26"/>
      <c r="Q33" s="27"/>
      <c r="R33" s="26"/>
      <c r="S33" s="27"/>
      <c r="T33" s="26"/>
      <c r="U33" s="27"/>
      <c r="V33" s="26"/>
      <c r="W33" s="27"/>
      <c r="X33" s="26"/>
      <c r="Y33" s="27"/>
      <c r="Z33" s="26"/>
      <c r="AA33" s="27"/>
      <c r="AB33" s="26"/>
      <c r="AC33" s="27"/>
      <c r="AD33" s="26"/>
      <c r="AE33" s="27"/>
      <c r="AF33" s="26"/>
      <c r="AG33" s="27"/>
      <c r="AH33" s="26"/>
      <c r="AI33" s="27"/>
      <c r="AJ33" s="26"/>
      <c r="AK33" s="27"/>
      <c r="AL33" s="26"/>
      <c r="AM33" s="27"/>
      <c r="AN33" s="26"/>
      <c r="AO33" s="27"/>
      <c r="AP33" s="26"/>
      <c r="AQ33" s="27"/>
      <c r="AR33" s="26"/>
      <c r="AS33" s="27"/>
      <c r="AT33" s="26"/>
      <c r="AU33" s="27"/>
      <c r="AV33" s="26"/>
      <c r="AW33" s="27"/>
      <c r="AX33" s="26"/>
      <c r="AY33" s="27"/>
      <c r="AZ33" s="26"/>
      <c r="BA33" s="27"/>
      <c r="BB33" s="26"/>
      <c r="BC33" s="27"/>
      <c r="BD33" s="26"/>
      <c r="BE33" s="27"/>
      <c r="BF33" s="26"/>
      <c r="BG33" s="27"/>
      <c r="BH33" s="26"/>
      <c r="BI33" s="27"/>
      <c r="BJ33" s="26"/>
      <c r="BK33" s="27"/>
      <c r="BL33" s="26"/>
      <c r="BM33" s="27"/>
      <c r="BN33" s="22">
        <f>IF($A33="","",SUM(IF($D$5&lt;&gt;"",--(D33="Présent"),0),IF($F$5&lt;&gt;"",--(F33="Présent"),0),IF($H$5&lt;&gt;"",--(H33="Présent"),0),IF($J$5&lt;&gt;"",--(J33="Présent"),0),IF($L$5&lt;&gt;"",--(L33="Présent"),0),IF($N$5&lt;&gt;"",--(N33="Présent"),0),IF($P$5&lt;&gt;"",--(P33="Présent"),0),IF($R$5&lt;&gt;"",--(R33="Présent"),0),IF($T$5&lt;&gt;"",--(T33="Présent"),0),IF($V$5&lt;&gt;"",--(V33="Présent"),0),IF($X$5&lt;&gt;"",--(X33="Présent"),0),IF($Z$5&lt;&gt;"",--(Z33="Présent"),0),IF($AB$5&lt;&gt;"",--(AB33="Présent"),0),IF($AD$5&lt;&gt;"",--(AD33="Présent"),0),IF($AF$5&lt;&gt;"",--(AF33="Présent"),0),IF($AH$5&lt;&gt;"",--(AH33="Présent"),0),IF($AJ$5&lt;&gt;"",--(AJ33="Présent"),0),IF($AL$5&lt;&gt;"",--(AL33="Présent"),0),IF($AN$5&lt;&gt;"",--(AN33="Présent"),0),IF($AP$5&lt;&gt;"",--(AP33="Présent"),0),IF($AR$5&lt;&gt;"",--(AR33="Présent"),0),IF($AT$5&lt;&gt;"",--(AT33="Présent"),0),IF($AV$5&lt;&gt;"",--(AV33="Présent"),0),IF($AX$5&lt;&gt;"",--(AX33="Présent"),0),IF($AZ$5&lt;&gt;"",--(AZ33="Présent"),0),IF($BB$5&lt;&gt;"",--(BB33="Présent"),0),IF($BD$5&lt;&gt;"",--(BD33="Présent"),0),IF($BF$5&lt;&gt;"",--(BF33="Présent"),0),IF($BH$5&lt;&gt;"",--(BH33="Présent"),0),IF($BJ$5&lt;&gt;"",--(BJ33="Présent"),0),IF($BL$5&lt;&gt;"",--(BL33="Présent"),0)))</f>
      </c>
      <c r="BO33" s="22">
        <f>IF($A33="","",SUM(IF($D$5&lt;&gt;"",--(D33="Absent"),0),IF($F$5&lt;&gt;"",--(F33="Absent"),0),IF($H$5&lt;&gt;"",--(H33="Absent"),0),IF($J$5&lt;&gt;"",--(J33="Absent"),0),IF($L$5&lt;&gt;"",--(L33="Absent"),0),IF($N$5&lt;&gt;"",--(N33="Absent"),0),IF($P$5&lt;&gt;"",--(P33="Absent"),0),IF($R$5&lt;&gt;"",--(R33="Absent"),0),IF($T$5&lt;&gt;"",--(T33="Absent"),0),IF($V$5&lt;&gt;"",--(V33="Absent"),0),IF($X$5&lt;&gt;"",--(X33="Absent"),0),IF($Z$5&lt;&gt;"",--(Z33="Absent"),0),IF($AB$5&lt;&gt;"",--(AB33="Absent"),0),IF($AD$5&lt;&gt;"",--(AD33="Absent"),0),IF($AF$5&lt;&gt;"",--(AF33="Absent"),0),IF($AH$5&lt;&gt;"",--(AH33="Absent"),0),IF($AJ$5&lt;&gt;"",--(AJ33="Absent"),0),IF($AL$5&lt;&gt;"",--(AL33="Absent"),0),IF($AN$5&lt;&gt;"",--(AN33="Absent"),0),IF($AP$5&lt;&gt;"",--(AP33="Absent"),0),IF($AR$5&lt;&gt;"",--(AR33="Absent"),0),IF($AT$5&lt;&gt;"",--(AT33="Absent"),0),IF($AV$5&lt;&gt;"",--(AV33="Absent"),0),IF($AX$5&lt;&gt;"",--(AX33="Absent"),0),IF($AZ$5&lt;&gt;"",--(AZ33="Absent"),0),IF($BB$5&lt;&gt;"",--(BB33="Absent"),0),IF($BD$5&lt;&gt;"",--(BD33="Absent"),0),IF($BF$5&lt;&gt;"",--(BF33="Absent"),0),IF($BH$5&lt;&gt;"",--(BH33="Absent"),0),IF($BJ$5&lt;&gt;"",--(BJ33="Absent"),0),IF($BL$5&lt;&gt;"",--(BL33="Absent"),0)))</f>
      </c>
      <c r="BP33" s="22">
        <f>IF($A33="","",SUM(IF($D$5&lt;&gt;"",--(D33="Congé"),0),IF($F$5&lt;&gt;"",--(F33="Congé"),0),IF($H$5&lt;&gt;"",--(H33="Congé"),0),IF($J$5&lt;&gt;"",--(J33="Congé"),0),IF($L$5&lt;&gt;"",--(L33="Congé"),0),IF($N$5&lt;&gt;"",--(N33="Congé"),0),IF($P$5&lt;&gt;"",--(P33="Congé"),0),IF($R$5&lt;&gt;"",--(R33="Congé"),0),IF($T$5&lt;&gt;"",--(T33="Congé"),0),IF($V$5&lt;&gt;"",--(V33="Congé"),0),IF($X$5&lt;&gt;"",--(X33="Congé"),0),IF($Z$5&lt;&gt;"",--(Z33="Congé"),0),IF($AB$5&lt;&gt;"",--(AB33="Congé"),0),IF($AD$5&lt;&gt;"",--(AD33="Congé"),0),IF($AF$5&lt;&gt;"",--(AF33="Congé"),0),IF($AH$5&lt;&gt;"",--(AH33="Congé"),0),IF($AJ$5&lt;&gt;"",--(AJ33="Congé"),0),IF($AL$5&lt;&gt;"",--(AL33="Congé"),0),IF($AN$5&lt;&gt;"",--(AN33="Congé"),0),IF($AP$5&lt;&gt;"",--(AP33="Congé"),0),IF($AR$5&lt;&gt;"",--(AR33="Congé"),0),IF($AT$5&lt;&gt;"",--(AT33="Congé"),0),IF($AV$5&lt;&gt;"",--(AV33="Congé"),0),IF($AX$5&lt;&gt;"",--(AX33="Congé"),0),IF($AZ$5&lt;&gt;"",--(AZ33="Congé"),0),IF($BB$5&lt;&gt;"",--(BB33="Congé"),0),IF($BD$5&lt;&gt;"",--(BD33="Congé"),0),IF($BF$5&lt;&gt;"",--(BF33="Congé"),0),IF($BH$5&lt;&gt;"",--(BH33="Congé"),0),IF($BJ$5&lt;&gt;"",--(BJ33="Congé"),0),IF($BL$5&lt;&gt;"",--(BL33="Congé"),0)))</f>
      </c>
      <c r="BQ33" s="22">
        <f>IF($A33="","",SUM(IF($D$5&lt;&gt;"",--(D33="Maladie"),0),IF($F$5&lt;&gt;"",--(F33="Maladie"),0),IF($H$5&lt;&gt;"",--(H33="Maladie"),0),IF($J$5&lt;&gt;"",--(J33="Maladie"),0),IF($L$5&lt;&gt;"",--(L33="Maladie"),0),IF($N$5&lt;&gt;"",--(N33="Maladie"),0),IF($P$5&lt;&gt;"",--(P33="Maladie"),0),IF($R$5&lt;&gt;"",--(R33="Maladie"),0),IF($T$5&lt;&gt;"",--(T33="Maladie"),0),IF($V$5&lt;&gt;"",--(V33="Maladie"),0),IF($X$5&lt;&gt;"",--(X33="Maladie"),0),IF($Z$5&lt;&gt;"",--(Z33="Maladie"),0),IF($AB$5&lt;&gt;"",--(AB33="Maladie"),0),IF($AD$5&lt;&gt;"",--(AD33="Maladie"),0),IF($AF$5&lt;&gt;"",--(AF33="Maladie"),0),IF($AH$5&lt;&gt;"",--(AH33="Maladie"),0),IF($AJ$5&lt;&gt;"",--(AJ33="Maladie"),0),IF($AL$5&lt;&gt;"",--(AL33="Maladie"),0),IF($AN$5&lt;&gt;"",--(AN33="Maladie"),0),IF($AP$5&lt;&gt;"",--(AP33="Maladie"),0),IF($AR$5&lt;&gt;"",--(AR33="Maladie"),0),IF($AT$5&lt;&gt;"",--(AT33="Maladie"),0),IF($AV$5&lt;&gt;"",--(AV33="Maladie"),0),IF($AX$5&lt;&gt;"",--(AX33="Maladie"),0),IF($AZ$5&lt;&gt;"",--(AZ33="Maladie"),0),IF($BB$5&lt;&gt;"",--(BB33="Maladie"),0),IF($BD$5&lt;&gt;"",--(BD33="Maladie"),0),IF($BF$5&lt;&gt;"",--(BF33="Maladie"),0),IF($BH$5&lt;&gt;"",--(BH33="Maladie"),0),IF($BJ$5&lt;&gt;"",--(BJ33="Maladie"),0),IF($BL$5&lt;&gt;"",--(BL33="Maladie"),0)))</f>
      </c>
      <c r="BR33" s="23">
        <f>IF($A33="","",SUM(IF($D$5&lt;&gt;"",IF(D33="Présent",E33,0),0),IF($F$5&lt;&gt;"",IF(F33="Présent",G33,0),0),IF($H$5&lt;&gt;"",IF(H33="Présent",I33,0),0),IF($J$5&lt;&gt;"",IF(J33="Présent",K33,0),0),IF($L$5&lt;&gt;"",IF(L33="Présent",M33,0),0),IF($N$5&lt;&gt;"",IF(N33="Présent",O33,0),0),IF($P$5&lt;&gt;"",IF(P33="Présent",Q33,0),0),IF($R$5&lt;&gt;"",IF(R33="Présent",S33,0),0),IF($T$5&lt;&gt;"",IF(T33="Présent",U33,0),0),IF($V$5&lt;&gt;"",IF(V33="Présent",W33,0),0),IF($X$5&lt;&gt;"",IF(X33="Présent",Y33,0),0),IF($Z$5&lt;&gt;"",IF(Z33="Présent",AA33,0),0),IF($AB$5&lt;&gt;"",IF(AB33="Présent",AC33,0),0),IF($AD$5&lt;&gt;"",IF(AD33="Présent",AE33,0),0),IF($AF$5&lt;&gt;"",IF(AF33="Présent",AG33,0),0),IF($AH$5&lt;&gt;"",IF(AH33="Présent",AI33,0),0),IF($AJ$5&lt;&gt;"",IF(AJ33="Présent",AK33,0),0),IF($AL$5&lt;&gt;"",IF(AL33="Présent",AM33,0),0),IF($AN$5&lt;&gt;"",IF(AN33="Présent",AO33,0),0),IF($AP$5&lt;&gt;"",IF(AP33="Présent",AQ33,0),0),IF($AR$5&lt;&gt;"",IF(AR33="Présent",AS33,0),0),IF($AT$5&lt;&gt;"",IF(AT33="Présent",AU33,0),0),IF($AV$5&lt;&gt;"",IF(AV33="Présent",AW33,0),0),IF($AX$5&lt;&gt;"",IF(AX33="Présent",AY33,0),0),IF($AZ$5&lt;&gt;"",IF(AZ33="Présent",BA33,0),0),IF($BB$5&lt;&gt;"",IF(BB33="Présent",BC33,0),0),IF($BD$5&lt;&gt;"",IF(BD33="Présent",BE33,0),0),IF($BF$5&lt;&gt;"",IF(BF33="Présent",BG33,0),0),IF($BH$5&lt;&gt;"",IF(BH33="Présent",BI33,0),0),IF($BJ$5&lt;&gt;"",IF(BJ33="Présent",BK33,0),0),IF($BL$5&lt;&gt;"",IF(BL33="Présent",BM33,0),0)))</f>
      </c>
      <c r="BS33" s="25">
        <f>IF($A33="","",$BN33*IFERROR(INDEX(Categories_Salaire,MATCH($C33,ListeCategories,0)),0)+$BR33*IF(IFERROR(INDEX(Categories_TauxHS,MATCH($C33,ListeCategories,0)),0)&gt;0,IFERROR(INDEX(Categories_TauxHS,MATCH($C33,ListeCategories,0)),0),TauxHSDefaut))</f>
      </c>
    </row>
    <row r="34">
      <c r="A34" s="20">
        <f>IF(AND(INDEX(Employes_Nom,28)&lt;&gt;"",INDEX(Employes_Statut,28)="Actif",OR(INDEX(Employes_Embauche,28)="",INDEX(Employes_Embauche,28)&lt;=EOMONTH(DATE(AnneeCourante,MoisCourant,1),0))),INDEX(Employes_ID,28),"")</f>
      </c>
      <c r="B34" s="19">
        <f>IF($A34="","",INDEX(Employes_Nom,MATCH($A34,Employes_ID,0)))</f>
      </c>
      <c r="C34" s="20">
        <f>IF($A34="","",INDEX(Employes_Categorie,MATCH($A34,Employes_ID,0)))</f>
      </c>
      <c r="D34" s="26"/>
      <c r="E34" s="27"/>
      <c r="F34" s="26"/>
      <c r="G34" s="27"/>
      <c r="H34" s="26"/>
      <c r="I34" s="27"/>
      <c r="J34" s="26"/>
      <c r="K34" s="27"/>
      <c r="L34" s="26"/>
      <c r="M34" s="27"/>
      <c r="N34" s="26"/>
      <c r="O34" s="27"/>
      <c r="P34" s="26"/>
      <c r="Q34" s="27"/>
      <c r="R34" s="26"/>
      <c r="S34" s="27"/>
      <c r="T34" s="26"/>
      <c r="U34" s="27"/>
      <c r="V34" s="26"/>
      <c r="W34" s="27"/>
      <c r="X34" s="26"/>
      <c r="Y34" s="27"/>
      <c r="Z34" s="26"/>
      <c r="AA34" s="27"/>
      <c r="AB34" s="26"/>
      <c r="AC34" s="27"/>
      <c r="AD34" s="26"/>
      <c r="AE34" s="27"/>
      <c r="AF34" s="26"/>
      <c r="AG34" s="27"/>
      <c r="AH34" s="26"/>
      <c r="AI34" s="27"/>
      <c r="AJ34" s="26"/>
      <c r="AK34" s="27"/>
      <c r="AL34" s="26"/>
      <c r="AM34" s="27"/>
      <c r="AN34" s="26"/>
      <c r="AO34" s="27"/>
      <c r="AP34" s="26"/>
      <c r="AQ34" s="27"/>
      <c r="AR34" s="26"/>
      <c r="AS34" s="27"/>
      <c r="AT34" s="26"/>
      <c r="AU34" s="27"/>
      <c r="AV34" s="26"/>
      <c r="AW34" s="27"/>
      <c r="AX34" s="26"/>
      <c r="AY34" s="27"/>
      <c r="AZ34" s="26"/>
      <c r="BA34" s="27"/>
      <c r="BB34" s="26"/>
      <c r="BC34" s="27"/>
      <c r="BD34" s="26"/>
      <c r="BE34" s="27"/>
      <c r="BF34" s="26"/>
      <c r="BG34" s="27"/>
      <c r="BH34" s="26"/>
      <c r="BI34" s="27"/>
      <c r="BJ34" s="26"/>
      <c r="BK34" s="27"/>
      <c r="BL34" s="26"/>
      <c r="BM34" s="27"/>
      <c r="BN34" s="22">
        <f>IF($A34="","",SUM(IF($D$5&lt;&gt;"",--(D34="Présent"),0),IF($F$5&lt;&gt;"",--(F34="Présent"),0),IF($H$5&lt;&gt;"",--(H34="Présent"),0),IF($J$5&lt;&gt;"",--(J34="Présent"),0),IF($L$5&lt;&gt;"",--(L34="Présent"),0),IF($N$5&lt;&gt;"",--(N34="Présent"),0),IF($P$5&lt;&gt;"",--(P34="Présent"),0),IF($R$5&lt;&gt;"",--(R34="Présent"),0),IF($T$5&lt;&gt;"",--(T34="Présent"),0),IF($V$5&lt;&gt;"",--(V34="Présent"),0),IF($X$5&lt;&gt;"",--(X34="Présent"),0),IF($Z$5&lt;&gt;"",--(Z34="Présent"),0),IF($AB$5&lt;&gt;"",--(AB34="Présent"),0),IF($AD$5&lt;&gt;"",--(AD34="Présent"),0),IF($AF$5&lt;&gt;"",--(AF34="Présent"),0),IF($AH$5&lt;&gt;"",--(AH34="Présent"),0),IF($AJ$5&lt;&gt;"",--(AJ34="Présent"),0),IF($AL$5&lt;&gt;"",--(AL34="Présent"),0),IF($AN$5&lt;&gt;"",--(AN34="Présent"),0),IF($AP$5&lt;&gt;"",--(AP34="Présent"),0),IF($AR$5&lt;&gt;"",--(AR34="Présent"),0),IF($AT$5&lt;&gt;"",--(AT34="Présent"),0),IF($AV$5&lt;&gt;"",--(AV34="Présent"),0),IF($AX$5&lt;&gt;"",--(AX34="Présent"),0),IF($AZ$5&lt;&gt;"",--(AZ34="Présent"),0),IF($BB$5&lt;&gt;"",--(BB34="Présent"),0),IF($BD$5&lt;&gt;"",--(BD34="Présent"),0),IF($BF$5&lt;&gt;"",--(BF34="Présent"),0),IF($BH$5&lt;&gt;"",--(BH34="Présent"),0),IF($BJ$5&lt;&gt;"",--(BJ34="Présent"),0),IF($BL$5&lt;&gt;"",--(BL34="Présent"),0)))</f>
      </c>
      <c r="BO34" s="22">
        <f>IF($A34="","",SUM(IF($D$5&lt;&gt;"",--(D34="Absent"),0),IF($F$5&lt;&gt;"",--(F34="Absent"),0),IF($H$5&lt;&gt;"",--(H34="Absent"),0),IF($J$5&lt;&gt;"",--(J34="Absent"),0),IF($L$5&lt;&gt;"",--(L34="Absent"),0),IF($N$5&lt;&gt;"",--(N34="Absent"),0),IF($P$5&lt;&gt;"",--(P34="Absent"),0),IF($R$5&lt;&gt;"",--(R34="Absent"),0),IF($T$5&lt;&gt;"",--(T34="Absent"),0),IF($V$5&lt;&gt;"",--(V34="Absent"),0),IF($X$5&lt;&gt;"",--(X34="Absent"),0),IF($Z$5&lt;&gt;"",--(Z34="Absent"),0),IF($AB$5&lt;&gt;"",--(AB34="Absent"),0),IF($AD$5&lt;&gt;"",--(AD34="Absent"),0),IF($AF$5&lt;&gt;"",--(AF34="Absent"),0),IF($AH$5&lt;&gt;"",--(AH34="Absent"),0),IF($AJ$5&lt;&gt;"",--(AJ34="Absent"),0),IF($AL$5&lt;&gt;"",--(AL34="Absent"),0),IF($AN$5&lt;&gt;"",--(AN34="Absent"),0),IF($AP$5&lt;&gt;"",--(AP34="Absent"),0),IF($AR$5&lt;&gt;"",--(AR34="Absent"),0),IF($AT$5&lt;&gt;"",--(AT34="Absent"),0),IF($AV$5&lt;&gt;"",--(AV34="Absent"),0),IF($AX$5&lt;&gt;"",--(AX34="Absent"),0),IF($AZ$5&lt;&gt;"",--(AZ34="Absent"),0),IF($BB$5&lt;&gt;"",--(BB34="Absent"),0),IF($BD$5&lt;&gt;"",--(BD34="Absent"),0),IF($BF$5&lt;&gt;"",--(BF34="Absent"),0),IF($BH$5&lt;&gt;"",--(BH34="Absent"),0),IF($BJ$5&lt;&gt;"",--(BJ34="Absent"),0),IF($BL$5&lt;&gt;"",--(BL34="Absent"),0)))</f>
      </c>
      <c r="BP34" s="22">
        <f>IF($A34="","",SUM(IF($D$5&lt;&gt;"",--(D34="Congé"),0),IF($F$5&lt;&gt;"",--(F34="Congé"),0),IF($H$5&lt;&gt;"",--(H34="Congé"),0),IF($J$5&lt;&gt;"",--(J34="Congé"),0),IF($L$5&lt;&gt;"",--(L34="Congé"),0),IF($N$5&lt;&gt;"",--(N34="Congé"),0),IF($P$5&lt;&gt;"",--(P34="Congé"),0),IF($R$5&lt;&gt;"",--(R34="Congé"),0),IF($T$5&lt;&gt;"",--(T34="Congé"),0),IF($V$5&lt;&gt;"",--(V34="Congé"),0),IF($X$5&lt;&gt;"",--(X34="Congé"),0),IF($Z$5&lt;&gt;"",--(Z34="Congé"),0),IF($AB$5&lt;&gt;"",--(AB34="Congé"),0),IF($AD$5&lt;&gt;"",--(AD34="Congé"),0),IF($AF$5&lt;&gt;"",--(AF34="Congé"),0),IF($AH$5&lt;&gt;"",--(AH34="Congé"),0),IF($AJ$5&lt;&gt;"",--(AJ34="Congé"),0),IF($AL$5&lt;&gt;"",--(AL34="Congé"),0),IF($AN$5&lt;&gt;"",--(AN34="Congé"),0),IF($AP$5&lt;&gt;"",--(AP34="Congé"),0),IF($AR$5&lt;&gt;"",--(AR34="Congé"),0),IF($AT$5&lt;&gt;"",--(AT34="Congé"),0),IF($AV$5&lt;&gt;"",--(AV34="Congé"),0),IF($AX$5&lt;&gt;"",--(AX34="Congé"),0),IF($AZ$5&lt;&gt;"",--(AZ34="Congé"),0),IF($BB$5&lt;&gt;"",--(BB34="Congé"),0),IF($BD$5&lt;&gt;"",--(BD34="Congé"),0),IF($BF$5&lt;&gt;"",--(BF34="Congé"),0),IF($BH$5&lt;&gt;"",--(BH34="Congé"),0),IF($BJ$5&lt;&gt;"",--(BJ34="Congé"),0),IF($BL$5&lt;&gt;"",--(BL34="Congé"),0)))</f>
      </c>
      <c r="BQ34" s="22">
        <f>IF($A34="","",SUM(IF($D$5&lt;&gt;"",--(D34="Maladie"),0),IF($F$5&lt;&gt;"",--(F34="Maladie"),0),IF($H$5&lt;&gt;"",--(H34="Maladie"),0),IF($J$5&lt;&gt;"",--(J34="Maladie"),0),IF($L$5&lt;&gt;"",--(L34="Maladie"),0),IF($N$5&lt;&gt;"",--(N34="Maladie"),0),IF($P$5&lt;&gt;"",--(P34="Maladie"),0),IF($R$5&lt;&gt;"",--(R34="Maladie"),0),IF($T$5&lt;&gt;"",--(T34="Maladie"),0),IF($V$5&lt;&gt;"",--(V34="Maladie"),0),IF($X$5&lt;&gt;"",--(X34="Maladie"),0),IF($Z$5&lt;&gt;"",--(Z34="Maladie"),0),IF($AB$5&lt;&gt;"",--(AB34="Maladie"),0),IF($AD$5&lt;&gt;"",--(AD34="Maladie"),0),IF($AF$5&lt;&gt;"",--(AF34="Maladie"),0),IF($AH$5&lt;&gt;"",--(AH34="Maladie"),0),IF($AJ$5&lt;&gt;"",--(AJ34="Maladie"),0),IF($AL$5&lt;&gt;"",--(AL34="Maladie"),0),IF($AN$5&lt;&gt;"",--(AN34="Maladie"),0),IF($AP$5&lt;&gt;"",--(AP34="Maladie"),0),IF($AR$5&lt;&gt;"",--(AR34="Maladie"),0),IF($AT$5&lt;&gt;"",--(AT34="Maladie"),0),IF($AV$5&lt;&gt;"",--(AV34="Maladie"),0),IF($AX$5&lt;&gt;"",--(AX34="Maladie"),0),IF($AZ$5&lt;&gt;"",--(AZ34="Maladie"),0),IF($BB$5&lt;&gt;"",--(BB34="Maladie"),0),IF($BD$5&lt;&gt;"",--(BD34="Maladie"),0),IF($BF$5&lt;&gt;"",--(BF34="Maladie"),0),IF($BH$5&lt;&gt;"",--(BH34="Maladie"),0),IF($BJ$5&lt;&gt;"",--(BJ34="Maladie"),0),IF($BL$5&lt;&gt;"",--(BL34="Maladie"),0)))</f>
      </c>
      <c r="BR34" s="23">
        <f>IF($A34="","",SUM(IF($D$5&lt;&gt;"",IF(D34="Présent",E34,0),0),IF($F$5&lt;&gt;"",IF(F34="Présent",G34,0),0),IF($H$5&lt;&gt;"",IF(H34="Présent",I34,0),0),IF($J$5&lt;&gt;"",IF(J34="Présent",K34,0),0),IF($L$5&lt;&gt;"",IF(L34="Présent",M34,0),0),IF($N$5&lt;&gt;"",IF(N34="Présent",O34,0),0),IF($P$5&lt;&gt;"",IF(P34="Présent",Q34,0),0),IF($R$5&lt;&gt;"",IF(R34="Présent",S34,0),0),IF($T$5&lt;&gt;"",IF(T34="Présent",U34,0),0),IF($V$5&lt;&gt;"",IF(V34="Présent",W34,0),0),IF($X$5&lt;&gt;"",IF(X34="Présent",Y34,0),0),IF($Z$5&lt;&gt;"",IF(Z34="Présent",AA34,0),0),IF($AB$5&lt;&gt;"",IF(AB34="Présent",AC34,0),0),IF($AD$5&lt;&gt;"",IF(AD34="Présent",AE34,0),0),IF($AF$5&lt;&gt;"",IF(AF34="Présent",AG34,0),0),IF($AH$5&lt;&gt;"",IF(AH34="Présent",AI34,0),0),IF($AJ$5&lt;&gt;"",IF(AJ34="Présent",AK34,0),0),IF($AL$5&lt;&gt;"",IF(AL34="Présent",AM34,0),0),IF($AN$5&lt;&gt;"",IF(AN34="Présent",AO34,0),0),IF($AP$5&lt;&gt;"",IF(AP34="Présent",AQ34,0),0),IF($AR$5&lt;&gt;"",IF(AR34="Présent",AS34,0),0),IF($AT$5&lt;&gt;"",IF(AT34="Présent",AU34,0),0),IF($AV$5&lt;&gt;"",IF(AV34="Présent",AW34,0),0),IF($AX$5&lt;&gt;"",IF(AX34="Présent",AY34,0),0),IF($AZ$5&lt;&gt;"",IF(AZ34="Présent",BA34,0),0),IF($BB$5&lt;&gt;"",IF(BB34="Présent",BC34,0),0),IF($BD$5&lt;&gt;"",IF(BD34="Présent",BE34,0),0),IF($BF$5&lt;&gt;"",IF(BF34="Présent",BG34,0),0),IF($BH$5&lt;&gt;"",IF(BH34="Présent",BI34,0),0),IF($BJ$5&lt;&gt;"",IF(BJ34="Présent",BK34,0),0),IF($BL$5&lt;&gt;"",IF(BL34="Présent",BM34,0),0)))</f>
      </c>
      <c r="BS34" s="25">
        <f>IF($A34="","",$BN34*IFERROR(INDEX(Categories_Salaire,MATCH($C34,ListeCategories,0)),0)+$BR34*IF(IFERROR(INDEX(Categories_TauxHS,MATCH($C34,ListeCategories,0)),0)&gt;0,IFERROR(INDEX(Categories_TauxHS,MATCH($C34,ListeCategories,0)),0),TauxHSDefaut))</f>
      </c>
    </row>
    <row r="35">
      <c r="A35" s="20">
        <f>IF(AND(INDEX(Employes_Nom,29)&lt;&gt;"",INDEX(Employes_Statut,29)="Actif",OR(INDEX(Employes_Embauche,29)="",INDEX(Employes_Embauche,29)&lt;=EOMONTH(DATE(AnneeCourante,MoisCourant,1),0))),INDEX(Employes_ID,29),"")</f>
      </c>
      <c r="B35" s="19">
        <f>IF($A35="","",INDEX(Employes_Nom,MATCH($A35,Employes_ID,0)))</f>
      </c>
      <c r="C35" s="20">
        <f>IF($A35="","",INDEX(Employes_Categorie,MATCH($A35,Employes_ID,0)))</f>
      </c>
      <c r="D35" s="26"/>
      <c r="E35" s="27"/>
      <c r="F35" s="26"/>
      <c r="G35" s="27"/>
      <c r="H35" s="26"/>
      <c r="I35" s="27"/>
      <c r="J35" s="26"/>
      <c r="K35" s="27"/>
      <c r="L35" s="26"/>
      <c r="M35" s="27"/>
      <c r="N35" s="26"/>
      <c r="O35" s="27"/>
      <c r="P35" s="26"/>
      <c r="Q35" s="27"/>
      <c r="R35" s="26"/>
      <c r="S35" s="27"/>
      <c r="T35" s="26"/>
      <c r="U35" s="27"/>
      <c r="V35" s="26"/>
      <c r="W35" s="27"/>
      <c r="X35" s="26"/>
      <c r="Y35" s="27"/>
      <c r="Z35" s="26"/>
      <c r="AA35" s="27"/>
      <c r="AB35" s="26"/>
      <c r="AC35" s="27"/>
      <c r="AD35" s="26"/>
      <c r="AE35" s="27"/>
      <c r="AF35" s="26"/>
      <c r="AG35" s="27"/>
      <c r="AH35" s="26"/>
      <c r="AI35" s="27"/>
      <c r="AJ35" s="26"/>
      <c r="AK35" s="27"/>
      <c r="AL35" s="26"/>
      <c r="AM35" s="27"/>
      <c r="AN35" s="26"/>
      <c r="AO35" s="27"/>
      <c r="AP35" s="26"/>
      <c r="AQ35" s="27"/>
      <c r="AR35" s="26"/>
      <c r="AS35" s="27"/>
      <c r="AT35" s="26"/>
      <c r="AU35" s="27"/>
      <c r="AV35" s="26"/>
      <c r="AW35" s="27"/>
      <c r="AX35" s="26"/>
      <c r="AY35" s="27"/>
      <c r="AZ35" s="26"/>
      <c r="BA35" s="27"/>
      <c r="BB35" s="26"/>
      <c r="BC35" s="27"/>
      <c r="BD35" s="26"/>
      <c r="BE35" s="27"/>
      <c r="BF35" s="26"/>
      <c r="BG35" s="27"/>
      <c r="BH35" s="26"/>
      <c r="BI35" s="27"/>
      <c r="BJ35" s="26"/>
      <c r="BK35" s="27"/>
      <c r="BL35" s="26"/>
      <c r="BM35" s="27"/>
      <c r="BN35" s="22">
        <f>IF($A35="","",SUM(IF($D$5&lt;&gt;"",--(D35="Présent"),0),IF($F$5&lt;&gt;"",--(F35="Présent"),0),IF($H$5&lt;&gt;"",--(H35="Présent"),0),IF($J$5&lt;&gt;"",--(J35="Présent"),0),IF($L$5&lt;&gt;"",--(L35="Présent"),0),IF($N$5&lt;&gt;"",--(N35="Présent"),0),IF($P$5&lt;&gt;"",--(P35="Présent"),0),IF($R$5&lt;&gt;"",--(R35="Présent"),0),IF($T$5&lt;&gt;"",--(T35="Présent"),0),IF($V$5&lt;&gt;"",--(V35="Présent"),0),IF($X$5&lt;&gt;"",--(X35="Présent"),0),IF($Z$5&lt;&gt;"",--(Z35="Présent"),0),IF($AB$5&lt;&gt;"",--(AB35="Présent"),0),IF($AD$5&lt;&gt;"",--(AD35="Présent"),0),IF($AF$5&lt;&gt;"",--(AF35="Présent"),0),IF($AH$5&lt;&gt;"",--(AH35="Présent"),0),IF($AJ$5&lt;&gt;"",--(AJ35="Présent"),0),IF($AL$5&lt;&gt;"",--(AL35="Présent"),0),IF($AN$5&lt;&gt;"",--(AN35="Présent"),0),IF($AP$5&lt;&gt;"",--(AP35="Présent"),0),IF($AR$5&lt;&gt;"",--(AR35="Présent"),0),IF($AT$5&lt;&gt;"",--(AT35="Présent"),0),IF($AV$5&lt;&gt;"",--(AV35="Présent"),0),IF($AX$5&lt;&gt;"",--(AX35="Présent"),0),IF($AZ$5&lt;&gt;"",--(AZ35="Présent"),0),IF($BB$5&lt;&gt;"",--(BB35="Présent"),0),IF($BD$5&lt;&gt;"",--(BD35="Présent"),0),IF($BF$5&lt;&gt;"",--(BF35="Présent"),0),IF($BH$5&lt;&gt;"",--(BH35="Présent"),0),IF($BJ$5&lt;&gt;"",--(BJ35="Présent"),0),IF($BL$5&lt;&gt;"",--(BL35="Présent"),0)))</f>
      </c>
      <c r="BO35" s="22">
        <f>IF($A35="","",SUM(IF($D$5&lt;&gt;"",--(D35="Absent"),0),IF($F$5&lt;&gt;"",--(F35="Absent"),0),IF($H$5&lt;&gt;"",--(H35="Absent"),0),IF($J$5&lt;&gt;"",--(J35="Absent"),0),IF($L$5&lt;&gt;"",--(L35="Absent"),0),IF($N$5&lt;&gt;"",--(N35="Absent"),0),IF($P$5&lt;&gt;"",--(P35="Absent"),0),IF($R$5&lt;&gt;"",--(R35="Absent"),0),IF($T$5&lt;&gt;"",--(T35="Absent"),0),IF($V$5&lt;&gt;"",--(V35="Absent"),0),IF($X$5&lt;&gt;"",--(X35="Absent"),0),IF($Z$5&lt;&gt;"",--(Z35="Absent"),0),IF($AB$5&lt;&gt;"",--(AB35="Absent"),0),IF($AD$5&lt;&gt;"",--(AD35="Absent"),0),IF($AF$5&lt;&gt;"",--(AF35="Absent"),0),IF($AH$5&lt;&gt;"",--(AH35="Absent"),0),IF($AJ$5&lt;&gt;"",--(AJ35="Absent"),0),IF($AL$5&lt;&gt;"",--(AL35="Absent"),0),IF($AN$5&lt;&gt;"",--(AN35="Absent"),0),IF($AP$5&lt;&gt;"",--(AP35="Absent"),0),IF($AR$5&lt;&gt;"",--(AR35="Absent"),0),IF($AT$5&lt;&gt;"",--(AT35="Absent"),0),IF($AV$5&lt;&gt;"",--(AV35="Absent"),0),IF($AX$5&lt;&gt;"",--(AX35="Absent"),0),IF($AZ$5&lt;&gt;"",--(AZ35="Absent"),0),IF($BB$5&lt;&gt;"",--(BB35="Absent"),0),IF($BD$5&lt;&gt;"",--(BD35="Absent"),0),IF($BF$5&lt;&gt;"",--(BF35="Absent"),0),IF($BH$5&lt;&gt;"",--(BH35="Absent"),0),IF($BJ$5&lt;&gt;"",--(BJ35="Absent"),0),IF($BL$5&lt;&gt;"",--(BL35="Absent"),0)))</f>
      </c>
      <c r="BP35" s="22">
        <f>IF($A35="","",SUM(IF($D$5&lt;&gt;"",--(D35="Congé"),0),IF($F$5&lt;&gt;"",--(F35="Congé"),0),IF($H$5&lt;&gt;"",--(H35="Congé"),0),IF($J$5&lt;&gt;"",--(J35="Congé"),0),IF($L$5&lt;&gt;"",--(L35="Congé"),0),IF($N$5&lt;&gt;"",--(N35="Congé"),0),IF($P$5&lt;&gt;"",--(P35="Congé"),0),IF($R$5&lt;&gt;"",--(R35="Congé"),0),IF($T$5&lt;&gt;"",--(T35="Congé"),0),IF($V$5&lt;&gt;"",--(V35="Congé"),0),IF($X$5&lt;&gt;"",--(X35="Congé"),0),IF($Z$5&lt;&gt;"",--(Z35="Congé"),0),IF($AB$5&lt;&gt;"",--(AB35="Congé"),0),IF($AD$5&lt;&gt;"",--(AD35="Congé"),0),IF($AF$5&lt;&gt;"",--(AF35="Congé"),0),IF($AH$5&lt;&gt;"",--(AH35="Congé"),0),IF($AJ$5&lt;&gt;"",--(AJ35="Congé"),0),IF($AL$5&lt;&gt;"",--(AL35="Congé"),0),IF($AN$5&lt;&gt;"",--(AN35="Congé"),0),IF($AP$5&lt;&gt;"",--(AP35="Congé"),0),IF($AR$5&lt;&gt;"",--(AR35="Congé"),0),IF($AT$5&lt;&gt;"",--(AT35="Congé"),0),IF($AV$5&lt;&gt;"",--(AV35="Congé"),0),IF($AX$5&lt;&gt;"",--(AX35="Congé"),0),IF($AZ$5&lt;&gt;"",--(AZ35="Congé"),0),IF($BB$5&lt;&gt;"",--(BB35="Congé"),0),IF($BD$5&lt;&gt;"",--(BD35="Congé"),0),IF($BF$5&lt;&gt;"",--(BF35="Congé"),0),IF($BH$5&lt;&gt;"",--(BH35="Congé"),0),IF($BJ$5&lt;&gt;"",--(BJ35="Congé"),0),IF($BL$5&lt;&gt;"",--(BL35="Congé"),0)))</f>
      </c>
      <c r="BQ35" s="22">
        <f>IF($A35="","",SUM(IF($D$5&lt;&gt;"",--(D35="Maladie"),0),IF($F$5&lt;&gt;"",--(F35="Maladie"),0),IF($H$5&lt;&gt;"",--(H35="Maladie"),0),IF($J$5&lt;&gt;"",--(J35="Maladie"),0),IF($L$5&lt;&gt;"",--(L35="Maladie"),0),IF($N$5&lt;&gt;"",--(N35="Maladie"),0),IF($P$5&lt;&gt;"",--(P35="Maladie"),0),IF($R$5&lt;&gt;"",--(R35="Maladie"),0),IF($T$5&lt;&gt;"",--(T35="Maladie"),0),IF($V$5&lt;&gt;"",--(V35="Maladie"),0),IF($X$5&lt;&gt;"",--(X35="Maladie"),0),IF($Z$5&lt;&gt;"",--(Z35="Maladie"),0),IF($AB$5&lt;&gt;"",--(AB35="Maladie"),0),IF($AD$5&lt;&gt;"",--(AD35="Maladie"),0),IF($AF$5&lt;&gt;"",--(AF35="Maladie"),0),IF($AH$5&lt;&gt;"",--(AH35="Maladie"),0),IF($AJ$5&lt;&gt;"",--(AJ35="Maladie"),0),IF($AL$5&lt;&gt;"",--(AL35="Maladie"),0),IF($AN$5&lt;&gt;"",--(AN35="Maladie"),0),IF($AP$5&lt;&gt;"",--(AP35="Maladie"),0),IF($AR$5&lt;&gt;"",--(AR35="Maladie"),0),IF($AT$5&lt;&gt;"",--(AT35="Maladie"),0),IF($AV$5&lt;&gt;"",--(AV35="Maladie"),0),IF($AX$5&lt;&gt;"",--(AX35="Maladie"),0),IF($AZ$5&lt;&gt;"",--(AZ35="Maladie"),0),IF($BB$5&lt;&gt;"",--(BB35="Maladie"),0),IF($BD$5&lt;&gt;"",--(BD35="Maladie"),0),IF($BF$5&lt;&gt;"",--(BF35="Maladie"),0),IF($BH$5&lt;&gt;"",--(BH35="Maladie"),0),IF($BJ$5&lt;&gt;"",--(BJ35="Maladie"),0),IF($BL$5&lt;&gt;"",--(BL35="Maladie"),0)))</f>
      </c>
      <c r="BR35" s="23">
        <f>IF($A35="","",SUM(IF($D$5&lt;&gt;"",IF(D35="Présent",E35,0),0),IF($F$5&lt;&gt;"",IF(F35="Présent",G35,0),0),IF($H$5&lt;&gt;"",IF(H35="Présent",I35,0),0),IF($J$5&lt;&gt;"",IF(J35="Présent",K35,0),0),IF($L$5&lt;&gt;"",IF(L35="Présent",M35,0),0),IF($N$5&lt;&gt;"",IF(N35="Présent",O35,0),0),IF($P$5&lt;&gt;"",IF(P35="Présent",Q35,0),0),IF($R$5&lt;&gt;"",IF(R35="Présent",S35,0),0),IF($T$5&lt;&gt;"",IF(T35="Présent",U35,0),0),IF($V$5&lt;&gt;"",IF(V35="Présent",W35,0),0),IF($X$5&lt;&gt;"",IF(X35="Présent",Y35,0),0),IF($Z$5&lt;&gt;"",IF(Z35="Présent",AA35,0),0),IF($AB$5&lt;&gt;"",IF(AB35="Présent",AC35,0),0),IF($AD$5&lt;&gt;"",IF(AD35="Présent",AE35,0),0),IF($AF$5&lt;&gt;"",IF(AF35="Présent",AG35,0),0),IF($AH$5&lt;&gt;"",IF(AH35="Présent",AI35,0),0),IF($AJ$5&lt;&gt;"",IF(AJ35="Présent",AK35,0),0),IF($AL$5&lt;&gt;"",IF(AL35="Présent",AM35,0),0),IF($AN$5&lt;&gt;"",IF(AN35="Présent",AO35,0),0),IF($AP$5&lt;&gt;"",IF(AP35="Présent",AQ35,0),0),IF($AR$5&lt;&gt;"",IF(AR35="Présent",AS35,0),0),IF($AT$5&lt;&gt;"",IF(AT35="Présent",AU35,0),0),IF($AV$5&lt;&gt;"",IF(AV35="Présent",AW35,0),0),IF($AX$5&lt;&gt;"",IF(AX35="Présent",AY35,0),0),IF($AZ$5&lt;&gt;"",IF(AZ35="Présent",BA35,0),0),IF($BB$5&lt;&gt;"",IF(BB35="Présent",BC35,0),0),IF($BD$5&lt;&gt;"",IF(BD35="Présent",BE35,0),0),IF($BF$5&lt;&gt;"",IF(BF35="Présent",BG35,0),0),IF($BH$5&lt;&gt;"",IF(BH35="Présent",BI35,0),0),IF($BJ$5&lt;&gt;"",IF(BJ35="Présent",BK35,0),0),IF($BL$5&lt;&gt;"",IF(BL35="Présent",BM35,0),0)))</f>
      </c>
      <c r="BS35" s="25">
        <f>IF($A35="","",$BN35*IFERROR(INDEX(Categories_Salaire,MATCH($C35,ListeCategories,0)),0)+$BR35*IF(IFERROR(INDEX(Categories_TauxHS,MATCH($C35,ListeCategories,0)),0)&gt;0,IFERROR(INDEX(Categories_TauxHS,MATCH($C35,ListeCategories,0)),0),TauxHSDefaut))</f>
      </c>
    </row>
    <row r="36">
      <c r="A36" s="20">
        <f>IF(AND(INDEX(Employes_Nom,30)&lt;&gt;"",INDEX(Employes_Statut,30)="Actif",OR(INDEX(Employes_Embauche,30)="",INDEX(Employes_Embauche,30)&lt;=EOMONTH(DATE(AnneeCourante,MoisCourant,1),0))),INDEX(Employes_ID,30),"")</f>
      </c>
      <c r="B36" s="19">
        <f>IF($A36="","",INDEX(Employes_Nom,MATCH($A36,Employes_ID,0)))</f>
      </c>
      <c r="C36" s="20">
        <f>IF($A36="","",INDEX(Employes_Categorie,MATCH($A36,Employes_ID,0)))</f>
      </c>
      <c r="D36" s="26"/>
      <c r="E36" s="27"/>
      <c r="F36" s="26"/>
      <c r="G36" s="27"/>
      <c r="H36" s="26"/>
      <c r="I36" s="27"/>
      <c r="J36" s="26"/>
      <c r="K36" s="27"/>
      <c r="L36" s="26"/>
      <c r="M36" s="27"/>
      <c r="N36" s="26"/>
      <c r="O36" s="27"/>
      <c r="P36" s="26"/>
      <c r="Q36" s="27"/>
      <c r="R36" s="26"/>
      <c r="S36" s="27"/>
      <c r="T36" s="26"/>
      <c r="U36" s="27"/>
      <c r="V36" s="26"/>
      <c r="W36" s="27"/>
      <c r="X36" s="26"/>
      <c r="Y36" s="27"/>
      <c r="Z36" s="26"/>
      <c r="AA36" s="27"/>
      <c r="AB36" s="26"/>
      <c r="AC36" s="27"/>
      <c r="AD36" s="26"/>
      <c r="AE36" s="27"/>
      <c r="AF36" s="26"/>
      <c r="AG36" s="27"/>
      <c r="AH36" s="26"/>
      <c r="AI36" s="27"/>
      <c r="AJ36" s="26"/>
      <c r="AK36" s="27"/>
      <c r="AL36" s="26"/>
      <c r="AM36" s="27"/>
      <c r="AN36" s="26"/>
      <c r="AO36" s="27"/>
      <c r="AP36" s="26"/>
      <c r="AQ36" s="27"/>
      <c r="AR36" s="26"/>
      <c r="AS36" s="27"/>
      <c r="AT36" s="26"/>
      <c r="AU36" s="27"/>
      <c r="AV36" s="26"/>
      <c r="AW36" s="27"/>
      <c r="AX36" s="26"/>
      <c r="AY36" s="27"/>
      <c r="AZ36" s="26"/>
      <c r="BA36" s="27"/>
      <c r="BB36" s="26"/>
      <c r="BC36" s="27"/>
      <c r="BD36" s="26"/>
      <c r="BE36" s="27"/>
      <c r="BF36" s="26"/>
      <c r="BG36" s="27"/>
      <c r="BH36" s="26"/>
      <c r="BI36" s="27"/>
      <c r="BJ36" s="26"/>
      <c r="BK36" s="27"/>
      <c r="BL36" s="26"/>
      <c r="BM36" s="27"/>
      <c r="BN36" s="22">
        <f>IF($A36="","",SUM(IF($D$5&lt;&gt;"",--(D36="Présent"),0),IF($F$5&lt;&gt;"",--(F36="Présent"),0),IF($H$5&lt;&gt;"",--(H36="Présent"),0),IF($J$5&lt;&gt;"",--(J36="Présent"),0),IF($L$5&lt;&gt;"",--(L36="Présent"),0),IF($N$5&lt;&gt;"",--(N36="Présent"),0),IF($P$5&lt;&gt;"",--(P36="Présent"),0),IF($R$5&lt;&gt;"",--(R36="Présent"),0),IF($T$5&lt;&gt;"",--(T36="Présent"),0),IF($V$5&lt;&gt;"",--(V36="Présent"),0),IF($X$5&lt;&gt;"",--(X36="Présent"),0),IF($Z$5&lt;&gt;"",--(Z36="Présent"),0),IF($AB$5&lt;&gt;"",--(AB36="Présent"),0),IF($AD$5&lt;&gt;"",--(AD36="Présent"),0),IF($AF$5&lt;&gt;"",--(AF36="Présent"),0),IF($AH$5&lt;&gt;"",--(AH36="Présent"),0),IF($AJ$5&lt;&gt;"",--(AJ36="Présent"),0),IF($AL$5&lt;&gt;"",--(AL36="Présent"),0),IF($AN$5&lt;&gt;"",--(AN36="Présent"),0),IF($AP$5&lt;&gt;"",--(AP36="Présent"),0),IF($AR$5&lt;&gt;"",--(AR36="Présent"),0),IF($AT$5&lt;&gt;"",--(AT36="Présent"),0),IF($AV$5&lt;&gt;"",--(AV36="Présent"),0),IF($AX$5&lt;&gt;"",--(AX36="Présent"),0),IF($AZ$5&lt;&gt;"",--(AZ36="Présent"),0),IF($BB$5&lt;&gt;"",--(BB36="Présent"),0),IF($BD$5&lt;&gt;"",--(BD36="Présent"),0),IF($BF$5&lt;&gt;"",--(BF36="Présent"),0),IF($BH$5&lt;&gt;"",--(BH36="Présent"),0),IF($BJ$5&lt;&gt;"",--(BJ36="Présent"),0),IF($BL$5&lt;&gt;"",--(BL36="Présent"),0)))</f>
      </c>
      <c r="BO36" s="22">
        <f>IF($A36="","",SUM(IF($D$5&lt;&gt;"",--(D36="Absent"),0),IF($F$5&lt;&gt;"",--(F36="Absent"),0),IF($H$5&lt;&gt;"",--(H36="Absent"),0),IF($J$5&lt;&gt;"",--(J36="Absent"),0),IF($L$5&lt;&gt;"",--(L36="Absent"),0),IF($N$5&lt;&gt;"",--(N36="Absent"),0),IF($P$5&lt;&gt;"",--(P36="Absent"),0),IF($R$5&lt;&gt;"",--(R36="Absent"),0),IF($T$5&lt;&gt;"",--(T36="Absent"),0),IF($V$5&lt;&gt;"",--(V36="Absent"),0),IF($X$5&lt;&gt;"",--(X36="Absent"),0),IF($Z$5&lt;&gt;"",--(Z36="Absent"),0),IF($AB$5&lt;&gt;"",--(AB36="Absent"),0),IF($AD$5&lt;&gt;"",--(AD36="Absent"),0),IF($AF$5&lt;&gt;"",--(AF36="Absent"),0),IF($AH$5&lt;&gt;"",--(AH36="Absent"),0),IF($AJ$5&lt;&gt;"",--(AJ36="Absent"),0),IF($AL$5&lt;&gt;"",--(AL36="Absent"),0),IF($AN$5&lt;&gt;"",--(AN36="Absent"),0),IF($AP$5&lt;&gt;"",--(AP36="Absent"),0),IF($AR$5&lt;&gt;"",--(AR36="Absent"),0),IF($AT$5&lt;&gt;"",--(AT36="Absent"),0),IF($AV$5&lt;&gt;"",--(AV36="Absent"),0),IF($AX$5&lt;&gt;"",--(AX36="Absent"),0),IF($AZ$5&lt;&gt;"",--(AZ36="Absent"),0),IF($BB$5&lt;&gt;"",--(BB36="Absent"),0),IF($BD$5&lt;&gt;"",--(BD36="Absent"),0),IF($BF$5&lt;&gt;"",--(BF36="Absent"),0),IF($BH$5&lt;&gt;"",--(BH36="Absent"),0),IF($BJ$5&lt;&gt;"",--(BJ36="Absent"),0),IF($BL$5&lt;&gt;"",--(BL36="Absent"),0)))</f>
      </c>
      <c r="BP36" s="22">
        <f>IF($A36="","",SUM(IF($D$5&lt;&gt;"",--(D36="Congé"),0),IF($F$5&lt;&gt;"",--(F36="Congé"),0),IF($H$5&lt;&gt;"",--(H36="Congé"),0),IF($J$5&lt;&gt;"",--(J36="Congé"),0),IF($L$5&lt;&gt;"",--(L36="Congé"),0),IF($N$5&lt;&gt;"",--(N36="Congé"),0),IF($P$5&lt;&gt;"",--(P36="Congé"),0),IF($R$5&lt;&gt;"",--(R36="Congé"),0),IF($T$5&lt;&gt;"",--(T36="Congé"),0),IF($V$5&lt;&gt;"",--(V36="Congé"),0),IF($X$5&lt;&gt;"",--(X36="Congé"),0),IF($Z$5&lt;&gt;"",--(Z36="Congé"),0),IF($AB$5&lt;&gt;"",--(AB36="Congé"),0),IF($AD$5&lt;&gt;"",--(AD36="Congé"),0),IF($AF$5&lt;&gt;"",--(AF36="Congé"),0),IF($AH$5&lt;&gt;"",--(AH36="Congé"),0),IF($AJ$5&lt;&gt;"",--(AJ36="Congé"),0),IF($AL$5&lt;&gt;"",--(AL36="Congé"),0),IF($AN$5&lt;&gt;"",--(AN36="Congé"),0),IF($AP$5&lt;&gt;"",--(AP36="Congé"),0),IF($AR$5&lt;&gt;"",--(AR36="Congé"),0),IF($AT$5&lt;&gt;"",--(AT36="Congé"),0),IF($AV$5&lt;&gt;"",--(AV36="Congé"),0),IF($AX$5&lt;&gt;"",--(AX36="Congé"),0),IF($AZ$5&lt;&gt;"",--(AZ36="Congé"),0),IF($BB$5&lt;&gt;"",--(BB36="Congé"),0),IF($BD$5&lt;&gt;"",--(BD36="Congé"),0),IF($BF$5&lt;&gt;"",--(BF36="Congé"),0),IF($BH$5&lt;&gt;"",--(BH36="Congé"),0),IF($BJ$5&lt;&gt;"",--(BJ36="Congé"),0),IF($BL$5&lt;&gt;"",--(BL36="Congé"),0)))</f>
      </c>
      <c r="BQ36" s="22">
        <f>IF($A36="","",SUM(IF($D$5&lt;&gt;"",--(D36="Maladie"),0),IF($F$5&lt;&gt;"",--(F36="Maladie"),0),IF($H$5&lt;&gt;"",--(H36="Maladie"),0),IF($J$5&lt;&gt;"",--(J36="Maladie"),0),IF($L$5&lt;&gt;"",--(L36="Maladie"),0),IF($N$5&lt;&gt;"",--(N36="Maladie"),0),IF($P$5&lt;&gt;"",--(P36="Maladie"),0),IF($R$5&lt;&gt;"",--(R36="Maladie"),0),IF($T$5&lt;&gt;"",--(T36="Maladie"),0),IF($V$5&lt;&gt;"",--(V36="Maladie"),0),IF($X$5&lt;&gt;"",--(X36="Maladie"),0),IF($Z$5&lt;&gt;"",--(Z36="Maladie"),0),IF($AB$5&lt;&gt;"",--(AB36="Maladie"),0),IF($AD$5&lt;&gt;"",--(AD36="Maladie"),0),IF($AF$5&lt;&gt;"",--(AF36="Maladie"),0),IF($AH$5&lt;&gt;"",--(AH36="Maladie"),0),IF($AJ$5&lt;&gt;"",--(AJ36="Maladie"),0),IF($AL$5&lt;&gt;"",--(AL36="Maladie"),0),IF($AN$5&lt;&gt;"",--(AN36="Maladie"),0),IF($AP$5&lt;&gt;"",--(AP36="Maladie"),0),IF($AR$5&lt;&gt;"",--(AR36="Maladie"),0),IF($AT$5&lt;&gt;"",--(AT36="Maladie"),0),IF($AV$5&lt;&gt;"",--(AV36="Maladie"),0),IF($AX$5&lt;&gt;"",--(AX36="Maladie"),0),IF($AZ$5&lt;&gt;"",--(AZ36="Maladie"),0),IF($BB$5&lt;&gt;"",--(BB36="Maladie"),0),IF($BD$5&lt;&gt;"",--(BD36="Maladie"),0),IF($BF$5&lt;&gt;"",--(BF36="Maladie"),0),IF($BH$5&lt;&gt;"",--(BH36="Maladie"),0),IF($BJ$5&lt;&gt;"",--(BJ36="Maladie"),0),IF($BL$5&lt;&gt;"",--(BL36="Maladie"),0)))</f>
      </c>
      <c r="BR36" s="23">
        <f>IF($A36="","",SUM(IF($D$5&lt;&gt;"",IF(D36="Présent",E36,0),0),IF($F$5&lt;&gt;"",IF(F36="Présent",G36,0),0),IF($H$5&lt;&gt;"",IF(H36="Présent",I36,0),0),IF($J$5&lt;&gt;"",IF(J36="Présent",K36,0),0),IF($L$5&lt;&gt;"",IF(L36="Présent",M36,0),0),IF($N$5&lt;&gt;"",IF(N36="Présent",O36,0),0),IF($P$5&lt;&gt;"",IF(P36="Présent",Q36,0),0),IF($R$5&lt;&gt;"",IF(R36="Présent",S36,0),0),IF($T$5&lt;&gt;"",IF(T36="Présent",U36,0),0),IF($V$5&lt;&gt;"",IF(V36="Présent",W36,0),0),IF($X$5&lt;&gt;"",IF(X36="Présent",Y36,0),0),IF($Z$5&lt;&gt;"",IF(Z36="Présent",AA36,0),0),IF($AB$5&lt;&gt;"",IF(AB36="Présent",AC36,0),0),IF($AD$5&lt;&gt;"",IF(AD36="Présent",AE36,0),0),IF($AF$5&lt;&gt;"",IF(AF36="Présent",AG36,0),0),IF($AH$5&lt;&gt;"",IF(AH36="Présent",AI36,0),0),IF($AJ$5&lt;&gt;"",IF(AJ36="Présent",AK36,0),0),IF($AL$5&lt;&gt;"",IF(AL36="Présent",AM36,0),0),IF($AN$5&lt;&gt;"",IF(AN36="Présent",AO36,0),0),IF($AP$5&lt;&gt;"",IF(AP36="Présent",AQ36,0),0),IF($AR$5&lt;&gt;"",IF(AR36="Présent",AS36,0),0),IF($AT$5&lt;&gt;"",IF(AT36="Présent",AU36,0),0),IF($AV$5&lt;&gt;"",IF(AV36="Présent",AW36,0),0),IF($AX$5&lt;&gt;"",IF(AX36="Présent",AY36,0),0),IF($AZ$5&lt;&gt;"",IF(AZ36="Présent",BA36,0),0),IF($BB$5&lt;&gt;"",IF(BB36="Présent",BC36,0),0),IF($BD$5&lt;&gt;"",IF(BD36="Présent",BE36,0),0),IF($BF$5&lt;&gt;"",IF(BF36="Présent",BG36,0),0),IF($BH$5&lt;&gt;"",IF(BH36="Présent",BI36,0),0),IF($BJ$5&lt;&gt;"",IF(BJ36="Présent",BK36,0),0),IF($BL$5&lt;&gt;"",IF(BL36="Présent",BM36,0),0)))</f>
      </c>
      <c r="BS36" s="25">
        <f>IF($A36="","",$BN36*IFERROR(INDEX(Categories_Salaire,MATCH($C36,ListeCategories,0)),0)+$BR36*IF(IFERROR(INDEX(Categories_TauxHS,MATCH($C36,ListeCategories,0)),0)&gt;0,IFERROR(INDEX(Categories_TauxHS,MATCH($C36,ListeCategories,0)),0),TauxHSDefaut))</f>
      </c>
    </row>
    <row r="37">
      <c r="A37" s="20">
        <f>IF(AND(INDEX(Employes_Nom,31)&lt;&gt;"",INDEX(Employes_Statut,31)="Actif",OR(INDEX(Employes_Embauche,31)="",INDEX(Employes_Embauche,31)&lt;=EOMONTH(DATE(AnneeCourante,MoisCourant,1),0))),INDEX(Employes_ID,31),"")</f>
      </c>
      <c r="B37" s="19">
        <f>IF($A37="","",INDEX(Employes_Nom,MATCH($A37,Employes_ID,0)))</f>
      </c>
      <c r="C37" s="20">
        <f>IF($A37="","",INDEX(Employes_Categorie,MATCH($A37,Employes_ID,0)))</f>
      </c>
      <c r="D37" s="26"/>
      <c r="E37" s="27"/>
      <c r="F37" s="26"/>
      <c r="G37" s="27"/>
      <c r="H37" s="26"/>
      <c r="I37" s="27"/>
      <c r="J37" s="26"/>
      <c r="K37" s="27"/>
      <c r="L37" s="26"/>
      <c r="M37" s="27"/>
      <c r="N37" s="26"/>
      <c r="O37" s="27"/>
      <c r="P37" s="26"/>
      <c r="Q37" s="27"/>
      <c r="R37" s="26"/>
      <c r="S37" s="27"/>
      <c r="T37" s="26"/>
      <c r="U37" s="27"/>
      <c r="V37" s="26"/>
      <c r="W37" s="27"/>
      <c r="X37" s="26"/>
      <c r="Y37" s="27"/>
      <c r="Z37" s="26"/>
      <c r="AA37" s="27"/>
      <c r="AB37" s="26"/>
      <c r="AC37" s="27"/>
      <c r="AD37" s="26"/>
      <c r="AE37" s="27"/>
      <c r="AF37" s="26"/>
      <c r="AG37" s="27"/>
      <c r="AH37" s="26"/>
      <c r="AI37" s="27"/>
      <c r="AJ37" s="26"/>
      <c r="AK37" s="27"/>
      <c r="AL37" s="26"/>
      <c r="AM37" s="27"/>
      <c r="AN37" s="26"/>
      <c r="AO37" s="27"/>
      <c r="AP37" s="26"/>
      <c r="AQ37" s="27"/>
      <c r="AR37" s="26"/>
      <c r="AS37" s="27"/>
      <c r="AT37" s="26"/>
      <c r="AU37" s="27"/>
      <c r="AV37" s="26"/>
      <c r="AW37" s="27"/>
      <c r="AX37" s="26"/>
      <c r="AY37" s="27"/>
      <c r="AZ37" s="26"/>
      <c r="BA37" s="27"/>
      <c r="BB37" s="26"/>
      <c r="BC37" s="27"/>
      <c r="BD37" s="26"/>
      <c r="BE37" s="27"/>
      <c r="BF37" s="26"/>
      <c r="BG37" s="27"/>
      <c r="BH37" s="26"/>
      <c r="BI37" s="27"/>
      <c r="BJ37" s="26"/>
      <c r="BK37" s="27"/>
      <c r="BL37" s="26"/>
      <c r="BM37" s="27"/>
      <c r="BN37" s="22">
        <f>IF($A37="","",SUM(IF($D$5&lt;&gt;"",--(D37="Présent"),0),IF($F$5&lt;&gt;"",--(F37="Présent"),0),IF($H$5&lt;&gt;"",--(H37="Présent"),0),IF($J$5&lt;&gt;"",--(J37="Présent"),0),IF($L$5&lt;&gt;"",--(L37="Présent"),0),IF($N$5&lt;&gt;"",--(N37="Présent"),0),IF($P$5&lt;&gt;"",--(P37="Présent"),0),IF($R$5&lt;&gt;"",--(R37="Présent"),0),IF($T$5&lt;&gt;"",--(T37="Présent"),0),IF($V$5&lt;&gt;"",--(V37="Présent"),0),IF($X$5&lt;&gt;"",--(X37="Présent"),0),IF($Z$5&lt;&gt;"",--(Z37="Présent"),0),IF($AB$5&lt;&gt;"",--(AB37="Présent"),0),IF($AD$5&lt;&gt;"",--(AD37="Présent"),0),IF($AF$5&lt;&gt;"",--(AF37="Présent"),0),IF($AH$5&lt;&gt;"",--(AH37="Présent"),0),IF($AJ$5&lt;&gt;"",--(AJ37="Présent"),0),IF($AL$5&lt;&gt;"",--(AL37="Présent"),0),IF($AN$5&lt;&gt;"",--(AN37="Présent"),0),IF($AP$5&lt;&gt;"",--(AP37="Présent"),0),IF($AR$5&lt;&gt;"",--(AR37="Présent"),0),IF($AT$5&lt;&gt;"",--(AT37="Présent"),0),IF($AV$5&lt;&gt;"",--(AV37="Présent"),0),IF($AX$5&lt;&gt;"",--(AX37="Présent"),0),IF($AZ$5&lt;&gt;"",--(AZ37="Présent"),0),IF($BB$5&lt;&gt;"",--(BB37="Présent"),0),IF($BD$5&lt;&gt;"",--(BD37="Présent"),0),IF($BF$5&lt;&gt;"",--(BF37="Présent"),0),IF($BH$5&lt;&gt;"",--(BH37="Présent"),0),IF($BJ$5&lt;&gt;"",--(BJ37="Présent"),0),IF($BL$5&lt;&gt;"",--(BL37="Présent"),0)))</f>
      </c>
      <c r="BO37" s="22">
        <f>IF($A37="","",SUM(IF($D$5&lt;&gt;"",--(D37="Absent"),0),IF($F$5&lt;&gt;"",--(F37="Absent"),0),IF($H$5&lt;&gt;"",--(H37="Absent"),0),IF($J$5&lt;&gt;"",--(J37="Absent"),0),IF($L$5&lt;&gt;"",--(L37="Absent"),0),IF($N$5&lt;&gt;"",--(N37="Absent"),0),IF($P$5&lt;&gt;"",--(P37="Absent"),0),IF($R$5&lt;&gt;"",--(R37="Absent"),0),IF($T$5&lt;&gt;"",--(T37="Absent"),0),IF($V$5&lt;&gt;"",--(V37="Absent"),0),IF($X$5&lt;&gt;"",--(X37="Absent"),0),IF($Z$5&lt;&gt;"",--(Z37="Absent"),0),IF($AB$5&lt;&gt;"",--(AB37="Absent"),0),IF($AD$5&lt;&gt;"",--(AD37="Absent"),0),IF($AF$5&lt;&gt;"",--(AF37="Absent"),0),IF($AH$5&lt;&gt;"",--(AH37="Absent"),0),IF($AJ$5&lt;&gt;"",--(AJ37="Absent"),0),IF($AL$5&lt;&gt;"",--(AL37="Absent"),0),IF($AN$5&lt;&gt;"",--(AN37="Absent"),0),IF($AP$5&lt;&gt;"",--(AP37="Absent"),0),IF($AR$5&lt;&gt;"",--(AR37="Absent"),0),IF($AT$5&lt;&gt;"",--(AT37="Absent"),0),IF($AV$5&lt;&gt;"",--(AV37="Absent"),0),IF($AX$5&lt;&gt;"",--(AX37="Absent"),0),IF($AZ$5&lt;&gt;"",--(AZ37="Absent"),0),IF($BB$5&lt;&gt;"",--(BB37="Absent"),0),IF($BD$5&lt;&gt;"",--(BD37="Absent"),0),IF($BF$5&lt;&gt;"",--(BF37="Absent"),0),IF($BH$5&lt;&gt;"",--(BH37="Absent"),0),IF($BJ$5&lt;&gt;"",--(BJ37="Absent"),0),IF($BL$5&lt;&gt;"",--(BL37="Absent"),0)))</f>
      </c>
      <c r="BP37" s="22">
        <f>IF($A37="","",SUM(IF($D$5&lt;&gt;"",--(D37="Congé"),0),IF($F$5&lt;&gt;"",--(F37="Congé"),0),IF($H$5&lt;&gt;"",--(H37="Congé"),0),IF($J$5&lt;&gt;"",--(J37="Congé"),0),IF($L$5&lt;&gt;"",--(L37="Congé"),0),IF($N$5&lt;&gt;"",--(N37="Congé"),0),IF($P$5&lt;&gt;"",--(P37="Congé"),0),IF($R$5&lt;&gt;"",--(R37="Congé"),0),IF($T$5&lt;&gt;"",--(T37="Congé"),0),IF($V$5&lt;&gt;"",--(V37="Congé"),0),IF($X$5&lt;&gt;"",--(X37="Congé"),0),IF($Z$5&lt;&gt;"",--(Z37="Congé"),0),IF($AB$5&lt;&gt;"",--(AB37="Congé"),0),IF($AD$5&lt;&gt;"",--(AD37="Congé"),0),IF($AF$5&lt;&gt;"",--(AF37="Congé"),0),IF($AH$5&lt;&gt;"",--(AH37="Congé"),0),IF($AJ$5&lt;&gt;"",--(AJ37="Congé"),0),IF($AL$5&lt;&gt;"",--(AL37="Congé"),0),IF($AN$5&lt;&gt;"",--(AN37="Congé"),0),IF($AP$5&lt;&gt;"",--(AP37="Congé"),0),IF($AR$5&lt;&gt;"",--(AR37="Congé"),0),IF($AT$5&lt;&gt;"",--(AT37="Congé"),0),IF($AV$5&lt;&gt;"",--(AV37="Congé"),0),IF($AX$5&lt;&gt;"",--(AX37="Congé"),0),IF($AZ$5&lt;&gt;"",--(AZ37="Congé"),0),IF($BB$5&lt;&gt;"",--(BB37="Congé"),0),IF($BD$5&lt;&gt;"",--(BD37="Congé"),0),IF($BF$5&lt;&gt;"",--(BF37="Congé"),0),IF($BH$5&lt;&gt;"",--(BH37="Congé"),0),IF($BJ$5&lt;&gt;"",--(BJ37="Congé"),0),IF($BL$5&lt;&gt;"",--(BL37="Congé"),0)))</f>
      </c>
      <c r="BQ37" s="22">
        <f>IF($A37="","",SUM(IF($D$5&lt;&gt;"",--(D37="Maladie"),0),IF($F$5&lt;&gt;"",--(F37="Maladie"),0),IF($H$5&lt;&gt;"",--(H37="Maladie"),0),IF($J$5&lt;&gt;"",--(J37="Maladie"),0),IF($L$5&lt;&gt;"",--(L37="Maladie"),0),IF($N$5&lt;&gt;"",--(N37="Maladie"),0),IF($P$5&lt;&gt;"",--(P37="Maladie"),0),IF($R$5&lt;&gt;"",--(R37="Maladie"),0),IF($T$5&lt;&gt;"",--(T37="Maladie"),0),IF($V$5&lt;&gt;"",--(V37="Maladie"),0),IF($X$5&lt;&gt;"",--(X37="Maladie"),0),IF($Z$5&lt;&gt;"",--(Z37="Maladie"),0),IF($AB$5&lt;&gt;"",--(AB37="Maladie"),0),IF($AD$5&lt;&gt;"",--(AD37="Maladie"),0),IF($AF$5&lt;&gt;"",--(AF37="Maladie"),0),IF($AH$5&lt;&gt;"",--(AH37="Maladie"),0),IF($AJ$5&lt;&gt;"",--(AJ37="Maladie"),0),IF($AL$5&lt;&gt;"",--(AL37="Maladie"),0),IF($AN$5&lt;&gt;"",--(AN37="Maladie"),0),IF($AP$5&lt;&gt;"",--(AP37="Maladie"),0),IF($AR$5&lt;&gt;"",--(AR37="Maladie"),0),IF($AT$5&lt;&gt;"",--(AT37="Maladie"),0),IF($AV$5&lt;&gt;"",--(AV37="Maladie"),0),IF($AX$5&lt;&gt;"",--(AX37="Maladie"),0),IF($AZ$5&lt;&gt;"",--(AZ37="Maladie"),0),IF($BB$5&lt;&gt;"",--(BB37="Maladie"),0),IF($BD$5&lt;&gt;"",--(BD37="Maladie"),0),IF($BF$5&lt;&gt;"",--(BF37="Maladie"),0),IF($BH$5&lt;&gt;"",--(BH37="Maladie"),0),IF($BJ$5&lt;&gt;"",--(BJ37="Maladie"),0),IF($BL$5&lt;&gt;"",--(BL37="Maladie"),0)))</f>
      </c>
      <c r="BR37" s="23">
        <f>IF($A37="","",SUM(IF($D$5&lt;&gt;"",IF(D37="Présent",E37,0),0),IF($F$5&lt;&gt;"",IF(F37="Présent",G37,0),0),IF($H$5&lt;&gt;"",IF(H37="Présent",I37,0),0),IF($J$5&lt;&gt;"",IF(J37="Présent",K37,0),0),IF($L$5&lt;&gt;"",IF(L37="Présent",M37,0),0),IF($N$5&lt;&gt;"",IF(N37="Présent",O37,0),0),IF($P$5&lt;&gt;"",IF(P37="Présent",Q37,0),0),IF($R$5&lt;&gt;"",IF(R37="Présent",S37,0),0),IF($T$5&lt;&gt;"",IF(T37="Présent",U37,0),0),IF($V$5&lt;&gt;"",IF(V37="Présent",W37,0),0),IF($X$5&lt;&gt;"",IF(X37="Présent",Y37,0),0),IF($Z$5&lt;&gt;"",IF(Z37="Présent",AA37,0),0),IF($AB$5&lt;&gt;"",IF(AB37="Présent",AC37,0),0),IF($AD$5&lt;&gt;"",IF(AD37="Présent",AE37,0),0),IF($AF$5&lt;&gt;"",IF(AF37="Présent",AG37,0),0),IF($AH$5&lt;&gt;"",IF(AH37="Présent",AI37,0),0),IF($AJ$5&lt;&gt;"",IF(AJ37="Présent",AK37,0),0),IF($AL$5&lt;&gt;"",IF(AL37="Présent",AM37,0),0),IF($AN$5&lt;&gt;"",IF(AN37="Présent",AO37,0),0),IF($AP$5&lt;&gt;"",IF(AP37="Présent",AQ37,0),0),IF($AR$5&lt;&gt;"",IF(AR37="Présent",AS37,0),0),IF($AT$5&lt;&gt;"",IF(AT37="Présent",AU37,0),0),IF($AV$5&lt;&gt;"",IF(AV37="Présent",AW37,0),0),IF($AX$5&lt;&gt;"",IF(AX37="Présent",AY37,0),0),IF($AZ$5&lt;&gt;"",IF(AZ37="Présent",BA37,0),0),IF($BB$5&lt;&gt;"",IF(BB37="Présent",BC37,0),0),IF($BD$5&lt;&gt;"",IF(BD37="Présent",BE37,0),0),IF($BF$5&lt;&gt;"",IF(BF37="Présent",BG37,0),0),IF($BH$5&lt;&gt;"",IF(BH37="Présent",BI37,0),0),IF($BJ$5&lt;&gt;"",IF(BJ37="Présent",BK37,0),0),IF($BL$5&lt;&gt;"",IF(BL37="Présent",BM37,0),0)))</f>
      </c>
      <c r="BS37" s="25">
        <f>IF($A37="","",$BN37*IFERROR(INDEX(Categories_Salaire,MATCH($C37,ListeCategories,0)),0)+$BR37*IF(IFERROR(INDEX(Categories_TauxHS,MATCH($C37,ListeCategories,0)),0)&gt;0,IFERROR(INDEX(Categories_TauxHS,MATCH($C37,ListeCategories,0)),0),TauxHSDefaut))</f>
      </c>
    </row>
    <row r="38">
      <c r="A38" s="20">
        <f>IF(AND(INDEX(Employes_Nom,32)&lt;&gt;"",INDEX(Employes_Statut,32)="Actif",OR(INDEX(Employes_Embauche,32)="",INDEX(Employes_Embauche,32)&lt;=EOMONTH(DATE(AnneeCourante,MoisCourant,1),0))),INDEX(Employes_ID,32),"")</f>
      </c>
      <c r="B38" s="19">
        <f>IF($A38="","",INDEX(Employes_Nom,MATCH($A38,Employes_ID,0)))</f>
      </c>
      <c r="C38" s="20">
        <f>IF($A38="","",INDEX(Employes_Categorie,MATCH($A38,Employes_ID,0)))</f>
      </c>
      <c r="D38" s="26"/>
      <c r="E38" s="27"/>
      <c r="F38" s="26"/>
      <c r="G38" s="27"/>
      <c r="H38" s="26"/>
      <c r="I38" s="27"/>
      <c r="J38" s="26"/>
      <c r="K38" s="27"/>
      <c r="L38" s="26"/>
      <c r="M38" s="27"/>
      <c r="N38" s="26"/>
      <c r="O38" s="27"/>
      <c r="P38" s="26"/>
      <c r="Q38" s="27"/>
      <c r="R38" s="26"/>
      <c r="S38" s="27"/>
      <c r="T38" s="26"/>
      <c r="U38" s="27"/>
      <c r="V38" s="26"/>
      <c r="W38" s="27"/>
      <c r="X38" s="26"/>
      <c r="Y38" s="27"/>
      <c r="Z38" s="26"/>
      <c r="AA38" s="27"/>
      <c r="AB38" s="26"/>
      <c r="AC38" s="27"/>
      <c r="AD38" s="26"/>
      <c r="AE38" s="27"/>
      <c r="AF38" s="26"/>
      <c r="AG38" s="27"/>
      <c r="AH38" s="26"/>
      <c r="AI38" s="27"/>
      <c r="AJ38" s="26"/>
      <c r="AK38" s="27"/>
      <c r="AL38" s="26"/>
      <c r="AM38" s="27"/>
      <c r="AN38" s="26"/>
      <c r="AO38" s="27"/>
      <c r="AP38" s="26"/>
      <c r="AQ38" s="27"/>
      <c r="AR38" s="26"/>
      <c r="AS38" s="27"/>
      <c r="AT38" s="26"/>
      <c r="AU38" s="27"/>
      <c r="AV38" s="26"/>
      <c r="AW38" s="27"/>
      <c r="AX38" s="26"/>
      <c r="AY38" s="27"/>
      <c r="AZ38" s="26"/>
      <c r="BA38" s="27"/>
      <c r="BB38" s="26"/>
      <c r="BC38" s="27"/>
      <c r="BD38" s="26"/>
      <c r="BE38" s="27"/>
      <c r="BF38" s="26"/>
      <c r="BG38" s="27"/>
      <c r="BH38" s="26"/>
      <c r="BI38" s="27"/>
      <c r="BJ38" s="26"/>
      <c r="BK38" s="27"/>
      <c r="BL38" s="26"/>
      <c r="BM38" s="27"/>
      <c r="BN38" s="22">
        <f>IF($A38="","",SUM(IF($D$5&lt;&gt;"",--(D38="Présent"),0),IF($F$5&lt;&gt;"",--(F38="Présent"),0),IF($H$5&lt;&gt;"",--(H38="Présent"),0),IF($J$5&lt;&gt;"",--(J38="Présent"),0),IF($L$5&lt;&gt;"",--(L38="Présent"),0),IF($N$5&lt;&gt;"",--(N38="Présent"),0),IF($P$5&lt;&gt;"",--(P38="Présent"),0),IF($R$5&lt;&gt;"",--(R38="Présent"),0),IF($T$5&lt;&gt;"",--(T38="Présent"),0),IF($V$5&lt;&gt;"",--(V38="Présent"),0),IF($X$5&lt;&gt;"",--(X38="Présent"),0),IF($Z$5&lt;&gt;"",--(Z38="Présent"),0),IF($AB$5&lt;&gt;"",--(AB38="Présent"),0),IF($AD$5&lt;&gt;"",--(AD38="Présent"),0),IF($AF$5&lt;&gt;"",--(AF38="Présent"),0),IF($AH$5&lt;&gt;"",--(AH38="Présent"),0),IF($AJ$5&lt;&gt;"",--(AJ38="Présent"),0),IF($AL$5&lt;&gt;"",--(AL38="Présent"),0),IF($AN$5&lt;&gt;"",--(AN38="Présent"),0),IF($AP$5&lt;&gt;"",--(AP38="Présent"),0),IF($AR$5&lt;&gt;"",--(AR38="Présent"),0),IF($AT$5&lt;&gt;"",--(AT38="Présent"),0),IF($AV$5&lt;&gt;"",--(AV38="Présent"),0),IF($AX$5&lt;&gt;"",--(AX38="Présent"),0),IF($AZ$5&lt;&gt;"",--(AZ38="Présent"),0),IF($BB$5&lt;&gt;"",--(BB38="Présent"),0),IF($BD$5&lt;&gt;"",--(BD38="Présent"),0),IF($BF$5&lt;&gt;"",--(BF38="Présent"),0),IF($BH$5&lt;&gt;"",--(BH38="Présent"),0),IF($BJ$5&lt;&gt;"",--(BJ38="Présent"),0),IF($BL$5&lt;&gt;"",--(BL38="Présent"),0)))</f>
      </c>
      <c r="BO38" s="22">
        <f>IF($A38="","",SUM(IF($D$5&lt;&gt;"",--(D38="Absent"),0),IF($F$5&lt;&gt;"",--(F38="Absent"),0),IF($H$5&lt;&gt;"",--(H38="Absent"),0),IF($J$5&lt;&gt;"",--(J38="Absent"),0),IF($L$5&lt;&gt;"",--(L38="Absent"),0),IF($N$5&lt;&gt;"",--(N38="Absent"),0),IF($P$5&lt;&gt;"",--(P38="Absent"),0),IF($R$5&lt;&gt;"",--(R38="Absent"),0),IF($T$5&lt;&gt;"",--(T38="Absent"),0),IF($V$5&lt;&gt;"",--(V38="Absent"),0),IF($X$5&lt;&gt;"",--(X38="Absent"),0),IF($Z$5&lt;&gt;"",--(Z38="Absent"),0),IF($AB$5&lt;&gt;"",--(AB38="Absent"),0),IF($AD$5&lt;&gt;"",--(AD38="Absent"),0),IF($AF$5&lt;&gt;"",--(AF38="Absent"),0),IF($AH$5&lt;&gt;"",--(AH38="Absent"),0),IF($AJ$5&lt;&gt;"",--(AJ38="Absent"),0),IF($AL$5&lt;&gt;"",--(AL38="Absent"),0),IF($AN$5&lt;&gt;"",--(AN38="Absent"),0),IF($AP$5&lt;&gt;"",--(AP38="Absent"),0),IF($AR$5&lt;&gt;"",--(AR38="Absent"),0),IF($AT$5&lt;&gt;"",--(AT38="Absent"),0),IF($AV$5&lt;&gt;"",--(AV38="Absent"),0),IF($AX$5&lt;&gt;"",--(AX38="Absent"),0),IF($AZ$5&lt;&gt;"",--(AZ38="Absent"),0),IF($BB$5&lt;&gt;"",--(BB38="Absent"),0),IF($BD$5&lt;&gt;"",--(BD38="Absent"),0),IF($BF$5&lt;&gt;"",--(BF38="Absent"),0),IF($BH$5&lt;&gt;"",--(BH38="Absent"),0),IF($BJ$5&lt;&gt;"",--(BJ38="Absent"),0),IF($BL$5&lt;&gt;"",--(BL38="Absent"),0)))</f>
      </c>
      <c r="BP38" s="22">
        <f>IF($A38="","",SUM(IF($D$5&lt;&gt;"",--(D38="Congé"),0),IF($F$5&lt;&gt;"",--(F38="Congé"),0),IF($H$5&lt;&gt;"",--(H38="Congé"),0),IF($J$5&lt;&gt;"",--(J38="Congé"),0),IF($L$5&lt;&gt;"",--(L38="Congé"),0),IF($N$5&lt;&gt;"",--(N38="Congé"),0),IF($P$5&lt;&gt;"",--(P38="Congé"),0),IF($R$5&lt;&gt;"",--(R38="Congé"),0),IF($T$5&lt;&gt;"",--(T38="Congé"),0),IF($V$5&lt;&gt;"",--(V38="Congé"),0),IF($X$5&lt;&gt;"",--(X38="Congé"),0),IF($Z$5&lt;&gt;"",--(Z38="Congé"),0),IF($AB$5&lt;&gt;"",--(AB38="Congé"),0),IF($AD$5&lt;&gt;"",--(AD38="Congé"),0),IF($AF$5&lt;&gt;"",--(AF38="Congé"),0),IF($AH$5&lt;&gt;"",--(AH38="Congé"),0),IF($AJ$5&lt;&gt;"",--(AJ38="Congé"),0),IF($AL$5&lt;&gt;"",--(AL38="Congé"),0),IF($AN$5&lt;&gt;"",--(AN38="Congé"),0),IF($AP$5&lt;&gt;"",--(AP38="Congé"),0),IF($AR$5&lt;&gt;"",--(AR38="Congé"),0),IF($AT$5&lt;&gt;"",--(AT38="Congé"),0),IF($AV$5&lt;&gt;"",--(AV38="Congé"),0),IF($AX$5&lt;&gt;"",--(AX38="Congé"),0),IF($AZ$5&lt;&gt;"",--(AZ38="Congé"),0),IF($BB$5&lt;&gt;"",--(BB38="Congé"),0),IF($BD$5&lt;&gt;"",--(BD38="Congé"),0),IF($BF$5&lt;&gt;"",--(BF38="Congé"),0),IF($BH$5&lt;&gt;"",--(BH38="Congé"),0),IF($BJ$5&lt;&gt;"",--(BJ38="Congé"),0),IF($BL$5&lt;&gt;"",--(BL38="Congé"),0)))</f>
      </c>
      <c r="BQ38" s="22">
        <f>IF($A38="","",SUM(IF($D$5&lt;&gt;"",--(D38="Maladie"),0),IF($F$5&lt;&gt;"",--(F38="Maladie"),0),IF($H$5&lt;&gt;"",--(H38="Maladie"),0),IF($J$5&lt;&gt;"",--(J38="Maladie"),0),IF($L$5&lt;&gt;"",--(L38="Maladie"),0),IF($N$5&lt;&gt;"",--(N38="Maladie"),0),IF($P$5&lt;&gt;"",--(P38="Maladie"),0),IF($R$5&lt;&gt;"",--(R38="Maladie"),0),IF($T$5&lt;&gt;"",--(T38="Maladie"),0),IF($V$5&lt;&gt;"",--(V38="Maladie"),0),IF($X$5&lt;&gt;"",--(X38="Maladie"),0),IF($Z$5&lt;&gt;"",--(Z38="Maladie"),0),IF($AB$5&lt;&gt;"",--(AB38="Maladie"),0),IF($AD$5&lt;&gt;"",--(AD38="Maladie"),0),IF($AF$5&lt;&gt;"",--(AF38="Maladie"),0),IF($AH$5&lt;&gt;"",--(AH38="Maladie"),0),IF($AJ$5&lt;&gt;"",--(AJ38="Maladie"),0),IF($AL$5&lt;&gt;"",--(AL38="Maladie"),0),IF($AN$5&lt;&gt;"",--(AN38="Maladie"),0),IF($AP$5&lt;&gt;"",--(AP38="Maladie"),0),IF($AR$5&lt;&gt;"",--(AR38="Maladie"),0),IF($AT$5&lt;&gt;"",--(AT38="Maladie"),0),IF($AV$5&lt;&gt;"",--(AV38="Maladie"),0),IF($AX$5&lt;&gt;"",--(AX38="Maladie"),0),IF($AZ$5&lt;&gt;"",--(AZ38="Maladie"),0),IF($BB$5&lt;&gt;"",--(BB38="Maladie"),0),IF($BD$5&lt;&gt;"",--(BD38="Maladie"),0),IF($BF$5&lt;&gt;"",--(BF38="Maladie"),0),IF($BH$5&lt;&gt;"",--(BH38="Maladie"),0),IF($BJ$5&lt;&gt;"",--(BJ38="Maladie"),0),IF($BL$5&lt;&gt;"",--(BL38="Maladie"),0)))</f>
      </c>
      <c r="BR38" s="23">
        <f>IF($A38="","",SUM(IF($D$5&lt;&gt;"",IF(D38="Présent",E38,0),0),IF($F$5&lt;&gt;"",IF(F38="Présent",G38,0),0),IF($H$5&lt;&gt;"",IF(H38="Présent",I38,0),0),IF($J$5&lt;&gt;"",IF(J38="Présent",K38,0),0),IF($L$5&lt;&gt;"",IF(L38="Présent",M38,0),0),IF($N$5&lt;&gt;"",IF(N38="Présent",O38,0),0),IF($P$5&lt;&gt;"",IF(P38="Présent",Q38,0),0),IF($R$5&lt;&gt;"",IF(R38="Présent",S38,0),0),IF($T$5&lt;&gt;"",IF(T38="Présent",U38,0),0),IF($V$5&lt;&gt;"",IF(V38="Présent",W38,0),0),IF($X$5&lt;&gt;"",IF(X38="Présent",Y38,0),0),IF($Z$5&lt;&gt;"",IF(Z38="Présent",AA38,0),0),IF($AB$5&lt;&gt;"",IF(AB38="Présent",AC38,0),0),IF($AD$5&lt;&gt;"",IF(AD38="Présent",AE38,0),0),IF($AF$5&lt;&gt;"",IF(AF38="Présent",AG38,0),0),IF($AH$5&lt;&gt;"",IF(AH38="Présent",AI38,0),0),IF($AJ$5&lt;&gt;"",IF(AJ38="Présent",AK38,0),0),IF($AL$5&lt;&gt;"",IF(AL38="Présent",AM38,0),0),IF($AN$5&lt;&gt;"",IF(AN38="Présent",AO38,0),0),IF($AP$5&lt;&gt;"",IF(AP38="Présent",AQ38,0),0),IF($AR$5&lt;&gt;"",IF(AR38="Présent",AS38,0),0),IF($AT$5&lt;&gt;"",IF(AT38="Présent",AU38,0),0),IF($AV$5&lt;&gt;"",IF(AV38="Présent",AW38,0),0),IF($AX$5&lt;&gt;"",IF(AX38="Présent",AY38,0),0),IF($AZ$5&lt;&gt;"",IF(AZ38="Présent",BA38,0),0),IF($BB$5&lt;&gt;"",IF(BB38="Présent",BC38,0),0),IF($BD$5&lt;&gt;"",IF(BD38="Présent",BE38,0),0),IF($BF$5&lt;&gt;"",IF(BF38="Présent",BG38,0),0),IF($BH$5&lt;&gt;"",IF(BH38="Présent",BI38,0),0),IF($BJ$5&lt;&gt;"",IF(BJ38="Présent",BK38,0),0),IF($BL$5&lt;&gt;"",IF(BL38="Présent",BM38,0),0)))</f>
      </c>
      <c r="BS38" s="25">
        <f>IF($A38="","",$BN38*IFERROR(INDEX(Categories_Salaire,MATCH($C38,ListeCategories,0)),0)+$BR38*IF(IFERROR(INDEX(Categories_TauxHS,MATCH($C38,ListeCategories,0)),0)&gt;0,IFERROR(INDEX(Categories_TauxHS,MATCH($C38,ListeCategories,0)),0),TauxHSDefaut))</f>
      </c>
    </row>
    <row r="39">
      <c r="A39" s="20">
        <f>IF(AND(INDEX(Employes_Nom,33)&lt;&gt;"",INDEX(Employes_Statut,33)="Actif",OR(INDEX(Employes_Embauche,33)="",INDEX(Employes_Embauche,33)&lt;=EOMONTH(DATE(AnneeCourante,MoisCourant,1),0))),INDEX(Employes_ID,33),"")</f>
      </c>
      <c r="B39" s="19">
        <f>IF($A39="","",INDEX(Employes_Nom,MATCH($A39,Employes_ID,0)))</f>
      </c>
      <c r="C39" s="20">
        <f>IF($A39="","",INDEX(Employes_Categorie,MATCH($A39,Employes_ID,0)))</f>
      </c>
      <c r="D39" s="26"/>
      <c r="E39" s="27"/>
      <c r="F39" s="26"/>
      <c r="G39" s="27"/>
      <c r="H39" s="26"/>
      <c r="I39" s="27"/>
      <c r="J39" s="26"/>
      <c r="K39" s="27"/>
      <c r="L39" s="26"/>
      <c r="M39" s="27"/>
      <c r="N39" s="26"/>
      <c r="O39" s="27"/>
      <c r="P39" s="26"/>
      <c r="Q39" s="27"/>
      <c r="R39" s="26"/>
      <c r="S39" s="27"/>
      <c r="T39" s="26"/>
      <c r="U39" s="27"/>
      <c r="V39" s="26"/>
      <c r="W39" s="27"/>
      <c r="X39" s="26"/>
      <c r="Y39" s="27"/>
      <c r="Z39" s="26"/>
      <c r="AA39" s="27"/>
      <c r="AB39" s="26"/>
      <c r="AC39" s="27"/>
      <c r="AD39" s="26"/>
      <c r="AE39" s="27"/>
      <c r="AF39" s="26"/>
      <c r="AG39" s="27"/>
      <c r="AH39" s="26"/>
      <c r="AI39" s="27"/>
      <c r="AJ39" s="26"/>
      <c r="AK39" s="27"/>
      <c r="AL39" s="26"/>
      <c r="AM39" s="27"/>
      <c r="AN39" s="26"/>
      <c r="AO39" s="27"/>
      <c r="AP39" s="26"/>
      <c r="AQ39" s="27"/>
      <c r="AR39" s="26"/>
      <c r="AS39" s="27"/>
      <c r="AT39" s="26"/>
      <c r="AU39" s="27"/>
      <c r="AV39" s="26"/>
      <c r="AW39" s="27"/>
      <c r="AX39" s="26"/>
      <c r="AY39" s="27"/>
      <c r="AZ39" s="26"/>
      <c r="BA39" s="27"/>
      <c r="BB39" s="26"/>
      <c r="BC39" s="27"/>
      <c r="BD39" s="26"/>
      <c r="BE39" s="27"/>
      <c r="BF39" s="26"/>
      <c r="BG39" s="27"/>
      <c r="BH39" s="26"/>
      <c r="BI39" s="27"/>
      <c r="BJ39" s="26"/>
      <c r="BK39" s="27"/>
      <c r="BL39" s="26"/>
      <c r="BM39" s="27"/>
      <c r="BN39" s="22">
        <f>IF($A39="","",SUM(IF($D$5&lt;&gt;"",--(D39="Présent"),0),IF($F$5&lt;&gt;"",--(F39="Présent"),0),IF($H$5&lt;&gt;"",--(H39="Présent"),0),IF($J$5&lt;&gt;"",--(J39="Présent"),0),IF($L$5&lt;&gt;"",--(L39="Présent"),0),IF($N$5&lt;&gt;"",--(N39="Présent"),0),IF($P$5&lt;&gt;"",--(P39="Présent"),0),IF($R$5&lt;&gt;"",--(R39="Présent"),0),IF($T$5&lt;&gt;"",--(T39="Présent"),0),IF($V$5&lt;&gt;"",--(V39="Présent"),0),IF($X$5&lt;&gt;"",--(X39="Présent"),0),IF($Z$5&lt;&gt;"",--(Z39="Présent"),0),IF($AB$5&lt;&gt;"",--(AB39="Présent"),0),IF($AD$5&lt;&gt;"",--(AD39="Présent"),0),IF($AF$5&lt;&gt;"",--(AF39="Présent"),0),IF($AH$5&lt;&gt;"",--(AH39="Présent"),0),IF($AJ$5&lt;&gt;"",--(AJ39="Présent"),0),IF($AL$5&lt;&gt;"",--(AL39="Présent"),0),IF($AN$5&lt;&gt;"",--(AN39="Présent"),0),IF($AP$5&lt;&gt;"",--(AP39="Présent"),0),IF($AR$5&lt;&gt;"",--(AR39="Présent"),0),IF($AT$5&lt;&gt;"",--(AT39="Présent"),0),IF($AV$5&lt;&gt;"",--(AV39="Présent"),0),IF($AX$5&lt;&gt;"",--(AX39="Présent"),0),IF($AZ$5&lt;&gt;"",--(AZ39="Présent"),0),IF($BB$5&lt;&gt;"",--(BB39="Présent"),0),IF($BD$5&lt;&gt;"",--(BD39="Présent"),0),IF($BF$5&lt;&gt;"",--(BF39="Présent"),0),IF($BH$5&lt;&gt;"",--(BH39="Présent"),0),IF($BJ$5&lt;&gt;"",--(BJ39="Présent"),0),IF($BL$5&lt;&gt;"",--(BL39="Présent"),0)))</f>
      </c>
      <c r="BO39" s="22">
        <f>IF($A39="","",SUM(IF($D$5&lt;&gt;"",--(D39="Absent"),0),IF($F$5&lt;&gt;"",--(F39="Absent"),0),IF($H$5&lt;&gt;"",--(H39="Absent"),0),IF($J$5&lt;&gt;"",--(J39="Absent"),0),IF($L$5&lt;&gt;"",--(L39="Absent"),0),IF($N$5&lt;&gt;"",--(N39="Absent"),0),IF($P$5&lt;&gt;"",--(P39="Absent"),0),IF($R$5&lt;&gt;"",--(R39="Absent"),0),IF($T$5&lt;&gt;"",--(T39="Absent"),0),IF($V$5&lt;&gt;"",--(V39="Absent"),0),IF($X$5&lt;&gt;"",--(X39="Absent"),0),IF($Z$5&lt;&gt;"",--(Z39="Absent"),0),IF($AB$5&lt;&gt;"",--(AB39="Absent"),0),IF($AD$5&lt;&gt;"",--(AD39="Absent"),0),IF($AF$5&lt;&gt;"",--(AF39="Absent"),0),IF($AH$5&lt;&gt;"",--(AH39="Absent"),0),IF($AJ$5&lt;&gt;"",--(AJ39="Absent"),0),IF($AL$5&lt;&gt;"",--(AL39="Absent"),0),IF($AN$5&lt;&gt;"",--(AN39="Absent"),0),IF($AP$5&lt;&gt;"",--(AP39="Absent"),0),IF($AR$5&lt;&gt;"",--(AR39="Absent"),0),IF($AT$5&lt;&gt;"",--(AT39="Absent"),0),IF($AV$5&lt;&gt;"",--(AV39="Absent"),0),IF($AX$5&lt;&gt;"",--(AX39="Absent"),0),IF($AZ$5&lt;&gt;"",--(AZ39="Absent"),0),IF($BB$5&lt;&gt;"",--(BB39="Absent"),0),IF($BD$5&lt;&gt;"",--(BD39="Absent"),0),IF($BF$5&lt;&gt;"",--(BF39="Absent"),0),IF($BH$5&lt;&gt;"",--(BH39="Absent"),0),IF($BJ$5&lt;&gt;"",--(BJ39="Absent"),0),IF($BL$5&lt;&gt;"",--(BL39="Absent"),0)))</f>
      </c>
      <c r="BP39" s="22">
        <f>IF($A39="","",SUM(IF($D$5&lt;&gt;"",--(D39="Congé"),0),IF($F$5&lt;&gt;"",--(F39="Congé"),0),IF($H$5&lt;&gt;"",--(H39="Congé"),0),IF($J$5&lt;&gt;"",--(J39="Congé"),0),IF($L$5&lt;&gt;"",--(L39="Congé"),0),IF($N$5&lt;&gt;"",--(N39="Congé"),0),IF($P$5&lt;&gt;"",--(P39="Congé"),0),IF($R$5&lt;&gt;"",--(R39="Congé"),0),IF($T$5&lt;&gt;"",--(T39="Congé"),0),IF($V$5&lt;&gt;"",--(V39="Congé"),0),IF($X$5&lt;&gt;"",--(X39="Congé"),0),IF($Z$5&lt;&gt;"",--(Z39="Congé"),0),IF($AB$5&lt;&gt;"",--(AB39="Congé"),0),IF($AD$5&lt;&gt;"",--(AD39="Congé"),0),IF($AF$5&lt;&gt;"",--(AF39="Congé"),0),IF($AH$5&lt;&gt;"",--(AH39="Congé"),0),IF($AJ$5&lt;&gt;"",--(AJ39="Congé"),0),IF($AL$5&lt;&gt;"",--(AL39="Congé"),0),IF($AN$5&lt;&gt;"",--(AN39="Congé"),0),IF($AP$5&lt;&gt;"",--(AP39="Congé"),0),IF($AR$5&lt;&gt;"",--(AR39="Congé"),0),IF($AT$5&lt;&gt;"",--(AT39="Congé"),0),IF($AV$5&lt;&gt;"",--(AV39="Congé"),0),IF($AX$5&lt;&gt;"",--(AX39="Congé"),0),IF($AZ$5&lt;&gt;"",--(AZ39="Congé"),0),IF($BB$5&lt;&gt;"",--(BB39="Congé"),0),IF($BD$5&lt;&gt;"",--(BD39="Congé"),0),IF($BF$5&lt;&gt;"",--(BF39="Congé"),0),IF($BH$5&lt;&gt;"",--(BH39="Congé"),0),IF($BJ$5&lt;&gt;"",--(BJ39="Congé"),0),IF($BL$5&lt;&gt;"",--(BL39="Congé"),0)))</f>
      </c>
      <c r="BQ39" s="22">
        <f>IF($A39="","",SUM(IF($D$5&lt;&gt;"",--(D39="Maladie"),0),IF($F$5&lt;&gt;"",--(F39="Maladie"),0),IF($H$5&lt;&gt;"",--(H39="Maladie"),0),IF($J$5&lt;&gt;"",--(J39="Maladie"),0),IF($L$5&lt;&gt;"",--(L39="Maladie"),0),IF($N$5&lt;&gt;"",--(N39="Maladie"),0),IF($P$5&lt;&gt;"",--(P39="Maladie"),0),IF($R$5&lt;&gt;"",--(R39="Maladie"),0),IF($T$5&lt;&gt;"",--(T39="Maladie"),0),IF($V$5&lt;&gt;"",--(V39="Maladie"),0),IF($X$5&lt;&gt;"",--(X39="Maladie"),0),IF($Z$5&lt;&gt;"",--(Z39="Maladie"),0),IF($AB$5&lt;&gt;"",--(AB39="Maladie"),0),IF($AD$5&lt;&gt;"",--(AD39="Maladie"),0),IF($AF$5&lt;&gt;"",--(AF39="Maladie"),0),IF($AH$5&lt;&gt;"",--(AH39="Maladie"),0),IF($AJ$5&lt;&gt;"",--(AJ39="Maladie"),0),IF($AL$5&lt;&gt;"",--(AL39="Maladie"),0),IF($AN$5&lt;&gt;"",--(AN39="Maladie"),0),IF($AP$5&lt;&gt;"",--(AP39="Maladie"),0),IF($AR$5&lt;&gt;"",--(AR39="Maladie"),0),IF($AT$5&lt;&gt;"",--(AT39="Maladie"),0),IF($AV$5&lt;&gt;"",--(AV39="Maladie"),0),IF($AX$5&lt;&gt;"",--(AX39="Maladie"),0),IF($AZ$5&lt;&gt;"",--(AZ39="Maladie"),0),IF($BB$5&lt;&gt;"",--(BB39="Maladie"),0),IF($BD$5&lt;&gt;"",--(BD39="Maladie"),0),IF($BF$5&lt;&gt;"",--(BF39="Maladie"),0),IF($BH$5&lt;&gt;"",--(BH39="Maladie"),0),IF($BJ$5&lt;&gt;"",--(BJ39="Maladie"),0),IF($BL$5&lt;&gt;"",--(BL39="Maladie"),0)))</f>
      </c>
      <c r="BR39" s="23">
        <f>IF($A39="","",SUM(IF($D$5&lt;&gt;"",IF(D39="Présent",E39,0),0),IF($F$5&lt;&gt;"",IF(F39="Présent",G39,0),0),IF($H$5&lt;&gt;"",IF(H39="Présent",I39,0),0),IF($J$5&lt;&gt;"",IF(J39="Présent",K39,0),0),IF($L$5&lt;&gt;"",IF(L39="Présent",M39,0),0),IF($N$5&lt;&gt;"",IF(N39="Présent",O39,0),0),IF($P$5&lt;&gt;"",IF(P39="Présent",Q39,0),0),IF($R$5&lt;&gt;"",IF(R39="Présent",S39,0),0),IF($T$5&lt;&gt;"",IF(T39="Présent",U39,0),0),IF($V$5&lt;&gt;"",IF(V39="Présent",W39,0),0),IF($X$5&lt;&gt;"",IF(X39="Présent",Y39,0),0),IF($Z$5&lt;&gt;"",IF(Z39="Présent",AA39,0),0),IF($AB$5&lt;&gt;"",IF(AB39="Présent",AC39,0),0),IF($AD$5&lt;&gt;"",IF(AD39="Présent",AE39,0),0),IF($AF$5&lt;&gt;"",IF(AF39="Présent",AG39,0),0),IF($AH$5&lt;&gt;"",IF(AH39="Présent",AI39,0),0),IF($AJ$5&lt;&gt;"",IF(AJ39="Présent",AK39,0),0),IF($AL$5&lt;&gt;"",IF(AL39="Présent",AM39,0),0),IF($AN$5&lt;&gt;"",IF(AN39="Présent",AO39,0),0),IF($AP$5&lt;&gt;"",IF(AP39="Présent",AQ39,0),0),IF($AR$5&lt;&gt;"",IF(AR39="Présent",AS39,0),0),IF($AT$5&lt;&gt;"",IF(AT39="Présent",AU39,0),0),IF($AV$5&lt;&gt;"",IF(AV39="Présent",AW39,0),0),IF($AX$5&lt;&gt;"",IF(AX39="Présent",AY39,0),0),IF($AZ$5&lt;&gt;"",IF(AZ39="Présent",BA39,0),0),IF($BB$5&lt;&gt;"",IF(BB39="Présent",BC39,0),0),IF($BD$5&lt;&gt;"",IF(BD39="Présent",BE39,0),0),IF($BF$5&lt;&gt;"",IF(BF39="Présent",BG39,0),0),IF($BH$5&lt;&gt;"",IF(BH39="Présent",BI39,0),0),IF($BJ$5&lt;&gt;"",IF(BJ39="Présent",BK39,0),0),IF($BL$5&lt;&gt;"",IF(BL39="Présent",BM39,0),0)))</f>
      </c>
      <c r="BS39" s="25">
        <f>IF($A39="","",$BN39*IFERROR(INDEX(Categories_Salaire,MATCH($C39,ListeCategories,0)),0)+$BR39*IF(IFERROR(INDEX(Categories_TauxHS,MATCH($C39,ListeCategories,0)),0)&gt;0,IFERROR(INDEX(Categories_TauxHS,MATCH($C39,ListeCategories,0)),0),TauxHSDefaut))</f>
      </c>
    </row>
    <row r="40">
      <c r="A40" s="20">
        <f>IF(AND(INDEX(Employes_Nom,34)&lt;&gt;"",INDEX(Employes_Statut,34)="Actif",OR(INDEX(Employes_Embauche,34)="",INDEX(Employes_Embauche,34)&lt;=EOMONTH(DATE(AnneeCourante,MoisCourant,1),0))),INDEX(Employes_ID,34),"")</f>
      </c>
      <c r="B40" s="19">
        <f>IF($A40="","",INDEX(Employes_Nom,MATCH($A40,Employes_ID,0)))</f>
      </c>
      <c r="C40" s="20">
        <f>IF($A40="","",INDEX(Employes_Categorie,MATCH($A40,Employes_ID,0)))</f>
      </c>
      <c r="D40" s="26"/>
      <c r="E40" s="27"/>
      <c r="F40" s="26"/>
      <c r="G40" s="27"/>
      <c r="H40" s="26"/>
      <c r="I40" s="27"/>
      <c r="J40" s="26"/>
      <c r="K40" s="27"/>
      <c r="L40" s="26"/>
      <c r="M40" s="27"/>
      <c r="N40" s="26"/>
      <c r="O40" s="27"/>
      <c r="P40" s="26"/>
      <c r="Q40" s="27"/>
      <c r="R40" s="26"/>
      <c r="S40" s="27"/>
      <c r="T40" s="26"/>
      <c r="U40" s="27"/>
      <c r="V40" s="26"/>
      <c r="W40" s="27"/>
      <c r="X40" s="26"/>
      <c r="Y40" s="27"/>
      <c r="Z40" s="26"/>
      <c r="AA40" s="27"/>
      <c r="AB40" s="26"/>
      <c r="AC40" s="27"/>
      <c r="AD40" s="26"/>
      <c r="AE40" s="27"/>
      <c r="AF40" s="26"/>
      <c r="AG40" s="27"/>
      <c r="AH40" s="26"/>
      <c r="AI40" s="27"/>
      <c r="AJ40" s="26"/>
      <c r="AK40" s="27"/>
      <c r="AL40" s="26"/>
      <c r="AM40" s="27"/>
      <c r="AN40" s="26"/>
      <c r="AO40" s="27"/>
      <c r="AP40" s="26"/>
      <c r="AQ40" s="27"/>
      <c r="AR40" s="26"/>
      <c r="AS40" s="27"/>
      <c r="AT40" s="26"/>
      <c r="AU40" s="27"/>
      <c r="AV40" s="26"/>
      <c r="AW40" s="27"/>
      <c r="AX40" s="26"/>
      <c r="AY40" s="27"/>
      <c r="AZ40" s="26"/>
      <c r="BA40" s="27"/>
      <c r="BB40" s="26"/>
      <c r="BC40" s="27"/>
      <c r="BD40" s="26"/>
      <c r="BE40" s="27"/>
      <c r="BF40" s="26"/>
      <c r="BG40" s="27"/>
      <c r="BH40" s="26"/>
      <c r="BI40" s="27"/>
      <c r="BJ40" s="26"/>
      <c r="BK40" s="27"/>
      <c r="BL40" s="26"/>
      <c r="BM40" s="27"/>
      <c r="BN40" s="22">
        <f>IF($A40="","",SUM(IF($D$5&lt;&gt;"",--(D40="Présent"),0),IF($F$5&lt;&gt;"",--(F40="Présent"),0),IF($H$5&lt;&gt;"",--(H40="Présent"),0),IF($J$5&lt;&gt;"",--(J40="Présent"),0),IF($L$5&lt;&gt;"",--(L40="Présent"),0),IF($N$5&lt;&gt;"",--(N40="Présent"),0),IF($P$5&lt;&gt;"",--(P40="Présent"),0),IF($R$5&lt;&gt;"",--(R40="Présent"),0),IF($T$5&lt;&gt;"",--(T40="Présent"),0),IF($V$5&lt;&gt;"",--(V40="Présent"),0),IF($X$5&lt;&gt;"",--(X40="Présent"),0),IF($Z$5&lt;&gt;"",--(Z40="Présent"),0),IF($AB$5&lt;&gt;"",--(AB40="Présent"),0),IF($AD$5&lt;&gt;"",--(AD40="Présent"),0),IF($AF$5&lt;&gt;"",--(AF40="Présent"),0),IF($AH$5&lt;&gt;"",--(AH40="Présent"),0),IF($AJ$5&lt;&gt;"",--(AJ40="Présent"),0),IF($AL$5&lt;&gt;"",--(AL40="Présent"),0),IF($AN$5&lt;&gt;"",--(AN40="Présent"),0),IF($AP$5&lt;&gt;"",--(AP40="Présent"),0),IF($AR$5&lt;&gt;"",--(AR40="Présent"),0),IF($AT$5&lt;&gt;"",--(AT40="Présent"),0),IF($AV$5&lt;&gt;"",--(AV40="Présent"),0),IF($AX$5&lt;&gt;"",--(AX40="Présent"),0),IF($AZ$5&lt;&gt;"",--(AZ40="Présent"),0),IF($BB$5&lt;&gt;"",--(BB40="Présent"),0),IF($BD$5&lt;&gt;"",--(BD40="Présent"),0),IF($BF$5&lt;&gt;"",--(BF40="Présent"),0),IF($BH$5&lt;&gt;"",--(BH40="Présent"),0),IF($BJ$5&lt;&gt;"",--(BJ40="Présent"),0),IF($BL$5&lt;&gt;"",--(BL40="Présent"),0)))</f>
      </c>
      <c r="BO40" s="22">
        <f>IF($A40="","",SUM(IF($D$5&lt;&gt;"",--(D40="Absent"),0),IF($F$5&lt;&gt;"",--(F40="Absent"),0),IF($H$5&lt;&gt;"",--(H40="Absent"),0),IF($J$5&lt;&gt;"",--(J40="Absent"),0),IF($L$5&lt;&gt;"",--(L40="Absent"),0),IF($N$5&lt;&gt;"",--(N40="Absent"),0),IF($P$5&lt;&gt;"",--(P40="Absent"),0),IF($R$5&lt;&gt;"",--(R40="Absent"),0),IF($T$5&lt;&gt;"",--(T40="Absent"),0),IF($V$5&lt;&gt;"",--(V40="Absent"),0),IF($X$5&lt;&gt;"",--(X40="Absent"),0),IF($Z$5&lt;&gt;"",--(Z40="Absent"),0),IF($AB$5&lt;&gt;"",--(AB40="Absent"),0),IF($AD$5&lt;&gt;"",--(AD40="Absent"),0),IF($AF$5&lt;&gt;"",--(AF40="Absent"),0),IF($AH$5&lt;&gt;"",--(AH40="Absent"),0),IF($AJ$5&lt;&gt;"",--(AJ40="Absent"),0),IF($AL$5&lt;&gt;"",--(AL40="Absent"),0),IF($AN$5&lt;&gt;"",--(AN40="Absent"),0),IF($AP$5&lt;&gt;"",--(AP40="Absent"),0),IF($AR$5&lt;&gt;"",--(AR40="Absent"),0),IF($AT$5&lt;&gt;"",--(AT40="Absent"),0),IF($AV$5&lt;&gt;"",--(AV40="Absent"),0),IF($AX$5&lt;&gt;"",--(AX40="Absent"),0),IF($AZ$5&lt;&gt;"",--(AZ40="Absent"),0),IF($BB$5&lt;&gt;"",--(BB40="Absent"),0),IF($BD$5&lt;&gt;"",--(BD40="Absent"),0),IF($BF$5&lt;&gt;"",--(BF40="Absent"),0),IF($BH$5&lt;&gt;"",--(BH40="Absent"),0),IF($BJ$5&lt;&gt;"",--(BJ40="Absent"),0),IF($BL$5&lt;&gt;"",--(BL40="Absent"),0)))</f>
      </c>
      <c r="BP40" s="22">
        <f>IF($A40="","",SUM(IF($D$5&lt;&gt;"",--(D40="Congé"),0),IF($F$5&lt;&gt;"",--(F40="Congé"),0),IF($H$5&lt;&gt;"",--(H40="Congé"),0),IF($J$5&lt;&gt;"",--(J40="Congé"),0),IF($L$5&lt;&gt;"",--(L40="Congé"),0),IF($N$5&lt;&gt;"",--(N40="Congé"),0),IF($P$5&lt;&gt;"",--(P40="Congé"),0),IF($R$5&lt;&gt;"",--(R40="Congé"),0),IF($T$5&lt;&gt;"",--(T40="Congé"),0),IF($V$5&lt;&gt;"",--(V40="Congé"),0),IF($X$5&lt;&gt;"",--(X40="Congé"),0),IF($Z$5&lt;&gt;"",--(Z40="Congé"),0),IF($AB$5&lt;&gt;"",--(AB40="Congé"),0),IF($AD$5&lt;&gt;"",--(AD40="Congé"),0),IF($AF$5&lt;&gt;"",--(AF40="Congé"),0),IF($AH$5&lt;&gt;"",--(AH40="Congé"),0),IF($AJ$5&lt;&gt;"",--(AJ40="Congé"),0),IF($AL$5&lt;&gt;"",--(AL40="Congé"),0),IF($AN$5&lt;&gt;"",--(AN40="Congé"),0),IF($AP$5&lt;&gt;"",--(AP40="Congé"),0),IF($AR$5&lt;&gt;"",--(AR40="Congé"),0),IF($AT$5&lt;&gt;"",--(AT40="Congé"),0),IF($AV$5&lt;&gt;"",--(AV40="Congé"),0),IF($AX$5&lt;&gt;"",--(AX40="Congé"),0),IF($AZ$5&lt;&gt;"",--(AZ40="Congé"),0),IF($BB$5&lt;&gt;"",--(BB40="Congé"),0),IF($BD$5&lt;&gt;"",--(BD40="Congé"),0),IF($BF$5&lt;&gt;"",--(BF40="Congé"),0),IF($BH$5&lt;&gt;"",--(BH40="Congé"),0),IF($BJ$5&lt;&gt;"",--(BJ40="Congé"),0),IF($BL$5&lt;&gt;"",--(BL40="Congé"),0)))</f>
      </c>
      <c r="BQ40" s="22">
        <f>IF($A40="","",SUM(IF($D$5&lt;&gt;"",--(D40="Maladie"),0),IF($F$5&lt;&gt;"",--(F40="Maladie"),0),IF($H$5&lt;&gt;"",--(H40="Maladie"),0),IF($J$5&lt;&gt;"",--(J40="Maladie"),0),IF($L$5&lt;&gt;"",--(L40="Maladie"),0),IF($N$5&lt;&gt;"",--(N40="Maladie"),0),IF($P$5&lt;&gt;"",--(P40="Maladie"),0),IF($R$5&lt;&gt;"",--(R40="Maladie"),0),IF($T$5&lt;&gt;"",--(T40="Maladie"),0),IF($V$5&lt;&gt;"",--(V40="Maladie"),0),IF($X$5&lt;&gt;"",--(X40="Maladie"),0),IF($Z$5&lt;&gt;"",--(Z40="Maladie"),0),IF($AB$5&lt;&gt;"",--(AB40="Maladie"),0),IF($AD$5&lt;&gt;"",--(AD40="Maladie"),0),IF($AF$5&lt;&gt;"",--(AF40="Maladie"),0),IF($AH$5&lt;&gt;"",--(AH40="Maladie"),0),IF($AJ$5&lt;&gt;"",--(AJ40="Maladie"),0),IF($AL$5&lt;&gt;"",--(AL40="Maladie"),0),IF($AN$5&lt;&gt;"",--(AN40="Maladie"),0),IF($AP$5&lt;&gt;"",--(AP40="Maladie"),0),IF($AR$5&lt;&gt;"",--(AR40="Maladie"),0),IF($AT$5&lt;&gt;"",--(AT40="Maladie"),0),IF($AV$5&lt;&gt;"",--(AV40="Maladie"),0),IF($AX$5&lt;&gt;"",--(AX40="Maladie"),0),IF($AZ$5&lt;&gt;"",--(AZ40="Maladie"),0),IF($BB$5&lt;&gt;"",--(BB40="Maladie"),0),IF($BD$5&lt;&gt;"",--(BD40="Maladie"),0),IF($BF$5&lt;&gt;"",--(BF40="Maladie"),0),IF($BH$5&lt;&gt;"",--(BH40="Maladie"),0),IF($BJ$5&lt;&gt;"",--(BJ40="Maladie"),0),IF($BL$5&lt;&gt;"",--(BL40="Maladie"),0)))</f>
      </c>
      <c r="BR40" s="23">
        <f>IF($A40="","",SUM(IF($D$5&lt;&gt;"",IF(D40="Présent",E40,0),0),IF($F$5&lt;&gt;"",IF(F40="Présent",G40,0),0),IF($H$5&lt;&gt;"",IF(H40="Présent",I40,0),0),IF($J$5&lt;&gt;"",IF(J40="Présent",K40,0),0),IF($L$5&lt;&gt;"",IF(L40="Présent",M40,0),0),IF($N$5&lt;&gt;"",IF(N40="Présent",O40,0),0),IF($P$5&lt;&gt;"",IF(P40="Présent",Q40,0),0),IF($R$5&lt;&gt;"",IF(R40="Présent",S40,0),0),IF($T$5&lt;&gt;"",IF(T40="Présent",U40,0),0),IF($V$5&lt;&gt;"",IF(V40="Présent",W40,0),0),IF($X$5&lt;&gt;"",IF(X40="Présent",Y40,0),0),IF($Z$5&lt;&gt;"",IF(Z40="Présent",AA40,0),0),IF($AB$5&lt;&gt;"",IF(AB40="Présent",AC40,0),0),IF($AD$5&lt;&gt;"",IF(AD40="Présent",AE40,0),0),IF($AF$5&lt;&gt;"",IF(AF40="Présent",AG40,0),0),IF($AH$5&lt;&gt;"",IF(AH40="Présent",AI40,0),0),IF($AJ$5&lt;&gt;"",IF(AJ40="Présent",AK40,0),0),IF($AL$5&lt;&gt;"",IF(AL40="Présent",AM40,0),0),IF($AN$5&lt;&gt;"",IF(AN40="Présent",AO40,0),0),IF($AP$5&lt;&gt;"",IF(AP40="Présent",AQ40,0),0),IF($AR$5&lt;&gt;"",IF(AR40="Présent",AS40,0),0),IF($AT$5&lt;&gt;"",IF(AT40="Présent",AU40,0),0),IF($AV$5&lt;&gt;"",IF(AV40="Présent",AW40,0),0),IF($AX$5&lt;&gt;"",IF(AX40="Présent",AY40,0),0),IF($AZ$5&lt;&gt;"",IF(AZ40="Présent",BA40,0),0),IF($BB$5&lt;&gt;"",IF(BB40="Présent",BC40,0),0),IF($BD$5&lt;&gt;"",IF(BD40="Présent",BE40,0),0),IF($BF$5&lt;&gt;"",IF(BF40="Présent",BG40,0),0),IF($BH$5&lt;&gt;"",IF(BH40="Présent",BI40,0),0),IF($BJ$5&lt;&gt;"",IF(BJ40="Présent",BK40,0),0),IF($BL$5&lt;&gt;"",IF(BL40="Présent",BM40,0),0)))</f>
      </c>
      <c r="BS40" s="25">
        <f>IF($A40="","",$BN40*IFERROR(INDEX(Categories_Salaire,MATCH($C40,ListeCategories,0)),0)+$BR40*IF(IFERROR(INDEX(Categories_TauxHS,MATCH($C40,ListeCategories,0)),0)&gt;0,IFERROR(INDEX(Categories_TauxHS,MATCH($C40,ListeCategories,0)),0),TauxHSDefaut))</f>
      </c>
    </row>
    <row r="41">
      <c r="A41" s="20">
        <f>IF(AND(INDEX(Employes_Nom,35)&lt;&gt;"",INDEX(Employes_Statut,35)="Actif",OR(INDEX(Employes_Embauche,35)="",INDEX(Employes_Embauche,35)&lt;=EOMONTH(DATE(AnneeCourante,MoisCourant,1),0))),INDEX(Employes_ID,35),"")</f>
      </c>
      <c r="B41" s="19">
        <f>IF($A41="","",INDEX(Employes_Nom,MATCH($A41,Employes_ID,0)))</f>
      </c>
      <c r="C41" s="20">
        <f>IF($A41="","",INDEX(Employes_Categorie,MATCH($A41,Employes_ID,0)))</f>
      </c>
      <c r="D41" s="26"/>
      <c r="E41" s="27"/>
      <c r="F41" s="26"/>
      <c r="G41" s="27"/>
      <c r="H41" s="26"/>
      <c r="I41" s="27"/>
      <c r="J41" s="26"/>
      <c r="K41" s="27"/>
      <c r="L41" s="26"/>
      <c r="M41" s="27"/>
      <c r="N41" s="26"/>
      <c r="O41" s="27"/>
      <c r="P41" s="26"/>
      <c r="Q41" s="27"/>
      <c r="R41" s="26"/>
      <c r="S41" s="27"/>
      <c r="T41" s="26"/>
      <c r="U41" s="27"/>
      <c r="V41" s="26"/>
      <c r="W41" s="27"/>
      <c r="X41" s="26"/>
      <c r="Y41" s="27"/>
      <c r="Z41" s="26"/>
      <c r="AA41" s="27"/>
      <c r="AB41" s="26"/>
      <c r="AC41" s="27"/>
      <c r="AD41" s="26"/>
      <c r="AE41" s="27"/>
      <c r="AF41" s="26"/>
      <c r="AG41" s="27"/>
      <c r="AH41" s="26"/>
      <c r="AI41" s="27"/>
      <c r="AJ41" s="26"/>
      <c r="AK41" s="27"/>
      <c r="AL41" s="26"/>
      <c r="AM41" s="27"/>
      <c r="AN41" s="26"/>
      <c r="AO41" s="27"/>
      <c r="AP41" s="26"/>
      <c r="AQ41" s="27"/>
      <c r="AR41" s="26"/>
      <c r="AS41" s="27"/>
      <c r="AT41" s="26"/>
      <c r="AU41" s="27"/>
      <c r="AV41" s="26"/>
      <c r="AW41" s="27"/>
      <c r="AX41" s="26"/>
      <c r="AY41" s="27"/>
      <c r="AZ41" s="26"/>
      <c r="BA41" s="27"/>
      <c r="BB41" s="26"/>
      <c r="BC41" s="27"/>
      <c r="BD41" s="26"/>
      <c r="BE41" s="27"/>
      <c r="BF41" s="26"/>
      <c r="BG41" s="27"/>
      <c r="BH41" s="26"/>
      <c r="BI41" s="27"/>
      <c r="BJ41" s="26"/>
      <c r="BK41" s="27"/>
      <c r="BL41" s="26"/>
      <c r="BM41" s="27"/>
      <c r="BN41" s="22">
        <f>IF($A41="","",SUM(IF($D$5&lt;&gt;"",--(D41="Présent"),0),IF($F$5&lt;&gt;"",--(F41="Présent"),0),IF($H$5&lt;&gt;"",--(H41="Présent"),0),IF($J$5&lt;&gt;"",--(J41="Présent"),0),IF($L$5&lt;&gt;"",--(L41="Présent"),0),IF($N$5&lt;&gt;"",--(N41="Présent"),0),IF($P$5&lt;&gt;"",--(P41="Présent"),0),IF($R$5&lt;&gt;"",--(R41="Présent"),0),IF($T$5&lt;&gt;"",--(T41="Présent"),0),IF($V$5&lt;&gt;"",--(V41="Présent"),0),IF($X$5&lt;&gt;"",--(X41="Présent"),0),IF($Z$5&lt;&gt;"",--(Z41="Présent"),0),IF($AB$5&lt;&gt;"",--(AB41="Présent"),0),IF($AD$5&lt;&gt;"",--(AD41="Présent"),0),IF($AF$5&lt;&gt;"",--(AF41="Présent"),0),IF($AH$5&lt;&gt;"",--(AH41="Présent"),0),IF($AJ$5&lt;&gt;"",--(AJ41="Présent"),0),IF($AL$5&lt;&gt;"",--(AL41="Présent"),0),IF($AN$5&lt;&gt;"",--(AN41="Présent"),0),IF($AP$5&lt;&gt;"",--(AP41="Présent"),0),IF($AR$5&lt;&gt;"",--(AR41="Présent"),0),IF($AT$5&lt;&gt;"",--(AT41="Présent"),0),IF($AV$5&lt;&gt;"",--(AV41="Présent"),0),IF($AX$5&lt;&gt;"",--(AX41="Présent"),0),IF($AZ$5&lt;&gt;"",--(AZ41="Présent"),0),IF($BB$5&lt;&gt;"",--(BB41="Présent"),0),IF($BD$5&lt;&gt;"",--(BD41="Présent"),0),IF($BF$5&lt;&gt;"",--(BF41="Présent"),0),IF($BH$5&lt;&gt;"",--(BH41="Présent"),0),IF($BJ$5&lt;&gt;"",--(BJ41="Présent"),0),IF($BL$5&lt;&gt;"",--(BL41="Présent"),0)))</f>
      </c>
      <c r="BO41" s="22">
        <f>IF($A41="","",SUM(IF($D$5&lt;&gt;"",--(D41="Absent"),0),IF($F$5&lt;&gt;"",--(F41="Absent"),0),IF($H$5&lt;&gt;"",--(H41="Absent"),0),IF($J$5&lt;&gt;"",--(J41="Absent"),0),IF($L$5&lt;&gt;"",--(L41="Absent"),0),IF($N$5&lt;&gt;"",--(N41="Absent"),0),IF($P$5&lt;&gt;"",--(P41="Absent"),0),IF($R$5&lt;&gt;"",--(R41="Absent"),0),IF($T$5&lt;&gt;"",--(T41="Absent"),0),IF($V$5&lt;&gt;"",--(V41="Absent"),0),IF($X$5&lt;&gt;"",--(X41="Absent"),0),IF($Z$5&lt;&gt;"",--(Z41="Absent"),0),IF($AB$5&lt;&gt;"",--(AB41="Absent"),0),IF($AD$5&lt;&gt;"",--(AD41="Absent"),0),IF($AF$5&lt;&gt;"",--(AF41="Absent"),0),IF($AH$5&lt;&gt;"",--(AH41="Absent"),0),IF($AJ$5&lt;&gt;"",--(AJ41="Absent"),0),IF($AL$5&lt;&gt;"",--(AL41="Absent"),0),IF($AN$5&lt;&gt;"",--(AN41="Absent"),0),IF($AP$5&lt;&gt;"",--(AP41="Absent"),0),IF($AR$5&lt;&gt;"",--(AR41="Absent"),0),IF($AT$5&lt;&gt;"",--(AT41="Absent"),0),IF($AV$5&lt;&gt;"",--(AV41="Absent"),0),IF($AX$5&lt;&gt;"",--(AX41="Absent"),0),IF($AZ$5&lt;&gt;"",--(AZ41="Absent"),0),IF($BB$5&lt;&gt;"",--(BB41="Absent"),0),IF($BD$5&lt;&gt;"",--(BD41="Absent"),0),IF($BF$5&lt;&gt;"",--(BF41="Absent"),0),IF($BH$5&lt;&gt;"",--(BH41="Absent"),0),IF($BJ$5&lt;&gt;"",--(BJ41="Absent"),0),IF($BL$5&lt;&gt;"",--(BL41="Absent"),0)))</f>
      </c>
      <c r="BP41" s="22">
        <f>IF($A41="","",SUM(IF($D$5&lt;&gt;"",--(D41="Congé"),0),IF($F$5&lt;&gt;"",--(F41="Congé"),0),IF($H$5&lt;&gt;"",--(H41="Congé"),0),IF($J$5&lt;&gt;"",--(J41="Congé"),0),IF($L$5&lt;&gt;"",--(L41="Congé"),0),IF($N$5&lt;&gt;"",--(N41="Congé"),0),IF($P$5&lt;&gt;"",--(P41="Congé"),0),IF($R$5&lt;&gt;"",--(R41="Congé"),0),IF($T$5&lt;&gt;"",--(T41="Congé"),0),IF($V$5&lt;&gt;"",--(V41="Congé"),0),IF($X$5&lt;&gt;"",--(X41="Congé"),0),IF($Z$5&lt;&gt;"",--(Z41="Congé"),0),IF($AB$5&lt;&gt;"",--(AB41="Congé"),0),IF($AD$5&lt;&gt;"",--(AD41="Congé"),0),IF($AF$5&lt;&gt;"",--(AF41="Congé"),0),IF($AH$5&lt;&gt;"",--(AH41="Congé"),0),IF($AJ$5&lt;&gt;"",--(AJ41="Congé"),0),IF($AL$5&lt;&gt;"",--(AL41="Congé"),0),IF($AN$5&lt;&gt;"",--(AN41="Congé"),0),IF($AP$5&lt;&gt;"",--(AP41="Congé"),0),IF($AR$5&lt;&gt;"",--(AR41="Congé"),0),IF($AT$5&lt;&gt;"",--(AT41="Congé"),0),IF($AV$5&lt;&gt;"",--(AV41="Congé"),0),IF($AX$5&lt;&gt;"",--(AX41="Congé"),0),IF($AZ$5&lt;&gt;"",--(AZ41="Congé"),0),IF($BB$5&lt;&gt;"",--(BB41="Congé"),0),IF($BD$5&lt;&gt;"",--(BD41="Congé"),0),IF($BF$5&lt;&gt;"",--(BF41="Congé"),0),IF($BH$5&lt;&gt;"",--(BH41="Congé"),0),IF($BJ$5&lt;&gt;"",--(BJ41="Congé"),0),IF($BL$5&lt;&gt;"",--(BL41="Congé"),0)))</f>
      </c>
      <c r="BQ41" s="22">
        <f>IF($A41="","",SUM(IF($D$5&lt;&gt;"",--(D41="Maladie"),0),IF($F$5&lt;&gt;"",--(F41="Maladie"),0),IF($H$5&lt;&gt;"",--(H41="Maladie"),0),IF($J$5&lt;&gt;"",--(J41="Maladie"),0),IF($L$5&lt;&gt;"",--(L41="Maladie"),0),IF($N$5&lt;&gt;"",--(N41="Maladie"),0),IF($P$5&lt;&gt;"",--(P41="Maladie"),0),IF($R$5&lt;&gt;"",--(R41="Maladie"),0),IF($T$5&lt;&gt;"",--(T41="Maladie"),0),IF($V$5&lt;&gt;"",--(V41="Maladie"),0),IF($X$5&lt;&gt;"",--(X41="Maladie"),0),IF($Z$5&lt;&gt;"",--(Z41="Maladie"),0),IF($AB$5&lt;&gt;"",--(AB41="Maladie"),0),IF($AD$5&lt;&gt;"",--(AD41="Maladie"),0),IF($AF$5&lt;&gt;"",--(AF41="Maladie"),0),IF($AH$5&lt;&gt;"",--(AH41="Maladie"),0),IF($AJ$5&lt;&gt;"",--(AJ41="Maladie"),0),IF($AL$5&lt;&gt;"",--(AL41="Maladie"),0),IF($AN$5&lt;&gt;"",--(AN41="Maladie"),0),IF($AP$5&lt;&gt;"",--(AP41="Maladie"),0),IF($AR$5&lt;&gt;"",--(AR41="Maladie"),0),IF($AT$5&lt;&gt;"",--(AT41="Maladie"),0),IF($AV$5&lt;&gt;"",--(AV41="Maladie"),0),IF($AX$5&lt;&gt;"",--(AX41="Maladie"),0),IF($AZ$5&lt;&gt;"",--(AZ41="Maladie"),0),IF($BB$5&lt;&gt;"",--(BB41="Maladie"),0),IF($BD$5&lt;&gt;"",--(BD41="Maladie"),0),IF($BF$5&lt;&gt;"",--(BF41="Maladie"),0),IF($BH$5&lt;&gt;"",--(BH41="Maladie"),0),IF($BJ$5&lt;&gt;"",--(BJ41="Maladie"),0),IF($BL$5&lt;&gt;"",--(BL41="Maladie"),0)))</f>
      </c>
      <c r="BR41" s="23">
        <f>IF($A41="","",SUM(IF($D$5&lt;&gt;"",IF(D41="Présent",E41,0),0),IF($F$5&lt;&gt;"",IF(F41="Présent",G41,0),0),IF($H$5&lt;&gt;"",IF(H41="Présent",I41,0),0),IF($J$5&lt;&gt;"",IF(J41="Présent",K41,0),0),IF($L$5&lt;&gt;"",IF(L41="Présent",M41,0),0),IF($N$5&lt;&gt;"",IF(N41="Présent",O41,0),0),IF($P$5&lt;&gt;"",IF(P41="Présent",Q41,0),0),IF($R$5&lt;&gt;"",IF(R41="Présent",S41,0),0),IF($T$5&lt;&gt;"",IF(T41="Présent",U41,0),0),IF($V$5&lt;&gt;"",IF(V41="Présent",W41,0),0),IF($X$5&lt;&gt;"",IF(X41="Présent",Y41,0),0),IF($Z$5&lt;&gt;"",IF(Z41="Présent",AA41,0),0),IF($AB$5&lt;&gt;"",IF(AB41="Présent",AC41,0),0),IF($AD$5&lt;&gt;"",IF(AD41="Présent",AE41,0),0),IF($AF$5&lt;&gt;"",IF(AF41="Présent",AG41,0),0),IF($AH$5&lt;&gt;"",IF(AH41="Présent",AI41,0),0),IF($AJ$5&lt;&gt;"",IF(AJ41="Présent",AK41,0),0),IF($AL$5&lt;&gt;"",IF(AL41="Présent",AM41,0),0),IF($AN$5&lt;&gt;"",IF(AN41="Présent",AO41,0),0),IF($AP$5&lt;&gt;"",IF(AP41="Présent",AQ41,0),0),IF($AR$5&lt;&gt;"",IF(AR41="Présent",AS41,0),0),IF($AT$5&lt;&gt;"",IF(AT41="Présent",AU41,0),0),IF($AV$5&lt;&gt;"",IF(AV41="Présent",AW41,0),0),IF($AX$5&lt;&gt;"",IF(AX41="Présent",AY41,0),0),IF($AZ$5&lt;&gt;"",IF(AZ41="Présent",BA41,0),0),IF($BB$5&lt;&gt;"",IF(BB41="Présent",BC41,0),0),IF($BD$5&lt;&gt;"",IF(BD41="Présent",BE41,0),0),IF($BF$5&lt;&gt;"",IF(BF41="Présent",BG41,0),0),IF($BH$5&lt;&gt;"",IF(BH41="Présent",BI41,0),0),IF($BJ$5&lt;&gt;"",IF(BJ41="Présent",BK41,0),0),IF($BL$5&lt;&gt;"",IF(BL41="Présent",BM41,0),0)))</f>
      </c>
      <c r="BS41" s="25">
        <f>IF($A41="","",$BN41*IFERROR(INDEX(Categories_Salaire,MATCH($C41,ListeCategories,0)),0)+$BR41*IF(IFERROR(INDEX(Categories_TauxHS,MATCH($C41,ListeCategories,0)),0)&gt;0,IFERROR(INDEX(Categories_TauxHS,MATCH($C41,ListeCategories,0)),0),TauxHSDefaut))</f>
      </c>
    </row>
    <row r="42">
      <c r="A42" s="20">
        <f>IF(AND(INDEX(Employes_Nom,36)&lt;&gt;"",INDEX(Employes_Statut,36)="Actif",OR(INDEX(Employes_Embauche,36)="",INDEX(Employes_Embauche,36)&lt;=EOMONTH(DATE(AnneeCourante,MoisCourant,1),0))),INDEX(Employes_ID,36),"")</f>
      </c>
      <c r="B42" s="19">
        <f>IF($A42="","",INDEX(Employes_Nom,MATCH($A42,Employes_ID,0)))</f>
      </c>
      <c r="C42" s="20">
        <f>IF($A42="","",INDEX(Employes_Categorie,MATCH($A42,Employes_ID,0)))</f>
      </c>
      <c r="D42" s="26"/>
      <c r="E42" s="27"/>
      <c r="F42" s="26"/>
      <c r="G42" s="27"/>
      <c r="H42" s="26"/>
      <c r="I42" s="27"/>
      <c r="J42" s="26"/>
      <c r="K42" s="27"/>
      <c r="L42" s="26"/>
      <c r="M42" s="27"/>
      <c r="N42" s="26"/>
      <c r="O42" s="27"/>
      <c r="P42" s="26"/>
      <c r="Q42" s="27"/>
      <c r="R42" s="26"/>
      <c r="S42" s="27"/>
      <c r="T42" s="26"/>
      <c r="U42" s="27"/>
      <c r="V42" s="26"/>
      <c r="W42" s="27"/>
      <c r="X42" s="26"/>
      <c r="Y42" s="27"/>
      <c r="Z42" s="26"/>
      <c r="AA42" s="27"/>
      <c r="AB42" s="26"/>
      <c r="AC42" s="27"/>
      <c r="AD42" s="26"/>
      <c r="AE42" s="27"/>
      <c r="AF42" s="26"/>
      <c r="AG42" s="27"/>
      <c r="AH42" s="26"/>
      <c r="AI42" s="27"/>
      <c r="AJ42" s="26"/>
      <c r="AK42" s="27"/>
      <c r="AL42" s="26"/>
      <c r="AM42" s="27"/>
      <c r="AN42" s="26"/>
      <c r="AO42" s="27"/>
      <c r="AP42" s="26"/>
      <c r="AQ42" s="27"/>
      <c r="AR42" s="26"/>
      <c r="AS42" s="27"/>
      <c r="AT42" s="26"/>
      <c r="AU42" s="27"/>
      <c r="AV42" s="26"/>
      <c r="AW42" s="27"/>
      <c r="AX42" s="26"/>
      <c r="AY42" s="27"/>
      <c r="AZ42" s="26"/>
      <c r="BA42" s="27"/>
      <c r="BB42" s="26"/>
      <c r="BC42" s="27"/>
      <c r="BD42" s="26"/>
      <c r="BE42" s="27"/>
      <c r="BF42" s="26"/>
      <c r="BG42" s="27"/>
      <c r="BH42" s="26"/>
      <c r="BI42" s="27"/>
      <c r="BJ42" s="26"/>
      <c r="BK42" s="27"/>
      <c r="BL42" s="26"/>
      <c r="BM42" s="27"/>
      <c r="BN42" s="22">
        <f>IF($A42="","",SUM(IF($D$5&lt;&gt;"",--(D42="Présent"),0),IF($F$5&lt;&gt;"",--(F42="Présent"),0),IF($H$5&lt;&gt;"",--(H42="Présent"),0),IF($J$5&lt;&gt;"",--(J42="Présent"),0),IF($L$5&lt;&gt;"",--(L42="Présent"),0),IF($N$5&lt;&gt;"",--(N42="Présent"),0),IF($P$5&lt;&gt;"",--(P42="Présent"),0),IF($R$5&lt;&gt;"",--(R42="Présent"),0),IF($T$5&lt;&gt;"",--(T42="Présent"),0),IF($V$5&lt;&gt;"",--(V42="Présent"),0),IF($X$5&lt;&gt;"",--(X42="Présent"),0),IF($Z$5&lt;&gt;"",--(Z42="Présent"),0),IF($AB$5&lt;&gt;"",--(AB42="Présent"),0),IF($AD$5&lt;&gt;"",--(AD42="Présent"),0),IF($AF$5&lt;&gt;"",--(AF42="Présent"),0),IF($AH$5&lt;&gt;"",--(AH42="Présent"),0),IF($AJ$5&lt;&gt;"",--(AJ42="Présent"),0),IF($AL$5&lt;&gt;"",--(AL42="Présent"),0),IF($AN$5&lt;&gt;"",--(AN42="Présent"),0),IF($AP$5&lt;&gt;"",--(AP42="Présent"),0),IF($AR$5&lt;&gt;"",--(AR42="Présent"),0),IF($AT$5&lt;&gt;"",--(AT42="Présent"),0),IF($AV$5&lt;&gt;"",--(AV42="Présent"),0),IF($AX$5&lt;&gt;"",--(AX42="Présent"),0),IF($AZ$5&lt;&gt;"",--(AZ42="Présent"),0),IF($BB$5&lt;&gt;"",--(BB42="Présent"),0),IF($BD$5&lt;&gt;"",--(BD42="Présent"),0),IF($BF$5&lt;&gt;"",--(BF42="Présent"),0),IF($BH$5&lt;&gt;"",--(BH42="Présent"),0),IF($BJ$5&lt;&gt;"",--(BJ42="Présent"),0),IF($BL$5&lt;&gt;"",--(BL42="Présent"),0)))</f>
      </c>
      <c r="BO42" s="22">
        <f>IF($A42="","",SUM(IF($D$5&lt;&gt;"",--(D42="Absent"),0),IF($F$5&lt;&gt;"",--(F42="Absent"),0),IF($H$5&lt;&gt;"",--(H42="Absent"),0),IF($J$5&lt;&gt;"",--(J42="Absent"),0),IF($L$5&lt;&gt;"",--(L42="Absent"),0),IF($N$5&lt;&gt;"",--(N42="Absent"),0),IF($P$5&lt;&gt;"",--(P42="Absent"),0),IF($R$5&lt;&gt;"",--(R42="Absent"),0),IF($T$5&lt;&gt;"",--(T42="Absent"),0),IF($V$5&lt;&gt;"",--(V42="Absent"),0),IF($X$5&lt;&gt;"",--(X42="Absent"),0),IF($Z$5&lt;&gt;"",--(Z42="Absent"),0),IF($AB$5&lt;&gt;"",--(AB42="Absent"),0),IF($AD$5&lt;&gt;"",--(AD42="Absent"),0),IF($AF$5&lt;&gt;"",--(AF42="Absent"),0),IF($AH$5&lt;&gt;"",--(AH42="Absent"),0),IF($AJ$5&lt;&gt;"",--(AJ42="Absent"),0),IF($AL$5&lt;&gt;"",--(AL42="Absent"),0),IF($AN$5&lt;&gt;"",--(AN42="Absent"),0),IF($AP$5&lt;&gt;"",--(AP42="Absent"),0),IF($AR$5&lt;&gt;"",--(AR42="Absent"),0),IF($AT$5&lt;&gt;"",--(AT42="Absent"),0),IF($AV$5&lt;&gt;"",--(AV42="Absent"),0),IF($AX$5&lt;&gt;"",--(AX42="Absent"),0),IF($AZ$5&lt;&gt;"",--(AZ42="Absent"),0),IF($BB$5&lt;&gt;"",--(BB42="Absent"),0),IF($BD$5&lt;&gt;"",--(BD42="Absent"),0),IF($BF$5&lt;&gt;"",--(BF42="Absent"),0),IF($BH$5&lt;&gt;"",--(BH42="Absent"),0),IF($BJ$5&lt;&gt;"",--(BJ42="Absent"),0),IF($BL$5&lt;&gt;"",--(BL42="Absent"),0)))</f>
      </c>
      <c r="BP42" s="22">
        <f>IF($A42="","",SUM(IF($D$5&lt;&gt;"",--(D42="Congé"),0),IF($F$5&lt;&gt;"",--(F42="Congé"),0),IF($H$5&lt;&gt;"",--(H42="Congé"),0),IF($J$5&lt;&gt;"",--(J42="Congé"),0),IF($L$5&lt;&gt;"",--(L42="Congé"),0),IF($N$5&lt;&gt;"",--(N42="Congé"),0),IF($P$5&lt;&gt;"",--(P42="Congé"),0),IF($R$5&lt;&gt;"",--(R42="Congé"),0),IF($T$5&lt;&gt;"",--(T42="Congé"),0),IF($V$5&lt;&gt;"",--(V42="Congé"),0),IF($X$5&lt;&gt;"",--(X42="Congé"),0),IF($Z$5&lt;&gt;"",--(Z42="Congé"),0),IF($AB$5&lt;&gt;"",--(AB42="Congé"),0),IF($AD$5&lt;&gt;"",--(AD42="Congé"),0),IF($AF$5&lt;&gt;"",--(AF42="Congé"),0),IF($AH$5&lt;&gt;"",--(AH42="Congé"),0),IF($AJ$5&lt;&gt;"",--(AJ42="Congé"),0),IF($AL$5&lt;&gt;"",--(AL42="Congé"),0),IF($AN$5&lt;&gt;"",--(AN42="Congé"),0),IF($AP$5&lt;&gt;"",--(AP42="Congé"),0),IF($AR$5&lt;&gt;"",--(AR42="Congé"),0),IF($AT$5&lt;&gt;"",--(AT42="Congé"),0),IF($AV$5&lt;&gt;"",--(AV42="Congé"),0),IF($AX$5&lt;&gt;"",--(AX42="Congé"),0),IF($AZ$5&lt;&gt;"",--(AZ42="Congé"),0),IF($BB$5&lt;&gt;"",--(BB42="Congé"),0),IF($BD$5&lt;&gt;"",--(BD42="Congé"),0),IF($BF$5&lt;&gt;"",--(BF42="Congé"),0),IF($BH$5&lt;&gt;"",--(BH42="Congé"),0),IF($BJ$5&lt;&gt;"",--(BJ42="Congé"),0),IF($BL$5&lt;&gt;"",--(BL42="Congé"),0)))</f>
      </c>
      <c r="BQ42" s="22">
        <f>IF($A42="","",SUM(IF($D$5&lt;&gt;"",--(D42="Maladie"),0),IF($F$5&lt;&gt;"",--(F42="Maladie"),0),IF($H$5&lt;&gt;"",--(H42="Maladie"),0),IF($J$5&lt;&gt;"",--(J42="Maladie"),0),IF($L$5&lt;&gt;"",--(L42="Maladie"),0),IF($N$5&lt;&gt;"",--(N42="Maladie"),0),IF($P$5&lt;&gt;"",--(P42="Maladie"),0),IF($R$5&lt;&gt;"",--(R42="Maladie"),0),IF($T$5&lt;&gt;"",--(T42="Maladie"),0),IF($V$5&lt;&gt;"",--(V42="Maladie"),0),IF($X$5&lt;&gt;"",--(X42="Maladie"),0),IF($Z$5&lt;&gt;"",--(Z42="Maladie"),0),IF($AB$5&lt;&gt;"",--(AB42="Maladie"),0),IF($AD$5&lt;&gt;"",--(AD42="Maladie"),0),IF($AF$5&lt;&gt;"",--(AF42="Maladie"),0),IF($AH$5&lt;&gt;"",--(AH42="Maladie"),0),IF($AJ$5&lt;&gt;"",--(AJ42="Maladie"),0),IF($AL$5&lt;&gt;"",--(AL42="Maladie"),0),IF($AN$5&lt;&gt;"",--(AN42="Maladie"),0),IF($AP$5&lt;&gt;"",--(AP42="Maladie"),0),IF($AR$5&lt;&gt;"",--(AR42="Maladie"),0),IF($AT$5&lt;&gt;"",--(AT42="Maladie"),0),IF($AV$5&lt;&gt;"",--(AV42="Maladie"),0),IF($AX$5&lt;&gt;"",--(AX42="Maladie"),0),IF($AZ$5&lt;&gt;"",--(AZ42="Maladie"),0),IF($BB$5&lt;&gt;"",--(BB42="Maladie"),0),IF($BD$5&lt;&gt;"",--(BD42="Maladie"),0),IF($BF$5&lt;&gt;"",--(BF42="Maladie"),0),IF($BH$5&lt;&gt;"",--(BH42="Maladie"),0),IF($BJ$5&lt;&gt;"",--(BJ42="Maladie"),0),IF($BL$5&lt;&gt;"",--(BL42="Maladie"),0)))</f>
      </c>
      <c r="BR42" s="23">
        <f>IF($A42="","",SUM(IF($D$5&lt;&gt;"",IF(D42="Présent",E42,0),0),IF($F$5&lt;&gt;"",IF(F42="Présent",G42,0),0),IF($H$5&lt;&gt;"",IF(H42="Présent",I42,0),0),IF($J$5&lt;&gt;"",IF(J42="Présent",K42,0),0),IF($L$5&lt;&gt;"",IF(L42="Présent",M42,0),0),IF($N$5&lt;&gt;"",IF(N42="Présent",O42,0),0),IF($P$5&lt;&gt;"",IF(P42="Présent",Q42,0),0),IF($R$5&lt;&gt;"",IF(R42="Présent",S42,0),0),IF($T$5&lt;&gt;"",IF(T42="Présent",U42,0),0),IF($V$5&lt;&gt;"",IF(V42="Présent",W42,0),0),IF($X$5&lt;&gt;"",IF(X42="Présent",Y42,0),0),IF($Z$5&lt;&gt;"",IF(Z42="Présent",AA42,0),0),IF($AB$5&lt;&gt;"",IF(AB42="Présent",AC42,0),0),IF($AD$5&lt;&gt;"",IF(AD42="Présent",AE42,0),0),IF($AF$5&lt;&gt;"",IF(AF42="Présent",AG42,0),0),IF($AH$5&lt;&gt;"",IF(AH42="Présent",AI42,0),0),IF($AJ$5&lt;&gt;"",IF(AJ42="Présent",AK42,0),0),IF($AL$5&lt;&gt;"",IF(AL42="Présent",AM42,0),0),IF($AN$5&lt;&gt;"",IF(AN42="Présent",AO42,0),0),IF($AP$5&lt;&gt;"",IF(AP42="Présent",AQ42,0),0),IF($AR$5&lt;&gt;"",IF(AR42="Présent",AS42,0),0),IF($AT$5&lt;&gt;"",IF(AT42="Présent",AU42,0),0),IF($AV$5&lt;&gt;"",IF(AV42="Présent",AW42,0),0),IF($AX$5&lt;&gt;"",IF(AX42="Présent",AY42,0),0),IF($AZ$5&lt;&gt;"",IF(AZ42="Présent",BA42,0),0),IF($BB$5&lt;&gt;"",IF(BB42="Présent",BC42,0),0),IF($BD$5&lt;&gt;"",IF(BD42="Présent",BE42,0),0),IF($BF$5&lt;&gt;"",IF(BF42="Présent",BG42,0),0),IF($BH$5&lt;&gt;"",IF(BH42="Présent",BI42,0),0),IF($BJ$5&lt;&gt;"",IF(BJ42="Présent",BK42,0),0),IF($BL$5&lt;&gt;"",IF(BL42="Présent",BM42,0),0)))</f>
      </c>
      <c r="BS42" s="25">
        <f>IF($A42="","",$BN42*IFERROR(INDEX(Categories_Salaire,MATCH($C42,ListeCategories,0)),0)+$BR42*IF(IFERROR(INDEX(Categories_TauxHS,MATCH($C42,ListeCategories,0)),0)&gt;0,IFERROR(INDEX(Categories_TauxHS,MATCH($C42,ListeCategories,0)),0),TauxHSDefaut))</f>
      </c>
    </row>
    <row r="43">
      <c r="A43" s="20">
        <f>IF(AND(INDEX(Employes_Nom,37)&lt;&gt;"",INDEX(Employes_Statut,37)="Actif",OR(INDEX(Employes_Embauche,37)="",INDEX(Employes_Embauche,37)&lt;=EOMONTH(DATE(AnneeCourante,MoisCourant,1),0))),INDEX(Employes_ID,37),"")</f>
      </c>
      <c r="B43" s="19">
        <f>IF($A43="","",INDEX(Employes_Nom,MATCH($A43,Employes_ID,0)))</f>
      </c>
      <c r="C43" s="20">
        <f>IF($A43="","",INDEX(Employes_Categorie,MATCH($A43,Employes_ID,0)))</f>
      </c>
      <c r="D43" s="26"/>
      <c r="E43" s="27"/>
      <c r="F43" s="26"/>
      <c r="G43" s="27"/>
      <c r="H43" s="26"/>
      <c r="I43" s="27"/>
      <c r="J43" s="26"/>
      <c r="K43" s="27"/>
      <c r="L43" s="26"/>
      <c r="M43" s="27"/>
      <c r="N43" s="26"/>
      <c r="O43" s="27"/>
      <c r="P43" s="26"/>
      <c r="Q43" s="27"/>
      <c r="R43" s="26"/>
      <c r="S43" s="27"/>
      <c r="T43" s="26"/>
      <c r="U43" s="27"/>
      <c r="V43" s="26"/>
      <c r="W43" s="27"/>
      <c r="X43" s="26"/>
      <c r="Y43" s="27"/>
      <c r="Z43" s="26"/>
      <c r="AA43" s="27"/>
      <c r="AB43" s="26"/>
      <c r="AC43" s="27"/>
      <c r="AD43" s="26"/>
      <c r="AE43" s="27"/>
      <c r="AF43" s="26"/>
      <c r="AG43" s="27"/>
      <c r="AH43" s="26"/>
      <c r="AI43" s="27"/>
      <c r="AJ43" s="26"/>
      <c r="AK43" s="27"/>
      <c r="AL43" s="26"/>
      <c r="AM43" s="27"/>
      <c r="AN43" s="26"/>
      <c r="AO43" s="27"/>
      <c r="AP43" s="26"/>
      <c r="AQ43" s="27"/>
      <c r="AR43" s="26"/>
      <c r="AS43" s="27"/>
      <c r="AT43" s="26"/>
      <c r="AU43" s="27"/>
      <c r="AV43" s="26"/>
      <c r="AW43" s="27"/>
      <c r="AX43" s="26"/>
      <c r="AY43" s="27"/>
      <c r="AZ43" s="26"/>
      <c r="BA43" s="27"/>
      <c r="BB43" s="26"/>
      <c r="BC43" s="27"/>
      <c r="BD43" s="26"/>
      <c r="BE43" s="27"/>
      <c r="BF43" s="26"/>
      <c r="BG43" s="27"/>
      <c r="BH43" s="26"/>
      <c r="BI43" s="27"/>
      <c r="BJ43" s="26"/>
      <c r="BK43" s="27"/>
      <c r="BL43" s="26"/>
      <c r="BM43" s="27"/>
      <c r="BN43" s="22">
        <f>IF($A43="","",SUM(IF($D$5&lt;&gt;"",--(D43="Présent"),0),IF($F$5&lt;&gt;"",--(F43="Présent"),0),IF($H$5&lt;&gt;"",--(H43="Présent"),0),IF($J$5&lt;&gt;"",--(J43="Présent"),0),IF($L$5&lt;&gt;"",--(L43="Présent"),0),IF($N$5&lt;&gt;"",--(N43="Présent"),0),IF($P$5&lt;&gt;"",--(P43="Présent"),0),IF($R$5&lt;&gt;"",--(R43="Présent"),0),IF($T$5&lt;&gt;"",--(T43="Présent"),0),IF($V$5&lt;&gt;"",--(V43="Présent"),0),IF($X$5&lt;&gt;"",--(X43="Présent"),0),IF($Z$5&lt;&gt;"",--(Z43="Présent"),0),IF($AB$5&lt;&gt;"",--(AB43="Présent"),0),IF($AD$5&lt;&gt;"",--(AD43="Présent"),0),IF($AF$5&lt;&gt;"",--(AF43="Présent"),0),IF($AH$5&lt;&gt;"",--(AH43="Présent"),0),IF($AJ$5&lt;&gt;"",--(AJ43="Présent"),0),IF($AL$5&lt;&gt;"",--(AL43="Présent"),0),IF($AN$5&lt;&gt;"",--(AN43="Présent"),0),IF($AP$5&lt;&gt;"",--(AP43="Présent"),0),IF($AR$5&lt;&gt;"",--(AR43="Présent"),0),IF($AT$5&lt;&gt;"",--(AT43="Présent"),0),IF($AV$5&lt;&gt;"",--(AV43="Présent"),0),IF($AX$5&lt;&gt;"",--(AX43="Présent"),0),IF($AZ$5&lt;&gt;"",--(AZ43="Présent"),0),IF($BB$5&lt;&gt;"",--(BB43="Présent"),0),IF($BD$5&lt;&gt;"",--(BD43="Présent"),0),IF($BF$5&lt;&gt;"",--(BF43="Présent"),0),IF($BH$5&lt;&gt;"",--(BH43="Présent"),0),IF($BJ$5&lt;&gt;"",--(BJ43="Présent"),0),IF($BL$5&lt;&gt;"",--(BL43="Présent"),0)))</f>
      </c>
      <c r="BO43" s="22">
        <f>IF($A43="","",SUM(IF($D$5&lt;&gt;"",--(D43="Absent"),0),IF($F$5&lt;&gt;"",--(F43="Absent"),0),IF($H$5&lt;&gt;"",--(H43="Absent"),0),IF($J$5&lt;&gt;"",--(J43="Absent"),0),IF($L$5&lt;&gt;"",--(L43="Absent"),0),IF($N$5&lt;&gt;"",--(N43="Absent"),0),IF($P$5&lt;&gt;"",--(P43="Absent"),0),IF($R$5&lt;&gt;"",--(R43="Absent"),0),IF($T$5&lt;&gt;"",--(T43="Absent"),0),IF($V$5&lt;&gt;"",--(V43="Absent"),0),IF($X$5&lt;&gt;"",--(X43="Absent"),0),IF($Z$5&lt;&gt;"",--(Z43="Absent"),0),IF($AB$5&lt;&gt;"",--(AB43="Absent"),0),IF($AD$5&lt;&gt;"",--(AD43="Absent"),0),IF($AF$5&lt;&gt;"",--(AF43="Absent"),0),IF($AH$5&lt;&gt;"",--(AH43="Absent"),0),IF($AJ$5&lt;&gt;"",--(AJ43="Absent"),0),IF($AL$5&lt;&gt;"",--(AL43="Absent"),0),IF($AN$5&lt;&gt;"",--(AN43="Absent"),0),IF($AP$5&lt;&gt;"",--(AP43="Absent"),0),IF($AR$5&lt;&gt;"",--(AR43="Absent"),0),IF($AT$5&lt;&gt;"",--(AT43="Absent"),0),IF($AV$5&lt;&gt;"",--(AV43="Absent"),0),IF($AX$5&lt;&gt;"",--(AX43="Absent"),0),IF($AZ$5&lt;&gt;"",--(AZ43="Absent"),0),IF($BB$5&lt;&gt;"",--(BB43="Absent"),0),IF($BD$5&lt;&gt;"",--(BD43="Absent"),0),IF($BF$5&lt;&gt;"",--(BF43="Absent"),0),IF($BH$5&lt;&gt;"",--(BH43="Absent"),0),IF($BJ$5&lt;&gt;"",--(BJ43="Absent"),0),IF($BL$5&lt;&gt;"",--(BL43="Absent"),0)))</f>
      </c>
      <c r="BP43" s="22">
        <f>IF($A43="","",SUM(IF($D$5&lt;&gt;"",--(D43="Congé"),0),IF($F$5&lt;&gt;"",--(F43="Congé"),0),IF($H$5&lt;&gt;"",--(H43="Congé"),0),IF($J$5&lt;&gt;"",--(J43="Congé"),0),IF($L$5&lt;&gt;"",--(L43="Congé"),0),IF($N$5&lt;&gt;"",--(N43="Congé"),0),IF($P$5&lt;&gt;"",--(P43="Congé"),0),IF($R$5&lt;&gt;"",--(R43="Congé"),0),IF($T$5&lt;&gt;"",--(T43="Congé"),0),IF($V$5&lt;&gt;"",--(V43="Congé"),0),IF($X$5&lt;&gt;"",--(X43="Congé"),0),IF($Z$5&lt;&gt;"",--(Z43="Congé"),0),IF($AB$5&lt;&gt;"",--(AB43="Congé"),0),IF($AD$5&lt;&gt;"",--(AD43="Congé"),0),IF($AF$5&lt;&gt;"",--(AF43="Congé"),0),IF($AH$5&lt;&gt;"",--(AH43="Congé"),0),IF($AJ$5&lt;&gt;"",--(AJ43="Congé"),0),IF($AL$5&lt;&gt;"",--(AL43="Congé"),0),IF($AN$5&lt;&gt;"",--(AN43="Congé"),0),IF($AP$5&lt;&gt;"",--(AP43="Congé"),0),IF($AR$5&lt;&gt;"",--(AR43="Congé"),0),IF($AT$5&lt;&gt;"",--(AT43="Congé"),0),IF($AV$5&lt;&gt;"",--(AV43="Congé"),0),IF($AX$5&lt;&gt;"",--(AX43="Congé"),0),IF($AZ$5&lt;&gt;"",--(AZ43="Congé"),0),IF($BB$5&lt;&gt;"",--(BB43="Congé"),0),IF($BD$5&lt;&gt;"",--(BD43="Congé"),0),IF($BF$5&lt;&gt;"",--(BF43="Congé"),0),IF($BH$5&lt;&gt;"",--(BH43="Congé"),0),IF($BJ$5&lt;&gt;"",--(BJ43="Congé"),0),IF($BL$5&lt;&gt;"",--(BL43="Congé"),0)))</f>
      </c>
      <c r="BQ43" s="22">
        <f>IF($A43="","",SUM(IF($D$5&lt;&gt;"",--(D43="Maladie"),0),IF($F$5&lt;&gt;"",--(F43="Maladie"),0),IF($H$5&lt;&gt;"",--(H43="Maladie"),0),IF($J$5&lt;&gt;"",--(J43="Maladie"),0),IF($L$5&lt;&gt;"",--(L43="Maladie"),0),IF($N$5&lt;&gt;"",--(N43="Maladie"),0),IF($P$5&lt;&gt;"",--(P43="Maladie"),0),IF($R$5&lt;&gt;"",--(R43="Maladie"),0),IF($T$5&lt;&gt;"",--(T43="Maladie"),0),IF($V$5&lt;&gt;"",--(V43="Maladie"),0),IF($X$5&lt;&gt;"",--(X43="Maladie"),0),IF($Z$5&lt;&gt;"",--(Z43="Maladie"),0),IF($AB$5&lt;&gt;"",--(AB43="Maladie"),0),IF($AD$5&lt;&gt;"",--(AD43="Maladie"),0),IF($AF$5&lt;&gt;"",--(AF43="Maladie"),0),IF($AH$5&lt;&gt;"",--(AH43="Maladie"),0),IF($AJ$5&lt;&gt;"",--(AJ43="Maladie"),0),IF($AL$5&lt;&gt;"",--(AL43="Maladie"),0),IF($AN$5&lt;&gt;"",--(AN43="Maladie"),0),IF($AP$5&lt;&gt;"",--(AP43="Maladie"),0),IF($AR$5&lt;&gt;"",--(AR43="Maladie"),0),IF($AT$5&lt;&gt;"",--(AT43="Maladie"),0),IF($AV$5&lt;&gt;"",--(AV43="Maladie"),0),IF($AX$5&lt;&gt;"",--(AX43="Maladie"),0),IF($AZ$5&lt;&gt;"",--(AZ43="Maladie"),0),IF($BB$5&lt;&gt;"",--(BB43="Maladie"),0),IF($BD$5&lt;&gt;"",--(BD43="Maladie"),0),IF($BF$5&lt;&gt;"",--(BF43="Maladie"),0),IF($BH$5&lt;&gt;"",--(BH43="Maladie"),0),IF($BJ$5&lt;&gt;"",--(BJ43="Maladie"),0),IF($BL$5&lt;&gt;"",--(BL43="Maladie"),0)))</f>
      </c>
      <c r="BR43" s="23">
        <f>IF($A43="","",SUM(IF($D$5&lt;&gt;"",IF(D43="Présent",E43,0),0),IF($F$5&lt;&gt;"",IF(F43="Présent",G43,0),0),IF($H$5&lt;&gt;"",IF(H43="Présent",I43,0),0),IF($J$5&lt;&gt;"",IF(J43="Présent",K43,0),0),IF($L$5&lt;&gt;"",IF(L43="Présent",M43,0),0),IF($N$5&lt;&gt;"",IF(N43="Présent",O43,0),0),IF($P$5&lt;&gt;"",IF(P43="Présent",Q43,0),0),IF($R$5&lt;&gt;"",IF(R43="Présent",S43,0),0),IF($T$5&lt;&gt;"",IF(T43="Présent",U43,0),0),IF($V$5&lt;&gt;"",IF(V43="Présent",W43,0),0),IF($X$5&lt;&gt;"",IF(X43="Présent",Y43,0),0),IF($Z$5&lt;&gt;"",IF(Z43="Présent",AA43,0),0),IF($AB$5&lt;&gt;"",IF(AB43="Présent",AC43,0),0),IF($AD$5&lt;&gt;"",IF(AD43="Présent",AE43,0),0),IF($AF$5&lt;&gt;"",IF(AF43="Présent",AG43,0),0),IF($AH$5&lt;&gt;"",IF(AH43="Présent",AI43,0),0),IF($AJ$5&lt;&gt;"",IF(AJ43="Présent",AK43,0),0),IF($AL$5&lt;&gt;"",IF(AL43="Présent",AM43,0),0),IF($AN$5&lt;&gt;"",IF(AN43="Présent",AO43,0),0),IF($AP$5&lt;&gt;"",IF(AP43="Présent",AQ43,0),0),IF($AR$5&lt;&gt;"",IF(AR43="Présent",AS43,0),0),IF($AT$5&lt;&gt;"",IF(AT43="Présent",AU43,0),0),IF($AV$5&lt;&gt;"",IF(AV43="Présent",AW43,0),0),IF($AX$5&lt;&gt;"",IF(AX43="Présent",AY43,0),0),IF($AZ$5&lt;&gt;"",IF(AZ43="Présent",BA43,0),0),IF($BB$5&lt;&gt;"",IF(BB43="Présent",BC43,0),0),IF($BD$5&lt;&gt;"",IF(BD43="Présent",BE43,0),0),IF($BF$5&lt;&gt;"",IF(BF43="Présent",BG43,0),0),IF($BH$5&lt;&gt;"",IF(BH43="Présent",BI43,0),0),IF($BJ$5&lt;&gt;"",IF(BJ43="Présent",BK43,0),0),IF($BL$5&lt;&gt;"",IF(BL43="Présent",BM43,0),0)))</f>
      </c>
      <c r="BS43" s="25">
        <f>IF($A43="","",$BN43*IFERROR(INDEX(Categories_Salaire,MATCH($C43,ListeCategories,0)),0)+$BR43*IF(IFERROR(INDEX(Categories_TauxHS,MATCH($C43,ListeCategories,0)),0)&gt;0,IFERROR(INDEX(Categories_TauxHS,MATCH($C43,ListeCategories,0)),0),TauxHSDefaut))</f>
      </c>
    </row>
    <row r="44">
      <c r="A44" s="20">
        <f>IF(AND(INDEX(Employes_Nom,38)&lt;&gt;"",INDEX(Employes_Statut,38)="Actif",OR(INDEX(Employes_Embauche,38)="",INDEX(Employes_Embauche,38)&lt;=EOMONTH(DATE(AnneeCourante,MoisCourant,1),0))),INDEX(Employes_ID,38),"")</f>
      </c>
      <c r="B44" s="19">
        <f>IF($A44="","",INDEX(Employes_Nom,MATCH($A44,Employes_ID,0)))</f>
      </c>
      <c r="C44" s="20">
        <f>IF($A44="","",INDEX(Employes_Categorie,MATCH($A44,Employes_ID,0)))</f>
      </c>
      <c r="D44" s="26"/>
      <c r="E44" s="27"/>
      <c r="F44" s="26"/>
      <c r="G44" s="27"/>
      <c r="H44" s="26"/>
      <c r="I44" s="27"/>
      <c r="J44" s="26"/>
      <c r="K44" s="27"/>
      <c r="L44" s="26"/>
      <c r="M44" s="27"/>
      <c r="N44" s="26"/>
      <c r="O44" s="27"/>
      <c r="P44" s="26"/>
      <c r="Q44" s="27"/>
      <c r="R44" s="26"/>
      <c r="S44" s="27"/>
      <c r="T44" s="26"/>
      <c r="U44" s="27"/>
      <c r="V44" s="26"/>
      <c r="W44" s="27"/>
      <c r="X44" s="26"/>
      <c r="Y44" s="27"/>
      <c r="Z44" s="26"/>
      <c r="AA44" s="27"/>
      <c r="AB44" s="26"/>
      <c r="AC44" s="27"/>
      <c r="AD44" s="26"/>
      <c r="AE44" s="27"/>
      <c r="AF44" s="26"/>
      <c r="AG44" s="27"/>
      <c r="AH44" s="26"/>
      <c r="AI44" s="27"/>
      <c r="AJ44" s="26"/>
      <c r="AK44" s="27"/>
      <c r="AL44" s="26"/>
      <c r="AM44" s="27"/>
      <c r="AN44" s="26"/>
      <c r="AO44" s="27"/>
      <c r="AP44" s="26"/>
      <c r="AQ44" s="27"/>
      <c r="AR44" s="26"/>
      <c r="AS44" s="27"/>
      <c r="AT44" s="26"/>
      <c r="AU44" s="27"/>
      <c r="AV44" s="26"/>
      <c r="AW44" s="27"/>
      <c r="AX44" s="26"/>
      <c r="AY44" s="27"/>
      <c r="AZ44" s="26"/>
      <c r="BA44" s="27"/>
      <c r="BB44" s="26"/>
      <c r="BC44" s="27"/>
      <c r="BD44" s="26"/>
      <c r="BE44" s="27"/>
      <c r="BF44" s="26"/>
      <c r="BG44" s="27"/>
      <c r="BH44" s="26"/>
      <c r="BI44" s="27"/>
      <c r="BJ44" s="26"/>
      <c r="BK44" s="27"/>
      <c r="BL44" s="26"/>
      <c r="BM44" s="27"/>
      <c r="BN44" s="22">
        <f>IF($A44="","",SUM(IF($D$5&lt;&gt;"",--(D44="Présent"),0),IF($F$5&lt;&gt;"",--(F44="Présent"),0),IF($H$5&lt;&gt;"",--(H44="Présent"),0),IF($J$5&lt;&gt;"",--(J44="Présent"),0),IF($L$5&lt;&gt;"",--(L44="Présent"),0),IF($N$5&lt;&gt;"",--(N44="Présent"),0),IF($P$5&lt;&gt;"",--(P44="Présent"),0),IF($R$5&lt;&gt;"",--(R44="Présent"),0),IF($T$5&lt;&gt;"",--(T44="Présent"),0),IF($V$5&lt;&gt;"",--(V44="Présent"),0),IF($X$5&lt;&gt;"",--(X44="Présent"),0),IF($Z$5&lt;&gt;"",--(Z44="Présent"),0),IF($AB$5&lt;&gt;"",--(AB44="Présent"),0),IF($AD$5&lt;&gt;"",--(AD44="Présent"),0),IF($AF$5&lt;&gt;"",--(AF44="Présent"),0),IF($AH$5&lt;&gt;"",--(AH44="Présent"),0),IF($AJ$5&lt;&gt;"",--(AJ44="Présent"),0),IF($AL$5&lt;&gt;"",--(AL44="Présent"),0),IF($AN$5&lt;&gt;"",--(AN44="Présent"),0),IF($AP$5&lt;&gt;"",--(AP44="Présent"),0),IF($AR$5&lt;&gt;"",--(AR44="Présent"),0),IF($AT$5&lt;&gt;"",--(AT44="Présent"),0),IF($AV$5&lt;&gt;"",--(AV44="Présent"),0),IF($AX$5&lt;&gt;"",--(AX44="Présent"),0),IF($AZ$5&lt;&gt;"",--(AZ44="Présent"),0),IF($BB$5&lt;&gt;"",--(BB44="Présent"),0),IF($BD$5&lt;&gt;"",--(BD44="Présent"),0),IF($BF$5&lt;&gt;"",--(BF44="Présent"),0),IF($BH$5&lt;&gt;"",--(BH44="Présent"),0),IF($BJ$5&lt;&gt;"",--(BJ44="Présent"),0),IF($BL$5&lt;&gt;"",--(BL44="Présent"),0)))</f>
      </c>
      <c r="BO44" s="22">
        <f>IF($A44="","",SUM(IF($D$5&lt;&gt;"",--(D44="Absent"),0),IF($F$5&lt;&gt;"",--(F44="Absent"),0),IF($H$5&lt;&gt;"",--(H44="Absent"),0),IF($J$5&lt;&gt;"",--(J44="Absent"),0),IF($L$5&lt;&gt;"",--(L44="Absent"),0),IF($N$5&lt;&gt;"",--(N44="Absent"),0),IF($P$5&lt;&gt;"",--(P44="Absent"),0),IF($R$5&lt;&gt;"",--(R44="Absent"),0),IF($T$5&lt;&gt;"",--(T44="Absent"),0),IF($V$5&lt;&gt;"",--(V44="Absent"),0),IF($X$5&lt;&gt;"",--(X44="Absent"),0),IF($Z$5&lt;&gt;"",--(Z44="Absent"),0),IF($AB$5&lt;&gt;"",--(AB44="Absent"),0),IF($AD$5&lt;&gt;"",--(AD44="Absent"),0),IF($AF$5&lt;&gt;"",--(AF44="Absent"),0),IF($AH$5&lt;&gt;"",--(AH44="Absent"),0),IF($AJ$5&lt;&gt;"",--(AJ44="Absent"),0),IF($AL$5&lt;&gt;"",--(AL44="Absent"),0),IF($AN$5&lt;&gt;"",--(AN44="Absent"),0),IF($AP$5&lt;&gt;"",--(AP44="Absent"),0),IF($AR$5&lt;&gt;"",--(AR44="Absent"),0),IF($AT$5&lt;&gt;"",--(AT44="Absent"),0),IF($AV$5&lt;&gt;"",--(AV44="Absent"),0),IF($AX$5&lt;&gt;"",--(AX44="Absent"),0),IF($AZ$5&lt;&gt;"",--(AZ44="Absent"),0),IF($BB$5&lt;&gt;"",--(BB44="Absent"),0),IF($BD$5&lt;&gt;"",--(BD44="Absent"),0),IF($BF$5&lt;&gt;"",--(BF44="Absent"),0),IF($BH$5&lt;&gt;"",--(BH44="Absent"),0),IF($BJ$5&lt;&gt;"",--(BJ44="Absent"),0),IF($BL$5&lt;&gt;"",--(BL44="Absent"),0)))</f>
      </c>
      <c r="BP44" s="22">
        <f>IF($A44="","",SUM(IF($D$5&lt;&gt;"",--(D44="Congé"),0),IF($F$5&lt;&gt;"",--(F44="Congé"),0),IF($H$5&lt;&gt;"",--(H44="Congé"),0),IF($J$5&lt;&gt;"",--(J44="Congé"),0),IF($L$5&lt;&gt;"",--(L44="Congé"),0),IF($N$5&lt;&gt;"",--(N44="Congé"),0),IF($P$5&lt;&gt;"",--(P44="Congé"),0),IF($R$5&lt;&gt;"",--(R44="Congé"),0),IF($T$5&lt;&gt;"",--(T44="Congé"),0),IF($V$5&lt;&gt;"",--(V44="Congé"),0),IF($X$5&lt;&gt;"",--(X44="Congé"),0),IF($Z$5&lt;&gt;"",--(Z44="Congé"),0),IF($AB$5&lt;&gt;"",--(AB44="Congé"),0),IF($AD$5&lt;&gt;"",--(AD44="Congé"),0),IF($AF$5&lt;&gt;"",--(AF44="Congé"),0),IF($AH$5&lt;&gt;"",--(AH44="Congé"),0),IF($AJ$5&lt;&gt;"",--(AJ44="Congé"),0),IF($AL$5&lt;&gt;"",--(AL44="Congé"),0),IF($AN$5&lt;&gt;"",--(AN44="Congé"),0),IF($AP$5&lt;&gt;"",--(AP44="Congé"),0),IF($AR$5&lt;&gt;"",--(AR44="Congé"),0),IF($AT$5&lt;&gt;"",--(AT44="Congé"),0),IF($AV$5&lt;&gt;"",--(AV44="Congé"),0),IF($AX$5&lt;&gt;"",--(AX44="Congé"),0),IF($AZ$5&lt;&gt;"",--(AZ44="Congé"),0),IF($BB$5&lt;&gt;"",--(BB44="Congé"),0),IF($BD$5&lt;&gt;"",--(BD44="Congé"),0),IF($BF$5&lt;&gt;"",--(BF44="Congé"),0),IF($BH$5&lt;&gt;"",--(BH44="Congé"),0),IF($BJ$5&lt;&gt;"",--(BJ44="Congé"),0),IF($BL$5&lt;&gt;"",--(BL44="Congé"),0)))</f>
      </c>
      <c r="BQ44" s="22">
        <f>IF($A44="","",SUM(IF($D$5&lt;&gt;"",--(D44="Maladie"),0),IF($F$5&lt;&gt;"",--(F44="Maladie"),0),IF($H$5&lt;&gt;"",--(H44="Maladie"),0),IF($J$5&lt;&gt;"",--(J44="Maladie"),0),IF($L$5&lt;&gt;"",--(L44="Maladie"),0),IF($N$5&lt;&gt;"",--(N44="Maladie"),0),IF($P$5&lt;&gt;"",--(P44="Maladie"),0),IF($R$5&lt;&gt;"",--(R44="Maladie"),0),IF($T$5&lt;&gt;"",--(T44="Maladie"),0),IF($V$5&lt;&gt;"",--(V44="Maladie"),0),IF($X$5&lt;&gt;"",--(X44="Maladie"),0),IF($Z$5&lt;&gt;"",--(Z44="Maladie"),0),IF($AB$5&lt;&gt;"",--(AB44="Maladie"),0),IF($AD$5&lt;&gt;"",--(AD44="Maladie"),0),IF($AF$5&lt;&gt;"",--(AF44="Maladie"),0),IF($AH$5&lt;&gt;"",--(AH44="Maladie"),0),IF($AJ$5&lt;&gt;"",--(AJ44="Maladie"),0),IF($AL$5&lt;&gt;"",--(AL44="Maladie"),0),IF($AN$5&lt;&gt;"",--(AN44="Maladie"),0),IF($AP$5&lt;&gt;"",--(AP44="Maladie"),0),IF($AR$5&lt;&gt;"",--(AR44="Maladie"),0),IF($AT$5&lt;&gt;"",--(AT44="Maladie"),0),IF($AV$5&lt;&gt;"",--(AV44="Maladie"),0),IF($AX$5&lt;&gt;"",--(AX44="Maladie"),0),IF($AZ$5&lt;&gt;"",--(AZ44="Maladie"),0),IF($BB$5&lt;&gt;"",--(BB44="Maladie"),0),IF($BD$5&lt;&gt;"",--(BD44="Maladie"),0),IF($BF$5&lt;&gt;"",--(BF44="Maladie"),0),IF($BH$5&lt;&gt;"",--(BH44="Maladie"),0),IF($BJ$5&lt;&gt;"",--(BJ44="Maladie"),0),IF($BL$5&lt;&gt;"",--(BL44="Maladie"),0)))</f>
      </c>
      <c r="BR44" s="23">
        <f>IF($A44="","",SUM(IF($D$5&lt;&gt;"",IF(D44="Présent",E44,0),0),IF($F$5&lt;&gt;"",IF(F44="Présent",G44,0),0),IF($H$5&lt;&gt;"",IF(H44="Présent",I44,0),0),IF($J$5&lt;&gt;"",IF(J44="Présent",K44,0),0),IF($L$5&lt;&gt;"",IF(L44="Présent",M44,0),0),IF($N$5&lt;&gt;"",IF(N44="Présent",O44,0),0),IF($P$5&lt;&gt;"",IF(P44="Présent",Q44,0),0),IF($R$5&lt;&gt;"",IF(R44="Présent",S44,0),0),IF($T$5&lt;&gt;"",IF(T44="Présent",U44,0),0),IF($V$5&lt;&gt;"",IF(V44="Présent",W44,0),0),IF($X$5&lt;&gt;"",IF(X44="Présent",Y44,0),0),IF($Z$5&lt;&gt;"",IF(Z44="Présent",AA44,0),0),IF($AB$5&lt;&gt;"",IF(AB44="Présent",AC44,0),0),IF($AD$5&lt;&gt;"",IF(AD44="Présent",AE44,0),0),IF($AF$5&lt;&gt;"",IF(AF44="Présent",AG44,0),0),IF($AH$5&lt;&gt;"",IF(AH44="Présent",AI44,0),0),IF($AJ$5&lt;&gt;"",IF(AJ44="Présent",AK44,0),0),IF($AL$5&lt;&gt;"",IF(AL44="Présent",AM44,0),0),IF($AN$5&lt;&gt;"",IF(AN44="Présent",AO44,0),0),IF($AP$5&lt;&gt;"",IF(AP44="Présent",AQ44,0),0),IF($AR$5&lt;&gt;"",IF(AR44="Présent",AS44,0),0),IF($AT$5&lt;&gt;"",IF(AT44="Présent",AU44,0),0),IF($AV$5&lt;&gt;"",IF(AV44="Présent",AW44,0),0),IF($AX$5&lt;&gt;"",IF(AX44="Présent",AY44,0),0),IF($AZ$5&lt;&gt;"",IF(AZ44="Présent",BA44,0),0),IF($BB$5&lt;&gt;"",IF(BB44="Présent",BC44,0),0),IF($BD$5&lt;&gt;"",IF(BD44="Présent",BE44,0),0),IF($BF$5&lt;&gt;"",IF(BF44="Présent",BG44,0),0),IF($BH$5&lt;&gt;"",IF(BH44="Présent",BI44,0),0),IF($BJ$5&lt;&gt;"",IF(BJ44="Présent",BK44,0),0),IF($BL$5&lt;&gt;"",IF(BL44="Présent",BM44,0),0)))</f>
      </c>
      <c r="BS44" s="25">
        <f>IF($A44="","",$BN44*IFERROR(INDEX(Categories_Salaire,MATCH($C44,ListeCategories,0)),0)+$BR44*IF(IFERROR(INDEX(Categories_TauxHS,MATCH($C44,ListeCategories,0)),0)&gt;0,IFERROR(INDEX(Categories_TauxHS,MATCH($C44,ListeCategories,0)),0),TauxHSDefaut))</f>
      </c>
    </row>
    <row r="45">
      <c r="A45" s="20">
        <f>IF(AND(INDEX(Employes_Nom,39)&lt;&gt;"",INDEX(Employes_Statut,39)="Actif",OR(INDEX(Employes_Embauche,39)="",INDEX(Employes_Embauche,39)&lt;=EOMONTH(DATE(AnneeCourante,MoisCourant,1),0))),INDEX(Employes_ID,39),"")</f>
      </c>
      <c r="B45" s="19">
        <f>IF($A45="","",INDEX(Employes_Nom,MATCH($A45,Employes_ID,0)))</f>
      </c>
      <c r="C45" s="20">
        <f>IF($A45="","",INDEX(Employes_Categorie,MATCH($A45,Employes_ID,0)))</f>
      </c>
      <c r="D45" s="26"/>
      <c r="E45" s="27"/>
      <c r="F45" s="26"/>
      <c r="G45" s="27"/>
      <c r="H45" s="26"/>
      <c r="I45" s="27"/>
      <c r="J45" s="26"/>
      <c r="K45" s="27"/>
      <c r="L45" s="26"/>
      <c r="M45" s="27"/>
      <c r="N45" s="26"/>
      <c r="O45" s="27"/>
      <c r="P45" s="26"/>
      <c r="Q45" s="27"/>
      <c r="R45" s="26"/>
      <c r="S45" s="27"/>
      <c r="T45" s="26"/>
      <c r="U45" s="27"/>
      <c r="V45" s="26"/>
      <c r="W45" s="27"/>
      <c r="X45" s="26"/>
      <c r="Y45" s="27"/>
      <c r="Z45" s="26"/>
      <c r="AA45" s="27"/>
      <c r="AB45" s="26"/>
      <c r="AC45" s="27"/>
      <c r="AD45" s="26"/>
      <c r="AE45" s="27"/>
      <c r="AF45" s="26"/>
      <c r="AG45" s="27"/>
      <c r="AH45" s="26"/>
      <c r="AI45" s="27"/>
      <c r="AJ45" s="26"/>
      <c r="AK45" s="27"/>
      <c r="AL45" s="26"/>
      <c r="AM45" s="27"/>
      <c r="AN45" s="26"/>
      <c r="AO45" s="27"/>
      <c r="AP45" s="26"/>
      <c r="AQ45" s="27"/>
      <c r="AR45" s="26"/>
      <c r="AS45" s="27"/>
      <c r="AT45" s="26"/>
      <c r="AU45" s="27"/>
      <c r="AV45" s="26"/>
      <c r="AW45" s="27"/>
      <c r="AX45" s="26"/>
      <c r="AY45" s="27"/>
      <c r="AZ45" s="26"/>
      <c r="BA45" s="27"/>
      <c r="BB45" s="26"/>
      <c r="BC45" s="27"/>
      <c r="BD45" s="26"/>
      <c r="BE45" s="27"/>
      <c r="BF45" s="26"/>
      <c r="BG45" s="27"/>
      <c r="BH45" s="26"/>
      <c r="BI45" s="27"/>
      <c r="BJ45" s="26"/>
      <c r="BK45" s="27"/>
      <c r="BL45" s="26"/>
      <c r="BM45" s="27"/>
      <c r="BN45" s="22">
        <f>IF($A45="","",SUM(IF($D$5&lt;&gt;"",--(D45="Présent"),0),IF($F$5&lt;&gt;"",--(F45="Présent"),0),IF($H$5&lt;&gt;"",--(H45="Présent"),0),IF($J$5&lt;&gt;"",--(J45="Présent"),0),IF($L$5&lt;&gt;"",--(L45="Présent"),0),IF($N$5&lt;&gt;"",--(N45="Présent"),0),IF($P$5&lt;&gt;"",--(P45="Présent"),0),IF($R$5&lt;&gt;"",--(R45="Présent"),0),IF($T$5&lt;&gt;"",--(T45="Présent"),0),IF($V$5&lt;&gt;"",--(V45="Présent"),0),IF($X$5&lt;&gt;"",--(X45="Présent"),0),IF($Z$5&lt;&gt;"",--(Z45="Présent"),0),IF($AB$5&lt;&gt;"",--(AB45="Présent"),0),IF($AD$5&lt;&gt;"",--(AD45="Présent"),0),IF($AF$5&lt;&gt;"",--(AF45="Présent"),0),IF($AH$5&lt;&gt;"",--(AH45="Présent"),0),IF($AJ$5&lt;&gt;"",--(AJ45="Présent"),0),IF($AL$5&lt;&gt;"",--(AL45="Présent"),0),IF($AN$5&lt;&gt;"",--(AN45="Présent"),0),IF($AP$5&lt;&gt;"",--(AP45="Présent"),0),IF($AR$5&lt;&gt;"",--(AR45="Présent"),0),IF($AT$5&lt;&gt;"",--(AT45="Présent"),0),IF($AV$5&lt;&gt;"",--(AV45="Présent"),0),IF($AX$5&lt;&gt;"",--(AX45="Présent"),0),IF($AZ$5&lt;&gt;"",--(AZ45="Présent"),0),IF($BB$5&lt;&gt;"",--(BB45="Présent"),0),IF($BD$5&lt;&gt;"",--(BD45="Présent"),0),IF($BF$5&lt;&gt;"",--(BF45="Présent"),0),IF($BH$5&lt;&gt;"",--(BH45="Présent"),0),IF($BJ$5&lt;&gt;"",--(BJ45="Présent"),0),IF($BL$5&lt;&gt;"",--(BL45="Présent"),0)))</f>
      </c>
      <c r="BO45" s="22">
        <f>IF($A45="","",SUM(IF($D$5&lt;&gt;"",--(D45="Absent"),0),IF($F$5&lt;&gt;"",--(F45="Absent"),0),IF($H$5&lt;&gt;"",--(H45="Absent"),0),IF($J$5&lt;&gt;"",--(J45="Absent"),0),IF($L$5&lt;&gt;"",--(L45="Absent"),0),IF($N$5&lt;&gt;"",--(N45="Absent"),0),IF($P$5&lt;&gt;"",--(P45="Absent"),0),IF($R$5&lt;&gt;"",--(R45="Absent"),0),IF($T$5&lt;&gt;"",--(T45="Absent"),0),IF($V$5&lt;&gt;"",--(V45="Absent"),0),IF($X$5&lt;&gt;"",--(X45="Absent"),0),IF($Z$5&lt;&gt;"",--(Z45="Absent"),0),IF($AB$5&lt;&gt;"",--(AB45="Absent"),0),IF($AD$5&lt;&gt;"",--(AD45="Absent"),0),IF($AF$5&lt;&gt;"",--(AF45="Absent"),0),IF($AH$5&lt;&gt;"",--(AH45="Absent"),0),IF($AJ$5&lt;&gt;"",--(AJ45="Absent"),0),IF($AL$5&lt;&gt;"",--(AL45="Absent"),0),IF($AN$5&lt;&gt;"",--(AN45="Absent"),0),IF($AP$5&lt;&gt;"",--(AP45="Absent"),0),IF($AR$5&lt;&gt;"",--(AR45="Absent"),0),IF($AT$5&lt;&gt;"",--(AT45="Absent"),0),IF($AV$5&lt;&gt;"",--(AV45="Absent"),0),IF($AX$5&lt;&gt;"",--(AX45="Absent"),0),IF($AZ$5&lt;&gt;"",--(AZ45="Absent"),0),IF($BB$5&lt;&gt;"",--(BB45="Absent"),0),IF($BD$5&lt;&gt;"",--(BD45="Absent"),0),IF($BF$5&lt;&gt;"",--(BF45="Absent"),0),IF($BH$5&lt;&gt;"",--(BH45="Absent"),0),IF($BJ$5&lt;&gt;"",--(BJ45="Absent"),0),IF($BL$5&lt;&gt;"",--(BL45="Absent"),0)))</f>
      </c>
      <c r="BP45" s="22">
        <f>IF($A45="","",SUM(IF($D$5&lt;&gt;"",--(D45="Congé"),0),IF($F$5&lt;&gt;"",--(F45="Congé"),0),IF($H$5&lt;&gt;"",--(H45="Congé"),0),IF($J$5&lt;&gt;"",--(J45="Congé"),0),IF($L$5&lt;&gt;"",--(L45="Congé"),0),IF($N$5&lt;&gt;"",--(N45="Congé"),0),IF($P$5&lt;&gt;"",--(P45="Congé"),0),IF($R$5&lt;&gt;"",--(R45="Congé"),0),IF($T$5&lt;&gt;"",--(T45="Congé"),0),IF($V$5&lt;&gt;"",--(V45="Congé"),0),IF($X$5&lt;&gt;"",--(X45="Congé"),0),IF($Z$5&lt;&gt;"",--(Z45="Congé"),0),IF($AB$5&lt;&gt;"",--(AB45="Congé"),0),IF($AD$5&lt;&gt;"",--(AD45="Congé"),0),IF($AF$5&lt;&gt;"",--(AF45="Congé"),0),IF($AH$5&lt;&gt;"",--(AH45="Congé"),0),IF($AJ$5&lt;&gt;"",--(AJ45="Congé"),0),IF($AL$5&lt;&gt;"",--(AL45="Congé"),0),IF($AN$5&lt;&gt;"",--(AN45="Congé"),0),IF($AP$5&lt;&gt;"",--(AP45="Congé"),0),IF($AR$5&lt;&gt;"",--(AR45="Congé"),0),IF($AT$5&lt;&gt;"",--(AT45="Congé"),0),IF($AV$5&lt;&gt;"",--(AV45="Congé"),0),IF($AX$5&lt;&gt;"",--(AX45="Congé"),0),IF($AZ$5&lt;&gt;"",--(AZ45="Congé"),0),IF($BB$5&lt;&gt;"",--(BB45="Congé"),0),IF($BD$5&lt;&gt;"",--(BD45="Congé"),0),IF($BF$5&lt;&gt;"",--(BF45="Congé"),0),IF($BH$5&lt;&gt;"",--(BH45="Congé"),0),IF($BJ$5&lt;&gt;"",--(BJ45="Congé"),0),IF($BL$5&lt;&gt;"",--(BL45="Congé"),0)))</f>
      </c>
      <c r="BQ45" s="22">
        <f>IF($A45="","",SUM(IF($D$5&lt;&gt;"",--(D45="Maladie"),0),IF($F$5&lt;&gt;"",--(F45="Maladie"),0),IF($H$5&lt;&gt;"",--(H45="Maladie"),0),IF($J$5&lt;&gt;"",--(J45="Maladie"),0),IF($L$5&lt;&gt;"",--(L45="Maladie"),0),IF($N$5&lt;&gt;"",--(N45="Maladie"),0),IF($P$5&lt;&gt;"",--(P45="Maladie"),0),IF($R$5&lt;&gt;"",--(R45="Maladie"),0),IF($T$5&lt;&gt;"",--(T45="Maladie"),0),IF($V$5&lt;&gt;"",--(V45="Maladie"),0),IF($X$5&lt;&gt;"",--(X45="Maladie"),0),IF($Z$5&lt;&gt;"",--(Z45="Maladie"),0),IF($AB$5&lt;&gt;"",--(AB45="Maladie"),0),IF($AD$5&lt;&gt;"",--(AD45="Maladie"),0),IF($AF$5&lt;&gt;"",--(AF45="Maladie"),0),IF($AH$5&lt;&gt;"",--(AH45="Maladie"),0),IF($AJ$5&lt;&gt;"",--(AJ45="Maladie"),0),IF($AL$5&lt;&gt;"",--(AL45="Maladie"),0),IF($AN$5&lt;&gt;"",--(AN45="Maladie"),0),IF($AP$5&lt;&gt;"",--(AP45="Maladie"),0),IF($AR$5&lt;&gt;"",--(AR45="Maladie"),0),IF($AT$5&lt;&gt;"",--(AT45="Maladie"),0),IF($AV$5&lt;&gt;"",--(AV45="Maladie"),0),IF($AX$5&lt;&gt;"",--(AX45="Maladie"),0),IF($AZ$5&lt;&gt;"",--(AZ45="Maladie"),0),IF($BB$5&lt;&gt;"",--(BB45="Maladie"),0),IF($BD$5&lt;&gt;"",--(BD45="Maladie"),0),IF($BF$5&lt;&gt;"",--(BF45="Maladie"),0),IF($BH$5&lt;&gt;"",--(BH45="Maladie"),0),IF($BJ$5&lt;&gt;"",--(BJ45="Maladie"),0),IF($BL$5&lt;&gt;"",--(BL45="Maladie"),0)))</f>
      </c>
      <c r="BR45" s="23">
        <f>IF($A45="","",SUM(IF($D$5&lt;&gt;"",IF(D45="Présent",E45,0),0),IF($F$5&lt;&gt;"",IF(F45="Présent",G45,0),0),IF($H$5&lt;&gt;"",IF(H45="Présent",I45,0),0),IF($J$5&lt;&gt;"",IF(J45="Présent",K45,0),0),IF($L$5&lt;&gt;"",IF(L45="Présent",M45,0),0),IF($N$5&lt;&gt;"",IF(N45="Présent",O45,0),0),IF($P$5&lt;&gt;"",IF(P45="Présent",Q45,0),0),IF($R$5&lt;&gt;"",IF(R45="Présent",S45,0),0),IF($T$5&lt;&gt;"",IF(T45="Présent",U45,0),0),IF($V$5&lt;&gt;"",IF(V45="Présent",W45,0),0),IF($X$5&lt;&gt;"",IF(X45="Présent",Y45,0),0),IF($Z$5&lt;&gt;"",IF(Z45="Présent",AA45,0),0),IF($AB$5&lt;&gt;"",IF(AB45="Présent",AC45,0),0),IF($AD$5&lt;&gt;"",IF(AD45="Présent",AE45,0),0),IF($AF$5&lt;&gt;"",IF(AF45="Présent",AG45,0),0),IF($AH$5&lt;&gt;"",IF(AH45="Présent",AI45,0),0),IF($AJ$5&lt;&gt;"",IF(AJ45="Présent",AK45,0),0),IF($AL$5&lt;&gt;"",IF(AL45="Présent",AM45,0),0),IF($AN$5&lt;&gt;"",IF(AN45="Présent",AO45,0),0),IF($AP$5&lt;&gt;"",IF(AP45="Présent",AQ45,0),0),IF($AR$5&lt;&gt;"",IF(AR45="Présent",AS45,0),0),IF($AT$5&lt;&gt;"",IF(AT45="Présent",AU45,0),0),IF($AV$5&lt;&gt;"",IF(AV45="Présent",AW45,0),0),IF($AX$5&lt;&gt;"",IF(AX45="Présent",AY45,0),0),IF($AZ$5&lt;&gt;"",IF(AZ45="Présent",BA45,0),0),IF($BB$5&lt;&gt;"",IF(BB45="Présent",BC45,0),0),IF($BD$5&lt;&gt;"",IF(BD45="Présent",BE45,0),0),IF($BF$5&lt;&gt;"",IF(BF45="Présent",BG45,0),0),IF($BH$5&lt;&gt;"",IF(BH45="Présent",BI45,0),0),IF($BJ$5&lt;&gt;"",IF(BJ45="Présent",BK45,0),0),IF($BL$5&lt;&gt;"",IF(BL45="Présent",BM45,0),0)))</f>
      </c>
      <c r="BS45" s="25">
        <f>IF($A45="","",$BN45*IFERROR(INDEX(Categories_Salaire,MATCH($C45,ListeCategories,0)),0)+$BR45*IF(IFERROR(INDEX(Categories_TauxHS,MATCH($C45,ListeCategories,0)),0)&gt;0,IFERROR(INDEX(Categories_TauxHS,MATCH($C45,ListeCategories,0)),0),TauxHSDefaut))</f>
      </c>
    </row>
    <row r="46">
      <c r="A46" s="20">
        <f>IF(AND(INDEX(Employes_Nom,40)&lt;&gt;"",INDEX(Employes_Statut,40)="Actif",OR(INDEX(Employes_Embauche,40)="",INDEX(Employes_Embauche,40)&lt;=EOMONTH(DATE(AnneeCourante,MoisCourant,1),0))),INDEX(Employes_ID,40),"")</f>
      </c>
      <c r="B46" s="19">
        <f>IF($A46="","",INDEX(Employes_Nom,MATCH($A46,Employes_ID,0)))</f>
      </c>
      <c r="C46" s="20">
        <f>IF($A46="","",INDEX(Employes_Categorie,MATCH($A46,Employes_ID,0)))</f>
      </c>
      <c r="D46" s="26"/>
      <c r="E46" s="27"/>
      <c r="F46" s="26"/>
      <c r="G46" s="27"/>
      <c r="H46" s="26"/>
      <c r="I46" s="27"/>
      <c r="J46" s="26"/>
      <c r="K46" s="27"/>
      <c r="L46" s="26"/>
      <c r="M46" s="27"/>
      <c r="N46" s="26"/>
      <c r="O46" s="27"/>
      <c r="P46" s="26"/>
      <c r="Q46" s="27"/>
      <c r="R46" s="26"/>
      <c r="S46" s="27"/>
      <c r="T46" s="26"/>
      <c r="U46" s="27"/>
      <c r="V46" s="26"/>
      <c r="W46" s="27"/>
      <c r="X46" s="26"/>
      <c r="Y46" s="27"/>
      <c r="Z46" s="26"/>
      <c r="AA46" s="27"/>
      <c r="AB46" s="26"/>
      <c r="AC46" s="27"/>
      <c r="AD46" s="26"/>
      <c r="AE46" s="27"/>
      <c r="AF46" s="26"/>
      <c r="AG46" s="27"/>
      <c r="AH46" s="26"/>
      <c r="AI46" s="27"/>
      <c r="AJ46" s="26"/>
      <c r="AK46" s="27"/>
      <c r="AL46" s="26"/>
      <c r="AM46" s="27"/>
      <c r="AN46" s="26"/>
      <c r="AO46" s="27"/>
      <c r="AP46" s="26"/>
      <c r="AQ46" s="27"/>
      <c r="AR46" s="26"/>
      <c r="AS46" s="27"/>
      <c r="AT46" s="26"/>
      <c r="AU46" s="27"/>
      <c r="AV46" s="26"/>
      <c r="AW46" s="27"/>
      <c r="AX46" s="26"/>
      <c r="AY46" s="27"/>
      <c r="AZ46" s="26"/>
      <c r="BA46" s="27"/>
      <c r="BB46" s="26"/>
      <c r="BC46" s="27"/>
      <c r="BD46" s="26"/>
      <c r="BE46" s="27"/>
      <c r="BF46" s="26"/>
      <c r="BG46" s="27"/>
      <c r="BH46" s="26"/>
      <c r="BI46" s="27"/>
      <c r="BJ46" s="26"/>
      <c r="BK46" s="27"/>
      <c r="BL46" s="26"/>
      <c r="BM46" s="27"/>
      <c r="BN46" s="22">
        <f>IF($A46="","",SUM(IF($D$5&lt;&gt;"",--(D46="Présent"),0),IF($F$5&lt;&gt;"",--(F46="Présent"),0),IF($H$5&lt;&gt;"",--(H46="Présent"),0),IF($J$5&lt;&gt;"",--(J46="Présent"),0),IF($L$5&lt;&gt;"",--(L46="Présent"),0),IF($N$5&lt;&gt;"",--(N46="Présent"),0),IF($P$5&lt;&gt;"",--(P46="Présent"),0),IF($R$5&lt;&gt;"",--(R46="Présent"),0),IF($T$5&lt;&gt;"",--(T46="Présent"),0),IF($V$5&lt;&gt;"",--(V46="Présent"),0),IF($X$5&lt;&gt;"",--(X46="Présent"),0),IF($Z$5&lt;&gt;"",--(Z46="Présent"),0),IF($AB$5&lt;&gt;"",--(AB46="Présent"),0),IF($AD$5&lt;&gt;"",--(AD46="Présent"),0),IF($AF$5&lt;&gt;"",--(AF46="Présent"),0),IF($AH$5&lt;&gt;"",--(AH46="Présent"),0),IF($AJ$5&lt;&gt;"",--(AJ46="Présent"),0),IF($AL$5&lt;&gt;"",--(AL46="Présent"),0),IF($AN$5&lt;&gt;"",--(AN46="Présent"),0),IF($AP$5&lt;&gt;"",--(AP46="Présent"),0),IF($AR$5&lt;&gt;"",--(AR46="Présent"),0),IF($AT$5&lt;&gt;"",--(AT46="Présent"),0),IF($AV$5&lt;&gt;"",--(AV46="Présent"),0),IF($AX$5&lt;&gt;"",--(AX46="Présent"),0),IF($AZ$5&lt;&gt;"",--(AZ46="Présent"),0),IF($BB$5&lt;&gt;"",--(BB46="Présent"),0),IF($BD$5&lt;&gt;"",--(BD46="Présent"),0),IF($BF$5&lt;&gt;"",--(BF46="Présent"),0),IF($BH$5&lt;&gt;"",--(BH46="Présent"),0),IF($BJ$5&lt;&gt;"",--(BJ46="Présent"),0),IF($BL$5&lt;&gt;"",--(BL46="Présent"),0)))</f>
      </c>
      <c r="BO46" s="22">
        <f>IF($A46="","",SUM(IF($D$5&lt;&gt;"",--(D46="Absent"),0),IF($F$5&lt;&gt;"",--(F46="Absent"),0),IF($H$5&lt;&gt;"",--(H46="Absent"),0),IF($J$5&lt;&gt;"",--(J46="Absent"),0),IF($L$5&lt;&gt;"",--(L46="Absent"),0),IF($N$5&lt;&gt;"",--(N46="Absent"),0),IF($P$5&lt;&gt;"",--(P46="Absent"),0),IF($R$5&lt;&gt;"",--(R46="Absent"),0),IF($T$5&lt;&gt;"",--(T46="Absent"),0),IF($V$5&lt;&gt;"",--(V46="Absent"),0),IF($X$5&lt;&gt;"",--(X46="Absent"),0),IF($Z$5&lt;&gt;"",--(Z46="Absent"),0),IF($AB$5&lt;&gt;"",--(AB46="Absent"),0),IF($AD$5&lt;&gt;"",--(AD46="Absent"),0),IF($AF$5&lt;&gt;"",--(AF46="Absent"),0),IF($AH$5&lt;&gt;"",--(AH46="Absent"),0),IF($AJ$5&lt;&gt;"",--(AJ46="Absent"),0),IF($AL$5&lt;&gt;"",--(AL46="Absent"),0),IF($AN$5&lt;&gt;"",--(AN46="Absent"),0),IF($AP$5&lt;&gt;"",--(AP46="Absent"),0),IF($AR$5&lt;&gt;"",--(AR46="Absent"),0),IF($AT$5&lt;&gt;"",--(AT46="Absent"),0),IF($AV$5&lt;&gt;"",--(AV46="Absent"),0),IF($AX$5&lt;&gt;"",--(AX46="Absent"),0),IF($AZ$5&lt;&gt;"",--(AZ46="Absent"),0),IF($BB$5&lt;&gt;"",--(BB46="Absent"),0),IF($BD$5&lt;&gt;"",--(BD46="Absent"),0),IF($BF$5&lt;&gt;"",--(BF46="Absent"),0),IF($BH$5&lt;&gt;"",--(BH46="Absent"),0),IF($BJ$5&lt;&gt;"",--(BJ46="Absent"),0),IF($BL$5&lt;&gt;"",--(BL46="Absent"),0)))</f>
      </c>
      <c r="BP46" s="22">
        <f>IF($A46="","",SUM(IF($D$5&lt;&gt;"",--(D46="Congé"),0),IF($F$5&lt;&gt;"",--(F46="Congé"),0),IF($H$5&lt;&gt;"",--(H46="Congé"),0),IF($J$5&lt;&gt;"",--(J46="Congé"),0),IF($L$5&lt;&gt;"",--(L46="Congé"),0),IF($N$5&lt;&gt;"",--(N46="Congé"),0),IF($P$5&lt;&gt;"",--(P46="Congé"),0),IF($R$5&lt;&gt;"",--(R46="Congé"),0),IF($T$5&lt;&gt;"",--(T46="Congé"),0),IF($V$5&lt;&gt;"",--(V46="Congé"),0),IF($X$5&lt;&gt;"",--(X46="Congé"),0),IF($Z$5&lt;&gt;"",--(Z46="Congé"),0),IF($AB$5&lt;&gt;"",--(AB46="Congé"),0),IF($AD$5&lt;&gt;"",--(AD46="Congé"),0),IF($AF$5&lt;&gt;"",--(AF46="Congé"),0),IF($AH$5&lt;&gt;"",--(AH46="Congé"),0),IF($AJ$5&lt;&gt;"",--(AJ46="Congé"),0),IF($AL$5&lt;&gt;"",--(AL46="Congé"),0),IF($AN$5&lt;&gt;"",--(AN46="Congé"),0),IF($AP$5&lt;&gt;"",--(AP46="Congé"),0),IF($AR$5&lt;&gt;"",--(AR46="Congé"),0),IF($AT$5&lt;&gt;"",--(AT46="Congé"),0),IF($AV$5&lt;&gt;"",--(AV46="Congé"),0),IF($AX$5&lt;&gt;"",--(AX46="Congé"),0),IF($AZ$5&lt;&gt;"",--(AZ46="Congé"),0),IF($BB$5&lt;&gt;"",--(BB46="Congé"),0),IF($BD$5&lt;&gt;"",--(BD46="Congé"),0),IF($BF$5&lt;&gt;"",--(BF46="Congé"),0),IF($BH$5&lt;&gt;"",--(BH46="Congé"),0),IF($BJ$5&lt;&gt;"",--(BJ46="Congé"),0),IF($BL$5&lt;&gt;"",--(BL46="Congé"),0)))</f>
      </c>
      <c r="BQ46" s="22">
        <f>IF($A46="","",SUM(IF($D$5&lt;&gt;"",--(D46="Maladie"),0),IF($F$5&lt;&gt;"",--(F46="Maladie"),0),IF($H$5&lt;&gt;"",--(H46="Maladie"),0),IF($J$5&lt;&gt;"",--(J46="Maladie"),0),IF($L$5&lt;&gt;"",--(L46="Maladie"),0),IF($N$5&lt;&gt;"",--(N46="Maladie"),0),IF($P$5&lt;&gt;"",--(P46="Maladie"),0),IF($R$5&lt;&gt;"",--(R46="Maladie"),0),IF($T$5&lt;&gt;"",--(T46="Maladie"),0),IF($V$5&lt;&gt;"",--(V46="Maladie"),0),IF($X$5&lt;&gt;"",--(X46="Maladie"),0),IF($Z$5&lt;&gt;"",--(Z46="Maladie"),0),IF($AB$5&lt;&gt;"",--(AB46="Maladie"),0),IF($AD$5&lt;&gt;"",--(AD46="Maladie"),0),IF($AF$5&lt;&gt;"",--(AF46="Maladie"),0),IF($AH$5&lt;&gt;"",--(AH46="Maladie"),0),IF($AJ$5&lt;&gt;"",--(AJ46="Maladie"),0),IF($AL$5&lt;&gt;"",--(AL46="Maladie"),0),IF($AN$5&lt;&gt;"",--(AN46="Maladie"),0),IF($AP$5&lt;&gt;"",--(AP46="Maladie"),0),IF($AR$5&lt;&gt;"",--(AR46="Maladie"),0),IF($AT$5&lt;&gt;"",--(AT46="Maladie"),0),IF($AV$5&lt;&gt;"",--(AV46="Maladie"),0),IF($AX$5&lt;&gt;"",--(AX46="Maladie"),0),IF($AZ$5&lt;&gt;"",--(AZ46="Maladie"),0),IF($BB$5&lt;&gt;"",--(BB46="Maladie"),0),IF($BD$5&lt;&gt;"",--(BD46="Maladie"),0),IF($BF$5&lt;&gt;"",--(BF46="Maladie"),0),IF($BH$5&lt;&gt;"",--(BH46="Maladie"),0),IF($BJ$5&lt;&gt;"",--(BJ46="Maladie"),0),IF($BL$5&lt;&gt;"",--(BL46="Maladie"),0)))</f>
      </c>
      <c r="BR46" s="23">
        <f>IF($A46="","",SUM(IF($D$5&lt;&gt;"",IF(D46="Présent",E46,0),0),IF($F$5&lt;&gt;"",IF(F46="Présent",G46,0),0),IF($H$5&lt;&gt;"",IF(H46="Présent",I46,0),0),IF($J$5&lt;&gt;"",IF(J46="Présent",K46,0),0),IF($L$5&lt;&gt;"",IF(L46="Présent",M46,0),0),IF($N$5&lt;&gt;"",IF(N46="Présent",O46,0),0),IF($P$5&lt;&gt;"",IF(P46="Présent",Q46,0),0),IF($R$5&lt;&gt;"",IF(R46="Présent",S46,0),0),IF($T$5&lt;&gt;"",IF(T46="Présent",U46,0),0),IF($V$5&lt;&gt;"",IF(V46="Présent",W46,0),0),IF($X$5&lt;&gt;"",IF(X46="Présent",Y46,0),0),IF($Z$5&lt;&gt;"",IF(Z46="Présent",AA46,0),0),IF($AB$5&lt;&gt;"",IF(AB46="Présent",AC46,0),0),IF($AD$5&lt;&gt;"",IF(AD46="Présent",AE46,0),0),IF($AF$5&lt;&gt;"",IF(AF46="Présent",AG46,0),0),IF($AH$5&lt;&gt;"",IF(AH46="Présent",AI46,0),0),IF($AJ$5&lt;&gt;"",IF(AJ46="Présent",AK46,0),0),IF($AL$5&lt;&gt;"",IF(AL46="Présent",AM46,0),0),IF($AN$5&lt;&gt;"",IF(AN46="Présent",AO46,0),0),IF($AP$5&lt;&gt;"",IF(AP46="Présent",AQ46,0),0),IF($AR$5&lt;&gt;"",IF(AR46="Présent",AS46,0),0),IF($AT$5&lt;&gt;"",IF(AT46="Présent",AU46,0),0),IF($AV$5&lt;&gt;"",IF(AV46="Présent",AW46,0),0),IF($AX$5&lt;&gt;"",IF(AX46="Présent",AY46,0),0),IF($AZ$5&lt;&gt;"",IF(AZ46="Présent",BA46,0),0),IF($BB$5&lt;&gt;"",IF(BB46="Présent",BC46,0),0),IF($BD$5&lt;&gt;"",IF(BD46="Présent",BE46,0),0),IF($BF$5&lt;&gt;"",IF(BF46="Présent",BG46,0),0),IF($BH$5&lt;&gt;"",IF(BH46="Présent",BI46,0),0),IF($BJ$5&lt;&gt;"",IF(BJ46="Présent",BK46,0),0),IF($BL$5&lt;&gt;"",IF(BL46="Présent",BM46,0),0)))</f>
      </c>
      <c r="BS46" s="25">
        <f>IF($A46="","",$BN46*IFERROR(INDEX(Categories_Salaire,MATCH($C46,ListeCategories,0)),0)+$BR46*IF(IFERROR(INDEX(Categories_TauxHS,MATCH($C46,ListeCategories,0)),0)&gt;0,IFERROR(INDEX(Categories_TauxHS,MATCH($C46,ListeCategories,0)),0),TauxHSDefaut))</f>
      </c>
    </row>
    <row r="47">
      <c r="A47" s="20">
        <f>IF(AND(INDEX(Employes_Nom,41)&lt;&gt;"",INDEX(Employes_Statut,41)="Actif",OR(INDEX(Employes_Embauche,41)="",INDEX(Employes_Embauche,41)&lt;=EOMONTH(DATE(AnneeCourante,MoisCourant,1),0))),INDEX(Employes_ID,41),"")</f>
      </c>
      <c r="B47" s="19">
        <f>IF($A47="","",INDEX(Employes_Nom,MATCH($A47,Employes_ID,0)))</f>
      </c>
      <c r="C47" s="20">
        <f>IF($A47="","",INDEX(Employes_Categorie,MATCH($A47,Employes_ID,0)))</f>
      </c>
      <c r="D47" s="26"/>
      <c r="E47" s="27"/>
      <c r="F47" s="26"/>
      <c r="G47" s="27"/>
      <c r="H47" s="26"/>
      <c r="I47" s="27"/>
      <c r="J47" s="26"/>
      <c r="K47" s="27"/>
      <c r="L47" s="26"/>
      <c r="M47" s="27"/>
      <c r="N47" s="26"/>
      <c r="O47" s="27"/>
      <c r="P47" s="26"/>
      <c r="Q47" s="27"/>
      <c r="R47" s="26"/>
      <c r="S47" s="27"/>
      <c r="T47" s="26"/>
      <c r="U47" s="27"/>
      <c r="V47" s="26"/>
      <c r="W47" s="27"/>
      <c r="X47" s="26"/>
      <c r="Y47" s="27"/>
      <c r="Z47" s="26"/>
      <c r="AA47" s="27"/>
      <c r="AB47" s="26"/>
      <c r="AC47" s="27"/>
      <c r="AD47" s="26"/>
      <c r="AE47" s="27"/>
      <c r="AF47" s="26"/>
      <c r="AG47" s="27"/>
      <c r="AH47" s="26"/>
      <c r="AI47" s="27"/>
      <c r="AJ47" s="26"/>
      <c r="AK47" s="27"/>
      <c r="AL47" s="26"/>
      <c r="AM47" s="27"/>
      <c r="AN47" s="26"/>
      <c r="AO47" s="27"/>
      <c r="AP47" s="26"/>
      <c r="AQ47" s="27"/>
      <c r="AR47" s="26"/>
      <c r="AS47" s="27"/>
      <c r="AT47" s="26"/>
      <c r="AU47" s="27"/>
      <c r="AV47" s="26"/>
      <c r="AW47" s="27"/>
      <c r="AX47" s="26"/>
      <c r="AY47" s="27"/>
      <c r="AZ47" s="26"/>
      <c r="BA47" s="27"/>
      <c r="BB47" s="26"/>
      <c r="BC47" s="27"/>
      <c r="BD47" s="26"/>
      <c r="BE47" s="27"/>
      <c r="BF47" s="26"/>
      <c r="BG47" s="27"/>
      <c r="BH47" s="26"/>
      <c r="BI47" s="27"/>
      <c r="BJ47" s="26"/>
      <c r="BK47" s="27"/>
      <c r="BL47" s="26"/>
      <c r="BM47" s="27"/>
      <c r="BN47" s="22">
        <f>IF($A47="","",SUM(IF($D$5&lt;&gt;"",--(D47="Présent"),0),IF($F$5&lt;&gt;"",--(F47="Présent"),0),IF($H$5&lt;&gt;"",--(H47="Présent"),0),IF($J$5&lt;&gt;"",--(J47="Présent"),0),IF($L$5&lt;&gt;"",--(L47="Présent"),0),IF($N$5&lt;&gt;"",--(N47="Présent"),0),IF($P$5&lt;&gt;"",--(P47="Présent"),0),IF($R$5&lt;&gt;"",--(R47="Présent"),0),IF($T$5&lt;&gt;"",--(T47="Présent"),0),IF($V$5&lt;&gt;"",--(V47="Présent"),0),IF($X$5&lt;&gt;"",--(X47="Présent"),0),IF($Z$5&lt;&gt;"",--(Z47="Présent"),0),IF($AB$5&lt;&gt;"",--(AB47="Présent"),0),IF($AD$5&lt;&gt;"",--(AD47="Présent"),0),IF($AF$5&lt;&gt;"",--(AF47="Présent"),0),IF($AH$5&lt;&gt;"",--(AH47="Présent"),0),IF($AJ$5&lt;&gt;"",--(AJ47="Présent"),0),IF($AL$5&lt;&gt;"",--(AL47="Présent"),0),IF($AN$5&lt;&gt;"",--(AN47="Présent"),0),IF($AP$5&lt;&gt;"",--(AP47="Présent"),0),IF($AR$5&lt;&gt;"",--(AR47="Présent"),0),IF($AT$5&lt;&gt;"",--(AT47="Présent"),0),IF($AV$5&lt;&gt;"",--(AV47="Présent"),0),IF($AX$5&lt;&gt;"",--(AX47="Présent"),0),IF($AZ$5&lt;&gt;"",--(AZ47="Présent"),0),IF($BB$5&lt;&gt;"",--(BB47="Présent"),0),IF($BD$5&lt;&gt;"",--(BD47="Présent"),0),IF($BF$5&lt;&gt;"",--(BF47="Présent"),0),IF($BH$5&lt;&gt;"",--(BH47="Présent"),0),IF($BJ$5&lt;&gt;"",--(BJ47="Présent"),0),IF($BL$5&lt;&gt;"",--(BL47="Présent"),0)))</f>
      </c>
      <c r="BO47" s="22">
        <f>IF($A47="","",SUM(IF($D$5&lt;&gt;"",--(D47="Absent"),0),IF($F$5&lt;&gt;"",--(F47="Absent"),0),IF($H$5&lt;&gt;"",--(H47="Absent"),0),IF($J$5&lt;&gt;"",--(J47="Absent"),0),IF($L$5&lt;&gt;"",--(L47="Absent"),0),IF($N$5&lt;&gt;"",--(N47="Absent"),0),IF($P$5&lt;&gt;"",--(P47="Absent"),0),IF($R$5&lt;&gt;"",--(R47="Absent"),0),IF($T$5&lt;&gt;"",--(T47="Absent"),0),IF($V$5&lt;&gt;"",--(V47="Absent"),0),IF($X$5&lt;&gt;"",--(X47="Absent"),0),IF($Z$5&lt;&gt;"",--(Z47="Absent"),0),IF($AB$5&lt;&gt;"",--(AB47="Absent"),0),IF($AD$5&lt;&gt;"",--(AD47="Absent"),0),IF($AF$5&lt;&gt;"",--(AF47="Absent"),0),IF($AH$5&lt;&gt;"",--(AH47="Absent"),0),IF($AJ$5&lt;&gt;"",--(AJ47="Absent"),0),IF($AL$5&lt;&gt;"",--(AL47="Absent"),0),IF($AN$5&lt;&gt;"",--(AN47="Absent"),0),IF($AP$5&lt;&gt;"",--(AP47="Absent"),0),IF($AR$5&lt;&gt;"",--(AR47="Absent"),0),IF($AT$5&lt;&gt;"",--(AT47="Absent"),0),IF($AV$5&lt;&gt;"",--(AV47="Absent"),0),IF($AX$5&lt;&gt;"",--(AX47="Absent"),0),IF($AZ$5&lt;&gt;"",--(AZ47="Absent"),0),IF($BB$5&lt;&gt;"",--(BB47="Absent"),0),IF($BD$5&lt;&gt;"",--(BD47="Absent"),0),IF($BF$5&lt;&gt;"",--(BF47="Absent"),0),IF($BH$5&lt;&gt;"",--(BH47="Absent"),0),IF($BJ$5&lt;&gt;"",--(BJ47="Absent"),0),IF($BL$5&lt;&gt;"",--(BL47="Absent"),0)))</f>
      </c>
      <c r="BP47" s="22">
        <f>IF($A47="","",SUM(IF($D$5&lt;&gt;"",--(D47="Congé"),0),IF($F$5&lt;&gt;"",--(F47="Congé"),0),IF($H$5&lt;&gt;"",--(H47="Congé"),0),IF($J$5&lt;&gt;"",--(J47="Congé"),0),IF($L$5&lt;&gt;"",--(L47="Congé"),0),IF($N$5&lt;&gt;"",--(N47="Congé"),0),IF($P$5&lt;&gt;"",--(P47="Congé"),0),IF($R$5&lt;&gt;"",--(R47="Congé"),0),IF($T$5&lt;&gt;"",--(T47="Congé"),0),IF($V$5&lt;&gt;"",--(V47="Congé"),0),IF($X$5&lt;&gt;"",--(X47="Congé"),0),IF($Z$5&lt;&gt;"",--(Z47="Congé"),0),IF($AB$5&lt;&gt;"",--(AB47="Congé"),0),IF($AD$5&lt;&gt;"",--(AD47="Congé"),0),IF($AF$5&lt;&gt;"",--(AF47="Congé"),0),IF($AH$5&lt;&gt;"",--(AH47="Congé"),0),IF($AJ$5&lt;&gt;"",--(AJ47="Congé"),0),IF($AL$5&lt;&gt;"",--(AL47="Congé"),0),IF($AN$5&lt;&gt;"",--(AN47="Congé"),0),IF($AP$5&lt;&gt;"",--(AP47="Congé"),0),IF($AR$5&lt;&gt;"",--(AR47="Congé"),0),IF($AT$5&lt;&gt;"",--(AT47="Congé"),0),IF($AV$5&lt;&gt;"",--(AV47="Congé"),0),IF($AX$5&lt;&gt;"",--(AX47="Congé"),0),IF($AZ$5&lt;&gt;"",--(AZ47="Congé"),0),IF($BB$5&lt;&gt;"",--(BB47="Congé"),0),IF($BD$5&lt;&gt;"",--(BD47="Congé"),0),IF($BF$5&lt;&gt;"",--(BF47="Congé"),0),IF($BH$5&lt;&gt;"",--(BH47="Congé"),0),IF($BJ$5&lt;&gt;"",--(BJ47="Congé"),0),IF($BL$5&lt;&gt;"",--(BL47="Congé"),0)))</f>
      </c>
      <c r="BQ47" s="22">
        <f>IF($A47="","",SUM(IF($D$5&lt;&gt;"",--(D47="Maladie"),0),IF($F$5&lt;&gt;"",--(F47="Maladie"),0),IF($H$5&lt;&gt;"",--(H47="Maladie"),0),IF($J$5&lt;&gt;"",--(J47="Maladie"),0),IF($L$5&lt;&gt;"",--(L47="Maladie"),0),IF($N$5&lt;&gt;"",--(N47="Maladie"),0),IF($P$5&lt;&gt;"",--(P47="Maladie"),0),IF($R$5&lt;&gt;"",--(R47="Maladie"),0),IF($T$5&lt;&gt;"",--(T47="Maladie"),0),IF($V$5&lt;&gt;"",--(V47="Maladie"),0),IF($X$5&lt;&gt;"",--(X47="Maladie"),0),IF($Z$5&lt;&gt;"",--(Z47="Maladie"),0),IF($AB$5&lt;&gt;"",--(AB47="Maladie"),0),IF($AD$5&lt;&gt;"",--(AD47="Maladie"),0),IF($AF$5&lt;&gt;"",--(AF47="Maladie"),0),IF($AH$5&lt;&gt;"",--(AH47="Maladie"),0),IF($AJ$5&lt;&gt;"",--(AJ47="Maladie"),0),IF($AL$5&lt;&gt;"",--(AL47="Maladie"),0),IF($AN$5&lt;&gt;"",--(AN47="Maladie"),0),IF($AP$5&lt;&gt;"",--(AP47="Maladie"),0),IF($AR$5&lt;&gt;"",--(AR47="Maladie"),0),IF($AT$5&lt;&gt;"",--(AT47="Maladie"),0),IF($AV$5&lt;&gt;"",--(AV47="Maladie"),0),IF($AX$5&lt;&gt;"",--(AX47="Maladie"),0),IF($AZ$5&lt;&gt;"",--(AZ47="Maladie"),0),IF($BB$5&lt;&gt;"",--(BB47="Maladie"),0),IF($BD$5&lt;&gt;"",--(BD47="Maladie"),0),IF($BF$5&lt;&gt;"",--(BF47="Maladie"),0),IF($BH$5&lt;&gt;"",--(BH47="Maladie"),0),IF($BJ$5&lt;&gt;"",--(BJ47="Maladie"),0),IF($BL$5&lt;&gt;"",--(BL47="Maladie"),0)))</f>
      </c>
      <c r="BR47" s="23">
        <f>IF($A47="","",SUM(IF($D$5&lt;&gt;"",IF(D47="Présent",E47,0),0),IF($F$5&lt;&gt;"",IF(F47="Présent",G47,0),0),IF($H$5&lt;&gt;"",IF(H47="Présent",I47,0),0),IF($J$5&lt;&gt;"",IF(J47="Présent",K47,0),0),IF($L$5&lt;&gt;"",IF(L47="Présent",M47,0),0),IF($N$5&lt;&gt;"",IF(N47="Présent",O47,0),0),IF($P$5&lt;&gt;"",IF(P47="Présent",Q47,0),0),IF($R$5&lt;&gt;"",IF(R47="Présent",S47,0),0),IF($T$5&lt;&gt;"",IF(T47="Présent",U47,0),0),IF($V$5&lt;&gt;"",IF(V47="Présent",W47,0),0),IF($X$5&lt;&gt;"",IF(X47="Présent",Y47,0),0),IF($Z$5&lt;&gt;"",IF(Z47="Présent",AA47,0),0),IF($AB$5&lt;&gt;"",IF(AB47="Présent",AC47,0),0),IF($AD$5&lt;&gt;"",IF(AD47="Présent",AE47,0),0),IF($AF$5&lt;&gt;"",IF(AF47="Présent",AG47,0),0),IF($AH$5&lt;&gt;"",IF(AH47="Présent",AI47,0),0),IF($AJ$5&lt;&gt;"",IF(AJ47="Présent",AK47,0),0),IF($AL$5&lt;&gt;"",IF(AL47="Présent",AM47,0),0),IF($AN$5&lt;&gt;"",IF(AN47="Présent",AO47,0),0),IF($AP$5&lt;&gt;"",IF(AP47="Présent",AQ47,0),0),IF($AR$5&lt;&gt;"",IF(AR47="Présent",AS47,0),0),IF($AT$5&lt;&gt;"",IF(AT47="Présent",AU47,0),0),IF($AV$5&lt;&gt;"",IF(AV47="Présent",AW47,0),0),IF($AX$5&lt;&gt;"",IF(AX47="Présent",AY47,0),0),IF($AZ$5&lt;&gt;"",IF(AZ47="Présent",BA47,0),0),IF($BB$5&lt;&gt;"",IF(BB47="Présent",BC47,0),0),IF($BD$5&lt;&gt;"",IF(BD47="Présent",BE47,0),0),IF($BF$5&lt;&gt;"",IF(BF47="Présent",BG47,0),0),IF($BH$5&lt;&gt;"",IF(BH47="Présent",BI47,0),0),IF($BJ$5&lt;&gt;"",IF(BJ47="Présent",BK47,0),0),IF($BL$5&lt;&gt;"",IF(BL47="Présent",BM47,0),0)))</f>
      </c>
      <c r="BS47" s="25">
        <f>IF($A47="","",$BN47*IFERROR(INDEX(Categories_Salaire,MATCH($C47,ListeCategories,0)),0)+$BR47*IF(IFERROR(INDEX(Categories_TauxHS,MATCH($C47,ListeCategories,0)),0)&gt;0,IFERROR(INDEX(Categories_TauxHS,MATCH($C47,ListeCategories,0)),0),TauxHSDefaut))</f>
      </c>
    </row>
    <row r="48">
      <c r="A48" s="20">
        <f>IF(AND(INDEX(Employes_Nom,42)&lt;&gt;"",INDEX(Employes_Statut,42)="Actif",OR(INDEX(Employes_Embauche,42)="",INDEX(Employes_Embauche,42)&lt;=EOMONTH(DATE(AnneeCourante,MoisCourant,1),0))),INDEX(Employes_ID,42),"")</f>
      </c>
      <c r="B48" s="19">
        <f>IF($A48="","",INDEX(Employes_Nom,MATCH($A48,Employes_ID,0)))</f>
      </c>
      <c r="C48" s="20">
        <f>IF($A48="","",INDEX(Employes_Categorie,MATCH($A48,Employes_ID,0)))</f>
      </c>
      <c r="D48" s="26"/>
      <c r="E48" s="27"/>
      <c r="F48" s="26"/>
      <c r="G48" s="27"/>
      <c r="H48" s="26"/>
      <c r="I48" s="27"/>
      <c r="J48" s="26"/>
      <c r="K48" s="27"/>
      <c r="L48" s="26"/>
      <c r="M48" s="27"/>
      <c r="N48" s="26"/>
      <c r="O48" s="27"/>
      <c r="P48" s="26"/>
      <c r="Q48" s="27"/>
      <c r="R48" s="26"/>
      <c r="S48" s="27"/>
      <c r="T48" s="26"/>
      <c r="U48" s="27"/>
      <c r="V48" s="26"/>
      <c r="W48" s="27"/>
      <c r="X48" s="26"/>
      <c r="Y48" s="27"/>
      <c r="Z48" s="26"/>
      <c r="AA48" s="27"/>
      <c r="AB48" s="26"/>
      <c r="AC48" s="27"/>
      <c r="AD48" s="26"/>
      <c r="AE48" s="27"/>
      <c r="AF48" s="26"/>
      <c r="AG48" s="27"/>
      <c r="AH48" s="26"/>
      <c r="AI48" s="27"/>
      <c r="AJ48" s="26"/>
      <c r="AK48" s="27"/>
      <c r="AL48" s="26"/>
      <c r="AM48" s="27"/>
      <c r="AN48" s="26"/>
      <c r="AO48" s="27"/>
      <c r="AP48" s="26"/>
      <c r="AQ48" s="27"/>
      <c r="AR48" s="26"/>
      <c r="AS48" s="27"/>
      <c r="AT48" s="26"/>
      <c r="AU48" s="27"/>
      <c r="AV48" s="26"/>
      <c r="AW48" s="27"/>
      <c r="AX48" s="26"/>
      <c r="AY48" s="27"/>
      <c r="AZ48" s="26"/>
      <c r="BA48" s="27"/>
      <c r="BB48" s="26"/>
      <c r="BC48" s="27"/>
      <c r="BD48" s="26"/>
      <c r="BE48" s="27"/>
      <c r="BF48" s="26"/>
      <c r="BG48" s="27"/>
      <c r="BH48" s="26"/>
      <c r="BI48" s="27"/>
      <c r="BJ48" s="26"/>
      <c r="BK48" s="27"/>
      <c r="BL48" s="26"/>
      <c r="BM48" s="27"/>
      <c r="BN48" s="22">
        <f>IF($A48="","",SUM(IF($D$5&lt;&gt;"",--(D48="Présent"),0),IF($F$5&lt;&gt;"",--(F48="Présent"),0),IF($H$5&lt;&gt;"",--(H48="Présent"),0),IF($J$5&lt;&gt;"",--(J48="Présent"),0),IF($L$5&lt;&gt;"",--(L48="Présent"),0),IF($N$5&lt;&gt;"",--(N48="Présent"),0),IF($P$5&lt;&gt;"",--(P48="Présent"),0),IF($R$5&lt;&gt;"",--(R48="Présent"),0),IF($T$5&lt;&gt;"",--(T48="Présent"),0),IF($V$5&lt;&gt;"",--(V48="Présent"),0),IF($X$5&lt;&gt;"",--(X48="Présent"),0),IF($Z$5&lt;&gt;"",--(Z48="Présent"),0),IF($AB$5&lt;&gt;"",--(AB48="Présent"),0),IF($AD$5&lt;&gt;"",--(AD48="Présent"),0),IF($AF$5&lt;&gt;"",--(AF48="Présent"),0),IF($AH$5&lt;&gt;"",--(AH48="Présent"),0),IF($AJ$5&lt;&gt;"",--(AJ48="Présent"),0),IF($AL$5&lt;&gt;"",--(AL48="Présent"),0),IF($AN$5&lt;&gt;"",--(AN48="Présent"),0),IF($AP$5&lt;&gt;"",--(AP48="Présent"),0),IF($AR$5&lt;&gt;"",--(AR48="Présent"),0),IF($AT$5&lt;&gt;"",--(AT48="Présent"),0),IF($AV$5&lt;&gt;"",--(AV48="Présent"),0),IF($AX$5&lt;&gt;"",--(AX48="Présent"),0),IF($AZ$5&lt;&gt;"",--(AZ48="Présent"),0),IF($BB$5&lt;&gt;"",--(BB48="Présent"),0),IF($BD$5&lt;&gt;"",--(BD48="Présent"),0),IF($BF$5&lt;&gt;"",--(BF48="Présent"),0),IF($BH$5&lt;&gt;"",--(BH48="Présent"),0),IF($BJ$5&lt;&gt;"",--(BJ48="Présent"),0),IF($BL$5&lt;&gt;"",--(BL48="Présent"),0)))</f>
      </c>
      <c r="BO48" s="22">
        <f>IF($A48="","",SUM(IF($D$5&lt;&gt;"",--(D48="Absent"),0),IF($F$5&lt;&gt;"",--(F48="Absent"),0),IF($H$5&lt;&gt;"",--(H48="Absent"),0),IF($J$5&lt;&gt;"",--(J48="Absent"),0),IF($L$5&lt;&gt;"",--(L48="Absent"),0),IF($N$5&lt;&gt;"",--(N48="Absent"),0),IF($P$5&lt;&gt;"",--(P48="Absent"),0),IF($R$5&lt;&gt;"",--(R48="Absent"),0),IF($T$5&lt;&gt;"",--(T48="Absent"),0),IF($V$5&lt;&gt;"",--(V48="Absent"),0),IF($X$5&lt;&gt;"",--(X48="Absent"),0),IF($Z$5&lt;&gt;"",--(Z48="Absent"),0),IF($AB$5&lt;&gt;"",--(AB48="Absent"),0),IF($AD$5&lt;&gt;"",--(AD48="Absent"),0),IF($AF$5&lt;&gt;"",--(AF48="Absent"),0),IF($AH$5&lt;&gt;"",--(AH48="Absent"),0),IF($AJ$5&lt;&gt;"",--(AJ48="Absent"),0),IF($AL$5&lt;&gt;"",--(AL48="Absent"),0),IF($AN$5&lt;&gt;"",--(AN48="Absent"),0),IF($AP$5&lt;&gt;"",--(AP48="Absent"),0),IF($AR$5&lt;&gt;"",--(AR48="Absent"),0),IF($AT$5&lt;&gt;"",--(AT48="Absent"),0),IF($AV$5&lt;&gt;"",--(AV48="Absent"),0),IF($AX$5&lt;&gt;"",--(AX48="Absent"),0),IF($AZ$5&lt;&gt;"",--(AZ48="Absent"),0),IF($BB$5&lt;&gt;"",--(BB48="Absent"),0),IF($BD$5&lt;&gt;"",--(BD48="Absent"),0),IF($BF$5&lt;&gt;"",--(BF48="Absent"),0),IF($BH$5&lt;&gt;"",--(BH48="Absent"),0),IF($BJ$5&lt;&gt;"",--(BJ48="Absent"),0),IF($BL$5&lt;&gt;"",--(BL48="Absent"),0)))</f>
      </c>
      <c r="BP48" s="22">
        <f>IF($A48="","",SUM(IF($D$5&lt;&gt;"",--(D48="Congé"),0),IF($F$5&lt;&gt;"",--(F48="Congé"),0),IF($H$5&lt;&gt;"",--(H48="Congé"),0),IF($J$5&lt;&gt;"",--(J48="Congé"),0),IF($L$5&lt;&gt;"",--(L48="Congé"),0),IF($N$5&lt;&gt;"",--(N48="Congé"),0),IF($P$5&lt;&gt;"",--(P48="Congé"),0),IF($R$5&lt;&gt;"",--(R48="Congé"),0),IF($T$5&lt;&gt;"",--(T48="Congé"),0),IF($V$5&lt;&gt;"",--(V48="Congé"),0),IF($X$5&lt;&gt;"",--(X48="Congé"),0),IF($Z$5&lt;&gt;"",--(Z48="Congé"),0),IF($AB$5&lt;&gt;"",--(AB48="Congé"),0),IF($AD$5&lt;&gt;"",--(AD48="Congé"),0),IF($AF$5&lt;&gt;"",--(AF48="Congé"),0),IF($AH$5&lt;&gt;"",--(AH48="Congé"),0),IF($AJ$5&lt;&gt;"",--(AJ48="Congé"),0),IF($AL$5&lt;&gt;"",--(AL48="Congé"),0),IF($AN$5&lt;&gt;"",--(AN48="Congé"),0),IF($AP$5&lt;&gt;"",--(AP48="Congé"),0),IF($AR$5&lt;&gt;"",--(AR48="Congé"),0),IF($AT$5&lt;&gt;"",--(AT48="Congé"),0),IF($AV$5&lt;&gt;"",--(AV48="Congé"),0),IF($AX$5&lt;&gt;"",--(AX48="Congé"),0),IF($AZ$5&lt;&gt;"",--(AZ48="Congé"),0),IF($BB$5&lt;&gt;"",--(BB48="Congé"),0),IF($BD$5&lt;&gt;"",--(BD48="Congé"),0),IF($BF$5&lt;&gt;"",--(BF48="Congé"),0),IF($BH$5&lt;&gt;"",--(BH48="Congé"),0),IF($BJ$5&lt;&gt;"",--(BJ48="Congé"),0),IF($BL$5&lt;&gt;"",--(BL48="Congé"),0)))</f>
      </c>
      <c r="BQ48" s="22">
        <f>IF($A48="","",SUM(IF($D$5&lt;&gt;"",--(D48="Maladie"),0),IF($F$5&lt;&gt;"",--(F48="Maladie"),0),IF($H$5&lt;&gt;"",--(H48="Maladie"),0),IF($J$5&lt;&gt;"",--(J48="Maladie"),0),IF($L$5&lt;&gt;"",--(L48="Maladie"),0),IF($N$5&lt;&gt;"",--(N48="Maladie"),0),IF($P$5&lt;&gt;"",--(P48="Maladie"),0),IF($R$5&lt;&gt;"",--(R48="Maladie"),0),IF($T$5&lt;&gt;"",--(T48="Maladie"),0),IF($V$5&lt;&gt;"",--(V48="Maladie"),0),IF($X$5&lt;&gt;"",--(X48="Maladie"),0),IF($Z$5&lt;&gt;"",--(Z48="Maladie"),0),IF($AB$5&lt;&gt;"",--(AB48="Maladie"),0),IF($AD$5&lt;&gt;"",--(AD48="Maladie"),0),IF($AF$5&lt;&gt;"",--(AF48="Maladie"),0),IF($AH$5&lt;&gt;"",--(AH48="Maladie"),0),IF($AJ$5&lt;&gt;"",--(AJ48="Maladie"),0),IF($AL$5&lt;&gt;"",--(AL48="Maladie"),0),IF($AN$5&lt;&gt;"",--(AN48="Maladie"),0),IF($AP$5&lt;&gt;"",--(AP48="Maladie"),0),IF($AR$5&lt;&gt;"",--(AR48="Maladie"),0),IF($AT$5&lt;&gt;"",--(AT48="Maladie"),0),IF($AV$5&lt;&gt;"",--(AV48="Maladie"),0),IF($AX$5&lt;&gt;"",--(AX48="Maladie"),0),IF($AZ$5&lt;&gt;"",--(AZ48="Maladie"),0),IF($BB$5&lt;&gt;"",--(BB48="Maladie"),0),IF($BD$5&lt;&gt;"",--(BD48="Maladie"),0),IF($BF$5&lt;&gt;"",--(BF48="Maladie"),0),IF($BH$5&lt;&gt;"",--(BH48="Maladie"),0),IF($BJ$5&lt;&gt;"",--(BJ48="Maladie"),0),IF($BL$5&lt;&gt;"",--(BL48="Maladie"),0)))</f>
      </c>
      <c r="BR48" s="23">
        <f>IF($A48="","",SUM(IF($D$5&lt;&gt;"",IF(D48="Présent",E48,0),0),IF($F$5&lt;&gt;"",IF(F48="Présent",G48,0),0),IF($H$5&lt;&gt;"",IF(H48="Présent",I48,0),0),IF($J$5&lt;&gt;"",IF(J48="Présent",K48,0),0),IF($L$5&lt;&gt;"",IF(L48="Présent",M48,0),0),IF($N$5&lt;&gt;"",IF(N48="Présent",O48,0),0),IF($P$5&lt;&gt;"",IF(P48="Présent",Q48,0),0),IF($R$5&lt;&gt;"",IF(R48="Présent",S48,0),0),IF($T$5&lt;&gt;"",IF(T48="Présent",U48,0),0),IF($V$5&lt;&gt;"",IF(V48="Présent",W48,0),0),IF($X$5&lt;&gt;"",IF(X48="Présent",Y48,0),0),IF($Z$5&lt;&gt;"",IF(Z48="Présent",AA48,0),0),IF($AB$5&lt;&gt;"",IF(AB48="Présent",AC48,0),0),IF($AD$5&lt;&gt;"",IF(AD48="Présent",AE48,0),0),IF($AF$5&lt;&gt;"",IF(AF48="Présent",AG48,0),0),IF($AH$5&lt;&gt;"",IF(AH48="Présent",AI48,0),0),IF($AJ$5&lt;&gt;"",IF(AJ48="Présent",AK48,0),0),IF($AL$5&lt;&gt;"",IF(AL48="Présent",AM48,0),0),IF($AN$5&lt;&gt;"",IF(AN48="Présent",AO48,0),0),IF($AP$5&lt;&gt;"",IF(AP48="Présent",AQ48,0),0),IF($AR$5&lt;&gt;"",IF(AR48="Présent",AS48,0),0),IF($AT$5&lt;&gt;"",IF(AT48="Présent",AU48,0),0),IF($AV$5&lt;&gt;"",IF(AV48="Présent",AW48,0),0),IF($AX$5&lt;&gt;"",IF(AX48="Présent",AY48,0),0),IF($AZ$5&lt;&gt;"",IF(AZ48="Présent",BA48,0),0),IF($BB$5&lt;&gt;"",IF(BB48="Présent",BC48,0),0),IF($BD$5&lt;&gt;"",IF(BD48="Présent",BE48,0),0),IF($BF$5&lt;&gt;"",IF(BF48="Présent",BG48,0),0),IF($BH$5&lt;&gt;"",IF(BH48="Présent",BI48,0),0),IF($BJ$5&lt;&gt;"",IF(BJ48="Présent",BK48,0),0),IF($BL$5&lt;&gt;"",IF(BL48="Présent",BM48,0),0)))</f>
      </c>
      <c r="BS48" s="25">
        <f>IF($A48="","",$BN48*IFERROR(INDEX(Categories_Salaire,MATCH($C48,ListeCategories,0)),0)+$BR48*IF(IFERROR(INDEX(Categories_TauxHS,MATCH($C48,ListeCategories,0)),0)&gt;0,IFERROR(INDEX(Categories_TauxHS,MATCH($C48,ListeCategories,0)),0),TauxHSDefaut))</f>
      </c>
    </row>
    <row r="49">
      <c r="A49" s="20">
        <f>IF(AND(INDEX(Employes_Nom,43)&lt;&gt;"",INDEX(Employes_Statut,43)="Actif",OR(INDEX(Employes_Embauche,43)="",INDEX(Employes_Embauche,43)&lt;=EOMONTH(DATE(AnneeCourante,MoisCourant,1),0))),INDEX(Employes_ID,43),"")</f>
      </c>
      <c r="B49" s="19">
        <f>IF($A49="","",INDEX(Employes_Nom,MATCH($A49,Employes_ID,0)))</f>
      </c>
      <c r="C49" s="20">
        <f>IF($A49="","",INDEX(Employes_Categorie,MATCH($A49,Employes_ID,0)))</f>
      </c>
      <c r="D49" s="26"/>
      <c r="E49" s="27"/>
      <c r="F49" s="26"/>
      <c r="G49" s="27"/>
      <c r="H49" s="26"/>
      <c r="I49" s="27"/>
      <c r="J49" s="26"/>
      <c r="K49" s="27"/>
      <c r="L49" s="26"/>
      <c r="M49" s="27"/>
      <c r="N49" s="26"/>
      <c r="O49" s="27"/>
      <c r="P49" s="26"/>
      <c r="Q49" s="27"/>
      <c r="R49" s="26"/>
      <c r="S49" s="27"/>
      <c r="T49" s="26"/>
      <c r="U49" s="27"/>
      <c r="V49" s="26"/>
      <c r="W49" s="27"/>
      <c r="X49" s="26"/>
      <c r="Y49" s="27"/>
      <c r="Z49" s="26"/>
      <c r="AA49" s="27"/>
      <c r="AB49" s="26"/>
      <c r="AC49" s="27"/>
      <c r="AD49" s="26"/>
      <c r="AE49" s="27"/>
      <c r="AF49" s="26"/>
      <c r="AG49" s="27"/>
      <c r="AH49" s="26"/>
      <c r="AI49" s="27"/>
      <c r="AJ49" s="26"/>
      <c r="AK49" s="27"/>
      <c r="AL49" s="26"/>
      <c r="AM49" s="27"/>
      <c r="AN49" s="26"/>
      <c r="AO49" s="27"/>
      <c r="AP49" s="26"/>
      <c r="AQ49" s="27"/>
      <c r="AR49" s="26"/>
      <c r="AS49" s="27"/>
      <c r="AT49" s="26"/>
      <c r="AU49" s="27"/>
      <c r="AV49" s="26"/>
      <c r="AW49" s="27"/>
      <c r="AX49" s="26"/>
      <c r="AY49" s="27"/>
      <c r="AZ49" s="26"/>
      <c r="BA49" s="27"/>
      <c r="BB49" s="26"/>
      <c r="BC49" s="27"/>
      <c r="BD49" s="26"/>
      <c r="BE49" s="27"/>
      <c r="BF49" s="26"/>
      <c r="BG49" s="27"/>
      <c r="BH49" s="26"/>
      <c r="BI49" s="27"/>
      <c r="BJ49" s="26"/>
      <c r="BK49" s="27"/>
      <c r="BL49" s="26"/>
      <c r="BM49" s="27"/>
      <c r="BN49" s="22">
        <f>IF($A49="","",SUM(IF($D$5&lt;&gt;"",--(D49="Présent"),0),IF($F$5&lt;&gt;"",--(F49="Présent"),0),IF($H$5&lt;&gt;"",--(H49="Présent"),0),IF($J$5&lt;&gt;"",--(J49="Présent"),0),IF($L$5&lt;&gt;"",--(L49="Présent"),0),IF($N$5&lt;&gt;"",--(N49="Présent"),0),IF($P$5&lt;&gt;"",--(P49="Présent"),0),IF($R$5&lt;&gt;"",--(R49="Présent"),0),IF($T$5&lt;&gt;"",--(T49="Présent"),0),IF($V$5&lt;&gt;"",--(V49="Présent"),0),IF($X$5&lt;&gt;"",--(X49="Présent"),0),IF($Z$5&lt;&gt;"",--(Z49="Présent"),0),IF($AB$5&lt;&gt;"",--(AB49="Présent"),0),IF($AD$5&lt;&gt;"",--(AD49="Présent"),0),IF($AF$5&lt;&gt;"",--(AF49="Présent"),0),IF($AH$5&lt;&gt;"",--(AH49="Présent"),0),IF($AJ$5&lt;&gt;"",--(AJ49="Présent"),0),IF($AL$5&lt;&gt;"",--(AL49="Présent"),0),IF($AN$5&lt;&gt;"",--(AN49="Présent"),0),IF($AP$5&lt;&gt;"",--(AP49="Présent"),0),IF($AR$5&lt;&gt;"",--(AR49="Présent"),0),IF($AT$5&lt;&gt;"",--(AT49="Présent"),0),IF($AV$5&lt;&gt;"",--(AV49="Présent"),0),IF($AX$5&lt;&gt;"",--(AX49="Présent"),0),IF($AZ$5&lt;&gt;"",--(AZ49="Présent"),0),IF($BB$5&lt;&gt;"",--(BB49="Présent"),0),IF($BD$5&lt;&gt;"",--(BD49="Présent"),0),IF($BF$5&lt;&gt;"",--(BF49="Présent"),0),IF($BH$5&lt;&gt;"",--(BH49="Présent"),0),IF($BJ$5&lt;&gt;"",--(BJ49="Présent"),0),IF($BL$5&lt;&gt;"",--(BL49="Présent"),0)))</f>
      </c>
      <c r="BO49" s="22">
        <f>IF($A49="","",SUM(IF($D$5&lt;&gt;"",--(D49="Absent"),0),IF($F$5&lt;&gt;"",--(F49="Absent"),0),IF($H$5&lt;&gt;"",--(H49="Absent"),0),IF($J$5&lt;&gt;"",--(J49="Absent"),0),IF($L$5&lt;&gt;"",--(L49="Absent"),0),IF($N$5&lt;&gt;"",--(N49="Absent"),0),IF($P$5&lt;&gt;"",--(P49="Absent"),0),IF($R$5&lt;&gt;"",--(R49="Absent"),0),IF($T$5&lt;&gt;"",--(T49="Absent"),0),IF($V$5&lt;&gt;"",--(V49="Absent"),0),IF($X$5&lt;&gt;"",--(X49="Absent"),0),IF($Z$5&lt;&gt;"",--(Z49="Absent"),0),IF($AB$5&lt;&gt;"",--(AB49="Absent"),0),IF($AD$5&lt;&gt;"",--(AD49="Absent"),0),IF($AF$5&lt;&gt;"",--(AF49="Absent"),0),IF($AH$5&lt;&gt;"",--(AH49="Absent"),0),IF($AJ$5&lt;&gt;"",--(AJ49="Absent"),0),IF($AL$5&lt;&gt;"",--(AL49="Absent"),0),IF($AN$5&lt;&gt;"",--(AN49="Absent"),0),IF($AP$5&lt;&gt;"",--(AP49="Absent"),0),IF($AR$5&lt;&gt;"",--(AR49="Absent"),0),IF($AT$5&lt;&gt;"",--(AT49="Absent"),0),IF($AV$5&lt;&gt;"",--(AV49="Absent"),0),IF($AX$5&lt;&gt;"",--(AX49="Absent"),0),IF($AZ$5&lt;&gt;"",--(AZ49="Absent"),0),IF($BB$5&lt;&gt;"",--(BB49="Absent"),0),IF($BD$5&lt;&gt;"",--(BD49="Absent"),0),IF($BF$5&lt;&gt;"",--(BF49="Absent"),0),IF($BH$5&lt;&gt;"",--(BH49="Absent"),0),IF($BJ$5&lt;&gt;"",--(BJ49="Absent"),0),IF($BL$5&lt;&gt;"",--(BL49="Absent"),0)))</f>
      </c>
      <c r="BP49" s="22">
        <f>IF($A49="","",SUM(IF($D$5&lt;&gt;"",--(D49="Congé"),0),IF($F$5&lt;&gt;"",--(F49="Congé"),0),IF($H$5&lt;&gt;"",--(H49="Congé"),0),IF($J$5&lt;&gt;"",--(J49="Congé"),0),IF($L$5&lt;&gt;"",--(L49="Congé"),0),IF($N$5&lt;&gt;"",--(N49="Congé"),0),IF($P$5&lt;&gt;"",--(P49="Congé"),0),IF($R$5&lt;&gt;"",--(R49="Congé"),0),IF($T$5&lt;&gt;"",--(T49="Congé"),0),IF($V$5&lt;&gt;"",--(V49="Congé"),0),IF($X$5&lt;&gt;"",--(X49="Congé"),0),IF($Z$5&lt;&gt;"",--(Z49="Congé"),0),IF($AB$5&lt;&gt;"",--(AB49="Congé"),0),IF($AD$5&lt;&gt;"",--(AD49="Congé"),0),IF($AF$5&lt;&gt;"",--(AF49="Congé"),0),IF($AH$5&lt;&gt;"",--(AH49="Congé"),0),IF($AJ$5&lt;&gt;"",--(AJ49="Congé"),0),IF($AL$5&lt;&gt;"",--(AL49="Congé"),0),IF($AN$5&lt;&gt;"",--(AN49="Congé"),0),IF($AP$5&lt;&gt;"",--(AP49="Congé"),0),IF($AR$5&lt;&gt;"",--(AR49="Congé"),0),IF($AT$5&lt;&gt;"",--(AT49="Congé"),0),IF($AV$5&lt;&gt;"",--(AV49="Congé"),0),IF($AX$5&lt;&gt;"",--(AX49="Congé"),0),IF($AZ$5&lt;&gt;"",--(AZ49="Congé"),0),IF($BB$5&lt;&gt;"",--(BB49="Congé"),0),IF($BD$5&lt;&gt;"",--(BD49="Congé"),0),IF($BF$5&lt;&gt;"",--(BF49="Congé"),0),IF($BH$5&lt;&gt;"",--(BH49="Congé"),0),IF($BJ$5&lt;&gt;"",--(BJ49="Congé"),0),IF($BL$5&lt;&gt;"",--(BL49="Congé"),0)))</f>
      </c>
      <c r="BQ49" s="22">
        <f>IF($A49="","",SUM(IF($D$5&lt;&gt;"",--(D49="Maladie"),0),IF($F$5&lt;&gt;"",--(F49="Maladie"),0),IF($H$5&lt;&gt;"",--(H49="Maladie"),0),IF($J$5&lt;&gt;"",--(J49="Maladie"),0),IF($L$5&lt;&gt;"",--(L49="Maladie"),0),IF($N$5&lt;&gt;"",--(N49="Maladie"),0),IF($P$5&lt;&gt;"",--(P49="Maladie"),0),IF($R$5&lt;&gt;"",--(R49="Maladie"),0),IF($T$5&lt;&gt;"",--(T49="Maladie"),0),IF($V$5&lt;&gt;"",--(V49="Maladie"),0),IF($X$5&lt;&gt;"",--(X49="Maladie"),0),IF($Z$5&lt;&gt;"",--(Z49="Maladie"),0),IF($AB$5&lt;&gt;"",--(AB49="Maladie"),0),IF($AD$5&lt;&gt;"",--(AD49="Maladie"),0),IF($AF$5&lt;&gt;"",--(AF49="Maladie"),0),IF($AH$5&lt;&gt;"",--(AH49="Maladie"),0),IF($AJ$5&lt;&gt;"",--(AJ49="Maladie"),0),IF($AL$5&lt;&gt;"",--(AL49="Maladie"),0),IF($AN$5&lt;&gt;"",--(AN49="Maladie"),0),IF($AP$5&lt;&gt;"",--(AP49="Maladie"),0),IF($AR$5&lt;&gt;"",--(AR49="Maladie"),0),IF($AT$5&lt;&gt;"",--(AT49="Maladie"),0),IF($AV$5&lt;&gt;"",--(AV49="Maladie"),0),IF($AX$5&lt;&gt;"",--(AX49="Maladie"),0),IF($AZ$5&lt;&gt;"",--(AZ49="Maladie"),0),IF($BB$5&lt;&gt;"",--(BB49="Maladie"),0),IF($BD$5&lt;&gt;"",--(BD49="Maladie"),0),IF($BF$5&lt;&gt;"",--(BF49="Maladie"),0),IF($BH$5&lt;&gt;"",--(BH49="Maladie"),0),IF($BJ$5&lt;&gt;"",--(BJ49="Maladie"),0),IF($BL$5&lt;&gt;"",--(BL49="Maladie"),0)))</f>
      </c>
      <c r="BR49" s="23">
        <f>IF($A49="","",SUM(IF($D$5&lt;&gt;"",IF(D49="Présent",E49,0),0),IF($F$5&lt;&gt;"",IF(F49="Présent",G49,0),0),IF($H$5&lt;&gt;"",IF(H49="Présent",I49,0),0),IF($J$5&lt;&gt;"",IF(J49="Présent",K49,0),0),IF($L$5&lt;&gt;"",IF(L49="Présent",M49,0),0),IF($N$5&lt;&gt;"",IF(N49="Présent",O49,0),0),IF($P$5&lt;&gt;"",IF(P49="Présent",Q49,0),0),IF($R$5&lt;&gt;"",IF(R49="Présent",S49,0),0),IF($T$5&lt;&gt;"",IF(T49="Présent",U49,0),0),IF($V$5&lt;&gt;"",IF(V49="Présent",W49,0),0),IF($X$5&lt;&gt;"",IF(X49="Présent",Y49,0),0),IF($Z$5&lt;&gt;"",IF(Z49="Présent",AA49,0),0),IF($AB$5&lt;&gt;"",IF(AB49="Présent",AC49,0),0),IF($AD$5&lt;&gt;"",IF(AD49="Présent",AE49,0),0),IF($AF$5&lt;&gt;"",IF(AF49="Présent",AG49,0),0),IF($AH$5&lt;&gt;"",IF(AH49="Présent",AI49,0),0),IF($AJ$5&lt;&gt;"",IF(AJ49="Présent",AK49,0),0),IF($AL$5&lt;&gt;"",IF(AL49="Présent",AM49,0),0),IF($AN$5&lt;&gt;"",IF(AN49="Présent",AO49,0),0),IF($AP$5&lt;&gt;"",IF(AP49="Présent",AQ49,0),0),IF($AR$5&lt;&gt;"",IF(AR49="Présent",AS49,0),0),IF($AT$5&lt;&gt;"",IF(AT49="Présent",AU49,0),0),IF($AV$5&lt;&gt;"",IF(AV49="Présent",AW49,0),0),IF($AX$5&lt;&gt;"",IF(AX49="Présent",AY49,0),0),IF($AZ$5&lt;&gt;"",IF(AZ49="Présent",BA49,0),0),IF($BB$5&lt;&gt;"",IF(BB49="Présent",BC49,0),0),IF($BD$5&lt;&gt;"",IF(BD49="Présent",BE49,0),0),IF($BF$5&lt;&gt;"",IF(BF49="Présent",BG49,0),0),IF($BH$5&lt;&gt;"",IF(BH49="Présent",BI49,0),0),IF($BJ$5&lt;&gt;"",IF(BJ49="Présent",BK49,0),0),IF($BL$5&lt;&gt;"",IF(BL49="Présent",BM49,0),0)))</f>
      </c>
      <c r="BS49" s="25">
        <f>IF($A49="","",$BN49*IFERROR(INDEX(Categories_Salaire,MATCH($C49,ListeCategories,0)),0)+$BR49*IF(IFERROR(INDEX(Categories_TauxHS,MATCH($C49,ListeCategories,0)),0)&gt;0,IFERROR(INDEX(Categories_TauxHS,MATCH($C49,ListeCategories,0)),0),TauxHSDefaut))</f>
      </c>
    </row>
    <row r="50">
      <c r="A50" s="20">
        <f>IF(AND(INDEX(Employes_Nom,44)&lt;&gt;"",INDEX(Employes_Statut,44)="Actif",OR(INDEX(Employes_Embauche,44)="",INDEX(Employes_Embauche,44)&lt;=EOMONTH(DATE(AnneeCourante,MoisCourant,1),0))),INDEX(Employes_ID,44),"")</f>
      </c>
      <c r="B50" s="19">
        <f>IF($A50="","",INDEX(Employes_Nom,MATCH($A50,Employes_ID,0)))</f>
      </c>
      <c r="C50" s="20">
        <f>IF($A50="","",INDEX(Employes_Categorie,MATCH($A50,Employes_ID,0)))</f>
      </c>
      <c r="D50" s="26"/>
      <c r="E50" s="27"/>
      <c r="F50" s="26"/>
      <c r="G50" s="27"/>
      <c r="H50" s="26"/>
      <c r="I50" s="27"/>
      <c r="J50" s="26"/>
      <c r="K50" s="27"/>
      <c r="L50" s="26"/>
      <c r="M50" s="27"/>
      <c r="N50" s="26"/>
      <c r="O50" s="27"/>
      <c r="P50" s="26"/>
      <c r="Q50" s="27"/>
      <c r="R50" s="26"/>
      <c r="S50" s="27"/>
      <c r="T50" s="26"/>
      <c r="U50" s="27"/>
      <c r="V50" s="26"/>
      <c r="W50" s="27"/>
      <c r="X50" s="26"/>
      <c r="Y50" s="27"/>
      <c r="Z50" s="26"/>
      <c r="AA50" s="27"/>
      <c r="AB50" s="26"/>
      <c r="AC50" s="27"/>
      <c r="AD50" s="26"/>
      <c r="AE50" s="27"/>
      <c r="AF50" s="26"/>
      <c r="AG50" s="27"/>
      <c r="AH50" s="26"/>
      <c r="AI50" s="27"/>
      <c r="AJ50" s="26"/>
      <c r="AK50" s="27"/>
      <c r="AL50" s="26"/>
      <c r="AM50" s="27"/>
      <c r="AN50" s="26"/>
      <c r="AO50" s="27"/>
      <c r="AP50" s="26"/>
      <c r="AQ50" s="27"/>
      <c r="AR50" s="26"/>
      <c r="AS50" s="27"/>
      <c r="AT50" s="26"/>
      <c r="AU50" s="27"/>
      <c r="AV50" s="26"/>
      <c r="AW50" s="27"/>
      <c r="AX50" s="26"/>
      <c r="AY50" s="27"/>
      <c r="AZ50" s="26"/>
      <c r="BA50" s="27"/>
      <c r="BB50" s="26"/>
      <c r="BC50" s="27"/>
      <c r="BD50" s="26"/>
      <c r="BE50" s="27"/>
      <c r="BF50" s="26"/>
      <c r="BG50" s="27"/>
      <c r="BH50" s="26"/>
      <c r="BI50" s="27"/>
      <c r="BJ50" s="26"/>
      <c r="BK50" s="27"/>
      <c r="BL50" s="26"/>
      <c r="BM50" s="27"/>
      <c r="BN50" s="22">
        <f>IF($A50="","",SUM(IF($D$5&lt;&gt;"",--(D50="Présent"),0),IF($F$5&lt;&gt;"",--(F50="Présent"),0),IF($H$5&lt;&gt;"",--(H50="Présent"),0),IF($J$5&lt;&gt;"",--(J50="Présent"),0),IF($L$5&lt;&gt;"",--(L50="Présent"),0),IF($N$5&lt;&gt;"",--(N50="Présent"),0),IF($P$5&lt;&gt;"",--(P50="Présent"),0),IF($R$5&lt;&gt;"",--(R50="Présent"),0),IF($T$5&lt;&gt;"",--(T50="Présent"),0),IF($V$5&lt;&gt;"",--(V50="Présent"),0),IF($X$5&lt;&gt;"",--(X50="Présent"),0),IF($Z$5&lt;&gt;"",--(Z50="Présent"),0),IF($AB$5&lt;&gt;"",--(AB50="Présent"),0),IF($AD$5&lt;&gt;"",--(AD50="Présent"),0),IF($AF$5&lt;&gt;"",--(AF50="Présent"),0),IF($AH$5&lt;&gt;"",--(AH50="Présent"),0),IF($AJ$5&lt;&gt;"",--(AJ50="Présent"),0),IF($AL$5&lt;&gt;"",--(AL50="Présent"),0),IF($AN$5&lt;&gt;"",--(AN50="Présent"),0),IF($AP$5&lt;&gt;"",--(AP50="Présent"),0),IF($AR$5&lt;&gt;"",--(AR50="Présent"),0),IF($AT$5&lt;&gt;"",--(AT50="Présent"),0),IF($AV$5&lt;&gt;"",--(AV50="Présent"),0),IF($AX$5&lt;&gt;"",--(AX50="Présent"),0),IF($AZ$5&lt;&gt;"",--(AZ50="Présent"),0),IF($BB$5&lt;&gt;"",--(BB50="Présent"),0),IF($BD$5&lt;&gt;"",--(BD50="Présent"),0),IF($BF$5&lt;&gt;"",--(BF50="Présent"),0),IF($BH$5&lt;&gt;"",--(BH50="Présent"),0),IF($BJ$5&lt;&gt;"",--(BJ50="Présent"),0),IF($BL$5&lt;&gt;"",--(BL50="Présent"),0)))</f>
      </c>
      <c r="BO50" s="22">
        <f>IF($A50="","",SUM(IF($D$5&lt;&gt;"",--(D50="Absent"),0),IF($F$5&lt;&gt;"",--(F50="Absent"),0),IF($H$5&lt;&gt;"",--(H50="Absent"),0),IF($J$5&lt;&gt;"",--(J50="Absent"),0),IF($L$5&lt;&gt;"",--(L50="Absent"),0),IF($N$5&lt;&gt;"",--(N50="Absent"),0),IF($P$5&lt;&gt;"",--(P50="Absent"),0),IF($R$5&lt;&gt;"",--(R50="Absent"),0),IF($T$5&lt;&gt;"",--(T50="Absent"),0),IF($V$5&lt;&gt;"",--(V50="Absent"),0),IF($X$5&lt;&gt;"",--(X50="Absent"),0),IF($Z$5&lt;&gt;"",--(Z50="Absent"),0),IF($AB$5&lt;&gt;"",--(AB50="Absent"),0),IF($AD$5&lt;&gt;"",--(AD50="Absent"),0),IF($AF$5&lt;&gt;"",--(AF50="Absent"),0),IF($AH$5&lt;&gt;"",--(AH50="Absent"),0),IF($AJ$5&lt;&gt;"",--(AJ50="Absent"),0),IF($AL$5&lt;&gt;"",--(AL50="Absent"),0),IF($AN$5&lt;&gt;"",--(AN50="Absent"),0),IF($AP$5&lt;&gt;"",--(AP50="Absent"),0),IF($AR$5&lt;&gt;"",--(AR50="Absent"),0),IF($AT$5&lt;&gt;"",--(AT50="Absent"),0),IF($AV$5&lt;&gt;"",--(AV50="Absent"),0),IF($AX$5&lt;&gt;"",--(AX50="Absent"),0),IF($AZ$5&lt;&gt;"",--(AZ50="Absent"),0),IF($BB$5&lt;&gt;"",--(BB50="Absent"),0),IF($BD$5&lt;&gt;"",--(BD50="Absent"),0),IF($BF$5&lt;&gt;"",--(BF50="Absent"),0),IF($BH$5&lt;&gt;"",--(BH50="Absent"),0),IF($BJ$5&lt;&gt;"",--(BJ50="Absent"),0),IF($BL$5&lt;&gt;"",--(BL50="Absent"),0)))</f>
      </c>
      <c r="BP50" s="22">
        <f>IF($A50="","",SUM(IF($D$5&lt;&gt;"",--(D50="Congé"),0),IF($F$5&lt;&gt;"",--(F50="Congé"),0),IF($H$5&lt;&gt;"",--(H50="Congé"),0),IF($J$5&lt;&gt;"",--(J50="Congé"),0),IF($L$5&lt;&gt;"",--(L50="Congé"),0),IF($N$5&lt;&gt;"",--(N50="Congé"),0),IF($P$5&lt;&gt;"",--(P50="Congé"),0),IF($R$5&lt;&gt;"",--(R50="Congé"),0),IF($T$5&lt;&gt;"",--(T50="Congé"),0),IF($V$5&lt;&gt;"",--(V50="Congé"),0),IF($X$5&lt;&gt;"",--(X50="Congé"),0),IF($Z$5&lt;&gt;"",--(Z50="Congé"),0),IF($AB$5&lt;&gt;"",--(AB50="Congé"),0),IF($AD$5&lt;&gt;"",--(AD50="Congé"),0),IF($AF$5&lt;&gt;"",--(AF50="Congé"),0),IF($AH$5&lt;&gt;"",--(AH50="Congé"),0),IF($AJ$5&lt;&gt;"",--(AJ50="Congé"),0),IF($AL$5&lt;&gt;"",--(AL50="Congé"),0),IF($AN$5&lt;&gt;"",--(AN50="Congé"),0),IF($AP$5&lt;&gt;"",--(AP50="Congé"),0),IF($AR$5&lt;&gt;"",--(AR50="Congé"),0),IF($AT$5&lt;&gt;"",--(AT50="Congé"),0),IF($AV$5&lt;&gt;"",--(AV50="Congé"),0),IF($AX$5&lt;&gt;"",--(AX50="Congé"),0),IF($AZ$5&lt;&gt;"",--(AZ50="Congé"),0),IF($BB$5&lt;&gt;"",--(BB50="Congé"),0),IF($BD$5&lt;&gt;"",--(BD50="Congé"),0),IF($BF$5&lt;&gt;"",--(BF50="Congé"),0),IF($BH$5&lt;&gt;"",--(BH50="Congé"),0),IF($BJ$5&lt;&gt;"",--(BJ50="Congé"),0),IF($BL$5&lt;&gt;"",--(BL50="Congé"),0)))</f>
      </c>
      <c r="BQ50" s="22">
        <f>IF($A50="","",SUM(IF($D$5&lt;&gt;"",--(D50="Maladie"),0),IF($F$5&lt;&gt;"",--(F50="Maladie"),0),IF($H$5&lt;&gt;"",--(H50="Maladie"),0),IF($J$5&lt;&gt;"",--(J50="Maladie"),0),IF($L$5&lt;&gt;"",--(L50="Maladie"),0),IF($N$5&lt;&gt;"",--(N50="Maladie"),0),IF($P$5&lt;&gt;"",--(P50="Maladie"),0),IF($R$5&lt;&gt;"",--(R50="Maladie"),0),IF($T$5&lt;&gt;"",--(T50="Maladie"),0),IF($V$5&lt;&gt;"",--(V50="Maladie"),0),IF($X$5&lt;&gt;"",--(X50="Maladie"),0),IF($Z$5&lt;&gt;"",--(Z50="Maladie"),0),IF($AB$5&lt;&gt;"",--(AB50="Maladie"),0),IF($AD$5&lt;&gt;"",--(AD50="Maladie"),0),IF($AF$5&lt;&gt;"",--(AF50="Maladie"),0),IF($AH$5&lt;&gt;"",--(AH50="Maladie"),0),IF($AJ$5&lt;&gt;"",--(AJ50="Maladie"),0),IF($AL$5&lt;&gt;"",--(AL50="Maladie"),0),IF($AN$5&lt;&gt;"",--(AN50="Maladie"),0),IF($AP$5&lt;&gt;"",--(AP50="Maladie"),0),IF($AR$5&lt;&gt;"",--(AR50="Maladie"),0),IF($AT$5&lt;&gt;"",--(AT50="Maladie"),0),IF($AV$5&lt;&gt;"",--(AV50="Maladie"),0),IF($AX$5&lt;&gt;"",--(AX50="Maladie"),0),IF($AZ$5&lt;&gt;"",--(AZ50="Maladie"),0),IF($BB$5&lt;&gt;"",--(BB50="Maladie"),0),IF($BD$5&lt;&gt;"",--(BD50="Maladie"),0),IF($BF$5&lt;&gt;"",--(BF50="Maladie"),0),IF($BH$5&lt;&gt;"",--(BH50="Maladie"),0),IF($BJ$5&lt;&gt;"",--(BJ50="Maladie"),0),IF($BL$5&lt;&gt;"",--(BL50="Maladie"),0)))</f>
      </c>
      <c r="BR50" s="23">
        <f>IF($A50="","",SUM(IF($D$5&lt;&gt;"",IF(D50="Présent",E50,0),0),IF($F$5&lt;&gt;"",IF(F50="Présent",G50,0),0),IF($H$5&lt;&gt;"",IF(H50="Présent",I50,0),0),IF($J$5&lt;&gt;"",IF(J50="Présent",K50,0),0),IF($L$5&lt;&gt;"",IF(L50="Présent",M50,0),0),IF($N$5&lt;&gt;"",IF(N50="Présent",O50,0),0),IF($P$5&lt;&gt;"",IF(P50="Présent",Q50,0),0),IF($R$5&lt;&gt;"",IF(R50="Présent",S50,0),0),IF($T$5&lt;&gt;"",IF(T50="Présent",U50,0),0),IF($V$5&lt;&gt;"",IF(V50="Présent",W50,0),0),IF($X$5&lt;&gt;"",IF(X50="Présent",Y50,0),0),IF($Z$5&lt;&gt;"",IF(Z50="Présent",AA50,0),0),IF($AB$5&lt;&gt;"",IF(AB50="Présent",AC50,0),0),IF($AD$5&lt;&gt;"",IF(AD50="Présent",AE50,0),0),IF($AF$5&lt;&gt;"",IF(AF50="Présent",AG50,0),0),IF($AH$5&lt;&gt;"",IF(AH50="Présent",AI50,0),0),IF($AJ$5&lt;&gt;"",IF(AJ50="Présent",AK50,0),0),IF($AL$5&lt;&gt;"",IF(AL50="Présent",AM50,0),0),IF($AN$5&lt;&gt;"",IF(AN50="Présent",AO50,0),0),IF($AP$5&lt;&gt;"",IF(AP50="Présent",AQ50,0),0),IF($AR$5&lt;&gt;"",IF(AR50="Présent",AS50,0),0),IF($AT$5&lt;&gt;"",IF(AT50="Présent",AU50,0),0),IF($AV$5&lt;&gt;"",IF(AV50="Présent",AW50,0),0),IF($AX$5&lt;&gt;"",IF(AX50="Présent",AY50,0),0),IF($AZ$5&lt;&gt;"",IF(AZ50="Présent",BA50,0),0),IF($BB$5&lt;&gt;"",IF(BB50="Présent",BC50,0),0),IF($BD$5&lt;&gt;"",IF(BD50="Présent",BE50,0),0),IF($BF$5&lt;&gt;"",IF(BF50="Présent",BG50,0),0),IF($BH$5&lt;&gt;"",IF(BH50="Présent",BI50,0),0),IF($BJ$5&lt;&gt;"",IF(BJ50="Présent",BK50,0),0),IF($BL$5&lt;&gt;"",IF(BL50="Présent",BM50,0),0)))</f>
      </c>
      <c r="BS50" s="25">
        <f>IF($A50="","",$BN50*IFERROR(INDEX(Categories_Salaire,MATCH($C50,ListeCategories,0)),0)+$BR50*IF(IFERROR(INDEX(Categories_TauxHS,MATCH($C50,ListeCategories,0)),0)&gt;0,IFERROR(INDEX(Categories_TauxHS,MATCH($C50,ListeCategories,0)),0),TauxHSDefaut))</f>
      </c>
    </row>
    <row r="51">
      <c r="A51" s="20">
        <f>IF(AND(INDEX(Employes_Nom,45)&lt;&gt;"",INDEX(Employes_Statut,45)="Actif",OR(INDEX(Employes_Embauche,45)="",INDEX(Employes_Embauche,45)&lt;=EOMONTH(DATE(AnneeCourante,MoisCourant,1),0))),INDEX(Employes_ID,45),"")</f>
      </c>
      <c r="B51" s="19">
        <f>IF($A51="","",INDEX(Employes_Nom,MATCH($A51,Employes_ID,0)))</f>
      </c>
      <c r="C51" s="20">
        <f>IF($A51="","",INDEX(Employes_Categorie,MATCH($A51,Employes_ID,0)))</f>
      </c>
      <c r="D51" s="26"/>
      <c r="E51" s="27"/>
      <c r="F51" s="26"/>
      <c r="G51" s="27"/>
      <c r="H51" s="26"/>
      <c r="I51" s="27"/>
      <c r="J51" s="26"/>
      <c r="K51" s="27"/>
      <c r="L51" s="26"/>
      <c r="M51" s="27"/>
      <c r="N51" s="26"/>
      <c r="O51" s="27"/>
      <c r="P51" s="26"/>
      <c r="Q51" s="27"/>
      <c r="R51" s="26"/>
      <c r="S51" s="27"/>
      <c r="T51" s="26"/>
      <c r="U51" s="27"/>
      <c r="V51" s="26"/>
      <c r="W51" s="27"/>
      <c r="X51" s="26"/>
      <c r="Y51" s="27"/>
      <c r="Z51" s="26"/>
      <c r="AA51" s="27"/>
      <c r="AB51" s="26"/>
      <c r="AC51" s="27"/>
      <c r="AD51" s="26"/>
      <c r="AE51" s="27"/>
      <c r="AF51" s="26"/>
      <c r="AG51" s="27"/>
      <c r="AH51" s="26"/>
      <c r="AI51" s="27"/>
      <c r="AJ51" s="26"/>
      <c r="AK51" s="27"/>
      <c r="AL51" s="26"/>
      <c r="AM51" s="27"/>
      <c r="AN51" s="26"/>
      <c r="AO51" s="27"/>
      <c r="AP51" s="26"/>
      <c r="AQ51" s="27"/>
      <c r="AR51" s="26"/>
      <c r="AS51" s="27"/>
      <c r="AT51" s="26"/>
      <c r="AU51" s="27"/>
      <c r="AV51" s="26"/>
      <c r="AW51" s="27"/>
      <c r="AX51" s="26"/>
      <c r="AY51" s="27"/>
      <c r="AZ51" s="26"/>
      <c r="BA51" s="27"/>
      <c r="BB51" s="26"/>
      <c r="BC51" s="27"/>
      <c r="BD51" s="26"/>
      <c r="BE51" s="27"/>
      <c r="BF51" s="26"/>
      <c r="BG51" s="27"/>
      <c r="BH51" s="26"/>
      <c r="BI51" s="27"/>
      <c r="BJ51" s="26"/>
      <c r="BK51" s="27"/>
      <c r="BL51" s="26"/>
      <c r="BM51" s="27"/>
      <c r="BN51" s="22">
        <f>IF($A51="","",SUM(IF($D$5&lt;&gt;"",--(D51="Présent"),0),IF($F$5&lt;&gt;"",--(F51="Présent"),0),IF($H$5&lt;&gt;"",--(H51="Présent"),0),IF($J$5&lt;&gt;"",--(J51="Présent"),0),IF($L$5&lt;&gt;"",--(L51="Présent"),0),IF($N$5&lt;&gt;"",--(N51="Présent"),0),IF($P$5&lt;&gt;"",--(P51="Présent"),0),IF($R$5&lt;&gt;"",--(R51="Présent"),0),IF($T$5&lt;&gt;"",--(T51="Présent"),0),IF($V$5&lt;&gt;"",--(V51="Présent"),0),IF($X$5&lt;&gt;"",--(X51="Présent"),0),IF($Z$5&lt;&gt;"",--(Z51="Présent"),0),IF($AB$5&lt;&gt;"",--(AB51="Présent"),0),IF($AD$5&lt;&gt;"",--(AD51="Présent"),0),IF($AF$5&lt;&gt;"",--(AF51="Présent"),0),IF($AH$5&lt;&gt;"",--(AH51="Présent"),0),IF($AJ$5&lt;&gt;"",--(AJ51="Présent"),0),IF($AL$5&lt;&gt;"",--(AL51="Présent"),0),IF($AN$5&lt;&gt;"",--(AN51="Présent"),0),IF($AP$5&lt;&gt;"",--(AP51="Présent"),0),IF($AR$5&lt;&gt;"",--(AR51="Présent"),0),IF($AT$5&lt;&gt;"",--(AT51="Présent"),0),IF($AV$5&lt;&gt;"",--(AV51="Présent"),0),IF($AX$5&lt;&gt;"",--(AX51="Présent"),0),IF($AZ$5&lt;&gt;"",--(AZ51="Présent"),0),IF($BB$5&lt;&gt;"",--(BB51="Présent"),0),IF($BD$5&lt;&gt;"",--(BD51="Présent"),0),IF($BF$5&lt;&gt;"",--(BF51="Présent"),0),IF($BH$5&lt;&gt;"",--(BH51="Présent"),0),IF($BJ$5&lt;&gt;"",--(BJ51="Présent"),0),IF($BL$5&lt;&gt;"",--(BL51="Présent"),0)))</f>
      </c>
      <c r="BO51" s="22">
        <f>IF($A51="","",SUM(IF($D$5&lt;&gt;"",--(D51="Absent"),0),IF($F$5&lt;&gt;"",--(F51="Absent"),0),IF($H$5&lt;&gt;"",--(H51="Absent"),0),IF($J$5&lt;&gt;"",--(J51="Absent"),0),IF($L$5&lt;&gt;"",--(L51="Absent"),0),IF($N$5&lt;&gt;"",--(N51="Absent"),0),IF($P$5&lt;&gt;"",--(P51="Absent"),0),IF($R$5&lt;&gt;"",--(R51="Absent"),0),IF($T$5&lt;&gt;"",--(T51="Absent"),0),IF($V$5&lt;&gt;"",--(V51="Absent"),0),IF($X$5&lt;&gt;"",--(X51="Absent"),0),IF($Z$5&lt;&gt;"",--(Z51="Absent"),0),IF($AB$5&lt;&gt;"",--(AB51="Absent"),0),IF($AD$5&lt;&gt;"",--(AD51="Absent"),0),IF($AF$5&lt;&gt;"",--(AF51="Absent"),0),IF($AH$5&lt;&gt;"",--(AH51="Absent"),0),IF($AJ$5&lt;&gt;"",--(AJ51="Absent"),0),IF($AL$5&lt;&gt;"",--(AL51="Absent"),0),IF($AN$5&lt;&gt;"",--(AN51="Absent"),0),IF($AP$5&lt;&gt;"",--(AP51="Absent"),0),IF($AR$5&lt;&gt;"",--(AR51="Absent"),0),IF($AT$5&lt;&gt;"",--(AT51="Absent"),0),IF($AV$5&lt;&gt;"",--(AV51="Absent"),0),IF($AX$5&lt;&gt;"",--(AX51="Absent"),0),IF($AZ$5&lt;&gt;"",--(AZ51="Absent"),0),IF($BB$5&lt;&gt;"",--(BB51="Absent"),0),IF($BD$5&lt;&gt;"",--(BD51="Absent"),0),IF($BF$5&lt;&gt;"",--(BF51="Absent"),0),IF($BH$5&lt;&gt;"",--(BH51="Absent"),0),IF($BJ$5&lt;&gt;"",--(BJ51="Absent"),0),IF($BL$5&lt;&gt;"",--(BL51="Absent"),0)))</f>
      </c>
      <c r="BP51" s="22">
        <f>IF($A51="","",SUM(IF($D$5&lt;&gt;"",--(D51="Congé"),0),IF($F$5&lt;&gt;"",--(F51="Congé"),0),IF($H$5&lt;&gt;"",--(H51="Congé"),0),IF($J$5&lt;&gt;"",--(J51="Congé"),0),IF($L$5&lt;&gt;"",--(L51="Congé"),0),IF($N$5&lt;&gt;"",--(N51="Congé"),0),IF($P$5&lt;&gt;"",--(P51="Congé"),0),IF($R$5&lt;&gt;"",--(R51="Congé"),0),IF($T$5&lt;&gt;"",--(T51="Congé"),0),IF($V$5&lt;&gt;"",--(V51="Congé"),0),IF($X$5&lt;&gt;"",--(X51="Congé"),0),IF($Z$5&lt;&gt;"",--(Z51="Congé"),0),IF($AB$5&lt;&gt;"",--(AB51="Congé"),0),IF($AD$5&lt;&gt;"",--(AD51="Congé"),0),IF($AF$5&lt;&gt;"",--(AF51="Congé"),0),IF($AH$5&lt;&gt;"",--(AH51="Congé"),0),IF($AJ$5&lt;&gt;"",--(AJ51="Congé"),0),IF($AL$5&lt;&gt;"",--(AL51="Congé"),0),IF($AN$5&lt;&gt;"",--(AN51="Congé"),0),IF($AP$5&lt;&gt;"",--(AP51="Congé"),0),IF($AR$5&lt;&gt;"",--(AR51="Congé"),0),IF($AT$5&lt;&gt;"",--(AT51="Congé"),0),IF($AV$5&lt;&gt;"",--(AV51="Congé"),0),IF($AX$5&lt;&gt;"",--(AX51="Congé"),0),IF($AZ$5&lt;&gt;"",--(AZ51="Congé"),0),IF($BB$5&lt;&gt;"",--(BB51="Congé"),0),IF($BD$5&lt;&gt;"",--(BD51="Congé"),0),IF($BF$5&lt;&gt;"",--(BF51="Congé"),0),IF($BH$5&lt;&gt;"",--(BH51="Congé"),0),IF($BJ$5&lt;&gt;"",--(BJ51="Congé"),0),IF($BL$5&lt;&gt;"",--(BL51="Congé"),0)))</f>
      </c>
      <c r="BQ51" s="22">
        <f>IF($A51="","",SUM(IF($D$5&lt;&gt;"",--(D51="Maladie"),0),IF($F$5&lt;&gt;"",--(F51="Maladie"),0),IF($H$5&lt;&gt;"",--(H51="Maladie"),0),IF($J$5&lt;&gt;"",--(J51="Maladie"),0),IF($L$5&lt;&gt;"",--(L51="Maladie"),0),IF($N$5&lt;&gt;"",--(N51="Maladie"),0),IF($P$5&lt;&gt;"",--(P51="Maladie"),0),IF($R$5&lt;&gt;"",--(R51="Maladie"),0),IF($T$5&lt;&gt;"",--(T51="Maladie"),0),IF($V$5&lt;&gt;"",--(V51="Maladie"),0),IF($X$5&lt;&gt;"",--(X51="Maladie"),0),IF($Z$5&lt;&gt;"",--(Z51="Maladie"),0),IF($AB$5&lt;&gt;"",--(AB51="Maladie"),0),IF($AD$5&lt;&gt;"",--(AD51="Maladie"),0),IF($AF$5&lt;&gt;"",--(AF51="Maladie"),0),IF($AH$5&lt;&gt;"",--(AH51="Maladie"),0),IF($AJ$5&lt;&gt;"",--(AJ51="Maladie"),0),IF($AL$5&lt;&gt;"",--(AL51="Maladie"),0),IF($AN$5&lt;&gt;"",--(AN51="Maladie"),0),IF($AP$5&lt;&gt;"",--(AP51="Maladie"),0),IF($AR$5&lt;&gt;"",--(AR51="Maladie"),0),IF($AT$5&lt;&gt;"",--(AT51="Maladie"),0),IF($AV$5&lt;&gt;"",--(AV51="Maladie"),0),IF($AX$5&lt;&gt;"",--(AX51="Maladie"),0),IF($AZ$5&lt;&gt;"",--(AZ51="Maladie"),0),IF($BB$5&lt;&gt;"",--(BB51="Maladie"),0),IF($BD$5&lt;&gt;"",--(BD51="Maladie"),0),IF($BF$5&lt;&gt;"",--(BF51="Maladie"),0),IF($BH$5&lt;&gt;"",--(BH51="Maladie"),0),IF($BJ$5&lt;&gt;"",--(BJ51="Maladie"),0),IF($BL$5&lt;&gt;"",--(BL51="Maladie"),0)))</f>
      </c>
      <c r="BR51" s="23">
        <f>IF($A51="","",SUM(IF($D$5&lt;&gt;"",IF(D51="Présent",E51,0),0),IF($F$5&lt;&gt;"",IF(F51="Présent",G51,0),0),IF($H$5&lt;&gt;"",IF(H51="Présent",I51,0),0),IF($J$5&lt;&gt;"",IF(J51="Présent",K51,0),0),IF($L$5&lt;&gt;"",IF(L51="Présent",M51,0),0),IF($N$5&lt;&gt;"",IF(N51="Présent",O51,0),0),IF($P$5&lt;&gt;"",IF(P51="Présent",Q51,0),0),IF($R$5&lt;&gt;"",IF(R51="Présent",S51,0),0),IF($T$5&lt;&gt;"",IF(T51="Présent",U51,0),0),IF($V$5&lt;&gt;"",IF(V51="Présent",W51,0),0),IF($X$5&lt;&gt;"",IF(X51="Présent",Y51,0),0),IF($Z$5&lt;&gt;"",IF(Z51="Présent",AA51,0),0),IF($AB$5&lt;&gt;"",IF(AB51="Présent",AC51,0),0),IF($AD$5&lt;&gt;"",IF(AD51="Présent",AE51,0),0),IF($AF$5&lt;&gt;"",IF(AF51="Présent",AG51,0),0),IF($AH$5&lt;&gt;"",IF(AH51="Présent",AI51,0),0),IF($AJ$5&lt;&gt;"",IF(AJ51="Présent",AK51,0),0),IF($AL$5&lt;&gt;"",IF(AL51="Présent",AM51,0),0),IF($AN$5&lt;&gt;"",IF(AN51="Présent",AO51,0),0),IF($AP$5&lt;&gt;"",IF(AP51="Présent",AQ51,0),0),IF($AR$5&lt;&gt;"",IF(AR51="Présent",AS51,0),0),IF($AT$5&lt;&gt;"",IF(AT51="Présent",AU51,0),0),IF($AV$5&lt;&gt;"",IF(AV51="Présent",AW51,0),0),IF($AX$5&lt;&gt;"",IF(AX51="Présent",AY51,0),0),IF($AZ$5&lt;&gt;"",IF(AZ51="Présent",BA51,0),0),IF($BB$5&lt;&gt;"",IF(BB51="Présent",BC51,0),0),IF($BD$5&lt;&gt;"",IF(BD51="Présent",BE51,0),0),IF($BF$5&lt;&gt;"",IF(BF51="Présent",BG51,0),0),IF($BH$5&lt;&gt;"",IF(BH51="Présent",BI51,0),0),IF($BJ$5&lt;&gt;"",IF(BJ51="Présent",BK51,0),0),IF($BL$5&lt;&gt;"",IF(BL51="Présent",BM51,0),0)))</f>
      </c>
      <c r="BS51" s="25">
        <f>IF($A51="","",$BN51*IFERROR(INDEX(Categories_Salaire,MATCH($C51,ListeCategories,0)),0)+$BR51*IF(IFERROR(INDEX(Categories_TauxHS,MATCH($C51,ListeCategories,0)),0)&gt;0,IFERROR(INDEX(Categories_TauxHS,MATCH($C51,ListeCategories,0)),0),TauxHSDefaut))</f>
      </c>
    </row>
    <row r="52">
      <c r="A52" s="20">
        <f>IF(AND(INDEX(Employes_Nom,46)&lt;&gt;"",INDEX(Employes_Statut,46)="Actif",OR(INDEX(Employes_Embauche,46)="",INDEX(Employes_Embauche,46)&lt;=EOMONTH(DATE(AnneeCourante,MoisCourant,1),0))),INDEX(Employes_ID,46),"")</f>
      </c>
      <c r="B52" s="19">
        <f>IF($A52="","",INDEX(Employes_Nom,MATCH($A52,Employes_ID,0)))</f>
      </c>
      <c r="C52" s="20">
        <f>IF($A52="","",INDEX(Employes_Categorie,MATCH($A52,Employes_ID,0)))</f>
      </c>
      <c r="D52" s="26"/>
      <c r="E52" s="27"/>
      <c r="F52" s="26"/>
      <c r="G52" s="27"/>
      <c r="H52" s="26"/>
      <c r="I52" s="27"/>
      <c r="J52" s="26"/>
      <c r="K52" s="27"/>
      <c r="L52" s="26"/>
      <c r="M52" s="27"/>
      <c r="N52" s="26"/>
      <c r="O52" s="27"/>
      <c r="P52" s="26"/>
      <c r="Q52" s="27"/>
      <c r="R52" s="26"/>
      <c r="S52" s="27"/>
      <c r="T52" s="26"/>
      <c r="U52" s="27"/>
      <c r="V52" s="26"/>
      <c r="W52" s="27"/>
      <c r="X52" s="26"/>
      <c r="Y52" s="27"/>
      <c r="Z52" s="26"/>
      <c r="AA52" s="27"/>
      <c r="AB52" s="26"/>
      <c r="AC52" s="27"/>
      <c r="AD52" s="26"/>
      <c r="AE52" s="27"/>
      <c r="AF52" s="26"/>
      <c r="AG52" s="27"/>
      <c r="AH52" s="26"/>
      <c r="AI52" s="27"/>
      <c r="AJ52" s="26"/>
      <c r="AK52" s="27"/>
      <c r="AL52" s="26"/>
      <c r="AM52" s="27"/>
      <c r="AN52" s="26"/>
      <c r="AO52" s="27"/>
      <c r="AP52" s="26"/>
      <c r="AQ52" s="27"/>
      <c r="AR52" s="26"/>
      <c r="AS52" s="27"/>
      <c r="AT52" s="26"/>
      <c r="AU52" s="27"/>
      <c r="AV52" s="26"/>
      <c r="AW52" s="27"/>
      <c r="AX52" s="26"/>
      <c r="AY52" s="27"/>
      <c r="AZ52" s="26"/>
      <c r="BA52" s="27"/>
      <c r="BB52" s="26"/>
      <c r="BC52" s="27"/>
      <c r="BD52" s="26"/>
      <c r="BE52" s="27"/>
      <c r="BF52" s="26"/>
      <c r="BG52" s="27"/>
      <c r="BH52" s="26"/>
      <c r="BI52" s="27"/>
      <c r="BJ52" s="26"/>
      <c r="BK52" s="27"/>
      <c r="BL52" s="26"/>
      <c r="BM52" s="27"/>
      <c r="BN52" s="22">
        <f>IF($A52="","",SUM(IF($D$5&lt;&gt;"",--(D52="Présent"),0),IF($F$5&lt;&gt;"",--(F52="Présent"),0),IF($H$5&lt;&gt;"",--(H52="Présent"),0),IF($J$5&lt;&gt;"",--(J52="Présent"),0),IF($L$5&lt;&gt;"",--(L52="Présent"),0),IF($N$5&lt;&gt;"",--(N52="Présent"),0),IF($P$5&lt;&gt;"",--(P52="Présent"),0),IF($R$5&lt;&gt;"",--(R52="Présent"),0),IF($T$5&lt;&gt;"",--(T52="Présent"),0),IF($V$5&lt;&gt;"",--(V52="Présent"),0),IF($X$5&lt;&gt;"",--(X52="Présent"),0),IF($Z$5&lt;&gt;"",--(Z52="Présent"),0),IF($AB$5&lt;&gt;"",--(AB52="Présent"),0),IF($AD$5&lt;&gt;"",--(AD52="Présent"),0),IF($AF$5&lt;&gt;"",--(AF52="Présent"),0),IF($AH$5&lt;&gt;"",--(AH52="Présent"),0),IF($AJ$5&lt;&gt;"",--(AJ52="Présent"),0),IF($AL$5&lt;&gt;"",--(AL52="Présent"),0),IF($AN$5&lt;&gt;"",--(AN52="Présent"),0),IF($AP$5&lt;&gt;"",--(AP52="Présent"),0),IF($AR$5&lt;&gt;"",--(AR52="Présent"),0),IF($AT$5&lt;&gt;"",--(AT52="Présent"),0),IF($AV$5&lt;&gt;"",--(AV52="Présent"),0),IF($AX$5&lt;&gt;"",--(AX52="Présent"),0),IF($AZ$5&lt;&gt;"",--(AZ52="Présent"),0),IF($BB$5&lt;&gt;"",--(BB52="Présent"),0),IF($BD$5&lt;&gt;"",--(BD52="Présent"),0),IF($BF$5&lt;&gt;"",--(BF52="Présent"),0),IF($BH$5&lt;&gt;"",--(BH52="Présent"),0),IF($BJ$5&lt;&gt;"",--(BJ52="Présent"),0),IF($BL$5&lt;&gt;"",--(BL52="Présent"),0)))</f>
      </c>
      <c r="BO52" s="22">
        <f>IF($A52="","",SUM(IF($D$5&lt;&gt;"",--(D52="Absent"),0),IF($F$5&lt;&gt;"",--(F52="Absent"),0),IF($H$5&lt;&gt;"",--(H52="Absent"),0),IF($J$5&lt;&gt;"",--(J52="Absent"),0),IF($L$5&lt;&gt;"",--(L52="Absent"),0),IF($N$5&lt;&gt;"",--(N52="Absent"),0),IF($P$5&lt;&gt;"",--(P52="Absent"),0),IF($R$5&lt;&gt;"",--(R52="Absent"),0),IF($T$5&lt;&gt;"",--(T52="Absent"),0),IF($V$5&lt;&gt;"",--(V52="Absent"),0),IF($X$5&lt;&gt;"",--(X52="Absent"),0),IF($Z$5&lt;&gt;"",--(Z52="Absent"),0),IF($AB$5&lt;&gt;"",--(AB52="Absent"),0),IF($AD$5&lt;&gt;"",--(AD52="Absent"),0),IF($AF$5&lt;&gt;"",--(AF52="Absent"),0),IF($AH$5&lt;&gt;"",--(AH52="Absent"),0),IF($AJ$5&lt;&gt;"",--(AJ52="Absent"),0),IF($AL$5&lt;&gt;"",--(AL52="Absent"),0),IF($AN$5&lt;&gt;"",--(AN52="Absent"),0),IF($AP$5&lt;&gt;"",--(AP52="Absent"),0),IF($AR$5&lt;&gt;"",--(AR52="Absent"),0),IF($AT$5&lt;&gt;"",--(AT52="Absent"),0),IF($AV$5&lt;&gt;"",--(AV52="Absent"),0),IF($AX$5&lt;&gt;"",--(AX52="Absent"),0),IF($AZ$5&lt;&gt;"",--(AZ52="Absent"),0),IF($BB$5&lt;&gt;"",--(BB52="Absent"),0),IF($BD$5&lt;&gt;"",--(BD52="Absent"),0),IF($BF$5&lt;&gt;"",--(BF52="Absent"),0),IF($BH$5&lt;&gt;"",--(BH52="Absent"),0),IF($BJ$5&lt;&gt;"",--(BJ52="Absent"),0),IF($BL$5&lt;&gt;"",--(BL52="Absent"),0)))</f>
      </c>
      <c r="BP52" s="22">
        <f>IF($A52="","",SUM(IF($D$5&lt;&gt;"",--(D52="Congé"),0),IF($F$5&lt;&gt;"",--(F52="Congé"),0),IF($H$5&lt;&gt;"",--(H52="Congé"),0),IF($J$5&lt;&gt;"",--(J52="Congé"),0),IF($L$5&lt;&gt;"",--(L52="Congé"),0),IF($N$5&lt;&gt;"",--(N52="Congé"),0),IF($P$5&lt;&gt;"",--(P52="Congé"),0),IF($R$5&lt;&gt;"",--(R52="Congé"),0),IF($T$5&lt;&gt;"",--(T52="Congé"),0),IF($V$5&lt;&gt;"",--(V52="Congé"),0),IF($X$5&lt;&gt;"",--(X52="Congé"),0),IF($Z$5&lt;&gt;"",--(Z52="Congé"),0),IF($AB$5&lt;&gt;"",--(AB52="Congé"),0),IF($AD$5&lt;&gt;"",--(AD52="Congé"),0),IF($AF$5&lt;&gt;"",--(AF52="Congé"),0),IF($AH$5&lt;&gt;"",--(AH52="Congé"),0),IF($AJ$5&lt;&gt;"",--(AJ52="Congé"),0),IF($AL$5&lt;&gt;"",--(AL52="Congé"),0),IF($AN$5&lt;&gt;"",--(AN52="Congé"),0),IF($AP$5&lt;&gt;"",--(AP52="Congé"),0),IF($AR$5&lt;&gt;"",--(AR52="Congé"),0),IF($AT$5&lt;&gt;"",--(AT52="Congé"),0),IF($AV$5&lt;&gt;"",--(AV52="Congé"),0),IF($AX$5&lt;&gt;"",--(AX52="Congé"),0),IF($AZ$5&lt;&gt;"",--(AZ52="Congé"),0),IF($BB$5&lt;&gt;"",--(BB52="Congé"),0),IF($BD$5&lt;&gt;"",--(BD52="Congé"),0),IF($BF$5&lt;&gt;"",--(BF52="Congé"),0),IF($BH$5&lt;&gt;"",--(BH52="Congé"),0),IF($BJ$5&lt;&gt;"",--(BJ52="Congé"),0),IF($BL$5&lt;&gt;"",--(BL52="Congé"),0)))</f>
      </c>
      <c r="BQ52" s="22">
        <f>IF($A52="","",SUM(IF($D$5&lt;&gt;"",--(D52="Maladie"),0),IF($F$5&lt;&gt;"",--(F52="Maladie"),0),IF($H$5&lt;&gt;"",--(H52="Maladie"),0),IF($J$5&lt;&gt;"",--(J52="Maladie"),0),IF($L$5&lt;&gt;"",--(L52="Maladie"),0),IF($N$5&lt;&gt;"",--(N52="Maladie"),0),IF($P$5&lt;&gt;"",--(P52="Maladie"),0),IF($R$5&lt;&gt;"",--(R52="Maladie"),0),IF($T$5&lt;&gt;"",--(T52="Maladie"),0),IF($V$5&lt;&gt;"",--(V52="Maladie"),0),IF($X$5&lt;&gt;"",--(X52="Maladie"),0),IF($Z$5&lt;&gt;"",--(Z52="Maladie"),0),IF($AB$5&lt;&gt;"",--(AB52="Maladie"),0),IF($AD$5&lt;&gt;"",--(AD52="Maladie"),0),IF($AF$5&lt;&gt;"",--(AF52="Maladie"),0),IF($AH$5&lt;&gt;"",--(AH52="Maladie"),0),IF($AJ$5&lt;&gt;"",--(AJ52="Maladie"),0),IF($AL$5&lt;&gt;"",--(AL52="Maladie"),0),IF($AN$5&lt;&gt;"",--(AN52="Maladie"),0),IF($AP$5&lt;&gt;"",--(AP52="Maladie"),0),IF($AR$5&lt;&gt;"",--(AR52="Maladie"),0),IF($AT$5&lt;&gt;"",--(AT52="Maladie"),0),IF($AV$5&lt;&gt;"",--(AV52="Maladie"),0),IF($AX$5&lt;&gt;"",--(AX52="Maladie"),0),IF($AZ$5&lt;&gt;"",--(AZ52="Maladie"),0),IF($BB$5&lt;&gt;"",--(BB52="Maladie"),0),IF($BD$5&lt;&gt;"",--(BD52="Maladie"),0),IF($BF$5&lt;&gt;"",--(BF52="Maladie"),0),IF($BH$5&lt;&gt;"",--(BH52="Maladie"),0),IF($BJ$5&lt;&gt;"",--(BJ52="Maladie"),0),IF($BL$5&lt;&gt;"",--(BL52="Maladie"),0)))</f>
      </c>
      <c r="BR52" s="23">
        <f>IF($A52="","",SUM(IF($D$5&lt;&gt;"",IF(D52="Présent",E52,0),0),IF($F$5&lt;&gt;"",IF(F52="Présent",G52,0),0),IF($H$5&lt;&gt;"",IF(H52="Présent",I52,0),0),IF($J$5&lt;&gt;"",IF(J52="Présent",K52,0),0),IF($L$5&lt;&gt;"",IF(L52="Présent",M52,0),0),IF($N$5&lt;&gt;"",IF(N52="Présent",O52,0),0),IF($P$5&lt;&gt;"",IF(P52="Présent",Q52,0),0),IF($R$5&lt;&gt;"",IF(R52="Présent",S52,0),0),IF($T$5&lt;&gt;"",IF(T52="Présent",U52,0),0),IF($V$5&lt;&gt;"",IF(V52="Présent",W52,0),0),IF($X$5&lt;&gt;"",IF(X52="Présent",Y52,0),0),IF($Z$5&lt;&gt;"",IF(Z52="Présent",AA52,0),0),IF($AB$5&lt;&gt;"",IF(AB52="Présent",AC52,0),0),IF($AD$5&lt;&gt;"",IF(AD52="Présent",AE52,0),0),IF($AF$5&lt;&gt;"",IF(AF52="Présent",AG52,0),0),IF($AH$5&lt;&gt;"",IF(AH52="Présent",AI52,0),0),IF($AJ$5&lt;&gt;"",IF(AJ52="Présent",AK52,0),0),IF($AL$5&lt;&gt;"",IF(AL52="Présent",AM52,0),0),IF($AN$5&lt;&gt;"",IF(AN52="Présent",AO52,0),0),IF($AP$5&lt;&gt;"",IF(AP52="Présent",AQ52,0),0),IF($AR$5&lt;&gt;"",IF(AR52="Présent",AS52,0),0),IF($AT$5&lt;&gt;"",IF(AT52="Présent",AU52,0),0),IF($AV$5&lt;&gt;"",IF(AV52="Présent",AW52,0),0),IF($AX$5&lt;&gt;"",IF(AX52="Présent",AY52,0),0),IF($AZ$5&lt;&gt;"",IF(AZ52="Présent",BA52,0),0),IF($BB$5&lt;&gt;"",IF(BB52="Présent",BC52,0),0),IF($BD$5&lt;&gt;"",IF(BD52="Présent",BE52,0),0),IF($BF$5&lt;&gt;"",IF(BF52="Présent",BG52,0),0),IF($BH$5&lt;&gt;"",IF(BH52="Présent",BI52,0),0),IF($BJ$5&lt;&gt;"",IF(BJ52="Présent",BK52,0),0),IF($BL$5&lt;&gt;"",IF(BL52="Présent",BM52,0),0)))</f>
      </c>
      <c r="BS52" s="25">
        <f>IF($A52="","",$BN52*IFERROR(INDEX(Categories_Salaire,MATCH($C52,ListeCategories,0)),0)+$BR52*IF(IFERROR(INDEX(Categories_TauxHS,MATCH($C52,ListeCategories,0)),0)&gt;0,IFERROR(INDEX(Categories_TauxHS,MATCH($C52,ListeCategories,0)),0),TauxHSDefaut))</f>
      </c>
    </row>
    <row r="53">
      <c r="A53" s="20">
        <f>IF(AND(INDEX(Employes_Nom,47)&lt;&gt;"",INDEX(Employes_Statut,47)="Actif",OR(INDEX(Employes_Embauche,47)="",INDEX(Employes_Embauche,47)&lt;=EOMONTH(DATE(AnneeCourante,MoisCourant,1),0))),INDEX(Employes_ID,47),"")</f>
      </c>
      <c r="B53" s="19">
        <f>IF($A53="","",INDEX(Employes_Nom,MATCH($A53,Employes_ID,0)))</f>
      </c>
      <c r="C53" s="20">
        <f>IF($A53="","",INDEX(Employes_Categorie,MATCH($A53,Employes_ID,0)))</f>
      </c>
      <c r="D53" s="26"/>
      <c r="E53" s="27"/>
      <c r="F53" s="26"/>
      <c r="G53" s="27"/>
      <c r="H53" s="26"/>
      <c r="I53" s="27"/>
      <c r="J53" s="26"/>
      <c r="K53" s="27"/>
      <c r="L53" s="26"/>
      <c r="M53" s="27"/>
      <c r="N53" s="26"/>
      <c r="O53" s="27"/>
      <c r="P53" s="26"/>
      <c r="Q53" s="27"/>
      <c r="R53" s="26"/>
      <c r="S53" s="27"/>
      <c r="T53" s="26"/>
      <c r="U53" s="27"/>
      <c r="V53" s="26"/>
      <c r="W53" s="27"/>
      <c r="X53" s="26"/>
      <c r="Y53" s="27"/>
      <c r="Z53" s="26"/>
      <c r="AA53" s="27"/>
      <c r="AB53" s="26"/>
      <c r="AC53" s="27"/>
      <c r="AD53" s="26"/>
      <c r="AE53" s="27"/>
      <c r="AF53" s="26"/>
      <c r="AG53" s="27"/>
      <c r="AH53" s="26"/>
      <c r="AI53" s="27"/>
      <c r="AJ53" s="26"/>
      <c r="AK53" s="27"/>
      <c r="AL53" s="26"/>
      <c r="AM53" s="27"/>
      <c r="AN53" s="26"/>
      <c r="AO53" s="27"/>
      <c r="AP53" s="26"/>
      <c r="AQ53" s="27"/>
      <c r="AR53" s="26"/>
      <c r="AS53" s="27"/>
      <c r="AT53" s="26"/>
      <c r="AU53" s="27"/>
      <c r="AV53" s="26"/>
      <c r="AW53" s="27"/>
      <c r="AX53" s="26"/>
      <c r="AY53" s="27"/>
      <c r="AZ53" s="26"/>
      <c r="BA53" s="27"/>
      <c r="BB53" s="26"/>
      <c r="BC53" s="27"/>
      <c r="BD53" s="26"/>
      <c r="BE53" s="27"/>
      <c r="BF53" s="26"/>
      <c r="BG53" s="27"/>
      <c r="BH53" s="26"/>
      <c r="BI53" s="27"/>
      <c r="BJ53" s="26"/>
      <c r="BK53" s="27"/>
      <c r="BL53" s="26"/>
      <c r="BM53" s="27"/>
      <c r="BN53" s="22">
        <f>IF($A53="","",SUM(IF($D$5&lt;&gt;"",--(D53="Présent"),0),IF($F$5&lt;&gt;"",--(F53="Présent"),0),IF($H$5&lt;&gt;"",--(H53="Présent"),0),IF($J$5&lt;&gt;"",--(J53="Présent"),0),IF($L$5&lt;&gt;"",--(L53="Présent"),0),IF($N$5&lt;&gt;"",--(N53="Présent"),0),IF($P$5&lt;&gt;"",--(P53="Présent"),0),IF($R$5&lt;&gt;"",--(R53="Présent"),0),IF($T$5&lt;&gt;"",--(T53="Présent"),0),IF($V$5&lt;&gt;"",--(V53="Présent"),0),IF($X$5&lt;&gt;"",--(X53="Présent"),0),IF($Z$5&lt;&gt;"",--(Z53="Présent"),0),IF($AB$5&lt;&gt;"",--(AB53="Présent"),0),IF($AD$5&lt;&gt;"",--(AD53="Présent"),0),IF($AF$5&lt;&gt;"",--(AF53="Présent"),0),IF($AH$5&lt;&gt;"",--(AH53="Présent"),0),IF($AJ$5&lt;&gt;"",--(AJ53="Présent"),0),IF($AL$5&lt;&gt;"",--(AL53="Présent"),0),IF($AN$5&lt;&gt;"",--(AN53="Présent"),0),IF($AP$5&lt;&gt;"",--(AP53="Présent"),0),IF($AR$5&lt;&gt;"",--(AR53="Présent"),0),IF($AT$5&lt;&gt;"",--(AT53="Présent"),0),IF($AV$5&lt;&gt;"",--(AV53="Présent"),0),IF($AX$5&lt;&gt;"",--(AX53="Présent"),0),IF($AZ$5&lt;&gt;"",--(AZ53="Présent"),0),IF($BB$5&lt;&gt;"",--(BB53="Présent"),0),IF($BD$5&lt;&gt;"",--(BD53="Présent"),0),IF($BF$5&lt;&gt;"",--(BF53="Présent"),0),IF($BH$5&lt;&gt;"",--(BH53="Présent"),0),IF($BJ$5&lt;&gt;"",--(BJ53="Présent"),0),IF($BL$5&lt;&gt;"",--(BL53="Présent"),0)))</f>
      </c>
      <c r="BO53" s="22">
        <f>IF($A53="","",SUM(IF($D$5&lt;&gt;"",--(D53="Absent"),0),IF($F$5&lt;&gt;"",--(F53="Absent"),0),IF($H$5&lt;&gt;"",--(H53="Absent"),0),IF($J$5&lt;&gt;"",--(J53="Absent"),0),IF($L$5&lt;&gt;"",--(L53="Absent"),0),IF($N$5&lt;&gt;"",--(N53="Absent"),0),IF($P$5&lt;&gt;"",--(P53="Absent"),0),IF($R$5&lt;&gt;"",--(R53="Absent"),0),IF($T$5&lt;&gt;"",--(T53="Absent"),0),IF($V$5&lt;&gt;"",--(V53="Absent"),0),IF($X$5&lt;&gt;"",--(X53="Absent"),0),IF($Z$5&lt;&gt;"",--(Z53="Absent"),0),IF($AB$5&lt;&gt;"",--(AB53="Absent"),0),IF($AD$5&lt;&gt;"",--(AD53="Absent"),0),IF($AF$5&lt;&gt;"",--(AF53="Absent"),0),IF($AH$5&lt;&gt;"",--(AH53="Absent"),0),IF($AJ$5&lt;&gt;"",--(AJ53="Absent"),0),IF($AL$5&lt;&gt;"",--(AL53="Absent"),0),IF($AN$5&lt;&gt;"",--(AN53="Absent"),0),IF($AP$5&lt;&gt;"",--(AP53="Absent"),0),IF($AR$5&lt;&gt;"",--(AR53="Absent"),0),IF($AT$5&lt;&gt;"",--(AT53="Absent"),0),IF($AV$5&lt;&gt;"",--(AV53="Absent"),0),IF($AX$5&lt;&gt;"",--(AX53="Absent"),0),IF($AZ$5&lt;&gt;"",--(AZ53="Absent"),0),IF($BB$5&lt;&gt;"",--(BB53="Absent"),0),IF($BD$5&lt;&gt;"",--(BD53="Absent"),0),IF($BF$5&lt;&gt;"",--(BF53="Absent"),0),IF($BH$5&lt;&gt;"",--(BH53="Absent"),0),IF($BJ$5&lt;&gt;"",--(BJ53="Absent"),0),IF($BL$5&lt;&gt;"",--(BL53="Absent"),0)))</f>
      </c>
      <c r="BP53" s="22">
        <f>IF($A53="","",SUM(IF($D$5&lt;&gt;"",--(D53="Congé"),0),IF($F$5&lt;&gt;"",--(F53="Congé"),0),IF($H$5&lt;&gt;"",--(H53="Congé"),0),IF($J$5&lt;&gt;"",--(J53="Congé"),0),IF($L$5&lt;&gt;"",--(L53="Congé"),0),IF($N$5&lt;&gt;"",--(N53="Congé"),0),IF($P$5&lt;&gt;"",--(P53="Congé"),0),IF($R$5&lt;&gt;"",--(R53="Congé"),0),IF($T$5&lt;&gt;"",--(T53="Congé"),0),IF($V$5&lt;&gt;"",--(V53="Congé"),0),IF($X$5&lt;&gt;"",--(X53="Congé"),0),IF($Z$5&lt;&gt;"",--(Z53="Congé"),0),IF($AB$5&lt;&gt;"",--(AB53="Congé"),0),IF($AD$5&lt;&gt;"",--(AD53="Congé"),0),IF($AF$5&lt;&gt;"",--(AF53="Congé"),0),IF($AH$5&lt;&gt;"",--(AH53="Congé"),0),IF($AJ$5&lt;&gt;"",--(AJ53="Congé"),0),IF($AL$5&lt;&gt;"",--(AL53="Congé"),0),IF($AN$5&lt;&gt;"",--(AN53="Congé"),0),IF($AP$5&lt;&gt;"",--(AP53="Congé"),0),IF($AR$5&lt;&gt;"",--(AR53="Congé"),0),IF($AT$5&lt;&gt;"",--(AT53="Congé"),0),IF($AV$5&lt;&gt;"",--(AV53="Congé"),0),IF($AX$5&lt;&gt;"",--(AX53="Congé"),0),IF($AZ$5&lt;&gt;"",--(AZ53="Congé"),0),IF($BB$5&lt;&gt;"",--(BB53="Congé"),0),IF($BD$5&lt;&gt;"",--(BD53="Congé"),0),IF($BF$5&lt;&gt;"",--(BF53="Congé"),0),IF($BH$5&lt;&gt;"",--(BH53="Congé"),0),IF($BJ$5&lt;&gt;"",--(BJ53="Congé"),0),IF($BL$5&lt;&gt;"",--(BL53="Congé"),0)))</f>
      </c>
      <c r="BQ53" s="22">
        <f>IF($A53="","",SUM(IF($D$5&lt;&gt;"",--(D53="Maladie"),0),IF($F$5&lt;&gt;"",--(F53="Maladie"),0),IF($H$5&lt;&gt;"",--(H53="Maladie"),0),IF($J$5&lt;&gt;"",--(J53="Maladie"),0),IF($L$5&lt;&gt;"",--(L53="Maladie"),0),IF($N$5&lt;&gt;"",--(N53="Maladie"),0),IF($P$5&lt;&gt;"",--(P53="Maladie"),0),IF($R$5&lt;&gt;"",--(R53="Maladie"),0),IF($T$5&lt;&gt;"",--(T53="Maladie"),0),IF($V$5&lt;&gt;"",--(V53="Maladie"),0),IF($X$5&lt;&gt;"",--(X53="Maladie"),0),IF($Z$5&lt;&gt;"",--(Z53="Maladie"),0),IF($AB$5&lt;&gt;"",--(AB53="Maladie"),0),IF($AD$5&lt;&gt;"",--(AD53="Maladie"),0),IF($AF$5&lt;&gt;"",--(AF53="Maladie"),0),IF($AH$5&lt;&gt;"",--(AH53="Maladie"),0),IF($AJ$5&lt;&gt;"",--(AJ53="Maladie"),0),IF($AL$5&lt;&gt;"",--(AL53="Maladie"),0),IF($AN$5&lt;&gt;"",--(AN53="Maladie"),0),IF($AP$5&lt;&gt;"",--(AP53="Maladie"),0),IF($AR$5&lt;&gt;"",--(AR53="Maladie"),0),IF($AT$5&lt;&gt;"",--(AT53="Maladie"),0),IF($AV$5&lt;&gt;"",--(AV53="Maladie"),0),IF($AX$5&lt;&gt;"",--(AX53="Maladie"),0),IF($AZ$5&lt;&gt;"",--(AZ53="Maladie"),0),IF($BB$5&lt;&gt;"",--(BB53="Maladie"),0),IF($BD$5&lt;&gt;"",--(BD53="Maladie"),0),IF($BF$5&lt;&gt;"",--(BF53="Maladie"),0),IF($BH$5&lt;&gt;"",--(BH53="Maladie"),0),IF($BJ$5&lt;&gt;"",--(BJ53="Maladie"),0),IF($BL$5&lt;&gt;"",--(BL53="Maladie"),0)))</f>
      </c>
      <c r="BR53" s="23">
        <f>IF($A53="","",SUM(IF($D$5&lt;&gt;"",IF(D53="Présent",E53,0),0),IF($F$5&lt;&gt;"",IF(F53="Présent",G53,0),0),IF($H$5&lt;&gt;"",IF(H53="Présent",I53,0),0),IF($J$5&lt;&gt;"",IF(J53="Présent",K53,0),0),IF($L$5&lt;&gt;"",IF(L53="Présent",M53,0),0),IF($N$5&lt;&gt;"",IF(N53="Présent",O53,0),0),IF($P$5&lt;&gt;"",IF(P53="Présent",Q53,0),0),IF($R$5&lt;&gt;"",IF(R53="Présent",S53,0),0),IF($T$5&lt;&gt;"",IF(T53="Présent",U53,0),0),IF($V$5&lt;&gt;"",IF(V53="Présent",W53,0),0),IF($X$5&lt;&gt;"",IF(X53="Présent",Y53,0),0),IF($Z$5&lt;&gt;"",IF(Z53="Présent",AA53,0),0),IF($AB$5&lt;&gt;"",IF(AB53="Présent",AC53,0),0),IF($AD$5&lt;&gt;"",IF(AD53="Présent",AE53,0),0),IF($AF$5&lt;&gt;"",IF(AF53="Présent",AG53,0),0),IF($AH$5&lt;&gt;"",IF(AH53="Présent",AI53,0),0),IF($AJ$5&lt;&gt;"",IF(AJ53="Présent",AK53,0),0),IF($AL$5&lt;&gt;"",IF(AL53="Présent",AM53,0),0),IF($AN$5&lt;&gt;"",IF(AN53="Présent",AO53,0),0),IF($AP$5&lt;&gt;"",IF(AP53="Présent",AQ53,0),0),IF($AR$5&lt;&gt;"",IF(AR53="Présent",AS53,0),0),IF($AT$5&lt;&gt;"",IF(AT53="Présent",AU53,0),0),IF($AV$5&lt;&gt;"",IF(AV53="Présent",AW53,0),0),IF($AX$5&lt;&gt;"",IF(AX53="Présent",AY53,0),0),IF($AZ$5&lt;&gt;"",IF(AZ53="Présent",BA53,0),0),IF($BB$5&lt;&gt;"",IF(BB53="Présent",BC53,0),0),IF($BD$5&lt;&gt;"",IF(BD53="Présent",BE53,0),0),IF($BF$5&lt;&gt;"",IF(BF53="Présent",BG53,0),0),IF($BH$5&lt;&gt;"",IF(BH53="Présent",BI53,0),0),IF($BJ$5&lt;&gt;"",IF(BJ53="Présent",BK53,0),0),IF($BL$5&lt;&gt;"",IF(BL53="Présent",BM53,0),0)))</f>
      </c>
      <c r="BS53" s="25">
        <f>IF($A53="","",$BN53*IFERROR(INDEX(Categories_Salaire,MATCH($C53,ListeCategories,0)),0)+$BR53*IF(IFERROR(INDEX(Categories_TauxHS,MATCH($C53,ListeCategories,0)),0)&gt;0,IFERROR(INDEX(Categories_TauxHS,MATCH($C53,ListeCategories,0)),0),TauxHSDefaut))</f>
      </c>
    </row>
    <row r="54">
      <c r="A54" s="20">
        <f>IF(AND(INDEX(Employes_Nom,48)&lt;&gt;"",INDEX(Employes_Statut,48)="Actif",OR(INDEX(Employes_Embauche,48)="",INDEX(Employes_Embauche,48)&lt;=EOMONTH(DATE(AnneeCourante,MoisCourant,1),0))),INDEX(Employes_ID,48),"")</f>
      </c>
      <c r="B54" s="19">
        <f>IF($A54="","",INDEX(Employes_Nom,MATCH($A54,Employes_ID,0)))</f>
      </c>
      <c r="C54" s="20">
        <f>IF($A54="","",INDEX(Employes_Categorie,MATCH($A54,Employes_ID,0)))</f>
      </c>
      <c r="D54" s="26"/>
      <c r="E54" s="27"/>
      <c r="F54" s="26"/>
      <c r="G54" s="27"/>
      <c r="H54" s="26"/>
      <c r="I54" s="27"/>
      <c r="J54" s="26"/>
      <c r="K54" s="27"/>
      <c r="L54" s="26"/>
      <c r="M54" s="27"/>
      <c r="N54" s="26"/>
      <c r="O54" s="27"/>
      <c r="P54" s="26"/>
      <c r="Q54" s="27"/>
      <c r="R54" s="26"/>
      <c r="S54" s="27"/>
      <c r="T54" s="26"/>
      <c r="U54" s="27"/>
      <c r="V54" s="26"/>
      <c r="W54" s="27"/>
      <c r="X54" s="26"/>
      <c r="Y54" s="27"/>
      <c r="Z54" s="26"/>
      <c r="AA54" s="27"/>
      <c r="AB54" s="26"/>
      <c r="AC54" s="27"/>
      <c r="AD54" s="26"/>
      <c r="AE54" s="27"/>
      <c r="AF54" s="26"/>
      <c r="AG54" s="27"/>
      <c r="AH54" s="26"/>
      <c r="AI54" s="27"/>
      <c r="AJ54" s="26"/>
      <c r="AK54" s="27"/>
      <c r="AL54" s="26"/>
      <c r="AM54" s="27"/>
      <c r="AN54" s="26"/>
      <c r="AO54" s="27"/>
      <c r="AP54" s="26"/>
      <c r="AQ54" s="27"/>
      <c r="AR54" s="26"/>
      <c r="AS54" s="27"/>
      <c r="AT54" s="26"/>
      <c r="AU54" s="27"/>
      <c r="AV54" s="26"/>
      <c r="AW54" s="27"/>
      <c r="AX54" s="26"/>
      <c r="AY54" s="27"/>
      <c r="AZ54" s="26"/>
      <c r="BA54" s="27"/>
      <c r="BB54" s="26"/>
      <c r="BC54" s="27"/>
      <c r="BD54" s="26"/>
      <c r="BE54" s="27"/>
      <c r="BF54" s="26"/>
      <c r="BG54" s="27"/>
      <c r="BH54" s="26"/>
      <c r="BI54" s="27"/>
      <c r="BJ54" s="26"/>
      <c r="BK54" s="27"/>
      <c r="BL54" s="26"/>
      <c r="BM54" s="27"/>
      <c r="BN54" s="22">
        <f>IF($A54="","",SUM(IF($D$5&lt;&gt;"",--(D54="Présent"),0),IF($F$5&lt;&gt;"",--(F54="Présent"),0),IF($H$5&lt;&gt;"",--(H54="Présent"),0),IF($J$5&lt;&gt;"",--(J54="Présent"),0),IF($L$5&lt;&gt;"",--(L54="Présent"),0),IF($N$5&lt;&gt;"",--(N54="Présent"),0),IF($P$5&lt;&gt;"",--(P54="Présent"),0),IF($R$5&lt;&gt;"",--(R54="Présent"),0),IF($T$5&lt;&gt;"",--(T54="Présent"),0),IF($V$5&lt;&gt;"",--(V54="Présent"),0),IF($X$5&lt;&gt;"",--(X54="Présent"),0),IF($Z$5&lt;&gt;"",--(Z54="Présent"),0),IF($AB$5&lt;&gt;"",--(AB54="Présent"),0),IF($AD$5&lt;&gt;"",--(AD54="Présent"),0),IF($AF$5&lt;&gt;"",--(AF54="Présent"),0),IF($AH$5&lt;&gt;"",--(AH54="Présent"),0),IF($AJ$5&lt;&gt;"",--(AJ54="Présent"),0),IF($AL$5&lt;&gt;"",--(AL54="Présent"),0),IF($AN$5&lt;&gt;"",--(AN54="Présent"),0),IF($AP$5&lt;&gt;"",--(AP54="Présent"),0),IF($AR$5&lt;&gt;"",--(AR54="Présent"),0),IF($AT$5&lt;&gt;"",--(AT54="Présent"),0),IF($AV$5&lt;&gt;"",--(AV54="Présent"),0),IF($AX$5&lt;&gt;"",--(AX54="Présent"),0),IF($AZ$5&lt;&gt;"",--(AZ54="Présent"),0),IF($BB$5&lt;&gt;"",--(BB54="Présent"),0),IF($BD$5&lt;&gt;"",--(BD54="Présent"),0),IF($BF$5&lt;&gt;"",--(BF54="Présent"),0),IF($BH$5&lt;&gt;"",--(BH54="Présent"),0),IF($BJ$5&lt;&gt;"",--(BJ54="Présent"),0),IF($BL$5&lt;&gt;"",--(BL54="Présent"),0)))</f>
      </c>
      <c r="BO54" s="22">
        <f>IF($A54="","",SUM(IF($D$5&lt;&gt;"",--(D54="Absent"),0),IF($F$5&lt;&gt;"",--(F54="Absent"),0),IF($H$5&lt;&gt;"",--(H54="Absent"),0),IF($J$5&lt;&gt;"",--(J54="Absent"),0),IF($L$5&lt;&gt;"",--(L54="Absent"),0),IF($N$5&lt;&gt;"",--(N54="Absent"),0),IF($P$5&lt;&gt;"",--(P54="Absent"),0),IF($R$5&lt;&gt;"",--(R54="Absent"),0),IF($T$5&lt;&gt;"",--(T54="Absent"),0),IF($V$5&lt;&gt;"",--(V54="Absent"),0),IF($X$5&lt;&gt;"",--(X54="Absent"),0),IF($Z$5&lt;&gt;"",--(Z54="Absent"),0),IF($AB$5&lt;&gt;"",--(AB54="Absent"),0),IF($AD$5&lt;&gt;"",--(AD54="Absent"),0),IF($AF$5&lt;&gt;"",--(AF54="Absent"),0),IF($AH$5&lt;&gt;"",--(AH54="Absent"),0),IF($AJ$5&lt;&gt;"",--(AJ54="Absent"),0),IF($AL$5&lt;&gt;"",--(AL54="Absent"),0),IF($AN$5&lt;&gt;"",--(AN54="Absent"),0),IF($AP$5&lt;&gt;"",--(AP54="Absent"),0),IF($AR$5&lt;&gt;"",--(AR54="Absent"),0),IF($AT$5&lt;&gt;"",--(AT54="Absent"),0),IF($AV$5&lt;&gt;"",--(AV54="Absent"),0),IF($AX$5&lt;&gt;"",--(AX54="Absent"),0),IF($AZ$5&lt;&gt;"",--(AZ54="Absent"),0),IF($BB$5&lt;&gt;"",--(BB54="Absent"),0),IF($BD$5&lt;&gt;"",--(BD54="Absent"),0),IF($BF$5&lt;&gt;"",--(BF54="Absent"),0),IF($BH$5&lt;&gt;"",--(BH54="Absent"),0),IF($BJ$5&lt;&gt;"",--(BJ54="Absent"),0),IF($BL$5&lt;&gt;"",--(BL54="Absent"),0)))</f>
      </c>
      <c r="BP54" s="22">
        <f>IF($A54="","",SUM(IF($D$5&lt;&gt;"",--(D54="Congé"),0),IF($F$5&lt;&gt;"",--(F54="Congé"),0),IF($H$5&lt;&gt;"",--(H54="Congé"),0),IF($J$5&lt;&gt;"",--(J54="Congé"),0),IF($L$5&lt;&gt;"",--(L54="Congé"),0),IF($N$5&lt;&gt;"",--(N54="Congé"),0),IF($P$5&lt;&gt;"",--(P54="Congé"),0),IF($R$5&lt;&gt;"",--(R54="Congé"),0),IF($T$5&lt;&gt;"",--(T54="Congé"),0),IF($V$5&lt;&gt;"",--(V54="Congé"),0),IF($X$5&lt;&gt;"",--(X54="Congé"),0),IF($Z$5&lt;&gt;"",--(Z54="Congé"),0),IF($AB$5&lt;&gt;"",--(AB54="Congé"),0),IF($AD$5&lt;&gt;"",--(AD54="Congé"),0),IF($AF$5&lt;&gt;"",--(AF54="Congé"),0),IF($AH$5&lt;&gt;"",--(AH54="Congé"),0),IF($AJ$5&lt;&gt;"",--(AJ54="Congé"),0),IF($AL$5&lt;&gt;"",--(AL54="Congé"),0),IF($AN$5&lt;&gt;"",--(AN54="Congé"),0),IF($AP$5&lt;&gt;"",--(AP54="Congé"),0),IF($AR$5&lt;&gt;"",--(AR54="Congé"),0),IF($AT$5&lt;&gt;"",--(AT54="Congé"),0),IF($AV$5&lt;&gt;"",--(AV54="Congé"),0),IF($AX$5&lt;&gt;"",--(AX54="Congé"),0),IF($AZ$5&lt;&gt;"",--(AZ54="Congé"),0),IF($BB$5&lt;&gt;"",--(BB54="Congé"),0),IF($BD$5&lt;&gt;"",--(BD54="Congé"),0),IF($BF$5&lt;&gt;"",--(BF54="Congé"),0),IF($BH$5&lt;&gt;"",--(BH54="Congé"),0),IF($BJ$5&lt;&gt;"",--(BJ54="Congé"),0),IF($BL$5&lt;&gt;"",--(BL54="Congé"),0)))</f>
      </c>
      <c r="BQ54" s="22">
        <f>IF($A54="","",SUM(IF($D$5&lt;&gt;"",--(D54="Maladie"),0),IF($F$5&lt;&gt;"",--(F54="Maladie"),0),IF($H$5&lt;&gt;"",--(H54="Maladie"),0),IF($J$5&lt;&gt;"",--(J54="Maladie"),0),IF($L$5&lt;&gt;"",--(L54="Maladie"),0),IF($N$5&lt;&gt;"",--(N54="Maladie"),0),IF($P$5&lt;&gt;"",--(P54="Maladie"),0),IF($R$5&lt;&gt;"",--(R54="Maladie"),0),IF($T$5&lt;&gt;"",--(T54="Maladie"),0),IF($V$5&lt;&gt;"",--(V54="Maladie"),0),IF($X$5&lt;&gt;"",--(X54="Maladie"),0),IF($Z$5&lt;&gt;"",--(Z54="Maladie"),0),IF($AB$5&lt;&gt;"",--(AB54="Maladie"),0),IF($AD$5&lt;&gt;"",--(AD54="Maladie"),0),IF($AF$5&lt;&gt;"",--(AF54="Maladie"),0),IF($AH$5&lt;&gt;"",--(AH54="Maladie"),0),IF($AJ$5&lt;&gt;"",--(AJ54="Maladie"),0),IF($AL$5&lt;&gt;"",--(AL54="Maladie"),0),IF($AN$5&lt;&gt;"",--(AN54="Maladie"),0),IF($AP$5&lt;&gt;"",--(AP54="Maladie"),0),IF($AR$5&lt;&gt;"",--(AR54="Maladie"),0),IF($AT$5&lt;&gt;"",--(AT54="Maladie"),0),IF($AV$5&lt;&gt;"",--(AV54="Maladie"),0),IF($AX$5&lt;&gt;"",--(AX54="Maladie"),0),IF($AZ$5&lt;&gt;"",--(AZ54="Maladie"),0),IF($BB$5&lt;&gt;"",--(BB54="Maladie"),0),IF($BD$5&lt;&gt;"",--(BD54="Maladie"),0),IF($BF$5&lt;&gt;"",--(BF54="Maladie"),0),IF($BH$5&lt;&gt;"",--(BH54="Maladie"),0),IF($BJ$5&lt;&gt;"",--(BJ54="Maladie"),0),IF($BL$5&lt;&gt;"",--(BL54="Maladie"),0)))</f>
      </c>
      <c r="BR54" s="23">
        <f>IF($A54="","",SUM(IF($D$5&lt;&gt;"",IF(D54="Présent",E54,0),0),IF($F$5&lt;&gt;"",IF(F54="Présent",G54,0),0),IF($H$5&lt;&gt;"",IF(H54="Présent",I54,0),0),IF($J$5&lt;&gt;"",IF(J54="Présent",K54,0),0),IF($L$5&lt;&gt;"",IF(L54="Présent",M54,0),0),IF($N$5&lt;&gt;"",IF(N54="Présent",O54,0),0),IF($P$5&lt;&gt;"",IF(P54="Présent",Q54,0),0),IF($R$5&lt;&gt;"",IF(R54="Présent",S54,0),0),IF($T$5&lt;&gt;"",IF(T54="Présent",U54,0),0),IF($V$5&lt;&gt;"",IF(V54="Présent",W54,0),0),IF($X$5&lt;&gt;"",IF(X54="Présent",Y54,0),0),IF($Z$5&lt;&gt;"",IF(Z54="Présent",AA54,0),0),IF($AB$5&lt;&gt;"",IF(AB54="Présent",AC54,0),0),IF($AD$5&lt;&gt;"",IF(AD54="Présent",AE54,0),0),IF($AF$5&lt;&gt;"",IF(AF54="Présent",AG54,0),0),IF($AH$5&lt;&gt;"",IF(AH54="Présent",AI54,0),0),IF($AJ$5&lt;&gt;"",IF(AJ54="Présent",AK54,0),0),IF($AL$5&lt;&gt;"",IF(AL54="Présent",AM54,0),0),IF($AN$5&lt;&gt;"",IF(AN54="Présent",AO54,0),0),IF($AP$5&lt;&gt;"",IF(AP54="Présent",AQ54,0),0),IF($AR$5&lt;&gt;"",IF(AR54="Présent",AS54,0),0),IF($AT$5&lt;&gt;"",IF(AT54="Présent",AU54,0),0),IF($AV$5&lt;&gt;"",IF(AV54="Présent",AW54,0),0),IF($AX$5&lt;&gt;"",IF(AX54="Présent",AY54,0),0),IF($AZ$5&lt;&gt;"",IF(AZ54="Présent",BA54,0),0),IF($BB$5&lt;&gt;"",IF(BB54="Présent",BC54,0),0),IF($BD$5&lt;&gt;"",IF(BD54="Présent",BE54,0),0),IF($BF$5&lt;&gt;"",IF(BF54="Présent",BG54,0),0),IF($BH$5&lt;&gt;"",IF(BH54="Présent",BI54,0),0),IF($BJ$5&lt;&gt;"",IF(BJ54="Présent",BK54,0),0),IF($BL$5&lt;&gt;"",IF(BL54="Présent",BM54,0),0)))</f>
      </c>
      <c r="BS54" s="25">
        <f>IF($A54="","",$BN54*IFERROR(INDEX(Categories_Salaire,MATCH($C54,ListeCategories,0)),0)+$BR54*IF(IFERROR(INDEX(Categories_TauxHS,MATCH($C54,ListeCategories,0)),0)&gt;0,IFERROR(INDEX(Categories_TauxHS,MATCH($C54,ListeCategories,0)),0),TauxHSDefaut))</f>
      </c>
    </row>
    <row r="55">
      <c r="A55" s="20">
        <f>IF(AND(INDEX(Employes_Nom,49)&lt;&gt;"",INDEX(Employes_Statut,49)="Actif",OR(INDEX(Employes_Embauche,49)="",INDEX(Employes_Embauche,49)&lt;=EOMONTH(DATE(AnneeCourante,MoisCourant,1),0))),INDEX(Employes_ID,49),"")</f>
      </c>
      <c r="B55" s="19">
        <f>IF($A55="","",INDEX(Employes_Nom,MATCH($A55,Employes_ID,0)))</f>
      </c>
      <c r="C55" s="20">
        <f>IF($A55="","",INDEX(Employes_Categorie,MATCH($A55,Employes_ID,0)))</f>
      </c>
      <c r="D55" s="26"/>
      <c r="E55" s="27"/>
      <c r="F55" s="26"/>
      <c r="G55" s="27"/>
      <c r="H55" s="26"/>
      <c r="I55" s="27"/>
      <c r="J55" s="26"/>
      <c r="K55" s="27"/>
      <c r="L55" s="26"/>
      <c r="M55" s="27"/>
      <c r="N55" s="26"/>
      <c r="O55" s="27"/>
      <c r="P55" s="26"/>
      <c r="Q55" s="27"/>
      <c r="R55" s="26"/>
      <c r="S55" s="27"/>
      <c r="T55" s="26"/>
      <c r="U55" s="27"/>
      <c r="V55" s="26"/>
      <c r="W55" s="27"/>
      <c r="X55" s="26"/>
      <c r="Y55" s="27"/>
      <c r="Z55" s="26"/>
      <c r="AA55" s="27"/>
      <c r="AB55" s="26"/>
      <c r="AC55" s="27"/>
      <c r="AD55" s="26"/>
      <c r="AE55" s="27"/>
      <c r="AF55" s="26"/>
      <c r="AG55" s="27"/>
      <c r="AH55" s="26"/>
      <c r="AI55" s="27"/>
      <c r="AJ55" s="26"/>
      <c r="AK55" s="27"/>
      <c r="AL55" s="26"/>
      <c r="AM55" s="27"/>
      <c r="AN55" s="26"/>
      <c r="AO55" s="27"/>
      <c r="AP55" s="26"/>
      <c r="AQ55" s="27"/>
      <c r="AR55" s="26"/>
      <c r="AS55" s="27"/>
      <c r="AT55" s="26"/>
      <c r="AU55" s="27"/>
      <c r="AV55" s="26"/>
      <c r="AW55" s="27"/>
      <c r="AX55" s="26"/>
      <c r="AY55" s="27"/>
      <c r="AZ55" s="26"/>
      <c r="BA55" s="27"/>
      <c r="BB55" s="26"/>
      <c r="BC55" s="27"/>
      <c r="BD55" s="26"/>
      <c r="BE55" s="27"/>
      <c r="BF55" s="26"/>
      <c r="BG55" s="27"/>
      <c r="BH55" s="26"/>
      <c r="BI55" s="27"/>
      <c r="BJ55" s="26"/>
      <c r="BK55" s="27"/>
      <c r="BL55" s="26"/>
      <c r="BM55" s="27"/>
      <c r="BN55" s="22">
        <f>IF($A55="","",SUM(IF($D$5&lt;&gt;"",--(D55="Présent"),0),IF($F$5&lt;&gt;"",--(F55="Présent"),0),IF($H$5&lt;&gt;"",--(H55="Présent"),0),IF($J$5&lt;&gt;"",--(J55="Présent"),0),IF($L$5&lt;&gt;"",--(L55="Présent"),0),IF($N$5&lt;&gt;"",--(N55="Présent"),0),IF($P$5&lt;&gt;"",--(P55="Présent"),0),IF($R$5&lt;&gt;"",--(R55="Présent"),0),IF($T$5&lt;&gt;"",--(T55="Présent"),0),IF($V$5&lt;&gt;"",--(V55="Présent"),0),IF($X$5&lt;&gt;"",--(X55="Présent"),0),IF($Z$5&lt;&gt;"",--(Z55="Présent"),0),IF($AB$5&lt;&gt;"",--(AB55="Présent"),0),IF($AD$5&lt;&gt;"",--(AD55="Présent"),0),IF($AF$5&lt;&gt;"",--(AF55="Présent"),0),IF($AH$5&lt;&gt;"",--(AH55="Présent"),0),IF($AJ$5&lt;&gt;"",--(AJ55="Présent"),0),IF($AL$5&lt;&gt;"",--(AL55="Présent"),0),IF($AN$5&lt;&gt;"",--(AN55="Présent"),0),IF($AP$5&lt;&gt;"",--(AP55="Présent"),0),IF($AR$5&lt;&gt;"",--(AR55="Présent"),0),IF($AT$5&lt;&gt;"",--(AT55="Présent"),0),IF($AV$5&lt;&gt;"",--(AV55="Présent"),0),IF($AX$5&lt;&gt;"",--(AX55="Présent"),0),IF($AZ$5&lt;&gt;"",--(AZ55="Présent"),0),IF($BB$5&lt;&gt;"",--(BB55="Présent"),0),IF($BD$5&lt;&gt;"",--(BD55="Présent"),0),IF($BF$5&lt;&gt;"",--(BF55="Présent"),0),IF($BH$5&lt;&gt;"",--(BH55="Présent"),0),IF($BJ$5&lt;&gt;"",--(BJ55="Présent"),0),IF($BL$5&lt;&gt;"",--(BL55="Présent"),0)))</f>
      </c>
      <c r="BO55" s="22">
        <f>IF($A55="","",SUM(IF($D$5&lt;&gt;"",--(D55="Absent"),0),IF($F$5&lt;&gt;"",--(F55="Absent"),0),IF($H$5&lt;&gt;"",--(H55="Absent"),0),IF($J$5&lt;&gt;"",--(J55="Absent"),0),IF($L$5&lt;&gt;"",--(L55="Absent"),0),IF($N$5&lt;&gt;"",--(N55="Absent"),0),IF($P$5&lt;&gt;"",--(P55="Absent"),0),IF($R$5&lt;&gt;"",--(R55="Absent"),0),IF($T$5&lt;&gt;"",--(T55="Absent"),0),IF($V$5&lt;&gt;"",--(V55="Absent"),0),IF($X$5&lt;&gt;"",--(X55="Absent"),0),IF($Z$5&lt;&gt;"",--(Z55="Absent"),0),IF($AB$5&lt;&gt;"",--(AB55="Absent"),0),IF($AD$5&lt;&gt;"",--(AD55="Absent"),0),IF($AF$5&lt;&gt;"",--(AF55="Absent"),0),IF($AH$5&lt;&gt;"",--(AH55="Absent"),0),IF($AJ$5&lt;&gt;"",--(AJ55="Absent"),0),IF($AL$5&lt;&gt;"",--(AL55="Absent"),0),IF($AN$5&lt;&gt;"",--(AN55="Absent"),0),IF($AP$5&lt;&gt;"",--(AP55="Absent"),0),IF($AR$5&lt;&gt;"",--(AR55="Absent"),0),IF($AT$5&lt;&gt;"",--(AT55="Absent"),0),IF($AV$5&lt;&gt;"",--(AV55="Absent"),0),IF($AX$5&lt;&gt;"",--(AX55="Absent"),0),IF($AZ$5&lt;&gt;"",--(AZ55="Absent"),0),IF($BB$5&lt;&gt;"",--(BB55="Absent"),0),IF($BD$5&lt;&gt;"",--(BD55="Absent"),0),IF($BF$5&lt;&gt;"",--(BF55="Absent"),0),IF($BH$5&lt;&gt;"",--(BH55="Absent"),0),IF($BJ$5&lt;&gt;"",--(BJ55="Absent"),0),IF($BL$5&lt;&gt;"",--(BL55="Absent"),0)))</f>
      </c>
      <c r="BP55" s="22">
        <f>IF($A55="","",SUM(IF($D$5&lt;&gt;"",--(D55="Congé"),0),IF($F$5&lt;&gt;"",--(F55="Congé"),0),IF($H$5&lt;&gt;"",--(H55="Congé"),0),IF($J$5&lt;&gt;"",--(J55="Congé"),0),IF($L$5&lt;&gt;"",--(L55="Congé"),0),IF($N$5&lt;&gt;"",--(N55="Congé"),0),IF($P$5&lt;&gt;"",--(P55="Congé"),0),IF($R$5&lt;&gt;"",--(R55="Congé"),0),IF($T$5&lt;&gt;"",--(T55="Congé"),0),IF($V$5&lt;&gt;"",--(V55="Congé"),0),IF($X$5&lt;&gt;"",--(X55="Congé"),0),IF($Z$5&lt;&gt;"",--(Z55="Congé"),0),IF($AB$5&lt;&gt;"",--(AB55="Congé"),0),IF($AD$5&lt;&gt;"",--(AD55="Congé"),0),IF($AF$5&lt;&gt;"",--(AF55="Congé"),0),IF($AH$5&lt;&gt;"",--(AH55="Congé"),0),IF($AJ$5&lt;&gt;"",--(AJ55="Congé"),0),IF($AL$5&lt;&gt;"",--(AL55="Congé"),0),IF($AN$5&lt;&gt;"",--(AN55="Congé"),0),IF($AP$5&lt;&gt;"",--(AP55="Congé"),0),IF($AR$5&lt;&gt;"",--(AR55="Congé"),0),IF($AT$5&lt;&gt;"",--(AT55="Congé"),0),IF($AV$5&lt;&gt;"",--(AV55="Congé"),0),IF($AX$5&lt;&gt;"",--(AX55="Congé"),0),IF($AZ$5&lt;&gt;"",--(AZ55="Congé"),0),IF($BB$5&lt;&gt;"",--(BB55="Congé"),0),IF($BD$5&lt;&gt;"",--(BD55="Congé"),0),IF($BF$5&lt;&gt;"",--(BF55="Congé"),0),IF($BH$5&lt;&gt;"",--(BH55="Congé"),0),IF($BJ$5&lt;&gt;"",--(BJ55="Congé"),0),IF($BL$5&lt;&gt;"",--(BL55="Congé"),0)))</f>
      </c>
      <c r="BQ55" s="22">
        <f>IF($A55="","",SUM(IF($D$5&lt;&gt;"",--(D55="Maladie"),0),IF($F$5&lt;&gt;"",--(F55="Maladie"),0),IF($H$5&lt;&gt;"",--(H55="Maladie"),0),IF($J$5&lt;&gt;"",--(J55="Maladie"),0),IF($L$5&lt;&gt;"",--(L55="Maladie"),0),IF($N$5&lt;&gt;"",--(N55="Maladie"),0),IF($P$5&lt;&gt;"",--(P55="Maladie"),0),IF($R$5&lt;&gt;"",--(R55="Maladie"),0),IF($T$5&lt;&gt;"",--(T55="Maladie"),0),IF($V$5&lt;&gt;"",--(V55="Maladie"),0),IF($X$5&lt;&gt;"",--(X55="Maladie"),0),IF($Z$5&lt;&gt;"",--(Z55="Maladie"),0),IF($AB$5&lt;&gt;"",--(AB55="Maladie"),0),IF($AD$5&lt;&gt;"",--(AD55="Maladie"),0),IF($AF$5&lt;&gt;"",--(AF55="Maladie"),0),IF($AH$5&lt;&gt;"",--(AH55="Maladie"),0),IF($AJ$5&lt;&gt;"",--(AJ55="Maladie"),0),IF($AL$5&lt;&gt;"",--(AL55="Maladie"),0),IF($AN$5&lt;&gt;"",--(AN55="Maladie"),0),IF($AP$5&lt;&gt;"",--(AP55="Maladie"),0),IF($AR$5&lt;&gt;"",--(AR55="Maladie"),0),IF($AT$5&lt;&gt;"",--(AT55="Maladie"),0),IF($AV$5&lt;&gt;"",--(AV55="Maladie"),0),IF($AX$5&lt;&gt;"",--(AX55="Maladie"),0),IF($AZ$5&lt;&gt;"",--(AZ55="Maladie"),0),IF($BB$5&lt;&gt;"",--(BB55="Maladie"),0),IF($BD$5&lt;&gt;"",--(BD55="Maladie"),0),IF($BF$5&lt;&gt;"",--(BF55="Maladie"),0),IF($BH$5&lt;&gt;"",--(BH55="Maladie"),0),IF($BJ$5&lt;&gt;"",--(BJ55="Maladie"),0),IF($BL$5&lt;&gt;"",--(BL55="Maladie"),0)))</f>
      </c>
      <c r="BR55" s="23">
        <f>IF($A55="","",SUM(IF($D$5&lt;&gt;"",IF(D55="Présent",E55,0),0),IF($F$5&lt;&gt;"",IF(F55="Présent",G55,0),0),IF($H$5&lt;&gt;"",IF(H55="Présent",I55,0),0),IF($J$5&lt;&gt;"",IF(J55="Présent",K55,0),0),IF($L$5&lt;&gt;"",IF(L55="Présent",M55,0),0),IF($N$5&lt;&gt;"",IF(N55="Présent",O55,0),0),IF($P$5&lt;&gt;"",IF(P55="Présent",Q55,0),0),IF($R$5&lt;&gt;"",IF(R55="Présent",S55,0),0),IF($T$5&lt;&gt;"",IF(T55="Présent",U55,0),0),IF($V$5&lt;&gt;"",IF(V55="Présent",W55,0),0),IF($X$5&lt;&gt;"",IF(X55="Présent",Y55,0),0),IF($Z$5&lt;&gt;"",IF(Z55="Présent",AA55,0),0),IF($AB$5&lt;&gt;"",IF(AB55="Présent",AC55,0),0),IF($AD$5&lt;&gt;"",IF(AD55="Présent",AE55,0),0),IF($AF$5&lt;&gt;"",IF(AF55="Présent",AG55,0),0),IF($AH$5&lt;&gt;"",IF(AH55="Présent",AI55,0),0),IF($AJ$5&lt;&gt;"",IF(AJ55="Présent",AK55,0),0),IF($AL$5&lt;&gt;"",IF(AL55="Présent",AM55,0),0),IF($AN$5&lt;&gt;"",IF(AN55="Présent",AO55,0),0),IF($AP$5&lt;&gt;"",IF(AP55="Présent",AQ55,0),0),IF($AR$5&lt;&gt;"",IF(AR55="Présent",AS55,0),0),IF($AT$5&lt;&gt;"",IF(AT55="Présent",AU55,0),0),IF($AV$5&lt;&gt;"",IF(AV55="Présent",AW55,0),0),IF($AX$5&lt;&gt;"",IF(AX55="Présent",AY55,0),0),IF($AZ$5&lt;&gt;"",IF(AZ55="Présent",BA55,0),0),IF($BB$5&lt;&gt;"",IF(BB55="Présent",BC55,0),0),IF($BD$5&lt;&gt;"",IF(BD55="Présent",BE55,0),0),IF($BF$5&lt;&gt;"",IF(BF55="Présent",BG55,0),0),IF($BH$5&lt;&gt;"",IF(BH55="Présent",BI55,0),0),IF($BJ$5&lt;&gt;"",IF(BJ55="Présent",BK55,0),0),IF($BL$5&lt;&gt;"",IF(BL55="Présent",BM55,0),0)))</f>
      </c>
      <c r="BS55" s="25">
        <f>IF($A55="","",$BN55*IFERROR(INDEX(Categories_Salaire,MATCH($C55,ListeCategories,0)),0)+$BR55*IF(IFERROR(INDEX(Categories_TauxHS,MATCH($C55,ListeCategories,0)),0)&gt;0,IFERROR(INDEX(Categories_TauxHS,MATCH($C55,ListeCategories,0)),0),TauxHSDefaut))</f>
      </c>
    </row>
    <row r="56">
      <c r="A56" s="20">
        <f>IF(AND(INDEX(Employes_Nom,50)&lt;&gt;"",INDEX(Employes_Statut,50)="Actif",OR(INDEX(Employes_Embauche,50)="",INDEX(Employes_Embauche,50)&lt;=EOMONTH(DATE(AnneeCourante,MoisCourant,1),0))),INDEX(Employes_ID,50),"")</f>
      </c>
      <c r="B56" s="19">
        <f>IF($A56="","",INDEX(Employes_Nom,MATCH($A56,Employes_ID,0)))</f>
      </c>
      <c r="C56" s="20">
        <f>IF($A56="","",INDEX(Employes_Categorie,MATCH($A56,Employes_ID,0)))</f>
      </c>
      <c r="D56" s="26"/>
      <c r="E56" s="27"/>
      <c r="F56" s="26"/>
      <c r="G56" s="27"/>
      <c r="H56" s="26"/>
      <c r="I56" s="27"/>
      <c r="J56" s="26"/>
      <c r="K56" s="27"/>
      <c r="L56" s="26"/>
      <c r="M56" s="27"/>
      <c r="N56" s="26"/>
      <c r="O56" s="27"/>
      <c r="P56" s="26"/>
      <c r="Q56" s="27"/>
      <c r="R56" s="26"/>
      <c r="S56" s="27"/>
      <c r="T56" s="26"/>
      <c r="U56" s="27"/>
      <c r="V56" s="26"/>
      <c r="W56" s="27"/>
      <c r="X56" s="26"/>
      <c r="Y56" s="27"/>
      <c r="Z56" s="26"/>
      <c r="AA56" s="27"/>
      <c r="AB56" s="26"/>
      <c r="AC56" s="27"/>
      <c r="AD56" s="26"/>
      <c r="AE56" s="27"/>
      <c r="AF56" s="26"/>
      <c r="AG56" s="27"/>
      <c r="AH56" s="26"/>
      <c r="AI56" s="27"/>
      <c r="AJ56" s="26"/>
      <c r="AK56" s="27"/>
      <c r="AL56" s="26"/>
      <c r="AM56" s="27"/>
      <c r="AN56" s="26"/>
      <c r="AO56" s="27"/>
      <c r="AP56" s="26"/>
      <c r="AQ56" s="27"/>
      <c r="AR56" s="26"/>
      <c r="AS56" s="27"/>
      <c r="AT56" s="26"/>
      <c r="AU56" s="27"/>
      <c r="AV56" s="26"/>
      <c r="AW56" s="27"/>
      <c r="AX56" s="26"/>
      <c r="AY56" s="27"/>
      <c r="AZ56" s="26"/>
      <c r="BA56" s="27"/>
      <c r="BB56" s="26"/>
      <c r="BC56" s="27"/>
      <c r="BD56" s="26"/>
      <c r="BE56" s="27"/>
      <c r="BF56" s="26"/>
      <c r="BG56" s="27"/>
      <c r="BH56" s="26"/>
      <c r="BI56" s="27"/>
      <c r="BJ56" s="26"/>
      <c r="BK56" s="27"/>
      <c r="BL56" s="26"/>
      <c r="BM56" s="27"/>
      <c r="BN56" s="22">
        <f>IF($A56="","",SUM(IF($D$5&lt;&gt;"",--(D56="Présent"),0),IF($F$5&lt;&gt;"",--(F56="Présent"),0),IF($H$5&lt;&gt;"",--(H56="Présent"),0),IF($J$5&lt;&gt;"",--(J56="Présent"),0),IF($L$5&lt;&gt;"",--(L56="Présent"),0),IF($N$5&lt;&gt;"",--(N56="Présent"),0),IF($P$5&lt;&gt;"",--(P56="Présent"),0),IF($R$5&lt;&gt;"",--(R56="Présent"),0),IF($T$5&lt;&gt;"",--(T56="Présent"),0),IF($V$5&lt;&gt;"",--(V56="Présent"),0),IF($X$5&lt;&gt;"",--(X56="Présent"),0),IF($Z$5&lt;&gt;"",--(Z56="Présent"),0),IF($AB$5&lt;&gt;"",--(AB56="Présent"),0),IF($AD$5&lt;&gt;"",--(AD56="Présent"),0),IF($AF$5&lt;&gt;"",--(AF56="Présent"),0),IF($AH$5&lt;&gt;"",--(AH56="Présent"),0),IF($AJ$5&lt;&gt;"",--(AJ56="Présent"),0),IF($AL$5&lt;&gt;"",--(AL56="Présent"),0),IF($AN$5&lt;&gt;"",--(AN56="Présent"),0),IF($AP$5&lt;&gt;"",--(AP56="Présent"),0),IF($AR$5&lt;&gt;"",--(AR56="Présent"),0),IF($AT$5&lt;&gt;"",--(AT56="Présent"),0),IF($AV$5&lt;&gt;"",--(AV56="Présent"),0),IF($AX$5&lt;&gt;"",--(AX56="Présent"),0),IF($AZ$5&lt;&gt;"",--(AZ56="Présent"),0),IF($BB$5&lt;&gt;"",--(BB56="Présent"),0),IF($BD$5&lt;&gt;"",--(BD56="Présent"),0),IF($BF$5&lt;&gt;"",--(BF56="Présent"),0),IF($BH$5&lt;&gt;"",--(BH56="Présent"),0),IF($BJ$5&lt;&gt;"",--(BJ56="Présent"),0),IF($BL$5&lt;&gt;"",--(BL56="Présent"),0)))</f>
      </c>
      <c r="BO56" s="22">
        <f>IF($A56="","",SUM(IF($D$5&lt;&gt;"",--(D56="Absent"),0),IF($F$5&lt;&gt;"",--(F56="Absent"),0),IF($H$5&lt;&gt;"",--(H56="Absent"),0),IF($J$5&lt;&gt;"",--(J56="Absent"),0),IF($L$5&lt;&gt;"",--(L56="Absent"),0),IF($N$5&lt;&gt;"",--(N56="Absent"),0),IF($P$5&lt;&gt;"",--(P56="Absent"),0),IF($R$5&lt;&gt;"",--(R56="Absent"),0),IF($T$5&lt;&gt;"",--(T56="Absent"),0),IF($V$5&lt;&gt;"",--(V56="Absent"),0),IF($X$5&lt;&gt;"",--(X56="Absent"),0),IF($Z$5&lt;&gt;"",--(Z56="Absent"),0),IF($AB$5&lt;&gt;"",--(AB56="Absent"),0),IF($AD$5&lt;&gt;"",--(AD56="Absent"),0),IF($AF$5&lt;&gt;"",--(AF56="Absent"),0),IF($AH$5&lt;&gt;"",--(AH56="Absent"),0),IF($AJ$5&lt;&gt;"",--(AJ56="Absent"),0),IF($AL$5&lt;&gt;"",--(AL56="Absent"),0),IF($AN$5&lt;&gt;"",--(AN56="Absent"),0),IF($AP$5&lt;&gt;"",--(AP56="Absent"),0),IF($AR$5&lt;&gt;"",--(AR56="Absent"),0),IF($AT$5&lt;&gt;"",--(AT56="Absent"),0),IF($AV$5&lt;&gt;"",--(AV56="Absent"),0),IF($AX$5&lt;&gt;"",--(AX56="Absent"),0),IF($AZ$5&lt;&gt;"",--(AZ56="Absent"),0),IF($BB$5&lt;&gt;"",--(BB56="Absent"),0),IF($BD$5&lt;&gt;"",--(BD56="Absent"),0),IF($BF$5&lt;&gt;"",--(BF56="Absent"),0),IF($BH$5&lt;&gt;"",--(BH56="Absent"),0),IF($BJ$5&lt;&gt;"",--(BJ56="Absent"),0),IF($BL$5&lt;&gt;"",--(BL56="Absent"),0)))</f>
      </c>
      <c r="BP56" s="22">
        <f>IF($A56="","",SUM(IF($D$5&lt;&gt;"",--(D56="Congé"),0),IF($F$5&lt;&gt;"",--(F56="Congé"),0),IF($H$5&lt;&gt;"",--(H56="Congé"),0),IF($J$5&lt;&gt;"",--(J56="Congé"),0),IF($L$5&lt;&gt;"",--(L56="Congé"),0),IF($N$5&lt;&gt;"",--(N56="Congé"),0),IF($P$5&lt;&gt;"",--(P56="Congé"),0),IF($R$5&lt;&gt;"",--(R56="Congé"),0),IF($T$5&lt;&gt;"",--(T56="Congé"),0),IF($V$5&lt;&gt;"",--(V56="Congé"),0),IF($X$5&lt;&gt;"",--(X56="Congé"),0),IF($Z$5&lt;&gt;"",--(Z56="Congé"),0),IF($AB$5&lt;&gt;"",--(AB56="Congé"),0),IF($AD$5&lt;&gt;"",--(AD56="Congé"),0),IF($AF$5&lt;&gt;"",--(AF56="Congé"),0),IF($AH$5&lt;&gt;"",--(AH56="Congé"),0),IF($AJ$5&lt;&gt;"",--(AJ56="Congé"),0),IF($AL$5&lt;&gt;"",--(AL56="Congé"),0),IF($AN$5&lt;&gt;"",--(AN56="Congé"),0),IF($AP$5&lt;&gt;"",--(AP56="Congé"),0),IF($AR$5&lt;&gt;"",--(AR56="Congé"),0),IF($AT$5&lt;&gt;"",--(AT56="Congé"),0),IF($AV$5&lt;&gt;"",--(AV56="Congé"),0),IF($AX$5&lt;&gt;"",--(AX56="Congé"),0),IF($AZ$5&lt;&gt;"",--(AZ56="Congé"),0),IF($BB$5&lt;&gt;"",--(BB56="Congé"),0),IF($BD$5&lt;&gt;"",--(BD56="Congé"),0),IF($BF$5&lt;&gt;"",--(BF56="Congé"),0),IF($BH$5&lt;&gt;"",--(BH56="Congé"),0),IF($BJ$5&lt;&gt;"",--(BJ56="Congé"),0),IF($BL$5&lt;&gt;"",--(BL56="Congé"),0)))</f>
      </c>
      <c r="BQ56" s="22">
        <f>IF($A56="","",SUM(IF($D$5&lt;&gt;"",--(D56="Maladie"),0),IF($F$5&lt;&gt;"",--(F56="Maladie"),0),IF($H$5&lt;&gt;"",--(H56="Maladie"),0),IF($J$5&lt;&gt;"",--(J56="Maladie"),0),IF($L$5&lt;&gt;"",--(L56="Maladie"),0),IF($N$5&lt;&gt;"",--(N56="Maladie"),0),IF($P$5&lt;&gt;"",--(P56="Maladie"),0),IF($R$5&lt;&gt;"",--(R56="Maladie"),0),IF($T$5&lt;&gt;"",--(T56="Maladie"),0),IF($V$5&lt;&gt;"",--(V56="Maladie"),0),IF($X$5&lt;&gt;"",--(X56="Maladie"),0),IF($Z$5&lt;&gt;"",--(Z56="Maladie"),0),IF($AB$5&lt;&gt;"",--(AB56="Maladie"),0),IF($AD$5&lt;&gt;"",--(AD56="Maladie"),0),IF($AF$5&lt;&gt;"",--(AF56="Maladie"),0),IF($AH$5&lt;&gt;"",--(AH56="Maladie"),0),IF($AJ$5&lt;&gt;"",--(AJ56="Maladie"),0),IF($AL$5&lt;&gt;"",--(AL56="Maladie"),0),IF($AN$5&lt;&gt;"",--(AN56="Maladie"),0),IF($AP$5&lt;&gt;"",--(AP56="Maladie"),0),IF($AR$5&lt;&gt;"",--(AR56="Maladie"),0),IF($AT$5&lt;&gt;"",--(AT56="Maladie"),0),IF($AV$5&lt;&gt;"",--(AV56="Maladie"),0),IF($AX$5&lt;&gt;"",--(AX56="Maladie"),0),IF($AZ$5&lt;&gt;"",--(AZ56="Maladie"),0),IF($BB$5&lt;&gt;"",--(BB56="Maladie"),0),IF($BD$5&lt;&gt;"",--(BD56="Maladie"),0),IF($BF$5&lt;&gt;"",--(BF56="Maladie"),0),IF($BH$5&lt;&gt;"",--(BH56="Maladie"),0),IF($BJ$5&lt;&gt;"",--(BJ56="Maladie"),0),IF($BL$5&lt;&gt;"",--(BL56="Maladie"),0)))</f>
      </c>
      <c r="BR56" s="23">
        <f>IF($A56="","",SUM(IF($D$5&lt;&gt;"",IF(D56="Présent",E56,0),0),IF($F$5&lt;&gt;"",IF(F56="Présent",G56,0),0),IF($H$5&lt;&gt;"",IF(H56="Présent",I56,0),0),IF($J$5&lt;&gt;"",IF(J56="Présent",K56,0),0),IF($L$5&lt;&gt;"",IF(L56="Présent",M56,0),0),IF($N$5&lt;&gt;"",IF(N56="Présent",O56,0),0),IF($P$5&lt;&gt;"",IF(P56="Présent",Q56,0),0),IF($R$5&lt;&gt;"",IF(R56="Présent",S56,0),0),IF($T$5&lt;&gt;"",IF(T56="Présent",U56,0),0),IF($V$5&lt;&gt;"",IF(V56="Présent",W56,0),0),IF($X$5&lt;&gt;"",IF(X56="Présent",Y56,0),0),IF($Z$5&lt;&gt;"",IF(Z56="Présent",AA56,0),0),IF($AB$5&lt;&gt;"",IF(AB56="Présent",AC56,0),0),IF($AD$5&lt;&gt;"",IF(AD56="Présent",AE56,0),0),IF($AF$5&lt;&gt;"",IF(AF56="Présent",AG56,0),0),IF($AH$5&lt;&gt;"",IF(AH56="Présent",AI56,0),0),IF($AJ$5&lt;&gt;"",IF(AJ56="Présent",AK56,0),0),IF($AL$5&lt;&gt;"",IF(AL56="Présent",AM56,0),0),IF($AN$5&lt;&gt;"",IF(AN56="Présent",AO56,0),0),IF($AP$5&lt;&gt;"",IF(AP56="Présent",AQ56,0),0),IF($AR$5&lt;&gt;"",IF(AR56="Présent",AS56,0),0),IF($AT$5&lt;&gt;"",IF(AT56="Présent",AU56,0),0),IF($AV$5&lt;&gt;"",IF(AV56="Présent",AW56,0),0),IF($AX$5&lt;&gt;"",IF(AX56="Présent",AY56,0),0),IF($AZ$5&lt;&gt;"",IF(AZ56="Présent",BA56,0),0),IF($BB$5&lt;&gt;"",IF(BB56="Présent",BC56,0),0),IF($BD$5&lt;&gt;"",IF(BD56="Présent",BE56,0),0),IF($BF$5&lt;&gt;"",IF(BF56="Présent",BG56,0),0),IF($BH$5&lt;&gt;"",IF(BH56="Présent",BI56,0),0),IF($BJ$5&lt;&gt;"",IF(BJ56="Présent",BK56,0),0),IF($BL$5&lt;&gt;"",IF(BL56="Présent",BM56,0),0)))</f>
      </c>
      <c r="BS56" s="25">
        <f>IF($A56="","",$BN56*IFERROR(INDEX(Categories_Salaire,MATCH($C56,ListeCategories,0)),0)+$BR56*IF(IFERROR(INDEX(Categories_TauxHS,MATCH($C56,ListeCategories,0)),0)&gt;0,IFERROR(INDEX(Categories_TauxHS,MATCH($C56,ListeCategories,0)),0),TauxHSDefaut))</f>
      </c>
    </row>
    <row r="57">
      <c r="A57" s="20">
        <f>IF(AND(INDEX(Employes_Nom,51)&lt;&gt;"",INDEX(Employes_Statut,51)="Actif",OR(INDEX(Employes_Embauche,51)="",INDEX(Employes_Embauche,51)&lt;=EOMONTH(DATE(AnneeCourante,MoisCourant,1),0))),INDEX(Employes_ID,51),"")</f>
      </c>
      <c r="B57" s="19">
        <f>IF($A57="","",INDEX(Employes_Nom,MATCH($A57,Employes_ID,0)))</f>
      </c>
      <c r="C57" s="20">
        <f>IF($A57="","",INDEX(Employes_Categorie,MATCH($A57,Employes_ID,0)))</f>
      </c>
      <c r="D57" s="26"/>
      <c r="E57" s="27"/>
      <c r="F57" s="26"/>
      <c r="G57" s="27"/>
      <c r="H57" s="26"/>
      <c r="I57" s="27"/>
      <c r="J57" s="26"/>
      <c r="K57" s="27"/>
      <c r="L57" s="26"/>
      <c r="M57" s="27"/>
      <c r="N57" s="26"/>
      <c r="O57" s="27"/>
      <c r="P57" s="26"/>
      <c r="Q57" s="27"/>
      <c r="R57" s="26"/>
      <c r="S57" s="27"/>
      <c r="T57" s="26"/>
      <c r="U57" s="27"/>
      <c r="V57" s="26"/>
      <c r="W57" s="27"/>
      <c r="X57" s="26"/>
      <c r="Y57" s="27"/>
      <c r="Z57" s="26"/>
      <c r="AA57" s="27"/>
      <c r="AB57" s="26"/>
      <c r="AC57" s="27"/>
      <c r="AD57" s="26"/>
      <c r="AE57" s="27"/>
      <c r="AF57" s="26"/>
      <c r="AG57" s="27"/>
      <c r="AH57" s="26"/>
      <c r="AI57" s="27"/>
      <c r="AJ57" s="26"/>
      <c r="AK57" s="27"/>
      <c r="AL57" s="26"/>
      <c r="AM57" s="27"/>
      <c r="AN57" s="26"/>
      <c r="AO57" s="27"/>
      <c r="AP57" s="26"/>
      <c r="AQ57" s="27"/>
      <c r="AR57" s="26"/>
      <c r="AS57" s="27"/>
      <c r="AT57" s="26"/>
      <c r="AU57" s="27"/>
      <c r="AV57" s="26"/>
      <c r="AW57" s="27"/>
      <c r="AX57" s="26"/>
      <c r="AY57" s="27"/>
      <c r="AZ57" s="26"/>
      <c r="BA57" s="27"/>
      <c r="BB57" s="26"/>
      <c r="BC57" s="27"/>
      <c r="BD57" s="26"/>
      <c r="BE57" s="27"/>
      <c r="BF57" s="26"/>
      <c r="BG57" s="27"/>
      <c r="BH57" s="26"/>
      <c r="BI57" s="27"/>
      <c r="BJ57" s="26"/>
      <c r="BK57" s="27"/>
      <c r="BL57" s="26"/>
      <c r="BM57" s="27"/>
      <c r="BN57" s="22">
        <f>IF($A57="","",SUM(IF($D$5&lt;&gt;"",--(D57="Présent"),0),IF($F$5&lt;&gt;"",--(F57="Présent"),0),IF($H$5&lt;&gt;"",--(H57="Présent"),0),IF($J$5&lt;&gt;"",--(J57="Présent"),0),IF($L$5&lt;&gt;"",--(L57="Présent"),0),IF($N$5&lt;&gt;"",--(N57="Présent"),0),IF($P$5&lt;&gt;"",--(P57="Présent"),0),IF($R$5&lt;&gt;"",--(R57="Présent"),0),IF($T$5&lt;&gt;"",--(T57="Présent"),0),IF($V$5&lt;&gt;"",--(V57="Présent"),0),IF($X$5&lt;&gt;"",--(X57="Présent"),0),IF($Z$5&lt;&gt;"",--(Z57="Présent"),0),IF($AB$5&lt;&gt;"",--(AB57="Présent"),0),IF($AD$5&lt;&gt;"",--(AD57="Présent"),0),IF($AF$5&lt;&gt;"",--(AF57="Présent"),0),IF($AH$5&lt;&gt;"",--(AH57="Présent"),0),IF($AJ$5&lt;&gt;"",--(AJ57="Présent"),0),IF($AL$5&lt;&gt;"",--(AL57="Présent"),0),IF($AN$5&lt;&gt;"",--(AN57="Présent"),0),IF($AP$5&lt;&gt;"",--(AP57="Présent"),0),IF($AR$5&lt;&gt;"",--(AR57="Présent"),0),IF($AT$5&lt;&gt;"",--(AT57="Présent"),0),IF($AV$5&lt;&gt;"",--(AV57="Présent"),0),IF($AX$5&lt;&gt;"",--(AX57="Présent"),0),IF($AZ$5&lt;&gt;"",--(AZ57="Présent"),0),IF($BB$5&lt;&gt;"",--(BB57="Présent"),0),IF($BD$5&lt;&gt;"",--(BD57="Présent"),0),IF($BF$5&lt;&gt;"",--(BF57="Présent"),0),IF($BH$5&lt;&gt;"",--(BH57="Présent"),0),IF($BJ$5&lt;&gt;"",--(BJ57="Présent"),0),IF($BL$5&lt;&gt;"",--(BL57="Présent"),0)))</f>
      </c>
      <c r="BO57" s="22">
        <f>IF($A57="","",SUM(IF($D$5&lt;&gt;"",--(D57="Absent"),0),IF($F$5&lt;&gt;"",--(F57="Absent"),0),IF($H$5&lt;&gt;"",--(H57="Absent"),0),IF($J$5&lt;&gt;"",--(J57="Absent"),0),IF($L$5&lt;&gt;"",--(L57="Absent"),0),IF($N$5&lt;&gt;"",--(N57="Absent"),0),IF($P$5&lt;&gt;"",--(P57="Absent"),0),IF($R$5&lt;&gt;"",--(R57="Absent"),0),IF($T$5&lt;&gt;"",--(T57="Absent"),0),IF($V$5&lt;&gt;"",--(V57="Absent"),0),IF($X$5&lt;&gt;"",--(X57="Absent"),0),IF($Z$5&lt;&gt;"",--(Z57="Absent"),0),IF($AB$5&lt;&gt;"",--(AB57="Absent"),0),IF($AD$5&lt;&gt;"",--(AD57="Absent"),0),IF($AF$5&lt;&gt;"",--(AF57="Absent"),0),IF($AH$5&lt;&gt;"",--(AH57="Absent"),0),IF($AJ$5&lt;&gt;"",--(AJ57="Absent"),0),IF($AL$5&lt;&gt;"",--(AL57="Absent"),0),IF($AN$5&lt;&gt;"",--(AN57="Absent"),0),IF($AP$5&lt;&gt;"",--(AP57="Absent"),0),IF($AR$5&lt;&gt;"",--(AR57="Absent"),0),IF($AT$5&lt;&gt;"",--(AT57="Absent"),0),IF($AV$5&lt;&gt;"",--(AV57="Absent"),0),IF($AX$5&lt;&gt;"",--(AX57="Absent"),0),IF($AZ$5&lt;&gt;"",--(AZ57="Absent"),0),IF($BB$5&lt;&gt;"",--(BB57="Absent"),0),IF($BD$5&lt;&gt;"",--(BD57="Absent"),0),IF($BF$5&lt;&gt;"",--(BF57="Absent"),0),IF($BH$5&lt;&gt;"",--(BH57="Absent"),0),IF($BJ$5&lt;&gt;"",--(BJ57="Absent"),0),IF($BL$5&lt;&gt;"",--(BL57="Absent"),0)))</f>
      </c>
      <c r="BP57" s="22">
        <f>IF($A57="","",SUM(IF($D$5&lt;&gt;"",--(D57="Congé"),0),IF($F$5&lt;&gt;"",--(F57="Congé"),0),IF($H$5&lt;&gt;"",--(H57="Congé"),0),IF($J$5&lt;&gt;"",--(J57="Congé"),0),IF($L$5&lt;&gt;"",--(L57="Congé"),0),IF($N$5&lt;&gt;"",--(N57="Congé"),0),IF($P$5&lt;&gt;"",--(P57="Congé"),0),IF($R$5&lt;&gt;"",--(R57="Congé"),0),IF($T$5&lt;&gt;"",--(T57="Congé"),0),IF($V$5&lt;&gt;"",--(V57="Congé"),0),IF($X$5&lt;&gt;"",--(X57="Congé"),0),IF($Z$5&lt;&gt;"",--(Z57="Congé"),0),IF($AB$5&lt;&gt;"",--(AB57="Congé"),0),IF($AD$5&lt;&gt;"",--(AD57="Congé"),0),IF($AF$5&lt;&gt;"",--(AF57="Congé"),0),IF($AH$5&lt;&gt;"",--(AH57="Congé"),0),IF($AJ$5&lt;&gt;"",--(AJ57="Congé"),0),IF($AL$5&lt;&gt;"",--(AL57="Congé"),0),IF($AN$5&lt;&gt;"",--(AN57="Congé"),0),IF($AP$5&lt;&gt;"",--(AP57="Congé"),0),IF($AR$5&lt;&gt;"",--(AR57="Congé"),0),IF($AT$5&lt;&gt;"",--(AT57="Congé"),0),IF($AV$5&lt;&gt;"",--(AV57="Congé"),0),IF($AX$5&lt;&gt;"",--(AX57="Congé"),0),IF($AZ$5&lt;&gt;"",--(AZ57="Congé"),0),IF($BB$5&lt;&gt;"",--(BB57="Congé"),0),IF($BD$5&lt;&gt;"",--(BD57="Congé"),0),IF($BF$5&lt;&gt;"",--(BF57="Congé"),0),IF($BH$5&lt;&gt;"",--(BH57="Congé"),0),IF($BJ$5&lt;&gt;"",--(BJ57="Congé"),0),IF($BL$5&lt;&gt;"",--(BL57="Congé"),0)))</f>
      </c>
      <c r="BQ57" s="22">
        <f>IF($A57="","",SUM(IF($D$5&lt;&gt;"",--(D57="Maladie"),0),IF($F$5&lt;&gt;"",--(F57="Maladie"),0),IF($H$5&lt;&gt;"",--(H57="Maladie"),0),IF($J$5&lt;&gt;"",--(J57="Maladie"),0),IF($L$5&lt;&gt;"",--(L57="Maladie"),0),IF($N$5&lt;&gt;"",--(N57="Maladie"),0),IF($P$5&lt;&gt;"",--(P57="Maladie"),0),IF($R$5&lt;&gt;"",--(R57="Maladie"),0),IF($T$5&lt;&gt;"",--(T57="Maladie"),0),IF($V$5&lt;&gt;"",--(V57="Maladie"),0),IF($X$5&lt;&gt;"",--(X57="Maladie"),0),IF($Z$5&lt;&gt;"",--(Z57="Maladie"),0),IF($AB$5&lt;&gt;"",--(AB57="Maladie"),0),IF($AD$5&lt;&gt;"",--(AD57="Maladie"),0),IF($AF$5&lt;&gt;"",--(AF57="Maladie"),0),IF($AH$5&lt;&gt;"",--(AH57="Maladie"),0),IF($AJ$5&lt;&gt;"",--(AJ57="Maladie"),0),IF($AL$5&lt;&gt;"",--(AL57="Maladie"),0),IF($AN$5&lt;&gt;"",--(AN57="Maladie"),0),IF($AP$5&lt;&gt;"",--(AP57="Maladie"),0),IF($AR$5&lt;&gt;"",--(AR57="Maladie"),0),IF($AT$5&lt;&gt;"",--(AT57="Maladie"),0),IF($AV$5&lt;&gt;"",--(AV57="Maladie"),0),IF($AX$5&lt;&gt;"",--(AX57="Maladie"),0),IF($AZ$5&lt;&gt;"",--(AZ57="Maladie"),0),IF($BB$5&lt;&gt;"",--(BB57="Maladie"),0),IF($BD$5&lt;&gt;"",--(BD57="Maladie"),0),IF($BF$5&lt;&gt;"",--(BF57="Maladie"),0),IF($BH$5&lt;&gt;"",--(BH57="Maladie"),0),IF($BJ$5&lt;&gt;"",--(BJ57="Maladie"),0),IF($BL$5&lt;&gt;"",--(BL57="Maladie"),0)))</f>
      </c>
      <c r="BR57" s="23">
        <f>IF($A57="","",SUM(IF($D$5&lt;&gt;"",IF(D57="Présent",E57,0),0),IF($F$5&lt;&gt;"",IF(F57="Présent",G57,0),0),IF($H$5&lt;&gt;"",IF(H57="Présent",I57,0),0),IF($J$5&lt;&gt;"",IF(J57="Présent",K57,0),0),IF($L$5&lt;&gt;"",IF(L57="Présent",M57,0),0),IF($N$5&lt;&gt;"",IF(N57="Présent",O57,0),0),IF($P$5&lt;&gt;"",IF(P57="Présent",Q57,0),0),IF($R$5&lt;&gt;"",IF(R57="Présent",S57,0),0),IF($T$5&lt;&gt;"",IF(T57="Présent",U57,0),0),IF($V$5&lt;&gt;"",IF(V57="Présent",W57,0),0),IF($X$5&lt;&gt;"",IF(X57="Présent",Y57,0),0),IF($Z$5&lt;&gt;"",IF(Z57="Présent",AA57,0),0),IF($AB$5&lt;&gt;"",IF(AB57="Présent",AC57,0),0),IF($AD$5&lt;&gt;"",IF(AD57="Présent",AE57,0),0),IF($AF$5&lt;&gt;"",IF(AF57="Présent",AG57,0),0),IF($AH$5&lt;&gt;"",IF(AH57="Présent",AI57,0),0),IF($AJ$5&lt;&gt;"",IF(AJ57="Présent",AK57,0),0),IF($AL$5&lt;&gt;"",IF(AL57="Présent",AM57,0),0),IF($AN$5&lt;&gt;"",IF(AN57="Présent",AO57,0),0),IF($AP$5&lt;&gt;"",IF(AP57="Présent",AQ57,0),0),IF($AR$5&lt;&gt;"",IF(AR57="Présent",AS57,0),0),IF($AT$5&lt;&gt;"",IF(AT57="Présent",AU57,0),0),IF($AV$5&lt;&gt;"",IF(AV57="Présent",AW57,0),0),IF($AX$5&lt;&gt;"",IF(AX57="Présent",AY57,0),0),IF($AZ$5&lt;&gt;"",IF(AZ57="Présent",BA57,0),0),IF($BB$5&lt;&gt;"",IF(BB57="Présent",BC57,0),0),IF($BD$5&lt;&gt;"",IF(BD57="Présent",BE57,0),0),IF($BF$5&lt;&gt;"",IF(BF57="Présent",BG57,0),0),IF($BH$5&lt;&gt;"",IF(BH57="Présent",BI57,0),0),IF($BJ$5&lt;&gt;"",IF(BJ57="Présent",BK57,0),0),IF($BL$5&lt;&gt;"",IF(BL57="Présent",BM57,0),0)))</f>
      </c>
      <c r="BS57" s="25">
        <f>IF($A57="","",$BN57*IFERROR(INDEX(Categories_Salaire,MATCH($C57,ListeCategories,0)),0)+$BR57*IF(IFERROR(INDEX(Categories_TauxHS,MATCH($C57,ListeCategories,0)),0)&gt;0,IFERROR(INDEX(Categories_TauxHS,MATCH($C57,ListeCategories,0)),0),TauxHSDefaut))</f>
      </c>
    </row>
    <row r="58">
      <c r="A58" s="20">
        <f>IF(AND(INDEX(Employes_Nom,52)&lt;&gt;"",INDEX(Employes_Statut,52)="Actif",OR(INDEX(Employes_Embauche,52)="",INDEX(Employes_Embauche,52)&lt;=EOMONTH(DATE(AnneeCourante,MoisCourant,1),0))),INDEX(Employes_ID,52),"")</f>
      </c>
      <c r="B58" s="19">
        <f>IF($A58="","",INDEX(Employes_Nom,MATCH($A58,Employes_ID,0)))</f>
      </c>
      <c r="C58" s="20">
        <f>IF($A58="","",INDEX(Employes_Categorie,MATCH($A58,Employes_ID,0)))</f>
      </c>
      <c r="D58" s="26"/>
      <c r="E58" s="27"/>
      <c r="F58" s="26"/>
      <c r="G58" s="27"/>
      <c r="H58" s="26"/>
      <c r="I58" s="27"/>
      <c r="J58" s="26"/>
      <c r="K58" s="27"/>
      <c r="L58" s="26"/>
      <c r="M58" s="27"/>
      <c r="N58" s="26"/>
      <c r="O58" s="27"/>
      <c r="P58" s="26"/>
      <c r="Q58" s="27"/>
      <c r="R58" s="26"/>
      <c r="S58" s="27"/>
      <c r="T58" s="26"/>
      <c r="U58" s="27"/>
      <c r="V58" s="26"/>
      <c r="W58" s="27"/>
      <c r="X58" s="26"/>
      <c r="Y58" s="27"/>
      <c r="Z58" s="26"/>
      <c r="AA58" s="27"/>
      <c r="AB58" s="26"/>
      <c r="AC58" s="27"/>
      <c r="AD58" s="26"/>
      <c r="AE58" s="27"/>
      <c r="AF58" s="26"/>
      <c r="AG58" s="27"/>
      <c r="AH58" s="26"/>
      <c r="AI58" s="27"/>
      <c r="AJ58" s="26"/>
      <c r="AK58" s="27"/>
      <c r="AL58" s="26"/>
      <c r="AM58" s="27"/>
      <c r="AN58" s="26"/>
      <c r="AO58" s="27"/>
      <c r="AP58" s="26"/>
      <c r="AQ58" s="27"/>
      <c r="AR58" s="26"/>
      <c r="AS58" s="27"/>
      <c r="AT58" s="26"/>
      <c r="AU58" s="27"/>
      <c r="AV58" s="26"/>
      <c r="AW58" s="27"/>
      <c r="AX58" s="26"/>
      <c r="AY58" s="27"/>
      <c r="AZ58" s="26"/>
      <c r="BA58" s="27"/>
      <c r="BB58" s="26"/>
      <c r="BC58" s="27"/>
      <c r="BD58" s="26"/>
      <c r="BE58" s="27"/>
      <c r="BF58" s="26"/>
      <c r="BG58" s="27"/>
      <c r="BH58" s="26"/>
      <c r="BI58" s="27"/>
      <c r="BJ58" s="26"/>
      <c r="BK58" s="27"/>
      <c r="BL58" s="26"/>
      <c r="BM58" s="27"/>
      <c r="BN58" s="22">
        <f>IF($A58="","",SUM(IF($D$5&lt;&gt;"",--(D58="Présent"),0),IF($F$5&lt;&gt;"",--(F58="Présent"),0),IF($H$5&lt;&gt;"",--(H58="Présent"),0),IF($J$5&lt;&gt;"",--(J58="Présent"),0),IF($L$5&lt;&gt;"",--(L58="Présent"),0),IF($N$5&lt;&gt;"",--(N58="Présent"),0),IF($P$5&lt;&gt;"",--(P58="Présent"),0),IF($R$5&lt;&gt;"",--(R58="Présent"),0),IF($T$5&lt;&gt;"",--(T58="Présent"),0),IF($V$5&lt;&gt;"",--(V58="Présent"),0),IF($X$5&lt;&gt;"",--(X58="Présent"),0),IF($Z$5&lt;&gt;"",--(Z58="Présent"),0),IF($AB$5&lt;&gt;"",--(AB58="Présent"),0),IF($AD$5&lt;&gt;"",--(AD58="Présent"),0),IF($AF$5&lt;&gt;"",--(AF58="Présent"),0),IF($AH$5&lt;&gt;"",--(AH58="Présent"),0),IF($AJ$5&lt;&gt;"",--(AJ58="Présent"),0),IF($AL$5&lt;&gt;"",--(AL58="Présent"),0),IF($AN$5&lt;&gt;"",--(AN58="Présent"),0),IF($AP$5&lt;&gt;"",--(AP58="Présent"),0),IF($AR$5&lt;&gt;"",--(AR58="Présent"),0),IF($AT$5&lt;&gt;"",--(AT58="Présent"),0),IF($AV$5&lt;&gt;"",--(AV58="Présent"),0),IF($AX$5&lt;&gt;"",--(AX58="Présent"),0),IF($AZ$5&lt;&gt;"",--(AZ58="Présent"),0),IF($BB$5&lt;&gt;"",--(BB58="Présent"),0),IF($BD$5&lt;&gt;"",--(BD58="Présent"),0),IF($BF$5&lt;&gt;"",--(BF58="Présent"),0),IF($BH$5&lt;&gt;"",--(BH58="Présent"),0),IF($BJ$5&lt;&gt;"",--(BJ58="Présent"),0),IF($BL$5&lt;&gt;"",--(BL58="Présent"),0)))</f>
      </c>
      <c r="BO58" s="22">
        <f>IF($A58="","",SUM(IF($D$5&lt;&gt;"",--(D58="Absent"),0),IF($F$5&lt;&gt;"",--(F58="Absent"),0),IF($H$5&lt;&gt;"",--(H58="Absent"),0),IF($J$5&lt;&gt;"",--(J58="Absent"),0),IF($L$5&lt;&gt;"",--(L58="Absent"),0),IF($N$5&lt;&gt;"",--(N58="Absent"),0),IF($P$5&lt;&gt;"",--(P58="Absent"),0),IF($R$5&lt;&gt;"",--(R58="Absent"),0),IF($T$5&lt;&gt;"",--(T58="Absent"),0),IF($V$5&lt;&gt;"",--(V58="Absent"),0),IF($X$5&lt;&gt;"",--(X58="Absent"),0),IF($Z$5&lt;&gt;"",--(Z58="Absent"),0),IF($AB$5&lt;&gt;"",--(AB58="Absent"),0),IF($AD$5&lt;&gt;"",--(AD58="Absent"),0),IF($AF$5&lt;&gt;"",--(AF58="Absent"),0),IF($AH$5&lt;&gt;"",--(AH58="Absent"),0),IF($AJ$5&lt;&gt;"",--(AJ58="Absent"),0),IF($AL$5&lt;&gt;"",--(AL58="Absent"),0),IF($AN$5&lt;&gt;"",--(AN58="Absent"),0),IF($AP$5&lt;&gt;"",--(AP58="Absent"),0),IF($AR$5&lt;&gt;"",--(AR58="Absent"),0),IF($AT$5&lt;&gt;"",--(AT58="Absent"),0),IF($AV$5&lt;&gt;"",--(AV58="Absent"),0),IF($AX$5&lt;&gt;"",--(AX58="Absent"),0),IF($AZ$5&lt;&gt;"",--(AZ58="Absent"),0),IF($BB$5&lt;&gt;"",--(BB58="Absent"),0),IF($BD$5&lt;&gt;"",--(BD58="Absent"),0),IF($BF$5&lt;&gt;"",--(BF58="Absent"),0),IF($BH$5&lt;&gt;"",--(BH58="Absent"),0),IF($BJ$5&lt;&gt;"",--(BJ58="Absent"),0),IF($BL$5&lt;&gt;"",--(BL58="Absent"),0)))</f>
      </c>
      <c r="BP58" s="22">
        <f>IF($A58="","",SUM(IF($D$5&lt;&gt;"",--(D58="Congé"),0),IF($F$5&lt;&gt;"",--(F58="Congé"),0),IF($H$5&lt;&gt;"",--(H58="Congé"),0),IF($J$5&lt;&gt;"",--(J58="Congé"),0),IF($L$5&lt;&gt;"",--(L58="Congé"),0),IF($N$5&lt;&gt;"",--(N58="Congé"),0),IF($P$5&lt;&gt;"",--(P58="Congé"),0),IF($R$5&lt;&gt;"",--(R58="Congé"),0),IF($T$5&lt;&gt;"",--(T58="Congé"),0),IF($V$5&lt;&gt;"",--(V58="Congé"),0),IF($X$5&lt;&gt;"",--(X58="Congé"),0),IF($Z$5&lt;&gt;"",--(Z58="Congé"),0),IF($AB$5&lt;&gt;"",--(AB58="Congé"),0),IF($AD$5&lt;&gt;"",--(AD58="Congé"),0),IF($AF$5&lt;&gt;"",--(AF58="Congé"),0),IF($AH$5&lt;&gt;"",--(AH58="Congé"),0),IF($AJ$5&lt;&gt;"",--(AJ58="Congé"),0),IF($AL$5&lt;&gt;"",--(AL58="Congé"),0),IF($AN$5&lt;&gt;"",--(AN58="Congé"),0),IF($AP$5&lt;&gt;"",--(AP58="Congé"),0),IF($AR$5&lt;&gt;"",--(AR58="Congé"),0),IF($AT$5&lt;&gt;"",--(AT58="Congé"),0),IF($AV$5&lt;&gt;"",--(AV58="Congé"),0),IF($AX$5&lt;&gt;"",--(AX58="Congé"),0),IF($AZ$5&lt;&gt;"",--(AZ58="Congé"),0),IF($BB$5&lt;&gt;"",--(BB58="Congé"),0),IF($BD$5&lt;&gt;"",--(BD58="Congé"),0),IF($BF$5&lt;&gt;"",--(BF58="Congé"),0),IF($BH$5&lt;&gt;"",--(BH58="Congé"),0),IF($BJ$5&lt;&gt;"",--(BJ58="Congé"),0),IF($BL$5&lt;&gt;"",--(BL58="Congé"),0)))</f>
      </c>
      <c r="BQ58" s="22">
        <f>IF($A58="","",SUM(IF($D$5&lt;&gt;"",--(D58="Maladie"),0),IF($F$5&lt;&gt;"",--(F58="Maladie"),0),IF($H$5&lt;&gt;"",--(H58="Maladie"),0),IF($J$5&lt;&gt;"",--(J58="Maladie"),0),IF($L$5&lt;&gt;"",--(L58="Maladie"),0),IF($N$5&lt;&gt;"",--(N58="Maladie"),0),IF($P$5&lt;&gt;"",--(P58="Maladie"),0),IF($R$5&lt;&gt;"",--(R58="Maladie"),0),IF($T$5&lt;&gt;"",--(T58="Maladie"),0),IF($V$5&lt;&gt;"",--(V58="Maladie"),0),IF($X$5&lt;&gt;"",--(X58="Maladie"),0),IF($Z$5&lt;&gt;"",--(Z58="Maladie"),0),IF($AB$5&lt;&gt;"",--(AB58="Maladie"),0),IF($AD$5&lt;&gt;"",--(AD58="Maladie"),0),IF($AF$5&lt;&gt;"",--(AF58="Maladie"),0),IF($AH$5&lt;&gt;"",--(AH58="Maladie"),0),IF($AJ$5&lt;&gt;"",--(AJ58="Maladie"),0),IF($AL$5&lt;&gt;"",--(AL58="Maladie"),0),IF($AN$5&lt;&gt;"",--(AN58="Maladie"),0),IF($AP$5&lt;&gt;"",--(AP58="Maladie"),0),IF($AR$5&lt;&gt;"",--(AR58="Maladie"),0),IF($AT$5&lt;&gt;"",--(AT58="Maladie"),0),IF($AV$5&lt;&gt;"",--(AV58="Maladie"),0),IF($AX$5&lt;&gt;"",--(AX58="Maladie"),0),IF($AZ$5&lt;&gt;"",--(AZ58="Maladie"),0),IF($BB$5&lt;&gt;"",--(BB58="Maladie"),0),IF($BD$5&lt;&gt;"",--(BD58="Maladie"),0),IF($BF$5&lt;&gt;"",--(BF58="Maladie"),0),IF($BH$5&lt;&gt;"",--(BH58="Maladie"),0),IF($BJ$5&lt;&gt;"",--(BJ58="Maladie"),0),IF($BL$5&lt;&gt;"",--(BL58="Maladie"),0)))</f>
      </c>
      <c r="BR58" s="23">
        <f>IF($A58="","",SUM(IF($D$5&lt;&gt;"",IF(D58="Présent",E58,0),0),IF($F$5&lt;&gt;"",IF(F58="Présent",G58,0),0),IF($H$5&lt;&gt;"",IF(H58="Présent",I58,0),0),IF($J$5&lt;&gt;"",IF(J58="Présent",K58,0),0),IF($L$5&lt;&gt;"",IF(L58="Présent",M58,0),0),IF($N$5&lt;&gt;"",IF(N58="Présent",O58,0),0),IF($P$5&lt;&gt;"",IF(P58="Présent",Q58,0),0),IF($R$5&lt;&gt;"",IF(R58="Présent",S58,0),0),IF($T$5&lt;&gt;"",IF(T58="Présent",U58,0),0),IF($V$5&lt;&gt;"",IF(V58="Présent",W58,0),0),IF($X$5&lt;&gt;"",IF(X58="Présent",Y58,0),0),IF($Z$5&lt;&gt;"",IF(Z58="Présent",AA58,0),0),IF($AB$5&lt;&gt;"",IF(AB58="Présent",AC58,0),0),IF($AD$5&lt;&gt;"",IF(AD58="Présent",AE58,0),0),IF($AF$5&lt;&gt;"",IF(AF58="Présent",AG58,0),0),IF($AH$5&lt;&gt;"",IF(AH58="Présent",AI58,0),0),IF($AJ$5&lt;&gt;"",IF(AJ58="Présent",AK58,0),0),IF($AL$5&lt;&gt;"",IF(AL58="Présent",AM58,0),0),IF($AN$5&lt;&gt;"",IF(AN58="Présent",AO58,0),0),IF($AP$5&lt;&gt;"",IF(AP58="Présent",AQ58,0),0),IF($AR$5&lt;&gt;"",IF(AR58="Présent",AS58,0),0),IF($AT$5&lt;&gt;"",IF(AT58="Présent",AU58,0),0),IF($AV$5&lt;&gt;"",IF(AV58="Présent",AW58,0),0),IF($AX$5&lt;&gt;"",IF(AX58="Présent",AY58,0),0),IF($AZ$5&lt;&gt;"",IF(AZ58="Présent",BA58,0),0),IF($BB$5&lt;&gt;"",IF(BB58="Présent",BC58,0),0),IF($BD$5&lt;&gt;"",IF(BD58="Présent",BE58,0),0),IF($BF$5&lt;&gt;"",IF(BF58="Présent",BG58,0),0),IF($BH$5&lt;&gt;"",IF(BH58="Présent",BI58,0),0),IF($BJ$5&lt;&gt;"",IF(BJ58="Présent",BK58,0),0),IF($BL$5&lt;&gt;"",IF(BL58="Présent",BM58,0),0)))</f>
      </c>
      <c r="BS58" s="25">
        <f>IF($A58="","",$BN58*IFERROR(INDEX(Categories_Salaire,MATCH($C58,ListeCategories,0)),0)+$BR58*IF(IFERROR(INDEX(Categories_TauxHS,MATCH($C58,ListeCategories,0)),0)&gt;0,IFERROR(INDEX(Categories_TauxHS,MATCH($C58,ListeCategories,0)),0),TauxHSDefaut))</f>
      </c>
    </row>
    <row r="59">
      <c r="A59" s="20">
        <f>IF(AND(INDEX(Employes_Nom,53)&lt;&gt;"",INDEX(Employes_Statut,53)="Actif",OR(INDEX(Employes_Embauche,53)="",INDEX(Employes_Embauche,53)&lt;=EOMONTH(DATE(AnneeCourante,MoisCourant,1),0))),INDEX(Employes_ID,53),"")</f>
      </c>
      <c r="B59" s="19">
        <f>IF($A59="","",INDEX(Employes_Nom,MATCH($A59,Employes_ID,0)))</f>
      </c>
      <c r="C59" s="20">
        <f>IF($A59="","",INDEX(Employes_Categorie,MATCH($A59,Employes_ID,0)))</f>
      </c>
      <c r="D59" s="26"/>
      <c r="E59" s="27"/>
      <c r="F59" s="26"/>
      <c r="G59" s="27"/>
      <c r="H59" s="26"/>
      <c r="I59" s="27"/>
      <c r="J59" s="26"/>
      <c r="K59" s="27"/>
      <c r="L59" s="26"/>
      <c r="M59" s="27"/>
      <c r="N59" s="26"/>
      <c r="O59" s="27"/>
      <c r="P59" s="26"/>
      <c r="Q59" s="27"/>
      <c r="R59" s="26"/>
      <c r="S59" s="27"/>
      <c r="T59" s="26"/>
      <c r="U59" s="27"/>
      <c r="V59" s="26"/>
      <c r="W59" s="27"/>
      <c r="X59" s="26"/>
      <c r="Y59" s="27"/>
      <c r="Z59" s="26"/>
      <c r="AA59" s="27"/>
      <c r="AB59" s="26"/>
      <c r="AC59" s="27"/>
      <c r="AD59" s="26"/>
      <c r="AE59" s="27"/>
      <c r="AF59" s="26"/>
      <c r="AG59" s="27"/>
      <c r="AH59" s="26"/>
      <c r="AI59" s="27"/>
      <c r="AJ59" s="26"/>
      <c r="AK59" s="27"/>
      <c r="AL59" s="26"/>
      <c r="AM59" s="27"/>
      <c r="AN59" s="26"/>
      <c r="AO59" s="27"/>
      <c r="AP59" s="26"/>
      <c r="AQ59" s="27"/>
      <c r="AR59" s="26"/>
      <c r="AS59" s="27"/>
      <c r="AT59" s="26"/>
      <c r="AU59" s="27"/>
      <c r="AV59" s="26"/>
      <c r="AW59" s="27"/>
      <c r="AX59" s="26"/>
      <c r="AY59" s="27"/>
      <c r="AZ59" s="26"/>
      <c r="BA59" s="27"/>
      <c r="BB59" s="26"/>
      <c r="BC59" s="27"/>
      <c r="BD59" s="26"/>
      <c r="BE59" s="27"/>
      <c r="BF59" s="26"/>
      <c r="BG59" s="27"/>
      <c r="BH59" s="26"/>
      <c r="BI59" s="27"/>
      <c r="BJ59" s="26"/>
      <c r="BK59" s="27"/>
      <c r="BL59" s="26"/>
      <c r="BM59" s="27"/>
      <c r="BN59" s="22">
        <f>IF($A59="","",SUM(IF($D$5&lt;&gt;"",--(D59="Présent"),0),IF($F$5&lt;&gt;"",--(F59="Présent"),0),IF($H$5&lt;&gt;"",--(H59="Présent"),0),IF($J$5&lt;&gt;"",--(J59="Présent"),0),IF($L$5&lt;&gt;"",--(L59="Présent"),0),IF($N$5&lt;&gt;"",--(N59="Présent"),0),IF($P$5&lt;&gt;"",--(P59="Présent"),0),IF($R$5&lt;&gt;"",--(R59="Présent"),0),IF($T$5&lt;&gt;"",--(T59="Présent"),0),IF($V$5&lt;&gt;"",--(V59="Présent"),0),IF($X$5&lt;&gt;"",--(X59="Présent"),0),IF($Z$5&lt;&gt;"",--(Z59="Présent"),0),IF($AB$5&lt;&gt;"",--(AB59="Présent"),0),IF($AD$5&lt;&gt;"",--(AD59="Présent"),0),IF($AF$5&lt;&gt;"",--(AF59="Présent"),0),IF($AH$5&lt;&gt;"",--(AH59="Présent"),0),IF($AJ$5&lt;&gt;"",--(AJ59="Présent"),0),IF($AL$5&lt;&gt;"",--(AL59="Présent"),0),IF($AN$5&lt;&gt;"",--(AN59="Présent"),0),IF($AP$5&lt;&gt;"",--(AP59="Présent"),0),IF($AR$5&lt;&gt;"",--(AR59="Présent"),0),IF($AT$5&lt;&gt;"",--(AT59="Présent"),0),IF($AV$5&lt;&gt;"",--(AV59="Présent"),0),IF($AX$5&lt;&gt;"",--(AX59="Présent"),0),IF($AZ$5&lt;&gt;"",--(AZ59="Présent"),0),IF($BB$5&lt;&gt;"",--(BB59="Présent"),0),IF($BD$5&lt;&gt;"",--(BD59="Présent"),0),IF($BF$5&lt;&gt;"",--(BF59="Présent"),0),IF($BH$5&lt;&gt;"",--(BH59="Présent"),0),IF($BJ$5&lt;&gt;"",--(BJ59="Présent"),0),IF($BL$5&lt;&gt;"",--(BL59="Présent"),0)))</f>
      </c>
      <c r="BO59" s="22">
        <f>IF($A59="","",SUM(IF($D$5&lt;&gt;"",--(D59="Absent"),0),IF($F$5&lt;&gt;"",--(F59="Absent"),0),IF($H$5&lt;&gt;"",--(H59="Absent"),0),IF($J$5&lt;&gt;"",--(J59="Absent"),0),IF($L$5&lt;&gt;"",--(L59="Absent"),0),IF($N$5&lt;&gt;"",--(N59="Absent"),0),IF($P$5&lt;&gt;"",--(P59="Absent"),0),IF($R$5&lt;&gt;"",--(R59="Absent"),0),IF($T$5&lt;&gt;"",--(T59="Absent"),0),IF($V$5&lt;&gt;"",--(V59="Absent"),0),IF($X$5&lt;&gt;"",--(X59="Absent"),0),IF($Z$5&lt;&gt;"",--(Z59="Absent"),0),IF($AB$5&lt;&gt;"",--(AB59="Absent"),0),IF($AD$5&lt;&gt;"",--(AD59="Absent"),0),IF($AF$5&lt;&gt;"",--(AF59="Absent"),0),IF($AH$5&lt;&gt;"",--(AH59="Absent"),0),IF($AJ$5&lt;&gt;"",--(AJ59="Absent"),0),IF($AL$5&lt;&gt;"",--(AL59="Absent"),0),IF($AN$5&lt;&gt;"",--(AN59="Absent"),0),IF($AP$5&lt;&gt;"",--(AP59="Absent"),0),IF($AR$5&lt;&gt;"",--(AR59="Absent"),0),IF($AT$5&lt;&gt;"",--(AT59="Absent"),0),IF($AV$5&lt;&gt;"",--(AV59="Absent"),0),IF($AX$5&lt;&gt;"",--(AX59="Absent"),0),IF($AZ$5&lt;&gt;"",--(AZ59="Absent"),0),IF($BB$5&lt;&gt;"",--(BB59="Absent"),0),IF($BD$5&lt;&gt;"",--(BD59="Absent"),0),IF($BF$5&lt;&gt;"",--(BF59="Absent"),0),IF($BH$5&lt;&gt;"",--(BH59="Absent"),0),IF($BJ$5&lt;&gt;"",--(BJ59="Absent"),0),IF($BL$5&lt;&gt;"",--(BL59="Absent"),0)))</f>
      </c>
      <c r="BP59" s="22">
        <f>IF($A59="","",SUM(IF($D$5&lt;&gt;"",--(D59="Congé"),0),IF($F$5&lt;&gt;"",--(F59="Congé"),0),IF($H$5&lt;&gt;"",--(H59="Congé"),0),IF($J$5&lt;&gt;"",--(J59="Congé"),0),IF($L$5&lt;&gt;"",--(L59="Congé"),0),IF($N$5&lt;&gt;"",--(N59="Congé"),0),IF($P$5&lt;&gt;"",--(P59="Congé"),0),IF($R$5&lt;&gt;"",--(R59="Congé"),0),IF($T$5&lt;&gt;"",--(T59="Congé"),0),IF($V$5&lt;&gt;"",--(V59="Congé"),0),IF($X$5&lt;&gt;"",--(X59="Congé"),0),IF($Z$5&lt;&gt;"",--(Z59="Congé"),0),IF($AB$5&lt;&gt;"",--(AB59="Congé"),0),IF($AD$5&lt;&gt;"",--(AD59="Congé"),0),IF($AF$5&lt;&gt;"",--(AF59="Congé"),0),IF($AH$5&lt;&gt;"",--(AH59="Congé"),0),IF($AJ$5&lt;&gt;"",--(AJ59="Congé"),0),IF($AL$5&lt;&gt;"",--(AL59="Congé"),0),IF($AN$5&lt;&gt;"",--(AN59="Congé"),0),IF($AP$5&lt;&gt;"",--(AP59="Congé"),0),IF($AR$5&lt;&gt;"",--(AR59="Congé"),0),IF($AT$5&lt;&gt;"",--(AT59="Congé"),0),IF($AV$5&lt;&gt;"",--(AV59="Congé"),0),IF($AX$5&lt;&gt;"",--(AX59="Congé"),0),IF($AZ$5&lt;&gt;"",--(AZ59="Congé"),0),IF($BB$5&lt;&gt;"",--(BB59="Congé"),0),IF($BD$5&lt;&gt;"",--(BD59="Congé"),0),IF($BF$5&lt;&gt;"",--(BF59="Congé"),0),IF($BH$5&lt;&gt;"",--(BH59="Congé"),0),IF($BJ$5&lt;&gt;"",--(BJ59="Congé"),0),IF($BL$5&lt;&gt;"",--(BL59="Congé"),0)))</f>
      </c>
      <c r="BQ59" s="22">
        <f>IF($A59="","",SUM(IF($D$5&lt;&gt;"",--(D59="Maladie"),0),IF($F$5&lt;&gt;"",--(F59="Maladie"),0),IF($H$5&lt;&gt;"",--(H59="Maladie"),0),IF($J$5&lt;&gt;"",--(J59="Maladie"),0),IF($L$5&lt;&gt;"",--(L59="Maladie"),0),IF($N$5&lt;&gt;"",--(N59="Maladie"),0),IF($P$5&lt;&gt;"",--(P59="Maladie"),0),IF($R$5&lt;&gt;"",--(R59="Maladie"),0),IF($T$5&lt;&gt;"",--(T59="Maladie"),0),IF($V$5&lt;&gt;"",--(V59="Maladie"),0),IF($X$5&lt;&gt;"",--(X59="Maladie"),0),IF($Z$5&lt;&gt;"",--(Z59="Maladie"),0),IF($AB$5&lt;&gt;"",--(AB59="Maladie"),0),IF($AD$5&lt;&gt;"",--(AD59="Maladie"),0),IF($AF$5&lt;&gt;"",--(AF59="Maladie"),0),IF($AH$5&lt;&gt;"",--(AH59="Maladie"),0),IF($AJ$5&lt;&gt;"",--(AJ59="Maladie"),0),IF($AL$5&lt;&gt;"",--(AL59="Maladie"),0),IF($AN$5&lt;&gt;"",--(AN59="Maladie"),0),IF($AP$5&lt;&gt;"",--(AP59="Maladie"),0),IF($AR$5&lt;&gt;"",--(AR59="Maladie"),0),IF($AT$5&lt;&gt;"",--(AT59="Maladie"),0),IF($AV$5&lt;&gt;"",--(AV59="Maladie"),0),IF($AX$5&lt;&gt;"",--(AX59="Maladie"),0),IF($AZ$5&lt;&gt;"",--(AZ59="Maladie"),0),IF($BB$5&lt;&gt;"",--(BB59="Maladie"),0),IF($BD$5&lt;&gt;"",--(BD59="Maladie"),0),IF($BF$5&lt;&gt;"",--(BF59="Maladie"),0),IF($BH$5&lt;&gt;"",--(BH59="Maladie"),0),IF($BJ$5&lt;&gt;"",--(BJ59="Maladie"),0),IF($BL$5&lt;&gt;"",--(BL59="Maladie"),0)))</f>
      </c>
      <c r="BR59" s="23">
        <f>IF($A59="","",SUM(IF($D$5&lt;&gt;"",IF(D59="Présent",E59,0),0),IF($F$5&lt;&gt;"",IF(F59="Présent",G59,0),0),IF($H$5&lt;&gt;"",IF(H59="Présent",I59,0),0),IF($J$5&lt;&gt;"",IF(J59="Présent",K59,0),0),IF($L$5&lt;&gt;"",IF(L59="Présent",M59,0),0),IF($N$5&lt;&gt;"",IF(N59="Présent",O59,0),0),IF($P$5&lt;&gt;"",IF(P59="Présent",Q59,0),0),IF($R$5&lt;&gt;"",IF(R59="Présent",S59,0),0),IF($T$5&lt;&gt;"",IF(T59="Présent",U59,0),0),IF($V$5&lt;&gt;"",IF(V59="Présent",W59,0),0),IF($X$5&lt;&gt;"",IF(X59="Présent",Y59,0),0),IF($Z$5&lt;&gt;"",IF(Z59="Présent",AA59,0),0),IF($AB$5&lt;&gt;"",IF(AB59="Présent",AC59,0),0),IF($AD$5&lt;&gt;"",IF(AD59="Présent",AE59,0),0),IF($AF$5&lt;&gt;"",IF(AF59="Présent",AG59,0),0),IF($AH$5&lt;&gt;"",IF(AH59="Présent",AI59,0),0),IF($AJ$5&lt;&gt;"",IF(AJ59="Présent",AK59,0),0),IF($AL$5&lt;&gt;"",IF(AL59="Présent",AM59,0),0),IF($AN$5&lt;&gt;"",IF(AN59="Présent",AO59,0),0),IF($AP$5&lt;&gt;"",IF(AP59="Présent",AQ59,0),0),IF($AR$5&lt;&gt;"",IF(AR59="Présent",AS59,0),0),IF($AT$5&lt;&gt;"",IF(AT59="Présent",AU59,0),0),IF($AV$5&lt;&gt;"",IF(AV59="Présent",AW59,0),0),IF($AX$5&lt;&gt;"",IF(AX59="Présent",AY59,0),0),IF($AZ$5&lt;&gt;"",IF(AZ59="Présent",BA59,0),0),IF($BB$5&lt;&gt;"",IF(BB59="Présent",BC59,0),0),IF($BD$5&lt;&gt;"",IF(BD59="Présent",BE59,0),0),IF($BF$5&lt;&gt;"",IF(BF59="Présent",BG59,0),0),IF($BH$5&lt;&gt;"",IF(BH59="Présent",BI59,0),0),IF($BJ$5&lt;&gt;"",IF(BJ59="Présent",BK59,0),0),IF($BL$5&lt;&gt;"",IF(BL59="Présent",BM59,0),0)))</f>
      </c>
      <c r="BS59" s="25">
        <f>IF($A59="","",$BN59*IFERROR(INDEX(Categories_Salaire,MATCH($C59,ListeCategories,0)),0)+$BR59*IF(IFERROR(INDEX(Categories_TauxHS,MATCH($C59,ListeCategories,0)),0)&gt;0,IFERROR(INDEX(Categories_TauxHS,MATCH($C59,ListeCategories,0)),0),TauxHSDefaut))</f>
      </c>
    </row>
    <row r="60">
      <c r="A60" s="20">
        <f>IF(AND(INDEX(Employes_Nom,54)&lt;&gt;"",INDEX(Employes_Statut,54)="Actif",OR(INDEX(Employes_Embauche,54)="",INDEX(Employes_Embauche,54)&lt;=EOMONTH(DATE(AnneeCourante,MoisCourant,1),0))),INDEX(Employes_ID,54),"")</f>
      </c>
      <c r="B60" s="19">
        <f>IF($A60="","",INDEX(Employes_Nom,MATCH($A60,Employes_ID,0)))</f>
      </c>
      <c r="C60" s="20">
        <f>IF($A60="","",INDEX(Employes_Categorie,MATCH($A60,Employes_ID,0)))</f>
      </c>
      <c r="D60" s="26"/>
      <c r="E60" s="27"/>
      <c r="F60" s="26"/>
      <c r="G60" s="27"/>
      <c r="H60" s="26"/>
      <c r="I60" s="27"/>
      <c r="J60" s="26"/>
      <c r="K60" s="27"/>
      <c r="L60" s="26"/>
      <c r="M60" s="27"/>
      <c r="N60" s="26"/>
      <c r="O60" s="27"/>
      <c r="P60" s="26"/>
      <c r="Q60" s="27"/>
      <c r="R60" s="26"/>
      <c r="S60" s="27"/>
      <c r="T60" s="26"/>
      <c r="U60" s="27"/>
      <c r="V60" s="26"/>
      <c r="W60" s="27"/>
      <c r="X60" s="26"/>
      <c r="Y60" s="27"/>
      <c r="Z60" s="26"/>
      <c r="AA60" s="27"/>
      <c r="AB60" s="26"/>
      <c r="AC60" s="27"/>
      <c r="AD60" s="26"/>
      <c r="AE60" s="27"/>
      <c r="AF60" s="26"/>
      <c r="AG60" s="27"/>
      <c r="AH60" s="26"/>
      <c r="AI60" s="27"/>
      <c r="AJ60" s="26"/>
      <c r="AK60" s="27"/>
      <c r="AL60" s="26"/>
      <c r="AM60" s="27"/>
      <c r="AN60" s="26"/>
      <c r="AO60" s="27"/>
      <c r="AP60" s="26"/>
      <c r="AQ60" s="27"/>
      <c r="AR60" s="26"/>
      <c r="AS60" s="27"/>
      <c r="AT60" s="26"/>
      <c r="AU60" s="27"/>
      <c r="AV60" s="26"/>
      <c r="AW60" s="27"/>
      <c r="AX60" s="26"/>
      <c r="AY60" s="27"/>
      <c r="AZ60" s="26"/>
      <c r="BA60" s="27"/>
      <c r="BB60" s="26"/>
      <c r="BC60" s="27"/>
      <c r="BD60" s="26"/>
      <c r="BE60" s="27"/>
      <c r="BF60" s="26"/>
      <c r="BG60" s="27"/>
      <c r="BH60" s="26"/>
      <c r="BI60" s="27"/>
      <c r="BJ60" s="26"/>
      <c r="BK60" s="27"/>
      <c r="BL60" s="26"/>
      <c r="BM60" s="27"/>
      <c r="BN60" s="22">
        <f>IF($A60="","",SUM(IF($D$5&lt;&gt;"",--(D60="Présent"),0),IF($F$5&lt;&gt;"",--(F60="Présent"),0),IF($H$5&lt;&gt;"",--(H60="Présent"),0),IF($J$5&lt;&gt;"",--(J60="Présent"),0),IF($L$5&lt;&gt;"",--(L60="Présent"),0),IF($N$5&lt;&gt;"",--(N60="Présent"),0),IF($P$5&lt;&gt;"",--(P60="Présent"),0),IF($R$5&lt;&gt;"",--(R60="Présent"),0),IF($T$5&lt;&gt;"",--(T60="Présent"),0),IF($V$5&lt;&gt;"",--(V60="Présent"),0),IF($X$5&lt;&gt;"",--(X60="Présent"),0),IF($Z$5&lt;&gt;"",--(Z60="Présent"),0),IF($AB$5&lt;&gt;"",--(AB60="Présent"),0),IF($AD$5&lt;&gt;"",--(AD60="Présent"),0),IF($AF$5&lt;&gt;"",--(AF60="Présent"),0),IF($AH$5&lt;&gt;"",--(AH60="Présent"),0),IF($AJ$5&lt;&gt;"",--(AJ60="Présent"),0),IF($AL$5&lt;&gt;"",--(AL60="Présent"),0),IF($AN$5&lt;&gt;"",--(AN60="Présent"),0),IF($AP$5&lt;&gt;"",--(AP60="Présent"),0),IF($AR$5&lt;&gt;"",--(AR60="Présent"),0),IF($AT$5&lt;&gt;"",--(AT60="Présent"),0),IF($AV$5&lt;&gt;"",--(AV60="Présent"),0),IF($AX$5&lt;&gt;"",--(AX60="Présent"),0),IF($AZ$5&lt;&gt;"",--(AZ60="Présent"),0),IF($BB$5&lt;&gt;"",--(BB60="Présent"),0),IF($BD$5&lt;&gt;"",--(BD60="Présent"),0),IF($BF$5&lt;&gt;"",--(BF60="Présent"),0),IF($BH$5&lt;&gt;"",--(BH60="Présent"),0),IF($BJ$5&lt;&gt;"",--(BJ60="Présent"),0),IF($BL$5&lt;&gt;"",--(BL60="Présent"),0)))</f>
      </c>
      <c r="BO60" s="22">
        <f>IF($A60="","",SUM(IF($D$5&lt;&gt;"",--(D60="Absent"),0),IF($F$5&lt;&gt;"",--(F60="Absent"),0),IF($H$5&lt;&gt;"",--(H60="Absent"),0),IF($J$5&lt;&gt;"",--(J60="Absent"),0),IF($L$5&lt;&gt;"",--(L60="Absent"),0),IF($N$5&lt;&gt;"",--(N60="Absent"),0),IF($P$5&lt;&gt;"",--(P60="Absent"),0),IF($R$5&lt;&gt;"",--(R60="Absent"),0),IF($T$5&lt;&gt;"",--(T60="Absent"),0),IF($V$5&lt;&gt;"",--(V60="Absent"),0),IF($X$5&lt;&gt;"",--(X60="Absent"),0),IF($Z$5&lt;&gt;"",--(Z60="Absent"),0),IF($AB$5&lt;&gt;"",--(AB60="Absent"),0),IF($AD$5&lt;&gt;"",--(AD60="Absent"),0),IF($AF$5&lt;&gt;"",--(AF60="Absent"),0),IF($AH$5&lt;&gt;"",--(AH60="Absent"),0),IF($AJ$5&lt;&gt;"",--(AJ60="Absent"),0),IF($AL$5&lt;&gt;"",--(AL60="Absent"),0),IF($AN$5&lt;&gt;"",--(AN60="Absent"),0),IF($AP$5&lt;&gt;"",--(AP60="Absent"),0),IF($AR$5&lt;&gt;"",--(AR60="Absent"),0),IF($AT$5&lt;&gt;"",--(AT60="Absent"),0),IF($AV$5&lt;&gt;"",--(AV60="Absent"),0),IF($AX$5&lt;&gt;"",--(AX60="Absent"),0),IF($AZ$5&lt;&gt;"",--(AZ60="Absent"),0),IF($BB$5&lt;&gt;"",--(BB60="Absent"),0),IF($BD$5&lt;&gt;"",--(BD60="Absent"),0),IF($BF$5&lt;&gt;"",--(BF60="Absent"),0),IF($BH$5&lt;&gt;"",--(BH60="Absent"),0),IF($BJ$5&lt;&gt;"",--(BJ60="Absent"),0),IF($BL$5&lt;&gt;"",--(BL60="Absent"),0)))</f>
      </c>
      <c r="BP60" s="22">
        <f>IF($A60="","",SUM(IF($D$5&lt;&gt;"",--(D60="Congé"),0),IF($F$5&lt;&gt;"",--(F60="Congé"),0),IF($H$5&lt;&gt;"",--(H60="Congé"),0),IF($J$5&lt;&gt;"",--(J60="Congé"),0),IF($L$5&lt;&gt;"",--(L60="Congé"),0),IF($N$5&lt;&gt;"",--(N60="Congé"),0),IF($P$5&lt;&gt;"",--(P60="Congé"),0),IF($R$5&lt;&gt;"",--(R60="Congé"),0),IF($T$5&lt;&gt;"",--(T60="Congé"),0),IF($V$5&lt;&gt;"",--(V60="Congé"),0),IF($X$5&lt;&gt;"",--(X60="Congé"),0),IF($Z$5&lt;&gt;"",--(Z60="Congé"),0),IF($AB$5&lt;&gt;"",--(AB60="Congé"),0),IF($AD$5&lt;&gt;"",--(AD60="Congé"),0),IF($AF$5&lt;&gt;"",--(AF60="Congé"),0),IF($AH$5&lt;&gt;"",--(AH60="Congé"),0),IF($AJ$5&lt;&gt;"",--(AJ60="Congé"),0),IF($AL$5&lt;&gt;"",--(AL60="Congé"),0),IF($AN$5&lt;&gt;"",--(AN60="Congé"),0),IF($AP$5&lt;&gt;"",--(AP60="Congé"),0),IF($AR$5&lt;&gt;"",--(AR60="Congé"),0),IF($AT$5&lt;&gt;"",--(AT60="Congé"),0),IF($AV$5&lt;&gt;"",--(AV60="Congé"),0),IF($AX$5&lt;&gt;"",--(AX60="Congé"),0),IF($AZ$5&lt;&gt;"",--(AZ60="Congé"),0),IF($BB$5&lt;&gt;"",--(BB60="Congé"),0),IF($BD$5&lt;&gt;"",--(BD60="Congé"),0),IF($BF$5&lt;&gt;"",--(BF60="Congé"),0),IF($BH$5&lt;&gt;"",--(BH60="Congé"),0),IF($BJ$5&lt;&gt;"",--(BJ60="Congé"),0),IF($BL$5&lt;&gt;"",--(BL60="Congé"),0)))</f>
      </c>
      <c r="BQ60" s="22">
        <f>IF($A60="","",SUM(IF($D$5&lt;&gt;"",--(D60="Maladie"),0),IF($F$5&lt;&gt;"",--(F60="Maladie"),0),IF($H$5&lt;&gt;"",--(H60="Maladie"),0),IF($J$5&lt;&gt;"",--(J60="Maladie"),0),IF($L$5&lt;&gt;"",--(L60="Maladie"),0),IF($N$5&lt;&gt;"",--(N60="Maladie"),0),IF($P$5&lt;&gt;"",--(P60="Maladie"),0),IF($R$5&lt;&gt;"",--(R60="Maladie"),0),IF($T$5&lt;&gt;"",--(T60="Maladie"),0),IF($V$5&lt;&gt;"",--(V60="Maladie"),0),IF($X$5&lt;&gt;"",--(X60="Maladie"),0),IF($Z$5&lt;&gt;"",--(Z60="Maladie"),0),IF($AB$5&lt;&gt;"",--(AB60="Maladie"),0),IF($AD$5&lt;&gt;"",--(AD60="Maladie"),0),IF($AF$5&lt;&gt;"",--(AF60="Maladie"),0),IF($AH$5&lt;&gt;"",--(AH60="Maladie"),0),IF($AJ$5&lt;&gt;"",--(AJ60="Maladie"),0),IF($AL$5&lt;&gt;"",--(AL60="Maladie"),0),IF($AN$5&lt;&gt;"",--(AN60="Maladie"),0),IF($AP$5&lt;&gt;"",--(AP60="Maladie"),0),IF($AR$5&lt;&gt;"",--(AR60="Maladie"),0),IF($AT$5&lt;&gt;"",--(AT60="Maladie"),0),IF($AV$5&lt;&gt;"",--(AV60="Maladie"),0),IF($AX$5&lt;&gt;"",--(AX60="Maladie"),0),IF($AZ$5&lt;&gt;"",--(AZ60="Maladie"),0),IF($BB$5&lt;&gt;"",--(BB60="Maladie"),0),IF($BD$5&lt;&gt;"",--(BD60="Maladie"),0),IF($BF$5&lt;&gt;"",--(BF60="Maladie"),0),IF($BH$5&lt;&gt;"",--(BH60="Maladie"),0),IF($BJ$5&lt;&gt;"",--(BJ60="Maladie"),0),IF($BL$5&lt;&gt;"",--(BL60="Maladie"),0)))</f>
      </c>
      <c r="BR60" s="23">
        <f>IF($A60="","",SUM(IF($D$5&lt;&gt;"",IF(D60="Présent",E60,0),0),IF($F$5&lt;&gt;"",IF(F60="Présent",G60,0),0),IF($H$5&lt;&gt;"",IF(H60="Présent",I60,0),0),IF($J$5&lt;&gt;"",IF(J60="Présent",K60,0),0),IF($L$5&lt;&gt;"",IF(L60="Présent",M60,0),0),IF($N$5&lt;&gt;"",IF(N60="Présent",O60,0),0),IF($P$5&lt;&gt;"",IF(P60="Présent",Q60,0),0),IF($R$5&lt;&gt;"",IF(R60="Présent",S60,0),0),IF($T$5&lt;&gt;"",IF(T60="Présent",U60,0),0),IF($V$5&lt;&gt;"",IF(V60="Présent",W60,0),0),IF($X$5&lt;&gt;"",IF(X60="Présent",Y60,0),0),IF($Z$5&lt;&gt;"",IF(Z60="Présent",AA60,0),0),IF($AB$5&lt;&gt;"",IF(AB60="Présent",AC60,0),0),IF($AD$5&lt;&gt;"",IF(AD60="Présent",AE60,0),0),IF($AF$5&lt;&gt;"",IF(AF60="Présent",AG60,0),0),IF($AH$5&lt;&gt;"",IF(AH60="Présent",AI60,0),0),IF($AJ$5&lt;&gt;"",IF(AJ60="Présent",AK60,0),0),IF($AL$5&lt;&gt;"",IF(AL60="Présent",AM60,0),0),IF($AN$5&lt;&gt;"",IF(AN60="Présent",AO60,0),0),IF($AP$5&lt;&gt;"",IF(AP60="Présent",AQ60,0),0),IF($AR$5&lt;&gt;"",IF(AR60="Présent",AS60,0),0),IF($AT$5&lt;&gt;"",IF(AT60="Présent",AU60,0),0),IF($AV$5&lt;&gt;"",IF(AV60="Présent",AW60,0),0),IF($AX$5&lt;&gt;"",IF(AX60="Présent",AY60,0),0),IF($AZ$5&lt;&gt;"",IF(AZ60="Présent",BA60,0),0),IF($BB$5&lt;&gt;"",IF(BB60="Présent",BC60,0),0),IF($BD$5&lt;&gt;"",IF(BD60="Présent",BE60,0),0),IF($BF$5&lt;&gt;"",IF(BF60="Présent",BG60,0),0),IF($BH$5&lt;&gt;"",IF(BH60="Présent",BI60,0),0),IF($BJ$5&lt;&gt;"",IF(BJ60="Présent",BK60,0),0),IF($BL$5&lt;&gt;"",IF(BL60="Présent",BM60,0),0)))</f>
      </c>
      <c r="BS60" s="25">
        <f>IF($A60="","",$BN60*IFERROR(INDEX(Categories_Salaire,MATCH($C60,ListeCategories,0)),0)+$BR60*IF(IFERROR(INDEX(Categories_TauxHS,MATCH($C60,ListeCategories,0)),0)&gt;0,IFERROR(INDEX(Categories_TauxHS,MATCH($C60,ListeCategories,0)),0),TauxHSDefaut))</f>
      </c>
    </row>
    <row r="61">
      <c r="A61" s="20">
        <f>IF(AND(INDEX(Employes_Nom,55)&lt;&gt;"",INDEX(Employes_Statut,55)="Actif",OR(INDEX(Employes_Embauche,55)="",INDEX(Employes_Embauche,55)&lt;=EOMONTH(DATE(AnneeCourante,MoisCourant,1),0))),INDEX(Employes_ID,55),"")</f>
      </c>
      <c r="B61" s="19">
        <f>IF($A61="","",INDEX(Employes_Nom,MATCH($A61,Employes_ID,0)))</f>
      </c>
      <c r="C61" s="20">
        <f>IF($A61="","",INDEX(Employes_Categorie,MATCH($A61,Employes_ID,0)))</f>
      </c>
      <c r="D61" s="26"/>
      <c r="E61" s="27"/>
      <c r="F61" s="26"/>
      <c r="G61" s="27"/>
      <c r="H61" s="26"/>
      <c r="I61" s="27"/>
      <c r="J61" s="26"/>
      <c r="K61" s="27"/>
      <c r="L61" s="26"/>
      <c r="M61" s="27"/>
      <c r="N61" s="26"/>
      <c r="O61" s="27"/>
      <c r="P61" s="26"/>
      <c r="Q61" s="27"/>
      <c r="R61" s="26"/>
      <c r="S61" s="27"/>
      <c r="T61" s="26"/>
      <c r="U61" s="27"/>
      <c r="V61" s="26"/>
      <c r="W61" s="27"/>
      <c r="X61" s="26"/>
      <c r="Y61" s="27"/>
      <c r="Z61" s="26"/>
      <c r="AA61" s="27"/>
      <c r="AB61" s="26"/>
      <c r="AC61" s="27"/>
      <c r="AD61" s="26"/>
      <c r="AE61" s="27"/>
      <c r="AF61" s="26"/>
      <c r="AG61" s="27"/>
      <c r="AH61" s="26"/>
      <c r="AI61" s="27"/>
      <c r="AJ61" s="26"/>
      <c r="AK61" s="27"/>
      <c r="AL61" s="26"/>
      <c r="AM61" s="27"/>
      <c r="AN61" s="26"/>
      <c r="AO61" s="27"/>
      <c r="AP61" s="26"/>
      <c r="AQ61" s="27"/>
      <c r="AR61" s="26"/>
      <c r="AS61" s="27"/>
      <c r="AT61" s="26"/>
      <c r="AU61" s="27"/>
      <c r="AV61" s="26"/>
      <c r="AW61" s="27"/>
      <c r="AX61" s="26"/>
      <c r="AY61" s="27"/>
      <c r="AZ61" s="26"/>
      <c r="BA61" s="27"/>
      <c r="BB61" s="26"/>
      <c r="BC61" s="27"/>
      <c r="BD61" s="26"/>
      <c r="BE61" s="27"/>
      <c r="BF61" s="26"/>
      <c r="BG61" s="27"/>
      <c r="BH61" s="26"/>
      <c r="BI61" s="27"/>
      <c r="BJ61" s="26"/>
      <c r="BK61" s="27"/>
      <c r="BL61" s="26"/>
      <c r="BM61" s="27"/>
      <c r="BN61" s="22">
        <f>IF($A61="","",SUM(IF($D$5&lt;&gt;"",--(D61="Présent"),0),IF($F$5&lt;&gt;"",--(F61="Présent"),0),IF($H$5&lt;&gt;"",--(H61="Présent"),0),IF($J$5&lt;&gt;"",--(J61="Présent"),0),IF($L$5&lt;&gt;"",--(L61="Présent"),0),IF($N$5&lt;&gt;"",--(N61="Présent"),0),IF($P$5&lt;&gt;"",--(P61="Présent"),0),IF($R$5&lt;&gt;"",--(R61="Présent"),0),IF($T$5&lt;&gt;"",--(T61="Présent"),0),IF($V$5&lt;&gt;"",--(V61="Présent"),0),IF($X$5&lt;&gt;"",--(X61="Présent"),0),IF($Z$5&lt;&gt;"",--(Z61="Présent"),0),IF($AB$5&lt;&gt;"",--(AB61="Présent"),0),IF($AD$5&lt;&gt;"",--(AD61="Présent"),0),IF($AF$5&lt;&gt;"",--(AF61="Présent"),0),IF($AH$5&lt;&gt;"",--(AH61="Présent"),0),IF($AJ$5&lt;&gt;"",--(AJ61="Présent"),0),IF($AL$5&lt;&gt;"",--(AL61="Présent"),0),IF($AN$5&lt;&gt;"",--(AN61="Présent"),0),IF($AP$5&lt;&gt;"",--(AP61="Présent"),0),IF($AR$5&lt;&gt;"",--(AR61="Présent"),0),IF($AT$5&lt;&gt;"",--(AT61="Présent"),0),IF($AV$5&lt;&gt;"",--(AV61="Présent"),0),IF($AX$5&lt;&gt;"",--(AX61="Présent"),0),IF($AZ$5&lt;&gt;"",--(AZ61="Présent"),0),IF($BB$5&lt;&gt;"",--(BB61="Présent"),0),IF($BD$5&lt;&gt;"",--(BD61="Présent"),0),IF($BF$5&lt;&gt;"",--(BF61="Présent"),0),IF($BH$5&lt;&gt;"",--(BH61="Présent"),0),IF($BJ$5&lt;&gt;"",--(BJ61="Présent"),0),IF($BL$5&lt;&gt;"",--(BL61="Présent"),0)))</f>
      </c>
      <c r="BO61" s="22">
        <f>IF($A61="","",SUM(IF($D$5&lt;&gt;"",--(D61="Absent"),0),IF($F$5&lt;&gt;"",--(F61="Absent"),0),IF($H$5&lt;&gt;"",--(H61="Absent"),0),IF($J$5&lt;&gt;"",--(J61="Absent"),0),IF($L$5&lt;&gt;"",--(L61="Absent"),0),IF($N$5&lt;&gt;"",--(N61="Absent"),0),IF($P$5&lt;&gt;"",--(P61="Absent"),0),IF($R$5&lt;&gt;"",--(R61="Absent"),0),IF($T$5&lt;&gt;"",--(T61="Absent"),0),IF($V$5&lt;&gt;"",--(V61="Absent"),0),IF($X$5&lt;&gt;"",--(X61="Absent"),0),IF($Z$5&lt;&gt;"",--(Z61="Absent"),0),IF($AB$5&lt;&gt;"",--(AB61="Absent"),0),IF($AD$5&lt;&gt;"",--(AD61="Absent"),0),IF($AF$5&lt;&gt;"",--(AF61="Absent"),0),IF($AH$5&lt;&gt;"",--(AH61="Absent"),0),IF($AJ$5&lt;&gt;"",--(AJ61="Absent"),0),IF($AL$5&lt;&gt;"",--(AL61="Absent"),0),IF($AN$5&lt;&gt;"",--(AN61="Absent"),0),IF($AP$5&lt;&gt;"",--(AP61="Absent"),0),IF($AR$5&lt;&gt;"",--(AR61="Absent"),0),IF($AT$5&lt;&gt;"",--(AT61="Absent"),0),IF($AV$5&lt;&gt;"",--(AV61="Absent"),0),IF($AX$5&lt;&gt;"",--(AX61="Absent"),0),IF($AZ$5&lt;&gt;"",--(AZ61="Absent"),0),IF($BB$5&lt;&gt;"",--(BB61="Absent"),0),IF($BD$5&lt;&gt;"",--(BD61="Absent"),0),IF($BF$5&lt;&gt;"",--(BF61="Absent"),0),IF($BH$5&lt;&gt;"",--(BH61="Absent"),0),IF($BJ$5&lt;&gt;"",--(BJ61="Absent"),0),IF($BL$5&lt;&gt;"",--(BL61="Absent"),0)))</f>
      </c>
      <c r="BP61" s="22">
        <f>IF($A61="","",SUM(IF($D$5&lt;&gt;"",--(D61="Congé"),0),IF($F$5&lt;&gt;"",--(F61="Congé"),0),IF($H$5&lt;&gt;"",--(H61="Congé"),0),IF($J$5&lt;&gt;"",--(J61="Congé"),0),IF($L$5&lt;&gt;"",--(L61="Congé"),0),IF($N$5&lt;&gt;"",--(N61="Congé"),0),IF($P$5&lt;&gt;"",--(P61="Congé"),0),IF($R$5&lt;&gt;"",--(R61="Congé"),0),IF($T$5&lt;&gt;"",--(T61="Congé"),0),IF($V$5&lt;&gt;"",--(V61="Congé"),0),IF($X$5&lt;&gt;"",--(X61="Congé"),0),IF($Z$5&lt;&gt;"",--(Z61="Congé"),0),IF($AB$5&lt;&gt;"",--(AB61="Congé"),0),IF($AD$5&lt;&gt;"",--(AD61="Congé"),0),IF($AF$5&lt;&gt;"",--(AF61="Congé"),0),IF($AH$5&lt;&gt;"",--(AH61="Congé"),0),IF($AJ$5&lt;&gt;"",--(AJ61="Congé"),0),IF($AL$5&lt;&gt;"",--(AL61="Congé"),0),IF($AN$5&lt;&gt;"",--(AN61="Congé"),0),IF($AP$5&lt;&gt;"",--(AP61="Congé"),0),IF($AR$5&lt;&gt;"",--(AR61="Congé"),0),IF($AT$5&lt;&gt;"",--(AT61="Congé"),0),IF($AV$5&lt;&gt;"",--(AV61="Congé"),0),IF($AX$5&lt;&gt;"",--(AX61="Congé"),0),IF($AZ$5&lt;&gt;"",--(AZ61="Congé"),0),IF($BB$5&lt;&gt;"",--(BB61="Congé"),0),IF($BD$5&lt;&gt;"",--(BD61="Congé"),0),IF($BF$5&lt;&gt;"",--(BF61="Congé"),0),IF($BH$5&lt;&gt;"",--(BH61="Congé"),0),IF($BJ$5&lt;&gt;"",--(BJ61="Congé"),0),IF($BL$5&lt;&gt;"",--(BL61="Congé"),0)))</f>
      </c>
      <c r="BQ61" s="22">
        <f>IF($A61="","",SUM(IF($D$5&lt;&gt;"",--(D61="Maladie"),0),IF($F$5&lt;&gt;"",--(F61="Maladie"),0),IF($H$5&lt;&gt;"",--(H61="Maladie"),0),IF($J$5&lt;&gt;"",--(J61="Maladie"),0),IF($L$5&lt;&gt;"",--(L61="Maladie"),0),IF($N$5&lt;&gt;"",--(N61="Maladie"),0),IF($P$5&lt;&gt;"",--(P61="Maladie"),0),IF($R$5&lt;&gt;"",--(R61="Maladie"),0),IF($T$5&lt;&gt;"",--(T61="Maladie"),0),IF($V$5&lt;&gt;"",--(V61="Maladie"),0),IF($X$5&lt;&gt;"",--(X61="Maladie"),0),IF($Z$5&lt;&gt;"",--(Z61="Maladie"),0),IF($AB$5&lt;&gt;"",--(AB61="Maladie"),0),IF($AD$5&lt;&gt;"",--(AD61="Maladie"),0),IF($AF$5&lt;&gt;"",--(AF61="Maladie"),0),IF($AH$5&lt;&gt;"",--(AH61="Maladie"),0),IF($AJ$5&lt;&gt;"",--(AJ61="Maladie"),0),IF($AL$5&lt;&gt;"",--(AL61="Maladie"),0),IF($AN$5&lt;&gt;"",--(AN61="Maladie"),0),IF($AP$5&lt;&gt;"",--(AP61="Maladie"),0),IF($AR$5&lt;&gt;"",--(AR61="Maladie"),0),IF($AT$5&lt;&gt;"",--(AT61="Maladie"),0),IF($AV$5&lt;&gt;"",--(AV61="Maladie"),0),IF($AX$5&lt;&gt;"",--(AX61="Maladie"),0),IF($AZ$5&lt;&gt;"",--(AZ61="Maladie"),0),IF($BB$5&lt;&gt;"",--(BB61="Maladie"),0),IF($BD$5&lt;&gt;"",--(BD61="Maladie"),0),IF($BF$5&lt;&gt;"",--(BF61="Maladie"),0),IF($BH$5&lt;&gt;"",--(BH61="Maladie"),0),IF($BJ$5&lt;&gt;"",--(BJ61="Maladie"),0),IF($BL$5&lt;&gt;"",--(BL61="Maladie"),0)))</f>
      </c>
      <c r="BR61" s="23">
        <f>IF($A61="","",SUM(IF($D$5&lt;&gt;"",IF(D61="Présent",E61,0),0),IF($F$5&lt;&gt;"",IF(F61="Présent",G61,0),0),IF($H$5&lt;&gt;"",IF(H61="Présent",I61,0),0),IF($J$5&lt;&gt;"",IF(J61="Présent",K61,0),0),IF($L$5&lt;&gt;"",IF(L61="Présent",M61,0),0),IF($N$5&lt;&gt;"",IF(N61="Présent",O61,0),0),IF($P$5&lt;&gt;"",IF(P61="Présent",Q61,0),0),IF($R$5&lt;&gt;"",IF(R61="Présent",S61,0),0),IF($T$5&lt;&gt;"",IF(T61="Présent",U61,0),0),IF($V$5&lt;&gt;"",IF(V61="Présent",W61,0),0),IF($X$5&lt;&gt;"",IF(X61="Présent",Y61,0),0),IF($Z$5&lt;&gt;"",IF(Z61="Présent",AA61,0),0),IF($AB$5&lt;&gt;"",IF(AB61="Présent",AC61,0),0),IF($AD$5&lt;&gt;"",IF(AD61="Présent",AE61,0),0),IF($AF$5&lt;&gt;"",IF(AF61="Présent",AG61,0),0),IF($AH$5&lt;&gt;"",IF(AH61="Présent",AI61,0),0),IF($AJ$5&lt;&gt;"",IF(AJ61="Présent",AK61,0),0),IF($AL$5&lt;&gt;"",IF(AL61="Présent",AM61,0),0),IF($AN$5&lt;&gt;"",IF(AN61="Présent",AO61,0),0),IF($AP$5&lt;&gt;"",IF(AP61="Présent",AQ61,0),0),IF($AR$5&lt;&gt;"",IF(AR61="Présent",AS61,0),0),IF($AT$5&lt;&gt;"",IF(AT61="Présent",AU61,0),0),IF($AV$5&lt;&gt;"",IF(AV61="Présent",AW61,0),0),IF($AX$5&lt;&gt;"",IF(AX61="Présent",AY61,0),0),IF($AZ$5&lt;&gt;"",IF(AZ61="Présent",BA61,0),0),IF($BB$5&lt;&gt;"",IF(BB61="Présent",BC61,0),0),IF($BD$5&lt;&gt;"",IF(BD61="Présent",BE61,0),0),IF($BF$5&lt;&gt;"",IF(BF61="Présent",BG61,0),0),IF($BH$5&lt;&gt;"",IF(BH61="Présent",BI61,0),0),IF($BJ$5&lt;&gt;"",IF(BJ61="Présent",BK61,0),0),IF($BL$5&lt;&gt;"",IF(BL61="Présent",BM61,0),0)))</f>
      </c>
      <c r="BS61" s="25">
        <f>IF($A61="","",$BN61*IFERROR(INDEX(Categories_Salaire,MATCH($C61,ListeCategories,0)),0)+$BR61*IF(IFERROR(INDEX(Categories_TauxHS,MATCH($C61,ListeCategories,0)),0)&gt;0,IFERROR(INDEX(Categories_TauxHS,MATCH($C61,ListeCategories,0)),0),TauxHSDefaut))</f>
      </c>
    </row>
    <row r="62">
      <c r="A62" s="20">
        <f>IF(AND(INDEX(Employes_Nom,56)&lt;&gt;"",INDEX(Employes_Statut,56)="Actif",OR(INDEX(Employes_Embauche,56)="",INDEX(Employes_Embauche,56)&lt;=EOMONTH(DATE(AnneeCourante,MoisCourant,1),0))),INDEX(Employes_ID,56),"")</f>
      </c>
      <c r="B62" s="19">
        <f>IF($A62="","",INDEX(Employes_Nom,MATCH($A62,Employes_ID,0)))</f>
      </c>
      <c r="C62" s="20">
        <f>IF($A62="","",INDEX(Employes_Categorie,MATCH($A62,Employes_ID,0)))</f>
      </c>
      <c r="D62" s="26"/>
      <c r="E62" s="27"/>
      <c r="F62" s="26"/>
      <c r="G62" s="27"/>
      <c r="H62" s="26"/>
      <c r="I62" s="27"/>
      <c r="J62" s="26"/>
      <c r="K62" s="27"/>
      <c r="L62" s="26"/>
      <c r="M62" s="27"/>
      <c r="N62" s="26"/>
      <c r="O62" s="27"/>
      <c r="P62" s="26"/>
      <c r="Q62" s="27"/>
      <c r="R62" s="26"/>
      <c r="S62" s="27"/>
      <c r="T62" s="26"/>
      <c r="U62" s="27"/>
      <c r="V62" s="26"/>
      <c r="W62" s="27"/>
      <c r="X62" s="26"/>
      <c r="Y62" s="27"/>
      <c r="Z62" s="26"/>
      <c r="AA62" s="27"/>
      <c r="AB62" s="26"/>
      <c r="AC62" s="27"/>
      <c r="AD62" s="26"/>
      <c r="AE62" s="27"/>
      <c r="AF62" s="26"/>
      <c r="AG62" s="27"/>
      <c r="AH62" s="26"/>
      <c r="AI62" s="27"/>
      <c r="AJ62" s="26"/>
      <c r="AK62" s="27"/>
      <c r="AL62" s="26"/>
      <c r="AM62" s="27"/>
      <c r="AN62" s="26"/>
      <c r="AO62" s="27"/>
      <c r="AP62" s="26"/>
      <c r="AQ62" s="27"/>
      <c r="AR62" s="26"/>
      <c r="AS62" s="27"/>
      <c r="AT62" s="26"/>
      <c r="AU62" s="27"/>
      <c r="AV62" s="26"/>
      <c r="AW62" s="27"/>
      <c r="AX62" s="26"/>
      <c r="AY62" s="27"/>
      <c r="AZ62" s="26"/>
      <c r="BA62" s="27"/>
      <c r="BB62" s="26"/>
      <c r="BC62" s="27"/>
      <c r="BD62" s="26"/>
      <c r="BE62" s="27"/>
      <c r="BF62" s="26"/>
      <c r="BG62" s="27"/>
      <c r="BH62" s="26"/>
      <c r="BI62" s="27"/>
      <c r="BJ62" s="26"/>
      <c r="BK62" s="27"/>
      <c r="BL62" s="26"/>
      <c r="BM62" s="27"/>
      <c r="BN62" s="22">
        <f>IF($A62="","",SUM(IF($D$5&lt;&gt;"",--(D62="Présent"),0),IF($F$5&lt;&gt;"",--(F62="Présent"),0),IF($H$5&lt;&gt;"",--(H62="Présent"),0),IF($J$5&lt;&gt;"",--(J62="Présent"),0),IF($L$5&lt;&gt;"",--(L62="Présent"),0),IF($N$5&lt;&gt;"",--(N62="Présent"),0),IF($P$5&lt;&gt;"",--(P62="Présent"),0),IF($R$5&lt;&gt;"",--(R62="Présent"),0),IF($T$5&lt;&gt;"",--(T62="Présent"),0),IF($V$5&lt;&gt;"",--(V62="Présent"),0),IF($X$5&lt;&gt;"",--(X62="Présent"),0),IF($Z$5&lt;&gt;"",--(Z62="Présent"),0),IF($AB$5&lt;&gt;"",--(AB62="Présent"),0),IF($AD$5&lt;&gt;"",--(AD62="Présent"),0),IF($AF$5&lt;&gt;"",--(AF62="Présent"),0),IF($AH$5&lt;&gt;"",--(AH62="Présent"),0),IF($AJ$5&lt;&gt;"",--(AJ62="Présent"),0),IF($AL$5&lt;&gt;"",--(AL62="Présent"),0),IF($AN$5&lt;&gt;"",--(AN62="Présent"),0),IF($AP$5&lt;&gt;"",--(AP62="Présent"),0),IF($AR$5&lt;&gt;"",--(AR62="Présent"),0),IF($AT$5&lt;&gt;"",--(AT62="Présent"),0),IF($AV$5&lt;&gt;"",--(AV62="Présent"),0),IF($AX$5&lt;&gt;"",--(AX62="Présent"),0),IF($AZ$5&lt;&gt;"",--(AZ62="Présent"),0),IF($BB$5&lt;&gt;"",--(BB62="Présent"),0),IF($BD$5&lt;&gt;"",--(BD62="Présent"),0),IF($BF$5&lt;&gt;"",--(BF62="Présent"),0),IF($BH$5&lt;&gt;"",--(BH62="Présent"),0),IF($BJ$5&lt;&gt;"",--(BJ62="Présent"),0),IF($BL$5&lt;&gt;"",--(BL62="Présent"),0)))</f>
      </c>
      <c r="BO62" s="22">
        <f>IF($A62="","",SUM(IF($D$5&lt;&gt;"",--(D62="Absent"),0),IF($F$5&lt;&gt;"",--(F62="Absent"),0),IF($H$5&lt;&gt;"",--(H62="Absent"),0),IF($J$5&lt;&gt;"",--(J62="Absent"),0),IF($L$5&lt;&gt;"",--(L62="Absent"),0),IF($N$5&lt;&gt;"",--(N62="Absent"),0),IF($P$5&lt;&gt;"",--(P62="Absent"),0),IF($R$5&lt;&gt;"",--(R62="Absent"),0),IF($T$5&lt;&gt;"",--(T62="Absent"),0),IF($V$5&lt;&gt;"",--(V62="Absent"),0),IF($X$5&lt;&gt;"",--(X62="Absent"),0),IF($Z$5&lt;&gt;"",--(Z62="Absent"),0),IF($AB$5&lt;&gt;"",--(AB62="Absent"),0),IF($AD$5&lt;&gt;"",--(AD62="Absent"),0),IF($AF$5&lt;&gt;"",--(AF62="Absent"),0),IF($AH$5&lt;&gt;"",--(AH62="Absent"),0),IF($AJ$5&lt;&gt;"",--(AJ62="Absent"),0),IF($AL$5&lt;&gt;"",--(AL62="Absent"),0),IF($AN$5&lt;&gt;"",--(AN62="Absent"),0),IF($AP$5&lt;&gt;"",--(AP62="Absent"),0),IF($AR$5&lt;&gt;"",--(AR62="Absent"),0),IF($AT$5&lt;&gt;"",--(AT62="Absent"),0),IF($AV$5&lt;&gt;"",--(AV62="Absent"),0),IF($AX$5&lt;&gt;"",--(AX62="Absent"),0),IF($AZ$5&lt;&gt;"",--(AZ62="Absent"),0),IF($BB$5&lt;&gt;"",--(BB62="Absent"),0),IF($BD$5&lt;&gt;"",--(BD62="Absent"),0),IF($BF$5&lt;&gt;"",--(BF62="Absent"),0),IF($BH$5&lt;&gt;"",--(BH62="Absent"),0),IF($BJ$5&lt;&gt;"",--(BJ62="Absent"),0),IF($BL$5&lt;&gt;"",--(BL62="Absent"),0)))</f>
      </c>
      <c r="BP62" s="22">
        <f>IF($A62="","",SUM(IF($D$5&lt;&gt;"",--(D62="Congé"),0),IF($F$5&lt;&gt;"",--(F62="Congé"),0),IF($H$5&lt;&gt;"",--(H62="Congé"),0),IF($J$5&lt;&gt;"",--(J62="Congé"),0),IF($L$5&lt;&gt;"",--(L62="Congé"),0),IF($N$5&lt;&gt;"",--(N62="Congé"),0),IF($P$5&lt;&gt;"",--(P62="Congé"),0),IF($R$5&lt;&gt;"",--(R62="Congé"),0),IF($T$5&lt;&gt;"",--(T62="Congé"),0),IF($V$5&lt;&gt;"",--(V62="Congé"),0),IF($X$5&lt;&gt;"",--(X62="Congé"),0),IF($Z$5&lt;&gt;"",--(Z62="Congé"),0),IF($AB$5&lt;&gt;"",--(AB62="Congé"),0),IF($AD$5&lt;&gt;"",--(AD62="Congé"),0),IF($AF$5&lt;&gt;"",--(AF62="Congé"),0),IF($AH$5&lt;&gt;"",--(AH62="Congé"),0),IF($AJ$5&lt;&gt;"",--(AJ62="Congé"),0),IF($AL$5&lt;&gt;"",--(AL62="Congé"),0),IF($AN$5&lt;&gt;"",--(AN62="Congé"),0),IF($AP$5&lt;&gt;"",--(AP62="Congé"),0),IF($AR$5&lt;&gt;"",--(AR62="Congé"),0),IF($AT$5&lt;&gt;"",--(AT62="Congé"),0),IF($AV$5&lt;&gt;"",--(AV62="Congé"),0),IF($AX$5&lt;&gt;"",--(AX62="Congé"),0),IF($AZ$5&lt;&gt;"",--(AZ62="Congé"),0),IF($BB$5&lt;&gt;"",--(BB62="Congé"),0),IF($BD$5&lt;&gt;"",--(BD62="Congé"),0),IF($BF$5&lt;&gt;"",--(BF62="Congé"),0),IF($BH$5&lt;&gt;"",--(BH62="Congé"),0),IF($BJ$5&lt;&gt;"",--(BJ62="Congé"),0),IF($BL$5&lt;&gt;"",--(BL62="Congé"),0)))</f>
      </c>
      <c r="BQ62" s="22">
        <f>IF($A62="","",SUM(IF($D$5&lt;&gt;"",--(D62="Maladie"),0),IF($F$5&lt;&gt;"",--(F62="Maladie"),0),IF($H$5&lt;&gt;"",--(H62="Maladie"),0),IF($J$5&lt;&gt;"",--(J62="Maladie"),0),IF($L$5&lt;&gt;"",--(L62="Maladie"),0),IF($N$5&lt;&gt;"",--(N62="Maladie"),0),IF($P$5&lt;&gt;"",--(P62="Maladie"),0),IF($R$5&lt;&gt;"",--(R62="Maladie"),0),IF($T$5&lt;&gt;"",--(T62="Maladie"),0),IF($V$5&lt;&gt;"",--(V62="Maladie"),0),IF($X$5&lt;&gt;"",--(X62="Maladie"),0),IF($Z$5&lt;&gt;"",--(Z62="Maladie"),0),IF($AB$5&lt;&gt;"",--(AB62="Maladie"),0),IF($AD$5&lt;&gt;"",--(AD62="Maladie"),0),IF($AF$5&lt;&gt;"",--(AF62="Maladie"),0),IF($AH$5&lt;&gt;"",--(AH62="Maladie"),0),IF($AJ$5&lt;&gt;"",--(AJ62="Maladie"),0),IF($AL$5&lt;&gt;"",--(AL62="Maladie"),0),IF($AN$5&lt;&gt;"",--(AN62="Maladie"),0),IF($AP$5&lt;&gt;"",--(AP62="Maladie"),0),IF($AR$5&lt;&gt;"",--(AR62="Maladie"),0),IF($AT$5&lt;&gt;"",--(AT62="Maladie"),0),IF($AV$5&lt;&gt;"",--(AV62="Maladie"),0),IF($AX$5&lt;&gt;"",--(AX62="Maladie"),0),IF($AZ$5&lt;&gt;"",--(AZ62="Maladie"),0),IF($BB$5&lt;&gt;"",--(BB62="Maladie"),0),IF($BD$5&lt;&gt;"",--(BD62="Maladie"),0),IF($BF$5&lt;&gt;"",--(BF62="Maladie"),0),IF($BH$5&lt;&gt;"",--(BH62="Maladie"),0),IF($BJ$5&lt;&gt;"",--(BJ62="Maladie"),0),IF($BL$5&lt;&gt;"",--(BL62="Maladie"),0)))</f>
      </c>
      <c r="BR62" s="23">
        <f>IF($A62="","",SUM(IF($D$5&lt;&gt;"",IF(D62="Présent",E62,0),0),IF($F$5&lt;&gt;"",IF(F62="Présent",G62,0),0),IF($H$5&lt;&gt;"",IF(H62="Présent",I62,0),0),IF($J$5&lt;&gt;"",IF(J62="Présent",K62,0),0),IF($L$5&lt;&gt;"",IF(L62="Présent",M62,0),0),IF($N$5&lt;&gt;"",IF(N62="Présent",O62,0),0),IF($P$5&lt;&gt;"",IF(P62="Présent",Q62,0),0),IF($R$5&lt;&gt;"",IF(R62="Présent",S62,0),0),IF($T$5&lt;&gt;"",IF(T62="Présent",U62,0),0),IF($V$5&lt;&gt;"",IF(V62="Présent",W62,0),0),IF($X$5&lt;&gt;"",IF(X62="Présent",Y62,0),0),IF($Z$5&lt;&gt;"",IF(Z62="Présent",AA62,0),0),IF($AB$5&lt;&gt;"",IF(AB62="Présent",AC62,0),0),IF($AD$5&lt;&gt;"",IF(AD62="Présent",AE62,0),0),IF($AF$5&lt;&gt;"",IF(AF62="Présent",AG62,0),0),IF($AH$5&lt;&gt;"",IF(AH62="Présent",AI62,0),0),IF($AJ$5&lt;&gt;"",IF(AJ62="Présent",AK62,0),0),IF($AL$5&lt;&gt;"",IF(AL62="Présent",AM62,0),0),IF($AN$5&lt;&gt;"",IF(AN62="Présent",AO62,0),0),IF($AP$5&lt;&gt;"",IF(AP62="Présent",AQ62,0),0),IF($AR$5&lt;&gt;"",IF(AR62="Présent",AS62,0),0),IF($AT$5&lt;&gt;"",IF(AT62="Présent",AU62,0),0),IF($AV$5&lt;&gt;"",IF(AV62="Présent",AW62,0),0),IF($AX$5&lt;&gt;"",IF(AX62="Présent",AY62,0),0),IF($AZ$5&lt;&gt;"",IF(AZ62="Présent",BA62,0),0),IF($BB$5&lt;&gt;"",IF(BB62="Présent",BC62,0),0),IF($BD$5&lt;&gt;"",IF(BD62="Présent",BE62,0),0),IF($BF$5&lt;&gt;"",IF(BF62="Présent",BG62,0),0),IF($BH$5&lt;&gt;"",IF(BH62="Présent",BI62,0),0),IF($BJ$5&lt;&gt;"",IF(BJ62="Présent",BK62,0),0),IF($BL$5&lt;&gt;"",IF(BL62="Présent",BM62,0),0)))</f>
      </c>
      <c r="BS62" s="25">
        <f>IF($A62="","",$BN62*IFERROR(INDEX(Categories_Salaire,MATCH($C62,ListeCategories,0)),0)+$BR62*IF(IFERROR(INDEX(Categories_TauxHS,MATCH($C62,ListeCategories,0)),0)&gt;0,IFERROR(INDEX(Categories_TauxHS,MATCH($C62,ListeCategories,0)),0),TauxHSDefaut))</f>
      </c>
    </row>
    <row r="63">
      <c r="A63" s="20">
        <f>IF(AND(INDEX(Employes_Nom,57)&lt;&gt;"",INDEX(Employes_Statut,57)="Actif",OR(INDEX(Employes_Embauche,57)="",INDEX(Employes_Embauche,57)&lt;=EOMONTH(DATE(AnneeCourante,MoisCourant,1),0))),INDEX(Employes_ID,57),"")</f>
      </c>
      <c r="B63" s="19">
        <f>IF($A63="","",INDEX(Employes_Nom,MATCH($A63,Employes_ID,0)))</f>
      </c>
      <c r="C63" s="20">
        <f>IF($A63="","",INDEX(Employes_Categorie,MATCH($A63,Employes_ID,0)))</f>
      </c>
      <c r="D63" s="26"/>
      <c r="E63" s="27"/>
      <c r="F63" s="26"/>
      <c r="G63" s="27"/>
      <c r="H63" s="26"/>
      <c r="I63" s="27"/>
      <c r="J63" s="26"/>
      <c r="K63" s="27"/>
      <c r="L63" s="26"/>
      <c r="M63" s="27"/>
      <c r="N63" s="26"/>
      <c r="O63" s="27"/>
      <c r="P63" s="26"/>
      <c r="Q63" s="27"/>
      <c r="R63" s="26"/>
      <c r="S63" s="27"/>
      <c r="T63" s="26"/>
      <c r="U63" s="27"/>
      <c r="V63" s="26"/>
      <c r="W63" s="27"/>
      <c r="X63" s="26"/>
      <c r="Y63" s="27"/>
      <c r="Z63" s="26"/>
      <c r="AA63" s="27"/>
      <c r="AB63" s="26"/>
      <c r="AC63" s="27"/>
      <c r="AD63" s="26"/>
      <c r="AE63" s="27"/>
      <c r="AF63" s="26"/>
      <c r="AG63" s="27"/>
      <c r="AH63" s="26"/>
      <c r="AI63" s="27"/>
      <c r="AJ63" s="26"/>
      <c r="AK63" s="27"/>
      <c r="AL63" s="26"/>
      <c r="AM63" s="27"/>
      <c r="AN63" s="26"/>
      <c r="AO63" s="27"/>
      <c r="AP63" s="26"/>
      <c r="AQ63" s="27"/>
      <c r="AR63" s="26"/>
      <c r="AS63" s="27"/>
      <c r="AT63" s="26"/>
      <c r="AU63" s="27"/>
      <c r="AV63" s="26"/>
      <c r="AW63" s="27"/>
      <c r="AX63" s="26"/>
      <c r="AY63" s="27"/>
      <c r="AZ63" s="26"/>
      <c r="BA63" s="27"/>
      <c r="BB63" s="26"/>
      <c r="BC63" s="27"/>
      <c r="BD63" s="26"/>
      <c r="BE63" s="27"/>
      <c r="BF63" s="26"/>
      <c r="BG63" s="27"/>
      <c r="BH63" s="26"/>
      <c r="BI63" s="27"/>
      <c r="BJ63" s="26"/>
      <c r="BK63" s="27"/>
      <c r="BL63" s="26"/>
      <c r="BM63" s="27"/>
      <c r="BN63" s="22">
        <f>IF($A63="","",SUM(IF($D$5&lt;&gt;"",--(D63="Présent"),0),IF($F$5&lt;&gt;"",--(F63="Présent"),0),IF($H$5&lt;&gt;"",--(H63="Présent"),0),IF($J$5&lt;&gt;"",--(J63="Présent"),0),IF($L$5&lt;&gt;"",--(L63="Présent"),0),IF($N$5&lt;&gt;"",--(N63="Présent"),0),IF($P$5&lt;&gt;"",--(P63="Présent"),0),IF($R$5&lt;&gt;"",--(R63="Présent"),0),IF($T$5&lt;&gt;"",--(T63="Présent"),0),IF($V$5&lt;&gt;"",--(V63="Présent"),0),IF($X$5&lt;&gt;"",--(X63="Présent"),0),IF($Z$5&lt;&gt;"",--(Z63="Présent"),0),IF($AB$5&lt;&gt;"",--(AB63="Présent"),0),IF($AD$5&lt;&gt;"",--(AD63="Présent"),0),IF($AF$5&lt;&gt;"",--(AF63="Présent"),0),IF($AH$5&lt;&gt;"",--(AH63="Présent"),0),IF($AJ$5&lt;&gt;"",--(AJ63="Présent"),0),IF($AL$5&lt;&gt;"",--(AL63="Présent"),0),IF($AN$5&lt;&gt;"",--(AN63="Présent"),0),IF($AP$5&lt;&gt;"",--(AP63="Présent"),0),IF($AR$5&lt;&gt;"",--(AR63="Présent"),0),IF($AT$5&lt;&gt;"",--(AT63="Présent"),0),IF($AV$5&lt;&gt;"",--(AV63="Présent"),0),IF($AX$5&lt;&gt;"",--(AX63="Présent"),0),IF($AZ$5&lt;&gt;"",--(AZ63="Présent"),0),IF($BB$5&lt;&gt;"",--(BB63="Présent"),0),IF($BD$5&lt;&gt;"",--(BD63="Présent"),0),IF($BF$5&lt;&gt;"",--(BF63="Présent"),0),IF($BH$5&lt;&gt;"",--(BH63="Présent"),0),IF($BJ$5&lt;&gt;"",--(BJ63="Présent"),0),IF($BL$5&lt;&gt;"",--(BL63="Présent"),0)))</f>
      </c>
      <c r="BO63" s="22">
        <f>IF($A63="","",SUM(IF($D$5&lt;&gt;"",--(D63="Absent"),0),IF($F$5&lt;&gt;"",--(F63="Absent"),0),IF($H$5&lt;&gt;"",--(H63="Absent"),0),IF($J$5&lt;&gt;"",--(J63="Absent"),0),IF($L$5&lt;&gt;"",--(L63="Absent"),0),IF($N$5&lt;&gt;"",--(N63="Absent"),0),IF($P$5&lt;&gt;"",--(P63="Absent"),0),IF($R$5&lt;&gt;"",--(R63="Absent"),0),IF($T$5&lt;&gt;"",--(T63="Absent"),0),IF($V$5&lt;&gt;"",--(V63="Absent"),0),IF($X$5&lt;&gt;"",--(X63="Absent"),0),IF($Z$5&lt;&gt;"",--(Z63="Absent"),0),IF($AB$5&lt;&gt;"",--(AB63="Absent"),0),IF($AD$5&lt;&gt;"",--(AD63="Absent"),0),IF($AF$5&lt;&gt;"",--(AF63="Absent"),0),IF($AH$5&lt;&gt;"",--(AH63="Absent"),0),IF($AJ$5&lt;&gt;"",--(AJ63="Absent"),0),IF($AL$5&lt;&gt;"",--(AL63="Absent"),0),IF($AN$5&lt;&gt;"",--(AN63="Absent"),0),IF($AP$5&lt;&gt;"",--(AP63="Absent"),0),IF($AR$5&lt;&gt;"",--(AR63="Absent"),0),IF($AT$5&lt;&gt;"",--(AT63="Absent"),0),IF($AV$5&lt;&gt;"",--(AV63="Absent"),0),IF($AX$5&lt;&gt;"",--(AX63="Absent"),0),IF($AZ$5&lt;&gt;"",--(AZ63="Absent"),0),IF($BB$5&lt;&gt;"",--(BB63="Absent"),0),IF($BD$5&lt;&gt;"",--(BD63="Absent"),0),IF($BF$5&lt;&gt;"",--(BF63="Absent"),0),IF($BH$5&lt;&gt;"",--(BH63="Absent"),0),IF($BJ$5&lt;&gt;"",--(BJ63="Absent"),0),IF($BL$5&lt;&gt;"",--(BL63="Absent"),0)))</f>
      </c>
      <c r="BP63" s="22">
        <f>IF($A63="","",SUM(IF($D$5&lt;&gt;"",--(D63="Congé"),0),IF($F$5&lt;&gt;"",--(F63="Congé"),0),IF($H$5&lt;&gt;"",--(H63="Congé"),0),IF($J$5&lt;&gt;"",--(J63="Congé"),0),IF($L$5&lt;&gt;"",--(L63="Congé"),0),IF($N$5&lt;&gt;"",--(N63="Congé"),0),IF($P$5&lt;&gt;"",--(P63="Congé"),0),IF($R$5&lt;&gt;"",--(R63="Congé"),0),IF($T$5&lt;&gt;"",--(T63="Congé"),0),IF($V$5&lt;&gt;"",--(V63="Congé"),0),IF($X$5&lt;&gt;"",--(X63="Congé"),0),IF($Z$5&lt;&gt;"",--(Z63="Congé"),0),IF($AB$5&lt;&gt;"",--(AB63="Congé"),0),IF($AD$5&lt;&gt;"",--(AD63="Congé"),0),IF($AF$5&lt;&gt;"",--(AF63="Congé"),0),IF($AH$5&lt;&gt;"",--(AH63="Congé"),0),IF($AJ$5&lt;&gt;"",--(AJ63="Congé"),0),IF($AL$5&lt;&gt;"",--(AL63="Congé"),0),IF($AN$5&lt;&gt;"",--(AN63="Congé"),0),IF($AP$5&lt;&gt;"",--(AP63="Congé"),0),IF($AR$5&lt;&gt;"",--(AR63="Congé"),0),IF($AT$5&lt;&gt;"",--(AT63="Congé"),0),IF($AV$5&lt;&gt;"",--(AV63="Congé"),0),IF($AX$5&lt;&gt;"",--(AX63="Congé"),0),IF($AZ$5&lt;&gt;"",--(AZ63="Congé"),0),IF($BB$5&lt;&gt;"",--(BB63="Congé"),0),IF($BD$5&lt;&gt;"",--(BD63="Congé"),0),IF($BF$5&lt;&gt;"",--(BF63="Congé"),0),IF($BH$5&lt;&gt;"",--(BH63="Congé"),0),IF($BJ$5&lt;&gt;"",--(BJ63="Congé"),0),IF($BL$5&lt;&gt;"",--(BL63="Congé"),0)))</f>
      </c>
      <c r="BQ63" s="22">
        <f>IF($A63="","",SUM(IF($D$5&lt;&gt;"",--(D63="Maladie"),0),IF($F$5&lt;&gt;"",--(F63="Maladie"),0),IF($H$5&lt;&gt;"",--(H63="Maladie"),0),IF($J$5&lt;&gt;"",--(J63="Maladie"),0),IF($L$5&lt;&gt;"",--(L63="Maladie"),0),IF($N$5&lt;&gt;"",--(N63="Maladie"),0),IF($P$5&lt;&gt;"",--(P63="Maladie"),0),IF($R$5&lt;&gt;"",--(R63="Maladie"),0),IF($T$5&lt;&gt;"",--(T63="Maladie"),0),IF($V$5&lt;&gt;"",--(V63="Maladie"),0),IF($X$5&lt;&gt;"",--(X63="Maladie"),0),IF($Z$5&lt;&gt;"",--(Z63="Maladie"),0),IF($AB$5&lt;&gt;"",--(AB63="Maladie"),0),IF($AD$5&lt;&gt;"",--(AD63="Maladie"),0),IF($AF$5&lt;&gt;"",--(AF63="Maladie"),0),IF($AH$5&lt;&gt;"",--(AH63="Maladie"),0),IF($AJ$5&lt;&gt;"",--(AJ63="Maladie"),0),IF($AL$5&lt;&gt;"",--(AL63="Maladie"),0),IF($AN$5&lt;&gt;"",--(AN63="Maladie"),0),IF($AP$5&lt;&gt;"",--(AP63="Maladie"),0),IF($AR$5&lt;&gt;"",--(AR63="Maladie"),0),IF($AT$5&lt;&gt;"",--(AT63="Maladie"),0),IF($AV$5&lt;&gt;"",--(AV63="Maladie"),0),IF($AX$5&lt;&gt;"",--(AX63="Maladie"),0),IF($AZ$5&lt;&gt;"",--(AZ63="Maladie"),0),IF($BB$5&lt;&gt;"",--(BB63="Maladie"),0),IF($BD$5&lt;&gt;"",--(BD63="Maladie"),0),IF($BF$5&lt;&gt;"",--(BF63="Maladie"),0),IF($BH$5&lt;&gt;"",--(BH63="Maladie"),0),IF($BJ$5&lt;&gt;"",--(BJ63="Maladie"),0),IF($BL$5&lt;&gt;"",--(BL63="Maladie"),0)))</f>
      </c>
      <c r="BR63" s="23">
        <f>IF($A63="","",SUM(IF($D$5&lt;&gt;"",IF(D63="Présent",E63,0),0),IF($F$5&lt;&gt;"",IF(F63="Présent",G63,0),0),IF($H$5&lt;&gt;"",IF(H63="Présent",I63,0),0),IF($J$5&lt;&gt;"",IF(J63="Présent",K63,0),0),IF($L$5&lt;&gt;"",IF(L63="Présent",M63,0),0),IF($N$5&lt;&gt;"",IF(N63="Présent",O63,0),0),IF($P$5&lt;&gt;"",IF(P63="Présent",Q63,0),0),IF($R$5&lt;&gt;"",IF(R63="Présent",S63,0),0),IF($T$5&lt;&gt;"",IF(T63="Présent",U63,0),0),IF($V$5&lt;&gt;"",IF(V63="Présent",W63,0),0),IF($X$5&lt;&gt;"",IF(X63="Présent",Y63,0),0),IF($Z$5&lt;&gt;"",IF(Z63="Présent",AA63,0),0),IF($AB$5&lt;&gt;"",IF(AB63="Présent",AC63,0),0),IF($AD$5&lt;&gt;"",IF(AD63="Présent",AE63,0),0),IF($AF$5&lt;&gt;"",IF(AF63="Présent",AG63,0),0),IF($AH$5&lt;&gt;"",IF(AH63="Présent",AI63,0),0),IF($AJ$5&lt;&gt;"",IF(AJ63="Présent",AK63,0),0),IF($AL$5&lt;&gt;"",IF(AL63="Présent",AM63,0),0),IF($AN$5&lt;&gt;"",IF(AN63="Présent",AO63,0),0),IF($AP$5&lt;&gt;"",IF(AP63="Présent",AQ63,0),0),IF($AR$5&lt;&gt;"",IF(AR63="Présent",AS63,0),0),IF($AT$5&lt;&gt;"",IF(AT63="Présent",AU63,0),0),IF($AV$5&lt;&gt;"",IF(AV63="Présent",AW63,0),0),IF($AX$5&lt;&gt;"",IF(AX63="Présent",AY63,0),0),IF($AZ$5&lt;&gt;"",IF(AZ63="Présent",BA63,0),0),IF($BB$5&lt;&gt;"",IF(BB63="Présent",BC63,0),0),IF($BD$5&lt;&gt;"",IF(BD63="Présent",BE63,0),0),IF($BF$5&lt;&gt;"",IF(BF63="Présent",BG63,0),0),IF($BH$5&lt;&gt;"",IF(BH63="Présent",BI63,0),0),IF($BJ$5&lt;&gt;"",IF(BJ63="Présent",BK63,0),0),IF($BL$5&lt;&gt;"",IF(BL63="Présent",BM63,0),0)))</f>
      </c>
      <c r="BS63" s="25">
        <f>IF($A63="","",$BN63*IFERROR(INDEX(Categories_Salaire,MATCH($C63,ListeCategories,0)),0)+$BR63*IF(IFERROR(INDEX(Categories_TauxHS,MATCH($C63,ListeCategories,0)),0)&gt;0,IFERROR(INDEX(Categories_TauxHS,MATCH($C63,ListeCategories,0)),0),TauxHSDefaut))</f>
      </c>
    </row>
    <row r="64">
      <c r="A64" s="20">
        <f>IF(AND(INDEX(Employes_Nom,58)&lt;&gt;"",INDEX(Employes_Statut,58)="Actif",OR(INDEX(Employes_Embauche,58)="",INDEX(Employes_Embauche,58)&lt;=EOMONTH(DATE(AnneeCourante,MoisCourant,1),0))),INDEX(Employes_ID,58),"")</f>
      </c>
      <c r="B64" s="19">
        <f>IF($A64="","",INDEX(Employes_Nom,MATCH($A64,Employes_ID,0)))</f>
      </c>
      <c r="C64" s="20">
        <f>IF($A64="","",INDEX(Employes_Categorie,MATCH($A64,Employes_ID,0)))</f>
      </c>
      <c r="D64" s="26"/>
      <c r="E64" s="27"/>
      <c r="F64" s="26"/>
      <c r="G64" s="27"/>
      <c r="H64" s="26"/>
      <c r="I64" s="27"/>
      <c r="J64" s="26"/>
      <c r="K64" s="27"/>
      <c r="L64" s="26"/>
      <c r="M64" s="27"/>
      <c r="N64" s="26"/>
      <c r="O64" s="27"/>
      <c r="P64" s="26"/>
      <c r="Q64" s="27"/>
      <c r="R64" s="26"/>
      <c r="S64" s="27"/>
      <c r="T64" s="26"/>
      <c r="U64" s="27"/>
      <c r="V64" s="26"/>
      <c r="W64" s="27"/>
      <c r="X64" s="26"/>
      <c r="Y64" s="27"/>
      <c r="Z64" s="26"/>
      <c r="AA64" s="27"/>
      <c r="AB64" s="26"/>
      <c r="AC64" s="27"/>
      <c r="AD64" s="26"/>
      <c r="AE64" s="27"/>
      <c r="AF64" s="26"/>
      <c r="AG64" s="27"/>
      <c r="AH64" s="26"/>
      <c r="AI64" s="27"/>
      <c r="AJ64" s="26"/>
      <c r="AK64" s="27"/>
      <c r="AL64" s="26"/>
      <c r="AM64" s="27"/>
      <c r="AN64" s="26"/>
      <c r="AO64" s="27"/>
      <c r="AP64" s="26"/>
      <c r="AQ64" s="27"/>
      <c r="AR64" s="26"/>
      <c r="AS64" s="27"/>
      <c r="AT64" s="26"/>
      <c r="AU64" s="27"/>
      <c r="AV64" s="26"/>
      <c r="AW64" s="27"/>
      <c r="AX64" s="26"/>
      <c r="AY64" s="27"/>
      <c r="AZ64" s="26"/>
      <c r="BA64" s="27"/>
      <c r="BB64" s="26"/>
      <c r="BC64" s="27"/>
      <c r="BD64" s="26"/>
      <c r="BE64" s="27"/>
      <c r="BF64" s="26"/>
      <c r="BG64" s="27"/>
      <c r="BH64" s="26"/>
      <c r="BI64" s="27"/>
      <c r="BJ64" s="26"/>
      <c r="BK64" s="27"/>
      <c r="BL64" s="26"/>
      <c r="BM64" s="27"/>
      <c r="BN64" s="22">
        <f>IF($A64="","",SUM(IF($D$5&lt;&gt;"",--(D64="Présent"),0),IF($F$5&lt;&gt;"",--(F64="Présent"),0),IF($H$5&lt;&gt;"",--(H64="Présent"),0),IF($J$5&lt;&gt;"",--(J64="Présent"),0),IF($L$5&lt;&gt;"",--(L64="Présent"),0),IF($N$5&lt;&gt;"",--(N64="Présent"),0),IF($P$5&lt;&gt;"",--(P64="Présent"),0),IF($R$5&lt;&gt;"",--(R64="Présent"),0),IF($T$5&lt;&gt;"",--(T64="Présent"),0),IF($V$5&lt;&gt;"",--(V64="Présent"),0),IF($X$5&lt;&gt;"",--(X64="Présent"),0),IF($Z$5&lt;&gt;"",--(Z64="Présent"),0),IF($AB$5&lt;&gt;"",--(AB64="Présent"),0),IF($AD$5&lt;&gt;"",--(AD64="Présent"),0),IF($AF$5&lt;&gt;"",--(AF64="Présent"),0),IF($AH$5&lt;&gt;"",--(AH64="Présent"),0),IF($AJ$5&lt;&gt;"",--(AJ64="Présent"),0),IF($AL$5&lt;&gt;"",--(AL64="Présent"),0),IF($AN$5&lt;&gt;"",--(AN64="Présent"),0),IF($AP$5&lt;&gt;"",--(AP64="Présent"),0),IF($AR$5&lt;&gt;"",--(AR64="Présent"),0),IF($AT$5&lt;&gt;"",--(AT64="Présent"),0),IF($AV$5&lt;&gt;"",--(AV64="Présent"),0),IF($AX$5&lt;&gt;"",--(AX64="Présent"),0),IF($AZ$5&lt;&gt;"",--(AZ64="Présent"),0),IF($BB$5&lt;&gt;"",--(BB64="Présent"),0),IF($BD$5&lt;&gt;"",--(BD64="Présent"),0),IF($BF$5&lt;&gt;"",--(BF64="Présent"),0),IF($BH$5&lt;&gt;"",--(BH64="Présent"),0),IF($BJ$5&lt;&gt;"",--(BJ64="Présent"),0),IF($BL$5&lt;&gt;"",--(BL64="Présent"),0)))</f>
      </c>
      <c r="BO64" s="22">
        <f>IF($A64="","",SUM(IF($D$5&lt;&gt;"",--(D64="Absent"),0),IF($F$5&lt;&gt;"",--(F64="Absent"),0),IF($H$5&lt;&gt;"",--(H64="Absent"),0),IF($J$5&lt;&gt;"",--(J64="Absent"),0),IF($L$5&lt;&gt;"",--(L64="Absent"),0),IF($N$5&lt;&gt;"",--(N64="Absent"),0),IF($P$5&lt;&gt;"",--(P64="Absent"),0),IF($R$5&lt;&gt;"",--(R64="Absent"),0),IF($T$5&lt;&gt;"",--(T64="Absent"),0),IF($V$5&lt;&gt;"",--(V64="Absent"),0),IF($X$5&lt;&gt;"",--(X64="Absent"),0),IF($Z$5&lt;&gt;"",--(Z64="Absent"),0),IF($AB$5&lt;&gt;"",--(AB64="Absent"),0),IF($AD$5&lt;&gt;"",--(AD64="Absent"),0),IF($AF$5&lt;&gt;"",--(AF64="Absent"),0),IF($AH$5&lt;&gt;"",--(AH64="Absent"),0),IF($AJ$5&lt;&gt;"",--(AJ64="Absent"),0),IF($AL$5&lt;&gt;"",--(AL64="Absent"),0),IF($AN$5&lt;&gt;"",--(AN64="Absent"),0),IF($AP$5&lt;&gt;"",--(AP64="Absent"),0),IF($AR$5&lt;&gt;"",--(AR64="Absent"),0),IF($AT$5&lt;&gt;"",--(AT64="Absent"),0),IF($AV$5&lt;&gt;"",--(AV64="Absent"),0),IF($AX$5&lt;&gt;"",--(AX64="Absent"),0),IF($AZ$5&lt;&gt;"",--(AZ64="Absent"),0),IF($BB$5&lt;&gt;"",--(BB64="Absent"),0),IF($BD$5&lt;&gt;"",--(BD64="Absent"),0),IF($BF$5&lt;&gt;"",--(BF64="Absent"),0),IF($BH$5&lt;&gt;"",--(BH64="Absent"),0),IF($BJ$5&lt;&gt;"",--(BJ64="Absent"),0),IF($BL$5&lt;&gt;"",--(BL64="Absent"),0)))</f>
      </c>
      <c r="BP64" s="22">
        <f>IF($A64="","",SUM(IF($D$5&lt;&gt;"",--(D64="Congé"),0),IF($F$5&lt;&gt;"",--(F64="Congé"),0),IF($H$5&lt;&gt;"",--(H64="Congé"),0),IF($J$5&lt;&gt;"",--(J64="Congé"),0),IF($L$5&lt;&gt;"",--(L64="Congé"),0),IF($N$5&lt;&gt;"",--(N64="Congé"),0),IF($P$5&lt;&gt;"",--(P64="Congé"),0),IF($R$5&lt;&gt;"",--(R64="Congé"),0),IF($T$5&lt;&gt;"",--(T64="Congé"),0),IF($V$5&lt;&gt;"",--(V64="Congé"),0),IF($X$5&lt;&gt;"",--(X64="Congé"),0),IF($Z$5&lt;&gt;"",--(Z64="Congé"),0),IF($AB$5&lt;&gt;"",--(AB64="Congé"),0),IF($AD$5&lt;&gt;"",--(AD64="Congé"),0),IF($AF$5&lt;&gt;"",--(AF64="Congé"),0),IF($AH$5&lt;&gt;"",--(AH64="Congé"),0),IF($AJ$5&lt;&gt;"",--(AJ64="Congé"),0),IF($AL$5&lt;&gt;"",--(AL64="Congé"),0),IF($AN$5&lt;&gt;"",--(AN64="Congé"),0),IF($AP$5&lt;&gt;"",--(AP64="Congé"),0),IF($AR$5&lt;&gt;"",--(AR64="Congé"),0),IF($AT$5&lt;&gt;"",--(AT64="Congé"),0),IF($AV$5&lt;&gt;"",--(AV64="Congé"),0),IF($AX$5&lt;&gt;"",--(AX64="Congé"),0),IF($AZ$5&lt;&gt;"",--(AZ64="Congé"),0),IF($BB$5&lt;&gt;"",--(BB64="Congé"),0),IF($BD$5&lt;&gt;"",--(BD64="Congé"),0),IF($BF$5&lt;&gt;"",--(BF64="Congé"),0),IF($BH$5&lt;&gt;"",--(BH64="Congé"),0),IF($BJ$5&lt;&gt;"",--(BJ64="Congé"),0),IF($BL$5&lt;&gt;"",--(BL64="Congé"),0)))</f>
      </c>
      <c r="BQ64" s="22">
        <f>IF($A64="","",SUM(IF($D$5&lt;&gt;"",--(D64="Maladie"),0),IF($F$5&lt;&gt;"",--(F64="Maladie"),0),IF($H$5&lt;&gt;"",--(H64="Maladie"),0),IF($J$5&lt;&gt;"",--(J64="Maladie"),0),IF($L$5&lt;&gt;"",--(L64="Maladie"),0),IF($N$5&lt;&gt;"",--(N64="Maladie"),0),IF($P$5&lt;&gt;"",--(P64="Maladie"),0),IF($R$5&lt;&gt;"",--(R64="Maladie"),0),IF($T$5&lt;&gt;"",--(T64="Maladie"),0),IF($V$5&lt;&gt;"",--(V64="Maladie"),0),IF($X$5&lt;&gt;"",--(X64="Maladie"),0),IF($Z$5&lt;&gt;"",--(Z64="Maladie"),0),IF($AB$5&lt;&gt;"",--(AB64="Maladie"),0),IF($AD$5&lt;&gt;"",--(AD64="Maladie"),0),IF($AF$5&lt;&gt;"",--(AF64="Maladie"),0),IF($AH$5&lt;&gt;"",--(AH64="Maladie"),0),IF($AJ$5&lt;&gt;"",--(AJ64="Maladie"),0),IF($AL$5&lt;&gt;"",--(AL64="Maladie"),0),IF($AN$5&lt;&gt;"",--(AN64="Maladie"),0),IF($AP$5&lt;&gt;"",--(AP64="Maladie"),0),IF($AR$5&lt;&gt;"",--(AR64="Maladie"),0),IF($AT$5&lt;&gt;"",--(AT64="Maladie"),0),IF($AV$5&lt;&gt;"",--(AV64="Maladie"),0),IF($AX$5&lt;&gt;"",--(AX64="Maladie"),0),IF($AZ$5&lt;&gt;"",--(AZ64="Maladie"),0),IF($BB$5&lt;&gt;"",--(BB64="Maladie"),0),IF($BD$5&lt;&gt;"",--(BD64="Maladie"),0),IF($BF$5&lt;&gt;"",--(BF64="Maladie"),0),IF($BH$5&lt;&gt;"",--(BH64="Maladie"),0),IF($BJ$5&lt;&gt;"",--(BJ64="Maladie"),0),IF($BL$5&lt;&gt;"",--(BL64="Maladie"),0)))</f>
      </c>
      <c r="BR64" s="23">
        <f>IF($A64="","",SUM(IF($D$5&lt;&gt;"",IF(D64="Présent",E64,0),0),IF($F$5&lt;&gt;"",IF(F64="Présent",G64,0),0),IF($H$5&lt;&gt;"",IF(H64="Présent",I64,0),0),IF($J$5&lt;&gt;"",IF(J64="Présent",K64,0),0),IF($L$5&lt;&gt;"",IF(L64="Présent",M64,0),0),IF($N$5&lt;&gt;"",IF(N64="Présent",O64,0),0),IF($P$5&lt;&gt;"",IF(P64="Présent",Q64,0),0),IF($R$5&lt;&gt;"",IF(R64="Présent",S64,0),0),IF($T$5&lt;&gt;"",IF(T64="Présent",U64,0),0),IF($V$5&lt;&gt;"",IF(V64="Présent",W64,0),0),IF($X$5&lt;&gt;"",IF(X64="Présent",Y64,0),0),IF($Z$5&lt;&gt;"",IF(Z64="Présent",AA64,0),0),IF($AB$5&lt;&gt;"",IF(AB64="Présent",AC64,0),0),IF($AD$5&lt;&gt;"",IF(AD64="Présent",AE64,0),0),IF($AF$5&lt;&gt;"",IF(AF64="Présent",AG64,0),0),IF($AH$5&lt;&gt;"",IF(AH64="Présent",AI64,0),0),IF($AJ$5&lt;&gt;"",IF(AJ64="Présent",AK64,0),0),IF($AL$5&lt;&gt;"",IF(AL64="Présent",AM64,0),0),IF($AN$5&lt;&gt;"",IF(AN64="Présent",AO64,0),0),IF($AP$5&lt;&gt;"",IF(AP64="Présent",AQ64,0),0),IF($AR$5&lt;&gt;"",IF(AR64="Présent",AS64,0),0),IF($AT$5&lt;&gt;"",IF(AT64="Présent",AU64,0),0),IF($AV$5&lt;&gt;"",IF(AV64="Présent",AW64,0),0),IF($AX$5&lt;&gt;"",IF(AX64="Présent",AY64,0),0),IF($AZ$5&lt;&gt;"",IF(AZ64="Présent",BA64,0),0),IF($BB$5&lt;&gt;"",IF(BB64="Présent",BC64,0),0),IF($BD$5&lt;&gt;"",IF(BD64="Présent",BE64,0),0),IF($BF$5&lt;&gt;"",IF(BF64="Présent",BG64,0),0),IF($BH$5&lt;&gt;"",IF(BH64="Présent",BI64,0),0),IF($BJ$5&lt;&gt;"",IF(BJ64="Présent",BK64,0),0),IF($BL$5&lt;&gt;"",IF(BL64="Présent",BM64,0),0)))</f>
      </c>
      <c r="BS64" s="25">
        <f>IF($A64="","",$BN64*IFERROR(INDEX(Categories_Salaire,MATCH($C64,ListeCategories,0)),0)+$BR64*IF(IFERROR(INDEX(Categories_TauxHS,MATCH($C64,ListeCategories,0)),0)&gt;0,IFERROR(INDEX(Categories_TauxHS,MATCH($C64,ListeCategories,0)),0),TauxHSDefaut))</f>
      </c>
    </row>
    <row r="65">
      <c r="A65" s="20">
        <f>IF(AND(INDEX(Employes_Nom,59)&lt;&gt;"",INDEX(Employes_Statut,59)="Actif",OR(INDEX(Employes_Embauche,59)="",INDEX(Employes_Embauche,59)&lt;=EOMONTH(DATE(AnneeCourante,MoisCourant,1),0))),INDEX(Employes_ID,59),"")</f>
      </c>
      <c r="B65" s="19">
        <f>IF($A65="","",INDEX(Employes_Nom,MATCH($A65,Employes_ID,0)))</f>
      </c>
      <c r="C65" s="20">
        <f>IF($A65="","",INDEX(Employes_Categorie,MATCH($A65,Employes_ID,0)))</f>
      </c>
      <c r="D65" s="26"/>
      <c r="E65" s="27"/>
      <c r="F65" s="26"/>
      <c r="G65" s="27"/>
      <c r="H65" s="26"/>
      <c r="I65" s="27"/>
      <c r="J65" s="26"/>
      <c r="K65" s="27"/>
      <c r="L65" s="26"/>
      <c r="M65" s="27"/>
      <c r="N65" s="26"/>
      <c r="O65" s="27"/>
      <c r="P65" s="26"/>
      <c r="Q65" s="27"/>
      <c r="R65" s="26"/>
      <c r="S65" s="27"/>
      <c r="T65" s="26"/>
      <c r="U65" s="27"/>
      <c r="V65" s="26"/>
      <c r="W65" s="27"/>
      <c r="X65" s="26"/>
      <c r="Y65" s="27"/>
      <c r="Z65" s="26"/>
      <c r="AA65" s="27"/>
      <c r="AB65" s="26"/>
      <c r="AC65" s="27"/>
      <c r="AD65" s="26"/>
      <c r="AE65" s="27"/>
      <c r="AF65" s="26"/>
      <c r="AG65" s="27"/>
      <c r="AH65" s="26"/>
      <c r="AI65" s="27"/>
      <c r="AJ65" s="26"/>
      <c r="AK65" s="27"/>
      <c r="AL65" s="26"/>
      <c r="AM65" s="27"/>
      <c r="AN65" s="26"/>
      <c r="AO65" s="27"/>
      <c r="AP65" s="26"/>
      <c r="AQ65" s="27"/>
      <c r="AR65" s="26"/>
      <c r="AS65" s="27"/>
      <c r="AT65" s="26"/>
      <c r="AU65" s="27"/>
      <c r="AV65" s="26"/>
      <c r="AW65" s="27"/>
      <c r="AX65" s="26"/>
      <c r="AY65" s="27"/>
      <c r="AZ65" s="26"/>
      <c r="BA65" s="27"/>
      <c r="BB65" s="26"/>
      <c r="BC65" s="27"/>
      <c r="BD65" s="26"/>
      <c r="BE65" s="27"/>
      <c r="BF65" s="26"/>
      <c r="BG65" s="27"/>
      <c r="BH65" s="26"/>
      <c r="BI65" s="27"/>
      <c r="BJ65" s="26"/>
      <c r="BK65" s="27"/>
      <c r="BL65" s="26"/>
      <c r="BM65" s="27"/>
      <c r="BN65" s="22">
        <f>IF($A65="","",SUM(IF($D$5&lt;&gt;"",--(D65="Présent"),0),IF($F$5&lt;&gt;"",--(F65="Présent"),0),IF($H$5&lt;&gt;"",--(H65="Présent"),0),IF($J$5&lt;&gt;"",--(J65="Présent"),0),IF($L$5&lt;&gt;"",--(L65="Présent"),0),IF($N$5&lt;&gt;"",--(N65="Présent"),0),IF($P$5&lt;&gt;"",--(P65="Présent"),0),IF($R$5&lt;&gt;"",--(R65="Présent"),0),IF($T$5&lt;&gt;"",--(T65="Présent"),0),IF($V$5&lt;&gt;"",--(V65="Présent"),0),IF($X$5&lt;&gt;"",--(X65="Présent"),0),IF($Z$5&lt;&gt;"",--(Z65="Présent"),0),IF($AB$5&lt;&gt;"",--(AB65="Présent"),0),IF($AD$5&lt;&gt;"",--(AD65="Présent"),0),IF($AF$5&lt;&gt;"",--(AF65="Présent"),0),IF($AH$5&lt;&gt;"",--(AH65="Présent"),0),IF($AJ$5&lt;&gt;"",--(AJ65="Présent"),0),IF($AL$5&lt;&gt;"",--(AL65="Présent"),0),IF($AN$5&lt;&gt;"",--(AN65="Présent"),0),IF($AP$5&lt;&gt;"",--(AP65="Présent"),0),IF($AR$5&lt;&gt;"",--(AR65="Présent"),0),IF($AT$5&lt;&gt;"",--(AT65="Présent"),0),IF($AV$5&lt;&gt;"",--(AV65="Présent"),0),IF($AX$5&lt;&gt;"",--(AX65="Présent"),0),IF($AZ$5&lt;&gt;"",--(AZ65="Présent"),0),IF($BB$5&lt;&gt;"",--(BB65="Présent"),0),IF($BD$5&lt;&gt;"",--(BD65="Présent"),0),IF($BF$5&lt;&gt;"",--(BF65="Présent"),0),IF($BH$5&lt;&gt;"",--(BH65="Présent"),0),IF($BJ$5&lt;&gt;"",--(BJ65="Présent"),0),IF($BL$5&lt;&gt;"",--(BL65="Présent"),0)))</f>
      </c>
      <c r="BO65" s="22">
        <f>IF($A65="","",SUM(IF($D$5&lt;&gt;"",--(D65="Absent"),0),IF($F$5&lt;&gt;"",--(F65="Absent"),0),IF($H$5&lt;&gt;"",--(H65="Absent"),0),IF($J$5&lt;&gt;"",--(J65="Absent"),0),IF($L$5&lt;&gt;"",--(L65="Absent"),0),IF($N$5&lt;&gt;"",--(N65="Absent"),0),IF($P$5&lt;&gt;"",--(P65="Absent"),0),IF($R$5&lt;&gt;"",--(R65="Absent"),0),IF($T$5&lt;&gt;"",--(T65="Absent"),0),IF($V$5&lt;&gt;"",--(V65="Absent"),0),IF($X$5&lt;&gt;"",--(X65="Absent"),0),IF($Z$5&lt;&gt;"",--(Z65="Absent"),0),IF($AB$5&lt;&gt;"",--(AB65="Absent"),0),IF($AD$5&lt;&gt;"",--(AD65="Absent"),0),IF($AF$5&lt;&gt;"",--(AF65="Absent"),0),IF($AH$5&lt;&gt;"",--(AH65="Absent"),0),IF($AJ$5&lt;&gt;"",--(AJ65="Absent"),0),IF($AL$5&lt;&gt;"",--(AL65="Absent"),0),IF($AN$5&lt;&gt;"",--(AN65="Absent"),0),IF($AP$5&lt;&gt;"",--(AP65="Absent"),0),IF($AR$5&lt;&gt;"",--(AR65="Absent"),0),IF($AT$5&lt;&gt;"",--(AT65="Absent"),0),IF($AV$5&lt;&gt;"",--(AV65="Absent"),0),IF($AX$5&lt;&gt;"",--(AX65="Absent"),0),IF($AZ$5&lt;&gt;"",--(AZ65="Absent"),0),IF($BB$5&lt;&gt;"",--(BB65="Absent"),0),IF($BD$5&lt;&gt;"",--(BD65="Absent"),0),IF($BF$5&lt;&gt;"",--(BF65="Absent"),0),IF($BH$5&lt;&gt;"",--(BH65="Absent"),0),IF($BJ$5&lt;&gt;"",--(BJ65="Absent"),0),IF($BL$5&lt;&gt;"",--(BL65="Absent"),0)))</f>
      </c>
      <c r="BP65" s="22">
        <f>IF($A65="","",SUM(IF($D$5&lt;&gt;"",--(D65="Congé"),0),IF($F$5&lt;&gt;"",--(F65="Congé"),0),IF($H$5&lt;&gt;"",--(H65="Congé"),0),IF($J$5&lt;&gt;"",--(J65="Congé"),0),IF($L$5&lt;&gt;"",--(L65="Congé"),0),IF($N$5&lt;&gt;"",--(N65="Congé"),0),IF($P$5&lt;&gt;"",--(P65="Congé"),0),IF($R$5&lt;&gt;"",--(R65="Congé"),0),IF($T$5&lt;&gt;"",--(T65="Congé"),0),IF($V$5&lt;&gt;"",--(V65="Congé"),0),IF($X$5&lt;&gt;"",--(X65="Congé"),0),IF($Z$5&lt;&gt;"",--(Z65="Congé"),0),IF($AB$5&lt;&gt;"",--(AB65="Congé"),0),IF($AD$5&lt;&gt;"",--(AD65="Congé"),0),IF($AF$5&lt;&gt;"",--(AF65="Congé"),0),IF($AH$5&lt;&gt;"",--(AH65="Congé"),0),IF($AJ$5&lt;&gt;"",--(AJ65="Congé"),0),IF($AL$5&lt;&gt;"",--(AL65="Congé"),0),IF($AN$5&lt;&gt;"",--(AN65="Congé"),0),IF($AP$5&lt;&gt;"",--(AP65="Congé"),0),IF($AR$5&lt;&gt;"",--(AR65="Congé"),0),IF($AT$5&lt;&gt;"",--(AT65="Congé"),0),IF($AV$5&lt;&gt;"",--(AV65="Congé"),0),IF($AX$5&lt;&gt;"",--(AX65="Congé"),0),IF($AZ$5&lt;&gt;"",--(AZ65="Congé"),0),IF($BB$5&lt;&gt;"",--(BB65="Congé"),0),IF($BD$5&lt;&gt;"",--(BD65="Congé"),0),IF($BF$5&lt;&gt;"",--(BF65="Congé"),0),IF($BH$5&lt;&gt;"",--(BH65="Congé"),0),IF($BJ$5&lt;&gt;"",--(BJ65="Congé"),0),IF($BL$5&lt;&gt;"",--(BL65="Congé"),0)))</f>
      </c>
      <c r="BQ65" s="22">
        <f>IF($A65="","",SUM(IF($D$5&lt;&gt;"",--(D65="Maladie"),0),IF($F$5&lt;&gt;"",--(F65="Maladie"),0),IF($H$5&lt;&gt;"",--(H65="Maladie"),0),IF($J$5&lt;&gt;"",--(J65="Maladie"),0),IF($L$5&lt;&gt;"",--(L65="Maladie"),0),IF($N$5&lt;&gt;"",--(N65="Maladie"),0),IF($P$5&lt;&gt;"",--(P65="Maladie"),0),IF($R$5&lt;&gt;"",--(R65="Maladie"),0),IF($T$5&lt;&gt;"",--(T65="Maladie"),0),IF($V$5&lt;&gt;"",--(V65="Maladie"),0),IF($X$5&lt;&gt;"",--(X65="Maladie"),0),IF($Z$5&lt;&gt;"",--(Z65="Maladie"),0),IF($AB$5&lt;&gt;"",--(AB65="Maladie"),0),IF($AD$5&lt;&gt;"",--(AD65="Maladie"),0),IF($AF$5&lt;&gt;"",--(AF65="Maladie"),0),IF($AH$5&lt;&gt;"",--(AH65="Maladie"),0),IF($AJ$5&lt;&gt;"",--(AJ65="Maladie"),0),IF($AL$5&lt;&gt;"",--(AL65="Maladie"),0),IF($AN$5&lt;&gt;"",--(AN65="Maladie"),0),IF($AP$5&lt;&gt;"",--(AP65="Maladie"),0),IF($AR$5&lt;&gt;"",--(AR65="Maladie"),0),IF($AT$5&lt;&gt;"",--(AT65="Maladie"),0),IF($AV$5&lt;&gt;"",--(AV65="Maladie"),0),IF($AX$5&lt;&gt;"",--(AX65="Maladie"),0),IF($AZ$5&lt;&gt;"",--(AZ65="Maladie"),0),IF($BB$5&lt;&gt;"",--(BB65="Maladie"),0),IF($BD$5&lt;&gt;"",--(BD65="Maladie"),0),IF($BF$5&lt;&gt;"",--(BF65="Maladie"),0),IF($BH$5&lt;&gt;"",--(BH65="Maladie"),0),IF($BJ$5&lt;&gt;"",--(BJ65="Maladie"),0),IF($BL$5&lt;&gt;"",--(BL65="Maladie"),0)))</f>
      </c>
      <c r="BR65" s="23">
        <f>IF($A65="","",SUM(IF($D$5&lt;&gt;"",IF(D65="Présent",E65,0),0),IF($F$5&lt;&gt;"",IF(F65="Présent",G65,0),0),IF($H$5&lt;&gt;"",IF(H65="Présent",I65,0),0),IF($J$5&lt;&gt;"",IF(J65="Présent",K65,0),0),IF($L$5&lt;&gt;"",IF(L65="Présent",M65,0),0),IF($N$5&lt;&gt;"",IF(N65="Présent",O65,0),0),IF($P$5&lt;&gt;"",IF(P65="Présent",Q65,0),0),IF($R$5&lt;&gt;"",IF(R65="Présent",S65,0),0),IF($T$5&lt;&gt;"",IF(T65="Présent",U65,0),0),IF($V$5&lt;&gt;"",IF(V65="Présent",W65,0),0),IF($X$5&lt;&gt;"",IF(X65="Présent",Y65,0),0),IF($Z$5&lt;&gt;"",IF(Z65="Présent",AA65,0),0),IF($AB$5&lt;&gt;"",IF(AB65="Présent",AC65,0),0),IF($AD$5&lt;&gt;"",IF(AD65="Présent",AE65,0),0),IF($AF$5&lt;&gt;"",IF(AF65="Présent",AG65,0),0),IF($AH$5&lt;&gt;"",IF(AH65="Présent",AI65,0),0),IF($AJ$5&lt;&gt;"",IF(AJ65="Présent",AK65,0),0),IF($AL$5&lt;&gt;"",IF(AL65="Présent",AM65,0),0),IF($AN$5&lt;&gt;"",IF(AN65="Présent",AO65,0),0),IF($AP$5&lt;&gt;"",IF(AP65="Présent",AQ65,0),0),IF($AR$5&lt;&gt;"",IF(AR65="Présent",AS65,0),0),IF($AT$5&lt;&gt;"",IF(AT65="Présent",AU65,0),0),IF($AV$5&lt;&gt;"",IF(AV65="Présent",AW65,0),0),IF($AX$5&lt;&gt;"",IF(AX65="Présent",AY65,0),0),IF($AZ$5&lt;&gt;"",IF(AZ65="Présent",BA65,0),0),IF($BB$5&lt;&gt;"",IF(BB65="Présent",BC65,0),0),IF($BD$5&lt;&gt;"",IF(BD65="Présent",BE65,0),0),IF($BF$5&lt;&gt;"",IF(BF65="Présent",BG65,0),0),IF($BH$5&lt;&gt;"",IF(BH65="Présent",BI65,0),0),IF($BJ$5&lt;&gt;"",IF(BJ65="Présent",BK65,0),0),IF($BL$5&lt;&gt;"",IF(BL65="Présent",BM65,0),0)))</f>
      </c>
      <c r="BS65" s="25">
        <f>IF($A65="","",$BN65*IFERROR(INDEX(Categories_Salaire,MATCH($C65,ListeCategories,0)),0)+$BR65*IF(IFERROR(INDEX(Categories_TauxHS,MATCH($C65,ListeCategories,0)),0)&gt;0,IFERROR(INDEX(Categories_TauxHS,MATCH($C65,ListeCategories,0)),0),TauxHSDefaut))</f>
      </c>
    </row>
    <row r="66">
      <c r="A66" s="20">
        <f>IF(AND(INDEX(Employes_Nom,60)&lt;&gt;"",INDEX(Employes_Statut,60)="Actif",OR(INDEX(Employes_Embauche,60)="",INDEX(Employes_Embauche,60)&lt;=EOMONTH(DATE(AnneeCourante,MoisCourant,1),0))),INDEX(Employes_ID,60),"")</f>
      </c>
      <c r="B66" s="19">
        <f>IF($A66="","",INDEX(Employes_Nom,MATCH($A66,Employes_ID,0)))</f>
      </c>
      <c r="C66" s="20">
        <f>IF($A66="","",INDEX(Employes_Categorie,MATCH($A66,Employes_ID,0)))</f>
      </c>
      <c r="D66" s="26"/>
      <c r="E66" s="27"/>
      <c r="F66" s="26"/>
      <c r="G66" s="27"/>
      <c r="H66" s="26"/>
      <c r="I66" s="27"/>
      <c r="J66" s="26"/>
      <c r="K66" s="27"/>
      <c r="L66" s="26"/>
      <c r="M66" s="27"/>
      <c r="N66" s="26"/>
      <c r="O66" s="27"/>
      <c r="P66" s="26"/>
      <c r="Q66" s="27"/>
      <c r="R66" s="26"/>
      <c r="S66" s="27"/>
      <c r="T66" s="26"/>
      <c r="U66" s="27"/>
      <c r="V66" s="26"/>
      <c r="W66" s="27"/>
      <c r="X66" s="26"/>
      <c r="Y66" s="27"/>
      <c r="Z66" s="26"/>
      <c r="AA66" s="27"/>
      <c r="AB66" s="26"/>
      <c r="AC66" s="27"/>
      <c r="AD66" s="26"/>
      <c r="AE66" s="27"/>
      <c r="AF66" s="26"/>
      <c r="AG66" s="27"/>
      <c r="AH66" s="26"/>
      <c r="AI66" s="27"/>
      <c r="AJ66" s="26"/>
      <c r="AK66" s="27"/>
      <c r="AL66" s="26"/>
      <c r="AM66" s="27"/>
      <c r="AN66" s="26"/>
      <c r="AO66" s="27"/>
      <c r="AP66" s="26"/>
      <c r="AQ66" s="27"/>
      <c r="AR66" s="26"/>
      <c r="AS66" s="27"/>
      <c r="AT66" s="26"/>
      <c r="AU66" s="27"/>
      <c r="AV66" s="26"/>
      <c r="AW66" s="27"/>
      <c r="AX66" s="26"/>
      <c r="AY66" s="27"/>
      <c r="AZ66" s="26"/>
      <c r="BA66" s="27"/>
      <c r="BB66" s="26"/>
      <c r="BC66" s="27"/>
      <c r="BD66" s="26"/>
      <c r="BE66" s="27"/>
      <c r="BF66" s="26"/>
      <c r="BG66" s="27"/>
      <c r="BH66" s="26"/>
      <c r="BI66" s="27"/>
      <c r="BJ66" s="26"/>
      <c r="BK66" s="27"/>
      <c r="BL66" s="26"/>
      <c r="BM66" s="27"/>
      <c r="BN66" s="22">
        <f>IF($A66="","",SUM(IF($D$5&lt;&gt;"",--(D66="Présent"),0),IF($F$5&lt;&gt;"",--(F66="Présent"),0),IF($H$5&lt;&gt;"",--(H66="Présent"),0),IF($J$5&lt;&gt;"",--(J66="Présent"),0),IF($L$5&lt;&gt;"",--(L66="Présent"),0),IF($N$5&lt;&gt;"",--(N66="Présent"),0),IF($P$5&lt;&gt;"",--(P66="Présent"),0),IF($R$5&lt;&gt;"",--(R66="Présent"),0),IF($T$5&lt;&gt;"",--(T66="Présent"),0),IF($V$5&lt;&gt;"",--(V66="Présent"),0),IF($X$5&lt;&gt;"",--(X66="Présent"),0),IF($Z$5&lt;&gt;"",--(Z66="Présent"),0),IF($AB$5&lt;&gt;"",--(AB66="Présent"),0),IF($AD$5&lt;&gt;"",--(AD66="Présent"),0),IF($AF$5&lt;&gt;"",--(AF66="Présent"),0),IF($AH$5&lt;&gt;"",--(AH66="Présent"),0),IF($AJ$5&lt;&gt;"",--(AJ66="Présent"),0),IF($AL$5&lt;&gt;"",--(AL66="Présent"),0),IF($AN$5&lt;&gt;"",--(AN66="Présent"),0),IF($AP$5&lt;&gt;"",--(AP66="Présent"),0),IF($AR$5&lt;&gt;"",--(AR66="Présent"),0),IF($AT$5&lt;&gt;"",--(AT66="Présent"),0),IF($AV$5&lt;&gt;"",--(AV66="Présent"),0),IF($AX$5&lt;&gt;"",--(AX66="Présent"),0),IF($AZ$5&lt;&gt;"",--(AZ66="Présent"),0),IF($BB$5&lt;&gt;"",--(BB66="Présent"),0),IF($BD$5&lt;&gt;"",--(BD66="Présent"),0),IF($BF$5&lt;&gt;"",--(BF66="Présent"),0),IF($BH$5&lt;&gt;"",--(BH66="Présent"),0),IF($BJ$5&lt;&gt;"",--(BJ66="Présent"),0),IF($BL$5&lt;&gt;"",--(BL66="Présent"),0)))</f>
      </c>
      <c r="BO66" s="22">
        <f>IF($A66="","",SUM(IF($D$5&lt;&gt;"",--(D66="Absent"),0),IF($F$5&lt;&gt;"",--(F66="Absent"),0),IF($H$5&lt;&gt;"",--(H66="Absent"),0),IF($J$5&lt;&gt;"",--(J66="Absent"),0),IF($L$5&lt;&gt;"",--(L66="Absent"),0),IF($N$5&lt;&gt;"",--(N66="Absent"),0),IF($P$5&lt;&gt;"",--(P66="Absent"),0),IF($R$5&lt;&gt;"",--(R66="Absent"),0),IF($T$5&lt;&gt;"",--(T66="Absent"),0),IF($V$5&lt;&gt;"",--(V66="Absent"),0),IF($X$5&lt;&gt;"",--(X66="Absent"),0),IF($Z$5&lt;&gt;"",--(Z66="Absent"),0),IF($AB$5&lt;&gt;"",--(AB66="Absent"),0),IF($AD$5&lt;&gt;"",--(AD66="Absent"),0),IF($AF$5&lt;&gt;"",--(AF66="Absent"),0),IF($AH$5&lt;&gt;"",--(AH66="Absent"),0),IF($AJ$5&lt;&gt;"",--(AJ66="Absent"),0),IF($AL$5&lt;&gt;"",--(AL66="Absent"),0),IF($AN$5&lt;&gt;"",--(AN66="Absent"),0),IF($AP$5&lt;&gt;"",--(AP66="Absent"),0),IF($AR$5&lt;&gt;"",--(AR66="Absent"),0),IF($AT$5&lt;&gt;"",--(AT66="Absent"),0),IF($AV$5&lt;&gt;"",--(AV66="Absent"),0),IF($AX$5&lt;&gt;"",--(AX66="Absent"),0),IF($AZ$5&lt;&gt;"",--(AZ66="Absent"),0),IF($BB$5&lt;&gt;"",--(BB66="Absent"),0),IF($BD$5&lt;&gt;"",--(BD66="Absent"),0),IF($BF$5&lt;&gt;"",--(BF66="Absent"),0),IF($BH$5&lt;&gt;"",--(BH66="Absent"),0),IF($BJ$5&lt;&gt;"",--(BJ66="Absent"),0),IF($BL$5&lt;&gt;"",--(BL66="Absent"),0)))</f>
      </c>
      <c r="BP66" s="22">
        <f>IF($A66="","",SUM(IF($D$5&lt;&gt;"",--(D66="Congé"),0),IF($F$5&lt;&gt;"",--(F66="Congé"),0),IF($H$5&lt;&gt;"",--(H66="Congé"),0),IF($J$5&lt;&gt;"",--(J66="Congé"),0),IF($L$5&lt;&gt;"",--(L66="Congé"),0),IF($N$5&lt;&gt;"",--(N66="Congé"),0),IF($P$5&lt;&gt;"",--(P66="Congé"),0),IF($R$5&lt;&gt;"",--(R66="Congé"),0),IF($T$5&lt;&gt;"",--(T66="Congé"),0),IF($V$5&lt;&gt;"",--(V66="Congé"),0),IF($X$5&lt;&gt;"",--(X66="Congé"),0),IF($Z$5&lt;&gt;"",--(Z66="Congé"),0),IF($AB$5&lt;&gt;"",--(AB66="Congé"),0),IF($AD$5&lt;&gt;"",--(AD66="Congé"),0),IF($AF$5&lt;&gt;"",--(AF66="Congé"),0),IF($AH$5&lt;&gt;"",--(AH66="Congé"),0),IF($AJ$5&lt;&gt;"",--(AJ66="Congé"),0),IF($AL$5&lt;&gt;"",--(AL66="Congé"),0),IF($AN$5&lt;&gt;"",--(AN66="Congé"),0),IF($AP$5&lt;&gt;"",--(AP66="Congé"),0),IF($AR$5&lt;&gt;"",--(AR66="Congé"),0),IF($AT$5&lt;&gt;"",--(AT66="Congé"),0),IF($AV$5&lt;&gt;"",--(AV66="Congé"),0),IF($AX$5&lt;&gt;"",--(AX66="Congé"),0),IF($AZ$5&lt;&gt;"",--(AZ66="Congé"),0),IF($BB$5&lt;&gt;"",--(BB66="Congé"),0),IF($BD$5&lt;&gt;"",--(BD66="Congé"),0),IF($BF$5&lt;&gt;"",--(BF66="Congé"),0),IF($BH$5&lt;&gt;"",--(BH66="Congé"),0),IF($BJ$5&lt;&gt;"",--(BJ66="Congé"),0),IF($BL$5&lt;&gt;"",--(BL66="Congé"),0)))</f>
      </c>
      <c r="BQ66" s="22">
        <f>IF($A66="","",SUM(IF($D$5&lt;&gt;"",--(D66="Maladie"),0),IF($F$5&lt;&gt;"",--(F66="Maladie"),0),IF($H$5&lt;&gt;"",--(H66="Maladie"),0),IF($J$5&lt;&gt;"",--(J66="Maladie"),0),IF($L$5&lt;&gt;"",--(L66="Maladie"),0),IF($N$5&lt;&gt;"",--(N66="Maladie"),0),IF($P$5&lt;&gt;"",--(P66="Maladie"),0),IF($R$5&lt;&gt;"",--(R66="Maladie"),0),IF($T$5&lt;&gt;"",--(T66="Maladie"),0),IF($V$5&lt;&gt;"",--(V66="Maladie"),0),IF($X$5&lt;&gt;"",--(X66="Maladie"),0),IF($Z$5&lt;&gt;"",--(Z66="Maladie"),0),IF($AB$5&lt;&gt;"",--(AB66="Maladie"),0),IF($AD$5&lt;&gt;"",--(AD66="Maladie"),0),IF($AF$5&lt;&gt;"",--(AF66="Maladie"),0),IF($AH$5&lt;&gt;"",--(AH66="Maladie"),0),IF($AJ$5&lt;&gt;"",--(AJ66="Maladie"),0),IF($AL$5&lt;&gt;"",--(AL66="Maladie"),0),IF($AN$5&lt;&gt;"",--(AN66="Maladie"),0),IF($AP$5&lt;&gt;"",--(AP66="Maladie"),0),IF($AR$5&lt;&gt;"",--(AR66="Maladie"),0),IF($AT$5&lt;&gt;"",--(AT66="Maladie"),0),IF($AV$5&lt;&gt;"",--(AV66="Maladie"),0),IF($AX$5&lt;&gt;"",--(AX66="Maladie"),0),IF($AZ$5&lt;&gt;"",--(AZ66="Maladie"),0),IF($BB$5&lt;&gt;"",--(BB66="Maladie"),0),IF($BD$5&lt;&gt;"",--(BD66="Maladie"),0),IF($BF$5&lt;&gt;"",--(BF66="Maladie"),0),IF($BH$5&lt;&gt;"",--(BH66="Maladie"),0),IF($BJ$5&lt;&gt;"",--(BJ66="Maladie"),0),IF($BL$5&lt;&gt;"",--(BL66="Maladie"),0)))</f>
      </c>
      <c r="BR66" s="23">
        <f>IF($A66="","",SUM(IF($D$5&lt;&gt;"",IF(D66="Présent",E66,0),0),IF($F$5&lt;&gt;"",IF(F66="Présent",G66,0),0),IF($H$5&lt;&gt;"",IF(H66="Présent",I66,0),0),IF($J$5&lt;&gt;"",IF(J66="Présent",K66,0),0),IF($L$5&lt;&gt;"",IF(L66="Présent",M66,0),0),IF($N$5&lt;&gt;"",IF(N66="Présent",O66,0),0),IF($P$5&lt;&gt;"",IF(P66="Présent",Q66,0),0),IF($R$5&lt;&gt;"",IF(R66="Présent",S66,0),0),IF($T$5&lt;&gt;"",IF(T66="Présent",U66,0),0),IF($V$5&lt;&gt;"",IF(V66="Présent",W66,0),0),IF($X$5&lt;&gt;"",IF(X66="Présent",Y66,0),0),IF($Z$5&lt;&gt;"",IF(Z66="Présent",AA66,0),0),IF($AB$5&lt;&gt;"",IF(AB66="Présent",AC66,0),0),IF($AD$5&lt;&gt;"",IF(AD66="Présent",AE66,0),0),IF($AF$5&lt;&gt;"",IF(AF66="Présent",AG66,0),0),IF($AH$5&lt;&gt;"",IF(AH66="Présent",AI66,0),0),IF($AJ$5&lt;&gt;"",IF(AJ66="Présent",AK66,0),0),IF($AL$5&lt;&gt;"",IF(AL66="Présent",AM66,0),0),IF($AN$5&lt;&gt;"",IF(AN66="Présent",AO66,0),0),IF($AP$5&lt;&gt;"",IF(AP66="Présent",AQ66,0),0),IF($AR$5&lt;&gt;"",IF(AR66="Présent",AS66,0),0),IF($AT$5&lt;&gt;"",IF(AT66="Présent",AU66,0),0),IF($AV$5&lt;&gt;"",IF(AV66="Présent",AW66,0),0),IF($AX$5&lt;&gt;"",IF(AX66="Présent",AY66,0),0),IF($AZ$5&lt;&gt;"",IF(AZ66="Présent",BA66,0),0),IF($BB$5&lt;&gt;"",IF(BB66="Présent",BC66,0),0),IF($BD$5&lt;&gt;"",IF(BD66="Présent",BE66,0),0),IF($BF$5&lt;&gt;"",IF(BF66="Présent",BG66,0),0),IF($BH$5&lt;&gt;"",IF(BH66="Présent",BI66,0),0),IF($BJ$5&lt;&gt;"",IF(BJ66="Présent",BK66,0),0),IF($BL$5&lt;&gt;"",IF(BL66="Présent",BM66,0),0)))</f>
      </c>
      <c r="BS66" s="25">
        <f>IF($A66="","",$BN66*IFERROR(INDEX(Categories_Salaire,MATCH($C66,ListeCategories,0)),0)+$BR66*IF(IFERROR(INDEX(Categories_TauxHS,MATCH($C66,ListeCategories,0)),0)&gt;0,IFERROR(INDEX(Categories_TauxHS,MATCH($C66,ListeCategories,0)),0),TauxHSDefaut))</f>
      </c>
    </row>
    <row r="67">
      <c r="A67" s="20">
        <f>IF(AND(INDEX(Employes_Nom,61)&lt;&gt;"",INDEX(Employes_Statut,61)="Actif",OR(INDEX(Employes_Embauche,61)="",INDEX(Employes_Embauche,61)&lt;=EOMONTH(DATE(AnneeCourante,MoisCourant,1),0))),INDEX(Employes_ID,61),"")</f>
      </c>
      <c r="B67" s="19">
        <f>IF($A67="","",INDEX(Employes_Nom,MATCH($A67,Employes_ID,0)))</f>
      </c>
      <c r="C67" s="20">
        <f>IF($A67="","",INDEX(Employes_Categorie,MATCH($A67,Employes_ID,0)))</f>
      </c>
      <c r="D67" s="26"/>
      <c r="E67" s="27"/>
      <c r="F67" s="26"/>
      <c r="G67" s="27"/>
      <c r="H67" s="26"/>
      <c r="I67" s="27"/>
      <c r="J67" s="26"/>
      <c r="K67" s="27"/>
      <c r="L67" s="26"/>
      <c r="M67" s="27"/>
      <c r="N67" s="26"/>
      <c r="O67" s="27"/>
      <c r="P67" s="26"/>
      <c r="Q67" s="27"/>
      <c r="R67" s="26"/>
      <c r="S67" s="27"/>
      <c r="T67" s="26"/>
      <c r="U67" s="27"/>
      <c r="V67" s="26"/>
      <c r="W67" s="27"/>
      <c r="X67" s="26"/>
      <c r="Y67" s="27"/>
      <c r="Z67" s="26"/>
      <c r="AA67" s="27"/>
      <c r="AB67" s="26"/>
      <c r="AC67" s="27"/>
      <c r="AD67" s="26"/>
      <c r="AE67" s="27"/>
      <c r="AF67" s="26"/>
      <c r="AG67" s="27"/>
      <c r="AH67" s="26"/>
      <c r="AI67" s="27"/>
      <c r="AJ67" s="26"/>
      <c r="AK67" s="27"/>
      <c r="AL67" s="26"/>
      <c r="AM67" s="27"/>
      <c r="AN67" s="26"/>
      <c r="AO67" s="27"/>
      <c r="AP67" s="26"/>
      <c r="AQ67" s="27"/>
      <c r="AR67" s="26"/>
      <c r="AS67" s="27"/>
      <c r="AT67" s="26"/>
      <c r="AU67" s="27"/>
      <c r="AV67" s="26"/>
      <c r="AW67" s="27"/>
      <c r="AX67" s="26"/>
      <c r="AY67" s="27"/>
      <c r="AZ67" s="26"/>
      <c r="BA67" s="27"/>
      <c r="BB67" s="26"/>
      <c r="BC67" s="27"/>
      <c r="BD67" s="26"/>
      <c r="BE67" s="27"/>
      <c r="BF67" s="26"/>
      <c r="BG67" s="27"/>
      <c r="BH67" s="26"/>
      <c r="BI67" s="27"/>
      <c r="BJ67" s="26"/>
      <c r="BK67" s="27"/>
      <c r="BL67" s="26"/>
      <c r="BM67" s="27"/>
      <c r="BN67" s="22">
        <f>IF($A67="","",SUM(IF($D$5&lt;&gt;"",--(D67="Présent"),0),IF($F$5&lt;&gt;"",--(F67="Présent"),0),IF($H$5&lt;&gt;"",--(H67="Présent"),0),IF($J$5&lt;&gt;"",--(J67="Présent"),0),IF($L$5&lt;&gt;"",--(L67="Présent"),0),IF($N$5&lt;&gt;"",--(N67="Présent"),0),IF($P$5&lt;&gt;"",--(P67="Présent"),0),IF($R$5&lt;&gt;"",--(R67="Présent"),0),IF($T$5&lt;&gt;"",--(T67="Présent"),0),IF($V$5&lt;&gt;"",--(V67="Présent"),0),IF($X$5&lt;&gt;"",--(X67="Présent"),0),IF($Z$5&lt;&gt;"",--(Z67="Présent"),0),IF($AB$5&lt;&gt;"",--(AB67="Présent"),0),IF($AD$5&lt;&gt;"",--(AD67="Présent"),0),IF($AF$5&lt;&gt;"",--(AF67="Présent"),0),IF($AH$5&lt;&gt;"",--(AH67="Présent"),0),IF($AJ$5&lt;&gt;"",--(AJ67="Présent"),0),IF($AL$5&lt;&gt;"",--(AL67="Présent"),0),IF($AN$5&lt;&gt;"",--(AN67="Présent"),0),IF($AP$5&lt;&gt;"",--(AP67="Présent"),0),IF($AR$5&lt;&gt;"",--(AR67="Présent"),0),IF($AT$5&lt;&gt;"",--(AT67="Présent"),0),IF($AV$5&lt;&gt;"",--(AV67="Présent"),0),IF($AX$5&lt;&gt;"",--(AX67="Présent"),0),IF($AZ$5&lt;&gt;"",--(AZ67="Présent"),0),IF($BB$5&lt;&gt;"",--(BB67="Présent"),0),IF($BD$5&lt;&gt;"",--(BD67="Présent"),0),IF($BF$5&lt;&gt;"",--(BF67="Présent"),0),IF($BH$5&lt;&gt;"",--(BH67="Présent"),0),IF($BJ$5&lt;&gt;"",--(BJ67="Présent"),0),IF($BL$5&lt;&gt;"",--(BL67="Présent"),0)))</f>
      </c>
      <c r="BO67" s="22">
        <f>IF($A67="","",SUM(IF($D$5&lt;&gt;"",--(D67="Absent"),0),IF($F$5&lt;&gt;"",--(F67="Absent"),0),IF($H$5&lt;&gt;"",--(H67="Absent"),0),IF($J$5&lt;&gt;"",--(J67="Absent"),0),IF($L$5&lt;&gt;"",--(L67="Absent"),0),IF($N$5&lt;&gt;"",--(N67="Absent"),0),IF($P$5&lt;&gt;"",--(P67="Absent"),0),IF($R$5&lt;&gt;"",--(R67="Absent"),0),IF($T$5&lt;&gt;"",--(T67="Absent"),0),IF($V$5&lt;&gt;"",--(V67="Absent"),0),IF($X$5&lt;&gt;"",--(X67="Absent"),0),IF($Z$5&lt;&gt;"",--(Z67="Absent"),0),IF($AB$5&lt;&gt;"",--(AB67="Absent"),0),IF($AD$5&lt;&gt;"",--(AD67="Absent"),0),IF($AF$5&lt;&gt;"",--(AF67="Absent"),0),IF($AH$5&lt;&gt;"",--(AH67="Absent"),0),IF($AJ$5&lt;&gt;"",--(AJ67="Absent"),0),IF($AL$5&lt;&gt;"",--(AL67="Absent"),0),IF($AN$5&lt;&gt;"",--(AN67="Absent"),0),IF($AP$5&lt;&gt;"",--(AP67="Absent"),0),IF($AR$5&lt;&gt;"",--(AR67="Absent"),0),IF($AT$5&lt;&gt;"",--(AT67="Absent"),0),IF($AV$5&lt;&gt;"",--(AV67="Absent"),0),IF($AX$5&lt;&gt;"",--(AX67="Absent"),0),IF($AZ$5&lt;&gt;"",--(AZ67="Absent"),0),IF($BB$5&lt;&gt;"",--(BB67="Absent"),0),IF($BD$5&lt;&gt;"",--(BD67="Absent"),0),IF($BF$5&lt;&gt;"",--(BF67="Absent"),0),IF($BH$5&lt;&gt;"",--(BH67="Absent"),0),IF($BJ$5&lt;&gt;"",--(BJ67="Absent"),0),IF($BL$5&lt;&gt;"",--(BL67="Absent"),0)))</f>
      </c>
      <c r="BP67" s="22">
        <f>IF($A67="","",SUM(IF($D$5&lt;&gt;"",--(D67="Congé"),0),IF($F$5&lt;&gt;"",--(F67="Congé"),0),IF($H$5&lt;&gt;"",--(H67="Congé"),0),IF($J$5&lt;&gt;"",--(J67="Congé"),0),IF($L$5&lt;&gt;"",--(L67="Congé"),0),IF($N$5&lt;&gt;"",--(N67="Congé"),0),IF($P$5&lt;&gt;"",--(P67="Congé"),0),IF($R$5&lt;&gt;"",--(R67="Congé"),0),IF($T$5&lt;&gt;"",--(T67="Congé"),0),IF($V$5&lt;&gt;"",--(V67="Congé"),0),IF($X$5&lt;&gt;"",--(X67="Congé"),0),IF($Z$5&lt;&gt;"",--(Z67="Congé"),0),IF($AB$5&lt;&gt;"",--(AB67="Congé"),0),IF($AD$5&lt;&gt;"",--(AD67="Congé"),0),IF($AF$5&lt;&gt;"",--(AF67="Congé"),0),IF($AH$5&lt;&gt;"",--(AH67="Congé"),0),IF($AJ$5&lt;&gt;"",--(AJ67="Congé"),0),IF($AL$5&lt;&gt;"",--(AL67="Congé"),0),IF($AN$5&lt;&gt;"",--(AN67="Congé"),0),IF($AP$5&lt;&gt;"",--(AP67="Congé"),0),IF($AR$5&lt;&gt;"",--(AR67="Congé"),0),IF($AT$5&lt;&gt;"",--(AT67="Congé"),0),IF($AV$5&lt;&gt;"",--(AV67="Congé"),0),IF($AX$5&lt;&gt;"",--(AX67="Congé"),0),IF($AZ$5&lt;&gt;"",--(AZ67="Congé"),0),IF($BB$5&lt;&gt;"",--(BB67="Congé"),0),IF($BD$5&lt;&gt;"",--(BD67="Congé"),0),IF($BF$5&lt;&gt;"",--(BF67="Congé"),0),IF($BH$5&lt;&gt;"",--(BH67="Congé"),0),IF($BJ$5&lt;&gt;"",--(BJ67="Congé"),0),IF($BL$5&lt;&gt;"",--(BL67="Congé"),0)))</f>
      </c>
      <c r="BQ67" s="22">
        <f>IF($A67="","",SUM(IF($D$5&lt;&gt;"",--(D67="Maladie"),0),IF($F$5&lt;&gt;"",--(F67="Maladie"),0),IF($H$5&lt;&gt;"",--(H67="Maladie"),0),IF($J$5&lt;&gt;"",--(J67="Maladie"),0),IF($L$5&lt;&gt;"",--(L67="Maladie"),0),IF($N$5&lt;&gt;"",--(N67="Maladie"),0),IF($P$5&lt;&gt;"",--(P67="Maladie"),0),IF($R$5&lt;&gt;"",--(R67="Maladie"),0),IF($T$5&lt;&gt;"",--(T67="Maladie"),0),IF($V$5&lt;&gt;"",--(V67="Maladie"),0),IF($X$5&lt;&gt;"",--(X67="Maladie"),0),IF($Z$5&lt;&gt;"",--(Z67="Maladie"),0),IF($AB$5&lt;&gt;"",--(AB67="Maladie"),0),IF($AD$5&lt;&gt;"",--(AD67="Maladie"),0),IF($AF$5&lt;&gt;"",--(AF67="Maladie"),0),IF($AH$5&lt;&gt;"",--(AH67="Maladie"),0),IF($AJ$5&lt;&gt;"",--(AJ67="Maladie"),0),IF($AL$5&lt;&gt;"",--(AL67="Maladie"),0),IF($AN$5&lt;&gt;"",--(AN67="Maladie"),0),IF($AP$5&lt;&gt;"",--(AP67="Maladie"),0),IF($AR$5&lt;&gt;"",--(AR67="Maladie"),0),IF($AT$5&lt;&gt;"",--(AT67="Maladie"),0),IF($AV$5&lt;&gt;"",--(AV67="Maladie"),0),IF($AX$5&lt;&gt;"",--(AX67="Maladie"),0),IF($AZ$5&lt;&gt;"",--(AZ67="Maladie"),0),IF($BB$5&lt;&gt;"",--(BB67="Maladie"),0),IF($BD$5&lt;&gt;"",--(BD67="Maladie"),0),IF($BF$5&lt;&gt;"",--(BF67="Maladie"),0),IF($BH$5&lt;&gt;"",--(BH67="Maladie"),0),IF($BJ$5&lt;&gt;"",--(BJ67="Maladie"),0),IF($BL$5&lt;&gt;"",--(BL67="Maladie"),0)))</f>
      </c>
      <c r="BR67" s="23">
        <f>IF($A67="","",SUM(IF($D$5&lt;&gt;"",IF(D67="Présent",E67,0),0),IF($F$5&lt;&gt;"",IF(F67="Présent",G67,0),0),IF($H$5&lt;&gt;"",IF(H67="Présent",I67,0),0),IF($J$5&lt;&gt;"",IF(J67="Présent",K67,0),0),IF($L$5&lt;&gt;"",IF(L67="Présent",M67,0),0),IF($N$5&lt;&gt;"",IF(N67="Présent",O67,0),0),IF($P$5&lt;&gt;"",IF(P67="Présent",Q67,0),0),IF($R$5&lt;&gt;"",IF(R67="Présent",S67,0),0),IF($T$5&lt;&gt;"",IF(T67="Présent",U67,0),0),IF($V$5&lt;&gt;"",IF(V67="Présent",W67,0),0),IF($X$5&lt;&gt;"",IF(X67="Présent",Y67,0),0),IF($Z$5&lt;&gt;"",IF(Z67="Présent",AA67,0),0),IF($AB$5&lt;&gt;"",IF(AB67="Présent",AC67,0),0),IF($AD$5&lt;&gt;"",IF(AD67="Présent",AE67,0),0),IF($AF$5&lt;&gt;"",IF(AF67="Présent",AG67,0),0),IF($AH$5&lt;&gt;"",IF(AH67="Présent",AI67,0),0),IF($AJ$5&lt;&gt;"",IF(AJ67="Présent",AK67,0),0),IF($AL$5&lt;&gt;"",IF(AL67="Présent",AM67,0),0),IF($AN$5&lt;&gt;"",IF(AN67="Présent",AO67,0),0),IF($AP$5&lt;&gt;"",IF(AP67="Présent",AQ67,0),0),IF($AR$5&lt;&gt;"",IF(AR67="Présent",AS67,0),0),IF($AT$5&lt;&gt;"",IF(AT67="Présent",AU67,0),0),IF($AV$5&lt;&gt;"",IF(AV67="Présent",AW67,0),0),IF($AX$5&lt;&gt;"",IF(AX67="Présent",AY67,0),0),IF($AZ$5&lt;&gt;"",IF(AZ67="Présent",BA67,0),0),IF($BB$5&lt;&gt;"",IF(BB67="Présent",BC67,0),0),IF($BD$5&lt;&gt;"",IF(BD67="Présent",BE67,0),0),IF($BF$5&lt;&gt;"",IF(BF67="Présent",BG67,0),0),IF($BH$5&lt;&gt;"",IF(BH67="Présent",BI67,0),0),IF($BJ$5&lt;&gt;"",IF(BJ67="Présent",BK67,0),0),IF($BL$5&lt;&gt;"",IF(BL67="Présent",BM67,0),0)))</f>
      </c>
      <c r="BS67" s="25">
        <f>IF($A67="","",$BN67*IFERROR(INDEX(Categories_Salaire,MATCH($C67,ListeCategories,0)),0)+$BR67*IF(IFERROR(INDEX(Categories_TauxHS,MATCH($C67,ListeCategories,0)),0)&gt;0,IFERROR(INDEX(Categories_TauxHS,MATCH($C67,ListeCategories,0)),0),TauxHSDefaut))</f>
      </c>
    </row>
    <row r="68">
      <c r="A68" s="20">
        <f>IF(AND(INDEX(Employes_Nom,62)&lt;&gt;"",INDEX(Employes_Statut,62)="Actif",OR(INDEX(Employes_Embauche,62)="",INDEX(Employes_Embauche,62)&lt;=EOMONTH(DATE(AnneeCourante,MoisCourant,1),0))),INDEX(Employes_ID,62),"")</f>
      </c>
      <c r="B68" s="19">
        <f>IF($A68="","",INDEX(Employes_Nom,MATCH($A68,Employes_ID,0)))</f>
      </c>
      <c r="C68" s="20">
        <f>IF($A68="","",INDEX(Employes_Categorie,MATCH($A68,Employes_ID,0)))</f>
      </c>
      <c r="D68" s="26"/>
      <c r="E68" s="27"/>
      <c r="F68" s="26"/>
      <c r="G68" s="27"/>
      <c r="H68" s="26"/>
      <c r="I68" s="27"/>
      <c r="J68" s="26"/>
      <c r="K68" s="27"/>
      <c r="L68" s="26"/>
      <c r="M68" s="27"/>
      <c r="N68" s="26"/>
      <c r="O68" s="27"/>
      <c r="P68" s="26"/>
      <c r="Q68" s="27"/>
      <c r="R68" s="26"/>
      <c r="S68" s="27"/>
      <c r="T68" s="26"/>
      <c r="U68" s="27"/>
      <c r="V68" s="26"/>
      <c r="W68" s="27"/>
      <c r="X68" s="26"/>
      <c r="Y68" s="27"/>
      <c r="Z68" s="26"/>
      <c r="AA68" s="27"/>
      <c r="AB68" s="26"/>
      <c r="AC68" s="27"/>
      <c r="AD68" s="26"/>
      <c r="AE68" s="27"/>
      <c r="AF68" s="26"/>
      <c r="AG68" s="27"/>
      <c r="AH68" s="26"/>
      <c r="AI68" s="27"/>
      <c r="AJ68" s="26"/>
      <c r="AK68" s="27"/>
      <c r="AL68" s="26"/>
      <c r="AM68" s="27"/>
      <c r="AN68" s="26"/>
      <c r="AO68" s="27"/>
      <c r="AP68" s="26"/>
      <c r="AQ68" s="27"/>
      <c r="AR68" s="26"/>
      <c r="AS68" s="27"/>
      <c r="AT68" s="26"/>
      <c r="AU68" s="27"/>
      <c r="AV68" s="26"/>
      <c r="AW68" s="27"/>
      <c r="AX68" s="26"/>
      <c r="AY68" s="27"/>
      <c r="AZ68" s="26"/>
      <c r="BA68" s="27"/>
      <c r="BB68" s="26"/>
      <c r="BC68" s="27"/>
      <c r="BD68" s="26"/>
      <c r="BE68" s="27"/>
      <c r="BF68" s="26"/>
      <c r="BG68" s="27"/>
      <c r="BH68" s="26"/>
      <c r="BI68" s="27"/>
      <c r="BJ68" s="26"/>
      <c r="BK68" s="27"/>
      <c r="BL68" s="26"/>
      <c r="BM68" s="27"/>
      <c r="BN68" s="22">
        <f>IF($A68="","",SUM(IF($D$5&lt;&gt;"",--(D68="Présent"),0),IF($F$5&lt;&gt;"",--(F68="Présent"),0),IF($H$5&lt;&gt;"",--(H68="Présent"),0),IF($J$5&lt;&gt;"",--(J68="Présent"),0),IF($L$5&lt;&gt;"",--(L68="Présent"),0),IF($N$5&lt;&gt;"",--(N68="Présent"),0),IF($P$5&lt;&gt;"",--(P68="Présent"),0),IF($R$5&lt;&gt;"",--(R68="Présent"),0),IF($T$5&lt;&gt;"",--(T68="Présent"),0),IF($V$5&lt;&gt;"",--(V68="Présent"),0),IF($X$5&lt;&gt;"",--(X68="Présent"),0),IF($Z$5&lt;&gt;"",--(Z68="Présent"),0),IF($AB$5&lt;&gt;"",--(AB68="Présent"),0),IF($AD$5&lt;&gt;"",--(AD68="Présent"),0),IF($AF$5&lt;&gt;"",--(AF68="Présent"),0),IF($AH$5&lt;&gt;"",--(AH68="Présent"),0),IF($AJ$5&lt;&gt;"",--(AJ68="Présent"),0),IF($AL$5&lt;&gt;"",--(AL68="Présent"),0),IF($AN$5&lt;&gt;"",--(AN68="Présent"),0),IF($AP$5&lt;&gt;"",--(AP68="Présent"),0),IF($AR$5&lt;&gt;"",--(AR68="Présent"),0),IF($AT$5&lt;&gt;"",--(AT68="Présent"),0),IF($AV$5&lt;&gt;"",--(AV68="Présent"),0),IF($AX$5&lt;&gt;"",--(AX68="Présent"),0),IF($AZ$5&lt;&gt;"",--(AZ68="Présent"),0),IF($BB$5&lt;&gt;"",--(BB68="Présent"),0),IF($BD$5&lt;&gt;"",--(BD68="Présent"),0),IF($BF$5&lt;&gt;"",--(BF68="Présent"),0),IF($BH$5&lt;&gt;"",--(BH68="Présent"),0),IF($BJ$5&lt;&gt;"",--(BJ68="Présent"),0),IF($BL$5&lt;&gt;"",--(BL68="Présent"),0)))</f>
      </c>
      <c r="BO68" s="22">
        <f>IF($A68="","",SUM(IF($D$5&lt;&gt;"",--(D68="Absent"),0),IF($F$5&lt;&gt;"",--(F68="Absent"),0),IF($H$5&lt;&gt;"",--(H68="Absent"),0),IF($J$5&lt;&gt;"",--(J68="Absent"),0),IF($L$5&lt;&gt;"",--(L68="Absent"),0),IF($N$5&lt;&gt;"",--(N68="Absent"),0),IF($P$5&lt;&gt;"",--(P68="Absent"),0),IF($R$5&lt;&gt;"",--(R68="Absent"),0),IF($T$5&lt;&gt;"",--(T68="Absent"),0),IF($V$5&lt;&gt;"",--(V68="Absent"),0),IF($X$5&lt;&gt;"",--(X68="Absent"),0),IF($Z$5&lt;&gt;"",--(Z68="Absent"),0),IF($AB$5&lt;&gt;"",--(AB68="Absent"),0),IF($AD$5&lt;&gt;"",--(AD68="Absent"),0),IF($AF$5&lt;&gt;"",--(AF68="Absent"),0),IF($AH$5&lt;&gt;"",--(AH68="Absent"),0),IF($AJ$5&lt;&gt;"",--(AJ68="Absent"),0),IF($AL$5&lt;&gt;"",--(AL68="Absent"),0),IF($AN$5&lt;&gt;"",--(AN68="Absent"),0),IF($AP$5&lt;&gt;"",--(AP68="Absent"),0),IF($AR$5&lt;&gt;"",--(AR68="Absent"),0),IF($AT$5&lt;&gt;"",--(AT68="Absent"),0),IF($AV$5&lt;&gt;"",--(AV68="Absent"),0),IF($AX$5&lt;&gt;"",--(AX68="Absent"),0),IF($AZ$5&lt;&gt;"",--(AZ68="Absent"),0),IF($BB$5&lt;&gt;"",--(BB68="Absent"),0),IF($BD$5&lt;&gt;"",--(BD68="Absent"),0),IF($BF$5&lt;&gt;"",--(BF68="Absent"),0),IF($BH$5&lt;&gt;"",--(BH68="Absent"),0),IF($BJ$5&lt;&gt;"",--(BJ68="Absent"),0),IF($BL$5&lt;&gt;"",--(BL68="Absent"),0)))</f>
      </c>
      <c r="BP68" s="22">
        <f>IF($A68="","",SUM(IF($D$5&lt;&gt;"",--(D68="Congé"),0),IF($F$5&lt;&gt;"",--(F68="Congé"),0),IF($H$5&lt;&gt;"",--(H68="Congé"),0),IF($J$5&lt;&gt;"",--(J68="Congé"),0),IF($L$5&lt;&gt;"",--(L68="Congé"),0),IF($N$5&lt;&gt;"",--(N68="Congé"),0),IF($P$5&lt;&gt;"",--(P68="Congé"),0),IF($R$5&lt;&gt;"",--(R68="Congé"),0),IF($T$5&lt;&gt;"",--(T68="Congé"),0),IF($V$5&lt;&gt;"",--(V68="Congé"),0),IF($X$5&lt;&gt;"",--(X68="Congé"),0),IF($Z$5&lt;&gt;"",--(Z68="Congé"),0),IF($AB$5&lt;&gt;"",--(AB68="Congé"),0),IF($AD$5&lt;&gt;"",--(AD68="Congé"),0),IF($AF$5&lt;&gt;"",--(AF68="Congé"),0),IF($AH$5&lt;&gt;"",--(AH68="Congé"),0),IF($AJ$5&lt;&gt;"",--(AJ68="Congé"),0),IF($AL$5&lt;&gt;"",--(AL68="Congé"),0),IF($AN$5&lt;&gt;"",--(AN68="Congé"),0),IF($AP$5&lt;&gt;"",--(AP68="Congé"),0),IF($AR$5&lt;&gt;"",--(AR68="Congé"),0),IF($AT$5&lt;&gt;"",--(AT68="Congé"),0),IF($AV$5&lt;&gt;"",--(AV68="Congé"),0),IF($AX$5&lt;&gt;"",--(AX68="Congé"),0),IF($AZ$5&lt;&gt;"",--(AZ68="Congé"),0),IF($BB$5&lt;&gt;"",--(BB68="Congé"),0),IF($BD$5&lt;&gt;"",--(BD68="Congé"),0),IF($BF$5&lt;&gt;"",--(BF68="Congé"),0),IF($BH$5&lt;&gt;"",--(BH68="Congé"),0),IF($BJ$5&lt;&gt;"",--(BJ68="Congé"),0),IF($BL$5&lt;&gt;"",--(BL68="Congé"),0)))</f>
      </c>
      <c r="BQ68" s="22">
        <f>IF($A68="","",SUM(IF($D$5&lt;&gt;"",--(D68="Maladie"),0),IF($F$5&lt;&gt;"",--(F68="Maladie"),0),IF($H$5&lt;&gt;"",--(H68="Maladie"),0),IF($J$5&lt;&gt;"",--(J68="Maladie"),0),IF($L$5&lt;&gt;"",--(L68="Maladie"),0),IF($N$5&lt;&gt;"",--(N68="Maladie"),0),IF($P$5&lt;&gt;"",--(P68="Maladie"),0),IF($R$5&lt;&gt;"",--(R68="Maladie"),0),IF($T$5&lt;&gt;"",--(T68="Maladie"),0),IF($V$5&lt;&gt;"",--(V68="Maladie"),0),IF($X$5&lt;&gt;"",--(X68="Maladie"),0),IF($Z$5&lt;&gt;"",--(Z68="Maladie"),0),IF($AB$5&lt;&gt;"",--(AB68="Maladie"),0),IF($AD$5&lt;&gt;"",--(AD68="Maladie"),0),IF($AF$5&lt;&gt;"",--(AF68="Maladie"),0),IF($AH$5&lt;&gt;"",--(AH68="Maladie"),0),IF($AJ$5&lt;&gt;"",--(AJ68="Maladie"),0),IF($AL$5&lt;&gt;"",--(AL68="Maladie"),0),IF($AN$5&lt;&gt;"",--(AN68="Maladie"),0),IF($AP$5&lt;&gt;"",--(AP68="Maladie"),0),IF($AR$5&lt;&gt;"",--(AR68="Maladie"),0),IF($AT$5&lt;&gt;"",--(AT68="Maladie"),0),IF($AV$5&lt;&gt;"",--(AV68="Maladie"),0),IF($AX$5&lt;&gt;"",--(AX68="Maladie"),0),IF($AZ$5&lt;&gt;"",--(AZ68="Maladie"),0),IF($BB$5&lt;&gt;"",--(BB68="Maladie"),0),IF($BD$5&lt;&gt;"",--(BD68="Maladie"),0),IF($BF$5&lt;&gt;"",--(BF68="Maladie"),0),IF($BH$5&lt;&gt;"",--(BH68="Maladie"),0),IF($BJ$5&lt;&gt;"",--(BJ68="Maladie"),0),IF($BL$5&lt;&gt;"",--(BL68="Maladie"),0)))</f>
      </c>
      <c r="BR68" s="23">
        <f>IF($A68="","",SUM(IF($D$5&lt;&gt;"",IF(D68="Présent",E68,0),0),IF($F$5&lt;&gt;"",IF(F68="Présent",G68,0),0),IF($H$5&lt;&gt;"",IF(H68="Présent",I68,0),0),IF($J$5&lt;&gt;"",IF(J68="Présent",K68,0),0),IF($L$5&lt;&gt;"",IF(L68="Présent",M68,0),0),IF($N$5&lt;&gt;"",IF(N68="Présent",O68,0),0),IF($P$5&lt;&gt;"",IF(P68="Présent",Q68,0),0),IF($R$5&lt;&gt;"",IF(R68="Présent",S68,0),0),IF($T$5&lt;&gt;"",IF(T68="Présent",U68,0),0),IF($V$5&lt;&gt;"",IF(V68="Présent",W68,0),0),IF($X$5&lt;&gt;"",IF(X68="Présent",Y68,0),0),IF($Z$5&lt;&gt;"",IF(Z68="Présent",AA68,0),0),IF($AB$5&lt;&gt;"",IF(AB68="Présent",AC68,0),0),IF($AD$5&lt;&gt;"",IF(AD68="Présent",AE68,0),0),IF($AF$5&lt;&gt;"",IF(AF68="Présent",AG68,0),0),IF($AH$5&lt;&gt;"",IF(AH68="Présent",AI68,0),0),IF($AJ$5&lt;&gt;"",IF(AJ68="Présent",AK68,0),0),IF($AL$5&lt;&gt;"",IF(AL68="Présent",AM68,0),0),IF($AN$5&lt;&gt;"",IF(AN68="Présent",AO68,0),0),IF($AP$5&lt;&gt;"",IF(AP68="Présent",AQ68,0),0),IF($AR$5&lt;&gt;"",IF(AR68="Présent",AS68,0),0),IF($AT$5&lt;&gt;"",IF(AT68="Présent",AU68,0),0),IF($AV$5&lt;&gt;"",IF(AV68="Présent",AW68,0),0),IF($AX$5&lt;&gt;"",IF(AX68="Présent",AY68,0),0),IF($AZ$5&lt;&gt;"",IF(AZ68="Présent",BA68,0),0),IF($BB$5&lt;&gt;"",IF(BB68="Présent",BC68,0),0),IF($BD$5&lt;&gt;"",IF(BD68="Présent",BE68,0),0),IF($BF$5&lt;&gt;"",IF(BF68="Présent",BG68,0),0),IF($BH$5&lt;&gt;"",IF(BH68="Présent",BI68,0),0),IF($BJ$5&lt;&gt;"",IF(BJ68="Présent",BK68,0),0),IF($BL$5&lt;&gt;"",IF(BL68="Présent",BM68,0),0)))</f>
      </c>
      <c r="BS68" s="25">
        <f>IF($A68="","",$BN68*IFERROR(INDEX(Categories_Salaire,MATCH($C68,ListeCategories,0)),0)+$BR68*IF(IFERROR(INDEX(Categories_TauxHS,MATCH($C68,ListeCategories,0)),0)&gt;0,IFERROR(INDEX(Categories_TauxHS,MATCH($C68,ListeCategories,0)),0),TauxHSDefaut))</f>
      </c>
    </row>
    <row r="69">
      <c r="A69" s="20">
        <f>IF(AND(INDEX(Employes_Nom,63)&lt;&gt;"",INDEX(Employes_Statut,63)="Actif",OR(INDEX(Employes_Embauche,63)="",INDEX(Employes_Embauche,63)&lt;=EOMONTH(DATE(AnneeCourante,MoisCourant,1),0))),INDEX(Employes_ID,63),"")</f>
      </c>
      <c r="B69" s="19">
        <f>IF($A69="","",INDEX(Employes_Nom,MATCH($A69,Employes_ID,0)))</f>
      </c>
      <c r="C69" s="20">
        <f>IF($A69="","",INDEX(Employes_Categorie,MATCH($A69,Employes_ID,0)))</f>
      </c>
      <c r="D69" s="26"/>
      <c r="E69" s="27"/>
      <c r="F69" s="26"/>
      <c r="G69" s="27"/>
      <c r="H69" s="26"/>
      <c r="I69" s="27"/>
      <c r="J69" s="26"/>
      <c r="K69" s="27"/>
      <c r="L69" s="26"/>
      <c r="M69" s="27"/>
      <c r="N69" s="26"/>
      <c r="O69" s="27"/>
      <c r="P69" s="26"/>
      <c r="Q69" s="27"/>
      <c r="R69" s="26"/>
      <c r="S69" s="27"/>
      <c r="T69" s="26"/>
      <c r="U69" s="27"/>
      <c r="V69" s="26"/>
      <c r="W69" s="27"/>
      <c r="X69" s="26"/>
      <c r="Y69" s="27"/>
      <c r="Z69" s="26"/>
      <c r="AA69" s="27"/>
      <c r="AB69" s="26"/>
      <c r="AC69" s="27"/>
      <c r="AD69" s="26"/>
      <c r="AE69" s="27"/>
      <c r="AF69" s="26"/>
      <c r="AG69" s="27"/>
      <c r="AH69" s="26"/>
      <c r="AI69" s="27"/>
      <c r="AJ69" s="26"/>
      <c r="AK69" s="27"/>
      <c r="AL69" s="26"/>
      <c r="AM69" s="27"/>
      <c r="AN69" s="26"/>
      <c r="AO69" s="27"/>
      <c r="AP69" s="26"/>
      <c r="AQ69" s="27"/>
      <c r="AR69" s="26"/>
      <c r="AS69" s="27"/>
      <c r="AT69" s="26"/>
      <c r="AU69" s="27"/>
      <c r="AV69" s="26"/>
      <c r="AW69" s="27"/>
      <c r="AX69" s="26"/>
      <c r="AY69" s="27"/>
      <c r="AZ69" s="26"/>
      <c r="BA69" s="27"/>
      <c r="BB69" s="26"/>
      <c r="BC69" s="27"/>
      <c r="BD69" s="26"/>
      <c r="BE69" s="27"/>
      <c r="BF69" s="26"/>
      <c r="BG69" s="27"/>
      <c r="BH69" s="26"/>
      <c r="BI69" s="27"/>
      <c r="BJ69" s="26"/>
      <c r="BK69" s="27"/>
      <c r="BL69" s="26"/>
      <c r="BM69" s="27"/>
      <c r="BN69" s="22">
        <f>IF($A69="","",SUM(IF($D$5&lt;&gt;"",--(D69="Présent"),0),IF($F$5&lt;&gt;"",--(F69="Présent"),0),IF($H$5&lt;&gt;"",--(H69="Présent"),0),IF($J$5&lt;&gt;"",--(J69="Présent"),0),IF($L$5&lt;&gt;"",--(L69="Présent"),0),IF($N$5&lt;&gt;"",--(N69="Présent"),0),IF($P$5&lt;&gt;"",--(P69="Présent"),0),IF($R$5&lt;&gt;"",--(R69="Présent"),0),IF($T$5&lt;&gt;"",--(T69="Présent"),0),IF($V$5&lt;&gt;"",--(V69="Présent"),0),IF($X$5&lt;&gt;"",--(X69="Présent"),0),IF($Z$5&lt;&gt;"",--(Z69="Présent"),0),IF($AB$5&lt;&gt;"",--(AB69="Présent"),0),IF($AD$5&lt;&gt;"",--(AD69="Présent"),0),IF($AF$5&lt;&gt;"",--(AF69="Présent"),0),IF($AH$5&lt;&gt;"",--(AH69="Présent"),0),IF($AJ$5&lt;&gt;"",--(AJ69="Présent"),0),IF($AL$5&lt;&gt;"",--(AL69="Présent"),0),IF($AN$5&lt;&gt;"",--(AN69="Présent"),0),IF($AP$5&lt;&gt;"",--(AP69="Présent"),0),IF($AR$5&lt;&gt;"",--(AR69="Présent"),0),IF($AT$5&lt;&gt;"",--(AT69="Présent"),0),IF($AV$5&lt;&gt;"",--(AV69="Présent"),0),IF($AX$5&lt;&gt;"",--(AX69="Présent"),0),IF($AZ$5&lt;&gt;"",--(AZ69="Présent"),0),IF($BB$5&lt;&gt;"",--(BB69="Présent"),0),IF($BD$5&lt;&gt;"",--(BD69="Présent"),0),IF($BF$5&lt;&gt;"",--(BF69="Présent"),0),IF($BH$5&lt;&gt;"",--(BH69="Présent"),0),IF($BJ$5&lt;&gt;"",--(BJ69="Présent"),0),IF($BL$5&lt;&gt;"",--(BL69="Présent"),0)))</f>
      </c>
      <c r="BO69" s="22">
        <f>IF($A69="","",SUM(IF($D$5&lt;&gt;"",--(D69="Absent"),0),IF($F$5&lt;&gt;"",--(F69="Absent"),0),IF($H$5&lt;&gt;"",--(H69="Absent"),0),IF($J$5&lt;&gt;"",--(J69="Absent"),0),IF($L$5&lt;&gt;"",--(L69="Absent"),0),IF($N$5&lt;&gt;"",--(N69="Absent"),0),IF($P$5&lt;&gt;"",--(P69="Absent"),0),IF($R$5&lt;&gt;"",--(R69="Absent"),0),IF($T$5&lt;&gt;"",--(T69="Absent"),0),IF($V$5&lt;&gt;"",--(V69="Absent"),0),IF($X$5&lt;&gt;"",--(X69="Absent"),0),IF($Z$5&lt;&gt;"",--(Z69="Absent"),0),IF($AB$5&lt;&gt;"",--(AB69="Absent"),0),IF($AD$5&lt;&gt;"",--(AD69="Absent"),0),IF($AF$5&lt;&gt;"",--(AF69="Absent"),0),IF($AH$5&lt;&gt;"",--(AH69="Absent"),0),IF($AJ$5&lt;&gt;"",--(AJ69="Absent"),0),IF($AL$5&lt;&gt;"",--(AL69="Absent"),0),IF($AN$5&lt;&gt;"",--(AN69="Absent"),0),IF($AP$5&lt;&gt;"",--(AP69="Absent"),0),IF($AR$5&lt;&gt;"",--(AR69="Absent"),0),IF($AT$5&lt;&gt;"",--(AT69="Absent"),0),IF($AV$5&lt;&gt;"",--(AV69="Absent"),0),IF($AX$5&lt;&gt;"",--(AX69="Absent"),0),IF($AZ$5&lt;&gt;"",--(AZ69="Absent"),0),IF($BB$5&lt;&gt;"",--(BB69="Absent"),0),IF($BD$5&lt;&gt;"",--(BD69="Absent"),0),IF($BF$5&lt;&gt;"",--(BF69="Absent"),0),IF($BH$5&lt;&gt;"",--(BH69="Absent"),0),IF($BJ$5&lt;&gt;"",--(BJ69="Absent"),0),IF($BL$5&lt;&gt;"",--(BL69="Absent"),0)))</f>
      </c>
      <c r="BP69" s="22">
        <f>IF($A69="","",SUM(IF($D$5&lt;&gt;"",--(D69="Congé"),0),IF($F$5&lt;&gt;"",--(F69="Congé"),0),IF($H$5&lt;&gt;"",--(H69="Congé"),0),IF($J$5&lt;&gt;"",--(J69="Congé"),0),IF($L$5&lt;&gt;"",--(L69="Congé"),0),IF($N$5&lt;&gt;"",--(N69="Congé"),0),IF($P$5&lt;&gt;"",--(P69="Congé"),0),IF($R$5&lt;&gt;"",--(R69="Congé"),0),IF($T$5&lt;&gt;"",--(T69="Congé"),0),IF($V$5&lt;&gt;"",--(V69="Congé"),0),IF($X$5&lt;&gt;"",--(X69="Congé"),0),IF($Z$5&lt;&gt;"",--(Z69="Congé"),0),IF($AB$5&lt;&gt;"",--(AB69="Congé"),0),IF($AD$5&lt;&gt;"",--(AD69="Congé"),0),IF($AF$5&lt;&gt;"",--(AF69="Congé"),0),IF($AH$5&lt;&gt;"",--(AH69="Congé"),0),IF($AJ$5&lt;&gt;"",--(AJ69="Congé"),0),IF($AL$5&lt;&gt;"",--(AL69="Congé"),0),IF($AN$5&lt;&gt;"",--(AN69="Congé"),0),IF($AP$5&lt;&gt;"",--(AP69="Congé"),0),IF($AR$5&lt;&gt;"",--(AR69="Congé"),0),IF($AT$5&lt;&gt;"",--(AT69="Congé"),0),IF($AV$5&lt;&gt;"",--(AV69="Congé"),0),IF($AX$5&lt;&gt;"",--(AX69="Congé"),0),IF($AZ$5&lt;&gt;"",--(AZ69="Congé"),0),IF($BB$5&lt;&gt;"",--(BB69="Congé"),0),IF($BD$5&lt;&gt;"",--(BD69="Congé"),0),IF($BF$5&lt;&gt;"",--(BF69="Congé"),0),IF($BH$5&lt;&gt;"",--(BH69="Congé"),0),IF($BJ$5&lt;&gt;"",--(BJ69="Congé"),0),IF($BL$5&lt;&gt;"",--(BL69="Congé"),0)))</f>
      </c>
      <c r="BQ69" s="22">
        <f>IF($A69="","",SUM(IF($D$5&lt;&gt;"",--(D69="Maladie"),0),IF($F$5&lt;&gt;"",--(F69="Maladie"),0),IF($H$5&lt;&gt;"",--(H69="Maladie"),0),IF($J$5&lt;&gt;"",--(J69="Maladie"),0),IF($L$5&lt;&gt;"",--(L69="Maladie"),0),IF($N$5&lt;&gt;"",--(N69="Maladie"),0),IF($P$5&lt;&gt;"",--(P69="Maladie"),0),IF($R$5&lt;&gt;"",--(R69="Maladie"),0),IF($T$5&lt;&gt;"",--(T69="Maladie"),0),IF($V$5&lt;&gt;"",--(V69="Maladie"),0),IF($X$5&lt;&gt;"",--(X69="Maladie"),0),IF($Z$5&lt;&gt;"",--(Z69="Maladie"),0),IF($AB$5&lt;&gt;"",--(AB69="Maladie"),0),IF($AD$5&lt;&gt;"",--(AD69="Maladie"),0),IF($AF$5&lt;&gt;"",--(AF69="Maladie"),0),IF($AH$5&lt;&gt;"",--(AH69="Maladie"),0),IF($AJ$5&lt;&gt;"",--(AJ69="Maladie"),0),IF($AL$5&lt;&gt;"",--(AL69="Maladie"),0),IF($AN$5&lt;&gt;"",--(AN69="Maladie"),0),IF($AP$5&lt;&gt;"",--(AP69="Maladie"),0),IF($AR$5&lt;&gt;"",--(AR69="Maladie"),0),IF($AT$5&lt;&gt;"",--(AT69="Maladie"),0),IF($AV$5&lt;&gt;"",--(AV69="Maladie"),0),IF($AX$5&lt;&gt;"",--(AX69="Maladie"),0),IF($AZ$5&lt;&gt;"",--(AZ69="Maladie"),0),IF($BB$5&lt;&gt;"",--(BB69="Maladie"),0),IF($BD$5&lt;&gt;"",--(BD69="Maladie"),0),IF($BF$5&lt;&gt;"",--(BF69="Maladie"),0),IF($BH$5&lt;&gt;"",--(BH69="Maladie"),0),IF($BJ$5&lt;&gt;"",--(BJ69="Maladie"),0),IF($BL$5&lt;&gt;"",--(BL69="Maladie"),0)))</f>
      </c>
      <c r="BR69" s="23">
        <f>IF($A69="","",SUM(IF($D$5&lt;&gt;"",IF(D69="Présent",E69,0),0),IF($F$5&lt;&gt;"",IF(F69="Présent",G69,0),0),IF($H$5&lt;&gt;"",IF(H69="Présent",I69,0),0),IF($J$5&lt;&gt;"",IF(J69="Présent",K69,0),0),IF($L$5&lt;&gt;"",IF(L69="Présent",M69,0),0),IF($N$5&lt;&gt;"",IF(N69="Présent",O69,0),0),IF($P$5&lt;&gt;"",IF(P69="Présent",Q69,0),0),IF($R$5&lt;&gt;"",IF(R69="Présent",S69,0),0),IF($T$5&lt;&gt;"",IF(T69="Présent",U69,0),0),IF($V$5&lt;&gt;"",IF(V69="Présent",W69,0),0),IF($X$5&lt;&gt;"",IF(X69="Présent",Y69,0),0),IF($Z$5&lt;&gt;"",IF(Z69="Présent",AA69,0),0),IF($AB$5&lt;&gt;"",IF(AB69="Présent",AC69,0),0),IF($AD$5&lt;&gt;"",IF(AD69="Présent",AE69,0),0),IF($AF$5&lt;&gt;"",IF(AF69="Présent",AG69,0),0),IF($AH$5&lt;&gt;"",IF(AH69="Présent",AI69,0),0),IF($AJ$5&lt;&gt;"",IF(AJ69="Présent",AK69,0),0),IF($AL$5&lt;&gt;"",IF(AL69="Présent",AM69,0),0),IF($AN$5&lt;&gt;"",IF(AN69="Présent",AO69,0),0),IF($AP$5&lt;&gt;"",IF(AP69="Présent",AQ69,0),0),IF($AR$5&lt;&gt;"",IF(AR69="Présent",AS69,0),0),IF($AT$5&lt;&gt;"",IF(AT69="Présent",AU69,0),0),IF($AV$5&lt;&gt;"",IF(AV69="Présent",AW69,0),0),IF($AX$5&lt;&gt;"",IF(AX69="Présent",AY69,0),0),IF($AZ$5&lt;&gt;"",IF(AZ69="Présent",BA69,0),0),IF($BB$5&lt;&gt;"",IF(BB69="Présent",BC69,0),0),IF($BD$5&lt;&gt;"",IF(BD69="Présent",BE69,0),0),IF($BF$5&lt;&gt;"",IF(BF69="Présent",BG69,0),0),IF($BH$5&lt;&gt;"",IF(BH69="Présent",BI69,0),0),IF($BJ$5&lt;&gt;"",IF(BJ69="Présent",BK69,0),0),IF($BL$5&lt;&gt;"",IF(BL69="Présent",BM69,0),0)))</f>
      </c>
      <c r="BS69" s="25">
        <f>IF($A69="","",$BN69*IFERROR(INDEX(Categories_Salaire,MATCH($C69,ListeCategories,0)),0)+$BR69*IF(IFERROR(INDEX(Categories_TauxHS,MATCH($C69,ListeCategories,0)),0)&gt;0,IFERROR(INDEX(Categories_TauxHS,MATCH($C69,ListeCategories,0)),0),TauxHSDefaut))</f>
      </c>
    </row>
    <row r="70">
      <c r="A70" s="20">
        <f>IF(AND(INDEX(Employes_Nom,64)&lt;&gt;"",INDEX(Employes_Statut,64)="Actif",OR(INDEX(Employes_Embauche,64)="",INDEX(Employes_Embauche,64)&lt;=EOMONTH(DATE(AnneeCourante,MoisCourant,1),0))),INDEX(Employes_ID,64),"")</f>
      </c>
      <c r="B70" s="19">
        <f>IF($A70="","",INDEX(Employes_Nom,MATCH($A70,Employes_ID,0)))</f>
      </c>
      <c r="C70" s="20">
        <f>IF($A70="","",INDEX(Employes_Categorie,MATCH($A70,Employes_ID,0)))</f>
      </c>
      <c r="D70" s="26"/>
      <c r="E70" s="27"/>
      <c r="F70" s="26"/>
      <c r="G70" s="27"/>
      <c r="H70" s="26"/>
      <c r="I70" s="27"/>
      <c r="J70" s="26"/>
      <c r="K70" s="27"/>
      <c r="L70" s="26"/>
      <c r="M70" s="27"/>
      <c r="N70" s="26"/>
      <c r="O70" s="27"/>
      <c r="P70" s="26"/>
      <c r="Q70" s="27"/>
      <c r="R70" s="26"/>
      <c r="S70" s="27"/>
      <c r="T70" s="26"/>
      <c r="U70" s="27"/>
      <c r="V70" s="26"/>
      <c r="W70" s="27"/>
      <c r="X70" s="26"/>
      <c r="Y70" s="27"/>
      <c r="Z70" s="26"/>
      <c r="AA70" s="27"/>
      <c r="AB70" s="26"/>
      <c r="AC70" s="27"/>
      <c r="AD70" s="26"/>
      <c r="AE70" s="27"/>
      <c r="AF70" s="26"/>
      <c r="AG70" s="27"/>
      <c r="AH70" s="26"/>
      <c r="AI70" s="27"/>
      <c r="AJ70" s="26"/>
      <c r="AK70" s="27"/>
      <c r="AL70" s="26"/>
      <c r="AM70" s="27"/>
      <c r="AN70" s="26"/>
      <c r="AO70" s="27"/>
      <c r="AP70" s="26"/>
      <c r="AQ70" s="27"/>
      <c r="AR70" s="26"/>
      <c r="AS70" s="27"/>
      <c r="AT70" s="26"/>
      <c r="AU70" s="27"/>
      <c r="AV70" s="26"/>
      <c r="AW70" s="27"/>
      <c r="AX70" s="26"/>
      <c r="AY70" s="27"/>
      <c r="AZ70" s="26"/>
      <c r="BA70" s="27"/>
      <c r="BB70" s="26"/>
      <c r="BC70" s="27"/>
      <c r="BD70" s="26"/>
      <c r="BE70" s="27"/>
      <c r="BF70" s="26"/>
      <c r="BG70" s="27"/>
      <c r="BH70" s="26"/>
      <c r="BI70" s="27"/>
      <c r="BJ70" s="26"/>
      <c r="BK70" s="27"/>
      <c r="BL70" s="26"/>
      <c r="BM70" s="27"/>
      <c r="BN70" s="22">
        <f>IF($A70="","",SUM(IF($D$5&lt;&gt;"",--(D70="Présent"),0),IF($F$5&lt;&gt;"",--(F70="Présent"),0),IF($H$5&lt;&gt;"",--(H70="Présent"),0),IF($J$5&lt;&gt;"",--(J70="Présent"),0),IF($L$5&lt;&gt;"",--(L70="Présent"),0),IF($N$5&lt;&gt;"",--(N70="Présent"),0),IF($P$5&lt;&gt;"",--(P70="Présent"),0),IF($R$5&lt;&gt;"",--(R70="Présent"),0),IF($T$5&lt;&gt;"",--(T70="Présent"),0),IF($V$5&lt;&gt;"",--(V70="Présent"),0),IF($X$5&lt;&gt;"",--(X70="Présent"),0),IF($Z$5&lt;&gt;"",--(Z70="Présent"),0),IF($AB$5&lt;&gt;"",--(AB70="Présent"),0),IF($AD$5&lt;&gt;"",--(AD70="Présent"),0),IF($AF$5&lt;&gt;"",--(AF70="Présent"),0),IF($AH$5&lt;&gt;"",--(AH70="Présent"),0),IF($AJ$5&lt;&gt;"",--(AJ70="Présent"),0),IF($AL$5&lt;&gt;"",--(AL70="Présent"),0),IF($AN$5&lt;&gt;"",--(AN70="Présent"),0),IF($AP$5&lt;&gt;"",--(AP70="Présent"),0),IF($AR$5&lt;&gt;"",--(AR70="Présent"),0),IF($AT$5&lt;&gt;"",--(AT70="Présent"),0),IF($AV$5&lt;&gt;"",--(AV70="Présent"),0),IF($AX$5&lt;&gt;"",--(AX70="Présent"),0),IF($AZ$5&lt;&gt;"",--(AZ70="Présent"),0),IF($BB$5&lt;&gt;"",--(BB70="Présent"),0),IF($BD$5&lt;&gt;"",--(BD70="Présent"),0),IF($BF$5&lt;&gt;"",--(BF70="Présent"),0),IF($BH$5&lt;&gt;"",--(BH70="Présent"),0),IF($BJ$5&lt;&gt;"",--(BJ70="Présent"),0),IF($BL$5&lt;&gt;"",--(BL70="Présent"),0)))</f>
      </c>
      <c r="BO70" s="22">
        <f>IF($A70="","",SUM(IF($D$5&lt;&gt;"",--(D70="Absent"),0),IF($F$5&lt;&gt;"",--(F70="Absent"),0),IF($H$5&lt;&gt;"",--(H70="Absent"),0),IF($J$5&lt;&gt;"",--(J70="Absent"),0),IF($L$5&lt;&gt;"",--(L70="Absent"),0),IF($N$5&lt;&gt;"",--(N70="Absent"),0),IF($P$5&lt;&gt;"",--(P70="Absent"),0),IF($R$5&lt;&gt;"",--(R70="Absent"),0),IF($T$5&lt;&gt;"",--(T70="Absent"),0),IF($V$5&lt;&gt;"",--(V70="Absent"),0),IF($X$5&lt;&gt;"",--(X70="Absent"),0),IF($Z$5&lt;&gt;"",--(Z70="Absent"),0),IF($AB$5&lt;&gt;"",--(AB70="Absent"),0),IF($AD$5&lt;&gt;"",--(AD70="Absent"),0),IF($AF$5&lt;&gt;"",--(AF70="Absent"),0),IF($AH$5&lt;&gt;"",--(AH70="Absent"),0),IF($AJ$5&lt;&gt;"",--(AJ70="Absent"),0),IF($AL$5&lt;&gt;"",--(AL70="Absent"),0),IF($AN$5&lt;&gt;"",--(AN70="Absent"),0),IF($AP$5&lt;&gt;"",--(AP70="Absent"),0),IF($AR$5&lt;&gt;"",--(AR70="Absent"),0),IF($AT$5&lt;&gt;"",--(AT70="Absent"),0),IF($AV$5&lt;&gt;"",--(AV70="Absent"),0),IF($AX$5&lt;&gt;"",--(AX70="Absent"),0),IF($AZ$5&lt;&gt;"",--(AZ70="Absent"),0),IF($BB$5&lt;&gt;"",--(BB70="Absent"),0),IF($BD$5&lt;&gt;"",--(BD70="Absent"),0),IF($BF$5&lt;&gt;"",--(BF70="Absent"),0),IF($BH$5&lt;&gt;"",--(BH70="Absent"),0),IF($BJ$5&lt;&gt;"",--(BJ70="Absent"),0),IF($BL$5&lt;&gt;"",--(BL70="Absent"),0)))</f>
      </c>
      <c r="BP70" s="22">
        <f>IF($A70="","",SUM(IF($D$5&lt;&gt;"",--(D70="Congé"),0),IF($F$5&lt;&gt;"",--(F70="Congé"),0),IF($H$5&lt;&gt;"",--(H70="Congé"),0),IF($J$5&lt;&gt;"",--(J70="Congé"),0),IF($L$5&lt;&gt;"",--(L70="Congé"),0),IF($N$5&lt;&gt;"",--(N70="Congé"),0),IF($P$5&lt;&gt;"",--(P70="Congé"),0),IF($R$5&lt;&gt;"",--(R70="Congé"),0),IF($T$5&lt;&gt;"",--(T70="Congé"),0),IF($V$5&lt;&gt;"",--(V70="Congé"),0),IF($X$5&lt;&gt;"",--(X70="Congé"),0),IF($Z$5&lt;&gt;"",--(Z70="Congé"),0),IF($AB$5&lt;&gt;"",--(AB70="Congé"),0),IF($AD$5&lt;&gt;"",--(AD70="Congé"),0),IF($AF$5&lt;&gt;"",--(AF70="Congé"),0),IF($AH$5&lt;&gt;"",--(AH70="Congé"),0),IF($AJ$5&lt;&gt;"",--(AJ70="Congé"),0),IF($AL$5&lt;&gt;"",--(AL70="Congé"),0),IF($AN$5&lt;&gt;"",--(AN70="Congé"),0),IF($AP$5&lt;&gt;"",--(AP70="Congé"),0),IF($AR$5&lt;&gt;"",--(AR70="Congé"),0),IF($AT$5&lt;&gt;"",--(AT70="Congé"),0),IF($AV$5&lt;&gt;"",--(AV70="Congé"),0),IF($AX$5&lt;&gt;"",--(AX70="Congé"),0),IF($AZ$5&lt;&gt;"",--(AZ70="Congé"),0),IF($BB$5&lt;&gt;"",--(BB70="Congé"),0),IF($BD$5&lt;&gt;"",--(BD70="Congé"),0),IF($BF$5&lt;&gt;"",--(BF70="Congé"),0),IF($BH$5&lt;&gt;"",--(BH70="Congé"),0),IF($BJ$5&lt;&gt;"",--(BJ70="Congé"),0),IF($BL$5&lt;&gt;"",--(BL70="Congé"),0)))</f>
      </c>
      <c r="BQ70" s="22">
        <f>IF($A70="","",SUM(IF($D$5&lt;&gt;"",--(D70="Maladie"),0),IF($F$5&lt;&gt;"",--(F70="Maladie"),0),IF($H$5&lt;&gt;"",--(H70="Maladie"),0),IF($J$5&lt;&gt;"",--(J70="Maladie"),0),IF($L$5&lt;&gt;"",--(L70="Maladie"),0),IF($N$5&lt;&gt;"",--(N70="Maladie"),0),IF($P$5&lt;&gt;"",--(P70="Maladie"),0),IF($R$5&lt;&gt;"",--(R70="Maladie"),0),IF($T$5&lt;&gt;"",--(T70="Maladie"),0),IF($V$5&lt;&gt;"",--(V70="Maladie"),0),IF($X$5&lt;&gt;"",--(X70="Maladie"),0),IF($Z$5&lt;&gt;"",--(Z70="Maladie"),0),IF($AB$5&lt;&gt;"",--(AB70="Maladie"),0),IF($AD$5&lt;&gt;"",--(AD70="Maladie"),0),IF($AF$5&lt;&gt;"",--(AF70="Maladie"),0),IF($AH$5&lt;&gt;"",--(AH70="Maladie"),0),IF($AJ$5&lt;&gt;"",--(AJ70="Maladie"),0),IF($AL$5&lt;&gt;"",--(AL70="Maladie"),0),IF($AN$5&lt;&gt;"",--(AN70="Maladie"),0),IF($AP$5&lt;&gt;"",--(AP70="Maladie"),0),IF($AR$5&lt;&gt;"",--(AR70="Maladie"),0),IF($AT$5&lt;&gt;"",--(AT70="Maladie"),0),IF($AV$5&lt;&gt;"",--(AV70="Maladie"),0),IF($AX$5&lt;&gt;"",--(AX70="Maladie"),0),IF($AZ$5&lt;&gt;"",--(AZ70="Maladie"),0),IF($BB$5&lt;&gt;"",--(BB70="Maladie"),0),IF($BD$5&lt;&gt;"",--(BD70="Maladie"),0),IF($BF$5&lt;&gt;"",--(BF70="Maladie"),0),IF($BH$5&lt;&gt;"",--(BH70="Maladie"),0),IF($BJ$5&lt;&gt;"",--(BJ70="Maladie"),0),IF($BL$5&lt;&gt;"",--(BL70="Maladie"),0)))</f>
      </c>
      <c r="BR70" s="23">
        <f>IF($A70="","",SUM(IF($D$5&lt;&gt;"",IF(D70="Présent",E70,0),0),IF($F$5&lt;&gt;"",IF(F70="Présent",G70,0),0),IF($H$5&lt;&gt;"",IF(H70="Présent",I70,0),0),IF($J$5&lt;&gt;"",IF(J70="Présent",K70,0),0),IF($L$5&lt;&gt;"",IF(L70="Présent",M70,0),0),IF($N$5&lt;&gt;"",IF(N70="Présent",O70,0),0),IF($P$5&lt;&gt;"",IF(P70="Présent",Q70,0),0),IF($R$5&lt;&gt;"",IF(R70="Présent",S70,0),0),IF($T$5&lt;&gt;"",IF(T70="Présent",U70,0),0),IF($V$5&lt;&gt;"",IF(V70="Présent",W70,0),0),IF($X$5&lt;&gt;"",IF(X70="Présent",Y70,0),0),IF($Z$5&lt;&gt;"",IF(Z70="Présent",AA70,0),0),IF($AB$5&lt;&gt;"",IF(AB70="Présent",AC70,0),0),IF($AD$5&lt;&gt;"",IF(AD70="Présent",AE70,0),0),IF($AF$5&lt;&gt;"",IF(AF70="Présent",AG70,0),0),IF($AH$5&lt;&gt;"",IF(AH70="Présent",AI70,0),0),IF($AJ$5&lt;&gt;"",IF(AJ70="Présent",AK70,0),0),IF($AL$5&lt;&gt;"",IF(AL70="Présent",AM70,0),0),IF($AN$5&lt;&gt;"",IF(AN70="Présent",AO70,0),0),IF($AP$5&lt;&gt;"",IF(AP70="Présent",AQ70,0),0),IF($AR$5&lt;&gt;"",IF(AR70="Présent",AS70,0),0),IF($AT$5&lt;&gt;"",IF(AT70="Présent",AU70,0),0),IF($AV$5&lt;&gt;"",IF(AV70="Présent",AW70,0),0),IF($AX$5&lt;&gt;"",IF(AX70="Présent",AY70,0),0),IF($AZ$5&lt;&gt;"",IF(AZ70="Présent",BA70,0),0),IF($BB$5&lt;&gt;"",IF(BB70="Présent",BC70,0),0),IF($BD$5&lt;&gt;"",IF(BD70="Présent",BE70,0),0),IF($BF$5&lt;&gt;"",IF(BF70="Présent",BG70,0),0),IF($BH$5&lt;&gt;"",IF(BH70="Présent",BI70,0),0),IF($BJ$5&lt;&gt;"",IF(BJ70="Présent",BK70,0),0),IF($BL$5&lt;&gt;"",IF(BL70="Présent",BM70,0),0)))</f>
      </c>
      <c r="BS70" s="25">
        <f>IF($A70="","",$BN70*IFERROR(INDEX(Categories_Salaire,MATCH($C70,ListeCategories,0)),0)+$BR70*IF(IFERROR(INDEX(Categories_TauxHS,MATCH($C70,ListeCategories,0)),0)&gt;0,IFERROR(INDEX(Categories_TauxHS,MATCH($C70,ListeCategories,0)),0),TauxHSDefaut))</f>
      </c>
    </row>
    <row r="71">
      <c r="A71" s="20">
        <f>IF(AND(INDEX(Employes_Nom,65)&lt;&gt;"",INDEX(Employes_Statut,65)="Actif",OR(INDEX(Employes_Embauche,65)="",INDEX(Employes_Embauche,65)&lt;=EOMONTH(DATE(AnneeCourante,MoisCourant,1),0))),INDEX(Employes_ID,65),"")</f>
      </c>
      <c r="B71" s="19">
        <f>IF($A71="","",INDEX(Employes_Nom,MATCH($A71,Employes_ID,0)))</f>
      </c>
      <c r="C71" s="20">
        <f>IF($A71="","",INDEX(Employes_Categorie,MATCH($A71,Employes_ID,0)))</f>
      </c>
      <c r="D71" s="26"/>
      <c r="E71" s="27"/>
      <c r="F71" s="26"/>
      <c r="G71" s="27"/>
      <c r="H71" s="26"/>
      <c r="I71" s="27"/>
      <c r="J71" s="26"/>
      <c r="K71" s="27"/>
      <c r="L71" s="26"/>
      <c r="M71" s="27"/>
      <c r="N71" s="26"/>
      <c r="O71" s="27"/>
      <c r="P71" s="26"/>
      <c r="Q71" s="27"/>
      <c r="R71" s="26"/>
      <c r="S71" s="27"/>
      <c r="T71" s="26"/>
      <c r="U71" s="27"/>
      <c r="V71" s="26"/>
      <c r="W71" s="27"/>
      <c r="X71" s="26"/>
      <c r="Y71" s="27"/>
      <c r="Z71" s="26"/>
      <c r="AA71" s="27"/>
      <c r="AB71" s="26"/>
      <c r="AC71" s="27"/>
      <c r="AD71" s="26"/>
      <c r="AE71" s="27"/>
      <c r="AF71" s="26"/>
      <c r="AG71" s="27"/>
      <c r="AH71" s="26"/>
      <c r="AI71" s="27"/>
      <c r="AJ71" s="26"/>
      <c r="AK71" s="27"/>
      <c r="AL71" s="26"/>
      <c r="AM71" s="27"/>
      <c r="AN71" s="26"/>
      <c r="AO71" s="27"/>
      <c r="AP71" s="26"/>
      <c r="AQ71" s="27"/>
      <c r="AR71" s="26"/>
      <c r="AS71" s="27"/>
      <c r="AT71" s="26"/>
      <c r="AU71" s="27"/>
      <c r="AV71" s="26"/>
      <c r="AW71" s="27"/>
      <c r="AX71" s="26"/>
      <c r="AY71" s="27"/>
      <c r="AZ71" s="26"/>
      <c r="BA71" s="27"/>
      <c r="BB71" s="26"/>
      <c r="BC71" s="27"/>
      <c r="BD71" s="26"/>
      <c r="BE71" s="27"/>
      <c r="BF71" s="26"/>
      <c r="BG71" s="27"/>
      <c r="BH71" s="26"/>
      <c r="BI71" s="27"/>
      <c r="BJ71" s="26"/>
      <c r="BK71" s="27"/>
      <c r="BL71" s="26"/>
      <c r="BM71" s="27"/>
      <c r="BN71" s="22">
        <f>IF($A71="","",SUM(IF($D$5&lt;&gt;"",--(D71="Présent"),0),IF($F$5&lt;&gt;"",--(F71="Présent"),0),IF($H$5&lt;&gt;"",--(H71="Présent"),0),IF($J$5&lt;&gt;"",--(J71="Présent"),0),IF($L$5&lt;&gt;"",--(L71="Présent"),0),IF($N$5&lt;&gt;"",--(N71="Présent"),0),IF($P$5&lt;&gt;"",--(P71="Présent"),0),IF($R$5&lt;&gt;"",--(R71="Présent"),0),IF($T$5&lt;&gt;"",--(T71="Présent"),0),IF($V$5&lt;&gt;"",--(V71="Présent"),0),IF($X$5&lt;&gt;"",--(X71="Présent"),0),IF($Z$5&lt;&gt;"",--(Z71="Présent"),0),IF($AB$5&lt;&gt;"",--(AB71="Présent"),0),IF($AD$5&lt;&gt;"",--(AD71="Présent"),0),IF($AF$5&lt;&gt;"",--(AF71="Présent"),0),IF($AH$5&lt;&gt;"",--(AH71="Présent"),0),IF($AJ$5&lt;&gt;"",--(AJ71="Présent"),0),IF($AL$5&lt;&gt;"",--(AL71="Présent"),0),IF($AN$5&lt;&gt;"",--(AN71="Présent"),0),IF($AP$5&lt;&gt;"",--(AP71="Présent"),0),IF($AR$5&lt;&gt;"",--(AR71="Présent"),0),IF($AT$5&lt;&gt;"",--(AT71="Présent"),0),IF($AV$5&lt;&gt;"",--(AV71="Présent"),0),IF($AX$5&lt;&gt;"",--(AX71="Présent"),0),IF($AZ$5&lt;&gt;"",--(AZ71="Présent"),0),IF($BB$5&lt;&gt;"",--(BB71="Présent"),0),IF($BD$5&lt;&gt;"",--(BD71="Présent"),0),IF($BF$5&lt;&gt;"",--(BF71="Présent"),0),IF($BH$5&lt;&gt;"",--(BH71="Présent"),0),IF($BJ$5&lt;&gt;"",--(BJ71="Présent"),0),IF($BL$5&lt;&gt;"",--(BL71="Présent"),0)))</f>
      </c>
      <c r="BO71" s="22">
        <f>IF($A71="","",SUM(IF($D$5&lt;&gt;"",--(D71="Absent"),0),IF($F$5&lt;&gt;"",--(F71="Absent"),0),IF($H$5&lt;&gt;"",--(H71="Absent"),0),IF($J$5&lt;&gt;"",--(J71="Absent"),0),IF($L$5&lt;&gt;"",--(L71="Absent"),0),IF($N$5&lt;&gt;"",--(N71="Absent"),0),IF($P$5&lt;&gt;"",--(P71="Absent"),0),IF($R$5&lt;&gt;"",--(R71="Absent"),0),IF($T$5&lt;&gt;"",--(T71="Absent"),0),IF($V$5&lt;&gt;"",--(V71="Absent"),0),IF($X$5&lt;&gt;"",--(X71="Absent"),0),IF($Z$5&lt;&gt;"",--(Z71="Absent"),0),IF($AB$5&lt;&gt;"",--(AB71="Absent"),0),IF($AD$5&lt;&gt;"",--(AD71="Absent"),0),IF($AF$5&lt;&gt;"",--(AF71="Absent"),0),IF($AH$5&lt;&gt;"",--(AH71="Absent"),0),IF($AJ$5&lt;&gt;"",--(AJ71="Absent"),0),IF($AL$5&lt;&gt;"",--(AL71="Absent"),0),IF($AN$5&lt;&gt;"",--(AN71="Absent"),0),IF($AP$5&lt;&gt;"",--(AP71="Absent"),0),IF($AR$5&lt;&gt;"",--(AR71="Absent"),0),IF($AT$5&lt;&gt;"",--(AT71="Absent"),0),IF($AV$5&lt;&gt;"",--(AV71="Absent"),0),IF($AX$5&lt;&gt;"",--(AX71="Absent"),0),IF($AZ$5&lt;&gt;"",--(AZ71="Absent"),0),IF($BB$5&lt;&gt;"",--(BB71="Absent"),0),IF($BD$5&lt;&gt;"",--(BD71="Absent"),0),IF($BF$5&lt;&gt;"",--(BF71="Absent"),0),IF($BH$5&lt;&gt;"",--(BH71="Absent"),0),IF($BJ$5&lt;&gt;"",--(BJ71="Absent"),0),IF($BL$5&lt;&gt;"",--(BL71="Absent"),0)))</f>
      </c>
      <c r="BP71" s="22">
        <f>IF($A71="","",SUM(IF($D$5&lt;&gt;"",--(D71="Congé"),0),IF($F$5&lt;&gt;"",--(F71="Congé"),0),IF($H$5&lt;&gt;"",--(H71="Congé"),0),IF($J$5&lt;&gt;"",--(J71="Congé"),0),IF($L$5&lt;&gt;"",--(L71="Congé"),0),IF($N$5&lt;&gt;"",--(N71="Congé"),0),IF($P$5&lt;&gt;"",--(P71="Congé"),0),IF($R$5&lt;&gt;"",--(R71="Congé"),0),IF($T$5&lt;&gt;"",--(T71="Congé"),0),IF($V$5&lt;&gt;"",--(V71="Congé"),0),IF($X$5&lt;&gt;"",--(X71="Congé"),0),IF($Z$5&lt;&gt;"",--(Z71="Congé"),0),IF($AB$5&lt;&gt;"",--(AB71="Congé"),0),IF($AD$5&lt;&gt;"",--(AD71="Congé"),0),IF($AF$5&lt;&gt;"",--(AF71="Congé"),0),IF($AH$5&lt;&gt;"",--(AH71="Congé"),0),IF($AJ$5&lt;&gt;"",--(AJ71="Congé"),0),IF($AL$5&lt;&gt;"",--(AL71="Congé"),0),IF($AN$5&lt;&gt;"",--(AN71="Congé"),0),IF($AP$5&lt;&gt;"",--(AP71="Congé"),0),IF($AR$5&lt;&gt;"",--(AR71="Congé"),0),IF($AT$5&lt;&gt;"",--(AT71="Congé"),0),IF($AV$5&lt;&gt;"",--(AV71="Congé"),0),IF($AX$5&lt;&gt;"",--(AX71="Congé"),0),IF($AZ$5&lt;&gt;"",--(AZ71="Congé"),0),IF($BB$5&lt;&gt;"",--(BB71="Congé"),0),IF($BD$5&lt;&gt;"",--(BD71="Congé"),0),IF($BF$5&lt;&gt;"",--(BF71="Congé"),0),IF($BH$5&lt;&gt;"",--(BH71="Congé"),0),IF($BJ$5&lt;&gt;"",--(BJ71="Congé"),0),IF($BL$5&lt;&gt;"",--(BL71="Congé"),0)))</f>
      </c>
      <c r="BQ71" s="22">
        <f>IF($A71="","",SUM(IF($D$5&lt;&gt;"",--(D71="Maladie"),0),IF($F$5&lt;&gt;"",--(F71="Maladie"),0),IF($H$5&lt;&gt;"",--(H71="Maladie"),0),IF($J$5&lt;&gt;"",--(J71="Maladie"),0),IF($L$5&lt;&gt;"",--(L71="Maladie"),0),IF($N$5&lt;&gt;"",--(N71="Maladie"),0),IF($P$5&lt;&gt;"",--(P71="Maladie"),0),IF($R$5&lt;&gt;"",--(R71="Maladie"),0),IF($T$5&lt;&gt;"",--(T71="Maladie"),0),IF($V$5&lt;&gt;"",--(V71="Maladie"),0),IF($X$5&lt;&gt;"",--(X71="Maladie"),0),IF($Z$5&lt;&gt;"",--(Z71="Maladie"),0),IF($AB$5&lt;&gt;"",--(AB71="Maladie"),0),IF($AD$5&lt;&gt;"",--(AD71="Maladie"),0),IF($AF$5&lt;&gt;"",--(AF71="Maladie"),0),IF($AH$5&lt;&gt;"",--(AH71="Maladie"),0),IF($AJ$5&lt;&gt;"",--(AJ71="Maladie"),0),IF($AL$5&lt;&gt;"",--(AL71="Maladie"),0),IF($AN$5&lt;&gt;"",--(AN71="Maladie"),0),IF($AP$5&lt;&gt;"",--(AP71="Maladie"),0),IF($AR$5&lt;&gt;"",--(AR71="Maladie"),0),IF($AT$5&lt;&gt;"",--(AT71="Maladie"),0),IF($AV$5&lt;&gt;"",--(AV71="Maladie"),0),IF($AX$5&lt;&gt;"",--(AX71="Maladie"),0),IF($AZ$5&lt;&gt;"",--(AZ71="Maladie"),0),IF($BB$5&lt;&gt;"",--(BB71="Maladie"),0),IF($BD$5&lt;&gt;"",--(BD71="Maladie"),0),IF($BF$5&lt;&gt;"",--(BF71="Maladie"),0),IF($BH$5&lt;&gt;"",--(BH71="Maladie"),0),IF($BJ$5&lt;&gt;"",--(BJ71="Maladie"),0),IF($BL$5&lt;&gt;"",--(BL71="Maladie"),0)))</f>
      </c>
      <c r="BR71" s="23">
        <f>IF($A71="","",SUM(IF($D$5&lt;&gt;"",IF(D71="Présent",E71,0),0),IF($F$5&lt;&gt;"",IF(F71="Présent",G71,0),0),IF($H$5&lt;&gt;"",IF(H71="Présent",I71,0),0),IF($J$5&lt;&gt;"",IF(J71="Présent",K71,0),0),IF($L$5&lt;&gt;"",IF(L71="Présent",M71,0),0),IF($N$5&lt;&gt;"",IF(N71="Présent",O71,0),0),IF($P$5&lt;&gt;"",IF(P71="Présent",Q71,0),0),IF($R$5&lt;&gt;"",IF(R71="Présent",S71,0),0),IF($T$5&lt;&gt;"",IF(T71="Présent",U71,0),0),IF($V$5&lt;&gt;"",IF(V71="Présent",W71,0),0),IF($X$5&lt;&gt;"",IF(X71="Présent",Y71,0),0),IF($Z$5&lt;&gt;"",IF(Z71="Présent",AA71,0),0),IF($AB$5&lt;&gt;"",IF(AB71="Présent",AC71,0),0),IF($AD$5&lt;&gt;"",IF(AD71="Présent",AE71,0),0),IF($AF$5&lt;&gt;"",IF(AF71="Présent",AG71,0),0),IF($AH$5&lt;&gt;"",IF(AH71="Présent",AI71,0),0),IF($AJ$5&lt;&gt;"",IF(AJ71="Présent",AK71,0),0),IF($AL$5&lt;&gt;"",IF(AL71="Présent",AM71,0),0),IF($AN$5&lt;&gt;"",IF(AN71="Présent",AO71,0),0),IF($AP$5&lt;&gt;"",IF(AP71="Présent",AQ71,0),0),IF($AR$5&lt;&gt;"",IF(AR71="Présent",AS71,0),0),IF($AT$5&lt;&gt;"",IF(AT71="Présent",AU71,0),0),IF($AV$5&lt;&gt;"",IF(AV71="Présent",AW71,0),0),IF($AX$5&lt;&gt;"",IF(AX71="Présent",AY71,0),0),IF($AZ$5&lt;&gt;"",IF(AZ71="Présent",BA71,0),0),IF($BB$5&lt;&gt;"",IF(BB71="Présent",BC71,0),0),IF($BD$5&lt;&gt;"",IF(BD71="Présent",BE71,0),0),IF($BF$5&lt;&gt;"",IF(BF71="Présent",BG71,0),0),IF($BH$5&lt;&gt;"",IF(BH71="Présent",BI71,0),0),IF($BJ$5&lt;&gt;"",IF(BJ71="Présent",BK71,0),0),IF($BL$5&lt;&gt;"",IF(BL71="Présent",BM71,0),0)))</f>
      </c>
      <c r="BS71" s="25">
        <f>IF($A71="","",$BN71*IFERROR(INDEX(Categories_Salaire,MATCH($C71,ListeCategories,0)),0)+$BR71*IF(IFERROR(INDEX(Categories_TauxHS,MATCH($C71,ListeCategories,0)),0)&gt;0,IFERROR(INDEX(Categories_TauxHS,MATCH($C71,ListeCategories,0)),0),TauxHSDefaut))</f>
      </c>
    </row>
    <row r="72">
      <c r="A72" s="20">
        <f>IF(AND(INDEX(Employes_Nom,66)&lt;&gt;"",INDEX(Employes_Statut,66)="Actif",OR(INDEX(Employes_Embauche,66)="",INDEX(Employes_Embauche,66)&lt;=EOMONTH(DATE(AnneeCourante,MoisCourant,1),0))),INDEX(Employes_ID,66),"")</f>
      </c>
      <c r="B72" s="19">
        <f>IF($A72="","",INDEX(Employes_Nom,MATCH($A72,Employes_ID,0)))</f>
      </c>
      <c r="C72" s="20">
        <f>IF($A72="","",INDEX(Employes_Categorie,MATCH($A72,Employes_ID,0)))</f>
      </c>
      <c r="D72" s="26"/>
      <c r="E72" s="27"/>
      <c r="F72" s="26"/>
      <c r="G72" s="27"/>
      <c r="H72" s="26"/>
      <c r="I72" s="27"/>
      <c r="J72" s="26"/>
      <c r="K72" s="27"/>
      <c r="L72" s="26"/>
      <c r="M72" s="27"/>
      <c r="N72" s="26"/>
      <c r="O72" s="27"/>
      <c r="P72" s="26"/>
      <c r="Q72" s="27"/>
      <c r="R72" s="26"/>
      <c r="S72" s="27"/>
      <c r="T72" s="26"/>
      <c r="U72" s="27"/>
      <c r="V72" s="26"/>
      <c r="W72" s="27"/>
      <c r="X72" s="26"/>
      <c r="Y72" s="27"/>
      <c r="Z72" s="26"/>
      <c r="AA72" s="27"/>
      <c r="AB72" s="26"/>
      <c r="AC72" s="27"/>
      <c r="AD72" s="26"/>
      <c r="AE72" s="27"/>
      <c r="AF72" s="26"/>
      <c r="AG72" s="27"/>
      <c r="AH72" s="26"/>
      <c r="AI72" s="27"/>
      <c r="AJ72" s="26"/>
      <c r="AK72" s="27"/>
      <c r="AL72" s="26"/>
      <c r="AM72" s="27"/>
      <c r="AN72" s="26"/>
      <c r="AO72" s="27"/>
      <c r="AP72" s="26"/>
      <c r="AQ72" s="27"/>
      <c r="AR72" s="26"/>
      <c r="AS72" s="27"/>
      <c r="AT72" s="26"/>
      <c r="AU72" s="27"/>
      <c r="AV72" s="26"/>
      <c r="AW72" s="27"/>
      <c r="AX72" s="26"/>
      <c r="AY72" s="27"/>
      <c r="AZ72" s="26"/>
      <c r="BA72" s="27"/>
      <c r="BB72" s="26"/>
      <c r="BC72" s="27"/>
      <c r="BD72" s="26"/>
      <c r="BE72" s="27"/>
      <c r="BF72" s="26"/>
      <c r="BG72" s="27"/>
      <c r="BH72" s="26"/>
      <c r="BI72" s="27"/>
      <c r="BJ72" s="26"/>
      <c r="BK72" s="27"/>
      <c r="BL72" s="26"/>
      <c r="BM72" s="27"/>
      <c r="BN72" s="22">
        <f>IF($A72="","",SUM(IF($D$5&lt;&gt;"",--(D72="Présent"),0),IF($F$5&lt;&gt;"",--(F72="Présent"),0),IF($H$5&lt;&gt;"",--(H72="Présent"),0),IF($J$5&lt;&gt;"",--(J72="Présent"),0),IF($L$5&lt;&gt;"",--(L72="Présent"),0),IF($N$5&lt;&gt;"",--(N72="Présent"),0),IF($P$5&lt;&gt;"",--(P72="Présent"),0),IF($R$5&lt;&gt;"",--(R72="Présent"),0),IF($T$5&lt;&gt;"",--(T72="Présent"),0),IF($V$5&lt;&gt;"",--(V72="Présent"),0),IF($X$5&lt;&gt;"",--(X72="Présent"),0),IF($Z$5&lt;&gt;"",--(Z72="Présent"),0),IF($AB$5&lt;&gt;"",--(AB72="Présent"),0),IF($AD$5&lt;&gt;"",--(AD72="Présent"),0),IF($AF$5&lt;&gt;"",--(AF72="Présent"),0),IF($AH$5&lt;&gt;"",--(AH72="Présent"),0),IF($AJ$5&lt;&gt;"",--(AJ72="Présent"),0),IF($AL$5&lt;&gt;"",--(AL72="Présent"),0),IF($AN$5&lt;&gt;"",--(AN72="Présent"),0),IF($AP$5&lt;&gt;"",--(AP72="Présent"),0),IF($AR$5&lt;&gt;"",--(AR72="Présent"),0),IF($AT$5&lt;&gt;"",--(AT72="Présent"),0),IF($AV$5&lt;&gt;"",--(AV72="Présent"),0),IF($AX$5&lt;&gt;"",--(AX72="Présent"),0),IF($AZ$5&lt;&gt;"",--(AZ72="Présent"),0),IF($BB$5&lt;&gt;"",--(BB72="Présent"),0),IF($BD$5&lt;&gt;"",--(BD72="Présent"),0),IF($BF$5&lt;&gt;"",--(BF72="Présent"),0),IF($BH$5&lt;&gt;"",--(BH72="Présent"),0),IF($BJ$5&lt;&gt;"",--(BJ72="Présent"),0),IF($BL$5&lt;&gt;"",--(BL72="Présent"),0)))</f>
      </c>
      <c r="BO72" s="22">
        <f>IF($A72="","",SUM(IF($D$5&lt;&gt;"",--(D72="Absent"),0),IF($F$5&lt;&gt;"",--(F72="Absent"),0),IF($H$5&lt;&gt;"",--(H72="Absent"),0),IF($J$5&lt;&gt;"",--(J72="Absent"),0),IF($L$5&lt;&gt;"",--(L72="Absent"),0),IF($N$5&lt;&gt;"",--(N72="Absent"),0),IF($P$5&lt;&gt;"",--(P72="Absent"),0),IF($R$5&lt;&gt;"",--(R72="Absent"),0),IF($T$5&lt;&gt;"",--(T72="Absent"),0),IF($V$5&lt;&gt;"",--(V72="Absent"),0),IF($X$5&lt;&gt;"",--(X72="Absent"),0),IF($Z$5&lt;&gt;"",--(Z72="Absent"),0),IF($AB$5&lt;&gt;"",--(AB72="Absent"),0),IF($AD$5&lt;&gt;"",--(AD72="Absent"),0),IF($AF$5&lt;&gt;"",--(AF72="Absent"),0),IF($AH$5&lt;&gt;"",--(AH72="Absent"),0),IF($AJ$5&lt;&gt;"",--(AJ72="Absent"),0),IF($AL$5&lt;&gt;"",--(AL72="Absent"),0),IF($AN$5&lt;&gt;"",--(AN72="Absent"),0),IF($AP$5&lt;&gt;"",--(AP72="Absent"),0),IF($AR$5&lt;&gt;"",--(AR72="Absent"),0),IF($AT$5&lt;&gt;"",--(AT72="Absent"),0),IF($AV$5&lt;&gt;"",--(AV72="Absent"),0),IF($AX$5&lt;&gt;"",--(AX72="Absent"),0),IF($AZ$5&lt;&gt;"",--(AZ72="Absent"),0),IF($BB$5&lt;&gt;"",--(BB72="Absent"),0),IF($BD$5&lt;&gt;"",--(BD72="Absent"),0),IF($BF$5&lt;&gt;"",--(BF72="Absent"),0),IF($BH$5&lt;&gt;"",--(BH72="Absent"),0),IF($BJ$5&lt;&gt;"",--(BJ72="Absent"),0),IF($BL$5&lt;&gt;"",--(BL72="Absent"),0)))</f>
      </c>
      <c r="BP72" s="22">
        <f>IF($A72="","",SUM(IF($D$5&lt;&gt;"",--(D72="Congé"),0),IF($F$5&lt;&gt;"",--(F72="Congé"),0),IF($H$5&lt;&gt;"",--(H72="Congé"),0),IF($J$5&lt;&gt;"",--(J72="Congé"),0),IF($L$5&lt;&gt;"",--(L72="Congé"),0),IF($N$5&lt;&gt;"",--(N72="Congé"),0),IF($P$5&lt;&gt;"",--(P72="Congé"),0),IF($R$5&lt;&gt;"",--(R72="Congé"),0),IF($T$5&lt;&gt;"",--(T72="Congé"),0),IF($V$5&lt;&gt;"",--(V72="Congé"),0),IF($X$5&lt;&gt;"",--(X72="Congé"),0),IF($Z$5&lt;&gt;"",--(Z72="Congé"),0),IF($AB$5&lt;&gt;"",--(AB72="Congé"),0),IF($AD$5&lt;&gt;"",--(AD72="Congé"),0),IF($AF$5&lt;&gt;"",--(AF72="Congé"),0),IF($AH$5&lt;&gt;"",--(AH72="Congé"),0),IF($AJ$5&lt;&gt;"",--(AJ72="Congé"),0),IF($AL$5&lt;&gt;"",--(AL72="Congé"),0),IF($AN$5&lt;&gt;"",--(AN72="Congé"),0),IF($AP$5&lt;&gt;"",--(AP72="Congé"),0),IF($AR$5&lt;&gt;"",--(AR72="Congé"),0),IF($AT$5&lt;&gt;"",--(AT72="Congé"),0),IF($AV$5&lt;&gt;"",--(AV72="Congé"),0),IF($AX$5&lt;&gt;"",--(AX72="Congé"),0),IF($AZ$5&lt;&gt;"",--(AZ72="Congé"),0),IF($BB$5&lt;&gt;"",--(BB72="Congé"),0),IF($BD$5&lt;&gt;"",--(BD72="Congé"),0),IF($BF$5&lt;&gt;"",--(BF72="Congé"),0),IF($BH$5&lt;&gt;"",--(BH72="Congé"),0),IF($BJ$5&lt;&gt;"",--(BJ72="Congé"),0),IF($BL$5&lt;&gt;"",--(BL72="Congé"),0)))</f>
      </c>
      <c r="BQ72" s="22">
        <f>IF($A72="","",SUM(IF($D$5&lt;&gt;"",--(D72="Maladie"),0),IF($F$5&lt;&gt;"",--(F72="Maladie"),0),IF($H$5&lt;&gt;"",--(H72="Maladie"),0),IF($J$5&lt;&gt;"",--(J72="Maladie"),0),IF($L$5&lt;&gt;"",--(L72="Maladie"),0),IF($N$5&lt;&gt;"",--(N72="Maladie"),0),IF($P$5&lt;&gt;"",--(P72="Maladie"),0),IF($R$5&lt;&gt;"",--(R72="Maladie"),0),IF($T$5&lt;&gt;"",--(T72="Maladie"),0),IF($V$5&lt;&gt;"",--(V72="Maladie"),0),IF($X$5&lt;&gt;"",--(X72="Maladie"),0),IF($Z$5&lt;&gt;"",--(Z72="Maladie"),0),IF($AB$5&lt;&gt;"",--(AB72="Maladie"),0),IF($AD$5&lt;&gt;"",--(AD72="Maladie"),0),IF($AF$5&lt;&gt;"",--(AF72="Maladie"),0),IF($AH$5&lt;&gt;"",--(AH72="Maladie"),0),IF($AJ$5&lt;&gt;"",--(AJ72="Maladie"),0),IF($AL$5&lt;&gt;"",--(AL72="Maladie"),0),IF($AN$5&lt;&gt;"",--(AN72="Maladie"),0),IF($AP$5&lt;&gt;"",--(AP72="Maladie"),0),IF($AR$5&lt;&gt;"",--(AR72="Maladie"),0),IF($AT$5&lt;&gt;"",--(AT72="Maladie"),0),IF($AV$5&lt;&gt;"",--(AV72="Maladie"),0),IF($AX$5&lt;&gt;"",--(AX72="Maladie"),0),IF($AZ$5&lt;&gt;"",--(AZ72="Maladie"),0),IF($BB$5&lt;&gt;"",--(BB72="Maladie"),0),IF($BD$5&lt;&gt;"",--(BD72="Maladie"),0),IF($BF$5&lt;&gt;"",--(BF72="Maladie"),0),IF($BH$5&lt;&gt;"",--(BH72="Maladie"),0),IF($BJ$5&lt;&gt;"",--(BJ72="Maladie"),0),IF($BL$5&lt;&gt;"",--(BL72="Maladie"),0)))</f>
      </c>
      <c r="BR72" s="23">
        <f>IF($A72="","",SUM(IF($D$5&lt;&gt;"",IF(D72="Présent",E72,0),0),IF($F$5&lt;&gt;"",IF(F72="Présent",G72,0),0),IF($H$5&lt;&gt;"",IF(H72="Présent",I72,0),0),IF($J$5&lt;&gt;"",IF(J72="Présent",K72,0),0),IF($L$5&lt;&gt;"",IF(L72="Présent",M72,0),0),IF($N$5&lt;&gt;"",IF(N72="Présent",O72,0),0),IF($P$5&lt;&gt;"",IF(P72="Présent",Q72,0),0),IF($R$5&lt;&gt;"",IF(R72="Présent",S72,0),0),IF($T$5&lt;&gt;"",IF(T72="Présent",U72,0),0),IF($V$5&lt;&gt;"",IF(V72="Présent",W72,0),0),IF($X$5&lt;&gt;"",IF(X72="Présent",Y72,0),0),IF($Z$5&lt;&gt;"",IF(Z72="Présent",AA72,0),0),IF($AB$5&lt;&gt;"",IF(AB72="Présent",AC72,0),0),IF($AD$5&lt;&gt;"",IF(AD72="Présent",AE72,0),0),IF($AF$5&lt;&gt;"",IF(AF72="Présent",AG72,0),0),IF($AH$5&lt;&gt;"",IF(AH72="Présent",AI72,0),0),IF($AJ$5&lt;&gt;"",IF(AJ72="Présent",AK72,0),0),IF($AL$5&lt;&gt;"",IF(AL72="Présent",AM72,0),0),IF($AN$5&lt;&gt;"",IF(AN72="Présent",AO72,0),0),IF($AP$5&lt;&gt;"",IF(AP72="Présent",AQ72,0),0),IF($AR$5&lt;&gt;"",IF(AR72="Présent",AS72,0),0),IF($AT$5&lt;&gt;"",IF(AT72="Présent",AU72,0),0),IF($AV$5&lt;&gt;"",IF(AV72="Présent",AW72,0),0),IF($AX$5&lt;&gt;"",IF(AX72="Présent",AY72,0),0),IF($AZ$5&lt;&gt;"",IF(AZ72="Présent",BA72,0),0),IF($BB$5&lt;&gt;"",IF(BB72="Présent",BC72,0),0),IF($BD$5&lt;&gt;"",IF(BD72="Présent",BE72,0),0),IF($BF$5&lt;&gt;"",IF(BF72="Présent",BG72,0),0),IF($BH$5&lt;&gt;"",IF(BH72="Présent",BI72,0),0),IF($BJ$5&lt;&gt;"",IF(BJ72="Présent",BK72,0),0),IF($BL$5&lt;&gt;"",IF(BL72="Présent",BM72,0),0)))</f>
      </c>
      <c r="BS72" s="25">
        <f>IF($A72="","",$BN72*IFERROR(INDEX(Categories_Salaire,MATCH($C72,ListeCategories,0)),0)+$BR72*IF(IFERROR(INDEX(Categories_TauxHS,MATCH($C72,ListeCategories,0)),0)&gt;0,IFERROR(INDEX(Categories_TauxHS,MATCH($C72,ListeCategories,0)),0),TauxHSDefaut))</f>
      </c>
    </row>
    <row r="73">
      <c r="A73" s="20">
        <f>IF(AND(INDEX(Employes_Nom,67)&lt;&gt;"",INDEX(Employes_Statut,67)="Actif",OR(INDEX(Employes_Embauche,67)="",INDEX(Employes_Embauche,67)&lt;=EOMONTH(DATE(AnneeCourante,MoisCourant,1),0))),INDEX(Employes_ID,67),"")</f>
      </c>
      <c r="B73" s="19">
        <f>IF($A73="","",INDEX(Employes_Nom,MATCH($A73,Employes_ID,0)))</f>
      </c>
      <c r="C73" s="20">
        <f>IF($A73="","",INDEX(Employes_Categorie,MATCH($A73,Employes_ID,0)))</f>
      </c>
      <c r="D73" s="26"/>
      <c r="E73" s="27"/>
      <c r="F73" s="26"/>
      <c r="G73" s="27"/>
      <c r="H73" s="26"/>
      <c r="I73" s="27"/>
      <c r="J73" s="26"/>
      <c r="K73" s="27"/>
      <c r="L73" s="26"/>
      <c r="M73" s="27"/>
      <c r="N73" s="26"/>
      <c r="O73" s="27"/>
      <c r="P73" s="26"/>
      <c r="Q73" s="27"/>
      <c r="R73" s="26"/>
      <c r="S73" s="27"/>
      <c r="T73" s="26"/>
      <c r="U73" s="27"/>
      <c r="V73" s="26"/>
      <c r="W73" s="27"/>
      <c r="X73" s="26"/>
      <c r="Y73" s="27"/>
      <c r="Z73" s="26"/>
      <c r="AA73" s="27"/>
      <c r="AB73" s="26"/>
      <c r="AC73" s="27"/>
      <c r="AD73" s="26"/>
      <c r="AE73" s="27"/>
      <c r="AF73" s="26"/>
      <c r="AG73" s="27"/>
      <c r="AH73" s="26"/>
      <c r="AI73" s="27"/>
      <c r="AJ73" s="26"/>
      <c r="AK73" s="27"/>
      <c r="AL73" s="26"/>
      <c r="AM73" s="27"/>
      <c r="AN73" s="26"/>
      <c r="AO73" s="27"/>
      <c r="AP73" s="26"/>
      <c r="AQ73" s="27"/>
      <c r="AR73" s="26"/>
      <c r="AS73" s="27"/>
      <c r="AT73" s="26"/>
      <c r="AU73" s="27"/>
      <c r="AV73" s="26"/>
      <c r="AW73" s="27"/>
      <c r="AX73" s="26"/>
      <c r="AY73" s="27"/>
      <c r="AZ73" s="26"/>
      <c r="BA73" s="27"/>
      <c r="BB73" s="26"/>
      <c r="BC73" s="27"/>
      <c r="BD73" s="26"/>
      <c r="BE73" s="27"/>
      <c r="BF73" s="26"/>
      <c r="BG73" s="27"/>
      <c r="BH73" s="26"/>
      <c r="BI73" s="27"/>
      <c r="BJ73" s="26"/>
      <c r="BK73" s="27"/>
      <c r="BL73" s="26"/>
      <c r="BM73" s="27"/>
      <c r="BN73" s="22">
        <f>IF($A73="","",SUM(IF($D$5&lt;&gt;"",--(D73="Présent"),0),IF($F$5&lt;&gt;"",--(F73="Présent"),0),IF($H$5&lt;&gt;"",--(H73="Présent"),0),IF($J$5&lt;&gt;"",--(J73="Présent"),0),IF($L$5&lt;&gt;"",--(L73="Présent"),0),IF($N$5&lt;&gt;"",--(N73="Présent"),0),IF($P$5&lt;&gt;"",--(P73="Présent"),0),IF($R$5&lt;&gt;"",--(R73="Présent"),0),IF($T$5&lt;&gt;"",--(T73="Présent"),0),IF($V$5&lt;&gt;"",--(V73="Présent"),0),IF($X$5&lt;&gt;"",--(X73="Présent"),0),IF($Z$5&lt;&gt;"",--(Z73="Présent"),0),IF($AB$5&lt;&gt;"",--(AB73="Présent"),0),IF($AD$5&lt;&gt;"",--(AD73="Présent"),0),IF($AF$5&lt;&gt;"",--(AF73="Présent"),0),IF($AH$5&lt;&gt;"",--(AH73="Présent"),0),IF($AJ$5&lt;&gt;"",--(AJ73="Présent"),0),IF($AL$5&lt;&gt;"",--(AL73="Présent"),0),IF($AN$5&lt;&gt;"",--(AN73="Présent"),0),IF($AP$5&lt;&gt;"",--(AP73="Présent"),0),IF($AR$5&lt;&gt;"",--(AR73="Présent"),0),IF($AT$5&lt;&gt;"",--(AT73="Présent"),0),IF($AV$5&lt;&gt;"",--(AV73="Présent"),0),IF($AX$5&lt;&gt;"",--(AX73="Présent"),0),IF($AZ$5&lt;&gt;"",--(AZ73="Présent"),0),IF($BB$5&lt;&gt;"",--(BB73="Présent"),0),IF($BD$5&lt;&gt;"",--(BD73="Présent"),0),IF($BF$5&lt;&gt;"",--(BF73="Présent"),0),IF($BH$5&lt;&gt;"",--(BH73="Présent"),0),IF($BJ$5&lt;&gt;"",--(BJ73="Présent"),0),IF($BL$5&lt;&gt;"",--(BL73="Présent"),0)))</f>
      </c>
      <c r="BO73" s="22">
        <f>IF($A73="","",SUM(IF($D$5&lt;&gt;"",--(D73="Absent"),0),IF($F$5&lt;&gt;"",--(F73="Absent"),0),IF($H$5&lt;&gt;"",--(H73="Absent"),0),IF($J$5&lt;&gt;"",--(J73="Absent"),0),IF($L$5&lt;&gt;"",--(L73="Absent"),0),IF($N$5&lt;&gt;"",--(N73="Absent"),0),IF($P$5&lt;&gt;"",--(P73="Absent"),0),IF($R$5&lt;&gt;"",--(R73="Absent"),0),IF($T$5&lt;&gt;"",--(T73="Absent"),0),IF($V$5&lt;&gt;"",--(V73="Absent"),0),IF($X$5&lt;&gt;"",--(X73="Absent"),0),IF($Z$5&lt;&gt;"",--(Z73="Absent"),0),IF($AB$5&lt;&gt;"",--(AB73="Absent"),0),IF($AD$5&lt;&gt;"",--(AD73="Absent"),0),IF($AF$5&lt;&gt;"",--(AF73="Absent"),0),IF($AH$5&lt;&gt;"",--(AH73="Absent"),0),IF($AJ$5&lt;&gt;"",--(AJ73="Absent"),0),IF($AL$5&lt;&gt;"",--(AL73="Absent"),0),IF($AN$5&lt;&gt;"",--(AN73="Absent"),0),IF($AP$5&lt;&gt;"",--(AP73="Absent"),0),IF($AR$5&lt;&gt;"",--(AR73="Absent"),0),IF($AT$5&lt;&gt;"",--(AT73="Absent"),0),IF($AV$5&lt;&gt;"",--(AV73="Absent"),0),IF($AX$5&lt;&gt;"",--(AX73="Absent"),0),IF($AZ$5&lt;&gt;"",--(AZ73="Absent"),0),IF($BB$5&lt;&gt;"",--(BB73="Absent"),0),IF($BD$5&lt;&gt;"",--(BD73="Absent"),0),IF($BF$5&lt;&gt;"",--(BF73="Absent"),0),IF($BH$5&lt;&gt;"",--(BH73="Absent"),0),IF($BJ$5&lt;&gt;"",--(BJ73="Absent"),0),IF($BL$5&lt;&gt;"",--(BL73="Absent"),0)))</f>
      </c>
      <c r="BP73" s="22">
        <f>IF($A73="","",SUM(IF($D$5&lt;&gt;"",--(D73="Congé"),0),IF($F$5&lt;&gt;"",--(F73="Congé"),0),IF($H$5&lt;&gt;"",--(H73="Congé"),0),IF($J$5&lt;&gt;"",--(J73="Congé"),0),IF($L$5&lt;&gt;"",--(L73="Congé"),0),IF($N$5&lt;&gt;"",--(N73="Congé"),0),IF($P$5&lt;&gt;"",--(P73="Congé"),0),IF($R$5&lt;&gt;"",--(R73="Congé"),0),IF($T$5&lt;&gt;"",--(T73="Congé"),0),IF($V$5&lt;&gt;"",--(V73="Congé"),0),IF($X$5&lt;&gt;"",--(X73="Congé"),0),IF($Z$5&lt;&gt;"",--(Z73="Congé"),0),IF($AB$5&lt;&gt;"",--(AB73="Congé"),0),IF($AD$5&lt;&gt;"",--(AD73="Congé"),0),IF($AF$5&lt;&gt;"",--(AF73="Congé"),0),IF($AH$5&lt;&gt;"",--(AH73="Congé"),0),IF($AJ$5&lt;&gt;"",--(AJ73="Congé"),0),IF($AL$5&lt;&gt;"",--(AL73="Congé"),0),IF($AN$5&lt;&gt;"",--(AN73="Congé"),0),IF($AP$5&lt;&gt;"",--(AP73="Congé"),0),IF($AR$5&lt;&gt;"",--(AR73="Congé"),0),IF($AT$5&lt;&gt;"",--(AT73="Congé"),0),IF($AV$5&lt;&gt;"",--(AV73="Congé"),0),IF($AX$5&lt;&gt;"",--(AX73="Congé"),0),IF($AZ$5&lt;&gt;"",--(AZ73="Congé"),0),IF($BB$5&lt;&gt;"",--(BB73="Congé"),0),IF($BD$5&lt;&gt;"",--(BD73="Congé"),0),IF($BF$5&lt;&gt;"",--(BF73="Congé"),0),IF($BH$5&lt;&gt;"",--(BH73="Congé"),0),IF($BJ$5&lt;&gt;"",--(BJ73="Congé"),0),IF($BL$5&lt;&gt;"",--(BL73="Congé"),0)))</f>
      </c>
      <c r="BQ73" s="22">
        <f>IF($A73="","",SUM(IF($D$5&lt;&gt;"",--(D73="Maladie"),0),IF($F$5&lt;&gt;"",--(F73="Maladie"),0),IF($H$5&lt;&gt;"",--(H73="Maladie"),0),IF($J$5&lt;&gt;"",--(J73="Maladie"),0),IF($L$5&lt;&gt;"",--(L73="Maladie"),0),IF($N$5&lt;&gt;"",--(N73="Maladie"),0),IF($P$5&lt;&gt;"",--(P73="Maladie"),0),IF($R$5&lt;&gt;"",--(R73="Maladie"),0),IF($T$5&lt;&gt;"",--(T73="Maladie"),0),IF($V$5&lt;&gt;"",--(V73="Maladie"),0),IF($X$5&lt;&gt;"",--(X73="Maladie"),0),IF($Z$5&lt;&gt;"",--(Z73="Maladie"),0),IF($AB$5&lt;&gt;"",--(AB73="Maladie"),0),IF($AD$5&lt;&gt;"",--(AD73="Maladie"),0),IF($AF$5&lt;&gt;"",--(AF73="Maladie"),0),IF($AH$5&lt;&gt;"",--(AH73="Maladie"),0),IF($AJ$5&lt;&gt;"",--(AJ73="Maladie"),0),IF($AL$5&lt;&gt;"",--(AL73="Maladie"),0),IF($AN$5&lt;&gt;"",--(AN73="Maladie"),0),IF($AP$5&lt;&gt;"",--(AP73="Maladie"),0),IF($AR$5&lt;&gt;"",--(AR73="Maladie"),0),IF($AT$5&lt;&gt;"",--(AT73="Maladie"),0),IF($AV$5&lt;&gt;"",--(AV73="Maladie"),0),IF($AX$5&lt;&gt;"",--(AX73="Maladie"),0),IF($AZ$5&lt;&gt;"",--(AZ73="Maladie"),0),IF($BB$5&lt;&gt;"",--(BB73="Maladie"),0),IF($BD$5&lt;&gt;"",--(BD73="Maladie"),0),IF($BF$5&lt;&gt;"",--(BF73="Maladie"),0),IF($BH$5&lt;&gt;"",--(BH73="Maladie"),0),IF($BJ$5&lt;&gt;"",--(BJ73="Maladie"),0),IF($BL$5&lt;&gt;"",--(BL73="Maladie"),0)))</f>
      </c>
      <c r="BR73" s="23">
        <f>IF($A73="","",SUM(IF($D$5&lt;&gt;"",IF(D73="Présent",E73,0),0),IF($F$5&lt;&gt;"",IF(F73="Présent",G73,0),0),IF($H$5&lt;&gt;"",IF(H73="Présent",I73,0),0),IF($J$5&lt;&gt;"",IF(J73="Présent",K73,0),0),IF($L$5&lt;&gt;"",IF(L73="Présent",M73,0),0),IF($N$5&lt;&gt;"",IF(N73="Présent",O73,0),0),IF($P$5&lt;&gt;"",IF(P73="Présent",Q73,0),0),IF($R$5&lt;&gt;"",IF(R73="Présent",S73,0),0),IF($T$5&lt;&gt;"",IF(T73="Présent",U73,0),0),IF($V$5&lt;&gt;"",IF(V73="Présent",W73,0),0),IF($X$5&lt;&gt;"",IF(X73="Présent",Y73,0),0),IF($Z$5&lt;&gt;"",IF(Z73="Présent",AA73,0),0),IF($AB$5&lt;&gt;"",IF(AB73="Présent",AC73,0),0),IF($AD$5&lt;&gt;"",IF(AD73="Présent",AE73,0),0),IF($AF$5&lt;&gt;"",IF(AF73="Présent",AG73,0),0),IF($AH$5&lt;&gt;"",IF(AH73="Présent",AI73,0),0),IF($AJ$5&lt;&gt;"",IF(AJ73="Présent",AK73,0),0),IF($AL$5&lt;&gt;"",IF(AL73="Présent",AM73,0),0),IF($AN$5&lt;&gt;"",IF(AN73="Présent",AO73,0),0),IF($AP$5&lt;&gt;"",IF(AP73="Présent",AQ73,0),0),IF($AR$5&lt;&gt;"",IF(AR73="Présent",AS73,0),0),IF($AT$5&lt;&gt;"",IF(AT73="Présent",AU73,0),0),IF($AV$5&lt;&gt;"",IF(AV73="Présent",AW73,0),0),IF($AX$5&lt;&gt;"",IF(AX73="Présent",AY73,0),0),IF($AZ$5&lt;&gt;"",IF(AZ73="Présent",BA73,0),0),IF($BB$5&lt;&gt;"",IF(BB73="Présent",BC73,0),0),IF($BD$5&lt;&gt;"",IF(BD73="Présent",BE73,0),0),IF($BF$5&lt;&gt;"",IF(BF73="Présent",BG73,0),0),IF($BH$5&lt;&gt;"",IF(BH73="Présent",BI73,0),0),IF($BJ$5&lt;&gt;"",IF(BJ73="Présent",BK73,0),0),IF($BL$5&lt;&gt;"",IF(BL73="Présent",BM73,0),0)))</f>
      </c>
      <c r="BS73" s="25">
        <f>IF($A73="","",$BN73*IFERROR(INDEX(Categories_Salaire,MATCH($C73,ListeCategories,0)),0)+$BR73*IF(IFERROR(INDEX(Categories_TauxHS,MATCH($C73,ListeCategories,0)),0)&gt;0,IFERROR(INDEX(Categories_TauxHS,MATCH($C73,ListeCategories,0)),0),TauxHSDefaut))</f>
      </c>
    </row>
    <row r="74">
      <c r="A74" s="20">
        <f>IF(AND(INDEX(Employes_Nom,68)&lt;&gt;"",INDEX(Employes_Statut,68)="Actif",OR(INDEX(Employes_Embauche,68)="",INDEX(Employes_Embauche,68)&lt;=EOMONTH(DATE(AnneeCourante,MoisCourant,1),0))),INDEX(Employes_ID,68),"")</f>
      </c>
      <c r="B74" s="19">
        <f>IF($A74="","",INDEX(Employes_Nom,MATCH($A74,Employes_ID,0)))</f>
      </c>
      <c r="C74" s="20">
        <f>IF($A74="","",INDEX(Employes_Categorie,MATCH($A74,Employes_ID,0)))</f>
      </c>
      <c r="D74" s="26"/>
      <c r="E74" s="27"/>
      <c r="F74" s="26"/>
      <c r="G74" s="27"/>
      <c r="H74" s="26"/>
      <c r="I74" s="27"/>
      <c r="J74" s="26"/>
      <c r="K74" s="27"/>
      <c r="L74" s="26"/>
      <c r="M74" s="27"/>
      <c r="N74" s="26"/>
      <c r="O74" s="27"/>
      <c r="P74" s="26"/>
      <c r="Q74" s="27"/>
      <c r="R74" s="26"/>
      <c r="S74" s="27"/>
      <c r="T74" s="26"/>
      <c r="U74" s="27"/>
      <c r="V74" s="26"/>
      <c r="W74" s="27"/>
      <c r="X74" s="26"/>
      <c r="Y74" s="27"/>
      <c r="Z74" s="26"/>
      <c r="AA74" s="27"/>
      <c r="AB74" s="26"/>
      <c r="AC74" s="27"/>
      <c r="AD74" s="26"/>
      <c r="AE74" s="27"/>
      <c r="AF74" s="26"/>
      <c r="AG74" s="27"/>
      <c r="AH74" s="26"/>
      <c r="AI74" s="27"/>
      <c r="AJ74" s="26"/>
      <c r="AK74" s="27"/>
      <c r="AL74" s="26"/>
      <c r="AM74" s="27"/>
      <c r="AN74" s="26"/>
      <c r="AO74" s="27"/>
      <c r="AP74" s="26"/>
      <c r="AQ74" s="27"/>
      <c r="AR74" s="26"/>
      <c r="AS74" s="27"/>
      <c r="AT74" s="26"/>
      <c r="AU74" s="27"/>
      <c r="AV74" s="26"/>
      <c r="AW74" s="27"/>
      <c r="AX74" s="26"/>
      <c r="AY74" s="27"/>
      <c r="AZ74" s="26"/>
      <c r="BA74" s="27"/>
      <c r="BB74" s="26"/>
      <c r="BC74" s="27"/>
      <c r="BD74" s="26"/>
      <c r="BE74" s="27"/>
      <c r="BF74" s="26"/>
      <c r="BG74" s="27"/>
      <c r="BH74" s="26"/>
      <c r="BI74" s="27"/>
      <c r="BJ74" s="26"/>
      <c r="BK74" s="27"/>
      <c r="BL74" s="26"/>
      <c r="BM74" s="27"/>
      <c r="BN74" s="22">
        <f>IF($A74="","",SUM(IF($D$5&lt;&gt;"",--(D74="Présent"),0),IF($F$5&lt;&gt;"",--(F74="Présent"),0),IF($H$5&lt;&gt;"",--(H74="Présent"),0),IF($J$5&lt;&gt;"",--(J74="Présent"),0),IF($L$5&lt;&gt;"",--(L74="Présent"),0),IF($N$5&lt;&gt;"",--(N74="Présent"),0),IF($P$5&lt;&gt;"",--(P74="Présent"),0),IF($R$5&lt;&gt;"",--(R74="Présent"),0),IF($T$5&lt;&gt;"",--(T74="Présent"),0),IF($V$5&lt;&gt;"",--(V74="Présent"),0),IF($X$5&lt;&gt;"",--(X74="Présent"),0),IF($Z$5&lt;&gt;"",--(Z74="Présent"),0),IF($AB$5&lt;&gt;"",--(AB74="Présent"),0),IF($AD$5&lt;&gt;"",--(AD74="Présent"),0),IF($AF$5&lt;&gt;"",--(AF74="Présent"),0),IF($AH$5&lt;&gt;"",--(AH74="Présent"),0),IF($AJ$5&lt;&gt;"",--(AJ74="Présent"),0),IF($AL$5&lt;&gt;"",--(AL74="Présent"),0),IF($AN$5&lt;&gt;"",--(AN74="Présent"),0),IF($AP$5&lt;&gt;"",--(AP74="Présent"),0),IF($AR$5&lt;&gt;"",--(AR74="Présent"),0),IF($AT$5&lt;&gt;"",--(AT74="Présent"),0),IF($AV$5&lt;&gt;"",--(AV74="Présent"),0),IF($AX$5&lt;&gt;"",--(AX74="Présent"),0),IF($AZ$5&lt;&gt;"",--(AZ74="Présent"),0),IF($BB$5&lt;&gt;"",--(BB74="Présent"),0),IF($BD$5&lt;&gt;"",--(BD74="Présent"),0),IF($BF$5&lt;&gt;"",--(BF74="Présent"),0),IF($BH$5&lt;&gt;"",--(BH74="Présent"),0),IF($BJ$5&lt;&gt;"",--(BJ74="Présent"),0),IF($BL$5&lt;&gt;"",--(BL74="Présent"),0)))</f>
      </c>
      <c r="BO74" s="22">
        <f>IF($A74="","",SUM(IF($D$5&lt;&gt;"",--(D74="Absent"),0),IF($F$5&lt;&gt;"",--(F74="Absent"),0),IF($H$5&lt;&gt;"",--(H74="Absent"),0),IF($J$5&lt;&gt;"",--(J74="Absent"),0),IF($L$5&lt;&gt;"",--(L74="Absent"),0),IF($N$5&lt;&gt;"",--(N74="Absent"),0),IF($P$5&lt;&gt;"",--(P74="Absent"),0),IF($R$5&lt;&gt;"",--(R74="Absent"),0),IF($T$5&lt;&gt;"",--(T74="Absent"),0),IF($V$5&lt;&gt;"",--(V74="Absent"),0),IF($X$5&lt;&gt;"",--(X74="Absent"),0),IF($Z$5&lt;&gt;"",--(Z74="Absent"),0),IF($AB$5&lt;&gt;"",--(AB74="Absent"),0),IF($AD$5&lt;&gt;"",--(AD74="Absent"),0),IF($AF$5&lt;&gt;"",--(AF74="Absent"),0),IF($AH$5&lt;&gt;"",--(AH74="Absent"),0),IF($AJ$5&lt;&gt;"",--(AJ74="Absent"),0),IF($AL$5&lt;&gt;"",--(AL74="Absent"),0),IF($AN$5&lt;&gt;"",--(AN74="Absent"),0),IF($AP$5&lt;&gt;"",--(AP74="Absent"),0),IF($AR$5&lt;&gt;"",--(AR74="Absent"),0),IF($AT$5&lt;&gt;"",--(AT74="Absent"),0),IF($AV$5&lt;&gt;"",--(AV74="Absent"),0),IF($AX$5&lt;&gt;"",--(AX74="Absent"),0),IF($AZ$5&lt;&gt;"",--(AZ74="Absent"),0),IF($BB$5&lt;&gt;"",--(BB74="Absent"),0),IF($BD$5&lt;&gt;"",--(BD74="Absent"),0),IF($BF$5&lt;&gt;"",--(BF74="Absent"),0),IF($BH$5&lt;&gt;"",--(BH74="Absent"),0),IF($BJ$5&lt;&gt;"",--(BJ74="Absent"),0),IF($BL$5&lt;&gt;"",--(BL74="Absent"),0)))</f>
      </c>
      <c r="BP74" s="22">
        <f>IF($A74="","",SUM(IF($D$5&lt;&gt;"",--(D74="Congé"),0),IF($F$5&lt;&gt;"",--(F74="Congé"),0),IF($H$5&lt;&gt;"",--(H74="Congé"),0),IF($J$5&lt;&gt;"",--(J74="Congé"),0),IF($L$5&lt;&gt;"",--(L74="Congé"),0),IF($N$5&lt;&gt;"",--(N74="Congé"),0),IF($P$5&lt;&gt;"",--(P74="Congé"),0),IF($R$5&lt;&gt;"",--(R74="Congé"),0),IF($T$5&lt;&gt;"",--(T74="Congé"),0),IF($V$5&lt;&gt;"",--(V74="Congé"),0),IF($X$5&lt;&gt;"",--(X74="Congé"),0),IF($Z$5&lt;&gt;"",--(Z74="Congé"),0),IF($AB$5&lt;&gt;"",--(AB74="Congé"),0),IF($AD$5&lt;&gt;"",--(AD74="Congé"),0),IF($AF$5&lt;&gt;"",--(AF74="Congé"),0),IF($AH$5&lt;&gt;"",--(AH74="Congé"),0),IF($AJ$5&lt;&gt;"",--(AJ74="Congé"),0),IF($AL$5&lt;&gt;"",--(AL74="Congé"),0),IF($AN$5&lt;&gt;"",--(AN74="Congé"),0),IF($AP$5&lt;&gt;"",--(AP74="Congé"),0),IF($AR$5&lt;&gt;"",--(AR74="Congé"),0),IF($AT$5&lt;&gt;"",--(AT74="Congé"),0),IF($AV$5&lt;&gt;"",--(AV74="Congé"),0),IF($AX$5&lt;&gt;"",--(AX74="Congé"),0),IF($AZ$5&lt;&gt;"",--(AZ74="Congé"),0),IF($BB$5&lt;&gt;"",--(BB74="Congé"),0),IF($BD$5&lt;&gt;"",--(BD74="Congé"),0),IF($BF$5&lt;&gt;"",--(BF74="Congé"),0),IF($BH$5&lt;&gt;"",--(BH74="Congé"),0),IF($BJ$5&lt;&gt;"",--(BJ74="Congé"),0),IF($BL$5&lt;&gt;"",--(BL74="Congé"),0)))</f>
      </c>
      <c r="BQ74" s="22">
        <f>IF($A74="","",SUM(IF($D$5&lt;&gt;"",--(D74="Maladie"),0),IF($F$5&lt;&gt;"",--(F74="Maladie"),0),IF($H$5&lt;&gt;"",--(H74="Maladie"),0),IF($J$5&lt;&gt;"",--(J74="Maladie"),0),IF($L$5&lt;&gt;"",--(L74="Maladie"),0),IF($N$5&lt;&gt;"",--(N74="Maladie"),0),IF($P$5&lt;&gt;"",--(P74="Maladie"),0),IF($R$5&lt;&gt;"",--(R74="Maladie"),0),IF($T$5&lt;&gt;"",--(T74="Maladie"),0),IF($V$5&lt;&gt;"",--(V74="Maladie"),0),IF($X$5&lt;&gt;"",--(X74="Maladie"),0),IF($Z$5&lt;&gt;"",--(Z74="Maladie"),0),IF($AB$5&lt;&gt;"",--(AB74="Maladie"),0),IF($AD$5&lt;&gt;"",--(AD74="Maladie"),0),IF($AF$5&lt;&gt;"",--(AF74="Maladie"),0),IF($AH$5&lt;&gt;"",--(AH74="Maladie"),0),IF($AJ$5&lt;&gt;"",--(AJ74="Maladie"),0),IF($AL$5&lt;&gt;"",--(AL74="Maladie"),0),IF($AN$5&lt;&gt;"",--(AN74="Maladie"),0),IF($AP$5&lt;&gt;"",--(AP74="Maladie"),0),IF($AR$5&lt;&gt;"",--(AR74="Maladie"),0),IF($AT$5&lt;&gt;"",--(AT74="Maladie"),0),IF($AV$5&lt;&gt;"",--(AV74="Maladie"),0),IF($AX$5&lt;&gt;"",--(AX74="Maladie"),0),IF($AZ$5&lt;&gt;"",--(AZ74="Maladie"),0),IF($BB$5&lt;&gt;"",--(BB74="Maladie"),0),IF($BD$5&lt;&gt;"",--(BD74="Maladie"),0),IF($BF$5&lt;&gt;"",--(BF74="Maladie"),0),IF($BH$5&lt;&gt;"",--(BH74="Maladie"),0),IF($BJ$5&lt;&gt;"",--(BJ74="Maladie"),0),IF($BL$5&lt;&gt;"",--(BL74="Maladie"),0)))</f>
      </c>
      <c r="BR74" s="23">
        <f>IF($A74="","",SUM(IF($D$5&lt;&gt;"",IF(D74="Présent",E74,0),0),IF($F$5&lt;&gt;"",IF(F74="Présent",G74,0),0),IF($H$5&lt;&gt;"",IF(H74="Présent",I74,0),0),IF($J$5&lt;&gt;"",IF(J74="Présent",K74,0),0),IF($L$5&lt;&gt;"",IF(L74="Présent",M74,0),0),IF($N$5&lt;&gt;"",IF(N74="Présent",O74,0),0),IF($P$5&lt;&gt;"",IF(P74="Présent",Q74,0),0),IF($R$5&lt;&gt;"",IF(R74="Présent",S74,0),0),IF($T$5&lt;&gt;"",IF(T74="Présent",U74,0),0),IF($V$5&lt;&gt;"",IF(V74="Présent",W74,0),0),IF($X$5&lt;&gt;"",IF(X74="Présent",Y74,0),0),IF($Z$5&lt;&gt;"",IF(Z74="Présent",AA74,0),0),IF($AB$5&lt;&gt;"",IF(AB74="Présent",AC74,0),0),IF($AD$5&lt;&gt;"",IF(AD74="Présent",AE74,0),0),IF($AF$5&lt;&gt;"",IF(AF74="Présent",AG74,0),0),IF($AH$5&lt;&gt;"",IF(AH74="Présent",AI74,0),0),IF($AJ$5&lt;&gt;"",IF(AJ74="Présent",AK74,0),0),IF($AL$5&lt;&gt;"",IF(AL74="Présent",AM74,0),0),IF($AN$5&lt;&gt;"",IF(AN74="Présent",AO74,0),0),IF($AP$5&lt;&gt;"",IF(AP74="Présent",AQ74,0),0),IF($AR$5&lt;&gt;"",IF(AR74="Présent",AS74,0),0),IF($AT$5&lt;&gt;"",IF(AT74="Présent",AU74,0),0),IF($AV$5&lt;&gt;"",IF(AV74="Présent",AW74,0),0),IF($AX$5&lt;&gt;"",IF(AX74="Présent",AY74,0),0),IF($AZ$5&lt;&gt;"",IF(AZ74="Présent",BA74,0),0),IF($BB$5&lt;&gt;"",IF(BB74="Présent",BC74,0),0),IF($BD$5&lt;&gt;"",IF(BD74="Présent",BE74,0),0),IF($BF$5&lt;&gt;"",IF(BF74="Présent",BG74,0),0),IF($BH$5&lt;&gt;"",IF(BH74="Présent",BI74,0),0),IF($BJ$5&lt;&gt;"",IF(BJ74="Présent",BK74,0),0),IF($BL$5&lt;&gt;"",IF(BL74="Présent",BM74,0),0)))</f>
      </c>
      <c r="BS74" s="25">
        <f>IF($A74="","",$BN74*IFERROR(INDEX(Categories_Salaire,MATCH($C74,ListeCategories,0)),0)+$BR74*IF(IFERROR(INDEX(Categories_TauxHS,MATCH($C74,ListeCategories,0)),0)&gt;0,IFERROR(INDEX(Categories_TauxHS,MATCH($C74,ListeCategories,0)),0),TauxHSDefaut))</f>
      </c>
    </row>
    <row r="75">
      <c r="A75" s="20">
        <f>IF(AND(INDEX(Employes_Nom,69)&lt;&gt;"",INDEX(Employes_Statut,69)="Actif",OR(INDEX(Employes_Embauche,69)="",INDEX(Employes_Embauche,69)&lt;=EOMONTH(DATE(AnneeCourante,MoisCourant,1),0))),INDEX(Employes_ID,69),"")</f>
      </c>
      <c r="B75" s="19">
        <f>IF($A75="","",INDEX(Employes_Nom,MATCH($A75,Employes_ID,0)))</f>
      </c>
      <c r="C75" s="20">
        <f>IF($A75="","",INDEX(Employes_Categorie,MATCH($A75,Employes_ID,0)))</f>
      </c>
      <c r="D75" s="26"/>
      <c r="E75" s="27"/>
      <c r="F75" s="26"/>
      <c r="G75" s="27"/>
      <c r="H75" s="26"/>
      <c r="I75" s="27"/>
      <c r="J75" s="26"/>
      <c r="K75" s="27"/>
      <c r="L75" s="26"/>
      <c r="M75" s="27"/>
      <c r="N75" s="26"/>
      <c r="O75" s="27"/>
      <c r="P75" s="26"/>
      <c r="Q75" s="27"/>
      <c r="R75" s="26"/>
      <c r="S75" s="27"/>
      <c r="T75" s="26"/>
      <c r="U75" s="27"/>
      <c r="V75" s="26"/>
      <c r="W75" s="27"/>
      <c r="X75" s="26"/>
      <c r="Y75" s="27"/>
      <c r="Z75" s="26"/>
      <c r="AA75" s="27"/>
      <c r="AB75" s="26"/>
      <c r="AC75" s="27"/>
      <c r="AD75" s="26"/>
      <c r="AE75" s="27"/>
      <c r="AF75" s="26"/>
      <c r="AG75" s="27"/>
      <c r="AH75" s="26"/>
      <c r="AI75" s="27"/>
      <c r="AJ75" s="26"/>
      <c r="AK75" s="27"/>
      <c r="AL75" s="26"/>
      <c r="AM75" s="27"/>
      <c r="AN75" s="26"/>
      <c r="AO75" s="27"/>
      <c r="AP75" s="26"/>
      <c r="AQ75" s="27"/>
      <c r="AR75" s="26"/>
      <c r="AS75" s="27"/>
      <c r="AT75" s="26"/>
      <c r="AU75" s="27"/>
      <c r="AV75" s="26"/>
      <c r="AW75" s="27"/>
      <c r="AX75" s="26"/>
      <c r="AY75" s="27"/>
      <c r="AZ75" s="26"/>
      <c r="BA75" s="27"/>
      <c r="BB75" s="26"/>
      <c r="BC75" s="27"/>
      <c r="BD75" s="26"/>
      <c r="BE75" s="27"/>
      <c r="BF75" s="26"/>
      <c r="BG75" s="27"/>
      <c r="BH75" s="26"/>
      <c r="BI75" s="27"/>
      <c r="BJ75" s="26"/>
      <c r="BK75" s="27"/>
      <c r="BL75" s="26"/>
      <c r="BM75" s="27"/>
      <c r="BN75" s="22">
        <f>IF($A75="","",SUM(IF($D$5&lt;&gt;"",--(D75="Présent"),0),IF($F$5&lt;&gt;"",--(F75="Présent"),0),IF($H$5&lt;&gt;"",--(H75="Présent"),0),IF($J$5&lt;&gt;"",--(J75="Présent"),0),IF($L$5&lt;&gt;"",--(L75="Présent"),0),IF($N$5&lt;&gt;"",--(N75="Présent"),0),IF($P$5&lt;&gt;"",--(P75="Présent"),0),IF($R$5&lt;&gt;"",--(R75="Présent"),0),IF($T$5&lt;&gt;"",--(T75="Présent"),0),IF($V$5&lt;&gt;"",--(V75="Présent"),0),IF($X$5&lt;&gt;"",--(X75="Présent"),0),IF($Z$5&lt;&gt;"",--(Z75="Présent"),0),IF($AB$5&lt;&gt;"",--(AB75="Présent"),0),IF($AD$5&lt;&gt;"",--(AD75="Présent"),0),IF($AF$5&lt;&gt;"",--(AF75="Présent"),0),IF($AH$5&lt;&gt;"",--(AH75="Présent"),0),IF($AJ$5&lt;&gt;"",--(AJ75="Présent"),0),IF($AL$5&lt;&gt;"",--(AL75="Présent"),0),IF($AN$5&lt;&gt;"",--(AN75="Présent"),0),IF($AP$5&lt;&gt;"",--(AP75="Présent"),0),IF($AR$5&lt;&gt;"",--(AR75="Présent"),0),IF($AT$5&lt;&gt;"",--(AT75="Présent"),0),IF($AV$5&lt;&gt;"",--(AV75="Présent"),0),IF($AX$5&lt;&gt;"",--(AX75="Présent"),0),IF($AZ$5&lt;&gt;"",--(AZ75="Présent"),0),IF($BB$5&lt;&gt;"",--(BB75="Présent"),0),IF($BD$5&lt;&gt;"",--(BD75="Présent"),0),IF($BF$5&lt;&gt;"",--(BF75="Présent"),0),IF($BH$5&lt;&gt;"",--(BH75="Présent"),0),IF($BJ$5&lt;&gt;"",--(BJ75="Présent"),0),IF($BL$5&lt;&gt;"",--(BL75="Présent"),0)))</f>
      </c>
      <c r="BO75" s="22">
        <f>IF($A75="","",SUM(IF($D$5&lt;&gt;"",--(D75="Absent"),0),IF($F$5&lt;&gt;"",--(F75="Absent"),0),IF($H$5&lt;&gt;"",--(H75="Absent"),0),IF($J$5&lt;&gt;"",--(J75="Absent"),0),IF($L$5&lt;&gt;"",--(L75="Absent"),0),IF($N$5&lt;&gt;"",--(N75="Absent"),0),IF($P$5&lt;&gt;"",--(P75="Absent"),0),IF($R$5&lt;&gt;"",--(R75="Absent"),0),IF($T$5&lt;&gt;"",--(T75="Absent"),0),IF($V$5&lt;&gt;"",--(V75="Absent"),0),IF($X$5&lt;&gt;"",--(X75="Absent"),0),IF($Z$5&lt;&gt;"",--(Z75="Absent"),0),IF($AB$5&lt;&gt;"",--(AB75="Absent"),0),IF($AD$5&lt;&gt;"",--(AD75="Absent"),0),IF($AF$5&lt;&gt;"",--(AF75="Absent"),0),IF($AH$5&lt;&gt;"",--(AH75="Absent"),0),IF($AJ$5&lt;&gt;"",--(AJ75="Absent"),0),IF($AL$5&lt;&gt;"",--(AL75="Absent"),0),IF($AN$5&lt;&gt;"",--(AN75="Absent"),0),IF($AP$5&lt;&gt;"",--(AP75="Absent"),0),IF($AR$5&lt;&gt;"",--(AR75="Absent"),0),IF($AT$5&lt;&gt;"",--(AT75="Absent"),0),IF($AV$5&lt;&gt;"",--(AV75="Absent"),0),IF($AX$5&lt;&gt;"",--(AX75="Absent"),0),IF($AZ$5&lt;&gt;"",--(AZ75="Absent"),0),IF($BB$5&lt;&gt;"",--(BB75="Absent"),0),IF($BD$5&lt;&gt;"",--(BD75="Absent"),0),IF($BF$5&lt;&gt;"",--(BF75="Absent"),0),IF($BH$5&lt;&gt;"",--(BH75="Absent"),0),IF($BJ$5&lt;&gt;"",--(BJ75="Absent"),0),IF($BL$5&lt;&gt;"",--(BL75="Absent"),0)))</f>
      </c>
      <c r="BP75" s="22">
        <f>IF($A75="","",SUM(IF($D$5&lt;&gt;"",--(D75="Congé"),0),IF($F$5&lt;&gt;"",--(F75="Congé"),0),IF($H$5&lt;&gt;"",--(H75="Congé"),0),IF($J$5&lt;&gt;"",--(J75="Congé"),0),IF($L$5&lt;&gt;"",--(L75="Congé"),0),IF($N$5&lt;&gt;"",--(N75="Congé"),0),IF($P$5&lt;&gt;"",--(P75="Congé"),0),IF($R$5&lt;&gt;"",--(R75="Congé"),0),IF($T$5&lt;&gt;"",--(T75="Congé"),0),IF($V$5&lt;&gt;"",--(V75="Congé"),0),IF($X$5&lt;&gt;"",--(X75="Congé"),0),IF($Z$5&lt;&gt;"",--(Z75="Congé"),0),IF($AB$5&lt;&gt;"",--(AB75="Congé"),0),IF($AD$5&lt;&gt;"",--(AD75="Congé"),0),IF($AF$5&lt;&gt;"",--(AF75="Congé"),0),IF($AH$5&lt;&gt;"",--(AH75="Congé"),0),IF($AJ$5&lt;&gt;"",--(AJ75="Congé"),0),IF($AL$5&lt;&gt;"",--(AL75="Congé"),0),IF($AN$5&lt;&gt;"",--(AN75="Congé"),0),IF($AP$5&lt;&gt;"",--(AP75="Congé"),0),IF($AR$5&lt;&gt;"",--(AR75="Congé"),0),IF($AT$5&lt;&gt;"",--(AT75="Congé"),0),IF($AV$5&lt;&gt;"",--(AV75="Congé"),0),IF($AX$5&lt;&gt;"",--(AX75="Congé"),0),IF($AZ$5&lt;&gt;"",--(AZ75="Congé"),0),IF($BB$5&lt;&gt;"",--(BB75="Congé"),0),IF($BD$5&lt;&gt;"",--(BD75="Congé"),0),IF($BF$5&lt;&gt;"",--(BF75="Congé"),0),IF($BH$5&lt;&gt;"",--(BH75="Congé"),0),IF($BJ$5&lt;&gt;"",--(BJ75="Congé"),0),IF($BL$5&lt;&gt;"",--(BL75="Congé"),0)))</f>
      </c>
      <c r="BQ75" s="22">
        <f>IF($A75="","",SUM(IF($D$5&lt;&gt;"",--(D75="Maladie"),0),IF($F$5&lt;&gt;"",--(F75="Maladie"),0),IF($H$5&lt;&gt;"",--(H75="Maladie"),0),IF($J$5&lt;&gt;"",--(J75="Maladie"),0),IF($L$5&lt;&gt;"",--(L75="Maladie"),0),IF($N$5&lt;&gt;"",--(N75="Maladie"),0),IF($P$5&lt;&gt;"",--(P75="Maladie"),0),IF($R$5&lt;&gt;"",--(R75="Maladie"),0),IF($T$5&lt;&gt;"",--(T75="Maladie"),0),IF($V$5&lt;&gt;"",--(V75="Maladie"),0),IF($X$5&lt;&gt;"",--(X75="Maladie"),0),IF($Z$5&lt;&gt;"",--(Z75="Maladie"),0),IF($AB$5&lt;&gt;"",--(AB75="Maladie"),0),IF($AD$5&lt;&gt;"",--(AD75="Maladie"),0),IF($AF$5&lt;&gt;"",--(AF75="Maladie"),0),IF($AH$5&lt;&gt;"",--(AH75="Maladie"),0),IF($AJ$5&lt;&gt;"",--(AJ75="Maladie"),0),IF($AL$5&lt;&gt;"",--(AL75="Maladie"),0),IF($AN$5&lt;&gt;"",--(AN75="Maladie"),0),IF($AP$5&lt;&gt;"",--(AP75="Maladie"),0),IF($AR$5&lt;&gt;"",--(AR75="Maladie"),0),IF($AT$5&lt;&gt;"",--(AT75="Maladie"),0),IF($AV$5&lt;&gt;"",--(AV75="Maladie"),0),IF($AX$5&lt;&gt;"",--(AX75="Maladie"),0),IF($AZ$5&lt;&gt;"",--(AZ75="Maladie"),0),IF($BB$5&lt;&gt;"",--(BB75="Maladie"),0),IF($BD$5&lt;&gt;"",--(BD75="Maladie"),0),IF($BF$5&lt;&gt;"",--(BF75="Maladie"),0),IF($BH$5&lt;&gt;"",--(BH75="Maladie"),0),IF($BJ$5&lt;&gt;"",--(BJ75="Maladie"),0),IF($BL$5&lt;&gt;"",--(BL75="Maladie"),0)))</f>
      </c>
      <c r="BR75" s="23">
        <f>IF($A75="","",SUM(IF($D$5&lt;&gt;"",IF(D75="Présent",E75,0),0),IF($F$5&lt;&gt;"",IF(F75="Présent",G75,0),0),IF($H$5&lt;&gt;"",IF(H75="Présent",I75,0),0),IF($J$5&lt;&gt;"",IF(J75="Présent",K75,0),0),IF($L$5&lt;&gt;"",IF(L75="Présent",M75,0),0),IF($N$5&lt;&gt;"",IF(N75="Présent",O75,0),0),IF($P$5&lt;&gt;"",IF(P75="Présent",Q75,0),0),IF($R$5&lt;&gt;"",IF(R75="Présent",S75,0),0),IF($T$5&lt;&gt;"",IF(T75="Présent",U75,0),0),IF($V$5&lt;&gt;"",IF(V75="Présent",W75,0),0),IF($X$5&lt;&gt;"",IF(X75="Présent",Y75,0),0),IF($Z$5&lt;&gt;"",IF(Z75="Présent",AA75,0),0),IF($AB$5&lt;&gt;"",IF(AB75="Présent",AC75,0),0),IF($AD$5&lt;&gt;"",IF(AD75="Présent",AE75,0),0),IF($AF$5&lt;&gt;"",IF(AF75="Présent",AG75,0),0),IF($AH$5&lt;&gt;"",IF(AH75="Présent",AI75,0),0),IF($AJ$5&lt;&gt;"",IF(AJ75="Présent",AK75,0),0),IF($AL$5&lt;&gt;"",IF(AL75="Présent",AM75,0),0),IF($AN$5&lt;&gt;"",IF(AN75="Présent",AO75,0),0),IF($AP$5&lt;&gt;"",IF(AP75="Présent",AQ75,0),0),IF($AR$5&lt;&gt;"",IF(AR75="Présent",AS75,0),0),IF($AT$5&lt;&gt;"",IF(AT75="Présent",AU75,0),0),IF($AV$5&lt;&gt;"",IF(AV75="Présent",AW75,0),0),IF($AX$5&lt;&gt;"",IF(AX75="Présent",AY75,0),0),IF($AZ$5&lt;&gt;"",IF(AZ75="Présent",BA75,0),0),IF($BB$5&lt;&gt;"",IF(BB75="Présent",BC75,0),0),IF($BD$5&lt;&gt;"",IF(BD75="Présent",BE75,0),0),IF($BF$5&lt;&gt;"",IF(BF75="Présent",BG75,0),0),IF($BH$5&lt;&gt;"",IF(BH75="Présent",BI75,0),0),IF($BJ$5&lt;&gt;"",IF(BJ75="Présent",BK75,0),0),IF($BL$5&lt;&gt;"",IF(BL75="Présent",BM75,0),0)))</f>
      </c>
      <c r="BS75" s="25">
        <f>IF($A75="","",$BN75*IFERROR(INDEX(Categories_Salaire,MATCH($C75,ListeCategories,0)),0)+$BR75*IF(IFERROR(INDEX(Categories_TauxHS,MATCH($C75,ListeCategories,0)),0)&gt;0,IFERROR(INDEX(Categories_TauxHS,MATCH($C75,ListeCategories,0)),0),TauxHSDefaut))</f>
      </c>
    </row>
    <row r="76">
      <c r="A76" s="20">
        <f>IF(AND(INDEX(Employes_Nom,70)&lt;&gt;"",INDEX(Employes_Statut,70)="Actif",OR(INDEX(Employes_Embauche,70)="",INDEX(Employes_Embauche,70)&lt;=EOMONTH(DATE(AnneeCourante,MoisCourant,1),0))),INDEX(Employes_ID,70),"")</f>
      </c>
      <c r="B76" s="19">
        <f>IF($A76="","",INDEX(Employes_Nom,MATCH($A76,Employes_ID,0)))</f>
      </c>
      <c r="C76" s="20">
        <f>IF($A76="","",INDEX(Employes_Categorie,MATCH($A76,Employes_ID,0)))</f>
      </c>
      <c r="D76" s="26"/>
      <c r="E76" s="27"/>
      <c r="F76" s="26"/>
      <c r="G76" s="27"/>
      <c r="H76" s="26"/>
      <c r="I76" s="27"/>
      <c r="J76" s="26"/>
      <c r="K76" s="27"/>
      <c r="L76" s="26"/>
      <c r="M76" s="27"/>
      <c r="N76" s="26"/>
      <c r="O76" s="27"/>
      <c r="P76" s="26"/>
      <c r="Q76" s="27"/>
      <c r="R76" s="26"/>
      <c r="S76" s="27"/>
      <c r="T76" s="26"/>
      <c r="U76" s="27"/>
      <c r="V76" s="26"/>
      <c r="W76" s="27"/>
      <c r="X76" s="26"/>
      <c r="Y76" s="27"/>
      <c r="Z76" s="26"/>
      <c r="AA76" s="27"/>
      <c r="AB76" s="26"/>
      <c r="AC76" s="27"/>
      <c r="AD76" s="26"/>
      <c r="AE76" s="27"/>
      <c r="AF76" s="26"/>
      <c r="AG76" s="27"/>
      <c r="AH76" s="26"/>
      <c r="AI76" s="27"/>
      <c r="AJ76" s="26"/>
      <c r="AK76" s="27"/>
      <c r="AL76" s="26"/>
      <c r="AM76" s="27"/>
      <c r="AN76" s="26"/>
      <c r="AO76" s="27"/>
      <c r="AP76" s="26"/>
      <c r="AQ76" s="27"/>
      <c r="AR76" s="26"/>
      <c r="AS76" s="27"/>
      <c r="AT76" s="26"/>
      <c r="AU76" s="27"/>
      <c r="AV76" s="26"/>
      <c r="AW76" s="27"/>
      <c r="AX76" s="26"/>
      <c r="AY76" s="27"/>
      <c r="AZ76" s="26"/>
      <c r="BA76" s="27"/>
      <c r="BB76" s="26"/>
      <c r="BC76" s="27"/>
      <c r="BD76" s="26"/>
      <c r="BE76" s="27"/>
      <c r="BF76" s="26"/>
      <c r="BG76" s="27"/>
      <c r="BH76" s="26"/>
      <c r="BI76" s="27"/>
      <c r="BJ76" s="26"/>
      <c r="BK76" s="27"/>
      <c r="BL76" s="26"/>
      <c r="BM76" s="27"/>
      <c r="BN76" s="22">
        <f>IF($A76="","",SUM(IF($D$5&lt;&gt;"",--(D76="Présent"),0),IF($F$5&lt;&gt;"",--(F76="Présent"),0),IF($H$5&lt;&gt;"",--(H76="Présent"),0),IF($J$5&lt;&gt;"",--(J76="Présent"),0),IF($L$5&lt;&gt;"",--(L76="Présent"),0),IF($N$5&lt;&gt;"",--(N76="Présent"),0),IF($P$5&lt;&gt;"",--(P76="Présent"),0),IF($R$5&lt;&gt;"",--(R76="Présent"),0),IF($T$5&lt;&gt;"",--(T76="Présent"),0),IF($V$5&lt;&gt;"",--(V76="Présent"),0),IF($X$5&lt;&gt;"",--(X76="Présent"),0),IF($Z$5&lt;&gt;"",--(Z76="Présent"),0),IF($AB$5&lt;&gt;"",--(AB76="Présent"),0),IF($AD$5&lt;&gt;"",--(AD76="Présent"),0),IF($AF$5&lt;&gt;"",--(AF76="Présent"),0),IF($AH$5&lt;&gt;"",--(AH76="Présent"),0),IF($AJ$5&lt;&gt;"",--(AJ76="Présent"),0),IF($AL$5&lt;&gt;"",--(AL76="Présent"),0),IF($AN$5&lt;&gt;"",--(AN76="Présent"),0),IF($AP$5&lt;&gt;"",--(AP76="Présent"),0),IF($AR$5&lt;&gt;"",--(AR76="Présent"),0),IF($AT$5&lt;&gt;"",--(AT76="Présent"),0),IF($AV$5&lt;&gt;"",--(AV76="Présent"),0),IF($AX$5&lt;&gt;"",--(AX76="Présent"),0),IF($AZ$5&lt;&gt;"",--(AZ76="Présent"),0),IF($BB$5&lt;&gt;"",--(BB76="Présent"),0),IF($BD$5&lt;&gt;"",--(BD76="Présent"),0),IF($BF$5&lt;&gt;"",--(BF76="Présent"),0),IF($BH$5&lt;&gt;"",--(BH76="Présent"),0),IF($BJ$5&lt;&gt;"",--(BJ76="Présent"),0),IF($BL$5&lt;&gt;"",--(BL76="Présent"),0)))</f>
      </c>
      <c r="BO76" s="22">
        <f>IF($A76="","",SUM(IF($D$5&lt;&gt;"",--(D76="Absent"),0),IF($F$5&lt;&gt;"",--(F76="Absent"),0),IF($H$5&lt;&gt;"",--(H76="Absent"),0),IF($J$5&lt;&gt;"",--(J76="Absent"),0),IF($L$5&lt;&gt;"",--(L76="Absent"),0),IF($N$5&lt;&gt;"",--(N76="Absent"),0),IF($P$5&lt;&gt;"",--(P76="Absent"),0),IF($R$5&lt;&gt;"",--(R76="Absent"),0),IF($T$5&lt;&gt;"",--(T76="Absent"),0),IF($V$5&lt;&gt;"",--(V76="Absent"),0),IF($X$5&lt;&gt;"",--(X76="Absent"),0),IF($Z$5&lt;&gt;"",--(Z76="Absent"),0),IF($AB$5&lt;&gt;"",--(AB76="Absent"),0),IF($AD$5&lt;&gt;"",--(AD76="Absent"),0),IF($AF$5&lt;&gt;"",--(AF76="Absent"),0),IF($AH$5&lt;&gt;"",--(AH76="Absent"),0),IF($AJ$5&lt;&gt;"",--(AJ76="Absent"),0),IF($AL$5&lt;&gt;"",--(AL76="Absent"),0),IF($AN$5&lt;&gt;"",--(AN76="Absent"),0),IF($AP$5&lt;&gt;"",--(AP76="Absent"),0),IF($AR$5&lt;&gt;"",--(AR76="Absent"),0),IF($AT$5&lt;&gt;"",--(AT76="Absent"),0),IF($AV$5&lt;&gt;"",--(AV76="Absent"),0),IF($AX$5&lt;&gt;"",--(AX76="Absent"),0),IF($AZ$5&lt;&gt;"",--(AZ76="Absent"),0),IF($BB$5&lt;&gt;"",--(BB76="Absent"),0),IF($BD$5&lt;&gt;"",--(BD76="Absent"),0),IF($BF$5&lt;&gt;"",--(BF76="Absent"),0),IF($BH$5&lt;&gt;"",--(BH76="Absent"),0),IF($BJ$5&lt;&gt;"",--(BJ76="Absent"),0),IF($BL$5&lt;&gt;"",--(BL76="Absent"),0)))</f>
      </c>
      <c r="BP76" s="22">
        <f>IF($A76="","",SUM(IF($D$5&lt;&gt;"",--(D76="Congé"),0),IF($F$5&lt;&gt;"",--(F76="Congé"),0),IF($H$5&lt;&gt;"",--(H76="Congé"),0),IF($J$5&lt;&gt;"",--(J76="Congé"),0),IF($L$5&lt;&gt;"",--(L76="Congé"),0),IF($N$5&lt;&gt;"",--(N76="Congé"),0),IF($P$5&lt;&gt;"",--(P76="Congé"),0),IF($R$5&lt;&gt;"",--(R76="Congé"),0),IF($T$5&lt;&gt;"",--(T76="Congé"),0),IF($V$5&lt;&gt;"",--(V76="Congé"),0),IF($X$5&lt;&gt;"",--(X76="Congé"),0),IF($Z$5&lt;&gt;"",--(Z76="Congé"),0),IF($AB$5&lt;&gt;"",--(AB76="Congé"),0),IF($AD$5&lt;&gt;"",--(AD76="Congé"),0),IF($AF$5&lt;&gt;"",--(AF76="Congé"),0),IF($AH$5&lt;&gt;"",--(AH76="Congé"),0),IF($AJ$5&lt;&gt;"",--(AJ76="Congé"),0),IF($AL$5&lt;&gt;"",--(AL76="Congé"),0),IF($AN$5&lt;&gt;"",--(AN76="Congé"),0),IF($AP$5&lt;&gt;"",--(AP76="Congé"),0),IF($AR$5&lt;&gt;"",--(AR76="Congé"),0),IF($AT$5&lt;&gt;"",--(AT76="Congé"),0),IF($AV$5&lt;&gt;"",--(AV76="Congé"),0),IF($AX$5&lt;&gt;"",--(AX76="Congé"),0),IF($AZ$5&lt;&gt;"",--(AZ76="Congé"),0),IF($BB$5&lt;&gt;"",--(BB76="Congé"),0),IF($BD$5&lt;&gt;"",--(BD76="Congé"),0),IF($BF$5&lt;&gt;"",--(BF76="Congé"),0),IF($BH$5&lt;&gt;"",--(BH76="Congé"),0),IF($BJ$5&lt;&gt;"",--(BJ76="Congé"),0),IF($BL$5&lt;&gt;"",--(BL76="Congé"),0)))</f>
      </c>
      <c r="BQ76" s="22">
        <f>IF($A76="","",SUM(IF($D$5&lt;&gt;"",--(D76="Maladie"),0),IF($F$5&lt;&gt;"",--(F76="Maladie"),0),IF($H$5&lt;&gt;"",--(H76="Maladie"),0),IF($J$5&lt;&gt;"",--(J76="Maladie"),0),IF($L$5&lt;&gt;"",--(L76="Maladie"),0),IF($N$5&lt;&gt;"",--(N76="Maladie"),0),IF($P$5&lt;&gt;"",--(P76="Maladie"),0),IF($R$5&lt;&gt;"",--(R76="Maladie"),0),IF($T$5&lt;&gt;"",--(T76="Maladie"),0),IF($V$5&lt;&gt;"",--(V76="Maladie"),0),IF($X$5&lt;&gt;"",--(X76="Maladie"),0),IF($Z$5&lt;&gt;"",--(Z76="Maladie"),0),IF($AB$5&lt;&gt;"",--(AB76="Maladie"),0),IF($AD$5&lt;&gt;"",--(AD76="Maladie"),0),IF($AF$5&lt;&gt;"",--(AF76="Maladie"),0),IF($AH$5&lt;&gt;"",--(AH76="Maladie"),0),IF($AJ$5&lt;&gt;"",--(AJ76="Maladie"),0),IF($AL$5&lt;&gt;"",--(AL76="Maladie"),0),IF($AN$5&lt;&gt;"",--(AN76="Maladie"),0),IF($AP$5&lt;&gt;"",--(AP76="Maladie"),0),IF($AR$5&lt;&gt;"",--(AR76="Maladie"),0),IF($AT$5&lt;&gt;"",--(AT76="Maladie"),0),IF($AV$5&lt;&gt;"",--(AV76="Maladie"),0),IF($AX$5&lt;&gt;"",--(AX76="Maladie"),0),IF($AZ$5&lt;&gt;"",--(AZ76="Maladie"),0),IF($BB$5&lt;&gt;"",--(BB76="Maladie"),0),IF($BD$5&lt;&gt;"",--(BD76="Maladie"),0),IF($BF$5&lt;&gt;"",--(BF76="Maladie"),0),IF($BH$5&lt;&gt;"",--(BH76="Maladie"),0),IF($BJ$5&lt;&gt;"",--(BJ76="Maladie"),0),IF($BL$5&lt;&gt;"",--(BL76="Maladie"),0)))</f>
      </c>
      <c r="BR76" s="23">
        <f>IF($A76="","",SUM(IF($D$5&lt;&gt;"",IF(D76="Présent",E76,0),0),IF($F$5&lt;&gt;"",IF(F76="Présent",G76,0),0),IF($H$5&lt;&gt;"",IF(H76="Présent",I76,0),0),IF($J$5&lt;&gt;"",IF(J76="Présent",K76,0),0),IF($L$5&lt;&gt;"",IF(L76="Présent",M76,0),0),IF($N$5&lt;&gt;"",IF(N76="Présent",O76,0),0),IF($P$5&lt;&gt;"",IF(P76="Présent",Q76,0),0),IF($R$5&lt;&gt;"",IF(R76="Présent",S76,0),0),IF($T$5&lt;&gt;"",IF(T76="Présent",U76,0),0),IF($V$5&lt;&gt;"",IF(V76="Présent",W76,0),0),IF($X$5&lt;&gt;"",IF(X76="Présent",Y76,0),0),IF($Z$5&lt;&gt;"",IF(Z76="Présent",AA76,0),0),IF($AB$5&lt;&gt;"",IF(AB76="Présent",AC76,0),0),IF($AD$5&lt;&gt;"",IF(AD76="Présent",AE76,0),0),IF($AF$5&lt;&gt;"",IF(AF76="Présent",AG76,0),0),IF($AH$5&lt;&gt;"",IF(AH76="Présent",AI76,0),0),IF($AJ$5&lt;&gt;"",IF(AJ76="Présent",AK76,0),0),IF($AL$5&lt;&gt;"",IF(AL76="Présent",AM76,0),0),IF($AN$5&lt;&gt;"",IF(AN76="Présent",AO76,0),0),IF($AP$5&lt;&gt;"",IF(AP76="Présent",AQ76,0),0),IF($AR$5&lt;&gt;"",IF(AR76="Présent",AS76,0),0),IF($AT$5&lt;&gt;"",IF(AT76="Présent",AU76,0),0),IF($AV$5&lt;&gt;"",IF(AV76="Présent",AW76,0),0),IF($AX$5&lt;&gt;"",IF(AX76="Présent",AY76,0),0),IF($AZ$5&lt;&gt;"",IF(AZ76="Présent",BA76,0),0),IF($BB$5&lt;&gt;"",IF(BB76="Présent",BC76,0),0),IF($BD$5&lt;&gt;"",IF(BD76="Présent",BE76,0),0),IF($BF$5&lt;&gt;"",IF(BF76="Présent",BG76,0),0),IF($BH$5&lt;&gt;"",IF(BH76="Présent",BI76,0),0),IF($BJ$5&lt;&gt;"",IF(BJ76="Présent",BK76,0),0),IF($BL$5&lt;&gt;"",IF(BL76="Présent",BM76,0),0)))</f>
      </c>
      <c r="BS76" s="25">
        <f>IF($A76="","",$BN76*IFERROR(INDEX(Categories_Salaire,MATCH($C76,ListeCategories,0)),0)+$BR76*IF(IFERROR(INDEX(Categories_TauxHS,MATCH($C76,ListeCategories,0)),0)&gt;0,IFERROR(INDEX(Categories_TauxHS,MATCH($C76,ListeCategories,0)),0),TauxHSDefaut))</f>
      </c>
    </row>
    <row r="77">
      <c r="A77" s="20">
        <f>IF(AND(INDEX(Employes_Nom,71)&lt;&gt;"",INDEX(Employes_Statut,71)="Actif",OR(INDEX(Employes_Embauche,71)="",INDEX(Employes_Embauche,71)&lt;=EOMONTH(DATE(AnneeCourante,MoisCourant,1),0))),INDEX(Employes_ID,71),"")</f>
      </c>
      <c r="B77" s="19">
        <f>IF($A77="","",INDEX(Employes_Nom,MATCH($A77,Employes_ID,0)))</f>
      </c>
      <c r="C77" s="20">
        <f>IF($A77="","",INDEX(Employes_Categorie,MATCH($A77,Employes_ID,0)))</f>
      </c>
      <c r="D77" s="26"/>
      <c r="E77" s="27"/>
      <c r="F77" s="26"/>
      <c r="G77" s="27"/>
      <c r="H77" s="26"/>
      <c r="I77" s="27"/>
      <c r="J77" s="26"/>
      <c r="K77" s="27"/>
      <c r="L77" s="26"/>
      <c r="M77" s="27"/>
      <c r="N77" s="26"/>
      <c r="O77" s="27"/>
      <c r="P77" s="26"/>
      <c r="Q77" s="27"/>
      <c r="R77" s="26"/>
      <c r="S77" s="27"/>
      <c r="T77" s="26"/>
      <c r="U77" s="27"/>
      <c r="V77" s="26"/>
      <c r="W77" s="27"/>
      <c r="X77" s="26"/>
      <c r="Y77" s="27"/>
      <c r="Z77" s="26"/>
      <c r="AA77" s="27"/>
      <c r="AB77" s="26"/>
      <c r="AC77" s="27"/>
      <c r="AD77" s="26"/>
      <c r="AE77" s="27"/>
      <c r="AF77" s="26"/>
      <c r="AG77" s="27"/>
      <c r="AH77" s="26"/>
      <c r="AI77" s="27"/>
      <c r="AJ77" s="26"/>
      <c r="AK77" s="27"/>
      <c r="AL77" s="26"/>
      <c r="AM77" s="27"/>
      <c r="AN77" s="26"/>
      <c r="AO77" s="27"/>
      <c r="AP77" s="26"/>
      <c r="AQ77" s="27"/>
      <c r="AR77" s="26"/>
      <c r="AS77" s="27"/>
      <c r="AT77" s="26"/>
      <c r="AU77" s="27"/>
      <c r="AV77" s="26"/>
      <c r="AW77" s="27"/>
      <c r="AX77" s="26"/>
      <c r="AY77" s="27"/>
      <c r="AZ77" s="26"/>
      <c r="BA77" s="27"/>
      <c r="BB77" s="26"/>
      <c r="BC77" s="27"/>
      <c r="BD77" s="26"/>
      <c r="BE77" s="27"/>
      <c r="BF77" s="26"/>
      <c r="BG77" s="27"/>
      <c r="BH77" s="26"/>
      <c r="BI77" s="27"/>
      <c r="BJ77" s="26"/>
      <c r="BK77" s="27"/>
      <c r="BL77" s="26"/>
      <c r="BM77" s="27"/>
      <c r="BN77" s="22">
        <f>IF($A77="","",SUM(IF($D$5&lt;&gt;"",--(D77="Présent"),0),IF($F$5&lt;&gt;"",--(F77="Présent"),0),IF($H$5&lt;&gt;"",--(H77="Présent"),0),IF($J$5&lt;&gt;"",--(J77="Présent"),0),IF($L$5&lt;&gt;"",--(L77="Présent"),0),IF($N$5&lt;&gt;"",--(N77="Présent"),0),IF($P$5&lt;&gt;"",--(P77="Présent"),0),IF($R$5&lt;&gt;"",--(R77="Présent"),0),IF($T$5&lt;&gt;"",--(T77="Présent"),0),IF($V$5&lt;&gt;"",--(V77="Présent"),0),IF($X$5&lt;&gt;"",--(X77="Présent"),0),IF($Z$5&lt;&gt;"",--(Z77="Présent"),0),IF($AB$5&lt;&gt;"",--(AB77="Présent"),0),IF($AD$5&lt;&gt;"",--(AD77="Présent"),0),IF($AF$5&lt;&gt;"",--(AF77="Présent"),0),IF($AH$5&lt;&gt;"",--(AH77="Présent"),0),IF($AJ$5&lt;&gt;"",--(AJ77="Présent"),0),IF($AL$5&lt;&gt;"",--(AL77="Présent"),0),IF($AN$5&lt;&gt;"",--(AN77="Présent"),0),IF($AP$5&lt;&gt;"",--(AP77="Présent"),0),IF($AR$5&lt;&gt;"",--(AR77="Présent"),0),IF($AT$5&lt;&gt;"",--(AT77="Présent"),0),IF($AV$5&lt;&gt;"",--(AV77="Présent"),0),IF($AX$5&lt;&gt;"",--(AX77="Présent"),0),IF($AZ$5&lt;&gt;"",--(AZ77="Présent"),0),IF($BB$5&lt;&gt;"",--(BB77="Présent"),0),IF($BD$5&lt;&gt;"",--(BD77="Présent"),0),IF($BF$5&lt;&gt;"",--(BF77="Présent"),0),IF($BH$5&lt;&gt;"",--(BH77="Présent"),0),IF($BJ$5&lt;&gt;"",--(BJ77="Présent"),0),IF($BL$5&lt;&gt;"",--(BL77="Présent"),0)))</f>
      </c>
      <c r="BO77" s="22">
        <f>IF($A77="","",SUM(IF($D$5&lt;&gt;"",--(D77="Absent"),0),IF($F$5&lt;&gt;"",--(F77="Absent"),0),IF($H$5&lt;&gt;"",--(H77="Absent"),0),IF($J$5&lt;&gt;"",--(J77="Absent"),0),IF($L$5&lt;&gt;"",--(L77="Absent"),0),IF($N$5&lt;&gt;"",--(N77="Absent"),0),IF($P$5&lt;&gt;"",--(P77="Absent"),0),IF($R$5&lt;&gt;"",--(R77="Absent"),0),IF($T$5&lt;&gt;"",--(T77="Absent"),0),IF($V$5&lt;&gt;"",--(V77="Absent"),0),IF($X$5&lt;&gt;"",--(X77="Absent"),0),IF($Z$5&lt;&gt;"",--(Z77="Absent"),0),IF($AB$5&lt;&gt;"",--(AB77="Absent"),0),IF($AD$5&lt;&gt;"",--(AD77="Absent"),0),IF($AF$5&lt;&gt;"",--(AF77="Absent"),0),IF($AH$5&lt;&gt;"",--(AH77="Absent"),0),IF($AJ$5&lt;&gt;"",--(AJ77="Absent"),0),IF($AL$5&lt;&gt;"",--(AL77="Absent"),0),IF($AN$5&lt;&gt;"",--(AN77="Absent"),0),IF($AP$5&lt;&gt;"",--(AP77="Absent"),0),IF($AR$5&lt;&gt;"",--(AR77="Absent"),0),IF($AT$5&lt;&gt;"",--(AT77="Absent"),0),IF($AV$5&lt;&gt;"",--(AV77="Absent"),0),IF($AX$5&lt;&gt;"",--(AX77="Absent"),0),IF($AZ$5&lt;&gt;"",--(AZ77="Absent"),0),IF($BB$5&lt;&gt;"",--(BB77="Absent"),0),IF($BD$5&lt;&gt;"",--(BD77="Absent"),0),IF($BF$5&lt;&gt;"",--(BF77="Absent"),0),IF($BH$5&lt;&gt;"",--(BH77="Absent"),0),IF($BJ$5&lt;&gt;"",--(BJ77="Absent"),0),IF($BL$5&lt;&gt;"",--(BL77="Absent"),0)))</f>
      </c>
      <c r="BP77" s="22">
        <f>IF($A77="","",SUM(IF($D$5&lt;&gt;"",--(D77="Congé"),0),IF($F$5&lt;&gt;"",--(F77="Congé"),0),IF($H$5&lt;&gt;"",--(H77="Congé"),0),IF($J$5&lt;&gt;"",--(J77="Congé"),0),IF($L$5&lt;&gt;"",--(L77="Congé"),0),IF($N$5&lt;&gt;"",--(N77="Congé"),0),IF($P$5&lt;&gt;"",--(P77="Congé"),0),IF($R$5&lt;&gt;"",--(R77="Congé"),0),IF($T$5&lt;&gt;"",--(T77="Congé"),0),IF($V$5&lt;&gt;"",--(V77="Congé"),0),IF($X$5&lt;&gt;"",--(X77="Congé"),0),IF($Z$5&lt;&gt;"",--(Z77="Congé"),0),IF($AB$5&lt;&gt;"",--(AB77="Congé"),0),IF($AD$5&lt;&gt;"",--(AD77="Congé"),0),IF($AF$5&lt;&gt;"",--(AF77="Congé"),0),IF($AH$5&lt;&gt;"",--(AH77="Congé"),0),IF($AJ$5&lt;&gt;"",--(AJ77="Congé"),0),IF($AL$5&lt;&gt;"",--(AL77="Congé"),0),IF($AN$5&lt;&gt;"",--(AN77="Congé"),0),IF($AP$5&lt;&gt;"",--(AP77="Congé"),0),IF($AR$5&lt;&gt;"",--(AR77="Congé"),0),IF($AT$5&lt;&gt;"",--(AT77="Congé"),0),IF($AV$5&lt;&gt;"",--(AV77="Congé"),0),IF($AX$5&lt;&gt;"",--(AX77="Congé"),0),IF($AZ$5&lt;&gt;"",--(AZ77="Congé"),0),IF($BB$5&lt;&gt;"",--(BB77="Congé"),0),IF($BD$5&lt;&gt;"",--(BD77="Congé"),0),IF($BF$5&lt;&gt;"",--(BF77="Congé"),0),IF($BH$5&lt;&gt;"",--(BH77="Congé"),0),IF($BJ$5&lt;&gt;"",--(BJ77="Congé"),0),IF($BL$5&lt;&gt;"",--(BL77="Congé"),0)))</f>
      </c>
      <c r="BQ77" s="22">
        <f>IF($A77="","",SUM(IF($D$5&lt;&gt;"",--(D77="Maladie"),0),IF($F$5&lt;&gt;"",--(F77="Maladie"),0),IF($H$5&lt;&gt;"",--(H77="Maladie"),0),IF($J$5&lt;&gt;"",--(J77="Maladie"),0),IF($L$5&lt;&gt;"",--(L77="Maladie"),0),IF($N$5&lt;&gt;"",--(N77="Maladie"),0),IF($P$5&lt;&gt;"",--(P77="Maladie"),0),IF($R$5&lt;&gt;"",--(R77="Maladie"),0),IF($T$5&lt;&gt;"",--(T77="Maladie"),0),IF($V$5&lt;&gt;"",--(V77="Maladie"),0),IF($X$5&lt;&gt;"",--(X77="Maladie"),0),IF($Z$5&lt;&gt;"",--(Z77="Maladie"),0),IF($AB$5&lt;&gt;"",--(AB77="Maladie"),0),IF($AD$5&lt;&gt;"",--(AD77="Maladie"),0),IF($AF$5&lt;&gt;"",--(AF77="Maladie"),0),IF($AH$5&lt;&gt;"",--(AH77="Maladie"),0),IF($AJ$5&lt;&gt;"",--(AJ77="Maladie"),0),IF($AL$5&lt;&gt;"",--(AL77="Maladie"),0),IF($AN$5&lt;&gt;"",--(AN77="Maladie"),0),IF($AP$5&lt;&gt;"",--(AP77="Maladie"),0),IF($AR$5&lt;&gt;"",--(AR77="Maladie"),0),IF($AT$5&lt;&gt;"",--(AT77="Maladie"),0),IF($AV$5&lt;&gt;"",--(AV77="Maladie"),0),IF($AX$5&lt;&gt;"",--(AX77="Maladie"),0),IF($AZ$5&lt;&gt;"",--(AZ77="Maladie"),0),IF($BB$5&lt;&gt;"",--(BB77="Maladie"),0),IF($BD$5&lt;&gt;"",--(BD77="Maladie"),0),IF($BF$5&lt;&gt;"",--(BF77="Maladie"),0),IF($BH$5&lt;&gt;"",--(BH77="Maladie"),0),IF($BJ$5&lt;&gt;"",--(BJ77="Maladie"),0),IF($BL$5&lt;&gt;"",--(BL77="Maladie"),0)))</f>
      </c>
      <c r="BR77" s="23">
        <f>IF($A77="","",SUM(IF($D$5&lt;&gt;"",IF(D77="Présent",E77,0),0),IF($F$5&lt;&gt;"",IF(F77="Présent",G77,0),0),IF($H$5&lt;&gt;"",IF(H77="Présent",I77,0),0),IF($J$5&lt;&gt;"",IF(J77="Présent",K77,0),0),IF($L$5&lt;&gt;"",IF(L77="Présent",M77,0),0),IF($N$5&lt;&gt;"",IF(N77="Présent",O77,0),0),IF($P$5&lt;&gt;"",IF(P77="Présent",Q77,0),0),IF($R$5&lt;&gt;"",IF(R77="Présent",S77,0),0),IF($T$5&lt;&gt;"",IF(T77="Présent",U77,0),0),IF($V$5&lt;&gt;"",IF(V77="Présent",W77,0),0),IF($X$5&lt;&gt;"",IF(X77="Présent",Y77,0),0),IF($Z$5&lt;&gt;"",IF(Z77="Présent",AA77,0),0),IF($AB$5&lt;&gt;"",IF(AB77="Présent",AC77,0),0),IF($AD$5&lt;&gt;"",IF(AD77="Présent",AE77,0),0),IF($AF$5&lt;&gt;"",IF(AF77="Présent",AG77,0),0),IF($AH$5&lt;&gt;"",IF(AH77="Présent",AI77,0),0),IF($AJ$5&lt;&gt;"",IF(AJ77="Présent",AK77,0),0),IF($AL$5&lt;&gt;"",IF(AL77="Présent",AM77,0),0),IF($AN$5&lt;&gt;"",IF(AN77="Présent",AO77,0),0),IF($AP$5&lt;&gt;"",IF(AP77="Présent",AQ77,0),0),IF($AR$5&lt;&gt;"",IF(AR77="Présent",AS77,0),0),IF($AT$5&lt;&gt;"",IF(AT77="Présent",AU77,0),0),IF($AV$5&lt;&gt;"",IF(AV77="Présent",AW77,0),0),IF($AX$5&lt;&gt;"",IF(AX77="Présent",AY77,0),0),IF($AZ$5&lt;&gt;"",IF(AZ77="Présent",BA77,0),0),IF($BB$5&lt;&gt;"",IF(BB77="Présent",BC77,0),0),IF($BD$5&lt;&gt;"",IF(BD77="Présent",BE77,0),0),IF($BF$5&lt;&gt;"",IF(BF77="Présent",BG77,0),0),IF($BH$5&lt;&gt;"",IF(BH77="Présent",BI77,0),0),IF($BJ$5&lt;&gt;"",IF(BJ77="Présent",BK77,0),0),IF($BL$5&lt;&gt;"",IF(BL77="Présent",BM77,0),0)))</f>
      </c>
      <c r="BS77" s="25">
        <f>IF($A77="","",$BN77*IFERROR(INDEX(Categories_Salaire,MATCH($C77,ListeCategories,0)),0)+$BR77*IF(IFERROR(INDEX(Categories_TauxHS,MATCH($C77,ListeCategories,0)),0)&gt;0,IFERROR(INDEX(Categories_TauxHS,MATCH($C77,ListeCategories,0)),0),TauxHSDefaut))</f>
      </c>
    </row>
    <row r="78">
      <c r="A78" s="20">
        <f>IF(AND(INDEX(Employes_Nom,72)&lt;&gt;"",INDEX(Employes_Statut,72)="Actif",OR(INDEX(Employes_Embauche,72)="",INDEX(Employes_Embauche,72)&lt;=EOMONTH(DATE(AnneeCourante,MoisCourant,1),0))),INDEX(Employes_ID,72),"")</f>
      </c>
      <c r="B78" s="19">
        <f>IF($A78="","",INDEX(Employes_Nom,MATCH($A78,Employes_ID,0)))</f>
      </c>
      <c r="C78" s="20">
        <f>IF($A78="","",INDEX(Employes_Categorie,MATCH($A78,Employes_ID,0)))</f>
      </c>
      <c r="D78" s="26"/>
      <c r="E78" s="27"/>
      <c r="F78" s="26"/>
      <c r="G78" s="27"/>
      <c r="H78" s="26"/>
      <c r="I78" s="27"/>
      <c r="J78" s="26"/>
      <c r="K78" s="27"/>
      <c r="L78" s="26"/>
      <c r="M78" s="27"/>
      <c r="N78" s="26"/>
      <c r="O78" s="27"/>
      <c r="P78" s="26"/>
      <c r="Q78" s="27"/>
      <c r="R78" s="26"/>
      <c r="S78" s="27"/>
      <c r="T78" s="26"/>
      <c r="U78" s="27"/>
      <c r="V78" s="26"/>
      <c r="W78" s="27"/>
      <c r="X78" s="26"/>
      <c r="Y78" s="27"/>
      <c r="Z78" s="26"/>
      <c r="AA78" s="27"/>
      <c r="AB78" s="26"/>
      <c r="AC78" s="27"/>
      <c r="AD78" s="26"/>
      <c r="AE78" s="27"/>
      <c r="AF78" s="26"/>
      <c r="AG78" s="27"/>
      <c r="AH78" s="26"/>
      <c r="AI78" s="27"/>
      <c r="AJ78" s="26"/>
      <c r="AK78" s="27"/>
      <c r="AL78" s="26"/>
      <c r="AM78" s="27"/>
      <c r="AN78" s="26"/>
      <c r="AO78" s="27"/>
      <c r="AP78" s="26"/>
      <c r="AQ78" s="27"/>
      <c r="AR78" s="26"/>
      <c r="AS78" s="27"/>
      <c r="AT78" s="26"/>
      <c r="AU78" s="27"/>
      <c r="AV78" s="26"/>
      <c r="AW78" s="27"/>
      <c r="AX78" s="26"/>
      <c r="AY78" s="27"/>
      <c r="AZ78" s="26"/>
      <c r="BA78" s="27"/>
      <c r="BB78" s="26"/>
      <c r="BC78" s="27"/>
      <c r="BD78" s="26"/>
      <c r="BE78" s="27"/>
      <c r="BF78" s="26"/>
      <c r="BG78" s="27"/>
      <c r="BH78" s="26"/>
      <c r="BI78" s="27"/>
      <c r="BJ78" s="26"/>
      <c r="BK78" s="27"/>
      <c r="BL78" s="26"/>
      <c r="BM78" s="27"/>
      <c r="BN78" s="22">
        <f>IF($A78="","",SUM(IF($D$5&lt;&gt;"",--(D78="Présent"),0),IF($F$5&lt;&gt;"",--(F78="Présent"),0),IF($H$5&lt;&gt;"",--(H78="Présent"),0),IF($J$5&lt;&gt;"",--(J78="Présent"),0),IF($L$5&lt;&gt;"",--(L78="Présent"),0),IF($N$5&lt;&gt;"",--(N78="Présent"),0),IF($P$5&lt;&gt;"",--(P78="Présent"),0),IF($R$5&lt;&gt;"",--(R78="Présent"),0),IF($T$5&lt;&gt;"",--(T78="Présent"),0),IF($V$5&lt;&gt;"",--(V78="Présent"),0),IF($X$5&lt;&gt;"",--(X78="Présent"),0),IF($Z$5&lt;&gt;"",--(Z78="Présent"),0),IF($AB$5&lt;&gt;"",--(AB78="Présent"),0),IF($AD$5&lt;&gt;"",--(AD78="Présent"),0),IF($AF$5&lt;&gt;"",--(AF78="Présent"),0),IF($AH$5&lt;&gt;"",--(AH78="Présent"),0),IF($AJ$5&lt;&gt;"",--(AJ78="Présent"),0),IF($AL$5&lt;&gt;"",--(AL78="Présent"),0),IF($AN$5&lt;&gt;"",--(AN78="Présent"),0),IF($AP$5&lt;&gt;"",--(AP78="Présent"),0),IF($AR$5&lt;&gt;"",--(AR78="Présent"),0),IF($AT$5&lt;&gt;"",--(AT78="Présent"),0),IF($AV$5&lt;&gt;"",--(AV78="Présent"),0),IF($AX$5&lt;&gt;"",--(AX78="Présent"),0),IF($AZ$5&lt;&gt;"",--(AZ78="Présent"),0),IF($BB$5&lt;&gt;"",--(BB78="Présent"),0),IF($BD$5&lt;&gt;"",--(BD78="Présent"),0),IF($BF$5&lt;&gt;"",--(BF78="Présent"),0),IF($BH$5&lt;&gt;"",--(BH78="Présent"),0),IF($BJ$5&lt;&gt;"",--(BJ78="Présent"),0),IF($BL$5&lt;&gt;"",--(BL78="Présent"),0)))</f>
      </c>
      <c r="BO78" s="22">
        <f>IF($A78="","",SUM(IF($D$5&lt;&gt;"",--(D78="Absent"),0),IF($F$5&lt;&gt;"",--(F78="Absent"),0),IF($H$5&lt;&gt;"",--(H78="Absent"),0),IF($J$5&lt;&gt;"",--(J78="Absent"),0),IF($L$5&lt;&gt;"",--(L78="Absent"),0),IF($N$5&lt;&gt;"",--(N78="Absent"),0),IF($P$5&lt;&gt;"",--(P78="Absent"),0),IF($R$5&lt;&gt;"",--(R78="Absent"),0),IF($T$5&lt;&gt;"",--(T78="Absent"),0),IF($V$5&lt;&gt;"",--(V78="Absent"),0),IF($X$5&lt;&gt;"",--(X78="Absent"),0),IF($Z$5&lt;&gt;"",--(Z78="Absent"),0),IF($AB$5&lt;&gt;"",--(AB78="Absent"),0),IF($AD$5&lt;&gt;"",--(AD78="Absent"),0),IF($AF$5&lt;&gt;"",--(AF78="Absent"),0),IF($AH$5&lt;&gt;"",--(AH78="Absent"),0),IF($AJ$5&lt;&gt;"",--(AJ78="Absent"),0),IF($AL$5&lt;&gt;"",--(AL78="Absent"),0),IF($AN$5&lt;&gt;"",--(AN78="Absent"),0),IF($AP$5&lt;&gt;"",--(AP78="Absent"),0),IF($AR$5&lt;&gt;"",--(AR78="Absent"),0),IF($AT$5&lt;&gt;"",--(AT78="Absent"),0),IF($AV$5&lt;&gt;"",--(AV78="Absent"),0),IF($AX$5&lt;&gt;"",--(AX78="Absent"),0),IF($AZ$5&lt;&gt;"",--(AZ78="Absent"),0),IF($BB$5&lt;&gt;"",--(BB78="Absent"),0),IF($BD$5&lt;&gt;"",--(BD78="Absent"),0),IF($BF$5&lt;&gt;"",--(BF78="Absent"),0),IF($BH$5&lt;&gt;"",--(BH78="Absent"),0),IF($BJ$5&lt;&gt;"",--(BJ78="Absent"),0),IF($BL$5&lt;&gt;"",--(BL78="Absent"),0)))</f>
      </c>
      <c r="BP78" s="22">
        <f>IF($A78="","",SUM(IF($D$5&lt;&gt;"",--(D78="Congé"),0),IF($F$5&lt;&gt;"",--(F78="Congé"),0),IF($H$5&lt;&gt;"",--(H78="Congé"),0),IF($J$5&lt;&gt;"",--(J78="Congé"),0),IF($L$5&lt;&gt;"",--(L78="Congé"),0),IF($N$5&lt;&gt;"",--(N78="Congé"),0),IF($P$5&lt;&gt;"",--(P78="Congé"),0),IF($R$5&lt;&gt;"",--(R78="Congé"),0),IF($T$5&lt;&gt;"",--(T78="Congé"),0),IF($V$5&lt;&gt;"",--(V78="Congé"),0),IF($X$5&lt;&gt;"",--(X78="Congé"),0),IF($Z$5&lt;&gt;"",--(Z78="Congé"),0),IF($AB$5&lt;&gt;"",--(AB78="Congé"),0),IF($AD$5&lt;&gt;"",--(AD78="Congé"),0),IF($AF$5&lt;&gt;"",--(AF78="Congé"),0),IF($AH$5&lt;&gt;"",--(AH78="Congé"),0),IF($AJ$5&lt;&gt;"",--(AJ78="Congé"),0),IF($AL$5&lt;&gt;"",--(AL78="Congé"),0),IF($AN$5&lt;&gt;"",--(AN78="Congé"),0),IF($AP$5&lt;&gt;"",--(AP78="Congé"),0),IF($AR$5&lt;&gt;"",--(AR78="Congé"),0),IF($AT$5&lt;&gt;"",--(AT78="Congé"),0),IF($AV$5&lt;&gt;"",--(AV78="Congé"),0),IF($AX$5&lt;&gt;"",--(AX78="Congé"),0),IF($AZ$5&lt;&gt;"",--(AZ78="Congé"),0),IF($BB$5&lt;&gt;"",--(BB78="Congé"),0),IF($BD$5&lt;&gt;"",--(BD78="Congé"),0),IF($BF$5&lt;&gt;"",--(BF78="Congé"),0),IF($BH$5&lt;&gt;"",--(BH78="Congé"),0),IF($BJ$5&lt;&gt;"",--(BJ78="Congé"),0),IF($BL$5&lt;&gt;"",--(BL78="Congé"),0)))</f>
      </c>
      <c r="BQ78" s="22">
        <f>IF($A78="","",SUM(IF($D$5&lt;&gt;"",--(D78="Maladie"),0),IF($F$5&lt;&gt;"",--(F78="Maladie"),0),IF($H$5&lt;&gt;"",--(H78="Maladie"),0),IF($J$5&lt;&gt;"",--(J78="Maladie"),0),IF($L$5&lt;&gt;"",--(L78="Maladie"),0),IF($N$5&lt;&gt;"",--(N78="Maladie"),0),IF($P$5&lt;&gt;"",--(P78="Maladie"),0),IF($R$5&lt;&gt;"",--(R78="Maladie"),0),IF($T$5&lt;&gt;"",--(T78="Maladie"),0),IF($V$5&lt;&gt;"",--(V78="Maladie"),0),IF($X$5&lt;&gt;"",--(X78="Maladie"),0),IF($Z$5&lt;&gt;"",--(Z78="Maladie"),0),IF($AB$5&lt;&gt;"",--(AB78="Maladie"),0),IF($AD$5&lt;&gt;"",--(AD78="Maladie"),0),IF($AF$5&lt;&gt;"",--(AF78="Maladie"),0),IF($AH$5&lt;&gt;"",--(AH78="Maladie"),0),IF($AJ$5&lt;&gt;"",--(AJ78="Maladie"),0),IF($AL$5&lt;&gt;"",--(AL78="Maladie"),0),IF($AN$5&lt;&gt;"",--(AN78="Maladie"),0),IF($AP$5&lt;&gt;"",--(AP78="Maladie"),0),IF($AR$5&lt;&gt;"",--(AR78="Maladie"),0),IF($AT$5&lt;&gt;"",--(AT78="Maladie"),0),IF($AV$5&lt;&gt;"",--(AV78="Maladie"),0),IF($AX$5&lt;&gt;"",--(AX78="Maladie"),0),IF($AZ$5&lt;&gt;"",--(AZ78="Maladie"),0),IF($BB$5&lt;&gt;"",--(BB78="Maladie"),0),IF($BD$5&lt;&gt;"",--(BD78="Maladie"),0),IF($BF$5&lt;&gt;"",--(BF78="Maladie"),0),IF($BH$5&lt;&gt;"",--(BH78="Maladie"),0),IF($BJ$5&lt;&gt;"",--(BJ78="Maladie"),0),IF($BL$5&lt;&gt;"",--(BL78="Maladie"),0)))</f>
      </c>
      <c r="BR78" s="23">
        <f>IF($A78="","",SUM(IF($D$5&lt;&gt;"",IF(D78="Présent",E78,0),0),IF($F$5&lt;&gt;"",IF(F78="Présent",G78,0),0),IF($H$5&lt;&gt;"",IF(H78="Présent",I78,0),0),IF($J$5&lt;&gt;"",IF(J78="Présent",K78,0),0),IF($L$5&lt;&gt;"",IF(L78="Présent",M78,0),0),IF($N$5&lt;&gt;"",IF(N78="Présent",O78,0),0),IF($P$5&lt;&gt;"",IF(P78="Présent",Q78,0),0),IF($R$5&lt;&gt;"",IF(R78="Présent",S78,0),0),IF($T$5&lt;&gt;"",IF(T78="Présent",U78,0),0),IF($V$5&lt;&gt;"",IF(V78="Présent",W78,0),0),IF($X$5&lt;&gt;"",IF(X78="Présent",Y78,0),0),IF($Z$5&lt;&gt;"",IF(Z78="Présent",AA78,0),0),IF($AB$5&lt;&gt;"",IF(AB78="Présent",AC78,0),0),IF($AD$5&lt;&gt;"",IF(AD78="Présent",AE78,0),0),IF($AF$5&lt;&gt;"",IF(AF78="Présent",AG78,0),0),IF($AH$5&lt;&gt;"",IF(AH78="Présent",AI78,0),0),IF($AJ$5&lt;&gt;"",IF(AJ78="Présent",AK78,0),0),IF($AL$5&lt;&gt;"",IF(AL78="Présent",AM78,0),0),IF($AN$5&lt;&gt;"",IF(AN78="Présent",AO78,0),0),IF($AP$5&lt;&gt;"",IF(AP78="Présent",AQ78,0),0),IF($AR$5&lt;&gt;"",IF(AR78="Présent",AS78,0),0),IF($AT$5&lt;&gt;"",IF(AT78="Présent",AU78,0),0),IF($AV$5&lt;&gt;"",IF(AV78="Présent",AW78,0),0),IF($AX$5&lt;&gt;"",IF(AX78="Présent",AY78,0),0),IF($AZ$5&lt;&gt;"",IF(AZ78="Présent",BA78,0),0),IF($BB$5&lt;&gt;"",IF(BB78="Présent",BC78,0),0),IF($BD$5&lt;&gt;"",IF(BD78="Présent",BE78,0),0),IF($BF$5&lt;&gt;"",IF(BF78="Présent",BG78,0),0),IF($BH$5&lt;&gt;"",IF(BH78="Présent",BI78,0),0),IF($BJ$5&lt;&gt;"",IF(BJ78="Présent",BK78,0),0),IF($BL$5&lt;&gt;"",IF(BL78="Présent",BM78,0),0)))</f>
      </c>
      <c r="BS78" s="25">
        <f>IF($A78="","",$BN78*IFERROR(INDEX(Categories_Salaire,MATCH($C78,ListeCategories,0)),0)+$BR78*IF(IFERROR(INDEX(Categories_TauxHS,MATCH($C78,ListeCategories,0)),0)&gt;0,IFERROR(INDEX(Categories_TauxHS,MATCH($C78,ListeCategories,0)),0),TauxHSDefaut))</f>
      </c>
    </row>
    <row r="79">
      <c r="A79" s="20">
        <f>IF(AND(INDEX(Employes_Nom,73)&lt;&gt;"",INDEX(Employes_Statut,73)="Actif",OR(INDEX(Employes_Embauche,73)="",INDEX(Employes_Embauche,73)&lt;=EOMONTH(DATE(AnneeCourante,MoisCourant,1),0))),INDEX(Employes_ID,73),"")</f>
      </c>
      <c r="B79" s="19">
        <f>IF($A79="","",INDEX(Employes_Nom,MATCH($A79,Employes_ID,0)))</f>
      </c>
      <c r="C79" s="20">
        <f>IF($A79="","",INDEX(Employes_Categorie,MATCH($A79,Employes_ID,0)))</f>
      </c>
      <c r="D79" s="26"/>
      <c r="E79" s="27"/>
      <c r="F79" s="26"/>
      <c r="G79" s="27"/>
      <c r="H79" s="26"/>
      <c r="I79" s="27"/>
      <c r="J79" s="26"/>
      <c r="K79" s="27"/>
      <c r="L79" s="26"/>
      <c r="M79" s="27"/>
      <c r="N79" s="26"/>
      <c r="O79" s="27"/>
      <c r="P79" s="26"/>
      <c r="Q79" s="27"/>
      <c r="R79" s="26"/>
      <c r="S79" s="27"/>
      <c r="T79" s="26"/>
      <c r="U79" s="27"/>
      <c r="V79" s="26"/>
      <c r="W79" s="27"/>
      <c r="X79" s="26"/>
      <c r="Y79" s="27"/>
      <c r="Z79" s="26"/>
      <c r="AA79" s="27"/>
      <c r="AB79" s="26"/>
      <c r="AC79" s="27"/>
      <c r="AD79" s="26"/>
      <c r="AE79" s="27"/>
      <c r="AF79" s="26"/>
      <c r="AG79" s="27"/>
      <c r="AH79" s="26"/>
      <c r="AI79" s="27"/>
      <c r="AJ79" s="26"/>
      <c r="AK79" s="27"/>
      <c r="AL79" s="26"/>
      <c r="AM79" s="27"/>
      <c r="AN79" s="26"/>
      <c r="AO79" s="27"/>
      <c r="AP79" s="26"/>
      <c r="AQ79" s="27"/>
      <c r="AR79" s="26"/>
      <c r="AS79" s="27"/>
      <c r="AT79" s="26"/>
      <c r="AU79" s="27"/>
      <c r="AV79" s="26"/>
      <c r="AW79" s="27"/>
      <c r="AX79" s="26"/>
      <c r="AY79" s="27"/>
      <c r="AZ79" s="26"/>
      <c r="BA79" s="27"/>
      <c r="BB79" s="26"/>
      <c r="BC79" s="27"/>
      <c r="BD79" s="26"/>
      <c r="BE79" s="27"/>
      <c r="BF79" s="26"/>
      <c r="BG79" s="27"/>
      <c r="BH79" s="26"/>
      <c r="BI79" s="27"/>
      <c r="BJ79" s="26"/>
      <c r="BK79" s="27"/>
      <c r="BL79" s="26"/>
      <c r="BM79" s="27"/>
      <c r="BN79" s="22">
        <f>IF($A79="","",SUM(IF($D$5&lt;&gt;"",--(D79="Présent"),0),IF($F$5&lt;&gt;"",--(F79="Présent"),0),IF($H$5&lt;&gt;"",--(H79="Présent"),0),IF($J$5&lt;&gt;"",--(J79="Présent"),0),IF($L$5&lt;&gt;"",--(L79="Présent"),0),IF($N$5&lt;&gt;"",--(N79="Présent"),0),IF($P$5&lt;&gt;"",--(P79="Présent"),0),IF($R$5&lt;&gt;"",--(R79="Présent"),0),IF($T$5&lt;&gt;"",--(T79="Présent"),0),IF($V$5&lt;&gt;"",--(V79="Présent"),0),IF($X$5&lt;&gt;"",--(X79="Présent"),0),IF($Z$5&lt;&gt;"",--(Z79="Présent"),0),IF($AB$5&lt;&gt;"",--(AB79="Présent"),0),IF($AD$5&lt;&gt;"",--(AD79="Présent"),0),IF($AF$5&lt;&gt;"",--(AF79="Présent"),0),IF($AH$5&lt;&gt;"",--(AH79="Présent"),0),IF($AJ$5&lt;&gt;"",--(AJ79="Présent"),0),IF($AL$5&lt;&gt;"",--(AL79="Présent"),0),IF($AN$5&lt;&gt;"",--(AN79="Présent"),0),IF($AP$5&lt;&gt;"",--(AP79="Présent"),0),IF($AR$5&lt;&gt;"",--(AR79="Présent"),0),IF($AT$5&lt;&gt;"",--(AT79="Présent"),0),IF($AV$5&lt;&gt;"",--(AV79="Présent"),0),IF($AX$5&lt;&gt;"",--(AX79="Présent"),0),IF($AZ$5&lt;&gt;"",--(AZ79="Présent"),0),IF($BB$5&lt;&gt;"",--(BB79="Présent"),0),IF($BD$5&lt;&gt;"",--(BD79="Présent"),0),IF($BF$5&lt;&gt;"",--(BF79="Présent"),0),IF($BH$5&lt;&gt;"",--(BH79="Présent"),0),IF($BJ$5&lt;&gt;"",--(BJ79="Présent"),0),IF($BL$5&lt;&gt;"",--(BL79="Présent"),0)))</f>
      </c>
      <c r="BO79" s="22">
        <f>IF($A79="","",SUM(IF($D$5&lt;&gt;"",--(D79="Absent"),0),IF($F$5&lt;&gt;"",--(F79="Absent"),0),IF($H$5&lt;&gt;"",--(H79="Absent"),0),IF($J$5&lt;&gt;"",--(J79="Absent"),0),IF($L$5&lt;&gt;"",--(L79="Absent"),0),IF($N$5&lt;&gt;"",--(N79="Absent"),0),IF($P$5&lt;&gt;"",--(P79="Absent"),0),IF($R$5&lt;&gt;"",--(R79="Absent"),0),IF($T$5&lt;&gt;"",--(T79="Absent"),0),IF($V$5&lt;&gt;"",--(V79="Absent"),0),IF($X$5&lt;&gt;"",--(X79="Absent"),0),IF($Z$5&lt;&gt;"",--(Z79="Absent"),0),IF($AB$5&lt;&gt;"",--(AB79="Absent"),0),IF($AD$5&lt;&gt;"",--(AD79="Absent"),0),IF($AF$5&lt;&gt;"",--(AF79="Absent"),0),IF($AH$5&lt;&gt;"",--(AH79="Absent"),0),IF($AJ$5&lt;&gt;"",--(AJ79="Absent"),0),IF($AL$5&lt;&gt;"",--(AL79="Absent"),0),IF($AN$5&lt;&gt;"",--(AN79="Absent"),0),IF($AP$5&lt;&gt;"",--(AP79="Absent"),0),IF($AR$5&lt;&gt;"",--(AR79="Absent"),0),IF($AT$5&lt;&gt;"",--(AT79="Absent"),0),IF($AV$5&lt;&gt;"",--(AV79="Absent"),0),IF($AX$5&lt;&gt;"",--(AX79="Absent"),0),IF($AZ$5&lt;&gt;"",--(AZ79="Absent"),0),IF($BB$5&lt;&gt;"",--(BB79="Absent"),0),IF($BD$5&lt;&gt;"",--(BD79="Absent"),0),IF($BF$5&lt;&gt;"",--(BF79="Absent"),0),IF($BH$5&lt;&gt;"",--(BH79="Absent"),0),IF($BJ$5&lt;&gt;"",--(BJ79="Absent"),0),IF($BL$5&lt;&gt;"",--(BL79="Absent"),0)))</f>
      </c>
      <c r="BP79" s="22">
        <f>IF($A79="","",SUM(IF($D$5&lt;&gt;"",--(D79="Congé"),0),IF($F$5&lt;&gt;"",--(F79="Congé"),0),IF($H$5&lt;&gt;"",--(H79="Congé"),0),IF($J$5&lt;&gt;"",--(J79="Congé"),0),IF($L$5&lt;&gt;"",--(L79="Congé"),0),IF($N$5&lt;&gt;"",--(N79="Congé"),0),IF($P$5&lt;&gt;"",--(P79="Congé"),0),IF($R$5&lt;&gt;"",--(R79="Congé"),0),IF($T$5&lt;&gt;"",--(T79="Congé"),0),IF($V$5&lt;&gt;"",--(V79="Congé"),0),IF($X$5&lt;&gt;"",--(X79="Congé"),0),IF($Z$5&lt;&gt;"",--(Z79="Congé"),0),IF($AB$5&lt;&gt;"",--(AB79="Congé"),0),IF($AD$5&lt;&gt;"",--(AD79="Congé"),0),IF($AF$5&lt;&gt;"",--(AF79="Congé"),0),IF($AH$5&lt;&gt;"",--(AH79="Congé"),0),IF($AJ$5&lt;&gt;"",--(AJ79="Congé"),0),IF($AL$5&lt;&gt;"",--(AL79="Congé"),0),IF($AN$5&lt;&gt;"",--(AN79="Congé"),0),IF($AP$5&lt;&gt;"",--(AP79="Congé"),0),IF($AR$5&lt;&gt;"",--(AR79="Congé"),0),IF($AT$5&lt;&gt;"",--(AT79="Congé"),0),IF($AV$5&lt;&gt;"",--(AV79="Congé"),0),IF($AX$5&lt;&gt;"",--(AX79="Congé"),0),IF($AZ$5&lt;&gt;"",--(AZ79="Congé"),0),IF($BB$5&lt;&gt;"",--(BB79="Congé"),0),IF($BD$5&lt;&gt;"",--(BD79="Congé"),0),IF($BF$5&lt;&gt;"",--(BF79="Congé"),0),IF($BH$5&lt;&gt;"",--(BH79="Congé"),0),IF($BJ$5&lt;&gt;"",--(BJ79="Congé"),0),IF($BL$5&lt;&gt;"",--(BL79="Congé"),0)))</f>
      </c>
      <c r="BQ79" s="22">
        <f>IF($A79="","",SUM(IF($D$5&lt;&gt;"",--(D79="Maladie"),0),IF($F$5&lt;&gt;"",--(F79="Maladie"),0),IF($H$5&lt;&gt;"",--(H79="Maladie"),0),IF($J$5&lt;&gt;"",--(J79="Maladie"),0),IF($L$5&lt;&gt;"",--(L79="Maladie"),0),IF($N$5&lt;&gt;"",--(N79="Maladie"),0),IF($P$5&lt;&gt;"",--(P79="Maladie"),0),IF($R$5&lt;&gt;"",--(R79="Maladie"),0),IF($T$5&lt;&gt;"",--(T79="Maladie"),0),IF($V$5&lt;&gt;"",--(V79="Maladie"),0),IF($X$5&lt;&gt;"",--(X79="Maladie"),0),IF($Z$5&lt;&gt;"",--(Z79="Maladie"),0),IF($AB$5&lt;&gt;"",--(AB79="Maladie"),0),IF($AD$5&lt;&gt;"",--(AD79="Maladie"),0),IF($AF$5&lt;&gt;"",--(AF79="Maladie"),0),IF($AH$5&lt;&gt;"",--(AH79="Maladie"),0),IF($AJ$5&lt;&gt;"",--(AJ79="Maladie"),0),IF($AL$5&lt;&gt;"",--(AL79="Maladie"),0),IF($AN$5&lt;&gt;"",--(AN79="Maladie"),0),IF($AP$5&lt;&gt;"",--(AP79="Maladie"),0),IF($AR$5&lt;&gt;"",--(AR79="Maladie"),0),IF($AT$5&lt;&gt;"",--(AT79="Maladie"),0),IF($AV$5&lt;&gt;"",--(AV79="Maladie"),0),IF($AX$5&lt;&gt;"",--(AX79="Maladie"),0),IF($AZ$5&lt;&gt;"",--(AZ79="Maladie"),0),IF($BB$5&lt;&gt;"",--(BB79="Maladie"),0),IF($BD$5&lt;&gt;"",--(BD79="Maladie"),0),IF($BF$5&lt;&gt;"",--(BF79="Maladie"),0),IF($BH$5&lt;&gt;"",--(BH79="Maladie"),0),IF($BJ$5&lt;&gt;"",--(BJ79="Maladie"),0),IF($BL$5&lt;&gt;"",--(BL79="Maladie"),0)))</f>
      </c>
      <c r="BR79" s="23">
        <f>IF($A79="","",SUM(IF($D$5&lt;&gt;"",IF(D79="Présent",E79,0),0),IF($F$5&lt;&gt;"",IF(F79="Présent",G79,0),0),IF($H$5&lt;&gt;"",IF(H79="Présent",I79,0),0),IF($J$5&lt;&gt;"",IF(J79="Présent",K79,0),0),IF($L$5&lt;&gt;"",IF(L79="Présent",M79,0),0),IF($N$5&lt;&gt;"",IF(N79="Présent",O79,0),0),IF($P$5&lt;&gt;"",IF(P79="Présent",Q79,0),0),IF($R$5&lt;&gt;"",IF(R79="Présent",S79,0),0),IF($T$5&lt;&gt;"",IF(T79="Présent",U79,0),0),IF($V$5&lt;&gt;"",IF(V79="Présent",W79,0),0),IF($X$5&lt;&gt;"",IF(X79="Présent",Y79,0),0),IF($Z$5&lt;&gt;"",IF(Z79="Présent",AA79,0),0),IF($AB$5&lt;&gt;"",IF(AB79="Présent",AC79,0),0),IF($AD$5&lt;&gt;"",IF(AD79="Présent",AE79,0),0),IF($AF$5&lt;&gt;"",IF(AF79="Présent",AG79,0),0),IF($AH$5&lt;&gt;"",IF(AH79="Présent",AI79,0),0),IF($AJ$5&lt;&gt;"",IF(AJ79="Présent",AK79,0),0),IF($AL$5&lt;&gt;"",IF(AL79="Présent",AM79,0),0),IF($AN$5&lt;&gt;"",IF(AN79="Présent",AO79,0),0),IF($AP$5&lt;&gt;"",IF(AP79="Présent",AQ79,0),0),IF($AR$5&lt;&gt;"",IF(AR79="Présent",AS79,0),0),IF($AT$5&lt;&gt;"",IF(AT79="Présent",AU79,0),0),IF($AV$5&lt;&gt;"",IF(AV79="Présent",AW79,0),0),IF($AX$5&lt;&gt;"",IF(AX79="Présent",AY79,0),0),IF($AZ$5&lt;&gt;"",IF(AZ79="Présent",BA79,0),0),IF($BB$5&lt;&gt;"",IF(BB79="Présent",BC79,0),0),IF($BD$5&lt;&gt;"",IF(BD79="Présent",BE79,0),0),IF($BF$5&lt;&gt;"",IF(BF79="Présent",BG79,0),0),IF($BH$5&lt;&gt;"",IF(BH79="Présent",BI79,0),0),IF($BJ$5&lt;&gt;"",IF(BJ79="Présent",BK79,0),0),IF($BL$5&lt;&gt;"",IF(BL79="Présent",BM79,0),0)))</f>
      </c>
      <c r="BS79" s="25">
        <f>IF($A79="","",$BN79*IFERROR(INDEX(Categories_Salaire,MATCH($C79,ListeCategories,0)),0)+$BR79*IF(IFERROR(INDEX(Categories_TauxHS,MATCH($C79,ListeCategories,0)),0)&gt;0,IFERROR(INDEX(Categories_TauxHS,MATCH($C79,ListeCategories,0)),0),TauxHSDefaut))</f>
      </c>
    </row>
    <row r="80">
      <c r="A80" s="20">
        <f>IF(AND(INDEX(Employes_Nom,74)&lt;&gt;"",INDEX(Employes_Statut,74)="Actif",OR(INDEX(Employes_Embauche,74)="",INDEX(Employes_Embauche,74)&lt;=EOMONTH(DATE(AnneeCourante,MoisCourant,1),0))),INDEX(Employes_ID,74),"")</f>
      </c>
      <c r="B80" s="19">
        <f>IF($A80="","",INDEX(Employes_Nom,MATCH($A80,Employes_ID,0)))</f>
      </c>
      <c r="C80" s="20">
        <f>IF($A80="","",INDEX(Employes_Categorie,MATCH($A80,Employes_ID,0)))</f>
      </c>
      <c r="D80" s="26"/>
      <c r="E80" s="27"/>
      <c r="F80" s="26"/>
      <c r="G80" s="27"/>
      <c r="H80" s="26"/>
      <c r="I80" s="27"/>
      <c r="J80" s="26"/>
      <c r="K80" s="27"/>
      <c r="L80" s="26"/>
      <c r="M80" s="27"/>
      <c r="N80" s="26"/>
      <c r="O80" s="27"/>
      <c r="P80" s="26"/>
      <c r="Q80" s="27"/>
      <c r="R80" s="26"/>
      <c r="S80" s="27"/>
      <c r="T80" s="26"/>
      <c r="U80" s="27"/>
      <c r="V80" s="26"/>
      <c r="W80" s="27"/>
      <c r="X80" s="26"/>
      <c r="Y80" s="27"/>
      <c r="Z80" s="26"/>
      <c r="AA80" s="27"/>
      <c r="AB80" s="26"/>
      <c r="AC80" s="27"/>
      <c r="AD80" s="26"/>
      <c r="AE80" s="27"/>
      <c r="AF80" s="26"/>
      <c r="AG80" s="27"/>
      <c r="AH80" s="26"/>
      <c r="AI80" s="27"/>
      <c r="AJ80" s="26"/>
      <c r="AK80" s="27"/>
      <c r="AL80" s="26"/>
      <c r="AM80" s="27"/>
      <c r="AN80" s="26"/>
      <c r="AO80" s="27"/>
      <c r="AP80" s="26"/>
      <c r="AQ80" s="27"/>
      <c r="AR80" s="26"/>
      <c r="AS80" s="27"/>
      <c r="AT80" s="26"/>
      <c r="AU80" s="27"/>
      <c r="AV80" s="26"/>
      <c r="AW80" s="27"/>
      <c r="AX80" s="26"/>
      <c r="AY80" s="27"/>
      <c r="AZ80" s="26"/>
      <c r="BA80" s="27"/>
      <c r="BB80" s="26"/>
      <c r="BC80" s="27"/>
      <c r="BD80" s="26"/>
      <c r="BE80" s="27"/>
      <c r="BF80" s="26"/>
      <c r="BG80" s="27"/>
      <c r="BH80" s="26"/>
      <c r="BI80" s="27"/>
      <c r="BJ80" s="26"/>
      <c r="BK80" s="27"/>
      <c r="BL80" s="26"/>
      <c r="BM80" s="27"/>
      <c r="BN80" s="22">
        <f>IF($A80="","",SUM(IF($D$5&lt;&gt;"",--(D80="Présent"),0),IF($F$5&lt;&gt;"",--(F80="Présent"),0),IF($H$5&lt;&gt;"",--(H80="Présent"),0),IF($J$5&lt;&gt;"",--(J80="Présent"),0),IF($L$5&lt;&gt;"",--(L80="Présent"),0),IF($N$5&lt;&gt;"",--(N80="Présent"),0),IF($P$5&lt;&gt;"",--(P80="Présent"),0),IF($R$5&lt;&gt;"",--(R80="Présent"),0),IF($T$5&lt;&gt;"",--(T80="Présent"),0),IF($V$5&lt;&gt;"",--(V80="Présent"),0),IF($X$5&lt;&gt;"",--(X80="Présent"),0),IF($Z$5&lt;&gt;"",--(Z80="Présent"),0),IF($AB$5&lt;&gt;"",--(AB80="Présent"),0),IF($AD$5&lt;&gt;"",--(AD80="Présent"),0),IF($AF$5&lt;&gt;"",--(AF80="Présent"),0),IF($AH$5&lt;&gt;"",--(AH80="Présent"),0),IF($AJ$5&lt;&gt;"",--(AJ80="Présent"),0),IF($AL$5&lt;&gt;"",--(AL80="Présent"),0),IF($AN$5&lt;&gt;"",--(AN80="Présent"),0),IF($AP$5&lt;&gt;"",--(AP80="Présent"),0),IF($AR$5&lt;&gt;"",--(AR80="Présent"),0),IF($AT$5&lt;&gt;"",--(AT80="Présent"),0),IF($AV$5&lt;&gt;"",--(AV80="Présent"),0),IF($AX$5&lt;&gt;"",--(AX80="Présent"),0),IF($AZ$5&lt;&gt;"",--(AZ80="Présent"),0),IF($BB$5&lt;&gt;"",--(BB80="Présent"),0),IF($BD$5&lt;&gt;"",--(BD80="Présent"),0),IF($BF$5&lt;&gt;"",--(BF80="Présent"),0),IF($BH$5&lt;&gt;"",--(BH80="Présent"),0),IF($BJ$5&lt;&gt;"",--(BJ80="Présent"),0),IF($BL$5&lt;&gt;"",--(BL80="Présent"),0)))</f>
      </c>
      <c r="BO80" s="22">
        <f>IF($A80="","",SUM(IF($D$5&lt;&gt;"",--(D80="Absent"),0),IF($F$5&lt;&gt;"",--(F80="Absent"),0),IF($H$5&lt;&gt;"",--(H80="Absent"),0),IF($J$5&lt;&gt;"",--(J80="Absent"),0),IF($L$5&lt;&gt;"",--(L80="Absent"),0),IF($N$5&lt;&gt;"",--(N80="Absent"),0),IF($P$5&lt;&gt;"",--(P80="Absent"),0),IF($R$5&lt;&gt;"",--(R80="Absent"),0),IF($T$5&lt;&gt;"",--(T80="Absent"),0),IF($V$5&lt;&gt;"",--(V80="Absent"),0),IF($X$5&lt;&gt;"",--(X80="Absent"),0),IF($Z$5&lt;&gt;"",--(Z80="Absent"),0),IF($AB$5&lt;&gt;"",--(AB80="Absent"),0),IF($AD$5&lt;&gt;"",--(AD80="Absent"),0),IF($AF$5&lt;&gt;"",--(AF80="Absent"),0),IF($AH$5&lt;&gt;"",--(AH80="Absent"),0),IF($AJ$5&lt;&gt;"",--(AJ80="Absent"),0),IF($AL$5&lt;&gt;"",--(AL80="Absent"),0),IF($AN$5&lt;&gt;"",--(AN80="Absent"),0),IF($AP$5&lt;&gt;"",--(AP80="Absent"),0),IF($AR$5&lt;&gt;"",--(AR80="Absent"),0),IF($AT$5&lt;&gt;"",--(AT80="Absent"),0),IF($AV$5&lt;&gt;"",--(AV80="Absent"),0),IF($AX$5&lt;&gt;"",--(AX80="Absent"),0),IF($AZ$5&lt;&gt;"",--(AZ80="Absent"),0),IF($BB$5&lt;&gt;"",--(BB80="Absent"),0),IF($BD$5&lt;&gt;"",--(BD80="Absent"),0),IF($BF$5&lt;&gt;"",--(BF80="Absent"),0),IF($BH$5&lt;&gt;"",--(BH80="Absent"),0),IF($BJ$5&lt;&gt;"",--(BJ80="Absent"),0),IF($BL$5&lt;&gt;"",--(BL80="Absent"),0)))</f>
      </c>
      <c r="BP80" s="22">
        <f>IF($A80="","",SUM(IF($D$5&lt;&gt;"",--(D80="Congé"),0),IF($F$5&lt;&gt;"",--(F80="Congé"),0),IF($H$5&lt;&gt;"",--(H80="Congé"),0),IF($J$5&lt;&gt;"",--(J80="Congé"),0),IF($L$5&lt;&gt;"",--(L80="Congé"),0),IF($N$5&lt;&gt;"",--(N80="Congé"),0),IF($P$5&lt;&gt;"",--(P80="Congé"),0),IF($R$5&lt;&gt;"",--(R80="Congé"),0),IF($T$5&lt;&gt;"",--(T80="Congé"),0),IF($V$5&lt;&gt;"",--(V80="Congé"),0),IF($X$5&lt;&gt;"",--(X80="Congé"),0),IF($Z$5&lt;&gt;"",--(Z80="Congé"),0),IF($AB$5&lt;&gt;"",--(AB80="Congé"),0),IF($AD$5&lt;&gt;"",--(AD80="Congé"),0),IF($AF$5&lt;&gt;"",--(AF80="Congé"),0),IF($AH$5&lt;&gt;"",--(AH80="Congé"),0),IF($AJ$5&lt;&gt;"",--(AJ80="Congé"),0),IF($AL$5&lt;&gt;"",--(AL80="Congé"),0),IF($AN$5&lt;&gt;"",--(AN80="Congé"),0),IF($AP$5&lt;&gt;"",--(AP80="Congé"),0),IF($AR$5&lt;&gt;"",--(AR80="Congé"),0),IF($AT$5&lt;&gt;"",--(AT80="Congé"),0),IF($AV$5&lt;&gt;"",--(AV80="Congé"),0),IF($AX$5&lt;&gt;"",--(AX80="Congé"),0),IF($AZ$5&lt;&gt;"",--(AZ80="Congé"),0),IF($BB$5&lt;&gt;"",--(BB80="Congé"),0),IF($BD$5&lt;&gt;"",--(BD80="Congé"),0),IF($BF$5&lt;&gt;"",--(BF80="Congé"),0),IF($BH$5&lt;&gt;"",--(BH80="Congé"),0),IF($BJ$5&lt;&gt;"",--(BJ80="Congé"),0),IF($BL$5&lt;&gt;"",--(BL80="Congé"),0)))</f>
      </c>
      <c r="BQ80" s="22">
        <f>IF($A80="","",SUM(IF($D$5&lt;&gt;"",--(D80="Maladie"),0),IF($F$5&lt;&gt;"",--(F80="Maladie"),0),IF($H$5&lt;&gt;"",--(H80="Maladie"),0),IF($J$5&lt;&gt;"",--(J80="Maladie"),0),IF($L$5&lt;&gt;"",--(L80="Maladie"),0),IF($N$5&lt;&gt;"",--(N80="Maladie"),0),IF($P$5&lt;&gt;"",--(P80="Maladie"),0),IF($R$5&lt;&gt;"",--(R80="Maladie"),0),IF($T$5&lt;&gt;"",--(T80="Maladie"),0),IF($V$5&lt;&gt;"",--(V80="Maladie"),0),IF($X$5&lt;&gt;"",--(X80="Maladie"),0),IF($Z$5&lt;&gt;"",--(Z80="Maladie"),0),IF($AB$5&lt;&gt;"",--(AB80="Maladie"),0),IF($AD$5&lt;&gt;"",--(AD80="Maladie"),0),IF($AF$5&lt;&gt;"",--(AF80="Maladie"),0),IF($AH$5&lt;&gt;"",--(AH80="Maladie"),0),IF($AJ$5&lt;&gt;"",--(AJ80="Maladie"),0),IF($AL$5&lt;&gt;"",--(AL80="Maladie"),0),IF($AN$5&lt;&gt;"",--(AN80="Maladie"),0),IF($AP$5&lt;&gt;"",--(AP80="Maladie"),0),IF($AR$5&lt;&gt;"",--(AR80="Maladie"),0),IF($AT$5&lt;&gt;"",--(AT80="Maladie"),0),IF($AV$5&lt;&gt;"",--(AV80="Maladie"),0),IF($AX$5&lt;&gt;"",--(AX80="Maladie"),0),IF($AZ$5&lt;&gt;"",--(AZ80="Maladie"),0),IF($BB$5&lt;&gt;"",--(BB80="Maladie"),0),IF($BD$5&lt;&gt;"",--(BD80="Maladie"),0),IF($BF$5&lt;&gt;"",--(BF80="Maladie"),0),IF($BH$5&lt;&gt;"",--(BH80="Maladie"),0),IF($BJ$5&lt;&gt;"",--(BJ80="Maladie"),0),IF($BL$5&lt;&gt;"",--(BL80="Maladie"),0)))</f>
      </c>
      <c r="BR80" s="23">
        <f>IF($A80="","",SUM(IF($D$5&lt;&gt;"",IF(D80="Présent",E80,0),0),IF($F$5&lt;&gt;"",IF(F80="Présent",G80,0),0),IF($H$5&lt;&gt;"",IF(H80="Présent",I80,0),0),IF($J$5&lt;&gt;"",IF(J80="Présent",K80,0),0),IF($L$5&lt;&gt;"",IF(L80="Présent",M80,0),0),IF($N$5&lt;&gt;"",IF(N80="Présent",O80,0),0),IF($P$5&lt;&gt;"",IF(P80="Présent",Q80,0),0),IF($R$5&lt;&gt;"",IF(R80="Présent",S80,0),0),IF($T$5&lt;&gt;"",IF(T80="Présent",U80,0),0),IF($V$5&lt;&gt;"",IF(V80="Présent",W80,0),0),IF($X$5&lt;&gt;"",IF(X80="Présent",Y80,0),0),IF($Z$5&lt;&gt;"",IF(Z80="Présent",AA80,0),0),IF($AB$5&lt;&gt;"",IF(AB80="Présent",AC80,0),0),IF($AD$5&lt;&gt;"",IF(AD80="Présent",AE80,0),0),IF($AF$5&lt;&gt;"",IF(AF80="Présent",AG80,0),0),IF($AH$5&lt;&gt;"",IF(AH80="Présent",AI80,0),0),IF($AJ$5&lt;&gt;"",IF(AJ80="Présent",AK80,0),0),IF($AL$5&lt;&gt;"",IF(AL80="Présent",AM80,0),0),IF($AN$5&lt;&gt;"",IF(AN80="Présent",AO80,0),0),IF($AP$5&lt;&gt;"",IF(AP80="Présent",AQ80,0),0),IF($AR$5&lt;&gt;"",IF(AR80="Présent",AS80,0),0),IF($AT$5&lt;&gt;"",IF(AT80="Présent",AU80,0),0),IF($AV$5&lt;&gt;"",IF(AV80="Présent",AW80,0),0),IF($AX$5&lt;&gt;"",IF(AX80="Présent",AY80,0),0),IF($AZ$5&lt;&gt;"",IF(AZ80="Présent",BA80,0),0),IF($BB$5&lt;&gt;"",IF(BB80="Présent",BC80,0),0),IF($BD$5&lt;&gt;"",IF(BD80="Présent",BE80,0),0),IF($BF$5&lt;&gt;"",IF(BF80="Présent",BG80,0),0),IF($BH$5&lt;&gt;"",IF(BH80="Présent",BI80,0),0),IF($BJ$5&lt;&gt;"",IF(BJ80="Présent",BK80,0),0),IF($BL$5&lt;&gt;"",IF(BL80="Présent",BM80,0),0)))</f>
      </c>
      <c r="BS80" s="25">
        <f>IF($A80="","",$BN80*IFERROR(INDEX(Categories_Salaire,MATCH($C80,ListeCategories,0)),0)+$BR80*IF(IFERROR(INDEX(Categories_TauxHS,MATCH($C80,ListeCategories,0)),0)&gt;0,IFERROR(INDEX(Categories_TauxHS,MATCH($C80,ListeCategories,0)),0),TauxHSDefaut))</f>
      </c>
    </row>
    <row r="81">
      <c r="A81" s="20">
        <f>IF(AND(INDEX(Employes_Nom,75)&lt;&gt;"",INDEX(Employes_Statut,75)="Actif",OR(INDEX(Employes_Embauche,75)="",INDEX(Employes_Embauche,75)&lt;=EOMONTH(DATE(AnneeCourante,MoisCourant,1),0))),INDEX(Employes_ID,75),"")</f>
      </c>
      <c r="B81" s="19">
        <f>IF($A81="","",INDEX(Employes_Nom,MATCH($A81,Employes_ID,0)))</f>
      </c>
      <c r="C81" s="20">
        <f>IF($A81="","",INDEX(Employes_Categorie,MATCH($A81,Employes_ID,0)))</f>
      </c>
      <c r="D81" s="26"/>
      <c r="E81" s="27"/>
      <c r="F81" s="26"/>
      <c r="G81" s="27"/>
      <c r="H81" s="26"/>
      <c r="I81" s="27"/>
      <c r="J81" s="26"/>
      <c r="K81" s="27"/>
      <c r="L81" s="26"/>
      <c r="M81" s="27"/>
      <c r="N81" s="26"/>
      <c r="O81" s="27"/>
      <c r="P81" s="26"/>
      <c r="Q81" s="27"/>
      <c r="R81" s="26"/>
      <c r="S81" s="27"/>
      <c r="T81" s="26"/>
      <c r="U81" s="27"/>
      <c r="V81" s="26"/>
      <c r="W81" s="27"/>
      <c r="X81" s="26"/>
      <c r="Y81" s="27"/>
      <c r="Z81" s="26"/>
      <c r="AA81" s="27"/>
      <c r="AB81" s="26"/>
      <c r="AC81" s="27"/>
      <c r="AD81" s="26"/>
      <c r="AE81" s="27"/>
      <c r="AF81" s="26"/>
      <c r="AG81" s="27"/>
      <c r="AH81" s="26"/>
      <c r="AI81" s="27"/>
      <c r="AJ81" s="26"/>
      <c r="AK81" s="27"/>
      <c r="AL81" s="26"/>
      <c r="AM81" s="27"/>
      <c r="AN81" s="26"/>
      <c r="AO81" s="27"/>
      <c r="AP81" s="26"/>
      <c r="AQ81" s="27"/>
      <c r="AR81" s="26"/>
      <c r="AS81" s="27"/>
      <c r="AT81" s="26"/>
      <c r="AU81" s="27"/>
      <c r="AV81" s="26"/>
      <c r="AW81" s="27"/>
      <c r="AX81" s="26"/>
      <c r="AY81" s="27"/>
      <c r="AZ81" s="26"/>
      <c r="BA81" s="27"/>
      <c r="BB81" s="26"/>
      <c r="BC81" s="27"/>
      <c r="BD81" s="26"/>
      <c r="BE81" s="27"/>
      <c r="BF81" s="26"/>
      <c r="BG81" s="27"/>
      <c r="BH81" s="26"/>
      <c r="BI81" s="27"/>
      <c r="BJ81" s="26"/>
      <c r="BK81" s="27"/>
      <c r="BL81" s="26"/>
      <c r="BM81" s="27"/>
      <c r="BN81" s="22">
        <f>IF($A81="","",SUM(IF($D$5&lt;&gt;"",--(D81="Présent"),0),IF($F$5&lt;&gt;"",--(F81="Présent"),0),IF($H$5&lt;&gt;"",--(H81="Présent"),0),IF($J$5&lt;&gt;"",--(J81="Présent"),0),IF($L$5&lt;&gt;"",--(L81="Présent"),0),IF($N$5&lt;&gt;"",--(N81="Présent"),0),IF($P$5&lt;&gt;"",--(P81="Présent"),0),IF($R$5&lt;&gt;"",--(R81="Présent"),0),IF($T$5&lt;&gt;"",--(T81="Présent"),0),IF($V$5&lt;&gt;"",--(V81="Présent"),0),IF($X$5&lt;&gt;"",--(X81="Présent"),0),IF($Z$5&lt;&gt;"",--(Z81="Présent"),0),IF($AB$5&lt;&gt;"",--(AB81="Présent"),0),IF($AD$5&lt;&gt;"",--(AD81="Présent"),0),IF($AF$5&lt;&gt;"",--(AF81="Présent"),0),IF($AH$5&lt;&gt;"",--(AH81="Présent"),0),IF($AJ$5&lt;&gt;"",--(AJ81="Présent"),0),IF($AL$5&lt;&gt;"",--(AL81="Présent"),0),IF($AN$5&lt;&gt;"",--(AN81="Présent"),0),IF($AP$5&lt;&gt;"",--(AP81="Présent"),0),IF($AR$5&lt;&gt;"",--(AR81="Présent"),0),IF($AT$5&lt;&gt;"",--(AT81="Présent"),0),IF($AV$5&lt;&gt;"",--(AV81="Présent"),0),IF($AX$5&lt;&gt;"",--(AX81="Présent"),0),IF($AZ$5&lt;&gt;"",--(AZ81="Présent"),0),IF($BB$5&lt;&gt;"",--(BB81="Présent"),0),IF($BD$5&lt;&gt;"",--(BD81="Présent"),0),IF($BF$5&lt;&gt;"",--(BF81="Présent"),0),IF($BH$5&lt;&gt;"",--(BH81="Présent"),0),IF($BJ$5&lt;&gt;"",--(BJ81="Présent"),0),IF($BL$5&lt;&gt;"",--(BL81="Présent"),0)))</f>
      </c>
      <c r="BO81" s="22">
        <f>IF($A81="","",SUM(IF($D$5&lt;&gt;"",--(D81="Absent"),0),IF($F$5&lt;&gt;"",--(F81="Absent"),0),IF($H$5&lt;&gt;"",--(H81="Absent"),0),IF($J$5&lt;&gt;"",--(J81="Absent"),0),IF($L$5&lt;&gt;"",--(L81="Absent"),0),IF($N$5&lt;&gt;"",--(N81="Absent"),0),IF($P$5&lt;&gt;"",--(P81="Absent"),0),IF($R$5&lt;&gt;"",--(R81="Absent"),0),IF($T$5&lt;&gt;"",--(T81="Absent"),0),IF($V$5&lt;&gt;"",--(V81="Absent"),0),IF($X$5&lt;&gt;"",--(X81="Absent"),0),IF($Z$5&lt;&gt;"",--(Z81="Absent"),0),IF($AB$5&lt;&gt;"",--(AB81="Absent"),0),IF($AD$5&lt;&gt;"",--(AD81="Absent"),0),IF($AF$5&lt;&gt;"",--(AF81="Absent"),0),IF($AH$5&lt;&gt;"",--(AH81="Absent"),0),IF($AJ$5&lt;&gt;"",--(AJ81="Absent"),0),IF($AL$5&lt;&gt;"",--(AL81="Absent"),0),IF($AN$5&lt;&gt;"",--(AN81="Absent"),0),IF($AP$5&lt;&gt;"",--(AP81="Absent"),0),IF($AR$5&lt;&gt;"",--(AR81="Absent"),0),IF($AT$5&lt;&gt;"",--(AT81="Absent"),0),IF($AV$5&lt;&gt;"",--(AV81="Absent"),0),IF($AX$5&lt;&gt;"",--(AX81="Absent"),0),IF($AZ$5&lt;&gt;"",--(AZ81="Absent"),0),IF($BB$5&lt;&gt;"",--(BB81="Absent"),0),IF($BD$5&lt;&gt;"",--(BD81="Absent"),0),IF($BF$5&lt;&gt;"",--(BF81="Absent"),0),IF($BH$5&lt;&gt;"",--(BH81="Absent"),0),IF($BJ$5&lt;&gt;"",--(BJ81="Absent"),0),IF($BL$5&lt;&gt;"",--(BL81="Absent"),0)))</f>
      </c>
      <c r="BP81" s="22">
        <f>IF($A81="","",SUM(IF($D$5&lt;&gt;"",--(D81="Congé"),0),IF($F$5&lt;&gt;"",--(F81="Congé"),0),IF($H$5&lt;&gt;"",--(H81="Congé"),0),IF($J$5&lt;&gt;"",--(J81="Congé"),0),IF($L$5&lt;&gt;"",--(L81="Congé"),0),IF($N$5&lt;&gt;"",--(N81="Congé"),0),IF($P$5&lt;&gt;"",--(P81="Congé"),0),IF($R$5&lt;&gt;"",--(R81="Congé"),0),IF($T$5&lt;&gt;"",--(T81="Congé"),0),IF($V$5&lt;&gt;"",--(V81="Congé"),0),IF($X$5&lt;&gt;"",--(X81="Congé"),0),IF($Z$5&lt;&gt;"",--(Z81="Congé"),0),IF($AB$5&lt;&gt;"",--(AB81="Congé"),0),IF($AD$5&lt;&gt;"",--(AD81="Congé"),0),IF($AF$5&lt;&gt;"",--(AF81="Congé"),0),IF($AH$5&lt;&gt;"",--(AH81="Congé"),0),IF($AJ$5&lt;&gt;"",--(AJ81="Congé"),0),IF($AL$5&lt;&gt;"",--(AL81="Congé"),0),IF($AN$5&lt;&gt;"",--(AN81="Congé"),0),IF($AP$5&lt;&gt;"",--(AP81="Congé"),0),IF($AR$5&lt;&gt;"",--(AR81="Congé"),0),IF($AT$5&lt;&gt;"",--(AT81="Congé"),0),IF($AV$5&lt;&gt;"",--(AV81="Congé"),0),IF($AX$5&lt;&gt;"",--(AX81="Congé"),0),IF($AZ$5&lt;&gt;"",--(AZ81="Congé"),0),IF($BB$5&lt;&gt;"",--(BB81="Congé"),0),IF($BD$5&lt;&gt;"",--(BD81="Congé"),0),IF($BF$5&lt;&gt;"",--(BF81="Congé"),0),IF($BH$5&lt;&gt;"",--(BH81="Congé"),0),IF($BJ$5&lt;&gt;"",--(BJ81="Congé"),0),IF($BL$5&lt;&gt;"",--(BL81="Congé"),0)))</f>
      </c>
      <c r="BQ81" s="22">
        <f>IF($A81="","",SUM(IF($D$5&lt;&gt;"",--(D81="Maladie"),0),IF($F$5&lt;&gt;"",--(F81="Maladie"),0),IF($H$5&lt;&gt;"",--(H81="Maladie"),0),IF($J$5&lt;&gt;"",--(J81="Maladie"),0),IF($L$5&lt;&gt;"",--(L81="Maladie"),0),IF($N$5&lt;&gt;"",--(N81="Maladie"),0),IF($P$5&lt;&gt;"",--(P81="Maladie"),0),IF($R$5&lt;&gt;"",--(R81="Maladie"),0),IF($T$5&lt;&gt;"",--(T81="Maladie"),0),IF($V$5&lt;&gt;"",--(V81="Maladie"),0),IF($X$5&lt;&gt;"",--(X81="Maladie"),0),IF($Z$5&lt;&gt;"",--(Z81="Maladie"),0),IF($AB$5&lt;&gt;"",--(AB81="Maladie"),0),IF($AD$5&lt;&gt;"",--(AD81="Maladie"),0),IF($AF$5&lt;&gt;"",--(AF81="Maladie"),0),IF($AH$5&lt;&gt;"",--(AH81="Maladie"),0),IF($AJ$5&lt;&gt;"",--(AJ81="Maladie"),0),IF($AL$5&lt;&gt;"",--(AL81="Maladie"),0),IF($AN$5&lt;&gt;"",--(AN81="Maladie"),0),IF($AP$5&lt;&gt;"",--(AP81="Maladie"),0),IF($AR$5&lt;&gt;"",--(AR81="Maladie"),0),IF($AT$5&lt;&gt;"",--(AT81="Maladie"),0),IF($AV$5&lt;&gt;"",--(AV81="Maladie"),0),IF($AX$5&lt;&gt;"",--(AX81="Maladie"),0),IF($AZ$5&lt;&gt;"",--(AZ81="Maladie"),0),IF($BB$5&lt;&gt;"",--(BB81="Maladie"),0),IF($BD$5&lt;&gt;"",--(BD81="Maladie"),0),IF($BF$5&lt;&gt;"",--(BF81="Maladie"),0),IF($BH$5&lt;&gt;"",--(BH81="Maladie"),0),IF($BJ$5&lt;&gt;"",--(BJ81="Maladie"),0),IF($BL$5&lt;&gt;"",--(BL81="Maladie"),0)))</f>
      </c>
      <c r="BR81" s="23">
        <f>IF($A81="","",SUM(IF($D$5&lt;&gt;"",IF(D81="Présent",E81,0),0),IF($F$5&lt;&gt;"",IF(F81="Présent",G81,0),0),IF($H$5&lt;&gt;"",IF(H81="Présent",I81,0),0),IF($J$5&lt;&gt;"",IF(J81="Présent",K81,0),0),IF($L$5&lt;&gt;"",IF(L81="Présent",M81,0),0),IF($N$5&lt;&gt;"",IF(N81="Présent",O81,0),0),IF($P$5&lt;&gt;"",IF(P81="Présent",Q81,0),0),IF($R$5&lt;&gt;"",IF(R81="Présent",S81,0),0),IF($T$5&lt;&gt;"",IF(T81="Présent",U81,0),0),IF($V$5&lt;&gt;"",IF(V81="Présent",W81,0),0),IF($X$5&lt;&gt;"",IF(X81="Présent",Y81,0),0),IF($Z$5&lt;&gt;"",IF(Z81="Présent",AA81,0),0),IF($AB$5&lt;&gt;"",IF(AB81="Présent",AC81,0),0),IF($AD$5&lt;&gt;"",IF(AD81="Présent",AE81,0),0),IF($AF$5&lt;&gt;"",IF(AF81="Présent",AG81,0),0),IF($AH$5&lt;&gt;"",IF(AH81="Présent",AI81,0),0),IF($AJ$5&lt;&gt;"",IF(AJ81="Présent",AK81,0),0),IF($AL$5&lt;&gt;"",IF(AL81="Présent",AM81,0),0),IF($AN$5&lt;&gt;"",IF(AN81="Présent",AO81,0),0),IF($AP$5&lt;&gt;"",IF(AP81="Présent",AQ81,0),0),IF($AR$5&lt;&gt;"",IF(AR81="Présent",AS81,0),0),IF($AT$5&lt;&gt;"",IF(AT81="Présent",AU81,0),0),IF($AV$5&lt;&gt;"",IF(AV81="Présent",AW81,0),0),IF($AX$5&lt;&gt;"",IF(AX81="Présent",AY81,0),0),IF($AZ$5&lt;&gt;"",IF(AZ81="Présent",BA81,0),0),IF($BB$5&lt;&gt;"",IF(BB81="Présent",BC81,0),0),IF($BD$5&lt;&gt;"",IF(BD81="Présent",BE81,0),0),IF($BF$5&lt;&gt;"",IF(BF81="Présent",BG81,0),0),IF($BH$5&lt;&gt;"",IF(BH81="Présent",BI81,0),0),IF($BJ$5&lt;&gt;"",IF(BJ81="Présent",BK81,0),0),IF($BL$5&lt;&gt;"",IF(BL81="Présent",BM81,0),0)))</f>
      </c>
      <c r="BS81" s="25">
        <f>IF($A81="","",$BN81*IFERROR(INDEX(Categories_Salaire,MATCH($C81,ListeCategories,0)),0)+$BR81*IF(IFERROR(INDEX(Categories_TauxHS,MATCH($C81,ListeCategories,0)),0)&gt;0,IFERROR(INDEX(Categories_TauxHS,MATCH($C81,ListeCategories,0)),0),TauxHSDefaut))</f>
      </c>
    </row>
    <row r="82">
      <c r="A82" s="20">
        <f>IF(AND(INDEX(Employes_Nom,76)&lt;&gt;"",INDEX(Employes_Statut,76)="Actif",OR(INDEX(Employes_Embauche,76)="",INDEX(Employes_Embauche,76)&lt;=EOMONTH(DATE(AnneeCourante,MoisCourant,1),0))),INDEX(Employes_ID,76),"")</f>
      </c>
      <c r="B82" s="19">
        <f>IF($A82="","",INDEX(Employes_Nom,MATCH($A82,Employes_ID,0)))</f>
      </c>
      <c r="C82" s="20">
        <f>IF($A82="","",INDEX(Employes_Categorie,MATCH($A82,Employes_ID,0)))</f>
      </c>
      <c r="D82" s="26"/>
      <c r="E82" s="27"/>
      <c r="F82" s="26"/>
      <c r="G82" s="27"/>
      <c r="H82" s="26"/>
      <c r="I82" s="27"/>
      <c r="J82" s="26"/>
      <c r="K82" s="27"/>
      <c r="L82" s="26"/>
      <c r="M82" s="27"/>
      <c r="N82" s="26"/>
      <c r="O82" s="27"/>
      <c r="P82" s="26"/>
      <c r="Q82" s="27"/>
      <c r="R82" s="26"/>
      <c r="S82" s="27"/>
      <c r="T82" s="26"/>
      <c r="U82" s="27"/>
      <c r="V82" s="26"/>
      <c r="W82" s="27"/>
      <c r="X82" s="26"/>
      <c r="Y82" s="27"/>
      <c r="Z82" s="26"/>
      <c r="AA82" s="27"/>
      <c r="AB82" s="26"/>
      <c r="AC82" s="27"/>
      <c r="AD82" s="26"/>
      <c r="AE82" s="27"/>
      <c r="AF82" s="26"/>
      <c r="AG82" s="27"/>
      <c r="AH82" s="26"/>
      <c r="AI82" s="27"/>
      <c r="AJ82" s="26"/>
      <c r="AK82" s="27"/>
      <c r="AL82" s="26"/>
      <c r="AM82" s="27"/>
      <c r="AN82" s="26"/>
      <c r="AO82" s="27"/>
      <c r="AP82" s="26"/>
      <c r="AQ82" s="27"/>
      <c r="AR82" s="26"/>
      <c r="AS82" s="27"/>
      <c r="AT82" s="26"/>
      <c r="AU82" s="27"/>
      <c r="AV82" s="26"/>
      <c r="AW82" s="27"/>
      <c r="AX82" s="26"/>
      <c r="AY82" s="27"/>
      <c r="AZ82" s="26"/>
      <c r="BA82" s="27"/>
      <c r="BB82" s="26"/>
      <c r="BC82" s="27"/>
      <c r="BD82" s="26"/>
      <c r="BE82" s="27"/>
      <c r="BF82" s="26"/>
      <c r="BG82" s="27"/>
      <c r="BH82" s="26"/>
      <c r="BI82" s="27"/>
      <c r="BJ82" s="26"/>
      <c r="BK82" s="27"/>
      <c r="BL82" s="26"/>
      <c r="BM82" s="27"/>
      <c r="BN82" s="22">
        <f>IF($A82="","",SUM(IF($D$5&lt;&gt;"",--(D82="Présent"),0),IF($F$5&lt;&gt;"",--(F82="Présent"),0),IF($H$5&lt;&gt;"",--(H82="Présent"),0),IF($J$5&lt;&gt;"",--(J82="Présent"),0),IF($L$5&lt;&gt;"",--(L82="Présent"),0),IF($N$5&lt;&gt;"",--(N82="Présent"),0),IF($P$5&lt;&gt;"",--(P82="Présent"),0),IF($R$5&lt;&gt;"",--(R82="Présent"),0),IF($T$5&lt;&gt;"",--(T82="Présent"),0),IF($V$5&lt;&gt;"",--(V82="Présent"),0),IF($X$5&lt;&gt;"",--(X82="Présent"),0),IF($Z$5&lt;&gt;"",--(Z82="Présent"),0),IF($AB$5&lt;&gt;"",--(AB82="Présent"),0),IF($AD$5&lt;&gt;"",--(AD82="Présent"),0),IF($AF$5&lt;&gt;"",--(AF82="Présent"),0),IF($AH$5&lt;&gt;"",--(AH82="Présent"),0),IF($AJ$5&lt;&gt;"",--(AJ82="Présent"),0),IF($AL$5&lt;&gt;"",--(AL82="Présent"),0),IF($AN$5&lt;&gt;"",--(AN82="Présent"),0),IF($AP$5&lt;&gt;"",--(AP82="Présent"),0),IF($AR$5&lt;&gt;"",--(AR82="Présent"),0),IF($AT$5&lt;&gt;"",--(AT82="Présent"),0),IF($AV$5&lt;&gt;"",--(AV82="Présent"),0),IF($AX$5&lt;&gt;"",--(AX82="Présent"),0),IF($AZ$5&lt;&gt;"",--(AZ82="Présent"),0),IF($BB$5&lt;&gt;"",--(BB82="Présent"),0),IF($BD$5&lt;&gt;"",--(BD82="Présent"),0),IF($BF$5&lt;&gt;"",--(BF82="Présent"),0),IF($BH$5&lt;&gt;"",--(BH82="Présent"),0),IF($BJ$5&lt;&gt;"",--(BJ82="Présent"),0),IF($BL$5&lt;&gt;"",--(BL82="Présent"),0)))</f>
      </c>
      <c r="BO82" s="22">
        <f>IF($A82="","",SUM(IF($D$5&lt;&gt;"",--(D82="Absent"),0),IF($F$5&lt;&gt;"",--(F82="Absent"),0),IF($H$5&lt;&gt;"",--(H82="Absent"),0),IF($J$5&lt;&gt;"",--(J82="Absent"),0),IF($L$5&lt;&gt;"",--(L82="Absent"),0),IF($N$5&lt;&gt;"",--(N82="Absent"),0),IF($P$5&lt;&gt;"",--(P82="Absent"),0),IF($R$5&lt;&gt;"",--(R82="Absent"),0),IF($T$5&lt;&gt;"",--(T82="Absent"),0),IF($V$5&lt;&gt;"",--(V82="Absent"),0),IF($X$5&lt;&gt;"",--(X82="Absent"),0),IF($Z$5&lt;&gt;"",--(Z82="Absent"),0),IF($AB$5&lt;&gt;"",--(AB82="Absent"),0),IF($AD$5&lt;&gt;"",--(AD82="Absent"),0),IF($AF$5&lt;&gt;"",--(AF82="Absent"),0),IF($AH$5&lt;&gt;"",--(AH82="Absent"),0),IF($AJ$5&lt;&gt;"",--(AJ82="Absent"),0),IF($AL$5&lt;&gt;"",--(AL82="Absent"),0),IF($AN$5&lt;&gt;"",--(AN82="Absent"),0),IF($AP$5&lt;&gt;"",--(AP82="Absent"),0),IF($AR$5&lt;&gt;"",--(AR82="Absent"),0),IF($AT$5&lt;&gt;"",--(AT82="Absent"),0),IF($AV$5&lt;&gt;"",--(AV82="Absent"),0),IF($AX$5&lt;&gt;"",--(AX82="Absent"),0),IF($AZ$5&lt;&gt;"",--(AZ82="Absent"),0),IF($BB$5&lt;&gt;"",--(BB82="Absent"),0),IF($BD$5&lt;&gt;"",--(BD82="Absent"),0),IF($BF$5&lt;&gt;"",--(BF82="Absent"),0),IF($BH$5&lt;&gt;"",--(BH82="Absent"),0),IF($BJ$5&lt;&gt;"",--(BJ82="Absent"),0),IF($BL$5&lt;&gt;"",--(BL82="Absent"),0)))</f>
      </c>
      <c r="BP82" s="22">
        <f>IF($A82="","",SUM(IF($D$5&lt;&gt;"",--(D82="Congé"),0),IF($F$5&lt;&gt;"",--(F82="Congé"),0),IF($H$5&lt;&gt;"",--(H82="Congé"),0),IF($J$5&lt;&gt;"",--(J82="Congé"),0),IF($L$5&lt;&gt;"",--(L82="Congé"),0),IF($N$5&lt;&gt;"",--(N82="Congé"),0),IF($P$5&lt;&gt;"",--(P82="Congé"),0),IF($R$5&lt;&gt;"",--(R82="Congé"),0),IF($T$5&lt;&gt;"",--(T82="Congé"),0),IF($V$5&lt;&gt;"",--(V82="Congé"),0),IF($X$5&lt;&gt;"",--(X82="Congé"),0),IF($Z$5&lt;&gt;"",--(Z82="Congé"),0),IF($AB$5&lt;&gt;"",--(AB82="Congé"),0),IF($AD$5&lt;&gt;"",--(AD82="Congé"),0),IF($AF$5&lt;&gt;"",--(AF82="Congé"),0),IF($AH$5&lt;&gt;"",--(AH82="Congé"),0),IF($AJ$5&lt;&gt;"",--(AJ82="Congé"),0),IF($AL$5&lt;&gt;"",--(AL82="Congé"),0),IF($AN$5&lt;&gt;"",--(AN82="Congé"),0),IF($AP$5&lt;&gt;"",--(AP82="Congé"),0),IF($AR$5&lt;&gt;"",--(AR82="Congé"),0),IF($AT$5&lt;&gt;"",--(AT82="Congé"),0),IF($AV$5&lt;&gt;"",--(AV82="Congé"),0),IF($AX$5&lt;&gt;"",--(AX82="Congé"),0),IF($AZ$5&lt;&gt;"",--(AZ82="Congé"),0),IF($BB$5&lt;&gt;"",--(BB82="Congé"),0),IF($BD$5&lt;&gt;"",--(BD82="Congé"),0),IF($BF$5&lt;&gt;"",--(BF82="Congé"),0),IF($BH$5&lt;&gt;"",--(BH82="Congé"),0),IF($BJ$5&lt;&gt;"",--(BJ82="Congé"),0),IF($BL$5&lt;&gt;"",--(BL82="Congé"),0)))</f>
      </c>
      <c r="BQ82" s="22">
        <f>IF($A82="","",SUM(IF($D$5&lt;&gt;"",--(D82="Maladie"),0),IF($F$5&lt;&gt;"",--(F82="Maladie"),0),IF($H$5&lt;&gt;"",--(H82="Maladie"),0),IF($J$5&lt;&gt;"",--(J82="Maladie"),0),IF($L$5&lt;&gt;"",--(L82="Maladie"),0),IF($N$5&lt;&gt;"",--(N82="Maladie"),0),IF($P$5&lt;&gt;"",--(P82="Maladie"),0),IF($R$5&lt;&gt;"",--(R82="Maladie"),0),IF($T$5&lt;&gt;"",--(T82="Maladie"),0),IF($V$5&lt;&gt;"",--(V82="Maladie"),0),IF($X$5&lt;&gt;"",--(X82="Maladie"),0),IF($Z$5&lt;&gt;"",--(Z82="Maladie"),0),IF($AB$5&lt;&gt;"",--(AB82="Maladie"),0),IF($AD$5&lt;&gt;"",--(AD82="Maladie"),0),IF($AF$5&lt;&gt;"",--(AF82="Maladie"),0),IF($AH$5&lt;&gt;"",--(AH82="Maladie"),0),IF($AJ$5&lt;&gt;"",--(AJ82="Maladie"),0),IF($AL$5&lt;&gt;"",--(AL82="Maladie"),0),IF($AN$5&lt;&gt;"",--(AN82="Maladie"),0),IF($AP$5&lt;&gt;"",--(AP82="Maladie"),0),IF($AR$5&lt;&gt;"",--(AR82="Maladie"),0),IF($AT$5&lt;&gt;"",--(AT82="Maladie"),0),IF($AV$5&lt;&gt;"",--(AV82="Maladie"),0),IF($AX$5&lt;&gt;"",--(AX82="Maladie"),0),IF($AZ$5&lt;&gt;"",--(AZ82="Maladie"),0),IF($BB$5&lt;&gt;"",--(BB82="Maladie"),0),IF($BD$5&lt;&gt;"",--(BD82="Maladie"),0),IF($BF$5&lt;&gt;"",--(BF82="Maladie"),0),IF($BH$5&lt;&gt;"",--(BH82="Maladie"),0),IF($BJ$5&lt;&gt;"",--(BJ82="Maladie"),0),IF($BL$5&lt;&gt;"",--(BL82="Maladie"),0)))</f>
      </c>
      <c r="BR82" s="23">
        <f>IF($A82="","",SUM(IF($D$5&lt;&gt;"",IF(D82="Présent",E82,0),0),IF($F$5&lt;&gt;"",IF(F82="Présent",G82,0),0),IF($H$5&lt;&gt;"",IF(H82="Présent",I82,0),0),IF($J$5&lt;&gt;"",IF(J82="Présent",K82,0),0),IF($L$5&lt;&gt;"",IF(L82="Présent",M82,0),0),IF($N$5&lt;&gt;"",IF(N82="Présent",O82,0),0),IF($P$5&lt;&gt;"",IF(P82="Présent",Q82,0),0),IF($R$5&lt;&gt;"",IF(R82="Présent",S82,0),0),IF($T$5&lt;&gt;"",IF(T82="Présent",U82,0),0),IF($V$5&lt;&gt;"",IF(V82="Présent",W82,0),0),IF($X$5&lt;&gt;"",IF(X82="Présent",Y82,0),0),IF($Z$5&lt;&gt;"",IF(Z82="Présent",AA82,0),0),IF($AB$5&lt;&gt;"",IF(AB82="Présent",AC82,0),0),IF($AD$5&lt;&gt;"",IF(AD82="Présent",AE82,0),0),IF($AF$5&lt;&gt;"",IF(AF82="Présent",AG82,0),0),IF($AH$5&lt;&gt;"",IF(AH82="Présent",AI82,0),0),IF($AJ$5&lt;&gt;"",IF(AJ82="Présent",AK82,0),0),IF($AL$5&lt;&gt;"",IF(AL82="Présent",AM82,0),0),IF($AN$5&lt;&gt;"",IF(AN82="Présent",AO82,0),0),IF($AP$5&lt;&gt;"",IF(AP82="Présent",AQ82,0),0),IF($AR$5&lt;&gt;"",IF(AR82="Présent",AS82,0),0),IF($AT$5&lt;&gt;"",IF(AT82="Présent",AU82,0),0),IF($AV$5&lt;&gt;"",IF(AV82="Présent",AW82,0),0),IF($AX$5&lt;&gt;"",IF(AX82="Présent",AY82,0),0),IF($AZ$5&lt;&gt;"",IF(AZ82="Présent",BA82,0),0),IF($BB$5&lt;&gt;"",IF(BB82="Présent",BC82,0),0),IF($BD$5&lt;&gt;"",IF(BD82="Présent",BE82,0),0),IF($BF$5&lt;&gt;"",IF(BF82="Présent",BG82,0),0),IF($BH$5&lt;&gt;"",IF(BH82="Présent",BI82,0),0),IF($BJ$5&lt;&gt;"",IF(BJ82="Présent",BK82,0),0),IF($BL$5&lt;&gt;"",IF(BL82="Présent",BM82,0),0)))</f>
      </c>
      <c r="BS82" s="25">
        <f>IF($A82="","",$BN82*IFERROR(INDEX(Categories_Salaire,MATCH($C82,ListeCategories,0)),0)+$BR82*IF(IFERROR(INDEX(Categories_TauxHS,MATCH($C82,ListeCategories,0)),0)&gt;0,IFERROR(INDEX(Categories_TauxHS,MATCH($C82,ListeCategories,0)),0),TauxHSDefaut))</f>
      </c>
    </row>
    <row r="83">
      <c r="A83" s="20">
        <f>IF(AND(INDEX(Employes_Nom,77)&lt;&gt;"",INDEX(Employes_Statut,77)="Actif",OR(INDEX(Employes_Embauche,77)="",INDEX(Employes_Embauche,77)&lt;=EOMONTH(DATE(AnneeCourante,MoisCourant,1),0))),INDEX(Employes_ID,77),"")</f>
      </c>
      <c r="B83" s="19">
        <f>IF($A83="","",INDEX(Employes_Nom,MATCH($A83,Employes_ID,0)))</f>
      </c>
      <c r="C83" s="20">
        <f>IF($A83="","",INDEX(Employes_Categorie,MATCH($A83,Employes_ID,0)))</f>
      </c>
      <c r="D83" s="26"/>
      <c r="E83" s="27"/>
      <c r="F83" s="26"/>
      <c r="G83" s="27"/>
      <c r="H83" s="26"/>
      <c r="I83" s="27"/>
      <c r="J83" s="26"/>
      <c r="K83" s="27"/>
      <c r="L83" s="26"/>
      <c r="M83" s="27"/>
      <c r="N83" s="26"/>
      <c r="O83" s="27"/>
      <c r="P83" s="26"/>
      <c r="Q83" s="27"/>
      <c r="R83" s="26"/>
      <c r="S83" s="27"/>
      <c r="T83" s="26"/>
      <c r="U83" s="27"/>
      <c r="V83" s="26"/>
      <c r="W83" s="27"/>
      <c r="X83" s="26"/>
      <c r="Y83" s="27"/>
      <c r="Z83" s="26"/>
      <c r="AA83" s="27"/>
      <c r="AB83" s="26"/>
      <c r="AC83" s="27"/>
      <c r="AD83" s="26"/>
      <c r="AE83" s="27"/>
      <c r="AF83" s="26"/>
      <c r="AG83" s="27"/>
      <c r="AH83" s="26"/>
      <c r="AI83" s="27"/>
      <c r="AJ83" s="26"/>
      <c r="AK83" s="27"/>
      <c r="AL83" s="26"/>
      <c r="AM83" s="27"/>
      <c r="AN83" s="26"/>
      <c r="AO83" s="27"/>
      <c r="AP83" s="26"/>
      <c r="AQ83" s="27"/>
      <c r="AR83" s="26"/>
      <c r="AS83" s="27"/>
      <c r="AT83" s="26"/>
      <c r="AU83" s="27"/>
      <c r="AV83" s="26"/>
      <c r="AW83" s="27"/>
      <c r="AX83" s="26"/>
      <c r="AY83" s="27"/>
      <c r="AZ83" s="26"/>
      <c r="BA83" s="27"/>
      <c r="BB83" s="26"/>
      <c r="BC83" s="27"/>
      <c r="BD83" s="26"/>
      <c r="BE83" s="27"/>
      <c r="BF83" s="26"/>
      <c r="BG83" s="27"/>
      <c r="BH83" s="26"/>
      <c r="BI83" s="27"/>
      <c r="BJ83" s="26"/>
      <c r="BK83" s="27"/>
      <c r="BL83" s="26"/>
      <c r="BM83" s="27"/>
      <c r="BN83" s="22">
        <f>IF($A83="","",SUM(IF($D$5&lt;&gt;"",--(D83="Présent"),0),IF($F$5&lt;&gt;"",--(F83="Présent"),0),IF($H$5&lt;&gt;"",--(H83="Présent"),0),IF($J$5&lt;&gt;"",--(J83="Présent"),0),IF($L$5&lt;&gt;"",--(L83="Présent"),0),IF($N$5&lt;&gt;"",--(N83="Présent"),0),IF($P$5&lt;&gt;"",--(P83="Présent"),0),IF($R$5&lt;&gt;"",--(R83="Présent"),0),IF($T$5&lt;&gt;"",--(T83="Présent"),0),IF($V$5&lt;&gt;"",--(V83="Présent"),0),IF($X$5&lt;&gt;"",--(X83="Présent"),0),IF($Z$5&lt;&gt;"",--(Z83="Présent"),0),IF($AB$5&lt;&gt;"",--(AB83="Présent"),0),IF($AD$5&lt;&gt;"",--(AD83="Présent"),0),IF($AF$5&lt;&gt;"",--(AF83="Présent"),0),IF($AH$5&lt;&gt;"",--(AH83="Présent"),0),IF($AJ$5&lt;&gt;"",--(AJ83="Présent"),0),IF($AL$5&lt;&gt;"",--(AL83="Présent"),0),IF($AN$5&lt;&gt;"",--(AN83="Présent"),0),IF($AP$5&lt;&gt;"",--(AP83="Présent"),0),IF($AR$5&lt;&gt;"",--(AR83="Présent"),0),IF($AT$5&lt;&gt;"",--(AT83="Présent"),0),IF($AV$5&lt;&gt;"",--(AV83="Présent"),0),IF($AX$5&lt;&gt;"",--(AX83="Présent"),0),IF($AZ$5&lt;&gt;"",--(AZ83="Présent"),0),IF($BB$5&lt;&gt;"",--(BB83="Présent"),0),IF($BD$5&lt;&gt;"",--(BD83="Présent"),0),IF($BF$5&lt;&gt;"",--(BF83="Présent"),0),IF($BH$5&lt;&gt;"",--(BH83="Présent"),0),IF($BJ$5&lt;&gt;"",--(BJ83="Présent"),0),IF($BL$5&lt;&gt;"",--(BL83="Présent"),0)))</f>
      </c>
      <c r="BO83" s="22">
        <f>IF($A83="","",SUM(IF($D$5&lt;&gt;"",--(D83="Absent"),0),IF($F$5&lt;&gt;"",--(F83="Absent"),0),IF($H$5&lt;&gt;"",--(H83="Absent"),0),IF($J$5&lt;&gt;"",--(J83="Absent"),0),IF($L$5&lt;&gt;"",--(L83="Absent"),0),IF($N$5&lt;&gt;"",--(N83="Absent"),0),IF($P$5&lt;&gt;"",--(P83="Absent"),0),IF($R$5&lt;&gt;"",--(R83="Absent"),0),IF($T$5&lt;&gt;"",--(T83="Absent"),0),IF($V$5&lt;&gt;"",--(V83="Absent"),0),IF($X$5&lt;&gt;"",--(X83="Absent"),0),IF($Z$5&lt;&gt;"",--(Z83="Absent"),0),IF($AB$5&lt;&gt;"",--(AB83="Absent"),0),IF($AD$5&lt;&gt;"",--(AD83="Absent"),0),IF($AF$5&lt;&gt;"",--(AF83="Absent"),0),IF($AH$5&lt;&gt;"",--(AH83="Absent"),0),IF($AJ$5&lt;&gt;"",--(AJ83="Absent"),0),IF($AL$5&lt;&gt;"",--(AL83="Absent"),0),IF($AN$5&lt;&gt;"",--(AN83="Absent"),0),IF($AP$5&lt;&gt;"",--(AP83="Absent"),0),IF($AR$5&lt;&gt;"",--(AR83="Absent"),0),IF($AT$5&lt;&gt;"",--(AT83="Absent"),0),IF($AV$5&lt;&gt;"",--(AV83="Absent"),0),IF($AX$5&lt;&gt;"",--(AX83="Absent"),0),IF($AZ$5&lt;&gt;"",--(AZ83="Absent"),0),IF($BB$5&lt;&gt;"",--(BB83="Absent"),0),IF($BD$5&lt;&gt;"",--(BD83="Absent"),0),IF($BF$5&lt;&gt;"",--(BF83="Absent"),0),IF($BH$5&lt;&gt;"",--(BH83="Absent"),0),IF($BJ$5&lt;&gt;"",--(BJ83="Absent"),0),IF($BL$5&lt;&gt;"",--(BL83="Absent"),0)))</f>
      </c>
      <c r="BP83" s="22">
        <f>IF($A83="","",SUM(IF($D$5&lt;&gt;"",--(D83="Congé"),0),IF($F$5&lt;&gt;"",--(F83="Congé"),0),IF($H$5&lt;&gt;"",--(H83="Congé"),0),IF($J$5&lt;&gt;"",--(J83="Congé"),0),IF($L$5&lt;&gt;"",--(L83="Congé"),0),IF($N$5&lt;&gt;"",--(N83="Congé"),0),IF($P$5&lt;&gt;"",--(P83="Congé"),0),IF($R$5&lt;&gt;"",--(R83="Congé"),0),IF($T$5&lt;&gt;"",--(T83="Congé"),0),IF($V$5&lt;&gt;"",--(V83="Congé"),0),IF($X$5&lt;&gt;"",--(X83="Congé"),0),IF($Z$5&lt;&gt;"",--(Z83="Congé"),0),IF($AB$5&lt;&gt;"",--(AB83="Congé"),0),IF($AD$5&lt;&gt;"",--(AD83="Congé"),0),IF($AF$5&lt;&gt;"",--(AF83="Congé"),0),IF($AH$5&lt;&gt;"",--(AH83="Congé"),0),IF($AJ$5&lt;&gt;"",--(AJ83="Congé"),0),IF($AL$5&lt;&gt;"",--(AL83="Congé"),0),IF($AN$5&lt;&gt;"",--(AN83="Congé"),0),IF($AP$5&lt;&gt;"",--(AP83="Congé"),0),IF($AR$5&lt;&gt;"",--(AR83="Congé"),0),IF($AT$5&lt;&gt;"",--(AT83="Congé"),0),IF($AV$5&lt;&gt;"",--(AV83="Congé"),0),IF($AX$5&lt;&gt;"",--(AX83="Congé"),0),IF($AZ$5&lt;&gt;"",--(AZ83="Congé"),0),IF($BB$5&lt;&gt;"",--(BB83="Congé"),0),IF($BD$5&lt;&gt;"",--(BD83="Congé"),0),IF($BF$5&lt;&gt;"",--(BF83="Congé"),0),IF($BH$5&lt;&gt;"",--(BH83="Congé"),0),IF($BJ$5&lt;&gt;"",--(BJ83="Congé"),0),IF($BL$5&lt;&gt;"",--(BL83="Congé"),0)))</f>
      </c>
      <c r="BQ83" s="22">
        <f>IF($A83="","",SUM(IF($D$5&lt;&gt;"",--(D83="Maladie"),0),IF($F$5&lt;&gt;"",--(F83="Maladie"),0),IF($H$5&lt;&gt;"",--(H83="Maladie"),0),IF($J$5&lt;&gt;"",--(J83="Maladie"),0),IF($L$5&lt;&gt;"",--(L83="Maladie"),0),IF($N$5&lt;&gt;"",--(N83="Maladie"),0),IF($P$5&lt;&gt;"",--(P83="Maladie"),0),IF($R$5&lt;&gt;"",--(R83="Maladie"),0),IF($T$5&lt;&gt;"",--(T83="Maladie"),0),IF($V$5&lt;&gt;"",--(V83="Maladie"),0),IF($X$5&lt;&gt;"",--(X83="Maladie"),0),IF($Z$5&lt;&gt;"",--(Z83="Maladie"),0),IF($AB$5&lt;&gt;"",--(AB83="Maladie"),0),IF($AD$5&lt;&gt;"",--(AD83="Maladie"),0),IF($AF$5&lt;&gt;"",--(AF83="Maladie"),0),IF($AH$5&lt;&gt;"",--(AH83="Maladie"),0),IF($AJ$5&lt;&gt;"",--(AJ83="Maladie"),0),IF($AL$5&lt;&gt;"",--(AL83="Maladie"),0),IF($AN$5&lt;&gt;"",--(AN83="Maladie"),0),IF($AP$5&lt;&gt;"",--(AP83="Maladie"),0),IF($AR$5&lt;&gt;"",--(AR83="Maladie"),0),IF($AT$5&lt;&gt;"",--(AT83="Maladie"),0),IF($AV$5&lt;&gt;"",--(AV83="Maladie"),0),IF($AX$5&lt;&gt;"",--(AX83="Maladie"),0),IF($AZ$5&lt;&gt;"",--(AZ83="Maladie"),0),IF($BB$5&lt;&gt;"",--(BB83="Maladie"),0),IF($BD$5&lt;&gt;"",--(BD83="Maladie"),0),IF($BF$5&lt;&gt;"",--(BF83="Maladie"),0),IF($BH$5&lt;&gt;"",--(BH83="Maladie"),0),IF($BJ$5&lt;&gt;"",--(BJ83="Maladie"),0),IF($BL$5&lt;&gt;"",--(BL83="Maladie"),0)))</f>
      </c>
      <c r="BR83" s="23">
        <f>IF($A83="","",SUM(IF($D$5&lt;&gt;"",IF(D83="Présent",E83,0),0),IF($F$5&lt;&gt;"",IF(F83="Présent",G83,0),0),IF($H$5&lt;&gt;"",IF(H83="Présent",I83,0),0),IF($J$5&lt;&gt;"",IF(J83="Présent",K83,0),0),IF($L$5&lt;&gt;"",IF(L83="Présent",M83,0),0),IF($N$5&lt;&gt;"",IF(N83="Présent",O83,0),0),IF($P$5&lt;&gt;"",IF(P83="Présent",Q83,0),0),IF($R$5&lt;&gt;"",IF(R83="Présent",S83,0),0),IF($T$5&lt;&gt;"",IF(T83="Présent",U83,0),0),IF($V$5&lt;&gt;"",IF(V83="Présent",W83,0),0),IF($X$5&lt;&gt;"",IF(X83="Présent",Y83,0),0),IF($Z$5&lt;&gt;"",IF(Z83="Présent",AA83,0),0),IF($AB$5&lt;&gt;"",IF(AB83="Présent",AC83,0),0),IF($AD$5&lt;&gt;"",IF(AD83="Présent",AE83,0),0),IF($AF$5&lt;&gt;"",IF(AF83="Présent",AG83,0),0),IF($AH$5&lt;&gt;"",IF(AH83="Présent",AI83,0),0),IF($AJ$5&lt;&gt;"",IF(AJ83="Présent",AK83,0),0),IF($AL$5&lt;&gt;"",IF(AL83="Présent",AM83,0),0),IF($AN$5&lt;&gt;"",IF(AN83="Présent",AO83,0),0),IF($AP$5&lt;&gt;"",IF(AP83="Présent",AQ83,0),0),IF($AR$5&lt;&gt;"",IF(AR83="Présent",AS83,0),0),IF($AT$5&lt;&gt;"",IF(AT83="Présent",AU83,0),0),IF($AV$5&lt;&gt;"",IF(AV83="Présent",AW83,0),0),IF($AX$5&lt;&gt;"",IF(AX83="Présent",AY83,0),0),IF($AZ$5&lt;&gt;"",IF(AZ83="Présent",BA83,0),0),IF($BB$5&lt;&gt;"",IF(BB83="Présent",BC83,0),0),IF($BD$5&lt;&gt;"",IF(BD83="Présent",BE83,0),0),IF($BF$5&lt;&gt;"",IF(BF83="Présent",BG83,0),0),IF($BH$5&lt;&gt;"",IF(BH83="Présent",BI83,0),0),IF($BJ$5&lt;&gt;"",IF(BJ83="Présent",BK83,0),0),IF($BL$5&lt;&gt;"",IF(BL83="Présent",BM83,0),0)))</f>
      </c>
      <c r="BS83" s="25">
        <f>IF($A83="","",$BN83*IFERROR(INDEX(Categories_Salaire,MATCH($C83,ListeCategories,0)),0)+$BR83*IF(IFERROR(INDEX(Categories_TauxHS,MATCH($C83,ListeCategories,0)),0)&gt;0,IFERROR(INDEX(Categories_TauxHS,MATCH($C83,ListeCategories,0)),0),TauxHSDefaut))</f>
      </c>
    </row>
    <row r="84">
      <c r="A84" s="20">
        <f>IF(AND(INDEX(Employes_Nom,78)&lt;&gt;"",INDEX(Employes_Statut,78)="Actif",OR(INDEX(Employes_Embauche,78)="",INDEX(Employes_Embauche,78)&lt;=EOMONTH(DATE(AnneeCourante,MoisCourant,1),0))),INDEX(Employes_ID,78),"")</f>
      </c>
      <c r="B84" s="19">
        <f>IF($A84="","",INDEX(Employes_Nom,MATCH($A84,Employes_ID,0)))</f>
      </c>
      <c r="C84" s="20">
        <f>IF($A84="","",INDEX(Employes_Categorie,MATCH($A84,Employes_ID,0)))</f>
      </c>
      <c r="D84" s="26"/>
      <c r="E84" s="27"/>
      <c r="F84" s="26"/>
      <c r="G84" s="27"/>
      <c r="H84" s="26"/>
      <c r="I84" s="27"/>
      <c r="J84" s="26"/>
      <c r="K84" s="27"/>
      <c r="L84" s="26"/>
      <c r="M84" s="27"/>
      <c r="N84" s="26"/>
      <c r="O84" s="27"/>
      <c r="P84" s="26"/>
      <c r="Q84" s="27"/>
      <c r="R84" s="26"/>
      <c r="S84" s="27"/>
      <c r="T84" s="26"/>
      <c r="U84" s="27"/>
      <c r="V84" s="26"/>
      <c r="W84" s="27"/>
      <c r="X84" s="26"/>
      <c r="Y84" s="27"/>
      <c r="Z84" s="26"/>
      <c r="AA84" s="27"/>
      <c r="AB84" s="26"/>
      <c r="AC84" s="27"/>
      <c r="AD84" s="26"/>
      <c r="AE84" s="27"/>
      <c r="AF84" s="26"/>
      <c r="AG84" s="27"/>
      <c r="AH84" s="26"/>
      <c r="AI84" s="27"/>
      <c r="AJ84" s="26"/>
      <c r="AK84" s="27"/>
      <c r="AL84" s="26"/>
      <c r="AM84" s="27"/>
      <c r="AN84" s="26"/>
      <c r="AO84" s="27"/>
      <c r="AP84" s="26"/>
      <c r="AQ84" s="27"/>
      <c r="AR84" s="26"/>
      <c r="AS84" s="27"/>
      <c r="AT84" s="26"/>
      <c r="AU84" s="27"/>
      <c r="AV84" s="26"/>
      <c r="AW84" s="27"/>
      <c r="AX84" s="26"/>
      <c r="AY84" s="27"/>
      <c r="AZ84" s="26"/>
      <c r="BA84" s="27"/>
      <c r="BB84" s="26"/>
      <c r="BC84" s="27"/>
      <c r="BD84" s="26"/>
      <c r="BE84" s="27"/>
      <c r="BF84" s="26"/>
      <c r="BG84" s="27"/>
      <c r="BH84" s="26"/>
      <c r="BI84" s="27"/>
      <c r="BJ84" s="26"/>
      <c r="BK84" s="27"/>
      <c r="BL84" s="26"/>
      <c r="BM84" s="27"/>
      <c r="BN84" s="22">
        <f>IF($A84="","",SUM(IF($D$5&lt;&gt;"",--(D84="Présent"),0),IF($F$5&lt;&gt;"",--(F84="Présent"),0),IF($H$5&lt;&gt;"",--(H84="Présent"),0),IF($J$5&lt;&gt;"",--(J84="Présent"),0),IF($L$5&lt;&gt;"",--(L84="Présent"),0),IF($N$5&lt;&gt;"",--(N84="Présent"),0),IF($P$5&lt;&gt;"",--(P84="Présent"),0),IF($R$5&lt;&gt;"",--(R84="Présent"),0),IF($T$5&lt;&gt;"",--(T84="Présent"),0),IF($V$5&lt;&gt;"",--(V84="Présent"),0),IF($X$5&lt;&gt;"",--(X84="Présent"),0),IF($Z$5&lt;&gt;"",--(Z84="Présent"),0),IF($AB$5&lt;&gt;"",--(AB84="Présent"),0),IF($AD$5&lt;&gt;"",--(AD84="Présent"),0),IF($AF$5&lt;&gt;"",--(AF84="Présent"),0),IF($AH$5&lt;&gt;"",--(AH84="Présent"),0),IF($AJ$5&lt;&gt;"",--(AJ84="Présent"),0),IF($AL$5&lt;&gt;"",--(AL84="Présent"),0),IF($AN$5&lt;&gt;"",--(AN84="Présent"),0),IF($AP$5&lt;&gt;"",--(AP84="Présent"),0),IF($AR$5&lt;&gt;"",--(AR84="Présent"),0),IF($AT$5&lt;&gt;"",--(AT84="Présent"),0),IF($AV$5&lt;&gt;"",--(AV84="Présent"),0),IF($AX$5&lt;&gt;"",--(AX84="Présent"),0),IF($AZ$5&lt;&gt;"",--(AZ84="Présent"),0),IF($BB$5&lt;&gt;"",--(BB84="Présent"),0),IF($BD$5&lt;&gt;"",--(BD84="Présent"),0),IF($BF$5&lt;&gt;"",--(BF84="Présent"),0),IF($BH$5&lt;&gt;"",--(BH84="Présent"),0),IF($BJ$5&lt;&gt;"",--(BJ84="Présent"),0),IF($BL$5&lt;&gt;"",--(BL84="Présent"),0)))</f>
      </c>
      <c r="BO84" s="22">
        <f>IF($A84="","",SUM(IF($D$5&lt;&gt;"",--(D84="Absent"),0),IF($F$5&lt;&gt;"",--(F84="Absent"),0),IF($H$5&lt;&gt;"",--(H84="Absent"),0),IF($J$5&lt;&gt;"",--(J84="Absent"),0),IF($L$5&lt;&gt;"",--(L84="Absent"),0),IF($N$5&lt;&gt;"",--(N84="Absent"),0),IF($P$5&lt;&gt;"",--(P84="Absent"),0),IF($R$5&lt;&gt;"",--(R84="Absent"),0),IF($T$5&lt;&gt;"",--(T84="Absent"),0),IF($V$5&lt;&gt;"",--(V84="Absent"),0),IF($X$5&lt;&gt;"",--(X84="Absent"),0),IF($Z$5&lt;&gt;"",--(Z84="Absent"),0),IF($AB$5&lt;&gt;"",--(AB84="Absent"),0),IF($AD$5&lt;&gt;"",--(AD84="Absent"),0),IF($AF$5&lt;&gt;"",--(AF84="Absent"),0),IF($AH$5&lt;&gt;"",--(AH84="Absent"),0),IF($AJ$5&lt;&gt;"",--(AJ84="Absent"),0),IF($AL$5&lt;&gt;"",--(AL84="Absent"),0),IF($AN$5&lt;&gt;"",--(AN84="Absent"),0),IF($AP$5&lt;&gt;"",--(AP84="Absent"),0),IF($AR$5&lt;&gt;"",--(AR84="Absent"),0),IF($AT$5&lt;&gt;"",--(AT84="Absent"),0),IF($AV$5&lt;&gt;"",--(AV84="Absent"),0),IF($AX$5&lt;&gt;"",--(AX84="Absent"),0),IF($AZ$5&lt;&gt;"",--(AZ84="Absent"),0),IF($BB$5&lt;&gt;"",--(BB84="Absent"),0),IF($BD$5&lt;&gt;"",--(BD84="Absent"),0),IF($BF$5&lt;&gt;"",--(BF84="Absent"),0),IF($BH$5&lt;&gt;"",--(BH84="Absent"),0),IF($BJ$5&lt;&gt;"",--(BJ84="Absent"),0),IF($BL$5&lt;&gt;"",--(BL84="Absent"),0)))</f>
      </c>
      <c r="BP84" s="22">
        <f>IF($A84="","",SUM(IF($D$5&lt;&gt;"",--(D84="Congé"),0),IF($F$5&lt;&gt;"",--(F84="Congé"),0),IF($H$5&lt;&gt;"",--(H84="Congé"),0),IF($J$5&lt;&gt;"",--(J84="Congé"),0),IF($L$5&lt;&gt;"",--(L84="Congé"),0),IF($N$5&lt;&gt;"",--(N84="Congé"),0),IF($P$5&lt;&gt;"",--(P84="Congé"),0),IF($R$5&lt;&gt;"",--(R84="Congé"),0),IF($T$5&lt;&gt;"",--(T84="Congé"),0),IF($V$5&lt;&gt;"",--(V84="Congé"),0),IF($X$5&lt;&gt;"",--(X84="Congé"),0),IF($Z$5&lt;&gt;"",--(Z84="Congé"),0),IF($AB$5&lt;&gt;"",--(AB84="Congé"),0),IF($AD$5&lt;&gt;"",--(AD84="Congé"),0),IF($AF$5&lt;&gt;"",--(AF84="Congé"),0),IF($AH$5&lt;&gt;"",--(AH84="Congé"),0),IF($AJ$5&lt;&gt;"",--(AJ84="Congé"),0),IF($AL$5&lt;&gt;"",--(AL84="Congé"),0),IF($AN$5&lt;&gt;"",--(AN84="Congé"),0),IF($AP$5&lt;&gt;"",--(AP84="Congé"),0),IF($AR$5&lt;&gt;"",--(AR84="Congé"),0),IF($AT$5&lt;&gt;"",--(AT84="Congé"),0),IF($AV$5&lt;&gt;"",--(AV84="Congé"),0),IF($AX$5&lt;&gt;"",--(AX84="Congé"),0),IF($AZ$5&lt;&gt;"",--(AZ84="Congé"),0),IF($BB$5&lt;&gt;"",--(BB84="Congé"),0),IF($BD$5&lt;&gt;"",--(BD84="Congé"),0),IF($BF$5&lt;&gt;"",--(BF84="Congé"),0),IF($BH$5&lt;&gt;"",--(BH84="Congé"),0),IF($BJ$5&lt;&gt;"",--(BJ84="Congé"),0),IF($BL$5&lt;&gt;"",--(BL84="Congé"),0)))</f>
      </c>
      <c r="BQ84" s="22">
        <f>IF($A84="","",SUM(IF($D$5&lt;&gt;"",--(D84="Maladie"),0),IF($F$5&lt;&gt;"",--(F84="Maladie"),0),IF($H$5&lt;&gt;"",--(H84="Maladie"),0),IF($J$5&lt;&gt;"",--(J84="Maladie"),0),IF($L$5&lt;&gt;"",--(L84="Maladie"),0),IF($N$5&lt;&gt;"",--(N84="Maladie"),0),IF($P$5&lt;&gt;"",--(P84="Maladie"),0),IF($R$5&lt;&gt;"",--(R84="Maladie"),0),IF($T$5&lt;&gt;"",--(T84="Maladie"),0),IF($V$5&lt;&gt;"",--(V84="Maladie"),0),IF($X$5&lt;&gt;"",--(X84="Maladie"),0),IF($Z$5&lt;&gt;"",--(Z84="Maladie"),0),IF($AB$5&lt;&gt;"",--(AB84="Maladie"),0),IF($AD$5&lt;&gt;"",--(AD84="Maladie"),0),IF($AF$5&lt;&gt;"",--(AF84="Maladie"),0),IF($AH$5&lt;&gt;"",--(AH84="Maladie"),0),IF($AJ$5&lt;&gt;"",--(AJ84="Maladie"),0),IF($AL$5&lt;&gt;"",--(AL84="Maladie"),0),IF($AN$5&lt;&gt;"",--(AN84="Maladie"),0),IF($AP$5&lt;&gt;"",--(AP84="Maladie"),0),IF($AR$5&lt;&gt;"",--(AR84="Maladie"),0),IF($AT$5&lt;&gt;"",--(AT84="Maladie"),0),IF($AV$5&lt;&gt;"",--(AV84="Maladie"),0),IF($AX$5&lt;&gt;"",--(AX84="Maladie"),0),IF($AZ$5&lt;&gt;"",--(AZ84="Maladie"),0),IF($BB$5&lt;&gt;"",--(BB84="Maladie"),0),IF($BD$5&lt;&gt;"",--(BD84="Maladie"),0),IF($BF$5&lt;&gt;"",--(BF84="Maladie"),0),IF($BH$5&lt;&gt;"",--(BH84="Maladie"),0),IF($BJ$5&lt;&gt;"",--(BJ84="Maladie"),0),IF($BL$5&lt;&gt;"",--(BL84="Maladie"),0)))</f>
      </c>
      <c r="BR84" s="23">
        <f>IF($A84="","",SUM(IF($D$5&lt;&gt;"",IF(D84="Présent",E84,0),0),IF($F$5&lt;&gt;"",IF(F84="Présent",G84,0),0),IF($H$5&lt;&gt;"",IF(H84="Présent",I84,0),0),IF($J$5&lt;&gt;"",IF(J84="Présent",K84,0),0),IF($L$5&lt;&gt;"",IF(L84="Présent",M84,0),0),IF($N$5&lt;&gt;"",IF(N84="Présent",O84,0),0),IF($P$5&lt;&gt;"",IF(P84="Présent",Q84,0),0),IF($R$5&lt;&gt;"",IF(R84="Présent",S84,0),0),IF($T$5&lt;&gt;"",IF(T84="Présent",U84,0),0),IF($V$5&lt;&gt;"",IF(V84="Présent",W84,0),0),IF($X$5&lt;&gt;"",IF(X84="Présent",Y84,0),0),IF($Z$5&lt;&gt;"",IF(Z84="Présent",AA84,0),0),IF($AB$5&lt;&gt;"",IF(AB84="Présent",AC84,0),0),IF($AD$5&lt;&gt;"",IF(AD84="Présent",AE84,0),0),IF($AF$5&lt;&gt;"",IF(AF84="Présent",AG84,0),0),IF($AH$5&lt;&gt;"",IF(AH84="Présent",AI84,0),0),IF($AJ$5&lt;&gt;"",IF(AJ84="Présent",AK84,0),0),IF($AL$5&lt;&gt;"",IF(AL84="Présent",AM84,0),0),IF($AN$5&lt;&gt;"",IF(AN84="Présent",AO84,0),0),IF($AP$5&lt;&gt;"",IF(AP84="Présent",AQ84,0),0),IF($AR$5&lt;&gt;"",IF(AR84="Présent",AS84,0),0),IF($AT$5&lt;&gt;"",IF(AT84="Présent",AU84,0),0),IF($AV$5&lt;&gt;"",IF(AV84="Présent",AW84,0),0),IF($AX$5&lt;&gt;"",IF(AX84="Présent",AY84,0),0),IF($AZ$5&lt;&gt;"",IF(AZ84="Présent",BA84,0),0),IF($BB$5&lt;&gt;"",IF(BB84="Présent",BC84,0),0),IF($BD$5&lt;&gt;"",IF(BD84="Présent",BE84,0),0),IF($BF$5&lt;&gt;"",IF(BF84="Présent",BG84,0),0),IF($BH$5&lt;&gt;"",IF(BH84="Présent",BI84,0),0),IF($BJ$5&lt;&gt;"",IF(BJ84="Présent",BK84,0),0),IF($BL$5&lt;&gt;"",IF(BL84="Présent",BM84,0),0)))</f>
      </c>
      <c r="BS84" s="25">
        <f>IF($A84="","",$BN84*IFERROR(INDEX(Categories_Salaire,MATCH($C84,ListeCategories,0)),0)+$BR84*IF(IFERROR(INDEX(Categories_TauxHS,MATCH($C84,ListeCategories,0)),0)&gt;0,IFERROR(INDEX(Categories_TauxHS,MATCH($C84,ListeCategories,0)),0),TauxHSDefaut))</f>
      </c>
    </row>
    <row r="85">
      <c r="A85" s="20">
        <f>IF(AND(INDEX(Employes_Nom,79)&lt;&gt;"",INDEX(Employes_Statut,79)="Actif",OR(INDEX(Employes_Embauche,79)="",INDEX(Employes_Embauche,79)&lt;=EOMONTH(DATE(AnneeCourante,MoisCourant,1),0))),INDEX(Employes_ID,79),"")</f>
      </c>
      <c r="B85" s="19">
        <f>IF($A85="","",INDEX(Employes_Nom,MATCH($A85,Employes_ID,0)))</f>
      </c>
      <c r="C85" s="20">
        <f>IF($A85="","",INDEX(Employes_Categorie,MATCH($A85,Employes_ID,0)))</f>
      </c>
      <c r="D85" s="26"/>
      <c r="E85" s="27"/>
      <c r="F85" s="26"/>
      <c r="G85" s="27"/>
      <c r="H85" s="26"/>
      <c r="I85" s="27"/>
      <c r="J85" s="26"/>
      <c r="K85" s="27"/>
      <c r="L85" s="26"/>
      <c r="M85" s="27"/>
      <c r="N85" s="26"/>
      <c r="O85" s="27"/>
      <c r="P85" s="26"/>
      <c r="Q85" s="27"/>
      <c r="R85" s="26"/>
      <c r="S85" s="27"/>
      <c r="T85" s="26"/>
      <c r="U85" s="27"/>
      <c r="V85" s="26"/>
      <c r="W85" s="27"/>
      <c r="X85" s="26"/>
      <c r="Y85" s="27"/>
      <c r="Z85" s="26"/>
      <c r="AA85" s="27"/>
      <c r="AB85" s="26"/>
      <c r="AC85" s="27"/>
      <c r="AD85" s="26"/>
      <c r="AE85" s="27"/>
      <c r="AF85" s="26"/>
      <c r="AG85" s="27"/>
      <c r="AH85" s="26"/>
      <c r="AI85" s="27"/>
      <c r="AJ85" s="26"/>
      <c r="AK85" s="27"/>
      <c r="AL85" s="26"/>
      <c r="AM85" s="27"/>
      <c r="AN85" s="26"/>
      <c r="AO85" s="27"/>
      <c r="AP85" s="26"/>
      <c r="AQ85" s="27"/>
      <c r="AR85" s="26"/>
      <c r="AS85" s="27"/>
      <c r="AT85" s="26"/>
      <c r="AU85" s="27"/>
      <c r="AV85" s="26"/>
      <c r="AW85" s="27"/>
      <c r="AX85" s="26"/>
      <c r="AY85" s="27"/>
      <c r="AZ85" s="26"/>
      <c r="BA85" s="27"/>
      <c r="BB85" s="26"/>
      <c r="BC85" s="27"/>
      <c r="BD85" s="26"/>
      <c r="BE85" s="27"/>
      <c r="BF85" s="26"/>
      <c r="BG85" s="27"/>
      <c r="BH85" s="26"/>
      <c r="BI85" s="27"/>
      <c r="BJ85" s="26"/>
      <c r="BK85" s="27"/>
      <c r="BL85" s="26"/>
      <c r="BM85" s="27"/>
      <c r="BN85" s="22">
        <f>IF($A85="","",SUM(IF($D$5&lt;&gt;"",--(D85="Présent"),0),IF($F$5&lt;&gt;"",--(F85="Présent"),0),IF($H$5&lt;&gt;"",--(H85="Présent"),0),IF($J$5&lt;&gt;"",--(J85="Présent"),0),IF($L$5&lt;&gt;"",--(L85="Présent"),0),IF($N$5&lt;&gt;"",--(N85="Présent"),0),IF($P$5&lt;&gt;"",--(P85="Présent"),0),IF($R$5&lt;&gt;"",--(R85="Présent"),0),IF($T$5&lt;&gt;"",--(T85="Présent"),0),IF($V$5&lt;&gt;"",--(V85="Présent"),0),IF($X$5&lt;&gt;"",--(X85="Présent"),0),IF($Z$5&lt;&gt;"",--(Z85="Présent"),0),IF($AB$5&lt;&gt;"",--(AB85="Présent"),0),IF($AD$5&lt;&gt;"",--(AD85="Présent"),0),IF($AF$5&lt;&gt;"",--(AF85="Présent"),0),IF($AH$5&lt;&gt;"",--(AH85="Présent"),0),IF($AJ$5&lt;&gt;"",--(AJ85="Présent"),0),IF($AL$5&lt;&gt;"",--(AL85="Présent"),0),IF($AN$5&lt;&gt;"",--(AN85="Présent"),0),IF($AP$5&lt;&gt;"",--(AP85="Présent"),0),IF($AR$5&lt;&gt;"",--(AR85="Présent"),0),IF($AT$5&lt;&gt;"",--(AT85="Présent"),0),IF($AV$5&lt;&gt;"",--(AV85="Présent"),0),IF($AX$5&lt;&gt;"",--(AX85="Présent"),0),IF($AZ$5&lt;&gt;"",--(AZ85="Présent"),0),IF($BB$5&lt;&gt;"",--(BB85="Présent"),0),IF($BD$5&lt;&gt;"",--(BD85="Présent"),0),IF($BF$5&lt;&gt;"",--(BF85="Présent"),0),IF($BH$5&lt;&gt;"",--(BH85="Présent"),0),IF($BJ$5&lt;&gt;"",--(BJ85="Présent"),0),IF($BL$5&lt;&gt;"",--(BL85="Présent"),0)))</f>
      </c>
      <c r="BO85" s="22">
        <f>IF($A85="","",SUM(IF($D$5&lt;&gt;"",--(D85="Absent"),0),IF($F$5&lt;&gt;"",--(F85="Absent"),0),IF($H$5&lt;&gt;"",--(H85="Absent"),0),IF($J$5&lt;&gt;"",--(J85="Absent"),0),IF($L$5&lt;&gt;"",--(L85="Absent"),0),IF($N$5&lt;&gt;"",--(N85="Absent"),0),IF($P$5&lt;&gt;"",--(P85="Absent"),0),IF($R$5&lt;&gt;"",--(R85="Absent"),0),IF($T$5&lt;&gt;"",--(T85="Absent"),0),IF($V$5&lt;&gt;"",--(V85="Absent"),0),IF($X$5&lt;&gt;"",--(X85="Absent"),0),IF($Z$5&lt;&gt;"",--(Z85="Absent"),0),IF($AB$5&lt;&gt;"",--(AB85="Absent"),0),IF($AD$5&lt;&gt;"",--(AD85="Absent"),0),IF($AF$5&lt;&gt;"",--(AF85="Absent"),0),IF($AH$5&lt;&gt;"",--(AH85="Absent"),0),IF($AJ$5&lt;&gt;"",--(AJ85="Absent"),0),IF($AL$5&lt;&gt;"",--(AL85="Absent"),0),IF($AN$5&lt;&gt;"",--(AN85="Absent"),0),IF($AP$5&lt;&gt;"",--(AP85="Absent"),0),IF($AR$5&lt;&gt;"",--(AR85="Absent"),0),IF($AT$5&lt;&gt;"",--(AT85="Absent"),0),IF($AV$5&lt;&gt;"",--(AV85="Absent"),0),IF($AX$5&lt;&gt;"",--(AX85="Absent"),0),IF($AZ$5&lt;&gt;"",--(AZ85="Absent"),0),IF($BB$5&lt;&gt;"",--(BB85="Absent"),0),IF($BD$5&lt;&gt;"",--(BD85="Absent"),0),IF($BF$5&lt;&gt;"",--(BF85="Absent"),0),IF($BH$5&lt;&gt;"",--(BH85="Absent"),0),IF($BJ$5&lt;&gt;"",--(BJ85="Absent"),0),IF($BL$5&lt;&gt;"",--(BL85="Absent"),0)))</f>
      </c>
      <c r="BP85" s="22">
        <f>IF($A85="","",SUM(IF($D$5&lt;&gt;"",--(D85="Congé"),0),IF($F$5&lt;&gt;"",--(F85="Congé"),0),IF($H$5&lt;&gt;"",--(H85="Congé"),0),IF($J$5&lt;&gt;"",--(J85="Congé"),0),IF($L$5&lt;&gt;"",--(L85="Congé"),0),IF($N$5&lt;&gt;"",--(N85="Congé"),0),IF($P$5&lt;&gt;"",--(P85="Congé"),0),IF($R$5&lt;&gt;"",--(R85="Congé"),0),IF($T$5&lt;&gt;"",--(T85="Congé"),0),IF($V$5&lt;&gt;"",--(V85="Congé"),0),IF($X$5&lt;&gt;"",--(X85="Congé"),0),IF($Z$5&lt;&gt;"",--(Z85="Congé"),0),IF($AB$5&lt;&gt;"",--(AB85="Congé"),0),IF($AD$5&lt;&gt;"",--(AD85="Congé"),0),IF($AF$5&lt;&gt;"",--(AF85="Congé"),0),IF($AH$5&lt;&gt;"",--(AH85="Congé"),0),IF($AJ$5&lt;&gt;"",--(AJ85="Congé"),0),IF($AL$5&lt;&gt;"",--(AL85="Congé"),0),IF($AN$5&lt;&gt;"",--(AN85="Congé"),0),IF($AP$5&lt;&gt;"",--(AP85="Congé"),0),IF($AR$5&lt;&gt;"",--(AR85="Congé"),0),IF($AT$5&lt;&gt;"",--(AT85="Congé"),0),IF($AV$5&lt;&gt;"",--(AV85="Congé"),0),IF($AX$5&lt;&gt;"",--(AX85="Congé"),0),IF($AZ$5&lt;&gt;"",--(AZ85="Congé"),0),IF($BB$5&lt;&gt;"",--(BB85="Congé"),0),IF($BD$5&lt;&gt;"",--(BD85="Congé"),0),IF($BF$5&lt;&gt;"",--(BF85="Congé"),0),IF($BH$5&lt;&gt;"",--(BH85="Congé"),0),IF($BJ$5&lt;&gt;"",--(BJ85="Congé"),0),IF($BL$5&lt;&gt;"",--(BL85="Congé"),0)))</f>
      </c>
      <c r="BQ85" s="22">
        <f>IF($A85="","",SUM(IF($D$5&lt;&gt;"",--(D85="Maladie"),0),IF($F$5&lt;&gt;"",--(F85="Maladie"),0),IF($H$5&lt;&gt;"",--(H85="Maladie"),0),IF($J$5&lt;&gt;"",--(J85="Maladie"),0),IF($L$5&lt;&gt;"",--(L85="Maladie"),0),IF($N$5&lt;&gt;"",--(N85="Maladie"),0),IF($P$5&lt;&gt;"",--(P85="Maladie"),0),IF($R$5&lt;&gt;"",--(R85="Maladie"),0),IF($T$5&lt;&gt;"",--(T85="Maladie"),0),IF($V$5&lt;&gt;"",--(V85="Maladie"),0),IF($X$5&lt;&gt;"",--(X85="Maladie"),0),IF($Z$5&lt;&gt;"",--(Z85="Maladie"),0),IF($AB$5&lt;&gt;"",--(AB85="Maladie"),0),IF($AD$5&lt;&gt;"",--(AD85="Maladie"),0),IF($AF$5&lt;&gt;"",--(AF85="Maladie"),0),IF($AH$5&lt;&gt;"",--(AH85="Maladie"),0),IF($AJ$5&lt;&gt;"",--(AJ85="Maladie"),0),IF($AL$5&lt;&gt;"",--(AL85="Maladie"),0),IF($AN$5&lt;&gt;"",--(AN85="Maladie"),0),IF($AP$5&lt;&gt;"",--(AP85="Maladie"),0),IF($AR$5&lt;&gt;"",--(AR85="Maladie"),0),IF($AT$5&lt;&gt;"",--(AT85="Maladie"),0),IF($AV$5&lt;&gt;"",--(AV85="Maladie"),0),IF($AX$5&lt;&gt;"",--(AX85="Maladie"),0),IF($AZ$5&lt;&gt;"",--(AZ85="Maladie"),0),IF($BB$5&lt;&gt;"",--(BB85="Maladie"),0),IF($BD$5&lt;&gt;"",--(BD85="Maladie"),0),IF($BF$5&lt;&gt;"",--(BF85="Maladie"),0),IF($BH$5&lt;&gt;"",--(BH85="Maladie"),0),IF($BJ$5&lt;&gt;"",--(BJ85="Maladie"),0),IF($BL$5&lt;&gt;"",--(BL85="Maladie"),0)))</f>
      </c>
      <c r="BR85" s="23">
        <f>IF($A85="","",SUM(IF($D$5&lt;&gt;"",IF(D85="Présent",E85,0),0),IF($F$5&lt;&gt;"",IF(F85="Présent",G85,0),0),IF($H$5&lt;&gt;"",IF(H85="Présent",I85,0),0),IF($J$5&lt;&gt;"",IF(J85="Présent",K85,0),0),IF($L$5&lt;&gt;"",IF(L85="Présent",M85,0),0),IF($N$5&lt;&gt;"",IF(N85="Présent",O85,0),0),IF($P$5&lt;&gt;"",IF(P85="Présent",Q85,0),0),IF($R$5&lt;&gt;"",IF(R85="Présent",S85,0),0),IF($T$5&lt;&gt;"",IF(T85="Présent",U85,0),0),IF($V$5&lt;&gt;"",IF(V85="Présent",W85,0),0),IF($X$5&lt;&gt;"",IF(X85="Présent",Y85,0),0),IF($Z$5&lt;&gt;"",IF(Z85="Présent",AA85,0),0),IF($AB$5&lt;&gt;"",IF(AB85="Présent",AC85,0),0),IF($AD$5&lt;&gt;"",IF(AD85="Présent",AE85,0),0),IF($AF$5&lt;&gt;"",IF(AF85="Présent",AG85,0),0),IF($AH$5&lt;&gt;"",IF(AH85="Présent",AI85,0),0),IF($AJ$5&lt;&gt;"",IF(AJ85="Présent",AK85,0),0),IF($AL$5&lt;&gt;"",IF(AL85="Présent",AM85,0),0),IF($AN$5&lt;&gt;"",IF(AN85="Présent",AO85,0),0),IF($AP$5&lt;&gt;"",IF(AP85="Présent",AQ85,0),0),IF($AR$5&lt;&gt;"",IF(AR85="Présent",AS85,0),0),IF($AT$5&lt;&gt;"",IF(AT85="Présent",AU85,0),0),IF($AV$5&lt;&gt;"",IF(AV85="Présent",AW85,0),0),IF($AX$5&lt;&gt;"",IF(AX85="Présent",AY85,0),0),IF($AZ$5&lt;&gt;"",IF(AZ85="Présent",BA85,0),0),IF($BB$5&lt;&gt;"",IF(BB85="Présent",BC85,0),0),IF($BD$5&lt;&gt;"",IF(BD85="Présent",BE85,0),0),IF($BF$5&lt;&gt;"",IF(BF85="Présent",BG85,0),0),IF($BH$5&lt;&gt;"",IF(BH85="Présent",BI85,0),0),IF($BJ$5&lt;&gt;"",IF(BJ85="Présent",BK85,0),0),IF($BL$5&lt;&gt;"",IF(BL85="Présent",BM85,0),0)))</f>
      </c>
      <c r="BS85" s="25">
        <f>IF($A85="","",$BN85*IFERROR(INDEX(Categories_Salaire,MATCH($C85,ListeCategories,0)),0)+$BR85*IF(IFERROR(INDEX(Categories_TauxHS,MATCH($C85,ListeCategories,0)),0)&gt;0,IFERROR(INDEX(Categories_TauxHS,MATCH($C85,ListeCategories,0)),0),TauxHSDefaut))</f>
      </c>
    </row>
    <row r="86">
      <c r="A86" s="20">
        <f>IF(AND(INDEX(Employes_Nom,80)&lt;&gt;"",INDEX(Employes_Statut,80)="Actif",OR(INDEX(Employes_Embauche,80)="",INDEX(Employes_Embauche,80)&lt;=EOMONTH(DATE(AnneeCourante,MoisCourant,1),0))),INDEX(Employes_ID,80),"")</f>
      </c>
      <c r="B86" s="19">
        <f>IF($A86="","",INDEX(Employes_Nom,MATCH($A86,Employes_ID,0)))</f>
      </c>
      <c r="C86" s="20">
        <f>IF($A86="","",INDEX(Employes_Categorie,MATCH($A86,Employes_ID,0)))</f>
      </c>
      <c r="D86" s="26"/>
      <c r="E86" s="27"/>
      <c r="F86" s="26"/>
      <c r="G86" s="27"/>
      <c r="H86" s="26"/>
      <c r="I86" s="27"/>
      <c r="J86" s="26"/>
      <c r="K86" s="27"/>
      <c r="L86" s="26"/>
      <c r="M86" s="27"/>
      <c r="N86" s="26"/>
      <c r="O86" s="27"/>
      <c r="P86" s="26"/>
      <c r="Q86" s="27"/>
      <c r="R86" s="26"/>
      <c r="S86" s="27"/>
      <c r="T86" s="26"/>
      <c r="U86" s="27"/>
      <c r="V86" s="26"/>
      <c r="W86" s="27"/>
      <c r="X86" s="26"/>
      <c r="Y86" s="27"/>
      <c r="Z86" s="26"/>
      <c r="AA86" s="27"/>
      <c r="AB86" s="26"/>
      <c r="AC86" s="27"/>
      <c r="AD86" s="26"/>
      <c r="AE86" s="27"/>
      <c r="AF86" s="26"/>
      <c r="AG86" s="27"/>
      <c r="AH86" s="26"/>
      <c r="AI86" s="27"/>
      <c r="AJ86" s="26"/>
      <c r="AK86" s="27"/>
      <c r="AL86" s="26"/>
      <c r="AM86" s="27"/>
      <c r="AN86" s="26"/>
      <c r="AO86" s="27"/>
      <c r="AP86" s="26"/>
      <c r="AQ86" s="27"/>
      <c r="AR86" s="26"/>
      <c r="AS86" s="27"/>
      <c r="AT86" s="26"/>
      <c r="AU86" s="27"/>
      <c r="AV86" s="26"/>
      <c r="AW86" s="27"/>
      <c r="AX86" s="26"/>
      <c r="AY86" s="27"/>
      <c r="AZ86" s="26"/>
      <c r="BA86" s="27"/>
      <c r="BB86" s="26"/>
      <c r="BC86" s="27"/>
      <c r="BD86" s="26"/>
      <c r="BE86" s="27"/>
      <c r="BF86" s="26"/>
      <c r="BG86" s="27"/>
      <c r="BH86" s="26"/>
      <c r="BI86" s="27"/>
      <c r="BJ86" s="26"/>
      <c r="BK86" s="27"/>
      <c r="BL86" s="26"/>
      <c r="BM86" s="27"/>
      <c r="BN86" s="22">
        <f>IF($A86="","",SUM(IF($D$5&lt;&gt;"",--(D86="Présent"),0),IF($F$5&lt;&gt;"",--(F86="Présent"),0),IF($H$5&lt;&gt;"",--(H86="Présent"),0),IF($J$5&lt;&gt;"",--(J86="Présent"),0),IF($L$5&lt;&gt;"",--(L86="Présent"),0),IF($N$5&lt;&gt;"",--(N86="Présent"),0),IF($P$5&lt;&gt;"",--(P86="Présent"),0),IF($R$5&lt;&gt;"",--(R86="Présent"),0),IF($T$5&lt;&gt;"",--(T86="Présent"),0),IF($V$5&lt;&gt;"",--(V86="Présent"),0),IF($X$5&lt;&gt;"",--(X86="Présent"),0),IF($Z$5&lt;&gt;"",--(Z86="Présent"),0),IF($AB$5&lt;&gt;"",--(AB86="Présent"),0),IF($AD$5&lt;&gt;"",--(AD86="Présent"),0),IF($AF$5&lt;&gt;"",--(AF86="Présent"),0),IF($AH$5&lt;&gt;"",--(AH86="Présent"),0),IF($AJ$5&lt;&gt;"",--(AJ86="Présent"),0),IF($AL$5&lt;&gt;"",--(AL86="Présent"),0),IF($AN$5&lt;&gt;"",--(AN86="Présent"),0),IF($AP$5&lt;&gt;"",--(AP86="Présent"),0),IF($AR$5&lt;&gt;"",--(AR86="Présent"),0),IF($AT$5&lt;&gt;"",--(AT86="Présent"),0),IF($AV$5&lt;&gt;"",--(AV86="Présent"),0),IF($AX$5&lt;&gt;"",--(AX86="Présent"),0),IF($AZ$5&lt;&gt;"",--(AZ86="Présent"),0),IF($BB$5&lt;&gt;"",--(BB86="Présent"),0),IF($BD$5&lt;&gt;"",--(BD86="Présent"),0),IF($BF$5&lt;&gt;"",--(BF86="Présent"),0),IF($BH$5&lt;&gt;"",--(BH86="Présent"),0),IF($BJ$5&lt;&gt;"",--(BJ86="Présent"),0),IF($BL$5&lt;&gt;"",--(BL86="Présent"),0)))</f>
      </c>
      <c r="BO86" s="22">
        <f>IF($A86="","",SUM(IF($D$5&lt;&gt;"",--(D86="Absent"),0),IF($F$5&lt;&gt;"",--(F86="Absent"),0),IF($H$5&lt;&gt;"",--(H86="Absent"),0),IF($J$5&lt;&gt;"",--(J86="Absent"),0),IF($L$5&lt;&gt;"",--(L86="Absent"),0),IF($N$5&lt;&gt;"",--(N86="Absent"),0),IF($P$5&lt;&gt;"",--(P86="Absent"),0),IF($R$5&lt;&gt;"",--(R86="Absent"),0),IF($T$5&lt;&gt;"",--(T86="Absent"),0),IF($V$5&lt;&gt;"",--(V86="Absent"),0),IF($X$5&lt;&gt;"",--(X86="Absent"),0),IF($Z$5&lt;&gt;"",--(Z86="Absent"),0),IF($AB$5&lt;&gt;"",--(AB86="Absent"),0),IF($AD$5&lt;&gt;"",--(AD86="Absent"),0),IF($AF$5&lt;&gt;"",--(AF86="Absent"),0),IF($AH$5&lt;&gt;"",--(AH86="Absent"),0),IF($AJ$5&lt;&gt;"",--(AJ86="Absent"),0),IF($AL$5&lt;&gt;"",--(AL86="Absent"),0),IF($AN$5&lt;&gt;"",--(AN86="Absent"),0),IF($AP$5&lt;&gt;"",--(AP86="Absent"),0),IF($AR$5&lt;&gt;"",--(AR86="Absent"),0),IF($AT$5&lt;&gt;"",--(AT86="Absent"),0),IF($AV$5&lt;&gt;"",--(AV86="Absent"),0),IF($AX$5&lt;&gt;"",--(AX86="Absent"),0),IF($AZ$5&lt;&gt;"",--(AZ86="Absent"),0),IF($BB$5&lt;&gt;"",--(BB86="Absent"),0),IF($BD$5&lt;&gt;"",--(BD86="Absent"),0),IF($BF$5&lt;&gt;"",--(BF86="Absent"),0),IF($BH$5&lt;&gt;"",--(BH86="Absent"),0),IF($BJ$5&lt;&gt;"",--(BJ86="Absent"),0),IF($BL$5&lt;&gt;"",--(BL86="Absent"),0)))</f>
      </c>
      <c r="BP86" s="22">
        <f>IF($A86="","",SUM(IF($D$5&lt;&gt;"",--(D86="Congé"),0),IF($F$5&lt;&gt;"",--(F86="Congé"),0),IF($H$5&lt;&gt;"",--(H86="Congé"),0),IF($J$5&lt;&gt;"",--(J86="Congé"),0),IF($L$5&lt;&gt;"",--(L86="Congé"),0),IF($N$5&lt;&gt;"",--(N86="Congé"),0),IF($P$5&lt;&gt;"",--(P86="Congé"),0),IF($R$5&lt;&gt;"",--(R86="Congé"),0),IF($T$5&lt;&gt;"",--(T86="Congé"),0),IF($V$5&lt;&gt;"",--(V86="Congé"),0),IF($X$5&lt;&gt;"",--(X86="Congé"),0),IF($Z$5&lt;&gt;"",--(Z86="Congé"),0),IF($AB$5&lt;&gt;"",--(AB86="Congé"),0),IF($AD$5&lt;&gt;"",--(AD86="Congé"),0),IF($AF$5&lt;&gt;"",--(AF86="Congé"),0),IF($AH$5&lt;&gt;"",--(AH86="Congé"),0),IF($AJ$5&lt;&gt;"",--(AJ86="Congé"),0),IF($AL$5&lt;&gt;"",--(AL86="Congé"),0),IF($AN$5&lt;&gt;"",--(AN86="Congé"),0),IF($AP$5&lt;&gt;"",--(AP86="Congé"),0),IF($AR$5&lt;&gt;"",--(AR86="Congé"),0),IF($AT$5&lt;&gt;"",--(AT86="Congé"),0),IF($AV$5&lt;&gt;"",--(AV86="Congé"),0),IF($AX$5&lt;&gt;"",--(AX86="Congé"),0),IF($AZ$5&lt;&gt;"",--(AZ86="Congé"),0),IF($BB$5&lt;&gt;"",--(BB86="Congé"),0),IF($BD$5&lt;&gt;"",--(BD86="Congé"),0),IF($BF$5&lt;&gt;"",--(BF86="Congé"),0),IF($BH$5&lt;&gt;"",--(BH86="Congé"),0),IF($BJ$5&lt;&gt;"",--(BJ86="Congé"),0),IF($BL$5&lt;&gt;"",--(BL86="Congé"),0)))</f>
      </c>
      <c r="BQ86" s="22">
        <f>IF($A86="","",SUM(IF($D$5&lt;&gt;"",--(D86="Maladie"),0),IF($F$5&lt;&gt;"",--(F86="Maladie"),0),IF($H$5&lt;&gt;"",--(H86="Maladie"),0),IF($J$5&lt;&gt;"",--(J86="Maladie"),0),IF($L$5&lt;&gt;"",--(L86="Maladie"),0),IF($N$5&lt;&gt;"",--(N86="Maladie"),0),IF($P$5&lt;&gt;"",--(P86="Maladie"),0),IF($R$5&lt;&gt;"",--(R86="Maladie"),0),IF($T$5&lt;&gt;"",--(T86="Maladie"),0),IF($V$5&lt;&gt;"",--(V86="Maladie"),0),IF($X$5&lt;&gt;"",--(X86="Maladie"),0),IF($Z$5&lt;&gt;"",--(Z86="Maladie"),0),IF($AB$5&lt;&gt;"",--(AB86="Maladie"),0),IF($AD$5&lt;&gt;"",--(AD86="Maladie"),0),IF($AF$5&lt;&gt;"",--(AF86="Maladie"),0),IF($AH$5&lt;&gt;"",--(AH86="Maladie"),0),IF($AJ$5&lt;&gt;"",--(AJ86="Maladie"),0),IF($AL$5&lt;&gt;"",--(AL86="Maladie"),0),IF($AN$5&lt;&gt;"",--(AN86="Maladie"),0),IF($AP$5&lt;&gt;"",--(AP86="Maladie"),0),IF($AR$5&lt;&gt;"",--(AR86="Maladie"),0),IF($AT$5&lt;&gt;"",--(AT86="Maladie"),0),IF($AV$5&lt;&gt;"",--(AV86="Maladie"),0),IF($AX$5&lt;&gt;"",--(AX86="Maladie"),0),IF($AZ$5&lt;&gt;"",--(AZ86="Maladie"),0),IF($BB$5&lt;&gt;"",--(BB86="Maladie"),0),IF($BD$5&lt;&gt;"",--(BD86="Maladie"),0),IF($BF$5&lt;&gt;"",--(BF86="Maladie"),0),IF($BH$5&lt;&gt;"",--(BH86="Maladie"),0),IF($BJ$5&lt;&gt;"",--(BJ86="Maladie"),0),IF($BL$5&lt;&gt;"",--(BL86="Maladie"),0)))</f>
      </c>
      <c r="BR86" s="23">
        <f>IF($A86="","",SUM(IF($D$5&lt;&gt;"",IF(D86="Présent",E86,0),0),IF($F$5&lt;&gt;"",IF(F86="Présent",G86,0),0),IF($H$5&lt;&gt;"",IF(H86="Présent",I86,0),0),IF($J$5&lt;&gt;"",IF(J86="Présent",K86,0),0),IF($L$5&lt;&gt;"",IF(L86="Présent",M86,0),0),IF($N$5&lt;&gt;"",IF(N86="Présent",O86,0),0),IF($P$5&lt;&gt;"",IF(P86="Présent",Q86,0),0),IF($R$5&lt;&gt;"",IF(R86="Présent",S86,0),0),IF($T$5&lt;&gt;"",IF(T86="Présent",U86,0),0),IF($V$5&lt;&gt;"",IF(V86="Présent",W86,0),0),IF($X$5&lt;&gt;"",IF(X86="Présent",Y86,0),0),IF($Z$5&lt;&gt;"",IF(Z86="Présent",AA86,0),0),IF($AB$5&lt;&gt;"",IF(AB86="Présent",AC86,0),0),IF($AD$5&lt;&gt;"",IF(AD86="Présent",AE86,0),0),IF($AF$5&lt;&gt;"",IF(AF86="Présent",AG86,0),0),IF($AH$5&lt;&gt;"",IF(AH86="Présent",AI86,0),0),IF($AJ$5&lt;&gt;"",IF(AJ86="Présent",AK86,0),0),IF($AL$5&lt;&gt;"",IF(AL86="Présent",AM86,0),0),IF($AN$5&lt;&gt;"",IF(AN86="Présent",AO86,0),0),IF($AP$5&lt;&gt;"",IF(AP86="Présent",AQ86,0),0),IF($AR$5&lt;&gt;"",IF(AR86="Présent",AS86,0),0),IF($AT$5&lt;&gt;"",IF(AT86="Présent",AU86,0),0),IF($AV$5&lt;&gt;"",IF(AV86="Présent",AW86,0),0),IF($AX$5&lt;&gt;"",IF(AX86="Présent",AY86,0),0),IF($AZ$5&lt;&gt;"",IF(AZ86="Présent",BA86,0),0),IF($BB$5&lt;&gt;"",IF(BB86="Présent",BC86,0),0),IF($BD$5&lt;&gt;"",IF(BD86="Présent",BE86,0),0),IF($BF$5&lt;&gt;"",IF(BF86="Présent",BG86,0),0),IF($BH$5&lt;&gt;"",IF(BH86="Présent",BI86,0),0),IF($BJ$5&lt;&gt;"",IF(BJ86="Présent",BK86,0),0),IF($BL$5&lt;&gt;"",IF(BL86="Présent",BM86,0),0)))</f>
      </c>
      <c r="BS86" s="25">
        <f>IF($A86="","",$BN86*IFERROR(INDEX(Categories_Salaire,MATCH($C86,ListeCategories,0)),0)+$BR86*IF(IFERROR(INDEX(Categories_TauxHS,MATCH($C86,ListeCategories,0)),0)&gt;0,IFERROR(INDEX(Categories_TauxHS,MATCH($C86,ListeCategories,0)),0),TauxHSDefaut))</f>
      </c>
    </row>
    <row r="87">
      <c r="A87" s="20">
        <f>IF(AND(INDEX(Employes_Nom,81)&lt;&gt;"",INDEX(Employes_Statut,81)="Actif",OR(INDEX(Employes_Embauche,81)="",INDEX(Employes_Embauche,81)&lt;=EOMONTH(DATE(AnneeCourante,MoisCourant,1),0))),INDEX(Employes_ID,81),"")</f>
      </c>
      <c r="B87" s="19">
        <f>IF($A87="","",INDEX(Employes_Nom,MATCH($A87,Employes_ID,0)))</f>
      </c>
      <c r="C87" s="20">
        <f>IF($A87="","",INDEX(Employes_Categorie,MATCH($A87,Employes_ID,0)))</f>
      </c>
      <c r="D87" s="26"/>
      <c r="E87" s="27"/>
      <c r="F87" s="26"/>
      <c r="G87" s="27"/>
      <c r="H87" s="26"/>
      <c r="I87" s="27"/>
      <c r="J87" s="26"/>
      <c r="K87" s="27"/>
      <c r="L87" s="26"/>
      <c r="M87" s="27"/>
      <c r="N87" s="26"/>
      <c r="O87" s="27"/>
      <c r="P87" s="26"/>
      <c r="Q87" s="27"/>
      <c r="R87" s="26"/>
      <c r="S87" s="27"/>
      <c r="T87" s="26"/>
      <c r="U87" s="27"/>
      <c r="V87" s="26"/>
      <c r="W87" s="27"/>
      <c r="X87" s="26"/>
      <c r="Y87" s="27"/>
      <c r="Z87" s="26"/>
      <c r="AA87" s="27"/>
      <c r="AB87" s="26"/>
      <c r="AC87" s="27"/>
      <c r="AD87" s="26"/>
      <c r="AE87" s="27"/>
      <c r="AF87" s="26"/>
      <c r="AG87" s="27"/>
      <c r="AH87" s="26"/>
      <c r="AI87" s="27"/>
      <c r="AJ87" s="26"/>
      <c r="AK87" s="27"/>
      <c r="AL87" s="26"/>
      <c r="AM87" s="27"/>
      <c r="AN87" s="26"/>
      <c r="AO87" s="27"/>
      <c r="AP87" s="26"/>
      <c r="AQ87" s="27"/>
      <c r="AR87" s="26"/>
      <c r="AS87" s="27"/>
      <c r="AT87" s="26"/>
      <c r="AU87" s="27"/>
      <c r="AV87" s="26"/>
      <c r="AW87" s="27"/>
      <c r="AX87" s="26"/>
      <c r="AY87" s="27"/>
      <c r="AZ87" s="26"/>
      <c r="BA87" s="27"/>
      <c r="BB87" s="26"/>
      <c r="BC87" s="27"/>
      <c r="BD87" s="26"/>
      <c r="BE87" s="27"/>
      <c r="BF87" s="26"/>
      <c r="BG87" s="27"/>
      <c r="BH87" s="26"/>
      <c r="BI87" s="27"/>
      <c r="BJ87" s="26"/>
      <c r="BK87" s="27"/>
      <c r="BL87" s="26"/>
      <c r="BM87" s="27"/>
      <c r="BN87" s="22">
        <f>IF($A87="","",SUM(IF($D$5&lt;&gt;"",--(D87="Présent"),0),IF($F$5&lt;&gt;"",--(F87="Présent"),0),IF($H$5&lt;&gt;"",--(H87="Présent"),0),IF($J$5&lt;&gt;"",--(J87="Présent"),0),IF($L$5&lt;&gt;"",--(L87="Présent"),0),IF($N$5&lt;&gt;"",--(N87="Présent"),0),IF($P$5&lt;&gt;"",--(P87="Présent"),0),IF($R$5&lt;&gt;"",--(R87="Présent"),0),IF($T$5&lt;&gt;"",--(T87="Présent"),0),IF($V$5&lt;&gt;"",--(V87="Présent"),0),IF($X$5&lt;&gt;"",--(X87="Présent"),0),IF($Z$5&lt;&gt;"",--(Z87="Présent"),0),IF($AB$5&lt;&gt;"",--(AB87="Présent"),0),IF($AD$5&lt;&gt;"",--(AD87="Présent"),0),IF($AF$5&lt;&gt;"",--(AF87="Présent"),0),IF($AH$5&lt;&gt;"",--(AH87="Présent"),0),IF($AJ$5&lt;&gt;"",--(AJ87="Présent"),0),IF($AL$5&lt;&gt;"",--(AL87="Présent"),0),IF($AN$5&lt;&gt;"",--(AN87="Présent"),0),IF($AP$5&lt;&gt;"",--(AP87="Présent"),0),IF($AR$5&lt;&gt;"",--(AR87="Présent"),0),IF($AT$5&lt;&gt;"",--(AT87="Présent"),0),IF($AV$5&lt;&gt;"",--(AV87="Présent"),0),IF($AX$5&lt;&gt;"",--(AX87="Présent"),0),IF($AZ$5&lt;&gt;"",--(AZ87="Présent"),0),IF($BB$5&lt;&gt;"",--(BB87="Présent"),0),IF($BD$5&lt;&gt;"",--(BD87="Présent"),0),IF($BF$5&lt;&gt;"",--(BF87="Présent"),0),IF($BH$5&lt;&gt;"",--(BH87="Présent"),0),IF($BJ$5&lt;&gt;"",--(BJ87="Présent"),0),IF($BL$5&lt;&gt;"",--(BL87="Présent"),0)))</f>
      </c>
      <c r="BO87" s="22">
        <f>IF($A87="","",SUM(IF($D$5&lt;&gt;"",--(D87="Absent"),0),IF($F$5&lt;&gt;"",--(F87="Absent"),0),IF($H$5&lt;&gt;"",--(H87="Absent"),0),IF($J$5&lt;&gt;"",--(J87="Absent"),0),IF($L$5&lt;&gt;"",--(L87="Absent"),0),IF($N$5&lt;&gt;"",--(N87="Absent"),0),IF($P$5&lt;&gt;"",--(P87="Absent"),0),IF($R$5&lt;&gt;"",--(R87="Absent"),0),IF($T$5&lt;&gt;"",--(T87="Absent"),0),IF($V$5&lt;&gt;"",--(V87="Absent"),0),IF($X$5&lt;&gt;"",--(X87="Absent"),0),IF($Z$5&lt;&gt;"",--(Z87="Absent"),0),IF($AB$5&lt;&gt;"",--(AB87="Absent"),0),IF($AD$5&lt;&gt;"",--(AD87="Absent"),0),IF($AF$5&lt;&gt;"",--(AF87="Absent"),0),IF($AH$5&lt;&gt;"",--(AH87="Absent"),0),IF($AJ$5&lt;&gt;"",--(AJ87="Absent"),0),IF($AL$5&lt;&gt;"",--(AL87="Absent"),0),IF($AN$5&lt;&gt;"",--(AN87="Absent"),0),IF($AP$5&lt;&gt;"",--(AP87="Absent"),0),IF($AR$5&lt;&gt;"",--(AR87="Absent"),0),IF($AT$5&lt;&gt;"",--(AT87="Absent"),0),IF($AV$5&lt;&gt;"",--(AV87="Absent"),0),IF($AX$5&lt;&gt;"",--(AX87="Absent"),0),IF($AZ$5&lt;&gt;"",--(AZ87="Absent"),0),IF($BB$5&lt;&gt;"",--(BB87="Absent"),0),IF($BD$5&lt;&gt;"",--(BD87="Absent"),0),IF($BF$5&lt;&gt;"",--(BF87="Absent"),0),IF($BH$5&lt;&gt;"",--(BH87="Absent"),0),IF($BJ$5&lt;&gt;"",--(BJ87="Absent"),0),IF($BL$5&lt;&gt;"",--(BL87="Absent"),0)))</f>
      </c>
      <c r="BP87" s="22">
        <f>IF($A87="","",SUM(IF($D$5&lt;&gt;"",--(D87="Congé"),0),IF($F$5&lt;&gt;"",--(F87="Congé"),0),IF($H$5&lt;&gt;"",--(H87="Congé"),0),IF($J$5&lt;&gt;"",--(J87="Congé"),0),IF($L$5&lt;&gt;"",--(L87="Congé"),0),IF($N$5&lt;&gt;"",--(N87="Congé"),0),IF($P$5&lt;&gt;"",--(P87="Congé"),0),IF($R$5&lt;&gt;"",--(R87="Congé"),0),IF($T$5&lt;&gt;"",--(T87="Congé"),0),IF($V$5&lt;&gt;"",--(V87="Congé"),0),IF($X$5&lt;&gt;"",--(X87="Congé"),0),IF($Z$5&lt;&gt;"",--(Z87="Congé"),0),IF($AB$5&lt;&gt;"",--(AB87="Congé"),0),IF($AD$5&lt;&gt;"",--(AD87="Congé"),0),IF($AF$5&lt;&gt;"",--(AF87="Congé"),0),IF($AH$5&lt;&gt;"",--(AH87="Congé"),0),IF($AJ$5&lt;&gt;"",--(AJ87="Congé"),0),IF($AL$5&lt;&gt;"",--(AL87="Congé"),0),IF($AN$5&lt;&gt;"",--(AN87="Congé"),0),IF($AP$5&lt;&gt;"",--(AP87="Congé"),0),IF($AR$5&lt;&gt;"",--(AR87="Congé"),0),IF($AT$5&lt;&gt;"",--(AT87="Congé"),0),IF($AV$5&lt;&gt;"",--(AV87="Congé"),0),IF($AX$5&lt;&gt;"",--(AX87="Congé"),0),IF($AZ$5&lt;&gt;"",--(AZ87="Congé"),0),IF($BB$5&lt;&gt;"",--(BB87="Congé"),0),IF($BD$5&lt;&gt;"",--(BD87="Congé"),0),IF($BF$5&lt;&gt;"",--(BF87="Congé"),0),IF($BH$5&lt;&gt;"",--(BH87="Congé"),0),IF($BJ$5&lt;&gt;"",--(BJ87="Congé"),0),IF($BL$5&lt;&gt;"",--(BL87="Congé"),0)))</f>
      </c>
      <c r="BQ87" s="22">
        <f>IF($A87="","",SUM(IF($D$5&lt;&gt;"",--(D87="Maladie"),0),IF($F$5&lt;&gt;"",--(F87="Maladie"),0),IF($H$5&lt;&gt;"",--(H87="Maladie"),0),IF($J$5&lt;&gt;"",--(J87="Maladie"),0),IF($L$5&lt;&gt;"",--(L87="Maladie"),0),IF($N$5&lt;&gt;"",--(N87="Maladie"),0),IF($P$5&lt;&gt;"",--(P87="Maladie"),0),IF($R$5&lt;&gt;"",--(R87="Maladie"),0),IF($T$5&lt;&gt;"",--(T87="Maladie"),0),IF($V$5&lt;&gt;"",--(V87="Maladie"),0),IF($X$5&lt;&gt;"",--(X87="Maladie"),0),IF($Z$5&lt;&gt;"",--(Z87="Maladie"),0),IF($AB$5&lt;&gt;"",--(AB87="Maladie"),0),IF($AD$5&lt;&gt;"",--(AD87="Maladie"),0),IF($AF$5&lt;&gt;"",--(AF87="Maladie"),0),IF($AH$5&lt;&gt;"",--(AH87="Maladie"),0),IF($AJ$5&lt;&gt;"",--(AJ87="Maladie"),0),IF($AL$5&lt;&gt;"",--(AL87="Maladie"),0),IF($AN$5&lt;&gt;"",--(AN87="Maladie"),0),IF($AP$5&lt;&gt;"",--(AP87="Maladie"),0),IF($AR$5&lt;&gt;"",--(AR87="Maladie"),0),IF($AT$5&lt;&gt;"",--(AT87="Maladie"),0),IF($AV$5&lt;&gt;"",--(AV87="Maladie"),0),IF($AX$5&lt;&gt;"",--(AX87="Maladie"),0),IF($AZ$5&lt;&gt;"",--(AZ87="Maladie"),0),IF($BB$5&lt;&gt;"",--(BB87="Maladie"),0),IF($BD$5&lt;&gt;"",--(BD87="Maladie"),0),IF($BF$5&lt;&gt;"",--(BF87="Maladie"),0),IF($BH$5&lt;&gt;"",--(BH87="Maladie"),0),IF($BJ$5&lt;&gt;"",--(BJ87="Maladie"),0),IF($BL$5&lt;&gt;"",--(BL87="Maladie"),0)))</f>
      </c>
      <c r="BR87" s="23">
        <f>IF($A87="","",SUM(IF($D$5&lt;&gt;"",IF(D87="Présent",E87,0),0),IF($F$5&lt;&gt;"",IF(F87="Présent",G87,0),0),IF($H$5&lt;&gt;"",IF(H87="Présent",I87,0),0),IF($J$5&lt;&gt;"",IF(J87="Présent",K87,0),0),IF($L$5&lt;&gt;"",IF(L87="Présent",M87,0),0),IF($N$5&lt;&gt;"",IF(N87="Présent",O87,0),0),IF($P$5&lt;&gt;"",IF(P87="Présent",Q87,0),0),IF($R$5&lt;&gt;"",IF(R87="Présent",S87,0),0),IF($T$5&lt;&gt;"",IF(T87="Présent",U87,0),0),IF($V$5&lt;&gt;"",IF(V87="Présent",W87,0),0),IF($X$5&lt;&gt;"",IF(X87="Présent",Y87,0),0),IF($Z$5&lt;&gt;"",IF(Z87="Présent",AA87,0),0),IF($AB$5&lt;&gt;"",IF(AB87="Présent",AC87,0),0),IF($AD$5&lt;&gt;"",IF(AD87="Présent",AE87,0),0),IF($AF$5&lt;&gt;"",IF(AF87="Présent",AG87,0),0),IF($AH$5&lt;&gt;"",IF(AH87="Présent",AI87,0),0),IF($AJ$5&lt;&gt;"",IF(AJ87="Présent",AK87,0),0),IF($AL$5&lt;&gt;"",IF(AL87="Présent",AM87,0),0),IF($AN$5&lt;&gt;"",IF(AN87="Présent",AO87,0),0),IF($AP$5&lt;&gt;"",IF(AP87="Présent",AQ87,0),0),IF($AR$5&lt;&gt;"",IF(AR87="Présent",AS87,0),0),IF($AT$5&lt;&gt;"",IF(AT87="Présent",AU87,0),0),IF($AV$5&lt;&gt;"",IF(AV87="Présent",AW87,0),0),IF($AX$5&lt;&gt;"",IF(AX87="Présent",AY87,0),0),IF($AZ$5&lt;&gt;"",IF(AZ87="Présent",BA87,0),0),IF($BB$5&lt;&gt;"",IF(BB87="Présent",BC87,0),0),IF($BD$5&lt;&gt;"",IF(BD87="Présent",BE87,0),0),IF($BF$5&lt;&gt;"",IF(BF87="Présent",BG87,0),0),IF($BH$5&lt;&gt;"",IF(BH87="Présent",BI87,0),0),IF($BJ$5&lt;&gt;"",IF(BJ87="Présent",BK87,0),0),IF($BL$5&lt;&gt;"",IF(BL87="Présent",BM87,0),0)))</f>
      </c>
      <c r="BS87" s="25">
        <f>IF($A87="","",$BN87*IFERROR(INDEX(Categories_Salaire,MATCH($C87,ListeCategories,0)),0)+$BR87*IF(IFERROR(INDEX(Categories_TauxHS,MATCH($C87,ListeCategories,0)),0)&gt;0,IFERROR(INDEX(Categories_TauxHS,MATCH($C87,ListeCategories,0)),0),TauxHSDefaut))</f>
      </c>
    </row>
    <row r="88">
      <c r="A88" s="20">
        <f>IF(AND(INDEX(Employes_Nom,82)&lt;&gt;"",INDEX(Employes_Statut,82)="Actif",OR(INDEX(Employes_Embauche,82)="",INDEX(Employes_Embauche,82)&lt;=EOMONTH(DATE(AnneeCourante,MoisCourant,1),0))),INDEX(Employes_ID,82),"")</f>
      </c>
      <c r="B88" s="19">
        <f>IF($A88="","",INDEX(Employes_Nom,MATCH($A88,Employes_ID,0)))</f>
      </c>
      <c r="C88" s="20">
        <f>IF($A88="","",INDEX(Employes_Categorie,MATCH($A88,Employes_ID,0)))</f>
      </c>
      <c r="D88" s="26"/>
      <c r="E88" s="27"/>
      <c r="F88" s="26"/>
      <c r="G88" s="27"/>
      <c r="H88" s="26"/>
      <c r="I88" s="27"/>
      <c r="J88" s="26"/>
      <c r="K88" s="27"/>
      <c r="L88" s="26"/>
      <c r="M88" s="27"/>
      <c r="N88" s="26"/>
      <c r="O88" s="27"/>
      <c r="P88" s="26"/>
      <c r="Q88" s="27"/>
      <c r="R88" s="26"/>
      <c r="S88" s="27"/>
      <c r="T88" s="26"/>
      <c r="U88" s="27"/>
      <c r="V88" s="26"/>
      <c r="W88" s="27"/>
      <c r="X88" s="26"/>
      <c r="Y88" s="27"/>
      <c r="Z88" s="26"/>
      <c r="AA88" s="27"/>
      <c r="AB88" s="26"/>
      <c r="AC88" s="27"/>
      <c r="AD88" s="26"/>
      <c r="AE88" s="27"/>
      <c r="AF88" s="26"/>
      <c r="AG88" s="27"/>
      <c r="AH88" s="26"/>
      <c r="AI88" s="27"/>
      <c r="AJ88" s="26"/>
      <c r="AK88" s="27"/>
      <c r="AL88" s="26"/>
      <c r="AM88" s="27"/>
      <c r="AN88" s="26"/>
      <c r="AO88" s="27"/>
      <c r="AP88" s="26"/>
      <c r="AQ88" s="27"/>
      <c r="AR88" s="26"/>
      <c r="AS88" s="27"/>
      <c r="AT88" s="26"/>
      <c r="AU88" s="27"/>
      <c r="AV88" s="26"/>
      <c r="AW88" s="27"/>
      <c r="AX88" s="26"/>
      <c r="AY88" s="27"/>
      <c r="AZ88" s="26"/>
      <c r="BA88" s="27"/>
      <c r="BB88" s="26"/>
      <c r="BC88" s="27"/>
      <c r="BD88" s="26"/>
      <c r="BE88" s="27"/>
      <c r="BF88" s="26"/>
      <c r="BG88" s="27"/>
      <c r="BH88" s="26"/>
      <c r="BI88" s="27"/>
      <c r="BJ88" s="26"/>
      <c r="BK88" s="27"/>
      <c r="BL88" s="26"/>
      <c r="BM88" s="27"/>
      <c r="BN88" s="22">
        <f>IF($A88="","",SUM(IF($D$5&lt;&gt;"",--(D88="Présent"),0),IF($F$5&lt;&gt;"",--(F88="Présent"),0),IF($H$5&lt;&gt;"",--(H88="Présent"),0),IF($J$5&lt;&gt;"",--(J88="Présent"),0),IF($L$5&lt;&gt;"",--(L88="Présent"),0),IF($N$5&lt;&gt;"",--(N88="Présent"),0),IF($P$5&lt;&gt;"",--(P88="Présent"),0),IF($R$5&lt;&gt;"",--(R88="Présent"),0),IF($T$5&lt;&gt;"",--(T88="Présent"),0),IF($V$5&lt;&gt;"",--(V88="Présent"),0),IF($X$5&lt;&gt;"",--(X88="Présent"),0),IF($Z$5&lt;&gt;"",--(Z88="Présent"),0),IF($AB$5&lt;&gt;"",--(AB88="Présent"),0),IF($AD$5&lt;&gt;"",--(AD88="Présent"),0),IF($AF$5&lt;&gt;"",--(AF88="Présent"),0),IF($AH$5&lt;&gt;"",--(AH88="Présent"),0),IF($AJ$5&lt;&gt;"",--(AJ88="Présent"),0),IF($AL$5&lt;&gt;"",--(AL88="Présent"),0),IF($AN$5&lt;&gt;"",--(AN88="Présent"),0),IF($AP$5&lt;&gt;"",--(AP88="Présent"),0),IF($AR$5&lt;&gt;"",--(AR88="Présent"),0),IF($AT$5&lt;&gt;"",--(AT88="Présent"),0),IF($AV$5&lt;&gt;"",--(AV88="Présent"),0),IF($AX$5&lt;&gt;"",--(AX88="Présent"),0),IF($AZ$5&lt;&gt;"",--(AZ88="Présent"),0),IF($BB$5&lt;&gt;"",--(BB88="Présent"),0),IF($BD$5&lt;&gt;"",--(BD88="Présent"),0),IF($BF$5&lt;&gt;"",--(BF88="Présent"),0),IF($BH$5&lt;&gt;"",--(BH88="Présent"),0),IF($BJ$5&lt;&gt;"",--(BJ88="Présent"),0),IF($BL$5&lt;&gt;"",--(BL88="Présent"),0)))</f>
      </c>
      <c r="BO88" s="22">
        <f>IF($A88="","",SUM(IF($D$5&lt;&gt;"",--(D88="Absent"),0),IF($F$5&lt;&gt;"",--(F88="Absent"),0),IF($H$5&lt;&gt;"",--(H88="Absent"),0),IF($J$5&lt;&gt;"",--(J88="Absent"),0),IF($L$5&lt;&gt;"",--(L88="Absent"),0),IF($N$5&lt;&gt;"",--(N88="Absent"),0),IF($P$5&lt;&gt;"",--(P88="Absent"),0),IF($R$5&lt;&gt;"",--(R88="Absent"),0),IF($T$5&lt;&gt;"",--(T88="Absent"),0),IF($V$5&lt;&gt;"",--(V88="Absent"),0),IF($X$5&lt;&gt;"",--(X88="Absent"),0),IF($Z$5&lt;&gt;"",--(Z88="Absent"),0),IF($AB$5&lt;&gt;"",--(AB88="Absent"),0),IF($AD$5&lt;&gt;"",--(AD88="Absent"),0),IF($AF$5&lt;&gt;"",--(AF88="Absent"),0),IF($AH$5&lt;&gt;"",--(AH88="Absent"),0),IF($AJ$5&lt;&gt;"",--(AJ88="Absent"),0),IF($AL$5&lt;&gt;"",--(AL88="Absent"),0),IF($AN$5&lt;&gt;"",--(AN88="Absent"),0),IF($AP$5&lt;&gt;"",--(AP88="Absent"),0),IF($AR$5&lt;&gt;"",--(AR88="Absent"),0),IF($AT$5&lt;&gt;"",--(AT88="Absent"),0),IF($AV$5&lt;&gt;"",--(AV88="Absent"),0),IF($AX$5&lt;&gt;"",--(AX88="Absent"),0),IF($AZ$5&lt;&gt;"",--(AZ88="Absent"),0),IF($BB$5&lt;&gt;"",--(BB88="Absent"),0),IF($BD$5&lt;&gt;"",--(BD88="Absent"),0),IF($BF$5&lt;&gt;"",--(BF88="Absent"),0),IF($BH$5&lt;&gt;"",--(BH88="Absent"),0),IF($BJ$5&lt;&gt;"",--(BJ88="Absent"),0),IF($BL$5&lt;&gt;"",--(BL88="Absent"),0)))</f>
      </c>
      <c r="BP88" s="22">
        <f>IF($A88="","",SUM(IF($D$5&lt;&gt;"",--(D88="Congé"),0),IF($F$5&lt;&gt;"",--(F88="Congé"),0),IF($H$5&lt;&gt;"",--(H88="Congé"),0),IF($J$5&lt;&gt;"",--(J88="Congé"),0),IF($L$5&lt;&gt;"",--(L88="Congé"),0),IF($N$5&lt;&gt;"",--(N88="Congé"),0),IF($P$5&lt;&gt;"",--(P88="Congé"),0),IF($R$5&lt;&gt;"",--(R88="Congé"),0),IF($T$5&lt;&gt;"",--(T88="Congé"),0),IF($V$5&lt;&gt;"",--(V88="Congé"),0),IF($X$5&lt;&gt;"",--(X88="Congé"),0),IF($Z$5&lt;&gt;"",--(Z88="Congé"),0),IF($AB$5&lt;&gt;"",--(AB88="Congé"),0),IF($AD$5&lt;&gt;"",--(AD88="Congé"),0),IF($AF$5&lt;&gt;"",--(AF88="Congé"),0),IF($AH$5&lt;&gt;"",--(AH88="Congé"),0),IF($AJ$5&lt;&gt;"",--(AJ88="Congé"),0),IF($AL$5&lt;&gt;"",--(AL88="Congé"),0),IF($AN$5&lt;&gt;"",--(AN88="Congé"),0),IF($AP$5&lt;&gt;"",--(AP88="Congé"),0),IF($AR$5&lt;&gt;"",--(AR88="Congé"),0),IF($AT$5&lt;&gt;"",--(AT88="Congé"),0),IF($AV$5&lt;&gt;"",--(AV88="Congé"),0),IF($AX$5&lt;&gt;"",--(AX88="Congé"),0),IF($AZ$5&lt;&gt;"",--(AZ88="Congé"),0),IF($BB$5&lt;&gt;"",--(BB88="Congé"),0),IF($BD$5&lt;&gt;"",--(BD88="Congé"),0),IF($BF$5&lt;&gt;"",--(BF88="Congé"),0),IF($BH$5&lt;&gt;"",--(BH88="Congé"),0),IF($BJ$5&lt;&gt;"",--(BJ88="Congé"),0),IF($BL$5&lt;&gt;"",--(BL88="Congé"),0)))</f>
      </c>
      <c r="BQ88" s="22">
        <f>IF($A88="","",SUM(IF($D$5&lt;&gt;"",--(D88="Maladie"),0),IF($F$5&lt;&gt;"",--(F88="Maladie"),0),IF($H$5&lt;&gt;"",--(H88="Maladie"),0),IF($J$5&lt;&gt;"",--(J88="Maladie"),0),IF($L$5&lt;&gt;"",--(L88="Maladie"),0),IF($N$5&lt;&gt;"",--(N88="Maladie"),0),IF($P$5&lt;&gt;"",--(P88="Maladie"),0),IF($R$5&lt;&gt;"",--(R88="Maladie"),0),IF($T$5&lt;&gt;"",--(T88="Maladie"),0),IF($V$5&lt;&gt;"",--(V88="Maladie"),0),IF($X$5&lt;&gt;"",--(X88="Maladie"),0),IF($Z$5&lt;&gt;"",--(Z88="Maladie"),0),IF($AB$5&lt;&gt;"",--(AB88="Maladie"),0),IF($AD$5&lt;&gt;"",--(AD88="Maladie"),0),IF($AF$5&lt;&gt;"",--(AF88="Maladie"),0),IF($AH$5&lt;&gt;"",--(AH88="Maladie"),0),IF($AJ$5&lt;&gt;"",--(AJ88="Maladie"),0),IF($AL$5&lt;&gt;"",--(AL88="Maladie"),0),IF($AN$5&lt;&gt;"",--(AN88="Maladie"),0),IF($AP$5&lt;&gt;"",--(AP88="Maladie"),0),IF($AR$5&lt;&gt;"",--(AR88="Maladie"),0),IF($AT$5&lt;&gt;"",--(AT88="Maladie"),0),IF($AV$5&lt;&gt;"",--(AV88="Maladie"),0),IF($AX$5&lt;&gt;"",--(AX88="Maladie"),0),IF($AZ$5&lt;&gt;"",--(AZ88="Maladie"),0),IF($BB$5&lt;&gt;"",--(BB88="Maladie"),0),IF($BD$5&lt;&gt;"",--(BD88="Maladie"),0),IF($BF$5&lt;&gt;"",--(BF88="Maladie"),0),IF($BH$5&lt;&gt;"",--(BH88="Maladie"),0),IF($BJ$5&lt;&gt;"",--(BJ88="Maladie"),0),IF($BL$5&lt;&gt;"",--(BL88="Maladie"),0)))</f>
      </c>
      <c r="BR88" s="23">
        <f>IF($A88="","",SUM(IF($D$5&lt;&gt;"",IF(D88="Présent",E88,0),0),IF($F$5&lt;&gt;"",IF(F88="Présent",G88,0),0),IF($H$5&lt;&gt;"",IF(H88="Présent",I88,0),0),IF($J$5&lt;&gt;"",IF(J88="Présent",K88,0),0),IF($L$5&lt;&gt;"",IF(L88="Présent",M88,0),0),IF($N$5&lt;&gt;"",IF(N88="Présent",O88,0),0),IF($P$5&lt;&gt;"",IF(P88="Présent",Q88,0),0),IF($R$5&lt;&gt;"",IF(R88="Présent",S88,0),0),IF($T$5&lt;&gt;"",IF(T88="Présent",U88,0),0),IF($V$5&lt;&gt;"",IF(V88="Présent",W88,0),0),IF($X$5&lt;&gt;"",IF(X88="Présent",Y88,0),0),IF($Z$5&lt;&gt;"",IF(Z88="Présent",AA88,0),0),IF($AB$5&lt;&gt;"",IF(AB88="Présent",AC88,0),0),IF($AD$5&lt;&gt;"",IF(AD88="Présent",AE88,0),0),IF($AF$5&lt;&gt;"",IF(AF88="Présent",AG88,0),0),IF($AH$5&lt;&gt;"",IF(AH88="Présent",AI88,0),0),IF($AJ$5&lt;&gt;"",IF(AJ88="Présent",AK88,0),0),IF($AL$5&lt;&gt;"",IF(AL88="Présent",AM88,0),0),IF($AN$5&lt;&gt;"",IF(AN88="Présent",AO88,0),0),IF($AP$5&lt;&gt;"",IF(AP88="Présent",AQ88,0),0),IF($AR$5&lt;&gt;"",IF(AR88="Présent",AS88,0),0),IF($AT$5&lt;&gt;"",IF(AT88="Présent",AU88,0),0),IF($AV$5&lt;&gt;"",IF(AV88="Présent",AW88,0),0),IF($AX$5&lt;&gt;"",IF(AX88="Présent",AY88,0),0),IF($AZ$5&lt;&gt;"",IF(AZ88="Présent",BA88,0),0),IF($BB$5&lt;&gt;"",IF(BB88="Présent",BC88,0),0),IF($BD$5&lt;&gt;"",IF(BD88="Présent",BE88,0),0),IF($BF$5&lt;&gt;"",IF(BF88="Présent",BG88,0),0),IF($BH$5&lt;&gt;"",IF(BH88="Présent",BI88,0),0),IF($BJ$5&lt;&gt;"",IF(BJ88="Présent",BK88,0),0),IF($BL$5&lt;&gt;"",IF(BL88="Présent",BM88,0),0)))</f>
      </c>
      <c r="BS88" s="25">
        <f>IF($A88="","",$BN88*IFERROR(INDEX(Categories_Salaire,MATCH($C88,ListeCategories,0)),0)+$BR88*IF(IFERROR(INDEX(Categories_TauxHS,MATCH($C88,ListeCategories,0)),0)&gt;0,IFERROR(INDEX(Categories_TauxHS,MATCH($C88,ListeCategories,0)),0),TauxHSDefaut))</f>
      </c>
    </row>
    <row r="89">
      <c r="A89" s="20">
        <f>IF(AND(INDEX(Employes_Nom,83)&lt;&gt;"",INDEX(Employes_Statut,83)="Actif",OR(INDEX(Employes_Embauche,83)="",INDEX(Employes_Embauche,83)&lt;=EOMONTH(DATE(AnneeCourante,MoisCourant,1),0))),INDEX(Employes_ID,83),"")</f>
      </c>
      <c r="B89" s="19">
        <f>IF($A89="","",INDEX(Employes_Nom,MATCH($A89,Employes_ID,0)))</f>
      </c>
      <c r="C89" s="20">
        <f>IF($A89="","",INDEX(Employes_Categorie,MATCH($A89,Employes_ID,0)))</f>
      </c>
      <c r="D89" s="26"/>
      <c r="E89" s="27"/>
      <c r="F89" s="26"/>
      <c r="G89" s="27"/>
      <c r="H89" s="26"/>
      <c r="I89" s="27"/>
      <c r="J89" s="26"/>
      <c r="K89" s="27"/>
      <c r="L89" s="26"/>
      <c r="M89" s="27"/>
      <c r="N89" s="26"/>
      <c r="O89" s="27"/>
      <c r="P89" s="26"/>
      <c r="Q89" s="27"/>
      <c r="R89" s="26"/>
      <c r="S89" s="27"/>
      <c r="T89" s="26"/>
      <c r="U89" s="27"/>
      <c r="V89" s="26"/>
      <c r="W89" s="27"/>
      <c r="X89" s="26"/>
      <c r="Y89" s="27"/>
      <c r="Z89" s="26"/>
      <c r="AA89" s="27"/>
      <c r="AB89" s="26"/>
      <c r="AC89" s="27"/>
      <c r="AD89" s="26"/>
      <c r="AE89" s="27"/>
      <c r="AF89" s="26"/>
      <c r="AG89" s="27"/>
      <c r="AH89" s="26"/>
      <c r="AI89" s="27"/>
      <c r="AJ89" s="26"/>
      <c r="AK89" s="27"/>
      <c r="AL89" s="26"/>
      <c r="AM89" s="27"/>
      <c r="AN89" s="26"/>
      <c r="AO89" s="27"/>
      <c r="AP89" s="26"/>
      <c r="AQ89" s="27"/>
      <c r="AR89" s="26"/>
      <c r="AS89" s="27"/>
      <c r="AT89" s="26"/>
      <c r="AU89" s="27"/>
      <c r="AV89" s="26"/>
      <c r="AW89" s="27"/>
      <c r="AX89" s="26"/>
      <c r="AY89" s="27"/>
      <c r="AZ89" s="26"/>
      <c r="BA89" s="27"/>
      <c r="BB89" s="26"/>
      <c r="BC89" s="27"/>
      <c r="BD89" s="26"/>
      <c r="BE89" s="27"/>
      <c r="BF89" s="26"/>
      <c r="BG89" s="27"/>
      <c r="BH89" s="26"/>
      <c r="BI89" s="27"/>
      <c r="BJ89" s="26"/>
      <c r="BK89" s="27"/>
      <c r="BL89" s="26"/>
      <c r="BM89" s="27"/>
      <c r="BN89" s="22">
        <f>IF($A89="","",SUM(IF($D$5&lt;&gt;"",--(D89="Présent"),0),IF($F$5&lt;&gt;"",--(F89="Présent"),0),IF($H$5&lt;&gt;"",--(H89="Présent"),0),IF($J$5&lt;&gt;"",--(J89="Présent"),0),IF($L$5&lt;&gt;"",--(L89="Présent"),0),IF($N$5&lt;&gt;"",--(N89="Présent"),0),IF($P$5&lt;&gt;"",--(P89="Présent"),0),IF($R$5&lt;&gt;"",--(R89="Présent"),0),IF($T$5&lt;&gt;"",--(T89="Présent"),0),IF($V$5&lt;&gt;"",--(V89="Présent"),0),IF($X$5&lt;&gt;"",--(X89="Présent"),0),IF($Z$5&lt;&gt;"",--(Z89="Présent"),0),IF($AB$5&lt;&gt;"",--(AB89="Présent"),0),IF($AD$5&lt;&gt;"",--(AD89="Présent"),0),IF($AF$5&lt;&gt;"",--(AF89="Présent"),0),IF($AH$5&lt;&gt;"",--(AH89="Présent"),0),IF($AJ$5&lt;&gt;"",--(AJ89="Présent"),0),IF($AL$5&lt;&gt;"",--(AL89="Présent"),0),IF($AN$5&lt;&gt;"",--(AN89="Présent"),0),IF($AP$5&lt;&gt;"",--(AP89="Présent"),0),IF($AR$5&lt;&gt;"",--(AR89="Présent"),0),IF($AT$5&lt;&gt;"",--(AT89="Présent"),0),IF($AV$5&lt;&gt;"",--(AV89="Présent"),0),IF($AX$5&lt;&gt;"",--(AX89="Présent"),0),IF($AZ$5&lt;&gt;"",--(AZ89="Présent"),0),IF($BB$5&lt;&gt;"",--(BB89="Présent"),0),IF($BD$5&lt;&gt;"",--(BD89="Présent"),0),IF($BF$5&lt;&gt;"",--(BF89="Présent"),0),IF($BH$5&lt;&gt;"",--(BH89="Présent"),0),IF($BJ$5&lt;&gt;"",--(BJ89="Présent"),0),IF($BL$5&lt;&gt;"",--(BL89="Présent"),0)))</f>
      </c>
      <c r="BO89" s="22">
        <f>IF($A89="","",SUM(IF($D$5&lt;&gt;"",--(D89="Absent"),0),IF($F$5&lt;&gt;"",--(F89="Absent"),0),IF($H$5&lt;&gt;"",--(H89="Absent"),0),IF($J$5&lt;&gt;"",--(J89="Absent"),0),IF($L$5&lt;&gt;"",--(L89="Absent"),0),IF($N$5&lt;&gt;"",--(N89="Absent"),0),IF($P$5&lt;&gt;"",--(P89="Absent"),0),IF($R$5&lt;&gt;"",--(R89="Absent"),0),IF($T$5&lt;&gt;"",--(T89="Absent"),0),IF($V$5&lt;&gt;"",--(V89="Absent"),0),IF($X$5&lt;&gt;"",--(X89="Absent"),0),IF($Z$5&lt;&gt;"",--(Z89="Absent"),0),IF($AB$5&lt;&gt;"",--(AB89="Absent"),0),IF($AD$5&lt;&gt;"",--(AD89="Absent"),0),IF($AF$5&lt;&gt;"",--(AF89="Absent"),0),IF($AH$5&lt;&gt;"",--(AH89="Absent"),0),IF($AJ$5&lt;&gt;"",--(AJ89="Absent"),0),IF($AL$5&lt;&gt;"",--(AL89="Absent"),0),IF($AN$5&lt;&gt;"",--(AN89="Absent"),0),IF($AP$5&lt;&gt;"",--(AP89="Absent"),0),IF($AR$5&lt;&gt;"",--(AR89="Absent"),0),IF($AT$5&lt;&gt;"",--(AT89="Absent"),0),IF($AV$5&lt;&gt;"",--(AV89="Absent"),0),IF($AX$5&lt;&gt;"",--(AX89="Absent"),0),IF($AZ$5&lt;&gt;"",--(AZ89="Absent"),0),IF($BB$5&lt;&gt;"",--(BB89="Absent"),0),IF($BD$5&lt;&gt;"",--(BD89="Absent"),0),IF($BF$5&lt;&gt;"",--(BF89="Absent"),0),IF($BH$5&lt;&gt;"",--(BH89="Absent"),0),IF($BJ$5&lt;&gt;"",--(BJ89="Absent"),0),IF($BL$5&lt;&gt;"",--(BL89="Absent"),0)))</f>
      </c>
      <c r="BP89" s="22">
        <f>IF($A89="","",SUM(IF($D$5&lt;&gt;"",--(D89="Congé"),0),IF($F$5&lt;&gt;"",--(F89="Congé"),0),IF($H$5&lt;&gt;"",--(H89="Congé"),0),IF($J$5&lt;&gt;"",--(J89="Congé"),0),IF($L$5&lt;&gt;"",--(L89="Congé"),0),IF($N$5&lt;&gt;"",--(N89="Congé"),0),IF($P$5&lt;&gt;"",--(P89="Congé"),0),IF($R$5&lt;&gt;"",--(R89="Congé"),0),IF($T$5&lt;&gt;"",--(T89="Congé"),0),IF($V$5&lt;&gt;"",--(V89="Congé"),0),IF($X$5&lt;&gt;"",--(X89="Congé"),0),IF($Z$5&lt;&gt;"",--(Z89="Congé"),0),IF($AB$5&lt;&gt;"",--(AB89="Congé"),0),IF($AD$5&lt;&gt;"",--(AD89="Congé"),0),IF($AF$5&lt;&gt;"",--(AF89="Congé"),0),IF($AH$5&lt;&gt;"",--(AH89="Congé"),0),IF($AJ$5&lt;&gt;"",--(AJ89="Congé"),0),IF($AL$5&lt;&gt;"",--(AL89="Congé"),0),IF($AN$5&lt;&gt;"",--(AN89="Congé"),0),IF($AP$5&lt;&gt;"",--(AP89="Congé"),0),IF($AR$5&lt;&gt;"",--(AR89="Congé"),0),IF($AT$5&lt;&gt;"",--(AT89="Congé"),0),IF($AV$5&lt;&gt;"",--(AV89="Congé"),0),IF($AX$5&lt;&gt;"",--(AX89="Congé"),0),IF($AZ$5&lt;&gt;"",--(AZ89="Congé"),0),IF($BB$5&lt;&gt;"",--(BB89="Congé"),0),IF($BD$5&lt;&gt;"",--(BD89="Congé"),0),IF($BF$5&lt;&gt;"",--(BF89="Congé"),0),IF($BH$5&lt;&gt;"",--(BH89="Congé"),0),IF($BJ$5&lt;&gt;"",--(BJ89="Congé"),0),IF($BL$5&lt;&gt;"",--(BL89="Congé"),0)))</f>
      </c>
      <c r="BQ89" s="22">
        <f>IF($A89="","",SUM(IF($D$5&lt;&gt;"",--(D89="Maladie"),0),IF($F$5&lt;&gt;"",--(F89="Maladie"),0),IF($H$5&lt;&gt;"",--(H89="Maladie"),0),IF($J$5&lt;&gt;"",--(J89="Maladie"),0),IF($L$5&lt;&gt;"",--(L89="Maladie"),0),IF($N$5&lt;&gt;"",--(N89="Maladie"),0),IF($P$5&lt;&gt;"",--(P89="Maladie"),0),IF($R$5&lt;&gt;"",--(R89="Maladie"),0),IF($T$5&lt;&gt;"",--(T89="Maladie"),0),IF($V$5&lt;&gt;"",--(V89="Maladie"),0),IF($X$5&lt;&gt;"",--(X89="Maladie"),0),IF($Z$5&lt;&gt;"",--(Z89="Maladie"),0),IF($AB$5&lt;&gt;"",--(AB89="Maladie"),0),IF($AD$5&lt;&gt;"",--(AD89="Maladie"),0),IF($AF$5&lt;&gt;"",--(AF89="Maladie"),0),IF($AH$5&lt;&gt;"",--(AH89="Maladie"),0),IF($AJ$5&lt;&gt;"",--(AJ89="Maladie"),0),IF($AL$5&lt;&gt;"",--(AL89="Maladie"),0),IF($AN$5&lt;&gt;"",--(AN89="Maladie"),0),IF($AP$5&lt;&gt;"",--(AP89="Maladie"),0),IF($AR$5&lt;&gt;"",--(AR89="Maladie"),0),IF($AT$5&lt;&gt;"",--(AT89="Maladie"),0),IF($AV$5&lt;&gt;"",--(AV89="Maladie"),0),IF($AX$5&lt;&gt;"",--(AX89="Maladie"),0),IF($AZ$5&lt;&gt;"",--(AZ89="Maladie"),0),IF($BB$5&lt;&gt;"",--(BB89="Maladie"),0),IF($BD$5&lt;&gt;"",--(BD89="Maladie"),0),IF($BF$5&lt;&gt;"",--(BF89="Maladie"),0),IF($BH$5&lt;&gt;"",--(BH89="Maladie"),0),IF($BJ$5&lt;&gt;"",--(BJ89="Maladie"),0),IF($BL$5&lt;&gt;"",--(BL89="Maladie"),0)))</f>
      </c>
      <c r="BR89" s="23">
        <f>IF($A89="","",SUM(IF($D$5&lt;&gt;"",IF(D89="Présent",E89,0),0),IF($F$5&lt;&gt;"",IF(F89="Présent",G89,0),0),IF($H$5&lt;&gt;"",IF(H89="Présent",I89,0),0),IF($J$5&lt;&gt;"",IF(J89="Présent",K89,0),0),IF($L$5&lt;&gt;"",IF(L89="Présent",M89,0),0),IF($N$5&lt;&gt;"",IF(N89="Présent",O89,0),0),IF($P$5&lt;&gt;"",IF(P89="Présent",Q89,0),0),IF($R$5&lt;&gt;"",IF(R89="Présent",S89,0),0),IF($T$5&lt;&gt;"",IF(T89="Présent",U89,0),0),IF($V$5&lt;&gt;"",IF(V89="Présent",W89,0),0),IF($X$5&lt;&gt;"",IF(X89="Présent",Y89,0),0),IF($Z$5&lt;&gt;"",IF(Z89="Présent",AA89,0),0),IF($AB$5&lt;&gt;"",IF(AB89="Présent",AC89,0),0),IF($AD$5&lt;&gt;"",IF(AD89="Présent",AE89,0),0),IF($AF$5&lt;&gt;"",IF(AF89="Présent",AG89,0),0),IF($AH$5&lt;&gt;"",IF(AH89="Présent",AI89,0),0),IF($AJ$5&lt;&gt;"",IF(AJ89="Présent",AK89,0),0),IF($AL$5&lt;&gt;"",IF(AL89="Présent",AM89,0),0),IF($AN$5&lt;&gt;"",IF(AN89="Présent",AO89,0),0),IF($AP$5&lt;&gt;"",IF(AP89="Présent",AQ89,0),0),IF($AR$5&lt;&gt;"",IF(AR89="Présent",AS89,0),0),IF($AT$5&lt;&gt;"",IF(AT89="Présent",AU89,0),0),IF($AV$5&lt;&gt;"",IF(AV89="Présent",AW89,0),0),IF($AX$5&lt;&gt;"",IF(AX89="Présent",AY89,0),0),IF($AZ$5&lt;&gt;"",IF(AZ89="Présent",BA89,0),0),IF($BB$5&lt;&gt;"",IF(BB89="Présent",BC89,0),0),IF($BD$5&lt;&gt;"",IF(BD89="Présent",BE89,0),0),IF($BF$5&lt;&gt;"",IF(BF89="Présent",BG89,0),0),IF($BH$5&lt;&gt;"",IF(BH89="Présent",BI89,0),0),IF($BJ$5&lt;&gt;"",IF(BJ89="Présent",BK89,0),0),IF($BL$5&lt;&gt;"",IF(BL89="Présent",BM89,0),0)))</f>
      </c>
      <c r="BS89" s="25">
        <f>IF($A89="","",$BN89*IFERROR(INDEX(Categories_Salaire,MATCH($C89,ListeCategories,0)),0)+$BR89*IF(IFERROR(INDEX(Categories_TauxHS,MATCH($C89,ListeCategories,0)),0)&gt;0,IFERROR(INDEX(Categories_TauxHS,MATCH($C89,ListeCategories,0)),0),TauxHSDefaut))</f>
      </c>
    </row>
    <row r="90">
      <c r="A90" s="20">
        <f>IF(AND(INDEX(Employes_Nom,84)&lt;&gt;"",INDEX(Employes_Statut,84)="Actif",OR(INDEX(Employes_Embauche,84)="",INDEX(Employes_Embauche,84)&lt;=EOMONTH(DATE(AnneeCourante,MoisCourant,1),0))),INDEX(Employes_ID,84),"")</f>
      </c>
      <c r="B90" s="19">
        <f>IF($A90="","",INDEX(Employes_Nom,MATCH($A90,Employes_ID,0)))</f>
      </c>
      <c r="C90" s="20">
        <f>IF($A90="","",INDEX(Employes_Categorie,MATCH($A90,Employes_ID,0)))</f>
      </c>
      <c r="D90" s="26"/>
      <c r="E90" s="27"/>
      <c r="F90" s="26"/>
      <c r="G90" s="27"/>
      <c r="H90" s="26"/>
      <c r="I90" s="27"/>
      <c r="J90" s="26"/>
      <c r="K90" s="27"/>
      <c r="L90" s="26"/>
      <c r="M90" s="27"/>
      <c r="N90" s="26"/>
      <c r="O90" s="27"/>
      <c r="P90" s="26"/>
      <c r="Q90" s="27"/>
      <c r="R90" s="26"/>
      <c r="S90" s="27"/>
      <c r="T90" s="26"/>
      <c r="U90" s="27"/>
      <c r="V90" s="26"/>
      <c r="W90" s="27"/>
      <c r="X90" s="26"/>
      <c r="Y90" s="27"/>
      <c r="Z90" s="26"/>
      <c r="AA90" s="27"/>
      <c r="AB90" s="26"/>
      <c r="AC90" s="27"/>
      <c r="AD90" s="26"/>
      <c r="AE90" s="27"/>
      <c r="AF90" s="26"/>
      <c r="AG90" s="27"/>
      <c r="AH90" s="26"/>
      <c r="AI90" s="27"/>
      <c r="AJ90" s="26"/>
      <c r="AK90" s="27"/>
      <c r="AL90" s="26"/>
      <c r="AM90" s="27"/>
      <c r="AN90" s="26"/>
      <c r="AO90" s="27"/>
      <c r="AP90" s="26"/>
      <c r="AQ90" s="27"/>
      <c r="AR90" s="26"/>
      <c r="AS90" s="27"/>
      <c r="AT90" s="26"/>
      <c r="AU90" s="27"/>
      <c r="AV90" s="26"/>
      <c r="AW90" s="27"/>
      <c r="AX90" s="26"/>
      <c r="AY90" s="27"/>
      <c r="AZ90" s="26"/>
      <c r="BA90" s="27"/>
      <c r="BB90" s="26"/>
      <c r="BC90" s="27"/>
      <c r="BD90" s="26"/>
      <c r="BE90" s="27"/>
      <c r="BF90" s="26"/>
      <c r="BG90" s="27"/>
      <c r="BH90" s="26"/>
      <c r="BI90" s="27"/>
      <c r="BJ90" s="26"/>
      <c r="BK90" s="27"/>
      <c r="BL90" s="26"/>
      <c r="BM90" s="27"/>
      <c r="BN90" s="22">
        <f>IF($A90="","",SUM(IF($D$5&lt;&gt;"",--(D90="Présent"),0),IF($F$5&lt;&gt;"",--(F90="Présent"),0),IF($H$5&lt;&gt;"",--(H90="Présent"),0),IF($J$5&lt;&gt;"",--(J90="Présent"),0),IF($L$5&lt;&gt;"",--(L90="Présent"),0),IF($N$5&lt;&gt;"",--(N90="Présent"),0),IF($P$5&lt;&gt;"",--(P90="Présent"),0),IF($R$5&lt;&gt;"",--(R90="Présent"),0),IF($T$5&lt;&gt;"",--(T90="Présent"),0),IF($V$5&lt;&gt;"",--(V90="Présent"),0),IF($X$5&lt;&gt;"",--(X90="Présent"),0),IF($Z$5&lt;&gt;"",--(Z90="Présent"),0),IF($AB$5&lt;&gt;"",--(AB90="Présent"),0),IF($AD$5&lt;&gt;"",--(AD90="Présent"),0),IF($AF$5&lt;&gt;"",--(AF90="Présent"),0),IF($AH$5&lt;&gt;"",--(AH90="Présent"),0),IF($AJ$5&lt;&gt;"",--(AJ90="Présent"),0),IF($AL$5&lt;&gt;"",--(AL90="Présent"),0),IF($AN$5&lt;&gt;"",--(AN90="Présent"),0),IF($AP$5&lt;&gt;"",--(AP90="Présent"),0),IF($AR$5&lt;&gt;"",--(AR90="Présent"),0),IF($AT$5&lt;&gt;"",--(AT90="Présent"),0),IF($AV$5&lt;&gt;"",--(AV90="Présent"),0),IF($AX$5&lt;&gt;"",--(AX90="Présent"),0),IF($AZ$5&lt;&gt;"",--(AZ90="Présent"),0),IF($BB$5&lt;&gt;"",--(BB90="Présent"),0),IF($BD$5&lt;&gt;"",--(BD90="Présent"),0),IF($BF$5&lt;&gt;"",--(BF90="Présent"),0),IF($BH$5&lt;&gt;"",--(BH90="Présent"),0),IF($BJ$5&lt;&gt;"",--(BJ90="Présent"),0),IF($BL$5&lt;&gt;"",--(BL90="Présent"),0)))</f>
      </c>
      <c r="BO90" s="22">
        <f>IF($A90="","",SUM(IF($D$5&lt;&gt;"",--(D90="Absent"),0),IF($F$5&lt;&gt;"",--(F90="Absent"),0),IF($H$5&lt;&gt;"",--(H90="Absent"),0),IF($J$5&lt;&gt;"",--(J90="Absent"),0),IF($L$5&lt;&gt;"",--(L90="Absent"),0),IF($N$5&lt;&gt;"",--(N90="Absent"),0),IF($P$5&lt;&gt;"",--(P90="Absent"),0),IF($R$5&lt;&gt;"",--(R90="Absent"),0),IF($T$5&lt;&gt;"",--(T90="Absent"),0),IF($V$5&lt;&gt;"",--(V90="Absent"),0),IF($X$5&lt;&gt;"",--(X90="Absent"),0),IF($Z$5&lt;&gt;"",--(Z90="Absent"),0),IF($AB$5&lt;&gt;"",--(AB90="Absent"),0),IF($AD$5&lt;&gt;"",--(AD90="Absent"),0),IF($AF$5&lt;&gt;"",--(AF90="Absent"),0),IF($AH$5&lt;&gt;"",--(AH90="Absent"),0),IF($AJ$5&lt;&gt;"",--(AJ90="Absent"),0),IF($AL$5&lt;&gt;"",--(AL90="Absent"),0),IF($AN$5&lt;&gt;"",--(AN90="Absent"),0),IF($AP$5&lt;&gt;"",--(AP90="Absent"),0),IF($AR$5&lt;&gt;"",--(AR90="Absent"),0),IF($AT$5&lt;&gt;"",--(AT90="Absent"),0),IF($AV$5&lt;&gt;"",--(AV90="Absent"),0),IF($AX$5&lt;&gt;"",--(AX90="Absent"),0),IF($AZ$5&lt;&gt;"",--(AZ90="Absent"),0),IF($BB$5&lt;&gt;"",--(BB90="Absent"),0),IF($BD$5&lt;&gt;"",--(BD90="Absent"),0),IF($BF$5&lt;&gt;"",--(BF90="Absent"),0),IF($BH$5&lt;&gt;"",--(BH90="Absent"),0),IF($BJ$5&lt;&gt;"",--(BJ90="Absent"),0),IF($BL$5&lt;&gt;"",--(BL90="Absent"),0)))</f>
      </c>
      <c r="BP90" s="22">
        <f>IF($A90="","",SUM(IF($D$5&lt;&gt;"",--(D90="Congé"),0),IF($F$5&lt;&gt;"",--(F90="Congé"),0),IF($H$5&lt;&gt;"",--(H90="Congé"),0),IF($J$5&lt;&gt;"",--(J90="Congé"),0),IF($L$5&lt;&gt;"",--(L90="Congé"),0),IF($N$5&lt;&gt;"",--(N90="Congé"),0),IF($P$5&lt;&gt;"",--(P90="Congé"),0),IF($R$5&lt;&gt;"",--(R90="Congé"),0),IF($T$5&lt;&gt;"",--(T90="Congé"),0),IF($V$5&lt;&gt;"",--(V90="Congé"),0),IF($X$5&lt;&gt;"",--(X90="Congé"),0),IF($Z$5&lt;&gt;"",--(Z90="Congé"),0),IF($AB$5&lt;&gt;"",--(AB90="Congé"),0),IF($AD$5&lt;&gt;"",--(AD90="Congé"),0),IF($AF$5&lt;&gt;"",--(AF90="Congé"),0),IF($AH$5&lt;&gt;"",--(AH90="Congé"),0),IF($AJ$5&lt;&gt;"",--(AJ90="Congé"),0),IF($AL$5&lt;&gt;"",--(AL90="Congé"),0),IF($AN$5&lt;&gt;"",--(AN90="Congé"),0),IF($AP$5&lt;&gt;"",--(AP90="Congé"),0),IF($AR$5&lt;&gt;"",--(AR90="Congé"),0),IF($AT$5&lt;&gt;"",--(AT90="Congé"),0),IF($AV$5&lt;&gt;"",--(AV90="Congé"),0),IF($AX$5&lt;&gt;"",--(AX90="Congé"),0),IF($AZ$5&lt;&gt;"",--(AZ90="Congé"),0),IF($BB$5&lt;&gt;"",--(BB90="Congé"),0),IF($BD$5&lt;&gt;"",--(BD90="Congé"),0),IF($BF$5&lt;&gt;"",--(BF90="Congé"),0),IF($BH$5&lt;&gt;"",--(BH90="Congé"),0),IF($BJ$5&lt;&gt;"",--(BJ90="Congé"),0),IF($BL$5&lt;&gt;"",--(BL90="Congé"),0)))</f>
      </c>
      <c r="BQ90" s="22">
        <f>IF($A90="","",SUM(IF($D$5&lt;&gt;"",--(D90="Maladie"),0),IF($F$5&lt;&gt;"",--(F90="Maladie"),0),IF($H$5&lt;&gt;"",--(H90="Maladie"),0),IF($J$5&lt;&gt;"",--(J90="Maladie"),0),IF($L$5&lt;&gt;"",--(L90="Maladie"),0),IF($N$5&lt;&gt;"",--(N90="Maladie"),0),IF($P$5&lt;&gt;"",--(P90="Maladie"),0),IF($R$5&lt;&gt;"",--(R90="Maladie"),0),IF($T$5&lt;&gt;"",--(T90="Maladie"),0),IF($V$5&lt;&gt;"",--(V90="Maladie"),0),IF($X$5&lt;&gt;"",--(X90="Maladie"),0),IF($Z$5&lt;&gt;"",--(Z90="Maladie"),0),IF($AB$5&lt;&gt;"",--(AB90="Maladie"),0),IF($AD$5&lt;&gt;"",--(AD90="Maladie"),0),IF($AF$5&lt;&gt;"",--(AF90="Maladie"),0),IF($AH$5&lt;&gt;"",--(AH90="Maladie"),0),IF($AJ$5&lt;&gt;"",--(AJ90="Maladie"),0),IF($AL$5&lt;&gt;"",--(AL90="Maladie"),0),IF($AN$5&lt;&gt;"",--(AN90="Maladie"),0),IF($AP$5&lt;&gt;"",--(AP90="Maladie"),0),IF($AR$5&lt;&gt;"",--(AR90="Maladie"),0),IF($AT$5&lt;&gt;"",--(AT90="Maladie"),0),IF($AV$5&lt;&gt;"",--(AV90="Maladie"),0),IF($AX$5&lt;&gt;"",--(AX90="Maladie"),0),IF($AZ$5&lt;&gt;"",--(AZ90="Maladie"),0),IF($BB$5&lt;&gt;"",--(BB90="Maladie"),0),IF($BD$5&lt;&gt;"",--(BD90="Maladie"),0),IF($BF$5&lt;&gt;"",--(BF90="Maladie"),0),IF($BH$5&lt;&gt;"",--(BH90="Maladie"),0),IF($BJ$5&lt;&gt;"",--(BJ90="Maladie"),0),IF($BL$5&lt;&gt;"",--(BL90="Maladie"),0)))</f>
      </c>
      <c r="BR90" s="23">
        <f>IF($A90="","",SUM(IF($D$5&lt;&gt;"",IF(D90="Présent",E90,0),0),IF($F$5&lt;&gt;"",IF(F90="Présent",G90,0),0),IF($H$5&lt;&gt;"",IF(H90="Présent",I90,0),0),IF($J$5&lt;&gt;"",IF(J90="Présent",K90,0),0),IF($L$5&lt;&gt;"",IF(L90="Présent",M90,0),0),IF($N$5&lt;&gt;"",IF(N90="Présent",O90,0),0),IF($P$5&lt;&gt;"",IF(P90="Présent",Q90,0),0),IF($R$5&lt;&gt;"",IF(R90="Présent",S90,0),0),IF($T$5&lt;&gt;"",IF(T90="Présent",U90,0),0),IF($V$5&lt;&gt;"",IF(V90="Présent",W90,0),0),IF($X$5&lt;&gt;"",IF(X90="Présent",Y90,0),0),IF($Z$5&lt;&gt;"",IF(Z90="Présent",AA90,0),0),IF($AB$5&lt;&gt;"",IF(AB90="Présent",AC90,0),0),IF($AD$5&lt;&gt;"",IF(AD90="Présent",AE90,0),0),IF($AF$5&lt;&gt;"",IF(AF90="Présent",AG90,0),0),IF($AH$5&lt;&gt;"",IF(AH90="Présent",AI90,0),0),IF($AJ$5&lt;&gt;"",IF(AJ90="Présent",AK90,0),0),IF($AL$5&lt;&gt;"",IF(AL90="Présent",AM90,0),0),IF($AN$5&lt;&gt;"",IF(AN90="Présent",AO90,0),0),IF($AP$5&lt;&gt;"",IF(AP90="Présent",AQ90,0),0),IF($AR$5&lt;&gt;"",IF(AR90="Présent",AS90,0),0),IF($AT$5&lt;&gt;"",IF(AT90="Présent",AU90,0),0),IF($AV$5&lt;&gt;"",IF(AV90="Présent",AW90,0),0),IF($AX$5&lt;&gt;"",IF(AX90="Présent",AY90,0),0),IF($AZ$5&lt;&gt;"",IF(AZ90="Présent",BA90,0),0),IF($BB$5&lt;&gt;"",IF(BB90="Présent",BC90,0),0),IF($BD$5&lt;&gt;"",IF(BD90="Présent",BE90,0),0),IF($BF$5&lt;&gt;"",IF(BF90="Présent",BG90,0),0),IF($BH$5&lt;&gt;"",IF(BH90="Présent",BI90,0),0),IF($BJ$5&lt;&gt;"",IF(BJ90="Présent",BK90,0),0),IF($BL$5&lt;&gt;"",IF(BL90="Présent",BM90,0),0)))</f>
      </c>
      <c r="BS90" s="25">
        <f>IF($A90="","",$BN90*IFERROR(INDEX(Categories_Salaire,MATCH($C90,ListeCategories,0)),0)+$BR90*IF(IFERROR(INDEX(Categories_TauxHS,MATCH($C90,ListeCategories,0)),0)&gt;0,IFERROR(INDEX(Categories_TauxHS,MATCH($C90,ListeCategories,0)),0),TauxHSDefaut))</f>
      </c>
    </row>
    <row r="91">
      <c r="A91" s="20">
        <f>IF(AND(INDEX(Employes_Nom,85)&lt;&gt;"",INDEX(Employes_Statut,85)="Actif",OR(INDEX(Employes_Embauche,85)="",INDEX(Employes_Embauche,85)&lt;=EOMONTH(DATE(AnneeCourante,MoisCourant,1),0))),INDEX(Employes_ID,85),"")</f>
      </c>
      <c r="B91" s="19">
        <f>IF($A91="","",INDEX(Employes_Nom,MATCH($A91,Employes_ID,0)))</f>
      </c>
      <c r="C91" s="20">
        <f>IF($A91="","",INDEX(Employes_Categorie,MATCH($A91,Employes_ID,0)))</f>
      </c>
      <c r="D91" s="26"/>
      <c r="E91" s="27"/>
      <c r="F91" s="26"/>
      <c r="G91" s="27"/>
      <c r="H91" s="26"/>
      <c r="I91" s="27"/>
      <c r="J91" s="26"/>
      <c r="K91" s="27"/>
      <c r="L91" s="26"/>
      <c r="M91" s="27"/>
      <c r="N91" s="26"/>
      <c r="O91" s="27"/>
      <c r="P91" s="26"/>
      <c r="Q91" s="27"/>
      <c r="R91" s="26"/>
      <c r="S91" s="27"/>
      <c r="T91" s="26"/>
      <c r="U91" s="27"/>
      <c r="V91" s="26"/>
      <c r="W91" s="27"/>
      <c r="X91" s="26"/>
      <c r="Y91" s="27"/>
      <c r="Z91" s="26"/>
      <c r="AA91" s="27"/>
      <c r="AB91" s="26"/>
      <c r="AC91" s="27"/>
      <c r="AD91" s="26"/>
      <c r="AE91" s="27"/>
      <c r="AF91" s="26"/>
      <c r="AG91" s="27"/>
      <c r="AH91" s="26"/>
      <c r="AI91" s="27"/>
      <c r="AJ91" s="26"/>
      <c r="AK91" s="27"/>
      <c r="AL91" s="26"/>
      <c r="AM91" s="27"/>
      <c r="AN91" s="26"/>
      <c r="AO91" s="27"/>
      <c r="AP91" s="26"/>
      <c r="AQ91" s="27"/>
      <c r="AR91" s="26"/>
      <c r="AS91" s="27"/>
      <c r="AT91" s="26"/>
      <c r="AU91" s="27"/>
      <c r="AV91" s="26"/>
      <c r="AW91" s="27"/>
      <c r="AX91" s="26"/>
      <c r="AY91" s="27"/>
      <c r="AZ91" s="26"/>
      <c r="BA91" s="27"/>
      <c r="BB91" s="26"/>
      <c r="BC91" s="27"/>
      <c r="BD91" s="26"/>
      <c r="BE91" s="27"/>
      <c r="BF91" s="26"/>
      <c r="BG91" s="27"/>
      <c r="BH91" s="26"/>
      <c r="BI91" s="27"/>
      <c r="BJ91" s="26"/>
      <c r="BK91" s="27"/>
      <c r="BL91" s="26"/>
      <c r="BM91" s="27"/>
      <c r="BN91" s="22">
        <f>IF($A91="","",SUM(IF($D$5&lt;&gt;"",--(D91="Présent"),0),IF($F$5&lt;&gt;"",--(F91="Présent"),0),IF($H$5&lt;&gt;"",--(H91="Présent"),0),IF($J$5&lt;&gt;"",--(J91="Présent"),0),IF($L$5&lt;&gt;"",--(L91="Présent"),0),IF($N$5&lt;&gt;"",--(N91="Présent"),0),IF($P$5&lt;&gt;"",--(P91="Présent"),0),IF($R$5&lt;&gt;"",--(R91="Présent"),0),IF($T$5&lt;&gt;"",--(T91="Présent"),0),IF($V$5&lt;&gt;"",--(V91="Présent"),0),IF($X$5&lt;&gt;"",--(X91="Présent"),0),IF($Z$5&lt;&gt;"",--(Z91="Présent"),0),IF($AB$5&lt;&gt;"",--(AB91="Présent"),0),IF($AD$5&lt;&gt;"",--(AD91="Présent"),0),IF($AF$5&lt;&gt;"",--(AF91="Présent"),0),IF($AH$5&lt;&gt;"",--(AH91="Présent"),0),IF($AJ$5&lt;&gt;"",--(AJ91="Présent"),0),IF($AL$5&lt;&gt;"",--(AL91="Présent"),0),IF($AN$5&lt;&gt;"",--(AN91="Présent"),0),IF($AP$5&lt;&gt;"",--(AP91="Présent"),0),IF($AR$5&lt;&gt;"",--(AR91="Présent"),0),IF($AT$5&lt;&gt;"",--(AT91="Présent"),0),IF($AV$5&lt;&gt;"",--(AV91="Présent"),0),IF($AX$5&lt;&gt;"",--(AX91="Présent"),0),IF($AZ$5&lt;&gt;"",--(AZ91="Présent"),0),IF($BB$5&lt;&gt;"",--(BB91="Présent"),0),IF($BD$5&lt;&gt;"",--(BD91="Présent"),0),IF($BF$5&lt;&gt;"",--(BF91="Présent"),0),IF($BH$5&lt;&gt;"",--(BH91="Présent"),0),IF($BJ$5&lt;&gt;"",--(BJ91="Présent"),0),IF($BL$5&lt;&gt;"",--(BL91="Présent"),0)))</f>
      </c>
      <c r="BO91" s="22">
        <f>IF($A91="","",SUM(IF($D$5&lt;&gt;"",--(D91="Absent"),0),IF($F$5&lt;&gt;"",--(F91="Absent"),0),IF($H$5&lt;&gt;"",--(H91="Absent"),0),IF($J$5&lt;&gt;"",--(J91="Absent"),0),IF($L$5&lt;&gt;"",--(L91="Absent"),0),IF($N$5&lt;&gt;"",--(N91="Absent"),0),IF($P$5&lt;&gt;"",--(P91="Absent"),0),IF($R$5&lt;&gt;"",--(R91="Absent"),0),IF($T$5&lt;&gt;"",--(T91="Absent"),0),IF($V$5&lt;&gt;"",--(V91="Absent"),0),IF($X$5&lt;&gt;"",--(X91="Absent"),0),IF($Z$5&lt;&gt;"",--(Z91="Absent"),0),IF($AB$5&lt;&gt;"",--(AB91="Absent"),0),IF($AD$5&lt;&gt;"",--(AD91="Absent"),0),IF($AF$5&lt;&gt;"",--(AF91="Absent"),0),IF($AH$5&lt;&gt;"",--(AH91="Absent"),0),IF($AJ$5&lt;&gt;"",--(AJ91="Absent"),0),IF($AL$5&lt;&gt;"",--(AL91="Absent"),0),IF($AN$5&lt;&gt;"",--(AN91="Absent"),0),IF($AP$5&lt;&gt;"",--(AP91="Absent"),0),IF($AR$5&lt;&gt;"",--(AR91="Absent"),0),IF($AT$5&lt;&gt;"",--(AT91="Absent"),0),IF($AV$5&lt;&gt;"",--(AV91="Absent"),0),IF($AX$5&lt;&gt;"",--(AX91="Absent"),0),IF($AZ$5&lt;&gt;"",--(AZ91="Absent"),0),IF($BB$5&lt;&gt;"",--(BB91="Absent"),0),IF($BD$5&lt;&gt;"",--(BD91="Absent"),0),IF($BF$5&lt;&gt;"",--(BF91="Absent"),0),IF($BH$5&lt;&gt;"",--(BH91="Absent"),0),IF($BJ$5&lt;&gt;"",--(BJ91="Absent"),0),IF($BL$5&lt;&gt;"",--(BL91="Absent"),0)))</f>
      </c>
      <c r="BP91" s="22">
        <f>IF($A91="","",SUM(IF($D$5&lt;&gt;"",--(D91="Congé"),0),IF($F$5&lt;&gt;"",--(F91="Congé"),0),IF($H$5&lt;&gt;"",--(H91="Congé"),0),IF($J$5&lt;&gt;"",--(J91="Congé"),0),IF($L$5&lt;&gt;"",--(L91="Congé"),0),IF($N$5&lt;&gt;"",--(N91="Congé"),0),IF($P$5&lt;&gt;"",--(P91="Congé"),0),IF($R$5&lt;&gt;"",--(R91="Congé"),0),IF($T$5&lt;&gt;"",--(T91="Congé"),0),IF($V$5&lt;&gt;"",--(V91="Congé"),0),IF($X$5&lt;&gt;"",--(X91="Congé"),0),IF($Z$5&lt;&gt;"",--(Z91="Congé"),0),IF($AB$5&lt;&gt;"",--(AB91="Congé"),0),IF($AD$5&lt;&gt;"",--(AD91="Congé"),0),IF($AF$5&lt;&gt;"",--(AF91="Congé"),0),IF($AH$5&lt;&gt;"",--(AH91="Congé"),0),IF($AJ$5&lt;&gt;"",--(AJ91="Congé"),0),IF($AL$5&lt;&gt;"",--(AL91="Congé"),0),IF($AN$5&lt;&gt;"",--(AN91="Congé"),0),IF($AP$5&lt;&gt;"",--(AP91="Congé"),0),IF($AR$5&lt;&gt;"",--(AR91="Congé"),0),IF($AT$5&lt;&gt;"",--(AT91="Congé"),0),IF($AV$5&lt;&gt;"",--(AV91="Congé"),0),IF($AX$5&lt;&gt;"",--(AX91="Congé"),0),IF($AZ$5&lt;&gt;"",--(AZ91="Congé"),0),IF($BB$5&lt;&gt;"",--(BB91="Congé"),0),IF($BD$5&lt;&gt;"",--(BD91="Congé"),0),IF($BF$5&lt;&gt;"",--(BF91="Congé"),0),IF($BH$5&lt;&gt;"",--(BH91="Congé"),0),IF($BJ$5&lt;&gt;"",--(BJ91="Congé"),0),IF($BL$5&lt;&gt;"",--(BL91="Congé"),0)))</f>
      </c>
      <c r="BQ91" s="22">
        <f>IF($A91="","",SUM(IF($D$5&lt;&gt;"",--(D91="Maladie"),0),IF($F$5&lt;&gt;"",--(F91="Maladie"),0),IF($H$5&lt;&gt;"",--(H91="Maladie"),0),IF($J$5&lt;&gt;"",--(J91="Maladie"),0),IF($L$5&lt;&gt;"",--(L91="Maladie"),0),IF($N$5&lt;&gt;"",--(N91="Maladie"),0),IF($P$5&lt;&gt;"",--(P91="Maladie"),0),IF($R$5&lt;&gt;"",--(R91="Maladie"),0),IF($T$5&lt;&gt;"",--(T91="Maladie"),0),IF($V$5&lt;&gt;"",--(V91="Maladie"),0),IF($X$5&lt;&gt;"",--(X91="Maladie"),0),IF($Z$5&lt;&gt;"",--(Z91="Maladie"),0),IF($AB$5&lt;&gt;"",--(AB91="Maladie"),0),IF($AD$5&lt;&gt;"",--(AD91="Maladie"),0),IF($AF$5&lt;&gt;"",--(AF91="Maladie"),0),IF($AH$5&lt;&gt;"",--(AH91="Maladie"),0),IF($AJ$5&lt;&gt;"",--(AJ91="Maladie"),0),IF($AL$5&lt;&gt;"",--(AL91="Maladie"),0),IF($AN$5&lt;&gt;"",--(AN91="Maladie"),0),IF($AP$5&lt;&gt;"",--(AP91="Maladie"),0),IF($AR$5&lt;&gt;"",--(AR91="Maladie"),0),IF($AT$5&lt;&gt;"",--(AT91="Maladie"),0),IF($AV$5&lt;&gt;"",--(AV91="Maladie"),0),IF($AX$5&lt;&gt;"",--(AX91="Maladie"),0),IF($AZ$5&lt;&gt;"",--(AZ91="Maladie"),0),IF($BB$5&lt;&gt;"",--(BB91="Maladie"),0),IF($BD$5&lt;&gt;"",--(BD91="Maladie"),0),IF($BF$5&lt;&gt;"",--(BF91="Maladie"),0),IF($BH$5&lt;&gt;"",--(BH91="Maladie"),0),IF($BJ$5&lt;&gt;"",--(BJ91="Maladie"),0),IF($BL$5&lt;&gt;"",--(BL91="Maladie"),0)))</f>
      </c>
      <c r="BR91" s="23">
        <f>IF($A91="","",SUM(IF($D$5&lt;&gt;"",IF(D91="Présent",E91,0),0),IF($F$5&lt;&gt;"",IF(F91="Présent",G91,0),0),IF($H$5&lt;&gt;"",IF(H91="Présent",I91,0),0),IF($J$5&lt;&gt;"",IF(J91="Présent",K91,0),0),IF($L$5&lt;&gt;"",IF(L91="Présent",M91,0),0),IF($N$5&lt;&gt;"",IF(N91="Présent",O91,0),0),IF($P$5&lt;&gt;"",IF(P91="Présent",Q91,0),0),IF($R$5&lt;&gt;"",IF(R91="Présent",S91,0),0),IF($T$5&lt;&gt;"",IF(T91="Présent",U91,0),0),IF($V$5&lt;&gt;"",IF(V91="Présent",W91,0),0),IF($X$5&lt;&gt;"",IF(X91="Présent",Y91,0),0),IF($Z$5&lt;&gt;"",IF(Z91="Présent",AA91,0),0),IF($AB$5&lt;&gt;"",IF(AB91="Présent",AC91,0),0),IF($AD$5&lt;&gt;"",IF(AD91="Présent",AE91,0),0),IF($AF$5&lt;&gt;"",IF(AF91="Présent",AG91,0),0),IF($AH$5&lt;&gt;"",IF(AH91="Présent",AI91,0),0),IF($AJ$5&lt;&gt;"",IF(AJ91="Présent",AK91,0),0),IF($AL$5&lt;&gt;"",IF(AL91="Présent",AM91,0),0),IF($AN$5&lt;&gt;"",IF(AN91="Présent",AO91,0),0),IF($AP$5&lt;&gt;"",IF(AP91="Présent",AQ91,0),0),IF($AR$5&lt;&gt;"",IF(AR91="Présent",AS91,0),0),IF($AT$5&lt;&gt;"",IF(AT91="Présent",AU91,0),0),IF($AV$5&lt;&gt;"",IF(AV91="Présent",AW91,0),0),IF($AX$5&lt;&gt;"",IF(AX91="Présent",AY91,0),0),IF($AZ$5&lt;&gt;"",IF(AZ91="Présent",BA91,0),0),IF($BB$5&lt;&gt;"",IF(BB91="Présent",BC91,0),0),IF($BD$5&lt;&gt;"",IF(BD91="Présent",BE91,0),0),IF($BF$5&lt;&gt;"",IF(BF91="Présent",BG91,0),0),IF($BH$5&lt;&gt;"",IF(BH91="Présent",BI91,0),0),IF($BJ$5&lt;&gt;"",IF(BJ91="Présent",BK91,0),0),IF($BL$5&lt;&gt;"",IF(BL91="Présent",BM91,0),0)))</f>
      </c>
      <c r="BS91" s="25">
        <f>IF($A91="","",$BN91*IFERROR(INDEX(Categories_Salaire,MATCH($C91,ListeCategories,0)),0)+$BR91*IF(IFERROR(INDEX(Categories_TauxHS,MATCH($C91,ListeCategories,0)),0)&gt;0,IFERROR(INDEX(Categories_TauxHS,MATCH($C91,ListeCategories,0)),0),TauxHSDefaut))</f>
      </c>
    </row>
    <row r="92">
      <c r="A92" s="20">
        <f>IF(AND(INDEX(Employes_Nom,86)&lt;&gt;"",INDEX(Employes_Statut,86)="Actif",OR(INDEX(Employes_Embauche,86)="",INDEX(Employes_Embauche,86)&lt;=EOMONTH(DATE(AnneeCourante,MoisCourant,1),0))),INDEX(Employes_ID,86),"")</f>
      </c>
      <c r="B92" s="19">
        <f>IF($A92="","",INDEX(Employes_Nom,MATCH($A92,Employes_ID,0)))</f>
      </c>
      <c r="C92" s="20">
        <f>IF($A92="","",INDEX(Employes_Categorie,MATCH($A92,Employes_ID,0)))</f>
      </c>
      <c r="D92" s="26"/>
      <c r="E92" s="27"/>
      <c r="F92" s="26"/>
      <c r="G92" s="27"/>
      <c r="H92" s="26"/>
      <c r="I92" s="27"/>
      <c r="J92" s="26"/>
      <c r="K92" s="27"/>
      <c r="L92" s="26"/>
      <c r="M92" s="27"/>
      <c r="N92" s="26"/>
      <c r="O92" s="27"/>
      <c r="P92" s="26"/>
      <c r="Q92" s="27"/>
      <c r="R92" s="26"/>
      <c r="S92" s="27"/>
      <c r="T92" s="26"/>
      <c r="U92" s="27"/>
      <c r="V92" s="26"/>
      <c r="W92" s="27"/>
      <c r="X92" s="26"/>
      <c r="Y92" s="27"/>
      <c r="Z92" s="26"/>
      <c r="AA92" s="27"/>
      <c r="AB92" s="26"/>
      <c r="AC92" s="27"/>
      <c r="AD92" s="26"/>
      <c r="AE92" s="27"/>
      <c r="AF92" s="26"/>
      <c r="AG92" s="27"/>
      <c r="AH92" s="26"/>
      <c r="AI92" s="27"/>
      <c r="AJ92" s="26"/>
      <c r="AK92" s="27"/>
      <c r="AL92" s="26"/>
      <c r="AM92" s="27"/>
      <c r="AN92" s="26"/>
      <c r="AO92" s="27"/>
      <c r="AP92" s="26"/>
      <c r="AQ92" s="27"/>
      <c r="AR92" s="26"/>
      <c r="AS92" s="27"/>
      <c r="AT92" s="26"/>
      <c r="AU92" s="27"/>
      <c r="AV92" s="26"/>
      <c r="AW92" s="27"/>
      <c r="AX92" s="26"/>
      <c r="AY92" s="27"/>
      <c r="AZ92" s="26"/>
      <c r="BA92" s="27"/>
      <c r="BB92" s="26"/>
      <c r="BC92" s="27"/>
      <c r="BD92" s="26"/>
      <c r="BE92" s="27"/>
      <c r="BF92" s="26"/>
      <c r="BG92" s="27"/>
      <c r="BH92" s="26"/>
      <c r="BI92" s="27"/>
      <c r="BJ92" s="26"/>
      <c r="BK92" s="27"/>
      <c r="BL92" s="26"/>
      <c r="BM92" s="27"/>
      <c r="BN92" s="22">
        <f>IF($A92="","",SUM(IF($D$5&lt;&gt;"",--(D92="Présent"),0),IF($F$5&lt;&gt;"",--(F92="Présent"),0),IF($H$5&lt;&gt;"",--(H92="Présent"),0),IF($J$5&lt;&gt;"",--(J92="Présent"),0),IF($L$5&lt;&gt;"",--(L92="Présent"),0),IF($N$5&lt;&gt;"",--(N92="Présent"),0),IF($P$5&lt;&gt;"",--(P92="Présent"),0),IF($R$5&lt;&gt;"",--(R92="Présent"),0),IF($T$5&lt;&gt;"",--(T92="Présent"),0),IF($V$5&lt;&gt;"",--(V92="Présent"),0),IF($X$5&lt;&gt;"",--(X92="Présent"),0),IF($Z$5&lt;&gt;"",--(Z92="Présent"),0),IF($AB$5&lt;&gt;"",--(AB92="Présent"),0),IF($AD$5&lt;&gt;"",--(AD92="Présent"),0),IF($AF$5&lt;&gt;"",--(AF92="Présent"),0),IF($AH$5&lt;&gt;"",--(AH92="Présent"),0),IF($AJ$5&lt;&gt;"",--(AJ92="Présent"),0),IF($AL$5&lt;&gt;"",--(AL92="Présent"),0),IF($AN$5&lt;&gt;"",--(AN92="Présent"),0),IF($AP$5&lt;&gt;"",--(AP92="Présent"),0),IF($AR$5&lt;&gt;"",--(AR92="Présent"),0),IF($AT$5&lt;&gt;"",--(AT92="Présent"),0),IF($AV$5&lt;&gt;"",--(AV92="Présent"),0),IF($AX$5&lt;&gt;"",--(AX92="Présent"),0),IF($AZ$5&lt;&gt;"",--(AZ92="Présent"),0),IF($BB$5&lt;&gt;"",--(BB92="Présent"),0),IF($BD$5&lt;&gt;"",--(BD92="Présent"),0),IF($BF$5&lt;&gt;"",--(BF92="Présent"),0),IF($BH$5&lt;&gt;"",--(BH92="Présent"),0),IF($BJ$5&lt;&gt;"",--(BJ92="Présent"),0),IF($BL$5&lt;&gt;"",--(BL92="Présent"),0)))</f>
      </c>
      <c r="BO92" s="22">
        <f>IF($A92="","",SUM(IF($D$5&lt;&gt;"",--(D92="Absent"),0),IF($F$5&lt;&gt;"",--(F92="Absent"),0),IF($H$5&lt;&gt;"",--(H92="Absent"),0),IF($J$5&lt;&gt;"",--(J92="Absent"),0),IF($L$5&lt;&gt;"",--(L92="Absent"),0),IF($N$5&lt;&gt;"",--(N92="Absent"),0),IF($P$5&lt;&gt;"",--(P92="Absent"),0),IF($R$5&lt;&gt;"",--(R92="Absent"),0),IF($T$5&lt;&gt;"",--(T92="Absent"),0),IF($V$5&lt;&gt;"",--(V92="Absent"),0),IF($X$5&lt;&gt;"",--(X92="Absent"),0),IF($Z$5&lt;&gt;"",--(Z92="Absent"),0),IF($AB$5&lt;&gt;"",--(AB92="Absent"),0),IF($AD$5&lt;&gt;"",--(AD92="Absent"),0),IF($AF$5&lt;&gt;"",--(AF92="Absent"),0),IF($AH$5&lt;&gt;"",--(AH92="Absent"),0),IF($AJ$5&lt;&gt;"",--(AJ92="Absent"),0),IF($AL$5&lt;&gt;"",--(AL92="Absent"),0),IF($AN$5&lt;&gt;"",--(AN92="Absent"),0),IF($AP$5&lt;&gt;"",--(AP92="Absent"),0),IF($AR$5&lt;&gt;"",--(AR92="Absent"),0),IF($AT$5&lt;&gt;"",--(AT92="Absent"),0),IF($AV$5&lt;&gt;"",--(AV92="Absent"),0),IF($AX$5&lt;&gt;"",--(AX92="Absent"),0),IF($AZ$5&lt;&gt;"",--(AZ92="Absent"),0),IF($BB$5&lt;&gt;"",--(BB92="Absent"),0),IF($BD$5&lt;&gt;"",--(BD92="Absent"),0),IF($BF$5&lt;&gt;"",--(BF92="Absent"),0),IF($BH$5&lt;&gt;"",--(BH92="Absent"),0),IF($BJ$5&lt;&gt;"",--(BJ92="Absent"),0),IF($BL$5&lt;&gt;"",--(BL92="Absent"),0)))</f>
      </c>
      <c r="BP92" s="22">
        <f>IF($A92="","",SUM(IF($D$5&lt;&gt;"",--(D92="Congé"),0),IF($F$5&lt;&gt;"",--(F92="Congé"),0),IF($H$5&lt;&gt;"",--(H92="Congé"),0),IF($J$5&lt;&gt;"",--(J92="Congé"),0),IF($L$5&lt;&gt;"",--(L92="Congé"),0),IF($N$5&lt;&gt;"",--(N92="Congé"),0),IF($P$5&lt;&gt;"",--(P92="Congé"),0),IF($R$5&lt;&gt;"",--(R92="Congé"),0),IF($T$5&lt;&gt;"",--(T92="Congé"),0),IF($V$5&lt;&gt;"",--(V92="Congé"),0),IF($X$5&lt;&gt;"",--(X92="Congé"),0),IF($Z$5&lt;&gt;"",--(Z92="Congé"),0),IF($AB$5&lt;&gt;"",--(AB92="Congé"),0),IF($AD$5&lt;&gt;"",--(AD92="Congé"),0),IF($AF$5&lt;&gt;"",--(AF92="Congé"),0),IF($AH$5&lt;&gt;"",--(AH92="Congé"),0),IF($AJ$5&lt;&gt;"",--(AJ92="Congé"),0),IF($AL$5&lt;&gt;"",--(AL92="Congé"),0),IF($AN$5&lt;&gt;"",--(AN92="Congé"),0),IF($AP$5&lt;&gt;"",--(AP92="Congé"),0),IF($AR$5&lt;&gt;"",--(AR92="Congé"),0),IF($AT$5&lt;&gt;"",--(AT92="Congé"),0),IF($AV$5&lt;&gt;"",--(AV92="Congé"),0),IF($AX$5&lt;&gt;"",--(AX92="Congé"),0),IF($AZ$5&lt;&gt;"",--(AZ92="Congé"),0),IF($BB$5&lt;&gt;"",--(BB92="Congé"),0),IF($BD$5&lt;&gt;"",--(BD92="Congé"),0),IF($BF$5&lt;&gt;"",--(BF92="Congé"),0),IF($BH$5&lt;&gt;"",--(BH92="Congé"),0),IF($BJ$5&lt;&gt;"",--(BJ92="Congé"),0),IF($BL$5&lt;&gt;"",--(BL92="Congé"),0)))</f>
      </c>
      <c r="BQ92" s="22">
        <f>IF($A92="","",SUM(IF($D$5&lt;&gt;"",--(D92="Maladie"),0),IF($F$5&lt;&gt;"",--(F92="Maladie"),0),IF($H$5&lt;&gt;"",--(H92="Maladie"),0),IF($J$5&lt;&gt;"",--(J92="Maladie"),0),IF($L$5&lt;&gt;"",--(L92="Maladie"),0),IF($N$5&lt;&gt;"",--(N92="Maladie"),0),IF($P$5&lt;&gt;"",--(P92="Maladie"),0),IF($R$5&lt;&gt;"",--(R92="Maladie"),0),IF($T$5&lt;&gt;"",--(T92="Maladie"),0),IF($V$5&lt;&gt;"",--(V92="Maladie"),0),IF($X$5&lt;&gt;"",--(X92="Maladie"),0),IF($Z$5&lt;&gt;"",--(Z92="Maladie"),0),IF($AB$5&lt;&gt;"",--(AB92="Maladie"),0),IF($AD$5&lt;&gt;"",--(AD92="Maladie"),0),IF($AF$5&lt;&gt;"",--(AF92="Maladie"),0),IF($AH$5&lt;&gt;"",--(AH92="Maladie"),0),IF($AJ$5&lt;&gt;"",--(AJ92="Maladie"),0),IF($AL$5&lt;&gt;"",--(AL92="Maladie"),0),IF($AN$5&lt;&gt;"",--(AN92="Maladie"),0),IF($AP$5&lt;&gt;"",--(AP92="Maladie"),0),IF($AR$5&lt;&gt;"",--(AR92="Maladie"),0),IF($AT$5&lt;&gt;"",--(AT92="Maladie"),0),IF($AV$5&lt;&gt;"",--(AV92="Maladie"),0),IF($AX$5&lt;&gt;"",--(AX92="Maladie"),0),IF($AZ$5&lt;&gt;"",--(AZ92="Maladie"),0),IF($BB$5&lt;&gt;"",--(BB92="Maladie"),0),IF($BD$5&lt;&gt;"",--(BD92="Maladie"),0),IF($BF$5&lt;&gt;"",--(BF92="Maladie"),0),IF($BH$5&lt;&gt;"",--(BH92="Maladie"),0),IF($BJ$5&lt;&gt;"",--(BJ92="Maladie"),0),IF($BL$5&lt;&gt;"",--(BL92="Maladie"),0)))</f>
      </c>
      <c r="BR92" s="23">
        <f>IF($A92="","",SUM(IF($D$5&lt;&gt;"",IF(D92="Présent",E92,0),0),IF($F$5&lt;&gt;"",IF(F92="Présent",G92,0),0),IF($H$5&lt;&gt;"",IF(H92="Présent",I92,0),0),IF($J$5&lt;&gt;"",IF(J92="Présent",K92,0),0),IF($L$5&lt;&gt;"",IF(L92="Présent",M92,0),0),IF($N$5&lt;&gt;"",IF(N92="Présent",O92,0),0),IF($P$5&lt;&gt;"",IF(P92="Présent",Q92,0),0),IF($R$5&lt;&gt;"",IF(R92="Présent",S92,0),0),IF($T$5&lt;&gt;"",IF(T92="Présent",U92,0),0),IF($V$5&lt;&gt;"",IF(V92="Présent",W92,0),0),IF($X$5&lt;&gt;"",IF(X92="Présent",Y92,0),0),IF($Z$5&lt;&gt;"",IF(Z92="Présent",AA92,0),0),IF($AB$5&lt;&gt;"",IF(AB92="Présent",AC92,0),0),IF($AD$5&lt;&gt;"",IF(AD92="Présent",AE92,0),0),IF($AF$5&lt;&gt;"",IF(AF92="Présent",AG92,0),0),IF($AH$5&lt;&gt;"",IF(AH92="Présent",AI92,0),0),IF($AJ$5&lt;&gt;"",IF(AJ92="Présent",AK92,0),0),IF($AL$5&lt;&gt;"",IF(AL92="Présent",AM92,0),0),IF($AN$5&lt;&gt;"",IF(AN92="Présent",AO92,0),0),IF($AP$5&lt;&gt;"",IF(AP92="Présent",AQ92,0),0),IF($AR$5&lt;&gt;"",IF(AR92="Présent",AS92,0),0),IF($AT$5&lt;&gt;"",IF(AT92="Présent",AU92,0),0),IF($AV$5&lt;&gt;"",IF(AV92="Présent",AW92,0),0),IF($AX$5&lt;&gt;"",IF(AX92="Présent",AY92,0),0),IF($AZ$5&lt;&gt;"",IF(AZ92="Présent",BA92,0),0),IF($BB$5&lt;&gt;"",IF(BB92="Présent",BC92,0),0),IF($BD$5&lt;&gt;"",IF(BD92="Présent",BE92,0),0),IF($BF$5&lt;&gt;"",IF(BF92="Présent",BG92,0),0),IF($BH$5&lt;&gt;"",IF(BH92="Présent",BI92,0),0),IF($BJ$5&lt;&gt;"",IF(BJ92="Présent",BK92,0),0),IF($BL$5&lt;&gt;"",IF(BL92="Présent",BM92,0),0)))</f>
      </c>
      <c r="BS92" s="25">
        <f>IF($A92="","",$BN92*IFERROR(INDEX(Categories_Salaire,MATCH($C92,ListeCategories,0)),0)+$BR92*IF(IFERROR(INDEX(Categories_TauxHS,MATCH($C92,ListeCategories,0)),0)&gt;0,IFERROR(INDEX(Categories_TauxHS,MATCH($C92,ListeCategories,0)),0),TauxHSDefaut))</f>
      </c>
    </row>
    <row r="93">
      <c r="A93" s="20">
        <f>IF(AND(INDEX(Employes_Nom,87)&lt;&gt;"",INDEX(Employes_Statut,87)="Actif",OR(INDEX(Employes_Embauche,87)="",INDEX(Employes_Embauche,87)&lt;=EOMONTH(DATE(AnneeCourante,MoisCourant,1),0))),INDEX(Employes_ID,87),"")</f>
      </c>
      <c r="B93" s="19">
        <f>IF($A93="","",INDEX(Employes_Nom,MATCH($A93,Employes_ID,0)))</f>
      </c>
      <c r="C93" s="20">
        <f>IF($A93="","",INDEX(Employes_Categorie,MATCH($A93,Employes_ID,0)))</f>
      </c>
      <c r="D93" s="26"/>
      <c r="E93" s="27"/>
      <c r="F93" s="26"/>
      <c r="G93" s="27"/>
      <c r="H93" s="26"/>
      <c r="I93" s="27"/>
      <c r="J93" s="26"/>
      <c r="K93" s="27"/>
      <c r="L93" s="26"/>
      <c r="M93" s="27"/>
      <c r="N93" s="26"/>
      <c r="O93" s="27"/>
      <c r="P93" s="26"/>
      <c r="Q93" s="27"/>
      <c r="R93" s="26"/>
      <c r="S93" s="27"/>
      <c r="T93" s="26"/>
      <c r="U93" s="27"/>
      <c r="V93" s="26"/>
      <c r="W93" s="27"/>
      <c r="X93" s="26"/>
      <c r="Y93" s="27"/>
      <c r="Z93" s="26"/>
      <c r="AA93" s="27"/>
      <c r="AB93" s="26"/>
      <c r="AC93" s="27"/>
      <c r="AD93" s="26"/>
      <c r="AE93" s="27"/>
      <c r="AF93" s="26"/>
      <c r="AG93" s="27"/>
      <c r="AH93" s="26"/>
      <c r="AI93" s="27"/>
      <c r="AJ93" s="26"/>
      <c r="AK93" s="27"/>
      <c r="AL93" s="26"/>
      <c r="AM93" s="27"/>
      <c r="AN93" s="26"/>
      <c r="AO93" s="27"/>
      <c r="AP93" s="26"/>
      <c r="AQ93" s="27"/>
      <c r="AR93" s="26"/>
      <c r="AS93" s="27"/>
      <c r="AT93" s="26"/>
      <c r="AU93" s="27"/>
      <c r="AV93" s="26"/>
      <c r="AW93" s="27"/>
      <c r="AX93" s="26"/>
      <c r="AY93" s="27"/>
      <c r="AZ93" s="26"/>
      <c r="BA93" s="27"/>
      <c r="BB93" s="26"/>
      <c r="BC93" s="27"/>
      <c r="BD93" s="26"/>
      <c r="BE93" s="27"/>
      <c r="BF93" s="26"/>
      <c r="BG93" s="27"/>
      <c r="BH93" s="26"/>
      <c r="BI93" s="27"/>
      <c r="BJ93" s="26"/>
      <c r="BK93" s="27"/>
      <c r="BL93" s="26"/>
      <c r="BM93" s="27"/>
      <c r="BN93" s="22">
        <f>IF($A93="","",SUM(IF($D$5&lt;&gt;"",--(D93="Présent"),0),IF($F$5&lt;&gt;"",--(F93="Présent"),0),IF($H$5&lt;&gt;"",--(H93="Présent"),0),IF($J$5&lt;&gt;"",--(J93="Présent"),0),IF($L$5&lt;&gt;"",--(L93="Présent"),0),IF($N$5&lt;&gt;"",--(N93="Présent"),0),IF($P$5&lt;&gt;"",--(P93="Présent"),0),IF($R$5&lt;&gt;"",--(R93="Présent"),0),IF($T$5&lt;&gt;"",--(T93="Présent"),0),IF($V$5&lt;&gt;"",--(V93="Présent"),0),IF($X$5&lt;&gt;"",--(X93="Présent"),0),IF($Z$5&lt;&gt;"",--(Z93="Présent"),0),IF($AB$5&lt;&gt;"",--(AB93="Présent"),0),IF($AD$5&lt;&gt;"",--(AD93="Présent"),0),IF($AF$5&lt;&gt;"",--(AF93="Présent"),0),IF($AH$5&lt;&gt;"",--(AH93="Présent"),0),IF($AJ$5&lt;&gt;"",--(AJ93="Présent"),0),IF($AL$5&lt;&gt;"",--(AL93="Présent"),0),IF($AN$5&lt;&gt;"",--(AN93="Présent"),0),IF($AP$5&lt;&gt;"",--(AP93="Présent"),0),IF($AR$5&lt;&gt;"",--(AR93="Présent"),0),IF($AT$5&lt;&gt;"",--(AT93="Présent"),0),IF($AV$5&lt;&gt;"",--(AV93="Présent"),0),IF($AX$5&lt;&gt;"",--(AX93="Présent"),0),IF($AZ$5&lt;&gt;"",--(AZ93="Présent"),0),IF($BB$5&lt;&gt;"",--(BB93="Présent"),0),IF($BD$5&lt;&gt;"",--(BD93="Présent"),0),IF($BF$5&lt;&gt;"",--(BF93="Présent"),0),IF($BH$5&lt;&gt;"",--(BH93="Présent"),0),IF($BJ$5&lt;&gt;"",--(BJ93="Présent"),0),IF($BL$5&lt;&gt;"",--(BL93="Présent"),0)))</f>
      </c>
      <c r="BO93" s="22">
        <f>IF($A93="","",SUM(IF($D$5&lt;&gt;"",--(D93="Absent"),0),IF($F$5&lt;&gt;"",--(F93="Absent"),0),IF($H$5&lt;&gt;"",--(H93="Absent"),0),IF($J$5&lt;&gt;"",--(J93="Absent"),0),IF($L$5&lt;&gt;"",--(L93="Absent"),0),IF($N$5&lt;&gt;"",--(N93="Absent"),0),IF($P$5&lt;&gt;"",--(P93="Absent"),0),IF($R$5&lt;&gt;"",--(R93="Absent"),0),IF($T$5&lt;&gt;"",--(T93="Absent"),0),IF($V$5&lt;&gt;"",--(V93="Absent"),0),IF($X$5&lt;&gt;"",--(X93="Absent"),0),IF($Z$5&lt;&gt;"",--(Z93="Absent"),0),IF($AB$5&lt;&gt;"",--(AB93="Absent"),0),IF($AD$5&lt;&gt;"",--(AD93="Absent"),0),IF($AF$5&lt;&gt;"",--(AF93="Absent"),0),IF($AH$5&lt;&gt;"",--(AH93="Absent"),0),IF($AJ$5&lt;&gt;"",--(AJ93="Absent"),0),IF($AL$5&lt;&gt;"",--(AL93="Absent"),0),IF($AN$5&lt;&gt;"",--(AN93="Absent"),0),IF($AP$5&lt;&gt;"",--(AP93="Absent"),0),IF($AR$5&lt;&gt;"",--(AR93="Absent"),0),IF($AT$5&lt;&gt;"",--(AT93="Absent"),0),IF($AV$5&lt;&gt;"",--(AV93="Absent"),0),IF($AX$5&lt;&gt;"",--(AX93="Absent"),0),IF($AZ$5&lt;&gt;"",--(AZ93="Absent"),0),IF($BB$5&lt;&gt;"",--(BB93="Absent"),0),IF($BD$5&lt;&gt;"",--(BD93="Absent"),0),IF($BF$5&lt;&gt;"",--(BF93="Absent"),0),IF($BH$5&lt;&gt;"",--(BH93="Absent"),0),IF($BJ$5&lt;&gt;"",--(BJ93="Absent"),0),IF($BL$5&lt;&gt;"",--(BL93="Absent"),0)))</f>
      </c>
      <c r="BP93" s="22">
        <f>IF($A93="","",SUM(IF($D$5&lt;&gt;"",--(D93="Congé"),0),IF($F$5&lt;&gt;"",--(F93="Congé"),0),IF($H$5&lt;&gt;"",--(H93="Congé"),0),IF($J$5&lt;&gt;"",--(J93="Congé"),0),IF($L$5&lt;&gt;"",--(L93="Congé"),0),IF($N$5&lt;&gt;"",--(N93="Congé"),0),IF($P$5&lt;&gt;"",--(P93="Congé"),0),IF($R$5&lt;&gt;"",--(R93="Congé"),0),IF($T$5&lt;&gt;"",--(T93="Congé"),0),IF($V$5&lt;&gt;"",--(V93="Congé"),0),IF($X$5&lt;&gt;"",--(X93="Congé"),0),IF($Z$5&lt;&gt;"",--(Z93="Congé"),0),IF($AB$5&lt;&gt;"",--(AB93="Congé"),0),IF($AD$5&lt;&gt;"",--(AD93="Congé"),0),IF($AF$5&lt;&gt;"",--(AF93="Congé"),0),IF($AH$5&lt;&gt;"",--(AH93="Congé"),0),IF($AJ$5&lt;&gt;"",--(AJ93="Congé"),0),IF($AL$5&lt;&gt;"",--(AL93="Congé"),0),IF($AN$5&lt;&gt;"",--(AN93="Congé"),0),IF($AP$5&lt;&gt;"",--(AP93="Congé"),0),IF($AR$5&lt;&gt;"",--(AR93="Congé"),0),IF($AT$5&lt;&gt;"",--(AT93="Congé"),0),IF($AV$5&lt;&gt;"",--(AV93="Congé"),0),IF($AX$5&lt;&gt;"",--(AX93="Congé"),0),IF($AZ$5&lt;&gt;"",--(AZ93="Congé"),0),IF($BB$5&lt;&gt;"",--(BB93="Congé"),0),IF($BD$5&lt;&gt;"",--(BD93="Congé"),0),IF($BF$5&lt;&gt;"",--(BF93="Congé"),0),IF($BH$5&lt;&gt;"",--(BH93="Congé"),0),IF($BJ$5&lt;&gt;"",--(BJ93="Congé"),0),IF($BL$5&lt;&gt;"",--(BL93="Congé"),0)))</f>
      </c>
      <c r="BQ93" s="22">
        <f>IF($A93="","",SUM(IF($D$5&lt;&gt;"",--(D93="Maladie"),0),IF($F$5&lt;&gt;"",--(F93="Maladie"),0),IF($H$5&lt;&gt;"",--(H93="Maladie"),0),IF($J$5&lt;&gt;"",--(J93="Maladie"),0),IF($L$5&lt;&gt;"",--(L93="Maladie"),0),IF($N$5&lt;&gt;"",--(N93="Maladie"),0),IF($P$5&lt;&gt;"",--(P93="Maladie"),0),IF($R$5&lt;&gt;"",--(R93="Maladie"),0),IF($T$5&lt;&gt;"",--(T93="Maladie"),0),IF($V$5&lt;&gt;"",--(V93="Maladie"),0),IF($X$5&lt;&gt;"",--(X93="Maladie"),0),IF($Z$5&lt;&gt;"",--(Z93="Maladie"),0),IF($AB$5&lt;&gt;"",--(AB93="Maladie"),0),IF($AD$5&lt;&gt;"",--(AD93="Maladie"),0),IF($AF$5&lt;&gt;"",--(AF93="Maladie"),0),IF($AH$5&lt;&gt;"",--(AH93="Maladie"),0),IF($AJ$5&lt;&gt;"",--(AJ93="Maladie"),0),IF($AL$5&lt;&gt;"",--(AL93="Maladie"),0),IF($AN$5&lt;&gt;"",--(AN93="Maladie"),0),IF($AP$5&lt;&gt;"",--(AP93="Maladie"),0),IF($AR$5&lt;&gt;"",--(AR93="Maladie"),0),IF($AT$5&lt;&gt;"",--(AT93="Maladie"),0),IF($AV$5&lt;&gt;"",--(AV93="Maladie"),0),IF($AX$5&lt;&gt;"",--(AX93="Maladie"),0),IF($AZ$5&lt;&gt;"",--(AZ93="Maladie"),0),IF($BB$5&lt;&gt;"",--(BB93="Maladie"),0),IF($BD$5&lt;&gt;"",--(BD93="Maladie"),0),IF($BF$5&lt;&gt;"",--(BF93="Maladie"),0),IF($BH$5&lt;&gt;"",--(BH93="Maladie"),0),IF($BJ$5&lt;&gt;"",--(BJ93="Maladie"),0),IF($BL$5&lt;&gt;"",--(BL93="Maladie"),0)))</f>
      </c>
      <c r="BR93" s="23">
        <f>IF($A93="","",SUM(IF($D$5&lt;&gt;"",IF(D93="Présent",E93,0),0),IF($F$5&lt;&gt;"",IF(F93="Présent",G93,0),0),IF($H$5&lt;&gt;"",IF(H93="Présent",I93,0),0),IF($J$5&lt;&gt;"",IF(J93="Présent",K93,0),0),IF($L$5&lt;&gt;"",IF(L93="Présent",M93,0),0),IF($N$5&lt;&gt;"",IF(N93="Présent",O93,0),0),IF($P$5&lt;&gt;"",IF(P93="Présent",Q93,0),0),IF($R$5&lt;&gt;"",IF(R93="Présent",S93,0),0),IF($T$5&lt;&gt;"",IF(T93="Présent",U93,0),0),IF($V$5&lt;&gt;"",IF(V93="Présent",W93,0),0),IF($X$5&lt;&gt;"",IF(X93="Présent",Y93,0),0),IF($Z$5&lt;&gt;"",IF(Z93="Présent",AA93,0),0),IF($AB$5&lt;&gt;"",IF(AB93="Présent",AC93,0),0),IF($AD$5&lt;&gt;"",IF(AD93="Présent",AE93,0),0),IF($AF$5&lt;&gt;"",IF(AF93="Présent",AG93,0),0),IF($AH$5&lt;&gt;"",IF(AH93="Présent",AI93,0),0),IF($AJ$5&lt;&gt;"",IF(AJ93="Présent",AK93,0),0),IF($AL$5&lt;&gt;"",IF(AL93="Présent",AM93,0),0),IF($AN$5&lt;&gt;"",IF(AN93="Présent",AO93,0),0),IF($AP$5&lt;&gt;"",IF(AP93="Présent",AQ93,0),0),IF($AR$5&lt;&gt;"",IF(AR93="Présent",AS93,0),0),IF($AT$5&lt;&gt;"",IF(AT93="Présent",AU93,0),0),IF($AV$5&lt;&gt;"",IF(AV93="Présent",AW93,0),0),IF($AX$5&lt;&gt;"",IF(AX93="Présent",AY93,0),0),IF($AZ$5&lt;&gt;"",IF(AZ93="Présent",BA93,0),0),IF($BB$5&lt;&gt;"",IF(BB93="Présent",BC93,0),0),IF($BD$5&lt;&gt;"",IF(BD93="Présent",BE93,0),0),IF($BF$5&lt;&gt;"",IF(BF93="Présent",BG93,0),0),IF($BH$5&lt;&gt;"",IF(BH93="Présent",BI93,0),0),IF($BJ$5&lt;&gt;"",IF(BJ93="Présent",BK93,0),0),IF($BL$5&lt;&gt;"",IF(BL93="Présent",BM93,0),0)))</f>
      </c>
      <c r="BS93" s="25">
        <f>IF($A93="","",$BN93*IFERROR(INDEX(Categories_Salaire,MATCH($C93,ListeCategories,0)),0)+$BR93*IF(IFERROR(INDEX(Categories_TauxHS,MATCH($C93,ListeCategories,0)),0)&gt;0,IFERROR(INDEX(Categories_TauxHS,MATCH($C93,ListeCategories,0)),0),TauxHSDefaut))</f>
      </c>
    </row>
    <row r="94">
      <c r="A94" s="20">
        <f>IF(AND(INDEX(Employes_Nom,88)&lt;&gt;"",INDEX(Employes_Statut,88)="Actif",OR(INDEX(Employes_Embauche,88)="",INDEX(Employes_Embauche,88)&lt;=EOMONTH(DATE(AnneeCourante,MoisCourant,1),0))),INDEX(Employes_ID,88),"")</f>
      </c>
      <c r="B94" s="19">
        <f>IF($A94="","",INDEX(Employes_Nom,MATCH($A94,Employes_ID,0)))</f>
      </c>
      <c r="C94" s="20">
        <f>IF($A94="","",INDEX(Employes_Categorie,MATCH($A94,Employes_ID,0)))</f>
      </c>
      <c r="D94" s="26"/>
      <c r="E94" s="27"/>
      <c r="F94" s="26"/>
      <c r="G94" s="27"/>
      <c r="H94" s="26"/>
      <c r="I94" s="27"/>
      <c r="J94" s="26"/>
      <c r="K94" s="27"/>
      <c r="L94" s="26"/>
      <c r="M94" s="27"/>
      <c r="N94" s="26"/>
      <c r="O94" s="27"/>
      <c r="P94" s="26"/>
      <c r="Q94" s="27"/>
      <c r="R94" s="26"/>
      <c r="S94" s="27"/>
      <c r="T94" s="26"/>
      <c r="U94" s="27"/>
      <c r="V94" s="26"/>
      <c r="W94" s="27"/>
      <c r="X94" s="26"/>
      <c r="Y94" s="27"/>
      <c r="Z94" s="26"/>
      <c r="AA94" s="27"/>
      <c r="AB94" s="26"/>
      <c r="AC94" s="27"/>
      <c r="AD94" s="26"/>
      <c r="AE94" s="27"/>
      <c r="AF94" s="26"/>
      <c r="AG94" s="27"/>
      <c r="AH94" s="26"/>
      <c r="AI94" s="27"/>
      <c r="AJ94" s="26"/>
      <c r="AK94" s="27"/>
      <c r="AL94" s="26"/>
      <c r="AM94" s="27"/>
      <c r="AN94" s="26"/>
      <c r="AO94" s="27"/>
      <c r="AP94" s="26"/>
      <c r="AQ94" s="27"/>
      <c r="AR94" s="26"/>
      <c r="AS94" s="27"/>
      <c r="AT94" s="26"/>
      <c r="AU94" s="27"/>
      <c r="AV94" s="26"/>
      <c r="AW94" s="27"/>
      <c r="AX94" s="26"/>
      <c r="AY94" s="27"/>
      <c r="AZ94" s="26"/>
      <c r="BA94" s="27"/>
      <c r="BB94" s="26"/>
      <c r="BC94" s="27"/>
      <c r="BD94" s="26"/>
      <c r="BE94" s="27"/>
      <c r="BF94" s="26"/>
      <c r="BG94" s="27"/>
      <c r="BH94" s="26"/>
      <c r="BI94" s="27"/>
      <c r="BJ94" s="26"/>
      <c r="BK94" s="27"/>
      <c r="BL94" s="26"/>
      <c r="BM94" s="27"/>
      <c r="BN94" s="22">
        <f>IF($A94="","",SUM(IF($D$5&lt;&gt;"",--(D94="Présent"),0),IF($F$5&lt;&gt;"",--(F94="Présent"),0),IF($H$5&lt;&gt;"",--(H94="Présent"),0),IF($J$5&lt;&gt;"",--(J94="Présent"),0),IF($L$5&lt;&gt;"",--(L94="Présent"),0),IF($N$5&lt;&gt;"",--(N94="Présent"),0),IF($P$5&lt;&gt;"",--(P94="Présent"),0),IF($R$5&lt;&gt;"",--(R94="Présent"),0),IF($T$5&lt;&gt;"",--(T94="Présent"),0),IF($V$5&lt;&gt;"",--(V94="Présent"),0),IF($X$5&lt;&gt;"",--(X94="Présent"),0),IF($Z$5&lt;&gt;"",--(Z94="Présent"),0),IF($AB$5&lt;&gt;"",--(AB94="Présent"),0),IF($AD$5&lt;&gt;"",--(AD94="Présent"),0),IF($AF$5&lt;&gt;"",--(AF94="Présent"),0),IF($AH$5&lt;&gt;"",--(AH94="Présent"),0),IF($AJ$5&lt;&gt;"",--(AJ94="Présent"),0),IF($AL$5&lt;&gt;"",--(AL94="Présent"),0),IF($AN$5&lt;&gt;"",--(AN94="Présent"),0),IF($AP$5&lt;&gt;"",--(AP94="Présent"),0),IF($AR$5&lt;&gt;"",--(AR94="Présent"),0),IF($AT$5&lt;&gt;"",--(AT94="Présent"),0),IF($AV$5&lt;&gt;"",--(AV94="Présent"),0),IF($AX$5&lt;&gt;"",--(AX94="Présent"),0),IF($AZ$5&lt;&gt;"",--(AZ94="Présent"),0),IF($BB$5&lt;&gt;"",--(BB94="Présent"),0),IF($BD$5&lt;&gt;"",--(BD94="Présent"),0),IF($BF$5&lt;&gt;"",--(BF94="Présent"),0),IF($BH$5&lt;&gt;"",--(BH94="Présent"),0),IF($BJ$5&lt;&gt;"",--(BJ94="Présent"),0),IF($BL$5&lt;&gt;"",--(BL94="Présent"),0)))</f>
      </c>
      <c r="BO94" s="22">
        <f>IF($A94="","",SUM(IF($D$5&lt;&gt;"",--(D94="Absent"),0),IF($F$5&lt;&gt;"",--(F94="Absent"),0),IF($H$5&lt;&gt;"",--(H94="Absent"),0),IF($J$5&lt;&gt;"",--(J94="Absent"),0),IF($L$5&lt;&gt;"",--(L94="Absent"),0),IF($N$5&lt;&gt;"",--(N94="Absent"),0),IF($P$5&lt;&gt;"",--(P94="Absent"),0),IF($R$5&lt;&gt;"",--(R94="Absent"),0),IF($T$5&lt;&gt;"",--(T94="Absent"),0),IF($V$5&lt;&gt;"",--(V94="Absent"),0),IF($X$5&lt;&gt;"",--(X94="Absent"),0),IF($Z$5&lt;&gt;"",--(Z94="Absent"),0),IF($AB$5&lt;&gt;"",--(AB94="Absent"),0),IF($AD$5&lt;&gt;"",--(AD94="Absent"),0),IF($AF$5&lt;&gt;"",--(AF94="Absent"),0),IF($AH$5&lt;&gt;"",--(AH94="Absent"),0),IF($AJ$5&lt;&gt;"",--(AJ94="Absent"),0),IF($AL$5&lt;&gt;"",--(AL94="Absent"),0),IF($AN$5&lt;&gt;"",--(AN94="Absent"),0),IF($AP$5&lt;&gt;"",--(AP94="Absent"),0),IF($AR$5&lt;&gt;"",--(AR94="Absent"),0),IF($AT$5&lt;&gt;"",--(AT94="Absent"),0),IF($AV$5&lt;&gt;"",--(AV94="Absent"),0),IF($AX$5&lt;&gt;"",--(AX94="Absent"),0),IF($AZ$5&lt;&gt;"",--(AZ94="Absent"),0),IF($BB$5&lt;&gt;"",--(BB94="Absent"),0),IF($BD$5&lt;&gt;"",--(BD94="Absent"),0),IF($BF$5&lt;&gt;"",--(BF94="Absent"),0),IF($BH$5&lt;&gt;"",--(BH94="Absent"),0),IF($BJ$5&lt;&gt;"",--(BJ94="Absent"),0),IF($BL$5&lt;&gt;"",--(BL94="Absent"),0)))</f>
      </c>
      <c r="BP94" s="22">
        <f>IF($A94="","",SUM(IF($D$5&lt;&gt;"",--(D94="Congé"),0),IF($F$5&lt;&gt;"",--(F94="Congé"),0),IF($H$5&lt;&gt;"",--(H94="Congé"),0),IF($J$5&lt;&gt;"",--(J94="Congé"),0),IF($L$5&lt;&gt;"",--(L94="Congé"),0),IF($N$5&lt;&gt;"",--(N94="Congé"),0),IF($P$5&lt;&gt;"",--(P94="Congé"),0),IF($R$5&lt;&gt;"",--(R94="Congé"),0),IF($T$5&lt;&gt;"",--(T94="Congé"),0),IF($V$5&lt;&gt;"",--(V94="Congé"),0),IF($X$5&lt;&gt;"",--(X94="Congé"),0),IF($Z$5&lt;&gt;"",--(Z94="Congé"),0),IF($AB$5&lt;&gt;"",--(AB94="Congé"),0),IF($AD$5&lt;&gt;"",--(AD94="Congé"),0),IF($AF$5&lt;&gt;"",--(AF94="Congé"),0),IF($AH$5&lt;&gt;"",--(AH94="Congé"),0),IF($AJ$5&lt;&gt;"",--(AJ94="Congé"),0),IF($AL$5&lt;&gt;"",--(AL94="Congé"),0),IF($AN$5&lt;&gt;"",--(AN94="Congé"),0),IF($AP$5&lt;&gt;"",--(AP94="Congé"),0),IF($AR$5&lt;&gt;"",--(AR94="Congé"),0),IF($AT$5&lt;&gt;"",--(AT94="Congé"),0),IF($AV$5&lt;&gt;"",--(AV94="Congé"),0),IF($AX$5&lt;&gt;"",--(AX94="Congé"),0),IF($AZ$5&lt;&gt;"",--(AZ94="Congé"),0),IF($BB$5&lt;&gt;"",--(BB94="Congé"),0),IF($BD$5&lt;&gt;"",--(BD94="Congé"),0),IF($BF$5&lt;&gt;"",--(BF94="Congé"),0),IF($BH$5&lt;&gt;"",--(BH94="Congé"),0),IF($BJ$5&lt;&gt;"",--(BJ94="Congé"),0),IF($BL$5&lt;&gt;"",--(BL94="Congé"),0)))</f>
      </c>
      <c r="BQ94" s="22">
        <f>IF($A94="","",SUM(IF($D$5&lt;&gt;"",--(D94="Maladie"),0),IF($F$5&lt;&gt;"",--(F94="Maladie"),0),IF($H$5&lt;&gt;"",--(H94="Maladie"),0),IF($J$5&lt;&gt;"",--(J94="Maladie"),0),IF($L$5&lt;&gt;"",--(L94="Maladie"),0),IF($N$5&lt;&gt;"",--(N94="Maladie"),0),IF($P$5&lt;&gt;"",--(P94="Maladie"),0),IF($R$5&lt;&gt;"",--(R94="Maladie"),0),IF($T$5&lt;&gt;"",--(T94="Maladie"),0),IF($V$5&lt;&gt;"",--(V94="Maladie"),0),IF($X$5&lt;&gt;"",--(X94="Maladie"),0),IF($Z$5&lt;&gt;"",--(Z94="Maladie"),0),IF($AB$5&lt;&gt;"",--(AB94="Maladie"),0),IF($AD$5&lt;&gt;"",--(AD94="Maladie"),0),IF($AF$5&lt;&gt;"",--(AF94="Maladie"),0),IF($AH$5&lt;&gt;"",--(AH94="Maladie"),0),IF($AJ$5&lt;&gt;"",--(AJ94="Maladie"),0),IF($AL$5&lt;&gt;"",--(AL94="Maladie"),0),IF($AN$5&lt;&gt;"",--(AN94="Maladie"),0),IF($AP$5&lt;&gt;"",--(AP94="Maladie"),0),IF($AR$5&lt;&gt;"",--(AR94="Maladie"),0),IF($AT$5&lt;&gt;"",--(AT94="Maladie"),0),IF($AV$5&lt;&gt;"",--(AV94="Maladie"),0),IF($AX$5&lt;&gt;"",--(AX94="Maladie"),0),IF($AZ$5&lt;&gt;"",--(AZ94="Maladie"),0),IF($BB$5&lt;&gt;"",--(BB94="Maladie"),0),IF($BD$5&lt;&gt;"",--(BD94="Maladie"),0),IF($BF$5&lt;&gt;"",--(BF94="Maladie"),0),IF($BH$5&lt;&gt;"",--(BH94="Maladie"),0),IF($BJ$5&lt;&gt;"",--(BJ94="Maladie"),0),IF($BL$5&lt;&gt;"",--(BL94="Maladie"),0)))</f>
      </c>
      <c r="BR94" s="23">
        <f>IF($A94="","",SUM(IF($D$5&lt;&gt;"",IF(D94="Présent",E94,0),0),IF($F$5&lt;&gt;"",IF(F94="Présent",G94,0),0),IF($H$5&lt;&gt;"",IF(H94="Présent",I94,0),0),IF($J$5&lt;&gt;"",IF(J94="Présent",K94,0),0),IF($L$5&lt;&gt;"",IF(L94="Présent",M94,0),0),IF($N$5&lt;&gt;"",IF(N94="Présent",O94,0),0),IF($P$5&lt;&gt;"",IF(P94="Présent",Q94,0),0),IF($R$5&lt;&gt;"",IF(R94="Présent",S94,0),0),IF($T$5&lt;&gt;"",IF(T94="Présent",U94,0),0),IF($V$5&lt;&gt;"",IF(V94="Présent",W94,0),0),IF($X$5&lt;&gt;"",IF(X94="Présent",Y94,0),0),IF($Z$5&lt;&gt;"",IF(Z94="Présent",AA94,0),0),IF($AB$5&lt;&gt;"",IF(AB94="Présent",AC94,0),0),IF($AD$5&lt;&gt;"",IF(AD94="Présent",AE94,0),0),IF($AF$5&lt;&gt;"",IF(AF94="Présent",AG94,0),0),IF($AH$5&lt;&gt;"",IF(AH94="Présent",AI94,0),0),IF($AJ$5&lt;&gt;"",IF(AJ94="Présent",AK94,0),0),IF($AL$5&lt;&gt;"",IF(AL94="Présent",AM94,0),0),IF($AN$5&lt;&gt;"",IF(AN94="Présent",AO94,0),0),IF($AP$5&lt;&gt;"",IF(AP94="Présent",AQ94,0),0),IF($AR$5&lt;&gt;"",IF(AR94="Présent",AS94,0),0),IF($AT$5&lt;&gt;"",IF(AT94="Présent",AU94,0),0),IF($AV$5&lt;&gt;"",IF(AV94="Présent",AW94,0),0),IF($AX$5&lt;&gt;"",IF(AX94="Présent",AY94,0),0),IF($AZ$5&lt;&gt;"",IF(AZ94="Présent",BA94,0),0),IF($BB$5&lt;&gt;"",IF(BB94="Présent",BC94,0),0),IF($BD$5&lt;&gt;"",IF(BD94="Présent",BE94,0),0),IF($BF$5&lt;&gt;"",IF(BF94="Présent",BG94,0),0),IF($BH$5&lt;&gt;"",IF(BH94="Présent",BI94,0),0),IF($BJ$5&lt;&gt;"",IF(BJ94="Présent",BK94,0),0),IF($BL$5&lt;&gt;"",IF(BL94="Présent",BM94,0),0)))</f>
      </c>
      <c r="BS94" s="25">
        <f>IF($A94="","",$BN94*IFERROR(INDEX(Categories_Salaire,MATCH($C94,ListeCategories,0)),0)+$BR94*IF(IFERROR(INDEX(Categories_TauxHS,MATCH($C94,ListeCategories,0)),0)&gt;0,IFERROR(INDEX(Categories_TauxHS,MATCH($C94,ListeCategories,0)),0),TauxHSDefaut))</f>
      </c>
    </row>
    <row r="95">
      <c r="A95" s="20">
        <f>IF(AND(INDEX(Employes_Nom,89)&lt;&gt;"",INDEX(Employes_Statut,89)="Actif",OR(INDEX(Employes_Embauche,89)="",INDEX(Employes_Embauche,89)&lt;=EOMONTH(DATE(AnneeCourante,MoisCourant,1),0))),INDEX(Employes_ID,89),"")</f>
      </c>
      <c r="B95" s="19">
        <f>IF($A95="","",INDEX(Employes_Nom,MATCH($A95,Employes_ID,0)))</f>
      </c>
      <c r="C95" s="20">
        <f>IF($A95="","",INDEX(Employes_Categorie,MATCH($A95,Employes_ID,0)))</f>
      </c>
      <c r="D95" s="26"/>
      <c r="E95" s="27"/>
      <c r="F95" s="26"/>
      <c r="G95" s="27"/>
      <c r="H95" s="26"/>
      <c r="I95" s="27"/>
      <c r="J95" s="26"/>
      <c r="K95" s="27"/>
      <c r="L95" s="26"/>
      <c r="M95" s="27"/>
      <c r="N95" s="26"/>
      <c r="O95" s="27"/>
      <c r="P95" s="26"/>
      <c r="Q95" s="27"/>
      <c r="R95" s="26"/>
      <c r="S95" s="27"/>
      <c r="T95" s="26"/>
      <c r="U95" s="27"/>
      <c r="V95" s="26"/>
      <c r="W95" s="27"/>
      <c r="X95" s="26"/>
      <c r="Y95" s="27"/>
      <c r="Z95" s="26"/>
      <c r="AA95" s="27"/>
      <c r="AB95" s="26"/>
      <c r="AC95" s="27"/>
      <c r="AD95" s="26"/>
      <c r="AE95" s="27"/>
      <c r="AF95" s="26"/>
      <c r="AG95" s="27"/>
      <c r="AH95" s="26"/>
      <c r="AI95" s="27"/>
      <c r="AJ95" s="26"/>
      <c r="AK95" s="27"/>
      <c r="AL95" s="26"/>
      <c r="AM95" s="27"/>
      <c r="AN95" s="26"/>
      <c r="AO95" s="27"/>
      <c r="AP95" s="26"/>
      <c r="AQ95" s="27"/>
      <c r="AR95" s="26"/>
      <c r="AS95" s="27"/>
      <c r="AT95" s="26"/>
      <c r="AU95" s="27"/>
      <c r="AV95" s="26"/>
      <c r="AW95" s="27"/>
      <c r="AX95" s="26"/>
      <c r="AY95" s="27"/>
      <c r="AZ95" s="26"/>
      <c r="BA95" s="27"/>
      <c r="BB95" s="26"/>
      <c r="BC95" s="27"/>
      <c r="BD95" s="26"/>
      <c r="BE95" s="27"/>
      <c r="BF95" s="26"/>
      <c r="BG95" s="27"/>
      <c r="BH95" s="26"/>
      <c r="BI95" s="27"/>
      <c r="BJ95" s="26"/>
      <c r="BK95" s="27"/>
      <c r="BL95" s="26"/>
      <c r="BM95" s="27"/>
      <c r="BN95" s="22">
        <f>IF($A95="","",SUM(IF($D$5&lt;&gt;"",--(D95="Présent"),0),IF($F$5&lt;&gt;"",--(F95="Présent"),0),IF($H$5&lt;&gt;"",--(H95="Présent"),0),IF($J$5&lt;&gt;"",--(J95="Présent"),0),IF($L$5&lt;&gt;"",--(L95="Présent"),0),IF($N$5&lt;&gt;"",--(N95="Présent"),0),IF($P$5&lt;&gt;"",--(P95="Présent"),0),IF($R$5&lt;&gt;"",--(R95="Présent"),0),IF($T$5&lt;&gt;"",--(T95="Présent"),0),IF($V$5&lt;&gt;"",--(V95="Présent"),0),IF($X$5&lt;&gt;"",--(X95="Présent"),0),IF($Z$5&lt;&gt;"",--(Z95="Présent"),0),IF($AB$5&lt;&gt;"",--(AB95="Présent"),0),IF($AD$5&lt;&gt;"",--(AD95="Présent"),0),IF($AF$5&lt;&gt;"",--(AF95="Présent"),0),IF($AH$5&lt;&gt;"",--(AH95="Présent"),0),IF($AJ$5&lt;&gt;"",--(AJ95="Présent"),0),IF($AL$5&lt;&gt;"",--(AL95="Présent"),0),IF($AN$5&lt;&gt;"",--(AN95="Présent"),0),IF($AP$5&lt;&gt;"",--(AP95="Présent"),0),IF($AR$5&lt;&gt;"",--(AR95="Présent"),0),IF($AT$5&lt;&gt;"",--(AT95="Présent"),0),IF($AV$5&lt;&gt;"",--(AV95="Présent"),0),IF($AX$5&lt;&gt;"",--(AX95="Présent"),0),IF($AZ$5&lt;&gt;"",--(AZ95="Présent"),0),IF($BB$5&lt;&gt;"",--(BB95="Présent"),0),IF($BD$5&lt;&gt;"",--(BD95="Présent"),0),IF($BF$5&lt;&gt;"",--(BF95="Présent"),0),IF($BH$5&lt;&gt;"",--(BH95="Présent"),0),IF($BJ$5&lt;&gt;"",--(BJ95="Présent"),0),IF($BL$5&lt;&gt;"",--(BL95="Présent"),0)))</f>
      </c>
      <c r="BO95" s="22">
        <f>IF($A95="","",SUM(IF($D$5&lt;&gt;"",--(D95="Absent"),0),IF($F$5&lt;&gt;"",--(F95="Absent"),0),IF($H$5&lt;&gt;"",--(H95="Absent"),0),IF($J$5&lt;&gt;"",--(J95="Absent"),0),IF($L$5&lt;&gt;"",--(L95="Absent"),0),IF($N$5&lt;&gt;"",--(N95="Absent"),0),IF($P$5&lt;&gt;"",--(P95="Absent"),0),IF($R$5&lt;&gt;"",--(R95="Absent"),0),IF($T$5&lt;&gt;"",--(T95="Absent"),0),IF($V$5&lt;&gt;"",--(V95="Absent"),0),IF($X$5&lt;&gt;"",--(X95="Absent"),0),IF($Z$5&lt;&gt;"",--(Z95="Absent"),0),IF($AB$5&lt;&gt;"",--(AB95="Absent"),0),IF($AD$5&lt;&gt;"",--(AD95="Absent"),0),IF($AF$5&lt;&gt;"",--(AF95="Absent"),0),IF($AH$5&lt;&gt;"",--(AH95="Absent"),0),IF($AJ$5&lt;&gt;"",--(AJ95="Absent"),0),IF($AL$5&lt;&gt;"",--(AL95="Absent"),0),IF($AN$5&lt;&gt;"",--(AN95="Absent"),0),IF($AP$5&lt;&gt;"",--(AP95="Absent"),0),IF($AR$5&lt;&gt;"",--(AR95="Absent"),0),IF($AT$5&lt;&gt;"",--(AT95="Absent"),0),IF($AV$5&lt;&gt;"",--(AV95="Absent"),0),IF($AX$5&lt;&gt;"",--(AX95="Absent"),0),IF($AZ$5&lt;&gt;"",--(AZ95="Absent"),0),IF($BB$5&lt;&gt;"",--(BB95="Absent"),0),IF($BD$5&lt;&gt;"",--(BD95="Absent"),0),IF($BF$5&lt;&gt;"",--(BF95="Absent"),0),IF($BH$5&lt;&gt;"",--(BH95="Absent"),0),IF($BJ$5&lt;&gt;"",--(BJ95="Absent"),0),IF($BL$5&lt;&gt;"",--(BL95="Absent"),0)))</f>
      </c>
      <c r="BP95" s="22">
        <f>IF($A95="","",SUM(IF($D$5&lt;&gt;"",--(D95="Congé"),0),IF($F$5&lt;&gt;"",--(F95="Congé"),0),IF($H$5&lt;&gt;"",--(H95="Congé"),0),IF($J$5&lt;&gt;"",--(J95="Congé"),0),IF($L$5&lt;&gt;"",--(L95="Congé"),0),IF($N$5&lt;&gt;"",--(N95="Congé"),0),IF($P$5&lt;&gt;"",--(P95="Congé"),0),IF($R$5&lt;&gt;"",--(R95="Congé"),0),IF($T$5&lt;&gt;"",--(T95="Congé"),0),IF($V$5&lt;&gt;"",--(V95="Congé"),0),IF($X$5&lt;&gt;"",--(X95="Congé"),0),IF($Z$5&lt;&gt;"",--(Z95="Congé"),0),IF($AB$5&lt;&gt;"",--(AB95="Congé"),0),IF($AD$5&lt;&gt;"",--(AD95="Congé"),0),IF($AF$5&lt;&gt;"",--(AF95="Congé"),0),IF($AH$5&lt;&gt;"",--(AH95="Congé"),0),IF($AJ$5&lt;&gt;"",--(AJ95="Congé"),0),IF($AL$5&lt;&gt;"",--(AL95="Congé"),0),IF($AN$5&lt;&gt;"",--(AN95="Congé"),0),IF($AP$5&lt;&gt;"",--(AP95="Congé"),0),IF($AR$5&lt;&gt;"",--(AR95="Congé"),0),IF($AT$5&lt;&gt;"",--(AT95="Congé"),0),IF($AV$5&lt;&gt;"",--(AV95="Congé"),0),IF($AX$5&lt;&gt;"",--(AX95="Congé"),0),IF($AZ$5&lt;&gt;"",--(AZ95="Congé"),0),IF($BB$5&lt;&gt;"",--(BB95="Congé"),0),IF($BD$5&lt;&gt;"",--(BD95="Congé"),0),IF($BF$5&lt;&gt;"",--(BF95="Congé"),0),IF($BH$5&lt;&gt;"",--(BH95="Congé"),0),IF($BJ$5&lt;&gt;"",--(BJ95="Congé"),0),IF($BL$5&lt;&gt;"",--(BL95="Congé"),0)))</f>
      </c>
      <c r="BQ95" s="22">
        <f>IF($A95="","",SUM(IF($D$5&lt;&gt;"",--(D95="Maladie"),0),IF($F$5&lt;&gt;"",--(F95="Maladie"),0),IF($H$5&lt;&gt;"",--(H95="Maladie"),0),IF($J$5&lt;&gt;"",--(J95="Maladie"),0),IF($L$5&lt;&gt;"",--(L95="Maladie"),0),IF($N$5&lt;&gt;"",--(N95="Maladie"),0),IF($P$5&lt;&gt;"",--(P95="Maladie"),0),IF($R$5&lt;&gt;"",--(R95="Maladie"),0),IF($T$5&lt;&gt;"",--(T95="Maladie"),0),IF($V$5&lt;&gt;"",--(V95="Maladie"),0),IF($X$5&lt;&gt;"",--(X95="Maladie"),0),IF($Z$5&lt;&gt;"",--(Z95="Maladie"),0),IF($AB$5&lt;&gt;"",--(AB95="Maladie"),0),IF($AD$5&lt;&gt;"",--(AD95="Maladie"),0),IF($AF$5&lt;&gt;"",--(AF95="Maladie"),0),IF($AH$5&lt;&gt;"",--(AH95="Maladie"),0),IF($AJ$5&lt;&gt;"",--(AJ95="Maladie"),0),IF($AL$5&lt;&gt;"",--(AL95="Maladie"),0),IF($AN$5&lt;&gt;"",--(AN95="Maladie"),0),IF($AP$5&lt;&gt;"",--(AP95="Maladie"),0),IF($AR$5&lt;&gt;"",--(AR95="Maladie"),0),IF($AT$5&lt;&gt;"",--(AT95="Maladie"),0),IF($AV$5&lt;&gt;"",--(AV95="Maladie"),0),IF($AX$5&lt;&gt;"",--(AX95="Maladie"),0),IF($AZ$5&lt;&gt;"",--(AZ95="Maladie"),0),IF($BB$5&lt;&gt;"",--(BB95="Maladie"),0),IF($BD$5&lt;&gt;"",--(BD95="Maladie"),0),IF($BF$5&lt;&gt;"",--(BF95="Maladie"),0),IF($BH$5&lt;&gt;"",--(BH95="Maladie"),0),IF($BJ$5&lt;&gt;"",--(BJ95="Maladie"),0),IF($BL$5&lt;&gt;"",--(BL95="Maladie"),0)))</f>
      </c>
      <c r="BR95" s="23">
        <f>IF($A95="","",SUM(IF($D$5&lt;&gt;"",IF(D95="Présent",E95,0),0),IF($F$5&lt;&gt;"",IF(F95="Présent",G95,0),0),IF($H$5&lt;&gt;"",IF(H95="Présent",I95,0),0),IF($J$5&lt;&gt;"",IF(J95="Présent",K95,0),0),IF($L$5&lt;&gt;"",IF(L95="Présent",M95,0),0),IF($N$5&lt;&gt;"",IF(N95="Présent",O95,0),0),IF($P$5&lt;&gt;"",IF(P95="Présent",Q95,0),0),IF($R$5&lt;&gt;"",IF(R95="Présent",S95,0),0),IF($T$5&lt;&gt;"",IF(T95="Présent",U95,0),0),IF($V$5&lt;&gt;"",IF(V95="Présent",W95,0),0),IF($X$5&lt;&gt;"",IF(X95="Présent",Y95,0),0),IF($Z$5&lt;&gt;"",IF(Z95="Présent",AA95,0),0),IF($AB$5&lt;&gt;"",IF(AB95="Présent",AC95,0),0),IF($AD$5&lt;&gt;"",IF(AD95="Présent",AE95,0),0),IF($AF$5&lt;&gt;"",IF(AF95="Présent",AG95,0),0),IF($AH$5&lt;&gt;"",IF(AH95="Présent",AI95,0),0),IF($AJ$5&lt;&gt;"",IF(AJ95="Présent",AK95,0),0),IF($AL$5&lt;&gt;"",IF(AL95="Présent",AM95,0),0),IF($AN$5&lt;&gt;"",IF(AN95="Présent",AO95,0),0),IF($AP$5&lt;&gt;"",IF(AP95="Présent",AQ95,0),0),IF($AR$5&lt;&gt;"",IF(AR95="Présent",AS95,0),0),IF($AT$5&lt;&gt;"",IF(AT95="Présent",AU95,0),0),IF($AV$5&lt;&gt;"",IF(AV95="Présent",AW95,0),0),IF($AX$5&lt;&gt;"",IF(AX95="Présent",AY95,0),0),IF($AZ$5&lt;&gt;"",IF(AZ95="Présent",BA95,0),0),IF($BB$5&lt;&gt;"",IF(BB95="Présent",BC95,0),0),IF($BD$5&lt;&gt;"",IF(BD95="Présent",BE95,0),0),IF($BF$5&lt;&gt;"",IF(BF95="Présent",BG95,0),0),IF($BH$5&lt;&gt;"",IF(BH95="Présent",BI95,0),0),IF($BJ$5&lt;&gt;"",IF(BJ95="Présent",BK95,0),0),IF($BL$5&lt;&gt;"",IF(BL95="Présent",BM95,0),0)))</f>
      </c>
      <c r="BS95" s="25">
        <f>IF($A95="","",$BN95*IFERROR(INDEX(Categories_Salaire,MATCH($C95,ListeCategories,0)),0)+$BR95*IF(IFERROR(INDEX(Categories_TauxHS,MATCH($C95,ListeCategories,0)),0)&gt;0,IFERROR(INDEX(Categories_TauxHS,MATCH($C95,ListeCategories,0)),0),TauxHSDefaut))</f>
      </c>
    </row>
    <row r="96">
      <c r="A96" s="20">
        <f>IF(AND(INDEX(Employes_Nom,90)&lt;&gt;"",INDEX(Employes_Statut,90)="Actif",OR(INDEX(Employes_Embauche,90)="",INDEX(Employes_Embauche,90)&lt;=EOMONTH(DATE(AnneeCourante,MoisCourant,1),0))),INDEX(Employes_ID,90),"")</f>
      </c>
      <c r="B96" s="19">
        <f>IF($A96="","",INDEX(Employes_Nom,MATCH($A96,Employes_ID,0)))</f>
      </c>
      <c r="C96" s="20">
        <f>IF($A96="","",INDEX(Employes_Categorie,MATCH($A96,Employes_ID,0)))</f>
      </c>
      <c r="D96" s="26"/>
      <c r="E96" s="27"/>
      <c r="F96" s="26"/>
      <c r="G96" s="27"/>
      <c r="H96" s="26"/>
      <c r="I96" s="27"/>
      <c r="J96" s="26"/>
      <c r="K96" s="27"/>
      <c r="L96" s="26"/>
      <c r="M96" s="27"/>
      <c r="N96" s="26"/>
      <c r="O96" s="27"/>
      <c r="P96" s="26"/>
      <c r="Q96" s="27"/>
      <c r="R96" s="26"/>
      <c r="S96" s="27"/>
      <c r="T96" s="26"/>
      <c r="U96" s="27"/>
      <c r="V96" s="26"/>
      <c r="W96" s="27"/>
      <c r="X96" s="26"/>
      <c r="Y96" s="27"/>
      <c r="Z96" s="26"/>
      <c r="AA96" s="27"/>
      <c r="AB96" s="26"/>
      <c r="AC96" s="27"/>
      <c r="AD96" s="26"/>
      <c r="AE96" s="27"/>
      <c r="AF96" s="26"/>
      <c r="AG96" s="27"/>
      <c r="AH96" s="26"/>
      <c r="AI96" s="27"/>
      <c r="AJ96" s="26"/>
      <c r="AK96" s="27"/>
      <c r="AL96" s="26"/>
      <c r="AM96" s="27"/>
      <c r="AN96" s="26"/>
      <c r="AO96" s="27"/>
      <c r="AP96" s="26"/>
      <c r="AQ96" s="27"/>
      <c r="AR96" s="26"/>
      <c r="AS96" s="27"/>
      <c r="AT96" s="26"/>
      <c r="AU96" s="27"/>
      <c r="AV96" s="26"/>
      <c r="AW96" s="27"/>
      <c r="AX96" s="26"/>
      <c r="AY96" s="27"/>
      <c r="AZ96" s="26"/>
      <c r="BA96" s="27"/>
      <c r="BB96" s="26"/>
      <c r="BC96" s="27"/>
      <c r="BD96" s="26"/>
      <c r="BE96" s="27"/>
      <c r="BF96" s="26"/>
      <c r="BG96" s="27"/>
      <c r="BH96" s="26"/>
      <c r="BI96" s="27"/>
      <c r="BJ96" s="26"/>
      <c r="BK96" s="27"/>
      <c r="BL96" s="26"/>
      <c r="BM96" s="27"/>
      <c r="BN96" s="22">
        <f>IF($A96="","",SUM(IF($D$5&lt;&gt;"",--(D96="Présent"),0),IF($F$5&lt;&gt;"",--(F96="Présent"),0),IF($H$5&lt;&gt;"",--(H96="Présent"),0),IF($J$5&lt;&gt;"",--(J96="Présent"),0),IF($L$5&lt;&gt;"",--(L96="Présent"),0),IF($N$5&lt;&gt;"",--(N96="Présent"),0),IF($P$5&lt;&gt;"",--(P96="Présent"),0),IF($R$5&lt;&gt;"",--(R96="Présent"),0),IF($T$5&lt;&gt;"",--(T96="Présent"),0),IF($V$5&lt;&gt;"",--(V96="Présent"),0),IF($X$5&lt;&gt;"",--(X96="Présent"),0),IF($Z$5&lt;&gt;"",--(Z96="Présent"),0),IF($AB$5&lt;&gt;"",--(AB96="Présent"),0),IF($AD$5&lt;&gt;"",--(AD96="Présent"),0),IF($AF$5&lt;&gt;"",--(AF96="Présent"),0),IF($AH$5&lt;&gt;"",--(AH96="Présent"),0),IF($AJ$5&lt;&gt;"",--(AJ96="Présent"),0),IF($AL$5&lt;&gt;"",--(AL96="Présent"),0),IF($AN$5&lt;&gt;"",--(AN96="Présent"),0),IF($AP$5&lt;&gt;"",--(AP96="Présent"),0),IF($AR$5&lt;&gt;"",--(AR96="Présent"),0),IF($AT$5&lt;&gt;"",--(AT96="Présent"),0),IF($AV$5&lt;&gt;"",--(AV96="Présent"),0),IF($AX$5&lt;&gt;"",--(AX96="Présent"),0),IF($AZ$5&lt;&gt;"",--(AZ96="Présent"),0),IF($BB$5&lt;&gt;"",--(BB96="Présent"),0),IF($BD$5&lt;&gt;"",--(BD96="Présent"),0),IF($BF$5&lt;&gt;"",--(BF96="Présent"),0),IF($BH$5&lt;&gt;"",--(BH96="Présent"),0),IF($BJ$5&lt;&gt;"",--(BJ96="Présent"),0),IF($BL$5&lt;&gt;"",--(BL96="Présent"),0)))</f>
      </c>
      <c r="BO96" s="22">
        <f>IF($A96="","",SUM(IF($D$5&lt;&gt;"",--(D96="Absent"),0),IF($F$5&lt;&gt;"",--(F96="Absent"),0),IF($H$5&lt;&gt;"",--(H96="Absent"),0),IF($J$5&lt;&gt;"",--(J96="Absent"),0),IF($L$5&lt;&gt;"",--(L96="Absent"),0),IF($N$5&lt;&gt;"",--(N96="Absent"),0),IF($P$5&lt;&gt;"",--(P96="Absent"),0),IF($R$5&lt;&gt;"",--(R96="Absent"),0),IF($T$5&lt;&gt;"",--(T96="Absent"),0),IF($V$5&lt;&gt;"",--(V96="Absent"),0),IF($X$5&lt;&gt;"",--(X96="Absent"),0),IF($Z$5&lt;&gt;"",--(Z96="Absent"),0),IF($AB$5&lt;&gt;"",--(AB96="Absent"),0),IF($AD$5&lt;&gt;"",--(AD96="Absent"),0),IF($AF$5&lt;&gt;"",--(AF96="Absent"),0),IF($AH$5&lt;&gt;"",--(AH96="Absent"),0),IF($AJ$5&lt;&gt;"",--(AJ96="Absent"),0),IF($AL$5&lt;&gt;"",--(AL96="Absent"),0),IF($AN$5&lt;&gt;"",--(AN96="Absent"),0),IF($AP$5&lt;&gt;"",--(AP96="Absent"),0),IF($AR$5&lt;&gt;"",--(AR96="Absent"),0),IF($AT$5&lt;&gt;"",--(AT96="Absent"),0),IF($AV$5&lt;&gt;"",--(AV96="Absent"),0),IF($AX$5&lt;&gt;"",--(AX96="Absent"),0),IF($AZ$5&lt;&gt;"",--(AZ96="Absent"),0),IF($BB$5&lt;&gt;"",--(BB96="Absent"),0),IF($BD$5&lt;&gt;"",--(BD96="Absent"),0),IF($BF$5&lt;&gt;"",--(BF96="Absent"),0),IF($BH$5&lt;&gt;"",--(BH96="Absent"),0),IF($BJ$5&lt;&gt;"",--(BJ96="Absent"),0),IF($BL$5&lt;&gt;"",--(BL96="Absent"),0)))</f>
      </c>
      <c r="BP96" s="22">
        <f>IF($A96="","",SUM(IF($D$5&lt;&gt;"",--(D96="Congé"),0),IF($F$5&lt;&gt;"",--(F96="Congé"),0),IF($H$5&lt;&gt;"",--(H96="Congé"),0),IF($J$5&lt;&gt;"",--(J96="Congé"),0),IF($L$5&lt;&gt;"",--(L96="Congé"),0),IF($N$5&lt;&gt;"",--(N96="Congé"),0),IF($P$5&lt;&gt;"",--(P96="Congé"),0),IF($R$5&lt;&gt;"",--(R96="Congé"),0),IF($T$5&lt;&gt;"",--(T96="Congé"),0),IF($V$5&lt;&gt;"",--(V96="Congé"),0),IF($X$5&lt;&gt;"",--(X96="Congé"),0),IF($Z$5&lt;&gt;"",--(Z96="Congé"),0),IF($AB$5&lt;&gt;"",--(AB96="Congé"),0),IF($AD$5&lt;&gt;"",--(AD96="Congé"),0),IF($AF$5&lt;&gt;"",--(AF96="Congé"),0),IF($AH$5&lt;&gt;"",--(AH96="Congé"),0),IF($AJ$5&lt;&gt;"",--(AJ96="Congé"),0),IF($AL$5&lt;&gt;"",--(AL96="Congé"),0),IF($AN$5&lt;&gt;"",--(AN96="Congé"),0),IF($AP$5&lt;&gt;"",--(AP96="Congé"),0),IF($AR$5&lt;&gt;"",--(AR96="Congé"),0),IF($AT$5&lt;&gt;"",--(AT96="Congé"),0),IF($AV$5&lt;&gt;"",--(AV96="Congé"),0),IF($AX$5&lt;&gt;"",--(AX96="Congé"),0),IF($AZ$5&lt;&gt;"",--(AZ96="Congé"),0),IF($BB$5&lt;&gt;"",--(BB96="Congé"),0),IF($BD$5&lt;&gt;"",--(BD96="Congé"),0),IF($BF$5&lt;&gt;"",--(BF96="Congé"),0),IF($BH$5&lt;&gt;"",--(BH96="Congé"),0),IF($BJ$5&lt;&gt;"",--(BJ96="Congé"),0),IF($BL$5&lt;&gt;"",--(BL96="Congé"),0)))</f>
      </c>
      <c r="BQ96" s="22">
        <f>IF($A96="","",SUM(IF($D$5&lt;&gt;"",--(D96="Maladie"),0),IF($F$5&lt;&gt;"",--(F96="Maladie"),0),IF($H$5&lt;&gt;"",--(H96="Maladie"),0),IF($J$5&lt;&gt;"",--(J96="Maladie"),0),IF($L$5&lt;&gt;"",--(L96="Maladie"),0),IF($N$5&lt;&gt;"",--(N96="Maladie"),0),IF($P$5&lt;&gt;"",--(P96="Maladie"),0),IF($R$5&lt;&gt;"",--(R96="Maladie"),0),IF($T$5&lt;&gt;"",--(T96="Maladie"),0),IF($V$5&lt;&gt;"",--(V96="Maladie"),0),IF($X$5&lt;&gt;"",--(X96="Maladie"),0),IF($Z$5&lt;&gt;"",--(Z96="Maladie"),0),IF($AB$5&lt;&gt;"",--(AB96="Maladie"),0),IF($AD$5&lt;&gt;"",--(AD96="Maladie"),0),IF($AF$5&lt;&gt;"",--(AF96="Maladie"),0),IF($AH$5&lt;&gt;"",--(AH96="Maladie"),0),IF($AJ$5&lt;&gt;"",--(AJ96="Maladie"),0),IF($AL$5&lt;&gt;"",--(AL96="Maladie"),0),IF($AN$5&lt;&gt;"",--(AN96="Maladie"),0),IF($AP$5&lt;&gt;"",--(AP96="Maladie"),0),IF($AR$5&lt;&gt;"",--(AR96="Maladie"),0),IF($AT$5&lt;&gt;"",--(AT96="Maladie"),0),IF($AV$5&lt;&gt;"",--(AV96="Maladie"),0),IF($AX$5&lt;&gt;"",--(AX96="Maladie"),0),IF($AZ$5&lt;&gt;"",--(AZ96="Maladie"),0),IF($BB$5&lt;&gt;"",--(BB96="Maladie"),0),IF($BD$5&lt;&gt;"",--(BD96="Maladie"),0),IF($BF$5&lt;&gt;"",--(BF96="Maladie"),0),IF($BH$5&lt;&gt;"",--(BH96="Maladie"),0),IF($BJ$5&lt;&gt;"",--(BJ96="Maladie"),0),IF($BL$5&lt;&gt;"",--(BL96="Maladie"),0)))</f>
      </c>
      <c r="BR96" s="23">
        <f>IF($A96="","",SUM(IF($D$5&lt;&gt;"",IF(D96="Présent",E96,0),0),IF($F$5&lt;&gt;"",IF(F96="Présent",G96,0),0),IF($H$5&lt;&gt;"",IF(H96="Présent",I96,0),0),IF($J$5&lt;&gt;"",IF(J96="Présent",K96,0),0),IF($L$5&lt;&gt;"",IF(L96="Présent",M96,0),0),IF($N$5&lt;&gt;"",IF(N96="Présent",O96,0),0),IF($P$5&lt;&gt;"",IF(P96="Présent",Q96,0),0),IF($R$5&lt;&gt;"",IF(R96="Présent",S96,0),0),IF($T$5&lt;&gt;"",IF(T96="Présent",U96,0),0),IF($V$5&lt;&gt;"",IF(V96="Présent",W96,0),0),IF($X$5&lt;&gt;"",IF(X96="Présent",Y96,0),0),IF($Z$5&lt;&gt;"",IF(Z96="Présent",AA96,0),0),IF($AB$5&lt;&gt;"",IF(AB96="Présent",AC96,0),0),IF($AD$5&lt;&gt;"",IF(AD96="Présent",AE96,0),0),IF($AF$5&lt;&gt;"",IF(AF96="Présent",AG96,0),0),IF($AH$5&lt;&gt;"",IF(AH96="Présent",AI96,0),0),IF($AJ$5&lt;&gt;"",IF(AJ96="Présent",AK96,0),0),IF($AL$5&lt;&gt;"",IF(AL96="Présent",AM96,0),0),IF($AN$5&lt;&gt;"",IF(AN96="Présent",AO96,0),0),IF($AP$5&lt;&gt;"",IF(AP96="Présent",AQ96,0),0),IF($AR$5&lt;&gt;"",IF(AR96="Présent",AS96,0),0),IF($AT$5&lt;&gt;"",IF(AT96="Présent",AU96,0),0),IF($AV$5&lt;&gt;"",IF(AV96="Présent",AW96,0),0),IF($AX$5&lt;&gt;"",IF(AX96="Présent",AY96,0),0),IF($AZ$5&lt;&gt;"",IF(AZ96="Présent",BA96,0),0),IF($BB$5&lt;&gt;"",IF(BB96="Présent",BC96,0),0),IF($BD$5&lt;&gt;"",IF(BD96="Présent",BE96,0),0),IF($BF$5&lt;&gt;"",IF(BF96="Présent",BG96,0),0),IF($BH$5&lt;&gt;"",IF(BH96="Présent",BI96,0),0),IF($BJ$5&lt;&gt;"",IF(BJ96="Présent",BK96,0),0),IF($BL$5&lt;&gt;"",IF(BL96="Présent",BM96,0),0)))</f>
      </c>
      <c r="BS96" s="25">
        <f>IF($A96="","",$BN96*IFERROR(INDEX(Categories_Salaire,MATCH($C96,ListeCategories,0)),0)+$BR96*IF(IFERROR(INDEX(Categories_TauxHS,MATCH($C96,ListeCategories,0)),0)&gt;0,IFERROR(INDEX(Categories_TauxHS,MATCH($C96,ListeCategories,0)),0),TauxHSDefaut))</f>
      </c>
    </row>
    <row r="97">
      <c r="A97" s="20">
        <f>IF(AND(INDEX(Employes_Nom,91)&lt;&gt;"",INDEX(Employes_Statut,91)="Actif",OR(INDEX(Employes_Embauche,91)="",INDEX(Employes_Embauche,91)&lt;=EOMONTH(DATE(AnneeCourante,MoisCourant,1),0))),INDEX(Employes_ID,91),"")</f>
      </c>
      <c r="B97" s="19">
        <f>IF($A97="","",INDEX(Employes_Nom,MATCH($A97,Employes_ID,0)))</f>
      </c>
      <c r="C97" s="20">
        <f>IF($A97="","",INDEX(Employes_Categorie,MATCH($A97,Employes_ID,0)))</f>
      </c>
      <c r="D97" s="26"/>
      <c r="E97" s="27"/>
      <c r="F97" s="26"/>
      <c r="G97" s="27"/>
      <c r="H97" s="26"/>
      <c r="I97" s="27"/>
      <c r="J97" s="26"/>
      <c r="K97" s="27"/>
      <c r="L97" s="26"/>
      <c r="M97" s="27"/>
      <c r="N97" s="26"/>
      <c r="O97" s="27"/>
      <c r="P97" s="26"/>
      <c r="Q97" s="27"/>
      <c r="R97" s="26"/>
      <c r="S97" s="27"/>
      <c r="T97" s="26"/>
      <c r="U97" s="27"/>
      <c r="V97" s="26"/>
      <c r="W97" s="27"/>
      <c r="X97" s="26"/>
      <c r="Y97" s="27"/>
      <c r="Z97" s="26"/>
      <c r="AA97" s="27"/>
      <c r="AB97" s="26"/>
      <c r="AC97" s="27"/>
      <c r="AD97" s="26"/>
      <c r="AE97" s="27"/>
      <c r="AF97" s="26"/>
      <c r="AG97" s="27"/>
      <c r="AH97" s="26"/>
      <c r="AI97" s="27"/>
      <c r="AJ97" s="26"/>
      <c r="AK97" s="27"/>
      <c r="AL97" s="26"/>
      <c r="AM97" s="27"/>
      <c r="AN97" s="26"/>
      <c r="AO97" s="27"/>
      <c r="AP97" s="26"/>
      <c r="AQ97" s="27"/>
      <c r="AR97" s="26"/>
      <c r="AS97" s="27"/>
      <c r="AT97" s="26"/>
      <c r="AU97" s="27"/>
      <c r="AV97" s="26"/>
      <c r="AW97" s="27"/>
      <c r="AX97" s="26"/>
      <c r="AY97" s="27"/>
      <c r="AZ97" s="26"/>
      <c r="BA97" s="27"/>
      <c r="BB97" s="26"/>
      <c r="BC97" s="27"/>
      <c r="BD97" s="26"/>
      <c r="BE97" s="27"/>
      <c r="BF97" s="26"/>
      <c r="BG97" s="27"/>
      <c r="BH97" s="26"/>
      <c r="BI97" s="27"/>
      <c r="BJ97" s="26"/>
      <c r="BK97" s="27"/>
      <c r="BL97" s="26"/>
      <c r="BM97" s="27"/>
      <c r="BN97" s="22">
        <f>IF($A97="","",SUM(IF($D$5&lt;&gt;"",--(D97="Présent"),0),IF($F$5&lt;&gt;"",--(F97="Présent"),0),IF($H$5&lt;&gt;"",--(H97="Présent"),0),IF($J$5&lt;&gt;"",--(J97="Présent"),0),IF($L$5&lt;&gt;"",--(L97="Présent"),0),IF($N$5&lt;&gt;"",--(N97="Présent"),0),IF($P$5&lt;&gt;"",--(P97="Présent"),0),IF($R$5&lt;&gt;"",--(R97="Présent"),0),IF($T$5&lt;&gt;"",--(T97="Présent"),0),IF($V$5&lt;&gt;"",--(V97="Présent"),0),IF($X$5&lt;&gt;"",--(X97="Présent"),0),IF($Z$5&lt;&gt;"",--(Z97="Présent"),0),IF($AB$5&lt;&gt;"",--(AB97="Présent"),0),IF($AD$5&lt;&gt;"",--(AD97="Présent"),0),IF($AF$5&lt;&gt;"",--(AF97="Présent"),0),IF($AH$5&lt;&gt;"",--(AH97="Présent"),0),IF($AJ$5&lt;&gt;"",--(AJ97="Présent"),0),IF($AL$5&lt;&gt;"",--(AL97="Présent"),0),IF($AN$5&lt;&gt;"",--(AN97="Présent"),0),IF($AP$5&lt;&gt;"",--(AP97="Présent"),0),IF($AR$5&lt;&gt;"",--(AR97="Présent"),0),IF($AT$5&lt;&gt;"",--(AT97="Présent"),0),IF($AV$5&lt;&gt;"",--(AV97="Présent"),0),IF($AX$5&lt;&gt;"",--(AX97="Présent"),0),IF($AZ$5&lt;&gt;"",--(AZ97="Présent"),0),IF($BB$5&lt;&gt;"",--(BB97="Présent"),0),IF($BD$5&lt;&gt;"",--(BD97="Présent"),0),IF($BF$5&lt;&gt;"",--(BF97="Présent"),0),IF($BH$5&lt;&gt;"",--(BH97="Présent"),0),IF($BJ$5&lt;&gt;"",--(BJ97="Présent"),0),IF($BL$5&lt;&gt;"",--(BL97="Présent"),0)))</f>
      </c>
      <c r="BO97" s="22">
        <f>IF($A97="","",SUM(IF($D$5&lt;&gt;"",--(D97="Absent"),0),IF($F$5&lt;&gt;"",--(F97="Absent"),0),IF($H$5&lt;&gt;"",--(H97="Absent"),0),IF($J$5&lt;&gt;"",--(J97="Absent"),0),IF($L$5&lt;&gt;"",--(L97="Absent"),0),IF($N$5&lt;&gt;"",--(N97="Absent"),0),IF($P$5&lt;&gt;"",--(P97="Absent"),0),IF($R$5&lt;&gt;"",--(R97="Absent"),0),IF($T$5&lt;&gt;"",--(T97="Absent"),0),IF($V$5&lt;&gt;"",--(V97="Absent"),0),IF($X$5&lt;&gt;"",--(X97="Absent"),0),IF($Z$5&lt;&gt;"",--(Z97="Absent"),0),IF($AB$5&lt;&gt;"",--(AB97="Absent"),0),IF($AD$5&lt;&gt;"",--(AD97="Absent"),0),IF($AF$5&lt;&gt;"",--(AF97="Absent"),0),IF($AH$5&lt;&gt;"",--(AH97="Absent"),0),IF($AJ$5&lt;&gt;"",--(AJ97="Absent"),0),IF($AL$5&lt;&gt;"",--(AL97="Absent"),0),IF($AN$5&lt;&gt;"",--(AN97="Absent"),0),IF($AP$5&lt;&gt;"",--(AP97="Absent"),0),IF($AR$5&lt;&gt;"",--(AR97="Absent"),0),IF($AT$5&lt;&gt;"",--(AT97="Absent"),0),IF($AV$5&lt;&gt;"",--(AV97="Absent"),0),IF($AX$5&lt;&gt;"",--(AX97="Absent"),0),IF($AZ$5&lt;&gt;"",--(AZ97="Absent"),0),IF($BB$5&lt;&gt;"",--(BB97="Absent"),0),IF($BD$5&lt;&gt;"",--(BD97="Absent"),0),IF($BF$5&lt;&gt;"",--(BF97="Absent"),0),IF($BH$5&lt;&gt;"",--(BH97="Absent"),0),IF($BJ$5&lt;&gt;"",--(BJ97="Absent"),0),IF($BL$5&lt;&gt;"",--(BL97="Absent"),0)))</f>
      </c>
      <c r="BP97" s="22">
        <f>IF($A97="","",SUM(IF($D$5&lt;&gt;"",--(D97="Congé"),0),IF($F$5&lt;&gt;"",--(F97="Congé"),0),IF($H$5&lt;&gt;"",--(H97="Congé"),0),IF($J$5&lt;&gt;"",--(J97="Congé"),0),IF($L$5&lt;&gt;"",--(L97="Congé"),0),IF($N$5&lt;&gt;"",--(N97="Congé"),0),IF($P$5&lt;&gt;"",--(P97="Congé"),0),IF($R$5&lt;&gt;"",--(R97="Congé"),0),IF($T$5&lt;&gt;"",--(T97="Congé"),0),IF($V$5&lt;&gt;"",--(V97="Congé"),0),IF($X$5&lt;&gt;"",--(X97="Congé"),0),IF($Z$5&lt;&gt;"",--(Z97="Congé"),0),IF($AB$5&lt;&gt;"",--(AB97="Congé"),0),IF($AD$5&lt;&gt;"",--(AD97="Congé"),0),IF($AF$5&lt;&gt;"",--(AF97="Congé"),0),IF($AH$5&lt;&gt;"",--(AH97="Congé"),0),IF($AJ$5&lt;&gt;"",--(AJ97="Congé"),0),IF($AL$5&lt;&gt;"",--(AL97="Congé"),0),IF($AN$5&lt;&gt;"",--(AN97="Congé"),0),IF($AP$5&lt;&gt;"",--(AP97="Congé"),0),IF($AR$5&lt;&gt;"",--(AR97="Congé"),0),IF($AT$5&lt;&gt;"",--(AT97="Congé"),0),IF($AV$5&lt;&gt;"",--(AV97="Congé"),0),IF($AX$5&lt;&gt;"",--(AX97="Congé"),0),IF($AZ$5&lt;&gt;"",--(AZ97="Congé"),0),IF($BB$5&lt;&gt;"",--(BB97="Congé"),0),IF($BD$5&lt;&gt;"",--(BD97="Congé"),0),IF($BF$5&lt;&gt;"",--(BF97="Congé"),0),IF($BH$5&lt;&gt;"",--(BH97="Congé"),0),IF($BJ$5&lt;&gt;"",--(BJ97="Congé"),0),IF($BL$5&lt;&gt;"",--(BL97="Congé"),0)))</f>
      </c>
      <c r="BQ97" s="22">
        <f>IF($A97="","",SUM(IF($D$5&lt;&gt;"",--(D97="Maladie"),0),IF($F$5&lt;&gt;"",--(F97="Maladie"),0),IF($H$5&lt;&gt;"",--(H97="Maladie"),0),IF($J$5&lt;&gt;"",--(J97="Maladie"),0),IF($L$5&lt;&gt;"",--(L97="Maladie"),0),IF($N$5&lt;&gt;"",--(N97="Maladie"),0),IF($P$5&lt;&gt;"",--(P97="Maladie"),0),IF($R$5&lt;&gt;"",--(R97="Maladie"),0),IF($T$5&lt;&gt;"",--(T97="Maladie"),0),IF($V$5&lt;&gt;"",--(V97="Maladie"),0),IF($X$5&lt;&gt;"",--(X97="Maladie"),0),IF($Z$5&lt;&gt;"",--(Z97="Maladie"),0),IF($AB$5&lt;&gt;"",--(AB97="Maladie"),0),IF($AD$5&lt;&gt;"",--(AD97="Maladie"),0),IF($AF$5&lt;&gt;"",--(AF97="Maladie"),0),IF($AH$5&lt;&gt;"",--(AH97="Maladie"),0),IF($AJ$5&lt;&gt;"",--(AJ97="Maladie"),0),IF($AL$5&lt;&gt;"",--(AL97="Maladie"),0),IF($AN$5&lt;&gt;"",--(AN97="Maladie"),0),IF($AP$5&lt;&gt;"",--(AP97="Maladie"),0),IF($AR$5&lt;&gt;"",--(AR97="Maladie"),0),IF($AT$5&lt;&gt;"",--(AT97="Maladie"),0),IF($AV$5&lt;&gt;"",--(AV97="Maladie"),0),IF($AX$5&lt;&gt;"",--(AX97="Maladie"),0),IF($AZ$5&lt;&gt;"",--(AZ97="Maladie"),0),IF($BB$5&lt;&gt;"",--(BB97="Maladie"),0),IF($BD$5&lt;&gt;"",--(BD97="Maladie"),0),IF($BF$5&lt;&gt;"",--(BF97="Maladie"),0),IF($BH$5&lt;&gt;"",--(BH97="Maladie"),0),IF($BJ$5&lt;&gt;"",--(BJ97="Maladie"),0),IF($BL$5&lt;&gt;"",--(BL97="Maladie"),0)))</f>
      </c>
      <c r="BR97" s="23">
        <f>IF($A97="","",SUM(IF($D$5&lt;&gt;"",IF(D97="Présent",E97,0),0),IF($F$5&lt;&gt;"",IF(F97="Présent",G97,0),0),IF($H$5&lt;&gt;"",IF(H97="Présent",I97,0),0),IF($J$5&lt;&gt;"",IF(J97="Présent",K97,0),0),IF($L$5&lt;&gt;"",IF(L97="Présent",M97,0),0),IF($N$5&lt;&gt;"",IF(N97="Présent",O97,0),0),IF($P$5&lt;&gt;"",IF(P97="Présent",Q97,0),0),IF($R$5&lt;&gt;"",IF(R97="Présent",S97,0),0),IF($T$5&lt;&gt;"",IF(T97="Présent",U97,0),0),IF($V$5&lt;&gt;"",IF(V97="Présent",W97,0),0),IF($X$5&lt;&gt;"",IF(X97="Présent",Y97,0),0),IF($Z$5&lt;&gt;"",IF(Z97="Présent",AA97,0),0),IF($AB$5&lt;&gt;"",IF(AB97="Présent",AC97,0),0),IF($AD$5&lt;&gt;"",IF(AD97="Présent",AE97,0),0),IF($AF$5&lt;&gt;"",IF(AF97="Présent",AG97,0),0),IF($AH$5&lt;&gt;"",IF(AH97="Présent",AI97,0),0),IF($AJ$5&lt;&gt;"",IF(AJ97="Présent",AK97,0),0),IF($AL$5&lt;&gt;"",IF(AL97="Présent",AM97,0),0),IF($AN$5&lt;&gt;"",IF(AN97="Présent",AO97,0),0),IF($AP$5&lt;&gt;"",IF(AP97="Présent",AQ97,0),0),IF($AR$5&lt;&gt;"",IF(AR97="Présent",AS97,0),0),IF($AT$5&lt;&gt;"",IF(AT97="Présent",AU97,0),0),IF($AV$5&lt;&gt;"",IF(AV97="Présent",AW97,0),0),IF($AX$5&lt;&gt;"",IF(AX97="Présent",AY97,0),0),IF($AZ$5&lt;&gt;"",IF(AZ97="Présent",BA97,0),0),IF($BB$5&lt;&gt;"",IF(BB97="Présent",BC97,0),0),IF($BD$5&lt;&gt;"",IF(BD97="Présent",BE97,0),0),IF($BF$5&lt;&gt;"",IF(BF97="Présent",BG97,0),0),IF($BH$5&lt;&gt;"",IF(BH97="Présent",BI97,0),0),IF($BJ$5&lt;&gt;"",IF(BJ97="Présent",BK97,0),0),IF($BL$5&lt;&gt;"",IF(BL97="Présent",BM97,0),0)))</f>
      </c>
      <c r="BS97" s="25">
        <f>IF($A97="","",$BN97*IFERROR(INDEX(Categories_Salaire,MATCH($C97,ListeCategories,0)),0)+$BR97*IF(IFERROR(INDEX(Categories_TauxHS,MATCH($C97,ListeCategories,0)),0)&gt;0,IFERROR(INDEX(Categories_TauxHS,MATCH($C97,ListeCategories,0)),0),TauxHSDefaut))</f>
      </c>
    </row>
    <row r="98">
      <c r="A98" s="20">
        <f>IF(AND(INDEX(Employes_Nom,92)&lt;&gt;"",INDEX(Employes_Statut,92)="Actif",OR(INDEX(Employes_Embauche,92)="",INDEX(Employes_Embauche,92)&lt;=EOMONTH(DATE(AnneeCourante,MoisCourant,1),0))),INDEX(Employes_ID,92),"")</f>
      </c>
      <c r="B98" s="19">
        <f>IF($A98="","",INDEX(Employes_Nom,MATCH($A98,Employes_ID,0)))</f>
      </c>
      <c r="C98" s="20">
        <f>IF($A98="","",INDEX(Employes_Categorie,MATCH($A98,Employes_ID,0)))</f>
      </c>
      <c r="D98" s="26"/>
      <c r="E98" s="27"/>
      <c r="F98" s="26"/>
      <c r="G98" s="27"/>
      <c r="H98" s="26"/>
      <c r="I98" s="27"/>
      <c r="J98" s="26"/>
      <c r="K98" s="27"/>
      <c r="L98" s="26"/>
      <c r="M98" s="27"/>
      <c r="N98" s="26"/>
      <c r="O98" s="27"/>
      <c r="P98" s="26"/>
      <c r="Q98" s="27"/>
      <c r="R98" s="26"/>
      <c r="S98" s="27"/>
      <c r="T98" s="26"/>
      <c r="U98" s="27"/>
      <c r="V98" s="26"/>
      <c r="W98" s="27"/>
      <c r="X98" s="26"/>
      <c r="Y98" s="27"/>
      <c r="Z98" s="26"/>
      <c r="AA98" s="27"/>
      <c r="AB98" s="26"/>
      <c r="AC98" s="27"/>
      <c r="AD98" s="26"/>
      <c r="AE98" s="27"/>
      <c r="AF98" s="26"/>
      <c r="AG98" s="27"/>
      <c r="AH98" s="26"/>
      <c r="AI98" s="27"/>
      <c r="AJ98" s="26"/>
      <c r="AK98" s="27"/>
      <c r="AL98" s="26"/>
      <c r="AM98" s="27"/>
      <c r="AN98" s="26"/>
      <c r="AO98" s="27"/>
      <c r="AP98" s="26"/>
      <c r="AQ98" s="27"/>
      <c r="AR98" s="26"/>
      <c r="AS98" s="27"/>
      <c r="AT98" s="26"/>
      <c r="AU98" s="27"/>
      <c r="AV98" s="26"/>
      <c r="AW98" s="27"/>
      <c r="AX98" s="26"/>
      <c r="AY98" s="27"/>
      <c r="AZ98" s="26"/>
      <c r="BA98" s="27"/>
      <c r="BB98" s="26"/>
      <c r="BC98" s="27"/>
      <c r="BD98" s="26"/>
      <c r="BE98" s="27"/>
      <c r="BF98" s="26"/>
      <c r="BG98" s="27"/>
      <c r="BH98" s="26"/>
      <c r="BI98" s="27"/>
      <c r="BJ98" s="26"/>
      <c r="BK98" s="27"/>
      <c r="BL98" s="26"/>
      <c r="BM98" s="27"/>
      <c r="BN98" s="22">
        <f>IF($A98="","",SUM(IF($D$5&lt;&gt;"",--(D98="Présent"),0),IF($F$5&lt;&gt;"",--(F98="Présent"),0),IF($H$5&lt;&gt;"",--(H98="Présent"),0),IF($J$5&lt;&gt;"",--(J98="Présent"),0),IF($L$5&lt;&gt;"",--(L98="Présent"),0),IF($N$5&lt;&gt;"",--(N98="Présent"),0),IF($P$5&lt;&gt;"",--(P98="Présent"),0),IF($R$5&lt;&gt;"",--(R98="Présent"),0),IF($T$5&lt;&gt;"",--(T98="Présent"),0),IF($V$5&lt;&gt;"",--(V98="Présent"),0),IF($X$5&lt;&gt;"",--(X98="Présent"),0),IF($Z$5&lt;&gt;"",--(Z98="Présent"),0),IF($AB$5&lt;&gt;"",--(AB98="Présent"),0),IF($AD$5&lt;&gt;"",--(AD98="Présent"),0),IF($AF$5&lt;&gt;"",--(AF98="Présent"),0),IF($AH$5&lt;&gt;"",--(AH98="Présent"),0),IF($AJ$5&lt;&gt;"",--(AJ98="Présent"),0),IF($AL$5&lt;&gt;"",--(AL98="Présent"),0),IF($AN$5&lt;&gt;"",--(AN98="Présent"),0),IF($AP$5&lt;&gt;"",--(AP98="Présent"),0),IF($AR$5&lt;&gt;"",--(AR98="Présent"),0),IF($AT$5&lt;&gt;"",--(AT98="Présent"),0),IF($AV$5&lt;&gt;"",--(AV98="Présent"),0),IF($AX$5&lt;&gt;"",--(AX98="Présent"),0),IF($AZ$5&lt;&gt;"",--(AZ98="Présent"),0),IF($BB$5&lt;&gt;"",--(BB98="Présent"),0),IF($BD$5&lt;&gt;"",--(BD98="Présent"),0),IF($BF$5&lt;&gt;"",--(BF98="Présent"),0),IF($BH$5&lt;&gt;"",--(BH98="Présent"),0),IF($BJ$5&lt;&gt;"",--(BJ98="Présent"),0),IF($BL$5&lt;&gt;"",--(BL98="Présent"),0)))</f>
      </c>
      <c r="BO98" s="22">
        <f>IF($A98="","",SUM(IF($D$5&lt;&gt;"",--(D98="Absent"),0),IF($F$5&lt;&gt;"",--(F98="Absent"),0),IF($H$5&lt;&gt;"",--(H98="Absent"),0),IF($J$5&lt;&gt;"",--(J98="Absent"),0),IF($L$5&lt;&gt;"",--(L98="Absent"),0),IF($N$5&lt;&gt;"",--(N98="Absent"),0),IF($P$5&lt;&gt;"",--(P98="Absent"),0),IF($R$5&lt;&gt;"",--(R98="Absent"),0),IF($T$5&lt;&gt;"",--(T98="Absent"),0),IF($V$5&lt;&gt;"",--(V98="Absent"),0),IF($X$5&lt;&gt;"",--(X98="Absent"),0),IF($Z$5&lt;&gt;"",--(Z98="Absent"),0),IF($AB$5&lt;&gt;"",--(AB98="Absent"),0),IF($AD$5&lt;&gt;"",--(AD98="Absent"),0),IF($AF$5&lt;&gt;"",--(AF98="Absent"),0),IF($AH$5&lt;&gt;"",--(AH98="Absent"),0),IF($AJ$5&lt;&gt;"",--(AJ98="Absent"),0),IF($AL$5&lt;&gt;"",--(AL98="Absent"),0),IF($AN$5&lt;&gt;"",--(AN98="Absent"),0),IF($AP$5&lt;&gt;"",--(AP98="Absent"),0),IF($AR$5&lt;&gt;"",--(AR98="Absent"),0),IF($AT$5&lt;&gt;"",--(AT98="Absent"),0),IF($AV$5&lt;&gt;"",--(AV98="Absent"),0),IF($AX$5&lt;&gt;"",--(AX98="Absent"),0),IF($AZ$5&lt;&gt;"",--(AZ98="Absent"),0),IF($BB$5&lt;&gt;"",--(BB98="Absent"),0),IF($BD$5&lt;&gt;"",--(BD98="Absent"),0),IF($BF$5&lt;&gt;"",--(BF98="Absent"),0),IF($BH$5&lt;&gt;"",--(BH98="Absent"),0),IF($BJ$5&lt;&gt;"",--(BJ98="Absent"),0),IF($BL$5&lt;&gt;"",--(BL98="Absent"),0)))</f>
      </c>
      <c r="BP98" s="22">
        <f>IF($A98="","",SUM(IF($D$5&lt;&gt;"",--(D98="Congé"),0),IF($F$5&lt;&gt;"",--(F98="Congé"),0),IF($H$5&lt;&gt;"",--(H98="Congé"),0),IF($J$5&lt;&gt;"",--(J98="Congé"),0),IF($L$5&lt;&gt;"",--(L98="Congé"),0),IF($N$5&lt;&gt;"",--(N98="Congé"),0),IF($P$5&lt;&gt;"",--(P98="Congé"),0),IF($R$5&lt;&gt;"",--(R98="Congé"),0),IF($T$5&lt;&gt;"",--(T98="Congé"),0),IF($V$5&lt;&gt;"",--(V98="Congé"),0),IF($X$5&lt;&gt;"",--(X98="Congé"),0),IF($Z$5&lt;&gt;"",--(Z98="Congé"),0),IF($AB$5&lt;&gt;"",--(AB98="Congé"),0),IF($AD$5&lt;&gt;"",--(AD98="Congé"),0),IF($AF$5&lt;&gt;"",--(AF98="Congé"),0),IF($AH$5&lt;&gt;"",--(AH98="Congé"),0),IF($AJ$5&lt;&gt;"",--(AJ98="Congé"),0),IF($AL$5&lt;&gt;"",--(AL98="Congé"),0),IF($AN$5&lt;&gt;"",--(AN98="Congé"),0),IF($AP$5&lt;&gt;"",--(AP98="Congé"),0),IF($AR$5&lt;&gt;"",--(AR98="Congé"),0),IF($AT$5&lt;&gt;"",--(AT98="Congé"),0),IF($AV$5&lt;&gt;"",--(AV98="Congé"),0),IF($AX$5&lt;&gt;"",--(AX98="Congé"),0),IF($AZ$5&lt;&gt;"",--(AZ98="Congé"),0),IF($BB$5&lt;&gt;"",--(BB98="Congé"),0),IF($BD$5&lt;&gt;"",--(BD98="Congé"),0),IF($BF$5&lt;&gt;"",--(BF98="Congé"),0),IF($BH$5&lt;&gt;"",--(BH98="Congé"),0),IF($BJ$5&lt;&gt;"",--(BJ98="Congé"),0),IF($BL$5&lt;&gt;"",--(BL98="Congé"),0)))</f>
      </c>
      <c r="BQ98" s="22">
        <f>IF($A98="","",SUM(IF($D$5&lt;&gt;"",--(D98="Maladie"),0),IF($F$5&lt;&gt;"",--(F98="Maladie"),0),IF($H$5&lt;&gt;"",--(H98="Maladie"),0),IF($J$5&lt;&gt;"",--(J98="Maladie"),0),IF($L$5&lt;&gt;"",--(L98="Maladie"),0),IF($N$5&lt;&gt;"",--(N98="Maladie"),0),IF($P$5&lt;&gt;"",--(P98="Maladie"),0),IF($R$5&lt;&gt;"",--(R98="Maladie"),0),IF($T$5&lt;&gt;"",--(T98="Maladie"),0),IF($V$5&lt;&gt;"",--(V98="Maladie"),0),IF($X$5&lt;&gt;"",--(X98="Maladie"),0),IF($Z$5&lt;&gt;"",--(Z98="Maladie"),0),IF($AB$5&lt;&gt;"",--(AB98="Maladie"),0),IF($AD$5&lt;&gt;"",--(AD98="Maladie"),0),IF($AF$5&lt;&gt;"",--(AF98="Maladie"),0),IF($AH$5&lt;&gt;"",--(AH98="Maladie"),0),IF($AJ$5&lt;&gt;"",--(AJ98="Maladie"),0),IF($AL$5&lt;&gt;"",--(AL98="Maladie"),0),IF($AN$5&lt;&gt;"",--(AN98="Maladie"),0),IF($AP$5&lt;&gt;"",--(AP98="Maladie"),0),IF($AR$5&lt;&gt;"",--(AR98="Maladie"),0),IF($AT$5&lt;&gt;"",--(AT98="Maladie"),0),IF($AV$5&lt;&gt;"",--(AV98="Maladie"),0),IF($AX$5&lt;&gt;"",--(AX98="Maladie"),0),IF($AZ$5&lt;&gt;"",--(AZ98="Maladie"),0),IF($BB$5&lt;&gt;"",--(BB98="Maladie"),0),IF($BD$5&lt;&gt;"",--(BD98="Maladie"),0),IF($BF$5&lt;&gt;"",--(BF98="Maladie"),0),IF($BH$5&lt;&gt;"",--(BH98="Maladie"),0),IF($BJ$5&lt;&gt;"",--(BJ98="Maladie"),0),IF($BL$5&lt;&gt;"",--(BL98="Maladie"),0)))</f>
      </c>
      <c r="BR98" s="23">
        <f>IF($A98="","",SUM(IF($D$5&lt;&gt;"",IF(D98="Présent",E98,0),0),IF($F$5&lt;&gt;"",IF(F98="Présent",G98,0),0),IF($H$5&lt;&gt;"",IF(H98="Présent",I98,0),0),IF($J$5&lt;&gt;"",IF(J98="Présent",K98,0),0),IF($L$5&lt;&gt;"",IF(L98="Présent",M98,0),0),IF($N$5&lt;&gt;"",IF(N98="Présent",O98,0),0),IF($P$5&lt;&gt;"",IF(P98="Présent",Q98,0),0),IF($R$5&lt;&gt;"",IF(R98="Présent",S98,0),0),IF($T$5&lt;&gt;"",IF(T98="Présent",U98,0),0),IF($V$5&lt;&gt;"",IF(V98="Présent",W98,0),0),IF($X$5&lt;&gt;"",IF(X98="Présent",Y98,0),0),IF($Z$5&lt;&gt;"",IF(Z98="Présent",AA98,0),0),IF($AB$5&lt;&gt;"",IF(AB98="Présent",AC98,0),0),IF($AD$5&lt;&gt;"",IF(AD98="Présent",AE98,0),0),IF($AF$5&lt;&gt;"",IF(AF98="Présent",AG98,0),0),IF($AH$5&lt;&gt;"",IF(AH98="Présent",AI98,0),0),IF($AJ$5&lt;&gt;"",IF(AJ98="Présent",AK98,0),0),IF($AL$5&lt;&gt;"",IF(AL98="Présent",AM98,0),0),IF($AN$5&lt;&gt;"",IF(AN98="Présent",AO98,0),0),IF($AP$5&lt;&gt;"",IF(AP98="Présent",AQ98,0),0),IF($AR$5&lt;&gt;"",IF(AR98="Présent",AS98,0),0),IF($AT$5&lt;&gt;"",IF(AT98="Présent",AU98,0),0),IF($AV$5&lt;&gt;"",IF(AV98="Présent",AW98,0),0),IF($AX$5&lt;&gt;"",IF(AX98="Présent",AY98,0),0),IF($AZ$5&lt;&gt;"",IF(AZ98="Présent",BA98,0),0),IF($BB$5&lt;&gt;"",IF(BB98="Présent",BC98,0),0),IF($BD$5&lt;&gt;"",IF(BD98="Présent",BE98,0),0),IF($BF$5&lt;&gt;"",IF(BF98="Présent",BG98,0),0),IF($BH$5&lt;&gt;"",IF(BH98="Présent",BI98,0),0),IF($BJ$5&lt;&gt;"",IF(BJ98="Présent",BK98,0),0),IF($BL$5&lt;&gt;"",IF(BL98="Présent",BM98,0),0)))</f>
      </c>
      <c r="BS98" s="25">
        <f>IF($A98="","",$BN98*IFERROR(INDEX(Categories_Salaire,MATCH($C98,ListeCategories,0)),0)+$BR98*IF(IFERROR(INDEX(Categories_TauxHS,MATCH($C98,ListeCategories,0)),0)&gt;0,IFERROR(INDEX(Categories_TauxHS,MATCH($C98,ListeCategories,0)),0),TauxHSDefaut))</f>
      </c>
    </row>
    <row r="99">
      <c r="A99" s="20">
        <f>IF(AND(INDEX(Employes_Nom,93)&lt;&gt;"",INDEX(Employes_Statut,93)="Actif",OR(INDEX(Employes_Embauche,93)="",INDEX(Employes_Embauche,93)&lt;=EOMONTH(DATE(AnneeCourante,MoisCourant,1),0))),INDEX(Employes_ID,93),"")</f>
      </c>
      <c r="B99" s="19">
        <f>IF($A99="","",INDEX(Employes_Nom,MATCH($A99,Employes_ID,0)))</f>
      </c>
      <c r="C99" s="20">
        <f>IF($A99="","",INDEX(Employes_Categorie,MATCH($A99,Employes_ID,0)))</f>
      </c>
      <c r="D99" s="26"/>
      <c r="E99" s="27"/>
      <c r="F99" s="26"/>
      <c r="G99" s="27"/>
      <c r="H99" s="26"/>
      <c r="I99" s="27"/>
      <c r="J99" s="26"/>
      <c r="K99" s="27"/>
      <c r="L99" s="26"/>
      <c r="M99" s="27"/>
      <c r="N99" s="26"/>
      <c r="O99" s="27"/>
      <c r="P99" s="26"/>
      <c r="Q99" s="27"/>
      <c r="R99" s="26"/>
      <c r="S99" s="27"/>
      <c r="T99" s="26"/>
      <c r="U99" s="27"/>
      <c r="V99" s="26"/>
      <c r="W99" s="27"/>
      <c r="X99" s="26"/>
      <c r="Y99" s="27"/>
      <c r="Z99" s="26"/>
      <c r="AA99" s="27"/>
      <c r="AB99" s="26"/>
      <c r="AC99" s="27"/>
      <c r="AD99" s="26"/>
      <c r="AE99" s="27"/>
      <c r="AF99" s="26"/>
      <c r="AG99" s="27"/>
      <c r="AH99" s="26"/>
      <c r="AI99" s="27"/>
      <c r="AJ99" s="26"/>
      <c r="AK99" s="27"/>
      <c r="AL99" s="26"/>
      <c r="AM99" s="27"/>
      <c r="AN99" s="26"/>
      <c r="AO99" s="27"/>
      <c r="AP99" s="26"/>
      <c r="AQ99" s="27"/>
      <c r="AR99" s="26"/>
      <c r="AS99" s="27"/>
      <c r="AT99" s="26"/>
      <c r="AU99" s="27"/>
      <c r="AV99" s="26"/>
      <c r="AW99" s="27"/>
      <c r="AX99" s="26"/>
      <c r="AY99" s="27"/>
      <c r="AZ99" s="26"/>
      <c r="BA99" s="27"/>
      <c r="BB99" s="26"/>
      <c r="BC99" s="27"/>
      <c r="BD99" s="26"/>
      <c r="BE99" s="27"/>
      <c r="BF99" s="26"/>
      <c r="BG99" s="27"/>
      <c r="BH99" s="26"/>
      <c r="BI99" s="27"/>
      <c r="BJ99" s="26"/>
      <c r="BK99" s="27"/>
      <c r="BL99" s="26"/>
      <c r="BM99" s="27"/>
      <c r="BN99" s="22">
        <f>IF($A99="","",SUM(IF($D$5&lt;&gt;"",--(D99="Présent"),0),IF($F$5&lt;&gt;"",--(F99="Présent"),0),IF($H$5&lt;&gt;"",--(H99="Présent"),0),IF($J$5&lt;&gt;"",--(J99="Présent"),0),IF($L$5&lt;&gt;"",--(L99="Présent"),0),IF($N$5&lt;&gt;"",--(N99="Présent"),0),IF($P$5&lt;&gt;"",--(P99="Présent"),0),IF($R$5&lt;&gt;"",--(R99="Présent"),0),IF($T$5&lt;&gt;"",--(T99="Présent"),0),IF($V$5&lt;&gt;"",--(V99="Présent"),0),IF($X$5&lt;&gt;"",--(X99="Présent"),0),IF($Z$5&lt;&gt;"",--(Z99="Présent"),0),IF($AB$5&lt;&gt;"",--(AB99="Présent"),0),IF($AD$5&lt;&gt;"",--(AD99="Présent"),0),IF($AF$5&lt;&gt;"",--(AF99="Présent"),0),IF($AH$5&lt;&gt;"",--(AH99="Présent"),0),IF($AJ$5&lt;&gt;"",--(AJ99="Présent"),0),IF($AL$5&lt;&gt;"",--(AL99="Présent"),0),IF($AN$5&lt;&gt;"",--(AN99="Présent"),0),IF($AP$5&lt;&gt;"",--(AP99="Présent"),0),IF($AR$5&lt;&gt;"",--(AR99="Présent"),0),IF($AT$5&lt;&gt;"",--(AT99="Présent"),0),IF($AV$5&lt;&gt;"",--(AV99="Présent"),0),IF($AX$5&lt;&gt;"",--(AX99="Présent"),0),IF($AZ$5&lt;&gt;"",--(AZ99="Présent"),0),IF($BB$5&lt;&gt;"",--(BB99="Présent"),0),IF($BD$5&lt;&gt;"",--(BD99="Présent"),0),IF($BF$5&lt;&gt;"",--(BF99="Présent"),0),IF($BH$5&lt;&gt;"",--(BH99="Présent"),0),IF($BJ$5&lt;&gt;"",--(BJ99="Présent"),0),IF($BL$5&lt;&gt;"",--(BL99="Présent"),0)))</f>
      </c>
      <c r="BO99" s="22">
        <f>IF($A99="","",SUM(IF($D$5&lt;&gt;"",--(D99="Absent"),0),IF($F$5&lt;&gt;"",--(F99="Absent"),0),IF($H$5&lt;&gt;"",--(H99="Absent"),0),IF($J$5&lt;&gt;"",--(J99="Absent"),0),IF($L$5&lt;&gt;"",--(L99="Absent"),0),IF($N$5&lt;&gt;"",--(N99="Absent"),0),IF($P$5&lt;&gt;"",--(P99="Absent"),0),IF($R$5&lt;&gt;"",--(R99="Absent"),0),IF($T$5&lt;&gt;"",--(T99="Absent"),0),IF($V$5&lt;&gt;"",--(V99="Absent"),0),IF($X$5&lt;&gt;"",--(X99="Absent"),0),IF($Z$5&lt;&gt;"",--(Z99="Absent"),0),IF($AB$5&lt;&gt;"",--(AB99="Absent"),0),IF($AD$5&lt;&gt;"",--(AD99="Absent"),0),IF($AF$5&lt;&gt;"",--(AF99="Absent"),0),IF($AH$5&lt;&gt;"",--(AH99="Absent"),0),IF($AJ$5&lt;&gt;"",--(AJ99="Absent"),0),IF($AL$5&lt;&gt;"",--(AL99="Absent"),0),IF($AN$5&lt;&gt;"",--(AN99="Absent"),0),IF($AP$5&lt;&gt;"",--(AP99="Absent"),0),IF($AR$5&lt;&gt;"",--(AR99="Absent"),0),IF($AT$5&lt;&gt;"",--(AT99="Absent"),0),IF($AV$5&lt;&gt;"",--(AV99="Absent"),0),IF($AX$5&lt;&gt;"",--(AX99="Absent"),0),IF($AZ$5&lt;&gt;"",--(AZ99="Absent"),0),IF($BB$5&lt;&gt;"",--(BB99="Absent"),0),IF($BD$5&lt;&gt;"",--(BD99="Absent"),0),IF($BF$5&lt;&gt;"",--(BF99="Absent"),0),IF($BH$5&lt;&gt;"",--(BH99="Absent"),0),IF($BJ$5&lt;&gt;"",--(BJ99="Absent"),0),IF($BL$5&lt;&gt;"",--(BL99="Absent"),0)))</f>
      </c>
      <c r="BP99" s="22">
        <f>IF($A99="","",SUM(IF($D$5&lt;&gt;"",--(D99="Congé"),0),IF($F$5&lt;&gt;"",--(F99="Congé"),0),IF($H$5&lt;&gt;"",--(H99="Congé"),0),IF($J$5&lt;&gt;"",--(J99="Congé"),0),IF($L$5&lt;&gt;"",--(L99="Congé"),0),IF($N$5&lt;&gt;"",--(N99="Congé"),0),IF($P$5&lt;&gt;"",--(P99="Congé"),0),IF($R$5&lt;&gt;"",--(R99="Congé"),0),IF($T$5&lt;&gt;"",--(T99="Congé"),0),IF($V$5&lt;&gt;"",--(V99="Congé"),0),IF($X$5&lt;&gt;"",--(X99="Congé"),0),IF($Z$5&lt;&gt;"",--(Z99="Congé"),0),IF($AB$5&lt;&gt;"",--(AB99="Congé"),0),IF($AD$5&lt;&gt;"",--(AD99="Congé"),0),IF($AF$5&lt;&gt;"",--(AF99="Congé"),0),IF($AH$5&lt;&gt;"",--(AH99="Congé"),0),IF($AJ$5&lt;&gt;"",--(AJ99="Congé"),0),IF($AL$5&lt;&gt;"",--(AL99="Congé"),0),IF($AN$5&lt;&gt;"",--(AN99="Congé"),0),IF($AP$5&lt;&gt;"",--(AP99="Congé"),0),IF($AR$5&lt;&gt;"",--(AR99="Congé"),0),IF($AT$5&lt;&gt;"",--(AT99="Congé"),0),IF($AV$5&lt;&gt;"",--(AV99="Congé"),0),IF($AX$5&lt;&gt;"",--(AX99="Congé"),0),IF($AZ$5&lt;&gt;"",--(AZ99="Congé"),0),IF($BB$5&lt;&gt;"",--(BB99="Congé"),0),IF($BD$5&lt;&gt;"",--(BD99="Congé"),0),IF($BF$5&lt;&gt;"",--(BF99="Congé"),0),IF($BH$5&lt;&gt;"",--(BH99="Congé"),0),IF($BJ$5&lt;&gt;"",--(BJ99="Congé"),0),IF($BL$5&lt;&gt;"",--(BL99="Congé"),0)))</f>
      </c>
      <c r="BQ99" s="22">
        <f>IF($A99="","",SUM(IF($D$5&lt;&gt;"",--(D99="Maladie"),0),IF($F$5&lt;&gt;"",--(F99="Maladie"),0),IF($H$5&lt;&gt;"",--(H99="Maladie"),0),IF($J$5&lt;&gt;"",--(J99="Maladie"),0),IF($L$5&lt;&gt;"",--(L99="Maladie"),0),IF($N$5&lt;&gt;"",--(N99="Maladie"),0),IF($P$5&lt;&gt;"",--(P99="Maladie"),0),IF($R$5&lt;&gt;"",--(R99="Maladie"),0),IF($T$5&lt;&gt;"",--(T99="Maladie"),0),IF($V$5&lt;&gt;"",--(V99="Maladie"),0),IF($X$5&lt;&gt;"",--(X99="Maladie"),0),IF($Z$5&lt;&gt;"",--(Z99="Maladie"),0),IF($AB$5&lt;&gt;"",--(AB99="Maladie"),0),IF($AD$5&lt;&gt;"",--(AD99="Maladie"),0),IF($AF$5&lt;&gt;"",--(AF99="Maladie"),0),IF($AH$5&lt;&gt;"",--(AH99="Maladie"),0),IF($AJ$5&lt;&gt;"",--(AJ99="Maladie"),0),IF($AL$5&lt;&gt;"",--(AL99="Maladie"),0),IF($AN$5&lt;&gt;"",--(AN99="Maladie"),0),IF($AP$5&lt;&gt;"",--(AP99="Maladie"),0),IF($AR$5&lt;&gt;"",--(AR99="Maladie"),0),IF($AT$5&lt;&gt;"",--(AT99="Maladie"),0),IF($AV$5&lt;&gt;"",--(AV99="Maladie"),0),IF($AX$5&lt;&gt;"",--(AX99="Maladie"),0),IF($AZ$5&lt;&gt;"",--(AZ99="Maladie"),0),IF($BB$5&lt;&gt;"",--(BB99="Maladie"),0),IF($BD$5&lt;&gt;"",--(BD99="Maladie"),0),IF($BF$5&lt;&gt;"",--(BF99="Maladie"),0),IF($BH$5&lt;&gt;"",--(BH99="Maladie"),0),IF($BJ$5&lt;&gt;"",--(BJ99="Maladie"),0),IF($BL$5&lt;&gt;"",--(BL99="Maladie"),0)))</f>
      </c>
      <c r="BR99" s="23">
        <f>IF($A99="","",SUM(IF($D$5&lt;&gt;"",IF(D99="Présent",E99,0),0),IF($F$5&lt;&gt;"",IF(F99="Présent",G99,0),0),IF($H$5&lt;&gt;"",IF(H99="Présent",I99,0),0),IF($J$5&lt;&gt;"",IF(J99="Présent",K99,0),0),IF($L$5&lt;&gt;"",IF(L99="Présent",M99,0),0),IF($N$5&lt;&gt;"",IF(N99="Présent",O99,0),0),IF($P$5&lt;&gt;"",IF(P99="Présent",Q99,0),0),IF($R$5&lt;&gt;"",IF(R99="Présent",S99,0),0),IF($T$5&lt;&gt;"",IF(T99="Présent",U99,0),0),IF($V$5&lt;&gt;"",IF(V99="Présent",W99,0),0),IF($X$5&lt;&gt;"",IF(X99="Présent",Y99,0),0),IF($Z$5&lt;&gt;"",IF(Z99="Présent",AA99,0),0),IF($AB$5&lt;&gt;"",IF(AB99="Présent",AC99,0),0),IF($AD$5&lt;&gt;"",IF(AD99="Présent",AE99,0),0),IF($AF$5&lt;&gt;"",IF(AF99="Présent",AG99,0),0),IF($AH$5&lt;&gt;"",IF(AH99="Présent",AI99,0),0),IF($AJ$5&lt;&gt;"",IF(AJ99="Présent",AK99,0),0),IF($AL$5&lt;&gt;"",IF(AL99="Présent",AM99,0),0),IF($AN$5&lt;&gt;"",IF(AN99="Présent",AO99,0),0),IF($AP$5&lt;&gt;"",IF(AP99="Présent",AQ99,0),0),IF($AR$5&lt;&gt;"",IF(AR99="Présent",AS99,0),0),IF($AT$5&lt;&gt;"",IF(AT99="Présent",AU99,0),0),IF($AV$5&lt;&gt;"",IF(AV99="Présent",AW99,0),0),IF($AX$5&lt;&gt;"",IF(AX99="Présent",AY99,0),0),IF($AZ$5&lt;&gt;"",IF(AZ99="Présent",BA99,0),0),IF($BB$5&lt;&gt;"",IF(BB99="Présent",BC99,0),0),IF($BD$5&lt;&gt;"",IF(BD99="Présent",BE99,0),0),IF($BF$5&lt;&gt;"",IF(BF99="Présent",BG99,0),0),IF($BH$5&lt;&gt;"",IF(BH99="Présent",BI99,0),0),IF($BJ$5&lt;&gt;"",IF(BJ99="Présent",BK99,0),0),IF($BL$5&lt;&gt;"",IF(BL99="Présent",BM99,0),0)))</f>
      </c>
      <c r="BS99" s="25">
        <f>IF($A99="","",$BN99*IFERROR(INDEX(Categories_Salaire,MATCH($C99,ListeCategories,0)),0)+$BR99*IF(IFERROR(INDEX(Categories_TauxHS,MATCH($C99,ListeCategories,0)),0)&gt;0,IFERROR(INDEX(Categories_TauxHS,MATCH($C99,ListeCategories,0)),0),TauxHSDefaut))</f>
      </c>
    </row>
    <row r="100">
      <c r="A100" s="20">
        <f>IF(AND(INDEX(Employes_Nom,94)&lt;&gt;"",INDEX(Employes_Statut,94)="Actif",OR(INDEX(Employes_Embauche,94)="",INDEX(Employes_Embauche,94)&lt;=EOMONTH(DATE(AnneeCourante,MoisCourant,1),0))),INDEX(Employes_ID,94),"")</f>
      </c>
      <c r="B100" s="19">
        <f>IF($A100="","",INDEX(Employes_Nom,MATCH($A100,Employes_ID,0)))</f>
      </c>
      <c r="C100" s="20">
        <f>IF($A100="","",INDEX(Employes_Categorie,MATCH($A100,Employes_ID,0)))</f>
      </c>
      <c r="D100" s="26"/>
      <c r="E100" s="27"/>
      <c r="F100" s="26"/>
      <c r="G100" s="27"/>
      <c r="H100" s="26"/>
      <c r="I100" s="27"/>
      <c r="J100" s="26"/>
      <c r="K100" s="27"/>
      <c r="L100" s="26"/>
      <c r="M100" s="27"/>
      <c r="N100" s="26"/>
      <c r="O100" s="27"/>
      <c r="P100" s="26"/>
      <c r="Q100" s="27"/>
      <c r="R100" s="26"/>
      <c r="S100" s="27"/>
      <c r="T100" s="26"/>
      <c r="U100" s="27"/>
      <c r="V100" s="26"/>
      <c r="W100" s="27"/>
      <c r="X100" s="26"/>
      <c r="Y100" s="27"/>
      <c r="Z100" s="26"/>
      <c r="AA100" s="27"/>
      <c r="AB100" s="26"/>
      <c r="AC100" s="27"/>
      <c r="AD100" s="26"/>
      <c r="AE100" s="27"/>
      <c r="AF100" s="26"/>
      <c r="AG100" s="27"/>
      <c r="AH100" s="26"/>
      <c r="AI100" s="27"/>
      <c r="AJ100" s="26"/>
      <c r="AK100" s="27"/>
      <c r="AL100" s="26"/>
      <c r="AM100" s="27"/>
      <c r="AN100" s="26"/>
      <c r="AO100" s="27"/>
      <c r="AP100" s="26"/>
      <c r="AQ100" s="27"/>
      <c r="AR100" s="26"/>
      <c r="AS100" s="27"/>
      <c r="AT100" s="26"/>
      <c r="AU100" s="27"/>
      <c r="AV100" s="26"/>
      <c r="AW100" s="27"/>
      <c r="AX100" s="26"/>
      <c r="AY100" s="27"/>
      <c r="AZ100" s="26"/>
      <c r="BA100" s="27"/>
      <c r="BB100" s="26"/>
      <c r="BC100" s="27"/>
      <c r="BD100" s="26"/>
      <c r="BE100" s="27"/>
      <c r="BF100" s="26"/>
      <c r="BG100" s="27"/>
      <c r="BH100" s="26"/>
      <c r="BI100" s="27"/>
      <c r="BJ100" s="26"/>
      <c r="BK100" s="27"/>
      <c r="BL100" s="26"/>
      <c r="BM100" s="27"/>
      <c r="BN100" s="22">
        <f>IF($A100="","",SUM(IF($D$5&lt;&gt;"",--(D100="Présent"),0),IF($F$5&lt;&gt;"",--(F100="Présent"),0),IF($H$5&lt;&gt;"",--(H100="Présent"),0),IF($J$5&lt;&gt;"",--(J100="Présent"),0),IF($L$5&lt;&gt;"",--(L100="Présent"),0),IF($N$5&lt;&gt;"",--(N100="Présent"),0),IF($P$5&lt;&gt;"",--(P100="Présent"),0),IF($R$5&lt;&gt;"",--(R100="Présent"),0),IF($T$5&lt;&gt;"",--(T100="Présent"),0),IF($V$5&lt;&gt;"",--(V100="Présent"),0),IF($X$5&lt;&gt;"",--(X100="Présent"),0),IF($Z$5&lt;&gt;"",--(Z100="Présent"),0),IF($AB$5&lt;&gt;"",--(AB100="Présent"),0),IF($AD$5&lt;&gt;"",--(AD100="Présent"),0),IF($AF$5&lt;&gt;"",--(AF100="Présent"),0),IF($AH$5&lt;&gt;"",--(AH100="Présent"),0),IF($AJ$5&lt;&gt;"",--(AJ100="Présent"),0),IF($AL$5&lt;&gt;"",--(AL100="Présent"),0),IF($AN$5&lt;&gt;"",--(AN100="Présent"),0),IF($AP$5&lt;&gt;"",--(AP100="Présent"),0),IF($AR$5&lt;&gt;"",--(AR100="Présent"),0),IF($AT$5&lt;&gt;"",--(AT100="Présent"),0),IF($AV$5&lt;&gt;"",--(AV100="Présent"),0),IF($AX$5&lt;&gt;"",--(AX100="Présent"),0),IF($AZ$5&lt;&gt;"",--(AZ100="Présent"),0),IF($BB$5&lt;&gt;"",--(BB100="Présent"),0),IF($BD$5&lt;&gt;"",--(BD100="Présent"),0),IF($BF$5&lt;&gt;"",--(BF100="Présent"),0),IF($BH$5&lt;&gt;"",--(BH100="Présent"),0),IF($BJ$5&lt;&gt;"",--(BJ100="Présent"),0),IF($BL$5&lt;&gt;"",--(BL100="Présent"),0)))</f>
      </c>
      <c r="BO100" s="22">
        <f>IF($A100="","",SUM(IF($D$5&lt;&gt;"",--(D100="Absent"),0),IF($F$5&lt;&gt;"",--(F100="Absent"),0),IF($H$5&lt;&gt;"",--(H100="Absent"),0),IF($J$5&lt;&gt;"",--(J100="Absent"),0),IF($L$5&lt;&gt;"",--(L100="Absent"),0),IF($N$5&lt;&gt;"",--(N100="Absent"),0),IF($P$5&lt;&gt;"",--(P100="Absent"),0),IF($R$5&lt;&gt;"",--(R100="Absent"),0),IF($T$5&lt;&gt;"",--(T100="Absent"),0),IF($V$5&lt;&gt;"",--(V100="Absent"),0),IF($X$5&lt;&gt;"",--(X100="Absent"),0),IF($Z$5&lt;&gt;"",--(Z100="Absent"),0),IF($AB$5&lt;&gt;"",--(AB100="Absent"),0),IF($AD$5&lt;&gt;"",--(AD100="Absent"),0),IF($AF$5&lt;&gt;"",--(AF100="Absent"),0),IF($AH$5&lt;&gt;"",--(AH100="Absent"),0),IF($AJ$5&lt;&gt;"",--(AJ100="Absent"),0),IF($AL$5&lt;&gt;"",--(AL100="Absent"),0),IF($AN$5&lt;&gt;"",--(AN100="Absent"),0),IF($AP$5&lt;&gt;"",--(AP100="Absent"),0),IF($AR$5&lt;&gt;"",--(AR100="Absent"),0),IF($AT$5&lt;&gt;"",--(AT100="Absent"),0),IF($AV$5&lt;&gt;"",--(AV100="Absent"),0),IF($AX$5&lt;&gt;"",--(AX100="Absent"),0),IF($AZ$5&lt;&gt;"",--(AZ100="Absent"),0),IF($BB$5&lt;&gt;"",--(BB100="Absent"),0),IF($BD$5&lt;&gt;"",--(BD100="Absent"),0),IF($BF$5&lt;&gt;"",--(BF100="Absent"),0),IF($BH$5&lt;&gt;"",--(BH100="Absent"),0),IF($BJ$5&lt;&gt;"",--(BJ100="Absent"),0),IF($BL$5&lt;&gt;"",--(BL100="Absent"),0)))</f>
      </c>
      <c r="BP100" s="22">
        <f>IF($A100="","",SUM(IF($D$5&lt;&gt;"",--(D100="Congé"),0),IF($F$5&lt;&gt;"",--(F100="Congé"),0),IF($H$5&lt;&gt;"",--(H100="Congé"),0),IF($J$5&lt;&gt;"",--(J100="Congé"),0),IF($L$5&lt;&gt;"",--(L100="Congé"),0),IF($N$5&lt;&gt;"",--(N100="Congé"),0),IF($P$5&lt;&gt;"",--(P100="Congé"),0),IF($R$5&lt;&gt;"",--(R100="Congé"),0),IF($T$5&lt;&gt;"",--(T100="Congé"),0),IF($V$5&lt;&gt;"",--(V100="Congé"),0),IF($X$5&lt;&gt;"",--(X100="Congé"),0),IF($Z$5&lt;&gt;"",--(Z100="Congé"),0),IF($AB$5&lt;&gt;"",--(AB100="Congé"),0),IF($AD$5&lt;&gt;"",--(AD100="Congé"),0),IF($AF$5&lt;&gt;"",--(AF100="Congé"),0),IF($AH$5&lt;&gt;"",--(AH100="Congé"),0),IF($AJ$5&lt;&gt;"",--(AJ100="Congé"),0),IF($AL$5&lt;&gt;"",--(AL100="Congé"),0),IF($AN$5&lt;&gt;"",--(AN100="Congé"),0),IF($AP$5&lt;&gt;"",--(AP100="Congé"),0),IF($AR$5&lt;&gt;"",--(AR100="Congé"),0),IF($AT$5&lt;&gt;"",--(AT100="Congé"),0),IF($AV$5&lt;&gt;"",--(AV100="Congé"),0),IF($AX$5&lt;&gt;"",--(AX100="Congé"),0),IF($AZ$5&lt;&gt;"",--(AZ100="Congé"),0),IF($BB$5&lt;&gt;"",--(BB100="Congé"),0),IF($BD$5&lt;&gt;"",--(BD100="Congé"),0),IF($BF$5&lt;&gt;"",--(BF100="Congé"),0),IF($BH$5&lt;&gt;"",--(BH100="Congé"),0),IF($BJ$5&lt;&gt;"",--(BJ100="Congé"),0),IF($BL$5&lt;&gt;"",--(BL100="Congé"),0)))</f>
      </c>
      <c r="BQ100" s="22">
        <f>IF($A100="","",SUM(IF($D$5&lt;&gt;"",--(D100="Maladie"),0),IF($F$5&lt;&gt;"",--(F100="Maladie"),0),IF($H$5&lt;&gt;"",--(H100="Maladie"),0),IF($J$5&lt;&gt;"",--(J100="Maladie"),0),IF($L$5&lt;&gt;"",--(L100="Maladie"),0),IF($N$5&lt;&gt;"",--(N100="Maladie"),0),IF($P$5&lt;&gt;"",--(P100="Maladie"),0),IF($R$5&lt;&gt;"",--(R100="Maladie"),0),IF($T$5&lt;&gt;"",--(T100="Maladie"),0),IF($V$5&lt;&gt;"",--(V100="Maladie"),0),IF($X$5&lt;&gt;"",--(X100="Maladie"),0),IF($Z$5&lt;&gt;"",--(Z100="Maladie"),0),IF($AB$5&lt;&gt;"",--(AB100="Maladie"),0),IF($AD$5&lt;&gt;"",--(AD100="Maladie"),0),IF($AF$5&lt;&gt;"",--(AF100="Maladie"),0),IF($AH$5&lt;&gt;"",--(AH100="Maladie"),0),IF($AJ$5&lt;&gt;"",--(AJ100="Maladie"),0),IF($AL$5&lt;&gt;"",--(AL100="Maladie"),0),IF($AN$5&lt;&gt;"",--(AN100="Maladie"),0),IF($AP$5&lt;&gt;"",--(AP100="Maladie"),0),IF($AR$5&lt;&gt;"",--(AR100="Maladie"),0),IF($AT$5&lt;&gt;"",--(AT100="Maladie"),0),IF($AV$5&lt;&gt;"",--(AV100="Maladie"),0),IF($AX$5&lt;&gt;"",--(AX100="Maladie"),0),IF($AZ$5&lt;&gt;"",--(AZ100="Maladie"),0),IF($BB$5&lt;&gt;"",--(BB100="Maladie"),0),IF($BD$5&lt;&gt;"",--(BD100="Maladie"),0),IF($BF$5&lt;&gt;"",--(BF100="Maladie"),0),IF($BH$5&lt;&gt;"",--(BH100="Maladie"),0),IF($BJ$5&lt;&gt;"",--(BJ100="Maladie"),0),IF($BL$5&lt;&gt;"",--(BL100="Maladie"),0)))</f>
      </c>
      <c r="BR100" s="23">
        <f>IF($A100="","",SUM(IF($D$5&lt;&gt;"",IF(D100="Présent",E100,0),0),IF($F$5&lt;&gt;"",IF(F100="Présent",G100,0),0),IF($H$5&lt;&gt;"",IF(H100="Présent",I100,0),0),IF($J$5&lt;&gt;"",IF(J100="Présent",K100,0),0),IF($L$5&lt;&gt;"",IF(L100="Présent",M100,0),0),IF($N$5&lt;&gt;"",IF(N100="Présent",O100,0),0),IF($P$5&lt;&gt;"",IF(P100="Présent",Q100,0),0),IF($R$5&lt;&gt;"",IF(R100="Présent",S100,0),0),IF($T$5&lt;&gt;"",IF(T100="Présent",U100,0),0),IF($V$5&lt;&gt;"",IF(V100="Présent",W100,0),0),IF($X$5&lt;&gt;"",IF(X100="Présent",Y100,0),0),IF($Z$5&lt;&gt;"",IF(Z100="Présent",AA100,0),0),IF($AB$5&lt;&gt;"",IF(AB100="Présent",AC100,0),0),IF($AD$5&lt;&gt;"",IF(AD100="Présent",AE100,0),0),IF($AF$5&lt;&gt;"",IF(AF100="Présent",AG100,0),0),IF($AH$5&lt;&gt;"",IF(AH100="Présent",AI100,0),0),IF($AJ$5&lt;&gt;"",IF(AJ100="Présent",AK100,0),0),IF($AL$5&lt;&gt;"",IF(AL100="Présent",AM100,0),0),IF($AN$5&lt;&gt;"",IF(AN100="Présent",AO100,0),0),IF($AP$5&lt;&gt;"",IF(AP100="Présent",AQ100,0),0),IF($AR$5&lt;&gt;"",IF(AR100="Présent",AS100,0),0),IF($AT$5&lt;&gt;"",IF(AT100="Présent",AU100,0),0),IF($AV$5&lt;&gt;"",IF(AV100="Présent",AW100,0),0),IF($AX$5&lt;&gt;"",IF(AX100="Présent",AY100,0),0),IF($AZ$5&lt;&gt;"",IF(AZ100="Présent",BA100,0),0),IF($BB$5&lt;&gt;"",IF(BB100="Présent",BC100,0),0),IF($BD$5&lt;&gt;"",IF(BD100="Présent",BE100,0),0),IF($BF$5&lt;&gt;"",IF(BF100="Présent",BG100,0),0),IF($BH$5&lt;&gt;"",IF(BH100="Présent",BI100,0),0),IF($BJ$5&lt;&gt;"",IF(BJ100="Présent",BK100,0),0),IF($BL$5&lt;&gt;"",IF(BL100="Présent",BM100,0),0)))</f>
      </c>
      <c r="BS100" s="25">
        <f>IF($A100="","",$BN100*IFERROR(INDEX(Categories_Salaire,MATCH($C100,ListeCategories,0)),0)+$BR100*IF(IFERROR(INDEX(Categories_TauxHS,MATCH($C100,ListeCategories,0)),0)&gt;0,IFERROR(INDEX(Categories_TauxHS,MATCH($C100,ListeCategories,0)),0),TauxHSDefaut))</f>
      </c>
    </row>
    <row r="101">
      <c r="A101" s="20">
        <f>IF(AND(INDEX(Employes_Nom,95)&lt;&gt;"",INDEX(Employes_Statut,95)="Actif",OR(INDEX(Employes_Embauche,95)="",INDEX(Employes_Embauche,95)&lt;=EOMONTH(DATE(AnneeCourante,MoisCourant,1),0))),INDEX(Employes_ID,95),"")</f>
      </c>
      <c r="B101" s="19">
        <f>IF($A101="","",INDEX(Employes_Nom,MATCH($A101,Employes_ID,0)))</f>
      </c>
      <c r="C101" s="20">
        <f>IF($A101="","",INDEX(Employes_Categorie,MATCH($A101,Employes_ID,0)))</f>
      </c>
      <c r="D101" s="26"/>
      <c r="E101" s="27"/>
      <c r="F101" s="26"/>
      <c r="G101" s="27"/>
      <c r="H101" s="26"/>
      <c r="I101" s="27"/>
      <c r="J101" s="26"/>
      <c r="K101" s="27"/>
      <c r="L101" s="26"/>
      <c r="M101" s="27"/>
      <c r="N101" s="26"/>
      <c r="O101" s="27"/>
      <c r="P101" s="26"/>
      <c r="Q101" s="27"/>
      <c r="R101" s="26"/>
      <c r="S101" s="27"/>
      <c r="T101" s="26"/>
      <c r="U101" s="27"/>
      <c r="V101" s="26"/>
      <c r="W101" s="27"/>
      <c r="X101" s="26"/>
      <c r="Y101" s="27"/>
      <c r="Z101" s="26"/>
      <c r="AA101" s="27"/>
      <c r="AB101" s="26"/>
      <c r="AC101" s="27"/>
      <c r="AD101" s="26"/>
      <c r="AE101" s="27"/>
      <c r="AF101" s="26"/>
      <c r="AG101" s="27"/>
      <c r="AH101" s="26"/>
      <c r="AI101" s="27"/>
      <c r="AJ101" s="26"/>
      <c r="AK101" s="27"/>
      <c r="AL101" s="26"/>
      <c r="AM101" s="27"/>
      <c r="AN101" s="26"/>
      <c r="AO101" s="27"/>
      <c r="AP101" s="26"/>
      <c r="AQ101" s="27"/>
      <c r="AR101" s="26"/>
      <c r="AS101" s="27"/>
      <c r="AT101" s="26"/>
      <c r="AU101" s="27"/>
      <c r="AV101" s="26"/>
      <c r="AW101" s="27"/>
      <c r="AX101" s="26"/>
      <c r="AY101" s="27"/>
      <c r="AZ101" s="26"/>
      <c r="BA101" s="27"/>
      <c r="BB101" s="26"/>
      <c r="BC101" s="27"/>
      <c r="BD101" s="26"/>
      <c r="BE101" s="27"/>
      <c r="BF101" s="26"/>
      <c r="BG101" s="27"/>
      <c r="BH101" s="26"/>
      <c r="BI101" s="27"/>
      <c r="BJ101" s="26"/>
      <c r="BK101" s="27"/>
      <c r="BL101" s="26"/>
      <c r="BM101" s="27"/>
      <c r="BN101" s="22">
        <f>IF($A101="","",SUM(IF($D$5&lt;&gt;"",--(D101="Présent"),0),IF($F$5&lt;&gt;"",--(F101="Présent"),0),IF($H$5&lt;&gt;"",--(H101="Présent"),0),IF($J$5&lt;&gt;"",--(J101="Présent"),0),IF($L$5&lt;&gt;"",--(L101="Présent"),0),IF($N$5&lt;&gt;"",--(N101="Présent"),0),IF($P$5&lt;&gt;"",--(P101="Présent"),0),IF($R$5&lt;&gt;"",--(R101="Présent"),0),IF($T$5&lt;&gt;"",--(T101="Présent"),0),IF($V$5&lt;&gt;"",--(V101="Présent"),0),IF($X$5&lt;&gt;"",--(X101="Présent"),0),IF($Z$5&lt;&gt;"",--(Z101="Présent"),0),IF($AB$5&lt;&gt;"",--(AB101="Présent"),0),IF($AD$5&lt;&gt;"",--(AD101="Présent"),0),IF($AF$5&lt;&gt;"",--(AF101="Présent"),0),IF($AH$5&lt;&gt;"",--(AH101="Présent"),0),IF($AJ$5&lt;&gt;"",--(AJ101="Présent"),0),IF($AL$5&lt;&gt;"",--(AL101="Présent"),0),IF($AN$5&lt;&gt;"",--(AN101="Présent"),0),IF($AP$5&lt;&gt;"",--(AP101="Présent"),0),IF($AR$5&lt;&gt;"",--(AR101="Présent"),0),IF($AT$5&lt;&gt;"",--(AT101="Présent"),0),IF($AV$5&lt;&gt;"",--(AV101="Présent"),0),IF($AX$5&lt;&gt;"",--(AX101="Présent"),0),IF($AZ$5&lt;&gt;"",--(AZ101="Présent"),0),IF($BB$5&lt;&gt;"",--(BB101="Présent"),0),IF($BD$5&lt;&gt;"",--(BD101="Présent"),0),IF($BF$5&lt;&gt;"",--(BF101="Présent"),0),IF($BH$5&lt;&gt;"",--(BH101="Présent"),0),IF($BJ$5&lt;&gt;"",--(BJ101="Présent"),0),IF($BL$5&lt;&gt;"",--(BL101="Présent"),0)))</f>
      </c>
      <c r="BO101" s="22">
        <f>IF($A101="","",SUM(IF($D$5&lt;&gt;"",--(D101="Absent"),0),IF($F$5&lt;&gt;"",--(F101="Absent"),0),IF($H$5&lt;&gt;"",--(H101="Absent"),0),IF($J$5&lt;&gt;"",--(J101="Absent"),0),IF($L$5&lt;&gt;"",--(L101="Absent"),0),IF($N$5&lt;&gt;"",--(N101="Absent"),0),IF($P$5&lt;&gt;"",--(P101="Absent"),0),IF($R$5&lt;&gt;"",--(R101="Absent"),0),IF($T$5&lt;&gt;"",--(T101="Absent"),0),IF($V$5&lt;&gt;"",--(V101="Absent"),0),IF($X$5&lt;&gt;"",--(X101="Absent"),0),IF($Z$5&lt;&gt;"",--(Z101="Absent"),0),IF($AB$5&lt;&gt;"",--(AB101="Absent"),0),IF($AD$5&lt;&gt;"",--(AD101="Absent"),0),IF($AF$5&lt;&gt;"",--(AF101="Absent"),0),IF($AH$5&lt;&gt;"",--(AH101="Absent"),0),IF($AJ$5&lt;&gt;"",--(AJ101="Absent"),0),IF($AL$5&lt;&gt;"",--(AL101="Absent"),0),IF($AN$5&lt;&gt;"",--(AN101="Absent"),0),IF($AP$5&lt;&gt;"",--(AP101="Absent"),0),IF($AR$5&lt;&gt;"",--(AR101="Absent"),0),IF($AT$5&lt;&gt;"",--(AT101="Absent"),0),IF($AV$5&lt;&gt;"",--(AV101="Absent"),0),IF($AX$5&lt;&gt;"",--(AX101="Absent"),0),IF($AZ$5&lt;&gt;"",--(AZ101="Absent"),0),IF($BB$5&lt;&gt;"",--(BB101="Absent"),0),IF($BD$5&lt;&gt;"",--(BD101="Absent"),0),IF($BF$5&lt;&gt;"",--(BF101="Absent"),0),IF($BH$5&lt;&gt;"",--(BH101="Absent"),0),IF($BJ$5&lt;&gt;"",--(BJ101="Absent"),0),IF($BL$5&lt;&gt;"",--(BL101="Absent"),0)))</f>
      </c>
      <c r="BP101" s="22">
        <f>IF($A101="","",SUM(IF($D$5&lt;&gt;"",--(D101="Congé"),0),IF($F$5&lt;&gt;"",--(F101="Congé"),0),IF($H$5&lt;&gt;"",--(H101="Congé"),0),IF($J$5&lt;&gt;"",--(J101="Congé"),0),IF($L$5&lt;&gt;"",--(L101="Congé"),0),IF($N$5&lt;&gt;"",--(N101="Congé"),0),IF($P$5&lt;&gt;"",--(P101="Congé"),0),IF($R$5&lt;&gt;"",--(R101="Congé"),0),IF($T$5&lt;&gt;"",--(T101="Congé"),0),IF($V$5&lt;&gt;"",--(V101="Congé"),0),IF($X$5&lt;&gt;"",--(X101="Congé"),0),IF($Z$5&lt;&gt;"",--(Z101="Congé"),0),IF($AB$5&lt;&gt;"",--(AB101="Congé"),0),IF($AD$5&lt;&gt;"",--(AD101="Congé"),0),IF($AF$5&lt;&gt;"",--(AF101="Congé"),0),IF($AH$5&lt;&gt;"",--(AH101="Congé"),0),IF($AJ$5&lt;&gt;"",--(AJ101="Congé"),0),IF($AL$5&lt;&gt;"",--(AL101="Congé"),0),IF($AN$5&lt;&gt;"",--(AN101="Congé"),0),IF($AP$5&lt;&gt;"",--(AP101="Congé"),0),IF($AR$5&lt;&gt;"",--(AR101="Congé"),0),IF($AT$5&lt;&gt;"",--(AT101="Congé"),0),IF($AV$5&lt;&gt;"",--(AV101="Congé"),0),IF($AX$5&lt;&gt;"",--(AX101="Congé"),0),IF($AZ$5&lt;&gt;"",--(AZ101="Congé"),0),IF($BB$5&lt;&gt;"",--(BB101="Congé"),0),IF($BD$5&lt;&gt;"",--(BD101="Congé"),0),IF($BF$5&lt;&gt;"",--(BF101="Congé"),0),IF($BH$5&lt;&gt;"",--(BH101="Congé"),0),IF($BJ$5&lt;&gt;"",--(BJ101="Congé"),0),IF($BL$5&lt;&gt;"",--(BL101="Congé"),0)))</f>
      </c>
      <c r="BQ101" s="22">
        <f>IF($A101="","",SUM(IF($D$5&lt;&gt;"",--(D101="Maladie"),0),IF($F$5&lt;&gt;"",--(F101="Maladie"),0),IF($H$5&lt;&gt;"",--(H101="Maladie"),0),IF($J$5&lt;&gt;"",--(J101="Maladie"),0),IF($L$5&lt;&gt;"",--(L101="Maladie"),0),IF($N$5&lt;&gt;"",--(N101="Maladie"),0),IF($P$5&lt;&gt;"",--(P101="Maladie"),0),IF($R$5&lt;&gt;"",--(R101="Maladie"),0),IF($T$5&lt;&gt;"",--(T101="Maladie"),0),IF($V$5&lt;&gt;"",--(V101="Maladie"),0),IF($X$5&lt;&gt;"",--(X101="Maladie"),0),IF($Z$5&lt;&gt;"",--(Z101="Maladie"),0),IF($AB$5&lt;&gt;"",--(AB101="Maladie"),0),IF($AD$5&lt;&gt;"",--(AD101="Maladie"),0),IF($AF$5&lt;&gt;"",--(AF101="Maladie"),0),IF($AH$5&lt;&gt;"",--(AH101="Maladie"),0),IF($AJ$5&lt;&gt;"",--(AJ101="Maladie"),0),IF($AL$5&lt;&gt;"",--(AL101="Maladie"),0),IF($AN$5&lt;&gt;"",--(AN101="Maladie"),0),IF($AP$5&lt;&gt;"",--(AP101="Maladie"),0),IF($AR$5&lt;&gt;"",--(AR101="Maladie"),0),IF($AT$5&lt;&gt;"",--(AT101="Maladie"),0),IF($AV$5&lt;&gt;"",--(AV101="Maladie"),0),IF($AX$5&lt;&gt;"",--(AX101="Maladie"),0),IF($AZ$5&lt;&gt;"",--(AZ101="Maladie"),0),IF($BB$5&lt;&gt;"",--(BB101="Maladie"),0),IF($BD$5&lt;&gt;"",--(BD101="Maladie"),0),IF($BF$5&lt;&gt;"",--(BF101="Maladie"),0),IF($BH$5&lt;&gt;"",--(BH101="Maladie"),0),IF($BJ$5&lt;&gt;"",--(BJ101="Maladie"),0),IF($BL$5&lt;&gt;"",--(BL101="Maladie"),0)))</f>
      </c>
      <c r="BR101" s="23">
        <f>IF($A101="","",SUM(IF($D$5&lt;&gt;"",IF(D101="Présent",E101,0),0),IF($F$5&lt;&gt;"",IF(F101="Présent",G101,0),0),IF($H$5&lt;&gt;"",IF(H101="Présent",I101,0),0),IF($J$5&lt;&gt;"",IF(J101="Présent",K101,0),0),IF($L$5&lt;&gt;"",IF(L101="Présent",M101,0),0),IF($N$5&lt;&gt;"",IF(N101="Présent",O101,0),0),IF($P$5&lt;&gt;"",IF(P101="Présent",Q101,0),0),IF($R$5&lt;&gt;"",IF(R101="Présent",S101,0),0),IF($T$5&lt;&gt;"",IF(T101="Présent",U101,0),0),IF($V$5&lt;&gt;"",IF(V101="Présent",W101,0),0),IF($X$5&lt;&gt;"",IF(X101="Présent",Y101,0),0),IF($Z$5&lt;&gt;"",IF(Z101="Présent",AA101,0),0),IF($AB$5&lt;&gt;"",IF(AB101="Présent",AC101,0),0),IF($AD$5&lt;&gt;"",IF(AD101="Présent",AE101,0),0),IF($AF$5&lt;&gt;"",IF(AF101="Présent",AG101,0),0),IF($AH$5&lt;&gt;"",IF(AH101="Présent",AI101,0),0),IF($AJ$5&lt;&gt;"",IF(AJ101="Présent",AK101,0),0),IF($AL$5&lt;&gt;"",IF(AL101="Présent",AM101,0),0),IF($AN$5&lt;&gt;"",IF(AN101="Présent",AO101,0),0),IF($AP$5&lt;&gt;"",IF(AP101="Présent",AQ101,0),0),IF($AR$5&lt;&gt;"",IF(AR101="Présent",AS101,0),0),IF($AT$5&lt;&gt;"",IF(AT101="Présent",AU101,0),0),IF($AV$5&lt;&gt;"",IF(AV101="Présent",AW101,0),0),IF($AX$5&lt;&gt;"",IF(AX101="Présent",AY101,0),0),IF($AZ$5&lt;&gt;"",IF(AZ101="Présent",BA101,0),0),IF($BB$5&lt;&gt;"",IF(BB101="Présent",BC101,0),0),IF($BD$5&lt;&gt;"",IF(BD101="Présent",BE101,0),0),IF($BF$5&lt;&gt;"",IF(BF101="Présent",BG101,0),0),IF($BH$5&lt;&gt;"",IF(BH101="Présent",BI101,0),0),IF($BJ$5&lt;&gt;"",IF(BJ101="Présent",BK101,0),0),IF($BL$5&lt;&gt;"",IF(BL101="Présent",BM101,0),0)))</f>
      </c>
      <c r="BS101" s="25">
        <f>IF($A101="","",$BN101*IFERROR(INDEX(Categories_Salaire,MATCH($C101,ListeCategories,0)),0)+$BR101*IF(IFERROR(INDEX(Categories_TauxHS,MATCH($C101,ListeCategories,0)),0)&gt;0,IFERROR(INDEX(Categories_TauxHS,MATCH($C101,ListeCategories,0)),0),TauxHSDefaut))</f>
      </c>
    </row>
    <row r="102">
      <c r="A102" s="20">
        <f>IF(AND(INDEX(Employes_Nom,96)&lt;&gt;"",INDEX(Employes_Statut,96)="Actif",OR(INDEX(Employes_Embauche,96)="",INDEX(Employes_Embauche,96)&lt;=EOMONTH(DATE(AnneeCourante,MoisCourant,1),0))),INDEX(Employes_ID,96),"")</f>
      </c>
      <c r="B102" s="19">
        <f>IF($A102="","",INDEX(Employes_Nom,MATCH($A102,Employes_ID,0)))</f>
      </c>
      <c r="C102" s="20">
        <f>IF($A102="","",INDEX(Employes_Categorie,MATCH($A102,Employes_ID,0)))</f>
      </c>
      <c r="D102" s="26"/>
      <c r="E102" s="27"/>
      <c r="F102" s="26"/>
      <c r="G102" s="27"/>
      <c r="H102" s="26"/>
      <c r="I102" s="27"/>
      <c r="J102" s="26"/>
      <c r="K102" s="27"/>
      <c r="L102" s="26"/>
      <c r="M102" s="27"/>
      <c r="N102" s="26"/>
      <c r="O102" s="27"/>
      <c r="P102" s="26"/>
      <c r="Q102" s="27"/>
      <c r="R102" s="26"/>
      <c r="S102" s="27"/>
      <c r="T102" s="26"/>
      <c r="U102" s="27"/>
      <c r="V102" s="26"/>
      <c r="W102" s="27"/>
      <c r="X102" s="26"/>
      <c r="Y102" s="27"/>
      <c r="Z102" s="26"/>
      <c r="AA102" s="27"/>
      <c r="AB102" s="26"/>
      <c r="AC102" s="27"/>
      <c r="AD102" s="26"/>
      <c r="AE102" s="27"/>
      <c r="AF102" s="26"/>
      <c r="AG102" s="27"/>
      <c r="AH102" s="26"/>
      <c r="AI102" s="27"/>
      <c r="AJ102" s="26"/>
      <c r="AK102" s="27"/>
      <c r="AL102" s="26"/>
      <c r="AM102" s="27"/>
      <c r="AN102" s="26"/>
      <c r="AO102" s="27"/>
      <c r="AP102" s="26"/>
      <c r="AQ102" s="27"/>
      <c r="AR102" s="26"/>
      <c r="AS102" s="27"/>
      <c r="AT102" s="26"/>
      <c r="AU102" s="27"/>
      <c r="AV102" s="26"/>
      <c r="AW102" s="27"/>
      <c r="AX102" s="26"/>
      <c r="AY102" s="27"/>
      <c r="AZ102" s="26"/>
      <c r="BA102" s="27"/>
      <c r="BB102" s="26"/>
      <c r="BC102" s="27"/>
      <c r="BD102" s="26"/>
      <c r="BE102" s="27"/>
      <c r="BF102" s="26"/>
      <c r="BG102" s="27"/>
      <c r="BH102" s="26"/>
      <c r="BI102" s="27"/>
      <c r="BJ102" s="26"/>
      <c r="BK102" s="27"/>
      <c r="BL102" s="26"/>
      <c r="BM102" s="27"/>
      <c r="BN102" s="22">
        <f>IF($A102="","",SUM(IF($D$5&lt;&gt;"",--(D102="Présent"),0),IF($F$5&lt;&gt;"",--(F102="Présent"),0),IF($H$5&lt;&gt;"",--(H102="Présent"),0),IF($J$5&lt;&gt;"",--(J102="Présent"),0),IF($L$5&lt;&gt;"",--(L102="Présent"),0),IF($N$5&lt;&gt;"",--(N102="Présent"),0),IF($P$5&lt;&gt;"",--(P102="Présent"),0),IF($R$5&lt;&gt;"",--(R102="Présent"),0),IF($T$5&lt;&gt;"",--(T102="Présent"),0),IF($V$5&lt;&gt;"",--(V102="Présent"),0),IF($X$5&lt;&gt;"",--(X102="Présent"),0),IF($Z$5&lt;&gt;"",--(Z102="Présent"),0),IF($AB$5&lt;&gt;"",--(AB102="Présent"),0),IF($AD$5&lt;&gt;"",--(AD102="Présent"),0),IF($AF$5&lt;&gt;"",--(AF102="Présent"),0),IF($AH$5&lt;&gt;"",--(AH102="Présent"),0),IF($AJ$5&lt;&gt;"",--(AJ102="Présent"),0),IF($AL$5&lt;&gt;"",--(AL102="Présent"),0),IF($AN$5&lt;&gt;"",--(AN102="Présent"),0),IF($AP$5&lt;&gt;"",--(AP102="Présent"),0),IF($AR$5&lt;&gt;"",--(AR102="Présent"),0),IF($AT$5&lt;&gt;"",--(AT102="Présent"),0),IF($AV$5&lt;&gt;"",--(AV102="Présent"),0),IF($AX$5&lt;&gt;"",--(AX102="Présent"),0),IF($AZ$5&lt;&gt;"",--(AZ102="Présent"),0),IF($BB$5&lt;&gt;"",--(BB102="Présent"),0),IF($BD$5&lt;&gt;"",--(BD102="Présent"),0),IF($BF$5&lt;&gt;"",--(BF102="Présent"),0),IF($BH$5&lt;&gt;"",--(BH102="Présent"),0),IF($BJ$5&lt;&gt;"",--(BJ102="Présent"),0),IF($BL$5&lt;&gt;"",--(BL102="Présent"),0)))</f>
      </c>
      <c r="BO102" s="22">
        <f>IF($A102="","",SUM(IF($D$5&lt;&gt;"",--(D102="Absent"),0),IF($F$5&lt;&gt;"",--(F102="Absent"),0),IF($H$5&lt;&gt;"",--(H102="Absent"),0),IF($J$5&lt;&gt;"",--(J102="Absent"),0),IF($L$5&lt;&gt;"",--(L102="Absent"),0),IF($N$5&lt;&gt;"",--(N102="Absent"),0),IF($P$5&lt;&gt;"",--(P102="Absent"),0),IF($R$5&lt;&gt;"",--(R102="Absent"),0),IF($T$5&lt;&gt;"",--(T102="Absent"),0),IF($V$5&lt;&gt;"",--(V102="Absent"),0),IF($X$5&lt;&gt;"",--(X102="Absent"),0),IF($Z$5&lt;&gt;"",--(Z102="Absent"),0),IF($AB$5&lt;&gt;"",--(AB102="Absent"),0),IF($AD$5&lt;&gt;"",--(AD102="Absent"),0),IF($AF$5&lt;&gt;"",--(AF102="Absent"),0),IF($AH$5&lt;&gt;"",--(AH102="Absent"),0),IF($AJ$5&lt;&gt;"",--(AJ102="Absent"),0),IF($AL$5&lt;&gt;"",--(AL102="Absent"),0),IF($AN$5&lt;&gt;"",--(AN102="Absent"),0),IF($AP$5&lt;&gt;"",--(AP102="Absent"),0),IF($AR$5&lt;&gt;"",--(AR102="Absent"),0),IF($AT$5&lt;&gt;"",--(AT102="Absent"),0),IF($AV$5&lt;&gt;"",--(AV102="Absent"),0),IF($AX$5&lt;&gt;"",--(AX102="Absent"),0),IF($AZ$5&lt;&gt;"",--(AZ102="Absent"),0),IF($BB$5&lt;&gt;"",--(BB102="Absent"),0),IF($BD$5&lt;&gt;"",--(BD102="Absent"),0),IF($BF$5&lt;&gt;"",--(BF102="Absent"),0),IF($BH$5&lt;&gt;"",--(BH102="Absent"),0),IF($BJ$5&lt;&gt;"",--(BJ102="Absent"),0),IF($BL$5&lt;&gt;"",--(BL102="Absent"),0)))</f>
      </c>
      <c r="BP102" s="22">
        <f>IF($A102="","",SUM(IF($D$5&lt;&gt;"",--(D102="Congé"),0),IF($F$5&lt;&gt;"",--(F102="Congé"),0),IF($H$5&lt;&gt;"",--(H102="Congé"),0),IF($J$5&lt;&gt;"",--(J102="Congé"),0),IF($L$5&lt;&gt;"",--(L102="Congé"),0),IF($N$5&lt;&gt;"",--(N102="Congé"),0),IF($P$5&lt;&gt;"",--(P102="Congé"),0),IF($R$5&lt;&gt;"",--(R102="Congé"),0),IF($T$5&lt;&gt;"",--(T102="Congé"),0),IF($V$5&lt;&gt;"",--(V102="Congé"),0),IF($X$5&lt;&gt;"",--(X102="Congé"),0),IF($Z$5&lt;&gt;"",--(Z102="Congé"),0),IF($AB$5&lt;&gt;"",--(AB102="Congé"),0),IF($AD$5&lt;&gt;"",--(AD102="Congé"),0),IF($AF$5&lt;&gt;"",--(AF102="Congé"),0),IF($AH$5&lt;&gt;"",--(AH102="Congé"),0),IF($AJ$5&lt;&gt;"",--(AJ102="Congé"),0),IF($AL$5&lt;&gt;"",--(AL102="Congé"),0),IF($AN$5&lt;&gt;"",--(AN102="Congé"),0),IF($AP$5&lt;&gt;"",--(AP102="Congé"),0),IF($AR$5&lt;&gt;"",--(AR102="Congé"),0),IF($AT$5&lt;&gt;"",--(AT102="Congé"),0),IF($AV$5&lt;&gt;"",--(AV102="Congé"),0),IF($AX$5&lt;&gt;"",--(AX102="Congé"),0),IF($AZ$5&lt;&gt;"",--(AZ102="Congé"),0),IF($BB$5&lt;&gt;"",--(BB102="Congé"),0),IF($BD$5&lt;&gt;"",--(BD102="Congé"),0),IF($BF$5&lt;&gt;"",--(BF102="Congé"),0),IF($BH$5&lt;&gt;"",--(BH102="Congé"),0),IF($BJ$5&lt;&gt;"",--(BJ102="Congé"),0),IF($BL$5&lt;&gt;"",--(BL102="Congé"),0)))</f>
      </c>
      <c r="BQ102" s="22">
        <f>IF($A102="","",SUM(IF($D$5&lt;&gt;"",--(D102="Maladie"),0),IF($F$5&lt;&gt;"",--(F102="Maladie"),0),IF($H$5&lt;&gt;"",--(H102="Maladie"),0),IF($J$5&lt;&gt;"",--(J102="Maladie"),0),IF($L$5&lt;&gt;"",--(L102="Maladie"),0),IF($N$5&lt;&gt;"",--(N102="Maladie"),0),IF($P$5&lt;&gt;"",--(P102="Maladie"),0),IF($R$5&lt;&gt;"",--(R102="Maladie"),0),IF($T$5&lt;&gt;"",--(T102="Maladie"),0),IF($V$5&lt;&gt;"",--(V102="Maladie"),0),IF($X$5&lt;&gt;"",--(X102="Maladie"),0),IF($Z$5&lt;&gt;"",--(Z102="Maladie"),0),IF($AB$5&lt;&gt;"",--(AB102="Maladie"),0),IF($AD$5&lt;&gt;"",--(AD102="Maladie"),0),IF($AF$5&lt;&gt;"",--(AF102="Maladie"),0),IF($AH$5&lt;&gt;"",--(AH102="Maladie"),0),IF($AJ$5&lt;&gt;"",--(AJ102="Maladie"),0),IF($AL$5&lt;&gt;"",--(AL102="Maladie"),0),IF($AN$5&lt;&gt;"",--(AN102="Maladie"),0),IF($AP$5&lt;&gt;"",--(AP102="Maladie"),0),IF($AR$5&lt;&gt;"",--(AR102="Maladie"),0),IF($AT$5&lt;&gt;"",--(AT102="Maladie"),0),IF($AV$5&lt;&gt;"",--(AV102="Maladie"),0),IF($AX$5&lt;&gt;"",--(AX102="Maladie"),0),IF($AZ$5&lt;&gt;"",--(AZ102="Maladie"),0),IF($BB$5&lt;&gt;"",--(BB102="Maladie"),0),IF($BD$5&lt;&gt;"",--(BD102="Maladie"),0),IF($BF$5&lt;&gt;"",--(BF102="Maladie"),0),IF($BH$5&lt;&gt;"",--(BH102="Maladie"),0),IF($BJ$5&lt;&gt;"",--(BJ102="Maladie"),0),IF($BL$5&lt;&gt;"",--(BL102="Maladie"),0)))</f>
      </c>
      <c r="BR102" s="23">
        <f>IF($A102="","",SUM(IF($D$5&lt;&gt;"",IF(D102="Présent",E102,0),0),IF($F$5&lt;&gt;"",IF(F102="Présent",G102,0),0),IF($H$5&lt;&gt;"",IF(H102="Présent",I102,0),0),IF($J$5&lt;&gt;"",IF(J102="Présent",K102,0),0),IF($L$5&lt;&gt;"",IF(L102="Présent",M102,0),0),IF($N$5&lt;&gt;"",IF(N102="Présent",O102,0),0),IF($P$5&lt;&gt;"",IF(P102="Présent",Q102,0),0),IF($R$5&lt;&gt;"",IF(R102="Présent",S102,0),0),IF($T$5&lt;&gt;"",IF(T102="Présent",U102,0),0),IF($V$5&lt;&gt;"",IF(V102="Présent",W102,0),0),IF($X$5&lt;&gt;"",IF(X102="Présent",Y102,0),0),IF($Z$5&lt;&gt;"",IF(Z102="Présent",AA102,0),0),IF($AB$5&lt;&gt;"",IF(AB102="Présent",AC102,0),0),IF($AD$5&lt;&gt;"",IF(AD102="Présent",AE102,0),0),IF($AF$5&lt;&gt;"",IF(AF102="Présent",AG102,0),0),IF($AH$5&lt;&gt;"",IF(AH102="Présent",AI102,0),0),IF($AJ$5&lt;&gt;"",IF(AJ102="Présent",AK102,0),0),IF($AL$5&lt;&gt;"",IF(AL102="Présent",AM102,0),0),IF($AN$5&lt;&gt;"",IF(AN102="Présent",AO102,0),0),IF($AP$5&lt;&gt;"",IF(AP102="Présent",AQ102,0),0),IF($AR$5&lt;&gt;"",IF(AR102="Présent",AS102,0),0),IF($AT$5&lt;&gt;"",IF(AT102="Présent",AU102,0),0),IF($AV$5&lt;&gt;"",IF(AV102="Présent",AW102,0),0),IF($AX$5&lt;&gt;"",IF(AX102="Présent",AY102,0),0),IF($AZ$5&lt;&gt;"",IF(AZ102="Présent",BA102,0),0),IF($BB$5&lt;&gt;"",IF(BB102="Présent",BC102,0),0),IF($BD$5&lt;&gt;"",IF(BD102="Présent",BE102,0),0),IF($BF$5&lt;&gt;"",IF(BF102="Présent",BG102,0),0),IF($BH$5&lt;&gt;"",IF(BH102="Présent",BI102,0),0),IF($BJ$5&lt;&gt;"",IF(BJ102="Présent",BK102,0),0),IF($BL$5&lt;&gt;"",IF(BL102="Présent",BM102,0),0)))</f>
      </c>
      <c r="BS102" s="25">
        <f>IF($A102="","",$BN102*IFERROR(INDEX(Categories_Salaire,MATCH($C102,ListeCategories,0)),0)+$BR102*IF(IFERROR(INDEX(Categories_TauxHS,MATCH($C102,ListeCategories,0)),0)&gt;0,IFERROR(INDEX(Categories_TauxHS,MATCH($C102,ListeCategories,0)),0),TauxHSDefaut))</f>
      </c>
    </row>
    <row r="103">
      <c r="A103" s="20">
        <f>IF(AND(INDEX(Employes_Nom,97)&lt;&gt;"",INDEX(Employes_Statut,97)="Actif",OR(INDEX(Employes_Embauche,97)="",INDEX(Employes_Embauche,97)&lt;=EOMONTH(DATE(AnneeCourante,MoisCourant,1),0))),INDEX(Employes_ID,97),"")</f>
      </c>
      <c r="B103" s="19">
        <f>IF($A103="","",INDEX(Employes_Nom,MATCH($A103,Employes_ID,0)))</f>
      </c>
      <c r="C103" s="20">
        <f>IF($A103="","",INDEX(Employes_Categorie,MATCH($A103,Employes_ID,0)))</f>
      </c>
      <c r="D103" s="26"/>
      <c r="E103" s="27"/>
      <c r="F103" s="26"/>
      <c r="G103" s="27"/>
      <c r="H103" s="26"/>
      <c r="I103" s="27"/>
      <c r="J103" s="26"/>
      <c r="K103" s="27"/>
      <c r="L103" s="26"/>
      <c r="M103" s="27"/>
      <c r="N103" s="26"/>
      <c r="O103" s="27"/>
      <c r="P103" s="26"/>
      <c r="Q103" s="27"/>
      <c r="R103" s="26"/>
      <c r="S103" s="27"/>
      <c r="T103" s="26"/>
      <c r="U103" s="27"/>
      <c r="V103" s="26"/>
      <c r="W103" s="27"/>
      <c r="X103" s="26"/>
      <c r="Y103" s="27"/>
      <c r="Z103" s="26"/>
      <c r="AA103" s="27"/>
      <c r="AB103" s="26"/>
      <c r="AC103" s="27"/>
      <c r="AD103" s="26"/>
      <c r="AE103" s="27"/>
      <c r="AF103" s="26"/>
      <c r="AG103" s="27"/>
      <c r="AH103" s="26"/>
      <c r="AI103" s="27"/>
      <c r="AJ103" s="26"/>
      <c r="AK103" s="27"/>
      <c r="AL103" s="26"/>
      <c r="AM103" s="27"/>
      <c r="AN103" s="26"/>
      <c r="AO103" s="27"/>
      <c r="AP103" s="26"/>
      <c r="AQ103" s="27"/>
      <c r="AR103" s="26"/>
      <c r="AS103" s="27"/>
      <c r="AT103" s="26"/>
      <c r="AU103" s="27"/>
      <c r="AV103" s="26"/>
      <c r="AW103" s="27"/>
      <c r="AX103" s="26"/>
      <c r="AY103" s="27"/>
      <c r="AZ103" s="26"/>
      <c r="BA103" s="27"/>
      <c r="BB103" s="26"/>
      <c r="BC103" s="27"/>
      <c r="BD103" s="26"/>
      <c r="BE103" s="27"/>
      <c r="BF103" s="26"/>
      <c r="BG103" s="27"/>
      <c r="BH103" s="26"/>
      <c r="BI103" s="27"/>
      <c r="BJ103" s="26"/>
      <c r="BK103" s="27"/>
      <c r="BL103" s="26"/>
      <c r="BM103" s="27"/>
      <c r="BN103" s="22">
        <f>IF($A103="","",SUM(IF($D$5&lt;&gt;"",--(D103="Présent"),0),IF($F$5&lt;&gt;"",--(F103="Présent"),0),IF($H$5&lt;&gt;"",--(H103="Présent"),0),IF($J$5&lt;&gt;"",--(J103="Présent"),0),IF($L$5&lt;&gt;"",--(L103="Présent"),0),IF($N$5&lt;&gt;"",--(N103="Présent"),0),IF($P$5&lt;&gt;"",--(P103="Présent"),0),IF($R$5&lt;&gt;"",--(R103="Présent"),0),IF($T$5&lt;&gt;"",--(T103="Présent"),0),IF($V$5&lt;&gt;"",--(V103="Présent"),0),IF($X$5&lt;&gt;"",--(X103="Présent"),0),IF($Z$5&lt;&gt;"",--(Z103="Présent"),0),IF($AB$5&lt;&gt;"",--(AB103="Présent"),0),IF($AD$5&lt;&gt;"",--(AD103="Présent"),0),IF($AF$5&lt;&gt;"",--(AF103="Présent"),0),IF($AH$5&lt;&gt;"",--(AH103="Présent"),0),IF($AJ$5&lt;&gt;"",--(AJ103="Présent"),0),IF($AL$5&lt;&gt;"",--(AL103="Présent"),0),IF($AN$5&lt;&gt;"",--(AN103="Présent"),0),IF($AP$5&lt;&gt;"",--(AP103="Présent"),0),IF($AR$5&lt;&gt;"",--(AR103="Présent"),0),IF($AT$5&lt;&gt;"",--(AT103="Présent"),0),IF($AV$5&lt;&gt;"",--(AV103="Présent"),0),IF($AX$5&lt;&gt;"",--(AX103="Présent"),0),IF($AZ$5&lt;&gt;"",--(AZ103="Présent"),0),IF($BB$5&lt;&gt;"",--(BB103="Présent"),0),IF($BD$5&lt;&gt;"",--(BD103="Présent"),0),IF($BF$5&lt;&gt;"",--(BF103="Présent"),0),IF($BH$5&lt;&gt;"",--(BH103="Présent"),0),IF($BJ$5&lt;&gt;"",--(BJ103="Présent"),0),IF($BL$5&lt;&gt;"",--(BL103="Présent"),0)))</f>
      </c>
      <c r="BO103" s="22">
        <f>IF($A103="","",SUM(IF($D$5&lt;&gt;"",--(D103="Absent"),0),IF($F$5&lt;&gt;"",--(F103="Absent"),0),IF($H$5&lt;&gt;"",--(H103="Absent"),0),IF($J$5&lt;&gt;"",--(J103="Absent"),0),IF($L$5&lt;&gt;"",--(L103="Absent"),0),IF($N$5&lt;&gt;"",--(N103="Absent"),0),IF($P$5&lt;&gt;"",--(P103="Absent"),0),IF($R$5&lt;&gt;"",--(R103="Absent"),0),IF($T$5&lt;&gt;"",--(T103="Absent"),0),IF($V$5&lt;&gt;"",--(V103="Absent"),0),IF($X$5&lt;&gt;"",--(X103="Absent"),0),IF($Z$5&lt;&gt;"",--(Z103="Absent"),0),IF($AB$5&lt;&gt;"",--(AB103="Absent"),0),IF($AD$5&lt;&gt;"",--(AD103="Absent"),0),IF($AF$5&lt;&gt;"",--(AF103="Absent"),0),IF($AH$5&lt;&gt;"",--(AH103="Absent"),0),IF($AJ$5&lt;&gt;"",--(AJ103="Absent"),0),IF($AL$5&lt;&gt;"",--(AL103="Absent"),0),IF($AN$5&lt;&gt;"",--(AN103="Absent"),0),IF($AP$5&lt;&gt;"",--(AP103="Absent"),0),IF($AR$5&lt;&gt;"",--(AR103="Absent"),0),IF($AT$5&lt;&gt;"",--(AT103="Absent"),0),IF($AV$5&lt;&gt;"",--(AV103="Absent"),0),IF($AX$5&lt;&gt;"",--(AX103="Absent"),0),IF($AZ$5&lt;&gt;"",--(AZ103="Absent"),0),IF($BB$5&lt;&gt;"",--(BB103="Absent"),0),IF($BD$5&lt;&gt;"",--(BD103="Absent"),0),IF($BF$5&lt;&gt;"",--(BF103="Absent"),0),IF($BH$5&lt;&gt;"",--(BH103="Absent"),0),IF($BJ$5&lt;&gt;"",--(BJ103="Absent"),0),IF($BL$5&lt;&gt;"",--(BL103="Absent"),0)))</f>
      </c>
      <c r="BP103" s="22">
        <f>IF($A103="","",SUM(IF($D$5&lt;&gt;"",--(D103="Congé"),0),IF($F$5&lt;&gt;"",--(F103="Congé"),0),IF($H$5&lt;&gt;"",--(H103="Congé"),0),IF($J$5&lt;&gt;"",--(J103="Congé"),0),IF($L$5&lt;&gt;"",--(L103="Congé"),0),IF($N$5&lt;&gt;"",--(N103="Congé"),0),IF($P$5&lt;&gt;"",--(P103="Congé"),0),IF($R$5&lt;&gt;"",--(R103="Congé"),0),IF($T$5&lt;&gt;"",--(T103="Congé"),0),IF($V$5&lt;&gt;"",--(V103="Congé"),0),IF($X$5&lt;&gt;"",--(X103="Congé"),0),IF($Z$5&lt;&gt;"",--(Z103="Congé"),0),IF($AB$5&lt;&gt;"",--(AB103="Congé"),0),IF($AD$5&lt;&gt;"",--(AD103="Congé"),0),IF($AF$5&lt;&gt;"",--(AF103="Congé"),0),IF($AH$5&lt;&gt;"",--(AH103="Congé"),0),IF($AJ$5&lt;&gt;"",--(AJ103="Congé"),0),IF($AL$5&lt;&gt;"",--(AL103="Congé"),0),IF($AN$5&lt;&gt;"",--(AN103="Congé"),0),IF($AP$5&lt;&gt;"",--(AP103="Congé"),0),IF($AR$5&lt;&gt;"",--(AR103="Congé"),0),IF($AT$5&lt;&gt;"",--(AT103="Congé"),0),IF($AV$5&lt;&gt;"",--(AV103="Congé"),0),IF($AX$5&lt;&gt;"",--(AX103="Congé"),0),IF($AZ$5&lt;&gt;"",--(AZ103="Congé"),0),IF($BB$5&lt;&gt;"",--(BB103="Congé"),0),IF($BD$5&lt;&gt;"",--(BD103="Congé"),0),IF($BF$5&lt;&gt;"",--(BF103="Congé"),0),IF($BH$5&lt;&gt;"",--(BH103="Congé"),0),IF($BJ$5&lt;&gt;"",--(BJ103="Congé"),0),IF($BL$5&lt;&gt;"",--(BL103="Congé"),0)))</f>
      </c>
      <c r="BQ103" s="22">
        <f>IF($A103="","",SUM(IF($D$5&lt;&gt;"",--(D103="Maladie"),0),IF($F$5&lt;&gt;"",--(F103="Maladie"),0),IF($H$5&lt;&gt;"",--(H103="Maladie"),0),IF($J$5&lt;&gt;"",--(J103="Maladie"),0),IF($L$5&lt;&gt;"",--(L103="Maladie"),0),IF($N$5&lt;&gt;"",--(N103="Maladie"),0),IF($P$5&lt;&gt;"",--(P103="Maladie"),0),IF($R$5&lt;&gt;"",--(R103="Maladie"),0),IF($T$5&lt;&gt;"",--(T103="Maladie"),0),IF($V$5&lt;&gt;"",--(V103="Maladie"),0),IF($X$5&lt;&gt;"",--(X103="Maladie"),0),IF($Z$5&lt;&gt;"",--(Z103="Maladie"),0),IF($AB$5&lt;&gt;"",--(AB103="Maladie"),0),IF($AD$5&lt;&gt;"",--(AD103="Maladie"),0),IF($AF$5&lt;&gt;"",--(AF103="Maladie"),0),IF($AH$5&lt;&gt;"",--(AH103="Maladie"),0),IF($AJ$5&lt;&gt;"",--(AJ103="Maladie"),0),IF($AL$5&lt;&gt;"",--(AL103="Maladie"),0),IF($AN$5&lt;&gt;"",--(AN103="Maladie"),0),IF($AP$5&lt;&gt;"",--(AP103="Maladie"),0),IF($AR$5&lt;&gt;"",--(AR103="Maladie"),0),IF($AT$5&lt;&gt;"",--(AT103="Maladie"),0),IF($AV$5&lt;&gt;"",--(AV103="Maladie"),0),IF($AX$5&lt;&gt;"",--(AX103="Maladie"),0),IF($AZ$5&lt;&gt;"",--(AZ103="Maladie"),0),IF($BB$5&lt;&gt;"",--(BB103="Maladie"),0),IF($BD$5&lt;&gt;"",--(BD103="Maladie"),0),IF($BF$5&lt;&gt;"",--(BF103="Maladie"),0),IF($BH$5&lt;&gt;"",--(BH103="Maladie"),0),IF($BJ$5&lt;&gt;"",--(BJ103="Maladie"),0),IF($BL$5&lt;&gt;"",--(BL103="Maladie"),0)))</f>
      </c>
      <c r="BR103" s="23">
        <f>IF($A103="","",SUM(IF($D$5&lt;&gt;"",IF(D103="Présent",E103,0),0),IF($F$5&lt;&gt;"",IF(F103="Présent",G103,0),0),IF($H$5&lt;&gt;"",IF(H103="Présent",I103,0),0),IF($J$5&lt;&gt;"",IF(J103="Présent",K103,0),0),IF($L$5&lt;&gt;"",IF(L103="Présent",M103,0),0),IF($N$5&lt;&gt;"",IF(N103="Présent",O103,0),0),IF($P$5&lt;&gt;"",IF(P103="Présent",Q103,0),0),IF($R$5&lt;&gt;"",IF(R103="Présent",S103,0),0),IF($T$5&lt;&gt;"",IF(T103="Présent",U103,0),0),IF($V$5&lt;&gt;"",IF(V103="Présent",W103,0),0),IF($X$5&lt;&gt;"",IF(X103="Présent",Y103,0),0),IF($Z$5&lt;&gt;"",IF(Z103="Présent",AA103,0),0),IF($AB$5&lt;&gt;"",IF(AB103="Présent",AC103,0),0),IF($AD$5&lt;&gt;"",IF(AD103="Présent",AE103,0),0),IF($AF$5&lt;&gt;"",IF(AF103="Présent",AG103,0),0),IF($AH$5&lt;&gt;"",IF(AH103="Présent",AI103,0),0),IF($AJ$5&lt;&gt;"",IF(AJ103="Présent",AK103,0),0),IF($AL$5&lt;&gt;"",IF(AL103="Présent",AM103,0),0),IF($AN$5&lt;&gt;"",IF(AN103="Présent",AO103,0),0),IF($AP$5&lt;&gt;"",IF(AP103="Présent",AQ103,0),0),IF($AR$5&lt;&gt;"",IF(AR103="Présent",AS103,0),0),IF($AT$5&lt;&gt;"",IF(AT103="Présent",AU103,0),0),IF($AV$5&lt;&gt;"",IF(AV103="Présent",AW103,0),0),IF($AX$5&lt;&gt;"",IF(AX103="Présent",AY103,0),0),IF($AZ$5&lt;&gt;"",IF(AZ103="Présent",BA103,0),0),IF($BB$5&lt;&gt;"",IF(BB103="Présent",BC103,0),0),IF($BD$5&lt;&gt;"",IF(BD103="Présent",BE103,0),0),IF($BF$5&lt;&gt;"",IF(BF103="Présent",BG103,0),0),IF($BH$5&lt;&gt;"",IF(BH103="Présent",BI103,0),0),IF($BJ$5&lt;&gt;"",IF(BJ103="Présent",BK103,0),0),IF($BL$5&lt;&gt;"",IF(BL103="Présent",BM103,0),0)))</f>
      </c>
      <c r="BS103" s="25">
        <f>IF($A103="","",$BN103*IFERROR(INDEX(Categories_Salaire,MATCH($C103,ListeCategories,0)),0)+$BR103*IF(IFERROR(INDEX(Categories_TauxHS,MATCH($C103,ListeCategories,0)),0)&gt;0,IFERROR(INDEX(Categories_TauxHS,MATCH($C103,ListeCategories,0)),0),TauxHSDefaut))</f>
      </c>
    </row>
    <row r="104">
      <c r="A104" s="20">
        <f>IF(AND(INDEX(Employes_Nom,98)&lt;&gt;"",INDEX(Employes_Statut,98)="Actif",OR(INDEX(Employes_Embauche,98)="",INDEX(Employes_Embauche,98)&lt;=EOMONTH(DATE(AnneeCourante,MoisCourant,1),0))),INDEX(Employes_ID,98),"")</f>
      </c>
      <c r="B104" s="19">
        <f>IF($A104="","",INDEX(Employes_Nom,MATCH($A104,Employes_ID,0)))</f>
      </c>
      <c r="C104" s="20">
        <f>IF($A104="","",INDEX(Employes_Categorie,MATCH($A104,Employes_ID,0)))</f>
      </c>
      <c r="D104" s="26"/>
      <c r="E104" s="27"/>
      <c r="F104" s="26"/>
      <c r="G104" s="27"/>
      <c r="H104" s="26"/>
      <c r="I104" s="27"/>
      <c r="J104" s="26"/>
      <c r="K104" s="27"/>
      <c r="L104" s="26"/>
      <c r="M104" s="27"/>
      <c r="N104" s="26"/>
      <c r="O104" s="27"/>
      <c r="P104" s="26"/>
      <c r="Q104" s="27"/>
      <c r="R104" s="26"/>
      <c r="S104" s="27"/>
      <c r="T104" s="26"/>
      <c r="U104" s="27"/>
      <c r="V104" s="26"/>
      <c r="W104" s="27"/>
      <c r="X104" s="26"/>
      <c r="Y104" s="27"/>
      <c r="Z104" s="26"/>
      <c r="AA104" s="27"/>
      <c r="AB104" s="26"/>
      <c r="AC104" s="27"/>
      <c r="AD104" s="26"/>
      <c r="AE104" s="27"/>
      <c r="AF104" s="26"/>
      <c r="AG104" s="27"/>
      <c r="AH104" s="26"/>
      <c r="AI104" s="27"/>
      <c r="AJ104" s="26"/>
      <c r="AK104" s="27"/>
      <c r="AL104" s="26"/>
      <c r="AM104" s="27"/>
      <c r="AN104" s="26"/>
      <c r="AO104" s="27"/>
      <c r="AP104" s="26"/>
      <c r="AQ104" s="27"/>
      <c r="AR104" s="26"/>
      <c r="AS104" s="27"/>
      <c r="AT104" s="26"/>
      <c r="AU104" s="27"/>
      <c r="AV104" s="26"/>
      <c r="AW104" s="27"/>
      <c r="AX104" s="26"/>
      <c r="AY104" s="27"/>
      <c r="AZ104" s="26"/>
      <c r="BA104" s="27"/>
      <c r="BB104" s="26"/>
      <c r="BC104" s="27"/>
      <c r="BD104" s="26"/>
      <c r="BE104" s="27"/>
      <c r="BF104" s="26"/>
      <c r="BG104" s="27"/>
      <c r="BH104" s="26"/>
      <c r="BI104" s="27"/>
      <c r="BJ104" s="26"/>
      <c r="BK104" s="27"/>
      <c r="BL104" s="26"/>
      <c r="BM104" s="27"/>
      <c r="BN104" s="22">
        <f>IF($A104="","",SUM(IF($D$5&lt;&gt;"",--(D104="Présent"),0),IF($F$5&lt;&gt;"",--(F104="Présent"),0),IF($H$5&lt;&gt;"",--(H104="Présent"),0),IF($J$5&lt;&gt;"",--(J104="Présent"),0),IF($L$5&lt;&gt;"",--(L104="Présent"),0),IF($N$5&lt;&gt;"",--(N104="Présent"),0),IF($P$5&lt;&gt;"",--(P104="Présent"),0),IF($R$5&lt;&gt;"",--(R104="Présent"),0),IF($T$5&lt;&gt;"",--(T104="Présent"),0),IF($V$5&lt;&gt;"",--(V104="Présent"),0),IF($X$5&lt;&gt;"",--(X104="Présent"),0),IF($Z$5&lt;&gt;"",--(Z104="Présent"),0),IF($AB$5&lt;&gt;"",--(AB104="Présent"),0),IF($AD$5&lt;&gt;"",--(AD104="Présent"),0),IF($AF$5&lt;&gt;"",--(AF104="Présent"),0),IF($AH$5&lt;&gt;"",--(AH104="Présent"),0),IF($AJ$5&lt;&gt;"",--(AJ104="Présent"),0),IF($AL$5&lt;&gt;"",--(AL104="Présent"),0),IF($AN$5&lt;&gt;"",--(AN104="Présent"),0),IF($AP$5&lt;&gt;"",--(AP104="Présent"),0),IF($AR$5&lt;&gt;"",--(AR104="Présent"),0),IF($AT$5&lt;&gt;"",--(AT104="Présent"),0),IF($AV$5&lt;&gt;"",--(AV104="Présent"),0),IF($AX$5&lt;&gt;"",--(AX104="Présent"),0),IF($AZ$5&lt;&gt;"",--(AZ104="Présent"),0),IF($BB$5&lt;&gt;"",--(BB104="Présent"),0),IF($BD$5&lt;&gt;"",--(BD104="Présent"),0),IF($BF$5&lt;&gt;"",--(BF104="Présent"),0),IF($BH$5&lt;&gt;"",--(BH104="Présent"),0),IF($BJ$5&lt;&gt;"",--(BJ104="Présent"),0),IF($BL$5&lt;&gt;"",--(BL104="Présent"),0)))</f>
      </c>
      <c r="BO104" s="22">
        <f>IF($A104="","",SUM(IF($D$5&lt;&gt;"",--(D104="Absent"),0),IF($F$5&lt;&gt;"",--(F104="Absent"),0),IF($H$5&lt;&gt;"",--(H104="Absent"),0),IF($J$5&lt;&gt;"",--(J104="Absent"),0),IF($L$5&lt;&gt;"",--(L104="Absent"),0),IF($N$5&lt;&gt;"",--(N104="Absent"),0),IF($P$5&lt;&gt;"",--(P104="Absent"),0),IF($R$5&lt;&gt;"",--(R104="Absent"),0),IF($T$5&lt;&gt;"",--(T104="Absent"),0),IF($V$5&lt;&gt;"",--(V104="Absent"),0),IF($X$5&lt;&gt;"",--(X104="Absent"),0),IF($Z$5&lt;&gt;"",--(Z104="Absent"),0),IF($AB$5&lt;&gt;"",--(AB104="Absent"),0),IF($AD$5&lt;&gt;"",--(AD104="Absent"),0),IF($AF$5&lt;&gt;"",--(AF104="Absent"),0),IF($AH$5&lt;&gt;"",--(AH104="Absent"),0),IF($AJ$5&lt;&gt;"",--(AJ104="Absent"),0),IF($AL$5&lt;&gt;"",--(AL104="Absent"),0),IF($AN$5&lt;&gt;"",--(AN104="Absent"),0),IF($AP$5&lt;&gt;"",--(AP104="Absent"),0),IF($AR$5&lt;&gt;"",--(AR104="Absent"),0),IF($AT$5&lt;&gt;"",--(AT104="Absent"),0),IF($AV$5&lt;&gt;"",--(AV104="Absent"),0),IF($AX$5&lt;&gt;"",--(AX104="Absent"),0),IF($AZ$5&lt;&gt;"",--(AZ104="Absent"),0),IF($BB$5&lt;&gt;"",--(BB104="Absent"),0),IF($BD$5&lt;&gt;"",--(BD104="Absent"),0),IF($BF$5&lt;&gt;"",--(BF104="Absent"),0),IF($BH$5&lt;&gt;"",--(BH104="Absent"),0),IF($BJ$5&lt;&gt;"",--(BJ104="Absent"),0),IF($BL$5&lt;&gt;"",--(BL104="Absent"),0)))</f>
      </c>
      <c r="BP104" s="22">
        <f>IF($A104="","",SUM(IF($D$5&lt;&gt;"",--(D104="Congé"),0),IF($F$5&lt;&gt;"",--(F104="Congé"),0),IF($H$5&lt;&gt;"",--(H104="Congé"),0),IF($J$5&lt;&gt;"",--(J104="Congé"),0),IF($L$5&lt;&gt;"",--(L104="Congé"),0),IF($N$5&lt;&gt;"",--(N104="Congé"),0),IF($P$5&lt;&gt;"",--(P104="Congé"),0),IF($R$5&lt;&gt;"",--(R104="Congé"),0),IF($T$5&lt;&gt;"",--(T104="Congé"),0),IF($V$5&lt;&gt;"",--(V104="Congé"),0),IF($X$5&lt;&gt;"",--(X104="Congé"),0),IF($Z$5&lt;&gt;"",--(Z104="Congé"),0),IF($AB$5&lt;&gt;"",--(AB104="Congé"),0),IF($AD$5&lt;&gt;"",--(AD104="Congé"),0),IF($AF$5&lt;&gt;"",--(AF104="Congé"),0),IF($AH$5&lt;&gt;"",--(AH104="Congé"),0),IF($AJ$5&lt;&gt;"",--(AJ104="Congé"),0),IF($AL$5&lt;&gt;"",--(AL104="Congé"),0),IF($AN$5&lt;&gt;"",--(AN104="Congé"),0),IF($AP$5&lt;&gt;"",--(AP104="Congé"),0),IF($AR$5&lt;&gt;"",--(AR104="Congé"),0),IF($AT$5&lt;&gt;"",--(AT104="Congé"),0),IF($AV$5&lt;&gt;"",--(AV104="Congé"),0),IF($AX$5&lt;&gt;"",--(AX104="Congé"),0),IF($AZ$5&lt;&gt;"",--(AZ104="Congé"),0),IF($BB$5&lt;&gt;"",--(BB104="Congé"),0),IF($BD$5&lt;&gt;"",--(BD104="Congé"),0),IF($BF$5&lt;&gt;"",--(BF104="Congé"),0),IF($BH$5&lt;&gt;"",--(BH104="Congé"),0),IF($BJ$5&lt;&gt;"",--(BJ104="Congé"),0),IF($BL$5&lt;&gt;"",--(BL104="Congé"),0)))</f>
      </c>
      <c r="BQ104" s="22">
        <f>IF($A104="","",SUM(IF($D$5&lt;&gt;"",--(D104="Maladie"),0),IF($F$5&lt;&gt;"",--(F104="Maladie"),0),IF($H$5&lt;&gt;"",--(H104="Maladie"),0),IF($J$5&lt;&gt;"",--(J104="Maladie"),0),IF($L$5&lt;&gt;"",--(L104="Maladie"),0),IF($N$5&lt;&gt;"",--(N104="Maladie"),0),IF($P$5&lt;&gt;"",--(P104="Maladie"),0),IF($R$5&lt;&gt;"",--(R104="Maladie"),0),IF($T$5&lt;&gt;"",--(T104="Maladie"),0),IF($V$5&lt;&gt;"",--(V104="Maladie"),0),IF($X$5&lt;&gt;"",--(X104="Maladie"),0),IF($Z$5&lt;&gt;"",--(Z104="Maladie"),0),IF($AB$5&lt;&gt;"",--(AB104="Maladie"),0),IF($AD$5&lt;&gt;"",--(AD104="Maladie"),0),IF($AF$5&lt;&gt;"",--(AF104="Maladie"),0),IF($AH$5&lt;&gt;"",--(AH104="Maladie"),0),IF($AJ$5&lt;&gt;"",--(AJ104="Maladie"),0),IF($AL$5&lt;&gt;"",--(AL104="Maladie"),0),IF($AN$5&lt;&gt;"",--(AN104="Maladie"),0),IF($AP$5&lt;&gt;"",--(AP104="Maladie"),0),IF($AR$5&lt;&gt;"",--(AR104="Maladie"),0),IF($AT$5&lt;&gt;"",--(AT104="Maladie"),0),IF($AV$5&lt;&gt;"",--(AV104="Maladie"),0),IF($AX$5&lt;&gt;"",--(AX104="Maladie"),0),IF($AZ$5&lt;&gt;"",--(AZ104="Maladie"),0),IF($BB$5&lt;&gt;"",--(BB104="Maladie"),0),IF($BD$5&lt;&gt;"",--(BD104="Maladie"),0),IF($BF$5&lt;&gt;"",--(BF104="Maladie"),0),IF($BH$5&lt;&gt;"",--(BH104="Maladie"),0),IF($BJ$5&lt;&gt;"",--(BJ104="Maladie"),0),IF($BL$5&lt;&gt;"",--(BL104="Maladie"),0)))</f>
      </c>
      <c r="BR104" s="23">
        <f>IF($A104="","",SUM(IF($D$5&lt;&gt;"",IF(D104="Présent",E104,0),0),IF($F$5&lt;&gt;"",IF(F104="Présent",G104,0),0),IF($H$5&lt;&gt;"",IF(H104="Présent",I104,0),0),IF($J$5&lt;&gt;"",IF(J104="Présent",K104,0),0),IF($L$5&lt;&gt;"",IF(L104="Présent",M104,0),0),IF($N$5&lt;&gt;"",IF(N104="Présent",O104,0),0),IF($P$5&lt;&gt;"",IF(P104="Présent",Q104,0),0),IF($R$5&lt;&gt;"",IF(R104="Présent",S104,0),0),IF($T$5&lt;&gt;"",IF(T104="Présent",U104,0),0),IF($V$5&lt;&gt;"",IF(V104="Présent",W104,0),0),IF($X$5&lt;&gt;"",IF(X104="Présent",Y104,0),0),IF($Z$5&lt;&gt;"",IF(Z104="Présent",AA104,0),0),IF($AB$5&lt;&gt;"",IF(AB104="Présent",AC104,0),0),IF($AD$5&lt;&gt;"",IF(AD104="Présent",AE104,0),0),IF($AF$5&lt;&gt;"",IF(AF104="Présent",AG104,0),0),IF($AH$5&lt;&gt;"",IF(AH104="Présent",AI104,0),0),IF($AJ$5&lt;&gt;"",IF(AJ104="Présent",AK104,0),0),IF($AL$5&lt;&gt;"",IF(AL104="Présent",AM104,0),0),IF($AN$5&lt;&gt;"",IF(AN104="Présent",AO104,0),0),IF($AP$5&lt;&gt;"",IF(AP104="Présent",AQ104,0),0),IF($AR$5&lt;&gt;"",IF(AR104="Présent",AS104,0),0),IF($AT$5&lt;&gt;"",IF(AT104="Présent",AU104,0),0),IF($AV$5&lt;&gt;"",IF(AV104="Présent",AW104,0),0),IF($AX$5&lt;&gt;"",IF(AX104="Présent",AY104,0),0),IF($AZ$5&lt;&gt;"",IF(AZ104="Présent",BA104,0),0),IF($BB$5&lt;&gt;"",IF(BB104="Présent",BC104,0),0),IF($BD$5&lt;&gt;"",IF(BD104="Présent",BE104,0),0),IF($BF$5&lt;&gt;"",IF(BF104="Présent",BG104,0),0),IF($BH$5&lt;&gt;"",IF(BH104="Présent",BI104,0),0),IF($BJ$5&lt;&gt;"",IF(BJ104="Présent",BK104,0),0),IF($BL$5&lt;&gt;"",IF(BL104="Présent",BM104,0),0)))</f>
      </c>
      <c r="BS104" s="25">
        <f>IF($A104="","",$BN104*IFERROR(INDEX(Categories_Salaire,MATCH($C104,ListeCategories,0)),0)+$BR104*IF(IFERROR(INDEX(Categories_TauxHS,MATCH($C104,ListeCategories,0)),0)&gt;0,IFERROR(INDEX(Categories_TauxHS,MATCH($C104,ListeCategories,0)),0),TauxHSDefaut))</f>
      </c>
    </row>
    <row r="105">
      <c r="A105" s="20">
        <f>IF(AND(INDEX(Employes_Nom,99)&lt;&gt;"",INDEX(Employes_Statut,99)="Actif",OR(INDEX(Employes_Embauche,99)="",INDEX(Employes_Embauche,99)&lt;=EOMONTH(DATE(AnneeCourante,MoisCourant,1),0))),INDEX(Employes_ID,99),"")</f>
      </c>
      <c r="B105" s="19">
        <f>IF($A105="","",INDEX(Employes_Nom,MATCH($A105,Employes_ID,0)))</f>
      </c>
      <c r="C105" s="20">
        <f>IF($A105="","",INDEX(Employes_Categorie,MATCH($A105,Employes_ID,0)))</f>
      </c>
      <c r="D105" s="26"/>
      <c r="E105" s="27"/>
      <c r="F105" s="26"/>
      <c r="G105" s="27"/>
      <c r="H105" s="26"/>
      <c r="I105" s="27"/>
      <c r="J105" s="26"/>
      <c r="K105" s="27"/>
      <c r="L105" s="26"/>
      <c r="M105" s="27"/>
      <c r="N105" s="26"/>
      <c r="O105" s="27"/>
      <c r="P105" s="26"/>
      <c r="Q105" s="27"/>
      <c r="R105" s="26"/>
      <c r="S105" s="27"/>
      <c r="T105" s="26"/>
      <c r="U105" s="27"/>
      <c r="V105" s="26"/>
      <c r="W105" s="27"/>
      <c r="X105" s="26"/>
      <c r="Y105" s="27"/>
      <c r="Z105" s="26"/>
      <c r="AA105" s="27"/>
      <c r="AB105" s="26"/>
      <c r="AC105" s="27"/>
      <c r="AD105" s="26"/>
      <c r="AE105" s="27"/>
      <c r="AF105" s="26"/>
      <c r="AG105" s="27"/>
      <c r="AH105" s="26"/>
      <c r="AI105" s="27"/>
      <c r="AJ105" s="26"/>
      <c r="AK105" s="27"/>
      <c r="AL105" s="26"/>
      <c r="AM105" s="27"/>
      <c r="AN105" s="26"/>
      <c r="AO105" s="27"/>
      <c r="AP105" s="26"/>
      <c r="AQ105" s="27"/>
      <c r="AR105" s="26"/>
      <c r="AS105" s="27"/>
      <c r="AT105" s="26"/>
      <c r="AU105" s="27"/>
      <c r="AV105" s="26"/>
      <c r="AW105" s="27"/>
      <c r="AX105" s="26"/>
      <c r="AY105" s="27"/>
      <c r="AZ105" s="26"/>
      <c r="BA105" s="27"/>
      <c r="BB105" s="26"/>
      <c r="BC105" s="27"/>
      <c r="BD105" s="26"/>
      <c r="BE105" s="27"/>
      <c r="BF105" s="26"/>
      <c r="BG105" s="27"/>
      <c r="BH105" s="26"/>
      <c r="BI105" s="27"/>
      <c r="BJ105" s="26"/>
      <c r="BK105" s="27"/>
      <c r="BL105" s="26"/>
      <c r="BM105" s="27"/>
      <c r="BN105" s="22">
        <f>IF($A105="","",SUM(IF($D$5&lt;&gt;"",--(D105="Présent"),0),IF($F$5&lt;&gt;"",--(F105="Présent"),0),IF($H$5&lt;&gt;"",--(H105="Présent"),0),IF($J$5&lt;&gt;"",--(J105="Présent"),0),IF($L$5&lt;&gt;"",--(L105="Présent"),0),IF($N$5&lt;&gt;"",--(N105="Présent"),0),IF($P$5&lt;&gt;"",--(P105="Présent"),0),IF($R$5&lt;&gt;"",--(R105="Présent"),0),IF($T$5&lt;&gt;"",--(T105="Présent"),0),IF($V$5&lt;&gt;"",--(V105="Présent"),0),IF($X$5&lt;&gt;"",--(X105="Présent"),0),IF($Z$5&lt;&gt;"",--(Z105="Présent"),0),IF($AB$5&lt;&gt;"",--(AB105="Présent"),0),IF($AD$5&lt;&gt;"",--(AD105="Présent"),0),IF($AF$5&lt;&gt;"",--(AF105="Présent"),0),IF($AH$5&lt;&gt;"",--(AH105="Présent"),0),IF($AJ$5&lt;&gt;"",--(AJ105="Présent"),0),IF($AL$5&lt;&gt;"",--(AL105="Présent"),0),IF($AN$5&lt;&gt;"",--(AN105="Présent"),0),IF($AP$5&lt;&gt;"",--(AP105="Présent"),0),IF($AR$5&lt;&gt;"",--(AR105="Présent"),0),IF($AT$5&lt;&gt;"",--(AT105="Présent"),0),IF($AV$5&lt;&gt;"",--(AV105="Présent"),0),IF($AX$5&lt;&gt;"",--(AX105="Présent"),0),IF($AZ$5&lt;&gt;"",--(AZ105="Présent"),0),IF($BB$5&lt;&gt;"",--(BB105="Présent"),0),IF($BD$5&lt;&gt;"",--(BD105="Présent"),0),IF($BF$5&lt;&gt;"",--(BF105="Présent"),0),IF($BH$5&lt;&gt;"",--(BH105="Présent"),0),IF($BJ$5&lt;&gt;"",--(BJ105="Présent"),0),IF($BL$5&lt;&gt;"",--(BL105="Présent"),0)))</f>
      </c>
      <c r="BO105" s="22">
        <f>IF($A105="","",SUM(IF($D$5&lt;&gt;"",--(D105="Absent"),0),IF($F$5&lt;&gt;"",--(F105="Absent"),0),IF($H$5&lt;&gt;"",--(H105="Absent"),0),IF($J$5&lt;&gt;"",--(J105="Absent"),0),IF($L$5&lt;&gt;"",--(L105="Absent"),0),IF($N$5&lt;&gt;"",--(N105="Absent"),0),IF($P$5&lt;&gt;"",--(P105="Absent"),0),IF($R$5&lt;&gt;"",--(R105="Absent"),0),IF($T$5&lt;&gt;"",--(T105="Absent"),0),IF($V$5&lt;&gt;"",--(V105="Absent"),0),IF($X$5&lt;&gt;"",--(X105="Absent"),0),IF($Z$5&lt;&gt;"",--(Z105="Absent"),0),IF($AB$5&lt;&gt;"",--(AB105="Absent"),0),IF($AD$5&lt;&gt;"",--(AD105="Absent"),0),IF($AF$5&lt;&gt;"",--(AF105="Absent"),0),IF($AH$5&lt;&gt;"",--(AH105="Absent"),0),IF($AJ$5&lt;&gt;"",--(AJ105="Absent"),0),IF($AL$5&lt;&gt;"",--(AL105="Absent"),0),IF($AN$5&lt;&gt;"",--(AN105="Absent"),0),IF($AP$5&lt;&gt;"",--(AP105="Absent"),0),IF($AR$5&lt;&gt;"",--(AR105="Absent"),0),IF($AT$5&lt;&gt;"",--(AT105="Absent"),0),IF($AV$5&lt;&gt;"",--(AV105="Absent"),0),IF($AX$5&lt;&gt;"",--(AX105="Absent"),0),IF($AZ$5&lt;&gt;"",--(AZ105="Absent"),0),IF($BB$5&lt;&gt;"",--(BB105="Absent"),0),IF($BD$5&lt;&gt;"",--(BD105="Absent"),0),IF($BF$5&lt;&gt;"",--(BF105="Absent"),0),IF($BH$5&lt;&gt;"",--(BH105="Absent"),0),IF($BJ$5&lt;&gt;"",--(BJ105="Absent"),0),IF($BL$5&lt;&gt;"",--(BL105="Absent"),0)))</f>
      </c>
      <c r="BP105" s="22">
        <f>IF($A105="","",SUM(IF($D$5&lt;&gt;"",--(D105="Congé"),0),IF($F$5&lt;&gt;"",--(F105="Congé"),0),IF($H$5&lt;&gt;"",--(H105="Congé"),0),IF($J$5&lt;&gt;"",--(J105="Congé"),0),IF($L$5&lt;&gt;"",--(L105="Congé"),0),IF($N$5&lt;&gt;"",--(N105="Congé"),0),IF($P$5&lt;&gt;"",--(P105="Congé"),0),IF($R$5&lt;&gt;"",--(R105="Congé"),0),IF($T$5&lt;&gt;"",--(T105="Congé"),0),IF($V$5&lt;&gt;"",--(V105="Congé"),0),IF($X$5&lt;&gt;"",--(X105="Congé"),0),IF($Z$5&lt;&gt;"",--(Z105="Congé"),0),IF($AB$5&lt;&gt;"",--(AB105="Congé"),0),IF($AD$5&lt;&gt;"",--(AD105="Congé"),0),IF($AF$5&lt;&gt;"",--(AF105="Congé"),0),IF($AH$5&lt;&gt;"",--(AH105="Congé"),0),IF($AJ$5&lt;&gt;"",--(AJ105="Congé"),0),IF($AL$5&lt;&gt;"",--(AL105="Congé"),0),IF($AN$5&lt;&gt;"",--(AN105="Congé"),0),IF($AP$5&lt;&gt;"",--(AP105="Congé"),0),IF($AR$5&lt;&gt;"",--(AR105="Congé"),0),IF($AT$5&lt;&gt;"",--(AT105="Congé"),0),IF($AV$5&lt;&gt;"",--(AV105="Congé"),0),IF($AX$5&lt;&gt;"",--(AX105="Congé"),0),IF($AZ$5&lt;&gt;"",--(AZ105="Congé"),0),IF($BB$5&lt;&gt;"",--(BB105="Congé"),0),IF($BD$5&lt;&gt;"",--(BD105="Congé"),0),IF($BF$5&lt;&gt;"",--(BF105="Congé"),0),IF($BH$5&lt;&gt;"",--(BH105="Congé"),0),IF($BJ$5&lt;&gt;"",--(BJ105="Congé"),0),IF($BL$5&lt;&gt;"",--(BL105="Congé"),0)))</f>
      </c>
      <c r="BQ105" s="22">
        <f>IF($A105="","",SUM(IF($D$5&lt;&gt;"",--(D105="Maladie"),0),IF($F$5&lt;&gt;"",--(F105="Maladie"),0),IF($H$5&lt;&gt;"",--(H105="Maladie"),0),IF($J$5&lt;&gt;"",--(J105="Maladie"),0),IF($L$5&lt;&gt;"",--(L105="Maladie"),0),IF($N$5&lt;&gt;"",--(N105="Maladie"),0),IF($P$5&lt;&gt;"",--(P105="Maladie"),0),IF($R$5&lt;&gt;"",--(R105="Maladie"),0),IF($T$5&lt;&gt;"",--(T105="Maladie"),0),IF($V$5&lt;&gt;"",--(V105="Maladie"),0),IF($X$5&lt;&gt;"",--(X105="Maladie"),0),IF($Z$5&lt;&gt;"",--(Z105="Maladie"),0),IF($AB$5&lt;&gt;"",--(AB105="Maladie"),0),IF($AD$5&lt;&gt;"",--(AD105="Maladie"),0),IF($AF$5&lt;&gt;"",--(AF105="Maladie"),0),IF($AH$5&lt;&gt;"",--(AH105="Maladie"),0),IF($AJ$5&lt;&gt;"",--(AJ105="Maladie"),0),IF($AL$5&lt;&gt;"",--(AL105="Maladie"),0),IF($AN$5&lt;&gt;"",--(AN105="Maladie"),0),IF($AP$5&lt;&gt;"",--(AP105="Maladie"),0),IF($AR$5&lt;&gt;"",--(AR105="Maladie"),0),IF($AT$5&lt;&gt;"",--(AT105="Maladie"),0),IF($AV$5&lt;&gt;"",--(AV105="Maladie"),0),IF($AX$5&lt;&gt;"",--(AX105="Maladie"),0),IF($AZ$5&lt;&gt;"",--(AZ105="Maladie"),0),IF($BB$5&lt;&gt;"",--(BB105="Maladie"),0),IF($BD$5&lt;&gt;"",--(BD105="Maladie"),0),IF($BF$5&lt;&gt;"",--(BF105="Maladie"),0),IF($BH$5&lt;&gt;"",--(BH105="Maladie"),0),IF($BJ$5&lt;&gt;"",--(BJ105="Maladie"),0),IF($BL$5&lt;&gt;"",--(BL105="Maladie"),0)))</f>
      </c>
      <c r="BR105" s="23">
        <f>IF($A105="","",SUM(IF($D$5&lt;&gt;"",IF(D105="Présent",E105,0),0),IF($F$5&lt;&gt;"",IF(F105="Présent",G105,0),0),IF($H$5&lt;&gt;"",IF(H105="Présent",I105,0),0),IF($J$5&lt;&gt;"",IF(J105="Présent",K105,0),0),IF($L$5&lt;&gt;"",IF(L105="Présent",M105,0),0),IF($N$5&lt;&gt;"",IF(N105="Présent",O105,0),0),IF($P$5&lt;&gt;"",IF(P105="Présent",Q105,0),0),IF($R$5&lt;&gt;"",IF(R105="Présent",S105,0),0),IF($T$5&lt;&gt;"",IF(T105="Présent",U105,0),0),IF($V$5&lt;&gt;"",IF(V105="Présent",W105,0),0),IF($X$5&lt;&gt;"",IF(X105="Présent",Y105,0),0),IF($Z$5&lt;&gt;"",IF(Z105="Présent",AA105,0),0),IF($AB$5&lt;&gt;"",IF(AB105="Présent",AC105,0),0),IF($AD$5&lt;&gt;"",IF(AD105="Présent",AE105,0),0),IF($AF$5&lt;&gt;"",IF(AF105="Présent",AG105,0),0),IF($AH$5&lt;&gt;"",IF(AH105="Présent",AI105,0),0),IF($AJ$5&lt;&gt;"",IF(AJ105="Présent",AK105,0),0),IF($AL$5&lt;&gt;"",IF(AL105="Présent",AM105,0),0),IF($AN$5&lt;&gt;"",IF(AN105="Présent",AO105,0),0),IF($AP$5&lt;&gt;"",IF(AP105="Présent",AQ105,0),0),IF($AR$5&lt;&gt;"",IF(AR105="Présent",AS105,0),0),IF($AT$5&lt;&gt;"",IF(AT105="Présent",AU105,0),0),IF($AV$5&lt;&gt;"",IF(AV105="Présent",AW105,0),0),IF($AX$5&lt;&gt;"",IF(AX105="Présent",AY105,0),0),IF($AZ$5&lt;&gt;"",IF(AZ105="Présent",BA105,0),0),IF($BB$5&lt;&gt;"",IF(BB105="Présent",BC105,0),0),IF($BD$5&lt;&gt;"",IF(BD105="Présent",BE105,0),0),IF($BF$5&lt;&gt;"",IF(BF105="Présent",BG105,0),0),IF($BH$5&lt;&gt;"",IF(BH105="Présent",BI105,0),0),IF($BJ$5&lt;&gt;"",IF(BJ105="Présent",BK105,0),0),IF($BL$5&lt;&gt;"",IF(BL105="Présent",BM105,0),0)))</f>
      </c>
      <c r="BS105" s="25">
        <f>IF($A105="","",$BN105*IFERROR(INDEX(Categories_Salaire,MATCH($C105,ListeCategories,0)),0)+$BR105*IF(IFERROR(INDEX(Categories_TauxHS,MATCH($C105,ListeCategories,0)),0)&gt;0,IFERROR(INDEX(Categories_TauxHS,MATCH($C105,ListeCategories,0)),0),TauxHSDefaut))</f>
      </c>
    </row>
    <row r="106">
      <c r="A106" s="20">
        <f>IF(AND(INDEX(Employes_Nom,100)&lt;&gt;"",INDEX(Employes_Statut,100)="Actif",OR(INDEX(Employes_Embauche,100)="",INDEX(Employes_Embauche,100)&lt;=EOMONTH(DATE(AnneeCourante,MoisCourant,1),0))),INDEX(Employes_ID,100),"")</f>
      </c>
      <c r="B106" s="19">
        <f>IF($A106="","",INDEX(Employes_Nom,MATCH($A106,Employes_ID,0)))</f>
      </c>
      <c r="C106" s="20">
        <f>IF($A106="","",INDEX(Employes_Categorie,MATCH($A106,Employes_ID,0)))</f>
      </c>
      <c r="D106" s="26"/>
      <c r="E106" s="27"/>
      <c r="F106" s="26"/>
      <c r="G106" s="27"/>
      <c r="H106" s="26"/>
      <c r="I106" s="27"/>
      <c r="J106" s="26"/>
      <c r="K106" s="27"/>
      <c r="L106" s="26"/>
      <c r="M106" s="27"/>
      <c r="N106" s="26"/>
      <c r="O106" s="27"/>
      <c r="P106" s="26"/>
      <c r="Q106" s="27"/>
      <c r="R106" s="26"/>
      <c r="S106" s="27"/>
      <c r="T106" s="26"/>
      <c r="U106" s="27"/>
      <c r="V106" s="26"/>
      <c r="W106" s="27"/>
      <c r="X106" s="26"/>
      <c r="Y106" s="27"/>
      <c r="Z106" s="26"/>
      <c r="AA106" s="27"/>
      <c r="AB106" s="26"/>
      <c r="AC106" s="27"/>
      <c r="AD106" s="26"/>
      <c r="AE106" s="27"/>
      <c r="AF106" s="26"/>
      <c r="AG106" s="27"/>
      <c r="AH106" s="26"/>
      <c r="AI106" s="27"/>
      <c r="AJ106" s="26"/>
      <c r="AK106" s="27"/>
      <c r="AL106" s="26"/>
      <c r="AM106" s="27"/>
      <c r="AN106" s="26"/>
      <c r="AO106" s="27"/>
      <c r="AP106" s="26"/>
      <c r="AQ106" s="27"/>
      <c r="AR106" s="26"/>
      <c r="AS106" s="27"/>
      <c r="AT106" s="26"/>
      <c r="AU106" s="27"/>
      <c r="AV106" s="26"/>
      <c r="AW106" s="27"/>
      <c r="AX106" s="26"/>
      <c r="AY106" s="27"/>
      <c r="AZ106" s="26"/>
      <c r="BA106" s="27"/>
      <c r="BB106" s="26"/>
      <c r="BC106" s="27"/>
      <c r="BD106" s="26"/>
      <c r="BE106" s="27"/>
      <c r="BF106" s="26"/>
      <c r="BG106" s="27"/>
      <c r="BH106" s="26"/>
      <c r="BI106" s="27"/>
      <c r="BJ106" s="26"/>
      <c r="BK106" s="27"/>
      <c r="BL106" s="26"/>
      <c r="BM106" s="27"/>
      <c r="BN106" s="22">
        <f>IF($A106="","",SUM(IF($D$5&lt;&gt;"",--(D106="Présent"),0),IF($F$5&lt;&gt;"",--(F106="Présent"),0),IF($H$5&lt;&gt;"",--(H106="Présent"),0),IF($J$5&lt;&gt;"",--(J106="Présent"),0),IF($L$5&lt;&gt;"",--(L106="Présent"),0),IF($N$5&lt;&gt;"",--(N106="Présent"),0),IF($P$5&lt;&gt;"",--(P106="Présent"),0),IF($R$5&lt;&gt;"",--(R106="Présent"),0),IF($T$5&lt;&gt;"",--(T106="Présent"),0),IF($V$5&lt;&gt;"",--(V106="Présent"),0),IF($X$5&lt;&gt;"",--(X106="Présent"),0),IF($Z$5&lt;&gt;"",--(Z106="Présent"),0),IF($AB$5&lt;&gt;"",--(AB106="Présent"),0),IF($AD$5&lt;&gt;"",--(AD106="Présent"),0),IF($AF$5&lt;&gt;"",--(AF106="Présent"),0),IF($AH$5&lt;&gt;"",--(AH106="Présent"),0),IF($AJ$5&lt;&gt;"",--(AJ106="Présent"),0),IF($AL$5&lt;&gt;"",--(AL106="Présent"),0),IF($AN$5&lt;&gt;"",--(AN106="Présent"),0),IF($AP$5&lt;&gt;"",--(AP106="Présent"),0),IF($AR$5&lt;&gt;"",--(AR106="Présent"),0),IF($AT$5&lt;&gt;"",--(AT106="Présent"),0),IF($AV$5&lt;&gt;"",--(AV106="Présent"),0),IF($AX$5&lt;&gt;"",--(AX106="Présent"),0),IF($AZ$5&lt;&gt;"",--(AZ106="Présent"),0),IF($BB$5&lt;&gt;"",--(BB106="Présent"),0),IF($BD$5&lt;&gt;"",--(BD106="Présent"),0),IF($BF$5&lt;&gt;"",--(BF106="Présent"),0),IF($BH$5&lt;&gt;"",--(BH106="Présent"),0),IF($BJ$5&lt;&gt;"",--(BJ106="Présent"),0),IF($BL$5&lt;&gt;"",--(BL106="Présent"),0)))</f>
      </c>
      <c r="BO106" s="22">
        <f>IF($A106="","",SUM(IF($D$5&lt;&gt;"",--(D106="Absent"),0),IF($F$5&lt;&gt;"",--(F106="Absent"),0),IF($H$5&lt;&gt;"",--(H106="Absent"),0),IF($J$5&lt;&gt;"",--(J106="Absent"),0),IF($L$5&lt;&gt;"",--(L106="Absent"),0),IF($N$5&lt;&gt;"",--(N106="Absent"),0),IF($P$5&lt;&gt;"",--(P106="Absent"),0),IF($R$5&lt;&gt;"",--(R106="Absent"),0),IF($T$5&lt;&gt;"",--(T106="Absent"),0),IF($V$5&lt;&gt;"",--(V106="Absent"),0),IF($X$5&lt;&gt;"",--(X106="Absent"),0),IF($Z$5&lt;&gt;"",--(Z106="Absent"),0),IF($AB$5&lt;&gt;"",--(AB106="Absent"),0),IF($AD$5&lt;&gt;"",--(AD106="Absent"),0),IF($AF$5&lt;&gt;"",--(AF106="Absent"),0),IF($AH$5&lt;&gt;"",--(AH106="Absent"),0),IF($AJ$5&lt;&gt;"",--(AJ106="Absent"),0),IF($AL$5&lt;&gt;"",--(AL106="Absent"),0),IF($AN$5&lt;&gt;"",--(AN106="Absent"),0),IF($AP$5&lt;&gt;"",--(AP106="Absent"),0),IF($AR$5&lt;&gt;"",--(AR106="Absent"),0),IF($AT$5&lt;&gt;"",--(AT106="Absent"),0),IF($AV$5&lt;&gt;"",--(AV106="Absent"),0),IF($AX$5&lt;&gt;"",--(AX106="Absent"),0),IF($AZ$5&lt;&gt;"",--(AZ106="Absent"),0),IF($BB$5&lt;&gt;"",--(BB106="Absent"),0),IF($BD$5&lt;&gt;"",--(BD106="Absent"),0),IF($BF$5&lt;&gt;"",--(BF106="Absent"),0),IF($BH$5&lt;&gt;"",--(BH106="Absent"),0),IF($BJ$5&lt;&gt;"",--(BJ106="Absent"),0),IF($BL$5&lt;&gt;"",--(BL106="Absent"),0)))</f>
      </c>
      <c r="BP106" s="22">
        <f>IF($A106="","",SUM(IF($D$5&lt;&gt;"",--(D106="Congé"),0),IF($F$5&lt;&gt;"",--(F106="Congé"),0),IF($H$5&lt;&gt;"",--(H106="Congé"),0),IF($J$5&lt;&gt;"",--(J106="Congé"),0),IF($L$5&lt;&gt;"",--(L106="Congé"),0),IF($N$5&lt;&gt;"",--(N106="Congé"),0),IF($P$5&lt;&gt;"",--(P106="Congé"),0),IF($R$5&lt;&gt;"",--(R106="Congé"),0),IF($T$5&lt;&gt;"",--(T106="Congé"),0),IF($V$5&lt;&gt;"",--(V106="Congé"),0),IF($X$5&lt;&gt;"",--(X106="Congé"),0),IF($Z$5&lt;&gt;"",--(Z106="Congé"),0),IF($AB$5&lt;&gt;"",--(AB106="Congé"),0),IF($AD$5&lt;&gt;"",--(AD106="Congé"),0),IF($AF$5&lt;&gt;"",--(AF106="Congé"),0),IF($AH$5&lt;&gt;"",--(AH106="Congé"),0),IF($AJ$5&lt;&gt;"",--(AJ106="Congé"),0),IF($AL$5&lt;&gt;"",--(AL106="Congé"),0),IF($AN$5&lt;&gt;"",--(AN106="Congé"),0),IF($AP$5&lt;&gt;"",--(AP106="Congé"),0),IF($AR$5&lt;&gt;"",--(AR106="Congé"),0),IF($AT$5&lt;&gt;"",--(AT106="Congé"),0),IF($AV$5&lt;&gt;"",--(AV106="Congé"),0),IF($AX$5&lt;&gt;"",--(AX106="Congé"),0),IF($AZ$5&lt;&gt;"",--(AZ106="Congé"),0),IF($BB$5&lt;&gt;"",--(BB106="Congé"),0),IF($BD$5&lt;&gt;"",--(BD106="Congé"),0),IF($BF$5&lt;&gt;"",--(BF106="Congé"),0),IF($BH$5&lt;&gt;"",--(BH106="Congé"),0),IF($BJ$5&lt;&gt;"",--(BJ106="Congé"),0),IF($BL$5&lt;&gt;"",--(BL106="Congé"),0)))</f>
      </c>
      <c r="BQ106" s="22">
        <f>IF($A106="","",SUM(IF($D$5&lt;&gt;"",--(D106="Maladie"),0),IF($F$5&lt;&gt;"",--(F106="Maladie"),0),IF($H$5&lt;&gt;"",--(H106="Maladie"),0),IF($J$5&lt;&gt;"",--(J106="Maladie"),0),IF($L$5&lt;&gt;"",--(L106="Maladie"),0),IF($N$5&lt;&gt;"",--(N106="Maladie"),0),IF($P$5&lt;&gt;"",--(P106="Maladie"),0),IF($R$5&lt;&gt;"",--(R106="Maladie"),0),IF($T$5&lt;&gt;"",--(T106="Maladie"),0),IF($V$5&lt;&gt;"",--(V106="Maladie"),0),IF($X$5&lt;&gt;"",--(X106="Maladie"),0),IF($Z$5&lt;&gt;"",--(Z106="Maladie"),0),IF($AB$5&lt;&gt;"",--(AB106="Maladie"),0),IF($AD$5&lt;&gt;"",--(AD106="Maladie"),0),IF($AF$5&lt;&gt;"",--(AF106="Maladie"),0),IF($AH$5&lt;&gt;"",--(AH106="Maladie"),0),IF($AJ$5&lt;&gt;"",--(AJ106="Maladie"),0),IF($AL$5&lt;&gt;"",--(AL106="Maladie"),0),IF($AN$5&lt;&gt;"",--(AN106="Maladie"),0),IF($AP$5&lt;&gt;"",--(AP106="Maladie"),0),IF($AR$5&lt;&gt;"",--(AR106="Maladie"),0),IF($AT$5&lt;&gt;"",--(AT106="Maladie"),0),IF($AV$5&lt;&gt;"",--(AV106="Maladie"),0),IF($AX$5&lt;&gt;"",--(AX106="Maladie"),0),IF($AZ$5&lt;&gt;"",--(AZ106="Maladie"),0),IF($BB$5&lt;&gt;"",--(BB106="Maladie"),0),IF($BD$5&lt;&gt;"",--(BD106="Maladie"),0),IF($BF$5&lt;&gt;"",--(BF106="Maladie"),0),IF($BH$5&lt;&gt;"",--(BH106="Maladie"),0),IF($BJ$5&lt;&gt;"",--(BJ106="Maladie"),0),IF($BL$5&lt;&gt;"",--(BL106="Maladie"),0)))</f>
      </c>
      <c r="BR106" s="23">
        <f>IF($A106="","",SUM(IF($D$5&lt;&gt;"",IF(D106="Présent",E106,0),0),IF($F$5&lt;&gt;"",IF(F106="Présent",G106,0),0),IF($H$5&lt;&gt;"",IF(H106="Présent",I106,0),0),IF($J$5&lt;&gt;"",IF(J106="Présent",K106,0),0),IF($L$5&lt;&gt;"",IF(L106="Présent",M106,0),0),IF($N$5&lt;&gt;"",IF(N106="Présent",O106,0),0),IF($P$5&lt;&gt;"",IF(P106="Présent",Q106,0),0),IF($R$5&lt;&gt;"",IF(R106="Présent",S106,0),0),IF($T$5&lt;&gt;"",IF(T106="Présent",U106,0),0),IF($V$5&lt;&gt;"",IF(V106="Présent",W106,0),0),IF($X$5&lt;&gt;"",IF(X106="Présent",Y106,0),0),IF($Z$5&lt;&gt;"",IF(Z106="Présent",AA106,0),0),IF($AB$5&lt;&gt;"",IF(AB106="Présent",AC106,0),0),IF($AD$5&lt;&gt;"",IF(AD106="Présent",AE106,0),0),IF($AF$5&lt;&gt;"",IF(AF106="Présent",AG106,0),0),IF($AH$5&lt;&gt;"",IF(AH106="Présent",AI106,0),0),IF($AJ$5&lt;&gt;"",IF(AJ106="Présent",AK106,0),0),IF($AL$5&lt;&gt;"",IF(AL106="Présent",AM106,0),0),IF($AN$5&lt;&gt;"",IF(AN106="Présent",AO106,0),0),IF($AP$5&lt;&gt;"",IF(AP106="Présent",AQ106,0),0),IF($AR$5&lt;&gt;"",IF(AR106="Présent",AS106,0),0),IF($AT$5&lt;&gt;"",IF(AT106="Présent",AU106,0),0),IF($AV$5&lt;&gt;"",IF(AV106="Présent",AW106,0),0),IF($AX$5&lt;&gt;"",IF(AX106="Présent",AY106,0),0),IF($AZ$5&lt;&gt;"",IF(AZ106="Présent",BA106,0),0),IF($BB$5&lt;&gt;"",IF(BB106="Présent",BC106,0),0),IF($BD$5&lt;&gt;"",IF(BD106="Présent",BE106,0),0),IF($BF$5&lt;&gt;"",IF(BF106="Présent",BG106,0),0),IF($BH$5&lt;&gt;"",IF(BH106="Présent",BI106,0),0),IF($BJ$5&lt;&gt;"",IF(BJ106="Présent",BK106,0),0),IF($BL$5&lt;&gt;"",IF(BL106="Présent",BM106,0),0)))</f>
      </c>
      <c r="BS106" s="25">
        <f>IF($A106="","",$BN106*IFERROR(INDEX(Categories_Salaire,MATCH($C106,ListeCategories,0)),0)+$BR106*IF(IFERROR(INDEX(Categories_TauxHS,MATCH($C106,ListeCategories,0)),0)&gt;0,IFERROR(INDEX(Categories_TauxHS,MATCH($C106,ListeCategories,0)),0),TauxHSDefaut))</f>
      </c>
    </row>
    <row r="107">
      <c r="A107" s="20">
        <f>IF(AND(INDEX(Employes_Nom,101)&lt;&gt;"",INDEX(Employes_Statut,101)="Actif",OR(INDEX(Employes_Embauche,101)="",INDEX(Employes_Embauche,101)&lt;=EOMONTH(DATE(AnneeCourante,MoisCourant,1),0))),INDEX(Employes_ID,101),"")</f>
      </c>
      <c r="B107" s="19">
        <f>IF($A107="","",INDEX(Employes_Nom,MATCH($A107,Employes_ID,0)))</f>
      </c>
      <c r="C107" s="20">
        <f>IF($A107="","",INDEX(Employes_Categorie,MATCH($A107,Employes_ID,0)))</f>
      </c>
      <c r="D107" s="26"/>
      <c r="E107" s="27"/>
      <c r="F107" s="26"/>
      <c r="G107" s="27"/>
      <c r="H107" s="26"/>
      <c r="I107" s="27"/>
      <c r="J107" s="26"/>
      <c r="K107" s="27"/>
      <c r="L107" s="26"/>
      <c r="M107" s="27"/>
      <c r="N107" s="26"/>
      <c r="O107" s="27"/>
      <c r="P107" s="26"/>
      <c r="Q107" s="27"/>
      <c r="R107" s="26"/>
      <c r="S107" s="27"/>
      <c r="T107" s="26"/>
      <c r="U107" s="27"/>
      <c r="V107" s="26"/>
      <c r="W107" s="27"/>
      <c r="X107" s="26"/>
      <c r="Y107" s="27"/>
      <c r="Z107" s="26"/>
      <c r="AA107" s="27"/>
      <c r="AB107" s="26"/>
      <c r="AC107" s="27"/>
      <c r="AD107" s="26"/>
      <c r="AE107" s="27"/>
      <c r="AF107" s="26"/>
      <c r="AG107" s="27"/>
      <c r="AH107" s="26"/>
      <c r="AI107" s="27"/>
      <c r="AJ107" s="26"/>
      <c r="AK107" s="27"/>
      <c r="AL107" s="26"/>
      <c r="AM107" s="27"/>
      <c r="AN107" s="26"/>
      <c r="AO107" s="27"/>
      <c r="AP107" s="26"/>
      <c r="AQ107" s="27"/>
      <c r="AR107" s="26"/>
      <c r="AS107" s="27"/>
      <c r="AT107" s="26"/>
      <c r="AU107" s="27"/>
      <c r="AV107" s="26"/>
      <c r="AW107" s="27"/>
      <c r="AX107" s="26"/>
      <c r="AY107" s="27"/>
      <c r="AZ107" s="26"/>
      <c r="BA107" s="27"/>
      <c r="BB107" s="26"/>
      <c r="BC107" s="27"/>
      <c r="BD107" s="26"/>
      <c r="BE107" s="27"/>
      <c r="BF107" s="26"/>
      <c r="BG107" s="27"/>
      <c r="BH107" s="26"/>
      <c r="BI107" s="27"/>
      <c r="BJ107" s="26"/>
      <c r="BK107" s="27"/>
      <c r="BL107" s="26"/>
      <c r="BM107" s="27"/>
      <c r="BN107" s="22">
        <f>IF($A107="","",SUM(IF($D$5&lt;&gt;"",--(D107="Présent"),0),IF($F$5&lt;&gt;"",--(F107="Présent"),0),IF($H$5&lt;&gt;"",--(H107="Présent"),0),IF($J$5&lt;&gt;"",--(J107="Présent"),0),IF($L$5&lt;&gt;"",--(L107="Présent"),0),IF($N$5&lt;&gt;"",--(N107="Présent"),0),IF($P$5&lt;&gt;"",--(P107="Présent"),0),IF($R$5&lt;&gt;"",--(R107="Présent"),0),IF($T$5&lt;&gt;"",--(T107="Présent"),0),IF($V$5&lt;&gt;"",--(V107="Présent"),0),IF($X$5&lt;&gt;"",--(X107="Présent"),0),IF($Z$5&lt;&gt;"",--(Z107="Présent"),0),IF($AB$5&lt;&gt;"",--(AB107="Présent"),0),IF($AD$5&lt;&gt;"",--(AD107="Présent"),0),IF($AF$5&lt;&gt;"",--(AF107="Présent"),0),IF($AH$5&lt;&gt;"",--(AH107="Présent"),0),IF($AJ$5&lt;&gt;"",--(AJ107="Présent"),0),IF($AL$5&lt;&gt;"",--(AL107="Présent"),0),IF($AN$5&lt;&gt;"",--(AN107="Présent"),0),IF($AP$5&lt;&gt;"",--(AP107="Présent"),0),IF($AR$5&lt;&gt;"",--(AR107="Présent"),0),IF($AT$5&lt;&gt;"",--(AT107="Présent"),0),IF($AV$5&lt;&gt;"",--(AV107="Présent"),0),IF($AX$5&lt;&gt;"",--(AX107="Présent"),0),IF($AZ$5&lt;&gt;"",--(AZ107="Présent"),0),IF($BB$5&lt;&gt;"",--(BB107="Présent"),0),IF($BD$5&lt;&gt;"",--(BD107="Présent"),0),IF($BF$5&lt;&gt;"",--(BF107="Présent"),0),IF($BH$5&lt;&gt;"",--(BH107="Présent"),0),IF($BJ$5&lt;&gt;"",--(BJ107="Présent"),0),IF($BL$5&lt;&gt;"",--(BL107="Présent"),0)))</f>
      </c>
      <c r="BO107" s="22">
        <f>IF($A107="","",SUM(IF($D$5&lt;&gt;"",--(D107="Absent"),0),IF($F$5&lt;&gt;"",--(F107="Absent"),0),IF($H$5&lt;&gt;"",--(H107="Absent"),0),IF($J$5&lt;&gt;"",--(J107="Absent"),0),IF($L$5&lt;&gt;"",--(L107="Absent"),0),IF($N$5&lt;&gt;"",--(N107="Absent"),0),IF($P$5&lt;&gt;"",--(P107="Absent"),0),IF($R$5&lt;&gt;"",--(R107="Absent"),0),IF($T$5&lt;&gt;"",--(T107="Absent"),0),IF($V$5&lt;&gt;"",--(V107="Absent"),0),IF($X$5&lt;&gt;"",--(X107="Absent"),0),IF($Z$5&lt;&gt;"",--(Z107="Absent"),0),IF($AB$5&lt;&gt;"",--(AB107="Absent"),0),IF($AD$5&lt;&gt;"",--(AD107="Absent"),0),IF($AF$5&lt;&gt;"",--(AF107="Absent"),0),IF($AH$5&lt;&gt;"",--(AH107="Absent"),0),IF($AJ$5&lt;&gt;"",--(AJ107="Absent"),0),IF($AL$5&lt;&gt;"",--(AL107="Absent"),0),IF($AN$5&lt;&gt;"",--(AN107="Absent"),0),IF($AP$5&lt;&gt;"",--(AP107="Absent"),0),IF($AR$5&lt;&gt;"",--(AR107="Absent"),0),IF($AT$5&lt;&gt;"",--(AT107="Absent"),0),IF($AV$5&lt;&gt;"",--(AV107="Absent"),0),IF($AX$5&lt;&gt;"",--(AX107="Absent"),0),IF($AZ$5&lt;&gt;"",--(AZ107="Absent"),0),IF($BB$5&lt;&gt;"",--(BB107="Absent"),0),IF($BD$5&lt;&gt;"",--(BD107="Absent"),0),IF($BF$5&lt;&gt;"",--(BF107="Absent"),0),IF($BH$5&lt;&gt;"",--(BH107="Absent"),0),IF($BJ$5&lt;&gt;"",--(BJ107="Absent"),0),IF($BL$5&lt;&gt;"",--(BL107="Absent"),0)))</f>
      </c>
      <c r="BP107" s="22">
        <f>IF($A107="","",SUM(IF($D$5&lt;&gt;"",--(D107="Congé"),0),IF($F$5&lt;&gt;"",--(F107="Congé"),0),IF($H$5&lt;&gt;"",--(H107="Congé"),0),IF($J$5&lt;&gt;"",--(J107="Congé"),0),IF($L$5&lt;&gt;"",--(L107="Congé"),0),IF($N$5&lt;&gt;"",--(N107="Congé"),0),IF($P$5&lt;&gt;"",--(P107="Congé"),0),IF($R$5&lt;&gt;"",--(R107="Congé"),0),IF($T$5&lt;&gt;"",--(T107="Congé"),0),IF($V$5&lt;&gt;"",--(V107="Congé"),0),IF($X$5&lt;&gt;"",--(X107="Congé"),0),IF($Z$5&lt;&gt;"",--(Z107="Congé"),0),IF($AB$5&lt;&gt;"",--(AB107="Congé"),0),IF($AD$5&lt;&gt;"",--(AD107="Congé"),0),IF($AF$5&lt;&gt;"",--(AF107="Congé"),0),IF($AH$5&lt;&gt;"",--(AH107="Congé"),0),IF($AJ$5&lt;&gt;"",--(AJ107="Congé"),0),IF($AL$5&lt;&gt;"",--(AL107="Congé"),0),IF($AN$5&lt;&gt;"",--(AN107="Congé"),0),IF($AP$5&lt;&gt;"",--(AP107="Congé"),0),IF($AR$5&lt;&gt;"",--(AR107="Congé"),0),IF($AT$5&lt;&gt;"",--(AT107="Congé"),0),IF($AV$5&lt;&gt;"",--(AV107="Congé"),0),IF($AX$5&lt;&gt;"",--(AX107="Congé"),0),IF($AZ$5&lt;&gt;"",--(AZ107="Congé"),0),IF($BB$5&lt;&gt;"",--(BB107="Congé"),0),IF($BD$5&lt;&gt;"",--(BD107="Congé"),0),IF($BF$5&lt;&gt;"",--(BF107="Congé"),0),IF($BH$5&lt;&gt;"",--(BH107="Congé"),0),IF($BJ$5&lt;&gt;"",--(BJ107="Congé"),0),IF($BL$5&lt;&gt;"",--(BL107="Congé"),0)))</f>
      </c>
      <c r="BQ107" s="22">
        <f>IF($A107="","",SUM(IF($D$5&lt;&gt;"",--(D107="Maladie"),0),IF($F$5&lt;&gt;"",--(F107="Maladie"),0),IF($H$5&lt;&gt;"",--(H107="Maladie"),0),IF($J$5&lt;&gt;"",--(J107="Maladie"),0),IF($L$5&lt;&gt;"",--(L107="Maladie"),0),IF($N$5&lt;&gt;"",--(N107="Maladie"),0),IF($P$5&lt;&gt;"",--(P107="Maladie"),0),IF($R$5&lt;&gt;"",--(R107="Maladie"),0),IF($T$5&lt;&gt;"",--(T107="Maladie"),0),IF($V$5&lt;&gt;"",--(V107="Maladie"),0),IF($X$5&lt;&gt;"",--(X107="Maladie"),0),IF($Z$5&lt;&gt;"",--(Z107="Maladie"),0),IF($AB$5&lt;&gt;"",--(AB107="Maladie"),0),IF($AD$5&lt;&gt;"",--(AD107="Maladie"),0),IF($AF$5&lt;&gt;"",--(AF107="Maladie"),0),IF($AH$5&lt;&gt;"",--(AH107="Maladie"),0),IF($AJ$5&lt;&gt;"",--(AJ107="Maladie"),0),IF($AL$5&lt;&gt;"",--(AL107="Maladie"),0),IF($AN$5&lt;&gt;"",--(AN107="Maladie"),0),IF($AP$5&lt;&gt;"",--(AP107="Maladie"),0),IF($AR$5&lt;&gt;"",--(AR107="Maladie"),0),IF($AT$5&lt;&gt;"",--(AT107="Maladie"),0),IF($AV$5&lt;&gt;"",--(AV107="Maladie"),0),IF($AX$5&lt;&gt;"",--(AX107="Maladie"),0),IF($AZ$5&lt;&gt;"",--(AZ107="Maladie"),0),IF($BB$5&lt;&gt;"",--(BB107="Maladie"),0),IF($BD$5&lt;&gt;"",--(BD107="Maladie"),0),IF($BF$5&lt;&gt;"",--(BF107="Maladie"),0),IF($BH$5&lt;&gt;"",--(BH107="Maladie"),0),IF($BJ$5&lt;&gt;"",--(BJ107="Maladie"),0),IF($BL$5&lt;&gt;"",--(BL107="Maladie"),0)))</f>
      </c>
      <c r="BR107" s="23">
        <f>IF($A107="","",SUM(IF($D$5&lt;&gt;"",IF(D107="Présent",E107,0),0),IF($F$5&lt;&gt;"",IF(F107="Présent",G107,0),0),IF($H$5&lt;&gt;"",IF(H107="Présent",I107,0),0),IF($J$5&lt;&gt;"",IF(J107="Présent",K107,0),0),IF($L$5&lt;&gt;"",IF(L107="Présent",M107,0),0),IF($N$5&lt;&gt;"",IF(N107="Présent",O107,0),0),IF($P$5&lt;&gt;"",IF(P107="Présent",Q107,0),0),IF($R$5&lt;&gt;"",IF(R107="Présent",S107,0),0),IF($T$5&lt;&gt;"",IF(T107="Présent",U107,0),0),IF($V$5&lt;&gt;"",IF(V107="Présent",W107,0),0),IF($X$5&lt;&gt;"",IF(X107="Présent",Y107,0),0),IF($Z$5&lt;&gt;"",IF(Z107="Présent",AA107,0),0),IF($AB$5&lt;&gt;"",IF(AB107="Présent",AC107,0),0),IF($AD$5&lt;&gt;"",IF(AD107="Présent",AE107,0),0),IF($AF$5&lt;&gt;"",IF(AF107="Présent",AG107,0),0),IF($AH$5&lt;&gt;"",IF(AH107="Présent",AI107,0),0),IF($AJ$5&lt;&gt;"",IF(AJ107="Présent",AK107,0),0),IF($AL$5&lt;&gt;"",IF(AL107="Présent",AM107,0),0),IF($AN$5&lt;&gt;"",IF(AN107="Présent",AO107,0),0),IF($AP$5&lt;&gt;"",IF(AP107="Présent",AQ107,0),0),IF($AR$5&lt;&gt;"",IF(AR107="Présent",AS107,0),0),IF($AT$5&lt;&gt;"",IF(AT107="Présent",AU107,0),0),IF($AV$5&lt;&gt;"",IF(AV107="Présent",AW107,0),0),IF($AX$5&lt;&gt;"",IF(AX107="Présent",AY107,0),0),IF($AZ$5&lt;&gt;"",IF(AZ107="Présent",BA107,0),0),IF($BB$5&lt;&gt;"",IF(BB107="Présent",BC107,0),0),IF($BD$5&lt;&gt;"",IF(BD107="Présent",BE107,0),0),IF($BF$5&lt;&gt;"",IF(BF107="Présent",BG107,0),0),IF($BH$5&lt;&gt;"",IF(BH107="Présent",BI107,0),0),IF($BJ$5&lt;&gt;"",IF(BJ107="Présent",BK107,0),0),IF($BL$5&lt;&gt;"",IF(BL107="Présent",BM107,0),0)))</f>
      </c>
      <c r="BS107" s="25">
        <f>IF($A107="","",$BN107*IFERROR(INDEX(Categories_Salaire,MATCH($C107,ListeCategories,0)),0)+$BR107*IF(IFERROR(INDEX(Categories_TauxHS,MATCH($C107,ListeCategories,0)),0)&gt;0,IFERROR(INDEX(Categories_TauxHS,MATCH($C107,ListeCategories,0)),0),TauxHSDefaut))</f>
      </c>
    </row>
    <row r="108">
      <c r="A108" s="20">
        <f>IF(AND(INDEX(Employes_Nom,102)&lt;&gt;"",INDEX(Employes_Statut,102)="Actif",OR(INDEX(Employes_Embauche,102)="",INDEX(Employes_Embauche,102)&lt;=EOMONTH(DATE(AnneeCourante,MoisCourant,1),0))),INDEX(Employes_ID,102),"")</f>
      </c>
      <c r="B108" s="19">
        <f>IF($A108="","",INDEX(Employes_Nom,MATCH($A108,Employes_ID,0)))</f>
      </c>
      <c r="C108" s="20">
        <f>IF($A108="","",INDEX(Employes_Categorie,MATCH($A108,Employes_ID,0)))</f>
      </c>
      <c r="D108" s="26"/>
      <c r="E108" s="27"/>
      <c r="F108" s="26"/>
      <c r="G108" s="27"/>
      <c r="H108" s="26"/>
      <c r="I108" s="27"/>
      <c r="J108" s="26"/>
      <c r="K108" s="27"/>
      <c r="L108" s="26"/>
      <c r="M108" s="27"/>
      <c r="N108" s="26"/>
      <c r="O108" s="27"/>
      <c r="P108" s="26"/>
      <c r="Q108" s="27"/>
      <c r="R108" s="26"/>
      <c r="S108" s="27"/>
      <c r="T108" s="26"/>
      <c r="U108" s="27"/>
      <c r="V108" s="26"/>
      <c r="W108" s="27"/>
      <c r="X108" s="26"/>
      <c r="Y108" s="27"/>
      <c r="Z108" s="26"/>
      <c r="AA108" s="27"/>
      <c r="AB108" s="26"/>
      <c r="AC108" s="27"/>
      <c r="AD108" s="26"/>
      <c r="AE108" s="27"/>
      <c r="AF108" s="26"/>
      <c r="AG108" s="27"/>
      <c r="AH108" s="26"/>
      <c r="AI108" s="27"/>
      <c r="AJ108" s="26"/>
      <c r="AK108" s="27"/>
      <c r="AL108" s="26"/>
      <c r="AM108" s="27"/>
      <c r="AN108" s="26"/>
      <c r="AO108" s="27"/>
      <c r="AP108" s="26"/>
      <c r="AQ108" s="27"/>
      <c r="AR108" s="26"/>
      <c r="AS108" s="27"/>
      <c r="AT108" s="26"/>
      <c r="AU108" s="27"/>
      <c r="AV108" s="26"/>
      <c r="AW108" s="27"/>
      <c r="AX108" s="26"/>
      <c r="AY108" s="27"/>
      <c r="AZ108" s="26"/>
      <c r="BA108" s="27"/>
      <c r="BB108" s="26"/>
      <c r="BC108" s="27"/>
      <c r="BD108" s="26"/>
      <c r="BE108" s="27"/>
      <c r="BF108" s="26"/>
      <c r="BG108" s="27"/>
      <c r="BH108" s="26"/>
      <c r="BI108" s="27"/>
      <c r="BJ108" s="26"/>
      <c r="BK108" s="27"/>
      <c r="BL108" s="26"/>
      <c r="BM108" s="27"/>
      <c r="BN108" s="22">
        <f>IF($A108="","",SUM(IF($D$5&lt;&gt;"",--(D108="Présent"),0),IF($F$5&lt;&gt;"",--(F108="Présent"),0),IF($H$5&lt;&gt;"",--(H108="Présent"),0),IF($J$5&lt;&gt;"",--(J108="Présent"),0),IF($L$5&lt;&gt;"",--(L108="Présent"),0),IF($N$5&lt;&gt;"",--(N108="Présent"),0),IF($P$5&lt;&gt;"",--(P108="Présent"),0),IF($R$5&lt;&gt;"",--(R108="Présent"),0),IF($T$5&lt;&gt;"",--(T108="Présent"),0),IF($V$5&lt;&gt;"",--(V108="Présent"),0),IF($X$5&lt;&gt;"",--(X108="Présent"),0),IF($Z$5&lt;&gt;"",--(Z108="Présent"),0),IF($AB$5&lt;&gt;"",--(AB108="Présent"),0),IF($AD$5&lt;&gt;"",--(AD108="Présent"),0),IF($AF$5&lt;&gt;"",--(AF108="Présent"),0),IF($AH$5&lt;&gt;"",--(AH108="Présent"),0),IF($AJ$5&lt;&gt;"",--(AJ108="Présent"),0),IF($AL$5&lt;&gt;"",--(AL108="Présent"),0),IF($AN$5&lt;&gt;"",--(AN108="Présent"),0),IF($AP$5&lt;&gt;"",--(AP108="Présent"),0),IF($AR$5&lt;&gt;"",--(AR108="Présent"),0),IF($AT$5&lt;&gt;"",--(AT108="Présent"),0),IF($AV$5&lt;&gt;"",--(AV108="Présent"),0),IF($AX$5&lt;&gt;"",--(AX108="Présent"),0),IF($AZ$5&lt;&gt;"",--(AZ108="Présent"),0),IF($BB$5&lt;&gt;"",--(BB108="Présent"),0),IF($BD$5&lt;&gt;"",--(BD108="Présent"),0),IF($BF$5&lt;&gt;"",--(BF108="Présent"),0),IF($BH$5&lt;&gt;"",--(BH108="Présent"),0),IF($BJ$5&lt;&gt;"",--(BJ108="Présent"),0),IF($BL$5&lt;&gt;"",--(BL108="Présent"),0)))</f>
      </c>
      <c r="BO108" s="22">
        <f>IF($A108="","",SUM(IF($D$5&lt;&gt;"",--(D108="Absent"),0),IF($F$5&lt;&gt;"",--(F108="Absent"),0),IF($H$5&lt;&gt;"",--(H108="Absent"),0),IF($J$5&lt;&gt;"",--(J108="Absent"),0),IF($L$5&lt;&gt;"",--(L108="Absent"),0),IF($N$5&lt;&gt;"",--(N108="Absent"),0),IF($P$5&lt;&gt;"",--(P108="Absent"),0),IF($R$5&lt;&gt;"",--(R108="Absent"),0),IF($T$5&lt;&gt;"",--(T108="Absent"),0),IF($V$5&lt;&gt;"",--(V108="Absent"),0),IF($X$5&lt;&gt;"",--(X108="Absent"),0),IF($Z$5&lt;&gt;"",--(Z108="Absent"),0),IF($AB$5&lt;&gt;"",--(AB108="Absent"),0),IF($AD$5&lt;&gt;"",--(AD108="Absent"),0),IF($AF$5&lt;&gt;"",--(AF108="Absent"),0),IF($AH$5&lt;&gt;"",--(AH108="Absent"),0),IF($AJ$5&lt;&gt;"",--(AJ108="Absent"),0),IF($AL$5&lt;&gt;"",--(AL108="Absent"),0),IF($AN$5&lt;&gt;"",--(AN108="Absent"),0),IF($AP$5&lt;&gt;"",--(AP108="Absent"),0),IF($AR$5&lt;&gt;"",--(AR108="Absent"),0),IF($AT$5&lt;&gt;"",--(AT108="Absent"),0),IF($AV$5&lt;&gt;"",--(AV108="Absent"),0),IF($AX$5&lt;&gt;"",--(AX108="Absent"),0),IF($AZ$5&lt;&gt;"",--(AZ108="Absent"),0),IF($BB$5&lt;&gt;"",--(BB108="Absent"),0),IF($BD$5&lt;&gt;"",--(BD108="Absent"),0),IF($BF$5&lt;&gt;"",--(BF108="Absent"),0),IF($BH$5&lt;&gt;"",--(BH108="Absent"),0),IF($BJ$5&lt;&gt;"",--(BJ108="Absent"),0),IF($BL$5&lt;&gt;"",--(BL108="Absent"),0)))</f>
      </c>
      <c r="BP108" s="22">
        <f>IF($A108="","",SUM(IF($D$5&lt;&gt;"",--(D108="Congé"),0),IF($F$5&lt;&gt;"",--(F108="Congé"),0),IF($H$5&lt;&gt;"",--(H108="Congé"),0),IF($J$5&lt;&gt;"",--(J108="Congé"),0),IF($L$5&lt;&gt;"",--(L108="Congé"),0),IF($N$5&lt;&gt;"",--(N108="Congé"),0),IF($P$5&lt;&gt;"",--(P108="Congé"),0),IF($R$5&lt;&gt;"",--(R108="Congé"),0),IF($T$5&lt;&gt;"",--(T108="Congé"),0),IF($V$5&lt;&gt;"",--(V108="Congé"),0),IF($X$5&lt;&gt;"",--(X108="Congé"),0),IF($Z$5&lt;&gt;"",--(Z108="Congé"),0),IF($AB$5&lt;&gt;"",--(AB108="Congé"),0),IF($AD$5&lt;&gt;"",--(AD108="Congé"),0),IF($AF$5&lt;&gt;"",--(AF108="Congé"),0),IF($AH$5&lt;&gt;"",--(AH108="Congé"),0),IF($AJ$5&lt;&gt;"",--(AJ108="Congé"),0),IF($AL$5&lt;&gt;"",--(AL108="Congé"),0),IF($AN$5&lt;&gt;"",--(AN108="Congé"),0),IF($AP$5&lt;&gt;"",--(AP108="Congé"),0),IF($AR$5&lt;&gt;"",--(AR108="Congé"),0),IF($AT$5&lt;&gt;"",--(AT108="Congé"),0),IF($AV$5&lt;&gt;"",--(AV108="Congé"),0),IF($AX$5&lt;&gt;"",--(AX108="Congé"),0),IF($AZ$5&lt;&gt;"",--(AZ108="Congé"),0),IF($BB$5&lt;&gt;"",--(BB108="Congé"),0),IF($BD$5&lt;&gt;"",--(BD108="Congé"),0),IF($BF$5&lt;&gt;"",--(BF108="Congé"),0),IF($BH$5&lt;&gt;"",--(BH108="Congé"),0),IF($BJ$5&lt;&gt;"",--(BJ108="Congé"),0),IF($BL$5&lt;&gt;"",--(BL108="Congé"),0)))</f>
      </c>
      <c r="BQ108" s="22">
        <f>IF($A108="","",SUM(IF($D$5&lt;&gt;"",--(D108="Maladie"),0),IF($F$5&lt;&gt;"",--(F108="Maladie"),0),IF($H$5&lt;&gt;"",--(H108="Maladie"),0),IF($J$5&lt;&gt;"",--(J108="Maladie"),0),IF($L$5&lt;&gt;"",--(L108="Maladie"),0),IF($N$5&lt;&gt;"",--(N108="Maladie"),0),IF($P$5&lt;&gt;"",--(P108="Maladie"),0),IF($R$5&lt;&gt;"",--(R108="Maladie"),0),IF($T$5&lt;&gt;"",--(T108="Maladie"),0),IF($V$5&lt;&gt;"",--(V108="Maladie"),0),IF($X$5&lt;&gt;"",--(X108="Maladie"),0),IF($Z$5&lt;&gt;"",--(Z108="Maladie"),0),IF($AB$5&lt;&gt;"",--(AB108="Maladie"),0),IF($AD$5&lt;&gt;"",--(AD108="Maladie"),0),IF($AF$5&lt;&gt;"",--(AF108="Maladie"),0),IF($AH$5&lt;&gt;"",--(AH108="Maladie"),0),IF($AJ$5&lt;&gt;"",--(AJ108="Maladie"),0),IF($AL$5&lt;&gt;"",--(AL108="Maladie"),0),IF($AN$5&lt;&gt;"",--(AN108="Maladie"),0),IF($AP$5&lt;&gt;"",--(AP108="Maladie"),0),IF($AR$5&lt;&gt;"",--(AR108="Maladie"),0),IF($AT$5&lt;&gt;"",--(AT108="Maladie"),0),IF($AV$5&lt;&gt;"",--(AV108="Maladie"),0),IF($AX$5&lt;&gt;"",--(AX108="Maladie"),0),IF($AZ$5&lt;&gt;"",--(AZ108="Maladie"),0),IF($BB$5&lt;&gt;"",--(BB108="Maladie"),0),IF($BD$5&lt;&gt;"",--(BD108="Maladie"),0),IF($BF$5&lt;&gt;"",--(BF108="Maladie"),0),IF($BH$5&lt;&gt;"",--(BH108="Maladie"),0),IF($BJ$5&lt;&gt;"",--(BJ108="Maladie"),0),IF($BL$5&lt;&gt;"",--(BL108="Maladie"),0)))</f>
      </c>
      <c r="BR108" s="23">
        <f>IF($A108="","",SUM(IF($D$5&lt;&gt;"",IF(D108="Présent",E108,0),0),IF($F$5&lt;&gt;"",IF(F108="Présent",G108,0),0),IF($H$5&lt;&gt;"",IF(H108="Présent",I108,0),0),IF($J$5&lt;&gt;"",IF(J108="Présent",K108,0),0),IF($L$5&lt;&gt;"",IF(L108="Présent",M108,0),0),IF($N$5&lt;&gt;"",IF(N108="Présent",O108,0),0),IF($P$5&lt;&gt;"",IF(P108="Présent",Q108,0),0),IF($R$5&lt;&gt;"",IF(R108="Présent",S108,0),0),IF($T$5&lt;&gt;"",IF(T108="Présent",U108,0),0),IF($V$5&lt;&gt;"",IF(V108="Présent",W108,0),0),IF($X$5&lt;&gt;"",IF(X108="Présent",Y108,0),0),IF($Z$5&lt;&gt;"",IF(Z108="Présent",AA108,0),0),IF($AB$5&lt;&gt;"",IF(AB108="Présent",AC108,0),0),IF($AD$5&lt;&gt;"",IF(AD108="Présent",AE108,0),0),IF($AF$5&lt;&gt;"",IF(AF108="Présent",AG108,0),0),IF($AH$5&lt;&gt;"",IF(AH108="Présent",AI108,0),0),IF($AJ$5&lt;&gt;"",IF(AJ108="Présent",AK108,0),0),IF($AL$5&lt;&gt;"",IF(AL108="Présent",AM108,0),0),IF($AN$5&lt;&gt;"",IF(AN108="Présent",AO108,0),0),IF($AP$5&lt;&gt;"",IF(AP108="Présent",AQ108,0),0),IF($AR$5&lt;&gt;"",IF(AR108="Présent",AS108,0),0),IF($AT$5&lt;&gt;"",IF(AT108="Présent",AU108,0),0),IF($AV$5&lt;&gt;"",IF(AV108="Présent",AW108,0),0),IF($AX$5&lt;&gt;"",IF(AX108="Présent",AY108,0),0),IF($AZ$5&lt;&gt;"",IF(AZ108="Présent",BA108,0),0),IF($BB$5&lt;&gt;"",IF(BB108="Présent",BC108,0),0),IF($BD$5&lt;&gt;"",IF(BD108="Présent",BE108,0),0),IF($BF$5&lt;&gt;"",IF(BF108="Présent",BG108,0),0),IF($BH$5&lt;&gt;"",IF(BH108="Présent",BI108,0),0),IF($BJ$5&lt;&gt;"",IF(BJ108="Présent",BK108,0),0),IF($BL$5&lt;&gt;"",IF(BL108="Présent",BM108,0),0)))</f>
      </c>
      <c r="BS108" s="25">
        <f>IF($A108="","",$BN108*IFERROR(INDEX(Categories_Salaire,MATCH($C108,ListeCategories,0)),0)+$BR108*IF(IFERROR(INDEX(Categories_TauxHS,MATCH($C108,ListeCategories,0)),0)&gt;0,IFERROR(INDEX(Categories_TauxHS,MATCH($C108,ListeCategories,0)),0),TauxHSDefaut))</f>
      </c>
    </row>
    <row r="109">
      <c r="A109" s="20">
        <f>IF(AND(INDEX(Employes_Nom,103)&lt;&gt;"",INDEX(Employes_Statut,103)="Actif",OR(INDEX(Employes_Embauche,103)="",INDEX(Employes_Embauche,103)&lt;=EOMONTH(DATE(AnneeCourante,MoisCourant,1),0))),INDEX(Employes_ID,103),"")</f>
      </c>
      <c r="B109" s="19">
        <f>IF($A109="","",INDEX(Employes_Nom,MATCH($A109,Employes_ID,0)))</f>
      </c>
      <c r="C109" s="20">
        <f>IF($A109="","",INDEX(Employes_Categorie,MATCH($A109,Employes_ID,0)))</f>
      </c>
      <c r="D109" s="26"/>
      <c r="E109" s="27"/>
      <c r="F109" s="26"/>
      <c r="G109" s="27"/>
      <c r="H109" s="26"/>
      <c r="I109" s="27"/>
      <c r="J109" s="26"/>
      <c r="K109" s="27"/>
      <c r="L109" s="26"/>
      <c r="M109" s="27"/>
      <c r="N109" s="26"/>
      <c r="O109" s="27"/>
      <c r="P109" s="26"/>
      <c r="Q109" s="27"/>
      <c r="R109" s="26"/>
      <c r="S109" s="27"/>
      <c r="T109" s="26"/>
      <c r="U109" s="27"/>
      <c r="V109" s="26"/>
      <c r="W109" s="27"/>
      <c r="X109" s="26"/>
      <c r="Y109" s="27"/>
      <c r="Z109" s="26"/>
      <c r="AA109" s="27"/>
      <c r="AB109" s="26"/>
      <c r="AC109" s="27"/>
      <c r="AD109" s="26"/>
      <c r="AE109" s="27"/>
      <c r="AF109" s="26"/>
      <c r="AG109" s="27"/>
      <c r="AH109" s="26"/>
      <c r="AI109" s="27"/>
      <c r="AJ109" s="26"/>
      <c r="AK109" s="27"/>
      <c r="AL109" s="26"/>
      <c r="AM109" s="27"/>
      <c r="AN109" s="26"/>
      <c r="AO109" s="27"/>
      <c r="AP109" s="26"/>
      <c r="AQ109" s="27"/>
      <c r="AR109" s="26"/>
      <c r="AS109" s="27"/>
      <c r="AT109" s="26"/>
      <c r="AU109" s="27"/>
      <c r="AV109" s="26"/>
      <c r="AW109" s="27"/>
      <c r="AX109" s="26"/>
      <c r="AY109" s="27"/>
      <c r="AZ109" s="26"/>
      <c r="BA109" s="27"/>
      <c r="BB109" s="26"/>
      <c r="BC109" s="27"/>
      <c r="BD109" s="26"/>
      <c r="BE109" s="27"/>
      <c r="BF109" s="26"/>
      <c r="BG109" s="27"/>
      <c r="BH109" s="26"/>
      <c r="BI109" s="27"/>
      <c r="BJ109" s="26"/>
      <c r="BK109" s="27"/>
      <c r="BL109" s="26"/>
      <c r="BM109" s="27"/>
      <c r="BN109" s="22">
        <f>IF($A109="","",SUM(IF($D$5&lt;&gt;"",--(D109="Présent"),0),IF($F$5&lt;&gt;"",--(F109="Présent"),0),IF($H$5&lt;&gt;"",--(H109="Présent"),0),IF($J$5&lt;&gt;"",--(J109="Présent"),0),IF($L$5&lt;&gt;"",--(L109="Présent"),0),IF($N$5&lt;&gt;"",--(N109="Présent"),0),IF($P$5&lt;&gt;"",--(P109="Présent"),0),IF($R$5&lt;&gt;"",--(R109="Présent"),0),IF($T$5&lt;&gt;"",--(T109="Présent"),0),IF($V$5&lt;&gt;"",--(V109="Présent"),0),IF($X$5&lt;&gt;"",--(X109="Présent"),0),IF($Z$5&lt;&gt;"",--(Z109="Présent"),0),IF($AB$5&lt;&gt;"",--(AB109="Présent"),0),IF($AD$5&lt;&gt;"",--(AD109="Présent"),0),IF($AF$5&lt;&gt;"",--(AF109="Présent"),0),IF($AH$5&lt;&gt;"",--(AH109="Présent"),0),IF($AJ$5&lt;&gt;"",--(AJ109="Présent"),0),IF($AL$5&lt;&gt;"",--(AL109="Présent"),0),IF($AN$5&lt;&gt;"",--(AN109="Présent"),0),IF($AP$5&lt;&gt;"",--(AP109="Présent"),0),IF($AR$5&lt;&gt;"",--(AR109="Présent"),0),IF($AT$5&lt;&gt;"",--(AT109="Présent"),0),IF($AV$5&lt;&gt;"",--(AV109="Présent"),0),IF($AX$5&lt;&gt;"",--(AX109="Présent"),0),IF($AZ$5&lt;&gt;"",--(AZ109="Présent"),0),IF($BB$5&lt;&gt;"",--(BB109="Présent"),0),IF($BD$5&lt;&gt;"",--(BD109="Présent"),0),IF($BF$5&lt;&gt;"",--(BF109="Présent"),0),IF($BH$5&lt;&gt;"",--(BH109="Présent"),0),IF($BJ$5&lt;&gt;"",--(BJ109="Présent"),0),IF($BL$5&lt;&gt;"",--(BL109="Présent"),0)))</f>
      </c>
      <c r="BO109" s="22">
        <f>IF($A109="","",SUM(IF($D$5&lt;&gt;"",--(D109="Absent"),0),IF($F$5&lt;&gt;"",--(F109="Absent"),0),IF($H$5&lt;&gt;"",--(H109="Absent"),0),IF($J$5&lt;&gt;"",--(J109="Absent"),0),IF($L$5&lt;&gt;"",--(L109="Absent"),0),IF($N$5&lt;&gt;"",--(N109="Absent"),0),IF($P$5&lt;&gt;"",--(P109="Absent"),0),IF($R$5&lt;&gt;"",--(R109="Absent"),0),IF($T$5&lt;&gt;"",--(T109="Absent"),0),IF($V$5&lt;&gt;"",--(V109="Absent"),0),IF($X$5&lt;&gt;"",--(X109="Absent"),0),IF($Z$5&lt;&gt;"",--(Z109="Absent"),0),IF($AB$5&lt;&gt;"",--(AB109="Absent"),0),IF($AD$5&lt;&gt;"",--(AD109="Absent"),0),IF($AF$5&lt;&gt;"",--(AF109="Absent"),0),IF($AH$5&lt;&gt;"",--(AH109="Absent"),0),IF($AJ$5&lt;&gt;"",--(AJ109="Absent"),0),IF($AL$5&lt;&gt;"",--(AL109="Absent"),0),IF($AN$5&lt;&gt;"",--(AN109="Absent"),0),IF($AP$5&lt;&gt;"",--(AP109="Absent"),0),IF($AR$5&lt;&gt;"",--(AR109="Absent"),0),IF($AT$5&lt;&gt;"",--(AT109="Absent"),0),IF($AV$5&lt;&gt;"",--(AV109="Absent"),0),IF($AX$5&lt;&gt;"",--(AX109="Absent"),0),IF($AZ$5&lt;&gt;"",--(AZ109="Absent"),0),IF($BB$5&lt;&gt;"",--(BB109="Absent"),0),IF($BD$5&lt;&gt;"",--(BD109="Absent"),0),IF($BF$5&lt;&gt;"",--(BF109="Absent"),0),IF($BH$5&lt;&gt;"",--(BH109="Absent"),0),IF($BJ$5&lt;&gt;"",--(BJ109="Absent"),0),IF($BL$5&lt;&gt;"",--(BL109="Absent"),0)))</f>
      </c>
      <c r="BP109" s="22">
        <f>IF($A109="","",SUM(IF($D$5&lt;&gt;"",--(D109="Congé"),0),IF($F$5&lt;&gt;"",--(F109="Congé"),0),IF($H$5&lt;&gt;"",--(H109="Congé"),0),IF($J$5&lt;&gt;"",--(J109="Congé"),0),IF($L$5&lt;&gt;"",--(L109="Congé"),0),IF($N$5&lt;&gt;"",--(N109="Congé"),0),IF($P$5&lt;&gt;"",--(P109="Congé"),0),IF($R$5&lt;&gt;"",--(R109="Congé"),0),IF($T$5&lt;&gt;"",--(T109="Congé"),0),IF($V$5&lt;&gt;"",--(V109="Congé"),0),IF($X$5&lt;&gt;"",--(X109="Congé"),0),IF($Z$5&lt;&gt;"",--(Z109="Congé"),0),IF($AB$5&lt;&gt;"",--(AB109="Congé"),0),IF($AD$5&lt;&gt;"",--(AD109="Congé"),0),IF($AF$5&lt;&gt;"",--(AF109="Congé"),0),IF($AH$5&lt;&gt;"",--(AH109="Congé"),0),IF($AJ$5&lt;&gt;"",--(AJ109="Congé"),0),IF($AL$5&lt;&gt;"",--(AL109="Congé"),0),IF($AN$5&lt;&gt;"",--(AN109="Congé"),0),IF($AP$5&lt;&gt;"",--(AP109="Congé"),0),IF($AR$5&lt;&gt;"",--(AR109="Congé"),0),IF($AT$5&lt;&gt;"",--(AT109="Congé"),0),IF($AV$5&lt;&gt;"",--(AV109="Congé"),0),IF($AX$5&lt;&gt;"",--(AX109="Congé"),0),IF($AZ$5&lt;&gt;"",--(AZ109="Congé"),0),IF($BB$5&lt;&gt;"",--(BB109="Congé"),0),IF($BD$5&lt;&gt;"",--(BD109="Congé"),0),IF($BF$5&lt;&gt;"",--(BF109="Congé"),0),IF($BH$5&lt;&gt;"",--(BH109="Congé"),0),IF($BJ$5&lt;&gt;"",--(BJ109="Congé"),0),IF($BL$5&lt;&gt;"",--(BL109="Congé"),0)))</f>
      </c>
      <c r="BQ109" s="22">
        <f>IF($A109="","",SUM(IF($D$5&lt;&gt;"",--(D109="Maladie"),0),IF($F$5&lt;&gt;"",--(F109="Maladie"),0),IF($H$5&lt;&gt;"",--(H109="Maladie"),0),IF($J$5&lt;&gt;"",--(J109="Maladie"),0),IF($L$5&lt;&gt;"",--(L109="Maladie"),0),IF($N$5&lt;&gt;"",--(N109="Maladie"),0),IF($P$5&lt;&gt;"",--(P109="Maladie"),0),IF($R$5&lt;&gt;"",--(R109="Maladie"),0),IF($T$5&lt;&gt;"",--(T109="Maladie"),0),IF($V$5&lt;&gt;"",--(V109="Maladie"),0),IF($X$5&lt;&gt;"",--(X109="Maladie"),0),IF($Z$5&lt;&gt;"",--(Z109="Maladie"),0),IF($AB$5&lt;&gt;"",--(AB109="Maladie"),0),IF($AD$5&lt;&gt;"",--(AD109="Maladie"),0),IF($AF$5&lt;&gt;"",--(AF109="Maladie"),0),IF($AH$5&lt;&gt;"",--(AH109="Maladie"),0),IF($AJ$5&lt;&gt;"",--(AJ109="Maladie"),0),IF($AL$5&lt;&gt;"",--(AL109="Maladie"),0),IF($AN$5&lt;&gt;"",--(AN109="Maladie"),0),IF($AP$5&lt;&gt;"",--(AP109="Maladie"),0),IF($AR$5&lt;&gt;"",--(AR109="Maladie"),0),IF($AT$5&lt;&gt;"",--(AT109="Maladie"),0),IF($AV$5&lt;&gt;"",--(AV109="Maladie"),0),IF($AX$5&lt;&gt;"",--(AX109="Maladie"),0),IF($AZ$5&lt;&gt;"",--(AZ109="Maladie"),0),IF($BB$5&lt;&gt;"",--(BB109="Maladie"),0),IF($BD$5&lt;&gt;"",--(BD109="Maladie"),0),IF($BF$5&lt;&gt;"",--(BF109="Maladie"),0),IF($BH$5&lt;&gt;"",--(BH109="Maladie"),0),IF($BJ$5&lt;&gt;"",--(BJ109="Maladie"),0),IF($BL$5&lt;&gt;"",--(BL109="Maladie"),0)))</f>
      </c>
      <c r="BR109" s="23">
        <f>IF($A109="","",SUM(IF($D$5&lt;&gt;"",IF(D109="Présent",E109,0),0),IF($F$5&lt;&gt;"",IF(F109="Présent",G109,0),0),IF($H$5&lt;&gt;"",IF(H109="Présent",I109,0),0),IF($J$5&lt;&gt;"",IF(J109="Présent",K109,0),0),IF($L$5&lt;&gt;"",IF(L109="Présent",M109,0),0),IF($N$5&lt;&gt;"",IF(N109="Présent",O109,0),0),IF($P$5&lt;&gt;"",IF(P109="Présent",Q109,0),0),IF($R$5&lt;&gt;"",IF(R109="Présent",S109,0),0),IF($T$5&lt;&gt;"",IF(T109="Présent",U109,0),0),IF($V$5&lt;&gt;"",IF(V109="Présent",W109,0),0),IF($X$5&lt;&gt;"",IF(X109="Présent",Y109,0),0),IF($Z$5&lt;&gt;"",IF(Z109="Présent",AA109,0),0),IF($AB$5&lt;&gt;"",IF(AB109="Présent",AC109,0),0),IF($AD$5&lt;&gt;"",IF(AD109="Présent",AE109,0),0),IF($AF$5&lt;&gt;"",IF(AF109="Présent",AG109,0),0),IF($AH$5&lt;&gt;"",IF(AH109="Présent",AI109,0),0),IF($AJ$5&lt;&gt;"",IF(AJ109="Présent",AK109,0),0),IF($AL$5&lt;&gt;"",IF(AL109="Présent",AM109,0),0),IF($AN$5&lt;&gt;"",IF(AN109="Présent",AO109,0),0),IF($AP$5&lt;&gt;"",IF(AP109="Présent",AQ109,0),0),IF($AR$5&lt;&gt;"",IF(AR109="Présent",AS109,0),0),IF($AT$5&lt;&gt;"",IF(AT109="Présent",AU109,0),0),IF($AV$5&lt;&gt;"",IF(AV109="Présent",AW109,0),0),IF($AX$5&lt;&gt;"",IF(AX109="Présent",AY109,0),0),IF($AZ$5&lt;&gt;"",IF(AZ109="Présent",BA109,0),0),IF($BB$5&lt;&gt;"",IF(BB109="Présent",BC109,0),0),IF($BD$5&lt;&gt;"",IF(BD109="Présent",BE109,0),0),IF($BF$5&lt;&gt;"",IF(BF109="Présent",BG109,0),0),IF($BH$5&lt;&gt;"",IF(BH109="Présent",BI109,0),0),IF($BJ$5&lt;&gt;"",IF(BJ109="Présent",BK109,0),0),IF($BL$5&lt;&gt;"",IF(BL109="Présent",BM109,0),0)))</f>
      </c>
      <c r="BS109" s="25">
        <f>IF($A109="","",$BN109*IFERROR(INDEX(Categories_Salaire,MATCH($C109,ListeCategories,0)),0)+$BR109*IF(IFERROR(INDEX(Categories_TauxHS,MATCH($C109,ListeCategories,0)),0)&gt;0,IFERROR(INDEX(Categories_TauxHS,MATCH($C109,ListeCategories,0)),0),TauxHSDefaut))</f>
      </c>
    </row>
    <row r="110">
      <c r="A110" s="20">
        <f>IF(AND(INDEX(Employes_Nom,104)&lt;&gt;"",INDEX(Employes_Statut,104)="Actif",OR(INDEX(Employes_Embauche,104)="",INDEX(Employes_Embauche,104)&lt;=EOMONTH(DATE(AnneeCourante,MoisCourant,1),0))),INDEX(Employes_ID,104),"")</f>
      </c>
      <c r="B110" s="19">
        <f>IF($A110="","",INDEX(Employes_Nom,MATCH($A110,Employes_ID,0)))</f>
      </c>
      <c r="C110" s="20">
        <f>IF($A110="","",INDEX(Employes_Categorie,MATCH($A110,Employes_ID,0)))</f>
      </c>
      <c r="D110" s="26"/>
      <c r="E110" s="27"/>
      <c r="F110" s="26"/>
      <c r="G110" s="27"/>
      <c r="H110" s="26"/>
      <c r="I110" s="27"/>
      <c r="J110" s="26"/>
      <c r="K110" s="27"/>
      <c r="L110" s="26"/>
      <c r="M110" s="27"/>
      <c r="N110" s="26"/>
      <c r="O110" s="27"/>
      <c r="P110" s="26"/>
      <c r="Q110" s="27"/>
      <c r="R110" s="26"/>
      <c r="S110" s="27"/>
      <c r="T110" s="26"/>
      <c r="U110" s="27"/>
      <c r="V110" s="26"/>
      <c r="W110" s="27"/>
      <c r="X110" s="26"/>
      <c r="Y110" s="27"/>
      <c r="Z110" s="26"/>
      <c r="AA110" s="27"/>
      <c r="AB110" s="26"/>
      <c r="AC110" s="27"/>
      <c r="AD110" s="26"/>
      <c r="AE110" s="27"/>
      <c r="AF110" s="26"/>
      <c r="AG110" s="27"/>
      <c r="AH110" s="26"/>
      <c r="AI110" s="27"/>
      <c r="AJ110" s="26"/>
      <c r="AK110" s="27"/>
      <c r="AL110" s="26"/>
      <c r="AM110" s="27"/>
      <c r="AN110" s="26"/>
      <c r="AO110" s="27"/>
      <c r="AP110" s="26"/>
      <c r="AQ110" s="27"/>
      <c r="AR110" s="26"/>
      <c r="AS110" s="27"/>
      <c r="AT110" s="26"/>
      <c r="AU110" s="27"/>
      <c r="AV110" s="26"/>
      <c r="AW110" s="27"/>
      <c r="AX110" s="26"/>
      <c r="AY110" s="27"/>
      <c r="AZ110" s="26"/>
      <c r="BA110" s="27"/>
      <c r="BB110" s="26"/>
      <c r="BC110" s="27"/>
      <c r="BD110" s="26"/>
      <c r="BE110" s="27"/>
      <c r="BF110" s="26"/>
      <c r="BG110" s="27"/>
      <c r="BH110" s="26"/>
      <c r="BI110" s="27"/>
      <c r="BJ110" s="26"/>
      <c r="BK110" s="27"/>
      <c r="BL110" s="26"/>
      <c r="BM110" s="27"/>
      <c r="BN110" s="22">
        <f>IF($A110="","",SUM(IF($D$5&lt;&gt;"",--(D110="Présent"),0),IF($F$5&lt;&gt;"",--(F110="Présent"),0),IF($H$5&lt;&gt;"",--(H110="Présent"),0),IF($J$5&lt;&gt;"",--(J110="Présent"),0),IF($L$5&lt;&gt;"",--(L110="Présent"),0),IF($N$5&lt;&gt;"",--(N110="Présent"),0),IF($P$5&lt;&gt;"",--(P110="Présent"),0),IF($R$5&lt;&gt;"",--(R110="Présent"),0),IF($T$5&lt;&gt;"",--(T110="Présent"),0),IF($V$5&lt;&gt;"",--(V110="Présent"),0),IF($X$5&lt;&gt;"",--(X110="Présent"),0),IF($Z$5&lt;&gt;"",--(Z110="Présent"),0),IF($AB$5&lt;&gt;"",--(AB110="Présent"),0),IF($AD$5&lt;&gt;"",--(AD110="Présent"),0),IF($AF$5&lt;&gt;"",--(AF110="Présent"),0),IF($AH$5&lt;&gt;"",--(AH110="Présent"),0),IF($AJ$5&lt;&gt;"",--(AJ110="Présent"),0),IF($AL$5&lt;&gt;"",--(AL110="Présent"),0),IF($AN$5&lt;&gt;"",--(AN110="Présent"),0),IF($AP$5&lt;&gt;"",--(AP110="Présent"),0),IF($AR$5&lt;&gt;"",--(AR110="Présent"),0),IF($AT$5&lt;&gt;"",--(AT110="Présent"),0),IF($AV$5&lt;&gt;"",--(AV110="Présent"),0),IF($AX$5&lt;&gt;"",--(AX110="Présent"),0),IF($AZ$5&lt;&gt;"",--(AZ110="Présent"),0),IF($BB$5&lt;&gt;"",--(BB110="Présent"),0),IF($BD$5&lt;&gt;"",--(BD110="Présent"),0),IF($BF$5&lt;&gt;"",--(BF110="Présent"),0),IF($BH$5&lt;&gt;"",--(BH110="Présent"),0),IF($BJ$5&lt;&gt;"",--(BJ110="Présent"),0),IF($BL$5&lt;&gt;"",--(BL110="Présent"),0)))</f>
      </c>
      <c r="BO110" s="22">
        <f>IF($A110="","",SUM(IF($D$5&lt;&gt;"",--(D110="Absent"),0),IF($F$5&lt;&gt;"",--(F110="Absent"),0),IF($H$5&lt;&gt;"",--(H110="Absent"),0),IF($J$5&lt;&gt;"",--(J110="Absent"),0),IF($L$5&lt;&gt;"",--(L110="Absent"),0),IF($N$5&lt;&gt;"",--(N110="Absent"),0),IF($P$5&lt;&gt;"",--(P110="Absent"),0),IF($R$5&lt;&gt;"",--(R110="Absent"),0),IF($T$5&lt;&gt;"",--(T110="Absent"),0),IF($V$5&lt;&gt;"",--(V110="Absent"),0),IF($X$5&lt;&gt;"",--(X110="Absent"),0),IF($Z$5&lt;&gt;"",--(Z110="Absent"),0),IF($AB$5&lt;&gt;"",--(AB110="Absent"),0),IF($AD$5&lt;&gt;"",--(AD110="Absent"),0),IF($AF$5&lt;&gt;"",--(AF110="Absent"),0),IF($AH$5&lt;&gt;"",--(AH110="Absent"),0),IF($AJ$5&lt;&gt;"",--(AJ110="Absent"),0),IF($AL$5&lt;&gt;"",--(AL110="Absent"),0),IF($AN$5&lt;&gt;"",--(AN110="Absent"),0),IF($AP$5&lt;&gt;"",--(AP110="Absent"),0),IF($AR$5&lt;&gt;"",--(AR110="Absent"),0),IF($AT$5&lt;&gt;"",--(AT110="Absent"),0),IF($AV$5&lt;&gt;"",--(AV110="Absent"),0),IF($AX$5&lt;&gt;"",--(AX110="Absent"),0),IF($AZ$5&lt;&gt;"",--(AZ110="Absent"),0),IF($BB$5&lt;&gt;"",--(BB110="Absent"),0),IF($BD$5&lt;&gt;"",--(BD110="Absent"),0),IF($BF$5&lt;&gt;"",--(BF110="Absent"),0),IF($BH$5&lt;&gt;"",--(BH110="Absent"),0),IF($BJ$5&lt;&gt;"",--(BJ110="Absent"),0),IF($BL$5&lt;&gt;"",--(BL110="Absent"),0)))</f>
      </c>
      <c r="BP110" s="22">
        <f>IF($A110="","",SUM(IF($D$5&lt;&gt;"",--(D110="Congé"),0),IF($F$5&lt;&gt;"",--(F110="Congé"),0),IF($H$5&lt;&gt;"",--(H110="Congé"),0),IF($J$5&lt;&gt;"",--(J110="Congé"),0),IF($L$5&lt;&gt;"",--(L110="Congé"),0),IF($N$5&lt;&gt;"",--(N110="Congé"),0),IF($P$5&lt;&gt;"",--(P110="Congé"),0),IF($R$5&lt;&gt;"",--(R110="Congé"),0),IF($T$5&lt;&gt;"",--(T110="Congé"),0),IF($V$5&lt;&gt;"",--(V110="Congé"),0),IF($X$5&lt;&gt;"",--(X110="Congé"),0),IF($Z$5&lt;&gt;"",--(Z110="Congé"),0),IF($AB$5&lt;&gt;"",--(AB110="Congé"),0),IF($AD$5&lt;&gt;"",--(AD110="Congé"),0),IF($AF$5&lt;&gt;"",--(AF110="Congé"),0),IF($AH$5&lt;&gt;"",--(AH110="Congé"),0),IF($AJ$5&lt;&gt;"",--(AJ110="Congé"),0),IF($AL$5&lt;&gt;"",--(AL110="Congé"),0),IF($AN$5&lt;&gt;"",--(AN110="Congé"),0),IF($AP$5&lt;&gt;"",--(AP110="Congé"),0),IF($AR$5&lt;&gt;"",--(AR110="Congé"),0),IF($AT$5&lt;&gt;"",--(AT110="Congé"),0),IF($AV$5&lt;&gt;"",--(AV110="Congé"),0),IF($AX$5&lt;&gt;"",--(AX110="Congé"),0),IF($AZ$5&lt;&gt;"",--(AZ110="Congé"),0),IF($BB$5&lt;&gt;"",--(BB110="Congé"),0),IF($BD$5&lt;&gt;"",--(BD110="Congé"),0),IF($BF$5&lt;&gt;"",--(BF110="Congé"),0),IF($BH$5&lt;&gt;"",--(BH110="Congé"),0),IF($BJ$5&lt;&gt;"",--(BJ110="Congé"),0),IF($BL$5&lt;&gt;"",--(BL110="Congé"),0)))</f>
      </c>
      <c r="BQ110" s="22">
        <f>IF($A110="","",SUM(IF($D$5&lt;&gt;"",--(D110="Maladie"),0),IF($F$5&lt;&gt;"",--(F110="Maladie"),0),IF($H$5&lt;&gt;"",--(H110="Maladie"),0),IF($J$5&lt;&gt;"",--(J110="Maladie"),0),IF($L$5&lt;&gt;"",--(L110="Maladie"),0),IF($N$5&lt;&gt;"",--(N110="Maladie"),0),IF($P$5&lt;&gt;"",--(P110="Maladie"),0),IF($R$5&lt;&gt;"",--(R110="Maladie"),0),IF($T$5&lt;&gt;"",--(T110="Maladie"),0),IF($V$5&lt;&gt;"",--(V110="Maladie"),0),IF($X$5&lt;&gt;"",--(X110="Maladie"),0),IF($Z$5&lt;&gt;"",--(Z110="Maladie"),0),IF($AB$5&lt;&gt;"",--(AB110="Maladie"),0),IF($AD$5&lt;&gt;"",--(AD110="Maladie"),0),IF($AF$5&lt;&gt;"",--(AF110="Maladie"),0),IF($AH$5&lt;&gt;"",--(AH110="Maladie"),0),IF($AJ$5&lt;&gt;"",--(AJ110="Maladie"),0),IF($AL$5&lt;&gt;"",--(AL110="Maladie"),0),IF($AN$5&lt;&gt;"",--(AN110="Maladie"),0),IF($AP$5&lt;&gt;"",--(AP110="Maladie"),0),IF($AR$5&lt;&gt;"",--(AR110="Maladie"),0),IF($AT$5&lt;&gt;"",--(AT110="Maladie"),0),IF($AV$5&lt;&gt;"",--(AV110="Maladie"),0),IF($AX$5&lt;&gt;"",--(AX110="Maladie"),0),IF($AZ$5&lt;&gt;"",--(AZ110="Maladie"),0),IF($BB$5&lt;&gt;"",--(BB110="Maladie"),0),IF($BD$5&lt;&gt;"",--(BD110="Maladie"),0),IF($BF$5&lt;&gt;"",--(BF110="Maladie"),0),IF($BH$5&lt;&gt;"",--(BH110="Maladie"),0),IF($BJ$5&lt;&gt;"",--(BJ110="Maladie"),0),IF($BL$5&lt;&gt;"",--(BL110="Maladie"),0)))</f>
      </c>
      <c r="BR110" s="23">
        <f>IF($A110="","",SUM(IF($D$5&lt;&gt;"",IF(D110="Présent",E110,0),0),IF($F$5&lt;&gt;"",IF(F110="Présent",G110,0),0),IF($H$5&lt;&gt;"",IF(H110="Présent",I110,0),0),IF($J$5&lt;&gt;"",IF(J110="Présent",K110,0),0),IF($L$5&lt;&gt;"",IF(L110="Présent",M110,0),0),IF($N$5&lt;&gt;"",IF(N110="Présent",O110,0),0),IF($P$5&lt;&gt;"",IF(P110="Présent",Q110,0),0),IF($R$5&lt;&gt;"",IF(R110="Présent",S110,0),0),IF($T$5&lt;&gt;"",IF(T110="Présent",U110,0),0),IF($V$5&lt;&gt;"",IF(V110="Présent",W110,0),0),IF($X$5&lt;&gt;"",IF(X110="Présent",Y110,0),0),IF($Z$5&lt;&gt;"",IF(Z110="Présent",AA110,0),0),IF($AB$5&lt;&gt;"",IF(AB110="Présent",AC110,0),0),IF($AD$5&lt;&gt;"",IF(AD110="Présent",AE110,0),0),IF($AF$5&lt;&gt;"",IF(AF110="Présent",AG110,0),0),IF($AH$5&lt;&gt;"",IF(AH110="Présent",AI110,0),0),IF($AJ$5&lt;&gt;"",IF(AJ110="Présent",AK110,0),0),IF($AL$5&lt;&gt;"",IF(AL110="Présent",AM110,0),0),IF($AN$5&lt;&gt;"",IF(AN110="Présent",AO110,0),0),IF($AP$5&lt;&gt;"",IF(AP110="Présent",AQ110,0),0),IF($AR$5&lt;&gt;"",IF(AR110="Présent",AS110,0),0),IF($AT$5&lt;&gt;"",IF(AT110="Présent",AU110,0),0),IF($AV$5&lt;&gt;"",IF(AV110="Présent",AW110,0),0),IF($AX$5&lt;&gt;"",IF(AX110="Présent",AY110,0),0),IF($AZ$5&lt;&gt;"",IF(AZ110="Présent",BA110,0),0),IF($BB$5&lt;&gt;"",IF(BB110="Présent",BC110,0),0),IF($BD$5&lt;&gt;"",IF(BD110="Présent",BE110,0),0),IF($BF$5&lt;&gt;"",IF(BF110="Présent",BG110,0),0),IF($BH$5&lt;&gt;"",IF(BH110="Présent",BI110,0),0),IF($BJ$5&lt;&gt;"",IF(BJ110="Présent",BK110,0),0),IF($BL$5&lt;&gt;"",IF(BL110="Présent",BM110,0),0)))</f>
      </c>
      <c r="BS110" s="25">
        <f>IF($A110="","",$BN110*IFERROR(INDEX(Categories_Salaire,MATCH($C110,ListeCategories,0)),0)+$BR110*IF(IFERROR(INDEX(Categories_TauxHS,MATCH($C110,ListeCategories,0)),0)&gt;0,IFERROR(INDEX(Categories_TauxHS,MATCH($C110,ListeCategories,0)),0),TauxHSDefaut))</f>
      </c>
    </row>
    <row r="111">
      <c r="A111" s="20">
        <f>IF(AND(INDEX(Employes_Nom,105)&lt;&gt;"",INDEX(Employes_Statut,105)="Actif",OR(INDEX(Employes_Embauche,105)="",INDEX(Employes_Embauche,105)&lt;=EOMONTH(DATE(AnneeCourante,MoisCourant,1),0))),INDEX(Employes_ID,105),"")</f>
      </c>
      <c r="B111" s="19">
        <f>IF($A111="","",INDEX(Employes_Nom,MATCH($A111,Employes_ID,0)))</f>
      </c>
      <c r="C111" s="20">
        <f>IF($A111="","",INDEX(Employes_Categorie,MATCH($A111,Employes_ID,0)))</f>
      </c>
      <c r="D111" s="26"/>
      <c r="E111" s="27"/>
      <c r="F111" s="26"/>
      <c r="G111" s="27"/>
      <c r="H111" s="26"/>
      <c r="I111" s="27"/>
      <c r="J111" s="26"/>
      <c r="K111" s="27"/>
      <c r="L111" s="26"/>
      <c r="M111" s="27"/>
      <c r="N111" s="26"/>
      <c r="O111" s="27"/>
      <c r="P111" s="26"/>
      <c r="Q111" s="27"/>
      <c r="R111" s="26"/>
      <c r="S111" s="27"/>
      <c r="T111" s="26"/>
      <c r="U111" s="27"/>
      <c r="V111" s="26"/>
      <c r="W111" s="27"/>
      <c r="X111" s="26"/>
      <c r="Y111" s="27"/>
      <c r="Z111" s="26"/>
      <c r="AA111" s="27"/>
      <c r="AB111" s="26"/>
      <c r="AC111" s="27"/>
      <c r="AD111" s="26"/>
      <c r="AE111" s="27"/>
      <c r="AF111" s="26"/>
      <c r="AG111" s="27"/>
      <c r="AH111" s="26"/>
      <c r="AI111" s="27"/>
      <c r="AJ111" s="26"/>
      <c r="AK111" s="27"/>
      <c r="AL111" s="26"/>
      <c r="AM111" s="27"/>
      <c r="AN111" s="26"/>
      <c r="AO111" s="27"/>
      <c r="AP111" s="26"/>
      <c r="AQ111" s="27"/>
      <c r="AR111" s="26"/>
      <c r="AS111" s="27"/>
      <c r="AT111" s="26"/>
      <c r="AU111" s="27"/>
      <c r="AV111" s="26"/>
      <c r="AW111" s="27"/>
      <c r="AX111" s="26"/>
      <c r="AY111" s="27"/>
      <c r="AZ111" s="26"/>
      <c r="BA111" s="27"/>
      <c r="BB111" s="26"/>
      <c r="BC111" s="27"/>
      <c r="BD111" s="26"/>
      <c r="BE111" s="27"/>
      <c r="BF111" s="26"/>
      <c r="BG111" s="27"/>
      <c r="BH111" s="26"/>
      <c r="BI111" s="27"/>
      <c r="BJ111" s="26"/>
      <c r="BK111" s="27"/>
      <c r="BL111" s="26"/>
      <c r="BM111" s="27"/>
      <c r="BN111" s="22">
        <f>IF($A111="","",SUM(IF($D$5&lt;&gt;"",--(D111="Présent"),0),IF($F$5&lt;&gt;"",--(F111="Présent"),0),IF($H$5&lt;&gt;"",--(H111="Présent"),0),IF($J$5&lt;&gt;"",--(J111="Présent"),0),IF($L$5&lt;&gt;"",--(L111="Présent"),0),IF($N$5&lt;&gt;"",--(N111="Présent"),0),IF($P$5&lt;&gt;"",--(P111="Présent"),0),IF($R$5&lt;&gt;"",--(R111="Présent"),0),IF($T$5&lt;&gt;"",--(T111="Présent"),0),IF($V$5&lt;&gt;"",--(V111="Présent"),0),IF($X$5&lt;&gt;"",--(X111="Présent"),0),IF($Z$5&lt;&gt;"",--(Z111="Présent"),0),IF($AB$5&lt;&gt;"",--(AB111="Présent"),0),IF($AD$5&lt;&gt;"",--(AD111="Présent"),0),IF($AF$5&lt;&gt;"",--(AF111="Présent"),0),IF($AH$5&lt;&gt;"",--(AH111="Présent"),0),IF($AJ$5&lt;&gt;"",--(AJ111="Présent"),0),IF($AL$5&lt;&gt;"",--(AL111="Présent"),0),IF($AN$5&lt;&gt;"",--(AN111="Présent"),0),IF($AP$5&lt;&gt;"",--(AP111="Présent"),0),IF($AR$5&lt;&gt;"",--(AR111="Présent"),0),IF($AT$5&lt;&gt;"",--(AT111="Présent"),0),IF($AV$5&lt;&gt;"",--(AV111="Présent"),0),IF($AX$5&lt;&gt;"",--(AX111="Présent"),0),IF($AZ$5&lt;&gt;"",--(AZ111="Présent"),0),IF($BB$5&lt;&gt;"",--(BB111="Présent"),0),IF($BD$5&lt;&gt;"",--(BD111="Présent"),0),IF($BF$5&lt;&gt;"",--(BF111="Présent"),0),IF($BH$5&lt;&gt;"",--(BH111="Présent"),0),IF($BJ$5&lt;&gt;"",--(BJ111="Présent"),0),IF($BL$5&lt;&gt;"",--(BL111="Présent"),0)))</f>
      </c>
      <c r="BO111" s="22">
        <f>IF($A111="","",SUM(IF($D$5&lt;&gt;"",--(D111="Absent"),0),IF($F$5&lt;&gt;"",--(F111="Absent"),0),IF($H$5&lt;&gt;"",--(H111="Absent"),0),IF($J$5&lt;&gt;"",--(J111="Absent"),0),IF($L$5&lt;&gt;"",--(L111="Absent"),0),IF($N$5&lt;&gt;"",--(N111="Absent"),0),IF($P$5&lt;&gt;"",--(P111="Absent"),0),IF($R$5&lt;&gt;"",--(R111="Absent"),0),IF($T$5&lt;&gt;"",--(T111="Absent"),0),IF($V$5&lt;&gt;"",--(V111="Absent"),0),IF($X$5&lt;&gt;"",--(X111="Absent"),0),IF($Z$5&lt;&gt;"",--(Z111="Absent"),0),IF($AB$5&lt;&gt;"",--(AB111="Absent"),0),IF($AD$5&lt;&gt;"",--(AD111="Absent"),0),IF($AF$5&lt;&gt;"",--(AF111="Absent"),0),IF($AH$5&lt;&gt;"",--(AH111="Absent"),0),IF($AJ$5&lt;&gt;"",--(AJ111="Absent"),0),IF($AL$5&lt;&gt;"",--(AL111="Absent"),0),IF($AN$5&lt;&gt;"",--(AN111="Absent"),0),IF($AP$5&lt;&gt;"",--(AP111="Absent"),0),IF($AR$5&lt;&gt;"",--(AR111="Absent"),0),IF($AT$5&lt;&gt;"",--(AT111="Absent"),0),IF($AV$5&lt;&gt;"",--(AV111="Absent"),0),IF($AX$5&lt;&gt;"",--(AX111="Absent"),0),IF($AZ$5&lt;&gt;"",--(AZ111="Absent"),0),IF($BB$5&lt;&gt;"",--(BB111="Absent"),0),IF($BD$5&lt;&gt;"",--(BD111="Absent"),0),IF($BF$5&lt;&gt;"",--(BF111="Absent"),0),IF($BH$5&lt;&gt;"",--(BH111="Absent"),0),IF($BJ$5&lt;&gt;"",--(BJ111="Absent"),0),IF($BL$5&lt;&gt;"",--(BL111="Absent"),0)))</f>
      </c>
      <c r="BP111" s="22">
        <f>IF($A111="","",SUM(IF($D$5&lt;&gt;"",--(D111="Congé"),0),IF($F$5&lt;&gt;"",--(F111="Congé"),0),IF($H$5&lt;&gt;"",--(H111="Congé"),0),IF($J$5&lt;&gt;"",--(J111="Congé"),0),IF($L$5&lt;&gt;"",--(L111="Congé"),0),IF($N$5&lt;&gt;"",--(N111="Congé"),0),IF($P$5&lt;&gt;"",--(P111="Congé"),0),IF($R$5&lt;&gt;"",--(R111="Congé"),0),IF($T$5&lt;&gt;"",--(T111="Congé"),0),IF($V$5&lt;&gt;"",--(V111="Congé"),0),IF($X$5&lt;&gt;"",--(X111="Congé"),0),IF($Z$5&lt;&gt;"",--(Z111="Congé"),0),IF($AB$5&lt;&gt;"",--(AB111="Congé"),0),IF($AD$5&lt;&gt;"",--(AD111="Congé"),0),IF($AF$5&lt;&gt;"",--(AF111="Congé"),0),IF($AH$5&lt;&gt;"",--(AH111="Congé"),0),IF($AJ$5&lt;&gt;"",--(AJ111="Congé"),0),IF($AL$5&lt;&gt;"",--(AL111="Congé"),0),IF($AN$5&lt;&gt;"",--(AN111="Congé"),0),IF($AP$5&lt;&gt;"",--(AP111="Congé"),0),IF($AR$5&lt;&gt;"",--(AR111="Congé"),0),IF($AT$5&lt;&gt;"",--(AT111="Congé"),0),IF($AV$5&lt;&gt;"",--(AV111="Congé"),0),IF($AX$5&lt;&gt;"",--(AX111="Congé"),0),IF($AZ$5&lt;&gt;"",--(AZ111="Congé"),0),IF($BB$5&lt;&gt;"",--(BB111="Congé"),0),IF($BD$5&lt;&gt;"",--(BD111="Congé"),0),IF($BF$5&lt;&gt;"",--(BF111="Congé"),0),IF($BH$5&lt;&gt;"",--(BH111="Congé"),0),IF($BJ$5&lt;&gt;"",--(BJ111="Congé"),0),IF($BL$5&lt;&gt;"",--(BL111="Congé"),0)))</f>
      </c>
      <c r="BQ111" s="22">
        <f>IF($A111="","",SUM(IF($D$5&lt;&gt;"",--(D111="Maladie"),0),IF($F$5&lt;&gt;"",--(F111="Maladie"),0),IF($H$5&lt;&gt;"",--(H111="Maladie"),0),IF($J$5&lt;&gt;"",--(J111="Maladie"),0),IF($L$5&lt;&gt;"",--(L111="Maladie"),0),IF($N$5&lt;&gt;"",--(N111="Maladie"),0),IF($P$5&lt;&gt;"",--(P111="Maladie"),0),IF($R$5&lt;&gt;"",--(R111="Maladie"),0),IF($T$5&lt;&gt;"",--(T111="Maladie"),0),IF($V$5&lt;&gt;"",--(V111="Maladie"),0),IF($X$5&lt;&gt;"",--(X111="Maladie"),0),IF($Z$5&lt;&gt;"",--(Z111="Maladie"),0),IF($AB$5&lt;&gt;"",--(AB111="Maladie"),0),IF($AD$5&lt;&gt;"",--(AD111="Maladie"),0),IF($AF$5&lt;&gt;"",--(AF111="Maladie"),0),IF($AH$5&lt;&gt;"",--(AH111="Maladie"),0),IF($AJ$5&lt;&gt;"",--(AJ111="Maladie"),0),IF($AL$5&lt;&gt;"",--(AL111="Maladie"),0),IF($AN$5&lt;&gt;"",--(AN111="Maladie"),0),IF($AP$5&lt;&gt;"",--(AP111="Maladie"),0),IF($AR$5&lt;&gt;"",--(AR111="Maladie"),0),IF($AT$5&lt;&gt;"",--(AT111="Maladie"),0),IF($AV$5&lt;&gt;"",--(AV111="Maladie"),0),IF($AX$5&lt;&gt;"",--(AX111="Maladie"),0),IF($AZ$5&lt;&gt;"",--(AZ111="Maladie"),0),IF($BB$5&lt;&gt;"",--(BB111="Maladie"),0),IF($BD$5&lt;&gt;"",--(BD111="Maladie"),0),IF($BF$5&lt;&gt;"",--(BF111="Maladie"),0),IF($BH$5&lt;&gt;"",--(BH111="Maladie"),0),IF($BJ$5&lt;&gt;"",--(BJ111="Maladie"),0),IF($BL$5&lt;&gt;"",--(BL111="Maladie"),0)))</f>
      </c>
      <c r="BR111" s="23">
        <f>IF($A111="","",SUM(IF($D$5&lt;&gt;"",IF(D111="Présent",E111,0),0),IF($F$5&lt;&gt;"",IF(F111="Présent",G111,0),0),IF($H$5&lt;&gt;"",IF(H111="Présent",I111,0),0),IF($J$5&lt;&gt;"",IF(J111="Présent",K111,0),0),IF($L$5&lt;&gt;"",IF(L111="Présent",M111,0),0),IF($N$5&lt;&gt;"",IF(N111="Présent",O111,0),0),IF($P$5&lt;&gt;"",IF(P111="Présent",Q111,0),0),IF($R$5&lt;&gt;"",IF(R111="Présent",S111,0),0),IF($T$5&lt;&gt;"",IF(T111="Présent",U111,0),0),IF($V$5&lt;&gt;"",IF(V111="Présent",W111,0),0),IF($X$5&lt;&gt;"",IF(X111="Présent",Y111,0),0),IF($Z$5&lt;&gt;"",IF(Z111="Présent",AA111,0),0),IF($AB$5&lt;&gt;"",IF(AB111="Présent",AC111,0),0),IF($AD$5&lt;&gt;"",IF(AD111="Présent",AE111,0),0),IF($AF$5&lt;&gt;"",IF(AF111="Présent",AG111,0),0),IF($AH$5&lt;&gt;"",IF(AH111="Présent",AI111,0),0),IF($AJ$5&lt;&gt;"",IF(AJ111="Présent",AK111,0),0),IF($AL$5&lt;&gt;"",IF(AL111="Présent",AM111,0),0),IF($AN$5&lt;&gt;"",IF(AN111="Présent",AO111,0),0),IF($AP$5&lt;&gt;"",IF(AP111="Présent",AQ111,0),0),IF($AR$5&lt;&gt;"",IF(AR111="Présent",AS111,0),0),IF($AT$5&lt;&gt;"",IF(AT111="Présent",AU111,0),0),IF($AV$5&lt;&gt;"",IF(AV111="Présent",AW111,0),0),IF($AX$5&lt;&gt;"",IF(AX111="Présent",AY111,0),0),IF($AZ$5&lt;&gt;"",IF(AZ111="Présent",BA111,0),0),IF($BB$5&lt;&gt;"",IF(BB111="Présent",BC111,0),0),IF($BD$5&lt;&gt;"",IF(BD111="Présent",BE111,0),0),IF($BF$5&lt;&gt;"",IF(BF111="Présent",BG111,0),0),IF($BH$5&lt;&gt;"",IF(BH111="Présent",BI111,0),0),IF($BJ$5&lt;&gt;"",IF(BJ111="Présent",BK111,0),0),IF($BL$5&lt;&gt;"",IF(BL111="Présent",BM111,0),0)))</f>
      </c>
      <c r="BS111" s="25">
        <f>IF($A111="","",$BN111*IFERROR(INDEX(Categories_Salaire,MATCH($C111,ListeCategories,0)),0)+$BR111*IF(IFERROR(INDEX(Categories_TauxHS,MATCH($C111,ListeCategories,0)),0)&gt;0,IFERROR(INDEX(Categories_TauxHS,MATCH($C111,ListeCategories,0)),0),TauxHSDefaut))</f>
      </c>
    </row>
    <row r="112">
      <c r="A112" s="20">
        <f>IF(AND(INDEX(Employes_Nom,106)&lt;&gt;"",INDEX(Employes_Statut,106)="Actif",OR(INDEX(Employes_Embauche,106)="",INDEX(Employes_Embauche,106)&lt;=EOMONTH(DATE(AnneeCourante,MoisCourant,1),0))),INDEX(Employes_ID,106),"")</f>
      </c>
      <c r="B112" s="19">
        <f>IF($A112="","",INDEX(Employes_Nom,MATCH($A112,Employes_ID,0)))</f>
      </c>
      <c r="C112" s="20">
        <f>IF($A112="","",INDEX(Employes_Categorie,MATCH($A112,Employes_ID,0)))</f>
      </c>
      <c r="D112" s="26"/>
      <c r="E112" s="27"/>
      <c r="F112" s="26"/>
      <c r="G112" s="27"/>
      <c r="H112" s="26"/>
      <c r="I112" s="27"/>
      <c r="J112" s="26"/>
      <c r="K112" s="27"/>
      <c r="L112" s="26"/>
      <c r="M112" s="27"/>
      <c r="N112" s="26"/>
      <c r="O112" s="27"/>
      <c r="P112" s="26"/>
      <c r="Q112" s="27"/>
      <c r="R112" s="26"/>
      <c r="S112" s="27"/>
      <c r="T112" s="26"/>
      <c r="U112" s="27"/>
      <c r="V112" s="26"/>
      <c r="W112" s="27"/>
      <c r="X112" s="26"/>
      <c r="Y112" s="27"/>
      <c r="Z112" s="26"/>
      <c r="AA112" s="27"/>
      <c r="AB112" s="26"/>
      <c r="AC112" s="27"/>
      <c r="AD112" s="26"/>
      <c r="AE112" s="27"/>
      <c r="AF112" s="26"/>
      <c r="AG112" s="27"/>
      <c r="AH112" s="26"/>
      <c r="AI112" s="27"/>
      <c r="AJ112" s="26"/>
      <c r="AK112" s="27"/>
      <c r="AL112" s="26"/>
      <c r="AM112" s="27"/>
      <c r="AN112" s="26"/>
      <c r="AO112" s="27"/>
      <c r="AP112" s="26"/>
      <c r="AQ112" s="27"/>
      <c r="AR112" s="26"/>
      <c r="AS112" s="27"/>
      <c r="AT112" s="26"/>
      <c r="AU112" s="27"/>
      <c r="AV112" s="26"/>
      <c r="AW112" s="27"/>
      <c r="AX112" s="26"/>
      <c r="AY112" s="27"/>
      <c r="AZ112" s="26"/>
      <c r="BA112" s="27"/>
      <c r="BB112" s="26"/>
      <c r="BC112" s="27"/>
      <c r="BD112" s="26"/>
      <c r="BE112" s="27"/>
      <c r="BF112" s="26"/>
      <c r="BG112" s="27"/>
      <c r="BH112" s="26"/>
      <c r="BI112" s="27"/>
      <c r="BJ112" s="26"/>
      <c r="BK112" s="27"/>
      <c r="BL112" s="26"/>
      <c r="BM112" s="27"/>
      <c r="BN112" s="22">
        <f>IF($A112="","",SUM(IF($D$5&lt;&gt;"",--(D112="Présent"),0),IF($F$5&lt;&gt;"",--(F112="Présent"),0),IF($H$5&lt;&gt;"",--(H112="Présent"),0),IF($J$5&lt;&gt;"",--(J112="Présent"),0),IF($L$5&lt;&gt;"",--(L112="Présent"),0),IF($N$5&lt;&gt;"",--(N112="Présent"),0),IF($P$5&lt;&gt;"",--(P112="Présent"),0),IF($R$5&lt;&gt;"",--(R112="Présent"),0),IF($T$5&lt;&gt;"",--(T112="Présent"),0),IF($V$5&lt;&gt;"",--(V112="Présent"),0),IF($X$5&lt;&gt;"",--(X112="Présent"),0),IF($Z$5&lt;&gt;"",--(Z112="Présent"),0),IF($AB$5&lt;&gt;"",--(AB112="Présent"),0),IF($AD$5&lt;&gt;"",--(AD112="Présent"),0),IF($AF$5&lt;&gt;"",--(AF112="Présent"),0),IF($AH$5&lt;&gt;"",--(AH112="Présent"),0),IF($AJ$5&lt;&gt;"",--(AJ112="Présent"),0),IF($AL$5&lt;&gt;"",--(AL112="Présent"),0),IF($AN$5&lt;&gt;"",--(AN112="Présent"),0),IF($AP$5&lt;&gt;"",--(AP112="Présent"),0),IF($AR$5&lt;&gt;"",--(AR112="Présent"),0),IF($AT$5&lt;&gt;"",--(AT112="Présent"),0),IF($AV$5&lt;&gt;"",--(AV112="Présent"),0),IF($AX$5&lt;&gt;"",--(AX112="Présent"),0),IF($AZ$5&lt;&gt;"",--(AZ112="Présent"),0),IF($BB$5&lt;&gt;"",--(BB112="Présent"),0),IF($BD$5&lt;&gt;"",--(BD112="Présent"),0),IF($BF$5&lt;&gt;"",--(BF112="Présent"),0),IF($BH$5&lt;&gt;"",--(BH112="Présent"),0),IF($BJ$5&lt;&gt;"",--(BJ112="Présent"),0),IF($BL$5&lt;&gt;"",--(BL112="Présent"),0)))</f>
      </c>
      <c r="BO112" s="22">
        <f>IF($A112="","",SUM(IF($D$5&lt;&gt;"",--(D112="Absent"),0),IF($F$5&lt;&gt;"",--(F112="Absent"),0),IF($H$5&lt;&gt;"",--(H112="Absent"),0),IF($J$5&lt;&gt;"",--(J112="Absent"),0),IF($L$5&lt;&gt;"",--(L112="Absent"),0),IF($N$5&lt;&gt;"",--(N112="Absent"),0),IF($P$5&lt;&gt;"",--(P112="Absent"),0),IF($R$5&lt;&gt;"",--(R112="Absent"),0),IF($T$5&lt;&gt;"",--(T112="Absent"),0),IF($V$5&lt;&gt;"",--(V112="Absent"),0),IF($X$5&lt;&gt;"",--(X112="Absent"),0),IF($Z$5&lt;&gt;"",--(Z112="Absent"),0),IF($AB$5&lt;&gt;"",--(AB112="Absent"),0),IF($AD$5&lt;&gt;"",--(AD112="Absent"),0),IF($AF$5&lt;&gt;"",--(AF112="Absent"),0),IF($AH$5&lt;&gt;"",--(AH112="Absent"),0),IF($AJ$5&lt;&gt;"",--(AJ112="Absent"),0),IF($AL$5&lt;&gt;"",--(AL112="Absent"),0),IF($AN$5&lt;&gt;"",--(AN112="Absent"),0),IF($AP$5&lt;&gt;"",--(AP112="Absent"),0),IF($AR$5&lt;&gt;"",--(AR112="Absent"),0),IF($AT$5&lt;&gt;"",--(AT112="Absent"),0),IF($AV$5&lt;&gt;"",--(AV112="Absent"),0),IF($AX$5&lt;&gt;"",--(AX112="Absent"),0),IF($AZ$5&lt;&gt;"",--(AZ112="Absent"),0),IF($BB$5&lt;&gt;"",--(BB112="Absent"),0),IF($BD$5&lt;&gt;"",--(BD112="Absent"),0),IF($BF$5&lt;&gt;"",--(BF112="Absent"),0),IF($BH$5&lt;&gt;"",--(BH112="Absent"),0),IF($BJ$5&lt;&gt;"",--(BJ112="Absent"),0),IF($BL$5&lt;&gt;"",--(BL112="Absent"),0)))</f>
      </c>
      <c r="BP112" s="22">
        <f>IF($A112="","",SUM(IF($D$5&lt;&gt;"",--(D112="Congé"),0),IF($F$5&lt;&gt;"",--(F112="Congé"),0),IF($H$5&lt;&gt;"",--(H112="Congé"),0),IF($J$5&lt;&gt;"",--(J112="Congé"),0),IF($L$5&lt;&gt;"",--(L112="Congé"),0),IF($N$5&lt;&gt;"",--(N112="Congé"),0),IF($P$5&lt;&gt;"",--(P112="Congé"),0),IF($R$5&lt;&gt;"",--(R112="Congé"),0),IF($T$5&lt;&gt;"",--(T112="Congé"),0),IF($V$5&lt;&gt;"",--(V112="Congé"),0),IF($X$5&lt;&gt;"",--(X112="Congé"),0),IF($Z$5&lt;&gt;"",--(Z112="Congé"),0),IF($AB$5&lt;&gt;"",--(AB112="Congé"),0),IF($AD$5&lt;&gt;"",--(AD112="Congé"),0),IF($AF$5&lt;&gt;"",--(AF112="Congé"),0),IF($AH$5&lt;&gt;"",--(AH112="Congé"),0),IF($AJ$5&lt;&gt;"",--(AJ112="Congé"),0),IF($AL$5&lt;&gt;"",--(AL112="Congé"),0),IF($AN$5&lt;&gt;"",--(AN112="Congé"),0),IF($AP$5&lt;&gt;"",--(AP112="Congé"),0),IF($AR$5&lt;&gt;"",--(AR112="Congé"),0),IF($AT$5&lt;&gt;"",--(AT112="Congé"),0),IF($AV$5&lt;&gt;"",--(AV112="Congé"),0),IF($AX$5&lt;&gt;"",--(AX112="Congé"),0),IF($AZ$5&lt;&gt;"",--(AZ112="Congé"),0),IF($BB$5&lt;&gt;"",--(BB112="Congé"),0),IF($BD$5&lt;&gt;"",--(BD112="Congé"),0),IF($BF$5&lt;&gt;"",--(BF112="Congé"),0),IF($BH$5&lt;&gt;"",--(BH112="Congé"),0),IF($BJ$5&lt;&gt;"",--(BJ112="Congé"),0),IF($BL$5&lt;&gt;"",--(BL112="Congé"),0)))</f>
      </c>
      <c r="BQ112" s="22">
        <f>IF($A112="","",SUM(IF($D$5&lt;&gt;"",--(D112="Maladie"),0),IF($F$5&lt;&gt;"",--(F112="Maladie"),0),IF($H$5&lt;&gt;"",--(H112="Maladie"),0),IF($J$5&lt;&gt;"",--(J112="Maladie"),0),IF($L$5&lt;&gt;"",--(L112="Maladie"),0),IF($N$5&lt;&gt;"",--(N112="Maladie"),0),IF($P$5&lt;&gt;"",--(P112="Maladie"),0),IF($R$5&lt;&gt;"",--(R112="Maladie"),0),IF($T$5&lt;&gt;"",--(T112="Maladie"),0),IF($V$5&lt;&gt;"",--(V112="Maladie"),0),IF($X$5&lt;&gt;"",--(X112="Maladie"),0),IF($Z$5&lt;&gt;"",--(Z112="Maladie"),0),IF($AB$5&lt;&gt;"",--(AB112="Maladie"),0),IF($AD$5&lt;&gt;"",--(AD112="Maladie"),0),IF($AF$5&lt;&gt;"",--(AF112="Maladie"),0),IF($AH$5&lt;&gt;"",--(AH112="Maladie"),0),IF($AJ$5&lt;&gt;"",--(AJ112="Maladie"),0),IF($AL$5&lt;&gt;"",--(AL112="Maladie"),0),IF($AN$5&lt;&gt;"",--(AN112="Maladie"),0),IF($AP$5&lt;&gt;"",--(AP112="Maladie"),0),IF($AR$5&lt;&gt;"",--(AR112="Maladie"),0),IF($AT$5&lt;&gt;"",--(AT112="Maladie"),0),IF($AV$5&lt;&gt;"",--(AV112="Maladie"),0),IF($AX$5&lt;&gt;"",--(AX112="Maladie"),0),IF($AZ$5&lt;&gt;"",--(AZ112="Maladie"),0),IF($BB$5&lt;&gt;"",--(BB112="Maladie"),0),IF($BD$5&lt;&gt;"",--(BD112="Maladie"),0),IF($BF$5&lt;&gt;"",--(BF112="Maladie"),0),IF($BH$5&lt;&gt;"",--(BH112="Maladie"),0),IF($BJ$5&lt;&gt;"",--(BJ112="Maladie"),0),IF($BL$5&lt;&gt;"",--(BL112="Maladie"),0)))</f>
      </c>
      <c r="BR112" s="23">
        <f>IF($A112="","",SUM(IF($D$5&lt;&gt;"",IF(D112="Présent",E112,0),0),IF($F$5&lt;&gt;"",IF(F112="Présent",G112,0),0),IF($H$5&lt;&gt;"",IF(H112="Présent",I112,0),0),IF($J$5&lt;&gt;"",IF(J112="Présent",K112,0),0),IF($L$5&lt;&gt;"",IF(L112="Présent",M112,0),0),IF($N$5&lt;&gt;"",IF(N112="Présent",O112,0),0),IF($P$5&lt;&gt;"",IF(P112="Présent",Q112,0),0),IF($R$5&lt;&gt;"",IF(R112="Présent",S112,0),0),IF($T$5&lt;&gt;"",IF(T112="Présent",U112,0),0),IF($V$5&lt;&gt;"",IF(V112="Présent",W112,0),0),IF($X$5&lt;&gt;"",IF(X112="Présent",Y112,0),0),IF($Z$5&lt;&gt;"",IF(Z112="Présent",AA112,0),0),IF($AB$5&lt;&gt;"",IF(AB112="Présent",AC112,0),0),IF($AD$5&lt;&gt;"",IF(AD112="Présent",AE112,0),0),IF($AF$5&lt;&gt;"",IF(AF112="Présent",AG112,0),0),IF($AH$5&lt;&gt;"",IF(AH112="Présent",AI112,0),0),IF($AJ$5&lt;&gt;"",IF(AJ112="Présent",AK112,0),0),IF($AL$5&lt;&gt;"",IF(AL112="Présent",AM112,0),0),IF($AN$5&lt;&gt;"",IF(AN112="Présent",AO112,0),0),IF($AP$5&lt;&gt;"",IF(AP112="Présent",AQ112,0),0),IF($AR$5&lt;&gt;"",IF(AR112="Présent",AS112,0),0),IF($AT$5&lt;&gt;"",IF(AT112="Présent",AU112,0),0),IF($AV$5&lt;&gt;"",IF(AV112="Présent",AW112,0),0),IF($AX$5&lt;&gt;"",IF(AX112="Présent",AY112,0),0),IF($AZ$5&lt;&gt;"",IF(AZ112="Présent",BA112,0),0),IF($BB$5&lt;&gt;"",IF(BB112="Présent",BC112,0),0),IF($BD$5&lt;&gt;"",IF(BD112="Présent",BE112,0),0),IF($BF$5&lt;&gt;"",IF(BF112="Présent",BG112,0),0),IF($BH$5&lt;&gt;"",IF(BH112="Présent",BI112,0),0),IF($BJ$5&lt;&gt;"",IF(BJ112="Présent",BK112,0),0),IF($BL$5&lt;&gt;"",IF(BL112="Présent",BM112,0),0)))</f>
      </c>
      <c r="BS112" s="25">
        <f>IF($A112="","",$BN112*IFERROR(INDEX(Categories_Salaire,MATCH($C112,ListeCategories,0)),0)+$BR112*IF(IFERROR(INDEX(Categories_TauxHS,MATCH($C112,ListeCategories,0)),0)&gt;0,IFERROR(INDEX(Categories_TauxHS,MATCH($C112,ListeCategories,0)),0),TauxHSDefaut))</f>
      </c>
    </row>
    <row r="113">
      <c r="A113" s="20">
        <f>IF(AND(INDEX(Employes_Nom,107)&lt;&gt;"",INDEX(Employes_Statut,107)="Actif",OR(INDEX(Employes_Embauche,107)="",INDEX(Employes_Embauche,107)&lt;=EOMONTH(DATE(AnneeCourante,MoisCourant,1),0))),INDEX(Employes_ID,107),"")</f>
      </c>
      <c r="B113" s="19">
        <f>IF($A113="","",INDEX(Employes_Nom,MATCH($A113,Employes_ID,0)))</f>
      </c>
      <c r="C113" s="20">
        <f>IF($A113="","",INDEX(Employes_Categorie,MATCH($A113,Employes_ID,0)))</f>
      </c>
      <c r="D113" s="26"/>
      <c r="E113" s="27"/>
      <c r="F113" s="26"/>
      <c r="G113" s="27"/>
      <c r="H113" s="26"/>
      <c r="I113" s="27"/>
      <c r="J113" s="26"/>
      <c r="K113" s="27"/>
      <c r="L113" s="26"/>
      <c r="M113" s="27"/>
      <c r="N113" s="26"/>
      <c r="O113" s="27"/>
      <c r="P113" s="26"/>
      <c r="Q113" s="27"/>
      <c r="R113" s="26"/>
      <c r="S113" s="27"/>
      <c r="T113" s="26"/>
      <c r="U113" s="27"/>
      <c r="V113" s="26"/>
      <c r="W113" s="27"/>
      <c r="X113" s="26"/>
      <c r="Y113" s="27"/>
      <c r="Z113" s="26"/>
      <c r="AA113" s="27"/>
      <c r="AB113" s="26"/>
      <c r="AC113" s="27"/>
      <c r="AD113" s="26"/>
      <c r="AE113" s="27"/>
      <c r="AF113" s="26"/>
      <c r="AG113" s="27"/>
      <c r="AH113" s="26"/>
      <c r="AI113" s="27"/>
      <c r="AJ113" s="26"/>
      <c r="AK113" s="27"/>
      <c r="AL113" s="26"/>
      <c r="AM113" s="27"/>
      <c r="AN113" s="26"/>
      <c r="AO113" s="27"/>
      <c r="AP113" s="26"/>
      <c r="AQ113" s="27"/>
      <c r="AR113" s="26"/>
      <c r="AS113" s="27"/>
      <c r="AT113" s="26"/>
      <c r="AU113" s="27"/>
      <c r="AV113" s="26"/>
      <c r="AW113" s="27"/>
      <c r="AX113" s="26"/>
      <c r="AY113" s="27"/>
      <c r="AZ113" s="26"/>
      <c r="BA113" s="27"/>
      <c r="BB113" s="26"/>
      <c r="BC113" s="27"/>
      <c r="BD113" s="26"/>
      <c r="BE113" s="27"/>
      <c r="BF113" s="26"/>
      <c r="BG113" s="27"/>
      <c r="BH113" s="26"/>
      <c r="BI113" s="27"/>
      <c r="BJ113" s="26"/>
      <c r="BK113" s="27"/>
      <c r="BL113" s="26"/>
      <c r="BM113" s="27"/>
      <c r="BN113" s="22">
        <f>IF($A113="","",SUM(IF($D$5&lt;&gt;"",--(D113="Présent"),0),IF($F$5&lt;&gt;"",--(F113="Présent"),0),IF($H$5&lt;&gt;"",--(H113="Présent"),0),IF($J$5&lt;&gt;"",--(J113="Présent"),0),IF($L$5&lt;&gt;"",--(L113="Présent"),0),IF($N$5&lt;&gt;"",--(N113="Présent"),0),IF($P$5&lt;&gt;"",--(P113="Présent"),0),IF($R$5&lt;&gt;"",--(R113="Présent"),0),IF($T$5&lt;&gt;"",--(T113="Présent"),0),IF($V$5&lt;&gt;"",--(V113="Présent"),0),IF($X$5&lt;&gt;"",--(X113="Présent"),0),IF($Z$5&lt;&gt;"",--(Z113="Présent"),0),IF($AB$5&lt;&gt;"",--(AB113="Présent"),0),IF($AD$5&lt;&gt;"",--(AD113="Présent"),0),IF($AF$5&lt;&gt;"",--(AF113="Présent"),0),IF($AH$5&lt;&gt;"",--(AH113="Présent"),0),IF($AJ$5&lt;&gt;"",--(AJ113="Présent"),0),IF($AL$5&lt;&gt;"",--(AL113="Présent"),0),IF($AN$5&lt;&gt;"",--(AN113="Présent"),0),IF($AP$5&lt;&gt;"",--(AP113="Présent"),0),IF($AR$5&lt;&gt;"",--(AR113="Présent"),0),IF($AT$5&lt;&gt;"",--(AT113="Présent"),0),IF($AV$5&lt;&gt;"",--(AV113="Présent"),0),IF($AX$5&lt;&gt;"",--(AX113="Présent"),0),IF($AZ$5&lt;&gt;"",--(AZ113="Présent"),0),IF($BB$5&lt;&gt;"",--(BB113="Présent"),0),IF($BD$5&lt;&gt;"",--(BD113="Présent"),0),IF($BF$5&lt;&gt;"",--(BF113="Présent"),0),IF($BH$5&lt;&gt;"",--(BH113="Présent"),0),IF($BJ$5&lt;&gt;"",--(BJ113="Présent"),0),IF($BL$5&lt;&gt;"",--(BL113="Présent"),0)))</f>
      </c>
      <c r="BO113" s="22">
        <f>IF($A113="","",SUM(IF($D$5&lt;&gt;"",--(D113="Absent"),0),IF($F$5&lt;&gt;"",--(F113="Absent"),0),IF($H$5&lt;&gt;"",--(H113="Absent"),0),IF($J$5&lt;&gt;"",--(J113="Absent"),0),IF($L$5&lt;&gt;"",--(L113="Absent"),0),IF($N$5&lt;&gt;"",--(N113="Absent"),0),IF($P$5&lt;&gt;"",--(P113="Absent"),0),IF($R$5&lt;&gt;"",--(R113="Absent"),0),IF($T$5&lt;&gt;"",--(T113="Absent"),0),IF($V$5&lt;&gt;"",--(V113="Absent"),0),IF($X$5&lt;&gt;"",--(X113="Absent"),0),IF($Z$5&lt;&gt;"",--(Z113="Absent"),0),IF($AB$5&lt;&gt;"",--(AB113="Absent"),0),IF($AD$5&lt;&gt;"",--(AD113="Absent"),0),IF($AF$5&lt;&gt;"",--(AF113="Absent"),0),IF($AH$5&lt;&gt;"",--(AH113="Absent"),0),IF($AJ$5&lt;&gt;"",--(AJ113="Absent"),0),IF($AL$5&lt;&gt;"",--(AL113="Absent"),0),IF($AN$5&lt;&gt;"",--(AN113="Absent"),0),IF($AP$5&lt;&gt;"",--(AP113="Absent"),0),IF($AR$5&lt;&gt;"",--(AR113="Absent"),0),IF($AT$5&lt;&gt;"",--(AT113="Absent"),0),IF($AV$5&lt;&gt;"",--(AV113="Absent"),0),IF($AX$5&lt;&gt;"",--(AX113="Absent"),0),IF($AZ$5&lt;&gt;"",--(AZ113="Absent"),0),IF($BB$5&lt;&gt;"",--(BB113="Absent"),0),IF($BD$5&lt;&gt;"",--(BD113="Absent"),0),IF($BF$5&lt;&gt;"",--(BF113="Absent"),0),IF($BH$5&lt;&gt;"",--(BH113="Absent"),0),IF($BJ$5&lt;&gt;"",--(BJ113="Absent"),0),IF($BL$5&lt;&gt;"",--(BL113="Absent"),0)))</f>
      </c>
      <c r="BP113" s="22">
        <f>IF($A113="","",SUM(IF($D$5&lt;&gt;"",--(D113="Congé"),0),IF($F$5&lt;&gt;"",--(F113="Congé"),0),IF($H$5&lt;&gt;"",--(H113="Congé"),0),IF($J$5&lt;&gt;"",--(J113="Congé"),0),IF($L$5&lt;&gt;"",--(L113="Congé"),0),IF($N$5&lt;&gt;"",--(N113="Congé"),0),IF($P$5&lt;&gt;"",--(P113="Congé"),0),IF($R$5&lt;&gt;"",--(R113="Congé"),0),IF($T$5&lt;&gt;"",--(T113="Congé"),0),IF($V$5&lt;&gt;"",--(V113="Congé"),0),IF($X$5&lt;&gt;"",--(X113="Congé"),0),IF($Z$5&lt;&gt;"",--(Z113="Congé"),0),IF($AB$5&lt;&gt;"",--(AB113="Congé"),0),IF($AD$5&lt;&gt;"",--(AD113="Congé"),0),IF($AF$5&lt;&gt;"",--(AF113="Congé"),0),IF($AH$5&lt;&gt;"",--(AH113="Congé"),0),IF($AJ$5&lt;&gt;"",--(AJ113="Congé"),0),IF($AL$5&lt;&gt;"",--(AL113="Congé"),0),IF($AN$5&lt;&gt;"",--(AN113="Congé"),0),IF($AP$5&lt;&gt;"",--(AP113="Congé"),0),IF($AR$5&lt;&gt;"",--(AR113="Congé"),0),IF($AT$5&lt;&gt;"",--(AT113="Congé"),0),IF($AV$5&lt;&gt;"",--(AV113="Congé"),0),IF($AX$5&lt;&gt;"",--(AX113="Congé"),0),IF($AZ$5&lt;&gt;"",--(AZ113="Congé"),0),IF($BB$5&lt;&gt;"",--(BB113="Congé"),0),IF($BD$5&lt;&gt;"",--(BD113="Congé"),0),IF($BF$5&lt;&gt;"",--(BF113="Congé"),0),IF($BH$5&lt;&gt;"",--(BH113="Congé"),0),IF($BJ$5&lt;&gt;"",--(BJ113="Congé"),0),IF($BL$5&lt;&gt;"",--(BL113="Congé"),0)))</f>
      </c>
      <c r="BQ113" s="22">
        <f>IF($A113="","",SUM(IF($D$5&lt;&gt;"",--(D113="Maladie"),0),IF($F$5&lt;&gt;"",--(F113="Maladie"),0),IF($H$5&lt;&gt;"",--(H113="Maladie"),0),IF($J$5&lt;&gt;"",--(J113="Maladie"),0),IF($L$5&lt;&gt;"",--(L113="Maladie"),0),IF($N$5&lt;&gt;"",--(N113="Maladie"),0),IF($P$5&lt;&gt;"",--(P113="Maladie"),0),IF($R$5&lt;&gt;"",--(R113="Maladie"),0),IF($T$5&lt;&gt;"",--(T113="Maladie"),0),IF($V$5&lt;&gt;"",--(V113="Maladie"),0),IF($X$5&lt;&gt;"",--(X113="Maladie"),0),IF($Z$5&lt;&gt;"",--(Z113="Maladie"),0),IF($AB$5&lt;&gt;"",--(AB113="Maladie"),0),IF($AD$5&lt;&gt;"",--(AD113="Maladie"),0),IF($AF$5&lt;&gt;"",--(AF113="Maladie"),0),IF($AH$5&lt;&gt;"",--(AH113="Maladie"),0),IF($AJ$5&lt;&gt;"",--(AJ113="Maladie"),0),IF($AL$5&lt;&gt;"",--(AL113="Maladie"),0),IF($AN$5&lt;&gt;"",--(AN113="Maladie"),0),IF($AP$5&lt;&gt;"",--(AP113="Maladie"),0),IF($AR$5&lt;&gt;"",--(AR113="Maladie"),0),IF($AT$5&lt;&gt;"",--(AT113="Maladie"),0),IF($AV$5&lt;&gt;"",--(AV113="Maladie"),0),IF($AX$5&lt;&gt;"",--(AX113="Maladie"),0),IF($AZ$5&lt;&gt;"",--(AZ113="Maladie"),0),IF($BB$5&lt;&gt;"",--(BB113="Maladie"),0),IF($BD$5&lt;&gt;"",--(BD113="Maladie"),0),IF($BF$5&lt;&gt;"",--(BF113="Maladie"),0),IF($BH$5&lt;&gt;"",--(BH113="Maladie"),0),IF($BJ$5&lt;&gt;"",--(BJ113="Maladie"),0),IF($BL$5&lt;&gt;"",--(BL113="Maladie"),0)))</f>
      </c>
      <c r="BR113" s="23">
        <f>IF($A113="","",SUM(IF($D$5&lt;&gt;"",IF(D113="Présent",E113,0),0),IF($F$5&lt;&gt;"",IF(F113="Présent",G113,0),0),IF($H$5&lt;&gt;"",IF(H113="Présent",I113,0),0),IF($J$5&lt;&gt;"",IF(J113="Présent",K113,0),0),IF($L$5&lt;&gt;"",IF(L113="Présent",M113,0),0),IF($N$5&lt;&gt;"",IF(N113="Présent",O113,0),0),IF($P$5&lt;&gt;"",IF(P113="Présent",Q113,0),0),IF($R$5&lt;&gt;"",IF(R113="Présent",S113,0),0),IF($T$5&lt;&gt;"",IF(T113="Présent",U113,0),0),IF($V$5&lt;&gt;"",IF(V113="Présent",W113,0),0),IF($X$5&lt;&gt;"",IF(X113="Présent",Y113,0),0),IF($Z$5&lt;&gt;"",IF(Z113="Présent",AA113,0),0),IF($AB$5&lt;&gt;"",IF(AB113="Présent",AC113,0),0),IF($AD$5&lt;&gt;"",IF(AD113="Présent",AE113,0),0),IF($AF$5&lt;&gt;"",IF(AF113="Présent",AG113,0),0),IF($AH$5&lt;&gt;"",IF(AH113="Présent",AI113,0),0),IF($AJ$5&lt;&gt;"",IF(AJ113="Présent",AK113,0),0),IF($AL$5&lt;&gt;"",IF(AL113="Présent",AM113,0),0),IF($AN$5&lt;&gt;"",IF(AN113="Présent",AO113,0),0),IF($AP$5&lt;&gt;"",IF(AP113="Présent",AQ113,0),0),IF($AR$5&lt;&gt;"",IF(AR113="Présent",AS113,0),0),IF($AT$5&lt;&gt;"",IF(AT113="Présent",AU113,0),0),IF($AV$5&lt;&gt;"",IF(AV113="Présent",AW113,0),0),IF($AX$5&lt;&gt;"",IF(AX113="Présent",AY113,0),0),IF($AZ$5&lt;&gt;"",IF(AZ113="Présent",BA113,0),0),IF($BB$5&lt;&gt;"",IF(BB113="Présent",BC113,0),0),IF($BD$5&lt;&gt;"",IF(BD113="Présent",BE113,0),0),IF($BF$5&lt;&gt;"",IF(BF113="Présent",BG113,0),0),IF($BH$5&lt;&gt;"",IF(BH113="Présent",BI113,0),0),IF($BJ$5&lt;&gt;"",IF(BJ113="Présent",BK113,0),0),IF($BL$5&lt;&gt;"",IF(BL113="Présent",BM113,0),0)))</f>
      </c>
      <c r="BS113" s="25">
        <f>IF($A113="","",$BN113*IFERROR(INDEX(Categories_Salaire,MATCH($C113,ListeCategories,0)),0)+$BR113*IF(IFERROR(INDEX(Categories_TauxHS,MATCH($C113,ListeCategories,0)),0)&gt;0,IFERROR(INDEX(Categories_TauxHS,MATCH($C113,ListeCategories,0)),0),TauxHSDefaut))</f>
      </c>
    </row>
    <row r="114">
      <c r="A114" s="20">
        <f>IF(AND(INDEX(Employes_Nom,108)&lt;&gt;"",INDEX(Employes_Statut,108)="Actif",OR(INDEX(Employes_Embauche,108)="",INDEX(Employes_Embauche,108)&lt;=EOMONTH(DATE(AnneeCourante,MoisCourant,1),0))),INDEX(Employes_ID,108),"")</f>
      </c>
      <c r="B114" s="19">
        <f>IF($A114="","",INDEX(Employes_Nom,MATCH($A114,Employes_ID,0)))</f>
      </c>
      <c r="C114" s="20">
        <f>IF($A114="","",INDEX(Employes_Categorie,MATCH($A114,Employes_ID,0)))</f>
      </c>
      <c r="D114" s="26"/>
      <c r="E114" s="27"/>
      <c r="F114" s="26"/>
      <c r="G114" s="27"/>
      <c r="H114" s="26"/>
      <c r="I114" s="27"/>
      <c r="J114" s="26"/>
      <c r="K114" s="27"/>
      <c r="L114" s="26"/>
      <c r="M114" s="27"/>
      <c r="N114" s="26"/>
      <c r="O114" s="27"/>
      <c r="P114" s="26"/>
      <c r="Q114" s="27"/>
      <c r="R114" s="26"/>
      <c r="S114" s="27"/>
      <c r="T114" s="26"/>
      <c r="U114" s="27"/>
      <c r="V114" s="26"/>
      <c r="W114" s="27"/>
      <c r="X114" s="26"/>
      <c r="Y114" s="27"/>
      <c r="Z114" s="26"/>
      <c r="AA114" s="27"/>
      <c r="AB114" s="26"/>
      <c r="AC114" s="27"/>
      <c r="AD114" s="26"/>
      <c r="AE114" s="27"/>
      <c r="AF114" s="26"/>
      <c r="AG114" s="27"/>
      <c r="AH114" s="26"/>
      <c r="AI114" s="27"/>
      <c r="AJ114" s="26"/>
      <c r="AK114" s="27"/>
      <c r="AL114" s="26"/>
      <c r="AM114" s="27"/>
      <c r="AN114" s="26"/>
      <c r="AO114" s="27"/>
      <c r="AP114" s="26"/>
      <c r="AQ114" s="27"/>
      <c r="AR114" s="26"/>
      <c r="AS114" s="27"/>
      <c r="AT114" s="26"/>
      <c r="AU114" s="27"/>
      <c r="AV114" s="26"/>
      <c r="AW114" s="27"/>
      <c r="AX114" s="26"/>
      <c r="AY114" s="27"/>
      <c r="AZ114" s="26"/>
      <c r="BA114" s="27"/>
      <c r="BB114" s="26"/>
      <c r="BC114" s="27"/>
      <c r="BD114" s="26"/>
      <c r="BE114" s="27"/>
      <c r="BF114" s="26"/>
      <c r="BG114" s="27"/>
      <c r="BH114" s="26"/>
      <c r="BI114" s="27"/>
      <c r="BJ114" s="26"/>
      <c r="BK114" s="27"/>
      <c r="BL114" s="26"/>
      <c r="BM114" s="27"/>
      <c r="BN114" s="22">
        <f>IF($A114="","",SUM(IF($D$5&lt;&gt;"",--(D114="Présent"),0),IF($F$5&lt;&gt;"",--(F114="Présent"),0),IF($H$5&lt;&gt;"",--(H114="Présent"),0),IF($J$5&lt;&gt;"",--(J114="Présent"),0),IF($L$5&lt;&gt;"",--(L114="Présent"),0),IF($N$5&lt;&gt;"",--(N114="Présent"),0),IF($P$5&lt;&gt;"",--(P114="Présent"),0),IF($R$5&lt;&gt;"",--(R114="Présent"),0),IF($T$5&lt;&gt;"",--(T114="Présent"),0),IF($V$5&lt;&gt;"",--(V114="Présent"),0),IF($X$5&lt;&gt;"",--(X114="Présent"),0),IF($Z$5&lt;&gt;"",--(Z114="Présent"),0),IF($AB$5&lt;&gt;"",--(AB114="Présent"),0),IF($AD$5&lt;&gt;"",--(AD114="Présent"),0),IF($AF$5&lt;&gt;"",--(AF114="Présent"),0),IF($AH$5&lt;&gt;"",--(AH114="Présent"),0),IF($AJ$5&lt;&gt;"",--(AJ114="Présent"),0),IF($AL$5&lt;&gt;"",--(AL114="Présent"),0),IF($AN$5&lt;&gt;"",--(AN114="Présent"),0),IF($AP$5&lt;&gt;"",--(AP114="Présent"),0),IF($AR$5&lt;&gt;"",--(AR114="Présent"),0),IF($AT$5&lt;&gt;"",--(AT114="Présent"),0),IF($AV$5&lt;&gt;"",--(AV114="Présent"),0),IF($AX$5&lt;&gt;"",--(AX114="Présent"),0),IF($AZ$5&lt;&gt;"",--(AZ114="Présent"),0),IF($BB$5&lt;&gt;"",--(BB114="Présent"),0),IF($BD$5&lt;&gt;"",--(BD114="Présent"),0),IF($BF$5&lt;&gt;"",--(BF114="Présent"),0),IF($BH$5&lt;&gt;"",--(BH114="Présent"),0),IF($BJ$5&lt;&gt;"",--(BJ114="Présent"),0),IF($BL$5&lt;&gt;"",--(BL114="Présent"),0)))</f>
      </c>
      <c r="BO114" s="22">
        <f>IF($A114="","",SUM(IF($D$5&lt;&gt;"",--(D114="Absent"),0),IF($F$5&lt;&gt;"",--(F114="Absent"),0),IF($H$5&lt;&gt;"",--(H114="Absent"),0),IF($J$5&lt;&gt;"",--(J114="Absent"),0),IF($L$5&lt;&gt;"",--(L114="Absent"),0),IF($N$5&lt;&gt;"",--(N114="Absent"),0),IF($P$5&lt;&gt;"",--(P114="Absent"),0),IF($R$5&lt;&gt;"",--(R114="Absent"),0),IF($T$5&lt;&gt;"",--(T114="Absent"),0),IF($V$5&lt;&gt;"",--(V114="Absent"),0),IF($X$5&lt;&gt;"",--(X114="Absent"),0),IF($Z$5&lt;&gt;"",--(Z114="Absent"),0),IF($AB$5&lt;&gt;"",--(AB114="Absent"),0),IF($AD$5&lt;&gt;"",--(AD114="Absent"),0),IF($AF$5&lt;&gt;"",--(AF114="Absent"),0),IF($AH$5&lt;&gt;"",--(AH114="Absent"),0),IF($AJ$5&lt;&gt;"",--(AJ114="Absent"),0),IF($AL$5&lt;&gt;"",--(AL114="Absent"),0),IF($AN$5&lt;&gt;"",--(AN114="Absent"),0),IF($AP$5&lt;&gt;"",--(AP114="Absent"),0),IF($AR$5&lt;&gt;"",--(AR114="Absent"),0),IF($AT$5&lt;&gt;"",--(AT114="Absent"),0),IF($AV$5&lt;&gt;"",--(AV114="Absent"),0),IF($AX$5&lt;&gt;"",--(AX114="Absent"),0),IF($AZ$5&lt;&gt;"",--(AZ114="Absent"),0),IF($BB$5&lt;&gt;"",--(BB114="Absent"),0),IF($BD$5&lt;&gt;"",--(BD114="Absent"),0),IF($BF$5&lt;&gt;"",--(BF114="Absent"),0),IF($BH$5&lt;&gt;"",--(BH114="Absent"),0),IF($BJ$5&lt;&gt;"",--(BJ114="Absent"),0),IF($BL$5&lt;&gt;"",--(BL114="Absent"),0)))</f>
      </c>
      <c r="BP114" s="22">
        <f>IF($A114="","",SUM(IF($D$5&lt;&gt;"",--(D114="Congé"),0),IF($F$5&lt;&gt;"",--(F114="Congé"),0),IF($H$5&lt;&gt;"",--(H114="Congé"),0),IF($J$5&lt;&gt;"",--(J114="Congé"),0),IF($L$5&lt;&gt;"",--(L114="Congé"),0),IF($N$5&lt;&gt;"",--(N114="Congé"),0),IF($P$5&lt;&gt;"",--(P114="Congé"),0),IF($R$5&lt;&gt;"",--(R114="Congé"),0),IF($T$5&lt;&gt;"",--(T114="Congé"),0),IF($V$5&lt;&gt;"",--(V114="Congé"),0),IF($X$5&lt;&gt;"",--(X114="Congé"),0),IF($Z$5&lt;&gt;"",--(Z114="Congé"),0),IF($AB$5&lt;&gt;"",--(AB114="Congé"),0),IF($AD$5&lt;&gt;"",--(AD114="Congé"),0),IF($AF$5&lt;&gt;"",--(AF114="Congé"),0),IF($AH$5&lt;&gt;"",--(AH114="Congé"),0),IF($AJ$5&lt;&gt;"",--(AJ114="Congé"),0),IF($AL$5&lt;&gt;"",--(AL114="Congé"),0),IF($AN$5&lt;&gt;"",--(AN114="Congé"),0),IF($AP$5&lt;&gt;"",--(AP114="Congé"),0),IF($AR$5&lt;&gt;"",--(AR114="Congé"),0),IF($AT$5&lt;&gt;"",--(AT114="Congé"),0),IF($AV$5&lt;&gt;"",--(AV114="Congé"),0),IF($AX$5&lt;&gt;"",--(AX114="Congé"),0),IF($AZ$5&lt;&gt;"",--(AZ114="Congé"),0),IF($BB$5&lt;&gt;"",--(BB114="Congé"),0),IF($BD$5&lt;&gt;"",--(BD114="Congé"),0),IF($BF$5&lt;&gt;"",--(BF114="Congé"),0),IF($BH$5&lt;&gt;"",--(BH114="Congé"),0),IF($BJ$5&lt;&gt;"",--(BJ114="Congé"),0),IF($BL$5&lt;&gt;"",--(BL114="Congé"),0)))</f>
      </c>
      <c r="BQ114" s="22">
        <f>IF($A114="","",SUM(IF($D$5&lt;&gt;"",--(D114="Maladie"),0),IF($F$5&lt;&gt;"",--(F114="Maladie"),0),IF($H$5&lt;&gt;"",--(H114="Maladie"),0),IF($J$5&lt;&gt;"",--(J114="Maladie"),0),IF($L$5&lt;&gt;"",--(L114="Maladie"),0),IF($N$5&lt;&gt;"",--(N114="Maladie"),0),IF($P$5&lt;&gt;"",--(P114="Maladie"),0),IF($R$5&lt;&gt;"",--(R114="Maladie"),0),IF($T$5&lt;&gt;"",--(T114="Maladie"),0),IF($V$5&lt;&gt;"",--(V114="Maladie"),0),IF($X$5&lt;&gt;"",--(X114="Maladie"),0),IF($Z$5&lt;&gt;"",--(Z114="Maladie"),0),IF($AB$5&lt;&gt;"",--(AB114="Maladie"),0),IF($AD$5&lt;&gt;"",--(AD114="Maladie"),0),IF($AF$5&lt;&gt;"",--(AF114="Maladie"),0),IF($AH$5&lt;&gt;"",--(AH114="Maladie"),0),IF($AJ$5&lt;&gt;"",--(AJ114="Maladie"),0),IF($AL$5&lt;&gt;"",--(AL114="Maladie"),0),IF($AN$5&lt;&gt;"",--(AN114="Maladie"),0),IF($AP$5&lt;&gt;"",--(AP114="Maladie"),0),IF($AR$5&lt;&gt;"",--(AR114="Maladie"),0),IF($AT$5&lt;&gt;"",--(AT114="Maladie"),0),IF($AV$5&lt;&gt;"",--(AV114="Maladie"),0),IF($AX$5&lt;&gt;"",--(AX114="Maladie"),0),IF($AZ$5&lt;&gt;"",--(AZ114="Maladie"),0),IF($BB$5&lt;&gt;"",--(BB114="Maladie"),0),IF($BD$5&lt;&gt;"",--(BD114="Maladie"),0),IF($BF$5&lt;&gt;"",--(BF114="Maladie"),0),IF($BH$5&lt;&gt;"",--(BH114="Maladie"),0),IF($BJ$5&lt;&gt;"",--(BJ114="Maladie"),0),IF($BL$5&lt;&gt;"",--(BL114="Maladie"),0)))</f>
      </c>
      <c r="BR114" s="23">
        <f>IF($A114="","",SUM(IF($D$5&lt;&gt;"",IF(D114="Présent",E114,0),0),IF($F$5&lt;&gt;"",IF(F114="Présent",G114,0),0),IF($H$5&lt;&gt;"",IF(H114="Présent",I114,0),0),IF($J$5&lt;&gt;"",IF(J114="Présent",K114,0),0),IF($L$5&lt;&gt;"",IF(L114="Présent",M114,0),0),IF($N$5&lt;&gt;"",IF(N114="Présent",O114,0),0),IF($P$5&lt;&gt;"",IF(P114="Présent",Q114,0),0),IF($R$5&lt;&gt;"",IF(R114="Présent",S114,0),0),IF($T$5&lt;&gt;"",IF(T114="Présent",U114,0),0),IF($V$5&lt;&gt;"",IF(V114="Présent",W114,0),0),IF($X$5&lt;&gt;"",IF(X114="Présent",Y114,0),0),IF($Z$5&lt;&gt;"",IF(Z114="Présent",AA114,0),0),IF($AB$5&lt;&gt;"",IF(AB114="Présent",AC114,0),0),IF($AD$5&lt;&gt;"",IF(AD114="Présent",AE114,0),0),IF($AF$5&lt;&gt;"",IF(AF114="Présent",AG114,0),0),IF($AH$5&lt;&gt;"",IF(AH114="Présent",AI114,0),0),IF($AJ$5&lt;&gt;"",IF(AJ114="Présent",AK114,0),0),IF($AL$5&lt;&gt;"",IF(AL114="Présent",AM114,0),0),IF($AN$5&lt;&gt;"",IF(AN114="Présent",AO114,0),0),IF($AP$5&lt;&gt;"",IF(AP114="Présent",AQ114,0),0),IF($AR$5&lt;&gt;"",IF(AR114="Présent",AS114,0),0),IF($AT$5&lt;&gt;"",IF(AT114="Présent",AU114,0),0),IF($AV$5&lt;&gt;"",IF(AV114="Présent",AW114,0),0),IF($AX$5&lt;&gt;"",IF(AX114="Présent",AY114,0),0),IF($AZ$5&lt;&gt;"",IF(AZ114="Présent",BA114,0),0),IF($BB$5&lt;&gt;"",IF(BB114="Présent",BC114,0),0),IF($BD$5&lt;&gt;"",IF(BD114="Présent",BE114,0),0),IF($BF$5&lt;&gt;"",IF(BF114="Présent",BG114,0),0),IF($BH$5&lt;&gt;"",IF(BH114="Présent",BI114,0),0),IF($BJ$5&lt;&gt;"",IF(BJ114="Présent",BK114,0),0),IF($BL$5&lt;&gt;"",IF(BL114="Présent",BM114,0),0)))</f>
      </c>
      <c r="BS114" s="25">
        <f>IF($A114="","",$BN114*IFERROR(INDEX(Categories_Salaire,MATCH($C114,ListeCategories,0)),0)+$BR114*IF(IFERROR(INDEX(Categories_TauxHS,MATCH($C114,ListeCategories,0)),0)&gt;0,IFERROR(INDEX(Categories_TauxHS,MATCH($C114,ListeCategories,0)),0),TauxHSDefaut))</f>
      </c>
    </row>
    <row r="115">
      <c r="A115" s="20">
        <f>IF(AND(INDEX(Employes_Nom,109)&lt;&gt;"",INDEX(Employes_Statut,109)="Actif",OR(INDEX(Employes_Embauche,109)="",INDEX(Employes_Embauche,109)&lt;=EOMONTH(DATE(AnneeCourante,MoisCourant,1),0))),INDEX(Employes_ID,109),"")</f>
      </c>
      <c r="B115" s="19">
        <f>IF($A115="","",INDEX(Employes_Nom,MATCH($A115,Employes_ID,0)))</f>
      </c>
      <c r="C115" s="20">
        <f>IF($A115="","",INDEX(Employes_Categorie,MATCH($A115,Employes_ID,0)))</f>
      </c>
      <c r="D115" s="26"/>
      <c r="E115" s="27"/>
      <c r="F115" s="26"/>
      <c r="G115" s="27"/>
      <c r="H115" s="26"/>
      <c r="I115" s="27"/>
      <c r="J115" s="26"/>
      <c r="K115" s="27"/>
      <c r="L115" s="26"/>
      <c r="M115" s="27"/>
      <c r="N115" s="26"/>
      <c r="O115" s="27"/>
      <c r="P115" s="26"/>
      <c r="Q115" s="27"/>
      <c r="R115" s="26"/>
      <c r="S115" s="27"/>
      <c r="T115" s="26"/>
      <c r="U115" s="27"/>
      <c r="V115" s="26"/>
      <c r="W115" s="27"/>
      <c r="X115" s="26"/>
      <c r="Y115" s="27"/>
      <c r="Z115" s="26"/>
      <c r="AA115" s="27"/>
      <c r="AB115" s="26"/>
      <c r="AC115" s="27"/>
      <c r="AD115" s="26"/>
      <c r="AE115" s="27"/>
      <c r="AF115" s="26"/>
      <c r="AG115" s="27"/>
      <c r="AH115" s="26"/>
      <c r="AI115" s="27"/>
      <c r="AJ115" s="26"/>
      <c r="AK115" s="27"/>
      <c r="AL115" s="26"/>
      <c r="AM115" s="27"/>
      <c r="AN115" s="26"/>
      <c r="AO115" s="27"/>
      <c r="AP115" s="26"/>
      <c r="AQ115" s="27"/>
      <c r="AR115" s="26"/>
      <c r="AS115" s="27"/>
      <c r="AT115" s="26"/>
      <c r="AU115" s="27"/>
      <c r="AV115" s="26"/>
      <c r="AW115" s="27"/>
      <c r="AX115" s="26"/>
      <c r="AY115" s="27"/>
      <c r="AZ115" s="26"/>
      <c r="BA115" s="27"/>
      <c r="BB115" s="26"/>
      <c r="BC115" s="27"/>
      <c r="BD115" s="26"/>
      <c r="BE115" s="27"/>
      <c r="BF115" s="26"/>
      <c r="BG115" s="27"/>
      <c r="BH115" s="26"/>
      <c r="BI115" s="27"/>
      <c r="BJ115" s="26"/>
      <c r="BK115" s="27"/>
      <c r="BL115" s="26"/>
      <c r="BM115" s="27"/>
      <c r="BN115" s="22">
        <f>IF($A115="","",SUM(IF($D$5&lt;&gt;"",--(D115="Présent"),0),IF($F$5&lt;&gt;"",--(F115="Présent"),0),IF($H$5&lt;&gt;"",--(H115="Présent"),0),IF($J$5&lt;&gt;"",--(J115="Présent"),0),IF($L$5&lt;&gt;"",--(L115="Présent"),0),IF($N$5&lt;&gt;"",--(N115="Présent"),0),IF($P$5&lt;&gt;"",--(P115="Présent"),0),IF($R$5&lt;&gt;"",--(R115="Présent"),0),IF($T$5&lt;&gt;"",--(T115="Présent"),0),IF($V$5&lt;&gt;"",--(V115="Présent"),0),IF($X$5&lt;&gt;"",--(X115="Présent"),0),IF($Z$5&lt;&gt;"",--(Z115="Présent"),0),IF($AB$5&lt;&gt;"",--(AB115="Présent"),0),IF($AD$5&lt;&gt;"",--(AD115="Présent"),0),IF($AF$5&lt;&gt;"",--(AF115="Présent"),0),IF($AH$5&lt;&gt;"",--(AH115="Présent"),0),IF($AJ$5&lt;&gt;"",--(AJ115="Présent"),0),IF($AL$5&lt;&gt;"",--(AL115="Présent"),0),IF($AN$5&lt;&gt;"",--(AN115="Présent"),0),IF($AP$5&lt;&gt;"",--(AP115="Présent"),0),IF($AR$5&lt;&gt;"",--(AR115="Présent"),0),IF($AT$5&lt;&gt;"",--(AT115="Présent"),0),IF($AV$5&lt;&gt;"",--(AV115="Présent"),0),IF($AX$5&lt;&gt;"",--(AX115="Présent"),0),IF($AZ$5&lt;&gt;"",--(AZ115="Présent"),0),IF($BB$5&lt;&gt;"",--(BB115="Présent"),0),IF($BD$5&lt;&gt;"",--(BD115="Présent"),0),IF($BF$5&lt;&gt;"",--(BF115="Présent"),0),IF($BH$5&lt;&gt;"",--(BH115="Présent"),0),IF($BJ$5&lt;&gt;"",--(BJ115="Présent"),0),IF($BL$5&lt;&gt;"",--(BL115="Présent"),0)))</f>
      </c>
      <c r="BO115" s="22">
        <f>IF($A115="","",SUM(IF($D$5&lt;&gt;"",--(D115="Absent"),0),IF($F$5&lt;&gt;"",--(F115="Absent"),0),IF($H$5&lt;&gt;"",--(H115="Absent"),0),IF($J$5&lt;&gt;"",--(J115="Absent"),0),IF($L$5&lt;&gt;"",--(L115="Absent"),0),IF($N$5&lt;&gt;"",--(N115="Absent"),0),IF($P$5&lt;&gt;"",--(P115="Absent"),0),IF($R$5&lt;&gt;"",--(R115="Absent"),0),IF($T$5&lt;&gt;"",--(T115="Absent"),0),IF($V$5&lt;&gt;"",--(V115="Absent"),0),IF($X$5&lt;&gt;"",--(X115="Absent"),0),IF($Z$5&lt;&gt;"",--(Z115="Absent"),0),IF($AB$5&lt;&gt;"",--(AB115="Absent"),0),IF($AD$5&lt;&gt;"",--(AD115="Absent"),0),IF($AF$5&lt;&gt;"",--(AF115="Absent"),0),IF($AH$5&lt;&gt;"",--(AH115="Absent"),0),IF($AJ$5&lt;&gt;"",--(AJ115="Absent"),0),IF($AL$5&lt;&gt;"",--(AL115="Absent"),0),IF($AN$5&lt;&gt;"",--(AN115="Absent"),0),IF($AP$5&lt;&gt;"",--(AP115="Absent"),0),IF($AR$5&lt;&gt;"",--(AR115="Absent"),0),IF($AT$5&lt;&gt;"",--(AT115="Absent"),0),IF($AV$5&lt;&gt;"",--(AV115="Absent"),0),IF($AX$5&lt;&gt;"",--(AX115="Absent"),0),IF($AZ$5&lt;&gt;"",--(AZ115="Absent"),0),IF($BB$5&lt;&gt;"",--(BB115="Absent"),0),IF($BD$5&lt;&gt;"",--(BD115="Absent"),0),IF($BF$5&lt;&gt;"",--(BF115="Absent"),0),IF($BH$5&lt;&gt;"",--(BH115="Absent"),0),IF($BJ$5&lt;&gt;"",--(BJ115="Absent"),0),IF($BL$5&lt;&gt;"",--(BL115="Absent"),0)))</f>
      </c>
      <c r="BP115" s="22">
        <f>IF($A115="","",SUM(IF($D$5&lt;&gt;"",--(D115="Congé"),0),IF($F$5&lt;&gt;"",--(F115="Congé"),0),IF($H$5&lt;&gt;"",--(H115="Congé"),0),IF($J$5&lt;&gt;"",--(J115="Congé"),0),IF($L$5&lt;&gt;"",--(L115="Congé"),0),IF($N$5&lt;&gt;"",--(N115="Congé"),0),IF($P$5&lt;&gt;"",--(P115="Congé"),0),IF($R$5&lt;&gt;"",--(R115="Congé"),0),IF($T$5&lt;&gt;"",--(T115="Congé"),0),IF($V$5&lt;&gt;"",--(V115="Congé"),0),IF($X$5&lt;&gt;"",--(X115="Congé"),0),IF($Z$5&lt;&gt;"",--(Z115="Congé"),0),IF($AB$5&lt;&gt;"",--(AB115="Congé"),0),IF($AD$5&lt;&gt;"",--(AD115="Congé"),0),IF($AF$5&lt;&gt;"",--(AF115="Congé"),0),IF($AH$5&lt;&gt;"",--(AH115="Congé"),0),IF($AJ$5&lt;&gt;"",--(AJ115="Congé"),0),IF($AL$5&lt;&gt;"",--(AL115="Congé"),0),IF($AN$5&lt;&gt;"",--(AN115="Congé"),0),IF($AP$5&lt;&gt;"",--(AP115="Congé"),0),IF($AR$5&lt;&gt;"",--(AR115="Congé"),0),IF($AT$5&lt;&gt;"",--(AT115="Congé"),0),IF($AV$5&lt;&gt;"",--(AV115="Congé"),0),IF($AX$5&lt;&gt;"",--(AX115="Congé"),0),IF($AZ$5&lt;&gt;"",--(AZ115="Congé"),0),IF($BB$5&lt;&gt;"",--(BB115="Congé"),0),IF($BD$5&lt;&gt;"",--(BD115="Congé"),0),IF($BF$5&lt;&gt;"",--(BF115="Congé"),0),IF($BH$5&lt;&gt;"",--(BH115="Congé"),0),IF($BJ$5&lt;&gt;"",--(BJ115="Congé"),0),IF($BL$5&lt;&gt;"",--(BL115="Congé"),0)))</f>
      </c>
      <c r="BQ115" s="22">
        <f>IF($A115="","",SUM(IF($D$5&lt;&gt;"",--(D115="Maladie"),0),IF($F$5&lt;&gt;"",--(F115="Maladie"),0),IF($H$5&lt;&gt;"",--(H115="Maladie"),0),IF($J$5&lt;&gt;"",--(J115="Maladie"),0),IF($L$5&lt;&gt;"",--(L115="Maladie"),0),IF($N$5&lt;&gt;"",--(N115="Maladie"),0),IF($P$5&lt;&gt;"",--(P115="Maladie"),0),IF($R$5&lt;&gt;"",--(R115="Maladie"),0),IF($T$5&lt;&gt;"",--(T115="Maladie"),0),IF($V$5&lt;&gt;"",--(V115="Maladie"),0),IF($X$5&lt;&gt;"",--(X115="Maladie"),0),IF($Z$5&lt;&gt;"",--(Z115="Maladie"),0),IF($AB$5&lt;&gt;"",--(AB115="Maladie"),0),IF($AD$5&lt;&gt;"",--(AD115="Maladie"),0),IF($AF$5&lt;&gt;"",--(AF115="Maladie"),0),IF($AH$5&lt;&gt;"",--(AH115="Maladie"),0),IF($AJ$5&lt;&gt;"",--(AJ115="Maladie"),0),IF($AL$5&lt;&gt;"",--(AL115="Maladie"),0),IF($AN$5&lt;&gt;"",--(AN115="Maladie"),0),IF($AP$5&lt;&gt;"",--(AP115="Maladie"),0),IF($AR$5&lt;&gt;"",--(AR115="Maladie"),0),IF($AT$5&lt;&gt;"",--(AT115="Maladie"),0),IF($AV$5&lt;&gt;"",--(AV115="Maladie"),0),IF($AX$5&lt;&gt;"",--(AX115="Maladie"),0),IF($AZ$5&lt;&gt;"",--(AZ115="Maladie"),0),IF($BB$5&lt;&gt;"",--(BB115="Maladie"),0),IF($BD$5&lt;&gt;"",--(BD115="Maladie"),0),IF($BF$5&lt;&gt;"",--(BF115="Maladie"),0),IF($BH$5&lt;&gt;"",--(BH115="Maladie"),0),IF($BJ$5&lt;&gt;"",--(BJ115="Maladie"),0),IF($BL$5&lt;&gt;"",--(BL115="Maladie"),0)))</f>
      </c>
      <c r="BR115" s="23">
        <f>IF($A115="","",SUM(IF($D$5&lt;&gt;"",IF(D115="Présent",E115,0),0),IF($F$5&lt;&gt;"",IF(F115="Présent",G115,0),0),IF($H$5&lt;&gt;"",IF(H115="Présent",I115,0),0),IF($J$5&lt;&gt;"",IF(J115="Présent",K115,0),0),IF($L$5&lt;&gt;"",IF(L115="Présent",M115,0),0),IF($N$5&lt;&gt;"",IF(N115="Présent",O115,0),0),IF($P$5&lt;&gt;"",IF(P115="Présent",Q115,0),0),IF($R$5&lt;&gt;"",IF(R115="Présent",S115,0),0),IF($T$5&lt;&gt;"",IF(T115="Présent",U115,0),0),IF($V$5&lt;&gt;"",IF(V115="Présent",W115,0),0),IF($X$5&lt;&gt;"",IF(X115="Présent",Y115,0),0),IF($Z$5&lt;&gt;"",IF(Z115="Présent",AA115,0),0),IF($AB$5&lt;&gt;"",IF(AB115="Présent",AC115,0),0),IF($AD$5&lt;&gt;"",IF(AD115="Présent",AE115,0),0),IF($AF$5&lt;&gt;"",IF(AF115="Présent",AG115,0),0),IF($AH$5&lt;&gt;"",IF(AH115="Présent",AI115,0),0),IF($AJ$5&lt;&gt;"",IF(AJ115="Présent",AK115,0),0),IF($AL$5&lt;&gt;"",IF(AL115="Présent",AM115,0),0),IF($AN$5&lt;&gt;"",IF(AN115="Présent",AO115,0),0),IF($AP$5&lt;&gt;"",IF(AP115="Présent",AQ115,0),0),IF($AR$5&lt;&gt;"",IF(AR115="Présent",AS115,0),0),IF($AT$5&lt;&gt;"",IF(AT115="Présent",AU115,0),0),IF($AV$5&lt;&gt;"",IF(AV115="Présent",AW115,0),0),IF($AX$5&lt;&gt;"",IF(AX115="Présent",AY115,0),0),IF($AZ$5&lt;&gt;"",IF(AZ115="Présent",BA115,0),0),IF($BB$5&lt;&gt;"",IF(BB115="Présent",BC115,0),0),IF($BD$5&lt;&gt;"",IF(BD115="Présent",BE115,0),0),IF($BF$5&lt;&gt;"",IF(BF115="Présent",BG115,0),0),IF($BH$5&lt;&gt;"",IF(BH115="Présent",BI115,0),0),IF($BJ$5&lt;&gt;"",IF(BJ115="Présent",BK115,0),0),IF($BL$5&lt;&gt;"",IF(BL115="Présent",BM115,0),0)))</f>
      </c>
      <c r="BS115" s="25">
        <f>IF($A115="","",$BN115*IFERROR(INDEX(Categories_Salaire,MATCH($C115,ListeCategories,0)),0)+$BR115*IF(IFERROR(INDEX(Categories_TauxHS,MATCH($C115,ListeCategories,0)),0)&gt;0,IFERROR(INDEX(Categories_TauxHS,MATCH($C115,ListeCategories,0)),0),TauxHSDefaut))</f>
      </c>
    </row>
    <row r="116">
      <c r="A116" s="20">
        <f>IF(AND(INDEX(Employes_Nom,110)&lt;&gt;"",INDEX(Employes_Statut,110)="Actif",OR(INDEX(Employes_Embauche,110)="",INDEX(Employes_Embauche,110)&lt;=EOMONTH(DATE(AnneeCourante,MoisCourant,1),0))),INDEX(Employes_ID,110),"")</f>
      </c>
      <c r="B116" s="19">
        <f>IF($A116="","",INDEX(Employes_Nom,MATCH($A116,Employes_ID,0)))</f>
      </c>
      <c r="C116" s="20">
        <f>IF($A116="","",INDEX(Employes_Categorie,MATCH($A116,Employes_ID,0)))</f>
      </c>
      <c r="D116" s="26"/>
      <c r="E116" s="27"/>
      <c r="F116" s="26"/>
      <c r="G116" s="27"/>
      <c r="H116" s="26"/>
      <c r="I116" s="27"/>
      <c r="J116" s="26"/>
      <c r="K116" s="27"/>
      <c r="L116" s="26"/>
      <c r="M116" s="27"/>
      <c r="N116" s="26"/>
      <c r="O116" s="27"/>
      <c r="P116" s="26"/>
      <c r="Q116" s="27"/>
      <c r="R116" s="26"/>
      <c r="S116" s="27"/>
      <c r="T116" s="26"/>
      <c r="U116" s="27"/>
      <c r="V116" s="26"/>
      <c r="W116" s="27"/>
      <c r="X116" s="26"/>
      <c r="Y116" s="27"/>
      <c r="Z116" s="26"/>
      <c r="AA116" s="27"/>
      <c r="AB116" s="26"/>
      <c r="AC116" s="27"/>
      <c r="AD116" s="26"/>
      <c r="AE116" s="27"/>
      <c r="AF116" s="26"/>
      <c r="AG116" s="27"/>
      <c r="AH116" s="26"/>
      <c r="AI116" s="27"/>
      <c r="AJ116" s="26"/>
      <c r="AK116" s="27"/>
      <c r="AL116" s="26"/>
      <c r="AM116" s="27"/>
      <c r="AN116" s="26"/>
      <c r="AO116" s="27"/>
      <c r="AP116" s="26"/>
      <c r="AQ116" s="27"/>
      <c r="AR116" s="26"/>
      <c r="AS116" s="27"/>
      <c r="AT116" s="26"/>
      <c r="AU116" s="27"/>
      <c r="AV116" s="26"/>
      <c r="AW116" s="27"/>
      <c r="AX116" s="26"/>
      <c r="AY116" s="27"/>
      <c r="AZ116" s="26"/>
      <c r="BA116" s="27"/>
      <c r="BB116" s="26"/>
      <c r="BC116" s="27"/>
      <c r="BD116" s="26"/>
      <c r="BE116" s="27"/>
      <c r="BF116" s="26"/>
      <c r="BG116" s="27"/>
      <c r="BH116" s="26"/>
      <c r="BI116" s="27"/>
      <c r="BJ116" s="26"/>
      <c r="BK116" s="27"/>
      <c r="BL116" s="26"/>
      <c r="BM116" s="27"/>
      <c r="BN116" s="22">
        <f>IF($A116="","",SUM(IF($D$5&lt;&gt;"",--(D116="Présent"),0),IF($F$5&lt;&gt;"",--(F116="Présent"),0),IF($H$5&lt;&gt;"",--(H116="Présent"),0),IF($J$5&lt;&gt;"",--(J116="Présent"),0),IF($L$5&lt;&gt;"",--(L116="Présent"),0),IF($N$5&lt;&gt;"",--(N116="Présent"),0),IF($P$5&lt;&gt;"",--(P116="Présent"),0),IF($R$5&lt;&gt;"",--(R116="Présent"),0),IF($T$5&lt;&gt;"",--(T116="Présent"),0),IF($V$5&lt;&gt;"",--(V116="Présent"),0),IF($X$5&lt;&gt;"",--(X116="Présent"),0),IF($Z$5&lt;&gt;"",--(Z116="Présent"),0),IF($AB$5&lt;&gt;"",--(AB116="Présent"),0),IF($AD$5&lt;&gt;"",--(AD116="Présent"),0),IF($AF$5&lt;&gt;"",--(AF116="Présent"),0),IF($AH$5&lt;&gt;"",--(AH116="Présent"),0),IF($AJ$5&lt;&gt;"",--(AJ116="Présent"),0),IF($AL$5&lt;&gt;"",--(AL116="Présent"),0),IF($AN$5&lt;&gt;"",--(AN116="Présent"),0),IF($AP$5&lt;&gt;"",--(AP116="Présent"),0),IF($AR$5&lt;&gt;"",--(AR116="Présent"),0),IF($AT$5&lt;&gt;"",--(AT116="Présent"),0),IF($AV$5&lt;&gt;"",--(AV116="Présent"),0),IF($AX$5&lt;&gt;"",--(AX116="Présent"),0),IF($AZ$5&lt;&gt;"",--(AZ116="Présent"),0),IF($BB$5&lt;&gt;"",--(BB116="Présent"),0),IF($BD$5&lt;&gt;"",--(BD116="Présent"),0),IF($BF$5&lt;&gt;"",--(BF116="Présent"),0),IF($BH$5&lt;&gt;"",--(BH116="Présent"),0),IF($BJ$5&lt;&gt;"",--(BJ116="Présent"),0),IF($BL$5&lt;&gt;"",--(BL116="Présent"),0)))</f>
      </c>
      <c r="BO116" s="22">
        <f>IF($A116="","",SUM(IF($D$5&lt;&gt;"",--(D116="Absent"),0),IF($F$5&lt;&gt;"",--(F116="Absent"),0),IF($H$5&lt;&gt;"",--(H116="Absent"),0),IF($J$5&lt;&gt;"",--(J116="Absent"),0),IF($L$5&lt;&gt;"",--(L116="Absent"),0),IF($N$5&lt;&gt;"",--(N116="Absent"),0),IF($P$5&lt;&gt;"",--(P116="Absent"),0),IF($R$5&lt;&gt;"",--(R116="Absent"),0),IF($T$5&lt;&gt;"",--(T116="Absent"),0),IF($V$5&lt;&gt;"",--(V116="Absent"),0),IF($X$5&lt;&gt;"",--(X116="Absent"),0),IF($Z$5&lt;&gt;"",--(Z116="Absent"),0),IF($AB$5&lt;&gt;"",--(AB116="Absent"),0),IF($AD$5&lt;&gt;"",--(AD116="Absent"),0),IF($AF$5&lt;&gt;"",--(AF116="Absent"),0),IF($AH$5&lt;&gt;"",--(AH116="Absent"),0),IF($AJ$5&lt;&gt;"",--(AJ116="Absent"),0),IF($AL$5&lt;&gt;"",--(AL116="Absent"),0),IF($AN$5&lt;&gt;"",--(AN116="Absent"),0),IF($AP$5&lt;&gt;"",--(AP116="Absent"),0),IF($AR$5&lt;&gt;"",--(AR116="Absent"),0),IF($AT$5&lt;&gt;"",--(AT116="Absent"),0),IF($AV$5&lt;&gt;"",--(AV116="Absent"),0),IF($AX$5&lt;&gt;"",--(AX116="Absent"),0),IF($AZ$5&lt;&gt;"",--(AZ116="Absent"),0),IF($BB$5&lt;&gt;"",--(BB116="Absent"),0),IF($BD$5&lt;&gt;"",--(BD116="Absent"),0),IF($BF$5&lt;&gt;"",--(BF116="Absent"),0),IF($BH$5&lt;&gt;"",--(BH116="Absent"),0),IF($BJ$5&lt;&gt;"",--(BJ116="Absent"),0),IF($BL$5&lt;&gt;"",--(BL116="Absent"),0)))</f>
      </c>
      <c r="BP116" s="22">
        <f>IF($A116="","",SUM(IF($D$5&lt;&gt;"",--(D116="Congé"),0),IF($F$5&lt;&gt;"",--(F116="Congé"),0),IF($H$5&lt;&gt;"",--(H116="Congé"),0),IF($J$5&lt;&gt;"",--(J116="Congé"),0),IF($L$5&lt;&gt;"",--(L116="Congé"),0),IF($N$5&lt;&gt;"",--(N116="Congé"),0),IF($P$5&lt;&gt;"",--(P116="Congé"),0),IF($R$5&lt;&gt;"",--(R116="Congé"),0),IF($T$5&lt;&gt;"",--(T116="Congé"),0),IF($V$5&lt;&gt;"",--(V116="Congé"),0),IF($X$5&lt;&gt;"",--(X116="Congé"),0),IF($Z$5&lt;&gt;"",--(Z116="Congé"),0),IF($AB$5&lt;&gt;"",--(AB116="Congé"),0),IF($AD$5&lt;&gt;"",--(AD116="Congé"),0),IF($AF$5&lt;&gt;"",--(AF116="Congé"),0),IF($AH$5&lt;&gt;"",--(AH116="Congé"),0),IF($AJ$5&lt;&gt;"",--(AJ116="Congé"),0),IF($AL$5&lt;&gt;"",--(AL116="Congé"),0),IF($AN$5&lt;&gt;"",--(AN116="Congé"),0),IF($AP$5&lt;&gt;"",--(AP116="Congé"),0),IF($AR$5&lt;&gt;"",--(AR116="Congé"),0),IF($AT$5&lt;&gt;"",--(AT116="Congé"),0),IF($AV$5&lt;&gt;"",--(AV116="Congé"),0),IF($AX$5&lt;&gt;"",--(AX116="Congé"),0),IF($AZ$5&lt;&gt;"",--(AZ116="Congé"),0),IF($BB$5&lt;&gt;"",--(BB116="Congé"),0),IF($BD$5&lt;&gt;"",--(BD116="Congé"),0),IF($BF$5&lt;&gt;"",--(BF116="Congé"),0),IF($BH$5&lt;&gt;"",--(BH116="Congé"),0),IF($BJ$5&lt;&gt;"",--(BJ116="Congé"),0),IF($BL$5&lt;&gt;"",--(BL116="Congé"),0)))</f>
      </c>
      <c r="BQ116" s="22">
        <f>IF($A116="","",SUM(IF($D$5&lt;&gt;"",--(D116="Maladie"),0),IF($F$5&lt;&gt;"",--(F116="Maladie"),0),IF($H$5&lt;&gt;"",--(H116="Maladie"),0),IF($J$5&lt;&gt;"",--(J116="Maladie"),0),IF($L$5&lt;&gt;"",--(L116="Maladie"),0),IF($N$5&lt;&gt;"",--(N116="Maladie"),0),IF($P$5&lt;&gt;"",--(P116="Maladie"),0),IF($R$5&lt;&gt;"",--(R116="Maladie"),0),IF($T$5&lt;&gt;"",--(T116="Maladie"),0),IF($V$5&lt;&gt;"",--(V116="Maladie"),0),IF($X$5&lt;&gt;"",--(X116="Maladie"),0),IF($Z$5&lt;&gt;"",--(Z116="Maladie"),0),IF($AB$5&lt;&gt;"",--(AB116="Maladie"),0),IF($AD$5&lt;&gt;"",--(AD116="Maladie"),0),IF($AF$5&lt;&gt;"",--(AF116="Maladie"),0),IF($AH$5&lt;&gt;"",--(AH116="Maladie"),0),IF($AJ$5&lt;&gt;"",--(AJ116="Maladie"),0),IF($AL$5&lt;&gt;"",--(AL116="Maladie"),0),IF($AN$5&lt;&gt;"",--(AN116="Maladie"),0),IF($AP$5&lt;&gt;"",--(AP116="Maladie"),0),IF($AR$5&lt;&gt;"",--(AR116="Maladie"),0),IF($AT$5&lt;&gt;"",--(AT116="Maladie"),0),IF($AV$5&lt;&gt;"",--(AV116="Maladie"),0),IF($AX$5&lt;&gt;"",--(AX116="Maladie"),0),IF($AZ$5&lt;&gt;"",--(AZ116="Maladie"),0),IF($BB$5&lt;&gt;"",--(BB116="Maladie"),0),IF($BD$5&lt;&gt;"",--(BD116="Maladie"),0),IF($BF$5&lt;&gt;"",--(BF116="Maladie"),0),IF($BH$5&lt;&gt;"",--(BH116="Maladie"),0),IF($BJ$5&lt;&gt;"",--(BJ116="Maladie"),0),IF($BL$5&lt;&gt;"",--(BL116="Maladie"),0)))</f>
      </c>
      <c r="BR116" s="23">
        <f>IF($A116="","",SUM(IF($D$5&lt;&gt;"",IF(D116="Présent",E116,0),0),IF($F$5&lt;&gt;"",IF(F116="Présent",G116,0),0),IF($H$5&lt;&gt;"",IF(H116="Présent",I116,0),0),IF($J$5&lt;&gt;"",IF(J116="Présent",K116,0),0),IF($L$5&lt;&gt;"",IF(L116="Présent",M116,0),0),IF($N$5&lt;&gt;"",IF(N116="Présent",O116,0),0),IF($P$5&lt;&gt;"",IF(P116="Présent",Q116,0),0),IF($R$5&lt;&gt;"",IF(R116="Présent",S116,0),0),IF($T$5&lt;&gt;"",IF(T116="Présent",U116,0),0),IF($V$5&lt;&gt;"",IF(V116="Présent",W116,0),0),IF($X$5&lt;&gt;"",IF(X116="Présent",Y116,0),0),IF($Z$5&lt;&gt;"",IF(Z116="Présent",AA116,0),0),IF($AB$5&lt;&gt;"",IF(AB116="Présent",AC116,0),0),IF($AD$5&lt;&gt;"",IF(AD116="Présent",AE116,0),0),IF($AF$5&lt;&gt;"",IF(AF116="Présent",AG116,0),0),IF($AH$5&lt;&gt;"",IF(AH116="Présent",AI116,0),0),IF($AJ$5&lt;&gt;"",IF(AJ116="Présent",AK116,0),0),IF($AL$5&lt;&gt;"",IF(AL116="Présent",AM116,0),0),IF($AN$5&lt;&gt;"",IF(AN116="Présent",AO116,0),0),IF($AP$5&lt;&gt;"",IF(AP116="Présent",AQ116,0),0),IF($AR$5&lt;&gt;"",IF(AR116="Présent",AS116,0),0),IF($AT$5&lt;&gt;"",IF(AT116="Présent",AU116,0),0),IF($AV$5&lt;&gt;"",IF(AV116="Présent",AW116,0),0),IF($AX$5&lt;&gt;"",IF(AX116="Présent",AY116,0),0),IF($AZ$5&lt;&gt;"",IF(AZ116="Présent",BA116,0),0),IF($BB$5&lt;&gt;"",IF(BB116="Présent",BC116,0),0),IF($BD$5&lt;&gt;"",IF(BD116="Présent",BE116,0),0),IF($BF$5&lt;&gt;"",IF(BF116="Présent",BG116,0),0),IF($BH$5&lt;&gt;"",IF(BH116="Présent",BI116,0),0),IF($BJ$5&lt;&gt;"",IF(BJ116="Présent",BK116,0),0),IF($BL$5&lt;&gt;"",IF(BL116="Présent",BM116,0),0)))</f>
      </c>
      <c r="BS116" s="25">
        <f>IF($A116="","",$BN116*IFERROR(INDEX(Categories_Salaire,MATCH($C116,ListeCategories,0)),0)+$BR116*IF(IFERROR(INDEX(Categories_TauxHS,MATCH($C116,ListeCategories,0)),0)&gt;0,IFERROR(INDEX(Categories_TauxHS,MATCH($C116,ListeCategories,0)),0),TauxHSDefaut))</f>
      </c>
    </row>
    <row r="117">
      <c r="A117" s="20">
        <f>IF(AND(INDEX(Employes_Nom,111)&lt;&gt;"",INDEX(Employes_Statut,111)="Actif",OR(INDEX(Employes_Embauche,111)="",INDEX(Employes_Embauche,111)&lt;=EOMONTH(DATE(AnneeCourante,MoisCourant,1),0))),INDEX(Employes_ID,111),"")</f>
      </c>
      <c r="B117" s="19">
        <f>IF($A117="","",INDEX(Employes_Nom,MATCH($A117,Employes_ID,0)))</f>
      </c>
      <c r="C117" s="20">
        <f>IF($A117="","",INDEX(Employes_Categorie,MATCH($A117,Employes_ID,0)))</f>
      </c>
      <c r="D117" s="26"/>
      <c r="E117" s="27"/>
      <c r="F117" s="26"/>
      <c r="G117" s="27"/>
      <c r="H117" s="26"/>
      <c r="I117" s="27"/>
      <c r="J117" s="26"/>
      <c r="K117" s="27"/>
      <c r="L117" s="26"/>
      <c r="M117" s="27"/>
      <c r="N117" s="26"/>
      <c r="O117" s="27"/>
      <c r="P117" s="26"/>
      <c r="Q117" s="27"/>
      <c r="R117" s="26"/>
      <c r="S117" s="27"/>
      <c r="T117" s="26"/>
      <c r="U117" s="27"/>
      <c r="V117" s="26"/>
      <c r="W117" s="27"/>
      <c r="X117" s="26"/>
      <c r="Y117" s="27"/>
      <c r="Z117" s="26"/>
      <c r="AA117" s="27"/>
      <c r="AB117" s="26"/>
      <c r="AC117" s="27"/>
      <c r="AD117" s="26"/>
      <c r="AE117" s="27"/>
      <c r="AF117" s="26"/>
      <c r="AG117" s="27"/>
      <c r="AH117" s="26"/>
      <c r="AI117" s="27"/>
      <c r="AJ117" s="26"/>
      <c r="AK117" s="27"/>
      <c r="AL117" s="26"/>
      <c r="AM117" s="27"/>
      <c r="AN117" s="26"/>
      <c r="AO117" s="27"/>
      <c r="AP117" s="26"/>
      <c r="AQ117" s="27"/>
      <c r="AR117" s="26"/>
      <c r="AS117" s="27"/>
      <c r="AT117" s="26"/>
      <c r="AU117" s="27"/>
      <c r="AV117" s="26"/>
      <c r="AW117" s="27"/>
      <c r="AX117" s="26"/>
      <c r="AY117" s="27"/>
      <c r="AZ117" s="26"/>
      <c r="BA117" s="27"/>
      <c r="BB117" s="26"/>
      <c r="BC117" s="27"/>
      <c r="BD117" s="26"/>
      <c r="BE117" s="27"/>
      <c r="BF117" s="26"/>
      <c r="BG117" s="27"/>
      <c r="BH117" s="26"/>
      <c r="BI117" s="27"/>
      <c r="BJ117" s="26"/>
      <c r="BK117" s="27"/>
      <c r="BL117" s="26"/>
      <c r="BM117" s="27"/>
      <c r="BN117" s="22">
        <f>IF($A117="","",SUM(IF($D$5&lt;&gt;"",--(D117="Présent"),0),IF($F$5&lt;&gt;"",--(F117="Présent"),0),IF($H$5&lt;&gt;"",--(H117="Présent"),0),IF($J$5&lt;&gt;"",--(J117="Présent"),0),IF($L$5&lt;&gt;"",--(L117="Présent"),0),IF($N$5&lt;&gt;"",--(N117="Présent"),0),IF($P$5&lt;&gt;"",--(P117="Présent"),0),IF($R$5&lt;&gt;"",--(R117="Présent"),0),IF($T$5&lt;&gt;"",--(T117="Présent"),0),IF($V$5&lt;&gt;"",--(V117="Présent"),0),IF($X$5&lt;&gt;"",--(X117="Présent"),0),IF($Z$5&lt;&gt;"",--(Z117="Présent"),0),IF($AB$5&lt;&gt;"",--(AB117="Présent"),0),IF($AD$5&lt;&gt;"",--(AD117="Présent"),0),IF($AF$5&lt;&gt;"",--(AF117="Présent"),0),IF($AH$5&lt;&gt;"",--(AH117="Présent"),0),IF($AJ$5&lt;&gt;"",--(AJ117="Présent"),0),IF($AL$5&lt;&gt;"",--(AL117="Présent"),0),IF($AN$5&lt;&gt;"",--(AN117="Présent"),0),IF($AP$5&lt;&gt;"",--(AP117="Présent"),0),IF($AR$5&lt;&gt;"",--(AR117="Présent"),0),IF($AT$5&lt;&gt;"",--(AT117="Présent"),0),IF($AV$5&lt;&gt;"",--(AV117="Présent"),0),IF($AX$5&lt;&gt;"",--(AX117="Présent"),0),IF($AZ$5&lt;&gt;"",--(AZ117="Présent"),0),IF($BB$5&lt;&gt;"",--(BB117="Présent"),0),IF($BD$5&lt;&gt;"",--(BD117="Présent"),0),IF($BF$5&lt;&gt;"",--(BF117="Présent"),0),IF($BH$5&lt;&gt;"",--(BH117="Présent"),0),IF($BJ$5&lt;&gt;"",--(BJ117="Présent"),0),IF($BL$5&lt;&gt;"",--(BL117="Présent"),0)))</f>
      </c>
      <c r="BO117" s="22">
        <f>IF($A117="","",SUM(IF($D$5&lt;&gt;"",--(D117="Absent"),0),IF($F$5&lt;&gt;"",--(F117="Absent"),0),IF($H$5&lt;&gt;"",--(H117="Absent"),0),IF($J$5&lt;&gt;"",--(J117="Absent"),0),IF($L$5&lt;&gt;"",--(L117="Absent"),0),IF($N$5&lt;&gt;"",--(N117="Absent"),0),IF($P$5&lt;&gt;"",--(P117="Absent"),0),IF($R$5&lt;&gt;"",--(R117="Absent"),0),IF($T$5&lt;&gt;"",--(T117="Absent"),0),IF($V$5&lt;&gt;"",--(V117="Absent"),0),IF($X$5&lt;&gt;"",--(X117="Absent"),0),IF($Z$5&lt;&gt;"",--(Z117="Absent"),0),IF($AB$5&lt;&gt;"",--(AB117="Absent"),0),IF($AD$5&lt;&gt;"",--(AD117="Absent"),0),IF($AF$5&lt;&gt;"",--(AF117="Absent"),0),IF($AH$5&lt;&gt;"",--(AH117="Absent"),0),IF($AJ$5&lt;&gt;"",--(AJ117="Absent"),0),IF($AL$5&lt;&gt;"",--(AL117="Absent"),0),IF($AN$5&lt;&gt;"",--(AN117="Absent"),0),IF($AP$5&lt;&gt;"",--(AP117="Absent"),0),IF($AR$5&lt;&gt;"",--(AR117="Absent"),0),IF($AT$5&lt;&gt;"",--(AT117="Absent"),0),IF($AV$5&lt;&gt;"",--(AV117="Absent"),0),IF($AX$5&lt;&gt;"",--(AX117="Absent"),0),IF($AZ$5&lt;&gt;"",--(AZ117="Absent"),0),IF($BB$5&lt;&gt;"",--(BB117="Absent"),0),IF($BD$5&lt;&gt;"",--(BD117="Absent"),0),IF($BF$5&lt;&gt;"",--(BF117="Absent"),0),IF($BH$5&lt;&gt;"",--(BH117="Absent"),0),IF($BJ$5&lt;&gt;"",--(BJ117="Absent"),0),IF($BL$5&lt;&gt;"",--(BL117="Absent"),0)))</f>
      </c>
      <c r="BP117" s="22">
        <f>IF($A117="","",SUM(IF($D$5&lt;&gt;"",--(D117="Congé"),0),IF($F$5&lt;&gt;"",--(F117="Congé"),0),IF($H$5&lt;&gt;"",--(H117="Congé"),0),IF($J$5&lt;&gt;"",--(J117="Congé"),0),IF($L$5&lt;&gt;"",--(L117="Congé"),0),IF($N$5&lt;&gt;"",--(N117="Congé"),0),IF($P$5&lt;&gt;"",--(P117="Congé"),0),IF($R$5&lt;&gt;"",--(R117="Congé"),0),IF($T$5&lt;&gt;"",--(T117="Congé"),0),IF($V$5&lt;&gt;"",--(V117="Congé"),0),IF($X$5&lt;&gt;"",--(X117="Congé"),0),IF($Z$5&lt;&gt;"",--(Z117="Congé"),0),IF($AB$5&lt;&gt;"",--(AB117="Congé"),0),IF($AD$5&lt;&gt;"",--(AD117="Congé"),0),IF($AF$5&lt;&gt;"",--(AF117="Congé"),0),IF($AH$5&lt;&gt;"",--(AH117="Congé"),0),IF($AJ$5&lt;&gt;"",--(AJ117="Congé"),0),IF($AL$5&lt;&gt;"",--(AL117="Congé"),0),IF($AN$5&lt;&gt;"",--(AN117="Congé"),0),IF($AP$5&lt;&gt;"",--(AP117="Congé"),0),IF($AR$5&lt;&gt;"",--(AR117="Congé"),0),IF($AT$5&lt;&gt;"",--(AT117="Congé"),0),IF($AV$5&lt;&gt;"",--(AV117="Congé"),0),IF($AX$5&lt;&gt;"",--(AX117="Congé"),0),IF($AZ$5&lt;&gt;"",--(AZ117="Congé"),0),IF($BB$5&lt;&gt;"",--(BB117="Congé"),0),IF($BD$5&lt;&gt;"",--(BD117="Congé"),0),IF($BF$5&lt;&gt;"",--(BF117="Congé"),0),IF($BH$5&lt;&gt;"",--(BH117="Congé"),0),IF($BJ$5&lt;&gt;"",--(BJ117="Congé"),0),IF($BL$5&lt;&gt;"",--(BL117="Congé"),0)))</f>
      </c>
      <c r="BQ117" s="22">
        <f>IF($A117="","",SUM(IF($D$5&lt;&gt;"",--(D117="Maladie"),0),IF($F$5&lt;&gt;"",--(F117="Maladie"),0),IF($H$5&lt;&gt;"",--(H117="Maladie"),0),IF($J$5&lt;&gt;"",--(J117="Maladie"),0),IF($L$5&lt;&gt;"",--(L117="Maladie"),0),IF($N$5&lt;&gt;"",--(N117="Maladie"),0),IF($P$5&lt;&gt;"",--(P117="Maladie"),0),IF($R$5&lt;&gt;"",--(R117="Maladie"),0),IF($T$5&lt;&gt;"",--(T117="Maladie"),0),IF($V$5&lt;&gt;"",--(V117="Maladie"),0),IF($X$5&lt;&gt;"",--(X117="Maladie"),0),IF($Z$5&lt;&gt;"",--(Z117="Maladie"),0),IF($AB$5&lt;&gt;"",--(AB117="Maladie"),0),IF($AD$5&lt;&gt;"",--(AD117="Maladie"),0),IF($AF$5&lt;&gt;"",--(AF117="Maladie"),0),IF($AH$5&lt;&gt;"",--(AH117="Maladie"),0),IF($AJ$5&lt;&gt;"",--(AJ117="Maladie"),0),IF($AL$5&lt;&gt;"",--(AL117="Maladie"),0),IF($AN$5&lt;&gt;"",--(AN117="Maladie"),0),IF($AP$5&lt;&gt;"",--(AP117="Maladie"),0),IF($AR$5&lt;&gt;"",--(AR117="Maladie"),0),IF($AT$5&lt;&gt;"",--(AT117="Maladie"),0),IF($AV$5&lt;&gt;"",--(AV117="Maladie"),0),IF($AX$5&lt;&gt;"",--(AX117="Maladie"),0),IF($AZ$5&lt;&gt;"",--(AZ117="Maladie"),0),IF($BB$5&lt;&gt;"",--(BB117="Maladie"),0),IF($BD$5&lt;&gt;"",--(BD117="Maladie"),0),IF($BF$5&lt;&gt;"",--(BF117="Maladie"),0),IF($BH$5&lt;&gt;"",--(BH117="Maladie"),0),IF($BJ$5&lt;&gt;"",--(BJ117="Maladie"),0),IF($BL$5&lt;&gt;"",--(BL117="Maladie"),0)))</f>
      </c>
      <c r="BR117" s="23">
        <f>IF($A117="","",SUM(IF($D$5&lt;&gt;"",IF(D117="Présent",E117,0),0),IF($F$5&lt;&gt;"",IF(F117="Présent",G117,0),0),IF($H$5&lt;&gt;"",IF(H117="Présent",I117,0),0),IF($J$5&lt;&gt;"",IF(J117="Présent",K117,0),0),IF($L$5&lt;&gt;"",IF(L117="Présent",M117,0),0),IF($N$5&lt;&gt;"",IF(N117="Présent",O117,0),0),IF($P$5&lt;&gt;"",IF(P117="Présent",Q117,0),0),IF($R$5&lt;&gt;"",IF(R117="Présent",S117,0),0),IF($T$5&lt;&gt;"",IF(T117="Présent",U117,0),0),IF($V$5&lt;&gt;"",IF(V117="Présent",W117,0),0),IF($X$5&lt;&gt;"",IF(X117="Présent",Y117,0),0),IF($Z$5&lt;&gt;"",IF(Z117="Présent",AA117,0),0),IF($AB$5&lt;&gt;"",IF(AB117="Présent",AC117,0),0),IF($AD$5&lt;&gt;"",IF(AD117="Présent",AE117,0),0),IF($AF$5&lt;&gt;"",IF(AF117="Présent",AG117,0),0),IF($AH$5&lt;&gt;"",IF(AH117="Présent",AI117,0),0),IF($AJ$5&lt;&gt;"",IF(AJ117="Présent",AK117,0),0),IF($AL$5&lt;&gt;"",IF(AL117="Présent",AM117,0),0),IF($AN$5&lt;&gt;"",IF(AN117="Présent",AO117,0),0),IF($AP$5&lt;&gt;"",IF(AP117="Présent",AQ117,0),0),IF($AR$5&lt;&gt;"",IF(AR117="Présent",AS117,0),0),IF($AT$5&lt;&gt;"",IF(AT117="Présent",AU117,0),0),IF($AV$5&lt;&gt;"",IF(AV117="Présent",AW117,0),0),IF($AX$5&lt;&gt;"",IF(AX117="Présent",AY117,0),0),IF($AZ$5&lt;&gt;"",IF(AZ117="Présent",BA117,0),0),IF($BB$5&lt;&gt;"",IF(BB117="Présent",BC117,0),0),IF($BD$5&lt;&gt;"",IF(BD117="Présent",BE117,0),0),IF($BF$5&lt;&gt;"",IF(BF117="Présent",BG117,0),0),IF($BH$5&lt;&gt;"",IF(BH117="Présent",BI117,0),0),IF($BJ$5&lt;&gt;"",IF(BJ117="Présent",BK117,0),0),IF($BL$5&lt;&gt;"",IF(BL117="Présent",BM117,0),0)))</f>
      </c>
      <c r="BS117" s="25">
        <f>IF($A117="","",$BN117*IFERROR(INDEX(Categories_Salaire,MATCH($C117,ListeCategories,0)),0)+$BR117*IF(IFERROR(INDEX(Categories_TauxHS,MATCH($C117,ListeCategories,0)),0)&gt;0,IFERROR(INDEX(Categories_TauxHS,MATCH($C117,ListeCategories,0)),0),TauxHSDefaut))</f>
      </c>
    </row>
    <row r="118">
      <c r="A118" s="20">
        <f>IF(AND(INDEX(Employes_Nom,112)&lt;&gt;"",INDEX(Employes_Statut,112)="Actif",OR(INDEX(Employes_Embauche,112)="",INDEX(Employes_Embauche,112)&lt;=EOMONTH(DATE(AnneeCourante,MoisCourant,1),0))),INDEX(Employes_ID,112),"")</f>
      </c>
      <c r="B118" s="19">
        <f>IF($A118="","",INDEX(Employes_Nom,MATCH($A118,Employes_ID,0)))</f>
      </c>
      <c r="C118" s="20">
        <f>IF($A118="","",INDEX(Employes_Categorie,MATCH($A118,Employes_ID,0)))</f>
      </c>
      <c r="D118" s="26"/>
      <c r="E118" s="27"/>
      <c r="F118" s="26"/>
      <c r="G118" s="27"/>
      <c r="H118" s="26"/>
      <c r="I118" s="27"/>
      <c r="J118" s="26"/>
      <c r="K118" s="27"/>
      <c r="L118" s="26"/>
      <c r="M118" s="27"/>
      <c r="N118" s="26"/>
      <c r="O118" s="27"/>
      <c r="P118" s="26"/>
      <c r="Q118" s="27"/>
      <c r="R118" s="26"/>
      <c r="S118" s="27"/>
      <c r="T118" s="26"/>
      <c r="U118" s="27"/>
      <c r="V118" s="26"/>
      <c r="W118" s="27"/>
      <c r="X118" s="26"/>
      <c r="Y118" s="27"/>
      <c r="Z118" s="26"/>
      <c r="AA118" s="27"/>
      <c r="AB118" s="26"/>
      <c r="AC118" s="27"/>
      <c r="AD118" s="26"/>
      <c r="AE118" s="27"/>
      <c r="AF118" s="26"/>
      <c r="AG118" s="27"/>
      <c r="AH118" s="26"/>
      <c r="AI118" s="27"/>
      <c r="AJ118" s="26"/>
      <c r="AK118" s="27"/>
      <c r="AL118" s="26"/>
      <c r="AM118" s="27"/>
      <c r="AN118" s="26"/>
      <c r="AO118" s="27"/>
      <c r="AP118" s="26"/>
      <c r="AQ118" s="27"/>
      <c r="AR118" s="26"/>
      <c r="AS118" s="27"/>
      <c r="AT118" s="26"/>
      <c r="AU118" s="27"/>
      <c r="AV118" s="26"/>
      <c r="AW118" s="27"/>
      <c r="AX118" s="26"/>
      <c r="AY118" s="27"/>
      <c r="AZ118" s="26"/>
      <c r="BA118" s="27"/>
      <c r="BB118" s="26"/>
      <c r="BC118" s="27"/>
      <c r="BD118" s="26"/>
      <c r="BE118" s="27"/>
      <c r="BF118" s="26"/>
      <c r="BG118" s="27"/>
      <c r="BH118" s="26"/>
      <c r="BI118" s="27"/>
      <c r="BJ118" s="26"/>
      <c r="BK118" s="27"/>
      <c r="BL118" s="26"/>
      <c r="BM118" s="27"/>
      <c r="BN118" s="22">
        <f>IF($A118="","",SUM(IF($D$5&lt;&gt;"",--(D118="Présent"),0),IF($F$5&lt;&gt;"",--(F118="Présent"),0),IF($H$5&lt;&gt;"",--(H118="Présent"),0),IF($J$5&lt;&gt;"",--(J118="Présent"),0),IF($L$5&lt;&gt;"",--(L118="Présent"),0),IF($N$5&lt;&gt;"",--(N118="Présent"),0),IF($P$5&lt;&gt;"",--(P118="Présent"),0),IF($R$5&lt;&gt;"",--(R118="Présent"),0),IF($T$5&lt;&gt;"",--(T118="Présent"),0),IF($V$5&lt;&gt;"",--(V118="Présent"),0),IF($X$5&lt;&gt;"",--(X118="Présent"),0),IF($Z$5&lt;&gt;"",--(Z118="Présent"),0),IF($AB$5&lt;&gt;"",--(AB118="Présent"),0),IF($AD$5&lt;&gt;"",--(AD118="Présent"),0),IF($AF$5&lt;&gt;"",--(AF118="Présent"),0),IF($AH$5&lt;&gt;"",--(AH118="Présent"),0),IF($AJ$5&lt;&gt;"",--(AJ118="Présent"),0),IF($AL$5&lt;&gt;"",--(AL118="Présent"),0),IF($AN$5&lt;&gt;"",--(AN118="Présent"),0),IF($AP$5&lt;&gt;"",--(AP118="Présent"),0),IF($AR$5&lt;&gt;"",--(AR118="Présent"),0),IF($AT$5&lt;&gt;"",--(AT118="Présent"),0),IF($AV$5&lt;&gt;"",--(AV118="Présent"),0),IF($AX$5&lt;&gt;"",--(AX118="Présent"),0),IF($AZ$5&lt;&gt;"",--(AZ118="Présent"),0),IF($BB$5&lt;&gt;"",--(BB118="Présent"),0),IF($BD$5&lt;&gt;"",--(BD118="Présent"),0),IF($BF$5&lt;&gt;"",--(BF118="Présent"),0),IF($BH$5&lt;&gt;"",--(BH118="Présent"),0),IF($BJ$5&lt;&gt;"",--(BJ118="Présent"),0),IF($BL$5&lt;&gt;"",--(BL118="Présent"),0)))</f>
      </c>
      <c r="BO118" s="22">
        <f>IF($A118="","",SUM(IF($D$5&lt;&gt;"",--(D118="Absent"),0),IF($F$5&lt;&gt;"",--(F118="Absent"),0),IF($H$5&lt;&gt;"",--(H118="Absent"),0),IF($J$5&lt;&gt;"",--(J118="Absent"),0),IF($L$5&lt;&gt;"",--(L118="Absent"),0),IF($N$5&lt;&gt;"",--(N118="Absent"),0),IF($P$5&lt;&gt;"",--(P118="Absent"),0),IF($R$5&lt;&gt;"",--(R118="Absent"),0),IF($T$5&lt;&gt;"",--(T118="Absent"),0),IF($V$5&lt;&gt;"",--(V118="Absent"),0),IF($X$5&lt;&gt;"",--(X118="Absent"),0),IF($Z$5&lt;&gt;"",--(Z118="Absent"),0),IF($AB$5&lt;&gt;"",--(AB118="Absent"),0),IF($AD$5&lt;&gt;"",--(AD118="Absent"),0),IF($AF$5&lt;&gt;"",--(AF118="Absent"),0),IF($AH$5&lt;&gt;"",--(AH118="Absent"),0),IF($AJ$5&lt;&gt;"",--(AJ118="Absent"),0),IF($AL$5&lt;&gt;"",--(AL118="Absent"),0),IF($AN$5&lt;&gt;"",--(AN118="Absent"),0),IF($AP$5&lt;&gt;"",--(AP118="Absent"),0),IF($AR$5&lt;&gt;"",--(AR118="Absent"),0),IF($AT$5&lt;&gt;"",--(AT118="Absent"),0),IF($AV$5&lt;&gt;"",--(AV118="Absent"),0),IF($AX$5&lt;&gt;"",--(AX118="Absent"),0),IF($AZ$5&lt;&gt;"",--(AZ118="Absent"),0),IF($BB$5&lt;&gt;"",--(BB118="Absent"),0),IF($BD$5&lt;&gt;"",--(BD118="Absent"),0),IF($BF$5&lt;&gt;"",--(BF118="Absent"),0),IF($BH$5&lt;&gt;"",--(BH118="Absent"),0),IF($BJ$5&lt;&gt;"",--(BJ118="Absent"),0),IF($BL$5&lt;&gt;"",--(BL118="Absent"),0)))</f>
      </c>
      <c r="BP118" s="22">
        <f>IF($A118="","",SUM(IF($D$5&lt;&gt;"",--(D118="Congé"),0),IF($F$5&lt;&gt;"",--(F118="Congé"),0),IF($H$5&lt;&gt;"",--(H118="Congé"),0),IF($J$5&lt;&gt;"",--(J118="Congé"),0),IF($L$5&lt;&gt;"",--(L118="Congé"),0),IF($N$5&lt;&gt;"",--(N118="Congé"),0),IF($P$5&lt;&gt;"",--(P118="Congé"),0),IF($R$5&lt;&gt;"",--(R118="Congé"),0),IF($T$5&lt;&gt;"",--(T118="Congé"),0),IF($V$5&lt;&gt;"",--(V118="Congé"),0),IF($X$5&lt;&gt;"",--(X118="Congé"),0),IF($Z$5&lt;&gt;"",--(Z118="Congé"),0),IF($AB$5&lt;&gt;"",--(AB118="Congé"),0),IF($AD$5&lt;&gt;"",--(AD118="Congé"),0),IF($AF$5&lt;&gt;"",--(AF118="Congé"),0),IF($AH$5&lt;&gt;"",--(AH118="Congé"),0),IF($AJ$5&lt;&gt;"",--(AJ118="Congé"),0),IF($AL$5&lt;&gt;"",--(AL118="Congé"),0),IF($AN$5&lt;&gt;"",--(AN118="Congé"),0),IF($AP$5&lt;&gt;"",--(AP118="Congé"),0),IF($AR$5&lt;&gt;"",--(AR118="Congé"),0),IF($AT$5&lt;&gt;"",--(AT118="Congé"),0),IF($AV$5&lt;&gt;"",--(AV118="Congé"),0),IF($AX$5&lt;&gt;"",--(AX118="Congé"),0),IF($AZ$5&lt;&gt;"",--(AZ118="Congé"),0),IF($BB$5&lt;&gt;"",--(BB118="Congé"),0),IF($BD$5&lt;&gt;"",--(BD118="Congé"),0),IF($BF$5&lt;&gt;"",--(BF118="Congé"),0),IF($BH$5&lt;&gt;"",--(BH118="Congé"),0),IF($BJ$5&lt;&gt;"",--(BJ118="Congé"),0),IF($BL$5&lt;&gt;"",--(BL118="Congé"),0)))</f>
      </c>
      <c r="BQ118" s="22">
        <f>IF($A118="","",SUM(IF($D$5&lt;&gt;"",--(D118="Maladie"),0),IF($F$5&lt;&gt;"",--(F118="Maladie"),0),IF($H$5&lt;&gt;"",--(H118="Maladie"),0),IF($J$5&lt;&gt;"",--(J118="Maladie"),0),IF($L$5&lt;&gt;"",--(L118="Maladie"),0),IF($N$5&lt;&gt;"",--(N118="Maladie"),0),IF($P$5&lt;&gt;"",--(P118="Maladie"),0),IF($R$5&lt;&gt;"",--(R118="Maladie"),0),IF($T$5&lt;&gt;"",--(T118="Maladie"),0),IF($V$5&lt;&gt;"",--(V118="Maladie"),0),IF($X$5&lt;&gt;"",--(X118="Maladie"),0),IF($Z$5&lt;&gt;"",--(Z118="Maladie"),0),IF($AB$5&lt;&gt;"",--(AB118="Maladie"),0),IF($AD$5&lt;&gt;"",--(AD118="Maladie"),0),IF($AF$5&lt;&gt;"",--(AF118="Maladie"),0),IF($AH$5&lt;&gt;"",--(AH118="Maladie"),0),IF($AJ$5&lt;&gt;"",--(AJ118="Maladie"),0),IF($AL$5&lt;&gt;"",--(AL118="Maladie"),0),IF($AN$5&lt;&gt;"",--(AN118="Maladie"),0),IF($AP$5&lt;&gt;"",--(AP118="Maladie"),0),IF($AR$5&lt;&gt;"",--(AR118="Maladie"),0),IF($AT$5&lt;&gt;"",--(AT118="Maladie"),0),IF($AV$5&lt;&gt;"",--(AV118="Maladie"),0),IF($AX$5&lt;&gt;"",--(AX118="Maladie"),0),IF($AZ$5&lt;&gt;"",--(AZ118="Maladie"),0),IF($BB$5&lt;&gt;"",--(BB118="Maladie"),0),IF($BD$5&lt;&gt;"",--(BD118="Maladie"),0),IF($BF$5&lt;&gt;"",--(BF118="Maladie"),0),IF($BH$5&lt;&gt;"",--(BH118="Maladie"),0),IF($BJ$5&lt;&gt;"",--(BJ118="Maladie"),0),IF($BL$5&lt;&gt;"",--(BL118="Maladie"),0)))</f>
      </c>
      <c r="BR118" s="23">
        <f>IF($A118="","",SUM(IF($D$5&lt;&gt;"",IF(D118="Présent",E118,0),0),IF($F$5&lt;&gt;"",IF(F118="Présent",G118,0),0),IF($H$5&lt;&gt;"",IF(H118="Présent",I118,0),0),IF($J$5&lt;&gt;"",IF(J118="Présent",K118,0),0),IF($L$5&lt;&gt;"",IF(L118="Présent",M118,0),0),IF($N$5&lt;&gt;"",IF(N118="Présent",O118,0),0),IF($P$5&lt;&gt;"",IF(P118="Présent",Q118,0),0),IF($R$5&lt;&gt;"",IF(R118="Présent",S118,0),0),IF($T$5&lt;&gt;"",IF(T118="Présent",U118,0),0),IF($V$5&lt;&gt;"",IF(V118="Présent",W118,0),0),IF($X$5&lt;&gt;"",IF(X118="Présent",Y118,0),0),IF($Z$5&lt;&gt;"",IF(Z118="Présent",AA118,0),0),IF($AB$5&lt;&gt;"",IF(AB118="Présent",AC118,0),0),IF($AD$5&lt;&gt;"",IF(AD118="Présent",AE118,0),0),IF($AF$5&lt;&gt;"",IF(AF118="Présent",AG118,0),0),IF($AH$5&lt;&gt;"",IF(AH118="Présent",AI118,0),0),IF($AJ$5&lt;&gt;"",IF(AJ118="Présent",AK118,0),0),IF($AL$5&lt;&gt;"",IF(AL118="Présent",AM118,0),0),IF($AN$5&lt;&gt;"",IF(AN118="Présent",AO118,0),0),IF($AP$5&lt;&gt;"",IF(AP118="Présent",AQ118,0),0),IF($AR$5&lt;&gt;"",IF(AR118="Présent",AS118,0),0),IF($AT$5&lt;&gt;"",IF(AT118="Présent",AU118,0),0),IF($AV$5&lt;&gt;"",IF(AV118="Présent",AW118,0),0),IF($AX$5&lt;&gt;"",IF(AX118="Présent",AY118,0),0),IF($AZ$5&lt;&gt;"",IF(AZ118="Présent",BA118,0),0),IF($BB$5&lt;&gt;"",IF(BB118="Présent",BC118,0),0),IF($BD$5&lt;&gt;"",IF(BD118="Présent",BE118,0),0),IF($BF$5&lt;&gt;"",IF(BF118="Présent",BG118,0),0),IF($BH$5&lt;&gt;"",IF(BH118="Présent",BI118,0),0),IF($BJ$5&lt;&gt;"",IF(BJ118="Présent",BK118,0),0),IF($BL$5&lt;&gt;"",IF(BL118="Présent",BM118,0),0)))</f>
      </c>
      <c r="BS118" s="25">
        <f>IF($A118="","",$BN118*IFERROR(INDEX(Categories_Salaire,MATCH($C118,ListeCategories,0)),0)+$BR118*IF(IFERROR(INDEX(Categories_TauxHS,MATCH($C118,ListeCategories,0)),0)&gt;0,IFERROR(INDEX(Categories_TauxHS,MATCH($C118,ListeCategories,0)),0),TauxHSDefaut))</f>
      </c>
    </row>
    <row r="119">
      <c r="A119" s="20">
        <f>IF(AND(INDEX(Employes_Nom,113)&lt;&gt;"",INDEX(Employes_Statut,113)="Actif",OR(INDEX(Employes_Embauche,113)="",INDEX(Employes_Embauche,113)&lt;=EOMONTH(DATE(AnneeCourante,MoisCourant,1),0))),INDEX(Employes_ID,113),"")</f>
      </c>
      <c r="B119" s="19">
        <f>IF($A119="","",INDEX(Employes_Nom,MATCH($A119,Employes_ID,0)))</f>
      </c>
      <c r="C119" s="20">
        <f>IF($A119="","",INDEX(Employes_Categorie,MATCH($A119,Employes_ID,0)))</f>
      </c>
      <c r="D119" s="26"/>
      <c r="E119" s="27"/>
      <c r="F119" s="26"/>
      <c r="G119" s="27"/>
      <c r="H119" s="26"/>
      <c r="I119" s="27"/>
      <c r="J119" s="26"/>
      <c r="K119" s="27"/>
      <c r="L119" s="26"/>
      <c r="M119" s="27"/>
      <c r="N119" s="26"/>
      <c r="O119" s="27"/>
      <c r="P119" s="26"/>
      <c r="Q119" s="27"/>
      <c r="R119" s="26"/>
      <c r="S119" s="27"/>
      <c r="T119" s="26"/>
      <c r="U119" s="27"/>
      <c r="V119" s="26"/>
      <c r="W119" s="27"/>
      <c r="X119" s="26"/>
      <c r="Y119" s="27"/>
      <c r="Z119" s="26"/>
      <c r="AA119" s="27"/>
      <c r="AB119" s="26"/>
      <c r="AC119" s="27"/>
      <c r="AD119" s="26"/>
      <c r="AE119" s="27"/>
      <c r="AF119" s="26"/>
      <c r="AG119" s="27"/>
      <c r="AH119" s="26"/>
      <c r="AI119" s="27"/>
      <c r="AJ119" s="26"/>
      <c r="AK119" s="27"/>
      <c r="AL119" s="26"/>
      <c r="AM119" s="27"/>
      <c r="AN119" s="26"/>
      <c r="AO119" s="27"/>
      <c r="AP119" s="26"/>
      <c r="AQ119" s="27"/>
      <c r="AR119" s="26"/>
      <c r="AS119" s="27"/>
      <c r="AT119" s="26"/>
      <c r="AU119" s="27"/>
      <c r="AV119" s="26"/>
      <c r="AW119" s="27"/>
      <c r="AX119" s="26"/>
      <c r="AY119" s="27"/>
      <c r="AZ119" s="26"/>
      <c r="BA119" s="27"/>
      <c r="BB119" s="26"/>
      <c r="BC119" s="27"/>
      <c r="BD119" s="26"/>
      <c r="BE119" s="27"/>
      <c r="BF119" s="26"/>
      <c r="BG119" s="27"/>
      <c r="BH119" s="26"/>
      <c r="BI119" s="27"/>
      <c r="BJ119" s="26"/>
      <c r="BK119" s="27"/>
      <c r="BL119" s="26"/>
      <c r="BM119" s="27"/>
      <c r="BN119" s="22">
        <f>IF($A119="","",SUM(IF($D$5&lt;&gt;"",--(D119="Présent"),0),IF($F$5&lt;&gt;"",--(F119="Présent"),0),IF($H$5&lt;&gt;"",--(H119="Présent"),0),IF($J$5&lt;&gt;"",--(J119="Présent"),0),IF($L$5&lt;&gt;"",--(L119="Présent"),0),IF($N$5&lt;&gt;"",--(N119="Présent"),0),IF($P$5&lt;&gt;"",--(P119="Présent"),0),IF($R$5&lt;&gt;"",--(R119="Présent"),0),IF($T$5&lt;&gt;"",--(T119="Présent"),0),IF($V$5&lt;&gt;"",--(V119="Présent"),0),IF($X$5&lt;&gt;"",--(X119="Présent"),0),IF($Z$5&lt;&gt;"",--(Z119="Présent"),0),IF($AB$5&lt;&gt;"",--(AB119="Présent"),0),IF($AD$5&lt;&gt;"",--(AD119="Présent"),0),IF($AF$5&lt;&gt;"",--(AF119="Présent"),0),IF($AH$5&lt;&gt;"",--(AH119="Présent"),0),IF($AJ$5&lt;&gt;"",--(AJ119="Présent"),0),IF($AL$5&lt;&gt;"",--(AL119="Présent"),0),IF($AN$5&lt;&gt;"",--(AN119="Présent"),0),IF($AP$5&lt;&gt;"",--(AP119="Présent"),0),IF($AR$5&lt;&gt;"",--(AR119="Présent"),0),IF($AT$5&lt;&gt;"",--(AT119="Présent"),0),IF($AV$5&lt;&gt;"",--(AV119="Présent"),0),IF($AX$5&lt;&gt;"",--(AX119="Présent"),0),IF($AZ$5&lt;&gt;"",--(AZ119="Présent"),0),IF($BB$5&lt;&gt;"",--(BB119="Présent"),0),IF($BD$5&lt;&gt;"",--(BD119="Présent"),0),IF($BF$5&lt;&gt;"",--(BF119="Présent"),0),IF($BH$5&lt;&gt;"",--(BH119="Présent"),0),IF($BJ$5&lt;&gt;"",--(BJ119="Présent"),0),IF($BL$5&lt;&gt;"",--(BL119="Présent"),0)))</f>
      </c>
      <c r="BO119" s="22">
        <f>IF($A119="","",SUM(IF($D$5&lt;&gt;"",--(D119="Absent"),0),IF($F$5&lt;&gt;"",--(F119="Absent"),0),IF($H$5&lt;&gt;"",--(H119="Absent"),0),IF($J$5&lt;&gt;"",--(J119="Absent"),0),IF($L$5&lt;&gt;"",--(L119="Absent"),0),IF($N$5&lt;&gt;"",--(N119="Absent"),0),IF($P$5&lt;&gt;"",--(P119="Absent"),0),IF($R$5&lt;&gt;"",--(R119="Absent"),0),IF($T$5&lt;&gt;"",--(T119="Absent"),0),IF($V$5&lt;&gt;"",--(V119="Absent"),0),IF($X$5&lt;&gt;"",--(X119="Absent"),0),IF($Z$5&lt;&gt;"",--(Z119="Absent"),0),IF($AB$5&lt;&gt;"",--(AB119="Absent"),0),IF($AD$5&lt;&gt;"",--(AD119="Absent"),0),IF($AF$5&lt;&gt;"",--(AF119="Absent"),0),IF($AH$5&lt;&gt;"",--(AH119="Absent"),0),IF($AJ$5&lt;&gt;"",--(AJ119="Absent"),0),IF($AL$5&lt;&gt;"",--(AL119="Absent"),0),IF($AN$5&lt;&gt;"",--(AN119="Absent"),0),IF($AP$5&lt;&gt;"",--(AP119="Absent"),0),IF($AR$5&lt;&gt;"",--(AR119="Absent"),0),IF($AT$5&lt;&gt;"",--(AT119="Absent"),0),IF($AV$5&lt;&gt;"",--(AV119="Absent"),0),IF($AX$5&lt;&gt;"",--(AX119="Absent"),0),IF($AZ$5&lt;&gt;"",--(AZ119="Absent"),0),IF($BB$5&lt;&gt;"",--(BB119="Absent"),0),IF($BD$5&lt;&gt;"",--(BD119="Absent"),0),IF($BF$5&lt;&gt;"",--(BF119="Absent"),0),IF($BH$5&lt;&gt;"",--(BH119="Absent"),0),IF($BJ$5&lt;&gt;"",--(BJ119="Absent"),0),IF($BL$5&lt;&gt;"",--(BL119="Absent"),0)))</f>
      </c>
      <c r="BP119" s="22">
        <f>IF($A119="","",SUM(IF($D$5&lt;&gt;"",--(D119="Congé"),0),IF($F$5&lt;&gt;"",--(F119="Congé"),0),IF($H$5&lt;&gt;"",--(H119="Congé"),0),IF($J$5&lt;&gt;"",--(J119="Congé"),0),IF($L$5&lt;&gt;"",--(L119="Congé"),0),IF($N$5&lt;&gt;"",--(N119="Congé"),0),IF($P$5&lt;&gt;"",--(P119="Congé"),0),IF($R$5&lt;&gt;"",--(R119="Congé"),0),IF($T$5&lt;&gt;"",--(T119="Congé"),0),IF($V$5&lt;&gt;"",--(V119="Congé"),0),IF($X$5&lt;&gt;"",--(X119="Congé"),0),IF($Z$5&lt;&gt;"",--(Z119="Congé"),0),IF($AB$5&lt;&gt;"",--(AB119="Congé"),0),IF($AD$5&lt;&gt;"",--(AD119="Congé"),0),IF($AF$5&lt;&gt;"",--(AF119="Congé"),0),IF($AH$5&lt;&gt;"",--(AH119="Congé"),0),IF($AJ$5&lt;&gt;"",--(AJ119="Congé"),0),IF($AL$5&lt;&gt;"",--(AL119="Congé"),0),IF($AN$5&lt;&gt;"",--(AN119="Congé"),0),IF($AP$5&lt;&gt;"",--(AP119="Congé"),0),IF($AR$5&lt;&gt;"",--(AR119="Congé"),0),IF($AT$5&lt;&gt;"",--(AT119="Congé"),0),IF($AV$5&lt;&gt;"",--(AV119="Congé"),0),IF($AX$5&lt;&gt;"",--(AX119="Congé"),0),IF($AZ$5&lt;&gt;"",--(AZ119="Congé"),0),IF($BB$5&lt;&gt;"",--(BB119="Congé"),0),IF($BD$5&lt;&gt;"",--(BD119="Congé"),0),IF($BF$5&lt;&gt;"",--(BF119="Congé"),0),IF($BH$5&lt;&gt;"",--(BH119="Congé"),0),IF($BJ$5&lt;&gt;"",--(BJ119="Congé"),0),IF($BL$5&lt;&gt;"",--(BL119="Congé"),0)))</f>
      </c>
      <c r="BQ119" s="22">
        <f>IF($A119="","",SUM(IF($D$5&lt;&gt;"",--(D119="Maladie"),0),IF($F$5&lt;&gt;"",--(F119="Maladie"),0),IF($H$5&lt;&gt;"",--(H119="Maladie"),0),IF($J$5&lt;&gt;"",--(J119="Maladie"),0),IF($L$5&lt;&gt;"",--(L119="Maladie"),0),IF($N$5&lt;&gt;"",--(N119="Maladie"),0),IF($P$5&lt;&gt;"",--(P119="Maladie"),0),IF($R$5&lt;&gt;"",--(R119="Maladie"),0),IF($T$5&lt;&gt;"",--(T119="Maladie"),0),IF($V$5&lt;&gt;"",--(V119="Maladie"),0),IF($X$5&lt;&gt;"",--(X119="Maladie"),0),IF($Z$5&lt;&gt;"",--(Z119="Maladie"),0),IF($AB$5&lt;&gt;"",--(AB119="Maladie"),0),IF($AD$5&lt;&gt;"",--(AD119="Maladie"),0),IF($AF$5&lt;&gt;"",--(AF119="Maladie"),0),IF($AH$5&lt;&gt;"",--(AH119="Maladie"),0),IF($AJ$5&lt;&gt;"",--(AJ119="Maladie"),0),IF($AL$5&lt;&gt;"",--(AL119="Maladie"),0),IF($AN$5&lt;&gt;"",--(AN119="Maladie"),0),IF($AP$5&lt;&gt;"",--(AP119="Maladie"),0),IF($AR$5&lt;&gt;"",--(AR119="Maladie"),0),IF($AT$5&lt;&gt;"",--(AT119="Maladie"),0),IF($AV$5&lt;&gt;"",--(AV119="Maladie"),0),IF($AX$5&lt;&gt;"",--(AX119="Maladie"),0),IF($AZ$5&lt;&gt;"",--(AZ119="Maladie"),0),IF($BB$5&lt;&gt;"",--(BB119="Maladie"),0),IF($BD$5&lt;&gt;"",--(BD119="Maladie"),0),IF($BF$5&lt;&gt;"",--(BF119="Maladie"),0),IF($BH$5&lt;&gt;"",--(BH119="Maladie"),0),IF($BJ$5&lt;&gt;"",--(BJ119="Maladie"),0),IF($BL$5&lt;&gt;"",--(BL119="Maladie"),0)))</f>
      </c>
      <c r="BR119" s="23">
        <f>IF($A119="","",SUM(IF($D$5&lt;&gt;"",IF(D119="Présent",E119,0),0),IF($F$5&lt;&gt;"",IF(F119="Présent",G119,0),0),IF($H$5&lt;&gt;"",IF(H119="Présent",I119,0),0),IF($J$5&lt;&gt;"",IF(J119="Présent",K119,0),0),IF($L$5&lt;&gt;"",IF(L119="Présent",M119,0),0),IF($N$5&lt;&gt;"",IF(N119="Présent",O119,0),0),IF($P$5&lt;&gt;"",IF(P119="Présent",Q119,0),0),IF($R$5&lt;&gt;"",IF(R119="Présent",S119,0),0),IF($T$5&lt;&gt;"",IF(T119="Présent",U119,0),0),IF($V$5&lt;&gt;"",IF(V119="Présent",W119,0),0),IF($X$5&lt;&gt;"",IF(X119="Présent",Y119,0),0),IF($Z$5&lt;&gt;"",IF(Z119="Présent",AA119,0),0),IF($AB$5&lt;&gt;"",IF(AB119="Présent",AC119,0),0),IF($AD$5&lt;&gt;"",IF(AD119="Présent",AE119,0),0),IF($AF$5&lt;&gt;"",IF(AF119="Présent",AG119,0),0),IF($AH$5&lt;&gt;"",IF(AH119="Présent",AI119,0),0),IF($AJ$5&lt;&gt;"",IF(AJ119="Présent",AK119,0),0),IF($AL$5&lt;&gt;"",IF(AL119="Présent",AM119,0),0),IF($AN$5&lt;&gt;"",IF(AN119="Présent",AO119,0),0),IF($AP$5&lt;&gt;"",IF(AP119="Présent",AQ119,0),0),IF($AR$5&lt;&gt;"",IF(AR119="Présent",AS119,0),0),IF($AT$5&lt;&gt;"",IF(AT119="Présent",AU119,0),0),IF($AV$5&lt;&gt;"",IF(AV119="Présent",AW119,0),0),IF($AX$5&lt;&gt;"",IF(AX119="Présent",AY119,0),0),IF($AZ$5&lt;&gt;"",IF(AZ119="Présent",BA119,0),0),IF($BB$5&lt;&gt;"",IF(BB119="Présent",BC119,0),0),IF($BD$5&lt;&gt;"",IF(BD119="Présent",BE119,0),0),IF($BF$5&lt;&gt;"",IF(BF119="Présent",BG119,0),0),IF($BH$5&lt;&gt;"",IF(BH119="Présent",BI119,0),0),IF($BJ$5&lt;&gt;"",IF(BJ119="Présent",BK119,0),0),IF($BL$5&lt;&gt;"",IF(BL119="Présent",BM119,0),0)))</f>
      </c>
      <c r="BS119" s="25">
        <f>IF($A119="","",$BN119*IFERROR(INDEX(Categories_Salaire,MATCH($C119,ListeCategories,0)),0)+$BR119*IF(IFERROR(INDEX(Categories_TauxHS,MATCH($C119,ListeCategories,0)),0)&gt;0,IFERROR(INDEX(Categories_TauxHS,MATCH($C119,ListeCategories,0)),0),TauxHSDefaut))</f>
      </c>
    </row>
    <row r="120">
      <c r="A120" s="20">
        <f>IF(AND(INDEX(Employes_Nom,114)&lt;&gt;"",INDEX(Employes_Statut,114)="Actif",OR(INDEX(Employes_Embauche,114)="",INDEX(Employes_Embauche,114)&lt;=EOMONTH(DATE(AnneeCourante,MoisCourant,1),0))),INDEX(Employes_ID,114),"")</f>
      </c>
      <c r="B120" s="19">
        <f>IF($A120="","",INDEX(Employes_Nom,MATCH($A120,Employes_ID,0)))</f>
      </c>
      <c r="C120" s="20">
        <f>IF($A120="","",INDEX(Employes_Categorie,MATCH($A120,Employes_ID,0)))</f>
      </c>
      <c r="D120" s="26"/>
      <c r="E120" s="27"/>
      <c r="F120" s="26"/>
      <c r="G120" s="27"/>
      <c r="H120" s="26"/>
      <c r="I120" s="27"/>
      <c r="J120" s="26"/>
      <c r="K120" s="27"/>
      <c r="L120" s="26"/>
      <c r="M120" s="27"/>
      <c r="N120" s="26"/>
      <c r="O120" s="27"/>
      <c r="P120" s="26"/>
      <c r="Q120" s="27"/>
      <c r="R120" s="26"/>
      <c r="S120" s="27"/>
      <c r="T120" s="26"/>
      <c r="U120" s="27"/>
      <c r="V120" s="26"/>
      <c r="W120" s="27"/>
      <c r="X120" s="26"/>
      <c r="Y120" s="27"/>
      <c r="Z120" s="26"/>
      <c r="AA120" s="27"/>
      <c r="AB120" s="26"/>
      <c r="AC120" s="27"/>
      <c r="AD120" s="26"/>
      <c r="AE120" s="27"/>
      <c r="AF120" s="26"/>
      <c r="AG120" s="27"/>
      <c r="AH120" s="26"/>
      <c r="AI120" s="27"/>
      <c r="AJ120" s="26"/>
      <c r="AK120" s="27"/>
      <c r="AL120" s="26"/>
      <c r="AM120" s="27"/>
      <c r="AN120" s="26"/>
      <c r="AO120" s="27"/>
      <c r="AP120" s="26"/>
      <c r="AQ120" s="27"/>
      <c r="AR120" s="26"/>
      <c r="AS120" s="27"/>
      <c r="AT120" s="26"/>
      <c r="AU120" s="27"/>
      <c r="AV120" s="26"/>
      <c r="AW120" s="27"/>
      <c r="AX120" s="26"/>
      <c r="AY120" s="27"/>
      <c r="AZ120" s="26"/>
      <c r="BA120" s="27"/>
      <c r="BB120" s="26"/>
      <c r="BC120" s="27"/>
      <c r="BD120" s="26"/>
      <c r="BE120" s="27"/>
      <c r="BF120" s="26"/>
      <c r="BG120" s="27"/>
      <c r="BH120" s="26"/>
      <c r="BI120" s="27"/>
      <c r="BJ120" s="26"/>
      <c r="BK120" s="27"/>
      <c r="BL120" s="26"/>
      <c r="BM120" s="27"/>
      <c r="BN120" s="22">
        <f>IF($A120="","",SUM(IF($D$5&lt;&gt;"",--(D120="Présent"),0),IF($F$5&lt;&gt;"",--(F120="Présent"),0),IF($H$5&lt;&gt;"",--(H120="Présent"),0),IF($J$5&lt;&gt;"",--(J120="Présent"),0),IF($L$5&lt;&gt;"",--(L120="Présent"),0),IF($N$5&lt;&gt;"",--(N120="Présent"),0),IF($P$5&lt;&gt;"",--(P120="Présent"),0),IF($R$5&lt;&gt;"",--(R120="Présent"),0),IF($T$5&lt;&gt;"",--(T120="Présent"),0),IF($V$5&lt;&gt;"",--(V120="Présent"),0),IF($X$5&lt;&gt;"",--(X120="Présent"),0),IF($Z$5&lt;&gt;"",--(Z120="Présent"),0),IF($AB$5&lt;&gt;"",--(AB120="Présent"),0),IF($AD$5&lt;&gt;"",--(AD120="Présent"),0),IF($AF$5&lt;&gt;"",--(AF120="Présent"),0),IF($AH$5&lt;&gt;"",--(AH120="Présent"),0),IF($AJ$5&lt;&gt;"",--(AJ120="Présent"),0),IF($AL$5&lt;&gt;"",--(AL120="Présent"),0),IF($AN$5&lt;&gt;"",--(AN120="Présent"),0),IF($AP$5&lt;&gt;"",--(AP120="Présent"),0),IF($AR$5&lt;&gt;"",--(AR120="Présent"),0),IF($AT$5&lt;&gt;"",--(AT120="Présent"),0),IF($AV$5&lt;&gt;"",--(AV120="Présent"),0),IF($AX$5&lt;&gt;"",--(AX120="Présent"),0),IF($AZ$5&lt;&gt;"",--(AZ120="Présent"),0),IF($BB$5&lt;&gt;"",--(BB120="Présent"),0),IF($BD$5&lt;&gt;"",--(BD120="Présent"),0),IF($BF$5&lt;&gt;"",--(BF120="Présent"),0),IF($BH$5&lt;&gt;"",--(BH120="Présent"),0),IF($BJ$5&lt;&gt;"",--(BJ120="Présent"),0),IF($BL$5&lt;&gt;"",--(BL120="Présent"),0)))</f>
      </c>
      <c r="BO120" s="22">
        <f>IF($A120="","",SUM(IF($D$5&lt;&gt;"",--(D120="Absent"),0),IF($F$5&lt;&gt;"",--(F120="Absent"),0),IF($H$5&lt;&gt;"",--(H120="Absent"),0),IF($J$5&lt;&gt;"",--(J120="Absent"),0),IF($L$5&lt;&gt;"",--(L120="Absent"),0),IF($N$5&lt;&gt;"",--(N120="Absent"),0),IF($P$5&lt;&gt;"",--(P120="Absent"),0),IF($R$5&lt;&gt;"",--(R120="Absent"),0),IF($T$5&lt;&gt;"",--(T120="Absent"),0),IF($V$5&lt;&gt;"",--(V120="Absent"),0),IF($X$5&lt;&gt;"",--(X120="Absent"),0),IF($Z$5&lt;&gt;"",--(Z120="Absent"),0),IF($AB$5&lt;&gt;"",--(AB120="Absent"),0),IF($AD$5&lt;&gt;"",--(AD120="Absent"),0),IF($AF$5&lt;&gt;"",--(AF120="Absent"),0),IF($AH$5&lt;&gt;"",--(AH120="Absent"),0),IF($AJ$5&lt;&gt;"",--(AJ120="Absent"),0),IF($AL$5&lt;&gt;"",--(AL120="Absent"),0),IF($AN$5&lt;&gt;"",--(AN120="Absent"),0),IF($AP$5&lt;&gt;"",--(AP120="Absent"),0),IF($AR$5&lt;&gt;"",--(AR120="Absent"),0),IF($AT$5&lt;&gt;"",--(AT120="Absent"),0),IF($AV$5&lt;&gt;"",--(AV120="Absent"),0),IF($AX$5&lt;&gt;"",--(AX120="Absent"),0),IF($AZ$5&lt;&gt;"",--(AZ120="Absent"),0),IF($BB$5&lt;&gt;"",--(BB120="Absent"),0),IF($BD$5&lt;&gt;"",--(BD120="Absent"),0),IF($BF$5&lt;&gt;"",--(BF120="Absent"),0),IF($BH$5&lt;&gt;"",--(BH120="Absent"),0),IF($BJ$5&lt;&gt;"",--(BJ120="Absent"),0),IF($BL$5&lt;&gt;"",--(BL120="Absent"),0)))</f>
      </c>
      <c r="BP120" s="22">
        <f>IF($A120="","",SUM(IF($D$5&lt;&gt;"",--(D120="Congé"),0),IF($F$5&lt;&gt;"",--(F120="Congé"),0),IF($H$5&lt;&gt;"",--(H120="Congé"),0),IF($J$5&lt;&gt;"",--(J120="Congé"),0),IF($L$5&lt;&gt;"",--(L120="Congé"),0),IF($N$5&lt;&gt;"",--(N120="Congé"),0),IF($P$5&lt;&gt;"",--(P120="Congé"),0),IF($R$5&lt;&gt;"",--(R120="Congé"),0),IF($T$5&lt;&gt;"",--(T120="Congé"),0),IF($V$5&lt;&gt;"",--(V120="Congé"),0),IF($X$5&lt;&gt;"",--(X120="Congé"),0),IF($Z$5&lt;&gt;"",--(Z120="Congé"),0),IF($AB$5&lt;&gt;"",--(AB120="Congé"),0),IF($AD$5&lt;&gt;"",--(AD120="Congé"),0),IF($AF$5&lt;&gt;"",--(AF120="Congé"),0),IF($AH$5&lt;&gt;"",--(AH120="Congé"),0),IF($AJ$5&lt;&gt;"",--(AJ120="Congé"),0),IF($AL$5&lt;&gt;"",--(AL120="Congé"),0),IF($AN$5&lt;&gt;"",--(AN120="Congé"),0),IF($AP$5&lt;&gt;"",--(AP120="Congé"),0),IF($AR$5&lt;&gt;"",--(AR120="Congé"),0),IF($AT$5&lt;&gt;"",--(AT120="Congé"),0),IF($AV$5&lt;&gt;"",--(AV120="Congé"),0),IF($AX$5&lt;&gt;"",--(AX120="Congé"),0),IF($AZ$5&lt;&gt;"",--(AZ120="Congé"),0),IF($BB$5&lt;&gt;"",--(BB120="Congé"),0),IF($BD$5&lt;&gt;"",--(BD120="Congé"),0),IF($BF$5&lt;&gt;"",--(BF120="Congé"),0),IF($BH$5&lt;&gt;"",--(BH120="Congé"),0),IF($BJ$5&lt;&gt;"",--(BJ120="Congé"),0),IF($BL$5&lt;&gt;"",--(BL120="Congé"),0)))</f>
      </c>
      <c r="BQ120" s="22">
        <f>IF($A120="","",SUM(IF($D$5&lt;&gt;"",--(D120="Maladie"),0),IF($F$5&lt;&gt;"",--(F120="Maladie"),0),IF($H$5&lt;&gt;"",--(H120="Maladie"),0),IF($J$5&lt;&gt;"",--(J120="Maladie"),0),IF($L$5&lt;&gt;"",--(L120="Maladie"),0),IF($N$5&lt;&gt;"",--(N120="Maladie"),0),IF($P$5&lt;&gt;"",--(P120="Maladie"),0),IF($R$5&lt;&gt;"",--(R120="Maladie"),0),IF($T$5&lt;&gt;"",--(T120="Maladie"),0),IF($V$5&lt;&gt;"",--(V120="Maladie"),0),IF($X$5&lt;&gt;"",--(X120="Maladie"),0),IF($Z$5&lt;&gt;"",--(Z120="Maladie"),0),IF($AB$5&lt;&gt;"",--(AB120="Maladie"),0),IF($AD$5&lt;&gt;"",--(AD120="Maladie"),0),IF($AF$5&lt;&gt;"",--(AF120="Maladie"),0),IF($AH$5&lt;&gt;"",--(AH120="Maladie"),0),IF($AJ$5&lt;&gt;"",--(AJ120="Maladie"),0),IF($AL$5&lt;&gt;"",--(AL120="Maladie"),0),IF($AN$5&lt;&gt;"",--(AN120="Maladie"),0),IF($AP$5&lt;&gt;"",--(AP120="Maladie"),0),IF($AR$5&lt;&gt;"",--(AR120="Maladie"),0),IF($AT$5&lt;&gt;"",--(AT120="Maladie"),0),IF($AV$5&lt;&gt;"",--(AV120="Maladie"),0),IF($AX$5&lt;&gt;"",--(AX120="Maladie"),0),IF($AZ$5&lt;&gt;"",--(AZ120="Maladie"),0),IF($BB$5&lt;&gt;"",--(BB120="Maladie"),0),IF($BD$5&lt;&gt;"",--(BD120="Maladie"),0),IF($BF$5&lt;&gt;"",--(BF120="Maladie"),0),IF($BH$5&lt;&gt;"",--(BH120="Maladie"),0),IF($BJ$5&lt;&gt;"",--(BJ120="Maladie"),0),IF($BL$5&lt;&gt;"",--(BL120="Maladie"),0)))</f>
      </c>
      <c r="BR120" s="23">
        <f>IF($A120="","",SUM(IF($D$5&lt;&gt;"",IF(D120="Présent",E120,0),0),IF($F$5&lt;&gt;"",IF(F120="Présent",G120,0),0),IF($H$5&lt;&gt;"",IF(H120="Présent",I120,0),0),IF($J$5&lt;&gt;"",IF(J120="Présent",K120,0),0),IF($L$5&lt;&gt;"",IF(L120="Présent",M120,0),0),IF($N$5&lt;&gt;"",IF(N120="Présent",O120,0),0),IF($P$5&lt;&gt;"",IF(P120="Présent",Q120,0),0),IF($R$5&lt;&gt;"",IF(R120="Présent",S120,0),0),IF($T$5&lt;&gt;"",IF(T120="Présent",U120,0),0),IF($V$5&lt;&gt;"",IF(V120="Présent",W120,0),0),IF($X$5&lt;&gt;"",IF(X120="Présent",Y120,0),0),IF($Z$5&lt;&gt;"",IF(Z120="Présent",AA120,0),0),IF($AB$5&lt;&gt;"",IF(AB120="Présent",AC120,0),0),IF($AD$5&lt;&gt;"",IF(AD120="Présent",AE120,0),0),IF($AF$5&lt;&gt;"",IF(AF120="Présent",AG120,0),0),IF($AH$5&lt;&gt;"",IF(AH120="Présent",AI120,0),0),IF($AJ$5&lt;&gt;"",IF(AJ120="Présent",AK120,0),0),IF($AL$5&lt;&gt;"",IF(AL120="Présent",AM120,0),0),IF($AN$5&lt;&gt;"",IF(AN120="Présent",AO120,0),0),IF($AP$5&lt;&gt;"",IF(AP120="Présent",AQ120,0),0),IF($AR$5&lt;&gt;"",IF(AR120="Présent",AS120,0),0),IF($AT$5&lt;&gt;"",IF(AT120="Présent",AU120,0),0),IF($AV$5&lt;&gt;"",IF(AV120="Présent",AW120,0),0),IF($AX$5&lt;&gt;"",IF(AX120="Présent",AY120,0),0),IF($AZ$5&lt;&gt;"",IF(AZ120="Présent",BA120,0),0),IF($BB$5&lt;&gt;"",IF(BB120="Présent",BC120,0),0),IF($BD$5&lt;&gt;"",IF(BD120="Présent",BE120,0),0),IF($BF$5&lt;&gt;"",IF(BF120="Présent",BG120,0),0),IF($BH$5&lt;&gt;"",IF(BH120="Présent",BI120,0),0),IF($BJ$5&lt;&gt;"",IF(BJ120="Présent",BK120,0),0),IF($BL$5&lt;&gt;"",IF(BL120="Présent",BM120,0),0)))</f>
      </c>
      <c r="BS120" s="25">
        <f>IF($A120="","",$BN120*IFERROR(INDEX(Categories_Salaire,MATCH($C120,ListeCategories,0)),0)+$BR120*IF(IFERROR(INDEX(Categories_TauxHS,MATCH($C120,ListeCategories,0)),0)&gt;0,IFERROR(INDEX(Categories_TauxHS,MATCH($C120,ListeCategories,0)),0),TauxHSDefaut))</f>
      </c>
    </row>
    <row r="121">
      <c r="A121" s="20">
        <f>IF(AND(INDEX(Employes_Nom,115)&lt;&gt;"",INDEX(Employes_Statut,115)="Actif",OR(INDEX(Employes_Embauche,115)="",INDEX(Employes_Embauche,115)&lt;=EOMONTH(DATE(AnneeCourante,MoisCourant,1),0))),INDEX(Employes_ID,115),"")</f>
      </c>
      <c r="B121" s="19">
        <f>IF($A121="","",INDEX(Employes_Nom,MATCH($A121,Employes_ID,0)))</f>
      </c>
      <c r="C121" s="20">
        <f>IF($A121="","",INDEX(Employes_Categorie,MATCH($A121,Employes_ID,0)))</f>
      </c>
      <c r="D121" s="26"/>
      <c r="E121" s="27"/>
      <c r="F121" s="26"/>
      <c r="G121" s="27"/>
      <c r="H121" s="26"/>
      <c r="I121" s="27"/>
      <c r="J121" s="26"/>
      <c r="K121" s="27"/>
      <c r="L121" s="26"/>
      <c r="M121" s="27"/>
      <c r="N121" s="26"/>
      <c r="O121" s="27"/>
      <c r="P121" s="26"/>
      <c r="Q121" s="27"/>
      <c r="R121" s="26"/>
      <c r="S121" s="27"/>
      <c r="T121" s="26"/>
      <c r="U121" s="27"/>
      <c r="V121" s="26"/>
      <c r="W121" s="27"/>
      <c r="X121" s="26"/>
      <c r="Y121" s="27"/>
      <c r="Z121" s="26"/>
      <c r="AA121" s="27"/>
      <c r="AB121" s="26"/>
      <c r="AC121" s="27"/>
      <c r="AD121" s="26"/>
      <c r="AE121" s="27"/>
      <c r="AF121" s="26"/>
      <c r="AG121" s="27"/>
      <c r="AH121" s="26"/>
      <c r="AI121" s="27"/>
      <c r="AJ121" s="26"/>
      <c r="AK121" s="27"/>
      <c r="AL121" s="26"/>
      <c r="AM121" s="27"/>
      <c r="AN121" s="26"/>
      <c r="AO121" s="27"/>
      <c r="AP121" s="26"/>
      <c r="AQ121" s="27"/>
      <c r="AR121" s="26"/>
      <c r="AS121" s="27"/>
      <c r="AT121" s="26"/>
      <c r="AU121" s="27"/>
      <c r="AV121" s="26"/>
      <c r="AW121" s="27"/>
      <c r="AX121" s="26"/>
      <c r="AY121" s="27"/>
      <c r="AZ121" s="26"/>
      <c r="BA121" s="27"/>
      <c r="BB121" s="26"/>
      <c r="BC121" s="27"/>
      <c r="BD121" s="26"/>
      <c r="BE121" s="27"/>
      <c r="BF121" s="26"/>
      <c r="BG121" s="27"/>
      <c r="BH121" s="26"/>
      <c r="BI121" s="27"/>
      <c r="BJ121" s="26"/>
      <c r="BK121" s="27"/>
      <c r="BL121" s="26"/>
      <c r="BM121" s="27"/>
      <c r="BN121" s="22">
        <f>IF($A121="","",SUM(IF($D$5&lt;&gt;"",--(D121="Présent"),0),IF($F$5&lt;&gt;"",--(F121="Présent"),0),IF($H$5&lt;&gt;"",--(H121="Présent"),0),IF($J$5&lt;&gt;"",--(J121="Présent"),0),IF($L$5&lt;&gt;"",--(L121="Présent"),0),IF($N$5&lt;&gt;"",--(N121="Présent"),0),IF($P$5&lt;&gt;"",--(P121="Présent"),0),IF($R$5&lt;&gt;"",--(R121="Présent"),0),IF($T$5&lt;&gt;"",--(T121="Présent"),0),IF($V$5&lt;&gt;"",--(V121="Présent"),0),IF($X$5&lt;&gt;"",--(X121="Présent"),0),IF($Z$5&lt;&gt;"",--(Z121="Présent"),0),IF($AB$5&lt;&gt;"",--(AB121="Présent"),0),IF($AD$5&lt;&gt;"",--(AD121="Présent"),0),IF($AF$5&lt;&gt;"",--(AF121="Présent"),0),IF($AH$5&lt;&gt;"",--(AH121="Présent"),0),IF($AJ$5&lt;&gt;"",--(AJ121="Présent"),0),IF($AL$5&lt;&gt;"",--(AL121="Présent"),0),IF($AN$5&lt;&gt;"",--(AN121="Présent"),0),IF($AP$5&lt;&gt;"",--(AP121="Présent"),0),IF($AR$5&lt;&gt;"",--(AR121="Présent"),0),IF($AT$5&lt;&gt;"",--(AT121="Présent"),0),IF($AV$5&lt;&gt;"",--(AV121="Présent"),0),IF($AX$5&lt;&gt;"",--(AX121="Présent"),0),IF($AZ$5&lt;&gt;"",--(AZ121="Présent"),0),IF($BB$5&lt;&gt;"",--(BB121="Présent"),0),IF($BD$5&lt;&gt;"",--(BD121="Présent"),0),IF($BF$5&lt;&gt;"",--(BF121="Présent"),0),IF($BH$5&lt;&gt;"",--(BH121="Présent"),0),IF($BJ$5&lt;&gt;"",--(BJ121="Présent"),0),IF($BL$5&lt;&gt;"",--(BL121="Présent"),0)))</f>
      </c>
      <c r="BO121" s="22">
        <f>IF($A121="","",SUM(IF($D$5&lt;&gt;"",--(D121="Absent"),0),IF($F$5&lt;&gt;"",--(F121="Absent"),0),IF($H$5&lt;&gt;"",--(H121="Absent"),0),IF($J$5&lt;&gt;"",--(J121="Absent"),0),IF($L$5&lt;&gt;"",--(L121="Absent"),0),IF($N$5&lt;&gt;"",--(N121="Absent"),0),IF($P$5&lt;&gt;"",--(P121="Absent"),0),IF($R$5&lt;&gt;"",--(R121="Absent"),0),IF($T$5&lt;&gt;"",--(T121="Absent"),0),IF($V$5&lt;&gt;"",--(V121="Absent"),0),IF($X$5&lt;&gt;"",--(X121="Absent"),0),IF($Z$5&lt;&gt;"",--(Z121="Absent"),0),IF($AB$5&lt;&gt;"",--(AB121="Absent"),0),IF($AD$5&lt;&gt;"",--(AD121="Absent"),0),IF($AF$5&lt;&gt;"",--(AF121="Absent"),0),IF($AH$5&lt;&gt;"",--(AH121="Absent"),0),IF($AJ$5&lt;&gt;"",--(AJ121="Absent"),0),IF($AL$5&lt;&gt;"",--(AL121="Absent"),0),IF($AN$5&lt;&gt;"",--(AN121="Absent"),0),IF($AP$5&lt;&gt;"",--(AP121="Absent"),0),IF($AR$5&lt;&gt;"",--(AR121="Absent"),0),IF($AT$5&lt;&gt;"",--(AT121="Absent"),0),IF($AV$5&lt;&gt;"",--(AV121="Absent"),0),IF($AX$5&lt;&gt;"",--(AX121="Absent"),0),IF($AZ$5&lt;&gt;"",--(AZ121="Absent"),0),IF($BB$5&lt;&gt;"",--(BB121="Absent"),0),IF($BD$5&lt;&gt;"",--(BD121="Absent"),0),IF($BF$5&lt;&gt;"",--(BF121="Absent"),0),IF($BH$5&lt;&gt;"",--(BH121="Absent"),0),IF($BJ$5&lt;&gt;"",--(BJ121="Absent"),0),IF($BL$5&lt;&gt;"",--(BL121="Absent"),0)))</f>
      </c>
      <c r="BP121" s="22">
        <f>IF($A121="","",SUM(IF($D$5&lt;&gt;"",--(D121="Congé"),0),IF($F$5&lt;&gt;"",--(F121="Congé"),0),IF($H$5&lt;&gt;"",--(H121="Congé"),0),IF($J$5&lt;&gt;"",--(J121="Congé"),0),IF($L$5&lt;&gt;"",--(L121="Congé"),0),IF($N$5&lt;&gt;"",--(N121="Congé"),0),IF($P$5&lt;&gt;"",--(P121="Congé"),0),IF($R$5&lt;&gt;"",--(R121="Congé"),0),IF($T$5&lt;&gt;"",--(T121="Congé"),0),IF($V$5&lt;&gt;"",--(V121="Congé"),0),IF($X$5&lt;&gt;"",--(X121="Congé"),0),IF($Z$5&lt;&gt;"",--(Z121="Congé"),0),IF($AB$5&lt;&gt;"",--(AB121="Congé"),0),IF($AD$5&lt;&gt;"",--(AD121="Congé"),0),IF($AF$5&lt;&gt;"",--(AF121="Congé"),0),IF($AH$5&lt;&gt;"",--(AH121="Congé"),0),IF($AJ$5&lt;&gt;"",--(AJ121="Congé"),0),IF($AL$5&lt;&gt;"",--(AL121="Congé"),0),IF($AN$5&lt;&gt;"",--(AN121="Congé"),0),IF($AP$5&lt;&gt;"",--(AP121="Congé"),0),IF($AR$5&lt;&gt;"",--(AR121="Congé"),0),IF($AT$5&lt;&gt;"",--(AT121="Congé"),0),IF($AV$5&lt;&gt;"",--(AV121="Congé"),0),IF($AX$5&lt;&gt;"",--(AX121="Congé"),0),IF($AZ$5&lt;&gt;"",--(AZ121="Congé"),0),IF($BB$5&lt;&gt;"",--(BB121="Congé"),0),IF($BD$5&lt;&gt;"",--(BD121="Congé"),0),IF($BF$5&lt;&gt;"",--(BF121="Congé"),0),IF($BH$5&lt;&gt;"",--(BH121="Congé"),0),IF($BJ$5&lt;&gt;"",--(BJ121="Congé"),0),IF($BL$5&lt;&gt;"",--(BL121="Congé"),0)))</f>
      </c>
      <c r="BQ121" s="22">
        <f>IF($A121="","",SUM(IF($D$5&lt;&gt;"",--(D121="Maladie"),0),IF($F$5&lt;&gt;"",--(F121="Maladie"),0),IF($H$5&lt;&gt;"",--(H121="Maladie"),0),IF($J$5&lt;&gt;"",--(J121="Maladie"),0),IF($L$5&lt;&gt;"",--(L121="Maladie"),0),IF($N$5&lt;&gt;"",--(N121="Maladie"),0),IF($P$5&lt;&gt;"",--(P121="Maladie"),0),IF($R$5&lt;&gt;"",--(R121="Maladie"),0),IF($T$5&lt;&gt;"",--(T121="Maladie"),0),IF($V$5&lt;&gt;"",--(V121="Maladie"),0),IF($X$5&lt;&gt;"",--(X121="Maladie"),0),IF($Z$5&lt;&gt;"",--(Z121="Maladie"),0),IF($AB$5&lt;&gt;"",--(AB121="Maladie"),0),IF($AD$5&lt;&gt;"",--(AD121="Maladie"),0),IF($AF$5&lt;&gt;"",--(AF121="Maladie"),0),IF($AH$5&lt;&gt;"",--(AH121="Maladie"),0),IF($AJ$5&lt;&gt;"",--(AJ121="Maladie"),0),IF($AL$5&lt;&gt;"",--(AL121="Maladie"),0),IF($AN$5&lt;&gt;"",--(AN121="Maladie"),0),IF($AP$5&lt;&gt;"",--(AP121="Maladie"),0),IF($AR$5&lt;&gt;"",--(AR121="Maladie"),0),IF($AT$5&lt;&gt;"",--(AT121="Maladie"),0),IF($AV$5&lt;&gt;"",--(AV121="Maladie"),0),IF($AX$5&lt;&gt;"",--(AX121="Maladie"),0),IF($AZ$5&lt;&gt;"",--(AZ121="Maladie"),0),IF($BB$5&lt;&gt;"",--(BB121="Maladie"),0),IF($BD$5&lt;&gt;"",--(BD121="Maladie"),0),IF($BF$5&lt;&gt;"",--(BF121="Maladie"),0),IF($BH$5&lt;&gt;"",--(BH121="Maladie"),0),IF($BJ$5&lt;&gt;"",--(BJ121="Maladie"),0),IF($BL$5&lt;&gt;"",--(BL121="Maladie"),0)))</f>
      </c>
      <c r="BR121" s="23">
        <f>IF($A121="","",SUM(IF($D$5&lt;&gt;"",IF(D121="Présent",E121,0),0),IF($F$5&lt;&gt;"",IF(F121="Présent",G121,0),0),IF($H$5&lt;&gt;"",IF(H121="Présent",I121,0),0),IF($J$5&lt;&gt;"",IF(J121="Présent",K121,0),0),IF($L$5&lt;&gt;"",IF(L121="Présent",M121,0),0),IF($N$5&lt;&gt;"",IF(N121="Présent",O121,0),0),IF($P$5&lt;&gt;"",IF(P121="Présent",Q121,0),0),IF($R$5&lt;&gt;"",IF(R121="Présent",S121,0),0),IF($T$5&lt;&gt;"",IF(T121="Présent",U121,0),0),IF($V$5&lt;&gt;"",IF(V121="Présent",W121,0),0),IF($X$5&lt;&gt;"",IF(X121="Présent",Y121,0),0),IF($Z$5&lt;&gt;"",IF(Z121="Présent",AA121,0),0),IF($AB$5&lt;&gt;"",IF(AB121="Présent",AC121,0),0),IF($AD$5&lt;&gt;"",IF(AD121="Présent",AE121,0),0),IF($AF$5&lt;&gt;"",IF(AF121="Présent",AG121,0),0),IF($AH$5&lt;&gt;"",IF(AH121="Présent",AI121,0),0),IF($AJ$5&lt;&gt;"",IF(AJ121="Présent",AK121,0),0),IF($AL$5&lt;&gt;"",IF(AL121="Présent",AM121,0),0),IF($AN$5&lt;&gt;"",IF(AN121="Présent",AO121,0),0),IF($AP$5&lt;&gt;"",IF(AP121="Présent",AQ121,0),0),IF($AR$5&lt;&gt;"",IF(AR121="Présent",AS121,0),0),IF($AT$5&lt;&gt;"",IF(AT121="Présent",AU121,0),0),IF($AV$5&lt;&gt;"",IF(AV121="Présent",AW121,0),0),IF($AX$5&lt;&gt;"",IF(AX121="Présent",AY121,0),0),IF($AZ$5&lt;&gt;"",IF(AZ121="Présent",BA121,0),0),IF($BB$5&lt;&gt;"",IF(BB121="Présent",BC121,0),0),IF($BD$5&lt;&gt;"",IF(BD121="Présent",BE121,0),0),IF($BF$5&lt;&gt;"",IF(BF121="Présent",BG121,0),0),IF($BH$5&lt;&gt;"",IF(BH121="Présent",BI121,0),0),IF($BJ$5&lt;&gt;"",IF(BJ121="Présent",BK121,0),0),IF($BL$5&lt;&gt;"",IF(BL121="Présent",BM121,0),0)))</f>
      </c>
      <c r="BS121" s="25">
        <f>IF($A121="","",$BN121*IFERROR(INDEX(Categories_Salaire,MATCH($C121,ListeCategories,0)),0)+$BR121*IF(IFERROR(INDEX(Categories_TauxHS,MATCH($C121,ListeCategories,0)),0)&gt;0,IFERROR(INDEX(Categories_TauxHS,MATCH($C121,ListeCategories,0)),0),TauxHSDefaut))</f>
      </c>
    </row>
    <row r="122">
      <c r="A122" s="20">
        <f>IF(AND(INDEX(Employes_Nom,116)&lt;&gt;"",INDEX(Employes_Statut,116)="Actif",OR(INDEX(Employes_Embauche,116)="",INDEX(Employes_Embauche,116)&lt;=EOMONTH(DATE(AnneeCourante,MoisCourant,1),0))),INDEX(Employes_ID,116),"")</f>
      </c>
      <c r="B122" s="19">
        <f>IF($A122="","",INDEX(Employes_Nom,MATCH($A122,Employes_ID,0)))</f>
      </c>
      <c r="C122" s="20">
        <f>IF($A122="","",INDEX(Employes_Categorie,MATCH($A122,Employes_ID,0)))</f>
      </c>
      <c r="D122" s="26"/>
      <c r="E122" s="27"/>
      <c r="F122" s="26"/>
      <c r="G122" s="27"/>
      <c r="H122" s="26"/>
      <c r="I122" s="27"/>
      <c r="J122" s="26"/>
      <c r="K122" s="27"/>
      <c r="L122" s="26"/>
      <c r="M122" s="27"/>
      <c r="N122" s="26"/>
      <c r="O122" s="27"/>
      <c r="P122" s="26"/>
      <c r="Q122" s="27"/>
      <c r="R122" s="26"/>
      <c r="S122" s="27"/>
      <c r="T122" s="26"/>
      <c r="U122" s="27"/>
      <c r="V122" s="26"/>
      <c r="W122" s="27"/>
      <c r="X122" s="26"/>
      <c r="Y122" s="27"/>
      <c r="Z122" s="26"/>
      <c r="AA122" s="27"/>
      <c r="AB122" s="26"/>
      <c r="AC122" s="27"/>
      <c r="AD122" s="26"/>
      <c r="AE122" s="27"/>
      <c r="AF122" s="26"/>
      <c r="AG122" s="27"/>
      <c r="AH122" s="26"/>
      <c r="AI122" s="27"/>
      <c r="AJ122" s="26"/>
      <c r="AK122" s="27"/>
      <c r="AL122" s="26"/>
      <c r="AM122" s="27"/>
      <c r="AN122" s="26"/>
      <c r="AO122" s="27"/>
      <c r="AP122" s="26"/>
      <c r="AQ122" s="27"/>
      <c r="AR122" s="26"/>
      <c r="AS122" s="27"/>
      <c r="AT122" s="26"/>
      <c r="AU122" s="27"/>
      <c r="AV122" s="26"/>
      <c r="AW122" s="27"/>
      <c r="AX122" s="26"/>
      <c r="AY122" s="27"/>
      <c r="AZ122" s="26"/>
      <c r="BA122" s="27"/>
      <c r="BB122" s="26"/>
      <c r="BC122" s="27"/>
      <c r="BD122" s="26"/>
      <c r="BE122" s="27"/>
      <c r="BF122" s="26"/>
      <c r="BG122" s="27"/>
      <c r="BH122" s="26"/>
      <c r="BI122" s="27"/>
      <c r="BJ122" s="26"/>
      <c r="BK122" s="27"/>
      <c r="BL122" s="26"/>
      <c r="BM122" s="27"/>
      <c r="BN122" s="22">
        <f>IF($A122="","",SUM(IF($D$5&lt;&gt;"",--(D122="Présent"),0),IF($F$5&lt;&gt;"",--(F122="Présent"),0),IF($H$5&lt;&gt;"",--(H122="Présent"),0),IF($J$5&lt;&gt;"",--(J122="Présent"),0),IF($L$5&lt;&gt;"",--(L122="Présent"),0),IF($N$5&lt;&gt;"",--(N122="Présent"),0),IF($P$5&lt;&gt;"",--(P122="Présent"),0),IF($R$5&lt;&gt;"",--(R122="Présent"),0),IF($T$5&lt;&gt;"",--(T122="Présent"),0),IF($V$5&lt;&gt;"",--(V122="Présent"),0),IF($X$5&lt;&gt;"",--(X122="Présent"),0),IF($Z$5&lt;&gt;"",--(Z122="Présent"),0),IF($AB$5&lt;&gt;"",--(AB122="Présent"),0),IF($AD$5&lt;&gt;"",--(AD122="Présent"),0),IF($AF$5&lt;&gt;"",--(AF122="Présent"),0),IF($AH$5&lt;&gt;"",--(AH122="Présent"),0),IF($AJ$5&lt;&gt;"",--(AJ122="Présent"),0),IF($AL$5&lt;&gt;"",--(AL122="Présent"),0),IF($AN$5&lt;&gt;"",--(AN122="Présent"),0),IF($AP$5&lt;&gt;"",--(AP122="Présent"),0),IF($AR$5&lt;&gt;"",--(AR122="Présent"),0),IF($AT$5&lt;&gt;"",--(AT122="Présent"),0),IF($AV$5&lt;&gt;"",--(AV122="Présent"),0),IF($AX$5&lt;&gt;"",--(AX122="Présent"),0),IF($AZ$5&lt;&gt;"",--(AZ122="Présent"),0),IF($BB$5&lt;&gt;"",--(BB122="Présent"),0),IF($BD$5&lt;&gt;"",--(BD122="Présent"),0),IF($BF$5&lt;&gt;"",--(BF122="Présent"),0),IF($BH$5&lt;&gt;"",--(BH122="Présent"),0),IF($BJ$5&lt;&gt;"",--(BJ122="Présent"),0),IF($BL$5&lt;&gt;"",--(BL122="Présent"),0)))</f>
      </c>
      <c r="BO122" s="22">
        <f>IF($A122="","",SUM(IF($D$5&lt;&gt;"",--(D122="Absent"),0),IF($F$5&lt;&gt;"",--(F122="Absent"),0),IF($H$5&lt;&gt;"",--(H122="Absent"),0),IF($J$5&lt;&gt;"",--(J122="Absent"),0),IF($L$5&lt;&gt;"",--(L122="Absent"),0),IF($N$5&lt;&gt;"",--(N122="Absent"),0),IF($P$5&lt;&gt;"",--(P122="Absent"),0),IF($R$5&lt;&gt;"",--(R122="Absent"),0),IF($T$5&lt;&gt;"",--(T122="Absent"),0),IF($V$5&lt;&gt;"",--(V122="Absent"),0),IF($X$5&lt;&gt;"",--(X122="Absent"),0),IF($Z$5&lt;&gt;"",--(Z122="Absent"),0),IF($AB$5&lt;&gt;"",--(AB122="Absent"),0),IF($AD$5&lt;&gt;"",--(AD122="Absent"),0),IF($AF$5&lt;&gt;"",--(AF122="Absent"),0),IF($AH$5&lt;&gt;"",--(AH122="Absent"),0),IF($AJ$5&lt;&gt;"",--(AJ122="Absent"),0),IF($AL$5&lt;&gt;"",--(AL122="Absent"),0),IF($AN$5&lt;&gt;"",--(AN122="Absent"),0),IF($AP$5&lt;&gt;"",--(AP122="Absent"),0),IF($AR$5&lt;&gt;"",--(AR122="Absent"),0),IF($AT$5&lt;&gt;"",--(AT122="Absent"),0),IF($AV$5&lt;&gt;"",--(AV122="Absent"),0),IF($AX$5&lt;&gt;"",--(AX122="Absent"),0),IF($AZ$5&lt;&gt;"",--(AZ122="Absent"),0),IF($BB$5&lt;&gt;"",--(BB122="Absent"),0),IF($BD$5&lt;&gt;"",--(BD122="Absent"),0),IF($BF$5&lt;&gt;"",--(BF122="Absent"),0),IF($BH$5&lt;&gt;"",--(BH122="Absent"),0),IF($BJ$5&lt;&gt;"",--(BJ122="Absent"),0),IF($BL$5&lt;&gt;"",--(BL122="Absent"),0)))</f>
      </c>
      <c r="BP122" s="22">
        <f>IF($A122="","",SUM(IF($D$5&lt;&gt;"",--(D122="Congé"),0),IF($F$5&lt;&gt;"",--(F122="Congé"),0),IF($H$5&lt;&gt;"",--(H122="Congé"),0),IF($J$5&lt;&gt;"",--(J122="Congé"),0),IF($L$5&lt;&gt;"",--(L122="Congé"),0),IF($N$5&lt;&gt;"",--(N122="Congé"),0),IF($P$5&lt;&gt;"",--(P122="Congé"),0),IF($R$5&lt;&gt;"",--(R122="Congé"),0),IF($T$5&lt;&gt;"",--(T122="Congé"),0),IF($V$5&lt;&gt;"",--(V122="Congé"),0),IF($X$5&lt;&gt;"",--(X122="Congé"),0),IF($Z$5&lt;&gt;"",--(Z122="Congé"),0),IF($AB$5&lt;&gt;"",--(AB122="Congé"),0),IF($AD$5&lt;&gt;"",--(AD122="Congé"),0),IF($AF$5&lt;&gt;"",--(AF122="Congé"),0),IF($AH$5&lt;&gt;"",--(AH122="Congé"),0),IF($AJ$5&lt;&gt;"",--(AJ122="Congé"),0),IF($AL$5&lt;&gt;"",--(AL122="Congé"),0),IF($AN$5&lt;&gt;"",--(AN122="Congé"),0),IF($AP$5&lt;&gt;"",--(AP122="Congé"),0),IF($AR$5&lt;&gt;"",--(AR122="Congé"),0),IF($AT$5&lt;&gt;"",--(AT122="Congé"),0),IF($AV$5&lt;&gt;"",--(AV122="Congé"),0),IF($AX$5&lt;&gt;"",--(AX122="Congé"),0),IF($AZ$5&lt;&gt;"",--(AZ122="Congé"),0),IF($BB$5&lt;&gt;"",--(BB122="Congé"),0),IF($BD$5&lt;&gt;"",--(BD122="Congé"),0),IF($BF$5&lt;&gt;"",--(BF122="Congé"),0),IF($BH$5&lt;&gt;"",--(BH122="Congé"),0),IF($BJ$5&lt;&gt;"",--(BJ122="Congé"),0),IF($BL$5&lt;&gt;"",--(BL122="Congé"),0)))</f>
      </c>
      <c r="BQ122" s="22">
        <f>IF($A122="","",SUM(IF($D$5&lt;&gt;"",--(D122="Maladie"),0),IF($F$5&lt;&gt;"",--(F122="Maladie"),0),IF($H$5&lt;&gt;"",--(H122="Maladie"),0),IF($J$5&lt;&gt;"",--(J122="Maladie"),0),IF($L$5&lt;&gt;"",--(L122="Maladie"),0),IF($N$5&lt;&gt;"",--(N122="Maladie"),0),IF($P$5&lt;&gt;"",--(P122="Maladie"),0),IF($R$5&lt;&gt;"",--(R122="Maladie"),0),IF($T$5&lt;&gt;"",--(T122="Maladie"),0),IF($V$5&lt;&gt;"",--(V122="Maladie"),0),IF($X$5&lt;&gt;"",--(X122="Maladie"),0),IF($Z$5&lt;&gt;"",--(Z122="Maladie"),0),IF($AB$5&lt;&gt;"",--(AB122="Maladie"),0),IF($AD$5&lt;&gt;"",--(AD122="Maladie"),0),IF($AF$5&lt;&gt;"",--(AF122="Maladie"),0),IF($AH$5&lt;&gt;"",--(AH122="Maladie"),0),IF($AJ$5&lt;&gt;"",--(AJ122="Maladie"),0),IF($AL$5&lt;&gt;"",--(AL122="Maladie"),0),IF($AN$5&lt;&gt;"",--(AN122="Maladie"),0),IF($AP$5&lt;&gt;"",--(AP122="Maladie"),0),IF($AR$5&lt;&gt;"",--(AR122="Maladie"),0),IF($AT$5&lt;&gt;"",--(AT122="Maladie"),0),IF($AV$5&lt;&gt;"",--(AV122="Maladie"),0),IF($AX$5&lt;&gt;"",--(AX122="Maladie"),0),IF($AZ$5&lt;&gt;"",--(AZ122="Maladie"),0),IF($BB$5&lt;&gt;"",--(BB122="Maladie"),0),IF($BD$5&lt;&gt;"",--(BD122="Maladie"),0),IF($BF$5&lt;&gt;"",--(BF122="Maladie"),0),IF($BH$5&lt;&gt;"",--(BH122="Maladie"),0),IF($BJ$5&lt;&gt;"",--(BJ122="Maladie"),0),IF($BL$5&lt;&gt;"",--(BL122="Maladie"),0)))</f>
      </c>
      <c r="BR122" s="23">
        <f>IF($A122="","",SUM(IF($D$5&lt;&gt;"",IF(D122="Présent",E122,0),0),IF($F$5&lt;&gt;"",IF(F122="Présent",G122,0),0),IF($H$5&lt;&gt;"",IF(H122="Présent",I122,0),0),IF($J$5&lt;&gt;"",IF(J122="Présent",K122,0),0),IF($L$5&lt;&gt;"",IF(L122="Présent",M122,0),0),IF($N$5&lt;&gt;"",IF(N122="Présent",O122,0),0),IF($P$5&lt;&gt;"",IF(P122="Présent",Q122,0),0),IF($R$5&lt;&gt;"",IF(R122="Présent",S122,0),0),IF($T$5&lt;&gt;"",IF(T122="Présent",U122,0),0),IF($V$5&lt;&gt;"",IF(V122="Présent",W122,0),0),IF($X$5&lt;&gt;"",IF(X122="Présent",Y122,0),0),IF($Z$5&lt;&gt;"",IF(Z122="Présent",AA122,0),0),IF($AB$5&lt;&gt;"",IF(AB122="Présent",AC122,0),0),IF($AD$5&lt;&gt;"",IF(AD122="Présent",AE122,0),0),IF($AF$5&lt;&gt;"",IF(AF122="Présent",AG122,0),0),IF($AH$5&lt;&gt;"",IF(AH122="Présent",AI122,0),0),IF($AJ$5&lt;&gt;"",IF(AJ122="Présent",AK122,0),0),IF($AL$5&lt;&gt;"",IF(AL122="Présent",AM122,0),0),IF($AN$5&lt;&gt;"",IF(AN122="Présent",AO122,0),0),IF($AP$5&lt;&gt;"",IF(AP122="Présent",AQ122,0),0),IF($AR$5&lt;&gt;"",IF(AR122="Présent",AS122,0),0),IF($AT$5&lt;&gt;"",IF(AT122="Présent",AU122,0),0),IF($AV$5&lt;&gt;"",IF(AV122="Présent",AW122,0),0),IF($AX$5&lt;&gt;"",IF(AX122="Présent",AY122,0),0),IF($AZ$5&lt;&gt;"",IF(AZ122="Présent",BA122,0),0),IF($BB$5&lt;&gt;"",IF(BB122="Présent",BC122,0),0),IF($BD$5&lt;&gt;"",IF(BD122="Présent",BE122,0),0),IF($BF$5&lt;&gt;"",IF(BF122="Présent",BG122,0),0),IF($BH$5&lt;&gt;"",IF(BH122="Présent",BI122,0),0),IF($BJ$5&lt;&gt;"",IF(BJ122="Présent",BK122,0),0),IF($BL$5&lt;&gt;"",IF(BL122="Présent",BM122,0),0)))</f>
      </c>
      <c r="BS122" s="25">
        <f>IF($A122="","",$BN122*IFERROR(INDEX(Categories_Salaire,MATCH($C122,ListeCategories,0)),0)+$BR122*IF(IFERROR(INDEX(Categories_TauxHS,MATCH($C122,ListeCategories,0)),0)&gt;0,IFERROR(INDEX(Categories_TauxHS,MATCH($C122,ListeCategories,0)),0),TauxHSDefaut))</f>
      </c>
    </row>
    <row r="123">
      <c r="A123" s="20">
        <f>IF(AND(INDEX(Employes_Nom,117)&lt;&gt;"",INDEX(Employes_Statut,117)="Actif",OR(INDEX(Employes_Embauche,117)="",INDEX(Employes_Embauche,117)&lt;=EOMONTH(DATE(AnneeCourante,MoisCourant,1),0))),INDEX(Employes_ID,117),"")</f>
      </c>
      <c r="B123" s="19">
        <f>IF($A123="","",INDEX(Employes_Nom,MATCH($A123,Employes_ID,0)))</f>
      </c>
      <c r="C123" s="20">
        <f>IF($A123="","",INDEX(Employes_Categorie,MATCH($A123,Employes_ID,0)))</f>
      </c>
      <c r="D123" s="26"/>
      <c r="E123" s="27"/>
      <c r="F123" s="26"/>
      <c r="G123" s="27"/>
      <c r="H123" s="26"/>
      <c r="I123" s="27"/>
      <c r="J123" s="26"/>
      <c r="K123" s="27"/>
      <c r="L123" s="26"/>
      <c r="M123" s="27"/>
      <c r="N123" s="26"/>
      <c r="O123" s="27"/>
      <c r="P123" s="26"/>
      <c r="Q123" s="27"/>
      <c r="R123" s="26"/>
      <c r="S123" s="27"/>
      <c r="T123" s="26"/>
      <c r="U123" s="27"/>
      <c r="V123" s="26"/>
      <c r="W123" s="27"/>
      <c r="X123" s="26"/>
      <c r="Y123" s="27"/>
      <c r="Z123" s="26"/>
      <c r="AA123" s="27"/>
      <c r="AB123" s="26"/>
      <c r="AC123" s="27"/>
      <c r="AD123" s="26"/>
      <c r="AE123" s="27"/>
      <c r="AF123" s="26"/>
      <c r="AG123" s="27"/>
      <c r="AH123" s="26"/>
      <c r="AI123" s="27"/>
      <c r="AJ123" s="26"/>
      <c r="AK123" s="27"/>
      <c r="AL123" s="26"/>
      <c r="AM123" s="27"/>
      <c r="AN123" s="26"/>
      <c r="AO123" s="27"/>
      <c r="AP123" s="26"/>
      <c r="AQ123" s="27"/>
      <c r="AR123" s="26"/>
      <c r="AS123" s="27"/>
      <c r="AT123" s="26"/>
      <c r="AU123" s="27"/>
      <c r="AV123" s="26"/>
      <c r="AW123" s="27"/>
      <c r="AX123" s="26"/>
      <c r="AY123" s="27"/>
      <c r="AZ123" s="26"/>
      <c r="BA123" s="27"/>
      <c r="BB123" s="26"/>
      <c r="BC123" s="27"/>
      <c r="BD123" s="26"/>
      <c r="BE123" s="27"/>
      <c r="BF123" s="26"/>
      <c r="BG123" s="27"/>
      <c r="BH123" s="26"/>
      <c r="BI123" s="27"/>
      <c r="BJ123" s="26"/>
      <c r="BK123" s="27"/>
      <c r="BL123" s="26"/>
      <c r="BM123" s="27"/>
      <c r="BN123" s="22">
        <f>IF($A123="","",SUM(IF($D$5&lt;&gt;"",--(D123="Présent"),0),IF($F$5&lt;&gt;"",--(F123="Présent"),0),IF($H$5&lt;&gt;"",--(H123="Présent"),0),IF($J$5&lt;&gt;"",--(J123="Présent"),0),IF($L$5&lt;&gt;"",--(L123="Présent"),0),IF($N$5&lt;&gt;"",--(N123="Présent"),0),IF($P$5&lt;&gt;"",--(P123="Présent"),0),IF($R$5&lt;&gt;"",--(R123="Présent"),0),IF($T$5&lt;&gt;"",--(T123="Présent"),0),IF($V$5&lt;&gt;"",--(V123="Présent"),0),IF($X$5&lt;&gt;"",--(X123="Présent"),0),IF($Z$5&lt;&gt;"",--(Z123="Présent"),0),IF($AB$5&lt;&gt;"",--(AB123="Présent"),0),IF($AD$5&lt;&gt;"",--(AD123="Présent"),0),IF($AF$5&lt;&gt;"",--(AF123="Présent"),0),IF($AH$5&lt;&gt;"",--(AH123="Présent"),0),IF($AJ$5&lt;&gt;"",--(AJ123="Présent"),0),IF($AL$5&lt;&gt;"",--(AL123="Présent"),0),IF($AN$5&lt;&gt;"",--(AN123="Présent"),0),IF($AP$5&lt;&gt;"",--(AP123="Présent"),0),IF($AR$5&lt;&gt;"",--(AR123="Présent"),0),IF($AT$5&lt;&gt;"",--(AT123="Présent"),0),IF($AV$5&lt;&gt;"",--(AV123="Présent"),0),IF($AX$5&lt;&gt;"",--(AX123="Présent"),0),IF($AZ$5&lt;&gt;"",--(AZ123="Présent"),0),IF($BB$5&lt;&gt;"",--(BB123="Présent"),0),IF($BD$5&lt;&gt;"",--(BD123="Présent"),0),IF($BF$5&lt;&gt;"",--(BF123="Présent"),0),IF($BH$5&lt;&gt;"",--(BH123="Présent"),0),IF($BJ$5&lt;&gt;"",--(BJ123="Présent"),0),IF($BL$5&lt;&gt;"",--(BL123="Présent"),0)))</f>
      </c>
      <c r="BO123" s="22">
        <f>IF($A123="","",SUM(IF($D$5&lt;&gt;"",--(D123="Absent"),0),IF($F$5&lt;&gt;"",--(F123="Absent"),0),IF($H$5&lt;&gt;"",--(H123="Absent"),0),IF($J$5&lt;&gt;"",--(J123="Absent"),0),IF($L$5&lt;&gt;"",--(L123="Absent"),0),IF($N$5&lt;&gt;"",--(N123="Absent"),0),IF($P$5&lt;&gt;"",--(P123="Absent"),0),IF($R$5&lt;&gt;"",--(R123="Absent"),0),IF($T$5&lt;&gt;"",--(T123="Absent"),0),IF($V$5&lt;&gt;"",--(V123="Absent"),0),IF($X$5&lt;&gt;"",--(X123="Absent"),0),IF($Z$5&lt;&gt;"",--(Z123="Absent"),0),IF($AB$5&lt;&gt;"",--(AB123="Absent"),0),IF($AD$5&lt;&gt;"",--(AD123="Absent"),0),IF($AF$5&lt;&gt;"",--(AF123="Absent"),0),IF($AH$5&lt;&gt;"",--(AH123="Absent"),0),IF($AJ$5&lt;&gt;"",--(AJ123="Absent"),0),IF($AL$5&lt;&gt;"",--(AL123="Absent"),0),IF($AN$5&lt;&gt;"",--(AN123="Absent"),0),IF($AP$5&lt;&gt;"",--(AP123="Absent"),0),IF($AR$5&lt;&gt;"",--(AR123="Absent"),0),IF($AT$5&lt;&gt;"",--(AT123="Absent"),0),IF($AV$5&lt;&gt;"",--(AV123="Absent"),0),IF($AX$5&lt;&gt;"",--(AX123="Absent"),0),IF($AZ$5&lt;&gt;"",--(AZ123="Absent"),0),IF($BB$5&lt;&gt;"",--(BB123="Absent"),0),IF($BD$5&lt;&gt;"",--(BD123="Absent"),0),IF($BF$5&lt;&gt;"",--(BF123="Absent"),0),IF($BH$5&lt;&gt;"",--(BH123="Absent"),0),IF($BJ$5&lt;&gt;"",--(BJ123="Absent"),0),IF($BL$5&lt;&gt;"",--(BL123="Absent"),0)))</f>
      </c>
      <c r="BP123" s="22">
        <f>IF($A123="","",SUM(IF($D$5&lt;&gt;"",--(D123="Congé"),0),IF($F$5&lt;&gt;"",--(F123="Congé"),0),IF($H$5&lt;&gt;"",--(H123="Congé"),0),IF($J$5&lt;&gt;"",--(J123="Congé"),0),IF($L$5&lt;&gt;"",--(L123="Congé"),0),IF($N$5&lt;&gt;"",--(N123="Congé"),0),IF($P$5&lt;&gt;"",--(P123="Congé"),0),IF($R$5&lt;&gt;"",--(R123="Congé"),0),IF($T$5&lt;&gt;"",--(T123="Congé"),0),IF($V$5&lt;&gt;"",--(V123="Congé"),0),IF($X$5&lt;&gt;"",--(X123="Congé"),0),IF($Z$5&lt;&gt;"",--(Z123="Congé"),0),IF($AB$5&lt;&gt;"",--(AB123="Congé"),0),IF($AD$5&lt;&gt;"",--(AD123="Congé"),0),IF($AF$5&lt;&gt;"",--(AF123="Congé"),0),IF($AH$5&lt;&gt;"",--(AH123="Congé"),0),IF($AJ$5&lt;&gt;"",--(AJ123="Congé"),0),IF($AL$5&lt;&gt;"",--(AL123="Congé"),0),IF($AN$5&lt;&gt;"",--(AN123="Congé"),0),IF($AP$5&lt;&gt;"",--(AP123="Congé"),0),IF($AR$5&lt;&gt;"",--(AR123="Congé"),0),IF($AT$5&lt;&gt;"",--(AT123="Congé"),0),IF($AV$5&lt;&gt;"",--(AV123="Congé"),0),IF($AX$5&lt;&gt;"",--(AX123="Congé"),0),IF($AZ$5&lt;&gt;"",--(AZ123="Congé"),0),IF($BB$5&lt;&gt;"",--(BB123="Congé"),0),IF($BD$5&lt;&gt;"",--(BD123="Congé"),0),IF($BF$5&lt;&gt;"",--(BF123="Congé"),0),IF($BH$5&lt;&gt;"",--(BH123="Congé"),0),IF($BJ$5&lt;&gt;"",--(BJ123="Congé"),0),IF($BL$5&lt;&gt;"",--(BL123="Congé"),0)))</f>
      </c>
      <c r="BQ123" s="22">
        <f>IF($A123="","",SUM(IF($D$5&lt;&gt;"",--(D123="Maladie"),0),IF($F$5&lt;&gt;"",--(F123="Maladie"),0),IF($H$5&lt;&gt;"",--(H123="Maladie"),0),IF($J$5&lt;&gt;"",--(J123="Maladie"),0),IF($L$5&lt;&gt;"",--(L123="Maladie"),0),IF($N$5&lt;&gt;"",--(N123="Maladie"),0),IF($P$5&lt;&gt;"",--(P123="Maladie"),0),IF($R$5&lt;&gt;"",--(R123="Maladie"),0),IF($T$5&lt;&gt;"",--(T123="Maladie"),0),IF($V$5&lt;&gt;"",--(V123="Maladie"),0),IF($X$5&lt;&gt;"",--(X123="Maladie"),0),IF($Z$5&lt;&gt;"",--(Z123="Maladie"),0),IF($AB$5&lt;&gt;"",--(AB123="Maladie"),0),IF($AD$5&lt;&gt;"",--(AD123="Maladie"),0),IF($AF$5&lt;&gt;"",--(AF123="Maladie"),0),IF($AH$5&lt;&gt;"",--(AH123="Maladie"),0),IF($AJ$5&lt;&gt;"",--(AJ123="Maladie"),0),IF($AL$5&lt;&gt;"",--(AL123="Maladie"),0),IF($AN$5&lt;&gt;"",--(AN123="Maladie"),0),IF($AP$5&lt;&gt;"",--(AP123="Maladie"),0),IF($AR$5&lt;&gt;"",--(AR123="Maladie"),0),IF($AT$5&lt;&gt;"",--(AT123="Maladie"),0),IF($AV$5&lt;&gt;"",--(AV123="Maladie"),0),IF($AX$5&lt;&gt;"",--(AX123="Maladie"),0),IF($AZ$5&lt;&gt;"",--(AZ123="Maladie"),0),IF($BB$5&lt;&gt;"",--(BB123="Maladie"),0),IF($BD$5&lt;&gt;"",--(BD123="Maladie"),0),IF($BF$5&lt;&gt;"",--(BF123="Maladie"),0),IF($BH$5&lt;&gt;"",--(BH123="Maladie"),0),IF($BJ$5&lt;&gt;"",--(BJ123="Maladie"),0),IF($BL$5&lt;&gt;"",--(BL123="Maladie"),0)))</f>
      </c>
      <c r="BR123" s="23">
        <f>IF($A123="","",SUM(IF($D$5&lt;&gt;"",IF(D123="Présent",E123,0),0),IF($F$5&lt;&gt;"",IF(F123="Présent",G123,0),0),IF($H$5&lt;&gt;"",IF(H123="Présent",I123,0),0),IF($J$5&lt;&gt;"",IF(J123="Présent",K123,0),0),IF($L$5&lt;&gt;"",IF(L123="Présent",M123,0),0),IF($N$5&lt;&gt;"",IF(N123="Présent",O123,0),0),IF($P$5&lt;&gt;"",IF(P123="Présent",Q123,0),0),IF($R$5&lt;&gt;"",IF(R123="Présent",S123,0),0),IF($T$5&lt;&gt;"",IF(T123="Présent",U123,0),0),IF($V$5&lt;&gt;"",IF(V123="Présent",W123,0),0),IF($X$5&lt;&gt;"",IF(X123="Présent",Y123,0),0),IF($Z$5&lt;&gt;"",IF(Z123="Présent",AA123,0),0),IF($AB$5&lt;&gt;"",IF(AB123="Présent",AC123,0),0),IF($AD$5&lt;&gt;"",IF(AD123="Présent",AE123,0),0),IF($AF$5&lt;&gt;"",IF(AF123="Présent",AG123,0),0),IF($AH$5&lt;&gt;"",IF(AH123="Présent",AI123,0),0),IF($AJ$5&lt;&gt;"",IF(AJ123="Présent",AK123,0),0),IF($AL$5&lt;&gt;"",IF(AL123="Présent",AM123,0),0),IF($AN$5&lt;&gt;"",IF(AN123="Présent",AO123,0),0),IF($AP$5&lt;&gt;"",IF(AP123="Présent",AQ123,0),0),IF($AR$5&lt;&gt;"",IF(AR123="Présent",AS123,0),0),IF($AT$5&lt;&gt;"",IF(AT123="Présent",AU123,0),0),IF($AV$5&lt;&gt;"",IF(AV123="Présent",AW123,0),0),IF($AX$5&lt;&gt;"",IF(AX123="Présent",AY123,0),0),IF($AZ$5&lt;&gt;"",IF(AZ123="Présent",BA123,0),0),IF($BB$5&lt;&gt;"",IF(BB123="Présent",BC123,0),0),IF($BD$5&lt;&gt;"",IF(BD123="Présent",BE123,0),0),IF($BF$5&lt;&gt;"",IF(BF123="Présent",BG123,0),0),IF($BH$5&lt;&gt;"",IF(BH123="Présent",BI123,0),0),IF($BJ$5&lt;&gt;"",IF(BJ123="Présent",BK123,0),0),IF($BL$5&lt;&gt;"",IF(BL123="Présent",BM123,0),0)))</f>
      </c>
      <c r="BS123" s="25">
        <f>IF($A123="","",$BN123*IFERROR(INDEX(Categories_Salaire,MATCH($C123,ListeCategories,0)),0)+$BR123*IF(IFERROR(INDEX(Categories_TauxHS,MATCH($C123,ListeCategories,0)),0)&gt;0,IFERROR(INDEX(Categories_TauxHS,MATCH($C123,ListeCategories,0)),0),TauxHSDefaut))</f>
      </c>
    </row>
    <row r="124">
      <c r="A124" s="20">
        <f>IF(AND(INDEX(Employes_Nom,118)&lt;&gt;"",INDEX(Employes_Statut,118)="Actif",OR(INDEX(Employes_Embauche,118)="",INDEX(Employes_Embauche,118)&lt;=EOMONTH(DATE(AnneeCourante,MoisCourant,1),0))),INDEX(Employes_ID,118),"")</f>
      </c>
      <c r="B124" s="19">
        <f>IF($A124="","",INDEX(Employes_Nom,MATCH($A124,Employes_ID,0)))</f>
      </c>
      <c r="C124" s="20">
        <f>IF($A124="","",INDEX(Employes_Categorie,MATCH($A124,Employes_ID,0)))</f>
      </c>
      <c r="D124" s="26"/>
      <c r="E124" s="27"/>
      <c r="F124" s="26"/>
      <c r="G124" s="27"/>
      <c r="H124" s="26"/>
      <c r="I124" s="27"/>
      <c r="J124" s="26"/>
      <c r="K124" s="27"/>
      <c r="L124" s="26"/>
      <c r="M124" s="27"/>
      <c r="N124" s="26"/>
      <c r="O124" s="27"/>
      <c r="P124" s="26"/>
      <c r="Q124" s="27"/>
      <c r="R124" s="26"/>
      <c r="S124" s="27"/>
      <c r="T124" s="26"/>
      <c r="U124" s="27"/>
      <c r="V124" s="26"/>
      <c r="W124" s="27"/>
      <c r="X124" s="26"/>
      <c r="Y124" s="27"/>
      <c r="Z124" s="26"/>
      <c r="AA124" s="27"/>
      <c r="AB124" s="26"/>
      <c r="AC124" s="27"/>
      <c r="AD124" s="26"/>
      <c r="AE124" s="27"/>
      <c r="AF124" s="26"/>
      <c r="AG124" s="27"/>
      <c r="AH124" s="26"/>
      <c r="AI124" s="27"/>
      <c r="AJ124" s="26"/>
      <c r="AK124" s="27"/>
      <c r="AL124" s="26"/>
      <c r="AM124" s="27"/>
      <c r="AN124" s="26"/>
      <c r="AO124" s="27"/>
      <c r="AP124" s="26"/>
      <c r="AQ124" s="27"/>
      <c r="AR124" s="26"/>
      <c r="AS124" s="27"/>
      <c r="AT124" s="26"/>
      <c r="AU124" s="27"/>
      <c r="AV124" s="26"/>
      <c r="AW124" s="27"/>
      <c r="AX124" s="26"/>
      <c r="AY124" s="27"/>
      <c r="AZ124" s="26"/>
      <c r="BA124" s="27"/>
      <c r="BB124" s="26"/>
      <c r="BC124" s="27"/>
      <c r="BD124" s="26"/>
      <c r="BE124" s="27"/>
      <c r="BF124" s="26"/>
      <c r="BG124" s="27"/>
      <c r="BH124" s="26"/>
      <c r="BI124" s="27"/>
      <c r="BJ124" s="26"/>
      <c r="BK124" s="27"/>
      <c r="BL124" s="26"/>
      <c r="BM124" s="27"/>
      <c r="BN124" s="22">
        <f>IF($A124="","",SUM(IF($D$5&lt;&gt;"",--(D124="Présent"),0),IF($F$5&lt;&gt;"",--(F124="Présent"),0),IF($H$5&lt;&gt;"",--(H124="Présent"),0),IF($J$5&lt;&gt;"",--(J124="Présent"),0),IF($L$5&lt;&gt;"",--(L124="Présent"),0),IF($N$5&lt;&gt;"",--(N124="Présent"),0),IF($P$5&lt;&gt;"",--(P124="Présent"),0),IF($R$5&lt;&gt;"",--(R124="Présent"),0),IF($T$5&lt;&gt;"",--(T124="Présent"),0),IF($V$5&lt;&gt;"",--(V124="Présent"),0),IF($X$5&lt;&gt;"",--(X124="Présent"),0),IF($Z$5&lt;&gt;"",--(Z124="Présent"),0),IF($AB$5&lt;&gt;"",--(AB124="Présent"),0),IF($AD$5&lt;&gt;"",--(AD124="Présent"),0),IF($AF$5&lt;&gt;"",--(AF124="Présent"),0),IF($AH$5&lt;&gt;"",--(AH124="Présent"),0),IF($AJ$5&lt;&gt;"",--(AJ124="Présent"),0),IF($AL$5&lt;&gt;"",--(AL124="Présent"),0),IF($AN$5&lt;&gt;"",--(AN124="Présent"),0),IF($AP$5&lt;&gt;"",--(AP124="Présent"),0),IF($AR$5&lt;&gt;"",--(AR124="Présent"),0),IF($AT$5&lt;&gt;"",--(AT124="Présent"),0),IF($AV$5&lt;&gt;"",--(AV124="Présent"),0),IF($AX$5&lt;&gt;"",--(AX124="Présent"),0),IF($AZ$5&lt;&gt;"",--(AZ124="Présent"),0),IF($BB$5&lt;&gt;"",--(BB124="Présent"),0),IF($BD$5&lt;&gt;"",--(BD124="Présent"),0),IF($BF$5&lt;&gt;"",--(BF124="Présent"),0),IF($BH$5&lt;&gt;"",--(BH124="Présent"),0),IF($BJ$5&lt;&gt;"",--(BJ124="Présent"),0),IF($BL$5&lt;&gt;"",--(BL124="Présent"),0)))</f>
      </c>
      <c r="BO124" s="22">
        <f>IF($A124="","",SUM(IF($D$5&lt;&gt;"",--(D124="Absent"),0),IF($F$5&lt;&gt;"",--(F124="Absent"),0),IF($H$5&lt;&gt;"",--(H124="Absent"),0),IF($J$5&lt;&gt;"",--(J124="Absent"),0),IF($L$5&lt;&gt;"",--(L124="Absent"),0),IF($N$5&lt;&gt;"",--(N124="Absent"),0),IF($P$5&lt;&gt;"",--(P124="Absent"),0),IF($R$5&lt;&gt;"",--(R124="Absent"),0),IF($T$5&lt;&gt;"",--(T124="Absent"),0),IF($V$5&lt;&gt;"",--(V124="Absent"),0),IF($X$5&lt;&gt;"",--(X124="Absent"),0),IF($Z$5&lt;&gt;"",--(Z124="Absent"),0),IF($AB$5&lt;&gt;"",--(AB124="Absent"),0),IF($AD$5&lt;&gt;"",--(AD124="Absent"),0),IF($AF$5&lt;&gt;"",--(AF124="Absent"),0),IF($AH$5&lt;&gt;"",--(AH124="Absent"),0),IF($AJ$5&lt;&gt;"",--(AJ124="Absent"),0),IF($AL$5&lt;&gt;"",--(AL124="Absent"),0),IF($AN$5&lt;&gt;"",--(AN124="Absent"),0),IF($AP$5&lt;&gt;"",--(AP124="Absent"),0),IF($AR$5&lt;&gt;"",--(AR124="Absent"),0),IF($AT$5&lt;&gt;"",--(AT124="Absent"),0),IF($AV$5&lt;&gt;"",--(AV124="Absent"),0),IF($AX$5&lt;&gt;"",--(AX124="Absent"),0),IF($AZ$5&lt;&gt;"",--(AZ124="Absent"),0),IF($BB$5&lt;&gt;"",--(BB124="Absent"),0),IF($BD$5&lt;&gt;"",--(BD124="Absent"),0),IF($BF$5&lt;&gt;"",--(BF124="Absent"),0),IF($BH$5&lt;&gt;"",--(BH124="Absent"),0),IF($BJ$5&lt;&gt;"",--(BJ124="Absent"),0),IF($BL$5&lt;&gt;"",--(BL124="Absent"),0)))</f>
      </c>
      <c r="BP124" s="22">
        <f>IF($A124="","",SUM(IF($D$5&lt;&gt;"",--(D124="Congé"),0),IF($F$5&lt;&gt;"",--(F124="Congé"),0),IF($H$5&lt;&gt;"",--(H124="Congé"),0),IF($J$5&lt;&gt;"",--(J124="Congé"),0),IF($L$5&lt;&gt;"",--(L124="Congé"),0),IF($N$5&lt;&gt;"",--(N124="Congé"),0),IF($P$5&lt;&gt;"",--(P124="Congé"),0),IF($R$5&lt;&gt;"",--(R124="Congé"),0),IF($T$5&lt;&gt;"",--(T124="Congé"),0),IF($V$5&lt;&gt;"",--(V124="Congé"),0),IF($X$5&lt;&gt;"",--(X124="Congé"),0),IF($Z$5&lt;&gt;"",--(Z124="Congé"),0),IF($AB$5&lt;&gt;"",--(AB124="Congé"),0),IF($AD$5&lt;&gt;"",--(AD124="Congé"),0),IF($AF$5&lt;&gt;"",--(AF124="Congé"),0),IF($AH$5&lt;&gt;"",--(AH124="Congé"),0),IF($AJ$5&lt;&gt;"",--(AJ124="Congé"),0),IF($AL$5&lt;&gt;"",--(AL124="Congé"),0),IF($AN$5&lt;&gt;"",--(AN124="Congé"),0),IF($AP$5&lt;&gt;"",--(AP124="Congé"),0),IF($AR$5&lt;&gt;"",--(AR124="Congé"),0),IF($AT$5&lt;&gt;"",--(AT124="Congé"),0),IF($AV$5&lt;&gt;"",--(AV124="Congé"),0),IF($AX$5&lt;&gt;"",--(AX124="Congé"),0),IF($AZ$5&lt;&gt;"",--(AZ124="Congé"),0),IF($BB$5&lt;&gt;"",--(BB124="Congé"),0),IF($BD$5&lt;&gt;"",--(BD124="Congé"),0),IF($BF$5&lt;&gt;"",--(BF124="Congé"),0),IF($BH$5&lt;&gt;"",--(BH124="Congé"),0),IF($BJ$5&lt;&gt;"",--(BJ124="Congé"),0),IF($BL$5&lt;&gt;"",--(BL124="Congé"),0)))</f>
      </c>
      <c r="BQ124" s="22">
        <f>IF($A124="","",SUM(IF($D$5&lt;&gt;"",--(D124="Maladie"),0),IF($F$5&lt;&gt;"",--(F124="Maladie"),0),IF($H$5&lt;&gt;"",--(H124="Maladie"),0),IF($J$5&lt;&gt;"",--(J124="Maladie"),0),IF($L$5&lt;&gt;"",--(L124="Maladie"),0),IF($N$5&lt;&gt;"",--(N124="Maladie"),0),IF($P$5&lt;&gt;"",--(P124="Maladie"),0),IF($R$5&lt;&gt;"",--(R124="Maladie"),0),IF($T$5&lt;&gt;"",--(T124="Maladie"),0),IF($V$5&lt;&gt;"",--(V124="Maladie"),0),IF($X$5&lt;&gt;"",--(X124="Maladie"),0),IF($Z$5&lt;&gt;"",--(Z124="Maladie"),0),IF($AB$5&lt;&gt;"",--(AB124="Maladie"),0),IF($AD$5&lt;&gt;"",--(AD124="Maladie"),0),IF($AF$5&lt;&gt;"",--(AF124="Maladie"),0),IF($AH$5&lt;&gt;"",--(AH124="Maladie"),0),IF($AJ$5&lt;&gt;"",--(AJ124="Maladie"),0),IF($AL$5&lt;&gt;"",--(AL124="Maladie"),0),IF($AN$5&lt;&gt;"",--(AN124="Maladie"),0),IF($AP$5&lt;&gt;"",--(AP124="Maladie"),0),IF($AR$5&lt;&gt;"",--(AR124="Maladie"),0),IF($AT$5&lt;&gt;"",--(AT124="Maladie"),0),IF($AV$5&lt;&gt;"",--(AV124="Maladie"),0),IF($AX$5&lt;&gt;"",--(AX124="Maladie"),0),IF($AZ$5&lt;&gt;"",--(AZ124="Maladie"),0),IF($BB$5&lt;&gt;"",--(BB124="Maladie"),0),IF($BD$5&lt;&gt;"",--(BD124="Maladie"),0),IF($BF$5&lt;&gt;"",--(BF124="Maladie"),0),IF($BH$5&lt;&gt;"",--(BH124="Maladie"),0),IF($BJ$5&lt;&gt;"",--(BJ124="Maladie"),0),IF($BL$5&lt;&gt;"",--(BL124="Maladie"),0)))</f>
      </c>
      <c r="BR124" s="23">
        <f>IF($A124="","",SUM(IF($D$5&lt;&gt;"",IF(D124="Présent",E124,0),0),IF($F$5&lt;&gt;"",IF(F124="Présent",G124,0),0),IF($H$5&lt;&gt;"",IF(H124="Présent",I124,0),0),IF($J$5&lt;&gt;"",IF(J124="Présent",K124,0),0),IF($L$5&lt;&gt;"",IF(L124="Présent",M124,0),0),IF($N$5&lt;&gt;"",IF(N124="Présent",O124,0),0),IF($P$5&lt;&gt;"",IF(P124="Présent",Q124,0),0),IF($R$5&lt;&gt;"",IF(R124="Présent",S124,0),0),IF($T$5&lt;&gt;"",IF(T124="Présent",U124,0),0),IF($V$5&lt;&gt;"",IF(V124="Présent",W124,0),0),IF($X$5&lt;&gt;"",IF(X124="Présent",Y124,0),0),IF($Z$5&lt;&gt;"",IF(Z124="Présent",AA124,0),0),IF($AB$5&lt;&gt;"",IF(AB124="Présent",AC124,0),0),IF($AD$5&lt;&gt;"",IF(AD124="Présent",AE124,0),0),IF($AF$5&lt;&gt;"",IF(AF124="Présent",AG124,0),0),IF($AH$5&lt;&gt;"",IF(AH124="Présent",AI124,0),0),IF($AJ$5&lt;&gt;"",IF(AJ124="Présent",AK124,0),0),IF($AL$5&lt;&gt;"",IF(AL124="Présent",AM124,0),0),IF($AN$5&lt;&gt;"",IF(AN124="Présent",AO124,0),0),IF($AP$5&lt;&gt;"",IF(AP124="Présent",AQ124,0),0),IF($AR$5&lt;&gt;"",IF(AR124="Présent",AS124,0),0),IF($AT$5&lt;&gt;"",IF(AT124="Présent",AU124,0),0),IF($AV$5&lt;&gt;"",IF(AV124="Présent",AW124,0),0),IF($AX$5&lt;&gt;"",IF(AX124="Présent",AY124,0),0),IF($AZ$5&lt;&gt;"",IF(AZ124="Présent",BA124,0),0),IF($BB$5&lt;&gt;"",IF(BB124="Présent",BC124,0),0),IF($BD$5&lt;&gt;"",IF(BD124="Présent",BE124,0),0),IF($BF$5&lt;&gt;"",IF(BF124="Présent",BG124,0),0),IF($BH$5&lt;&gt;"",IF(BH124="Présent",BI124,0),0),IF($BJ$5&lt;&gt;"",IF(BJ124="Présent",BK124,0),0),IF($BL$5&lt;&gt;"",IF(BL124="Présent",BM124,0),0)))</f>
      </c>
      <c r="BS124" s="25">
        <f>IF($A124="","",$BN124*IFERROR(INDEX(Categories_Salaire,MATCH($C124,ListeCategories,0)),0)+$BR124*IF(IFERROR(INDEX(Categories_TauxHS,MATCH($C124,ListeCategories,0)),0)&gt;0,IFERROR(INDEX(Categories_TauxHS,MATCH($C124,ListeCategories,0)),0),TauxHSDefaut))</f>
      </c>
    </row>
    <row r="125">
      <c r="A125" s="20">
        <f>IF(AND(INDEX(Employes_Nom,119)&lt;&gt;"",INDEX(Employes_Statut,119)="Actif",OR(INDEX(Employes_Embauche,119)="",INDEX(Employes_Embauche,119)&lt;=EOMONTH(DATE(AnneeCourante,MoisCourant,1),0))),INDEX(Employes_ID,119),"")</f>
      </c>
      <c r="B125" s="19">
        <f>IF($A125="","",INDEX(Employes_Nom,MATCH($A125,Employes_ID,0)))</f>
      </c>
      <c r="C125" s="20">
        <f>IF($A125="","",INDEX(Employes_Categorie,MATCH($A125,Employes_ID,0)))</f>
      </c>
      <c r="D125" s="26"/>
      <c r="E125" s="27"/>
      <c r="F125" s="26"/>
      <c r="G125" s="27"/>
      <c r="H125" s="26"/>
      <c r="I125" s="27"/>
      <c r="J125" s="26"/>
      <c r="K125" s="27"/>
      <c r="L125" s="26"/>
      <c r="M125" s="27"/>
      <c r="N125" s="26"/>
      <c r="O125" s="27"/>
      <c r="P125" s="26"/>
      <c r="Q125" s="27"/>
      <c r="R125" s="26"/>
      <c r="S125" s="27"/>
      <c r="T125" s="26"/>
      <c r="U125" s="27"/>
      <c r="V125" s="26"/>
      <c r="W125" s="27"/>
      <c r="X125" s="26"/>
      <c r="Y125" s="27"/>
      <c r="Z125" s="26"/>
      <c r="AA125" s="27"/>
      <c r="AB125" s="26"/>
      <c r="AC125" s="27"/>
      <c r="AD125" s="26"/>
      <c r="AE125" s="27"/>
      <c r="AF125" s="26"/>
      <c r="AG125" s="27"/>
      <c r="AH125" s="26"/>
      <c r="AI125" s="27"/>
      <c r="AJ125" s="26"/>
      <c r="AK125" s="27"/>
      <c r="AL125" s="26"/>
      <c r="AM125" s="27"/>
      <c r="AN125" s="26"/>
      <c r="AO125" s="27"/>
      <c r="AP125" s="26"/>
      <c r="AQ125" s="27"/>
      <c r="AR125" s="26"/>
      <c r="AS125" s="27"/>
      <c r="AT125" s="26"/>
      <c r="AU125" s="27"/>
      <c r="AV125" s="26"/>
      <c r="AW125" s="27"/>
      <c r="AX125" s="26"/>
      <c r="AY125" s="27"/>
      <c r="AZ125" s="26"/>
      <c r="BA125" s="27"/>
      <c r="BB125" s="26"/>
      <c r="BC125" s="27"/>
      <c r="BD125" s="26"/>
      <c r="BE125" s="27"/>
      <c r="BF125" s="26"/>
      <c r="BG125" s="27"/>
      <c r="BH125" s="26"/>
      <c r="BI125" s="27"/>
      <c r="BJ125" s="26"/>
      <c r="BK125" s="27"/>
      <c r="BL125" s="26"/>
      <c r="BM125" s="27"/>
      <c r="BN125" s="22">
        <f>IF($A125="","",SUM(IF($D$5&lt;&gt;"",--(D125="Présent"),0),IF($F$5&lt;&gt;"",--(F125="Présent"),0),IF($H$5&lt;&gt;"",--(H125="Présent"),0),IF($J$5&lt;&gt;"",--(J125="Présent"),0),IF($L$5&lt;&gt;"",--(L125="Présent"),0),IF($N$5&lt;&gt;"",--(N125="Présent"),0),IF($P$5&lt;&gt;"",--(P125="Présent"),0),IF($R$5&lt;&gt;"",--(R125="Présent"),0),IF($T$5&lt;&gt;"",--(T125="Présent"),0),IF($V$5&lt;&gt;"",--(V125="Présent"),0),IF($X$5&lt;&gt;"",--(X125="Présent"),0),IF($Z$5&lt;&gt;"",--(Z125="Présent"),0),IF($AB$5&lt;&gt;"",--(AB125="Présent"),0),IF($AD$5&lt;&gt;"",--(AD125="Présent"),0),IF($AF$5&lt;&gt;"",--(AF125="Présent"),0),IF($AH$5&lt;&gt;"",--(AH125="Présent"),0),IF($AJ$5&lt;&gt;"",--(AJ125="Présent"),0),IF($AL$5&lt;&gt;"",--(AL125="Présent"),0),IF($AN$5&lt;&gt;"",--(AN125="Présent"),0),IF($AP$5&lt;&gt;"",--(AP125="Présent"),0),IF($AR$5&lt;&gt;"",--(AR125="Présent"),0),IF($AT$5&lt;&gt;"",--(AT125="Présent"),0),IF($AV$5&lt;&gt;"",--(AV125="Présent"),0),IF($AX$5&lt;&gt;"",--(AX125="Présent"),0),IF($AZ$5&lt;&gt;"",--(AZ125="Présent"),0),IF($BB$5&lt;&gt;"",--(BB125="Présent"),0),IF($BD$5&lt;&gt;"",--(BD125="Présent"),0),IF($BF$5&lt;&gt;"",--(BF125="Présent"),0),IF($BH$5&lt;&gt;"",--(BH125="Présent"),0),IF($BJ$5&lt;&gt;"",--(BJ125="Présent"),0),IF($BL$5&lt;&gt;"",--(BL125="Présent"),0)))</f>
      </c>
      <c r="BO125" s="22">
        <f>IF($A125="","",SUM(IF($D$5&lt;&gt;"",--(D125="Absent"),0),IF($F$5&lt;&gt;"",--(F125="Absent"),0),IF($H$5&lt;&gt;"",--(H125="Absent"),0),IF($J$5&lt;&gt;"",--(J125="Absent"),0),IF($L$5&lt;&gt;"",--(L125="Absent"),0),IF($N$5&lt;&gt;"",--(N125="Absent"),0),IF($P$5&lt;&gt;"",--(P125="Absent"),0),IF($R$5&lt;&gt;"",--(R125="Absent"),0),IF($T$5&lt;&gt;"",--(T125="Absent"),0),IF($V$5&lt;&gt;"",--(V125="Absent"),0),IF($X$5&lt;&gt;"",--(X125="Absent"),0),IF($Z$5&lt;&gt;"",--(Z125="Absent"),0),IF($AB$5&lt;&gt;"",--(AB125="Absent"),0),IF($AD$5&lt;&gt;"",--(AD125="Absent"),0),IF($AF$5&lt;&gt;"",--(AF125="Absent"),0),IF($AH$5&lt;&gt;"",--(AH125="Absent"),0),IF($AJ$5&lt;&gt;"",--(AJ125="Absent"),0),IF($AL$5&lt;&gt;"",--(AL125="Absent"),0),IF($AN$5&lt;&gt;"",--(AN125="Absent"),0),IF($AP$5&lt;&gt;"",--(AP125="Absent"),0),IF($AR$5&lt;&gt;"",--(AR125="Absent"),0),IF($AT$5&lt;&gt;"",--(AT125="Absent"),0),IF($AV$5&lt;&gt;"",--(AV125="Absent"),0),IF($AX$5&lt;&gt;"",--(AX125="Absent"),0),IF($AZ$5&lt;&gt;"",--(AZ125="Absent"),0),IF($BB$5&lt;&gt;"",--(BB125="Absent"),0),IF($BD$5&lt;&gt;"",--(BD125="Absent"),0),IF($BF$5&lt;&gt;"",--(BF125="Absent"),0),IF($BH$5&lt;&gt;"",--(BH125="Absent"),0),IF($BJ$5&lt;&gt;"",--(BJ125="Absent"),0),IF($BL$5&lt;&gt;"",--(BL125="Absent"),0)))</f>
      </c>
      <c r="BP125" s="22">
        <f>IF($A125="","",SUM(IF($D$5&lt;&gt;"",--(D125="Congé"),0),IF($F$5&lt;&gt;"",--(F125="Congé"),0),IF($H$5&lt;&gt;"",--(H125="Congé"),0),IF($J$5&lt;&gt;"",--(J125="Congé"),0),IF($L$5&lt;&gt;"",--(L125="Congé"),0),IF($N$5&lt;&gt;"",--(N125="Congé"),0),IF($P$5&lt;&gt;"",--(P125="Congé"),0),IF($R$5&lt;&gt;"",--(R125="Congé"),0),IF($T$5&lt;&gt;"",--(T125="Congé"),0),IF($V$5&lt;&gt;"",--(V125="Congé"),0),IF($X$5&lt;&gt;"",--(X125="Congé"),0),IF($Z$5&lt;&gt;"",--(Z125="Congé"),0),IF($AB$5&lt;&gt;"",--(AB125="Congé"),0),IF($AD$5&lt;&gt;"",--(AD125="Congé"),0),IF($AF$5&lt;&gt;"",--(AF125="Congé"),0),IF($AH$5&lt;&gt;"",--(AH125="Congé"),0),IF($AJ$5&lt;&gt;"",--(AJ125="Congé"),0),IF($AL$5&lt;&gt;"",--(AL125="Congé"),0),IF($AN$5&lt;&gt;"",--(AN125="Congé"),0),IF($AP$5&lt;&gt;"",--(AP125="Congé"),0),IF($AR$5&lt;&gt;"",--(AR125="Congé"),0),IF($AT$5&lt;&gt;"",--(AT125="Congé"),0),IF($AV$5&lt;&gt;"",--(AV125="Congé"),0),IF($AX$5&lt;&gt;"",--(AX125="Congé"),0),IF($AZ$5&lt;&gt;"",--(AZ125="Congé"),0),IF($BB$5&lt;&gt;"",--(BB125="Congé"),0),IF($BD$5&lt;&gt;"",--(BD125="Congé"),0),IF($BF$5&lt;&gt;"",--(BF125="Congé"),0),IF($BH$5&lt;&gt;"",--(BH125="Congé"),0),IF($BJ$5&lt;&gt;"",--(BJ125="Congé"),0),IF($BL$5&lt;&gt;"",--(BL125="Congé"),0)))</f>
      </c>
      <c r="BQ125" s="22">
        <f>IF($A125="","",SUM(IF($D$5&lt;&gt;"",--(D125="Maladie"),0),IF($F$5&lt;&gt;"",--(F125="Maladie"),0),IF($H$5&lt;&gt;"",--(H125="Maladie"),0),IF($J$5&lt;&gt;"",--(J125="Maladie"),0),IF($L$5&lt;&gt;"",--(L125="Maladie"),0),IF($N$5&lt;&gt;"",--(N125="Maladie"),0),IF($P$5&lt;&gt;"",--(P125="Maladie"),0),IF($R$5&lt;&gt;"",--(R125="Maladie"),0),IF($T$5&lt;&gt;"",--(T125="Maladie"),0),IF($V$5&lt;&gt;"",--(V125="Maladie"),0),IF($X$5&lt;&gt;"",--(X125="Maladie"),0),IF($Z$5&lt;&gt;"",--(Z125="Maladie"),0),IF($AB$5&lt;&gt;"",--(AB125="Maladie"),0),IF($AD$5&lt;&gt;"",--(AD125="Maladie"),0),IF($AF$5&lt;&gt;"",--(AF125="Maladie"),0),IF($AH$5&lt;&gt;"",--(AH125="Maladie"),0),IF($AJ$5&lt;&gt;"",--(AJ125="Maladie"),0),IF($AL$5&lt;&gt;"",--(AL125="Maladie"),0),IF($AN$5&lt;&gt;"",--(AN125="Maladie"),0),IF($AP$5&lt;&gt;"",--(AP125="Maladie"),0),IF($AR$5&lt;&gt;"",--(AR125="Maladie"),0),IF($AT$5&lt;&gt;"",--(AT125="Maladie"),0),IF($AV$5&lt;&gt;"",--(AV125="Maladie"),0),IF($AX$5&lt;&gt;"",--(AX125="Maladie"),0),IF($AZ$5&lt;&gt;"",--(AZ125="Maladie"),0),IF($BB$5&lt;&gt;"",--(BB125="Maladie"),0),IF($BD$5&lt;&gt;"",--(BD125="Maladie"),0),IF($BF$5&lt;&gt;"",--(BF125="Maladie"),0),IF($BH$5&lt;&gt;"",--(BH125="Maladie"),0),IF($BJ$5&lt;&gt;"",--(BJ125="Maladie"),0),IF($BL$5&lt;&gt;"",--(BL125="Maladie"),0)))</f>
      </c>
      <c r="BR125" s="23">
        <f>IF($A125="","",SUM(IF($D$5&lt;&gt;"",IF(D125="Présent",E125,0),0),IF($F$5&lt;&gt;"",IF(F125="Présent",G125,0),0),IF($H$5&lt;&gt;"",IF(H125="Présent",I125,0),0),IF($J$5&lt;&gt;"",IF(J125="Présent",K125,0),0),IF($L$5&lt;&gt;"",IF(L125="Présent",M125,0),0),IF($N$5&lt;&gt;"",IF(N125="Présent",O125,0),0),IF($P$5&lt;&gt;"",IF(P125="Présent",Q125,0),0),IF($R$5&lt;&gt;"",IF(R125="Présent",S125,0),0),IF($T$5&lt;&gt;"",IF(T125="Présent",U125,0),0),IF($V$5&lt;&gt;"",IF(V125="Présent",W125,0),0),IF($X$5&lt;&gt;"",IF(X125="Présent",Y125,0),0),IF($Z$5&lt;&gt;"",IF(Z125="Présent",AA125,0),0),IF($AB$5&lt;&gt;"",IF(AB125="Présent",AC125,0),0),IF($AD$5&lt;&gt;"",IF(AD125="Présent",AE125,0),0),IF($AF$5&lt;&gt;"",IF(AF125="Présent",AG125,0),0),IF($AH$5&lt;&gt;"",IF(AH125="Présent",AI125,0),0),IF($AJ$5&lt;&gt;"",IF(AJ125="Présent",AK125,0),0),IF($AL$5&lt;&gt;"",IF(AL125="Présent",AM125,0),0),IF($AN$5&lt;&gt;"",IF(AN125="Présent",AO125,0),0),IF($AP$5&lt;&gt;"",IF(AP125="Présent",AQ125,0),0),IF($AR$5&lt;&gt;"",IF(AR125="Présent",AS125,0),0),IF($AT$5&lt;&gt;"",IF(AT125="Présent",AU125,0),0),IF($AV$5&lt;&gt;"",IF(AV125="Présent",AW125,0),0),IF($AX$5&lt;&gt;"",IF(AX125="Présent",AY125,0),0),IF($AZ$5&lt;&gt;"",IF(AZ125="Présent",BA125,0),0),IF($BB$5&lt;&gt;"",IF(BB125="Présent",BC125,0),0),IF($BD$5&lt;&gt;"",IF(BD125="Présent",BE125,0),0),IF($BF$5&lt;&gt;"",IF(BF125="Présent",BG125,0),0),IF($BH$5&lt;&gt;"",IF(BH125="Présent",BI125,0),0),IF($BJ$5&lt;&gt;"",IF(BJ125="Présent",BK125,0),0),IF($BL$5&lt;&gt;"",IF(BL125="Présent",BM125,0),0)))</f>
      </c>
      <c r="BS125" s="25">
        <f>IF($A125="","",$BN125*IFERROR(INDEX(Categories_Salaire,MATCH($C125,ListeCategories,0)),0)+$BR125*IF(IFERROR(INDEX(Categories_TauxHS,MATCH($C125,ListeCategories,0)),0)&gt;0,IFERROR(INDEX(Categories_TauxHS,MATCH($C125,ListeCategories,0)),0),TauxHSDefaut))</f>
      </c>
    </row>
    <row r="126">
      <c r="A126" s="20">
        <f>IF(AND(INDEX(Employes_Nom,120)&lt;&gt;"",INDEX(Employes_Statut,120)="Actif",OR(INDEX(Employes_Embauche,120)="",INDEX(Employes_Embauche,120)&lt;=EOMONTH(DATE(AnneeCourante,MoisCourant,1),0))),INDEX(Employes_ID,120),"")</f>
      </c>
      <c r="B126" s="19">
        <f>IF($A126="","",INDEX(Employes_Nom,MATCH($A126,Employes_ID,0)))</f>
      </c>
      <c r="C126" s="20">
        <f>IF($A126="","",INDEX(Employes_Categorie,MATCH($A126,Employes_ID,0)))</f>
      </c>
      <c r="D126" s="26"/>
      <c r="E126" s="27"/>
      <c r="F126" s="26"/>
      <c r="G126" s="27"/>
      <c r="H126" s="26"/>
      <c r="I126" s="27"/>
      <c r="J126" s="26"/>
      <c r="K126" s="27"/>
      <c r="L126" s="26"/>
      <c r="M126" s="27"/>
      <c r="N126" s="26"/>
      <c r="O126" s="27"/>
      <c r="P126" s="26"/>
      <c r="Q126" s="27"/>
      <c r="R126" s="26"/>
      <c r="S126" s="27"/>
      <c r="T126" s="26"/>
      <c r="U126" s="27"/>
      <c r="V126" s="26"/>
      <c r="W126" s="27"/>
      <c r="X126" s="26"/>
      <c r="Y126" s="27"/>
      <c r="Z126" s="26"/>
      <c r="AA126" s="27"/>
      <c r="AB126" s="26"/>
      <c r="AC126" s="27"/>
      <c r="AD126" s="26"/>
      <c r="AE126" s="27"/>
      <c r="AF126" s="26"/>
      <c r="AG126" s="27"/>
      <c r="AH126" s="26"/>
      <c r="AI126" s="27"/>
      <c r="AJ126" s="26"/>
      <c r="AK126" s="27"/>
      <c r="AL126" s="26"/>
      <c r="AM126" s="27"/>
      <c r="AN126" s="26"/>
      <c r="AO126" s="27"/>
      <c r="AP126" s="26"/>
      <c r="AQ126" s="27"/>
      <c r="AR126" s="26"/>
      <c r="AS126" s="27"/>
      <c r="AT126" s="26"/>
      <c r="AU126" s="27"/>
      <c r="AV126" s="26"/>
      <c r="AW126" s="27"/>
      <c r="AX126" s="26"/>
      <c r="AY126" s="27"/>
      <c r="AZ126" s="26"/>
      <c r="BA126" s="27"/>
      <c r="BB126" s="26"/>
      <c r="BC126" s="27"/>
      <c r="BD126" s="26"/>
      <c r="BE126" s="27"/>
      <c r="BF126" s="26"/>
      <c r="BG126" s="27"/>
      <c r="BH126" s="26"/>
      <c r="BI126" s="27"/>
      <c r="BJ126" s="26"/>
      <c r="BK126" s="27"/>
      <c r="BL126" s="26"/>
      <c r="BM126" s="27"/>
      <c r="BN126" s="22">
        <f>IF($A126="","",SUM(IF($D$5&lt;&gt;"",--(D126="Présent"),0),IF($F$5&lt;&gt;"",--(F126="Présent"),0),IF($H$5&lt;&gt;"",--(H126="Présent"),0),IF($J$5&lt;&gt;"",--(J126="Présent"),0),IF($L$5&lt;&gt;"",--(L126="Présent"),0),IF($N$5&lt;&gt;"",--(N126="Présent"),0),IF($P$5&lt;&gt;"",--(P126="Présent"),0),IF($R$5&lt;&gt;"",--(R126="Présent"),0),IF($T$5&lt;&gt;"",--(T126="Présent"),0),IF($V$5&lt;&gt;"",--(V126="Présent"),0),IF($X$5&lt;&gt;"",--(X126="Présent"),0),IF($Z$5&lt;&gt;"",--(Z126="Présent"),0),IF($AB$5&lt;&gt;"",--(AB126="Présent"),0),IF($AD$5&lt;&gt;"",--(AD126="Présent"),0),IF($AF$5&lt;&gt;"",--(AF126="Présent"),0),IF($AH$5&lt;&gt;"",--(AH126="Présent"),0),IF($AJ$5&lt;&gt;"",--(AJ126="Présent"),0),IF($AL$5&lt;&gt;"",--(AL126="Présent"),0),IF($AN$5&lt;&gt;"",--(AN126="Présent"),0),IF($AP$5&lt;&gt;"",--(AP126="Présent"),0),IF($AR$5&lt;&gt;"",--(AR126="Présent"),0),IF($AT$5&lt;&gt;"",--(AT126="Présent"),0),IF($AV$5&lt;&gt;"",--(AV126="Présent"),0),IF($AX$5&lt;&gt;"",--(AX126="Présent"),0),IF($AZ$5&lt;&gt;"",--(AZ126="Présent"),0),IF($BB$5&lt;&gt;"",--(BB126="Présent"),0),IF($BD$5&lt;&gt;"",--(BD126="Présent"),0),IF($BF$5&lt;&gt;"",--(BF126="Présent"),0),IF($BH$5&lt;&gt;"",--(BH126="Présent"),0),IF($BJ$5&lt;&gt;"",--(BJ126="Présent"),0),IF($BL$5&lt;&gt;"",--(BL126="Présent"),0)))</f>
      </c>
      <c r="BO126" s="22">
        <f>IF($A126="","",SUM(IF($D$5&lt;&gt;"",--(D126="Absent"),0),IF($F$5&lt;&gt;"",--(F126="Absent"),0),IF($H$5&lt;&gt;"",--(H126="Absent"),0),IF($J$5&lt;&gt;"",--(J126="Absent"),0),IF($L$5&lt;&gt;"",--(L126="Absent"),0),IF($N$5&lt;&gt;"",--(N126="Absent"),0),IF($P$5&lt;&gt;"",--(P126="Absent"),0),IF($R$5&lt;&gt;"",--(R126="Absent"),0),IF($T$5&lt;&gt;"",--(T126="Absent"),0),IF($V$5&lt;&gt;"",--(V126="Absent"),0),IF($X$5&lt;&gt;"",--(X126="Absent"),0),IF($Z$5&lt;&gt;"",--(Z126="Absent"),0),IF($AB$5&lt;&gt;"",--(AB126="Absent"),0),IF($AD$5&lt;&gt;"",--(AD126="Absent"),0),IF($AF$5&lt;&gt;"",--(AF126="Absent"),0),IF($AH$5&lt;&gt;"",--(AH126="Absent"),0),IF($AJ$5&lt;&gt;"",--(AJ126="Absent"),0),IF($AL$5&lt;&gt;"",--(AL126="Absent"),0),IF($AN$5&lt;&gt;"",--(AN126="Absent"),0),IF($AP$5&lt;&gt;"",--(AP126="Absent"),0),IF($AR$5&lt;&gt;"",--(AR126="Absent"),0),IF($AT$5&lt;&gt;"",--(AT126="Absent"),0),IF($AV$5&lt;&gt;"",--(AV126="Absent"),0),IF($AX$5&lt;&gt;"",--(AX126="Absent"),0),IF($AZ$5&lt;&gt;"",--(AZ126="Absent"),0),IF($BB$5&lt;&gt;"",--(BB126="Absent"),0),IF($BD$5&lt;&gt;"",--(BD126="Absent"),0),IF($BF$5&lt;&gt;"",--(BF126="Absent"),0),IF($BH$5&lt;&gt;"",--(BH126="Absent"),0),IF($BJ$5&lt;&gt;"",--(BJ126="Absent"),0),IF($BL$5&lt;&gt;"",--(BL126="Absent"),0)))</f>
      </c>
      <c r="BP126" s="22">
        <f>IF($A126="","",SUM(IF($D$5&lt;&gt;"",--(D126="Congé"),0),IF($F$5&lt;&gt;"",--(F126="Congé"),0),IF($H$5&lt;&gt;"",--(H126="Congé"),0),IF($J$5&lt;&gt;"",--(J126="Congé"),0),IF($L$5&lt;&gt;"",--(L126="Congé"),0),IF($N$5&lt;&gt;"",--(N126="Congé"),0),IF($P$5&lt;&gt;"",--(P126="Congé"),0),IF($R$5&lt;&gt;"",--(R126="Congé"),0),IF($T$5&lt;&gt;"",--(T126="Congé"),0),IF($V$5&lt;&gt;"",--(V126="Congé"),0),IF($X$5&lt;&gt;"",--(X126="Congé"),0),IF($Z$5&lt;&gt;"",--(Z126="Congé"),0),IF($AB$5&lt;&gt;"",--(AB126="Congé"),0),IF($AD$5&lt;&gt;"",--(AD126="Congé"),0),IF($AF$5&lt;&gt;"",--(AF126="Congé"),0),IF($AH$5&lt;&gt;"",--(AH126="Congé"),0),IF($AJ$5&lt;&gt;"",--(AJ126="Congé"),0),IF($AL$5&lt;&gt;"",--(AL126="Congé"),0),IF($AN$5&lt;&gt;"",--(AN126="Congé"),0),IF($AP$5&lt;&gt;"",--(AP126="Congé"),0),IF($AR$5&lt;&gt;"",--(AR126="Congé"),0),IF($AT$5&lt;&gt;"",--(AT126="Congé"),0),IF($AV$5&lt;&gt;"",--(AV126="Congé"),0),IF($AX$5&lt;&gt;"",--(AX126="Congé"),0),IF($AZ$5&lt;&gt;"",--(AZ126="Congé"),0),IF($BB$5&lt;&gt;"",--(BB126="Congé"),0),IF($BD$5&lt;&gt;"",--(BD126="Congé"),0),IF($BF$5&lt;&gt;"",--(BF126="Congé"),0),IF($BH$5&lt;&gt;"",--(BH126="Congé"),0),IF($BJ$5&lt;&gt;"",--(BJ126="Congé"),0),IF($BL$5&lt;&gt;"",--(BL126="Congé"),0)))</f>
      </c>
      <c r="BQ126" s="22">
        <f>IF($A126="","",SUM(IF($D$5&lt;&gt;"",--(D126="Maladie"),0),IF($F$5&lt;&gt;"",--(F126="Maladie"),0),IF($H$5&lt;&gt;"",--(H126="Maladie"),0),IF($J$5&lt;&gt;"",--(J126="Maladie"),0),IF($L$5&lt;&gt;"",--(L126="Maladie"),0),IF($N$5&lt;&gt;"",--(N126="Maladie"),0),IF($P$5&lt;&gt;"",--(P126="Maladie"),0),IF($R$5&lt;&gt;"",--(R126="Maladie"),0),IF($T$5&lt;&gt;"",--(T126="Maladie"),0),IF($V$5&lt;&gt;"",--(V126="Maladie"),0),IF($X$5&lt;&gt;"",--(X126="Maladie"),0),IF($Z$5&lt;&gt;"",--(Z126="Maladie"),0),IF($AB$5&lt;&gt;"",--(AB126="Maladie"),0),IF($AD$5&lt;&gt;"",--(AD126="Maladie"),0),IF($AF$5&lt;&gt;"",--(AF126="Maladie"),0),IF($AH$5&lt;&gt;"",--(AH126="Maladie"),0),IF($AJ$5&lt;&gt;"",--(AJ126="Maladie"),0),IF($AL$5&lt;&gt;"",--(AL126="Maladie"),0),IF($AN$5&lt;&gt;"",--(AN126="Maladie"),0),IF($AP$5&lt;&gt;"",--(AP126="Maladie"),0),IF($AR$5&lt;&gt;"",--(AR126="Maladie"),0),IF($AT$5&lt;&gt;"",--(AT126="Maladie"),0),IF($AV$5&lt;&gt;"",--(AV126="Maladie"),0),IF($AX$5&lt;&gt;"",--(AX126="Maladie"),0),IF($AZ$5&lt;&gt;"",--(AZ126="Maladie"),0),IF($BB$5&lt;&gt;"",--(BB126="Maladie"),0),IF($BD$5&lt;&gt;"",--(BD126="Maladie"),0),IF($BF$5&lt;&gt;"",--(BF126="Maladie"),0),IF($BH$5&lt;&gt;"",--(BH126="Maladie"),0),IF($BJ$5&lt;&gt;"",--(BJ126="Maladie"),0),IF($BL$5&lt;&gt;"",--(BL126="Maladie"),0)))</f>
      </c>
      <c r="BR126" s="23">
        <f>IF($A126="","",SUM(IF($D$5&lt;&gt;"",IF(D126="Présent",E126,0),0),IF($F$5&lt;&gt;"",IF(F126="Présent",G126,0),0),IF($H$5&lt;&gt;"",IF(H126="Présent",I126,0),0),IF($J$5&lt;&gt;"",IF(J126="Présent",K126,0),0),IF($L$5&lt;&gt;"",IF(L126="Présent",M126,0),0),IF($N$5&lt;&gt;"",IF(N126="Présent",O126,0),0),IF($P$5&lt;&gt;"",IF(P126="Présent",Q126,0),0),IF($R$5&lt;&gt;"",IF(R126="Présent",S126,0),0),IF($T$5&lt;&gt;"",IF(T126="Présent",U126,0),0),IF($V$5&lt;&gt;"",IF(V126="Présent",W126,0),0),IF($X$5&lt;&gt;"",IF(X126="Présent",Y126,0),0),IF($Z$5&lt;&gt;"",IF(Z126="Présent",AA126,0),0),IF($AB$5&lt;&gt;"",IF(AB126="Présent",AC126,0),0),IF($AD$5&lt;&gt;"",IF(AD126="Présent",AE126,0),0),IF($AF$5&lt;&gt;"",IF(AF126="Présent",AG126,0),0),IF($AH$5&lt;&gt;"",IF(AH126="Présent",AI126,0),0),IF($AJ$5&lt;&gt;"",IF(AJ126="Présent",AK126,0),0),IF($AL$5&lt;&gt;"",IF(AL126="Présent",AM126,0),0),IF($AN$5&lt;&gt;"",IF(AN126="Présent",AO126,0),0),IF($AP$5&lt;&gt;"",IF(AP126="Présent",AQ126,0),0),IF($AR$5&lt;&gt;"",IF(AR126="Présent",AS126,0),0),IF($AT$5&lt;&gt;"",IF(AT126="Présent",AU126,0),0),IF($AV$5&lt;&gt;"",IF(AV126="Présent",AW126,0),0),IF($AX$5&lt;&gt;"",IF(AX126="Présent",AY126,0),0),IF($AZ$5&lt;&gt;"",IF(AZ126="Présent",BA126,0),0),IF($BB$5&lt;&gt;"",IF(BB126="Présent",BC126,0),0),IF($BD$5&lt;&gt;"",IF(BD126="Présent",BE126,0),0),IF($BF$5&lt;&gt;"",IF(BF126="Présent",BG126,0),0),IF($BH$5&lt;&gt;"",IF(BH126="Présent",BI126,0),0),IF($BJ$5&lt;&gt;"",IF(BJ126="Présent",BK126,0),0),IF($BL$5&lt;&gt;"",IF(BL126="Présent",BM126,0),0)))</f>
      </c>
      <c r="BS126" s="25">
        <f>IF($A126="","",$BN126*IFERROR(INDEX(Categories_Salaire,MATCH($C126,ListeCategories,0)),0)+$BR126*IF(IFERROR(INDEX(Categories_TauxHS,MATCH($C126,ListeCategories,0)),0)&gt;0,IFERROR(INDEX(Categories_TauxHS,MATCH($C126,ListeCategories,0)),0),TauxHSDefaut))</f>
      </c>
    </row>
    <row r="127">
      <c r="A127" s="20">
        <f>IF(AND(INDEX(Employes_Nom,121)&lt;&gt;"",INDEX(Employes_Statut,121)="Actif",OR(INDEX(Employes_Embauche,121)="",INDEX(Employes_Embauche,121)&lt;=EOMONTH(DATE(AnneeCourante,MoisCourant,1),0))),INDEX(Employes_ID,121),"")</f>
      </c>
      <c r="B127" s="19">
        <f>IF($A127="","",INDEX(Employes_Nom,MATCH($A127,Employes_ID,0)))</f>
      </c>
      <c r="C127" s="20">
        <f>IF($A127="","",INDEX(Employes_Categorie,MATCH($A127,Employes_ID,0)))</f>
      </c>
      <c r="D127" s="26"/>
      <c r="E127" s="27"/>
      <c r="F127" s="26"/>
      <c r="G127" s="27"/>
      <c r="H127" s="26"/>
      <c r="I127" s="27"/>
      <c r="J127" s="26"/>
      <c r="K127" s="27"/>
      <c r="L127" s="26"/>
      <c r="M127" s="27"/>
      <c r="N127" s="26"/>
      <c r="O127" s="27"/>
      <c r="P127" s="26"/>
      <c r="Q127" s="27"/>
      <c r="R127" s="26"/>
      <c r="S127" s="27"/>
      <c r="T127" s="26"/>
      <c r="U127" s="27"/>
      <c r="V127" s="26"/>
      <c r="W127" s="27"/>
      <c r="X127" s="26"/>
      <c r="Y127" s="27"/>
      <c r="Z127" s="26"/>
      <c r="AA127" s="27"/>
      <c r="AB127" s="26"/>
      <c r="AC127" s="27"/>
      <c r="AD127" s="26"/>
      <c r="AE127" s="27"/>
      <c r="AF127" s="26"/>
      <c r="AG127" s="27"/>
      <c r="AH127" s="26"/>
      <c r="AI127" s="27"/>
      <c r="AJ127" s="26"/>
      <c r="AK127" s="27"/>
      <c r="AL127" s="26"/>
      <c r="AM127" s="27"/>
      <c r="AN127" s="26"/>
      <c r="AO127" s="27"/>
      <c r="AP127" s="26"/>
      <c r="AQ127" s="27"/>
      <c r="AR127" s="26"/>
      <c r="AS127" s="27"/>
      <c r="AT127" s="26"/>
      <c r="AU127" s="27"/>
      <c r="AV127" s="26"/>
      <c r="AW127" s="27"/>
      <c r="AX127" s="26"/>
      <c r="AY127" s="27"/>
      <c r="AZ127" s="26"/>
      <c r="BA127" s="27"/>
      <c r="BB127" s="26"/>
      <c r="BC127" s="27"/>
      <c r="BD127" s="26"/>
      <c r="BE127" s="27"/>
      <c r="BF127" s="26"/>
      <c r="BG127" s="27"/>
      <c r="BH127" s="26"/>
      <c r="BI127" s="27"/>
      <c r="BJ127" s="26"/>
      <c r="BK127" s="27"/>
      <c r="BL127" s="26"/>
      <c r="BM127" s="27"/>
      <c r="BN127" s="22">
        <f>IF($A127="","",SUM(IF($D$5&lt;&gt;"",--(D127="Présent"),0),IF($F$5&lt;&gt;"",--(F127="Présent"),0),IF($H$5&lt;&gt;"",--(H127="Présent"),0),IF($J$5&lt;&gt;"",--(J127="Présent"),0),IF($L$5&lt;&gt;"",--(L127="Présent"),0),IF($N$5&lt;&gt;"",--(N127="Présent"),0),IF($P$5&lt;&gt;"",--(P127="Présent"),0),IF($R$5&lt;&gt;"",--(R127="Présent"),0),IF($T$5&lt;&gt;"",--(T127="Présent"),0),IF($V$5&lt;&gt;"",--(V127="Présent"),0),IF($X$5&lt;&gt;"",--(X127="Présent"),0),IF($Z$5&lt;&gt;"",--(Z127="Présent"),0),IF($AB$5&lt;&gt;"",--(AB127="Présent"),0),IF($AD$5&lt;&gt;"",--(AD127="Présent"),0),IF($AF$5&lt;&gt;"",--(AF127="Présent"),0),IF($AH$5&lt;&gt;"",--(AH127="Présent"),0),IF($AJ$5&lt;&gt;"",--(AJ127="Présent"),0),IF($AL$5&lt;&gt;"",--(AL127="Présent"),0),IF($AN$5&lt;&gt;"",--(AN127="Présent"),0),IF($AP$5&lt;&gt;"",--(AP127="Présent"),0),IF($AR$5&lt;&gt;"",--(AR127="Présent"),0),IF($AT$5&lt;&gt;"",--(AT127="Présent"),0),IF($AV$5&lt;&gt;"",--(AV127="Présent"),0),IF($AX$5&lt;&gt;"",--(AX127="Présent"),0),IF($AZ$5&lt;&gt;"",--(AZ127="Présent"),0),IF($BB$5&lt;&gt;"",--(BB127="Présent"),0),IF($BD$5&lt;&gt;"",--(BD127="Présent"),0),IF($BF$5&lt;&gt;"",--(BF127="Présent"),0),IF($BH$5&lt;&gt;"",--(BH127="Présent"),0),IF($BJ$5&lt;&gt;"",--(BJ127="Présent"),0),IF($BL$5&lt;&gt;"",--(BL127="Présent"),0)))</f>
      </c>
      <c r="BO127" s="22">
        <f>IF($A127="","",SUM(IF($D$5&lt;&gt;"",--(D127="Absent"),0),IF($F$5&lt;&gt;"",--(F127="Absent"),0),IF($H$5&lt;&gt;"",--(H127="Absent"),0),IF($J$5&lt;&gt;"",--(J127="Absent"),0),IF($L$5&lt;&gt;"",--(L127="Absent"),0),IF($N$5&lt;&gt;"",--(N127="Absent"),0),IF($P$5&lt;&gt;"",--(P127="Absent"),0),IF($R$5&lt;&gt;"",--(R127="Absent"),0),IF($T$5&lt;&gt;"",--(T127="Absent"),0),IF($V$5&lt;&gt;"",--(V127="Absent"),0),IF($X$5&lt;&gt;"",--(X127="Absent"),0),IF($Z$5&lt;&gt;"",--(Z127="Absent"),0),IF($AB$5&lt;&gt;"",--(AB127="Absent"),0),IF($AD$5&lt;&gt;"",--(AD127="Absent"),0),IF($AF$5&lt;&gt;"",--(AF127="Absent"),0),IF($AH$5&lt;&gt;"",--(AH127="Absent"),0),IF($AJ$5&lt;&gt;"",--(AJ127="Absent"),0),IF($AL$5&lt;&gt;"",--(AL127="Absent"),0),IF($AN$5&lt;&gt;"",--(AN127="Absent"),0),IF($AP$5&lt;&gt;"",--(AP127="Absent"),0),IF($AR$5&lt;&gt;"",--(AR127="Absent"),0),IF($AT$5&lt;&gt;"",--(AT127="Absent"),0),IF($AV$5&lt;&gt;"",--(AV127="Absent"),0),IF($AX$5&lt;&gt;"",--(AX127="Absent"),0),IF($AZ$5&lt;&gt;"",--(AZ127="Absent"),0),IF($BB$5&lt;&gt;"",--(BB127="Absent"),0),IF($BD$5&lt;&gt;"",--(BD127="Absent"),0),IF($BF$5&lt;&gt;"",--(BF127="Absent"),0),IF($BH$5&lt;&gt;"",--(BH127="Absent"),0),IF($BJ$5&lt;&gt;"",--(BJ127="Absent"),0),IF($BL$5&lt;&gt;"",--(BL127="Absent"),0)))</f>
      </c>
      <c r="BP127" s="22">
        <f>IF($A127="","",SUM(IF($D$5&lt;&gt;"",--(D127="Congé"),0),IF($F$5&lt;&gt;"",--(F127="Congé"),0),IF($H$5&lt;&gt;"",--(H127="Congé"),0),IF($J$5&lt;&gt;"",--(J127="Congé"),0),IF($L$5&lt;&gt;"",--(L127="Congé"),0),IF($N$5&lt;&gt;"",--(N127="Congé"),0),IF($P$5&lt;&gt;"",--(P127="Congé"),0),IF($R$5&lt;&gt;"",--(R127="Congé"),0),IF($T$5&lt;&gt;"",--(T127="Congé"),0),IF($V$5&lt;&gt;"",--(V127="Congé"),0),IF($X$5&lt;&gt;"",--(X127="Congé"),0),IF($Z$5&lt;&gt;"",--(Z127="Congé"),0),IF($AB$5&lt;&gt;"",--(AB127="Congé"),0),IF($AD$5&lt;&gt;"",--(AD127="Congé"),0),IF($AF$5&lt;&gt;"",--(AF127="Congé"),0),IF($AH$5&lt;&gt;"",--(AH127="Congé"),0),IF($AJ$5&lt;&gt;"",--(AJ127="Congé"),0),IF($AL$5&lt;&gt;"",--(AL127="Congé"),0),IF($AN$5&lt;&gt;"",--(AN127="Congé"),0),IF($AP$5&lt;&gt;"",--(AP127="Congé"),0),IF($AR$5&lt;&gt;"",--(AR127="Congé"),0),IF($AT$5&lt;&gt;"",--(AT127="Congé"),0),IF($AV$5&lt;&gt;"",--(AV127="Congé"),0),IF($AX$5&lt;&gt;"",--(AX127="Congé"),0),IF($AZ$5&lt;&gt;"",--(AZ127="Congé"),0),IF($BB$5&lt;&gt;"",--(BB127="Congé"),0),IF($BD$5&lt;&gt;"",--(BD127="Congé"),0),IF($BF$5&lt;&gt;"",--(BF127="Congé"),0),IF($BH$5&lt;&gt;"",--(BH127="Congé"),0),IF($BJ$5&lt;&gt;"",--(BJ127="Congé"),0),IF($BL$5&lt;&gt;"",--(BL127="Congé"),0)))</f>
      </c>
      <c r="BQ127" s="22">
        <f>IF($A127="","",SUM(IF($D$5&lt;&gt;"",--(D127="Maladie"),0),IF($F$5&lt;&gt;"",--(F127="Maladie"),0),IF($H$5&lt;&gt;"",--(H127="Maladie"),0),IF($J$5&lt;&gt;"",--(J127="Maladie"),0),IF($L$5&lt;&gt;"",--(L127="Maladie"),0),IF($N$5&lt;&gt;"",--(N127="Maladie"),0),IF($P$5&lt;&gt;"",--(P127="Maladie"),0),IF($R$5&lt;&gt;"",--(R127="Maladie"),0),IF($T$5&lt;&gt;"",--(T127="Maladie"),0),IF($V$5&lt;&gt;"",--(V127="Maladie"),0),IF($X$5&lt;&gt;"",--(X127="Maladie"),0),IF($Z$5&lt;&gt;"",--(Z127="Maladie"),0),IF($AB$5&lt;&gt;"",--(AB127="Maladie"),0),IF($AD$5&lt;&gt;"",--(AD127="Maladie"),0),IF($AF$5&lt;&gt;"",--(AF127="Maladie"),0),IF($AH$5&lt;&gt;"",--(AH127="Maladie"),0),IF($AJ$5&lt;&gt;"",--(AJ127="Maladie"),0),IF($AL$5&lt;&gt;"",--(AL127="Maladie"),0),IF($AN$5&lt;&gt;"",--(AN127="Maladie"),0),IF($AP$5&lt;&gt;"",--(AP127="Maladie"),0),IF($AR$5&lt;&gt;"",--(AR127="Maladie"),0),IF($AT$5&lt;&gt;"",--(AT127="Maladie"),0),IF($AV$5&lt;&gt;"",--(AV127="Maladie"),0),IF($AX$5&lt;&gt;"",--(AX127="Maladie"),0),IF($AZ$5&lt;&gt;"",--(AZ127="Maladie"),0),IF($BB$5&lt;&gt;"",--(BB127="Maladie"),0),IF($BD$5&lt;&gt;"",--(BD127="Maladie"),0),IF($BF$5&lt;&gt;"",--(BF127="Maladie"),0),IF($BH$5&lt;&gt;"",--(BH127="Maladie"),0),IF($BJ$5&lt;&gt;"",--(BJ127="Maladie"),0),IF($BL$5&lt;&gt;"",--(BL127="Maladie"),0)))</f>
      </c>
      <c r="BR127" s="23">
        <f>IF($A127="","",SUM(IF($D$5&lt;&gt;"",IF(D127="Présent",E127,0),0),IF($F$5&lt;&gt;"",IF(F127="Présent",G127,0),0),IF($H$5&lt;&gt;"",IF(H127="Présent",I127,0),0),IF($J$5&lt;&gt;"",IF(J127="Présent",K127,0),0),IF($L$5&lt;&gt;"",IF(L127="Présent",M127,0),0),IF($N$5&lt;&gt;"",IF(N127="Présent",O127,0),0),IF($P$5&lt;&gt;"",IF(P127="Présent",Q127,0),0),IF($R$5&lt;&gt;"",IF(R127="Présent",S127,0),0),IF($T$5&lt;&gt;"",IF(T127="Présent",U127,0),0),IF($V$5&lt;&gt;"",IF(V127="Présent",W127,0),0),IF($X$5&lt;&gt;"",IF(X127="Présent",Y127,0),0),IF($Z$5&lt;&gt;"",IF(Z127="Présent",AA127,0),0),IF($AB$5&lt;&gt;"",IF(AB127="Présent",AC127,0),0),IF($AD$5&lt;&gt;"",IF(AD127="Présent",AE127,0),0),IF($AF$5&lt;&gt;"",IF(AF127="Présent",AG127,0),0),IF($AH$5&lt;&gt;"",IF(AH127="Présent",AI127,0),0),IF($AJ$5&lt;&gt;"",IF(AJ127="Présent",AK127,0),0),IF($AL$5&lt;&gt;"",IF(AL127="Présent",AM127,0),0),IF($AN$5&lt;&gt;"",IF(AN127="Présent",AO127,0),0),IF($AP$5&lt;&gt;"",IF(AP127="Présent",AQ127,0),0),IF($AR$5&lt;&gt;"",IF(AR127="Présent",AS127,0),0),IF($AT$5&lt;&gt;"",IF(AT127="Présent",AU127,0),0),IF($AV$5&lt;&gt;"",IF(AV127="Présent",AW127,0),0),IF($AX$5&lt;&gt;"",IF(AX127="Présent",AY127,0),0),IF($AZ$5&lt;&gt;"",IF(AZ127="Présent",BA127,0),0),IF($BB$5&lt;&gt;"",IF(BB127="Présent",BC127,0),0),IF($BD$5&lt;&gt;"",IF(BD127="Présent",BE127,0),0),IF($BF$5&lt;&gt;"",IF(BF127="Présent",BG127,0),0),IF($BH$5&lt;&gt;"",IF(BH127="Présent",BI127,0),0),IF($BJ$5&lt;&gt;"",IF(BJ127="Présent",BK127,0),0),IF($BL$5&lt;&gt;"",IF(BL127="Présent",BM127,0),0)))</f>
      </c>
      <c r="BS127" s="25">
        <f>IF($A127="","",$BN127*IFERROR(INDEX(Categories_Salaire,MATCH($C127,ListeCategories,0)),0)+$BR127*IF(IFERROR(INDEX(Categories_TauxHS,MATCH($C127,ListeCategories,0)),0)&gt;0,IFERROR(INDEX(Categories_TauxHS,MATCH($C127,ListeCategories,0)),0),TauxHSDefaut))</f>
      </c>
    </row>
    <row r="128">
      <c r="A128" s="20">
        <f>IF(AND(INDEX(Employes_Nom,122)&lt;&gt;"",INDEX(Employes_Statut,122)="Actif",OR(INDEX(Employes_Embauche,122)="",INDEX(Employes_Embauche,122)&lt;=EOMONTH(DATE(AnneeCourante,MoisCourant,1),0))),INDEX(Employes_ID,122),"")</f>
      </c>
      <c r="B128" s="19">
        <f>IF($A128="","",INDEX(Employes_Nom,MATCH($A128,Employes_ID,0)))</f>
      </c>
      <c r="C128" s="20">
        <f>IF($A128="","",INDEX(Employes_Categorie,MATCH($A128,Employes_ID,0)))</f>
      </c>
      <c r="D128" s="26"/>
      <c r="E128" s="27"/>
      <c r="F128" s="26"/>
      <c r="G128" s="27"/>
      <c r="H128" s="26"/>
      <c r="I128" s="27"/>
      <c r="J128" s="26"/>
      <c r="K128" s="27"/>
      <c r="L128" s="26"/>
      <c r="M128" s="27"/>
      <c r="N128" s="26"/>
      <c r="O128" s="27"/>
      <c r="P128" s="26"/>
      <c r="Q128" s="27"/>
      <c r="R128" s="26"/>
      <c r="S128" s="27"/>
      <c r="T128" s="26"/>
      <c r="U128" s="27"/>
      <c r="V128" s="26"/>
      <c r="W128" s="27"/>
      <c r="X128" s="26"/>
      <c r="Y128" s="27"/>
      <c r="Z128" s="26"/>
      <c r="AA128" s="27"/>
      <c r="AB128" s="26"/>
      <c r="AC128" s="27"/>
      <c r="AD128" s="26"/>
      <c r="AE128" s="27"/>
      <c r="AF128" s="26"/>
      <c r="AG128" s="27"/>
      <c r="AH128" s="26"/>
      <c r="AI128" s="27"/>
      <c r="AJ128" s="26"/>
      <c r="AK128" s="27"/>
      <c r="AL128" s="26"/>
      <c r="AM128" s="27"/>
      <c r="AN128" s="26"/>
      <c r="AO128" s="27"/>
      <c r="AP128" s="26"/>
      <c r="AQ128" s="27"/>
      <c r="AR128" s="26"/>
      <c r="AS128" s="27"/>
      <c r="AT128" s="26"/>
      <c r="AU128" s="27"/>
      <c r="AV128" s="26"/>
      <c r="AW128" s="27"/>
      <c r="AX128" s="26"/>
      <c r="AY128" s="27"/>
      <c r="AZ128" s="26"/>
      <c r="BA128" s="27"/>
      <c r="BB128" s="26"/>
      <c r="BC128" s="27"/>
      <c r="BD128" s="26"/>
      <c r="BE128" s="27"/>
      <c r="BF128" s="26"/>
      <c r="BG128" s="27"/>
      <c r="BH128" s="26"/>
      <c r="BI128" s="27"/>
      <c r="BJ128" s="26"/>
      <c r="BK128" s="27"/>
      <c r="BL128" s="26"/>
      <c r="BM128" s="27"/>
      <c r="BN128" s="22">
        <f>IF($A128="","",SUM(IF($D$5&lt;&gt;"",--(D128="Présent"),0),IF($F$5&lt;&gt;"",--(F128="Présent"),0),IF($H$5&lt;&gt;"",--(H128="Présent"),0),IF($J$5&lt;&gt;"",--(J128="Présent"),0),IF($L$5&lt;&gt;"",--(L128="Présent"),0),IF($N$5&lt;&gt;"",--(N128="Présent"),0),IF($P$5&lt;&gt;"",--(P128="Présent"),0),IF($R$5&lt;&gt;"",--(R128="Présent"),0),IF($T$5&lt;&gt;"",--(T128="Présent"),0),IF($V$5&lt;&gt;"",--(V128="Présent"),0),IF($X$5&lt;&gt;"",--(X128="Présent"),0),IF($Z$5&lt;&gt;"",--(Z128="Présent"),0),IF($AB$5&lt;&gt;"",--(AB128="Présent"),0),IF($AD$5&lt;&gt;"",--(AD128="Présent"),0),IF($AF$5&lt;&gt;"",--(AF128="Présent"),0),IF($AH$5&lt;&gt;"",--(AH128="Présent"),0),IF($AJ$5&lt;&gt;"",--(AJ128="Présent"),0),IF($AL$5&lt;&gt;"",--(AL128="Présent"),0),IF($AN$5&lt;&gt;"",--(AN128="Présent"),0),IF($AP$5&lt;&gt;"",--(AP128="Présent"),0),IF($AR$5&lt;&gt;"",--(AR128="Présent"),0),IF($AT$5&lt;&gt;"",--(AT128="Présent"),0),IF($AV$5&lt;&gt;"",--(AV128="Présent"),0),IF($AX$5&lt;&gt;"",--(AX128="Présent"),0),IF($AZ$5&lt;&gt;"",--(AZ128="Présent"),0),IF($BB$5&lt;&gt;"",--(BB128="Présent"),0),IF($BD$5&lt;&gt;"",--(BD128="Présent"),0),IF($BF$5&lt;&gt;"",--(BF128="Présent"),0),IF($BH$5&lt;&gt;"",--(BH128="Présent"),0),IF($BJ$5&lt;&gt;"",--(BJ128="Présent"),0),IF($BL$5&lt;&gt;"",--(BL128="Présent"),0)))</f>
      </c>
      <c r="BO128" s="22">
        <f>IF($A128="","",SUM(IF($D$5&lt;&gt;"",--(D128="Absent"),0),IF($F$5&lt;&gt;"",--(F128="Absent"),0),IF($H$5&lt;&gt;"",--(H128="Absent"),0),IF($J$5&lt;&gt;"",--(J128="Absent"),0),IF($L$5&lt;&gt;"",--(L128="Absent"),0),IF($N$5&lt;&gt;"",--(N128="Absent"),0),IF($P$5&lt;&gt;"",--(P128="Absent"),0),IF($R$5&lt;&gt;"",--(R128="Absent"),0),IF($T$5&lt;&gt;"",--(T128="Absent"),0),IF($V$5&lt;&gt;"",--(V128="Absent"),0),IF($X$5&lt;&gt;"",--(X128="Absent"),0),IF($Z$5&lt;&gt;"",--(Z128="Absent"),0),IF($AB$5&lt;&gt;"",--(AB128="Absent"),0),IF($AD$5&lt;&gt;"",--(AD128="Absent"),0),IF($AF$5&lt;&gt;"",--(AF128="Absent"),0),IF($AH$5&lt;&gt;"",--(AH128="Absent"),0),IF($AJ$5&lt;&gt;"",--(AJ128="Absent"),0),IF($AL$5&lt;&gt;"",--(AL128="Absent"),0),IF($AN$5&lt;&gt;"",--(AN128="Absent"),0),IF($AP$5&lt;&gt;"",--(AP128="Absent"),0),IF($AR$5&lt;&gt;"",--(AR128="Absent"),0),IF($AT$5&lt;&gt;"",--(AT128="Absent"),0),IF($AV$5&lt;&gt;"",--(AV128="Absent"),0),IF($AX$5&lt;&gt;"",--(AX128="Absent"),0),IF($AZ$5&lt;&gt;"",--(AZ128="Absent"),0),IF($BB$5&lt;&gt;"",--(BB128="Absent"),0),IF($BD$5&lt;&gt;"",--(BD128="Absent"),0),IF($BF$5&lt;&gt;"",--(BF128="Absent"),0),IF($BH$5&lt;&gt;"",--(BH128="Absent"),0),IF($BJ$5&lt;&gt;"",--(BJ128="Absent"),0),IF($BL$5&lt;&gt;"",--(BL128="Absent"),0)))</f>
      </c>
      <c r="BP128" s="22">
        <f>IF($A128="","",SUM(IF($D$5&lt;&gt;"",--(D128="Congé"),0),IF($F$5&lt;&gt;"",--(F128="Congé"),0),IF($H$5&lt;&gt;"",--(H128="Congé"),0),IF($J$5&lt;&gt;"",--(J128="Congé"),0),IF($L$5&lt;&gt;"",--(L128="Congé"),0),IF($N$5&lt;&gt;"",--(N128="Congé"),0),IF($P$5&lt;&gt;"",--(P128="Congé"),0),IF($R$5&lt;&gt;"",--(R128="Congé"),0),IF($T$5&lt;&gt;"",--(T128="Congé"),0),IF($V$5&lt;&gt;"",--(V128="Congé"),0),IF($X$5&lt;&gt;"",--(X128="Congé"),0),IF($Z$5&lt;&gt;"",--(Z128="Congé"),0),IF($AB$5&lt;&gt;"",--(AB128="Congé"),0),IF($AD$5&lt;&gt;"",--(AD128="Congé"),0),IF($AF$5&lt;&gt;"",--(AF128="Congé"),0),IF($AH$5&lt;&gt;"",--(AH128="Congé"),0),IF($AJ$5&lt;&gt;"",--(AJ128="Congé"),0),IF($AL$5&lt;&gt;"",--(AL128="Congé"),0),IF($AN$5&lt;&gt;"",--(AN128="Congé"),0),IF($AP$5&lt;&gt;"",--(AP128="Congé"),0),IF($AR$5&lt;&gt;"",--(AR128="Congé"),0),IF($AT$5&lt;&gt;"",--(AT128="Congé"),0),IF($AV$5&lt;&gt;"",--(AV128="Congé"),0),IF($AX$5&lt;&gt;"",--(AX128="Congé"),0),IF($AZ$5&lt;&gt;"",--(AZ128="Congé"),0),IF($BB$5&lt;&gt;"",--(BB128="Congé"),0),IF($BD$5&lt;&gt;"",--(BD128="Congé"),0),IF($BF$5&lt;&gt;"",--(BF128="Congé"),0),IF($BH$5&lt;&gt;"",--(BH128="Congé"),0),IF($BJ$5&lt;&gt;"",--(BJ128="Congé"),0),IF($BL$5&lt;&gt;"",--(BL128="Congé"),0)))</f>
      </c>
      <c r="BQ128" s="22">
        <f>IF($A128="","",SUM(IF($D$5&lt;&gt;"",--(D128="Maladie"),0),IF($F$5&lt;&gt;"",--(F128="Maladie"),0),IF($H$5&lt;&gt;"",--(H128="Maladie"),0),IF($J$5&lt;&gt;"",--(J128="Maladie"),0),IF($L$5&lt;&gt;"",--(L128="Maladie"),0),IF($N$5&lt;&gt;"",--(N128="Maladie"),0),IF($P$5&lt;&gt;"",--(P128="Maladie"),0),IF($R$5&lt;&gt;"",--(R128="Maladie"),0),IF($T$5&lt;&gt;"",--(T128="Maladie"),0),IF($V$5&lt;&gt;"",--(V128="Maladie"),0),IF($X$5&lt;&gt;"",--(X128="Maladie"),0),IF($Z$5&lt;&gt;"",--(Z128="Maladie"),0),IF($AB$5&lt;&gt;"",--(AB128="Maladie"),0),IF($AD$5&lt;&gt;"",--(AD128="Maladie"),0),IF($AF$5&lt;&gt;"",--(AF128="Maladie"),0),IF($AH$5&lt;&gt;"",--(AH128="Maladie"),0),IF($AJ$5&lt;&gt;"",--(AJ128="Maladie"),0),IF($AL$5&lt;&gt;"",--(AL128="Maladie"),0),IF($AN$5&lt;&gt;"",--(AN128="Maladie"),0),IF($AP$5&lt;&gt;"",--(AP128="Maladie"),0),IF($AR$5&lt;&gt;"",--(AR128="Maladie"),0),IF($AT$5&lt;&gt;"",--(AT128="Maladie"),0),IF($AV$5&lt;&gt;"",--(AV128="Maladie"),0),IF($AX$5&lt;&gt;"",--(AX128="Maladie"),0),IF($AZ$5&lt;&gt;"",--(AZ128="Maladie"),0),IF($BB$5&lt;&gt;"",--(BB128="Maladie"),0),IF($BD$5&lt;&gt;"",--(BD128="Maladie"),0),IF($BF$5&lt;&gt;"",--(BF128="Maladie"),0),IF($BH$5&lt;&gt;"",--(BH128="Maladie"),0),IF($BJ$5&lt;&gt;"",--(BJ128="Maladie"),0),IF($BL$5&lt;&gt;"",--(BL128="Maladie"),0)))</f>
      </c>
      <c r="BR128" s="23">
        <f>IF($A128="","",SUM(IF($D$5&lt;&gt;"",IF(D128="Présent",E128,0),0),IF($F$5&lt;&gt;"",IF(F128="Présent",G128,0),0),IF($H$5&lt;&gt;"",IF(H128="Présent",I128,0),0),IF($J$5&lt;&gt;"",IF(J128="Présent",K128,0),0),IF($L$5&lt;&gt;"",IF(L128="Présent",M128,0),0),IF($N$5&lt;&gt;"",IF(N128="Présent",O128,0),0),IF($P$5&lt;&gt;"",IF(P128="Présent",Q128,0),0),IF($R$5&lt;&gt;"",IF(R128="Présent",S128,0),0),IF($T$5&lt;&gt;"",IF(T128="Présent",U128,0),0),IF($V$5&lt;&gt;"",IF(V128="Présent",W128,0),0),IF($X$5&lt;&gt;"",IF(X128="Présent",Y128,0),0),IF($Z$5&lt;&gt;"",IF(Z128="Présent",AA128,0),0),IF($AB$5&lt;&gt;"",IF(AB128="Présent",AC128,0),0),IF($AD$5&lt;&gt;"",IF(AD128="Présent",AE128,0),0),IF($AF$5&lt;&gt;"",IF(AF128="Présent",AG128,0),0),IF($AH$5&lt;&gt;"",IF(AH128="Présent",AI128,0),0),IF($AJ$5&lt;&gt;"",IF(AJ128="Présent",AK128,0),0),IF($AL$5&lt;&gt;"",IF(AL128="Présent",AM128,0),0),IF($AN$5&lt;&gt;"",IF(AN128="Présent",AO128,0),0),IF($AP$5&lt;&gt;"",IF(AP128="Présent",AQ128,0),0),IF($AR$5&lt;&gt;"",IF(AR128="Présent",AS128,0),0),IF($AT$5&lt;&gt;"",IF(AT128="Présent",AU128,0),0),IF($AV$5&lt;&gt;"",IF(AV128="Présent",AW128,0),0),IF($AX$5&lt;&gt;"",IF(AX128="Présent",AY128,0),0),IF($AZ$5&lt;&gt;"",IF(AZ128="Présent",BA128,0),0),IF($BB$5&lt;&gt;"",IF(BB128="Présent",BC128,0),0),IF($BD$5&lt;&gt;"",IF(BD128="Présent",BE128,0),0),IF($BF$5&lt;&gt;"",IF(BF128="Présent",BG128,0),0),IF($BH$5&lt;&gt;"",IF(BH128="Présent",BI128,0),0),IF($BJ$5&lt;&gt;"",IF(BJ128="Présent",BK128,0),0),IF($BL$5&lt;&gt;"",IF(BL128="Présent",BM128,0),0)))</f>
      </c>
      <c r="BS128" s="25">
        <f>IF($A128="","",$BN128*IFERROR(INDEX(Categories_Salaire,MATCH($C128,ListeCategories,0)),0)+$BR128*IF(IFERROR(INDEX(Categories_TauxHS,MATCH($C128,ListeCategories,0)),0)&gt;0,IFERROR(INDEX(Categories_TauxHS,MATCH($C128,ListeCategories,0)),0),TauxHSDefaut))</f>
      </c>
    </row>
    <row r="129">
      <c r="A129" s="20">
        <f>IF(AND(INDEX(Employes_Nom,123)&lt;&gt;"",INDEX(Employes_Statut,123)="Actif",OR(INDEX(Employes_Embauche,123)="",INDEX(Employes_Embauche,123)&lt;=EOMONTH(DATE(AnneeCourante,MoisCourant,1),0))),INDEX(Employes_ID,123),"")</f>
      </c>
      <c r="B129" s="19">
        <f>IF($A129="","",INDEX(Employes_Nom,MATCH($A129,Employes_ID,0)))</f>
      </c>
      <c r="C129" s="20">
        <f>IF($A129="","",INDEX(Employes_Categorie,MATCH($A129,Employes_ID,0)))</f>
      </c>
      <c r="D129" s="26"/>
      <c r="E129" s="27"/>
      <c r="F129" s="26"/>
      <c r="G129" s="27"/>
      <c r="H129" s="26"/>
      <c r="I129" s="27"/>
      <c r="J129" s="26"/>
      <c r="K129" s="27"/>
      <c r="L129" s="26"/>
      <c r="M129" s="27"/>
      <c r="N129" s="26"/>
      <c r="O129" s="27"/>
      <c r="P129" s="26"/>
      <c r="Q129" s="27"/>
      <c r="R129" s="26"/>
      <c r="S129" s="27"/>
      <c r="T129" s="26"/>
      <c r="U129" s="27"/>
      <c r="V129" s="26"/>
      <c r="W129" s="27"/>
      <c r="X129" s="26"/>
      <c r="Y129" s="27"/>
      <c r="Z129" s="26"/>
      <c r="AA129" s="27"/>
      <c r="AB129" s="26"/>
      <c r="AC129" s="27"/>
      <c r="AD129" s="26"/>
      <c r="AE129" s="27"/>
      <c r="AF129" s="26"/>
      <c r="AG129" s="27"/>
      <c r="AH129" s="26"/>
      <c r="AI129" s="27"/>
      <c r="AJ129" s="26"/>
      <c r="AK129" s="27"/>
      <c r="AL129" s="26"/>
      <c r="AM129" s="27"/>
      <c r="AN129" s="26"/>
      <c r="AO129" s="27"/>
      <c r="AP129" s="26"/>
      <c r="AQ129" s="27"/>
      <c r="AR129" s="26"/>
      <c r="AS129" s="27"/>
      <c r="AT129" s="26"/>
      <c r="AU129" s="27"/>
      <c r="AV129" s="26"/>
      <c r="AW129" s="27"/>
      <c r="AX129" s="26"/>
      <c r="AY129" s="27"/>
      <c r="AZ129" s="26"/>
      <c r="BA129" s="27"/>
      <c r="BB129" s="26"/>
      <c r="BC129" s="27"/>
      <c r="BD129" s="26"/>
      <c r="BE129" s="27"/>
      <c r="BF129" s="26"/>
      <c r="BG129" s="27"/>
      <c r="BH129" s="26"/>
      <c r="BI129" s="27"/>
      <c r="BJ129" s="26"/>
      <c r="BK129" s="27"/>
      <c r="BL129" s="26"/>
      <c r="BM129" s="27"/>
      <c r="BN129" s="22">
        <f>IF($A129="","",SUM(IF($D$5&lt;&gt;"",--(D129="Présent"),0),IF($F$5&lt;&gt;"",--(F129="Présent"),0),IF($H$5&lt;&gt;"",--(H129="Présent"),0),IF($J$5&lt;&gt;"",--(J129="Présent"),0),IF($L$5&lt;&gt;"",--(L129="Présent"),0),IF($N$5&lt;&gt;"",--(N129="Présent"),0),IF($P$5&lt;&gt;"",--(P129="Présent"),0),IF($R$5&lt;&gt;"",--(R129="Présent"),0),IF($T$5&lt;&gt;"",--(T129="Présent"),0),IF($V$5&lt;&gt;"",--(V129="Présent"),0),IF($X$5&lt;&gt;"",--(X129="Présent"),0),IF($Z$5&lt;&gt;"",--(Z129="Présent"),0),IF($AB$5&lt;&gt;"",--(AB129="Présent"),0),IF($AD$5&lt;&gt;"",--(AD129="Présent"),0),IF($AF$5&lt;&gt;"",--(AF129="Présent"),0),IF($AH$5&lt;&gt;"",--(AH129="Présent"),0),IF($AJ$5&lt;&gt;"",--(AJ129="Présent"),0),IF($AL$5&lt;&gt;"",--(AL129="Présent"),0),IF($AN$5&lt;&gt;"",--(AN129="Présent"),0),IF($AP$5&lt;&gt;"",--(AP129="Présent"),0),IF($AR$5&lt;&gt;"",--(AR129="Présent"),0),IF($AT$5&lt;&gt;"",--(AT129="Présent"),0),IF($AV$5&lt;&gt;"",--(AV129="Présent"),0),IF($AX$5&lt;&gt;"",--(AX129="Présent"),0),IF($AZ$5&lt;&gt;"",--(AZ129="Présent"),0),IF($BB$5&lt;&gt;"",--(BB129="Présent"),0),IF($BD$5&lt;&gt;"",--(BD129="Présent"),0),IF($BF$5&lt;&gt;"",--(BF129="Présent"),0),IF($BH$5&lt;&gt;"",--(BH129="Présent"),0),IF($BJ$5&lt;&gt;"",--(BJ129="Présent"),0),IF($BL$5&lt;&gt;"",--(BL129="Présent"),0)))</f>
      </c>
      <c r="BO129" s="22">
        <f>IF($A129="","",SUM(IF($D$5&lt;&gt;"",--(D129="Absent"),0),IF($F$5&lt;&gt;"",--(F129="Absent"),0),IF($H$5&lt;&gt;"",--(H129="Absent"),0),IF($J$5&lt;&gt;"",--(J129="Absent"),0),IF($L$5&lt;&gt;"",--(L129="Absent"),0),IF($N$5&lt;&gt;"",--(N129="Absent"),0),IF($P$5&lt;&gt;"",--(P129="Absent"),0),IF($R$5&lt;&gt;"",--(R129="Absent"),0),IF($T$5&lt;&gt;"",--(T129="Absent"),0),IF($V$5&lt;&gt;"",--(V129="Absent"),0),IF($X$5&lt;&gt;"",--(X129="Absent"),0),IF($Z$5&lt;&gt;"",--(Z129="Absent"),0),IF($AB$5&lt;&gt;"",--(AB129="Absent"),0),IF($AD$5&lt;&gt;"",--(AD129="Absent"),0),IF($AF$5&lt;&gt;"",--(AF129="Absent"),0),IF($AH$5&lt;&gt;"",--(AH129="Absent"),0),IF($AJ$5&lt;&gt;"",--(AJ129="Absent"),0),IF($AL$5&lt;&gt;"",--(AL129="Absent"),0),IF($AN$5&lt;&gt;"",--(AN129="Absent"),0),IF($AP$5&lt;&gt;"",--(AP129="Absent"),0),IF($AR$5&lt;&gt;"",--(AR129="Absent"),0),IF($AT$5&lt;&gt;"",--(AT129="Absent"),0),IF($AV$5&lt;&gt;"",--(AV129="Absent"),0),IF($AX$5&lt;&gt;"",--(AX129="Absent"),0),IF($AZ$5&lt;&gt;"",--(AZ129="Absent"),0),IF($BB$5&lt;&gt;"",--(BB129="Absent"),0),IF($BD$5&lt;&gt;"",--(BD129="Absent"),0),IF($BF$5&lt;&gt;"",--(BF129="Absent"),0),IF($BH$5&lt;&gt;"",--(BH129="Absent"),0),IF($BJ$5&lt;&gt;"",--(BJ129="Absent"),0),IF($BL$5&lt;&gt;"",--(BL129="Absent"),0)))</f>
      </c>
      <c r="BP129" s="22">
        <f>IF($A129="","",SUM(IF($D$5&lt;&gt;"",--(D129="Congé"),0),IF($F$5&lt;&gt;"",--(F129="Congé"),0),IF($H$5&lt;&gt;"",--(H129="Congé"),0),IF($J$5&lt;&gt;"",--(J129="Congé"),0),IF($L$5&lt;&gt;"",--(L129="Congé"),0),IF($N$5&lt;&gt;"",--(N129="Congé"),0),IF($P$5&lt;&gt;"",--(P129="Congé"),0),IF($R$5&lt;&gt;"",--(R129="Congé"),0),IF($T$5&lt;&gt;"",--(T129="Congé"),0),IF($V$5&lt;&gt;"",--(V129="Congé"),0),IF($X$5&lt;&gt;"",--(X129="Congé"),0),IF($Z$5&lt;&gt;"",--(Z129="Congé"),0),IF($AB$5&lt;&gt;"",--(AB129="Congé"),0),IF($AD$5&lt;&gt;"",--(AD129="Congé"),0),IF($AF$5&lt;&gt;"",--(AF129="Congé"),0),IF($AH$5&lt;&gt;"",--(AH129="Congé"),0),IF($AJ$5&lt;&gt;"",--(AJ129="Congé"),0),IF($AL$5&lt;&gt;"",--(AL129="Congé"),0),IF($AN$5&lt;&gt;"",--(AN129="Congé"),0),IF($AP$5&lt;&gt;"",--(AP129="Congé"),0),IF($AR$5&lt;&gt;"",--(AR129="Congé"),0),IF($AT$5&lt;&gt;"",--(AT129="Congé"),0),IF($AV$5&lt;&gt;"",--(AV129="Congé"),0),IF($AX$5&lt;&gt;"",--(AX129="Congé"),0),IF($AZ$5&lt;&gt;"",--(AZ129="Congé"),0),IF($BB$5&lt;&gt;"",--(BB129="Congé"),0),IF($BD$5&lt;&gt;"",--(BD129="Congé"),0),IF($BF$5&lt;&gt;"",--(BF129="Congé"),0),IF($BH$5&lt;&gt;"",--(BH129="Congé"),0),IF($BJ$5&lt;&gt;"",--(BJ129="Congé"),0),IF($BL$5&lt;&gt;"",--(BL129="Congé"),0)))</f>
      </c>
      <c r="BQ129" s="22">
        <f>IF($A129="","",SUM(IF($D$5&lt;&gt;"",--(D129="Maladie"),0),IF($F$5&lt;&gt;"",--(F129="Maladie"),0),IF($H$5&lt;&gt;"",--(H129="Maladie"),0),IF($J$5&lt;&gt;"",--(J129="Maladie"),0),IF($L$5&lt;&gt;"",--(L129="Maladie"),0),IF($N$5&lt;&gt;"",--(N129="Maladie"),0),IF($P$5&lt;&gt;"",--(P129="Maladie"),0),IF($R$5&lt;&gt;"",--(R129="Maladie"),0),IF($T$5&lt;&gt;"",--(T129="Maladie"),0),IF($V$5&lt;&gt;"",--(V129="Maladie"),0),IF($X$5&lt;&gt;"",--(X129="Maladie"),0),IF($Z$5&lt;&gt;"",--(Z129="Maladie"),0),IF($AB$5&lt;&gt;"",--(AB129="Maladie"),0),IF($AD$5&lt;&gt;"",--(AD129="Maladie"),0),IF($AF$5&lt;&gt;"",--(AF129="Maladie"),0),IF($AH$5&lt;&gt;"",--(AH129="Maladie"),0),IF($AJ$5&lt;&gt;"",--(AJ129="Maladie"),0),IF($AL$5&lt;&gt;"",--(AL129="Maladie"),0),IF($AN$5&lt;&gt;"",--(AN129="Maladie"),0),IF($AP$5&lt;&gt;"",--(AP129="Maladie"),0),IF($AR$5&lt;&gt;"",--(AR129="Maladie"),0),IF($AT$5&lt;&gt;"",--(AT129="Maladie"),0),IF($AV$5&lt;&gt;"",--(AV129="Maladie"),0),IF($AX$5&lt;&gt;"",--(AX129="Maladie"),0),IF($AZ$5&lt;&gt;"",--(AZ129="Maladie"),0),IF($BB$5&lt;&gt;"",--(BB129="Maladie"),0),IF($BD$5&lt;&gt;"",--(BD129="Maladie"),0),IF($BF$5&lt;&gt;"",--(BF129="Maladie"),0),IF($BH$5&lt;&gt;"",--(BH129="Maladie"),0),IF($BJ$5&lt;&gt;"",--(BJ129="Maladie"),0),IF($BL$5&lt;&gt;"",--(BL129="Maladie"),0)))</f>
      </c>
      <c r="BR129" s="23">
        <f>IF($A129="","",SUM(IF($D$5&lt;&gt;"",IF(D129="Présent",E129,0),0),IF($F$5&lt;&gt;"",IF(F129="Présent",G129,0),0),IF($H$5&lt;&gt;"",IF(H129="Présent",I129,0),0),IF($J$5&lt;&gt;"",IF(J129="Présent",K129,0),0),IF($L$5&lt;&gt;"",IF(L129="Présent",M129,0),0),IF($N$5&lt;&gt;"",IF(N129="Présent",O129,0),0),IF($P$5&lt;&gt;"",IF(P129="Présent",Q129,0),0),IF($R$5&lt;&gt;"",IF(R129="Présent",S129,0),0),IF($T$5&lt;&gt;"",IF(T129="Présent",U129,0),0),IF($V$5&lt;&gt;"",IF(V129="Présent",W129,0),0),IF($X$5&lt;&gt;"",IF(X129="Présent",Y129,0),0),IF($Z$5&lt;&gt;"",IF(Z129="Présent",AA129,0),0),IF($AB$5&lt;&gt;"",IF(AB129="Présent",AC129,0),0),IF($AD$5&lt;&gt;"",IF(AD129="Présent",AE129,0),0),IF($AF$5&lt;&gt;"",IF(AF129="Présent",AG129,0),0),IF($AH$5&lt;&gt;"",IF(AH129="Présent",AI129,0),0),IF($AJ$5&lt;&gt;"",IF(AJ129="Présent",AK129,0),0),IF($AL$5&lt;&gt;"",IF(AL129="Présent",AM129,0),0),IF($AN$5&lt;&gt;"",IF(AN129="Présent",AO129,0),0),IF($AP$5&lt;&gt;"",IF(AP129="Présent",AQ129,0),0),IF($AR$5&lt;&gt;"",IF(AR129="Présent",AS129,0),0),IF($AT$5&lt;&gt;"",IF(AT129="Présent",AU129,0),0),IF($AV$5&lt;&gt;"",IF(AV129="Présent",AW129,0),0),IF($AX$5&lt;&gt;"",IF(AX129="Présent",AY129,0),0),IF($AZ$5&lt;&gt;"",IF(AZ129="Présent",BA129,0),0),IF($BB$5&lt;&gt;"",IF(BB129="Présent",BC129,0),0),IF($BD$5&lt;&gt;"",IF(BD129="Présent",BE129,0),0),IF($BF$5&lt;&gt;"",IF(BF129="Présent",BG129,0),0),IF($BH$5&lt;&gt;"",IF(BH129="Présent",BI129,0),0),IF($BJ$5&lt;&gt;"",IF(BJ129="Présent",BK129,0),0),IF($BL$5&lt;&gt;"",IF(BL129="Présent",BM129,0),0)))</f>
      </c>
      <c r="BS129" s="25">
        <f>IF($A129="","",$BN129*IFERROR(INDEX(Categories_Salaire,MATCH($C129,ListeCategories,0)),0)+$BR129*IF(IFERROR(INDEX(Categories_TauxHS,MATCH($C129,ListeCategories,0)),0)&gt;0,IFERROR(INDEX(Categories_TauxHS,MATCH($C129,ListeCategories,0)),0),TauxHSDefaut))</f>
      </c>
    </row>
    <row r="130">
      <c r="A130" s="20">
        <f>IF(AND(INDEX(Employes_Nom,124)&lt;&gt;"",INDEX(Employes_Statut,124)="Actif",OR(INDEX(Employes_Embauche,124)="",INDEX(Employes_Embauche,124)&lt;=EOMONTH(DATE(AnneeCourante,MoisCourant,1),0))),INDEX(Employes_ID,124),"")</f>
      </c>
      <c r="B130" s="19">
        <f>IF($A130="","",INDEX(Employes_Nom,MATCH($A130,Employes_ID,0)))</f>
      </c>
      <c r="C130" s="20">
        <f>IF($A130="","",INDEX(Employes_Categorie,MATCH($A130,Employes_ID,0)))</f>
      </c>
      <c r="D130" s="26"/>
      <c r="E130" s="27"/>
      <c r="F130" s="26"/>
      <c r="G130" s="27"/>
      <c r="H130" s="26"/>
      <c r="I130" s="27"/>
      <c r="J130" s="26"/>
      <c r="K130" s="27"/>
      <c r="L130" s="26"/>
      <c r="M130" s="27"/>
      <c r="N130" s="26"/>
      <c r="O130" s="27"/>
      <c r="P130" s="26"/>
      <c r="Q130" s="27"/>
      <c r="R130" s="26"/>
      <c r="S130" s="27"/>
      <c r="T130" s="26"/>
      <c r="U130" s="27"/>
      <c r="V130" s="26"/>
      <c r="W130" s="27"/>
      <c r="X130" s="26"/>
      <c r="Y130" s="27"/>
      <c r="Z130" s="26"/>
      <c r="AA130" s="27"/>
      <c r="AB130" s="26"/>
      <c r="AC130" s="27"/>
      <c r="AD130" s="26"/>
      <c r="AE130" s="27"/>
      <c r="AF130" s="26"/>
      <c r="AG130" s="27"/>
      <c r="AH130" s="26"/>
      <c r="AI130" s="27"/>
      <c r="AJ130" s="26"/>
      <c r="AK130" s="27"/>
      <c r="AL130" s="26"/>
      <c r="AM130" s="27"/>
      <c r="AN130" s="26"/>
      <c r="AO130" s="27"/>
      <c r="AP130" s="26"/>
      <c r="AQ130" s="27"/>
      <c r="AR130" s="26"/>
      <c r="AS130" s="27"/>
      <c r="AT130" s="26"/>
      <c r="AU130" s="27"/>
      <c r="AV130" s="26"/>
      <c r="AW130" s="27"/>
      <c r="AX130" s="26"/>
      <c r="AY130" s="27"/>
      <c r="AZ130" s="26"/>
      <c r="BA130" s="27"/>
      <c r="BB130" s="26"/>
      <c r="BC130" s="27"/>
      <c r="BD130" s="26"/>
      <c r="BE130" s="27"/>
      <c r="BF130" s="26"/>
      <c r="BG130" s="27"/>
      <c r="BH130" s="26"/>
      <c r="BI130" s="27"/>
      <c r="BJ130" s="26"/>
      <c r="BK130" s="27"/>
      <c r="BL130" s="26"/>
      <c r="BM130" s="27"/>
      <c r="BN130" s="22">
        <f>IF($A130="","",SUM(IF($D$5&lt;&gt;"",--(D130="Présent"),0),IF($F$5&lt;&gt;"",--(F130="Présent"),0),IF($H$5&lt;&gt;"",--(H130="Présent"),0),IF($J$5&lt;&gt;"",--(J130="Présent"),0),IF($L$5&lt;&gt;"",--(L130="Présent"),0),IF($N$5&lt;&gt;"",--(N130="Présent"),0),IF($P$5&lt;&gt;"",--(P130="Présent"),0),IF($R$5&lt;&gt;"",--(R130="Présent"),0),IF($T$5&lt;&gt;"",--(T130="Présent"),0),IF($V$5&lt;&gt;"",--(V130="Présent"),0),IF($X$5&lt;&gt;"",--(X130="Présent"),0),IF($Z$5&lt;&gt;"",--(Z130="Présent"),0),IF($AB$5&lt;&gt;"",--(AB130="Présent"),0),IF($AD$5&lt;&gt;"",--(AD130="Présent"),0),IF($AF$5&lt;&gt;"",--(AF130="Présent"),0),IF($AH$5&lt;&gt;"",--(AH130="Présent"),0),IF($AJ$5&lt;&gt;"",--(AJ130="Présent"),0),IF($AL$5&lt;&gt;"",--(AL130="Présent"),0),IF($AN$5&lt;&gt;"",--(AN130="Présent"),0),IF($AP$5&lt;&gt;"",--(AP130="Présent"),0),IF($AR$5&lt;&gt;"",--(AR130="Présent"),0),IF($AT$5&lt;&gt;"",--(AT130="Présent"),0),IF($AV$5&lt;&gt;"",--(AV130="Présent"),0),IF($AX$5&lt;&gt;"",--(AX130="Présent"),0),IF($AZ$5&lt;&gt;"",--(AZ130="Présent"),0),IF($BB$5&lt;&gt;"",--(BB130="Présent"),0),IF($BD$5&lt;&gt;"",--(BD130="Présent"),0),IF($BF$5&lt;&gt;"",--(BF130="Présent"),0),IF($BH$5&lt;&gt;"",--(BH130="Présent"),0),IF($BJ$5&lt;&gt;"",--(BJ130="Présent"),0),IF($BL$5&lt;&gt;"",--(BL130="Présent"),0)))</f>
      </c>
      <c r="BO130" s="22">
        <f>IF($A130="","",SUM(IF($D$5&lt;&gt;"",--(D130="Absent"),0),IF($F$5&lt;&gt;"",--(F130="Absent"),0),IF($H$5&lt;&gt;"",--(H130="Absent"),0),IF($J$5&lt;&gt;"",--(J130="Absent"),0),IF($L$5&lt;&gt;"",--(L130="Absent"),0),IF($N$5&lt;&gt;"",--(N130="Absent"),0),IF($P$5&lt;&gt;"",--(P130="Absent"),0),IF($R$5&lt;&gt;"",--(R130="Absent"),0),IF($T$5&lt;&gt;"",--(T130="Absent"),0),IF($V$5&lt;&gt;"",--(V130="Absent"),0),IF($X$5&lt;&gt;"",--(X130="Absent"),0),IF($Z$5&lt;&gt;"",--(Z130="Absent"),0),IF($AB$5&lt;&gt;"",--(AB130="Absent"),0),IF($AD$5&lt;&gt;"",--(AD130="Absent"),0),IF($AF$5&lt;&gt;"",--(AF130="Absent"),0),IF($AH$5&lt;&gt;"",--(AH130="Absent"),0),IF($AJ$5&lt;&gt;"",--(AJ130="Absent"),0),IF($AL$5&lt;&gt;"",--(AL130="Absent"),0),IF($AN$5&lt;&gt;"",--(AN130="Absent"),0),IF($AP$5&lt;&gt;"",--(AP130="Absent"),0),IF($AR$5&lt;&gt;"",--(AR130="Absent"),0),IF($AT$5&lt;&gt;"",--(AT130="Absent"),0),IF($AV$5&lt;&gt;"",--(AV130="Absent"),0),IF($AX$5&lt;&gt;"",--(AX130="Absent"),0),IF($AZ$5&lt;&gt;"",--(AZ130="Absent"),0),IF($BB$5&lt;&gt;"",--(BB130="Absent"),0),IF($BD$5&lt;&gt;"",--(BD130="Absent"),0),IF($BF$5&lt;&gt;"",--(BF130="Absent"),0),IF($BH$5&lt;&gt;"",--(BH130="Absent"),0),IF($BJ$5&lt;&gt;"",--(BJ130="Absent"),0),IF($BL$5&lt;&gt;"",--(BL130="Absent"),0)))</f>
      </c>
      <c r="BP130" s="22">
        <f>IF($A130="","",SUM(IF($D$5&lt;&gt;"",--(D130="Congé"),0),IF($F$5&lt;&gt;"",--(F130="Congé"),0),IF($H$5&lt;&gt;"",--(H130="Congé"),0),IF($J$5&lt;&gt;"",--(J130="Congé"),0),IF($L$5&lt;&gt;"",--(L130="Congé"),0),IF($N$5&lt;&gt;"",--(N130="Congé"),0),IF($P$5&lt;&gt;"",--(P130="Congé"),0),IF($R$5&lt;&gt;"",--(R130="Congé"),0),IF($T$5&lt;&gt;"",--(T130="Congé"),0),IF($V$5&lt;&gt;"",--(V130="Congé"),0),IF($X$5&lt;&gt;"",--(X130="Congé"),0),IF($Z$5&lt;&gt;"",--(Z130="Congé"),0),IF($AB$5&lt;&gt;"",--(AB130="Congé"),0),IF($AD$5&lt;&gt;"",--(AD130="Congé"),0),IF($AF$5&lt;&gt;"",--(AF130="Congé"),0),IF($AH$5&lt;&gt;"",--(AH130="Congé"),0),IF($AJ$5&lt;&gt;"",--(AJ130="Congé"),0),IF($AL$5&lt;&gt;"",--(AL130="Congé"),0),IF($AN$5&lt;&gt;"",--(AN130="Congé"),0),IF($AP$5&lt;&gt;"",--(AP130="Congé"),0),IF($AR$5&lt;&gt;"",--(AR130="Congé"),0),IF($AT$5&lt;&gt;"",--(AT130="Congé"),0),IF($AV$5&lt;&gt;"",--(AV130="Congé"),0),IF($AX$5&lt;&gt;"",--(AX130="Congé"),0),IF($AZ$5&lt;&gt;"",--(AZ130="Congé"),0),IF($BB$5&lt;&gt;"",--(BB130="Congé"),0),IF($BD$5&lt;&gt;"",--(BD130="Congé"),0),IF($BF$5&lt;&gt;"",--(BF130="Congé"),0),IF($BH$5&lt;&gt;"",--(BH130="Congé"),0),IF($BJ$5&lt;&gt;"",--(BJ130="Congé"),0),IF($BL$5&lt;&gt;"",--(BL130="Congé"),0)))</f>
      </c>
      <c r="BQ130" s="22">
        <f>IF($A130="","",SUM(IF($D$5&lt;&gt;"",--(D130="Maladie"),0),IF($F$5&lt;&gt;"",--(F130="Maladie"),0),IF($H$5&lt;&gt;"",--(H130="Maladie"),0),IF($J$5&lt;&gt;"",--(J130="Maladie"),0),IF($L$5&lt;&gt;"",--(L130="Maladie"),0),IF($N$5&lt;&gt;"",--(N130="Maladie"),0),IF($P$5&lt;&gt;"",--(P130="Maladie"),0),IF($R$5&lt;&gt;"",--(R130="Maladie"),0),IF($T$5&lt;&gt;"",--(T130="Maladie"),0),IF($V$5&lt;&gt;"",--(V130="Maladie"),0),IF($X$5&lt;&gt;"",--(X130="Maladie"),0),IF($Z$5&lt;&gt;"",--(Z130="Maladie"),0),IF($AB$5&lt;&gt;"",--(AB130="Maladie"),0),IF($AD$5&lt;&gt;"",--(AD130="Maladie"),0),IF($AF$5&lt;&gt;"",--(AF130="Maladie"),0),IF($AH$5&lt;&gt;"",--(AH130="Maladie"),0),IF($AJ$5&lt;&gt;"",--(AJ130="Maladie"),0),IF($AL$5&lt;&gt;"",--(AL130="Maladie"),0),IF($AN$5&lt;&gt;"",--(AN130="Maladie"),0),IF($AP$5&lt;&gt;"",--(AP130="Maladie"),0),IF($AR$5&lt;&gt;"",--(AR130="Maladie"),0),IF($AT$5&lt;&gt;"",--(AT130="Maladie"),0),IF($AV$5&lt;&gt;"",--(AV130="Maladie"),0),IF($AX$5&lt;&gt;"",--(AX130="Maladie"),0),IF($AZ$5&lt;&gt;"",--(AZ130="Maladie"),0),IF($BB$5&lt;&gt;"",--(BB130="Maladie"),0),IF($BD$5&lt;&gt;"",--(BD130="Maladie"),0),IF($BF$5&lt;&gt;"",--(BF130="Maladie"),0),IF($BH$5&lt;&gt;"",--(BH130="Maladie"),0),IF($BJ$5&lt;&gt;"",--(BJ130="Maladie"),0),IF($BL$5&lt;&gt;"",--(BL130="Maladie"),0)))</f>
      </c>
      <c r="BR130" s="23">
        <f>IF($A130="","",SUM(IF($D$5&lt;&gt;"",IF(D130="Présent",E130,0),0),IF($F$5&lt;&gt;"",IF(F130="Présent",G130,0),0),IF($H$5&lt;&gt;"",IF(H130="Présent",I130,0),0),IF($J$5&lt;&gt;"",IF(J130="Présent",K130,0),0),IF($L$5&lt;&gt;"",IF(L130="Présent",M130,0),0),IF($N$5&lt;&gt;"",IF(N130="Présent",O130,0),0),IF($P$5&lt;&gt;"",IF(P130="Présent",Q130,0),0),IF($R$5&lt;&gt;"",IF(R130="Présent",S130,0),0),IF($T$5&lt;&gt;"",IF(T130="Présent",U130,0),0),IF($V$5&lt;&gt;"",IF(V130="Présent",W130,0),0),IF($X$5&lt;&gt;"",IF(X130="Présent",Y130,0),0),IF($Z$5&lt;&gt;"",IF(Z130="Présent",AA130,0),0),IF($AB$5&lt;&gt;"",IF(AB130="Présent",AC130,0),0),IF($AD$5&lt;&gt;"",IF(AD130="Présent",AE130,0),0),IF($AF$5&lt;&gt;"",IF(AF130="Présent",AG130,0),0),IF($AH$5&lt;&gt;"",IF(AH130="Présent",AI130,0),0),IF($AJ$5&lt;&gt;"",IF(AJ130="Présent",AK130,0),0),IF($AL$5&lt;&gt;"",IF(AL130="Présent",AM130,0),0),IF($AN$5&lt;&gt;"",IF(AN130="Présent",AO130,0),0),IF($AP$5&lt;&gt;"",IF(AP130="Présent",AQ130,0),0),IF($AR$5&lt;&gt;"",IF(AR130="Présent",AS130,0),0),IF($AT$5&lt;&gt;"",IF(AT130="Présent",AU130,0),0),IF($AV$5&lt;&gt;"",IF(AV130="Présent",AW130,0),0),IF($AX$5&lt;&gt;"",IF(AX130="Présent",AY130,0),0),IF($AZ$5&lt;&gt;"",IF(AZ130="Présent",BA130,0),0),IF($BB$5&lt;&gt;"",IF(BB130="Présent",BC130,0),0),IF($BD$5&lt;&gt;"",IF(BD130="Présent",BE130,0),0),IF($BF$5&lt;&gt;"",IF(BF130="Présent",BG130,0),0),IF($BH$5&lt;&gt;"",IF(BH130="Présent",BI130,0),0),IF($BJ$5&lt;&gt;"",IF(BJ130="Présent",BK130,0),0),IF($BL$5&lt;&gt;"",IF(BL130="Présent",BM130,0),0)))</f>
      </c>
      <c r="BS130" s="25">
        <f>IF($A130="","",$BN130*IFERROR(INDEX(Categories_Salaire,MATCH($C130,ListeCategories,0)),0)+$BR130*IF(IFERROR(INDEX(Categories_TauxHS,MATCH($C130,ListeCategories,0)),0)&gt;0,IFERROR(INDEX(Categories_TauxHS,MATCH($C130,ListeCategories,0)),0),TauxHSDefaut))</f>
      </c>
    </row>
    <row r="131">
      <c r="A131" s="20">
        <f>IF(AND(INDEX(Employes_Nom,125)&lt;&gt;"",INDEX(Employes_Statut,125)="Actif",OR(INDEX(Employes_Embauche,125)="",INDEX(Employes_Embauche,125)&lt;=EOMONTH(DATE(AnneeCourante,MoisCourant,1),0))),INDEX(Employes_ID,125),"")</f>
      </c>
      <c r="B131" s="19">
        <f>IF($A131="","",INDEX(Employes_Nom,MATCH($A131,Employes_ID,0)))</f>
      </c>
      <c r="C131" s="20">
        <f>IF($A131="","",INDEX(Employes_Categorie,MATCH($A131,Employes_ID,0)))</f>
      </c>
      <c r="D131" s="26"/>
      <c r="E131" s="27"/>
      <c r="F131" s="26"/>
      <c r="G131" s="27"/>
      <c r="H131" s="26"/>
      <c r="I131" s="27"/>
      <c r="J131" s="26"/>
      <c r="K131" s="27"/>
      <c r="L131" s="26"/>
      <c r="M131" s="27"/>
      <c r="N131" s="26"/>
      <c r="O131" s="27"/>
      <c r="P131" s="26"/>
      <c r="Q131" s="27"/>
      <c r="R131" s="26"/>
      <c r="S131" s="27"/>
      <c r="T131" s="26"/>
      <c r="U131" s="27"/>
      <c r="V131" s="26"/>
      <c r="W131" s="27"/>
      <c r="X131" s="26"/>
      <c r="Y131" s="27"/>
      <c r="Z131" s="26"/>
      <c r="AA131" s="27"/>
      <c r="AB131" s="26"/>
      <c r="AC131" s="27"/>
      <c r="AD131" s="26"/>
      <c r="AE131" s="27"/>
      <c r="AF131" s="26"/>
      <c r="AG131" s="27"/>
      <c r="AH131" s="26"/>
      <c r="AI131" s="27"/>
      <c r="AJ131" s="26"/>
      <c r="AK131" s="27"/>
      <c r="AL131" s="26"/>
      <c r="AM131" s="27"/>
      <c r="AN131" s="26"/>
      <c r="AO131" s="27"/>
      <c r="AP131" s="26"/>
      <c r="AQ131" s="27"/>
      <c r="AR131" s="26"/>
      <c r="AS131" s="27"/>
      <c r="AT131" s="26"/>
      <c r="AU131" s="27"/>
      <c r="AV131" s="26"/>
      <c r="AW131" s="27"/>
      <c r="AX131" s="26"/>
      <c r="AY131" s="27"/>
      <c r="AZ131" s="26"/>
      <c r="BA131" s="27"/>
      <c r="BB131" s="26"/>
      <c r="BC131" s="27"/>
      <c r="BD131" s="26"/>
      <c r="BE131" s="27"/>
      <c r="BF131" s="26"/>
      <c r="BG131" s="27"/>
      <c r="BH131" s="26"/>
      <c r="BI131" s="27"/>
      <c r="BJ131" s="26"/>
      <c r="BK131" s="27"/>
      <c r="BL131" s="26"/>
      <c r="BM131" s="27"/>
      <c r="BN131" s="22">
        <f>IF($A131="","",SUM(IF($D$5&lt;&gt;"",--(D131="Présent"),0),IF($F$5&lt;&gt;"",--(F131="Présent"),0),IF($H$5&lt;&gt;"",--(H131="Présent"),0),IF($J$5&lt;&gt;"",--(J131="Présent"),0),IF($L$5&lt;&gt;"",--(L131="Présent"),0),IF($N$5&lt;&gt;"",--(N131="Présent"),0),IF($P$5&lt;&gt;"",--(P131="Présent"),0),IF($R$5&lt;&gt;"",--(R131="Présent"),0),IF($T$5&lt;&gt;"",--(T131="Présent"),0),IF($V$5&lt;&gt;"",--(V131="Présent"),0),IF($X$5&lt;&gt;"",--(X131="Présent"),0),IF($Z$5&lt;&gt;"",--(Z131="Présent"),0),IF($AB$5&lt;&gt;"",--(AB131="Présent"),0),IF($AD$5&lt;&gt;"",--(AD131="Présent"),0),IF($AF$5&lt;&gt;"",--(AF131="Présent"),0),IF($AH$5&lt;&gt;"",--(AH131="Présent"),0),IF($AJ$5&lt;&gt;"",--(AJ131="Présent"),0),IF($AL$5&lt;&gt;"",--(AL131="Présent"),0),IF($AN$5&lt;&gt;"",--(AN131="Présent"),0),IF($AP$5&lt;&gt;"",--(AP131="Présent"),0),IF($AR$5&lt;&gt;"",--(AR131="Présent"),0),IF($AT$5&lt;&gt;"",--(AT131="Présent"),0),IF($AV$5&lt;&gt;"",--(AV131="Présent"),0),IF($AX$5&lt;&gt;"",--(AX131="Présent"),0),IF($AZ$5&lt;&gt;"",--(AZ131="Présent"),0),IF($BB$5&lt;&gt;"",--(BB131="Présent"),0),IF($BD$5&lt;&gt;"",--(BD131="Présent"),0),IF($BF$5&lt;&gt;"",--(BF131="Présent"),0),IF($BH$5&lt;&gt;"",--(BH131="Présent"),0),IF($BJ$5&lt;&gt;"",--(BJ131="Présent"),0),IF($BL$5&lt;&gt;"",--(BL131="Présent"),0)))</f>
      </c>
      <c r="BO131" s="22">
        <f>IF($A131="","",SUM(IF($D$5&lt;&gt;"",--(D131="Absent"),0),IF($F$5&lt;&gt;"",--(F131="Absent"),0),IF($H$5&lt;&gt;"",--(H131="Absent"),0),IF($J$5&lt;&gt;"",--(J131="Absent"),0),IF($L$5&lt;&gt;"",--(L131="Absent"),0),IF($N$5&lt;&gt;"",--(N131="Absent"),0),IF($P$5&lt;&gt;"",--(P131="Absent"),0),IF($R$5&lt;&gt;"",--(R131="Absent"),0),IF($T$5&lt;&gt;"",--(T131="Absent"),0),IF($V$5&lt;&gt;"",--(V131="Absent"),0),IF($X$5&lt;&gt;"",--(X131="Absent"),0),IF($Z$5&lt;&gt;"",--(Z131="Absent"),0),IF($AB$5&lt;&gt;"",--(AB131="Absent"),0),IF($AD$5&lt;&gt;"",--(AD131="Absent"),0),IF($AF$5&lt;&gt;"",--(AF131="Absent"),0),IF($AH$5&lt;&gt;"",--(AH131="Absent"),0),IF($AJ$5&lt;&gt;"",--(AJ131="Absent"),0),IF($AL$5&lt;&gt;"",--(AL131="Absent"),0),IF($AN$5&lt;&gt;"",--(AN131="Absent"),0),IF($AP$5&lt;&gt;"",--(AP131="Absent"),0),IF($AR$5&lt;&gt;"",--(AR131="Absent"),0),IF($AT$5&lt;&gt;"",--(AT131="Absent"),0),IF($AV$5&lt;&gt;"",--(AV131="Absent"),0),IF($AX$5&lt;&gt;"",--(AX131="Absent"),0),IF($AZ$5&lt;&gt;"",--(AZ131="Absent"),0),IF($BB$5&lt;&gt;"",--(BB131="Absent"),0),IF($BD$5&lt;&gt;"",--(BD131="Absent"),0),IF($BF$5&lt;&gt;"",--(BF131="Absent"),0),IF($BH$5&lt;&gt;"",--(BH131="Absent"),0),IF($BJ$5&lt;&gt;"",--(BJ131="Absent"),0),IF($BL$5&lt;&gt;"",--(BL131="Absent"),0)))</f>
      </c>
      <c r="BP131" s="22">
        <f>IF($A131="","",SUM(IF($D$5&lt;&gt;"",--(D131="Congé"),0),IF($F$5&lt;&gt;"",--(F131="Congé"),0),IF($H$5&lt;&gt;"",--(H131="Congé"),0),IF($J$5&lt;&gt;"",--(J131="Congé"),0),IF($L$5&lt;&gt;"",--(L131="Congé"),0),IF($N$5&lt;&gt;"",--(N131="Congé"),0),IF($P$5&lt;&gt;"",--(P131="Congé"),0),IF($R$5&lt;&gt;"",--(R131="Congé"),0),IF($T$5&lt;&gt;"",--(T131="Congé"),0),IF($V$5&lt;&gt;"",--(V131="Congé"),0),IF($X$5&lt;&gt;"",--(X131="Congé"),0),IF($Z$5&lt;&gt;"",--(Z131="Congé"),0),IF($AB$5&lt;&gt;"",--(AB131="Congé"),0),IF($AD$5&lt;&gt;"",--(AD131="Congé"),0),IF($AF$5&lt;&gt;"",--(AF131="Congé"),0),IF($AH$5&lt;&gt;"",--(AH131="Congé"),0),IF($AJ$5&lt;&gt;"",--(AJ131="Congé"),0),IF($AL$5&lt;&gt;"",--(AL131="Congé"),0),IF($AN$5&lt;&gt;"",--(AN131="Congé"),0),IF($AP$5&lt;&gt;"",--(AP131="Congé"),0),IF($AR$5&lt;&gt;"",--(AR131="Congé"),0),IF($AT$5&lt;&gt;"",--(AT131="Congé"),0),IF($AV$5&lt;&gt;"",--(AV131="Congé"),0),IF($AX$5&lt;&gt;"",--(AX131="Congé"),0),IF($AZ$5&lt;&gt;"",--(AZ131="Congé"),0),IF($BB$5&lt;&gt;"",--(BB131="Congé"),0),IF($BD$5&lt;&gt;"",--(BD131="Congé"),0),IF($BF$5&lt;&gt;"",--(BF131="Congé"),0),IF($BH$5&lt;&gt;"",--(BH131="Congé"),0),IF($BJ$5&lt;&gt;"",--(BJ131="Congé"),0),IF($BL$5&lt;&gt;"",--(BL131="Congé"),0)))</f>
      </c>
      <c r="BQ131" s="22">
        <f>IF($A131="","",SUM(IF($D$5&lt;&gt;"",--(D131="Maladie"),0),IF($F$5&lt;&gt;"",--(F131="Maladie"),0),IF($H$5&lt;&gt;"",--(H131="Maladie"),0),IF($J$5&lt;&gt;"",--(J131="Maladie"),0),IF($L$5&lt;&gt;"",--(L131="Maladie"),0),IF($N$5&lt;&gt;"",--(N131="Maladie"),0),IF($P$5&lt;&gt;"",--(P131="Maladie"),0),IF($R$5&lt;&gt;"",--(R131="Maladie"),0),IF($T$5&lt;&gt;"",--(T131="Maladie"),0),IF($V$5&lt;&gt;"",--(V131="Maladie"),0),IF($X$5&lt;&gt;"",--(X131="Maladie"),0),IF($Z$5&lt;&gt;"",--(Z131="Maladie"),0),IF($AB$5&lt;&gt;"",--(AB131="Maladie"),0),IF($AD$5&lt;&gt;"",--(AD131="Maladie"),0),IF($AF$5&lt;&gt;"",--(AF131="Maladie"),0),IF($AH$5&lt;&gt;"",--(AH131="Maladie"),0),IF($AJ$5&lt;&gt;"",--(AJ131="Maladie"),0),IF($AL$5&lt;&gt;"",--(AL131="Maladie"),0),IF($AN$5&lt;&gt;"",--(AN131="Maladie"),0),IF($AP$5&lt;&gt;"",--(AP131="Maladie"),0),IF($AR$5&lt;&gt;"",--(AR131="Maladie"),0),IF($AT$5&lt;&gt;"",--(AT131="Maladie"),0),IF($AV$5&lt;&gt;"",--(AV131="Maladie"),0),IF($AX$5&lt;&gt;"",--(AX131="Maladie"),0),IF($AZ$5&lt;&gt;"",--(AZ131="Maladie"),0),IF($BB$5&lt;&gt;"",--(BB131="Maladie"),0),IF($BD$5&lt;&gt;"",--(BD131="Maladie"),0),IF($BF$5&lt;&gt;"",--(BF131="Maladie"),0),IF($BH$5&lt;&gt;"",--(BH131="Maladie"),0),IF($BJ$5&lt;&gt;"",--(BJ131="Maladie"),0),IF($BL$5&lt;&gt;"",--(BL131="Maladie"),0)))</f>
      </c>
      <c r="BR131" s="23">
        <f>IF($A131="","",SUM(IF($D$5&lt;&gt;"",IF(D131="Présent",E131,0),0),IF($F$5&lt;&gt;"",IF(F131="Présent",G131,0),0),IF($H$5&lt;&gt;"",IF(H131="Présent",I131,0),0),IF($J$5&lt;&gt;"",IF(J131="Présent",K131,0),0),IF($L$5&lt;&gt;"",IF(L131="Présent",M131,0),0),IF($N$5&lt;&gt;"",IF(N131="Présent",O131,0),0),IF($P$5&lt;&gt;"",IF(P131="Présent",Q131,0),0),IF($R$5&lt;&gt;"",IF(R131="Présent",S131,0),0),IF($T$5&lt;&gt;"",IF(T131="Présent",U131,0),0),IF($V$5&lt;&gt;"",IF(V131="Présent",W131,0),0),IF($X$5&lt;&gt;"",IF(X131="Présent",Y131,0),0),IF($Z$5&lt;&gt;"",IF(Z131="Présent",AA131,0),0),IF($AB$5&lt;&gt;"",IF(AB131="Présent",AC131,0),0),IF($AD$5&lt;&gt;"",IF(AD131="Présent",AE131,0),0),IF($AF$5&lt;&gt;"",IF(AF131="Présent",AG131,0),0),IF($AH$5&lt;&gt;"",IF(AH131="Présent",AI131,0),0),IF($AJ$5&lt;&gt;"",IF(AJ131="Présent",AK131,0),0),IF($AL$5&lt;&gt;"",IF(AL131="Présent",AM131,0),0),IF($AN$5&lt;&gt;"",IF(AN131="Présent",AO131,0),0),IF($AP$5&lt;&gt;"",IF(AP131="Présent",AQ131,0),0),IF($AR$5&lt;&gt;"",IF(AR131="Présent",AS131,0),0),IF($AT$5&lt;&gt;"",IF(AT131="Présent",AU131,0),0),IF($AV$5&lt;&gt;"",IF(AV131="Présent",AW131,0),0),IF($AX$5&lt;&gt;"",IF(AX131="Présent",AY131,0),0),IF($AZ$5&lt;&gt;"",IF(AZ131="Présent",BA131,0),0),IF($BB$5&lt;&gt;"",IF(BB131="Présent",BC131,0),0),IF($BD$5&lt;&gt;"",IF(BD131="Présent",BE131,0),0),IF($BF$5&lt;&gt;"",IF(BF131="Présent",BG131,0),0),IF($BH$5&lt;&gt;"",IF(BH131="Présent",BI131,0),0),IF($BJ$5&lt;&gt;"",IF(BJ131="Présent",BK131,0),0),IF($BL$5&lt;&gt;"",IF(BL131="Présent",BM131,0),0)))</f>
      </c>
      <c r="BS131" s="25">
        <f>IF($A131="","",$BN131*IFERROR(INDEX(Categories_Salaire,MATCH($C131,ListeCategories,0)),0)+$BR131*IF(IFERROR(INDEX(Categories_TauxHS,MATCH($C131,ListeCategories,0)),0)&gt;0,IFERROR(INDEX(Categories_TauxHS,MATCH($C131,ListeCategories,0)),0),TauxHSDefaut))</f>
      </c>
    </row>
    <row r="132">
      <c r="A132" s="20">
        <f>IF(AND(INDEX(Employes_Nom,126)&lt;&gt;"",INDEX(Employes_Statut,126)="Actif",OR(INDEX(Employes_Embauche,126)="",INDEX(Employes_Embauche,126)&lt;=EOMONTH(DATE(AnneeCourante,MoisCourant,1),0))),INDEX(Employes_ID,126),"")</f>
      </c>
      <c r="B132" s="19">
        <f>IF($A132="","",INDEX(Employes_Nom,MATCH($A132,Employes_ID,0)))</f>
      </c>
      <c r="C132" s="20">
        <f>IF($A132="","",INDEX(Employes_Categorie,MATCH($A132,Employes_ID,0)))</f>
      </c>
      <c r="D132" s="26"/>
      <c r="E132" s="27"/>
      <c r="F132" s="26"/>
      <c r="G132" s="27"/>
      <c r="H132" s="26"/>
      <c r="I132" s="27"/>
      <c r="J132" s="26"/>
      <c r="K132" s="27"/>
      <c r="L132" s="26"/>
      <c r="M132" s="27"/>
      <c r="N132" s="26"/>
      <c r="O132" s="27"/>
      <c r="P132" s="26"/>
      <c r="Q132" s="27"/>
      <c r="R132" s="26"/>
      <c r="S132" s="27"/>
      <c r="T132" s="26"/>
      <c r="U132" s="27"/>
      <c r="V132" s="26"/>
      <c r="W132" s="27"/>
      <c r="X132" s="26"/>
      <c r="Y132" s="27"/>
      <c r="Z132" s="26"/>
      <c r="AA132" s="27"/>
      <c r="AB132" s="26"/>
      <c r="AC132" s="27"/>
      <c r="AD132" s="26"/>
      <c r="AE132" s="27"/>
      <c r="AF132" s="26"/>
      <c r="AG132" s="27"/>
      <c r="AH132" s="26"/>
      <c r="AI132" s="27"/>
      <c r="AJ132" s="26"/>
      <c r="AK132" s="27"/>
      <c r="AL132" s="26"/>
      <c r="AM132" s="27"/>
      <c r="AN132" s="26"/>
      <c r="AO132" s="27"/>
      <c r="AP132" s="26"/>
      <c r="AQ132" s="27"/>
      <c r="AR132" s="26"/>
      <c r="AS132" s="27"/>
      <c r="AT132" s="26"/>
      <c r="AU132" s="27"/>
      <c r="AV132" s="26"/>
      <c r="AW132" s="27"/>
      <c r="AX132" s="26"/>
      <c r="AY132" s="27"/>
      <c r="AZ132" s="26"/>
      <c r="BA132" s="27"/>
      <c r="BB132" s="26"/>
      <c r="BC132" s="27"/>
      <c r="BD132" s="26"/>
      <c r="BE132" s="27"/>
      <c r="BF132" s="26"/>
      <c r="BG132" s="27"/>
      <c r="BH132" s="26"/>
      <c r="BI132" s="27"/>
      <c r="BJ132" s="26"/>
      <c r="BK132" s="27"/>
      <c r="BL132" s="26"/>
      <c r="BM132" s="27"/>
      <c r="BN132" s="22">
        <f>IF($A132="","",SUM(IF($D$5&lt;&gt;"",--(D132="Présent"),0),IF($F$5&lt;&gt;"",--(F132="Présent"),0),IF($H$5&lt;&gt;"",--(H132="Présent"),0),IF($J$5&lt;&gt;"",--(J132="Présent"),0),IF($L$5&lt;&gt;"",--(L132="Présent"),0),IF($N$5&lt;&gt;"",--(N132="Présent"),0),IF($P$5&lt;&gt;"",--(P132="Présent"),0),IF($R$5&lt;&gt;"",--(R132="Présent"),0),IF($T$5&lt;&gt;"",--(T132="Présent"),0),IF($V$5&lt;&gt;"",--(V132="Présent"),0),IF($X$5&lt;&gt;"",--(X132="Présent"),0),IF($Z$5&lt;&gt;"",--(Z132="Présent"),0),IF($AB$5&lt;&gt;"",--(AB132="Présent"),0),IF($AD$5&lt;&gt;"",--(AD132="Présent"),0),IF($AF$5&lt;&gt;"",--(AF132="Présent"),0),IF($AH$5&lt;&gt;"",--(AH132="Présent"),0),IF($AJ$5&lt;&gt;"",--(AJ132="Présent"),0),IF($AL$5&lt;&gt;"",--(AL132="Présent"),0),IF($AN$5&lt;&gt;"",--(AN132="Présent"),0),IF($AP$5&lt;&gt;"",--(AP132="Présent"),0),IF($AR$5&lt;&gt;"",--(AR132="Présent"),0),IF($AT$5&lt;&gt;"",--(AT132="Présent"),0),IF($AV$5&lt;&gt;"",--(AV132="Présent"),0),IF($AX$5&lt;&gt;"",--(AX132="Présent"),0),IF($AZ$5&lt;&gt;"",--(AZ132="Présent"),0),IF($BB$5&lt;&gt;"",--(BB132="Présent"),0),IF($BD$5&lt;&gt;"",--(BD132="Présent"),0),IF($BF$5&lt;&gt;"",--(BF132="Présent"),0),IF($BH$5&lt;&gt;"",--(BH132="Présent"),0),IF($BJ$5&lt;&gt;"",--(BJ132="Présent"),0),IF($BL$5&lt;&gt;"",--(BL132="Présent"),0)))</f>
      </c>
      <c r="BO132" s="22">
        <f>IF($A132="","",SUM(IF($D$5&lt;&gt;"",--(D132="Absent"),0),IF($F$5&lt;&gt;"",--(F132="Absent"),0),IF($H$5&lt;&gt;"",--(H132="Absent"),0),IF($J$5&lt;&gt;"",--(J132="Absent"),0),IF($L$5&lt;&gt;"",--(L132="Absent"),0),IF($N$5&lt;&gt;"",--(N132="Absent"),0),IF($P$5&lt;&gt;"",--(P132="Absent"),0),IF($R$5&lt;&gt;"",--(R132="Absent"),0),IF($T$5&lt;&gt;"",--(T132="Absent"),0),IF($V$5&lt;&gt;"",--(V132="Absent"),0),IF($X$5&lt;&gt;"",--(X132="Absent"),0),IF($Z$5&lt;&gt;"",--(Z132="Absent"),0),IF($AB$5&lt;&gt;"",--(AB132="Absent"),0),IF($AD$5&lt;&gt;"",--(AD132="Absent"),0),IF($AF$5&lt;&gt;"",--(AF132="Absent"),0),IF($AH$5&lt;&gt;"",--(AH132="Absent"),0),IF($AJ$5&lt;&gt;"",--(AJ132="Absent"),0),IF($AL$5&lt;&gt;"",--(AL132="Absent"),0),IF($AN$5&lt;&gt;"",--(AN132="Absent"),0),IF($AP$5&lt;&gt;"",--(AP132="Absent"),0),IF($AR$5&lt;&gt;"",--(AR132="Absent"),0),IF($AT$5&lt;&gt;"",--(AT132="Absent"),0),IF($AV$5&lt;&gt;"",--(AV132="Absent"),0),IF($AX$5&lt;&gt;"",--(AX132="Absent"),0),IF($AZ$5&lt;&gt;"",--(AZ132="Absent"),0),IF($BB$5&lt;&gt;"",--(BB132="Absent"),0),IF($BD$5&lt;&gt;"",--(BD132="Absent"),0),IF($BF$5&lt;&gt;"",--(BF132="Absent"),0),IF($BH$5&lt;&gt;"",--(BH132="Absent"),0),IF($BJ$5&lt;&gt;"",--(BJ132="Absent"),0),IF($BL$5&lt;&gt;"",--(BL132="Absent"),0)))</f>
      </c>
      <c r="BP132" s="22">
        <f>IF($A132="","",SUM(IF($D$5&lt;&gt;"",--(D132="Congé"),0),IF($F$5&lt;&gt;"",--(F132="Congé"),0),IF($H$5&lt;&gt;"",--(H132="Congé"),0),IF($J$5&lt;&gt;"",--(J132="Congé"),0),IF($L$5&lt;&gt;"",--(L132="Congé"),0),IF($N$5&lt;&gt;"",--(N132="Congé"),0),IF($P$5&lt;&gt;"",--(P132="Congé"),0),IF($R$5&lt;&gt;"",--(R132="Congé"),0),IF($T$5&lt;&gt;"",--(T132="Congé"),0),IF($V$5&lt;&gt;"",--(V132="Congé"),0),IF($X$5&lt;&gt;"",--(X132="Congé"),0),IF($Z$5&lt;&gt;"",--(Z132="Congé"),0),IF($AB$5&lt;&gt;"",--(AB132="Congé"),0),IF($AD$5&lt;&gt;"",--(AD132="Congé"),0),IF($AF$5&lt;&gt;"",--(AF132="Congé"),0),IF($AH$5&lt;&gt;"",--(AH132="Congé"),0),IF($AJ$5&lt;&gt;"",--(AJ132="Congé"),0),IF($AL$5&lt;&gt;"",--(AL132="Congé"),0),IF($AN$5&lt;&gt;"",--(AN132="Congé"),0),IF($AP$5&lt;&gt;"",--(AP132="Congé"),0),IF($AR$5&lt;&gt;"",--(AR132="Congé"),0),IF($AT$5&lt;&gt;"",--(AT132="Congé"),0),IF($AV$5&lt;&gt;"",--(AV132="Congé"),0),IF($AX$5&lt;&gt;"",--(AX132="Congé"),0),IF($AZ$5&lt;&gt;"",--(AZ132="Congé"),0),IF($BB$5&lt;&gt;"",--(BB132="Congé"),0),IF($BD$5&lt;&gt;"",--(BD132="Congé"),0),IF($BF$5&lt;&gt;"",--(BF132="Congé"),0),IF($BH$5&lt;&gt;"",--(BH132="Congé"),0),IF($BJ$5&lt;&gt;"",--(BJ132="Congé"),0),IF($BL$5&lt;&gt;"",--(BL132="Congé"),0)))</f>
      </c>
      <c r="BQ132" s="22">
        <f>IF($A132="","",SUM(IF($D$5&lt;&gt;"",--(D132="Maladie"),0),IF($F$5&lt;&gt;"",--(F132="Maladie"),0),IF($H$5&lt;&gt;"",--(H132="Maladie"),0),IF($J$5&lt;&gt;"",--(J132="Maladie"),0),IF($L$5&lt;&gt;"",--(L132="Maladie"),0),IF($N$5&lt;&gt;"",--(N132="Maladie"),0),IF($P$5&lt;&gt;"",--(P132="Maladie"),0),IF($R$5&lt;&gt;"",--(R132="Maladie"),0),IF($T$5&lt;&gt;"",--(T132="Maladie"),0),IF($V$5&lt;&gt;"",--(V132="Maladie"),0),IF($X$5&lt;&gt;"",--(X132="Maladie"),0),IF($Z$5&lt;&gt;"",--(Z132="Maladie"),0),IF($AB$5&lt;&gt;"",--(AB132="Maladie"),0),IF($AD$5&lt;&gt;"",--(AD132="Maladie"),0),IF($AF$5&lt;&gt;"",--(AF132="Maladie"),0),IF($AH$5&lt;&gt;"",--(AH132="Maladie"),0),IF($AJ$5&lt;&gt;"",--(AJ132="Maladie"),0),IF($AL$5&lt;&gt;"",--(AL132="Maladie"),0),IF($AN$5&lt;&gt;"",--(AN132="Maladie"),0),IF($AP$5&lt;&gt;"",--(AP132="Maladie"),0),IF($AR$5&lt;&gt;"",--(AR132="Maladie"),0),IF($AT$5&lt;&gt;"",--(AT132="Maladie"),0),IF($AV$5&lt;&gt;"",--(AV132="Maladie"),0),IF($AX$5&lt;&gt;"",--(AX132="Maladie"),0),IF($AZ$5&lt;&gt;"",--(AZ132="Maladie"),0),IF($BB$5&lt;&gt;"",--(BB132="Maladie"),0),IF($BD$5&lt;&gt;"",--(BD132="Maladie"),0),IF($BF$5&lt;&gt;"",--(BF132="Maladie"),0),IF($BH$5&lt;&gt;"",--(BH132="Maladie"),0),IF($BJ$5&lt;&gt;"",--(BJ132="Maladie"),0),IF($BL$5&lt;&gt;"",--(BL132="Maladie"),0)))</f>
      </c>
      <c r="BR132" s="23">
        <f>IF($A132="","",SUM(IF($D$5&lt;&gt;"",IF(D132="Présent",E132,0),0),IF($F$5&lt;&gt;"",IF(F132="Présent",G132,0),0),IF($H$5&lt;&gt;"",IF(H132="Présent",I132,0),0),IF($J$5&lt;&gt;"",IF(J132="Présent",K132,0),0),IF($L$5&lt;&gt;"",IF(L132="Présent",M132,0),0),IF($N$5&lt;&gt;"",IF(N132="Présent",O132,0),0),IF($P$5&lt;&gt;"",IF(P132="Présent",Q132,0),0),IF($R$5&lt;&gt;"",IF(R132="Présent",S132,0),0),IF($T$5&lt;&gt;"",IF(T132="Présent",U132,0),0),IF($V$5&lt;&gt;"",IF(V132="Présent",W132,0),0),IF($X$5&lt;&gt;"",IF(X132="Présent",Y132,0),0),IF($Z$5&lt;&gt;"",IF(Z132="Présent",AA132,0),0),IF($AB$5&lt;&gt;"",IF(AB132="Présent",AC132,0),0),IF($AD$5&lt;&gt;"",IF(AD132="Présent",AE132,0),0),IF($AF$5&lt;&gt;"",IF(AF132="Présent",AG132,0),0),IF($AH$5&lt;&gt;"",IF(AH132="Présent",AI132,0),0),IF($AJ$5&lt;&gt;"",IF(AJ132="Présent",AK132,0),0),IF($AL$5&lt;&gt;"",IF(AL132="Présent",AM132,0),0),IF($AN$5&lt;&gt;"",IF(AN132="Présent",AO132,0),0),IF($AP$5&lt;&gt;"",IF(AP132="Présent",AQ132,0),0),IF($AR$5&lt;&gt;"",IF(AR132="Présent",AS132,0),0),IF($AT$5&lt;&gt;"",IF(AT132="Présent",AU132,0),0),IF($AV$5&lt;&gt;"",IF(AV132="Présent",AW132,0),0),IF($AX$5&lt;&gt;"",IF(AX132="Présent",AY132,0),0),IF($AZ$5&lt;&gt;"",IF(AZ132="Présent",BA132,0),0),IF($BB$5&lt;&gt;"",IF(BB132="Présent",BC132,0),0),IF($BD$5&lt;&gt;"",IF(BD132="Présent",BE132,0),0),IF($BF$5&lt;&gt;"",IF(BF132="Présent",BG132,0),0),IF($BH$5&lt;&gt;"",IF(BH132="Présent",BI132,0),0),IF($BJ$5&lt;&gt;"",IF(BJ132="Présent",BK132,0),0),IF($BL$5&lt;&gt;"",IF(BL132="Présent",BM132,0),0)))</f>
      </c>
      <c r="BS132" s="25">
        <f>IF($A132="","",$BN132*IFERROR(INDEX(Categories_Salaire,MATCH($C132,ListeCategories,0)),0)+$BR132*IF(IFERROR(INDEX(Categories_TauxHS,MATCH($C132,ListeCategories,0)),0)&gt;0,IFERROR(INDEX(Categories_TauxHS,MATCH($C132,ListeCategories,0)),0),TauxHSDefaut))</f>
      </c>
    </row>
    <row r="133">
      <c r="A133" s="20">
        <f>IF(AND(INDEX(Employes_Nom,127)&lt;&gt;"",INDEX(Employes_Statut,127)="Actif",OR(INDEX(Employes_Embauche,127)="",INDEX(Employes_Embauche,127)&lt;=EOMONTH(DATE(AnneeCourante,MoisCourant,1),0))),INDEX(Employes_ID,127),"")</f>
      </c>
      <c r="B133" s="19">
        <f>IF($A133="","",INDEX(Employes_Nom,MATCH($A133,Employes_ID,0)))</f>
      </c>
      <c r="C133" s="20">
        <f>IF($A133="","",INDEX(Employes_Categorie,MATCH($A133,Employes_ID,0)))</f>
      </c>
      <c r="D133" s="26"/>
      <c r="E133" s="27"/>
      <c r="F133" s="26"/>
      <c r="G133" s="27"/>
      <c r="H133" s="26"/>
      <c r="I133" s="27"/>
      <c r="J133" s="26"/>
      <c r="K133" s="27"/>
      <c r="L133" s="26"/>
      <c r="M133" s="27"/>
      <c r="N133" s="26"/>
      <c r="O133" s="27"/>
      <c r="P133" s="26"/>
      <c r="Q133" s="27"/>
      <c r="R133" s="26"/>
      <c r="S133" s="27"/>
      <c r="T133" s="26"/>
      <c r="U133" s="27"/>
      <c r="V133" s="26"/>
      <c r="W133" s="27"/>
      <c r="X133" s="26"/>
      <c r="Y133" s="27"/>
      <c r="Z133" s="26"/>
      <c r="AA133" s="27"/>
      <c r="AB133" s="26"/>
      <c r="AC133" s="27"/>
      <c r="AD133" s="26"/>
      <c r="AE133" s="27"/>
      <c r="AF133" s="26"/>
      <c r="AG133" s="27"/>
      <c r="AH133" s="26"/>
      <c r="AI133" s="27"/>
      <c r="AJ133" s="26"/>
      <c r="AK133" s="27"/>
      <c r="AL133" s="26"/>
      <c r="AM133" s="27"/>
      <c r="AN133" s="26"/>
      <c r="AO133" s="27"/>
      <c r="AP133" s="26"/>
      <c r="AQ133" s="27"/>
      <c r="AR133" s="26"/>
      <c r="AS133" s="27"/>
      <c r="AT133" s="26"/>
      <c r="AU133" s="27"/>
      <c r="AV133" s="26"/>
      <c r="AW133" s="27"/>
      <c r="AX133" s="26"/>
      <c r="AY133" s="27"/>
      <c r="AZ133" s="26"/>
      <c r="BA133" s="27"/>
      <c r="BB133" s="26"/>
      <c r="BC133" s="27"/>
      <c r="BD133" s="26"/>
      <c r="BE133" s="27"/>
      <c r="BF133" s="26"/>
      <c r="BG133" s="27"/>
      <c r="BH133" s="26"/>
      <c r="BI133" s="27"/>
      <c r="BJ133" s="26"/>
      <c r="BK133" s="27"/>
      <c r="BL133" s="26"/>
      <c r="BM133" s="27"/>
      <c r="BN133" s="22">
        <f>IF($A133="","",SUM(IF($D$5&lt;&gt;"",--(D133="Présent"),0),IF($F$5&lt;&gt;"",--(F133="Présent"),0),IF($H$5&lt;&gt;"",--(H133="Présent"),0),IF($J$5&lt;&gt;"",--(J133="Présent"),0),IF($L$5&lt;&gt;"",--(L133="Présent"),0),IF($N$5&lt;&gt;"",--(N133="Présent"),0),IF($P$5&lt;&gt;"",--(P133="Présent"),0),IF($R$5&lt;&gt;"",--(R133="Présent"),0),IF($T$5&lt;&gt;"",--(T133="Présent"),0),IF($V$5&lt;&gt;"",--(V133="Présent"),0),IF($X$5&lt;&gt;"",--(X133="Présent"),0),IF($Z$5&lt;&gt;"",--(Z133="Présent"),0),IF($AB$5&lt;&gt;"",--(AB133="Présent"),0),IF($AD$5&lt;&gt;"",--(AD133="Présent"),0),IF($AF$5&lt;&gt;"",--(AF133="Présent"),0),IF($AH$5&lt;&gt;"",--(AH133="Présent"),0),IF($AJ$5&lt;&gt;"",--(AJ133="Présent"),0),IF($AL$5&lt;&gt;"",--(AL133="Présent"),0),IF($AN$5&lt;&gt;"",--(AN133="Présent"),0),IF($AP$5&lt;&gt;"",--(AP133="Présent"),0),IF($AR$5&lt;&gt;"",--(AR133="Présent"),0),IF($AT$5&lt;&gt;"",--(AT133="Présent"),0),IF($AV$5&lt;&gt;"",--(AV133="Présent"),0),IF($AX$5&lt;&gt;"",--(AX133="Présent"),0),IF($AZ$5&lt;&gt;"",--(AZ133="Présent"),0),IF($BB$5&lt;&gt;"",--(BB133="Présent"),0),IF($BD$5&lt;&gt;"",--(BD133="Présent"),0),IF($BF$5&lt;&gt;"",--(BF133="Présent"),0),IF($BH$5&lt;&gt;"",--(BH133="Présent"),0),IF($BJ$5&lt;&gt;"",--(BJ133="Présent"),0),IF($BL$5&lt;&gt;"",--(BL133="Présent"),0)))</f>
      </c>
      <c r="BO133" s="22">
        <f>IF($A133="","",SUM(IF($D$5&lt;&gt;"",--(D133="Absent"),0),IF($F$5&lt;&gt;"",--(F133="Absent"),0),IF($H$5&lt;&gt;"",--(H133="Absent"),0),IF($J$5&lt;&gt;"",--(J133="Absent"),0),IF($L$5&lt;&gt;"",--(L133="Absent"),0),IF($N$5&lt;&gt;"",--(N133="Absent"),0),IF($P$5&lt;&gt;"",--(P133="Absent"),0),IF($R$5&lt;&gt;"",--(R133="Absent"),0),IF($T$5&lt;&gt;"",--(T133="Absent"),0),IF($V$5&lt;&gt;"",--(V133="Absent"),0),IF($X$5&lt;&gt;"",--(X133="Absent"),0),IF($Z$5&lt;&gt;"",--(Z133="Absent"),0),IF($AB$5&lt;&gt;"",--(AB133="Absent"),0),IF($AD$5&lt;&gt;"",--(AD133="Absent"),0),IF($AF$5&lt;&gt;"",--(AF133="Absent"),0),IF($AH$5&lt;&gt;"",--(AH133="Absent"),0),IF($AJ$5&lt;&gt;"",--(AJ133="Absent"),0),IF($AL$5&lt;&gt;"",--(AL133="Absent"),0),IF($AN$5&lt;&gt;"",--(AN133="Absent"),0),IF($AP$5&lt;&gt;"",--(AP133="Absent"),0),IF($AR$5&lt;&gt;"",--(AR133="Absent"),0),IF($AT$5&lt;&gt;"",--(AT133="Absent"),0),IF($AV$5&lt;&gt;"",--(AV133="Absent"),0),IF($AX$5&lt;&gt;"",--(AX133="Absent"),0),IF($AZ$5&lt;&gt;"",--(AZ133="Absent"),0),IF($BB$5&lt;&gt;"",--(BB133="Absent"),0),IF($BD$5&lt;&gt;"",--(BD133="Absent"),0),IF($BF$5&lt;&gt;"",--(BF133="Absent"),0),IF($BH$5&lt;&gt;"",--(BH133="Absent"),0),IF($BJ$5&lt;&gt;"",--(BJ133="Absent"),0),IF($BL$5&lt;&gt;"",--(BL133="Absent"),0)))</f>
      </c>
      <c r="BP133" s="22">
        <f>IF($A133="","",SUM(IF($D$5&lt;&gt;"",--(D133="Congé"),0),IF($F$5&lt;&gt;"",--(F133="Congé"),0),IF($H$5&lt;&gt;"",--(H133="Congé"),0),IF($J$5&lt;&gt;"",--(J133="Congé"),0),IF($L$5&lt;&gt;"",--(L133="Congé"),0),IF($N$5&lt;&gt;"",--(N133="Congé"),0),IF($P$5&lt;&gt;"",--(P133="Congé"),0),IF($R$5&lt;&gt;"",--(R133="Congé"),0),IF($T$5&lt;&gt;"",--(T133="Congé"),0),IF($V$5&lt;&gt;"",--(V133="Congé"),0),IF($X$5&lt;&gt;"",--(X133="Congé"),0),IF($Z$5&lt;&gt;"",--(Z133="Congé"),0),IF($AB$5&lt;&gt;"",--(AB133="Congé"),0),IF($AD$5&lt;&gt;"",--(AD133="Congé"),0),IF($AF$5&lt;&gt;"",--(AF133="Congé"),0),IF($AH$5&lt;&gt;"",--(AH133="Congé"),0),IF($AJ$5&lt;&gt;"",--(AJ133="Congé"),0),IF($AL$5&lt;&gt;"",--(AL133="Congé"),0),IF($AN$5&lt;&gt;"",--(AN133="Congé"),0),IF($AP$5&lt;&gt;"",--(AP133="Congé"),0),IF($AR$5&lt;&gt;"",--(AR133="Congé"),0),IF($AT$5&lt;&gt;"",--(AT133="Congé"),0),IF($AV$5&lt;&gt;"",--(AV133="Congé"),0),IF($AX$5&lt;&gt;"",--(AX133="Congé"),0),IF($AZ$5&lt;&gt;"",--(AZ133="Congé"),0),IF($BB$5&lt;&gt;"",--(BB133="Congé"),0),IF($BD$5&lt;&gt;"",--(BD133="Congé"),0),IF($BF$5&lt;&gt;"",--(BF133="Congé"),0),IF($BH$5&lt;&gt;"",--(BH133="Congé"),0),IF($BJ$5&lt;&gt;"",--(BJ133="Congé"),0),IF($BL$5&lt;&gt;"",--(BL133="Congé"),0)))</f>
      </c>
      <c r="BQ133" s="22">
        <f>IF($A133="","",SUM(IF($D$5&lt;&gt;"",--(D133="Maladie"),0),IF($F$5&lt;&gt;"",--(F133="Maladie"),0),IF($H$5&lt;&gt;"",--(H133="Maladie"),0),IF($J$5&lt;&gt;"",--(J133="Maladie"),0),IF($L$5&lt;&gt;"",--(L133="Maladie"),0),IF($N$5&lt;&gt;"",--(N133="Maladie"),0),IF($P$5&lt;&gt;"",--(P133="Maladie"),0),IF($R$5&lt;&gt;"",--(R133="Maladie"),0),IF($T$5&lt;&gt;"",--(T133="Maladie"),0),IF($V$5&lt;&gt;"",--(V133="Maladie"),0),IF($X$5&lt;&gt;"",--(X133="Maladie"),0),IF($Z$5&lt;&gt;"",--(Z133="Maladie"),0),IF($AB$5&lt;&gt;"",--(AB133="Maladie"),0),IF($AD$5&lt;&gt;"",--(AD133="Maladie"),0),IF($AF$5&lt;&gt;"",--(AF133="Maladie"),0),IF($AH$5&lt;&gt;"",--(AH133="Maladie"),0),IF($AJ$5&lt;&gt;"",--(AJ133="Maladie"),0),IF($AL$5&lt;&gt;"",--(AL133="Maladie"),0),IF($AN$5&lt;&gt;"",--(AN133="Maladie"),0),IF($AP$5&lt;&gt;"",--(AP133="Maladie"),0),IF($AR$5&lt;&gt;"",--(AR133="Maladie"),0),IF($AT$5&lt;&gt;"",--(AT133="Maladie"),0),IF($AV$5&lt;&gt;"",--(AV133="Maladie"),0),IF($AX$5&lt;&gt;"",--(AX133="Maladie"),0),IF($AZ$5&lt;&gt;"",--(AZ133="Maladie"),0),IF($BB$5&lt;&gt;"",--(BB133="Maladie"),0),IF($BD$5&lt;&gt;"",--(BD133="Maladie"),0),IF($BF$5&lt;&gt;"",--(BF133="Maladie"),0),IF($BH$5&lt;&gt;"",--(BH133="Maladie"),0),IF($BJ$5&lt;&gt;"",--(BJ133="Maladie"),0),IF($BL$5&lt;&gt;"",--(BL133="Maladie"),0)))</f>
      </c>
      <c r="BR133" s="23">
        <f>IF($A133="","",SUM(IF($D$5&lt;&gt;"",IF(D133="Présent",E133,0),0),IF($F$5&lt;&gt;"",IF(F133="Présent",G133,0),0),IF($H$5&lt;&gt;"",IF(H133="Présent",I133,0),0),IF($J$5&lt;&gt;"",IF(J133="Présent",K133,0),0),IF($L$5&lt;&gt;"",IF(L133="Présent",M133,0),0),IF($N$5&lt;&gt;"",IF(N133="Présent",O133,0),0),IF($P$5&lt;&gt;"",IF(P133="Présent",Q133,0),0),IF($R$5&lt;&gt;"",IF(R133="Présent",S133,0),0),IF($T$5&lt;&gt;"",IF(T133="Présent",U133,0),0),IF($V$5&lt;&gt;"",IF(V133="Présent",W133,0),0),IF($X$5&lt;&gt;"",IF(X133="Présent",Y133,0),0),IF($Z$5&lt;&gt;"",IF(Z133="Présent",AA133,0),0),IF($AB$5&lt;&gt;"",IF(AB133="Présent",AC133,0),0),IF($AD$5&lt;&gt;"",IF(AD133="Présent",AE133,0),0),IF($AF$5&lt;&gt;"",IF(AF133="Présent",AG133,0),0),IF($AH$5&lt;&gt;"",IF(AH133="Présent",AI133,0),0),IF($AJ$5&lt;&gt;"",IF(AJ133="Présent",AK133,0),0),IF($AL$5&lt;&gt;"",IF(AL133="Présent",AM133,0),0),IF($AN$5&lt;&gt;"",IF(AN133="Présent",AO133,0),0),IF($AP$5&lt;&gt;"",IF(AP133="Présent",AQ133,0),0),IF($AR$5&lt;&gt;"",IF(AR133="Présent",AS133,0),0),IF($AT$5&lt;&gt;"",IF(AT133="Présent",AU133,0),0),IF($AV$5&lt;&gt;"",IF(AV133="Présent",AW133,0),0),IF($AX$5&lt;&gt;"",IF(AX133="Présent",AY133,0),0),IF($AZ$5&lt;&gt;"",IF(AZ133="Présent",BA133,0),0),IF($BB$5&lt;&gt;"",IF(BB133="Présent",BC133,0),0),IF($BD$5&lt;&gt;"",IF(BD133="Présent",BE133,0),0),IF($BF$5&lt;&gt;"",IF(BF133="Présent",BG133,0),0),IF($BH$5&lt;&gt;"",IF(BH133="Présent",BI133,0),0),IF($BJ$5&lt;&gt;"",IF(BJ133="Présent",BK133,0),0),IF($BL$5&lt;&gt;"",IF(BL133="Présent",BM133,0),0)))</f>
      </c>
      <c r="BS133" s="25">
        <f>IF($A133="","",$BN133*IFERROR(INDEX(Categories_Salaire,MATCH($C133,ListeCategories,0)),0)+$BR133*IF(IFERROR(INDEX(Categories_TauxHS,MATCH($C133,ListeCategories,0)),0)&gt;0,IFERROR(INDEX(Categories_TauxHS,MATCH($C133,ListeCategories,0)),0),TauxHSDefaut))</f>
      </c>
    </row>
    <row r="134">
      <c r="A134" s="20">
        <f>IF(AND(INDEX(Employes_Nom,128)&lt;&gt;"",INDEX(Employes_Statut,128)="Actif",OR(INDEX(Employes_Embauche,128)="",INDEX(Employes_Embauche,128)&lt;=EOMONTH(DATE(AnneeCourante,MoisCourant,1),0))),INDEX(Employes_ID,128),"")</f>
      </c>
      <c r="B134" s="19">
        <f>IF($A134="","",INDEX(Employes_Nom,MATCH($A134,Employes_ID,0)))</f>
      </c>
      <c r="C134" s="20">
        <f>IF($A134="","",INDEX(Employes_Categorie,MATCH($A134,Employes_ID,0)))</f>
      </c>
      <c r="D134" s="26"/>
      <c r="E134" s="27"/>
      <c r="F134" s="26"/>
      <c r="G134" s="27"/>
      <c r="H134" s="26"/>
      <c r="I134" s="27"/>
      <c r="J134" s="26"/>
      <c r="K134" s="27"/>
      <c r="L134" s="26"/>
      <c r="M134" s="27"/>
      <c r="N134" s="26"/>
      <c r="O134" s="27"/>
      <c r="P134" s="26"/>
      <c r="Q134" s="27"/>
      <c r="R134" s="26"/>
      <c r="S134" s="27"/>
      <c r="T134" s="26"/>
      <c r="U134" s="27"/>
      <c r="V134" s="26"/>
      <c r="W134" s="27"/>
      <c r="X134" s="26"/>
      <c r="Y134" s="27"/>
      <c r="Z134" s="26"/>
      <c r="AA134" s="27"/>
      <c r="AB134" s="26"/>
      <c r="AC134" s="27"/>
      <c r="AD134" s="26"/>
      <c r="AE134" s="27"/>
      <c r="AF134" s="26"/>
      <c r="AG134" s="27"/>
      <c r="AH134" s="26"/>
      <c r="AI134" s="27"/>
      <c r="AJ134" s="26"/>
      <c r="AK134" s="27"/>
      <c r="AL134" s="26"/>
      <c r="AM134" s="27"/>
      <c r="AN134" s="26"/>
      <c r="AO134" s="27"/>
      <c r="AP134" s="26"/>
      <c r="AQ134" s="27"/>
      <c r="AR134" s="26"/>
      <c r="AS134" s="27"/>
      <c r="AT134" s="26"/>
      <c r="AU134" s="27"/>
      <c r="AV134" s="26"/>
      <c r="AW134" s="27"/>
      <c r="AX134" s="26"/>
      <c r="AY134" s="27"/>
      <c r="AZ134" s="26"/>
      <c r="BA134" s="27"/>
      <c r="BB134" s="26"/>
      <c r="BC134" s="27"/>
      <c r="BD134" s="26"/>
      <c r="BE134" s="27"/>
      <c r="BF134" s="26"/>
      <c r="BG134" s="27"/>
      <c r="BH134" s="26"/>
      <c r="BI134" s="27"/>
      <c r="BJ134" s="26"/>
      <c r="BK134" s="27"/>
      <c r="BL134" s="26"/>
      <c r="BM134" s="27"/>
      <c r="BN134" s="22">
        <f>IF($A134="","",SUM(IF($D$5&lt;&gt;"",--(D134="Présent"),0),IF($F$5&lt;&gt;"",--(F134="Présent"),0),IF($H$5&lt;&gt;"",--(H134="Présent"),0),IF($J$5&lt;&gt;"",--(J134="Présent"),0),IF($L$5&lt;&gt;"",--(L134="Présent"),0),IF($N$5&lt;&gt;"",--(N134="Présent"),0),IF($P$5&lt;&gt;"",--(P134="Présent"),0),IF($R$5&lt;&gt;"",--(R134="Présent"),0),IF($T$5&lt;&gt;"",--(T134="Présent"),0),IF($V$5&lt;&gt;"",--(V134="Présent"),0),IF($X$5&lt;&gt;"",--(X134="Présent"),0),IF($Z$5&lt;&gt;"",--(Z134="Présent"),0),IF($AB$5&lt;&gt;"",--(AB134="Présent"),0),IF($AD$5&lt;&gt;"",--(AD134="Présent"),0),IF($AF$5&lt;&gt;"",--(AF134="Présent"),0),IF($AH$5&lt;&gt;"",--(AH134="Présent"),0),IF($AJ$5&lt;&gt;"",--(AJ134="Présent"),0),IF($AL$5&lt;&gt;"",--(AL134="Présent"),0),IF($AN$5&lt;&gt;"",--(AN134="Présent"),0),IF($AP$5&lt;&gt;"",--(AP134="Présent"),0),IF($AR$5&lt;&gt;"",--(AR134="Présent"),0),IF($AT$5&lt;&gt;"",--(AT134="Présent"),0),IF($AV$5&lt;&gt;"",--(AV134="Présent"),0),IF($AX$5&lt;&gt;"",--(AX134="Présent"),0),IF($AZ$5&lt;&gt;"",--(AZ134="Présent"),0),IF($BB$5&lt;&gt;"",--(BB134="Présent"),0),IF($BD$5&lt;&gt;"",--(BD134="Présent"),0),IF($BF$5&lt;&gt;"",--(BF134="Présent"),0),IF($BH$5&lt;&gt;"",--(BH134="Présent"),0),IF($BJ$5&lt;&gt;"",--(BJ134="Présent"),0),IF($BL$5&lt;&gt;"",--(BL134="Présent"),0)))</f>
      </c>
      <c r="BO134" s="22">
        <f>IF($A134="","",SUM(IF($D$5&lt;&gt;"",--(D134="Absent"),0),IF($F$5&lt;&gt;"",--(F134="Absent"),0),IF($H$5&lt;&gt;"",--(H134="Absent"),0),IF($J$5&lt;&gt;"",--(J134="Absent"),0),IF($L$5&lt;&gt;"",--(L134="Absent"),0),IF($N$5&lt;&gt;"",--(N134="Absent"),0),IF($P$5&lt;&gt;"",--(P134="Absent"),0),IF($R$5&lt;&gt;"",--(R134="Absent"),0),IF($T$5&lt;&gt;"",--(T134="Absent"),0),IF($V$5&lt;&gt;"",--(V134="Absent"),0),IF($X$5&lt;&gt;"",--(X134="Absent"),0),IF($Z$5&lt;&gt;"",--(Z134="Absent"),0),IF($AB$5&lt;&gt;"",--(AB134="Absent"),0),IF($AD$5&lt;&gt;"",--(AD134="Absent"),0),IF($AF$5&lt;&gt;"",--(AF134="Absent"),0),IF($AH$5&lt;&gt;"",--(AH134="Absent"),0),IF($AJ$5&lt;&gt;"",--(AJ134="Absent"),0),IF($AL$5&lt;&gt;"",--(AL134="Absent"),0),IF($AN$5&lt;&gt;"",--(AN134="Absent"),0),IF($AP$5&lt;&gt;"",--(AP134="Absent"),0),IF($AR$5&lt;&gt;"",--(AR134="Absent"),0),IF($AT$5&lt;&gt;"",--(AT134="Absent"),0),IF($AV$5&lt;&gt;"",--(AV134="Absent"),0),IF($AX$5&lt;&gt;"",--(AX134="Absent"),0),IF($AZ$5&lt;&gt;"",--(AZ134="Absent"),0),IF($BB$5&lt;&gt;"",--(BB134="Absent"),0),IF($BD$5&lt;&gt;"",--(BD134="Absent"),0),IF($BF$5&lt;&gt;"",--(BF134="Absent"),0),IF($BH$5&lt;&gt;"",--(BH134="Absent"),0),IF($BJ$5&lt;&gt;"",--(BJ134="Absent"),0),IF($BL$5&lt;&gt;"",--(BL134="Absent"),0)))</f>
      </c>
      <c r="BP134" s="22">
        <f>IF($A134="","",SUM(IF($D$5&lt;&gt;"",--(D134="Congé"),0),IF($F$5&lt;&gt;"",--(F134="Congé"),0),IF($H$5&lt;&gt;"",--(H134="Congé"),0),IF($J$5&lt;&gt;"",--(J134="Congé"),0),IF($L$5&lt;&gt;"",--(L134="Congé"),0),IF($N$5&lt;&gt;"",--(N134="Congé"),0),IF($P$5&lt;&gt;"",--(P134="Congé"),0),IF($R$5&lt;&gt;"",--(R134="Congé"),0),IF($T$5&lt;&gt;"",--(T134="Congé"),0),IF($V$5&lt;&gt;"",--(V134="Congé"),0),IF($X$5&lt;&gt;"",--(X134="Congé"),0),IF($Z$5&lt;&gt;"",--(Z134="Congé"),0),IF($AB$5&lt;&gt;"",--(AB134="Congé"),0),IF($AD$5&lt;&gt;"",--(AD134="Congé"),0),IF($AF$5&lt;&gt;"",--(AF134="Congé"),0),IF($AH$5&lt;&gt;"",--(AH134="Congé"),0),IF($AJ$5&lt;&gt;"",--(AJ134="Congé"),0),IF($AL$5&lt;&gt;"",--(AL134="Congé"),0),IF($AN$5&lt;&gt;"",--(AN134="Congé"),0),IF($AP$5&lt;&gt;"",--(AP134="Congé"),0),IF($AR$5&lt;&gt;"",--(AR134="Congé"),0),IF($AT$5&lt;&gt;"",--(AT134="Congé"),0),IF($AV$5&lt;&gt;"",--(AV134="Congé"),0),IF($AX$5&lt;&gt;"",--(AX134="Congé"),0),IF($AZ$5&lt;&gt;"",--(AZ134="Congé"),0),IF($BB$5&lt;&gt;"",--(BB134="Congé"),0),IF($BD$5&lt;&gt;"",--(BD134="Congé"),0),IF($BF$5&lt;&gt;"",--(BF134="Congé"),0),IF($BH$5&lt;&gt;"",--(BH134="Congé"),0),IF($BJ$5&lt;&gt;"",--(BJ134="Congé"),0),IF($BL$5&lt;&gt;"",--(BL134="Congé"),0)))</f>
      </c>
      <c r="BQ134" s="22">
        <f>IF($A134="","",SUM(IF($D$5&lt;&gt;"",--(D134="Maladie"),0),IF($F$5&lt;&gt;"",--(F134="Maladie"),0),IF($H$5&lt;&gt;"",--(H134="Maladie"),0),IF($J$5&lt;&gt;"",--(J134="Maladie"),0),IF($L$5&lt;&gt;"",--(L134="Maladie"),0),IF($N$5&lt;&gt;"",--(N134="Maladie"),0),IF($P$5&lt;&gt;"",--(P134="Maladie"),0),IF($R$5&lt;&gt;"",--(R134="Maladie"),0),IF($T$5&lt;&gt;"",--(T134="Maladie"),0),IF($V$5&lt;&gt;"",--(V134="Maladie"),0),IF($X$5&lt;&gt;"",--(X134="Maladie"),0),IF($Z$5&lt;&gt;"",--(Z134="Maladie"),0),IF($AB$5&lt;&gt;"",--(AB134="Maladie"),0),IF($AD$5&lt;&gt;"",--(AD134="Maladie"),0),IF($AF$5&lt;&gt;"",--(AF134="Maladie"),0),IF($AH$5&lt;&gt;"",--(AH134="Maladie"),0),IF($AJ$5&lt;&gt;"",--(AJ134="Maladie"),0),IF($AL$5&lt;&gt;"",--(AL134="Maladie"),0),IF($AN$5&lt;&gt;"",--(AN134="Maladie"),0),IF($AP$5&lt;&gt;"",--(AP134="Maladie"),0),IF($AR$5&lt;&gt;"",--(AR134="Maladie"),0),IF($AT$5&lt;&gt;"",--(AT134="Maladie"),0),IF($AV$5&lt;&gt;"",--(AV134="Maladie"),0),IF($AX$5&lt;&gt;"",--(AX134="Maladie"),0),IF($AZ$5&lt;&gt;"",--(AZ134="Maladie"),0),IF($BB$5&lt;&gt;"",--(BB134="Maladie"),0),IF($BD$5&lt;&gt;"",--(BD134="Maladie"),0),IF($BF$5&lt;&gt;"",--(BF134="Maladie"),0),IF($BH$5&lt;&gt;"",--(BH134="Maladie"),0),IF($BJ$5&lt;&gt;"",--(BJ134="Maladie"),0),IF($BL$5&lt;&gt;"",--(BL134="Maladie"),0)))</f>
      </c>
      <c r="BR134" s="23">
        <f>IF($A134="","",SUM(IF($D$5&lt;&gt;"",IF(D134="Présent",E134,0),0),IF($F$5&lt;&gt;"",IF(F134="Présent",G134,0),0),IF($H$5&lt;&gt;"",IF(H134="Présent",I134,0),0),IF($J$5&lt;&gt;"",IF(J134="Présent",K134,0),0),IF($L$5&lt;&gt;"",IF(L134="Présent",M134,0),0),IF($N$5&lt;&gt;"",IF(N134="Présent",O134,0),0),IF($P$5&lt;&gt;"",IF(P134="Présent",Q134,0),0),IF($R$5&lt;&gt;"",IF(R134="Présent",S134,0),0),IF($T$5&lt;&gt;"",IF(T134="Présent",U134,0),0),IF($V$5&lt;&gt;"",IF(V134="Présent",W134,0),0),IF($X$5&lt;&gt;"",IF(X134="Présent",Y134,0),0),IF($Z$5&lt;&gt;"",IF(Z134="Présent",AA134,0),0),IF($AB$5&lt;&gt;"",IF(AB134="Présent",AC134,0),0),IF($AD$5&lt;&gt;"",IF(AD134="Présent",AE134,0),0),IF($AF$5&lt;&gt;"",IF(AF134="Présent",AG134,0),0),IF($AH$5&lt;&gt;"",IF(AH134="Présent",AI134,0),0),IF($AJ$5&lt;&gt;"",IF(AJ134="Présent",AK134,0),0),IF($AL$5&lt;&gt;"",IF(AL134="Présent",AM134,0),0),IF($AN$5&lt;&gt;"",IF(AN134="Présent",AO134,0),0),IF($AP$5&lt;&gt;"",IF(AP134="Présent",AQ134,0),0),IF($AR$5&lt;&gt;"",IF(AR134="Présent",AS134,0),0),IF($AT$5&lt;&gt;"",IF(AT134="Présent",AU134,0),0),IF($AV$5&lt;&gt;"",IF(AV134="Présent",AW134,0),0),IF($AX$5&lt;&gt;"",IF(AX134="Présent",AY134,0),0),IF($AZ$5&lt;&gt;"",IF(AZ134="Présent",BA134,0),0),IF($BB$5&lt;&gt;"",IF(BB134="Présent",BC134,0),0),IF($BD$5&lt;&gt;"",IF(BD134="Présent",BE134,0),0),IF($BF$5&lt;&gt;"",IF(BF134="Présent",BG134,0),0),IF($BH$5&lt;&gt;"",IF(BH134="Présent",BI134,0),0),IF($BJ$5&lt;&gt;"",IF(BJ134="Présent",BK134,0),0),IF($BL$5&lt;&gt;"",IF(BL134="Présent",BM134,0),0)))</f>
      </c>
      <c r="BS134" s="25">
        <f>IF($A134="","",$BN134*IFERROR(INDEX(Categories_Salaire,MATCH($C134,ListeCategories,0)),0)+$BR134*IF(IFERROR(INDEX(Categories_TauxHS,MATCH($C134,ListeCategories,0)),0)&gt;0,IFERROR(INDEX(Categories_TauxHS,MATCH($C134,ListeCategories,0)),0),TauxHSDefaut))</f>
      </c>
    </row>
    <row r="135">
      <c r="A135" s="20">
        <f>IF(AND(INDEX(Employes_Nom,129)&lt;&gt;"",INDEX(Employes_Statut,129)="Actif",OR(INDEX(Employes_Embauche,129)="",INDEX(Employes_Embauche,129)&lt;=EOMONTH(DATE(AnneeCourante,MoisCourant,1),0))),INDEX(Employes_ID,129),"")</f>
      </c>
      <c r="B135" s="19">
        <f>IF($A135="","",INDEX(Employes_Nom,MATCH($A135,Employes_ID,0)))</f>
      </c>
      <c r="C135" s="20">
        <f>IF($A135="","",INDEX(Employes_Categorie,MATCH($A135,Employes_ID,0)))</f>
      </c>
      <c r="D135" s="26"/>
      <c r="E135" s="27"/>
      <c r="F135" s="26"/>
      <c r="G135" s="27"/>
      <c r="H135" s="26"/>
      <c r="I135" s="27"/>
      <c r="J135" s="26"/>
      <c r="K135" s="27"/>
      <c r="L135" s="26"/>
      <c r="M135" s="27"/>
      <c r="N135" s="26"/>
      <c r="O135" s="27"/>
      <c r="P135" s="26"/>
      <c r="Q135" s="27"/>
      <c r="R135" s="26"/>
      <c r="S135" s="27"/>
      <c r="T135" s="26"/>
      <c r="U135" s="27"/>
      <c r="V135" s="26"/>
      <c r="W135" s="27"/>
      <c r="X135" s="26"/>
      <c r="Y135" s="27"/>
      <c r="Z135" s="26"/>
      <c r="AA135" s="27"/>
      <c r="AB135" s="26"/>
      <c r="AC135" s="27"/>
      <c r="AD135" s="26"/>
      <c r="AE135" s="27"/>
      <c r="AF135" s="26"/>
      <c r="AG135" s="27"/>
      <c r="AH135" s="26"/>
      <c r="AI135" s="27"/>
      <c r="AJ135" s="26"/>
      <c r="AK135" s="27"/>
      <c r="AL135" s="26"/>
      <c r="AM135" s="27"/>
      <c r="AN135" s="26"/>
      <c r="AO135" s="27"/>
      <c r="AP135" s="26"/>
      <c r="AQ135" s="27"/>
      <c r="AR135" s="26"/>
      <c r="AS135" s="27"/>
      <c r="AT135" s="26"/>
      <c r="AU135" s="27"/>
      <c r="AV135" s="26"/>
      <c r="AW135" s="27"/>
      <c r="AX135" s="26"/>
      <c r="AY135" s="27"/>
      <c r="AZ135" s="26"/>
      <c r="BA135" s="27"/>
      <c r="BB135" s="26"/>
      <c r="BC135" s="27"/>
      <c r="BD135" s="26"/>
      <c r="BE135" s="27"/>
      <c r="BF135" s="26"/>
      <c r="BG135" s="27"/>
      <c r="BH135" s="26"/>
      <c r="BI135" s="27"/>
      <c r="BJ135" s="26"/>
      <c r="BK135" s="27"/>
      <c r="BL135" s="26"/>
      <c r="BM135" s="27"/>
      <c r="BN135" s="22">
        <f>IF($A135="","",SUM(IF($D$5&lt;&gt;"",--(D135="Présent"),0),IF($F$5&lt;&gt;"",--(F135="Présent"),0),IF($H$5&lt;&gt;"",--(H135="Présent"),0),IF($J$5&lt;&gt;"",--(J135="Présent"),0),IF($L$5&lt;&gt;"",--(L135="Présent"),0),IF($N$5&lt;&gt;"",--(N135="Présent"),0),IF($P$5&lt;&gt;"",--(P135="Présent"),0),IF($R$5&lt;&gt;"",--(R135="Présent"),0),IF($T$5&lt;&gt;"",--(T135="Présent"),0),IF($V$5&lt;&gt;"",--(V135="Présent"),0),IF($X$5&lt;&gt;"",--(X135="Présent"),0),IF($Z$5&lt;&gt;"",--(Z135="Présent"),0),IF($AB$5&lt;&gt;"",--(AB135="Présent"),0),IF($AD$5&lt;&gt;"",--(AD135="Présent"),0),IF($AF$5&lt;&gt;"",--(AF135="Présent"),0),IF($AH$5&lt;&gt;"",--(AH135="Présent"),0),IF($AJ$5&lt;&gt;"",--(AJ135="Présent"),0),IF($AL$5&lt;&gt;"",--(AL135="Présent"),0),IF($AN$5&lt;&gt;"",--(AN135="Présent"),0),IF($AP$5&lt;&gt;"",--(AP135="Présent"),0),IF($AR$5&lt;&gt;"",--(AR135="Présent"),0),IF($AT$5&lt;&gt;"",--(AT135="Présent"),0),IF($AV$5&lt;&gt;"",--(AV135="Présent"),0),IF($AX$5&lt;&gt;"",--(AX135="Présent"),0),IF($AZ$5&lt;&gt;"",--(AZ135="Présent"),0),IF($BB$5&lt;&gt;"",--(BB135="Présent"),0),IF($BD$5&lt;&gt;"",--(BD135="Présent"),0),IF($BF$5&lt;&gt;"",--(BF135="Présent"),0),IF($BH$5&lt;&gt;"",--(BH135="Présent"),0),IF($BJ$5&lt;&gt;"",--(BJ135="Présent"),0),IF($BL$5&lt;&gt;"",--(BL135="Présent"),0)))</f>
      </c>
      <c r="BO135" s="22">
        <f>IF($A135="","",SUM(IF($D$5&lt;&gt;"",--(D135="Absent"),0),IF($F$5&lt;&gt;"",--(F135="Absent"),0),IF($H$5&lt;&gt;"",--(H135="Absent"),0),IF($J$5&lt;&gt;"",--(J135="Absent"),0),IF($L$5&lt;&gt;"",--(L135="Absent"),0),IF($N$5&lt;&gt;"",--(N135="Absent"),0),IF($P$5&lt;&gt;"",--(P135="Absent"),0),IF($R$5&lt;&gt;"",--(R135="Absent"),0),IF($T$5&lt;&gt;"",--(T135="Absent"),0),IF($V$5&lt;&gt;"",--(V135="Absent"),0),IF($X$5&lt;&gt;"",--(X135="Absent"),0),IF($Z$5&lt;&gt;"",--(Z135="Absent"),0),IF($AB$5&lt;&gt;"",--(AB135="Absent"),0),IF($AD$5&lt;&gt;"",--(AD135="Absent"),0),IF($AF$5&lt;&gt;"",--(AF135="Absent"),0),IF($AH$5&lt;&gt;"",--(AH135="Absent"),0),IF($AJ$5&lt;&gt;"",--(AJ135="Absent"),0),IF($AL$5&lt;&gt;"",--(AL135="Absent"),0),IF($AN$5&lt;&gt;"",--(AN135="Absent"),0),IF($AP$5&lt;&gt;"",--(AP135="Absent"),0),IF($AR$5&lt;&gt;"",--(AR135="Absent"),0),IF($AT$5&lt;&gt;"",--(AT135="Absent"),0),IF($AV$5&lt;&gt;"",--(AV135="Absent"),0),IF($AX$5&lt;&gt;"",--(AX135="Absent"),0),IF($AZ$5&lt;&gt;"",--(AZ135="Absent"),0),IF($BB$5&lt;&gt;"",--(BB135="Absent"),0),IF($BD$5&lt;&gt;"",--(BD135="Absent"),0),IF($BF$5&lt;&gt;"",--(BF135="Absent"),0),IF($BH$5&lt;&gt;"",--(BH135="Absent"),0),IF($BJ$5&lt;&gt;"",--(BJ135="Absent"),0),IF($BL$5&lt;&gt;"",--(BL135="Absent"),0)))</f>
      </c>
      <c r="BP135" s="22">
        <f>IF($A135="","",SUM(IF($D$5&lt;&gt;"",--(D135="Congé"),0),IF($F$5&lt;&gt;"",--(F135="Congé"),0),IF($H$5&lt;&gt;"",--(H135="Congé"),0),IF($J$5&lt;&gt;"",--(J135="Congé"),0),IF($L$5&lt;&gt;"",--(L135="Congé"),0),IF($N$5&lt;&gt;"",--(N135="Congé"),0),IF($P$5&lt;&gt;"",--(P135="Congé"),0),IF($R$5&lt;&gt;"",--(R135="Congé"),0),IF($T$5&lt;&gt;"",--(T135="Congé"),0),IF($V$5&lt;&gt;"",--(V135="Congé"),0),IF($X$5&lt;&gt;"",--(X135="Congé"),0),IF($Z$5&lt;&gt;"",--(Z135="Congé"),0),IF($AB$5&lt;&gt;"",--(AB135="Congé"),0),IF($AD$5&lt;&gt;"",--(AD135="Congé"),0),IF($AF$5&lt;&gt;"",--(AF135="Congé"),0),IF($AH$5&lt;&gt;"",--(AH135="Congé"),0),IF($AJ$5&lt;&gt;"",--(AJ135="Congé"),0),IF($AL$5&lt;&gt;"",--(AL135="Congé"),0),IF($AN$5&lt;&gt;"",--(AN135="Congé"),0),IF($AP$5&lt;&gt;"",--(AP135="Congé"),0),IF($AR$5&lt;&gt;"",--(AR135="Congé"),0),IF($AT$5&lt;&gt;"",--(AT135="Congé"),0),IF($AV$5&lt;&gt;"",--(AV135="Congé"),0),IF($AX$5&lt;&gt;"",--(AX135="Congé"),0),IF($AZ$5&lt;&gt;"",--(AZ135="Congé"),0),IF($BB$5&lt;&gt;"",--(BB135="Congé"),0),IF($BD$5&lt;&gt;"",--(BD135="Congé"),0),IF($BF$5&lt;&gt;"",--(BF135="Congé"),0),IF($BH$5&lt;&gt;"",--(BH135="Congé"),0),IF($BJ$5&lt;&gt;"",--(BJ135="Congé"),0),IF($BL$5&lt;&gt;"",--(BL135="Congé"),0)))</f>
      </c>
      <c r="BQ135" s="22">
        <f>IF($A135="","",SUM(IF($D$5&lt;&gt;"",--(D135="Maladie"),0),IF($F$5&lt;&gt;"",--(F135="Maladie"),0),IF($H$5&lt;&gt;"",--(H135="Maladie"),0),IF($J$5&lt;&gt;"",--(J135="Maladie"),0),IF($L$5&lt;&gt;"",--(L135="Maladie"),0),IF($N$5&lt;&gt;"",--(N135="Maladie"),0),IF($P$5&lt;&gt;"",--(P135="Maladie"),0),IF($R$5&lt;&gt;"",--(R135="Maladie"),0),IF($T$5&lt;&gt;"",--(T135="Maladie"),0),IF($V$5&lt;&gt;"",--(V135="Maladie"),0),IF($X$5&lt;&gt;"",--(X135="Maladie"),0),IF($Z$5&lt;&gt;"",--(Z135="Maladie"),0),IF($AB$5&lt;&gt;"",--(AB135="Maladie"),0),IF($AD$5&lt;&gt;"",--(AD135="Maladie"),0),IF($AF$5&lt;&gt;"",--(AF135="Maladie"),0),IF($AH$5&lt;&gt;"",--(AH135="Maladie"),0),IF($AJ$5&lt;&gt;"",--(AJ135="Maladie"),0),IF($AL$5&lt;&gt;"",--(AL135="Maladie"),0),IF($AN$5&lt;&gt;"",--(AN135="Maladie"),0),IF($AP$5&lt;&gt;"",--(AP135="Maladie"),0),IF($AR$5&lt;&gt;"",--(AR135="Maladie"),0),IF($AT$5&lt;&gt;"",--(AT135="Maladie"),0),IF($AV$5&lt;&gt;"",--(AV135="Maladie"),0),IF($AX$5&lt;&gt;"",--(AX135="Maladie"),0),IF($AZ$5&lt;&gt;"",--(AZ135="Maladie"),0),IF($BB$5&lt;&gt;"",--(BB135="Maladie"),0),IF($BD$5&lt;&gt;"",--(BD135="Maladie"),0),IF($BF$5&lt;&gt;"",--(BF135="Maladie"),0),IF($BH$5&lt;&gt;"",--(BH135="Maladie"),0),IF($BJ$5&lt;&gt;"",--(BJ135="Maladie"),0),IF($BL$5&lt;&gt;"",--(BL135="Maladie"),0)))</f>
      </c>
      <c r="BR135" s="23">
        <f>IF($A135="","",SUM(IF($D$5&lt;&gt;"",IF(D135="Présent",E135,0),0),IF($F$5&lt;&gt;"",IF(F135="Présent",G135,0),0),IF($H$5&lt;&gt;"",IF(H135="Présent",I135,0),0),IF($J$5&lt;&gt;"",IF(J135="Présent",K135,0),0),IF($L$5&lt;&gt;"",IF(L135="Présent",M135,0),0),IF($N$5&lt;&gt;"",IF(N135="Présent",O135,0),0),IF($P$5&lt;&gt;"",IF(P135="Présent",Q135,0),0),IF($R$5&lt;&gt;"",IF(R135="Présent",S135,0),0),IF($T$5&lt;&gt;"",IF(T135="Présent",U135,0),0),IF($V$5&lt;&gt;"",IF(V135="Présent",W135,0),0),IF($X$5&lt;&gt;"",IF(X135="Présent",Y135,0),0),IF($Z$5&lt;&gt;"",IF(Z135="Présent",AA135,0),0),IF($AB$5&lt;&gt;"",IF(AB135="Présent",AC135,0),0),IF($AD$5&lt;&gt;"",IF(AD135="Présent",AE135,0),0),IF($AF$5&lt;&gt;"",IF(AF135="Présent",AG135,0),0),IF($AH$5&lt;&gt;"",IF(AH135="Présent",AI135,0),0),IF($AJ$5&lt;&gt;"",IF(AJ135="Présent",AK135,0),0),IF($AL$5&lt;&gt;"",IF(AL135="Présent",AM135,0),0),IF($AN$5&lt;&gt;"",IF(AN135="Présent",AO135,0),0),IF($AP$5&lt;&gt;"",IF(AP135="Présent",AQ135,0),0),IF($AR$5&lt;&gt;"",IF(AR135="Présent",AS135,0),0),IF($AT$5&lt;&gt;"",IF(AT135="Présent",AU135,0),0),IF($AV$5&lt;&gt;"",IF(AV135="Présent",AW135,0),0),IF($AX$5&lt;&gt;"",IF(AX135="Présent",AY135,0),0),IF($AZ$5&lt;&gt;"",IF(AZ135="Présent",BA135,0),0),IF($BB$5&lt;&gt;"",IF(BB135="Présent",BC135,0),0),IF($BD$5&lt;&gt;"",IF(BD135="Présent",BE135,0),0),IF($BF$5&lt;&gt;"",IF(BF135="Présent",BG135,0),0),IF($BH$5&lt;&gt;"",IF(BH135="Présent",BI135,0),0),IF($BJ$5&lt;&gt;"",IF(BJ135="Présent",BK135,0),0),IF($BL$5&lt;&gt;"",IF(BL135="Présent",BM135,0),0)))</f>
      </c>
      <c r="BS135" s="25">
        <f>IF($A135="","",$BN135*IFERROR(INDEX(Categories_Salaire,MATCH($C135,ListeCategories,0)),0)+$BR135*IF(IFERROR(INDEX(Categories_TauxHS,MATCH($C135,ListeCategories,0)),0)&gt;0,IFERROR(INDEX(Categories_TauxHS,MATCH($C135,ListeCategories,0)),0),TauxHSDefaut))</f>
      </c>
    </row>
    <row r="136">
      <c r="A136" s="20">
        <f>IF(AND(INDEX(Employes_Nom,130)&lt;&gt;"",INDEX(Employes_Statut,130)="Actif",OR(INDEX(Employes_Embauche,130)="",INDEX(Employes_Embauche,130)&lt;=EOMONTH(DATE(AnneeCourante,MoisCourant,1),0))),INDEX(Employes_ID,130),"")</f>
      </c>
      <c r="B136" s="19">
        <f>IF($A136="","",INDEX(Employes_Nom,MATCH($A136,Employes_ID,0)))</f>
      </c>
      <c r="C136" s="20">
        <f>IF($A136="","",INDEX(Employes_Categorie,MATCH($A136,Employes_ID,0)))</f>
      </c>
      <c r="D136" s="26"/>
      <c r="E136" s="27"/>
      <c r="F136" s="26"/>
      <c r="G136" s="27"/>
      <c r="H136" s="26"/>
      <c r="I136" s="27"/>
      <c r="J136" s="26"/>
      <c r="K136" s="27"/>
      <c r="L136" s="26"/>
      <c r="M136" s="27"/>
      <c r="N136" s="26"/>
      <c r="O136" s="27"/>
      <c r="P136" s="26"/>
      <c r="Q136" s="27"/>
      <c r="R136" s="26"/>
      <c r="S136" s="27"/>
      <c r="T136" s="26"/>
      <c r="U136" s="27"/>
      <c r="V136" s="26"/>
      <c r="W136" s="27"/>
      <c r="X136" s="26"/>
      <c r="Y136" s="27"/>
      <c r="Z136" s="26"/>
      <c r="AA136" s="27"/>
      <c r="AB136" s="26"/>
      <c r="AC136" s="27"/>
      <c r="AD136" s="26"/>
      <c r="AE136" s="27"/>
      <c r="AF136" s="26"/>
      <c r="AG136" s="27"/>
      <c r="AH136" s="26"/>
      <c r="AI136" s="27"/>
      <c r="AJ136" s="26"/>
      <c r="AK136" s="27"/>
      <c r="AL136" s="26"/>
      <c r="AM136" s="27"/>
      <c r="AN136" s="26"/>
      <c r="AO136" s="27"/>
      <c r="AP136" s="26"/>
      <c r="AQ136" s="27"/>
      <c r="AR136" s="26"/>
      <c r="AS136" s="27"/>
      <c r="AT136" s="26"/>
      <c r="AU136" s="27"/>
      <c r="AV136" s="26"/>
      <c r="AW136" s="27"/>
      <c r="AX136" s="26"/>
      <c r="AY136" s="27"/>
      <c r="AZ136" s="26"/>
      <c r="BA136" s="27"/>
      <c r="BB136" s="26"/>
      <c r="BC136" s="27"/>
      <c r="BD136" s="26"/>
      <c r="BE136" s="27"/>
      <c r="BF136" s="26"/>
      <c r="BG136" s="27"/>
      <c r="BH136" s="26"/>
      <c r="BI136" s="27"/>
      <c r="BJ136" s="26"/>
      <c r="BK136" s="27"/>
      <c r="BL136" s="26"/>
      <c r="BM136" s="27"/>
      <c r="BN136" s="22">
        <f>IF($A136="","",SUM(IF($D$5&lt;&gt;"",--(D136="Présent"),0),IF($F$5&lt;&gt;"",--(F136="Présent"),0),IF($H$5&lt;&gt;"",--(H136="Présent"),0),IF($J$5&lt;&gt;"",--(J136="Présent"),0),IF($L$5&lt;&gt;"",--(L136="Présent"),0),IF($N$5&lt;&gt;"",--(N136="Présent"),0),IF($P$5&lt;&gt;"",--(P136="Présent"),0),IF($R$5&lt;&gt;"",--(R136="Présent"),0),IF($T$5&lt;&gt;"",--(T136="Présent"),0),IF($V$5&lt;&gt;"",--(V136="Présent"),0),IF($X$5&lt;&gt;"",--(X136="Présent"),0),IF($Z$5&lt;&gt;"",--(Z136="Présent"),0),IF($AB$5&lt;&gt;"",--(AB136="Présent"),0),IF($AD$5&lt;&gt;"",--(AD136="Présent"),0),IF($AF$5&lt;&gt;"",--(AF136="Présent"),0),IF($AH$5&lt;&gt;"",--(AH136="Présent"),0),IF($AJ$5&lt;&gt;"",--(AJ136="Présent"),0),IF($AL$5&lt;&gt;"",--(AL136="Présent"),0),IF($AN$5&lt;&gt;"",--(AN136="Présent"),0),IF($AP$5&lt;&gt;"",--(AP136="Présent"),0),IF($AR$5&lt;&gt;"",--(AR136="Présent"),0),IF($AT$5&lt;&gt;"",--(AT136="Présent"),0),IF($AV$5&lt;&gt;"",--(AV136="Présent"),0),IF($AX$5&lt;&gt;"",--(AX136="Présent"),0),IF($AZ$5&lt;&gt;"",--(AZ136="Présent"),0),IF($BB$5&lt;&gt;"",--(BB136="Présent"),0),IF($BD$5&lt;&gt;"",--(BD136="Présent"),0),IF($BF$5&lt;&gt;"",--(BF136="Présent"),0),IF($BH$5&lt;&gt;"",--(BH136="Présent"),0),IF($BJ$5&lt;&gt;"",--(BJ136="Présent"),0),IF($BL$5&lt;&gt;"",--(BL136="Présent"),0)))</f>
      </c>
      <c r="BO136" s="22">
        <f>IF($A136="","",SUM(IF($D$5&lt;&gt;"",--(D136="Absent"),0),IF($F$5&lt;&gt;"",--(F136="Absent"),0),IF($H$5&lt;&gt;"",--(H136="Absent"),0),IF($J$5&lt;&gt;"",--(J136="Absent"),0),IF($L$5&lt;&gt;"",--(L136="Absent"),0),IF($N$5&lt;&gt;"",--(N136="Absent"),0),IF($P$5&lt;&gt;"",--(P136="Absent"),0),IF($R$5&lt;&gt;"",--(R136="Absent"),0),IF($T$5&lt;&gt;"",--(T136="Absent"),0),IF($V$5&lt;&gt;"",--(V136="Absent"),0),IF($X$5&lt;&gt;"",--(X136="Absent"),0),IF($Z$5&lt;&gt;"",--(Z136="Absent"),0),IF($AB$5&lt;&gt;"",--(AB136="Absent"),0),IF($AD$5&lt;&gt;"",--(AD136="Absent"),0),IF($AF$5&lt;&gt;"",--(AF136="Absent"),0),IF($AH$5&lt;&gt;"",--(AH136="Absent"),0),IF($AJ$5&lt;&gt;"",--(AJ136="Absent"),0),IF($AL$5&lt;&gt;"",--(AL136="Absent"),0),IF($AN$5&lt;&gt;"",--(AN136="Absent"),0),IF($AP$5&lt;&gt;"",--(AP136="Absent"),0),IF($AR$5&lt;&gt;"",--(AR136="Absent"),0),IF($AT$5&lt;&gt;"",--(AT136="Absent"),0),IF($AV$5&lt;&gt;"",--(AV136="Absent"),0),IF($AX$5&lt;&gt;"",--(AX136="Absent"),0),IF($AZ$5&lt;&gt;"",--(AZ136="Absent"),0),IF($BB$5&lt;&gt;"",--(BB136="Absent"),0),IF($BD$5&lt;&gt;"",--(BD136="Absent"),0),IF($BF$5&lt;&gt;"",--(BF136="Absent"),0),IF($BH$5&lt;&gt;"",--(BH136="Absent"),0),IF($BJ$5&lt;&gt;"",--(BJ136="Absent"),0),IF($BL$5&lt;&gt;"",--(BL136="Absent"),0)))</f>
      </c>
      <c r="BP136" s="22">
        <f>IF($A136="","",SUM(IF($D$5&lt;&gt;"",--(D136="Congé"),0),IF($F$5&lt;&gt;"",--(F136="Congé"),0),IF($H$5&lt;&gt;"",--(H136="Congé"),0),IF($J$5&lt;&gt;"",--(J136="Congé"),0),IF($L$5&lt;&gt;"",--(L136="Congé"),0),IF($N$5&lt;&gt;"",--(N136="Congé"),0),IF($P$5&lt;&gt;"",--(P136="Congé"),0),IF($R$5&lt;&gt;"",--(R136="Congé"),0),IF($T$5&lt;&gt;"",--(T136="Congé"),0),IF($V$5&lt;&gt;"",--(V136="Congé"),0),IF($X$5&lt;&gt;"",--(X136="Congé"),0),IF($Z$5&lt;&gt;"",--(Z136="Congé"),0),IF($AB$5&lt;&gt;"",--(AB136="Congé"),0),IF($AD$5&lt;&gt;"",--(AD136="Congé"),0),IF($AF$5&lt;&gt;"",--(AF136="Congé"),0),IF($AH$5&lt;&gt;"",--(AH136="Congé"),0),IF($AJ$5&lt;&gt;"",--(AJ136="Congé"),0),IF($AL$5&lt;&gt;"",--(AL136="Congé"),0),IF($AN$5&lt;&gt;"",--(AN136="Congé"),0),IF($AP$5&lt;&gt;"",--(AP136="Congé"),0),IF($AR$5&lt;&gt;"",--(AR136="Congé"),0),IF($AT$5&lt;&gt;"",--(AT136="Congé"),0),IF($AV$5&lt;&gt;"",--(AV136="Congé"),0),IF($AX$5&lt;&gt;"",--(AX136="Congé"),0),IF($AZ$5&lt;&gt;"",--(AZ136="Congé"),0),IF($BB$5&lt;&gt;"",--(BB136="Congé"),0),IF($BD$5&lt;&gt;"",--(BD136="Congé"),0),IF($BF$5&lt;&gt;"",--(BF136="Congé"),0),IF($BH$5&lt;&gt;"",--(BH136="Congé"),0),IF($BJ$5&lt;&gt;"",--(BJ136="Congé"),0),IF($BL$5&lt;&gt;"",--(BL136="Congé"),0)))</f>
      </c>
      <c r="BQ136" s="22">
        <f>IF($A136="","",SUM(IF($D$5&lt;&gt;"",--(D136="Maladie"),0),IF($F$5&lt;&gt;"",--(F136="Maladie"),0),IF($H$5&lt;&gt;"",--(H136="Maladie"),0),IF($J$5&lt;&gt;"",--(J136="Maladie"),0),IF($L$5&lt;&gt;"",--(L136="Maladie"),0),IF($N$5&lt;&gt;"",--(N136="Maladie"),0),IF($P$5&lt;&gt;"",--(P136="Maladie"),0),IF($R$5&lt;&gt;"",--(R136="Maladie"),0),IF($T$5&lt;&gt;"",--(T136="Maladie"),0),IF($V$5&lt;&gt;"",--(V136="Maladie"),0),IF($X$5&lt;&gt;"",--(X136="Maladie"),0),IF($Z$5&lt;&gt;"",--(Z136="Maladie"),0),IF($AB$5&lt;&gt;"",--(AB136="Maladie"),0),IF($AD$5&lt;&gt;"",--(AD136="Maladie"),0),IF($AF$5&lt;&gt;"",--(AF136="Maladie"),0),IF($AH$5&lt;&gt;"",--(AH136="Maladie"),0),IF($AJ$5&lt;&gt;"",--(AJ136="Maladie"),0),IF($AL$5&lt;&gt;"",--(AL136="Maladie"),0),IF($AN$5&lt;&gt;"",--(AN136="Maladie"),0),IF($AP$5&lt;&gt;"",--(AP136="Maladie"),0),IF($AR$5&lt;&gt;"",--(AR136="Maladie"),0),IF($AT$5&lt;&gt;"",--(AT136="Maladie"),0),IF($AV$5&lt;&gt;"",--(AV136="Maladie"),0),IF($AX$5&lt;&gt;"",--(AX136="Maladie"),0),IF($AZ$5&lt;&gt;"",--(AZ136="Maladie"),0),IF($BB$5&lt;&gt;"",--(BB136="Maladie"),0),IF($BD$5&lt;&gt;"",--(BD136="Maladie"),0),IF($BF$5&lt;&gt;"",--(BF136="Maladie"),0),IF($BH$5&lt;&gt;"",--(BH136="Maladie"),0),IF($BJ$5&lt;&gt;"",--(BJ136="Maladie"),0),IF($BL$5&lt;&gt;"",--(BL136="Maladie"),0)))</f>
      </c>
      <c r="BR136" s="23">
        <f>IF($A136="","",SUM(IF($D$5&lt;&gt;"",IF(D136="Présent",E136,0),0),IF($F$5&lt;&gt;"",IF(F136="Présent",G136,0),0),IF($H$5&lt;&gt;"",IF(H136="Présent",I136,0),0),IF($J$5&lt;&gt;"",IF(J136="Présent",K136,0),0),IF($L$5&lt;&gt;"",IF(L136="Présent",M136,0),0),IF($N$5&lt;&gt;"",IF(N136="Présent",O136,0),0),IF($P$5&lt;&gt;"",IF(P136="Présent",Q136,0),0),IF($R$5&lt;&gt;"",IF(R136="Présent",S136,0),0),IF($T$5&lt;&gt;"",IF(T136="Présent",U136,0),0),IF($V$5&lt;&gt;"",IF(V136="Présent",W136,0),0),IF($X$5&lt;&gt;"",IF(X136="Présent",Y136,0),0),IF($Z$5&lt;&gt;"",IF(Z136="Présent",AA136,0),0),IF($AB$5&lt;&gt;"",IF(AB136="Présent",AC136,0),0),IF($AD$5&lt;&gt;"",IF(AD136="Présent",AE136,0),0),IF($AF$5&lt;&gt;"",IF(AF136="Présent",AG136,0),0),IF($AH$5&lt;&gt;"",IF(AH136="Présent",AI136,0),0),IF($AJ$5&lt;&gt;"",IF(AJ136="Présent",AK136,0),0),IF($AL$5&lt;&gt;"",IF(AL136="Présent",AM136,0),0),IF($AN$5&lt;&gt;"",IF(AN136="Présent",AO136,0),0),IF($AP$5&lt;&gt;"",IF(AP136="Présent",AQ136,0),0),IF($AR$5&lt;&gt;"",IF(AR136="Présent",AS136,0),0),IF($AT$5&lt;&gt;"",IF(AT136="Présent",AU136,0),0),IF($AV$5&lt;&gt;"",IF(AV136="Présent",AW136,0),0),IF($AX$5&lt;&gt;"",IF(AX136="Présent",AY136,0),0),IF($AZ$5&lt;&gt;"",IF(AZ136="Présent",BA136,0),0),IF($BB$5&lt;&gt;"",IF(BB136="Présent",BC136,0),0),IF($BD$5&lt;&gt;"",IF(BD136="Présent",BE136,0),0),IF($BF$5&lt;&gt;"",IF(BF136="Présent",BG136,0),0),IF($BH$5&lt;&gt;"",IF(BH136="Présent",BI136,0),0),IF($BJ$5&lt;&gt;"",IF(BJ136="Présent",BK136,0),0),IF($BL$5&lt;&gt;"",IF(BL136="Présent",BM136,0),0)))</f>
      </c>
      <c r="BS136" s="25">
        <f>IF($A136="","",$BN136*IFERROR(INDEX(Categories_Salaire,MATCH($C136,ListeCategories,0)),0)+$BR136*IF(IFERROR(INDEX(Categories_TauxHS,MATCH($C136,ListeCategories,0)),0)&gt;0,IFERROR(INDEX(Categories_TauxHS,MATCH($C136,ListeCategories,0)),0),TauxHSDefaut))</f>
      </c>
    </row>
    <row r="137">
      <c r="A137" s="20">
        <f>IF(AND(INDEX(Employes_Nom,131)&lt;&gt;"",INDEX(Employes_Statut,131)="Actif",OR(INDEX(Employes_Embauche,131)="",INDEX(Employes_Embauche,131)&lt;=EOMONTH(DATE(AnneeCourante,MoisCourant,1),0))),INDEX(Employes_ID,131),"")</f>
      </c>
      <c r="B137" s="19">
        <f>IF($A137="","",INDEX(Employes_Nom,MATCH($A137,Employes_ID,0)))</f>
      </c>
      <c r="C137" s="20">
        <f>IF($A137="","",INDEX(Employes_Categorie,MATCH($A137,Employes_ID,0)))</f>
      </c>
      <c r="D137" s="26"/>
      <c r="E137" s="27"/>
      <c r="F137" s="26"/>
      <c r="G137" s="27"/>
      <c r="H137" s="26"/>
      <c r="I137" s="27"/>
      <c r="J137" s="26"/>
      <c r="K137" s="27"/>
      <c r="L137" s="26"/>
      <c r="M137" s="27"/>
      <c r="N137" s="26"/>
      <c r="O137" s="27"/>
      <c r="P137" s="26"/>
      <c r="Q137" s="27"/>
      <c r="R137" s="26"/>
      <c r="S137" s="27"/>
      <c r="T137" s="26"/>
      <c r="U137" s="27"/>
      <c r="V137" s="26"/>
      <c r="W137" s="27"/>
      <c r="X137" s="26"/>
      <c r="Y137" s="27"/>
      <c r="Z137" s="26"/>
      <c r="AA137" s="27"/>
      <c r="AB137" s="26"/>
      <c r="AC137" s="27"/>
      <c r="AD137" s="26"/>
      <c r="AE137" s="27"/>
      <c r="AF137" s="26"/>
      <c r="AG137" s="27"/>
      <c r="AH137" s="26"/>
      <c r="AI137" s="27"/>
      <c r="AJ137" s="26"/>
      <c r="AK137" s="27"/>
      <c r="AL137" s="26"/>
      <c r="AM137" s="27"/>
      <c r="AN137" s="26"/>
      <c r="AO137" s="27"/>
      <c r="AP137" s="26"/>
      <c r="AQ137" s="27"/>
      <c r="AR137" s="26"/>
      <c r="AS137" s="27"/>
      <c r="AT137" s="26"/>
      <c r="AU137" s="27"/>
      <c r="AV137" s="26"/>
      <c r="AW137" s="27"/>
      <c r="AX137" s="26"/>
      <c r="AY137" s="27"/>
      <c r="AZ137" s="26"/>
      <c r="BA137" s="27"/>
      <c r="BB137" s="26"/>
      <c r="BC137" s="27"/>
      <c r="BD137" s="26"/>
      <c r="BE137" s="27"/>
      <c r="BF137" s="26"/>
      <c r="BG137" s="27"/>
      <c r="BH137" s="26"/>
      <c r="BI137" s="27"/>
      <c r="BJ137" s="26"/>
      <c r="BK137" s="27"/>
      <c r="BL137" s="26"/>
      <c r="BM137" s="27"/>
      <c r="BN137" s="22">
        <f>IF($A137="","",SUM(IF($D$5&lt;&gt;"",--(D137="Présent"),0),IF($F$5&lt;&gt;"",--(F137="Présent"),0),IF($H$5&lt;&gt;"",--(H137="Présent"),0),IF($J$5&lt;&gt;"",--(J137="Présent"),0),IF($L$5&lt;&gt;"",--(L137="Présent"),0),IF($N$5&lt;&gt;"",--(N137="Présent"),0),IF($P$5&lt;&gt;"",--(P137="Présent"),0),IF($R$5&lt;&gt;"",--(R137="Présent"),0),IF($T$5&lt;&gt;"",--(T137="Présent"),0),IF($V$5&lt;&gt;"",--(V137="Présent"),0),IF($X$5&lt;&gt;"",--(X137="Présent"),0),IF($Z$5&lt;&gt;"",--(Z137="Présent"),0),IF($AB$5&lt;&gt;"",--(AB137="Présent"),0),IF($AD$5&lt;&gt;"",--(AD137="Présent"),0),IF($AF$5&lt;&gt;"",--(AF137="Présent"),0),IF($AH$5&lt;&gt;"",--(AH137="Présent"),0),IF($AJ$5&lt;&gt;"",--(AJ137="Présent"),0),IF($AL$5&lt;&gt;"",--(AL137="Présent"),0),IF($AN$5&lt;&gt;"",--(AN137="Présent"),0),IF($AP$5&lt;&gt;"",--(AP137="Présent"),0),IF($AR$5&lt;&gt;"",--(AR137="Présent"),0),IF($AT$5&lt;&gt;"",--(AT137="Présent"),0),IF($AV$5&lt;&gt;"",--(AV137="Présent"),0),IF($AX$5&lt;&gt;"",--(AX137="Présent"),0),IF($AZ$5&lt;&gt;"",--(AZ137="Présent"),0),IF($BB$5&lt;&gt;"",--(BB137="Présent"),0),IF($BD$5&lt;&gt;"",--(BD137="Présent"),0),IF($BF$5&lt;&gt;"",--(BF137="Présent"),0),IF($BH$5&lt;&gt;"",--(BH137="Présent"),0),IF($BJ$5&lt;&gt;"",--(BJ137="Présent"),0),IF($BL$5&lt;&gt;"",--(BL137="Présent"),0)))</f>
      </c>
      <c r="BO137" s="22">
        <f>IF($A137="","",SUM(IF($D$5&lt;&gt;"",--(D137="Absent"),0),IF($F$5&lt;&gt;"",--(F137="Absent"),0),IF($H$5&lt;&gt;"",--(H137="Absent"),0),IF($J$5&lt;&gt;"",--(J137="Absent"),0),IF($L$5&lt;&gt;"",--(L137="Absent"),0),IF($N$5&lt;&gt;"",--(N137="Absent"),0),IF($P$5&lt;&gt;"",--(P137="Absent"),0),IF($R$5&lt;&gt;"",--(R137="Absent"),0),IF($T$5&lt;&gt;"",--(T137="Absent"),0),IF($V$5&lt;&gt;"",--(V137="Absent"),0),IF($X$5&lt;&gt;"",--(X137="Absent"),0),IF($Z$5&lt;&gt;"",--(Z137="Absent"),0),IF($AB$5&lt;&gt;"",--(AB137="Absent"),0),IF($AD$5&lt;&gt;"",--(AD137="Absent"),0),IF($AF$5&lt;&gt;"",--(AF137="Absent"),0),IF($AH$5&lt;&gt;"",--(AH137="Absent"),0),IF($AJ$5&lt;&gt;"",--(AJ137="Absent"),0),IF($AL$5&lt;&gt;"",--(AL137="Absent"),0),IF($AN$5&lt;&gt;"",--(AN137="Absent"),0),IF($AP$5&lt;&gt;"",--(AP137="Absent"),0),IF($AR$5&lt;&gt;"",--(AR137="Absent"),0),IF($AT$5&lt;&gt;"",--(AT137="Absent"),0),IF($AV$5&lt;&gt;"",--(AV137="Absent"),0),IF($AX$5&lt;&gt;"",--(AX137="Absent"),0),IF($AZ$5&lt;&gt;"",--(AZ137="Absent"),0),IF($BB$5&lt;&gt;"",--(BB137="Absent"),0),IF($BD$5&lt;&gt;"",--(BD137="Absent"),0),IF($BF$5&lt;&gt;"",--(BF137="Absent"),0),IF($BH$5&lt;&gt;"",--(BH137="Absent"),0),IF($BJ$5&lt;&gt;"",--(BJ137="Absent"),0),IF($BL$5&lt;&gt;"",--(BL137="Absent"),0)))</f>
      </c>
      <c r="BP137" s="22">
        <f>IF($A137="","",SUM(IF($D$5&lt;&gt;"",--(D137="Congé"),0),IF($F$5&lt;&gt;"",--(F137="Congé"),0),IF($H$5&lt;&gt;"",--(H137="Congé"),0),IF($J$5&lt;&gt;"",--(J137="Congé"),0),IF($L$5&lt;&gt;"",--(L137="Congé"),0),IF($N$5&lt;&gt;"",--(N137="Congé"),0),IF($P$5&lt;&gt;"",--(P137="Congé"),0),IF($R$5&lt;&gt;"",--(R137="Congé"),0),IF($T$5&lt;&gt;"",--(T137="Congé"),0),IF($V$5&lt;&gt;"",--(V137="Congé"),0),IF($X$5&lt;&gt;"",--(X137="Congé"),0),IF($Z$5&lt;&gt;"",--(Z137="Congé"),0),IF($AB$5&lt;&gt;"",--(AB137="Congé"),0),IF($AD$5&lt;&gt;"",--(AD137="Congé"),0),IF($AF$5&lt;&gt;"",--(AF137="Congé"),0),IF($AH$5&lt;&gt;"",--(AH137="Congé"),0),IF($AJ$5&lt;&gt;"",--(AJ137="Congé"),0),IF($AL$5&lt;&gt;"",--(AL137="Congé"),0),IF($AN$5&lt;&gt;"",--(AN137="Congé"),0),IF($AP$5&lt;&gt;"",--(AP137="Congé"),0),IF($AR$5&lt;&gt;"",--(AR137="Congé"),0),IF($AT$5&lt;&gt;"",--(AT137="Congé"),0),IF($AV$5&lt;&gt;"",--(AV137="Congé"),0),IF($AX$5&lt;&gt;"",--(AX137="Congé"),0),IF($AZ$5&lt;&gt;"",--(AZ137="Congé"),0),IF($BB$5&lt;&gt;"",--(BB137="Congé"),0),IF($BD$5&lt;&gt;"",--(BD137="Congé"),0),IF($BF$5&lt;&gt;"",--(BF137="Congé"),0),IF($BH$5&lt;&gt;"",--(BH137="Congé"),0),IF($BJ$5&lt;&gt;"",--(BJ137="Congé"),0),IF($BL$5&lt;&gt;"",--(BL137="Congé"),0)))</f>
      </c>
      <c r="BQ137" s="22">
        <f>IF($A137="","",SUM(IF($D$5&lt;&gt;"",--(D137="Maladie"),0),IF($F$5&lt;&gt;"",--(F137="Maladie"),0),IF($H$5&lt;&gt;"",--(H137="Maladie"),0),IF($J$5&lt;&gt;"",--(J137="Maladie"),0),IF($L$5&lt;&gt;"",--(L137="Maladie"),0),IF($N$5&lt;&gt;"",--(N137="Maladie"),0),IF($P$5&lt;&gt;"",--(P137="Maladie"),0),IF($R$5&lt;&gt;"",--(R137="Maladie"),0),IF($T$5&lt;&gt;"",--(T137="Maladie"),0),IF($V$5&lt;&gt;"",--(V137="Maladie"),0),IF($X$5&lt;&gt;"",--(X137="Maladie"),0),IF($Z$5&lt;&gt;"",--(Z137="Maladie"),0),IF($AB$5&lt;&gt;"",--(AB137="Maladie"),0),IF($AD$5&lt;&gt;"",--(AD137="Maladie"),0),IF($AF$5&lt;&gt;"",--(AF137="Maladie"),0),IF($AH$5&lt;&gt;"",--(AH137="Maladie"),0),IF($AJ$5&lt;&gt;"",--(AJ137="Maladie"),0),IF($AL$5&lt;&gt;"",--(AL137="Maladie"),0),IF($AN$5&lt;&gt;"",--(AN137="Maladie"),0),IF($AP$5&lt;&gt;"",--(AP137="Maladie"),0),IF($AR$5&lt;&gt;"",--(AR137="Maladie"),0),IF($AT$5&lt;&gt;"",--(AT137="Maladie"),0),IF($AV$5&lt;&gt;"",--(AV137="Maladie"),0),IF($AX$5&lt;&gt;"",--(AX137="Maladie"),0),IF($AZ$5&lt;&gt;"",--(AZ137="Maladie"),0),IF($BB$5&lt;&gt;"",--(BB137="Maladie"),0),IF($BD$5&lt;&gt;"",--(BD137="Maladie"),0),IF($BF$5&lt;&gt;"",--(BF137="Maladie"),0),IF($BH$5&lt;&gt;"",--(BH137="Maladie"),0),IF($BJ$5&lt;&gt;"",--(BJ137="Maladie"),0),IF($BL$5&lt;&gt;"",--(BL137="Maladie"),0)))</f>
      </c>
      <c r="BR137" s="23">
        <f>IF($A137="","",SUM(IF($D$5&lt;&gt;"",IF(D137="Présent",E137,0),0),IF($F$5&lt;&gt;"",IF(F137="Présent",G137,0),0),IF($H$5&lt;&gt;"",IF(H137="Présent",I137,0),0),IF($J$5&lt;&gt;"",IF(J137="Présent",K137,0),0),IF($L$5&lt;&gt;"",IF(L137="Présent",M137,0),0),IF($N$5&lt;&gt;"",IF(N137="Présent",O137,0),0),IF($P$5&lt;&gt;"",IF(P137="Présent",Q137,0),0),IF($R$5&lt;&gt;"",IF(R137="Présent",S137,0),0),IF($T$5&lt;&gt;"",IF(T137="Présent",U137,0),0),IF($V$5&lt;&gt;"",IF(V137="Présent",W137,0),0),IF($X$5&lt;&gt;"",IF(X137="Présent",Y137,0),0),IF($Z$5&lt;&gt;"",IF(Z137="Présent",AA137,0),0),IF($AB$5&lt;&gt;"",IF(AB137="Présent",AC137,0),0),IF($AD$5&lt;&gt;"",IF(AD137="Présent",AE137,0),0),IF($AF$5&lt;&gt;"",IF(AF137="Présent",AG137,0),0),IF($AH$5&lt;&gt;"",IF(AH137="Présent",AI137,0),0),IF($AJ$5&lt;&gt;"",IF(AJ137="Présent",AK137,0),0),IF($AL$5&lt;&gt;"",IF(AL137="Présent",AM137,0),0),IF($AN$5&lt;&gt;"",IF(AN137="Présent",AO137,0),0),IF($AP$5&lt;&gt;"",IF(AP137="Présent",AQ137,0),0),IF($AR$5&lt;&gt;"",IF(AR137="Présent",AS137,0),0),IF($AT$5&lt;&gt;"",IF(AT137="Présent",AU137,0),0),IF($AV$5&lt;&gt;"",IF(AV137="Présent",AW137,0),0),IF($AX$5&lt;&gt;"",IF(AX137="Présent",AY137,0),0),IF($AZ$5&lt;&gt;"",IF(AZ137="Présent",BA137,0),0),IF($BB$5&lt;&gt;"",IF(BB137="Présent",BC137,0),0),IF($BD$5&lt;&gt;"",IF(BD137="Présent",BE137,0),0),IF($BF$5&lt;&gt;"",IF(BF137="Présent",BG137,0),0),IF($BH$5&lt;&gt;"",IF(BH137="Présent",BI137,0),0),IF($BJ$5&lt;&gt;"",IF(BJ137="Présent",BK137,0),0),IF($BL$5&lt;&gt;"",IF(BL137="Présent",BM137,0),0)))</f>
      </c>
      <c r="BS137" s="25">
        <f>IF($A137="","",$BN137*IFERROR(INDEX(Categories_Salaire,MATCH($C137,ListeCategories,0)),0)+$BR137*IF(IFERROR(INDEX(Categories_TauxHS,MATCH($C137,ListeCategories,0)),0)&gt;0,IFERROR(INDEX(Categories_TauxHS,MATCH($C137,ListeCategories,0)),0),TauxHSDefaut))</f>
      </c>
    </row>
    <row r="138">
      <c r="A138" s="20">
        <f>IF(AND(INDEX(Employes_Nom,132)&lt;&gt;"",INDEX(Employes_Statut,132)="Actif",OR(INDEX(Employes_Embauche,132)="",INDEX(Employes_Embauche,132)&lt;=EOMONTH(DATE(AnneeCourante,MoisCourant,1),0))),INDEX(Employes_ID,132),"")</f>
      </c>
      <c r="B138" s="19">
        <f>IF($A138="","",INDEX(Employes_Nom,MATCH($A138,Employes_ID,0)))</f>
      </c>
      <c r="C138" s="20">
        <f>IF($A138="","",INDEX(Employes_Categorie,MATCH($A138,Employes_ID,0)))</f>
      </c>
      <c r="D138" s="26"/>
      <c r="E138" s="27"/>
      <c r="F138" s="26"/>
      <c r="G138" s="27"/>
      <c r="H138" s="26"/>
      <c r="I138" s="27"/>
      <c r="J138" s="26"/>
      <c r="K138" s="27"/>
      <c r="L138" s="26"/>
      <c r="M138" s="27"/>
      <c r="N138" s="26"/>
      <c r="O138" s="27"/>
      <c r="P138" s="26"/>
      <c r="Q138" s="27"/>
      <c r="R138" s="26"/>
      <c r="S138" s="27"/>
      <c r="T138" s="26"/>
      <c r="U138" s="27"/>
      <c r="V138" s="26"/>
      <c r="W138" s="27"/>
      <c r="X138" s="26"/>
      <c r="Y138" s="27"/>
      <c r="Z138" s="26"/>
      <c r="AA138" s="27"/>
      <c r="AB138" s="26"/>
      <c r="AC138" s="27"/>
      <c r="AD138" s="26"/>
      <c r="AE138" s="27"/>
      <c r="AF138" s="26"/>
      <c r="AG138" s="27"/>
      <c r="AH138" s="26"/>
      <c r="AI138" s="27"/>
      <c r="AJ138" s="26"/>
      <c r="AK138" s="27"/>
      <c r="AL138" s="26"/>
      <c r="AM138" s="27"/>
      <c r="AN138" s="26"/>
      <c r="AO138" s="27"/>
      <c r="AP138" s="26"/>
      <c r="AQ138" s="27"/>
      <c r="AR138" s="26"/>
      <c r="AS138" s="27"/>
      <c r="AT138" s="26"/>
      <c r="AU138" s="27"/>
      <c r="AV138" s="26"/>
      <c r="AW138" s="27"/>
      <c r="AX138" s="26"/>
      <c r="AY138" s="27"/>
      <c r="AZ138" s="26"/>
      <c r="BA138" s="27"/>
      <c r="BB138" s="26"/>
      <c r="BC138" s="27"/>
      <c r="BD138" s="26"/>
      <c r="BE138" s="27"/>
      <c r="BF138" s="26"/>
      <c r="BG138" s="27"/>
      <c r="BH138" s="26"/>
      <c r="BI138" s="27"/>
      <c r="BJ138" s="26"/>
      <c r="BK138" s="27"/>
      <c r="BL138" s="26"/>
      <c r="BM138" s="27"/>
      <c r="BN138" s="22">
        <f>IF($A138="","",SUM(IF($D$5&lt;&gt;"",--(D138="Présent"),0),IF($F$5&lt;&gt;"",--(F138="Présent"),0),IF($H$5&lt;&gt;"",--(H138="Présent"),0),IF($J$5&lt;&gt;"",--(J138="Présent"),0),IF($L$5&lt;&gt;"",--(L138="Présent"),0),IF($N$5&lt;&gt;"",--(N138="Présent"),0),IF($P$5&lt;&gt;"",--(P138="Présent"),0),IF($R$5&lt;&gt;"",--(R138="Présent"),0),IF($T$5&lt;&gt;"",--(T138="Présent"),0),IF($V$5&lt;&gt;"",--(V138="Présent"),0),IF($X$5&lt;&gt;"",--(X138="Présent"),0),IF($Z$5&lt;&gt;"",--(Z138="Présent"),0),IF($AB$5&lt;&gt;"",--(AB138="Présent"),0),IF($AD$5&lt;&gt;"",--(AD138="Présent"),0),IF($AF$5&lt;&gt;"",--(AF138="Présent"),0),IF($AH$5&lt;&gt;"",--(AH138="Présent"),0),IF($AJ$5&lt;&gt;"",--(AJ138="Présent"),0),IF($AL$5&lt;&gt;"",--(AL138="Présent"),0),IF($AN$5&lt;&gt;"",--(AN138="Présent"),0),IF($AP$5&lt;&gt;"",--(AP138="Présent"),0),IF($AR$5&lt;&gt;"",--(AR138="Présent"),0),IF($AT$5&lt;&gt;"",--(AT138="Présent"),0),IF($AV$5&lt;&gt;"",--(AV138="Présent"),0),IF($AX$5&lt;&gt;"",--(AX138="Présent"),0),IF($AZ$5&lt;&gt;"",--(AZ138="Présent"),0),IF($BB$5&lt;&gt;"",--(BB138="Présent"),0),IF($BD$5&lt;&gt;"",--(BD138="Présent"),0),IF($BF$5&lt;&gt;"",--(BF138="Présent"),0),IF($BH$5&lt;&gt;"",--(BH138="Présent"),0),IF($BJ$5&lt;&gt;"",--(BJ138="Présent"),0),IF($BL$5&lt;&gt;"",--(BL138="Présent"),0)))</f>
      </c>
      <c r="BO138" s="22">
        <f>IF($A138="","",SUM(IF($D$5&lt;&gt;"",--(D138="Absent"),0),IF($F$5&lt;&gt;"",--(F138="Absent"),0),IF($H$5&lt;&gt;"",--(H138="Absent"),0),IF($J$5&lt;&gt;"",--(J138="Absent"),0),IF($L$5&lt;&gt;"",--(L138="Absent"),0),IF($N$5&lt;&gt;"",--(N138="Absent"),0),IF($P$5&lt;&gt;"",--(P138="Absent"),0),IF($R$5&lt;&gt;"",--(R138="Absent"),0),IF($T$5&lt;&gt;"",--(T138="Absent"),0),IF($V$5&lt;&gt;"",--(V138="Absent"),0),IF($X$5&lt;&gt;"",--(X138="Absent"),0),IF($Z$5&lt;&gt;"",--(Z138="Absent"),0),IF($AB$5&lt;&gt;"",--(AB138="Absent"),0),IF($AD$5&lt;&gt;"",--(AD138="Absent"),0),IF($AF$5&lt;&gt;"",--(AF138="Absent"),0),IF($AH$5&lt;&gt;"",--(AH138="Absent"),0),IF($AJ$5&lt;&gt;"",--(AJ138="Absent"),0),IF($AL$5&lt;&gt;"",--(AL138="Absent"),0),IF($AN$5&lt;&gt;"",--(AN138="Absent"),0),IF($AP$5&lt;&gt;"",--(AP138="Absent"),0),IF($AR$5&lt;&gt;"",--(AR138="Absent"),0),IF($AT$5&lt;&gt;"",--(AT138="Absent"),0),IF($AV$5&lt;&gt;"",--(AV138="Absent"),0),IF($AX$5&lt;&gt;"",--(AX138="Absent"),0),IF($AZ$5&lt;&gt;"",--(AZ138="Absent"),0),IF($BB$5&lt;&gt;"",--(BB138="Absent"),0),IF($BD$5&lt;&gt;"",--(BD138="Absent"),0),IF($BF$5&lt;&gt;"",--(BF138="Absent"),0),IF($BH$5&lt;&gt;"",--(BH138="Absent"),0),IF($BJ$5&lt;&gt;"",--(BJ138="Absent"),0),IF($BL$5&lt;&gt;"",--(BL138="Absent"),0)))</f>
      </c>
      <c r="BP138" s="22">
        <f>IF($A138="","",SUM(IF($D$5&lt;&gt;"",--(D138="Congé"),0),IF($F$5&lt;&gt;"",--(F138="Congé"),0),IF($H$5&lt;&gt;"",--(H138="Congé"),0),IF($J$5&lt;&gt;"",--(J138="Congé"),0),IF($L$5&lt;&gt;"",--(L138="Congé"),0),IF($N$5&lt;&gt;"",--(N138="Congé"),0),IF($P$5&lt;&gt;"",--(P138="Congé"),0),IF($R$5&lt;&gt;"",--(R138="Congé"),0),IF($T$5&lt;&gt;"",--(T138="Congé"),0),IF($V$5&lt;&gt;"",--(V138="Congé"),0),IF($X$5&lt;&gt;"",--(X138="Congé"),0),IF($Z$5&lt;&gt;"",--(Z138="Congé"),0),IF($AB$5&lt;&gt;"",--(AB138="Congé"),0),IF($AD$5&lt;&gt;"",--(AD138="Congé"),0),IF($AF$5&lt;&gt;"",--(AF138="Congé"),0),IF($AH$5&lt;&gt;"",--(AH138="Congé"),0),IF($AJ$5&lt;&gt;"",--(AJ138="Congé"),0),IF($AL$5&lt;&gt;"",--(AL138="Congé"),0),IF($AN$5&lt;&gt;"",--(AN138="Congé"),0),IF($AP$5&lt;&gt;"",--(AP138="Congé"),0),IF($AR$5&lt;&gt;"",--(AR138="Congé"),0),IF($AT$5&lt;&gt;"",--(AT138="Congé"),0),IF($AV$5&lt;&gt;"",--(AV138="Congé"),0),IF($AX$5&lt;&gt;"",--(AX138="Congé"),0),IF($AZ$5&lt;&gt;"",--(AZ138="Congé"),0),IF($BB$5&lt;&gt;"",--(BB138="Congé"),0),IF($BD$5&lt;&gt;"",--(BD138="Congé"),0),IF($BF$5&lt;&gt;"",--(BF138="Congé"),0),IF($BH$5&lt;&gt;"",--(BH138="Congé"),0),IF($BJ$5&lt;&gt;"",--(BJ138="Congé"),0),IF($BL$5&lt;&gt;"",--(BL138="Congé"),0)))</f>
      </c>
      <c r="BQ138" s="22">
        <f>IF($A138="","",SUM(IF($D$5&lt;&gt;"",--(D138="Maladie"),0),IF($F$5&lt;&gt;"",--(F138="Maladie"),0),IF($H$5&lt;&gt;"",--(H138="Maladie"),0),IF($J$5&lt;&gt;"",--(J138="Maladie"),0),IF($L$5&lt;&gt;"",--(L138="Maladie"),0),IF($N$5&lt;&gt;"",--(N138="Maladie"),0),IF($P$5&lt;&gt;"",--(P138="Maladie"),0),IF($R$5&lt;&gt;"",--(R138="Maladie"),0),IF($T$5&lt;&gt;"",--(T138="Maladie"),0),IF($V$5&lt;&gt;"",--(V138="Maladie"),0),IF($X$5&lt;&gt;"",--(X138="Maladie"),0),IF($Z$5&lt;&gt;"",--(Z138="Maladie"),0),IF($AB$5&lt;&gt;"",--(AB138="Maladie"),0),IF($AD$5&lt;&gt;"",--(AD138="Maladie"),0),IF($AF$5&lt;&gt;"",--(AF138="Maladie"),0),IF($AH$5&lt;&gt;"",--(AH138="Maladie"),0),IF($AJ$5&lt;&gt;"",--(AJ138="Maladie"),0),IF($AL$5&lt;&gt;"",--(AL138="Maladie"),0),IF($AN$5&lt;&gt;"",--(AN138="Maladie"),0),IF($AP$5&lt;&gt;"",--(AP138="Maladie"),0),IF($AR$5&lt;&gt;"",--(AR138="Maladie"),0),IF($AT$5&lt;&gt;"",--(AT138="Maladie"),0),IF($AV$5&lt;&gt;"",--(AV138="Maladie"),0),IF($AX$5&lt;&gt;"",--(AX138="Maladie"),0),IF($AZ$5&lt;&gt;"",--(AZ138="Maladie"),0),IF($BB$5&lt;&gt;"",--(BB138="Maladie"),0),IF($BD$5&lt;&gt;"",--(BD138="Maladie"),0),IF($BF$5&lt;&gt;"",--(BF138="Maladie"),0),IF($BH$5&lt;&gt;"",--(BH138="Maladie"),0),IF($BJ$5&lt;&gt;"",--(BJ138="Maladie"),0),IF($BL$5&lt;&gt;"",--(BL138="Maladie"),0)))</f>
      </c>
      <c r="BR138" s="23">
        <f>IF($A138="","",SUM(IF($D$5&lt;&gt;"",IF(D138="Présent",E138,0),0),IF($F$5&lt;&gt;"",IF(F138="Présent",G138,0),0),IF($H$5&lt;&gt;"",IF(H138="Présent",I138,0),0),IF($J$5&lt;&gt;"",IF(J138="Présent",K138,0),0),IF($L$5&lt;&gt;"",IF(L138="Présent",M138,0),0),IF($N$5&lt;&gt;"",IF(N138="Présent",O138,0),0),IF($P$5&lt;&gt;"",IF(P138="Présent",Q138,0),0),IF($R$5&lt;&gt;"",IF(R138="Présent",S138,0),0),IF($T$5&lt;&gt;"",IF(T138="Présent",U138,0),0),IF($V$5&lt;&gt;"",IF(V138="Présent",W138,0),0),IF($X$5&lt;&gt;"",IF(X138="Présent",Y138,0),0),IF($Z$5&lt;&gt;"",IF(Z138="Présent",AA138,0),0),IF($AB$5&lt;&gt;"",IF(AB138="Présent",AC138,0),0),IF($AD$5&lt;&gt;"",IF(AD138="Présent",AE138,0),0),IF($AF$5&lt;&gt;"",IF(AF138="Présent",AG138,0),0),IF($AH$5&lt;&gt;"",IF(AH138="Présent",AI138,0),0),IF($AJ$5&lt;&gt;"",IF(AJ138="Présent",AK138,0),0),IF($AL$5&lt;&gt;"",IF(AL138="Présent",AM138,0),0),IF($AN$5&lt;&gt;"",IF(AN138="Présent",AO138,0),0),IF($AP$5&lt;&gt;"",IF(AP138="Présent",AQ138,0),0),IF($AR$5&lt;&gt;"",IF(AR138="Présent",AS138,0),0),IF($AT$5&lt;&gt;"",IF(AT138="Présent",AU138,0),0),IF($AV$5&lt;&gt;"",IF(AV138="Présent",AW138,0),0),IF($AX$5&lt;&gt;"",IF(AX138="Présent",AY138,0),0),IF($AZ$5&lt;&gt;"",IF(AZ138="Présent",BA138,0),0),IF($BB$5&lt;&gt;"",IF(BB138="Présent",BC138,0),0),IF($BD$5&lt;&gt;"",IF(BD138="Présent",BE138,0),0),IF($BF$5&lt;&gt;"",IF(BF138="Présent",BG138,0),0),IF($BH$5&lt;&gt;"",IF(BH138="Présent",BI138,0),0),IF($BJ$5&lt;&gt;"",IF(BJ138="Présent",BK138,0),0),IF($BL$5&lt;&gt;"",IF(BL138="Présent",BM138,0),0)))</f>
      </c>
      <c r="BS138" s="25">
        <f>IF($A138="","",$BN138*IFERROR(INDEX(Categories_Salaire,MATCH($C138,ListeCategories,0)),0)+$BR138*IF(IFERROR(INDEX(Categories_TauxHS,MATCH($C138,ListeCategories,0)),0)&gt;0,IFERROR(INDEX(Categories_TauxHS,MATCH($C138,ListeCategories,0)),0),TauxHSDefaut))</f>
      </c>
    </row>
    <row r="139">
      <c r="A139" s="20">
        <f>IF(AND(INDEX(Employes_Nom,133)&lt;&gt;"",INDEX(Employes_Statut,133)="Actif",OR(INDEX(Employes_Embauche,133)="",INDEX(Employes_Embauche,133)&lt;=EOMONTH(DATE(AnneeCourante,MoisCourant,1),0))),INDEX(Employes_ID,133),"")</f>
      </c>
      <c r="B139" s="19">
        <f>IF($A139="","",INDEX(Employes_Nom,MATCH($A139,Employes_ID,0)))</f>
      </c>
      <c r="C139" s="20">
        <f>IF($A139="","",INDEX(Employes_Categorie,MATCH($A139,Employes_ID,0)))</f>
      </c>
      <c r="D139" s="26"/>
      <c r="E139" s="27"/>
      <c r="F139" s="26"/>
      <c r="G139" s="27"/>
      <c r="H139" s="26"/>
      <c r="I139" s="27"/>
      <c r="J139" s="26"/>
      <c r="K139" s="27"/>
      <c r="L139" s="26"/>
      <c r="M139" s="27"/>
      <c r="N139" s="26"/>
      <c r="O139" s="27"/>
      <c r="P139" s="26"/>
      <c r="Q139" s="27"/>
      <c r="R139" s="26"/>
      <c r="S139" s="27"/>
      <c r="T139" s="26"/>
      <c r="U139" s="27"/>
      <c r="V139" s="26"/>
      <c r="W139" s="27"/>
      <c r="X139" s="26"/>
      <c r="Y139" s="27"/>
      <c r="Z139" s="26"/>
      <c r="AA139" s="27"/>
      <c r="AB139" s="26"/>
      <c r="AC139" s="27"/>
      <c r="AD139" s="26"/>
      <c r="AE139" s="27"/>
      <c r="AF139" s="26"/>
      <c r="AG139" s="27"/>
      <c r="AH139" s="26"/>
      <c r="AI139" s="27"/>
      <c r="AJ139" s="26"/>
      <c r="AK139" s="27"/>
      <c r="AL139" s="26"/>
      <c r="AM139" s="27"/>
      <c r="AN139" s="26"/>
      <c r="AO139" s="27"/>
      <c r="AP139" s="26"/>
      <c r="AQ139" s="27"/>
      <c r="AR139" s="26"/>
      <c r="AS139" s="27"/>
      <c r="AT139" s="26"/>
      <c r="AU139" s="27"/>
      <c r="AV139" s="26"/>
      <c r="AW139" s="27"/>
      <c r="AX139" s="26"/>
      <c r="AY139" s="27"/>
      <c r="AZ139" s="26"/>
      <c r="BA139" s="27"/>
      <c r="BB139" s="26"/>
      <c r="BC139" s="27"/>
      <c r="BD139" s="26"/>
      <c r="BE139" s="27"/>
      <c r="BF139" s="26"/>
      <c r="BG139" s="27"/>
      <c r="BH139" s="26"/>
      <c r="BI139" s="27"/>
      <c r="BJ139" s="26"/>
      <c r="BK139" s="27"/>
      <c r="BL139" s="26"/>
      <c r="BM139" s="27"/>
      <c r="BN139" s="22">
        <f>IF($A139="","",SUM(IF($D$5&lt;&gt;"",--(D139="Présent"),0),IF($F$5&lt;&gt;"",--(F139="Présent"),0),IF($H$5&lt;&gt;"",--(H139="Présent"),0),IF($J$5&lt;&gt;"",--(J139="Présent"),0),IF($L$5&lt;&gt;"",--(L139="Présent"),0),IF($N$5&lt;&gt;"",--(N139="Présent"),0),IF($P$5&lt;&gt;"",--(P139="Présent"),0),IF($R$5&lt;&gt;"",--(R139="Présent"),0),IF($T$5&lt;&gt;"",--(T139="Présent"),0),IF($V$5&lt;&gt;"",--(V139="Présent"),0),IF($X$5&lt;&gt;"",--(X139="Présent"),0),IF($Z$5&lt;&gt;"",--(Z139="Présent"),0),IF($AB$5&lt;&gt;"",--(AB139="Présent"),0),IF($AD$5&lt;&gt;"",--(AD139="Présent"),0),IF($AF$5&lt;&gt;"",--(AF139="Présent"),0),IF($AH$5&lt;&gt;"",--(AH139="Présent"),0),IF($AJ$5&lt;&gt;"",--(AJ139="Présent"),0),IF($AL$5&lt;&gt;"",--(AL139="Présent"),0),IF($AN$5&lt;&gt;"",--(AN139="Présent"),0),IF($AP$5&lt;&gt;"",--(AP139="Présent"),0),IF($AR$5&lt;&gt;"",--(AR139="Présent"),0),IF($AT$5&lt;&gt;"",--(AT139="Présent"),0),IF($AV$5&lt;&gt;"",--(AV139="Présent"),0),IF($AX$5&lt;&gt;"",--(AX139="Présent"),0),IF($AZ$5&lt;&gt;"",--(AZ139="Présent"),0),IF($BB$5&lt;&gt;"",--(BB139="Présent"),0),IF($BD$5&lt;&gt;"",--(BD139="Présent"),0),IF($BF$5&lt;&gt;"",--(BF139="Présent"),0),IF($BH$5&lt;&gt;"",--(BH139="Présent"),0),IF($BJ$5&lt;&gt;"",--(BJ139="Présent"),0),IF($BL$5&lt;&gt;"",--(BL139="Présent"),0)))</f>
      </c>
      <c r="BO139" s="22">
        <f>IF($A139="","",SUM(IF($D$5&lt;&gt;"",--(D139="Absent"),0),IF($F$5&lt;&gt;"",--(F139="Absent"),0),IF($H$5&lt;&gt;"",--(H139="Absent"),0),IF($J$5&lt;&gt;"",--(J139="Absent"),0),IF($L$5&lt;&gt;"",--(L139="Absent"),0),IF($N$5&lt;&gt;"",--(N139="Absent"),0),IF($P$5&lt;&gt;"",--(P139="Absent"),0),IF($R$5&lt;&gt;"",--(R139="Absent"),0),IF($T$5&lt;&gt;"",--(T139="Absent"),0),IF($V$5&lt;&gt;"",--(V139="Absent"),0),IF($X$5&lt;&gt;"",--(X139="Absent"),0),IF($Z$5&lt;&gt;"",--(Z139="Absent"),0),IF($AB$5&lt;&gt;"",--(AB139="Absent"),0),IF($AD$5&lt;&gt;"",--(AD139="Absent"),0),IF($AF$5&lt;&gt;"",--(AF139="Absent"),0),IF($AH$5&lt;&gt;"",--(AH139="Absent"),0),IF($AJ$5&lt;&gt;"",--(AJ139="Absent"),0),IF($AL$5&lt;&gt;"",--(AL139="Absent"),0),IF($AN$5&lt;&gt;"",--(AN139="Absent"),0),IF($AP$5&lt;&gt;"",--(AP139="Absent"),0),IF($AR$5&lt;&gt;"",--(AR139="Absent"),0),IF($AT$5&lt;&gt;"",--(AT139="Absent"),0),IF($AV$5&lt;&gt;"",--(AV139="Absent"),0),IF($AX$5&lt;&gt;"",--(AX139="Absent"),0),IF($AZ$5&lt;&gt;"",--(AZ139="Absent"),0),IF($BB$5&lt;&gt;"",--(BB139="Absent"),0),IF($BD$5&lt;&gt;"",--(BD139="Absent"),0),IF($BF$5&lt;&gt;"",--(BF139="Absent"),0),IF($BH$5&lt;&gt;"",--(BH139="Absent"),0),IF($BJ$5&lt;&gt;"",--(BJ139="Absent"),0),IF($BL$5&lt;&gt;"",--(BL139="Absent"),0)))</f>
      </c>
      <c r="BP139" s="22">
        <f>IF($A139="","",SUM(IF($D$5&lt;&gt;"",--(D139="Congé"),0),IF($F$5&lt;&gt;"",--(F139="Congé"),0),IF($H$5&lt;&gt;"",--(H139="Congé"),0),IF($J$5&lt;&gt;"",--(J139="Congé"),0),IF($L$5&lt;&gt;"",--(L139="Congé"),0),IF($N$5&lt;&gt;"",--(N139="Congé"),0),IF($P$5&lt;&gt;"",--(P139="Congé"),0),IF($R$5&lt;&gt;"",--(R139="Congé"),0),IF($T$5&lt;&gt;"",--(T139="Congé"),0),IF($V$5&lt;&gt;"",--(V139="Congé"),0),IF($X$5&lt;&gt;"",--(X139="Congé"),0),IF($Z$5&lt;&gt;"",--(Z139="Congé"),0),IF($AB$5&lt;&gt;"",--(AB139="Congé"),0),IF($AD$5&lt;&gt;"",--(AD139="Congé"),0),IF($AF$5&lt;&gt;"",--(AF139="Congé"),0),IF($AH$5&lt;&gt;"",--(AH139="Congé"),0),IF($AJ$5&lt;&gt;"",--(AJ139="Congé"),0),IF($AL$5&lt;&gt;"",--(AL139="Congé"),0),IF($AN$5&lt;&gt;"",--(AN139="Congé"),0),IF($AP$5&lt;&gt;"",--(AP139="Congé"),0),IF($AR$5&lt;&gt;"",--(AR139="Congé"),0),IF($AT$5&lt;&gt;"",--(AT139="Congé"),0),IF($AV$5&lt;&gt;"",--(AV139="Congé"),0),IF($AX$5&lt;&gt;"",--(AX139="Congé"),0),IF($AZ$5&lt;&gt;"",--(AZ139="Congé"),0),IF($BB$5&lt;&gt;"",--(BB139="Congé"),0),IF($BD$5&lt;&gt;"",--(BD139="Congé"),0),IF($BF$5&lt;&gt;"",--(BF139="Congé"),0),IF($BH$5&lt;&gt;"",--(BH139="Congé"),0),IF($BJ$5&lt;&gt;"",--(BJ139="Congé"),0),IF($BL$5&lt;&gt;"",--(BL139="Congé"),0)))</f>
      </c>
      <c r="BQ139" s="22">
        <f>IF($A139="","",SUM(IF($D$5&lt;&gt;"",--(D139="Maladie"),0),IF($F$5&lt;&gt;"",--(F139="Maladie"),0),IF($H$5&lt;&gt;"",--(H139="Maladie"),0),IF($J$5&lt;&gt;"",--(J139="Maladie"),0),IF($L$5&lt;&gt;"",--(L139="Maladie"),0),IF($N$5&lt;&gt;"",--(N139="Maladie"),0),IF($P$5&lt;&gt;"",--(P139="Maladie"),0),IF($R$5&lt;&gt;"",--(R139="Maladie"),0),IF($T$5&lt;&gt;"",--(T139="Maladie"),0),IF($V$5&lt;&gt;"",--(V139="Maladie"),0),IF($X$5&lt;&gt;"",--(X139="Maladie"),0),IF($Z$5&lt;&gt;"",--(Z139="Maladie"),0),IF($AB$5&lt;&gt;"",--(AB139="Maladie"),0),IF($AD$5&lt;&gt;"",--(AD139="Maladie"),0),IF($AF$5&lt;&gt;"",--(AF139="Maladie"),0),IF($AH$5&lt;&gt;"",--(AH139="Maladie"),0),IF($AJ$5&lt;&gt;"",--(AJ139="Maladie"),0),IF($AL$5&lt;&gt;"",--(AL139="Maladie"),0),IF($AN$5&lt;&gt;"",--(AN139="Maladie"),0),IF($AP$5&lt;&gt;"",--(AP139="Maladie"),0),IF($AR$5&lt;&gt;"",--(AR139="Maladie"),0),IF($AT$5&lt;&gt;"",--(AT139="Maladie"),0),IF($AV$5&lt;&gt;"",--(AV139="Maladie"),0),IF($AX$5&lt;&gt;"",--(AX139="Maladie"),0),IF($AZ$5&lt;&gt;"",--(AZ139="Maladie"),0),IF($BB$5&lt;&gt;"",--(BB139="Maladie"),0),IF($BD$5&lt;&gt;"",--(BD139="Maladie"),0),IF($BF$5&lt;&gt;"",--(BF139="Maladie"),0),IF($BH$5&lt;&gt;"",--(BH139="Maladie"),0),IF($BJ$5&lt;&gt;"",--(BJ139="Maladie"),0),IF($BL$5&lt;&gt;"",--(BL139="Maladie"),0)))</f>
      </c>
      <c r="BR139" s="23">
        <f>IF($A139="","",SUM(IF($D$5&lt;&gt;"",IF(D139="Présent",E139,0),0),IF($F$5&lt;&gt;"",IF(F139="Présent",G139,0),0),IF($H$5&lt;&gt;"",IF(H139="Présent",I139,0),0),IF($J$5&lt;&gt;"",IF(J139="Présent",K139,0),0),IF($L$5&lt;&gt;"",IF(L139="Présent",M139,0),0),IF($N$5&lt;&gt;"",IF(N139="Présent",O139,0),0),IF($P$5&lt;&gt;"",IF(P139="Présent",Q139,0),0),IF($R$5&lt;&gt;"",IF(R139="Présent",S139,0),0),IF($T$5&lt;&gt;"",IF(T139="Présent",U139,0),0),IF($V$5&lt;&gt;"",IF(V139="Présent",W139,0),0),IF($X$5&lt;&gt;"",IF(X139="Présent",Y139,0),0),IF($Z$5&lt;&gt;"",IF(Z139="Présent",AA139,0),0),IF($AB$5&lt;&gt;"",IF(AB139="Présent",AC139,0),0),IF($AD$5&lt;&gt;"",IF(AD139="Présent",AE139,0),0),IF($AF$5&lt;&gt;"",IF(AF139="Présent",AG139,0),0),IF($AH$5&lt;&gt;"",IF(AH139="Présent",AI139,0),0),IF($AJ$5&lt;&gt;"",IF(AJ139="Présent",AK139,0),0),IF($AL$5&lt;&gt;"",IF(AL139="Présent",AM139,0),0),IF($AN$5&lt;&gt;"",IF(AN139="Présent",AO139,0),0),IF($AP$5&lt;&gt;"",IF(AP139="Présent",AQ139,0),0),IF($AR$5&lt;&gt;"",IF(AR139="Présent",AS139,0),0),IF($AT$5&lt;&gt;"",IF(AT139="Présent",AU139,0),0),IF($AV$5&lt;&gt;"",IF(AV139="Présent",AW139,0),0),IF($AX$5&lt;&gt;"",IF(AX139="Présent",AY139,0),0),IF($AZ$5&lt;&gt;"",IF(AZ139="Présent",BA139,0),0),IF($BB$5&lt;&gt;"",IF(BB139="Présent",BC139,0),0),IF($BD$5&lt;&gt;"",IF(BD139="Présent",BE139,0),0),IF($BF$5&lt;&gt;"",IF(BF139="Présent",BG139,0),0),IF($BH$5&lt;&gt;"",IF(BH139="Présent",BI139,0),0),IF($BJ$5&lt;&gt;"",IF(BJ139="Présent",BK139,0),0),IF($BL$5&lt;&gt;"",IF(BL139="Présent",BM139,0),0)))</f>
      </c>
      <c r="BS139" s="25">
        <f>IF($A139="","",$BN139*IFERROR(INDEX(Categories_Salaire,MATCH($C139,ListeCategories,0)),0)+$BR139*IF(IFERROR(INDEX(Categories_TauxHS,MATCH($C139,ListeCategories,0)),0)&gt;0,IFERROR(INDEX(Categories_TauxHS,MATCH($C139,ListeCategories,0)),0),TauxHSDefaut))</f>
      </c>
    </row>
    <row r="140">
      <c r="A140" s="20">
        <f>IF(AND(INDEX(Employes_Nom,134)&lt;&gt;"",INDEX(Employes_Statut,134)="Actif",OR(INDEX(Employes_Embauche,134)="",INDEX(Employes_Embauche,134)&lt;=EOMONTH(DATE(AnneeCourante,MoisCourant,1),0))),INDEX(Employes_ID,134),"")</f>
      </c>
      <c r="B140" s="19">
        <f>IF($A140="","",INDEX(Employes_Nom,MATCH($A140,Employes_ID,0)))</f>
      </c>
      <c r="C140" s="20">
        <f>IF($A140="","",INDEX(Employes_Categorie,MATCH($A140,Employes_ID,0)))</f>
      </c>
      <c r="D140" s="26"/>
      <c r="E140" s="27"/>
      <c r="F140" s="26"/>
      <c r="G140" s="27"/>
      <c r="H140" s="26"/>
      <c r="I140" s="27"/>
      <c r="J140" s="26"/>
      <c r="K140" s="27"/>
      <c r="L140" s="26"/>
      <c r="M140" s="27"/>
      <c r="N140" s="26"/>
      <c r="O140" s="27"/>
      <c r="P140" s="26"/>
      <c r="Q140" s="27"/>
      <c r="R140" s="26"/>
      <c r="S140" s="27"/>
      <c r="T140" s="26"/>
      <c r="U140" s="27"/>
      <c r="V140" s="26"/>
      <c r="W140" s="27"/>
      <c r="X140" s="26"/>
      <c r="Y140" s="27"/>
      <c r="Z140" s="26"/>
      <c r="AA140" s="27"/>
      <c r="AB140" s="26"/>
      <c r="AC140" s="27"/>
      <c r="AD140" s="26"/>
      <c r="AE140" s="27"/>
      <c r="AF140" s="26"/>
      <c r="AG140" s="27"/>
      <c r="AH140" s="26"/>
      <c r="AI140" s="27"/>
      <c r="AJ140" s="26"/>
      <c r="AK140" s="27"/>
      <c r="AL140" s="26"/>
      <c r="AM140" s="27"/>
      <c r="AN140" s="26"/>
      <c r="AO140" s="27"/>
      <c r="AP140" s="26"/>
      <c r="AQ140" s="27"/>
      <c r="AR140" s="26"/>
      <c r="AS140" s="27"/>
      <c r="AT140" s="26"/>
      <c r="AU140" s="27"/>
      <c r="AV140" s="26"/>
      <c r="AW140" s="27"/>
      <c r="AX140" s="26"/>
      <c r="AY140" s="27"/>
      <c r="AZ140" s="26"/>
      <c r="BA140" s="27"/>
      <c r="BB140" s="26"/>
      <c r="BC140" s="27"/>
      <c r="BD140" s="26"/>
      <c r="BE140" s="27"/>
      <c r="BF140" s="26"/>
      <c r="BG140" s="27"/>
      <c r="BH140" s="26"/>
      <c r="BI140" s="27"/>
      <c r="BJ140" s="26"/>
      <c r="BK140" s="27"/>
      <c r="BL140" s="26"/>
      <c r="BM140" s="27"/>
      <c r="BN140" s="22">
        <f>IF($A140="","",SUM(IF($D$5&lt;&gt;"",--(D140="Présent"),0),IF($F$5&lt;&gt;"",--(F140="Présent"),0),IF($H$5&lt;&gt;"",--(H140="Présent"),0),IF($J$5&lt;&gt;"",--(J140="Présent"),0),IF($L$5&lt;&gt;"",--(L140="Présent"),0),IF($N$5&lt;&gt;"",--(N140="Présent"),0),IF($P$5&lt;&gt;"",--(P140="Présent"),0),IF($R$5&lt;&gt;"",--(R140="Présent"),0),IF($T$5&lt;&gt;"",--(T140="Présent"),0),IF($V$5&lt;&gt;"",--(V140="Présent"),0),IF($X$5&lt;&gt;"",--(X140="Présent"),0),IF($Z$5&lt;&gt;"",--(Z140="Présent"),0),IF($AB$5&lt;&gt;"",--(AB140="Présent"),0),IF($AD$5&lt;&gt;"",--(AD140="Présent"),0),IF($AF$5&lt;&gt;"",--(AF140="Présent"),0),IF($AH$5&lt;&gt;"",--(AH140="Présent"),0),IF($AJ$5&lt;&gt;"",--(AJ140="Présent"),0),IF($AL$5&lt;&gt;"",--(AL140="Présent"),0),IF($AN$5&lt;&gt;"",--(AN140="Présent"),0),IF($AP$5&lt;&gt;"",--(AP140="Présent"),0),IF($AR$5&lt;&gt;"",--(AR140="Présent"),0),IF($AT$5&lt;&gt;"",--(AT140="Présent"),0),IF($AV$5&lt;&gt;"",--(AV140="Présent"),0),IF($AX$5&lt;&gt;"",--(AX140="Présent"),0),IF($AZ$5&lt;&gt;"",--(AZ140="Présent"),0),IF($BB$5&lt;&gt;"",--(BB140="Présent"),0),IF($BD$5&lt;&gt;"",--(BD140="Présent"),0),IF($BF$5&lt;&gt;"",--(BF140="Présent"),0),IF($BH$5&lt;&gt;"",--(BH140="Présent"),0),IF($BJ$5&lt;&gt;"",--(BJ140="Présent"),0),IF($BL$5&lt;&gt;"",--(BL140="Présent"),0)))</f>
      </c>
      <c r="BO140" s="22">
        <f>IF($A140="","",SUM(IF($D$5&lt;&gt;"",--(D140="Absent"),0),IF($F$5&lt;&gt;"",--(F140="Absent"),0),IF($H$5&lt;&gt;"",--(H140="Absent"),0),IF($J$5&lt;&gt;"",--(J140="Absent"),0),IF($L$5&lt;&gt;"",--(L140="Absent"),0),IF($N$5&lt;&gt;"",--(N140="Absent"),0),IF($P$5&lt;&gt;"",--(P140="Absent"),0),IF($R$5&lt;&gt;"",--(R140="Absent"),0),IF($T$5&lt;&gt;"",--(T140="Absent"),0),IF($V$5&lt;&gt;"",--(V140="Absent"),0),IF($X$5&lt;&gt;"",--(X140="Absent"),0),IF($Z$5&lt;&gt;"",--(Z140="Absent"),0),IF($AB$5&lt;&gt;"",--(AB140="Absent"),0),IF($AD$5&lt;&gt;"",--(AD140="Absent"),0),IF($AF$5&lt;&gt;"",--(AF140="Absent"),0),IF($AH$5&lt;&gt;"",--(AH140="Absent"),0),IF($AJ$5&lt;&gt;"",--(AJ140="Absent"),0),IF($AL$5&lt;&gt;"",--(AL140="Absent"),0),IF($AN$5&lt;&gt;"",--(AN140="Absent"),0),IF($AP$5&lt;&gt;"",--(AP140="Absent"),0),IF($AR$5&lt;&gt;"",--(AR140="Absent"),0),IF($AT$5&lt;&gt;"",--(AT140="Absent"),0),IF($AV$5&lt;&gt;"",--(AV140="Absent"),0),IF($AX$5&lt;&gt;"",--(AX140="Absent"),0),IF($AZ$5&lt;&gt;"",--(AZ140="Absent"),0),IF($BB$5&lt;&gt;"",--(BB140="Absent"),0),IF($BD$5&lt;&gt;"",--(BD140="Absent"),0),IF($BF$5&lt;&gt;"",--(BF140="Absent"),0),IF($BH$5&lt;&gt;"",--(BH140="Absent"),0),IF($BJ$5&lt;&gt;"",--(BJ140="Absent"),0),IF($BL$5&lt;&gt;"",--(BL140="Absent"),0)))</f>
      </c>
      <c r="BP140" s="22">
        <f>IF($A140="","",SUM(IF($D$5&lt;&gt;"",--(D140="Congé"),0),IF($F$5&lt;&gt;"",--(F140="Congé"),0),IF($H$5&lt;&gt;"",--(H140="Congé"),0),IF($J$5&lt;&gt;"",--(J140="Congé"),0),IF($L$5&lt;&gt;"",--(L140="Congé"),0),IF($N$5&lt;&gt;"",--(N140="Congé"),0),IF($P$5&lt;&gt;"",--(P140="Congé"),0),IF($R$5&lt;&gt;"",--(R140="Congé"),0),IF($T$5&lt;&gt;"",--(T140="Congé"),0),IF($V$5&lt;&gt;"",--(V140="Congé"),0),IF($X$5&lt;&gt;"",--(X140="Congé"),0),IF($Z$5&lt;&gt;"",--(Z140="Congé"),0),IF($AB$5&lt;&gt;"",--(AB140="Congé"),0),IF($AD$5&lt;&gt;"",--(AD140="Congé"),0),IF($AF$5&lt;&gt;"",--(AF140="Congé"),0),IF($AH$5&lt;&gt;"",--(AH140="Congé"),0),IF($AJ$5&lt;&gt;"",--(AJ140="Congé"),0),IF($AL$5&lt;&gt;"",--(AL140="Congé"),0),IF($AN$5&lt;&gt;"",--(AN140="Congé"),0),IF($AP$5&lt;&gt;"",--(AP140="Congé"),0),IF($AR$5&lt;&gt;"",--(AR140="Congé"),0),IF($AT$5&lt;&gt;"",--(AT140="Congé"),0),IF($AV$5&lt;&gt;"",--(AV140="Congé"),0),IF($AX$5&lt;&gt;"",--(AX140="Congé"),0),IF($AZ$5&lt;&gt;"",--(AZ140="Congé"),0),IF($BB$5&lt;&gt;"",--(BB140="Congé"),0),IF($BD$5&lt;&gt;"",--(BD140="Congé"),0),IF($BF$5&lt;&gt;"",--(BF140="Congé"),0),IF($BH$5&lt;&gt;"",--(BH140="Congé"),0),IF($BJ$5&lt;&gt;"",--(BJ140="Congé"),0),IF($BL$5&lt;&gt;"",--(BL140="Congé"),0)))</f>
      </c>
      <c r="BQ140" s="22">
        <f>IF($A140="","",SUM(IF($D$5&lt;&gt;"",--(D140="Maladie"),0),IF($F$5&lt;&gt;"",--(F140="Maladie"),0),IF($H$5&lt;&gt;"",--(H140="Maladie"),0),IF($J$5&lt;&gt;"",--(J140="Maladie"),0),IF($L$5&lt;&gt;"",--(L140="Maladie"),0),IF($N$5&lt;&gt;"",--(N140="Maladie"),0),IF($P$5&lt;&gt;"",--(P140="Maladie"),0),IF($R$5&lt;&gt;"",--(R140="Maladie"),0),IF($T$5&lt;&gt;"",--(T140="Maladie"),0),IF($V$5&lt;&gt;"",--(V140="Maladie"),0),IF($X$5&lt;&gt;"",--(X140="Maladie"),0),IF($Z$5&lt;&gt;"",--(Z140="Maladie"),0),IF($AB$5&lt;&gt;"",--(AB140="Maladie"),0),IF($AD$5&lt;&gt;"",--(AD140="Maladie"),0),IF($AF$5&lt;&gt;"",--(AF140="Maladie"),0),IF($AH$5&lt;&gt;"",--(AH140="Maladie"),0),IF($AJ$5&lt;&gt;"",--(AJ140="Maladie"),0),IF($AL$5&lt;&gt;"",--(AL140="Maladie"),0),IF($AN$5&lt;&gt;"",--(AN140="Maladie"),0),IF($AP$5&lt;&gt;"",--(AP140="Maladie"),0),IF($AR$5&lt;&gt;"",--(AR140="Maladie"),0),IF($AT$5&lt;&gt;"",--(AT140="Maladie"),0),IF($AV$5&lt;&gt;"",--(AV140="Maladie"),0),IF($AX$5&lt;&gt;"",--(AX140="Maladie"),0),IF($AZ$5&lt;&gt;"",--(AZ140="Maladie"),0),IF($BB$5&lt;&gt;"",--(BB140="Maladie"),0),IF($BD$5&lt;&gt;"",--(BD140="Maladie"),0),IF($BF$5&lt;&gt;"",--(BF140="Maladie"),0),IF($BH$5&lt;&gt;"",--(BH140="Maladie"),0),IF($BJ$5&lt;&gt;"",--(BJ140="Maladie"),0),IF($BL$5&lt;&gt;"",--(BL140="Maladie"),0)))</f>
      </c>
      <c r="BR140" s="23">
        <f>IF($A140="","",SUM(IF($D$5&lt;&gt;"",IF(D140="Présent",E140,0),0),IF($F$5&lt;&gt;"",IF(F140="Présent",G140,0),0),IF($H$5&lt;&gt;"",IF(H140="Présent",I140,0),0),IF($J$5&lt;&gt;"",IF(J140="Présent",K140,0),0),IF($L$5&lt;&gt;"",IF(L140="Présent",M140,0),0),IF($N$5&lt;&gt;"",IF(N140="Présent",O140,0),0),IF($P$5&lt;&gt;"",IF(P140="Présent",Q140,0),0),IF($R$5&lt;&gt;"",IF(R140="Présent",S140,0),0),IF($T$5&lt;&gt;"",IF(T140="Présent",U140,0),0),IF($V$5&lt;&gt;"",IF(V140="Présent",W140,0),0),IF($X$5&lt;&gt;"",IF(X140="Présent",Y140,0),0),IF($Z$5&lt;&gt;"",IF(Z140="Présent",AA140,0),0),IF($AB$5&lt;&gt;"",IF(AB140="Présent",AC140,0),0),IF($AD$5&lt;&gt;"",IF(AD140="Présent",AE140,0),0),IF($AF$5&lt;&gt;"",IF(AF140="Présent",AG140,0),0),IF($AH$5&lt;&gt;"",IF(AH140="Présent",AI140,0),0),IF($AJ$5&lt;&gt;"",IF(AJ140="Présent",AK140,0),0),IF($AL$5&lt;&gt;"",IF(AL140="Présent",AM140,0),0),IF($AN$5&lt;&gt;"",IF(AN140="Présent",AO140,0),0),IF($AP$5&lt;&gt;"",IF(AP140="Présent",AQ140,0),0),IF($AR$5&lt;&gt;"",IF(AR140="Présent",AS140,0),0),IF($AT$5&lt;&gt;"",IF(AT140="Présent",AU140,0),0),IF($AV$5&lt;&gt;"",IF(AV140="Présent",AW140,0),0),IF($AX$5&lt;&gt;"",IF(AX140="Présent",AY140,0),0),IF($AZ$5&lt;&gt;"",IF(AZ140="Présent",BA140,0),0),IF($BB$5&lt;&gt;"",IF(BB140="Présent",BC140,0),0),IF($BD$5&lt;&gt;"",IF(BD140="Présent",BE140,0),0),IF($BF$5&lt;&gt;"",IF(BF140="Présent",BG140,0),0),IF($BH$5&lt;&gt;"",IF(BH140="Présent",BI140,0),0),IF($BJ$5&lt;&gt;"",IF(BJ140="Présent",BK140,0),0),IF($BL$5&lt;&gt;"",IF(BL140="Présent",BM140,0),0)))</f>
      </c>
      <c r="BS140" s="25">
        <f>IF($A140="","",$BN140*IFERROR(INDEX(Categories_Salaire,MATCH($C140,ListeCategories,0)),0)+$BR140*IF(IFERROR(INDEX(Categories_TauxHS,MATCH($C140,ListeCategories,0)),0)&gt;0,IFERROR(INDEX(Categories_TauxHS,MATCH($C140,ListeCategories,0)),0),TauxHSDefaut))</f>
      </c>
    </row>
    <row r="141">
      <c r="A141" s="20">
        <f>IF(AND(INDEX(Employes_Nom,135)&lt;&gt;"",INDEX(Employes_Statut,135)="Actif",OR(INDEX(Employes_Embauche,135)="",INDEX(Employes_Embauche,135)&lt;=EOMONTH(DATE(AnneeCourante,MoisCourant,1),0))),INDEX(Employes_ID,135),"")</f>
      </c>
      <c r="B141" s="19">
        <f>IF($A141="","",INDEX(Employes_Nom,MATCH($A141,Employes_ID,0)))</f>
      </c>
      <c r="C141" s="20">
        <f>IF($A141="","",INDEX(Employes_Categorie,MATCH($A141,Employes_ID,0)))</f>
      </c>
      <c r="D141" s="26"/>
      <c r="E141" s="27"/>
      <c r="F141" s="26"/>
      <c r="G141" s="27"/>
      <c r="H141" s="26"/>
      <c r="I141" s="27"/>
      <c r="J141" s="26"/>
      <c r="K141" s="27"/>
      <c r="L141" s="26"/>
      <c r="M141" s="27"/>
      <c r="N141" s="26"/>
      <c r="O141" s="27"/>
      <c r="P141" s="26"/>
      <c r="Q141" s="27"/>
      <c r="R141" s="26"/>
      <c r="S141" s="27"/>
      <c r="T141" s="26"/>
      <c r="U141" s="27"/>
      <c r="V141" s="26"/>
      <c r="W141" s="27"/>
      <c r="X141" s="26"/>
      <c r="Y141" s="27"/>
      <c r="Z141" s="26"/>
      <c r="AA141" s="27"/>
      <c r="AB141" s="26"/>
      <c r="AC141" s="27"/>
      <c r="AD141" s="26"/>
      <c r="AE141" s="27"/>
      <c r="AF141" s="26"/>
      <c r="AG141" s="27"/>
      <c r="AH141" s="26"/>
      <c r="AI141" s="27"/>
      <c r="AJ141" s="26"/>
      <c r="AK141" s="27"/>
      <c r="AL141" s="26"/>
      <c r="AM141" s="27"/>
      <c r="AN141" s="26"/>
      <c r="AO141" s="27"/>
      <c r="AP141" s="26"/>
      <c r="AQ141" s="27"/>
      <c r="AR141" s="26"/>
      <c r="AS141" s="27"/>
      <c r="AT141" s="26"/>
      <c r="AU141" s="27"/>
      <c r="AV141" s="26"/>
      <c r="AW141" s="27"/>
      <c r="AX141" s="26"/>
      <c r="AY141" s="27"/>
      <c r="AZ141" s="26"/>
      <c r="BA141" s="27"/>
      <c r="BB141" s="26"/>
      <c r="BC141" s="27"/>
      <c r="BD141" s="26"/>
      <c r="BE141" s="27"/>
      <c r="BF141" s="26"/>
      <c r="BG141" s="27"/>
      <c r="BH141" s="26"/>
      <c r="BI141" s="27"/>
      <c r="BJ141" s="26"/>
      <c r="BK141" s="27"/>
      <c r="BL141" s="26"/>
      <c r="BM141" s="27"/>
      <c r="BN141" s="22">
        <f>IF($A141="","",SUM(IF($D$5&lt;&gt;"",--(D141="Présent"),0),IF($F$5&lt;&gt;"",--(F141="Présent"),0),IF($H$5&lt;&gt;"",--(H141="Présent"),0),IF($J$5&lt;&gt;"",--(J141="Présent"),0),IF($L$5&lt;&gt;"",--(L141="Présent"),0),IF($N$5&lt;&gt;"",--(N141="Présent"),0),IF($P$5&lt;&gt;"",--(P141="Présent"),0),IF($R$5&lt;&gt;"",--(R141="Présent"),0),IF($T$5&lt;&gt;"",--(T141="Présent"),0),IF($V$5&lt;&gt;"",--(V141="Présent"),0),IF($X$5&lt;&gt;"",--(X141="Présent"),0),IF($Z$5&lt;&gt;"",--(Z141="Présent"),0),IF($AB$5&lt;&gt;"",--(AB141="Présent"),0),IF($AD$5&lt;&gt;"",--(AD141="Présent"),0),IF($AF$5&lt;&gt;"",--(AF141="Présent"),0),IF($AH$5&lt;&gt;"",--(AH141="Présent"),0),IF($AJ$5&lt;&gt;"",--(AJ141="Présent"),0),IF($AL$5&lt;&gt;"",--(AL141="Présent"),0),IF($AN$5&lt;&gt;"",--(AN141="Présent"),0),IF($AP$5&lt;&gt;"",--(AP141="Présent"),0),IF($AR$5&lt;&gt;"",--(AR141="Présent"),0),IF($AT$5&lt;&gt;"",--(AT141="Présent"),0),IF($AV$5&lt;&gt;"",--(AV141="Présent"),0),IF($AX$5&lt;&gt;"",--(AX141="Présent"),0),IF($AZ$5&lt;&gt;"",--(AZ141="Présent"),0),IF($BB$5&lt;&gt;"",--(BB141="Présent"),0),IF($BD$5&lt;&gt;"",--(BD141="Présent"),0),IF($BF$5&lt;&gt;"",--(BF141="Présent"),0),IF($BH$5&lt;&gt;"",--(BH141="Présent"),0),IF($BJ$5&lt;&gt;"",--(BJ141="Présent"),0),IF($BL$5&lt;&gt;"",--(BL141="Présent"),0)))</f>
      </c>
      <c r="BO141" s="22">
        <f>IF($A141="","",SUM(IF($D$5&lt;&gt;"",--(D141="Absent"),0),IF($F$5&lt;&gt;"",--(F141="Absent"),0),IF($H$5&lt;&gt;"",--(H141="Absent"),0),IF($J$5&lt;&gt;"",--(J141="Absent"),0),IF($L$5&lt;&gt;"",--(L141="Absent"),0),IF($N$5&lt;&gt;"",--(N141="Absent"),0),IF($P$5&lt;&gt;"",--(P141="Absent"),0),IF($R$5&lt;&gt;"",--(R141="Absent"),0),IF($T$5&lt;&gt;"",--(T141="Absent"),0),IF($V$5&lt;&gt;"",--(V141="Absent"),0),IF($X$5&lt;&gt;"",--(X141="Absent"),0),IF($Z$5&lt;&gt;"",--(Z141="Absent"),0),IF($AB$5&lt;&gt;"",--(AB141="Absent"),0),IF($AD$5&lt;&gt;"",--(AD141="Absent"),0),IF($AF$5&lt;&gt;"",--(AF141="Absent"),0),IF($AH$5&lt;&gt;"",--(AH141="Absent"),0),IF($AJ$5&lt;&gt;"",--(AJ141="Absent"),0),IF($AL$5&lt;&gt;"",--(AL141="Absent"),0),IF($AN$5&lt;&gt;"",--(AN141="Absent"),0),IF($AP$5&lt;&gt;"",--(AP141="Absent"),0),IF($AR$5&lt;&gt;"",--(AR141="Absent"),0),IF($AT$5&lt;&gt;"",--(AT141="Absent"),0),IF($AV$5&lt;&gt;"",--(AV141="Absent"),0),IF($AX$5&lt;&gt;"",--(AX141="Absent"),0),IF($AZ$5&lt;&gt;"",--(AZ141="Absent"),0),IF($BB$5&lt;&gt;"",--(BB141="Absent"),0),IF($BD$5&lt;&gt;"",--(BD141="Absent"),0),IF($BF$5&lt;&gt;"",--(BF141="Absent"),0),IF($BH$5&lt;&gt;"",--(BH141="Absent"),0),IF($BJ$5&lt;&gt;"",--(BJ141="Absent"),0),IF($BL$5&lt;&gt;"",--(BL141="Absent"),0)))</f>
      </c>
      <c r="BP141" s="22">
        <f>IF($A141="","",SUM(IF($D$5&lt;&gt;"",--(D141="Congé"),0),IF($F$5&lt;&gt;"",--(F141="Congé"),0),IF($H$5&lt;&gt;"",--(H141="Congé"),0),IF($J$5&lt;&gt;"",--(J141="Congé"),0),IF($L$5&lt;&gt;"",--(L141="Congé"),0),IF($N$5&lt;&gt;"",--(N141="Congé"),0),IF($P$5&lt;&gt;"",--(P141="Congé"),0),IF($R$5&lt;&gt;"",--(R141="Congé"),0),IF($T$5&lt;&gt;"",--(T141="Congé"),0),IF($V$5&lt;&gt;"",--(V141="Congé"),0),IF($X$5&lt;&gt;"",--(X141="Congé"),0),IF($Z$5&lt;&gt;"",--(Z141="Congé"),0),IF($AB$5&lt;&gt;"",--(AB141="Congé"),0),IF($AD$5&lt;&gt;"",--(AD141="Congé"),0),IF($AF$5&lt;&gt;"",--(AF141="Congé"),0),IF($AH$5&lt;&gt;"",--(AH141="Congé"),0),IF($AJ$5&lt;&gt;"",--(AJ141="Congé"),0),IF($AL$5&lt;&gt;"",--(AL141="Congé"),0),IF($AN$5&lt;&gt;"",--(AN141="Congé"),0),IF($AP$5&lt;&gt;"",--(AP141="Congé"),0),IF($AR$5&lt;&gt;"",--(AR141="Congé"),0),IF($AT$5&lt;&gt;"",--(AT141="Congé"),0),IF($AV$5&lt;&gt;"",--(AV141="Congé"),0),IF($AX$5&lt;&gt;"",--(AX141="Congé"),0),IF($AZ$5&lt;&gt;"",--(AZ141="Congé"),0),IF($BB$5&lt;&gt;"",--(BB141="Congé"),0),IF($BD$5&lt;&gt;"",--(BD141="Congé"),0),IF($BF$5&lt;&gt;"",--(BF141="Congé"),0),IF($BH$5&lt;&gt;"",--(BH141="Congé"),0),IF($BJ$5&lt;&gt;"",--(BJ141="Congé"),0),IF($BL$5&lt;&gt;"",--(BL141="Congé"),0)))</f>
      </c>
      <c r="BQ141" s="22">
        <f>IF($A141="","",SUM(IF($D$5&lt;&gt;"",--(D141="Maladie"),0),IF($F$5&lt;&gt;"",--(F141="Maladie"),0),IF($H$5&lt;&gt;"",--(H141="Maladie"),0),IF($J$5&lt;&gt;"",--(J141="Maladie"),0),IF($L$5&lt;&gt;"",--(L141="Maladie"),0),IF($N$5&lt;&gt;"",--(N141="Maladie"),0),IF($P$5&lt;&gt;"",--(P141="Maladie"),0),IF($R$5&lt;&gt;"",--(R141="Maladie"),0),IF($T$5&lt;&gt;"",--(T141="Maladie"),0),IF($V$5&lt;&gt;"",--(V141="Maladie"),0),IF($X$5&lt;&gt;"",--(X141="Maladie"),0),IF($Z$5&lt;&gt;"",--(Z141="Maladie"),0),IF($AB$5&lt;&gt;"",--(AB141="Maladie"),0),IF($AD$5&lt;&gt;"",--(AD141="Maladie"),0),IF($AF$5&lt;&gt;"",--(AF141="Maladie"),0),IF($AH$5&lt;&gt;"",--(AH141="Maladie"),0),IF($AJ$5&lt;&gt;"",--(AJ141="Maladie"),0),IF($AL$5&lt;&gt;"",--(AL141="Maladie"),0),IF($AN$5&lt;&gt;"",--(AN141="Maladie"),0),IF($AP$5&lt;&gt;"",--(AP141="Maladie"),0),IF($AR$5&lt;&gt;"",--(AR141="Maladie"),0),IF($AT$5&lt;&gt;"",--(AT141="Maladie"),0),IF($AV$5&lt;&gt;"",--(AV141="Maladie"),0),IF($AX$5&lt;&gt;"",--(AX141="Maladie"),0),IF($AZ$5&lt;&gt;"",--(AZ141="Maladie"),0),IF($BB$5&lt;&gt;"",--(BB141="Maladie"),0),IF($BD$5&lt;&gt;"",--(BD141="Maladie"),0),IF($BF$5&lt;&gt;"",--(BF141="Maladie"),0),IF($BH$5&lt;&gt;"",--(BH141="Maladie"),0),IF($BJ$5&lt;&gt;"",--(BJ141="Maladie"),0),IF($BL$5&lt;&gt;"",--(BL141="Maladie"),0)))</f>
      </c>
      <c r="BR141" s="23">
        <f>IF($A141="","",SUM(IF($D$5&lt;&gt;"",IF(D141="Présent",E141,0),0),IF($F$5&lt;&gt;"",IF(F141="Présent",G141,0),0),IF($H$5&lt;&gt;"",IF(H141="Présent",I141,0),0),IF($J$5&lt;&gt;"",IF(J141="Présent",K141,0),0),IF($L$5&lt;&gt;"",IF(L141="Présent",M141,0),0),IF($N$5&lt;&gt;"",IF(N141="Présent",O141,0),0),IF($P$5&lt;&gt;"",IF(P141="Présent",Q141,0),0),IF($R$5&lt;&gt;"",IF(R141="Présent",S141,0),0),IF($T$5&lt;&gt;"",IF(T141="Présent",U141,0),0),IF($V$5&lt;&gt;"",IF(V141="Présent",W141,0),0),IF($X$5&lt;&gt;"",IF(X141="Présent",Y141,0),0),IF($Z$5&lt;&gt;"",IF(Z141="Présent",AA141,0),0),IF($AB$5&lt;&gt;"",IF(AB141="Présent",AC141,0),0),IF($AD$5&lt;&gt;"",IF(AD141="Présent",AE141,0),0),IF($AF$5&lt;&gt;"",IF(AF141="Présent",AG141,0),0),IF($AH$5&lt;&gt;"",IF(AH141="Présent",AI141,0),0),IF($AJ$5&lt;&gt;"",IF(AJ141="Présent",AK141,0),0),IF($AL$5&lt;&gt;"",IF(AL141="Présent",AM141,0),0),IF($AN$5&lt;&gt;"",IF(AN141="Présent",AO141,0),0),IF($AP$5&lt;&gt;"",IF(AP141="Présent",AQ141,0),0),IF($AR$5&lt;&gt;"",IF(AR141="Présent",AS141,0),0),IF($AT$5&lt;&gt;"",IF(AT141="Présent",AU141,0),0),IF($AV$5&lt;&gt;"",IF(AV141="Présent",AW141,0),0),IF($AX$5&lt;&gt;"",IF(AX141="Présent",AY141,0),0),IF($AZ$5&lt;&gt;"",IF(AZ141="Présent",BA141,0),0),IF($BB$5&lt;&gt;"",IF(BB141="Présent",BC141,0),0),IF($BD$5&lt;&gt;"",IF(BD141="Présent",BE141,0),0),IF($BF$5&lt;&gt;"",IF(BF141="Présent",BG141,0),0),IF($BH$5&lt;&gt;"",IF(BH141="Présent",BI141,0),0),IF($BJ$5&lt;&gt;"",IF(BJ141="Présent",BK141,0),0),IF($BL$5&lt;&gt;"",IF(BL141="Présent",BM141,0),0)))</f>
      </c>
      <c r="BS141" s="25">
        <f>IF($A141="","",$BN141*IFERROR(INDEX(Categories_Salaire,MATCH($C141,ListeCategories,0)),0)+$BR141*IF(IFERROR(INDEX(Categories_TauxHS,MATCH($C141,ListeCategories,0)),0)&gt;0,IFERROR(INDEX(Categories_TauxHS,MATCH($C141,ListeCategories,0)),0),TauxHSDefaut))</f>
      </c>
    </row>
    <row r="142">
      <c r="A142" s="20">
        <f>IF(AND(INDEX(Employes_Nom,136)&lt;&gt;"",INDEX(Employes_Statut,136)="Actif",OR(INDEX(Employes_Embauche,136)="",INDEX(Employes_Embauche,136)&lt;=EOMONTH(DATE(AnneeCourante,MoisCourant,1),0))),INDEX(Employes_ID,136),"")</f>
      </c>
      <c r="B142" s="19">
        <f>IF($A142="","",INDEX(Employes_Nom,MATCH($A142,Employes_ID,0)))</f>
      </c>
      <c r="C142" s="20">
        <f>IF($A142="","",INDEX(Employes_Categorie,MATCH($A142,Employes_ID,0)))</f>
      </c>
      <c r="D142" s="26"/>
      <c r="E142" s="27"/>
      <c r="F142" s="26"/>
      <c r="G142" s="27"/>
      <c r="H142" s="26"/>
      <c r="I142" s="27"/>
      <c r="J142" s="26"/>
      <c r="K142" s="27"/>
      <c r="L142" s="26"/>
      <c r="M142" s="27"/>
      <c r="N142" s="26"/>
      <c r="O142" s="27"/>
      <c r="P142" s="26"/>
      <c r="Q142" s="27"/>
      <c r="R142" s="26"/>
      <c r="S142" s="27"/>
      <c r="T142" s="26"/>
      <c r="U142" s="27"/>
      <c r="V142" s="26"/>
      <c r="W142" s="27"/>
      <c r="X142" s="26"/>
      <c r="Y142" s="27"/>
      <c r="Z142" s="26"/>
      <c r="AA142" s="27"/>
      <c r="AB142" s="26"/>
      <c r="AC142" s="27"/>
      <c r="AD142" s="26"/>
      <c r="AE142" s="27"/>
      <c r="AF142" s="26"/>
      <c r="AG142" s="27"/>
      <c r="AH142" s="26"/>
      <c r="AI142" s="27"/>
      <c r="AJ142" s="26"/>
      <c r="AK142" s="27"/>
      <c r="AL142" s="26"/>
      <c r="AM142" s="27"/>
      <c r="AN142" s="26"/>
      <c r="AO142" s="27"/>
      <c r="AP142" s="26"/>
      <c r="AQ142" s="27"/>
      <c r="AR142" s="26"/>
      <c r="AS142" s="27"/>
      <c r="AT142" s="26"/>
      <c r="AU142" s="27"/>
      <c r="AV142" s="26"/>
      <c r="AW142" s="27"/>
      <c r="AX142" s="26"/>
      <c r="AY142" s="27"/>
      <c r="AZ142" s="26"/>
      <c r="BA142" s="27"/>
      <c r="BB142" s="26"/>
      <c r="BC142" s="27"/>
      <c r="BD142" s="26"/>
      <c r="BE142" s="27"/>
      <c r="BF142" s="26"/>
      <c r="BG142" s="27"/>
      <c r="BH142" s="26"/>
      <c r="BI142" s="27"/>
      <c r="BJ142" s="26"/>
      <c r="BK142" s="27"/>
      <c r="BL142" s="26"/>
      <c r="BM142" s="27"/>
      <c r="BN142" s="22">
        <f>IF($A142="","",SUM(IF($D$5&lt;&gt;"",--(D142="Présent"),0),IF($F$5&lt;&gt;"",--(F142="Présent"),0),IF($H$5&lt;&gt;"",--(H142="Présent"),0),IF($J$5&lt;&gt;"",--(J142="Présent"),0),IF($L$5&lt;&gt;"",--(L142="Présent"),0),IF($N$5&lt;&gt;"",--(N142="Présent"),0),IF($P$5&lt;&gt;"",--(P142="Présent"),0),IF($R$5&lt;&gt;"",--(R142="Présent"),0),IF($T$5&lt;&gt;"",--(T142="Présent"),0),IF($V$5&lt;&gt;"",--(V142="Présent"),0),IF($X$5&lt;&gt;"",--(X142="Présent"),0),IF($Z$5&lt;&gt;"",--(Z142="Présent"),0),IF($AB$5&lt;&gt;"",--(AB142="Présent"),0),IF($AD$5&lt;&gt;"",--(AD142="Présent"),0),IF($AF$5&lt;&gt;"",--(AF142="Présent"),0),IF($AH$5&lt;&gt;"",--(AH142="Présent"),0),IF($AJ$5&lt;&gt;"",--(AJ142="Présent"),0),IF($AL$5&lt;&gt;"",--(AL142="Présent"),0),IF($AN$5&lt;&gt;"",--(AN142="Présent"),0),IF($AP$5&lt;&gt;"",--(AP142="Présent"),0),IF($AR$5&lt;&gt;"",--(AR142="Présent"),0),IF($AT$5&lt;&gt;"",--(AT142="Présent"),0),IF($AV$5&lt;&gt;"",--(AV142="Présent"),0),IF($AX$5&lt;&gt;"",--(AX142="Présent"),0),IF($AZ$5&lt;&gt;"",--(AZ142="Présent"),0),IF($BB$5&lt;&gt;"",--(BB142="Présent"),0),IF($BD$5&lt;&gt;"",--(BD142="Présent"),0),IF($BF$5&lt;&gt;"",--(BF142="Présent"),0),IF($BH$5&lt;&gt;"",--(BH142="Présent"),0),IF($BJ$5&lt;&gt;"",--(BJ142="Présent"),0),IF($BL$5&lt;&gt;"",--(BL142="Présent"),0)))</f>
      </c>
      <c r="BO142" s="22">
        <f>IF($A142="","",SUM(IF($D$5&lt;&gt;"",--(D142="Absent"),0),IF($F$5&lt;&gt;"",--(F142="Absent"),0),IF($H$5&lt;&gt;"",--(H142="Absent"),0),IF($J$5&lt;&gt;"",--(J142="Absent"),0),IF($L$5&lt;&gt;"",--(L142="Absent"),0),IF($N$5&lt;&gt;"",--(N142="Absent"),0),IF($P$5&lt;&gt;"",--(P142="Absent"),0),IF($R$5&lt;&gt;"",--(R142="Absent"),0),IF($T$5&lt;&gt;"",--(T142="Absent"),0),IF($V$5&lt;&gt;"",--(V142="Absent"),0),IF($X$5&lt;&gt;"",--(X142="Absent"),0),IF($Z$5&lt;&gt;"",--(Z142="Absent"),0),IF($AB$5&lt;&gt;"",--(AB142="Absent"),0),IF($AD$5&lt;&gt;"",--(AD142="Absent"),0),IF($AF$5&lt;&gt;"",--(AF142="Absent"),0),IF($AH$5&lt;&gt;"",--(AH142="Absent"),0),IF($AJ$5&lt;&gt;"",--(AJ142="Absent"),0),IF($AL$5&lt;&gt;"",--(AL142="Absent"),0),IF($AN$5&lt;&gt;"",--(AN142="Absent"),0),IF($AP$5&lt;&gt;"",--(AP142="Absent"),0),IF($AR$5&lt;&gt;"",--(AR142="Absent"),0),IF($AT$5&lt;&gt;"",--(AT142="Absent"),0),IF($AV$5&lt;&gt;"",--(AV142="Absent"),0),IF($AX$5&lt;&gt;"",--(AX142="Absent"),0),IF($AZ$5&lt;&gt;"",--(AZ142="Absent"),0),IF($BB$5&lt;&gt;"",--(BB142="Absent"),0),IF($BD$5&lt;&gt;"",--(BD142="Absent"),0),IF($BF$5&lt;&gt;"",--(BF142="Absent"),0),IF($BH$5&lt;&gt;"",--(BH142="Absent"),0),IF($BJ$5&lt;&gt;"",--(BJ142="Absent"),0),IF($BL$5&lt;&gt;"",--(BL142="Absent"),0)))</f>
      </c>
      <c r="BP142" s="22">
        <f>IF($A142="","",SUM(IF($D$5&lt;&gt;"",--(D142="Congé"),0),IF($F$5&lt;&gt;"",--(F142="Congé"),0),IF($H$5&lt;&gt;"",--(H142="Congé"),0),IF($J$5&lt;&gt;"",--(J142="Congé"),0),IF($L$5&lt;&gt;"",--(L142="Congé"),0),IF($N$5&lt;&gt;"",--(N142="Congé"),0),IF($P$5&lt;&gt;"",--(P142="Congé"),0),IF($R$5&lt;&gt;"",--(R142="Congé"),0),IF($T$5&lt;&gt;"",--(T142="Congé"),0),IF($V$5&lt;&gt;"",--(V142="Congé"),0),IF($X$5&lt;&gt;"",--(X142="Congé"),0),IF($Z$5&lt;&gt;"",--(Z142="Congé"),0),IF($AB$5&lt;&gt;"",--(AB142="Congé"),0),IF($AD$5&lt;&gt;"",--(AD142="Congé"),0),IF($AF$5&lt;&gt;"",--(AF142="Congé"),0),IF($AH$5&lt;&gt;"",--(AH142="Congé"),0),IF($AJ$5&lt;&gt;"",--(AJ142="Congé"),0),IF($AL$5&lt;&gt;"",--(AL142="Congé"),0),IF($AN$5&lt;&gt;"",--(AN142="Congé"),0),IF($AP$5&lt;&gt;"",--(AP142="Congé"),0),IF($AR$5&lt;&gt;"",--(AR142="Congé"),0),IF($AT$5&lt;&gt;"",--(AT142="Congé"),0),IF($AV$5&lt;&gt;"",--(AV142="Congé"),0),IF($AX$5&lt;&gt;"",--(AX142="Congé"),0),IF($AZ$5&lt;&gt;"",--(AZ142="Congé"),0),IF($BB$5&lt;&gt;"",--(BB142="Congé"),0),IF($BD$5&lt;&gt;"",--(BD142="Congé"),0),IF($BF$5&lt;&gt;"",--(BF142="Congé"),0),IF($BH$5&lt;&gt;"",--(BH142="Congé"),0),IF($BJ$5&lt;&gt;"",--(BJ142="Congé"),0),IF($BL$5&lt;&gt;"",--(BL142="Congé"),0)))</f>
      </c>
      <c r="BQ142" s="22">
        <f>IF($A142="","",SUM(IF($D$5&lt;&gt;"",--(D142="Maladie"),0),IF($F$5&lt;&gt;"",--(F142="Maladie"),0),IF($H$5&lt;&gt;"",--(H142="Maladie"),0),IF($J$5&lt;&gt;"",--(J142="Maladie"),0),IF($L$5&lt;&gt;"",--(L142="Maladie"),0),IF($N$5&lt;&gt;"",--(N142="Maladie"),0),IF($P$5&lt;&gt;"",--(P142="Maladie"),0),IF($R$5&lt;&gt;"",--(R142="Maladie"),0),IF($T$5&lt;&gt;"",--(T142="Maladie"),0),IF($V$5&lt;&gt;"",--(V142="Maladie"),0),IF($X$5&lt;&gt;"",--(X142="Maladie"),0),IF($Z$5&lt;&gt;"",--(Z142="Maladie"),0),IF($AB$5&lt;&gt;"",--(AB142="Maladie"),0),IF($AD$5&lt;&gt;"",--(AD142="Maladie"),0),IF($AF$5&lt;&gt;"",--(AF142="Maladie"),0),IF($AH$5&lt;&gt;"",--(AH142="Maladie"),0),IF($AJ$5&lt;&gt;"",--(AJ142="Maladie"),0),IF($AL$5&lt;&gt;"",--(AL142="Maladie"),0),IF($AN$5&lt;&gt;"",--(AN142="Maladie"),0),IF($AP$5&lt;&gt;"",--(AP142="Maladie"),0),IF($AR$5&lt;&gt;"",--(AR142="Maladie"),0),IF($AT$5&lt;&gt;"",--(AT142="Maladie"),0),IF($AV$5&lt;&gt;"",--(AV142="Maladie"),0),IF($AX$5&lt;&gt;"",--(AX142="Maladie"),0),IF($AZ$5&lt;&gt;"",--(AZ142="Maladie"),0),IF($BB$5&lt;&gt;"",--(BB142="Maladie"),0),IF($BD$5&lt;&gt;"",--(BD142="Maladie"),0),IF($BF$5&lt;&gt;"",--(BF142="Maladie"),0),IF($BH$5&lt;&gt;"",--(BH142="Maladie"),0),IF($BJ$5&lt;&gt;"",--(BJ142="Maladie"),0),IF($BL$5&lt;&gt;"",--(BL142="Maladie"),0)))</f>
      </c>
      <c r="BR142" s="23">
        <f>IF($A142="","",SUM(IF($D$5&lt;&gt;"",IF(D142="Présent",E142,0),0),IF($F$5&lt;&gt;"",IF(F142="Présent",G142,0),0),IF($H$5&lt;&gt;"",IF(H142="Présent",I142,0),0),IF($J$5&lt;&gt;"",IF(J142="Présent",K142,0),0),IF($L$5&lt;&gt;"",IF(L142="Présent",M142,0),0),IF($N$5&lt;&gt;"",IF(N142="Présent",O142,0),0),IF($P$5&lt;&gt;"",IF(P142="Présent",Q142,0),0),IF($R$5&lt;&gt;"",IF(R142="Présent",S142,0),0),IF($T$5&lt;&gt;"",IF(T142="Présent",U142,0),0),IF($V$5&lt;&gt;"",IF(V142="Présent",W142,0),0),IF($X$5&lt;&gt;"",IF(X142="Présent",Y142,0),0),IF($Z$5&lt;&gt;"",IF(Z142="Présent",AA142,0),0),IF($AB$5&lt;&gt;"",IF(AB142="Présent",AC142,0),0),IF($AD$5&lt;&gt;"",IF(AD142="Présent",AE142,0),0),IF($AF$5&lt;&gt;"",IF(AF142="Présent",AG142,0),0),IF($AH$5&lt;&gt;"",IF(AH142="Présent",AI142,0),0),IF($AJ$5&lt;&gt;"",IF(AJ142="Présent",AK142,0),0),IF($AL$5&lt;&gt;"",IF(AL142="Présent",AM142,0),0),IF($AN$5&lt;&gt;"",IF(AN142="Présent",AO142,0),0),IF($AP$5&lt;&gt;"",IF(AP142="Présent",AQ142,0),0),IF($AR$5&lt;&gt;"",IF(AR142="Présent",AS142,0),0),IF($AT$5&lt;&gt;"",IF(AT142="Présent",AU142,0),0),IF($AV$5&lt;&gt;"",IF(AV142="Présent",AW142,0),0),IF($AX$5&lt;&gt;"",IF(AX142="Présent",AY142,0),0),IF($AZ$5&lt;&gt;"",IF(AZ142="Présent",BA142,0),0),IF($BB$5&lt;&gt;"",IF(BB142="Présent",BC142,0),0),IF($BD$5&lt;&gt;"",IF(BD142="Présent",BE142,0),0),IF($BF$5&lt;&gt;"",IF(BF142="Présent",BG142,0),0),IF($BH$5&lt;&gt;"",IF(BH142="Présent",BI142,0),0),IF($BJ$5&lt;&gt;"",IF(BJ142="Présent",BK142,0),0),IF($BL$5&lt;&gt;"",IF(BL142="Présent",BM142,0),0)))</f>
      </c>
      <c r="BS142" s="25">
        <f>IF($A142="","",$BN142*IFERROR(INDEX(Categories_Salaire,MATCH($C142,ListeCategories,0)),0)+$BR142*IF(IFERROR(INDEX(Categories_TauxHS,MATCH($C142,ListeCategories,0)),0)&gt;0,IFERROR(INDEX(Categories_TauxHS,MATCH($C142,ListeCategories,0)),0),TauxHSDefaut))</f>
      </c>
    </row>
    <row r="143">
      <c r="A143" s="20">
        <f>IF(AND(INDEX(Employes_Nom,137)&lt;&gt;"",INDEX(Employes_Statut,137)="Actif",OR(INDEX(Employes_Embauche,137)="",INDEX(Employes_Embauche,137)&lt;=EOMONTH(DATE(AnneeCourante,MoisCourant,1),0))),INDEX(Employes_ID,137),"")</f>
      </c>
      <c r="B143" s="19">
        <f>IF($A143="","",INDEX(Employes_Nom,MATCH($A143,Employes_ID,0)))</f>
      </c>
      <c r="C143" s="20">
        <f>IF($A143="","",INDEX(Employes_Categorie,MATCH($A143,Employes_ID,0)))</f>
      </c>
      <c r="D143" s="26"/>
      <c r="E143" s="27"/>
      <c r="F143" s="26"/>
      <c r="G143" s="27"/>
      <c r="H143" s="26"/>
      <c r="I143" s="27"/>
      <c r="J143" s="26"/>
      <c r="K143" s="27"/>
      <c r="L143" s="26"/>
      <c r="M143" s="27"/>
      <c r="N143" s="26"/>
      <c r="O143" s="27"/>
      <c r="P143" s="26"/>
      <c r="Q143" s="27"/>
      <c r="R143" s="26"/>
      <c r="S143" s="27"/>
      <c r="T143" s="26"/>
      <c r="U143" s="27"/>
      <c r="V143" s="26"/>
      <c r="W143" s="27"/>
      <c r="X143" s="26"/>
      <c r="Y143" s="27"/>
      <c r="Z143" s="26"/>
      <c r="AA143" s="27"/>
      <c r="AB143" s="26"/>
      <c r="AC143" s="27"/>
      <c r="AD143" s="26"/>
      <c r="AE143" s="27"/>
      <c r="AF143" s="26"/>
      <c r="AG143" s="27"/>
      <c r="AH143" s="26"/>
      <c r="AI143" s="27"/>
      <c r="AJ143" s="26"/>
      <c r="AK143" s="27"/>
      <c r="AL143" s="26"/>
      <c r="AM143" s="27"/>
      <c r="AN143" s="26"/>
      <c r="AO143" s="27"/>
      <c r="AP143" s="26"/>
      <c r="AQ143" s="27"/>
      <c r="AR143" s="26"/>
      <c r="AS143" s="27"/>
      <c r="AT143" s="26"/>
      <c r="AU143" s="27"/>
      <c r="AV143" s="26"/>
      <c r="AW143" s="27"/>
      <c r="AX143" s="26"/>
      <c r="AY143" s="27"/>
      <c r="AZ143" s="26"/>
      <c r="BA143" s="27"/>
      <c r="BB143" s="26"/>
      <c r="BC143" s="27"/>
      <c r="BD143" s="26"/>
      <c r="BE143" s="27"/>
      <c r="BF143" s="26"/>
      <c r="BG143" s="27"/>
      <c r="BH143" s="26"/>
      <c r="BI143" s="27"/>
      <c r="BJ143" s="26"/>
      <c r="BK143" s="27"/>
      <c r="BL143" s="26"/>
      <c r="BM143" s="27"/>
      <c r="BN143" s="22">
        <f>IF($A143="","",SUM(IF($D$5&lt;&gt;"",--(D143="Présent"),0),IF($F$5&lt;&gt;"",--(F143="Présent"),0),IF($H$5&lt;&gt;"",--(H143="Présent"),0),IF($J$5&lt;&gt;"",--(J143="Présent"),0),IF($L$5&lt;&gt;"",--(L143="Présent"),0),IF($N$5&lt;&gt;"",--(N143="Présent"),0),IF($P$5&lt;&gt;"",--(P143="Présent"),0),IF($R$5&lt;&gt;"",--(R143="Présent"),0),IF($T$5&lt;&gt;"",--(T143="Présent"),0),IF($V$5&lt;&gt;"",--(V143="Présent"),0),IF($X$5&lt;&gt;"",--(X143="Présent"),0),IF($Z$5&lt;&gt;"",--(Z143="Présent"),0),IF($AB$5&lt;&gt;"",--(AB143="Présent"),0),IF($AD$5&lt;&gt;"",--(AD143="Présent"),0),IF($AF$5&lt;&gt;"",--(AF143="Présent"),0),IF($AH$5&lt;&gt;"",--(AH143="Présent"),0),IF($AJ$5&lt;&gt;"",--(AJ143="Présent"),0),IF($AL$5&lt;&gt;"",--(AL143="Présent"),0),IF($AN$5&lt;&gt;"",--(AN143="Présent"),0),IF($AP$5&lt;&gt;"",--(AP143="Présent"),0),IF($AR$5&lt;&gt;"",--(AR143="Présent"),0),IF($AT$5&lt;&gt;"",--(AT143="Présent"),0),IF($AV$5&lt;&gt;"",--(AV143="Présent"),0),IF($AX$5&lt;&gt;"",--(AX143="Présent"),0),IF($AZ$5&lt;&gt;"",--(AZ143="Présent"),0),IF($BB$5&lt;&gt;"",--(BB143="Présent"),0),IF($BD$5&lt;&gt;"",--(BD143="Présent"),0),IF($BF$5&lt;&gt;"",--(BF143="Présent"),0),IF($BH$5&lt;&gt;"",--(BH143="Présent"),0),IF($BJ$5&lt;&gt;"",--(BJ143="Présent"),0),IF($BL$5&lt;&gt;"",--(BL143="Présent"),0)))</f>
      </c>
      <c r="BO143" s="22">
        <f>IF($A143="","",SUM(IF($D$5&lt;&gt;"",--(D143="Absent"),0),IF($F$5&lt;&gt;"",--(F143="Absent"),0),IF($H$5&lt;&gt;"",--(H143="Absent"),0),IF($J$5&lt;&gt;"",--(J143="Absent"),0),IF($L$5&lt;&gt;"",--(L143="Absent"),0),IF($N$5&lt;&gt;"",--(N143="Absent"),0),IF($P$5&lt;&gt;"",--(P143="Absent"),0),IF($R$5&lt;&gt;"",--(R143="Absent"),0),IF($T$5&lt;&gt;"",--(T143="Absent"),0),IF($V$5&lt;&gt;"",--(V143="Absent"),0),IF($X$5&lt;&gt;"",--(X143="Absent"),0),IF($Z$5&lt;&gt;"",--(Z143="Absent"),0),IF($AB$5&lt;&gt;"",--(AB143="Absent"),0),IF($AD$5&lt;&gt;"",--(AD143="Absent"),0),IF($AF$5&lt;&gt;"",--(AF143="Absent"),0),IF($AH$5&lt;&gt;"",--(AH143="Absent"),0),IF($AJ$5&lt;&gt;"",--(AJ143="Absent"),0),IF($AL$5&lt;&gt;"",--(AL143="Absent"),0),IF($AN$5&lt;&gt;"",--(AN143="Absent"),0),IF($AP$5&lt;&gt;"",--(AP143="Absent"),0),IF($AR$5&lt;&gt;"",--(AR143="Absent"),0),IF($AT$5&lt;&gt;"",--(AT143="Absent"),0),IF($AV$5&lt;&gt;"",--(AV143="Absent"),0),IF($AX$5&lt;&gt;"",--(AX143="Absent"),0),IF($AZ$5&lt;&gt;"",--(AZ143="Absent"),0),IF($BB$5&lt;&gt;"",--(BB143="Absent"),0),IF($BD$5&lt;&gt;"",--(BD143="Absent"),0),IF($BF$5&lt;&gt;"",--(BF143="Absent"),0),IF($BH$5&lt;&gt;"",--(BH143="Absent"),0),IF($BJ$5&lt;&gt;"",--(BJ143="Absent"),0),IF($BL$5&lt;&gt;"",--(BL143="Absent"),0)))</f>
      </c>
      <c r="BP143" s="22">
        <f>IF($A143="","",SUM(IF($D$5&lt;&gt;"",--(D143="Congé"),0),IF($F$5&lt;&gt;"",--(F143="Congé"),0),IF($H$5&lt;&gt;"",--(H143="Congé"),0),IF($J$5&lt;&gt;"",--(J143="Congé"),0),IF($L$5&lt;&gt;"",--(L143="Congé"),0),IF($N$5&lt;&gt;"",--(N143="Congé"),0),IF($P$5&lt;&gt;"",--(P143="Congé"),0),IF($R$5&lt;&gt;"",--(R143="Congé"),0),IF($T$5&lt;&gt;"",--(T143="Congé"),0),IF($V$5&lt;&gt;"",--(V143="Congé"),0),IF($X$5&lt;&gt;"",--(X143="Congé"),0),IF($Z$5&lt;&gt;"",--(Z143="Congé"),0),IF($AB$5&lt;&gt;"",--(AB143="Congé"),0),IF($AD$5&lt;&gt;"",--(AD143="Congé"),0),IF($AF$5&lt;&gt;"",--(AF143="Congé"),0),IF($AH$5&lt;&gt;"",--(AH143="Congé"),0),IF($AJ$5&lt;&gt;"",--(AJ143="Congé"),0),IF($AL$5&lt;&gt;"",--(AL143="Congé"),0),IF($AN$5&lt;&gt;"",--(AN143="Congé"),0),IF($AP$5&lt;&gt;"",--(AP143="Congé"),0),IF($AR$5&lt;&gt;"",--(AR143="Congé"),0),IF($AT$5&lt;&gt;"",--(AT143="Congé"),0),IF($AV$5&lt;&gt;"",--(AV143="Congé"),0),IF($AX$5&lt;&gt;"",--(AX143="Congé"),0),IF($AZ$5&lt;&gt;"",--(AZ143="Congé"),0),IF($BB$5&lt;&gt;"",--(BB143="Congé"),0),IF($BD$5&lt;&gt;"",--(BD143="Congé"),0),IF($BF$5&lt;&gt;"",--(BF143="Congé"),0),IF($BH$5&lt;&gt;"",--(BH143="Congé"),0),IF($BJ$5&lt;&gt;"",--(BJ143="Congé"),0),IF($BL$5&lt;&gt;"",--(BL143="Congé"),0)))</f>
      </c>
      <c r="BQ143" s="22">
        <f>IF($A143="","",SUM(IF($D$5&lt;&gt;"",--(D143="Maladie"),0),IF($F$5&lt;&gt;"",--(F143="Maladie"),0),IF($H$5&lt;&gt;"",--(H143="Maladie"),0),IF($J$5&lt;&gt;"",--(J143="Maladie"),0),IF($L$5&lt;&gt;"",--(L143="Maladie"),0),IF($N$5&lt;&gt;"",--(N143="Maladie"),0),IF($P$5&lt;&gt;"",--(P143="Maladie"),0),IF($R$5&lt;&gt;"",--(R143="Maladie"),0),IF($T$5&lt;&gt;"",--(T143="Maladie"),0),IF($V$5&lt;&gt;"",--(V143="Maladie"),0),IF($X$5&lt;&gt;"",--(X143="Maladie"),0),IF($Z$5&lt;&gt;"",--(Z143="Maladie"),0),IF($AB$5&lt;&gt;"",--(AB143="Maladie"),0),IF($AD$5&lt;&gt;"",--(AD143="Maladie"),0),IF($AF$5&lt;&gt;"",--(AF143="Maladie"),0),IF($AH$5&lt;&gt;"",--(AH143="Maladie"),0),IF($AJ$5&lt;&gt;"",--(AJ143="Maladie"),0),IF($AL$5&lt;&gt;"",--(AL143="Maladie"),0),IF($AN$5&lt;&gt;"",--(AN143="Maladie"),0),IF($AP$5&lt;&gt;"",--(AP143="Maladie"),0),IF($AR$5&lt;&gt;"",--(AR143="Maladie"),0),IF($AT$5&lt;&gt;"",--(AT143="Maladie"),0),IF($AV$5&lt;&gt;"",--(AV143="Maladie"),0),IF($AX$5&lt;&gt;"",--(AX143="Maladie"),0),IF($AZ$5&lt;&gt;"",--(AZ143="Maladie"),0),IF($BB$5&lt;&gt;"",--(BB143="Maladie"),0),IF($BD$5&lt;&gt;"",--(BD143="Maladie"),0),IF($BF$5&lt;&gt;"",--(BF143="Maladie"),0),IF($BH$5&lt;&gt;"",--(BH143="Maladie"),0),IF($BJ$5&lt;&gt;"",--(BJ143="Maladie"),0),IF($BL$5&lt;&gt;"",--(BL143="Maladie"),0)))</f>
      </c>
      <c r="BR143" s="23">
        <f>IF($A143="","",SUM(IF($D$5&lt;&gt;"",IF(D143="Présent",E143,0),0),IF($F$5&lt;&gt;"",IF(F143="Présent",G143,0),0),IF($H$5&lt;&gt;"",IF(H143="Présent",I143,0),0),IF($J$5&lt;&gt;"",IF(J143="Présent",K143,0),0),IF($L$5&lt;&gt;"",IF(L143="Présent",M143,0),0),IF($N$5&lt;&gt;"",IF(N143="Présent",O143,0),0),IF($P$5&lt;&gt;"",IF(P143="Présent",Q143,0),0),IF($R$5&lt;&gt;"",IF(R143="Présent",S143,0),0),IF($T$5&lt;&gt;"",IF(T143="Présent",U143,0),0),IF($V$5&lt;&gt;"",IF(V143="Présent",W143,0),0),IF($X$5&lt;&gt;"",IF(X143="Présent",Y143,0),0),IF($Z$5&lt;&gt;"",IF(Z143="Présent",AA143,0),0),IF($AB$5&lt;&gt;"",IF(AB143="Présent",AC143,0),0),IF($AD$5&lt;&gt;"",IF(AD143="Présent",AE143,0),0),IF($AF$5&lt;&gt;"",IF(AF143="Présent",AG143,0),0),IF($AH$5&lt;&gt;"",IF(AH143="Présent",AI143,0),0),IF($AJ$5&lt;&gt;"",IF(AJ143="Présent",AK143,0),0),IF($AL$5&lt;&gt;"",IF(AL143="Présent",AM143,0),0),IF($AN$5&lt;&gt;"",IF(AN143="Présent",AO143,0),0),IF($AP$5&lt;&gt;"",IF(AP143="Présent",AQ143,0),0),IF($AR$5&lt;&gt;"",IF(AR143="Présent",AS143,0),0),IF($AT$5&lt;&gt;"",IF(AT143="Présent",AU143,0),0),IF($AV$5&lt;&gt;"",IF(AV143="Présent",AW143,0),0),IF($AX$5&lt;&gt;"",IF(AX143="Présent",AY143,0),0),IF($AZ$5&lt;&gt;"",IF(AZ143="Présent",BA143,0),0),IF($BB$5&lt;&gt;"",IF(BB143="Présent",BC143,0),0),IF($BD$5&lt;&gt;"",IF(BD143="Présent",BE143,0),0),IF($BF$5&lt;&gt;"",IF(BF143="Présent",BG143,0),0),IF($BH$5&lt;&gt;"",IF(BH143="Présent",BI143,0),0),IF($BJ$5&lt;&gt;"",IF(BJ143="Présent",BK143,0),0),IF($BL$5&lt;&gt;"",IF(BL143="Présent",BM143,0),0)))</f>
      </c>
      <c r="BS143" s="25">
        <f>IF($A143="","",$BN143*IFERROR(INDEX(Categories_Salaire,MATCH($C143,ListeCategories,0)),0)+$BR143*IF(IFERROR(INDEX(Categories_TauxHS,MATCH($C143,ListeCategories,0)),0)&gt;0,IFERROR(INDEX(Categories_TauxHS,MATCH($C143,ListeCategories,0)),0),TauxHSDefaut))</f>
      </c>
    </row>
    <row r="144">
      <c r="A144" s="20">
        <f>IF(AND(INDEX(Employes_Nom,138)&lt;&gt;"",INDEX(Employes_Statut,138)="Actif",OR(INDEX(Employes_Embauche,138)="",INDEX(Employes_Embauche,138)&lt;=EOMONTH(DATE(AnneeCourante,MoisCourant,1),0))),INDEX(Employes_ID,138),"")</f>
      </c>
      <c r="B144" s="19">
        <f>IF($A144="","",INDEX(Employes_Nom,MATCH($A144,Employes_ID,0)))</f>
      </c>
      <c r="C144" s="20">
        <f>IF($A144="","",INDEX(Employes_Categorie,MATCH($A144,Employes_ID,0)))</f>
      </c>
      <c r="D144" s="26"/>
      <c r="E144" s="27"/>
      <c r="F144" s="26"/>
      <c r="G144" s="27"/>
      <c r="H144" s="26"/>
      <c r="I144" s="27"/>
      <c r="J144" s="26"/>
      <c r="K144" s="27"/>
      <c r="L144" s="26"/>
      <c r="M144" s="27"/>
      <c r="N144" s="26"/>
      <c r="O144" s="27"/>
      <c r="P144" s="26"/>
      <c r="Q144" s="27"/>
      <c r="R144" s="26"/>
      <c r="S144" s="27"/>
      <c r="T144" s="26"/>
      <c r="U144" s="27"/>
      <c r="V144" s="26"/>
      <c r="W144" s="27"/>
      <c r="X144" s="26"/>
      <c r="Y144" s="27"/>
      <c r="Z144" s="26"/>
      <c r="AA144" s="27"/>
      <c r="AB144" s="26"/>
      <c r="AC144" s="27"/>
      <c r="AD144" s="26"/>
      <c r="AE144" s="27"/>
      <c r="AF144" s="26"/>
      <c r="AG144" s="27"/>
      <c r="AH144" s="26"/>
      <c r="AI144" s="27"/>
      <c r="AJ144" s="26"/>
      <c r="AK144" s="27"/>
      <c r="AL144" s="26"/>
      <c r="AM144" s="27"/>
      <c r="AN144" s="26"/>
      <c r="AO144" s="27"/>
      <c r="AP144" s="26"/>
      <c r="AQ144" s="27"/>
      <c r="AR144" s="26"/>
      <c r="AS144" s="27"/>
      <c r="AT144" s="26"/>
      <c r="AU144" s="27"/>
      <c r="AV144" s="26"/>
      <c r="AW144" s="27"/>
      <c r="AX144" s="26"/>
      <c r="AY144" s="27"/>
      <c r="AZ144" s="26"/>
      <c r="BA144" s="27"/>
      <c r="BB144" s="26"/>
      <c r="BC144" s="27"/>
      <c r="BD144" s="26"/>
      <c r="BE144" s="27"/>
      <c r="BF144" s="26"/>
      <c r="BG144" s="27"/>
      <c r="BH144" s="26"/>
      <c r="BI144" s="27"/>
      <c r="BJ144" s="26"/>
      <c r="BK144" s="27"/>
      <c r="BL144" s="26"/>
      <c r="BM144" s="27"/>
      <c r="BN144" s="22">
        <f>IF($A144="","",SUM(IF($D$5&lt;&gt;"",--(D144="Présent"),0),IF($F$5&lt;&gt;"",--(F144="Présent"),0),IF($H$5&lt;&gt;"",--(H144="Présent"),0),IF($J$5&lt;&gt;"",--(J144="Présent"),0),IF($L$5&lt;&gt;"",--(L144="Présent"),0),IF($N$5&lt;&gt;"",--(N144="Présent"),0),IF($P$5&lt;&gt;"",--(P144="Présent"),0),IF($R$5&lt;&gt;"",--(R144="Présent"),0),IF($T$5&lt;&gt;"",--(T144="Présent"),0),IF($V$5&lt;&gt;"",--(V144="Présent"),0),IF($X$5&lt;&gt;"",--(X144="Présent"),0),IF($Z$5&lt;&gt;"",--(Z144="Présent"),0),IF($AB$5&lt;&gt;"",--(AB144="Présent"),0),IF($AD$5&lt;&gt;"",--(AD144="Présent"),0),IF($AF$5&lt;&gt;"",--(AF144="Présent"),0),IF($AH$5&lt;&gt;"",--(AH144="Présent"),0),IF($AJ$5&lt;&gt;"",--(AJ144="Présent"),0),IF($AL$5&lt;&gt;"",--(AL144="Présent"),0),IF($AN$5&lt;&gt;"",--(AN144="Présent"),0),IF($AP$5&lt;&gt;"",--(AP144="Présent"),0),IF($AR$5&lt;&gt;"",--(AR144="Présent"),0),IF($AT$5&lt;&gt;"",--(AT144="Présent"),0),IF($AV$5&lt;&gt;"",--(AV144="Présent"),0),IF($AX$5&lt;&gt;"",--(AX144="Présent"),0),IF($AZ$5&lt;&gt;"",--(AZ144="Présent"),0),IF($BB$5&lt;&gt;"",--(BB144="Présent"),0),IF($BD$5&lt;&gt;"",--(BD144="Présent"),0),IF($BF$5&lt;&gt;"",--(BF144="Présent"),0),IF($BH$5&lt;&gt;"",--(BH144="Présent"),0),IF($BJ$5&lt;&gt;"",--(BJ144="Présent"),0),IF($BL$5&lt;&gt;"",--(BL144="Présent"),0)))</f>
      </c>
      <c r="BO144" s="22">
        <f>IF($A144="","",SUM(IF($D$5&lt;&gt;"",--(D144="Absent"),0),IF($F$5&lt;&gt;"",--(F144="Absent"),0),IF($H$5&lt;&gt;"",--(H144="Absent"),0),IF($J$5&lt;&gt;"",--(J144="Absent"),0),IF($L$5&lt;&gt;"",--(L144="Absent"),0),IF($N$5&lt;&gt;"",--(N144="Absent"),0),IF($P$5&lt;&gt;"",--(P144="Absent"),0),IF($R$5&lt;&gt;"",--(R144="Absent"),0),IF($T$5&lt;&gt;"",--(T144="Absent"),0),IF($V$5&lt;&gt;"",--(V144="Absent"),0),IF($X$5&lt;&gt;"",--(X144="Absent"),0),IF($Z$5&lt;&gt;"",--(Z144="Absent"),0),IF($AB$5&lt;&gt;"",--(AB144="Absent"),0),IF($AD$5&lt;&gt;"",--(AD144="Absent"),0),IF($AF$5&lt;&gt;"",--(AF144="Absent"),0),IF($AH$5&lt;&gt;"",--(AH144="Absent"),0),IF($AJ$5&lt;&gt;"",--(AJ144="Absent"),0),IF($AL$5&lt;&gt;"",--(AL144="Absent"),0),IF($AN$5&lt;&gt;"",--(AN144="Absent"),0),IF($AP$5&lt;&gt;"",--(AP144="Absent"),0),IF($AR$5&lt;&gt;"",--(AR144="Absent"),0),IF($AT$5&lt;&gt;"",--(AT144="Absent"),0),IF($AV$5&lt;&gt;"",--(AV144="Absent"),0),IF($AX$5&lt;&gt;"",--(AX144="Absent"),0),IF($AZ$5&lt;&gt;"",--(AZ144="Absent"),0),IF($BB$5&lt;&gt;"",--(BB144="Absent"),0),IF($BD$5&lt;&gt;"",--(BD144="Absent"),0),IF($BF$5&lt;&gt;"",--(BF144="Absent"),0),IF($BH$5&lt;&gt;"",--(BH144="Absent"),0),IF($BJ$5&lt;&gt;"",--(BJ144="Absent"),0),IF($BL$5&lt;&gt;"",--(BL144="Absent"),0)))</f>
      </c>
      <c r="BP144" s="22">
        <f>IF($A144="","",SUM(IF($D$5&lt;&gt;"",--(D144="Congé"),0),IF($F$5&lt;&gt;"",--(F144="Congé"),0),IF($H$5&lt;&gt;"",--(H144="Congé"),0),IF($J$5&lt;&gt;"",--(J144="Congé"),0),IF($L$5&lt;&gt;"",--(L144="Congé"),0),IF($N$5&lt;&gt;"",--(N144="Congé"),0),IF($P$5&lt;&gt;"",--(P144="Congé"),0),IF($R$5&lt;&gt;"",--(R144="Congé"),0),IF($T$5&lt;&gt;"",--(T144="Congé"),0),IF($V$5&lt;&gt;"",--(V144="Congé"),0),IF($X$5&lt;&gt;"",--(X144="Congé"),0),IF($Z$5&lt;&gt;"",--(Z144="Congé"),0),IF($AB$5&lt;&gt;"",--(AB144="Congé"),0),IF($AD$5&lt;&gt;"",--(AD144="Congé"),0),IF($AF$5&lt;&gt;"",--(AF144="Congé"),0),IF($AH$5&lt;&gt;"",--(AH144="Congé"),0),IF($AJ$5&lt;&gt;"",--(AJ144="Congé"),0),IF($AL$5&lt;&gt;"",--(AL144="Congé"),0),IF($AN$5&lt;&gt;"",--(AN144="Congé"),0),IF($AP$5&lt;&gt;"",--(AP144="Congé"),0),IF($AR$5&lt;&gt;"",--(AR144="Congé"),0),IF($AT$5&lt;&gt;"",--(AT144="Congé"),0),IF($AV$5&lt;&gt;"",--(AV144="Congé"),0),IF($AX$5&lt;&gt;"",--(AX144="Congé"),0),IF($AZ$5&lt;&gt;"",--(AZ144="Congé"),0),IF($BB$5&lt;&gt;"",--(BB144="Congé"),0),IF($BD$5&lt;&gt;"",--(BD144="Congé"),0),IF($BF$5&lt;&gt;"",--(BF144="Congé"),0),IF($BH$5&lt;&gt;"",--(BH144="Congé"),0),IF($BJ$5&lt;&gt;"",--(BJ144="Congé"),0),IF($BL$5&lt;&gt;"",--(BL144="Congé"),0)))</f>
      </c>
      <c r="BQ144" s="22">
        <f>IF($A144="","",SUM(IF($D$5&lt;&gt;"",--(D144="Maladie"),0),IF($F$5&lt;&gt;"",--(F144="Maladie"),0),IF($H$5&lt;&gt;"",--(H144="Maladie"),0),IF($J$5&lt;&gt;"",--(J144="Maladie"),0),IF($L$5&lt;&gt;"",--(L144="Maladie"),0),IF($N$5&lt;&gt;"",--(N144="Maladie"),0),IF($P$5&lt;&gt;"",--(P144="Maladie"),0),IF($R$5&lt;&gt;"",--(R144="Maladie"),0),IF($T$5&lt;&gt;"",--(T144="Maladie"),0),IF($V$5&lt;&gt;"",--(V144="Maladie"),0),IF($X$5&lt;&gt;"",--(X144="Maladie"),0),IF($Z$5&lt;&gt;"",--(Z144="Maladie"),0),IF($AB$5&lt;&gt;"",--(AB144="Maladie"),0),IF($AD$5&lt;&gt;"",--(AD144="Maladie"),0),IF($AF$5&lt;&gt;"",--(AF144="Maladie"),0),IF($AH$5&lt;&gt;"",--(AH144="Maladie"),0),IF($AJ$5&lt;&gt;"",--(AJ144="Maladie"),0),IF($AL$5&lt;&gt;"",--(AL144="Maladie"),0),IF($AN$5&lt;&gt;"",--(AN144="Maladie"),0),IF($AP$5&lt;&gt;"",--(AP144="Maladie"),0),IF($AR$5&lt;&gt;"",--(AR144="Maladie"),0),IF($AT$5&lt;&gt;"",--(AT144="Maladie"),0),IF($AV$5&lt;&gt;"",--(AV144="Maladie"),0),IF($AX$5&lt;&gt;"",--(AX144="Maladie"),0),IF($AZ$5&lt;&gt;"",--(AZ144="Maladie"),0),IF($BB$5&lt;&gt;"",--(BB144="Maladie"),0),IF($BD$5&lt;&gt;"",--(BD144="Maladie"),0),IF($BF$5&lt;&gt;"",--(BF144="Maladie"),0),IF($BH$5&lt;&gt;"",--(BH144="Maladie"),0),IF($BJ$5&lt;&gt;"",--(BJ144="Maladie"),0),IF($BL$5&lt;&gt;"",--(BL144="Maladie"),0)))</f>
      </c>
      <c r="BR144" s="23">
        <f>IF($A144="","",SUM(IF($D$5&lt;&gt;"",IF(D144="Présent",E144,0),0),IF($F$5&lt;&gt;"",IF(F144="Présent",G144,0),0),IF($H$5&lt;&gt;"",IF(H144="Présent",I144,0),0),IF($J$5&lt;&gt;"",IF(J144="Présent",K144,0),0),IF($L$5&lt;&gt;"",IF(L144="Présent",M144,0),0),IF($N$5&lt;&gt;"",IF(N144="Présent",O144,0),0),IF($P$5&lt;&gt;"",IF(P144="Présent",Q144,0),0),IF($R$5&lt;&gt;"",IF(R144="Présent",S144,0),0),IF($T$5&lt;&gt;"",IF(T144="Présent",U144,0),0),IF($V$5&lt;&gt;"",IF(V144="Présent",W144,0),0),IF($X$5&lt;&gt;"",IF(X144="Présent",Y144,0),0),IF($Z$5&lt;&gt;"",IF(Z144="Présent",AA144,0),0),IF($AB$5&lt;&gt;"",IF(AB144="Présent",AC144,0),0),IF($AD$5&lt;&gt;"",IF(AD144="Présent",AE144,0),0),IF($AF$5&lt;&gt;"",IF(AF144="Présent",AG144,0),0),IF($AH$5&lt;&gt;"",IF(AH144="Présent",AI144,0),0),IF($AJ$5&lt;&gt;"",IF(AJ144="Présent",AK144,0),0),IF($AL$5&lt;&gt;"",IF(AL144="Présent",AM144,0),0),IF($AN$5&lt;&gt;"",IF(AN144="Présent",AO144,0),0),IF($AP$5&lt;&gt;"",IF(AP144="Présent",AQ144,0),0),IF($AR$5&lt;&gt;"",IF(AR144="Présent",AS144,0),0),IF($AT$5&lt;&gt;"",IF(AT144="Présent",AU144,0),0),IF($AV$5&lt;&gt;"",IF(AV144="Présent",AW144,0),0),IF($AX$5&lt;&gt;"",IF(AX144="Présent",AY144,0),0),IF($AZ$5&lt;&gt;"",IF(AZ144="Présent",BA144,0),0),IF($BB$5&lt;&gt;"",IF(BB144="Présent",BC144,0),0),IF($BD$5&lt;&gt;"",IF(BD144="Présent",BE144,0),0),IF($BF$5&lt;&gt;"",IF(BF144="Présent",BG144,0),0),IF($BH$5&lt;&gt;"",IF(BH144="Présent",BI144,0),0),IF($BJ$5&lt;&gt;"",IF(BJ144="Présent",BK144,0),0),IF($BL$5&lt;&gt;"",IF(BL144="Présent",BM144,0),0)))</f>
      </c>
      <c r="BS144" s="25">
        <f>IF($A144="","",$BN144*IFERROR(INDEX(Categories_Salaire,MATCH($C144,ListeCategories,0)),0)+$BR144*IF(IFERROR(INDEX(Categories_TauxHS,MATCH($C144,ListeCategories,0)),0)&gt;0,IFERROR(INDEX(Categories_TauxHS,MATCH($C144,ListeCategories,0)),0),TauxHSDefaut))</f>
      </c>
    </row>
    <row r="145">
      <c r="A145" s="20">
        <f>IF(AND(INDEX(Employes_Nom,139)&lt;&gt;"",INDEX(Employes_Statut,139)="Actif",OR(INDEX(Employes_Embauche,139)="",INDEX(Employes_Embauche,139)&lt;=EOMONTH(DATE(AnneeCourante,MoisCourant,1),0))),INDEX(Employes_ID,139),"")</f>
      </c>
      <c r="B145" s="19">
        <f>IF($A145="","",INDEX(Employes_Nom,MATCH($A145,Employes_ID,0)))</f>
      </c>
      <c r="C145" s="20">
        <f>IF($A145="","",INDEX(Employes_Categorie,MATCH($A145,Employes_ID,0)))</f>
      </c>
      <c r="D145" s="26"/>
      <c r="E145" s="27"/>
      <c r="F145" s="26"/>
      <c r="G145" s="27"/>
      <c r="H145" s="26"/>
      <c r="I145" s="27"/>
      <c r="J145" s="26"/>
      <c r="K145" s="27"/>
      <c r="L145" s="26"/>
      <c r="M145" s="27"/>
      <c r="N145" s="26"/>
      <c r="O145" s="27"/>
      <c r="P145" s="26"/>
      <c r="Q145" s="27"/>
      <c r="R145" s="26"/>
      <c r="S145" s="27"/>
      <c r="T145" s="26"/>
      <c r="U145" s="27"/>
      <c r="V145" s="26"/>
      <c r="W145" s="27"/>
      <c r="X145" s="26"/>
      <c r="Y145" s="27"/>
      <c r="Z145" s="26"/>
      <c r="AA145" s="27"/>
      <c r="AB145" s="26"/>
      <c r="AC145" s="27"/>
      <c r="AD145" s="26"/>
      <c r="AE145" s="27"/>
      <c r="AF145" s="26"/>
      <c r="AG145" s="27"/>
      <c r="AH145" s="26"/>
      <c r="AI145" s="27"/>
      <c r="AJ145" s="26"/>
      <c r="AK145" s="27"/>
      <c r="AL145" s="26"/>
      <c r="AM145" s="27"/>
      <c r="AN145" s="26"/>
      <c r="AO145" s="27"/>
      <c r="AP145" s="26"/>
      <c r="AQ145" s="27"/>
      <c r="AR145" s="26"/>
      <c r="AS145" s="27"/>
      <c r="AT145" s="26"/>
      <c r="AU145" s="27"/>
      <c r="AV145" s="26"/>
      <c r="AW145" s="27"/>
      <c r="AX145" s="26"/>
      <c r="AY145" s="27"/>
      <c r="AZ145" s="26"/>
      <c r="BA145" s="27"/>
      <c r="BB145" s="26"/>
      <c r="BC145" s="27"/>
      <c r="BD145" s="26"/>
      <c r="BE145" s="27"/>
      <c r="BF145" s="26"/>
      <c r="BG145" s="27"/>
      <c r="BH145" s="26"/>
      <c r="BI145" s="27"/>
      <c r="BJ145" s="26"/>
      <c r="BK145" s="27"/>
      <c r="BL145" s="26"/>
      <c r="BM145" s="27"/>
      <c r="BN145" s="22">
        <f>IF($A145="","",SUM(IF($D$5&lt;&gt;"",--(D145="Présent"),0),IF($F$5&lt;&gt;"",--(F145="Présent"),0),IF($H$5&lt;&gt;"",--(H145="Présent"),0),IF($J$5&lt;&gt;"",--(J145="Présent"),0),IF($L$5&lt;&gt;"",--(L145="Présent"),0),IF($N$5&lt;&gt;"",--(N145="Présent"),0),IF($P$5&lt;&gt;"",--(P145="Présent"),0),IF($R$5&lt;&gt;"",--(R145="Présent"),0),IF($T$5&lt;&gt;"",--(T145="Présent"),0),IF($V$5&lt;&gt;"",--(V145="Présent"),0),IF($X$5&lt;&gt;"",--(X145="Présent"),0),IF($Z$5&lt;&gt;"",--(Z145="Présent"),0),IF($AB$5&lt;&gt;"",--(AB145="Présent"),0),IF($AD$5&lt;&gt;"",--(AD145="Présent"),0),IF($AF$5&lt;&gt;"",--(AF145="Présent"),0),IF($AH$5&lt;&gt;"",--(AH145="Présent"),0),IF($AJ$5&lt;&gt;"",--(AJ145="Présent"),0),IF($AL$5&lt;&gt;"",--(AL145="Présent"),0),IF($AN$5&lt;&gt;"",--(AN145="Présent"),0),IF($AP$5&lt;&gt;"",--(AP145="Présent"),0),IF($AR$5&lt;&gt;"",--(AR145="Présent"),0),IF($AT$5&lt;&gt;"",--(AT145="Présent"),0),IF($AV$5&lt;&gt;"",--(AV145="Présent"),0),IF($AX$5&lt;&gt;"",--(AX145="Présent"),0),IF($AZ$5&lt;&gt;"",--(AZ145="Présent"),0),IF($BB$5&lt;&gt;"",--(BB145="Présent"),0),IF($BD$5&lt;&gt;"",--(BD145="Présent"),0),IF($BF$5&lt;&gt;"",--(BF145="Présent"),0),IF($BH$5&lt;&gt;"",--(BH145="Présent"),0),IF($BJ$5&lt;&gt;"",--(BJ145="Présent"),0),IF($BL$5&lt;&gt;"",--(BL145="Présent"),0)))</f>
      </c>
      <c r="BO145" s="22">
        <f>IF($A145="","",SUM(IF($D$5&lt;&gt;"",--(D145="Absent"),0),IF($F$5&lt;&gt;"",--(F145="Absent"),0),IF($H$5&lt;&gt;"",--(H145="Absent"),0),IF($J$5&lt;&gt;"",--(J145="Absent"),0),IF($L$5&lt;&gt;"",--(L145="Absent"),0),IF($N$5&lt;&gt;"",--(N145="Absent"),0),IF($P$5&lt;&gt;"",--(P145="Absent"),0),IF($R$5&lt;&gt;"",--(R145="Absent"),0),IF($T$5&lt;&gt;"",--(T145="Absent"),0),IF($V$5&lt;&gt;"",--(V145="Absent"),0),IF($X$5&lt;&gt;"",--(X145="Absent"),0),IF($Z$5&lt;&gt;"",--(Z145="Absent"),0),IF($AB$5&lt;&gt;"",--(AB145="Absent"),0),IF($AD$5&lt;&gt;"",--(AD145="Absent"),0),IF($AF$5&lt;&gt;"",--(AF145="Absent"),0),IF($AH$5&lt;&gt;"",--(AH145="Absent"),0),IF($AJ$5&lt;&gt;"",--(AJ145="Absent"),0),IF($AL$5&lt;&gt;"",--(AL145="Absent"),0),IF($AN$5&lt;&gt;"",--(AN145="Absent"),0),IF($AP$5&lt;&gt;"",--(AP145="Absent"),0),IF($AR$5&lt;&gt;"",--(AR145="Absent"),0),IF($AT$5&lt;&gt;"",--(AT145="Absent"),0),IF($AV$5&lt;&gt;"",--(AV145="Absent"),0),IF($AX$5&lt;&gt;"",--(AX145="Absent"),0),IF($AZ$5&lt;&gt;"",--(AZ145="Absent"),0),IF($BB$5&lt;&gt;"",--(BB145="Absent"),0),IF($BD$5&lt;&gt;"",--(BD145="Absent"),0),IF($BF$5&lt;&gt;"",--(BF145="Absent"),0),IF($BH$5&lt;&gt;"",--(BH145="Absent"),0),IF($BJ$5&lt;&gt;"",--(BJ145="Absent"),0),IF($BL$5&lt;&gt;"",--(BL145="Absent"),0)))</f>
      </c>
      <c r="BP145" s="22">
        <f>IF($A145="","",SUM(IF($D$5&lt;&gt;"",--(D145="Congé"),0),IF($F$5&lt;&gt;"",--(F145="Congé"),0),IF($H$5&lt;&gt;"",--(H145="Congé"),0),IF($J$5&lt;&gt;"",--(J145="Congé"),0),IF($L$5&lt;&gt;"",--(L145="Congé"),0),IF($N$5&lt;&gt;"",--(N145="Congé"),0),IF($P$5&lt;&gt;"",--(P145="Congé"),0),IF($R$5&lt;&gt;"",--(R145="Congé"),0),IF($T$5&lt;&gt;"",--(T145="Congé"),0),IF($V$5&lt;&gt;"",--(V145="Congé"),0),IF($X$5&lt;&gt;"",--(X145="Congé"),0),IF($Z$5&lt;&gt;"",--(Z145="Congé"),0),IF($AB$5&lt;&gt;"",--(AB145="Congé"),0),IF($AD$5&lt;&gt;"",--(AD145="Congé"),0),IF($AF$5&lt;&gt;"",--(AF145="Congé"),0),IF($AH$5&lt;&gt;"",--(AH145="Congé"),0),IF($AJ$5&lt;&gt;"",--(AJ145="Congé"),0),IF($AL$5&lt;&gt;"",--(AL145="Congé"),0),IF($AN$5&lt;&gt;"",--(AN145="Congé"),0),IF($AP$5&lt;&gt;"",--(AP145="Congé"),0),IF($AR$5&lt;&gt;"",--(AR145="Congé"),0),IF($AT$5&lt;&gt;"",--(AT145="Congé"),0),IF($AV$5&lt;&gt;"",--(AV145="Congé"),0),IF($AX$5&lt;&gt;"",--(AX145="Congé"),0),IF($AZ$5&lt;&gt;"",--(AZ145="Congé"),0),IF($BB$5&lt;&gt;"",--(BB145="Congé"),0),IF($BD$5&lt;&gt;"",--(BD145="Congé"),0),IF($BF$5&lt;&gt;"",--(BF145="Congé"),0),IF($BH$5&lt;&gt;"",--(BH145="Congé"),0),IF($BJ$5&lt;&gt;"",--(BJ145="Congé"),0),IF($BL$5&lt;&gt;"",--(BL145="Congé"),0)))</f>
      </c>
      <c r="BQ145" s="22">
        <f>IF($A145="","",SUM(IF($D$5&lt;&gt;"",--(D145="Maladie"),0),IF($F$5&lt;&gt;"",--(F145="Maladie"),0),IF($H$5&lt;&gt;"",--(H145="Maladie"),0),IF($J$5&lt;&gt;"",--(J145="Maladie"),0),IF($L$5&lt;&gt;"",--(L145="Maladie"),0),IF($N$5&lt;&gt;"",--(N145="Maladie"),0),IF($P$5&lt;&gt;"",--(P145="Maladie"),0),IF($R$5&lt;&gt;"",--(R145="Maladie"),0),IF($T$5&lt;&gt;"",--(T145="Maladie"),0),IF($V$5&lt;&gt;"",--(V145="Maladie"),0),IF($X$5&lt;&gt;"",--(X145="Maladie"),0),IF($Z$5&lt;&gt;"",--(Z145="Maladie"),0),IF($AB$5&lt;&gt;"",--(AB145="Maladie"),0),IF($AD$5&lt;&gt;"",--(AD145="Maladie"),0),IF($AF$5&lt;&gt;"",--(AF145="Maladie"),0),IF($AH$5&lt;&gt;"",--(AH145="Maladie"),0),IF($AJ$5&lt;&gt;"",--(AJ145="Maladie"),0),IF($AL$5&lt;&gt;"",--(AL145="Maladie"),0),IF($AN$5&lt;&gt;"",--(AN145="Maladie"),0),IF($AP$5&lt;&gt;"",--(AP145="Maladie"),0),IF($AR$5&lt;&gt;"",--(AR145="Maladie"),0),IF($AT$5&lt;&gt;"",--(AT145="Maladie"),0),IF($AV$5&lt;&gt;"",--(AV145="Maladie"),0),IF($AX$5&lt;&gt;"",--(AX145="Maladie"),0),IF($AZ$5&lt;&gt;"",--(AZ145="Maladie"),0),IF($BB$5&lt;&gt;"",--(BB145="Maladie"),0),IF($BD$5&lt;&gt;"",--(BD145="Maladie"),0),IF($BF$5&lt;&gt;"",--(BF145="Maladie"),0),IF($BH$5&lt;&gt;"",--(BH145="Maladie"),0),IF($BJ$5&lt;&gt;"",--(BJ145="Maladie"),0),IF($BL$5&lt;&gt;"",--(BL145="Maladie"),0)))</f>
      </c>
      <c r="BR145" s="23">
        <f>IF($A145="","",SUM(IF($D$5&lt;&gt;"",IF(D145="Présent",E145,0),0),IF($F$5&lt;&gt;"",IF(F145="Présent",G145,0),0),IF($H$5&lt;&gt;"",IF(H145="Présent",I145,0),0),IF($J$5&lt;&gt;"",IF(J145="Présent",K145,0),0),IF($L$5&lt;&gt;"",IF(L145="Présent",M145,0),0),IF($N$5&lt;&gt;"",IF(N145="Présent",O145,0),0),IF($P$5&lt;&gt;"",IF(P145="Présent",Q145,0),0),IF($R$5&lt;&gt;"",IF(R145="Présent",S145,0),0),IF($T$5&lt;&gt;"",IF(T145="Présent",U145,0),0),IF($V$5&lt;&gt;"",IF(V145="Présent",W145,0),0),IF($X$5&lt;&gt;"",IF(X145="Présent",Y145,0),0),IF($Z$5&lt;&gt;"",IF(Z145="Présent",AA145,0),0),IF($AB$5&lt;&gt;"",IF(AB145="Présent",AC145,0),0),IF($AD$5&lt;&gt;"",IF(AD145="Présent",AE145,0),0),IF($AF$5&lt;&gt;"",IF(AF145="Présent",AG145,0),0),IF($AH$5&lt;&gt;"",IF(AH145="Présent",AI145,0),0),IF($AJ$5&lt;&gt;"",IF(AJ145="Présent",AK145,0),0),IF($AL$5&lt;&gt;"",IF(AL145="Présent",AM145,0),0),IF($AN$5&lt;&gt;"",IF(AN145="Présent",AO145,0),0),IF($AP$5&lt;&gt;"",IF(AP145="Présent",AQ145,0),0),IF($AR$5&lt;&gt;"",IF(AR145="Présent",AS145,0),0),IF($AT$5&lt;&gt;"",IF(AT145="Présent",AU145,0),0),IF($AV$5&lt;&gt;"",IF(AV145="Présent",AW145,0),0),IF($AX$5&lt;&gt;"",IF(AX145="Présent",AY145,0),0),IF($AZ$5&lt;&gt;"",IF(AZ145="Présent",BA145,0),0),IF($BB$5&lt;&gt;"",IF(BB145="Présent",BC145,0),0),IF($BD$5&lt;&gt;"",IF(BD145="Présent",BE145,0),0),IF($BF$5&lt;&gt;"",IF(BF145="Présent",BG145,0),0),IF($BH$5&lt;&gt;"",IF(BH145="Présent",BI145,0),0),IF($BJ$5&lt;&gt;"",IF(BJ145="Présent",BK145,0),0),IF($BL$5&lt;&gt;"",IF(BL145="Présent",BM145,0),0)))</f>
      </c>
      <c r="BS145" s="25">
        <f>IF($A145="","",$BN145*IFERROR(INDEX(Categories_Salaire,MATCH($C145,ListeCategories,0)),0)+$BR145*IF(IFERROR(INDEX(Categories_TauxHS,MATCH($C145,ListeCategories,0)),0)&gt;0,IFERROR(INDEX(Categories_TauxHS,MATCH($C145,ListeCategories,0)),0),TauxHSDefaut))</f>
      </c>
    </row>
    <row r="146">
      <c r="A146" s="20">
        <f>IF(AND(INDEX(Employes_Nom,140)&lt;&gt;"",INDEX(Employes_Statut,140)="Actif",OR(INDEX(Employes_Embauche,140)="",INDEX(Employes_Embauche,140)&lt;=EOMONTH(DATE(AnneeCourante,MoisCourant,1),0))),INDEX(Employes_ID,140),"")</f>
      </c>
      <c r="B146" s="19">
        <f>IF($A146="","",INDEX(Employes_Nom,MATCH($A146,Employes_ID,0)))</f>
      </c>
      <c r="C146" s="20">
        <f>IF($A146="","",INDEX(Employes_Categorie,MATCH($A146,Employes_ID,0)))</f>
      </c>
      <c r="D146" s="26"/>
      <c r="E146" s="27"/>
      <c r="F146" s="26"/>
      <c r="G146" s="27"/>
      <c r="H146" s="26"/>
      <c r="I146" s="27"/>
      <c r="J146" s="26"/>
      <c r="K146" s="27"/>
      <c r="L146" s="26"/>
      <c r="M146" s="27"/>
      <c r="N146" s="26"/>
      <c r="O146" s="27"/>
      <c r="P146" s="26"/>
      <c r="Q146" s="27"/>
      <c r="R146" s="26"/>
      <c r="S146" s="27"/>
      <c r="T146" s="26"/>
      <c r="U146" s="27"/>
      <c r="V146" s="26"/>
      <c r="W146" s="27"/>
      <c r="X146" s="26"/>
      <c r="Y146" s="27"/>
      <c r="Z146" s="26"/>
      <c r="AA146" s="27"/>
      <c r="AB146" s="26"/>
      <c r="AC146" s="27"/>
      <c r="AD146" s="26"/>
      <c r="AE146" s="27"/>
      <c r="AF146" s="26"/>
      <c r="AG146" s="27"/>
      <c r="AH146" s="26"/>
      <c r="AI146" s="27"/>
      <c r="AJ146" s="26"/>
      <c r="AK146" s="27"/>
      <c r="AL146" s="26"/>
      <c r="AM146" s="27"/>
      <c r="AN146" s="26"/>
      <c r="AO146" s="27"/>
      <c r="AP146" s="26"/>
      <c r="AQ146" s="27"/>
      <c r="AR146" s="26"/>
      <c r="AS146" s="27"/>
      <c r="AT146" s="26"/>
      <c r="AU146" s="27"/>
      <c r="AV146" s="26"/>
      <c r="AW146" s="27"/>
      <c r="AX146" s="26"/>
      <c r="AY146" s="27"/>
      <c r="AZ146" s="26"/>
      <c r="BA146" s="27"/>
      <c r="BB146" s="26"/>
      <c r="BC146" s="27"/>
      <c r="BD146" s="26"/>
      <c r="BE146" s="27"/>
      <c r="BF146" s="26"/>
      <c r="BG146" s="27"/>
      <c r="BH146" s="26"/>
      <c r="BI146" s="27"/>
      <c r="BJ146" s="26"/>
      <c r="BK146" s="27"/>
      <c r="BL146" s="26"/>
      <c r="BM146" s="27"/>
      <c r="BN146" s="22">
        <f>IF($A146="","",SUM(IF($D$5&lt;&gt;"",--(D146="Présent"),0),IF($F$5&lt;&gt;"",--(F146="Présent"),0),IF($H$5&lt;&gt;"",--(H146="Présent"),0),IF($J$5&lt;&gt;"",--(J146="Présent"),0),IF($L$5&lt;&gt;"",--(L146="Présent"),0),IF($N$5&lt;&gt;"",--(N146="Présent"),0),IF($P$5&lt;&gt;"",--(P146="Présent"),0),IF($R$5&lt;&gt;"",--(R146="Présent"),0),IF($T$5&lt;&gt;"",--(T146="Présent"),0),IF($V$5&lt;&gt;"",--(V146="Présent"),0),IF($X$5&lt;&gt;"",--(X146="Présent"),0),IF($Z$5&lt;&gt;"",--(Z146="Présent"),0),IF($AB$5&lt;&gt;"",--(AB146="Présent"),0),IF($AD$5&lt;&gt;"",--(AD146="Présent"),0),IF($AF$5&lt;&gt;"",--(AF146="Présent"),0),IF($AH$5&lt;&gt;"",--(AH146="Présent"),0),IF($AJ$5&lt;&gt;"",--(AJ146="Présent"),0),IF($AL$5&lt;&gt;"",--(AL146="Présent"),0),IF($AN$5&lt;&gt;"",--(AN146="Présent"),0),IF($AP$5&lt;&gt;"",--(AP146="Présent"),0),IF($AR$5&lt;&gt;"",--(AR146="Présent"),0),IF($AT$5&lt;&gt;"",--(AT146="Présent"),0),IF($AV$5&lt;&gt;"",--(AV146="Présent"),0),IF($AX$5&lt;&gt;"",--(AX146="Présent"),0),IF($AZ$5&lt;&gt;"",--(AZ146="Présent"),0),IF($BB$5&lt;&gt;"",--(BB146="Présent"),0),IF($BD$5&lt;&gt;"",--(BD146="Présent"),0),IF($BF$5&lt;&gt;"",--(BF146="Présent"),0),IF($BH$5&lt;&gt;"",--(BH146="Présent"),0),IF($BJ$5&lt;&gt;"",--(BJ146="Présent"),0),IF($BL$5&lt;&gt;"",--(BL146="Présent"),0)))</f>
      </c>
      <c r="BO146" s="22">
        <f>IF($A146="","",SUM(IF($D$5&lt;&gt;"",--(D146="Absent"),0),IF($F$5&lt;&gt;"",--(F146="Absent"),0),IF($H$5&lt;&gt;"",--(H146="Absent"),0),IF($J$5&lt;&gt;"",--(J146="Absent"),0),IF($L$5&lt;&gt;"",--(L146="Absent"),0),IF($N$5&lt;&gt;"",--(N146="Absent"),0),IF($P$5&lt;&gt;"",--(P146="Absent"),0),IF($R$5&lt;&gt;"",--(R146="Absent"),0),IF($T$5&lt;&gt;"",--(T146="Absent"),0),IF($V$5&lt;&gt;"",--(V146="Absent"),0),IF($X$5&lt;&gt;"",--(X146="Absent"),0),IF($Z$5&lt;&gt;"",--(Z146="Absent"),0),IF($AB$5&lt;&gt;"",--(AB146="Absent"),0),IF($AD$5&lt;&gt;"",--(AD146="Absent"),0),IF($AF$5&lt;&gt;"",--(AF146="Absent"),0),IF($AH$5&lt;&gt;"",--(AH146="Absent"),0),IF($AJ$5&lt;&gt;"",--(AJ146="Absent"),0),IF($AL$5&lt;&gt;"",--(AL146="Absent"),0),IF($AN$5&lt;&gt;"",--(AN146="Absent"),0),IF($AP$5&lt;&gt;"",--(AP146="Absent"),0),IF($AR$5&lt;&gt;"",--(AR146="Absent"),0),IF($AT$5&lt;&gt;"",--(AT146="Absent"),0),IF($AV$5&lt;&gt;"",--(AV146="Absent"),0),IF($AX$5&lt;&gt;"",--(AX146="Absent"),0),IF($AZ$5&lt;&gt;"",--(AZ146="Absent"),0),IF($BB$5&lt;&gt;"",--(BB146="Absent"),0),IF($BD$5&lt;&gt;"",--(BD146="Absent"),0),IF($BF$5&lt;&gt;"",--(BF146="Absent"),0),IF($BH$5&lt;&gt;"",--(BH146="Absent"),0),IF($BJ$5&lt;&gt;"",--(BJ146="Absent"),0),IF($BL$5&lt;&gt;"",--(BL146="Absent"),0)))</f>
      </c>
      <c r="BP146" s="22">
        <f>IF($A146="","",SUM(IF($D$5&lt;&gt;"",--(D146="Congé"),0),IF($F$5&lt;&gt;"",--(F146="Congé"),0),IF($H$5&lt;&gt;"",--(H146="Congé"),0),IF($J$5&lt;&gt;"",--(J146="Congé"),0),IF($L$5&lt;&gt;"",--(L146="Congé"),0),IF($N$5&lt;&gt;"",--(N146="Congé"),0),IF($P$5&lt;&gt;"",--(P146="Congé"),0),IF($R$5&lt;&gt;"",--(R146="Congé"),0),IF($T$5&lt;&gt;"",--(T146="Congé"),0),IF($V$5&lt;&gt;"",--(V146="Congé"),0),IF($X$5&lt;&gt;"",--(X146="Congé"),0),IF($Z$5&lt;&gt;"",--(Z146="Congé"),0),IF($AB$5&lt;&gt;"",--(AB146="Congé"),0),IF($AD$5&lt;&gt;"",--(AD146="Congé"),0),IF($AF$5&lt;&gt;"",--(AF146="Congé"),0),IF($AH$5&lt;&gt;"",--(AH146="Congé"),0),IF($AJ$5&lt;&gt;"",--(AJ146="Congé"),0),IF($AL$5&lt;&gt;"",--(AL146="Congé"),0),IF($AN$5&lt;&gt;"",--(AN146="Congé"),0),IF($AP$5&lt;&gt;"",--(AP146="Congé"),0),IF($AR$5&lt;&gt;"",--(AR146="Congé"),0),IF($AT$5&lt;&gt;"",--(AT146="Congé"),0),IF($AV$5&lt;&gt;"",--(AV146="Congé"),0),IF($AX$5&lt;&gt;"",--(AX146="Congé"),0),IF($AZ$5&lt;&gt;"",--(AZ146="Congé"),0),IF($BB$5&lt;&gt;"",--(BB146="Congé"),0),IF($BD$5&lt;&gt;"",--(BD146="Congé"),0),IF($BF$5&lt;&gt;"",--(BF146="Congé"),0),IF($BH$5&lt;&gt;"",--(BH146="Congé"),0),IF($BJ$5&lt;&gt;"",--(BJ146="Congé"),0),IF($BL$5&lt;&gt;"",--(BL146="Congé"),0)))</f>
      </c>
      <c r="BQ146" s="22">
        <f>IF($A146="","",SUM(IF($D$5&lt;&gt;"",--(D146="Maladie"),0),IF($F$5&lt;&gt;"",--(F146="Maladie"),0),IF($H$5&lt;&gt;"",--(H146="Maladie"),0),IF($J$5&lt;&gt;"",--(J146="Maladie"),0),IF($L$5&lt;&gt;"",--(L146="Maladie"),0),IF($N$5&lt;&gt;"",--(N146="Maladie"),0),IF($P$5&lt;&gt;"",--(P146="Maladie"),0),IF($R$5&lt;&gt;"",--(R146="Maladie"),0),IF($T$5&lt;&gt;"",--(T146="Maladie"),0),IF($V$5&lt;&gt;"",--(V146="Maladie"),0),IF($X$5&lt;&gt;"",--(X146="Maladie"),0),IF($Z$5&lt;&gt;"",--(Z146="Maladie"),0),IF($AB$5&lt;&gt;"",--(AB146="Maladie"),0),IF($AD$5&lt;&gt;"",--(AD146="Maladie"),0),IF($AF$5&lt;&gt;"",--(AF146="Maladie"),0),IF($AH$5&lt;&gt;"",--(AH146="Maladie"),0),IF($AJ$5&lt;&gt;"",--(AJ146="Maladie"),0),IF($AL$5&lt;&gt;"",--(AL146="Maladie"),0),IF($AN$5&lt;&gt;"",--(AN146="Maladie"),0),IF($AP$5&lt;&gt;"",--(AP146="Maladie"),0),IF($AR$5&lt;&gt;"",--(AR146="Maladie"),0),IF($AT$5&lt;&gt;"",--(AT146="Maladie"),0),IF($AV$5&lt;&gt;"",--(AV146="Maladie"),0),IF($AX$5&lt;&gt;"",--(AX146="Maladie"),0),IF($AZ$5&lt;&gt;"",--(AZ146="Maladie"),0),IF($BB$5&lt;&gt;"",--(BB146="Maladie"),0),IF($BD$5&lt;&gt;"",--(BD146="Maladie"),0),IF($BF$5&lt;&gt;"",--(BF146="Maladie"),0),IF($BH$5&lt;&gt;"",--(BH146="Maladie"),0),IF($BJ$5&lt;&gt;"",--(BJ146="Maladie"),0),IF($BL$5&lt;&gt;"",--(BL146="Maladie"),0)))</f>
      </c>
      <c r="BR146" s="23">
        <f>IF($A146="","",SUM(IF($D$5&lt;&gt;"",IF(D146="Présent",E146,0),0),IF($F$5&lt;&gt;"",IF(F146="Présent",G146,0),0),IF($H$5&lt;&gt;"",IF(H146="Présent",I146,0),0),IF($J$5&lt;&gt;"",IF(J146="Présent",K146,0),0),IF($L$5&lt;&gt;"",IF(L146="Présent",M146,0),0),IF($N$5&lt;&gt;"",IF(N146="Présent",O146,0),0),IF($P$5&lt;&gt;"",IF(P146="Présent",Q146,0),0),IF($R$5&lt;&gt;"",IF(R146="Présent",S146,0),0),IF($T$5&lt;&gt;"",IF(T146="Présent",U146,0),0),IF($V$5&lt;&gt;"",IF(V146="Présent",W146,0),0),IF($X$5&lt;&gt;"",IF(X146="Présent",Y146,0),0),IF($Z$5&lt;&gt;"",IF(Z146="Présent",AA146,0),0),IF($AB$5&lt;&gt;"",IF(AB146="Présent",AC146,0),0),IF($AD$5&lt;&gt;"",IF(AD146="Présent",AE146,0),0),IF($AF$5&lt;&gt;"",IF(AF146="Présent",AG146,0),0),IF($AH$5&lt;&gt;"",IF(AH146="Présent",AI146,0),0),IF($AJ$5&lt;&gt;"",IF(AJ146="Présent",AK146,0),0),IF($AL$5&lt;&gt;"",IF(AL146="Présent",AM146,0),0),IF($AN$5&lt;&gt;"",IF(AN146="Présent",AO146,0),0),IF($AP$5&lt;&gt;"",IF(AP146="Présent",AQ146,0),0),IF($AR$5&lt;&gt;"",IF(AR146="Présent",AS146,0),0),IF($AT$5&lt;&gt;"",IF(AT146="Présent",AU146,0),0),IF($AV$5&lt;&gt;"",IF(AV146="Présent",AW146,0),0),IF($AX$5&lt;&gt;"",IF(AX146="Présent",AY146,0),0),IF($AZ$5&lt;&gt;"",IF(AZ146="Présent",BA146,0),0),IF($BB$5&lt;&gt;"",IF(BB146="Présent",BC146,0),0),IF($BD$5&lt;&gt;"",IF(BD146="Présent",BE146,0),0),IF($BF$5&lt;&gt;"",IF(BF146="Présent",BG146,0),0),IF($BH$5&lt;&gt;"",IF(BH146="Présent",BI146,0),0),IF($BJ$5&lt;&gt;"",IF(BJ146="Présent",BK146,0),0),IF($BL$5&lt;&gt;"",IF(BL146="Présent",BM146,0),0)))</f>
      </c>
      <c r="BS146" s="25">
        <f>IF($A146="","",$BN146*IFERROR(INDEX(Categories_Salaire,MATCH($C146,ListeCategories,0)),0)+$BR146*IF(IFERROR(INDEX(Categories_TauxHS,MATCH($C146,ListeCategories,0)),0)&gt;0,IFERROR(INDEX(Categories_TauxHS,MATCH($C146,ListeCategories,0)),0),TauxHSDefaut))</f>
      </c>
    </row>
    <row r="147">
      <c r="A147" s="20">
        <f>IF(AND(INDEX(Employes_Nom,141)&lt;&gt;"",INDEX(Employes_Statut,141)="Actif",OR(INDEX(Employes_Embauche,141)="",INDEX(Employes_Embauche,141)&lt;=EOMONTH(DATE(AnneeCourante,MoisCourant,1),0))),INDEX(Employes_ID,141),"")</f>
      </c>
      <c r="B147" s="19">
        <f>IF($A147="","",INDEX(Employes_Nom,MATCH($A147,Employes_ID,0)))</f>
      </c>
      <c r="C147" s="20">
        <f>IF($A147="","",INDEX(Employes_Categorie,MATCH($A147,Employes_ID,0)))</f>
      </c>
      <c r="D147" s="26"/>
      <c r="E147" s="27"/>
      <c r="F147" s="26"/>
      <c r="G147" s="27"/>
      <c r="H147" s="26"/>
      <c r="I147" s="27"/>
      <c r="J147" s="26"/>
      <c r="K147" s="27"/>
      <c r="L147" s="26"/>
      <c r="M147" s="27"/>
      <c r="N147" s="26"/>
      <c r="O147" s="27"/>
      <c r="P147" s="26"/>
      <c r="Q147" s="27"/>
      <c r="R147" s="26"/>
      <c r="S147" s="27"/>
      <c r="T147" s="26"/>
      <c r="U147" s="27"/>
      <c r="V147" s="26"/>
      <c r="W147" s="27"/>
      <c r="X147" s="26"/>
      <c r="Y147" s="27"/>
      <c r="Z147" s="26"/>
      <c r="AA147" s="27"/>
      <c r="AB147" s="26"/>
      <c r="AC147" s="27"/>
      <c r="AD147" s="26"/>
      <c r="AE147" s="27"/>
      <c r="AF147" s="26"/>
      <c r="AG147" s="27"/>
      <c r="AH147" s="26"/>
      <c r="AI147" s="27"/>
      <c r="AJ147" s="26"/>
      <c r="AK147" s="27"/>
      <c r="AL147" s="26"/>
      <c r="AM147" s="27"/>
      <c r="AN147" s="26"/>
      <c r="AO147" s="27"/>
      <c r="AP147" s="26"/>
      <c r="AQ147" s="27"/>
      <c r="AR147" s="26"/>
      <c r="AS147" s="27"/>
      <c r="AT147" s="26"/>
      <c r="AU147" s="27"/>
      <c r="AV147" s="26"/>
      <c r="AW147" s="27"/>
      <c r="AX147" s="26"/>
      <c r="AY147" s="27"/>
      <c r="AZ147" s="26"/>
      <c r="BA147" s="27"/>
      <c r="BB147" s="26"/>
      <c r="BC147" s="27"/>
      <c r="BD147" s="26"/>
      <c r="BE147" s="27"/>
      <c r="BF147" s="26"/>
      <c r="BG147" s="27"/>
      <c r="BH147" s="26"/>
      <c r="BI147" s="27"/>
      <c r="BJ147" s="26"/>
      <c r="BK147" s="27"/>
      <c r="BL147" s="26"/>
      <c r="BM147" s="27"/>
      <c r="BN147" s="22">
        <f>IF($A147="","",SUM(IF($D$5&lt;&gt;"",--(D147="Présent"),0),IF($F$5&lt;&gt;"",--(F147="Présent"),0),IF($H$5&lt;&gt;"",--(H147="Présent"),0),IF($J$5&lt;&gt;"",--(J147="Présent"),0),IF($L$5&lt;&gt;"",--(L147="Présent"),0),IF($N$5&lt;&gt;"",--(N147="Présent"),0),IF($P$5&lt;&gt;"",--(P147="Présent"),0),IF($R$5&lt;&gt;"",--(R147="Présent"),0),IF($T$5&lt;&gt;"",--(T147="Présent"),0),IF($V$5&lt;&gt;"",--(V147="Présent"),0),IF($X$5&lt;&gt;"",--(X147="Présent"),0),IF($Z$5&lt;&gt;"",--(Z147="Présent"),0),IF($AB$5&lt;&gt;"",--(AB147="Présent"),0),IF($AD$5&lt;&gt;"",--(AD147="Présent"),0),IF($AF$5&lt;&gt;"",--(AF147="Présent"),0),IF($AH$5&lt;&gt;"",--(AH147="Présent"),0),IF($AJ$5&lt;&gt;"",--(AJ147="Présent"),0),IF($AL$5&lt;&gt;"",--(AL147="Présent"),0),IF($AN$5&lt;&gt;"",--(AN147="Présent"),0),IF($AP$5&lt;&gt;"",--(AP147="Présent"),0),IF($AR$5&lt;&gt;"",--(AR147="Présent"),0),IF($AT$5&lt;&gt;"",--(AT147="Présent"),0),IF($AV$5&lt;&gt;"",--(AV147="Présent"),0),IF($AX$5&lt;&gt;"",--(AX147="Présent"),0),IF($AZ$5&lt;&gt;"",--(AZ147="Présent"),0),IF($BB$5&lt;&gt;"",--(BB147="Présent"),0),IF($BD$5&lt;&gt;"",--(BD147="Présent"),0),IF($BF$5&lt;&gt;"",--(BF147="Présent"),0),IF($BH$5&lt;&gt;"",--(BH147="Présent"),0),IF($BJ$5&lt;&gt;"",--(BJ147="Présent"),0),IF($BL$5&lt;&gt;"",--(BL147="Présent"),0)))</f>
      </c>
      <c r="BO147" s="22">
        <f>IF($A147="","",SUM(IF($D$5&lt;&gt;"",--(D147="Absent"),0),IF($F$5&lt;&gt;"",--(F147="Absent"),0),IF($H$5&lt;&gt;"",--(H147="Absent"),0),IF($J$5&lt;&gt;"",--(J147="Absent"),0),IF($L$5&lt;&gt;"",--(L147="Absent"),0),IF($N$5&lt;&gt;"",--(N147="Absent"),0),IF($P$5&lt;&gt;"",--(P147="Absent"),0),IF($R$5&lt;&gt;"",--(R147="Absent"),0),IF($T$5&lt;&gt;"",--(T147="Absent"),0),IF($V$5&lt;&gt;"",--(V147="Absent"),0),IF($X$5&lt;&gt;"",--(X147="Absent"),0),IF($Z$5&lt;&gt;"",--(Z147="Absent"),0),IF($AB$5&lt;&gt;"",--(AB147="Absent"),0),IF($AD$5&lt;&gt;"",--(AD147="Absent"),0),IF($AF$5&lt;&gt;"",--(AF147="Absent"),0),IF($AH$5&lt;&gt;"",--(AH147="Absent"),0),IF($AJ$5&lt;&gt;"",--(AJ147="Absent"),0),IF($AL$5&lt;&gt;"",--(AL147="Absent"),0),IF($AN$5&lt;&gt;"",--(AN147="Absent"),0),IF($AP$5&lt;&gt;"",--(AP147="Absent"),0),IF($AR$5&lt;&gt;"",--(AR147="Absent"),0),IF($AT$5&lt;&gt;"",--(AT147="Absent"),0),IF($AV$5&lt;&gt;"",--(AV147="Absent"),0),IF($AX$5&lt;&gt;"",--(AX147="Absent"),0),IF($AZ$5&lt;&gt;"",--(AZ147="Absent"),0),IF($BB$5&lt;&gt;"",--(BB147="Absent"),0),IF($BD$5&lt;&gt;"",--(BD147="Absent"),0),IF($BF$5&lt;&gt;"",--(BF147="Absent"),0),IF($BH$5&lt;&gt;"",--(BH147="Absent"),0),IF($BJ$5&lt;&gt;"",--(BJ147="Absent"),0),IF($BL$5&lt;&gt;"",--(BL147="Absent"),0)))</f>
      </c>
      <c r="BP147" s="22">
        <f>IF($A147="","",SUM(IF($D$5&lt;&gt;"",--(D147="Congé"),0),IF($F$5&lt;&gt;"",--(F147="Congé"),0),IF($H$5&lt;&gt;"",--(H147="Congé"),0),IF($J$5&lt;&gt;"",--(J147="Congé"),0),IF($L$5&lt;&gt;"",--(L147="Congé"),0),IF($N$5&lt;&gt;"",--(N147="Congé"),0),IF($P$5&lt;&gt;"",--(P147="Congé"),0),IF($R$5&lt;&gt;"",--(R147="Congé"),0),IF($T$5&lt;&gt;"",--(T147="Congé"),0),IF($V$5&lt;&gt;"",--(V147="Congé"),0),IF($X$5&lt;&gt;"",--(X147="Congé"),0),IF($Z$5&lt;&gt;"",--(Z147="Congé"),0),IF($AB$5&lt;&gt;"",--(AB147="Congé"),0),IF($AD$5&lt;&gt;"",--(AD147="Congé"),0),IF($AF$5&lt;&gt;"",--(AF147="Congé"),0),IF($AH$5&lt;&gt;"",--(AH147="Congé"),0),IF($AJ$5&lt;&gt;"",--(AJ147="Congé"),0),IF($AL$5&lt;&gt;"",--(AL147="Congé"),0),IF($AN$5&lt;&gt;"",--(AN147="Congé"),0),IF($AP$5&lt;&gt;"",--(AP147="Congé"),0),IF($AR$5&lt;&gt;"",--(AR147="Congé"),0),IF($AT$5&lt;&gt;"",--(AT147="Congé"),0),IF($AV$5&lt;&gt;"",--(AV147="Congé"),0),IF($AX$5&lt;&gt;"",--(AX147="Congé"),0),IF($AZ$5&lt;&gt;"",--(AZ147="Congé"),0),IF($BB$5&lt;&gt;"",--(BB147="Congé"),0),IF($BD$5&lt;&gt;"",--(BD147="Congé"),0),IF($BF$5&lt;&gt;"",--(BF147="Congé"),0),IF($BH$5&lt;&gt;"",--(BH147="Congé"),0),IF($BJ$5&lt;&gt;"",--(BJ147="Congé"),0),IF($BL$5&lt;&gt;"",--(BL147="Congé"),0)))</f>
      </c>
      <c r="BQ147" s="22">
        <f>IF($A147="","",SUM(IF($D$5&lt;&gt;"",--(D147="Maladie"),0),IF($F$5&lt;&gt;"",--(F147="Maladie"),0),IF($H$5&lt;&gt;"",--(H147="Maladie"),0),IF($J$5&lt;&gt;"",--(J147="Maladie"),0),IF($L$5&lt;&gt;"",--(L147="Maladie"),0),IF($N$5&lt;&gt;"",--(N147="Maladie"),0),IF($P$5&lt;&gt;"",--(P147="Maladie"),0),IF($R$5&lt;&gt;"",--(R147="Maladie"),0),IF($T$5&lt;&gt;"",--(T147="Maladie"),0),IF($V$5&lt;&gt;"",--(V147="Maladie"),0),IF($X$5&lt;&gt;"",--(X147="Maladie"),0),IF($Z$5&lt;&gt;"",--(Z147="Maladie"),0),IF($AB$5&lt;&gt;"",--(AB147="Maladie"),0),IF($AD$5&lt;&gt;"",--(AD147="Maladie"),0),IF($AF$5&lt;&gt;"",--(AF147="Maladie"),0),IF($AH$5&lt;&gt;"",--(AH147="Maladie"),0),IF($AJ$5&lt;&gt;"",--(AJ147="Maladie"),0),IF($AL$5&lt;&gt;"",--(AL147="Maladie"),0),IF($AN$5&lt;&gt;"",--(AN147="Maladie"),0),IF($AP$5&lt;&gt;"",--(AP147="Maladie"),0),IF($AR$5&lt;&gt;"",--(AR147="Maladie"),0),IF($AT$5&lt;&gt;"",--(AT147="Maladie"),0),IF($AV$5&lt;&gt;"",--(AV147="Maladie"),0),IF($AX$5&lt;&gt;"",--(AX147="Maladie"),0),IF($AZ$5&lt;&gt;"",--(AZ147="Maladie"),0),IF($BB$5&lt;&gt;"",--(BB147="Maladie"),0),IF($BD$5&lt;&gt;"",--(BD147="Maladie"),0),IF($BF$5&lt;&gt;"",--(BF147="Maladie"),0),IF($BH$5&lt;&gt;"",--(BH147="Maladie"),0),IF($BJ$5&lt;&gt;"",--(BJ147="Maladie"),0),IF($BL$5&lt;&gt;"",--(BL147="Maladie"),0)))</f>
      </c>
      <c r="BR147" s="23">
        <f>IF($A147="","",SUM(IF($D$5&lt;&gt;"",IF(D147="Présent",E147,0),0),IF($F$5&lt;&gt;"",IF(F147="Présent",G147,0),0),IF($H$5&lt;&gt;"",IF(H147="Présent",I147,0),0),IF($J$5&lt;&gt;"",IF(J147="Présent",K147,0),0),IF($L$5&lt;&gt;"",IF(L147="Présent",M147,0),0),IF($N$5&lt;&gt;"",IF(N147="Présent",O147,0),0),IF($P$5&lt;&gt;"",IF(P147="Présent",Q147,0),0),IF($R$5&lt;&gt;"",IF(R147="Présent",S147,0),0),IF($T$5&lt;&gt;"",IF(T147="Présent",U147,0),0),IF($V$5&lt;&gt;"",IF(V147="Présent",W147,0),0),IF($X$5&lt;&gt;"",IF(X147="Présent",Y147,0),0),IF($Z$5&lt;&gt;"",IF(Z147="Présent",AA147,0),0),IF($AB$5&lt;&gt;"",IF(AB147="Présent",AC147,0),0),IF($AD$5&lt;&gt;"",IF(AD147="Présent",AE147,0),0),IF($AF$5&lt;&gt;"",IF(AF147="Présent",AG147,0),0),IF($AH$5&lt;&gt;"",IF(AH147="Présent",AI147,0),0),IF($AJ$5&lt;&gt;"",IF(AJ147="Présent",AK147,0),0),IF($AL$5&lt;&gt;"",IF(AL147="Présent",AM147,0),0),IF($AN$5&lt;&gt;"",IF(AN147="Présent",AO147,0),0),IF($AP$5&lt;&gt;"",IF(AP147="Présent",AQ147,0),0),IF($AR$5&lt;&gt;"",IF(AR147="Présent",AS147,0),0),IF($AT$5&lt;&gt;"",IF(AT147="Présent",AU147,0),0),IF($AV$5&lt;&gt;"",IF(AV147="Présent",AW147,0),0),IF($AX$5&lt;&gt;"",IF(AX147="Présent",AY147,0),0),IF($AZ$5&lt;&gt;"",IF(AZ147="Présent",BA147,0),0),IF($BB$5&lt;&gt;"",IF(BB147="Présent",BC147,0),0),IF($BD$5&lt;&gt;"",IF(BD147="Présent",BE147,0),0),IF($BF$5&lt;&gt;"",IF(BF147="Présent",BG147,0),0),IF($BH$5&lt;&gt;"",IF(BH147="Présent",BI147,0),0),IF($BJ$5&lt;&gt;"",IF(BJ147="Présent",BK147,0),0),IF($BL$5&lt;&gt;"",IF(BL147="Présent",BM147,0),0)))</f>
      </c>
      <c r="BS147" s="25">
        <f>IF($A147="","",$BN147*IFERROR(INDEX(Categories_Salaire,MATCH($C147,ListeCategories,0)),0)+$BR147*IF(IFERROR(INDEX(Categories_TauxHS,MATCH($C147,ListeCategories,0)),0)&gt;0,IFERROR(INDEX(Categories_TauxHS,MATCH($C147,ListeCategories,0)),0),TauxHSDefaut))</f>
      </c>
    </row>
    <row r="148">
      <c r="A148" s="20">
        <f>IF(AND(INDEX(Employes_Nom,142)&lt;&gt;"",INDEX(Employes_Statut,142)="Actif",OR(INDEX(Employes_Embauche,142)="",INDEX(Employes_Embauche,142)&lt;=EOMONTH(DATE(AnneeCourante,MoisCourant,1),0))),INDEX(Employes_ID,142),"")</f>
      </c>
      <c r="B148" s="19">
        <f>IF($A148="","",INDEX(Employes_Nom,MATCH($A148,Employes_ID,0)))</f>
      </c>
      <c r="C148" s="20">
        <f>IF($A148="","",INDEX(Employes_Categorie,MATCH($A148,Employes_ID,0)))</f>
      </c>
      <c r="D148" s="26"/>
      <c r="E148" s="27"/>
      <c r="F148" s="26"/>
      <c r="G148" s="27"/>
      <c r="H148" s="26"/>
      <c r="I148" s="27"/>
      <c r="J148" s="26"/>
      <c r="K148" s="27"/>
      <c r="L148" s="26"/>
      <c r="M148" s="27"/>
      <c r="N148" s="26"/>
      <c r="O148" s="27"/>
      <c r="P148" s="26"/>
      <c r="Q148" s="27"/>
      <c r="R148" s="26"/>
      <c r="S148" s="27"/>
      <c r="T148" s="26"/>
      <c r="U148" s="27"/>
      <c r="V148" s="26"/>
      <c r="W148" s="27"/>
      <c r="X148" s="26"/>
      <c r="Y148" s="27"/>
      <c r="Z148" s="26"/>
      <c r="AA148" s="27"/>
      <c r="AB148" s="26"/>
      <c r="AC148" s="27"/>
      <c r="AD148" s="26"/>
      <c r="AE148" s="27"/>
      <c r="AF148" s="26"/>
      <c r="AG148" s="27"/>
      <c r="AH148" s="26"/>
      <c r="AI148" s="27"/>
      <c r="AJ148" s="26"/>
      <c r="AK148" s="27"/>
      <c r="AL148" s="26"/>
      <c r="AM148" s="27"/>
      <c r="AN148" s="26"/>
      <c r="AO148" s="27"/>
      <c r="AP148" s="26"/>
      <c r="AQ148" s="27"/>
      <c r="AR148" s="26"/>
      <c r="AS148" s="27"/>
      <c r="AT148" s="26"/>
      <c r="AU148" s="27"/>
      <c r="AV148" s="26"/>
      <c r="AW148" s="27"/>
      <c r="AX148" s="26"/>
      <c r="AY148" s="27"/>
      <c r="AZ148" s="26"/>
      <c r="BA148" s="27"/>
      <c r="BB148" s="26"/>
      <c r="BC148" s="27"/>
      <c r="BD148" s="26"/>
      <c r="BE148" s="27"/>
      <c r="BF148" s="26"/>
      <c r="BG148" s="27"/>
      <c r="BH148" s="26"/>
      <c r="BI148" s="27"/>
      <c r="BJ148" s="26"/>
      <c r="BK148" s="27"/>
      <c r="BL148" s="26"/>
      <c r="BM148" s="27"/>
      <c r="BN148" s="22">
        <f>IF($A148="","",SUM(IF($D$5&lt;&gt;"",--(D148="Présent"),0),IF($F$5&lt;&gt;"",--(F148="Présent"),0),IF($H$5&lt;&gt;"",--(H148="Présent"),0),IF($J$5&lt;&gt;"",--(J148="Présent"),0),IF($L$5&lt;&gt;"",--(L148="Présent"),0),IF($N$5&lt;&gt;"",--(N148="Présent"),0),IF($P$5&lt;&gt;"",--(P148="Présent"),0),IF($R$5&lt;&gt;"",--(R148="Présent"),0),IF($T$5&lt;&gt;"",--(T148="Présent"),0),IF($V$5&lt;&gt;"",--(V148="Présent"),0),IF($X$5&lt;&gt;"",--(X148="Présent"),0),IF($Z$5&lt;&gt;"",--(Z148="Présent"),0),IF($AB$5&lt;&gt;"",--(AB148="Présent"),0),IF($AD$5&lt;&gt;"",--(AD148="Présent"),0),IF($AF$5&lt;&gt;"",--(AF148="Présent"),0),IF($AH$5&lt;&gt;"",--(AH148="Présent"),0),IF($AJ$5&lt;&gt;"",--(AJ148="Présent"),0),IF($AL$5&lt;&gt;"",--(AL148="Présent"),0),IF($AN$5&lt;&gt;"",--(AN148="Présent"),0),IF($AP$5&lt;&gt;"",--(AP148="Présent"),0),IF($AR$5&lt;&gt;"",--(AR148="Présent"),0),IF($AT$5&lt;&gt;"",--(AT148="Présent"),0),IF($AV$5&lt;&gt;"",--(AV148="Présent"),0),IF($AX$5&lt;&gt;"",--(AX148="Présent"),0),IF($AZ$5&lt;&gt;"",--(AZ148="Présent"),0),IF($BB$5&lt;&gt;"",--(BB148="Présent"),0),IF($BD$5&lt;&gt;"",--(BD148="Présent"),0),IF($BF$5&lt;&gt;"",--(BF148="Présent"),0),IF($BH$5&lt;&gt;"",--(BH148="Présent"),0),IF($BJ$5&lt;&gt;"",--(BJ148="Présent"),0),IF($BL$5&lt;&gt;"",--(BL148="Présent"),0)))</f>
      </c>
      <c r="BO148" s="22">
        <f>IF($A148="","",SUM(IF($D$5&lt;&gt;"",--(D148="Absent"),0),IF($F$5&lt;&gt;"",--(F148="Absent"),0),IF($H$5&lt;&gt;"",--(H148="Absent"),0),IF($J$5&lt;&gt;"",--(J148="Absent"),0),IF($L$5&lt;&gt;"",--(L148="Absent"),0),IF($N$5&lt;&gt;"",--(N148="Absent"),0),IF($P$5&lt;&gt;"",--(P148="Absent"),0),IF($R$5&lt;&gt;"",--(R148="Absent"),0),IF($T$5&lt;&gt;"",--(T148="Absent"),0),IF($V$5&lt;&gt;"",--(V148="Absent"),0),IF($X$5&lt;&gt;"",--(X148="Absent"),0),IF($Z$5&lt;&gt;"",--(Z148="Absent"),0),IF($AB$5&lt;&gt;"",--(AB148="Absent"),0),IF($AD$5&lt;&gt;"",--(AD148="Absent"),0),IF($AF$5&lt;&gt;"",--(AF148="Absent"),0),IF($AH$5&lt;&gt;"",--(AH148="Absent"),0),IF($AJ$5&lt;&gt;"",--(AJ148="Absent"),0),IF($AL$5&lt;&gt;"",--(AL148="Absent"),0),IF($AN$5&lt;&gt;"",--(AN148="Absent"),0),IF($AP$5&lt;&gt;"",--(AP148="Absent"),0),IF($AR$5&lt;&gt;"",--(AR148="Absent"),0),IF($AT$5&lt;&gt;"",--(AT148="Absent"),0),IF($AV$5&lt;&gt;"",--(AV148="Absent"),0),IF($AX$5&lt;&gt;"",--(AX148="Absent"),0),IF($AZ$5&lt;&gt;"",--(AZ148="Absent"),0),IF($BB$5&lt;&gt;"",--(BB148="Absent"),0),IF($BD$5&lt;&gt;"",--(BD148="Absent"),0),IF($BF$5&lt;&gt;"",--(BF148="Absent"),0),IF($BH$5&lt;&gt;"",--(BH148="Absent"),0),IF($BJ$5&lt;&gt;"",--(BJ148="Absent"),0),IF($BL$5&lt;&gt;"",--(BL148="Absent"),0)))</f>
      </c>
      <c r="BP148" s="22">
        <f>IF($A148="","",SUM(IF($D$5&lt;&gt;"",--(D148="Congé"),0),IF($F$5&lt;&gt;"",--(F148="Congé"),0),IF($H$5&lt;&gt;"",--(H148="Congé"),0),IF($J$5&lt;&gt;"",--(J148="Congé"),0),IF($L$5&lt;&gt;"",--(L148="Congé"),0),IF($N$5&lt;&gt;"",--(N148="Congé"),0),IF($P$5&lt;&gt;"",--(P148="Congé"),0),IF($R$5&lt;&gt;"",--(R148="Congé"),0),IF($T$5&lt;&gt;"",--(T148="Congé"),0),IF($V$5&lt;&gt;"",--(V148="Congé"),0),IF($X$5&lt;&gt;"",--(X148="Congé"),0),IF($Z$5&lt;&gt;"",--(Z148="Congé"),0),IF($AB$5&lt;&gt;"",--(AB148="Congé"),0),IF($AD$5&lt;&gt;"",--(AD148="Congé"),0),IF($AF$5&lt;&gt;"",--(AF148="Congé"),0),IF($AH$5&lt;&gt;"",--(AH148="Congé"),0),IF($AJ$5&lt;&gt;"",--(AJ148="Congé"),0),IF($AL$5&lt;&gt;"",--(AL148="Congé"),0),IF($AN$5&lt;&gt;"",--(AN148="Congé"),0),IF($AP$5&lt;&gt;"",--(AP148="Congé"),0),IF($AR$5&lt;&gt;"",--(AR148="Congé"),0),IF($AT$5&lt;&gt;"",--(AT148="Congé"),0),IF($AV$5&lt;&gt;"",--(AV148="Congé"),0),IF($AX$5&lt;&gt;"",--(AX148="Congé"),0),IF($AZ$5&lt;&gt;"",--(AZ148="Congé"),0),IF($BB$5&lt;&gt;"",--(BB148="Congé"),0),IF($BD$5&lt;&gt;"",--(BD148="Congé"),0),IF($BF$5&lt;&gt;"",--(BF148="Congé"),0),IF($BH$5&lt;&gt;"",--(BH148="Congé"),0),IF($BJ$5&lt;&gt;"",--(BJ148="Congé"),0),IF($BL$5&lt;&gt;"",--(BL148="Congé"),0)))</f>
      </c>
      <c r="BQ148" s="22">
        <f>IF($A148="","",SUM(IF($D$5&lt;&gt;"",--(D148="Maladie"),0),IF($F$5&lt;&gt;"",--(F148="Maladie"),0),IF($H$5&lt;&gt;"",--(H148="Maladie"),0),IF($J$5&lt;&gt;"",--(J148="Maladie"),0),IF($L$5&lt;&gt;"",--(L148="Maladie"),0),IF($N$5&lt;&gt;"",--(N148="Maladie"),0),IF($P$5&lt;&gt;"",--(P148="Maladie"),0),IF($R$5&lt;&gt;"",--(R148="Maladie"),0),IF($T$5&lt;&gt;"",--(T148="Maladie"),0),IF($V$5&lt;&gt;"",--(V148="Maladie"),0),IF($X$5&lt;&gt;"",--(X148="Maladie"),0),IF($Z$5&lt;&gt;"",--(Z148="Maladie"),0),IF($AB$5&lt;&gt;"",--(AB148="Maladie"),0),IF($AD$5&lt;&gt;"",--(AD148="Maladie"),0),IF($AF$5&lt;&gt;"",--(AF148="Maladie"),0),IF($AH$5&lt;&gt;"",--(AH148="Maladie"),0),IF($AJ$5&lt;&gt;"",--(AJ148="Maladie"),0),IF($AL$5&lt;&gt;"",--(AL148="Maladie"),0),IF($AN$5&lt;&gt;"",--(AN148="Maladie"),0),IF($AP$5&lt;&gt;"",--(AP148="Maladie"),0),IF($AR$5&lt;&gt;"",--(AR148="Maladie"),0),IF($AT$5&lt;&gt;"",--(AT148="Maladie"),0),IF($AV$5&lt;&gt;"",--(AV148="Maladie"),0),IF($AX$5&lt;&gt;"",--(AX148="Maladie"),0),IF($AZ$5&lt;&gt;"",--(AZ148="Maladie"),0),IF($BB$5&lt;&gt;"",--(BB148="Maladie"),0),IF($BD$5&lt;&gt;"",--(BD148="Maladie"),0),IF($BF$5&lt;&gt;"",--(BF148="Maladie"),0),IF($BH$5&lt;&gt;"",--(BH148="Maladie"),0),IF($BJ$5&lt;&gt;"",--(BJ148="Maladie"),0),IF($BL$5&lt;&gt;"",--(BL148="Maladie"),0)))</f>
      </c>
      <c r="BR148" s="23">
        <f>IF($A148="","",SUM(IF($D$5&lt;&gt;"",IF(D148="Présent",E148,0),0),IF($F$5&lt;&gt;"",IF(F148="Présent",G148,0),0),IF($H$5&lt;&gt;"",IF(H148="Présent",I148,0),0),IF($J$5&lt;&gt;"",IF(J148="Présent",K148,0),0),IF($L$5&lt;&gt;"",IF(L148="Présent",M148,0),0),IF($N$5&lt;&gt;"",IF(N148="Présent",O148,0),0),IF($P$5&lt;&gt;"",IF(P148="Présent",Q148,0),0),IF($R$5&lt;&gt;"",IF(R148="Présent",S148,0),0),IF($T$5&lt;&gt;"",IF(T148="Présent",U148,0),0),IF($V$5&lt;&gt;"",IF(V148="Présent",W148,0),0),IF($X$5&lt;&gt;"",IF(X148="Présent",Y148,0),0),IF($Z$5&lt;&gt;"",IF(Z148="Présent",AA148,0),0),IF($AB$5&lt;&gt;"",IF(AB148="Présent",AC148,0),0),IF($AD$5&lt;&gt;"",IF(AD148="Présent",AE148,0),0),IF($AF$5&lt;&gt;"",IF(AF148="Présent",AG148,0),0),IF($AH$5&lt;&gt;"",IF(AH148="Présent",AI148,0),0),IF($AJ$5&lt;&gt;"",IF(AJ148="Présent",AK148,0),0),IF($AL$5&lt;&gt;"",IF(AL148="Présent",AM148,0),0),IF($AN$5&lt;&gt;"",IF(AN148="Présent",AO148,0),0),IF($AP$5&lt;&gt;"",IF(AP148="Présent",AQ148,0),0),IF($AR$5&lt;&gt;"",IF(AR148="Présent",AS148,0),0),IF($AT$5&lt;&gt;"",IF(AT148="Présent",AU148,0),0),IF($AV$5&lt;&gt;"",IF(AV148="Présent",AW148,0),0),IF($AX$5&lt;&gt;"",IF(AX148="Présent",AY148,0),0),IF($AZ$5&lt;&gt;"",IF(AZ148="Présent",BA148,0),0),IF($BB$5&lt;&gt;"",IF(BB148="Présent",BC148,0),0),IF($BD$5&lt;&gt;"",IF(BD148="Présent",BE148,0),0),IF($BF$5&lt;&gt;"",IF(BF148="Présent",BG148,0),0),IF($BH$5&lt;&gt;"",IF(BH148="Présent",BI148,0),0),IF($BJ$5&lt;&gt;"",IF(BJ148="Présent",BK148,0),0),IF($BL$5&lt;&gt;"",IF(BL148="Présent",BM148,0),0)))</f>
      </c>
      <c r="BS148" s="25">
        <f>IF($A148="","",$BN148*IFERROR(INDEX(Categories_Salaire,MATCH($C148,ListeCategories,0)),0)+$BR148*IF(IFERROR(INDEX(Categories_TauxHS,MATCH($C148,ListeCategories,0)),0)&gt;0,IFERROR(INDEX(Categories_TauxHS,MATCH($C148,ListeCategories,0)),0),TauxHSDefaut))</f>
      </c>
    </row>
    <row r="149">
      <c r="A149" s="20">
        <f>IF(AND(INDEX(Employes_Nom,143)&lt;&gt;"",INDEX(Employes_Statut,143)="Actif",OR(INDEX(Employes_Embauche,143)="",INDEX(Employes_Embauche,143)&lt;=EOMONTH(DATE(AnneeCourante,MoisCourant,1),0))),INDEX(Employes_ID,143),"")</f>
      </c>
      <c r="B149" s="19">
        <f>IF($A149="","",INDEX(Employes_Nom,MATCH($A149,Employes_ID,0)))</f>
      </c>
      <c r="C149" s="20">
        <f>IF($A149="","",INDEX(Employes_Categorie,MATCH($A149,Employes_ID,0)))</f>
      </c>
      <c r="D149" s="26"/>
      <c r="E149" s="27"/>
      <c r="F149" s="26"/>
      <c r="G149" s="27"/>
      <c r="H149" s="26"/>
      <c r="I149" s="27"/>
      <c r="J149" s="26"/>
      <c r="K149" s="27"/>
      <c r="L149" s="26"/>
      <c r="M149" s="27"/>
      <c r="N149" s="26"/>
      <c r="O149" s="27"/>
      <c r="P149" s="26"/>
      <c r="Q149" s="27"/>
      <c r="R149" s="26"/>
      <c r="S149" s="27"/>
      <c r="T149" s="26"/>
      <c r="U149" s="27"/>
      <c r="V149" s="26"/>
      <c r="W149" s="27"/>
      <c r="X149" s="26"/>
      <c r="Y149" s="27"/>
      <c r="Z149" s="26"/>
      <c r="AA149" s="27"/>
      <c r="AB149" s="26"/>
      <c r="AC149" s="27"/>
      <c r="AD149" s="26"/>
      <c r="AE149" s="27"/>
      <c r="AF149" s="26"/>
      <c r="AG149" s="27"/>
      <c r="AH149" s="26"/>
      <c r="AI149" s="27"/>
      <c r="AJ149" s="26"/>
      <c r="AK149" s="27"/>
      <c r="AL149" s="26"/>
      <c r="AM149" s="27"/>
      <c r="AN149" s="26"/>
      <c r="AO149" s="27"/>
      <c r="AP149" s="26"/>
      <c r="AQ149" s="27"/>
      <c r="AR149" s="26"/>
      <c r="AS149" s="27"/>
      <c r="AT149" s="26"/>
      <c r="AU149" s="27"/>
      <c r="AV149" s="26"/>
      <c r="AW149" s="27"/>
      <c r="AX149" s="26"/>
      <c r="AY149" s="27"/>
      <c r="AZ149" s="26"/>
      <c r="BA149" s="27"/>
      <c r="BB149" s="26"/>
      <c r="BC149" s="27"/>
      <c r="BD149" s="26"/>
      <c r="BE149" s="27"/>
      <c r="BF149" s="26"/>
      <c r="BG149" s="27"/>
      <c r="BH149" s="26"/>
      <c r="BI149" s="27"/>
      <c r="BJ149" s="26"/>
      <c r="BK149" s="27"/>
      <c r="BL149" s="26"/>
      <c r="BM149" s="27"/>
      <c r="BN149" s="22">
        <f>IF($A149="","",SUM(IF($D$5&lt;&gt;"",--(D149="Présent"),0),IF($F$5&lt;&gt;"",--(F149="Présent"),0),IF($H$5&lt;&gt;"",--(H149="Présent"),0),IF($J$5&lt;&gt;"",--(J149="Présent"),0),IF($L$5&lt;&gt;"",--(L149="Présent"),0),IF($N$5&lt;&gt;"",--(N149="Présent"),0),IF($P$5&lt;&gt;"",--(P149="Présent"),0),IF($R$5&lt;&gt;"",--(R149="Présent"),0),IF($T$5&lt;&gt;"",--(T149="Présent"),0),IF($V$5&lt;&gt;"",--(V149="Présent"),0),IF($X$5&lt;&gt;"",--(X149="Présent"),0),IF($Z$5&lt;&gt;"",--(Z149="Présent"),0),IF($AB$5&lt;&gt;"",--(AB149="Présent"),0),IF($AD$5&lt;&gt;"",--(AD149="Présent"),0),IF($AF$5&lt;&gt;"",--(AF149="Présent"),0),IF($AH$5&lt;&gt;"",--(AH149="Présent"),0),IF($AJ$5&lt;&gt;"",--(AJ149="Présent"),0),IF($AL$5&lt;&gt;"",--(AL149="Présent"),0),IF($AN$5&lt;&gt;"",--(AN149="Présent"),0),IF($AP$5&lt;&gt;"",--(AP149="Présent"),0),IF($AR$5&lt;&gt;"",--(AR149="Présent"),0),IF($AT$5&lt;&gt;"",--(AT149="Présent"),0),IF($AV$5&lt;&gt;"",--(AV149="Présent"),0),IF($AX$5&lt;&gt;"",--(AX149="Présent"),0),IF($AZ$5&lt;&gt;"",--(AZ149="Présent"),0),IF($BB$5&lt;&gt;"",--(BB149="Présent"),0),IF($BD$5&lt;&gt;"",--(BD149="Présent"),0),IF($BF$5&lt;&gt;"",--(BF149="Présent"),0),IF($BH$5&lt;&gt;"",--(BH149="Présent"),0),IF($BJ$5&lt;&gt;"",--(BJ149="Présent"),0),IF($BL$5&lt;&gt;"",--(BL149="Présent"),0)))</f>
      </c>
      <c r="BO149" s="22">
        <f>IF($A149="","",SUM(IF($D$5&lt;&gt;"",--(D149="Absent"),0),IF($F$5&lt;&gt;"",--(F149="Absent"),0),IF($H$5&lt;&gt;"",--(H149="Absent"),0),IF($J$5&lt;&gt;"",--(J149="Absent"),0),IF($L$5&lt;&gt;"",--(L149="Absent"),0),IF($N$5&lt;&gt;"",--(N149="Absent"),0),IF($P$5&lt;&gt;"",--(P149="Absent"),0),IF($R$5&lt;&gt;"",--(R149="Absent"),0),IF($T$5&lt;&gt;"",--(T149="Absent"),0),IF($V$5&lt;&gt;"",--(V149="Absent"),0),IF($X$5&lt;&gt;"",--(X149="Absent"),0),IF($Z$5&lt;&gt;"",--(Z149="Absent"),0),IF($AB$5&lt;&gt;"",--(AB149="Absent"),0),IF($AD$5&lt;&gt;"",--(AD149="Absent"),0),IF($AF$5&lt;&gt;"",--(AF149="Absent"),0),IF($AH$5&lt;&gt;"",--(AH149="Absent"),0),IF($AJ$5&lt;&gt;"",--(AJ149="Absent"),0),IF($AL$5&lt;&gt;"",--(AL149="Absent"),0),IF($AN$5&lt;&gt;"",--(AN149="Absent"),0),IF($AP$5&lt;&gt;"",--(AP149="Absent"),0),IF($AR$5&lt;&gt;"",--(AR149="Absent"),0),IF($AT$5&lt;&gt;"",--(AT149="Absent"),0),IF($AV$5&lt;&gt;"",--(AV149="Absent"),0),IF($AX$5&lt;&gt;"",--(AX149="Absent"),0),IF($AZ$5&lt;&gt;"",--(AZ149="Absent"),0),IF($BB$5&lt;&gt;"",--(BB149="Absent"),0),IF($BD$5&lt;&gt;"",--(BD149="Absent"),0),IF($BF$5&lt;&gt;"",--(BF149="Absent"),0),IF($BH$5&lt;&gt;"",--(BH149="Absent"),0),IF($BJ$5&lt;&gt;"",--(BJ149="Absent"),0),IF($BL$5&lt;&gt;"",--(BL149="Absent"),0)))</f>
      </c>
      <c r="BP149" s="22">
        <f>IF($A149="","",SUM(IF($D$5&lt;&gt;"",--(D149="Congé"),0),IF($F$5&lt;&gt;"",--(F149="Congé"),0),IF($H$5&lt;&gt;"",--(H149="Congé"),0),IF($J$5&lt;&gt;"",--(J149="Congé"),0),IF($L$5&lt;&gt;"",--(L149="Congé"),0),IF($N$5&lt;&gt;"",--(N149="Congé"),0),IF($P$5&lt;&gt;"",--(P149="Congé"),0),IF($R$5&lt;&gt;"",--(R149="Congé"),0),IF($T$5&lt;&gt;"",--(T149="Congé"),0),IF($V$5&lt;&gt;"",--(V149="Congé"),0),IF($X$5&lt;&gt;"",--(X149="Congé"),0),IF($Z$5&lt;&gt;"",--(Z149="Congé"),0),IF($AB$5&lt;&gt;"",--(AB149="Congé"),0),IF($AD$5&lt;&gt;"",--(AD149="Congé"),0),IF($AF$5&lt;&gt;"",--(AF149="Congé"),0),IF($AH$5&lt;&gt;"",--(AH149="Congé"),0),IF($AJ$5&lt;&gt;"",--(AJ149="Congé"),0),IF($AL$5&lt;&gt;"",--(AL149="Congé"),0),IF($AN$5&lt;&gt;"",--(AN149="Congé"),0),IF($AP$5&lt;&gt;"",--(AP149="Congé"),0),IF($AR$5&lt;&gt;"",--(AR149="Congé"),0),IF($AT$5&lt;&gt;"",--(AT149="Congé"),0),IF($AV$5&lt;&gt;"",--(AV149="Congé"),0),IF($AX$5&lt;&gt;"",--(AX149="Congé"),0),IF($AZ$5&lt;&gt;"",--(AZ149="Congé"),0),IF($BB$5&lt;&gt;"",--(BB149="Congé"),0),IF($BD$5&lt;&gt;"",--(BD149="Congé"),0),IF($BF$5&lt;&gt;"",--(BF149="Congé"),0),IF($BH$5&lt;&gt;"",--(BH149="Congé"),0),IF($BJ$5&lt;&gt;"",--(BJ149="Congé"),0),IF($BL$5&lt;&gt;"",--(BL149="Congé"),0)))</f>
      </c>
      <c r="BQ149" s="22">
        <f>IF($A149="","",SUM(IF($D$5&lt;&gt;"",--(D149="Maladie"),0),IF($F$5&lt;&gt;"",--(F149="Maladie"),0),IF($H$5&lt;&gt;"",--(H149="Maladie"),0),IF($J$5&lt;&gt;"",--(J149="Maladie"),0),IF($L$5&lt;&gt;"",--(L149="Maladie"),0),IF($N$5&lt;&gt;"",--(N149="Maladie"),0),IF($P$5&lt;&gt;"",--(P149="Maladie"),0),IF($R$5&lt;&gt;"",--(R149="Maladie"),0),IF($T$5&lt;&gt;"",--(T149="Maladie"),0),IF($V$5&lt;&gt;"",--(V149="Maladie"),0),IF($X$5&lt;&gt;"",--(X149="Maladie"),0),IF($Z$5&lt;&gt;"",--(Z149="Maladie"),0),IF($AB$5&lt;&gt;"",--(AB149="Maladie"),0),IF($AD$5&lt;&gt;"",--(AD149="Maladie"),0),IF($AF$5&lt;&gt;"",--(AF149="Maladie"),0),IF($AH$5&lt;&gt;"",--(AH149="Maladie"),0),IF($AJ$5&lt;&gt;"",--(AJ149="Maladie"),0),IF($AL$5&lt;&gt;"",--(AL149="Maladie"),0),IF($AN$5&lt;&gt;"",--(AN149="Maladie"),0),IF($AP$5&lt;&gt;"",--(AP149="Maladie"),0),IF($AR$5&lt;&gt;"",--(AR149="Maladie"),0),IF($AT$5&lt;&gt;"",--(AT149="Maladie"),0),IF($AV$5&lt;&gt;"",--(AV149="Maladie"),0),IF($AX$5&lt;&gt;"",--(AX149="Maladie"),0),IF($AZ$5&lt;&gt;"",--(AZ149="Maladie"),0),IF($BB$5&lt;&gt;"",--(BB149="Maladie"),0),IF($BD$5&lt;&gt;"",--(BD149="Maladie"),0),IF($BF$5&lt;&gt;"",--(BF149="Maladie"),0),IF($BH$5&lt;&gt;"",--(BH149="Maladie"),0),IF($BJ$5&lt;&gt;"",--(BJ149="Maladie"),0),IF($BL$5&lt;&gt;"",--(BL149="Maladie"),0)))</f>
      </c>
      <c r="BR149" s="23">
        <f>IF($A149="","",SUM(IF($D$5&lt;&gt;"",IF(D149="Présent",E149,0),0),IF($F$5&lt;&gt;"",IF(F149="Présent",G149,0),0),IF($H$5&lt;&gt;"",IF(H149="Présent",I149,0),0),IF($J$5&lt;&gt;"",IF(J149="Présent",K149,0),0),IF($L$5&lt;&gt;"",IF(L149="Présent",M149,0),0),IF($N$5&lt;&gt;"",IF(N149="Présent",O149,0),0),IF($P$5&lt;&gt;"",IF(P149="Présent",Q149,0),0),IF($R$5&lt;&gt;"",IF(R149="Présent",S149,0),0),IF($T$5&lt;&gt;"",IF(T149="Présent",U149,0),0),IF($V$5&lt;&gt;"",IF(V149="Présent",W149,0),0),IF($X$5&lt;&gt;"",IF(X149="Présent",Y149,0),0),IF($Z$5&lt;&gt;"",IF(Z149="Présent",AA149,0),0),IF($AB$5&lt;&gt;"",IF(AB149="Présent",AC149,0),0),IF($AD$5&lt;&gt;"",IF(AD149="Présent",AE149,0),0),IF($AF$5&lt;&gt;"",IF(AF149="Présent",AG149,0),0),IF($AH$5&lt;&gt;"",IF(AH149="Présent",AI149,0),0),IF($AJ$5&lt;&gt;"",IF(AJ149="Présent",AK149,0),0),IF($AL$5&lt;&gt;"",IF(AL149="Présent",AM149,0),0),IF($AN$5&lt;&gt;"",IF(AN149="Présent",AO149,0),0),IF($AP$5&lt;&gt;"",IF(AP149="Présent",AQ149,0),0),IF($AR$5&lt;&gt;"",IF(AR149="Présent",AS149,0),0),IF($AT$5&lt;&gt;"",IF(AT149="Présent",AU149,0),0),IF($AV$5&lt;&gt;"",IF(AV149="Présent",AW149,0),0),IF($AX$5&lt;&gt;"",IF(AX149="Présent",AY149,0),0),IF($AZ$5&lt;&gt;"",IF(AZ149="Présent",BA149,0),0),IF($BB$5&lt;&gt;"",IF(BB149="Présent",BC149,0),0),IF($BD$5&lt;&gt;"",IF(BD149="Présent",BE149,0),0),IF($BF$5&lt;&gt;"",IF(BF149="Présent",BG149,0),0),IF($BH$5&lt;&gt;"",IF(BH149="Présent",BI149,0),0),IF($BJ$5&lt;&gt;"",IF(BJ149="Présent",BK149,0),0),IF($BL$5&lt;&gt;"",IF(BL149="Présent",BM149,0),0)))</f>
      </c>
      <c r="BS149" s="25">
        <f>IF($A149="","",$BN149*IFERROR(INDEX(Categories_Salaire,MATCH($C149,ListeCategories,0)),0)+$BR149*IF(IFERROR(INDEX(Categories_TauxHS,MATCH($C149,ListeCategories,0)),0)&gt;0,IFERROR(INDEX(Categories_TauxHS,MATCH($C149,ListeCategories,0)),0),TauxHSDefaut))</f>
      </c>
    </row>
    <row r="150">
      <c r="A150" s="20">
        <f>IF(AND(INDEX(Employes_Nom,144)&lt;&gt;"",INDEX(Employes_Statut,144)="Actif",OR(INDEX(Employes_Embauche,144)="",INDEX(Employes_Embauche,144)&lt;=EOMONTH(DATE(AnneeCourante,MoisCourant,1),0))),INDEX(Employes_ID,144),"")</f>
      </c>
      <c r="B150" s="19">
        <f>IF($A150="","",INDEX(Employes_Nom,MATCH($A150,Employes_ID,0)))</f>
      </c>
      <c r="C150" s="20">
        <f>IF($A150="","",INDEX(Employes_Categorie,MATCH($A150,Employes_ID,0)))</f>
      </c>
      <c r="D150" s="26"/>
      <c r="E150" s="27"/>
      <c r="F150" s="26"/>
      <c r="G150" s="27"/>
      <c r="H150" s="26"/>
      <c r="I150" s="27"/>
      <c r="J150" s="26"/>
      <c r="K150" s="27"/>
      <c r="L150" s="26"/>
      <c r="M150" s="27"/>
      <c r="N150" s="26"/>
      <c r="O150" s="27"/>
      <c r="P150" s="26"/>
      <c r="Q150" s="27"/>
      <c r="R150" s="26"/>
      <c r="S150" s="27"/>
      <c r="T150" s="26"/>
      <c r="U150" s="27"/>
      <c r="V150" s="26"/>
      <c r="W150" s="27"/>
      <c r="X150" s="26"/>
      <c r="Y150" s="27"/>
      <c r="Z150" s="26"/>
      <c r="AA150" s="27"/>
      <c r="AB150" s="26"/>
      <c r="AC150" s="27"/>
      <c r="AD150" s="26"/>
      <c r="AE150" s="27"/>
      <c r="AF150" s="26"/>
      <c r="AG150" s="27"/>
      <c r="AH150" s="26"/>
      <c r="AI150" s="27"/>
      <c r="AJ150" s="26"/>
      <c r="AK150" s="27"/>
      <c r="AL150" s="26"/>
      <c r="AM150" s="27"/>
      <c r="AN150" s="26"/>
      <c r="AO150" s="27"/>
      <c r="AP150" s="26"/>
      <c r="AQ150" s="27"/>
      <c r="AR150" s="26"/>
      <c r="AS150" s="27"/>
      <c r="AT150" s="26"/>
      <c r="AU150" s="27"/>
      <c r="AV150" s="26"/>
      <c r="AW150" s="27"/>
      <c r="AX150" s="26"/>
      <c r="AY150" s="27"/>
      <c r="AZ150" s="26"/>
      <c r="BA150" s="27"/>
      <c r="BB150" s="26"/>
      <c r="BC150" s="27"/>
      <c r="BD150" s="26"/>
      <c r="BE150" s="27"/>
      <c r="BF150" s="26"/>
      <c r="BG150" s="27"/>
      <c r="BH150" s="26"/>
      <c r="BI150" s="27"/>
      <c r="BJ150" s="26"/>
      <c r="BK150" s="27"/>
      <c r="BL150" s="26"/>
      <c r="BM150" s="27"/>
      <c r="BN150" s="22">
        <f>IF($A150="","",SUM(IF($D$5&lt;&gt;"",--(D150="Présent"),0),IF($F$5&lt;&gt;"",--(F150="Présent"),0),IF($H$5&lt;&gt;"",--(H150="Présent"),0),IF($J$5&lt;&gt;"",--(J150="Présent"),0),IF($L$5&lt;&gt;"",--(L150="Présent"),0),IF($N$5&lt;&gt;"",--(N150="Présent"),0),IF($P$5&lt;&gt;"",--(P150="Présent"),0),IF($R$5&lt;&gt;"",--(R150="Présent"),0),IF($T$5&lt;&gt;"",--(T150="Présent"),0),IF($V$5&lt;&gt;"",--(V150="Présent"),0),IF($X$5&lt;&gt;"",--(X150="Présent"),0),IF($Z$5&lt;&gt;"",--(Z150="Présent"),0),IF($AB$5&lt;&gt;"",--(AB150="Présent"),0),IF($AD$5&lt;&gt;"",--(AD150="Présent"),0),IF($AF$5&lt;&gt;"",--(AF150="Présent"),0),IF($AH$5&lt;&gt;"",--(AH150="Présent"),0),IF($AJ$5&lt;&gt;"",--(AJ150="Présent"),0),IF($AL$5&lt;&gt;"",--(AL150="Présent"),0),IF($AN$5&lt;&gt;"",--(AN150="Présent"),0),IF($AP$5&lt;&gt;"",--(AP150="Présent"),0),IF($AR$5&lt;&gt;"",--(AR150="Présent"),0),IF($AT$5&lt;&gt;"",--(AT150="Présent"),0),IF($AV$5&lt;&gt;"",--(AV150="Présent"),0),IF($AX$5&lt;&gt;"",--(AX150="Présent"),0),IF($AZ$5&lt;&gt;"",--(AZ150="Présent"),0),IF($BB$5&lt;&gt;"",--(BB150="Présent"),0),IF($BD$5&lt;&gt;"",--(BD150="Présent"),0),IF($BF$5&lt;&gt;"",--(BF150="Présent"),0),IF($BH$5&lt;&gt;"",--(BH150="Présent"),0),IF($BJ$5&lt;&gt;"",--(BJ150="Présent"),0),IF($BL$5&lt;&gt;"",--(BL150="Présent"),0)))</f>
      </c>
      <c r="BO150" s="22">
        <f>IF($A150="","",SUM(IF($D$5&lt;&gt;"",--(D150="Absent"),0),IF($F$5&lt;&gt;"",--(F150="Absent"),0),IF($H$5&lt;&gt;"",--(H150="Absent"),0),IF($J$5&lt;&gt;"",--(J150="Absent"),0),IF($L$5&lt;&gt;"",--(L150="Absent"),0),IF($N$5&lt;&gt;"",--(N150="Absent"),0),IF($P$5&lt;&gt;"",--(P150="Absent"),0),IF($R$5&lt;&gt;"",--(R150="Absent"),0),IF($T$5&lt;&gt;"",--(T150="Absent"),0),IF($V$5&lt;&gt;"",--(V150="Absent"),0),IF($X$5&lt;&gt;"",--(X150="Absent"),0),IF($Z$5&lt;&gt;"",--(Z150="Absent"),0),IF($AB$5&lt;&gt;"",--(AB150="Absent"),0),IF($AD$5&lt;&gt;"",--(AD150="Absent"),0),IF($AF$5&lt;&gt;"",--(AF150="Absent"),0),IF($AH$5&lt;&gt;"",--(AH150="Absent"),0),IF($AJ$5&lt;&gt;"",--(AJ150="Absent"),0),IF($AL$5&lt;&gt;"",--(AL150="Absent"),0),IF($AN$5&lt;&gt;"",--(AN150="Absent"),0),IF($AP$5&lt;&gt;"",--(AP150="Absent"),0),IF($AR$5&lt;&gt;"",--(AR150="Absent"),0),IF($AT$5&lt;&gt;"",--(AT150="Absent"),0),IF($AV$5&lt;&gt;"",--(AV150="Absent"),0),IF($AX$5&lt;&gt;"",--(AX150="Absent"),0),IF($AZ$5&lt;&gt;"",--(AZ150="Absent"),0),IF($BB$5&lt;&gt;"",--(BB150="Absent"),0),IF($BD$5&lt;&gt;"",--(BD150="Absent"),0),IF($BF$5&lt;&gt;"",--(BF150="Absent"),0),IF($BH$5&lt;&gt;"",--(BH150="Absent"),0),IF($BJ$5&lt;&gt;"",--(BJ150="Absent"),0),IF($BL$5&lt;&gt;"",--(BL150="Absent"),0)))</f>
      </c>
      <c r="BP150" s="22">
        <f>IF($A150="","",SUM(IF($D$5&lt;&gt;"",--(D150="Congé"),0),IF($F$5&lt;&gt;"",--(F150="Congé"),0),IF($H$5&lt;&gt;"",--(H150="Congé"),0),IF($J$5&lt;&gt;"",--(J150="Congé"),0),IF($L$5&lt;&gt;"",--(L150="Congé"),0),IF($N$5&lt;&gt;"",--(N150="Congé"),0),IF($P$5&lt;&gt;"",--(P150="Congé"),0),IF($R$5&lt;&gt;"",--(R150="Congé"),0),IF($T$5&lt;&gt;"",--(T150="Congé"),0),IF($V$5&lt;&gt;"",--(V150="Congé"),0),IF($X$5&lt;&gt;"",--(X150="Congé"),0),IF($Z$5&lt;&gt;"",--(Z150="Congé"),0),IF($AB$5&lt;&gt;"",--(AB150="Congé"),0),IF($AD$5&lt;&gt;"",--(AD150="Congé"),0),IF($AF$5&lt;&gt;"",--(AF150="Congé"),0),IF($AH$5&lt;&gt;"",--(AH150="Congé"),0),IF($AJ$5&lt;&gt;"",--(AJ150="Congé"),0),IF($AL$5&lt;&gt;"",--(AL150="Congé"),0),IF($AN$5&lt;&gt;"",--(AN150="Congé"),0),IF($AP$5&lt;&gt;"",--(AP150="Congé"),0),IF($AR$5&lt;&gt;"",--(AR150="Congé"),0),IF($AT$5&lt;&gt;"",--(AT150="Congé"),0),IF($AV$5&lt;&gt;"",--(AV150="Congé"),0),IF($AX$5&lt;&gt;"",--(AX150="Congé"),0),IF($AZ$5&lt;&gt;"",--(AZ150="Congé"),0),IF($BB$5&lt;&gt;"",--(BB150="Congé"),0),IF($BD$5&lt;&gt;"",--(BD150="Congé"),0),IF($BF$5&lt;&gt;"",--(BF150="Congé"),0),IF($BH$5&lt;&gt;"",--(BH150="Congé"),0),IF($BJ$5&lt;&gt;"",--(BJ150="Congé"),0),IF($BL$5&lt;&gt;"",--(BL150="Congé"),0)))</f>
      </c>
      <c r="BQ150" s="22">
        <f>IF($A150="","",SUM(IF($D$5&lt;&gt;"",--(D150="Maladie"),0),IF($F$5&lt;&gt;"",--(F150="Maladie"),0),IF($H$5&lt;&gt;"",--(H150="Maladie"),0),IF($J$5&lt;&gt;"",--(J150="Maladie"),0),IF($L$5&lt;&gt;"",--(L150="Maladie"),0),IF($N$5&lt;&gt;"",--(N150="Maladie"),0),IF($P$5&lt;&gt;"",--(P150="Maladie"),0),IF($R$5&lt;&gt;"",--(R150="Maladie"),0),IF($T$5&lt;&gt;"",--(T150="Maladie"),0),IF($V$5&lt;&gt;"",--(V150="Maladie"),0),IF($X$5&lt;&gt;"",--(X150="Maladie"),0),IF($Z$5&lt;&gt;"",--(Z150="Maladie"),0),IF($AB$5&lt;&gt;"",--(AB150="Maladie"),0),IF($AD$5&lt;&gt;"",--(AD150="Maladie"),0),IF($AF$5&lt;&gt;"",--(AF150="Maladie"),0),IF($AH$5&lt;&gt;"",--(AH150="Maladie"),0),IF($AJ$5&lt;&gt;"",--(AJ150="Maladie"),0),IF($AL$5&lt;&gt;"",--(AL150="Maladie"),0),IF($AN$5&lt;&gt;"",--(AN150="Maladie"),0),IF($AP$5&lt;&gt;"",--(AP150="Maladie"),0),IF($AR$5&lt;&gt;"",--(AR150="Maladie"),0),IF($AT$5&lt;&gt;"",--(AT150="Maladie"),0),IF($AV$5&lt;&gt;"",--(AV150="Maladie"),0),IF($AX$5&lt;&gt;"",--(AX150="Maladie"),0),IF($AZ$5&lt;&gt;"",--(AZ150="Maladie"),0),IF($BB$5&lt;&gt;"",--(BB150="Maladie"),0),IF($BD$5&lt;&gt;"",--(BD150="Maladie"),0),IF($BF$5&lt;&gt;"",--(BF150="Maladie"),0),IF($BH$5&lt;&gt;"",--(BH150="Maladie"),0),IF($BJ$5&lt;&gt;"",--(BJ150="Maladie"),0),IF($BL$5&lt;&gt;"",--(BL150="Maladie"),0)))</f>
      </c>
      <c r="BR150" s="23">
        <f>IF($A150="","",SUM(IF($D$5&lt;&gt;"",IF(D150="Présent",E150,0),0),IF($F$5&lt;&gt;"",IF(F150="Présent",G150,0),0),IF($H$5&lt;&gt;"",IF(H150="Présent",I150,0),0),IF($J$5&lt;&gt;"",IF(J150="Présent",K150,0),0),IF($L$5&lt;&gt;"",IF(L150="Présent",M150,0),0),IF($N$5&lt;&gt;"",IF(N150="Présent",O150,0),0),IF($P$5&lt;&gt;"",IF(P150="Présent",Q150,0),0),IF($R$5&lt;&gt;"",IF(R150="Présent",S150,0),0),IF($T$5&lt;&gt;"",IF(T150="Présent",U150,0),0),IF($V$5&lt;&gt;"",IF(V150="Présent",W150,0),0),IF($X$5&lt;&gt;"",IF(X150="Présent",Y150,0),0),IF($Z$5&lt;&gt;"",IF(Z150="Présent",AA150,0),0),IF($AB$5&lt;&gt;"",IF(AB150="Présent",AC150,0),0),IF($AD$5&lt;&gt;"",IF(AD150="Présent",AE150,0),0),IF($AF$5&lt;&gt;"",IF(AF150="Présent",AG150,0),0),IF($AH$5&lt;&gt;"",IF(AH150="Présent",AI150,0),0),IF($AJ$5&lt;&gt;"",IF(AJ150="Présent",AK150,0),0),IF($AL$5&lt;&gt;"",IF(AL150="Présent",AM150,0),0),IF($AN$5&lt;&gt;"",IF(AN150="Présent",AO150,0),0),IF($AP$5&lt;&gt;"",IF(AP150="Présent",AQ150,0),0),IF($AR$5&lt;&gt;"",IF(AR150="Présent",AS150,0),0),IF($AT$5&lt;&gt;"",IF(AT150="Présent",AU150,0),0),IF($AV$5&lt;&gt;"",IF(AV150="Présent",AW150,0),0),IF($AX$5&lt;&gt;"",IF(AX150="Présent",AY150,0),0),IF($AZ$5&lt;&gt;"",IF(AZ150="Présent",BA150,0),0),IF($BB$5&lt;&gt;"",IF(BB150="Présent",BC150,0),0),IF($BD$5&lt;&gt;"",IF(BD150="Présent",BE150,0),0),IF($BF$5&lt;&gt;"",IF(BF150="Présent",BG150,0),0),IF($BH$5&lt;&gt;"",IF(BH150="Présent",BI150,0),0),IF($BJ$5&lt;&gt;"",IF(BJ150="Présent",BK150,0),0),IF($BL$5&lt;&gt;"",IF(BL150="Présent",BM150,0),0)))</f>
      </c>
      <c r="BS150" s="25">
        <f>IF($A150="","",$BN150*IFERROR(INDEX(Categories_Salaire,MATCH($C150,ListeCategories,0)),0)+$BR150*IF(IFERROR(INDEX(Categories_TauxHS,MATCH($C150,ListeCategories,0)),0)&gt;0,IFERROR(INDEX(Categories_TauxHS,MATCH($C150,ListeCategories,0)),0),TauxHSDefaut))</f>
      </c>
    </row>
    <row r="151">
      <c r="A151" s="20">
        <f>IF(AND(INDEX(Employes_Nom,145)&lt;&gt;"",INDEX(Employes_Statut,145)="Actif",OR(INDEX(Employes_Embauche,145)="",INDEX(Employes_Embauche,145)&lt;=EOMONTH(DATE(AnneeCourante,MoisCourant,1),0))),INDEX(Employes_ID,145),"")</f>
      </c>
      <c r="B151" s="19">
        <f>IF($A151="","",INDEX(Employes_Nom,MATCH($A151,Employes_ID,0)))</f>
      </c>
      <c r="C151" s="20">
        <f>IF($A151="","",INDEX(Employes_Categorie,MATCH($A151,Employes_ID,0)))</f>
      </c>
      <c r="D151" s="26"/>
      <c r="E151" s="27"/>
      <c r="F151" s="26"/>
      <c r="G151" s="27"/>
      <c r="H151" s="26"/>
      <c r="I151" s="27"/>
      <c r="J151" s="26"/>
      <c r="K151" s="27"/>
      <c r="L151" s="26"/>
      <c r="M151" s="27"/>
      <c r="N151" s="26"/>
      <c r="O151" s="27"/>
      <c r="P151" s="26"/>
      <c r="Q151" s="27"/>
      <c r="R151" s="26"/>
      <c r="S151" s="27"/>
      <c r="T151" s="26"/>
      <c r="U151" s="27"/>
      <c r="V151" s="26"/>
      <c r="W151" s="27"/>
      <c r="X151" s="26"/>
      <c r="Y151" s="27"/>
      <c r="Z151" s="26"/>
      <c r="AA151" s="27"/>
      <c r="AB151" s="26"/>
      <c r="AC151" s="27"/>
      <c r="AD151" s="26"/>
      <c r="AE151" s="27"/>
      <c r="AF151" s="26"/>
      <c r="AG151" s="27"/>
      <c r="AH151" s="26"/>
      <c r="AI151" s="27"/>
      <c r="AJ151" s="26"/>
      <c r="AK151" s="27"/>
      <c r="AL151" s="26"/>
      <c r="AM151" s="27"/>
      <c r="AN151" s="26"/>
      <c r="AO151" s="27"/>
      <c r="AP151" s="26"/>
      <c r="AQ151" s="27"/>
      <c r="AR151" s="26"/>
      <c r="AS151" s="27"/>
      <c r="AT151" s="26"/>
      <c r="AU151" s="27"/>
      <c r="AV151" s="26"/>
      <c r="AW151" s="27"/>
      <c r="AX151" s="26"/>
      <c r="AY151" s="27"/>
      <c r="AZ151" s="26"/>
      <c r="BA151" s="27"/>
      <c r="BB151" s="26"/>
      <c r="BC151" s="27"/>
      <c r="BD151" s="26"/>
      <c r="BE151" s="27"/>
      <c r="BF151" s="26"/>
      <c r="BG151" s="27"/>
      <c r="BH151" s="26"/>
      <c r="BI151" s="27"/>
      <c r="BJ151" s="26"/>
      <c r="BK151" s="27"/>
      <c r="BL151" s="26"/>
      <c r="BM151" s="27"/>
      <c r="BN151" s="22">
        <f>IF($A151="","",SUM(IF($D$5&lt;&gt;"",--(D151="Présent"),0),IF($F$5&lt;&gt;"",--(F151="Présent"),0),IF($H$5&lt;&gt;"",--(H151="Présent"),0),IF($J$5&lt;&gt;"",--(J151="Présent"),0),IF($L$5&lt;&gt;"",--(L151="Présent"),0),IF($N$5&lt;&gt;"",--(N151="Présent"),0),IF($P$5&lt;&gt;"",--(P151="Présent"),0),IF($R$5&lt;&gt;"",--(R151="Présent"),0),IF($T$5&lt;&gt;"",--(T151="Présent"),0),IF($V$5&lt;&gt;"",--(V151="Présent"),0),IF($X$5&lt;&gt;"",--(X151="Présent"),0),IF($Z$5&lt;&gt;"",--(Z151="Présent"),0),IF($AB$5&lt;&gt;"",--(AB151="Présent"),0),IF($AD$5&lt;&gt;"",--(AD151="Présent"),0),IF($AF$5&lt;&gt;"",--(AF151="Présent"),0),IF($AH$5&lt;&gt;"",--(AH151="Présent"),0),IF($AJ$5&lt;&gt;"",--(AJ151="Présent"),0),IF($AL$5&lt;&gt;"",--(AL151="Présent"),0),IF($AN$5&lt;&gt;"",--(AN151="Présent"),0),IF($AP$5&lt;&gt;"",--(AP151="Présent"),0),IF($AR$5&lt;&gt;"",--(AR151="Présent"),0),IF($AT$5&lt;&gt;"",--(AT151="Présent"),0),IF($AV$5&lt;&gt;"",--(AV151="Présent"),0),IF($AX$5&lt;&gt;"",--(AX151="Présent"),0),IF($AZ$5&lt;&gt;"",--(AZ151="Présent"),0),IF($BB$5&lt;&gt;"",--(BB151="Présent"),0),IF($BD$5&lt;&gt;"",--(BD151="Présent"),0),IF($BF$5&lt;&gt;"",--(BF151="Présent"),0),IF($BH$5&lt;&gt;"",--(BH151="Présent"),0),IF($BJ$5&lt;&gt;"",--(BJ151="Présent"),0),IF($BL$5&lt;&gt;"",--(BL151="Présent"),0)))</f>
      </c>
      <c r="BO151" s="22">
        <f>IF($A151="","",SUM(IF($D$5&lt;&gt;"",--(D151="Absent"),0),IF($F$5&lt;&gt;"",--(F151="Absent"),0),IF($H$5&lt;&gt;"",--(H151="Absent"),0),IF($J$5&lt;&gt;"",--(J151="Absent"),0),IF($L$5&lt;&gt;"",--(L151="Absent"),0),IF($N$5&lt;&gt;"",--(N151="Absent"),0),IF($P$5&lt;&gt;"",--(P151="Absent"),0),IF($R$5&lt;&gt;"",--(R151="Absent"),0),IF($T$5&lt;&gt;"",--(T151="Absent"),0),IF($V$5&lt;&gt;"",--(V151="Absent"),0),IF($X$5&lt;&gt;"",--(X151="Absent"),0),IF($Z$5&lt;&gt;"",--(Z151="Absent"),0),IF($AB$5&lt;&gt;"",--(AB151="Absent"),0),IF($AD$5&lt;&gt;"",--(AD151="Absent"),0),IF($AF$5&lt;&gt;"",--(AF151="Absent"),0),IF($AH$5&lt;&gt;"",--(AH151="Absent"),0),IF($AJ$5&lt;&gt;"",--(AJ151="Absent"),0),IF($AL$5&lt;&gt;"",--(AL151="Absent"),0),IF($AN$5&lt;&gt;"",--(AN151="Absent"),0),IF($AP$5&lt;&gt;"",--(AP151="Absent"),0),IF($AR$5&lt;&gt;"",--(AR151="Absent"),0),IF($AT$5&lt;&gt;"",--(AT151="Absent"),0),IF($AV$5&lt;&gt;"",--(AV151="Absent"),0),IF($AX$5&lt;&gt;"",--(AX151="Absent"),0),IF($AZ$5&lt;&gt;"",--(AZ151="Absent"),0),IF($BB$5&lt;&gt;"",--(BB151="Absent"),0),IF($BD$5&lt;&gt;"",--(BD151="Absent"),0),IF($BF$5&lt;&gt;"",--(BF151="Absent"),0),IF($BH$5&lt;&gt;"",--(BH151="Absent"),0),IF($BJ$5&lt;&gt;"",--(BJ151="Absent"),0),IF($BL$5&lt;&gt;"",--(BL151="Absent"),0)))</f>
      </c>
      <c r="BP151" s="22">
        <f>IF($A151="","",SUM(IF($D$5&lt;&gt;"",--(D151="Congé"),0),IF($F$5&lt;&gt;"",--(F151="Congé"),0),IF($H$5&lt;&gt;"",--(H151="Congé"),0),IF($J$5&lt;&gt;"",--(J151="Congé"),0),IF($L$5&lt;&gt;"",--(L151="Congé"),0),IF($N$5&lt;&gt;"",--(N151="Congé"),0),IF($P$5&lt;&gt;"",--(P151="Congé"),0),IF($R$5&lt;&gt;"",--(R151="Congé"),0),IF($T$5&lt;&gt;"",--(T151="Congé"),0),IF($V$5&lt;&gt;"",--(V151="Congé"),0),IF($X$5&lt;&gt;"",--(X151="Congé"),0),IF($Z$5&lt;&gt;"",--(Z151="Congé"),0),IF($AB$5&lt;&gt;"",--(AB151="Congé"),0),IF($AD$5&lt;&gt;"",--(AD151="Congé"),0),IF($AF$5&lt;&gt;"",--(AF151="Congé"),0),IF($AH$5&lt;&gt;"",--(AH151="Congé"),0),IF($AJ$5&lt;&gt;"",--(AJ151="Congé"),0),IF($AL$5&lt;&gt;"",--(AL151="Congé"),0),IF($AN$5&lt;&gt;"",--(AN151="Congé"),0),IF($AP$5&lt;&gt;"",--(AP151="Congé"),0),IF($AR$5&lt;&gt;"",--(AR151="Congé"),0),IF($AT$5&lt;&gt;"",--(AT151="Congé"),0),IF($AV$5&lt;&gt;"",--(AV151="Congé"),0),IF($AX$5&lt;&gt;"",--(AX151="Congé"),0),IF($AZ$5&lt;&gt;"",--(AZ151="Congé"),0),IF($BB$5&lt;&gt;"",--(BB151="Congé"),0),IF($BD$5&lt;&gt;"",--(BD151="Congé"),0),IF($BF$5&lt;&gt;"",--(BF151="Congé"),0),IF($BH$5&lt;&gt;"",--(BH151="Congé"),0),IF($BJ$5&lt;&gt;"",--(BJ151="Congé"),0),IF($BL$5&lt;&gt;"",--(BL151="Congé"),0)))</f>
      </c>
      <c r="BQ151" s="22">
        <f>IF($A151="","",SUM(IF($D$5&lt;&gt;"",--(D151="Maladie"),0),IF($F$5&lt;&gt;"",--(F151="Maladie"),0),IF($H$5&lt;&gt;"",--(H151="Maladie"),0),IF($J$5&lt;&gt;"",--(J151="Maladie"),0),IF($L$5&lt;&gt;"",--(L151="Maladie"),0),IF($N$5&lt;&gt;"",--(N151="Maladie"),0),IF($P$5&lt;&gt;"",--(P151="Maladie"),0),IF($R$5&lt;&gt;"",--(R151="Maladie"),0),IF($T$5&lt;&gt;"",--(T151="Maladie"),0),IF($V$5&lt;&gt;"",--(V151="Maladie"),0),IF($X$5&lt;&gt;"",--(X151="Maladie"),0),IF($Z$5&lt;&gt;"",--(Z151="Maladie"),0),IF($AB$5&lt;&gt;"",--(AB151="Maladie"),0),IF($AD$5&lt;&gt;"",--(AD151="Maladie"),0),IF($AF$5&lt;&gt;"",--(AF151="Maladie"),0),IF($AH$5&lt;&gt;"",--(AH151="Maladie"),0),IF($AJ$5&lt;&gt;"",--(AJ151="Maladie"),0),IF($AL$5&lt;&gt;"",--(AL151="Maladie"),0),IF($AN$5&lt;&gt;"",--(AN151="Maladie"),0),IF($AP$5&lt;&gt;"",--(AP151="Maladie"),0),IF($AR$5&lt;&gt;"",--(AR151="Maladie"),0),IF($AT$5&lt;&gt;"",--(AT151="Maladie"),0),IF($AV$5&lt;&gt;"",--(AV151="Maladie"),0),IF($AX$5&lt;&gt;"",--(AX151="Maladie"),0),IF($AZ$5&lt;&gt;"",--(AZ151="Maladie"),0),IF($BB$5&lt;&gt;"",--(BB151="Maladie"),0),IF($BD$5&lt;&gt;"",--(BD151="Maladie"),0),IF($BF$5&lt;&gt;"",--(BF151="Maladie"),0),IF($BH$5&lt;&gt;"",--(BH151="Maladie"),0),IF($BJ$5&lt;&gt;"",--(BJ151="Maladie"),0),IF($BL$5&lt;&gt;"",--(BL151="Maladie"),0)))</f>
      </c>
      <c r="BR151" s="23">
        <f>IF($A151="","",SUM(IF($D$5&lt;&gt;"",IF(D151="Présent",E151,0),0),IF($F$5&lt;&gt;"",IF(F151="Présent",G151,0),0),IF($H$5&lt;&gt;"",IF(H151="Présent",I151,0),0),IF($J$5&lt;&gt;"",IF(J151="Présent",K151,0),0),IF($L$5&lt;&gt;"",IF(L151="Présent",M151,0),0),IF($N$5&lt;&gt;"",IF(N151="Présent",O151,0),0),IF($P$5&lt;&gt;"",IF(P151="Présent",Q151,0),0),IF($R$5&lt;&gt;"",IF(R151="Présent",S151,0),0),IF($T$5&lt;&gt;"",IF(T151="Présent",U151,0),0),IF($V$5&lt;&gt;"",IF(V151="Présent",W151,0),0),IF($X$5&lt;&gt;"",IF(X151="Présent",Y151,0),0),IF($Z$5&lt;&gt;"",IF(Z151="Présent",AA151,0),0),IF($AB$5&lt;&gt;"",IF(AB151="Présent",AC151,0),0),IF($AD$5&lt;&gt;"",IF(AD151="Présent",AE151,0),0),IF($AF$5&lt;&gt;"",IF(AF151="Présent",AG151,0),0),IF($AH$5&lt;&gt;"",IF(AH151="Présent",AI151,0),0),IF($AJ$5&lt;&gt;"",IF(AJ151="Présent",AK151,0),0),IF($AL$5&lt;&gt;"",IF(AL151="Présent",AM151,0),0),IF($AN$5&lt;&gt;"",IF(AN151="Présent",AO151,0),0),IF($AP$5&lt;&gt;"",IF(AP151="Présent",AQ151,0),0),IF($AR$5&lt;&gt;"",IF(AR151="Présent",AS151,0),0),IF($AT$5&lt;&gt;"",IF(AT151="Présent",AU151,0),0),IF($AV$5&lt;&gt;"",IF(AV151="Présent",AW151,0),0),IF($AX$5&lt;&gt;"",IF(AX151="Présent",AY151,0),0),IF($AZ$5&lt;&gt;"",IF(AZ151="Présent",BA151,0),0),IF($BB$5&lt;&gt;"",IF(BB151="Présent",BC151,0),0),IF($BD$5&lt;&gt;"",IF(BD151="Présent",BE151,0),0),IF($BF$5&lt;&gt;"",IF(BF151="Présent",BG151,0),0),IF($BH$5&lt;&gt;"",IF(BH151="Présent",BI151,0),0),IF($BJ$5&lt;&gt;"",IF(BJ151="Présent",BK151,0),0),IF($BL$5&lt;&gt;"",IF(BL151="Présent",BM151,0),0)))</f>
      </c>
      <c r="BS151" s="25">
        <f>IF($A151="","",$BN151*IFERROR(INDEX(Categories_Salaire,MATCH($C151,ListeCategories,0)),0)+$BR151*IF(IFERROR(INDEX(Categories_TauxHS,MATCH($C151,ListeCategories,0)),0)&gt;0,IFERROR(INDEX(Categories_TauxHS,MATCH($C151,ListeCategories,0)),0),TauxHSDefaut))</f>
      </c>
    </row>
    <row r="152">
      <c r="A152" s="20">
        <f>IF(AND(INDEX(Employes_Nom,146)&lt;&gt;"",INDEX(Employes_Statut,146)="Actif",OR(INDEX(Employes_Embauche,146)="",INDEX(Employes_Embauche,146)&lt;=EOMONTH(DATE(AnneeCourante,MoisCourant,1),0))),INDEX(Employes_ID,146),"")</f>
      </c>
      <c r="B152" s="19">
        <f>IF($A152="","",INDEX(Employes_Nom,MATCH($A152,Employes_ID,0)))</f>
      </c>
      <c r="C152" s="20">
        <f>IF($A152="","",INDEX(Employes_Categorie,MATCH($A152,Employes_ID,0)))</f>
      </c>
      <c r="D152" s="26"/>
      <c r="E152" s="27"/>
      <c r="F152" s="26"/>
      <c r="G152" s="27"/>
      <c r="H152" s="26"/>
      <c r="I152" s="27"/>
      <c r="J152" s="26"/>
      <c r="K152" s="27"/>
      <c r="L152" s="26"/>
      <c r="M152" s="27"/>
      <c r="N152" s="26"/>
      <c r="O152" s="27"/>
      <c r="P152" s="26"/>
      <c r="Q152" s="27"/>
      <c r="R152" s="26"/>
      <c r="S152" s="27"/>
      <c r="T152" s="26"/>
      <c r="U152" s="27"/>
      <c r="V152" s="26"/>
      <c r="W152" s="27"/>
      <c r="X152" s="26"/>
      <c r="Y152" s="27"/>
      <c r="Z152" s="26"/>
      <c r="AA152" s="27"/>
      <c r="AB152" s="26"/>
      <c r="AC152" s="27"/>
      <c r="AD152" s="26"/>
      <c r="AE152" s="27"/>
      <c r="AF152" s="26"/>
      <c r="AG152" s="27"/>
      <c r="AH152" s="26"/>
      <c r="AI152" s="27"/>
      <c r="AJ152" s="26"/>
      <c r="AK152" s="27"/>
      <c r="AL152" s="26"/>
      <c r="AM152" s="27"/>
      <c r="AN152" s="26"/>
      <c r="AO152" s="27"/>
      <c r="AP152" s="26"/>
      <c r="AQ152" s="27"/>
      <c r="AR152" s="26"/>
      <c r="AS152" s="27"/>
      <c r="AT152" s="26"/>
      <c r="AU152" s="27"/>
      <c r="AV152" s="26"/>
      <c r="AW152" s="27"/>
      <c r="AX152" s="26"/>
      <c r="AY152" s="27"/>
      <c r="AZ152" s="26"/>
      <c r="BA152" s="27"/>
      <c r="BB152" s="26"/>
      <c r="BC152" s="27"/>
      <c r="BD152" s="26"/>
      <c r="BE152" s="27"/>
      <c r="BF152" s="26"/>
      <c r="BG152" s="27"/>
      <c r="BH152" s="26"/>
      <c r="BI152" s="27"/>
      <c r="BJ152" s="26"/>
      <c r="BK152" s="27"/>
      <c r="BL152" s="26"/>
      <c r="BM152" s="27"/>
      <c r="BN152" s="22">
        <f>IF($A152="","",SUM(IF($D$5&lt;&gt;"",--(D152="Présent"),0),IF($F$5&lt;&gt;"",--(F152="Présent"),0),IF($H$5&lt;&gt;"",--(H152="Présent"),0),IF($J$5&lt;&gt;"",--(J152="Présent"),0),IF($L$5&lt;&gt;"",--(L152="Présent"),0),IF($N$5&lt;&gt;"",--(N152="Présent"),0),IF($P$5&lt;&gt;"",--(P152="Présent"),0),IF($R$5&lt;&gt;"",--(R152="Présent"),0),IF($T$5&lt;&gt;"",--(T152="Présent"),0),IF($V$5&lt;&gt;"",--(V152="Présent"),0),IF($X$5&lt;&gt;"",--(X152="Présent"),0),IF($Z$5&lt;&gt;"",--(Z152="Présent"),0),IF($AB$5&lt;&gt;"",--(AB152="Présent"),0),IF($AD$5&lt;&gt;"",--(AD152="Présent"),0),IF($AF$5&lt;&gt;"",--(AF152="Présent"),0),IF($AH$5&lt;&gt;"",--(AH152="Présent"),0),IF($AJ$5&lt;&gt;"",--(AJ152="Présent"),0),IF($AL$5&lt;&gt;"",--(AL152="Présent"),0),IF($AN$5&lt;&gt;"",--(AN152="Présent"),0),IF($AP$5&lt;&gt;"",--(AP152="Présent"),0),IF($AR$5&lt;&gt;"",--(AR152="Présent"),0),IF($AT$5&lt;&gt;"",--(AT152="Présent"),0),IF($AV$5&lt;&gt;"",--(AV152="Présent"),0),IF($AX$5&lt;&gt;"",--(AX152="Présent"),0),IF($AZ$5&lt;&gt;"",--(AZ152="Présent"),0),IF($BB$5&lt;&gt;"",--(BB152="Présent"),0),IF($BD$5&lt;&gt;"",--(BD152="Présent"),0),IF($BF$5&lt;&gt;"",--(BF152="Présent"),0),IF($BH$5&lt;&gt;"",--(BH152="Présent"),0),IF($BJ$5&lt;&gt;"",--(BJ152="Présent"),0),IF($BL$5&lt;&gt;"",--(BL152="Présent"),0)))</f>
      </c>
      <c r="BO152" s="22">
        <f>IF($A152="","",SUM(IF($D$5&lt;&gt;"",--(D152="Absent"),0),IF($F$5&lt;&gt;"",--(F152="Absent"),0),IF($H$5&lt;&gt;"",--(H152="Absent"),0),IF($J$5&lt;&gt;"",--(J152="Absent"),0),IF($L$5&lt;&gt;"",--(L152="Absent"),0),IF($N$5&lt;&gt;"",--(N152="Absent"),0),IF($P$5&lt;&gt;"",--(P152="Absent"),0),IF($R$5&lt;&gt;"",--(R152="Absent"),0),IF($T$5&lt;&gt;"",--(T152="Absent"),0),IF($V$5&lt;&gt;"",--(V152="Absent"),0),IF($X$5&lt;&gt;"",--(X152="Absent"),0),IF($Z$5&lt;&gt;"",--(Z152="Absent"),0),IF($AB$5&lt;&gt;"",--(AB152="Absent"),0),IF($AD$5&lt;&gt;"",--(AD152="Absent"),0),IF($AF$5&lt;&gt;"",--(AF152="Absent"),0),IF($AH$5&lt;&gt;"",--(AH152="Absent"),0),IF($AJ$5&lt;&gt;"",--(AJ152="Absent"),0),IF($AL$5&lt;&gt;"",--(AL152="Absent"),0),IF($AN$5&lt;&gt;"",--(AN152="Absent"),0),IF($AP$5&lt;&gt;"",--(AP152="Absent"),0),IF($AR$5&lt;&gt;"",--(AR152="Absent"),0),IF($AT$5&lt;&gt;"",--(AT152="Absent"),0),IF($AV$5&lt;&gt;"",--(AV152="Absent"),0),IF($AX$5&lt;&gt;"",--(AX152="Absent"),0),IF($AZ$5&lt;&gt;"",--(AZ152="Absent"),0),IF($BB$5&lt;&gt;"",--(BB152="Absent"),0),IF($BD$5&lt;&gt;"",--(BD152="Absent"),0),IF($BF$5&lt;&gt;"",--(BF152="Absent"),0),IF($BH$5&lt;&gt;"",--(BH152="Absent"),0),IF($BJ$5&lt;&gt;"",--(BJ152="Absent"),0),IF($BL$5&lt;&gt;"",--(BL152="Absent"),0)))</f>
      </c>
      <c r="BP152" s="22">
        <f>IF($A152="","",SUM(IF($D$5&lt;&gt;"",--(D152="Congé"),0),IF($F$5&lt;&gt;"",--(F152="Congé"),0),IF($H$5&lt;&gt;"",--(H152="Congé"),0),IF($J$5&lt;&gt;"",--(J152="Congé"),0),IF($L$5&lt;&gt;"",--(L152="Congé"),0),IF($N$5&lt;&gt;"",--(N152="Congé"),0),IF($P$5&lt;&gt;"",--(P152="Congé"),0),IF($R$5&lt;&gt;"",--(R152="Congé"),0),IF($T$5&lt;&gt;"",--(T152="Congé"),0),IF($V$5&lt;&gt;"",--(V152="Congé"),0),IF($X$5&lt;&gt;"",--(X152="Congé"),0),IF($Z$5&lt;&gt;"",--(Z152="Congé"),0),IF($AB$5&lt;&gt;"",--(AB152="Congé"),0),IF($AD$5&lt;&gt;"",--(AD152="Congé"),0),IF($AF$5&lt;&gt;"",--(AF152="Congé"),0),IF($AH$5&lt;&gt;"",--(AH152="Congé"),0),IF($AJ$5&lt;&gt;"",--(AJ152="Congé"),0),IF($AL$5&lt;&gt;"",--(AL152="Congé"),0),IF($AN$5&lt;&gt;"",--(AN152="Congé"),0),IF($AP$5&lt;&gt;"",--(AP152="Congé"),0),IF($AR$5&lt;&gt;"",--(AR152="Congé"),0),IF($AT$5&lt;&gt;"",--(AT152="Congé"),0),IF($AV$5&lt;&gt;"",--(AV152="Congé"),0),IF($AX$5&lt;&gt;"",--(AX152="Congé"),0),IF($AZ$5&lt;&gt;"",--(AZ152="Congé"),0),IF($BB$5&lt;&gt;"",--(BB152="Congé"),0),IF($BD$5&lt;&gt;"",--(BD152="Congé"),0),IF($BF$5&lt;&gt;"",--(BF152="Congé"),0),IF($BH$5&lt;&gt;"",--(BH152="Congé"),0),IF($BJ$5&lt;&gt;"",--(BJ152="Congé"),0),IF($BL$5&lt;&gt;"",--(BL152="Congé"),0)))</f>
      </c>
      <c r="BQ152" s="22">
        <f>IF($A152="","",SUM(IF($D$5&lt;&gt;"",--(D152="Maladie"),0),IF($F$5&lt;&gt;"",--(F152="Maladie"),0),IF($H$5&lt;&gt;"",--(H152="Maladie"),0),IF($J$5&lt;&gt;"",--(J152="Maladie"),0),IF($L$5&lt;&gt;"",--(L152="Maladie"),0),IF($N$5&lt;&gt;"",--(N152="Maladie"),0),IF($P$5&lt;&gt;"",--(P152="Maladie"),0),IF($R$5&lt;&gt;"",--(R152="Maladie"),0),IF($T$5&lt;&gt;"",--(T152="Maladie"),0),IF($V$5&lt;&gt;"",--(V152="Maladie"),0),IF($X$5&lt;&gt;"",--(X152="Maladie"),0),IF($Z$5&lt;&gt;"",--(Z152="Maladie"),0),IF($AB$5&lt;&gt;"",--(AB152="Maladie"),0),IF($AD$5&lt;&gt;"",--(AD152="Maladie"),0),IF($AF$5&lt;&gt;"",--(AF152="Maladie"),0),IF($AH$5&lt;&gt;"",--(AH152="Maladie"),0),IF($AJ$5&lt;&gt;"",--(AJ152="Maladie"),0),IF($AL$5&lt;&gt;"",--(AL152="Maladie"),0),IF($AN$5&lt;&gt;"",--(AN152="Maladie"),0),IF($AP$5&lt;&gt;"",--(AP152="Maladie"),0),IF($AR$5&lt;&gt;"",--(AR152="Maladie"),0),IF($AT$5&lt;&gt;"",--(AT152="Maladie"),0),IF($AV$5&lt;&gt;"",--(AV152="Maladie"),0),IF($AX$5&lt;&gt;"",--(AX152="Maladie"),0),IF($AZ$5&lt;&gt;"",--(AZ152="Maladie"),0),IF($BB$5&lt;&gt;"",--(BB152="Maladie"),0),IF($BD$5&lt;&gt;"",--(BD152="Maladie"),0),IF($BF$5&lt;&gt;"",--(BF152="Maladie"),0),IF($BH$5&lt;&gt;"",--(BH152="Maladie"),0),IF($BJ$5&lt;&gt;"",--(BJ152="Maladie"),0),IF($BL$5&lt;&gt;"",--(BL152="Maladie"),0)))</f>
      </c>
      <c r="BR152" s="23">
        <f>IF($A152="","",SUM(IF($D$5&lt;&gt;"",IF(D152="Présent",E152,0),0),IF($F$5&lt;&gt;"",IF(F152="Présent",G152,0),0),IF($H$5&lt;&gt;"",IF(H152="Présent",I152,0),0),IF($J$5&lt;&gt;"",IF(J152="Présent",K152,0),0),IF($L$5&lt;&gt;"",IF(L152="Présent",M152,0),0),IF($N$5&lt;&gt;"",IF(N152="Présent",O152,0),0),IF($P$5&lt;&gt;"",IF(P152="Présent",Q152,0),0),IF($R$5&lt;&gt;"",IF(R152="Présent",S152,0),0),IF($T$5&lt;&gt;"",IF(T152="Présent",U152,0),0),IF($V$5&lt;&gt;"",IF(V152="Présent",W152,0),0),IF($X$5&lt;&gt;"",IF(X152="Présent",Y152,0),0),IF($Z$5&lt;&gt;"",IF(Z152="Présent",AA152,0),0),IF($AB$5&lt;&gt;"",IF(AB152="Présent",AC152,0),0),IF($AD$5&lt;&gt;"",IF(AD152="Présent",AE152,0),0),IF($AF$5&lt;&gt;"",IF(AF152="Présent",AG152,0),0),IF($AH$5&lt;&gt;"",IF(AH152="Présent",AI152,0),0),IF($AJ$5&lt;&gt;"",IF(AJ152="Présent",AK152,0),0),IF($AL$5&lt;&gt;"",IF(AL152="Présent",AM152,0),0),IF($AN$5&lt;&gt;"",IF(AN152="Présent",AO152,0),0),IF($AP$5&lt;&gt;"",IF(AP152="Présent",AQ152,0),0),IF($AR$5&lt;&gt;"",IF(AR152="Présent",AS152,0),0),IF($AT$5&lt;&gt;"",IF(AT152="Présent",AU152,0),0),IF($AV$5&lt;&gt;"",IF(AV152="Présent",AW152,0),0),IF($AX$5&lt;&gt;"",IF(AX152="Présent",AY152,0),0),IF($AZ$5&lt;&gt;"",IF(AZ152="Présent",BA152,0),0),IF($BB$5&lt;&gt;"",IF(BB152="Présent",BC152,0),0),IF($BD$5&lt;&gt;"",IF(BD152="Présent",BE152,0),0),IF($BF$5&lt;&gt;"",IF(BF152="Présent",BG152,0),0),IF($BH$5&lt;&gt;"",IF(BH152="Présent",BI152,0),0),IF($BJ$5&lt;&gt;"",IF(BJ152="Présent",BK152,0),0),IF($BL$5&lt;&gt;"",IF(BL152="Présent",BM152,0),0)))</f>
      </c>
      <c r="BS152" s="25">
        <f>IF($A152="","",$BN152*IFERROR(INDEX(Categories_Salaire,MATCH($C152,ListeCategories,0)),0)+$BR152*IF(IFERROR(INDEX(Categories_TauxHS,MATCH($C152,ListeCategories,0)),0)&gt;0,IFERROR(INDEX(Categories_TauxHS,MATCH($C152,ListeCategories,0)),0),TauxHSDefaut))</f>
      </c>
    </row>
    <row r="153">
      <c r="A153" s="20">
        <f>IF(AND(INDEX(Employes_Nom,147)&lt;&gt;"",INDEX(Employes_Statut,147)="Actif",OR(INDEX(Employes_Embauche,147)="",INDEX(Employes_Embauche,147)&lt;=EOMONTH(DATE(AnneeCourante,MoisCourant,1),0))),INDEX(Employes_ID,147),"")</f>
      </c>
      <c r="B153" s="19">
        <f>IF($A153="","",INDEX(Employes_Nom,MATCH($A153,Employes_ID,0)))</f>
      </c>
      <c r="C153" s="20">
        <f>IF($A153="","",INDEX(Employes_Categorie,MATCH($A153,Employes_ID,0)))</f>
      </c>
      <c r="D153" s="26"/>
      <c r="E153" s="27"/>
      <c r="F153" s="26"/>
      <c r="G153" s="27"/>
      <c r="H153" s="26"/>
      <c r="I153" s="27"/>
      <c r="J153" s="26"/>
      <c r="K153" s="27"/>
      <c r="L153" s="26"/>
      <c r="M153" s="27"/>
      <c r="N153" s="26"/>
      <c r="O153" s="27"/>
      <c r="P153" s="26"/>
      <c r="Q153" s="27"/>
      <c r="R153" s="26"/>
      <c r="S153" s="27"/>
      <c r="T153" s="26"/>
      <c r="U153" s="27"/>
      <c r="V153" s="26"/>
      <c r="W153" s="27"/>
      <c r="X153" s="26"/>
      <c r="Y153" s="27"/>
      <c r="Z153" s="26"/>
      <c r="AA153" s="27"/>
      <c r="AB153" s="26"/>
      <c r="AC153" s="27"/>
      <c r="AD153" s="26"/>
      <c r="AE153" s="27"/>
      <c r="AF153" s="26"/>
      <c r="AG153" s="27"/>
      <c r="AH153" s="26"/>
      <c r="AI153" s="27"/>
      <c r="AJ153" s="26"/>
      <c r="AK153" s="27"/>
      <c r="AL153" s="26"/>
      <c r="AM153" s="27"/>
      <c r="AN153" s="26"/>
      <c r="AO153" s="27"/>
      <c r="AP153" s="26"/>
      <c r="AQ153" s="27"/>
      <c r="AR153" s="26"/>
      <c r="AS153" s="27"/>
      <c r="AT153" s="26"/>
      <c r="AU153" s="27"/>
      <c r="AV153" s="26"/>
      <c r="AW153" s="27"/>
      <c r="AX153" s="26"/>
      <c r="AY153" s="27"/>
      <c r="AZ153" s="26"/>
      <c r="BA153" s="27"/>
      <c r="BB153" s="26"/>
      <c r="BC153" s="27"/>
      <c r="BD153" s="26"/>
      <c r="BE153" s="27"/>
      <c r="BF153" s="26"/>
      <c r="BG153" s="27"/>
      <c r="BH153" s="26"/>
      <c r="BI153" s="27"/>
      <c r="BJ153" s="26"/>
      <c r="BK153" s="27"/>
      <c r="BL153" s="26"/>
      <c r="BM153" s="27"/>
      <c r="BN153" s="22">
        <f>IF($A153="","",SUM(IF($D$5&lt;&gt;"",--(D153="Présent"),0),IF($F$5&lt;&gt;"",--(F153="Présent"),0),IF($H$5&lt;&gt;"",--(H153="Présent"),0),IF($J$5&lt;&gt;"",--(J153="Présent"),0),IF($L$5&lt;&gt;"",--(L153="Présent"),0),IF($N$5&lt;&gt;"",--(N153="Présent"),0),IF($P$5&lt;&gt;"",--(P153="Présent"),0),IF($R$5&lt;&gt;"",--(R153="Présent"),0),IF($T$5&lt;&gt;"",--(T153="Présent"),0),IF($V$5&lt;&gt;"",--(V153="Présent"),0),IF($X$5&lt;&gt;"",--(X153="Présent"),0),IF($Z$5&lt;&gt;"",--(Z153="Présent"),0),IF($AB$5&lt;&gt;"",--(AB153="Présent"),0),IF($AD$5&lt;&gt;"",--(AD153="Présent"),0),IF($AF$5&lt;&gt;"",--(AF153="Présent"),0),IF($AH$5&lt;&gt;"",--(AH153="Présent"),0),IF($AJ$5&lt;&gt;"",--(AJ153="Présent"),0),IF($AL$5&lt;&gt;"",--(AL153="Présent"),0),IF($AN$5&lt;&gt;"",--(AN153="Présent"),0),IF($AP$5&lt;&gt;"",--(AP153="Présent"),0),IF($AR$5&lt;&gt;"",--(AR153="Présent"),0),IF($AT$5&lt;&gt;"",--(AT153="Présent"),0),IF($AV$5&lt;&gt;"",--(AV153="Présent"),0),IF($AX$5&lt;&gt;"",--(AX153="Présent"),0),IF($AZ$5&lt;&gt;"",--(AZ153="Présent"),0),IF($BB$5&lt;&gt;"",--(BB153="Présent"),0),IF($BD$5&lt;&gt;"",--(BD153="Présent"),0),IF($BF$5&lt;&gt;"",--(BF153="Présent"),0),IF($BH$5&lt;&gt;"",--(BH153="Présent"),0),IF($BJ$5&lt;&gt;"",--(BJ153="Présent"),0),IF($BL$5&lt;&gt;"",--(BL153="Présent"),0)))</f>
      </c>
      <c r="BO153" s="22">
        <f>IF($A153="","",SUM(IF($D$5&lt;&gt;"",--(D153="Absent"),0),IF($F$5&lt;&gt;"",--(F153="Absent"),0),IF($H$5&lt;&gt;"",--(H153="Absent"),0),IF($J$5&lt;&gt;"",--(J153="Absent"),0),IF($L$5&lt;&gt;"",--(L153="Absent"),0),IF($N$5&lt;&gt;"",--(N153="Absent"),0),IF($P$5&lt;&gt;"",--(P153="Absent"),0),IF($R$5&lt;&gt;"",--(R153="Absent"),0),IF($T$5&lt;&gt;"",--(T153="Absent"),0),IF($V$5&lt;&gt;"",--(V153="Absent"),0),IF($X$5&lt;&gt;"",--(X153="Absent"),0),IF($Z$5&lt;&gt;"",--(Z153="Absent"),0),IF($AB$5&lt;&gt;"",--(AB153="Absent"),0),IF($AD$5&lt;&gt;"",--(AD153="Absent"),0),IF($AF$5&lt;&gt;"",--(AF153="Absent"),0),IF($AH$5&lt;&gt;"",--(AH153="Absent"),0),IF($AJ$5&lt;&gt;"",--(AJ153="Absent"),0),IF($AL$5&lt;&gt;"",--(AL153="Absent"),0),IF($AN$5&lt;&gt;"",--(AN153="Absent"),0),IF($AP$5&lt;&gt;"",--(AP153="Absent"),0),IF($AR$5&lt;&gt;"",--(AR153="Absent"),0),IF($AT$5&lt;&gt;"",--(AT153="Absent"),0),IF($AV$5&lt;&gt;"",--(AV153="Absent"),0),IF($AX$5&lt;&gt;"",--(AX153="Absent"),0),IF($AZ$5&lt;&gt;"",--(AZ153="Absent"),0),IF($BB$5&lt;&gt;"",--(BB153="Absent"),0),IF($BD$5&lt;&gt;"",--(BD153="Absent"),0),IF($BF$5&lt;&gt;"",--(BF153="Absent"),0),IF($BH$5&lt;&gt;"",--(BH153="Absent"),0),IF($BJ$5&lt;&gt;"",--(BJ153="Absent"),0),IF($BL$5&lt;&gt;"",--(BL153="Absent"),0)))</f>
      </c>
      <c r="BP153" s="22">
        <f>IF($A153="","",SUM(IF($D$5&lt;&gt;"",--(D153="Congé"),0),IF($F$5&lt;&gt;"",--(F153="Congé"),0),IF($H$5&lt;&gt;"",--(H153="Congé"),0),IF($J$5&lt;&gt;"",--(J153="Congé"),0),IF($L$5&lt;&gt;"",--(L153="Congé"),0),IF($N$5&lt;&gt;"",--(N153="Congé"),0),IF($P$5&lt;&gt;"",--(P153="Congé"),0),IF($R$5&lt;&gt;"",--(R153="Congé"),0),IF($T$5&lt;&gt;"",--(T153="Congé"),0),IF($V$5&lt;&gt;"",--(V153="Congé"),0),IF($X$5&lt;&gt;"",--(X153="Congé"),0),IF($Z$5&lt;&gt;"",--(Z153="Congé"),0),IF($AB$5&lt;&gt;"",--(AB153="Congé"),0),IF($AD$5&lt;&gt;"",--(AD153="Congé"),0),IF($AF$5&lt;&gt;"",--(AF153="Congé"),0),IF($AH$5&lt;&gt;"",--(AH153="Congé"),0),IF($AJ$5&lt;&gt;"",--(AJ153="Congé"),0),IF($AL$5&lt;&gt;"",--(AL153="Congé"),0),IF($AN$5&lt;&gt;"",--(AN153="Congé"),0),IF($AP$5&lt;&gt;"",--(AP153="Congé"),0),IF($AR$5&lt;&gt;"",--(AR153="Congé"),0),IF($AT$5&lt;&gt;"",--(AT153="Congé"),0),IF($AV$5&lt;&gt;"",--(AV153="Congé"),0),IF($AX$5&lt;&gt;"",--(AX153="Congé"),0),IF($AZ$5&lt;&gt;"",--(AZ153="Congé"),0),IF($BB$5&lt;&gt;"",--(BB153="Congé"),0),IF($BD$5&lt;&gt;"",--(BD153="Congé"),0),IF($BF$5&lt;&gt;"",--(BF153="Congé"),0),IF($BH$5&lt;&gt;"",--(BH153="Congé"),0),IF($BJ$5&lt;&gt;"",--(BJ153="Congé"),0),IF($BL$5&lt;&gt;"",--(BL153="Congé"),0)))</f>
      </c>
      <c r="BQ153" s="22">
        <f>IF($A153="","",SUM(IF($D$5&lt;&gt;"",--(D153="Maladie"),0),IF($F$5&lt;&gt;"",--(F153="Maladie"),0),IF($H$5&lt;&gt;"",--(H153="Maladie"),0),IF($J$5&lt;&gt;"",--(J153="Maladie"),0),IF($L$5&lt;&gt;"",--(L153="Maladie"),0),IF($N$5&lt;&gt;"",--(N153="Maladie"),0),IF($P$5&lt;&gt;"",--(P153="Maladie"),0),IF($R$5&lt;&gt;"",--(R153="Maladie"),0),IF($T$5&lt;&gt;"",--(T153="Maladie"),0),IF($V$5&lt;&gt;"",--(V153="Maladie"),0),IF($X$5&lt;&gt;"",--(X153="Maladie"),0),IF($Z$5&lt;&gt;"",--(Z153="Maladie"),0),IF($AB$5&lt;&gt;"",--(AB153="Maladie"),0),IF($AD$5&lt;&gt;"",--(AD153="Maladie"),0),IF($AF$5&lt;&gt;"",--(AF153="Maladie"),0),IF($AH$5&lt;&gt;"",--(AH153="Maladie"),0),IF($AJ$5&lt;&gt;"",--(AJ153="Maladie"),0),IF($AL$5&lt;&gt;"",--(AL153="Maladie"),0),IF($AN$5&lt;&gt;"",--(AN153="Maladie"),0),IF($AP$5&lt;&gt;"",--(AP153="Maladie"),0),IF($AR$5&lt;&gt;"",--(AR153="Maladie"),0),IF($AT$5&lt;&gt;"",--(AT153="Maladie"),0),IF($AV$5&lt;&gt;"",--(AV153="Maladie"),0),IF($AX$5&lt;&gt;"",--(AX153="Maladie"),0),IF($AZ$5&lt;&gt;"",--(AZ153="Maladie"),0),IF($BB$5&lt;&gt;"",--(BB153="Maladie"),0),IF($BD$5&lt;&gt;"",--(BD153="Maladie"),0),IF($BF$5&lt;&gt;"",--(BF153="Maladie"),0),IF($BH$5&lt;&gt;"",--(BH153="Maladie"),0),IF($BJ$5&lt;&gt;"",--(BJ153="Maladie"),0),IF($BL$5&lt;&gt;"",--(BL153="Maladie"),0)))</f>
      </c>
      <c r="BR153" s="23">
        <f>IF($A153="","",SUM(IF($D$5&lt;&gt;"",IF(D153="Présent",E153,0),0),IF($F$5&lt;&gt;"",IF(F153="Présent",G153,0),0),IF($H$5&lt;&gt;"",IF(H153="Présent",I153,0),0),IF($J$5&lt;&gt;"",IF(J153="Présent",K153,0),0),IF($L$5&lt;&gt;"",IF(L153="Présent",M153,0),0),IF($N$5&lt;&gt;"",IF(N153="Présent",O153,0),0),IF($P$5&lt;&gt;"",IF(P153="Présent",Q153,0),0),IF($R$5&lt;&gt;"",IF(R153="Présent",S153,0),0),IF($T$5&lt;&gt;"",IF(T153="Présent",U153,0),0),IF($V$5&lt;&gt;"",IF(V153="Présent",W153,0),0),IF($X$5&lt;&gt;"",IF(X153="Présent",Y153,0),0),IF($Z$5&lt;&gt;"",IF(Z153="Présent",AA153,0),0),IF($AB$5&lt;&gt;"",IF(AB153="Présent",AC153,0),0),IF($AD$5&lt;&gt;"",IF(AD153="Présent",AE153,0),0),IF($AF$5&lt;&gt;"",IF(AF153="Présent",AG153,0),0),IF($AH$5&lt;&gt;"",IF(AH153="Présent",AI153,0),0),IF($AJ$5&lt;&gt;"",IF(AJ153="Présent",AK153,0),0),IF($AL$5&lt;&gt;"",IF(AL153="Présent",AM153,0),0),IF($AN$5&lt;&gt;"",IF(AN153="Présent",AO153,0),0),IF($AP$5&lt;&gt;"",IF(AP153="Présent",AQ153,0),0),IF($AR$5&lt;&gt;"",IF(AR153="Présent",AS153,0),0),IF($AT$5&lt;&gt;"",IF(AT153="Présent",AU153,0),0),IF($AV$5&lt;&gt;"",IF(AV153="Présent",AW153,0),0),IF($AX$5&lt;&gt;"",IF(AX153="Présent",AY153,0),0),IF($AZ$5&lt;&gt;"",IF(AZ153="Présent",BA153,0),0),IF($BB$5&lt;&gt;"",IF(BB153="Présent",BC153,0),0),IF($BD$5&lt;&gt;"",IF(BD153="Présent",BE153,0),0),IF($BF$5&lt;&gt;"",IF(BF153="Présent",BG153,0),0),IF($BH$5&lt;&gt;"",IF(BH153="Présent",BI153,0),0),IF($BJ$5&lt;&gt;"",IF(BJ153="Présent",BK153,0),0),IF($BL$5&lt;&gt;"",IF(BL153="Présent",BM153,0),0)))</f>
      </c>
      <c r="BS153" s="25">
        <f>IF($A153="","",$BN153*IFERROR(INDEX(Categories_Salaire,MATCH($C153,ListeCategories,0)),0)+$BR153*IF(IFERROR(INDEX(Categories_TauxHS,MATCH($C153,ListeCategories,0)),0)&gt;0,IFERROR(INDEX(Categories_TauxHS,MATCH($C153,ListeCategories,0)),0),TauxHSDefaut))</f>
      </c>
    </row>
    <row r="154">
      <c r="A154" s="20">
        <f>IF(AND(INDEX(Employes_Nom,148)&lt;&gt;"",INDEX(Employes_Statut,148)="Actif",OR(INDEX(Employes_Embauche,148)="",INDEX(Employes_Embauche,148)&lt;=EOMONTH(DATE(AnneeCourante,MoisCourant,1),0))),INDEX(Employes_ID,148),"")</f>
      </c>
      <c r="B154" s="19">
        <f>IF($A154="","",INDEX(Employes_Nom,MATCH($A154,Employes_ID,0)))</f>
      </c>
      <c r="C154" s="20">
        <f>IF($A154="","",INDEX(Employes_Categorie,MATCH($A154,Employes_ID,0)))</f>
      </c>
      <c r="D154" s="26"/>
      <c r="E154" s="27"/>
      <c r="F154" s="26"/>
      <c r="G154" s="27"/>
      <c r="H154" s="26"/>
      <c r="I154" s="27"/>
      <c r="J154" s="26"/>
      <c r="K154" s="27"/>
      <c r="L154" s="26"/>
      <c r="M154" s="27"/>
      <c r="N154" s="26"/>
      <c r="O154" s="27"/>
      <c r="P154" s="26"/>
      <c r="Q154" s="27"/>
      <c r="R154" s="26"/>
      <c r="S154" s="27"/>
      <c r="T154" s="26"/>
      <c r="U154" s="27"/>
      <c r="V154" s="26"/>
      <c r="W154" s="27"/>
      <c r="X154" s="26"/>
      <c r="Y154" s="27"/>
      <c r="Z154" s="26"/>
      <c r="AA154" s="27"/>
      <c r="AB154" s="26"/>
      <c r="AC154" s="27"/>
      <c r="AD154" s="26"/>
      <c r="AE154" s="27"/>
      <c r="AF154" s="26"/>
      <c r="AG154" s="27"/>
      <c r="AH154" s="26"/>
      <c r="AI154" s="27"/>
      <c r="AJ154" s="26"/>
      <c r="AK154" s="27"/>
      <c r="AL154" s="26"/>
      <c r="AM154" s="27"/>
      <c r="AN154" s="26"/>
      <c r="AO154" s="27"/>
      <c r="AP154" s="26"/>
      <c r="AQ154" s="27"/>
      <c r="AR154" s="26"/>
      <c r="AS154" s="27"/>
      <c r="AT154" s="26"/>
      <c r="AU154" s="27"/>
      <c r="AV154" s="26"/>
      <c r="AW154" s="27"/>
      <c r="AX154" s="26"/>
      <c r="AY154" s="27"/>
      <c r="AZ154" s="26"/>
      <c r="BA154" s="27"/>
      <c r="BB154" s="26"/>
      <c r="BC154" s="27"/>
      <c r="BD154" s="26"/>
      <c r="BE154" s="27"/>
      <c r="BF154" s="26"/>
      <c r="BG154" s="27"/>
      <c r="BH154" s="26"/>
      <c r="BI154" s="27"/>
      <c r="BJ154" s="26"/>
      <c r="BK154" s="27"/>
      <c r="BL154" s="26"/>
      <c r="BM154" s="27"/>
      <c r="BN154" s="22">
        <f>IF($A154="","",SUM(IF($D$5&lt;&gt;"",--(D154="Présent"),0),IF($F$5&lt;&gt;"",--(F154="Présent"),0),IF($H$5&lt;&gt;"",--(H154="Présent"),0),IF($J$5&lt;&gt;"",--(J154="Présent"),0),IF($L$5&lt;&gt;"",--(L154="Présent"),0),IF($N$5&lt;&gt;"",--(N154="Présent"),0),IF($P$5&lt;&gt;"",--(P154="Présent"),0),IF($R$5&lt;&gt;"",--(R154="Présent"),0),IF($T$5&lt;&gt;"",--(T154="Présent"),0),IF($V$5&lt;&gt;"",--(V154="Présent"),0),IF($X$5&lt;&gt;"",--(X154="Présent"),0),IF($Z$5&lt;&gt;"",--(Z154="Présent"),0),IF($AB$5&lt;&gt;"",--(AB154="Présent"),0),IF($AD$5&lt;&gt;"",--(AD154="Présent"),0),IF($AF$5&lt;&gt;"",--(AF154="Présent"),0),IF($AH$5&lt;&gt;"",--(AH154="Présent"),0),IF($AJ$5&lt;&gt;"",--(AJ154="Présent"),0),IF($AL$5&lt;&gt;"",--(AL154="Présent"),0),IF($AN$5&lt;&gt;"",--(AN154="Présent"),0),IF($AP$5&lt;&gt;"",--(AP154="Présent"),0),IF($AR$5&lt;&gt;"",--(AR154="Présent"),0),IF($AT$5&lt;&gt;"",--(AT154="Présent"),0),IF($AV$5&lt;&gt;"",--(AV154="Présent"),0),IF($AX$5&lt;&gt;"",--(AX154="Présent"),0),IF($AZ$5&lt;&gt;"",--(AZ154="Présent"),0),IF($BB$5&lt;&gt;"",--(BB154="Présent"),0),IF($BD$5&lt;&gt;"",--(BD154="Présent"),0),IF($BF$5&lt;&gt;"",--(BF154="Présent"),0),IF($BH$5&lt;&gt;"",--(BH154="Présent"),0),IF($BJ$5&lt;&gt;"",--(BJ154="Présent"),0),IF($BL$5&lt;&gt;"",--(BL154="Présent"),0)))</f>
      </c>
      <c r="BO154" s="22">
        <f>IF($A154="","",SUM(IF($D$5&lt;&gt;"",--(D154="Absent"),0),IF($F$5&lt;&gt;"",--(F154="Absent"),0),IF($H$5&lt;&gt;"",--(H154="Absent"),0),IF($J$5&lt;&gt;"",--(J154="Absent"),0),IF($L$5&lt;&gt;"",--(L154="Absent"),0),IF($N$5&lt;&gt;"",--(N154="Absent"),0),IF($P$5&lt;&gt;"",--(P154="Absent"),0),IF($R$5&lt;&gt;"",--(R154="Absent"),0),IF($T$5&lt;&gt;"",--(T154="Absent"),0),IF($V$5&lt;&gt;"",--(V154="Absent"),0),IF($X$5&lt;&gt;"",--(X154="Absent"),0),IF($Z$5&lt;&gt;"",--(Z154="Absent"),0),IF($AB$5&lt;&gt;"",--(AB154="Absent"),0),IF($AD$5&lt;&gt;"",--(AD154="Absent"),0),IF($AF$5&lt;&gt;"",--(AF154="Absent"),0),IF($AH$5&lt;&gt;"",--(AH154="Absent"),0),IF($AJ$5&lt;&gt;"",--(AJ154="Absent"),0),IF($AL$5&lt;&gt;"",--(AL154="Absent"),0),IF($AN$5&lt;&gt;"",--(AN154="Absent"),0),IF($AP$5&lt;&gt;"",--(AP154="Absent"),0),IF($AR$5&lt;&gt;"",--(AR154="Absent"),0),IF($AT$5&lt;&gt;"",--(AT154="Absent"),0),IF($AV$5&lt;&gt;"",--(AV154="Absent"),0),IF($AX$5&lt;&gt;"",--(AX154="Absent"),0),IF($AZ$5&lt;&gt;"",--(AZ154="Absent"),0),IF($BB$5&lt;&gt;"",--(BB154="Absent"),0),IF($BD$5&lt;&gt;"",--(BD154="Absent"),0),IF($BF$5&lt;&gt;"",--(BF154="Absent"),0),IF($BH$5&lt;&gt;"",--(BH154="Absent"),0),IF($BJ$5&lt;&gt;"",--(BJ154="Absent"),0),IF($BL$5&lt;&gt;"",--(BL154="Absent"),0)))</f>
      </c>
      <c r="BP154" s="22">
        <f>IF($A154="","",SUM(IF($D$5&lt;&gt;"",--(D154="Congé"),0),IF($F$5&lt;&gt;"",--(F154="Congé"),0),IF($H$5&lt;&gt;"",--(H154="Congé"),0),IF($J$5&lt;&gt;"",--(J154="Congé"),0),IF($L$5&lt;&gt;"",--(L154="Congé"),0),IF($N$5&lt;&gt;"",--(N154="Congé"),0),IF($P$5&lt;&gt;"",--(P154="Congé"),0),IF($R$5&lt;&gt;"",--(R154="Congé"),0),IF($T$5&lt;&gt;"",--(T154="Congé"),0),IF($V$5&lt;&gt;"",--(V154="Congé"),0),IF($X$5&lt;&gt;"",--(X154="Congé"),0),IF($Z$5&lt;&gt;"",--(Z154="Congé"),0),IF($AB$5&lt;&gt;"",--(AB154="Congé"),0),IF($AD$5&lt;&gt;"",--(AD154="Congé"),0),IF($AF$5&lt;&gt;"",--(AF154="Congé"),0),IF($AH$5&lt;&gt;"",--(AH154="Congé"),0),IF($AJ$5&lt;&gt;"",--(AJ154="Congé"),0),IF($AL$5&lt;&gt;"",--(AL154="Congé"),0),IF($AN$5&lt;&gt;"",--(AN154="Congé"),0),IF($AP$5&lt;&gt;"",--(AP154="Congé"),0),IF($AR$5&lt;&gt;"",--(AR154="Congé"),0),IF($AT$5&lt;&gt;"",--(AT154="Congé"),0),IF($AV$5&lt;&gt;"",--(AV154="Congé"),0),IF($AX$5&lt;&gt;"",--(AX154="Congé"),0),IF($AZ$5&lt;&gt;"",--(AZ154="Congé"),0),IF($BB$5&lt;&gt;"",--(BB154="Congé"),0),IF($BD$5&lt;&gt;"",--(BD154="Congé"),0),IF($BF$5&lt;&gt;"",--(BF154="Congé"),0),IF($BH$5&lt;&gt;"",--(BH154="Congé"),0),IF($BJ$5&lt;&gt;"",--(BJ154="Congé"),0),IF($BL$5&lt;&gt;"",--(BL154="Congé"),0)))</f>
      </c>
      <c r="BQ154" s="22">
        <f>IF($A154="","",SUM(IF($D$5&lt;&gt;"",--(D154="Maladie"),0),IF($F$5&lt;&gt;"",--(F154="Maladie"),0),IF($H$5&lt;&gt;"",--(H154="Maladie"),0),IF($J$5&lt;&gt;"",--(J154="Maladie"),0),IF($L$5&lt;&gt;"",--(L154="Maladie"),0),IF($N$5&lt;&gt;"",--(N154="Maladie"),0),IF($P$5&lt;&gt;"",--(P154="Maladie"),0),IF($R$5&lt;&gt;"",--(R154="Maladie"),0),IF($T$5&lt;&gt;"",--(T154="Maladie"),0),IF($V$5&lt;&gt;"",--(V154="Maladie"),0),IF($X$5&lt;&gt;"",--(X154="Maladie"),0),IF($Z$5&lt;&gt;"",--(Z154="Maladie"),0),IF($AB$5&lt;&gt;"",--(AB154="Maladie"),0),IF($AD$5&lt;&gt;"",--(AD154="Maladie"),0),IF($AF$5&lt;&gt;"",--(AF154="Maladie"),0),IF($AH$5&lt;&gt;"",--(AH154="Maladie"),0),IF($AJ$5&lt;&gt;"",--(AJ154="Maladie"),0),IF($AL$5&lt;&gt;"",--(AL154="Maladie"),0),IF($AN$5&lt;&gt;"",--(AN154="Maladie"),0),IF($AP$5&lt;&gt;"",--(AP154="Maladie"),0),IF($AR$5&lt;&gt;"",--(AR154="Maladie"),0),IF($AT$5&lt;&gt;"",--(AT154="Maladie"),0),IF($AV$5&lt;&gt;"",--(AV154="Maladie"),0),IF($AX$5&lt;&gt;"",--(AX154="Maladie"),0),IF($AZ$5&lt;&gt;"",--(AZ154="Maladie"),0),IF($BB$5&lt;&gt;"",--(BB154="Maladie"),0),IF($BD$5&lt;&gt;"",--(BD154="Maladie"),0),IF($BF$5&lt;&gt;"",--(BF154="Maladie"),0),IF($BH$5&lt;&gt;"",--(BH154="Maladie"),0),IF($BJ$5&lt;&gt;"",--(BJ154="Maladie"),0),IF($BL$5&lt;&gt;"",--(BL154="Maladie"),0)))</f>
      </c>
      <c r="BR154" s="23">
        <f>IF($A154="","",SUM(IF($D$5&lt;&gt;"",IF(D154="Présent",E154,0),0),IF($F$5&lt;&gt;"",IF(F154="Présent",G154,0),0),IF($H$5&lt;&gt;"",IF(H154="Présent",I154,0),0),IF($J$5&lt;&gt;"",IF(J154="Présent",K154,0),0),IF($L$5&lt;&gt;"",IF(L154="Présent",M154,0),0),IF($N$5&lt;&gt;"",IF(N154="Présent",O154,0),0),IF($P$5&lt;&gt;"",IF(P154="Présent",Q154,0),0),IF($R$5&lt;&gt;"",IF(R154="Présent",S154,0),0),IF($T$5&lt;&gt;"",IF(T154="Présent",U154,0),0),IF($V$5&lt;&gt;"",IF(V154="Présent",W154,0),0),IF($X$5&lt;&gt;"",IF(X154="Présent",Y154,0),0),IF($Z$5&lt;&gt;"",IF(Z154="Présent",AA154,0),0),IF($AB$5&lt;&gt;"",IF(AB154="Présent",AC154,0),0),IF($AD$5&lt;&gt;"",IF(AD154="Présent",AE154,0),0),IF($AF$5&lt;&gt;"",IF(AF154="Présent",AG154,0),0),IF($AH$5&lt;&gt;"",IF(AH154="Présent",AI154,0),0),IF($AJ$5&lt;&gt;"",IF(AJ154="Présent",AK154,0),0),IF($AL$5&lt;&gt;"",IF(AL154="Présent",AM154,0),0),IF($AN$5&lt;&gt;"",IF(AN154="Présent",AO154,0),0),IF($AP$5&lt;&gt;"",IF(AP154="Présent",AQ154,0),0),IF($AR$5&lt;&gt;"",IF(AR154="Présent",AS154,0),0),IF($AT$5&lt;&gt;"",IF(AT154="Présent",AU154,0),0),IF($AV$5&lt;&gt;"",IF(AV154="Présent",AW154,0),0),IF($AX$5&lt;&gt;"",IF(AX154="Présent",AY154,0),0),IF($AZ$5&lt;&gt;"",IF(AZ154="Présent",BA154,0),0),IF($BB$5&lt;&gt;"",IF(BB154="Présent",BC154,0),0),IF($BD$5&lt;&gt;"",IF(BD154="Présent",BE154,0),0),IF($BF$5&lt;&gt;"",IF(BF154="Présent",BG154,0),0),IF($BH$5&lt;&gt;"",IF(BH154="Présent",BI154,0),0),IF($BJ$5&lt;&gt;"",IF(BJ154="Présent",BK154,0),0),IF($BL$5&lt;&gt;"",IF(BL154="Présent",BM154,0),0)))</f>
      </c>
      <c r="BS154" s="25">
        <f>IF($A154="","",$BN154*IFERROR(INDEX(Categories_Salaire,MATCH($C154,ListeCategories,0)),0)+$BR154*IF(IFERROR(INDEX(Categories_TauxHS,MATCH($C154,ListeCategories,0)),0)&gt;0,IFERROR(INDEX(Categories_TauxHS,MATCH($C154,ListeCategories,0)),0),TauxHSDefaut))</f>
      </c>
    </row>
    <row r="155">
      <c r="A155" s="20">
        <f>IF(AND(INDEX(Employes_Nom,149)&lt;&gt;"",INDEX(Employes_Statut,149)="Actif",OR(INDEX(Employes_Embauche,149)="",INDEX(Employes_Embauche,149)&lt;=EOMONTH(DATE(AnneeCourante,MoisCourant,1),0))),INDEX(Employes_ID,149),"")</f>
      </c>
      <c r="B155" s="19">
        <f>IF($A155="","",INDEX(Employes_Nom,MATCH($A155,Employes_ID,0)))</f>
      </c>
      <c r="C155" s="20">
        <f>IF($A155="","",INDEX(Employes_Categorie,MATCH($A155,Employes_ID,0)))</f>
      </c>
      <c r="D155" s="26"/>
      <c r="E155" s="27"/>
      <c r="F155" s="26"/>
      <c r="G155" s="27"/>
      <c r="H155" s="26"/>
      <c r="I155" s="27"/>
      <c r="J155" s="26"/>
      <c r="K155" s="27"/>
      <c r="L155" s="26"/>
      <c r="M155" s="27"/>
      <c r="N155" s="26"/>
      <c r="O155" s="27"/>
      <c r="P155" s="26"/>
      <c r="Q155" s="27"/>
      <c r="R155" s="26"/>
      <c r="S155" s="27"/>
      <c r="T155" s="26"/>
      <c r="U155" s="27"/>
      <c r="V155" s="26"/>
      <c r="W155" s="27"/>
      <c r="X155" s="26"/>
      <c r="Y155" s="27"/>
      <c r="Z155" s="26"/>
      <c r="AA155" s="27"/>
      <c r="AB155" s="26"/>
      <c r="AC155" s="27"/>
      <c r="AD155" s="26"/>
      <c r="AE155" s="27"/>
      <c r="AF155" s="26"/>
      <c r="AG155" s="27"/>
      <c r="AH155" s="26"/>
      <c r="AI155" s="27"/>
      <c r="AJ155" s="26"/>
      <c r="AK155" s="27"/>
      <c r="AL155" s="26"/>
      <c r="AM155" s="27"/>
      <c r="AN155" s="26"/>
      <c r="AO155" s="27"/>
      <c r="AP155" s="26"/>
      <c r="AQ155" s="27"/>
      <c r="AR155" s="26"/>
      <c r="AS155" s="27"/>
      <c r="AT155" s="26"/>
      <c r="AU155" s="27"/>
      <c r="AV155" s="26"/>
      <c r="AW155" s="27"/>
      <c r="AX155" s="26"/>
      <c r="AY155" s="27"/>
      <c r="AZ155" s="26"/>
      <c r="BA155" s="27"/>
      <c r="BB155" s="26"/>
      <c r="BC155" s="27"/>
      <c r="BD155" s="26"/>
      <c r="BE155" s="27"/>
      <c r="BF155" s="26"/>
      <c r="BG155" s="27"/>
      <c r="BH155" s="26"/>
      <c r="BI155" s="27"/>
      <c r="BJ155" s="26"/>
      <c r="BK155" s="27"/>
      <c r="BL155" s="26"/>
      <c r="BM155" s="27"/>
      <c r="BN155" s="22">
        <f>IF($A155="","",SUM(IF($D$5&lt;&gt;"",--(D155="Présent"),0),IF($F$5&lt;&gt;"",--(F155="Présent"),0),IF($H$5&lt;&gt;"",--(H155="Présent"),0),IF($J$5&lt;&gt;"",--(J155="Présent"),0),IF($L$5&lt;&gt;"",--(L155="Présent"),0),IF($N$5&lt;&gt;"",--(N155="Présent"),0),IF($P$5&lt;&gt;"",--(P155="Présent"),0),IF($R$5&lt;&gt;"",--(R155="Présent"),0),IF($T$5&lt;&gt;"",--(T155="Présent"),0),IF($V$5&lt;&gt;"",--(V155="Présent"),0),IF($X$5&lt;&gt;"",--(X155="Présent"),0),IF($Z$5&lt;&gt;"",--(Z155="Présent"),0),IF($AB$5&lt;&gt;"",--(AB155="Présent"),0),IF($AD$5&lt;&gt;"",--(AD155="Présent"),0),IF($AF$5&lt;&gt;"",--(AF155="Présent"),0),IF($AH$5&lt;&gt;"",--(AH155="Présent"),0),IF($AJ$5&lt;&gt;"",--(AJ155="Présent"),0),IF($AL$5&lt;&gt;"",--(AL155="Présent"),0),IF($AN$5&lt;&gt;"",--(AN155="Présent"),0),IF($AP$5&lt;&gt;"",--(AP155="Présent"),0),IF($AR$5&lt;&gt;"",--(AR155="Présent"),0),IF($AT$5&lt;&gt;"",--(AT155="Présent"),0),IF($AV$5&lt;&gt;"",--(AV155="Présent"),0),IF($AX$5&lt;&gt;"",--(AX155="Présent"),0),IF($AZ$5&lt;&gt;"",--(AZ155="Présent"),0),IF($BB$5&lt;&gt;"",--(BB155="Présent"),0),IF($BD$5&lt;&gt;"",--(BD155="Présent"),0),IF($BF$5&lt;&gt;"",--(BF155="Présent"),0),IF($BH$5&lt;&gt;"",--(BH155="Présent"),0),IF($BJ$5&lt;&gt;"",--(BJ155="Présent"),0),IF($BL$5&lt;&gt;"",--(BL155="Présent"),0)))</f>
      </c>
      <c r="BO155" s="22">
        <f>IF($A155="","",SUM(IF($D$5&lt;&gt;"",--(D155="Absent"),0),IF($F$5&lt;&gt;"",--(F155="Absent"),0),IF($H$5&lt;&gt;"",--(H155="Absent"),0),IF($J$5&lt;&gt;"",--(J155="Absent"),0),IF($L$5&lt;&gt;"",--(L155="Absent"),0),IF($N$5&lt;&gt;"",--(N155="Absent"),0),IF($P$5&lt;&gt;"",--(P155="Absent"),0),IF($R$5&lt;&gt;"",--(R155="Absent"),0),IF($T$5&lt;&gt;"",--(T155="Absent"),0),IF($V$5&lt;&gt;"",--(V155="Absent"),0),IF($X$5&lt;&gt;"",--(X155="Absent"),0),IF($Z$5&lt;&gt;"",--(Z155="Absent"),0),IF($AB$5&lt;&gt;"",--(AB155="Absent"),0),IF($AD$5&lt;&gt;"",--(AD155="Absent"),0),IF($AF$5&lt;&gt;"",--(AF155="Absent"),0),IF($AH$5&lt;&gt;"",--(AH155="Absent"),0),IF($AJ$5&lt;&gt;"",--(AJ155="Absent"),0),IF($AL$5&lt;&gt;"",--(AL155="Absent"),0),IF($AN$5&lt;&gt;"",--(AN155="Absent"),0),IF($AP$5&lt;&gt;"",--(AP155="Absent"),0),IF($AR$5&lt;&gt;"",--(AR155="Absent"),0),IF($AT$5&lt;&gt;"",--(AT155="Absent"),0),IF($AV$5&lt;&gt;"",--(AV155="Absent"),0),IF($AX$5&lt;&gt;"",--(AX155="Absent"),0),IF($AZ$5&lt;&gt;"",--(AZ155="Absent"),0),IF($BB$5&lt;&gt;"",--(BB155="Absent"),0),IF($BD$5&lt;&gt;"",--(BD155="Absent"),0),IF($BF$5&lt;&gt;"",--(BF155="Absent"),0),IF($BH$5&lt;&gt;"",--(BH155="Absent"),0),IF($BJ$5&lt;&gt;"",--(BJ155="Absent"),0),IF($BL$5&lt;&gt;"",--(BL155="Absent"),0)))</f>
      </c>
      <c r="BP155" s="22">
        <f>IF($A155="","",SUM(IF($D$5&lt;&gt;"",--(D155="Congé"),0),IF($F$5&lt;&gt;"",--(F155="Congé"),0),IF($H$5&lt;&gt;"",--(H155="Congé"),0),IF($J$5&lt;&gt;"",--(J155="Congé"),0),IF($L$5&lt;&gt;"",--(L155="Congé"),0),IF($N$5&lt;&gt;"",--(N155="Congé"),0),IF($P$5&lt;&gt;"",--(P155="Congé"),0),IF($R$5&lt;&gt;"",--(R155="Congé"),0),IF($T$5&lt;&gt;"",--(T155="Congé"),0),IF($V$5&lt;&gt;"",--(V155="Congé"),0),IF($X$5&lt;&gt;"",--(X155="Congé"),0),IF($Z$5&lt;&gt;"",--(Z155="Congé"),0),IF($AB$5&lt;&gt;"",--(AB155="Congé"),0),IF($AD$5&lt;&gt;"",--(AD155="Congé"),0),IF($AF$5&lt;&gt;"",--(AF155="Congé"),0),IF($AH$5&lt;&gt;"",--(AH155="Congé"),0),IF($AJ$5&lt;&gt;"",--(AJ155="Congé"),0),IF($AL$5&lt;&gt;"",--(AL155="Congé"),0),IF($AN$5&lt;&gt;"",--(AN155="Congé"),0),IF($AP$5&lt;&gt;"",--(AP155="Congé"),0),IF($AR$5&lt;&gt;"",--(AR155="Congé"),0),IF($AT$5&lt;&gt;"",--(AT155="Congé"),0),IF($AV$5&lt;&gt;"",--(AV155="Congé"),0),IF($AX$5&lt;&gt;"",--(AX155="Congé"),0),IF($AZ$5&lt;&gt;"",--(AZ155="Congé"),0),IF($BB$5&lt;&gt;"",--(BB155="Congé"),0),IF($BD$5&lt;&gt;"",--(BD155="Congé"),0),IF($BF$5&lt;&gt;"",--(BF155="Congé"),0),IF($BH$5&lt;&gt;"",--(BH155="Congé"),0),IF($BJ$5&lt;&gt;"",--(BJ155="Congé"),0),IF($BL$5&lt;&gt;"",--(BL155="Congé"),0)))</f>
      </c>
      <c r="BQ155" s="22">
        <f>IF($A155="","",SUM(IF($D$5&lt;&gt;"",--(D155="Maladie"),0),IF($F$5&lt;&gt;"",--(F155="Maladie"),0),IF($H$5&lt;&gt;"",--(H155="Maladie"),0),IF($J$5&lt;&gt;"",--(J155="Maladie"),0),IF($L$5&lt;&gt;"",--(L155="Maladie"),0),IF($N$5&lt;&gt;"",--(N155="Maladie"),0),IF($P$5&lt;&gt;"",--(P155="Maladie"),0),IF($R$5&lt;&gt;"",--(R155="Maladie"),0),IF($T$5&lt;&gt;"",--(T155="Maladie"),0),IF($V$5&lt;&gt;"",--(V155="Maladie"),0),IF($X$5&lt;&gt;"",--(X155="Maladie"),0),IF($Z$5&lt;&gt;"",--(Z155="Maladie"),0),IF($AB$5&lt;&gt;"",--(AB155="Maladie"),0),IF($AD$5&lt;&gt;"",--(AD155="Maladie"),0),IF($AF$5&lt;&gt;"",--(AF155="Maladie"),0),IF($AH$5&lt;&gt;"",--(AH155="Maladie"),0),IF($AJ$5&lt;&gt;"",--(AJ155="Maladie"),0),IF($AL$5&lt;&gt;"",--(AL155="Maladie"),0),IF($AN$5&lt;&gt;"",--(AN155="Maladie"),0),IF($AP$5&lt;&gt;"",--(AP155="Maladie"),0),IF($AR$5&lt;&gt;"",--(AR155="Maladie"),0),IF($AT$5&lt;&gt;"",--(AT155="Maladie"),0),IF($AV$5&lt;&gt;"",--(AV155="Maladie"),0),IF($AX$5&lt;&gt;"",--(AX155="Maladie"),0),IF($AZ$5&lt;&gt;"",--(AZ155="Maladie"),0),IF($BB$5&lt;&gt;"",--(BB155="Maladie"),0),IF($BD$5&lt;&gt;"",--(BD155="Maladie"),0),IF($BF$5&lt;&gt;"",--(BF155="Maladie"),0),IF($BH$5&lt;&gt;"",--(BH155="Maladie"),0),IF($BJ$5&lt;&gt;"",--(BJ155="Maladie"),0),IF($BL$5&lt;&gt;"",--(BL155="Maladie"),0)))</f>
      </c>
      <c r="BR155" s="23">
        <f>IF($A155="","",SUM(IF($D$5&lt;&gt;"",IF(D155="Présent",E155,0),0),IF($F$5&lt;&gt;"",IF(F155="Présent",G155,0),0),IF($H$5&lt;&gt;"",IF(H155="Présent",I155,0),0),IF($J$5&lt;&gt;"",IF(J155="Présent",K155,0),0),IF($L$5&lt;&gt;"",IF(L155="Présent",M155,0),0),IF($N$5&lt;&gt;"",IF(N155="Présent",O155,0),0),IF($P$5&lt;&gt;"",IF(P155="Présent",Q155,0),0),IF($R$5&lt;&gt;"",IF(R155="Présent",S155,0),0),IF($T$5&lt;&gt;"",IF(T155="Présent",U155,0),0),IF($V$5&lt;&gt;"",IF(V155="Présent",W155,0),0),IF($X$5&lt;&gt;"",IF(X155="Présent",Y155,0),0),IF($Z$5&lt;&gt;"",IF(Z155="Présent",AA155,0),0),IF($AB$5&lt;&gt;"",IF(AB155="Présent",AC155,0),0),IF($AD$5&lt;&gt;"",IF(AD155="Présent",AE155,0),0),IF($AF$5&lt;&gt;"",IF(AF155="Présent",AG155,0),0),IF($AH$5&lt;&gt;"",IF(AH155="Présent",AI155,0),0),IF($AJ$5&lt;&gt;"",IF(AJ155="Présent",AK155,0),0),IF($AL$5&lt;&gt;"",IF(AL155="Présent",AM155,0),0),IF($AN$5&lt;&gt;"",IF(AN155="Présent",AO155,0),0),IF($AP$5&lt;&gt;"",IF(AP155="Présent",AQ155,0),0),IF($AR$5&lt;&gt;"",IF(AR155="Présent",AS155,0),0),IF($AT$5&lt;&gt;"",IF(AT155="Présent",AU155,0),0),IF($AV$5&lt;&gt;"",IF(AV155="Présent",AW155,0),0),IF($AX$5&lt;&gt;"",IF(AX155="Présent",AY155,0),0),IF($AZ$5&lt;&gt;"",IF(AZ155="Présent",BA155,0),0),IF($BB$5&lt;&gt;"",IF(BB155="Présent",BC155,0),0),IF($BD$5&lt;&gt;"",IF(BD155="Présent",BE155,0),0),IF($BF$5&lt;&gt;"",IF(BF155="Présent",BG155,0),0),IF($BH$5&lt;&gt;"",IF(BH155="Présent",BI155,0),0),IF($BJ$5&lt;&gt;"",IF(BJ155="Présent",BK155,0),0),IF($BL$5&lt;&gt;"",IF(BL155="Présent",BM155,0),0)))</f>
      </c>
      <c r="BS155" s="25">
        <f>IF($A155="","",$BN155*IFERROR(INDEX(Categories_Salaire,MATCH($C155,ListeCategories,0)),0)+$BR155*IF(IFERROR(INDEX(Categories_TauxHS,MATCH($C155,ListeCategories,0)),0)&gt;0,IFERROR(INDEX(Categories_TauxHS,MATCH($C155,ListeCategories,0)),0),TauxHSDefaut))</f>
      </c>
    </row>
    <row r="156">
      <c r="A156" s="20">
        <f>IF(AND(INDEX(Employes_Nom,150)&lt;&gt;"",INDEX(Employes_Statut,150)="Actif",OR(INDEX(Employes_Embauche,150)="",INDEX(Employes_Embauche,150)&lt;=EOMONTH(DATE(AnneeCourante,MoisCourant,1),0))),INDEX(Employes_ID,150),"")</f>
      </c>
      <c r="B156" s="19">
        <f>IF($A156="","",INDEX(Employes_Nom,MATCH($A156,Employes_ID,0)))</f>
      </c>
      <c r="C156" s="20">
        <f>IF($A156="","",INDEX(Employes_Categorie,MATCH($A156,Employes_ID,0)))</f>
      </c>
      <c r="D156" s="26"/>
      <c r="E156" s="27"/>
      <c r="F156" s="26"/>
      <c r="G156" s="27"/>
      <c r="H156" s="26"/>
      <c r="I156" s="27"/>
      <c r="J156" s="26"/>
      <c r="K156" s="27"/>
      <c r="L156" s="26"/>
      <c r="M156" s="27"/>
      <c r="N156" s="26"/>
      <c r="O156" s="27"/>
      <c r="P156" s="26"/>
      <c r="Q156" s="27"/>
      <c r="R156" s="26"/>
      <c r="S156" s="27"/>
      <c r="T156" s="26"/>
      <c r="U156" s="27"/>
      <c r="V156" s="26"/>
      <c r="W156" s="27"/>
      <c r="X156" s="26"/>
      <c r="Y156" s="27"/>
      <c r="Z156" s="26"/>
      <c r="AA156" s="27"/>
      <c r="AB156" s="26"/>
      <c r="AC156" s="27"/>
      <c r="AD156" s="26"/>
      <c r="AE156" s="27"/>
      <c r="AF156" s="26"/>
      <c r="AG156" s="27"/>
      <c r="AH156" s="26"/>
      <c r="AI156" s="27"/>
      <c r="AJ156" s="26"/>
      <c r="AK156" s="27"/>
      <c r="AL156" s="26"/>
      <c r="AM156" s="27"/>
      <c r="AN156" s="26"/>
      <c r="AO156" s="27"/>
      <c r="AP156" s="26"/>
      <c r="AQ156" s="27"/>
      <c r="AR156" s="26"/>
      <c r="AS156" s="27"/>
      <c r="AT156" s="26"/>
      <c r="AU156" s="27"/>
      <c r="AV156" s="26"/>
      <c r="AW156" s="27"/>
      <c r="AX156" s="26"/>
      <c r="AY156" s="27"/>
      <c r="AZ156" s="26"/>
      <c r="BA156" s="27"/>
      <c r="BB156" s="26"/>
      <c r="BC156" s="27"/>
      <c r="BD156" s="26"/>
      <c r="BE156" s="27"/>
      <c r="BF156" s="26"/>
      <c r="BG156" s="27"/>
      <c r="BH156" s="26"/>
      <c r="BI156" s="27"/>
      <c r="BJ156" s="26"/>
      <c r="BK156" s="27"/>
      <c r="BL156" s="26"/>
      <c r="BM156" s="27"/>
      <c r="BN156" s="22">
        <f>IF($A156="","",SUM(IF($D$5&lt;&gt;"",--(D156="Présent"),0),IF($F$5&lt;&gt;"",--(F156="Présent"),0),IF($H$5&lt;&gt;"",--(H156="Présent"),0),IF($J$5&lt;&gt;"",--(J156="Présent"),0),IF($L$5&lt;&gt;"",--(L156="Présent"),0),IF($N$5&lt;&gt;"",--(N156="Présent"),0),IF($P$5&lt;&gt;"",--(P156="Présent"),0),IF($R$5&lt;&gt;"",--(R156="Présent"),0),IF($T$5&lt;&gt;"",--(T156="Présent"),0),IF($V$5&lt;&gt;"",--(V156="Présent"),0),IF($X$5&lt;&gt;"",--(X156="Présent"),0),IF($Z$5&lt;&gt;"",--(Z156="Présent"),0),IF($AB$5&lt;&gt;"",--(AB156="Présent"),0),IF($AD$5&lt;&gt;"",--(AD156="Présent"),0),IF($AF$5&lt;&gt;"",--(AF156="Présent"),0),IF($AH$5&lt;&gt;"",--(AH156="Présent"),0),IF($AJ$5&lt;&gt;"",--(AJ156="Présent"),0),IF($AL$5&lt;&gt;"",--(AL156="Présent"),0),IF($AN$5&lt;&gt;"",--(AN156="Présent"),0),IF($AP$5&lt;&gt;"",--(AP156="Présent"),0),IF($AR$5&lt;&gt;"",--(AR156="Présent"),0),IF($AT$5&lt;&gt;"",--(AT156="Présent"),0),IF($AV$5&lt;&gt;"",--(AV156="Présent"),0),IF($AX$5&lt;&gt;"",--(AX156="Présent"),0),IF($AZ$5&lt;&gt;"",--(AZ156="Présent"),0),IF($BB$5&lt;&gt;"",--(BB156="Présent"),0),IF($BD$5&lt;&gt;"",--(BD156="Présent"),0),IF($BF$5&lt;&gt;"",--(BF156="Présent"),0),IF($BH$5&lt;&gt;"",--(BH156="Présent"),0),IF($BJ$5&lt;&gt;"",--(BJ156="Présent"),0),IF($BL$5&lt;&gt;"",--(BL156="Présent"),0)))</f>
      </c>
      <c r="BO156" s="22">
        <f>IF($A156="","",SUM(IF($D$5&lt;&gt;"",--(D156="Absent"),0),IF($F$5&lt;&gt;"",--(F156="Absent"),0),IF($H$5&lt;&gt;"",--(H156="Absent"),0),IF($J$5&lt;&gt;"",--(J156="Absent"),0),IF($L$5&lt;&gt;"",--(L156="Absent"),0),IF($N$5&lt;&gt;"",--(N156="Absent"),0),IF($P$5&lt;&gt;"",--(P156="Absent"),0),IF($R$5&lt;&gt;"",--(R156="Absent"),0),IF($T$5&lt;&gt;"",--(T156="Absent"),0),IF($V$5&lt;&gt;"",--(V156="Absent"),0),IF($X$5&lt;&gt;"",--(X156="Absent"),0),IF($Z$5&lt;&gt;"",--(Z156="Absent"),0),IF($AB$5&lt;&gt;"",--(AB156="Absent"),0),IF($AD$5&lt;&gt;"",--(AD156="Absent"),0),IF($AF$5&lt;&gt;"",--(AF156="Absent"),0),IF($AH$5&lt;&gt;"",--(AH156="Absent"),0),IF($AJ$5&lt;&gt;"",--(AJ156="Absent"),0),IF($AL$5&lt;&gt;"",--(AL156="Absent"),0),IF($AN$5&lt;&gt;"",--(AN156="Absent"),0),IF($AP$5&lt;&gt;"",--(AP156="Absent"),0),IF($AR$5&lt;&gt;"",--(AR156="Absent"),0),IF($AT$5&lt;&gt;"",--(AT156="Absent"),0),IF($AV$5&lt;&gt;"",--(AV156="Absent"),0),IF($AX$5&lt;&gt;"",--(AX156="Absent"),0),IF($AZ$5&lt;&gt;"",--(AZ156="Absent"),0),IF($BB$5&lt;&gt;"",--(BB156="Absent"),0),IF($BD$5&lt;&gt;"",--(BD156="Absent"),0),IF($BF$5&lt;&gt;"",--(BF156="Absent"),0),IF($BH$5&lt;&gt;"",--(BH156="Absent"),0),IF($BJ$5&lt;&gt;"",--(BJ156="Absent"),0),IF($BL$5&lt;&gt;"",--(BL156="Absent"),0)))</f>
      </c>
      <c r="BP156" s="22">
        <f>IF($A156="","",SUM(IF($D$5&lt;&gt;"",--(D156="Congé"),0),IF($F$5&lt;&gt;"",--(F156="Congé"),0),IF($H$5&lt;&gt;"",--(H156="Congé"),0),IF($J$5&lt;&gt;"",--(J156="Congé"),0),IF($L$5&lt;&gt;"",--(L156="Congé"),0),IF($N$5&lt;&gt;"",--(N156="Congé"),0),IF($P$5&lt;&gt;"",--(P156="Congé"),0),IF($R$5&lt;&gt;"",--(R156="Congé"),0),IF($T$5&lt;&gt;"",--(T156="Congé"),0),IF($V$5&lt;&gt;"",--(V156="Congé"),0),IF($X$5&lt;&gt;"",--(X156="Congé"),0),IF($Z$5&lt;&gt;"",--(Z156="Congé"),0),IF($AB$5&lt;&gt;"",--(AB156="Congé"),0),IF($AD$5&lt;&gt;"",--(AD156="Congé"),0),IF($AF$5&lt;&gt;"",--(AF156="Congé"),0),IF($AH$5&lt;&gt;"",--(AH156="Congé"),0),IF($AJ$5&lt;&gt;"",--(AJ156="Congé"),0),IF($AL$5&lt;&gt;"",--(AL156="Congé"),0),IF($AN$5&lt;&gt;"",--(AN156="Congé"),0),IF($AP$5&lt;&gt;"",--(AP156="Congé"),0),IF($AR$5&lt;&gt;"",--(AR156="Congé"),0),IF($AT$5&lt;&gt;"",--(AT156="Congé"),0),IF($AV$5&lt;&gt;"",--(AV156="Congé"),0),IF($AX$5&lt;&gt;"",--(AX156="Congé"),0),IF($AZ$5&lt;&gt;"",--(AZ156="Congé"),0),IF($BB$5&lt;&gt;"",--(BB156="Congé"),0),IF($BD$5&lt;&gt;"",--(BD156="Congé"),0),IF($BF$5&lt;&gt;"",--(BF156="Congé"),0),IF($BH$5&lt;&gt;"",--(BH156="Congé"),0),IF($BJ$5&lt;&gt;"",--(BJ156="Congé"),0),IF($BL$5&lt;&gt;"",--(BL156="Congé"),0)))</f>
      </c>
      <c r="BQ156" s="22">
        <f>IF($A156="","",SUM(IF($D$5&lt;&gt;"",--(D156="Maladie"),0),IF($F$5&lt;&gt;"",--(F156="Maladie"),0),IF($H$5&lt;&gt;"",--(H156="Maladie"),0),IF($J$5&lt;&gt;"",--(J156="Maladie"),0),IF($L$5&lt;&gt;"",--(L156="Maladie"),0),IF($N$5&lt;&gt;"",--(N156="Maladie"),0),IF($P$5&lt;&gt;"",--(P156="Maladie"),0),IF($R$5&lt;&gt;"",--(R156="Maladie"),0),IF($T$5&lt;&gt;"",--(T156="Maladie"),0),IF($V$5&lt;&gt;"",--(V156="Maladie"),0),IF($X$5&lt;&gt;"",--(X156="Maladie"),0),IF($Z$5&lt;&gt;"",--(Z156="Maladie"),0),IF($AB$5&lt;&gt;"",--(AB156="Maladie"),0),IF($AD$5&lt;&gt;"",--(AD156="Maladie"),0),IF($AF$5&lt;&gt;"",--(AF156="Maladie"),0),IF($AH$5&lt;&gt;"",--(AH156="Maladie"),0),IF($AJ$5&lt;&gt;"",--(AJ156="Maladie"),0),IF($AL$5&lt;&gt;"",--(AL156="Maladie"),0),IF($AN$5&lt;&gt;"",--(AN156="Maladie"),0),IF($AP$5&lt;&gt;"",--(AP156="Maladie"),0),IF($AR$5&lt;&gt;"",--(AR156="Maladie"),0),IF($AT$5&lt;&gt;"",--(AT156="Maladie"),0),IF($AV$5&lt;&gt;"",--(AV156="Maladie"),0),IF($AX$5&lt;&gt;"",--(AX156="Maladie"),0),IF($AZ$5&lt;&gt;"",--(AZ156="Maladie"),0),IF($BB$5&lt;&gt;"",--(BB156="Maladie"),0),IF($BD$5&lt;&gt;"",--(BD156="Maladie"),0),IF($BF$5&lt;&gt;"",--(BF156="Maladie"),0),IF($BH$5&lt;&gt;"",--(BH156="Maladie"),0),IF($BJ$5&lt;&gt;"",--(BJ156="Maladie"),0),IF($BL$5&lt;&gt;"",--(BL156="Maladie"),0)))</f>
      </c>
      <c r="BR156" s="23">
        <f>IF($A156="","",SUM(IF($D$5&lt;&gt;"",IF(D156="Présent",E156,0),0),IF($F$5&lt;&gt;"",IF(F156="Présent",G156,0),0),IF($H$5&lt;&gt;"",IF(H156="Présent",I156,0),0),IF($J$5&lt;&gt;"",IF(J156="Présent",K156,0),0),IF($L$5&lt;&gt;"",IF(L156="Présent",M156,0),0),IF($N$5&lt;&gt;"",IF(N156="Présent",O156,0),0),IF($P$5&lt;&gt;"",IF(P156="Présent",Q156,0),0),IF($R$5&lt;&gt;"",IF(R156="Présent",S156,0),0),IF($T$5&lt;&gt;"",IF(T156="Présent",U156,0),0),IF($V$5&lt;&gt;"",IF(V156="Présent",W156,0),0),IF($X$5&lt;&gt;"",IF(X156="Présent",Y156,0),0),IF($Z$5&lt;&gt;"",IF(Z156="Présent",AA156,0),0),IF($AB$5&lt;&gt;"",IF(AB156="Présent",AC156,0),0),IF($AD$5&lt;&gt;"",IF(AD156="Présent",AE156,0),0),IF($AF$5&lt;&gt;"",IF(AF156="Présent",AG156,0),0),IF($AH$5&lt;&gt;"",IF(AH156="Présent",AI156,0),0),IF($AJ$5&lt;&gt;"",IF(AJ156="Présent",AK156,0),0),IF($AL$5&lt;&gt;"",IF(AL156="Présent",AM156,0),0),IF($AN$5&lt;&gt;"",IF(AN156="Présent",AO156,0),0),IF($AP$5&lt;&gt;"",IF(AP156="Présent",AQ156,0),0),IF($AR$5&lt;&gt;"",IF(AR156="Présent",AS156,0),0),IF($AT$5&lt;&gt;"",IF(AT156="Présent",AU156,0),0),IF($AV$5&lt;&gt;"",IF(AV156="Présent",AW156,0),0),IF($AX$5&lt;&gt;"",IF(AX156="Présent",AY156,0),0),IF($AZ$5&lt;&gt;"",IF(AZ156="Présent",BA156,0),0),IF($BB$5&lt;&gt;"",IF(BB156="Présent",BC156,0),0),IF($BD$5&lt;&gt;"",IF(BD156="Présent",BE156,0),0),IF($BF$5&lt;&gt;"",IF(BF156="Présent",BG156,0),0),IF($BH$5&lt;&gt;"",IF(BH156="Présent",BI156,0),0),IF($BJ$5&lt;&gt;"",IF(BJ156="Présent",BK156,0),0),IF($BL$5&lt;&gt;"",IF(BL156="Présent",BM156,0),0)))</f>
      </c>
      <c r="BS156" s="25">
        <f>IF($A156="","",$BN156*IFERROR(INDEX(Categories_Salaire,MATCH($C156,ListeCategories,0)),0)+$BR156*IF(IFERROR(INDEX(Categories_TauxHS,MATCH($C156,ListeCategories,0)),0)&gt;0,IFERROR(INDEX(Categories_TauxHS,MATCH($C156,ListeCategories,0)),0),TauxHSDefaut))</f>
      </c>
    </row>
    <row r="157">
      <c r="A157" s="20">
        <f>IF(AND(INDEX(Employes_Nom,151)&lt;&gt;"",INDEX(Employes_Statut,151)="Actif",OR(INDEX(Employes_Embauche,151)="",INDEX(Employes_Embauche,151)&lt;=EOMONTH(DATE(AnneeCourante,MoisCourant,1),0))),INDEX(Employes_ID,151),"")</f>
      </c>
      <c r="B157" s="19">
        <f>IF($A157="","",INDEX(Employes_Nom,MATCH($A157,Employes_ID,0)))</f>
      </c>
      <c r="C157" s="20">
        <f>IF($A157="","",INDEX(Employes_Categorie,MATCH($A157,Employes_ID,0)))</f>
      </c>
      <c r="D157" s="26"/>
      <c r="E157" s="27"/>
      <c r="F157" s="26"/>
      <c r="G157" s="27"/>
      <c r="H157" s="26"/>
      <c r="I157" s="27"/>
      <c r="J157" s="26"/>
      <c r="K157" s="27"/>
      <c r="L157" s="26"/>
      <c r="M157" s="27"/>
      <c r="N157" s="26"/>
      <c r="O157" s="27"/>
      <c r="P157" s="26"/>
      <c r="Q157" s="27"/>
      <c r="R157" s="26"/>
      <c r="S157" s="27"/>
      <c r="T157" s="26"/>
      <c r="U157" s="27"/>
      <c r="V157" s="26"/>
      <c r="W157" s="27"/>
      <c r="X157" s="26"/>
      <c r="Y157" s="27"/>
      <c r="Z157" s="26"/>
      <c r="AA157" s="27"/>
      <c r="AB157" s="26"/>
      <c r="AC157" s="27"/>
      <c r="AD157" s="26"/>
      <c r="AE157" s="27"/>
      <c r="AF157" s="26"/>
      <c r="AG157" s="27"/>
      <c r="AH157" s="26"/>
      <c r="AI157" s="27"/>
      <c r="AJ157" s="26"/>
      <c r="AK157" s="27"/>
      <c r="AL157" s="26"/>
      <c r="AM157" s="27"/>
      <c r="AN157" s="26"/>
      <c r="AO157" s="27"/>
      <c r="AP157" s="26"/>
      <c r="AQ157" s="27"/>
      <c r="AR157" s="26"/>
      <c r="AS157" s="27"/>
      <c r="AT157" s="26"/>
      <c r="AU157" s="27"/>
      <c r="AV157" s="26"/>
      <c r="AW157" s="27"/>
      <c r="AX157" s="26"/>
      <c r="AY157" s="27"/>
      <c r="AZ157" s="26"/>
      <c r="BA157" s="27"/>
      <c r="BB157" s="26"/>
      <c r="BC157" s="27"/>
      <c r="BD157" s="26"/>
      <c r="BE157" s="27"/>
      <c r="BF157" s="26"/>
      <c r="BG157" s="27"/>
      <c r="BH157" s="26"/>
      <c r="BI157" s="27"/>
      <c r="BJ157" s="26"/>
      <c r="BK157" s="27"/>
      <c r="BL157" s="26"/>
      <c r="BM157" s="27"/>
      <c r="BN157" s="22">
        <f>IF($A157="","",SUM(IF($D$5&lt;&gt;"",--(D157="Présent"),0),IF($F$5&lt;&gt;"",--(F157="Présent"),0),IF($H$5&lt;&gt;"",--(H157="Présent"),0),IF($J$5&lt;&gt;"",--(J157="Présent"),0),IF($L$5&lt;&gt;"",--(L157="Présent"),0),IF($N$5&lt;&gt;"",--(N157="Présent"),0),IF($P$5&lt;&gt;"",--(P157="Présent"),0),IF($R$5&lt;&gt;"",--(R157="Présent"),0),IF($T$5&lt;&gt;"",--(T157="Présent"),0),IF($V$5&lt;&gt;"",--(V157="Présent"),0),IF($X$5&lt;&gt;"",--(X157="Présent"),0),IF($Z$5&lt;&gt;"",--(Z157="Présent"),0),IF($AB$5&lt;&gt;"",--(AB157="Présent"),0),IF($AD$5&lt;&gt;"",--(AD157="Présent"),0),IF($AF$5&lt;&gt;"",--(AF157="Présent"),0),IF($AH$5&lt;&gt;"",--(AH157="Présent"),0),IF($AJ$5&lt;&gt;"",--(AJ157="Présent"),0),IF($AL$5&lt;&gt;"",--(AL157="Présent"),0),IF($AN$5&lt;&gt;"",--(AN157="Présent"),0),IF($AP$5&lt;&gt;"",--(AP157="Présent"),0),IF($AR$5&lt;&gt;"",--(AR157="Présent"),0),IF($AT$5&lt;&gt;"",--(AT157="Présent"),0),IF($AV$5&lt;&gt;"",--(AV157="Présent"),0),IF($AX$5&lt;&gt;"",--(AX157="Présent"),0),IF($AZ$5&lt;&gt;"",--(AZ157="Présent"),0),IF($BB$5&lt;&gt;"",--(BB157="Présent"),0),IF($BD$5&lt;&gt;"",--(BD157="Présent"),0),IF($BF$5&lt;&gt;"",--(BF157="Présent"),0),IF($BH$5&lt;&gt;"",--(BH157="Présent"),0),IF($BJ$5&lt;&gt;"",--(BJ157="Présent"),0),IF($BL$5&lt;&gt;"",--(BL157="Présent"),0)))</f>
      </c>
      <c r="BO157" s="22">
        <f>IF($A157="","",SUM(IF($D$5&lt;&gt;"",--(D157="Absent"),0),IF($F$5&lt;&gt;"",--(F157="Absent"),0),IF($H$5&lt;&gt;"",--(H157="Absent"),0),IF($J$5&lt;&gt;"",--(J157="Absent"),0),IF($L$5&lt;&gt;"",--(L157="Absent"),0),IF($N$5&lt;&gt;"",--(N157="Absent"),0),IF($P$5&lt;&gt;"",--(P157="Absent"),0),IF($R$5&lt;&gt;"",--(R157="Absent"),0),IF($T$5&lt;&gt;"",--(T157="Absent"),0),IF($V$5&lt;&gt;"",--(V157="Absent"),0),IF($X$5&lt;&gt;"",--(X157="Absent"),0),IF($Z$5&lt;&gt;"",--(Z157="Absent"),0),IF($AB$5&lt;&gt;"",--(AB157="Absent"),0),IF($AD$5&lt;&gt;"",--(AD157="Absent"),0),IF($AF$5&lt;&gt;"",--(AF157="Absent"),0),IF($AH$5&lt;&gt;"",--(AH157="Absent"),0),IF($AJ$5&lt;&gt;"",--(AJ157="Absent"),0),IF($AL$5&lt;&gt;"",--(AL157="Absent"),0),IF($AN$5&lt;&gt;"",--(AN157="Absent"),0),IF($AP$5&lt;&gt;"",--(AP157="Absent"),0),IF($AR$5&lt;&gt;"",--(AR157="Absent"),0),IF($AT$5&lt;&gt;"",--(AT157="Absent"),0),IF($AV$5&lt;&gt;"",--(AV157="Absent"),0),IF($AX$5&lt;&gt;"",--(AX157="Absent"),0),IF($AZ$5&lt;&gt;"",--(AZ157="Absent"),0),IF($BB$5&lt;&gt;"",--(BB157="Absent"),0),IF($BD$5&lt;&gt;"",--(BD157="Absent"),0),IF($BF$5&lt;&gt;"",--(BF157="Absent"),0),IF($BH$5&lt;&gt;"",--(BH157="Absent"),0),IF($BJ$5&lt;&gt;"",--(BJ157="Absent"),0),IF($BL$5&lt;&gt;"",--(BL157="Absent"),0)))</f>
      </c>
      <c r="BP157" s="22">
        <f>IF($A157="","",SUM(IF($D$5&lt;&gt;"",--(D157="Congé"),0),IF($F$5&lt;&gt;"",--(F157="Congé"),0),IF($H$5&lt;&gt;"",--(H157="Congé"),0),IF($J$5&lt;&gt;"",--(J157="Congé"),0),IF($L$5&lt;&gt;"",--(L157="Congé"),0),IF($N$5&lt;&gt;"",--(N157="Congé"),0),IF($P$5&lt;&gt;"",--(P157="Congé"),0),IF($R$5&lt;&gt;"",--(R157="Congé"),0),IF($T$5&lt;&gt;"",--(T157="Congé"),0),IF($V$5&lt;&gt;"",--(V157="Congé"),0),IF($X$5&lt;&gt;"",--(X157="Congé"),0),IF($Z$5&lt;&gt;"",--(Z157="Congé"),0),IF($AB$5&lt;&gt;"",--(AB157="Congé"),0),IF($AD$5&lt;&gt;"",--(AD157="Congé"),0),IF($AF$5&lt;&gt;"",--(AF157="Congé"),0),IF($AH$5&lt;&gt;"",--(AH157="Congé"),0),IF($AJ$5&lt;&gt;"",--(AJ157="Congé"),0),IF($AL$5&lt;&gt;"",--(AL157="Congé"),0),IF($AN$5&lt;&gt;"",--(AN157="Congé"),0),IF($AP$5&lt;&gt;"",--(AP157="Congé"),0),IF($AR$5&lt;&gt;"",--(AR157="Congé"),0),IF($AT$5&lt;&gt;"",--(AT157="Congé"),0),IF($AV$5&lt;&gt;"",--(AV157="Congé"),0),IF($AX$5&lt;&gt;"",--(AX157="Congé"),0),IF($AZ$5&lt;&gt;"",--(AZ157="Congé"),0),IF($BB$5&lt;&gt;"",--(BB157="Congé"),0),IF($BD$5&lt;&gt;"",--(BD157="Congé"),0),IF($BF$5&lt;&gt;"",--(BF157="Congé"),0),IF($BH$5&lt;&gt;"",--(BH157="Congé"),0),IF($BJ$5&lt;&gt;"",--(BJ157="Congé"),0),IF($BL$5&lt;&gt;"",--(BL157="Congé"),0)))</f>
      </c>
      <c r="BQ157" s="22">
        <f>IF($A157="","",SUM(IF($D$5&lt;&gt;"",--(D157="Maladie"),0),IF($F$5&lt;&gt;"",--(F157="Maladie"),0),IF($H$5&lt;&gt;"",--(H157="Maladie"),0),IF($J$5&lt;&gt;"",--(J157="Maladie"),0),IF($L$5&lt;&gt;"",--(L157="Maladie"),0),IF($N$5&lt;&gt;"",--(N157="Maladie"),0),IF($P$5&lt;&gt;"",--(P157="Maladie"),0),IF($R$5&lt;&gt;"",--(R157="Maladie"),0),IF($T$5&lt;&gt;"",--(T157="Maladie"),0),IF($V$5&lt;&gt;"",--(V157="Maladie"),0),IF($X$5&lt;&gt;"",--(X157="Maladie"),0),IF($Z$5&lt;&gt;"",--(Z157="Maladie"),0),IF($AB$5&lt;&gt;"",--(AB157="Maladie"),0),IF($AD$5&lt;&gt;"",--(AD157="Maladie"),0),IF($AF$5&lt;&gt;"",--(AF157="Maladie"),0),IF($AH$5&lt;&gt;"",--(AH157="Maladie"),0),IF($AJ$5&lt;&gt;"",--(AJ157="Maladie"),0),IF($AL$5&lt;&gt;"",--(AL157="Maladie"),0),IF($AN$5&lt;&gt;"",--(AN157="Maladie"),0),IF($AP$5&lt;&gt;"",--(AP157="Maladie"),0),IF($AR$5&lt;&gt;"",--(AR157="Maladie"),0),IF($AT$5&lt;&gt;"",--(AT157="Maladie"),0),IF($AV$5&lt;&gt;"",--(AV157="Maladie"),0),IF($AX$5&lt;&gt;"",--(AX157="Maladie"),0),IF($AZ$5&lt;&gt;"",--(AZ157="Maladie"),0),IF($BB$5&lt;&gt;"",--(BB157="Maladie"),0),IF($BD$5&lt;&gt;"",--(BD157="Maladie"),0),IF($BF$5&lt;&gt;"",--(BF157="Maladie"),0),IF($BH$5&lt;&gt;"",--(BH157="Maladie"),0),IF($BJ$5&lt;&gt;"",--(BJ157="Maladie"),0),IF($BL$5&lt;&gt;"",--(BL157="Maladie"),0)))</f>
      </c>
      <c r="BR157" s="23">
        <f>IF($A157="","",SUM(IF($D$5&lt;&gt;"",IF(D157="Présent",E157,0),0),IF($F$5&lt;&gt;"",IF(F157="Présent",G157,0),0),IF($H$5&lt;&gt;"",IF(H157="Présent",I157,0),0),IF($J$5&lt;&gt;"",IF(J157="Présent",K157,0),0),IF($L$5&lt;&gt;"",IF(L157="Présent",M157,0),0),IF($N$5&lt;&gt;"",IF(N157="Présent",O157,0),0),IF($P$5&lt;&gt;"",IF(P157="Présent",Q157,0),0),IF($R$5&lt;&gt;"",IF(R157="Présent",S157,0),0),IF($T$5&lt;&gt;"",IF(T157="Présent",U157,0),0),IF($V$5&lt;&gt;"",IF(V157="Présent",W157,0),0),IF($X$5&lt;&gt;"",IF(X157="Présent",Y157,0),0),IF($Z$5&lt;&gt;"",IF(Z157="Présent",AA157,0),0),IF($AB$5&lt;&gt;"",IF(AB157="Présent",AC157,0),0),IF($AD$5&lt;&gt;"",IF(AD157="Présent",AE157,0),0),IF($AF$5&lt;&gt;"",IF(AF157="Présent",AG157,0),0),IF($AH$5&lt;&gt;"",IF(AH157="Présent",AI157,0),0),IF($AJ$5&lt;&gt;"",IF(AJ157="Présent",AK157,0),0),IF($AL$5&lt;&gt;"",IF(AL157="Présent",AM157,0),0),IF($AN$5&lt;&gt;"",IF(AN157="Présent",AO157,0),0),IF($AP$5&lt;&gt;"",IF(AP157="Présent",AQ157,0),0),IF($AR$5&lt;&gt;"",IF(AR157="Présent",AS157,0),0),IF($AT$5&lt;&gt;"",IF(AT157="Présent",AU157,0),0),IF($AV$5&lt;&gt;"",IF(AV157="Présent",AW157,0),0),IF($AX$5&lt;&gt;"",IF(AX157="Présent",AY157,0),0),IF($AZ$5&lt;&gt;"",IF(AZ157="Présent",BA157,0),0),IF($BB$5&lt;&gt;"",IF(BB157="Présent",BC157,0),0),IF($BD$5&lt;&gt;"",IF(BD157="Présent",BE157,0),0),IF($BF$5&lt;&gt;"",IF(BF157="Présent",BG157,0),0),IF($BH$5&lt;&gt;"",IF(BH157="Présent",BI157,0),0),IF($BJ$5&lt;&gt;"",IF(BJ157="Présent",BK157,0),0),IF($BL$5&lt;&gt;"",IF(BL157="Présent",BM157,0),0)))</f>
      </c>
      <c r="BS157" s="25">
        <f>IF($A157="","",$BN157*IFERROR(INDEX(Categories_Salaire,MATCH($C157,ListeCategories,0)),0)+$BR157*IF(IFERROR(INDEX(Categories_TauxHS,MATCH($C157,ListeCategories,0)),0)&gt;0,IFERROR(INDEX(Categories_TauxHS,MATCH($C157,ListeCategories,0)),0),TauxHSDefaut))</f>
      </c>
    </row>
    <row r="158">
      <c r="A158" s="20">
        <f>IF(AND(INDEX(Employes_Nom,152)&lt;&gt;"",INDEX(Employes_Statut,152)="Actif",OR(INDEX(Employes_Embauche,152)="",INDEX(Employes_Embauche,152)&lt;=EOMONTH(DATE(AnneeCourante,MoisCourant,1),0))),INDEX(Employes_ID,152),"")</f>
      </c>
      <c r="B158" s="19">
        <f>IF($A158="","",INDEX(Employes_Nom,MATCH($A158,Employes_ID,0)))</f>
      </c>
      <c r="C158" s="20">
        <f>IF($A158="","",INDEX(Employes_Categorie,MATCH($A158,Employes_ID,0)))</f>
      </c>
      <c r="D158" s="26"/>
      <c r="E158" s="27"/>
      <c r="F158" s="26"/>
      <c r="G158" s="27"/>
      <c r="H158" s="26"/>
      <c r="I158" s="27"/>
      <c r="J158" s="26"/>
      <c r="K158" s="27"/>
      <c r="L158" s="26"/>
      <c r="M158" s="27"/>
      <c r="N158" s="26"/>
      <c r="O158" s="27"/>
      <c r="P158" s="26"/>
      <c r="Q158" s="27"/>
      <c r="R158" s="26"/>
      <c r="S158" s="27"/>
      <c r="T158" s="26"/>
      <c r="U158" s="27"/>
      <c r="V158" s="26"/>
      <c r="W158" s="27"/>
      <c r="X158" s="26"/>
      <c r="Y158" s="27"/>
      <c r="Z158" s="26"/>
      <c r="AA158" s="27"/>
      <c r="AB158" s="26"/>
      <c r="AC158" s="27"/>
      <c r="AD158" s="26"/>
      <c r="AE158" s="27"/>
      <c r="AF158" s="26"/>
      <c r="AG158" s="27"/>
      <c r="AH158" s="26"/>
      <c r="AI158" s="27"/>
      <c r="AJ158" s="26"/>
      <c r="AK158" s="27"/>
      <c r="AL158" s="26"/>
      <c r="AM158" s="27"/>
      <c r="AN158" s="26"/>
      <c r="AO158" s="27"/>
      <c r="AP158" s="26"/>
      <c r="AQ158" s="27"/>
      <c r="AR158" s="26"/>
      <c r="AS158" s="27"/>
      <c r="AT158" s="26"/>
      <c r="AU158" s="27"/>
      <c r="AV158" s="26"/>
      <c r="AW158" s="27"/>
      <c r="AX158" s="26"/>
      <c r="AY158" s="27"/>
      <c r="AZ158" s="26"/>
      <c r="BA158" s="27"/>
      <c r="BB158" s="26"/>
      <c r="BC158" s="27"/>
      <c r="BD158" s="26"/>
      <c r="BE158" s="27"/>
      <c r="BF158" s="26"/>
      <c r="BG158" s="27"/>
      <c r="BH158" s="26"/>
      <c r="BI158" s="27"/>
      <c r="BJ158" s="26"/>
      <c r="BK158" s="27"/>
      <c r="BL158" s="26"/>
      <c r="BM158" s="27"/>
      <c r="BN158" s="22">
        <f>IF($A158="","",SUM(IF($D$5&lt;&gt;"",--(D158="Présent"),0),IF($F$5&lt;&gt;"",--(F158="Présent"),0),IF($H$5&lt;&gt;"",--(H158="Présent"),0),IF($J$5&lt;&gt;"",--(J158="Présent"),0),IF($L$5&lt;&gt;"",--(L158="Présent"),0),IF($N$5&lt;&gt;"",--(N158="Présent"),0),IF($P$5&lt;&gt;"",--(P158="Présent"),0),IF($R$5&lt;&gt;"",--(R158="Présent"),0),IF($T$5&lt;&gt;"",--(T158="Présent"),0),IF($V$5&lt;&gt;"",--(V158="Présent"),0),IF($X$5&lt;&gt;"",--(X158="Présent"),0),IF($Z$5&lt;&gt;"",--(Z158="Présent"),0),IF($AB$5&lt;&gt;"",--(AB158="Présent"),0),IF($AD$5&lt;&gt;"",--(AD158="Présent"),0),IF($AF$5&lt;&gt;"",--(AF158="Présent"),0),IF($AH$5&lt;&gt;"",--(AH158="Présent"),0),IF($AJ$5&lt;&gt;"",--(AJ158="Présent"),0),IF($AL$5&lt;&gt;"",--(AL158="Présent"),0),IF($AN$5&lt;&gt;"",--(AN158="Présent"),0),IF($AP$5&lt;&gt;"",--(AP158="Présent"),0),IF($AR$5&lt;&gt;"",--(AR158="Présent"),0),IF($AT$5&lt;&gt;"",--(AT158="Présent"),0),IF($AV$5&lt;&gt;"",--(AV158="Présent"),0),IF($AX$5&lt;&gt;"",--(AX158="Présent"),0),IF($AZ$5&lt;&gt;"",--(AZ158="Présent"),0),IF($BB$5&lt;&gt;"",--(BB158="Présent"),0),IF($BD$5&lt;&gt;"",--(BD158="Présent"),0),IF($BF$5&lt;&gt;"",--(BF158="Présent"),0),IF($BH$5&lt;&gt;"",--(BH158="Présent"),0),IF($BJ$5&lt;&gt;"",--(BJ158="Présent"),0),IF($BL$5&lt;&gt;"",--(BL158="Présent"),0)))</f>
      </c>
      <c r="BO158" s="22">
        <f>IF($A158="","",SUM(IF($D$5&lt;&gt;"",--(D158="Absent"),0),IF($F$5&lt;&gt;"",--(F158="Absent"),0),IF($H$5&lt;&gt;"",--(H158="Absent"),0),IF($J$5&lt;&gt;"",--(J158="Absent"),0),IF($L$5&lt;&gt;"",--(L158="Absent"),0),IF($N$5&lt;&gt;"",--(N158="Absent"),0),IF($P$5&lt;&gt;"",--(P158="Absent"),0),IF($R$5&lt;&gt;"",--(R158="Absent"),0),IF($T$5&lt;&gt;"",--(T158="Absent"),0),IF($V$5&lt;&gt;"",--(V158="Absent"),0),IF($X$5&lt;&gt;"",--(X158="Absent"),0),IF($Z$5&lt;&gt;"",--(Z158="Absent"),0),IF($AB$5&lt;&gt;"",--(AB158="Absent"),0),IF($AD$5&lt;&gt;"",--(AD158="Absent"),0),IF($AF$5&lt;&gt;"",--(AF158="Absent"),0),IF($AH$5&lt;&gt;"",--(AH158="Absent"),0),IF($AJ$5&lt;&gt;"",--(AJ158="Absent"),0),IF($AL$5&lt;&gt;"",--(AL158="Absent"),0),IF($AN$5&lt;&gt;"",--(AN158="Absent"),0),IF($AP$5&lt;&gt;"",--(AP158="Absent"),0),IF($AR$5&lt;&gt;"",--(AR158="Absent"),0),IF($AT$5&lt;&gt;"",--(AT158="Absent"),0),IF($AV$5&lt;&gt;"",--(AV158="Absent"),0),IF($AX$5&lt;&gt;"",--(AX158="Absent"),0),IF($AZ$5&lt;&gt;"",--(AZ158="Absent"),0),IF($BB$5&lt;&gt;"",--(BB158="Absent"),0),IF($BD$5&lt;&gt;"",--(BD158="Absent"),0),IF($BF$5&lt;&gt;"",--(BF158="Absent"),0),IF($BH$5&lt;&gt;"",--(BH158="Absent"),0),IF($BJ$5&lt;&gt;"",--(BJ158="Absent"),0),IF($BL$5&lt;&gt;"",--(BL158="Absent"),0)))</f>
      </c>
      <c r="BP158" s="22">
        <f>IF($A158="","",SUM(IF($D$5&lt;&gt;"",--(D158="Congé"),0),IF($F$5&lt;&gt;"",--(F158="Congé"),0),IF($H$5&lt;&gt;"",--(H158="Congé"),0),IF($J$5&lt;&gt;"",--(J158="Congé"),0),IF($L$5&lt;&gt;"",--(L158="Congé"),0),IF($N$5&lt;&gt;"",--(N158="Congé"),0),IF($P$5&lt;&gt;"",--(P158="Congé"),0),IF($R$5&lt;&gt;"",--(R158="Congé"),0),IF($T$5&lt;&gt;"",--(T158="Congé"),0),IF($V$5&lt;&gt;"",--(V158="Congé"),0),IF($X$5&lt;&gt;"",--(X158="Congé"),0),IF($Z$5&lt;&gt;"",--(Z158="Congé"),0),IF($AB$5&lt;&gt;"",--(AB158="Congé"),0),IF($AD$5&lt;&gt;"",--(AD158="Congé"),0),IF($AF$5&lt;&gt;"",--(AF158="Congé"),0),IF($AH$5&lt;&gt;"",--(AH158="Congé"),0),IF($AJ$5&lt;&gt;"",--(AJ158="Congé"),0),IF($AL$5&lt;&gt;"",--(AL158="Congé"),0),IF($AN$5&lt;&gt;"",--(AN158="Congé"),0),IF($AP$5&lt;&gt;"",--(AP158="Congé"),0),IF($AR$5&lt;&gt;"",--(AR158="Congé"),0),IF($AT$5&lt;&gt;"",--(AT158="Congé"),0),IF($AV$5&lt;&gt;"",--(AV158="Congé"),0),IF($AX$5&lt;&gt;"",--(AX158="Congé"),0),IF($AZ$5&lt;&gt;"",--(AZ158="Congé"),0),IF($BB$5&lt;&gt;"",--(BB158="Congé"),0),IF($BD$5&lt;&gt;"",--(BD158="Congé"),0),IF($BF$5&lt;&gt;"",--(BF158="Congé"),0),IF($BH$5&lt;&gt;"",--(BH158="Congé"),0),IF($BJ$5&lt;&gt;"",--(BJ158="Congé"),0),IF($BL$5&lt;&gt;"",--(BL158="Congé"),0)))</f>
      </c>
      <c r="BQ158" s="22">
        <f>IF($A158="","",SUM(IF($D$5&lt;&gt;"",--(D158="Maladie"),0),IF($F$5&lt;&gt;"",--(F158="Maladie"),0),IF($H$5&lt;&gt;"",--(H158="Maladie"),0),IF($J$5&lt;&gt;"",--(J158="Maladie"),0),IF($L$5&lt;&gt;"",--(L158="Maladie"),0),IF($N$5&lt;&gt;"",--(N158="Maladie"),0),IF($P$5&lt;&gt;"",--(P158="Maladie"),0),IF($R$5&lt;&gt;"",--(R158="Maladie"),0),IF($T$5&lt;&gt;"",--(T158="Maladie"),0),IF($V$5&lt;&gt;"",--(V158="Maladie"),0),IF($X$5&lt;&gt;"",--(X158="Maladie"),0),IF($Z$5&lt;&gt;"",--(Z158="Maladie"),0),IF($AB$5&lt;&gt;"",--(AB158="Maladie"),0),IF($AD$5&lt;&gt;"",--(AD158="Maladie"),0),IF($AF$5&lt;&gt;"",--(AF158="Maladie"),0),IF($AH$5&lt;&gt;"",--(AH158="Maladie"),0),IF($AJ$5&lt;&gt;"",--(AJ158="Maladie"),0),IF($AL$5&lt;&gt;"",--(AL158="Maladie"),0),IF($AN$5&lt;&gt;"",--(AN158="Maladie"),0),IF($AP$5&lt;&gt;"",--(AP158="Maladie"),0),IF($AR$5&lt;&gt;"",--(AR158="Maladie"),0),IF($AT$5&lt;&gt;"",--(AT158="Maladie"),0),IF($AV$5&lt;&gt;"",--(AV158="Maladie"),0),IF($AX$5&lt;&gt;"",--(AX158="Maladie"),0),IF($AZ$5&lt;&gt;"",--(AZ158="Maladie"),0),IF($BB$5&lt;&gt;"",--(BB158="Maladie"),0),IF($BD$5&lt;&gt;"",--(BD158="Maladie"),0),IF($BF$5&lt;&gt;"",--(BF158="Maladie"),0),IF($BH$5&lt;&gt;"",--(BH158="Maladie"),0),IF($BJ$5&lt;&gt;"",--(BJ158="Maladie"),0),IF($BL$5&lt;&gt;"",--(BL158="Maladie"),0)))</f>
      </c>
      <c r="BR158" s="23">
        <f>IF($A158="","",SUM(IF($D$5&lt;&gt;"",IF(D158="Présent",E158,0),0),IF($F$5&lt;&gt;"",IF(F158="Présent",G158,0),0),IF($H$5&lt;&gt;"",IF(H158="Présent",I158,0),0),IF($J$5&lt;&gt;"",IF(J158="Présent",K158,0),0),IF($L$5&lt;&gt;"",IF(L158="Présent",M158,0),0),IF($N$5&lt;&gt;"",IF(N158="Présent",O158,0),0),IF($P$5&lt;&gt;"",IF(P158="Présent",Q158,0),0),IF($R$5&lt;&gt;"",IF(R158="Présent",S158,0),0),IF($T$5&lt;&gt;"",IF(T158="Présent",U158,0),0),IF($V$5&lt;&gt;"",IF(V158="Présent",W158,0),0),IF($X$5&lt;&gt;"",IF(X158="Présent",Y158,0),0),IF($Z$5&lt;&gt;"",IF(Z158="Présent",AA158,0),0),IF($AB$5&lt;&gt;"",IF(AB158="Présent",AC158,0),0),IF($AD$5&lt;&gt;"",IF(AD158="Présent",AE158,0),0),IF($AF$5&lt;&gt;"",IF(AF158="Présent",AG158,0),0),IF($AH$5&lt;&gt;"",IF(AH158="Présent",AI158,0),0),IF($AJ$5&lt;&gt;"",IF(AJ158="Présent",AK158,0),0),IF($AL$5&lt;&gt;"",IF(AL158="Présent",AM158,0),0),IF($AN$5&lt;&gt;"",IF(AN158="Présent",AO158,0),0),IF($AP$5&lt;&gt;"",IF(AP158="Présent",AQ158,0),0),IF($AR$5&lt;&gt;"",IF(AR158="Présent",AS158,0),0),IF($AT$5&lt;&gt;"",IF(AT158="Présent",AU158,0),0),IF($AV$5&lt;&gt;"",IF(AV158="Présent",AW158,0),0),IF($AX$5&lt;&gt;"",IF(AX158="Présent",AY158,0),0),IF($AZ$5&lt;&gt;"",IF(AZ158="Présent",BA158,0),0),IF($BB$5&lt;&gt;"",IF(BB158="Présent",BC158,0),0),IF($BD$5&lt;&gt;"",IF(BD158="Présent",BE158,0),0),IF($BF$5&lt;&gt;"",IF(BF158="Présent",BG158,0),0),IF($BH$5&lt;&gt;"",IF(BH158="Présent",BI158,0),0),IF($BJ$5&lt;&gt;"",IF(BJ158="Présent",BK158,0),0),IF($BL$5&lt;&gt;"",IF(BL158="Présent",BM158,0),0)))</f>
      </c>
      <c r="BS158" s="25">
        <f>IF($A158="","",$BN158*IFERROR(INDEX(Categories_Salaire,MATCH($C158,ListeCategories,0)),0)+$BR158*IF(IFERROR(INDEX(Categories_TauxHS,MATCH($C158,ListeCategories,0)),0)&gt;0,IFERROR(INDEX(Categories_TauxHS,MATCH($C158,ListeCategories,0)),0),TauxHSDefaut))</f>
      </c>
    </row>
    <row r="159">
      <c r="A159" s="20">
        <f>IF(AND(INDEX(Employes_Nom,153)&lt;&gt;"",INDEX(Employes_Statut,153)="Actif",OR(INDEX(Employes_Embauche,153)="",INDEX(Employes_Embauche,153)&lt;=EOMONTH(DATE(AnneeCourante,MoisCourant,1),0))),INDEX(Employes_ID,153),"")</f>
      </c>
      <c r="B159" s="19">
        <f>IF($A159="","",INDEX(Employes_Nom,MATCH($A159,Employes_ID,0)))</f>
      </c>
      <c r="C159" s="20">
        <f>IF($A159="","",INDEX(Employes_Categorie,MATCH($A159,Employes_ID,0)))</f>
      </c>
      <c r="D159" s="26"/>
      <c r="E159" s="27"/>
      <c r="F159" s="26"/>
      <c r="G159" s="27"/>
      <c r="H159" s="26"/>
      <c r="I159" s="27"/>
      <c r="J159" s="26"/>
      <c r="K159" s="27"/>
      <c r="L159" s="26"/>
      <c r="M159" s="27"/>
      <c r="N159" s="26"/>
      <c r="O159" s="27"/>
      <c r="P159" s="26"/>
      <c r="Q159" s="27"/>
      <c r="R159" s="26"/>
      <c r="S159" s="27"/>
      <c r="T159" s="26"/>
      <c r="U159" s="27"/>
      <c r="V159" s="26"/>
      <c r="W159" s="27"/>
      <c r="X159" s="26"/>
      <c r="Y159" s="27"/>
      <c r="Z159" s="26"/>
      <c r="AA159" s="27"/>
      <c r="AB159" s="26"/>
      <c r="AC159" s="27"/>
      <c r="AD159" s="26"/>
      <c r="AE159" s="27"/>
      <c r="AF159" s="26"/>
      <c r="AG159" s="27"/>
      <c r="AH159" s="26"/>
      <c r="AI159" s="27"/>
      <c r="AJ159" s="26"/>
      <c r="AK159" s="27"/>
      <c r="AL159" s="26"/>
      <c r="AM159" s="27"/>
      <c r="AN159" s="26"/>
      <c r="AO159" s="27"/>
      <c r="AP159" s="26"/>
      <c r="AQ159" s="27"/>
      <c r="AR159" s="26"/>
      <c r="AS159" s="27"/>
      <c r="AT159" s="26"/>
      <c r="AU159" s="27"/>
      <c r="AV159" s="26"/>
      <c r="AW159" s="27"/>
      <c r="AX159" s="26"/>
      <c r="AY159" s="27"/>
      <c r="AZ159" s="26"/>
      <c r="BA159" s="27"/>
      <c r="BB159" s="26"/>
      <c r="BC159" s="27"/>
      <c r="BD159" s="26"/>
      <c r="BE159" s="27"/>
      <c r="BF159" s="26"/>
      <c r="BG159" s="27"/>
      <c r="BH159" s="26"/>
      <c r="BI159" s="27"/>
      <c r="BJ159" s="26"/>
      <c r="BK159" s="27"/>
      <c r="BL159" s="26"/>
      <c r="BM159" s="27"/>
      <c r="BN159" s="22">
        <f>IF($A159="","",SUM(IF($D$5&lt;&gt;"",--(D159="Présent"),0),IF($F$5&lt;&gt;"",--(F159="Présent"),0),IF($H$5&lt;&gt;"",--(H159="Présent"),0),IF($J$5&lt;&gt;"",--(J159="Présent"),0),IF($L$5&lt;&gt;"",--(L159="Présent"),0),IF($N$5&lt;&gt;"",--(N159="Présent"),0),IF($P$5&lt;&gt;"",--(P159="Présent"),0),IF($R$5&lt;&gt;"",--(R159="Présent"),0),IF($T$5&lt;&gt;"",--(T159="Présent"),0),IF($V$5&lt;&gt;"",--(V159="Présent"),0),IF($X$5&lt;&gt;"",--(X159="Présent"),0),IF($Z$5&lt;&gt;"",--(Z159="Présent"),0),IF($AB$5&lt;&gt;"",--(AB159="Présent"),0),IF($AD$5&lt;&gt;"",--(AD159="Présent"),0),IF($AF$5&lt;&gt;"",--(AF159="Présent"),0),IF($AH$5&lt;&gt;"",--(AH159="Présent"),0),IF($AJ$5&lt;&gt;"",--(AJ159="Présent"),0),IF($AL$5&lt;&gt;"",--(AL159="Présent"),0),IF($AN$5&lt;&gt;"",--(AN159="Présent"),0),IF($AP$5&lt;&gt;"",--(AP159="Présent"),0),IF($AR$5&lt;&gt;"",--(AR159="Présent"),0),IF($AT$5&lt;&gt;"",--(AT159="Présent"),0),IF($AV$5&lt;&gt;"",--(AV159="Présent"),0),IF($AX$5&lt;&gt;"",--(AX159="Présent"),0),IF($AZ$5&lt;&gt;"",--(AZ159="Présent"),0),IF($BB$5&lt;&gt;"",--(BB159="Présent"),0),IF($BD$5&lt;&gt;"",--(BD159="Présent"),0),IF($BF$5&lt;&gt;"",--(BF159="Présent"),0),IF($BH$5&lt;&gt;"",--(BH159="Présent"),0),IF($BJ$5&lt;&gt;"",--(BJ159="Présent"),0),IF($BL$5&lt;&gt;"",--(BL159="Présent"),0)))</f>
      </c>
      <c r="BO159" s="22">
        <f>IF($A159="","",SUM(IF($D$5&lt;&gt;"",--(D159="Absent"),0),IF($F$5&lt;&gt;"",--(F159="Absent"),0),IF($H$5&lt;&gt;"",--(H159="Absent"),0),IF($J$5&lt;&gt;"",--(J159="Absent"),0),IF($L$5&lt;&gt;"",--(L159="Absent"),0),IF($N$5&lt;&gt;"",--(N159="Absent"),0),IF($P$5&lt;&gt;"",--(P159="Absent"),0),IF($R$5&lt;&gt;"",--(R159="Absent"),0),IF($T$5&lt;&gt;"",--(T159="Absent"),0),IF($V$5&lt;&gt;"",--(V159="Absent"),0),IF($X$5&lt;&gt;"",--(X159="Absent"),0),IF($Z$5&lt;&gt;"",--(Z159="Absent"),0),IF($AB$5&lt;&gt;"",--(AB159="Absent"),0),IF($AD$5&lt;&gt;"",--(AD159="Absent"),0),IF($AF$5&lt;&gt;"",--(AF159="Absent"),0),IF($AH$5&lt;&gt;"",--(AH159="Absent"),0),IF($AJ$5&lt;&gt;"",--(AJ159="Absent"),0),IF($AL$5&lt;&gt;"",--(AL159="Absent"),0),IF($AN$5&lt;&gt;"",--(AN159="Absent"),0),IF($AP$5&lt;&gt;"",--(AP159="Absent"),0),IF($AR$5&lt;&gt;"",--(AR159="Absent"),0),IF($AT$5&lt;&gt;"",--(AT159="Absent"),0),IF($AV$5&lt;&gt;"",--(AV159="Absent"),0),IF($AX$5&lt;&gt;"",--(AX159="Absent"),0),IF($AZ$5&lt;&gt;"",--(AZ159="Absent"),0),IF($BB$5&lt;&gt;"",--(BB159="Absent"),0),IF($BD$5&lt;&gt;"",--(BD159="Absent"),0),IF($BF$5&lt;&gt;"",--(BF159="Absent"),0),IF($BH$5&lt;&gt;"",--(BH159="Absent"),0),IF($BJ$5&lt;&gt;"",--(BJ159="Absent"),0),IF($BL$5&lt;&gt;"",--(BL159="Absent"),0)))</f>
      </c>
      <c r="BP159" s="22">
        <f>IF($A159="","",SUM(IF($D$5&lt;&gt;"",--(D159="Congé"),0),IF($F$5&lt;&gt;"",--(F159="Congé"),0),IF($H$5&lt;&gt;"",--(H159="Congé"),0),IF($J$5&lt;&gt;"",--(J159="Congé"),0),IF($L$5&lt;&gt;"",--(L159="Congé"),0),IF($N$5&lt;&gt;"",--(N159="Congé"),0),IF($P$5&lt;&gt;"",--(P159="Congé"),0),IF($R$5&lt;&gt;"",--(R159="Congé"),0),IF($T$5&lt;&gt;"",--(T159="Congé"),0),IF($V$5&lt;&gt;"",--(V159="Congé"),0),IF($X$5&lt;&gt;"",--(X159="Congé"),0),IF($Z$5&lt;&gt;"",--(Z159="Congé"),0),IF($AB$5&lt;&gt;"",--(AB159="Congé"),0),IF($AD$5&lt;&gt;"",--(AD159="Congé"),0),IF($AF$5&lt;&gt;"",--(AF159="Congé"),0),IF($AH$5&lt;&gt;"",--(AH159="Congé"),0),IF($AJ$5&lt;&gt;"",--(AJ159="Congé"),0),IF($AL$5&lt;&gt;"",--(AL159="Congé"),0),IF($AN$5&lt;&gt;"",--(AN159="Congé"),0),IF($AP$5&lt;&gt;"",--(AP159="Congé"),0),IF($AR$5&lt;&gt;"",--(AR159="Congé"),0),IF($AT$5&lt;&gt;"",--(AT159="Congé"),0),IF($AV$5&lt;&gt;"",--(AV159="Congé"),0),IF($AX$5&lt;&gt;"",--(AX159="Congé"),0),IF($AZ$5&lt;&gt;"",--(AZ159="Congé"),0),IF($BB$5&lt;&gt;"",--(BB159="Congé"),0),IF($BD$5&lt;&gt;"",--(BD159="Congé"),0),IF($BF$5&lt;&gt;"",--(BF159="Congé"),0),IF($BH$5&lt;&gt;"",--(BH159="Congé"),0),IF($BJ$5&lt;&gt;"",--(BJ159="Congé"),0),IF($BL$5&lt;&gt;"",--(BL159="Congé"),0)))</f>
      </c>
      <c r="BQ159" s="22">
        <f>IF($A159="","",SUM(IF($D$5&lt;&gt;"",--(D159="Maladie"),0),IF($F$5&lt;&gt;"",--(F159="Maladie"),0),IF($H$5&lt;&gt;"",--(H159="Maladie"),0),IF($J$5&lt;&gt;"",--(J159="Maladie"),0),IF($L$5&lt;&gt;"",--(L159="Maladie"),0),IF($N$5&lt;&gt;"",--(N159="Maladie"),0),IF($P$5&lt;&gt;"",--(P159="Maladie"),0),IF($R$5&lt;&gt;"",--(R159="Maladie"),0),IF($T$5&lt;&gt;"",--(T159="Maladie"),0),IF($V$5&lt;&gt;"",--(V159="Maladie"),0),IF($X$5&lt;&gt;"",--(X159="Maladie"),0),IF($Z$5&lt;&gt;"",--(Z159="Maladie"),0),IF($AB$5&lt;&gt;"",--(AB159="Maladie"),0),IF($AD$5&lt;&gt;"",--(AD159="Maladie"),0),IF($AF$5&lt;&gt;"",--(AF159="Maladie"),0),IF($AH$5&lt;&gt;"",--(AH159="Maladie"),0),IF($AJ$5&lt;&gt;"",--(AJ159="Maladie"),0),IF($AL$5&lt;&gt;"",--(AL159="Maladie"),0),IF($AN$5&lt;&gt;"",--(AN159="Maladie"),0),IF($AP$5&lt;&gt;"",--(AP159="Maladie"),0),IF($AR$5&lt;&gt;"",--(AR159="Maladie"),0),IF($AT$5&lt;&gt;"",--(AT159="Maladie"),0),IF($AV$5&lt;&gt;"",--(AV159="Maladie"),0),IF($AX$5&lt;&gt;"",--(AX159="Maladie"),0),IF($AZ$5&lt;&gt;"",--(AZ159="Maladie"),0),IF($BB$5&lt;&gt;"",--(BB159="Maladie"),0),IF($BD$5&lt;&gt;"",--(BD159="Maladie"),0),IF($BF$5&lt;&gt;"",--(BF159="Maladie"),0),IF($BH$5&lt;&gt;"",--(BH159="Maladie"),0),IF($BJ$5&lt;&gt;"",--(BJ159="Maladie"),0),IF($BL$5&lt;&gt;"",--(BL159="Maladie"),0)))</f>
      </c>
      <c r="BR159" s="23">
        <f>IF($A159="","",SUM(IF($D$5&lt;&gt;"",IF(D159="Présent",E159,0),0),IF($F$5&lt;&gt;"",IF(F159="Présent",G159,0),0),IF($H$5&lt;&gt;"",IF(H159="Présent",I159,0),0),IF($J$5&lt;&gt;"",IF(J159="Présent",K159,0),0),IF($L$5&lt;&gt;"",IF(L159="Présent",M159,0),0),IF($N$5&lt;&gt;"",IF(N159="Présent",O159,0),0),IF($P$5&lt;&gt;"",IF(P159="Présent",Q159,0),0),IF($R$5&lt;&gt;"",IF(R159="Présent",S159,0),0),IF($T$5&lt;&gt;"",IF(T159="Présent",U159,0),0),IF($V$5&lt;&gt;"",IF(V159="Présent",W159,0),0),IF($X$5&lt;&gt;"",IF(X159="Présent",Y159,0),0),IF($Z$5&lt;&gt;"",IF(Z159="Présent",AA159,0),0),IF($AB$5&lt;&gt;"",IF(AB159="Présent",AC159,0),0),IF($AD$5&lt;&gt;"",IF(AD159="Présent",AE159,0),0),IF($AF$5&lt;&gt;"",IF(AF159="Présent",AG159,0),0),IF($AH$5&lt;&gt;"",IF(AH159="Présent",AI159,0),0),IF($AJ$5&lt;&gt;"",IF(AJ159="Présent",AK159,0),0),IF($AL$5&lt;&gt;"",IF(AL159="Présent",AM159,0),0),IF($AN$5&lt;&gt;"",IF(AN159="Présent",AO159,0),0),IF($AP$5&lt;&gt;"",IF(AP159="Présent",AQ159,0),0),IF($AR$5&lt;&gt;"",IF(AR159="Présent",AS159,0),0),IF($AT$5&lt;&gt;"",IF(AT159="Présent",AU159,0),0),IF($AV$5&lt;&gt;"",IF(AV159="Présent",AW159,0),0),IF($AX$5&lt;&gt;"",IF(AX159="Présent",AY159,0),0),IF($AZ$5&lt;&gt;"",IF(AZ159="Présent",BA159,0),0),IF($BB$5&lt;&gt;"",IF(BB159="Présent",BC159,0),0),IF($BD$5&lt;&gt;"",IF(BD159="Présent",BE159,0),0),IF($BF$5&lt;&gt;"",IF(BF159="Présent",BG159,0),0),IF($BH$5&lt;&gt;"",IF(BH159="Présent",BI159,0),0),IF($BJ$5&lt;&gt;"",IF(BJ159="Présent",BK159,0),0),IF($BL$5&lt;&gt;"",IF(BL159="Présent",BM159,0),0)))</f>
      </c>
      <c r="BS159" s="25">
        <f>IF($A159="","",$BN159*IFERROR(INDEX(Categories_Salaire,MATCH($C159,ListeCategories,0)),0)+$BR159*IF(IFERROR(INDEX(Categories_TauxHS,MATCH($C159,ListeCategories,0)),0)&gt;0,IFERROR(INDEX(Categories_TauxHS,MATCH($C159,ListeCategories,0)),0),TauxHSDefaut))</f>
      </c>
    </row>
    <row r="160">
      <c r="A160" s="20">
        <f>IF(AND(INDEX(Employes_Nom,154)&lt;&gt;"",INDEX(Employes_Statut,154)="Actif",OR(INDEX(Employes_Embauche,154)="",INDEX(Employes_Embauche,154)&lt;=EOMONTH(DATE(AnneeCourante,MoisCourant,1),0))),INDEX(Employes_ID,154),"")</f>
      </c>
      <c r="B160" s="19">
        <f>IF($A160="","",INDEX(Employes_Nom,MATCH($A160,Employes_ID,0)))</f>
      </c>
      <c r="C160" s="20">
        <f>IF($A160="","",INDEX(Employes_Categorie,MATCH($A160,Employes_ID,0)))</f>
      </c>
      <c r="D160" s="26"/>
      <c r="E160" s="27"/>
      <c r="F160" s="26"/>
      <c r="G160" s="27"/>
      <c r="H160" s="26"/>
      <c r="I160" s="27"/>
      <c r="J160" s="26"/>
      <c r="K160" s="27"/>
      <c r="L160" s="26"/>
      <c r="M160" s="27"/>
      <c r="N160" s="26"/>
      <c r="O160" s="27"/>
      <c r="P160" s="26"/>
      <c r="Q160" s="27"/>
      <c r="R160" s="26"/>
      <c r="S160" s="27"/>
      <c r="T160" s="26"/>
      <c r="U160" s="27"/>
      <c r="V160" s="26"/>
      <c r="W160" s="27"/>
      <c r="X160" s="26"/>
      <c r="Y160" s="27"/>
      <c r="Z160" s="26"/>
      <c r="AA160" s="27"/>
      <c r="AB160" s="26"/>
      <c r="AC160" s="27"/>
      <c r="AD160" s="26"/>
      <c r="AE160" s="27"/>
      <c r="AF160" s="26"/>
      <c r="AG160" s="27"/>
      <c r="AH160" s="26"/>
      <c r="AI160" s="27"/>
      <c r="AJ160" s="26"/>
      <c r="AK160" s="27"/>
      <c r="AL160" s="26"/>
      <c r="AM160" s="27"/>
      <c r="AN160" s="26"/>
      <c r="AO160" s="27"/>
      <c r="AP160" s="26"/>
      <c r="AQ160" s="27"/>
      <c r="AR160" s="26"/>
      <c r="AS160" s="27"/>
      <c r="AT160" s="26"/>
      <c r="AU160" s="27"/>
      <c r="AV160" s="26"/>
      <c r="AW160" s="27"/>
      <c r="AX160" s="26"/>
      <c r="AY160" s="27"/>
      <c r="AZ160" s="26"/>
      <c r="BA160" s="27"/>
      <c r="BB160" s="26"/>
      <c r="BC160" s="27"/>
      <c r="BD160" s="26"/>
      <c r="BE160" s="27"/>
      <c r="BF160" s="26"/>
      <c r="BG160" s="27"/>
      <c r="BH160" s="26"/>
      <c r="BI160" s="27"/>
      <c r="BJ160" s="26"/>
      <c r="BK160" s="27"/>
      <c r="BL160" s="26"/>
      <c r="BM160" s="27"/>
      <c r="BN160" s="22">
        <f>IF($A160="","",SUM(IF($D$5&lt;&gt;"",--(D160="Présent"),0),IF($F$5&lt;&gt;"",--(F160="Présent"),0),IF($H$5&lt;&gt;"",--(H160="Présent"),0),IF($J$5&lt;&gt;"",--(J160="Présent"),0),IF($L$5&lt;&gt;"",--(L160="Présent"),0),IF($N$5&lt;&gt;"",--(N160="Présent"),0),IF($P$5&lt;&gt;"",--(P160="Présent"),0),IF($R$5&lt;&gt;"",--(R160="Présent"),0),IF($T$5&lt;&gt;"",--(T160="Présent"),0),IF($V$5&lt;&gt;"",--(V160="Présent"),0),IF($X$5&lt;&gt;"",--(X160="Présent"),0),IF($Z$5&lt;&gt;"",--(Z160="Présent"),0),IF($AB$5&lt;&gt;"",--(AB160="Présent"),0),IF($AD$5&lt;&gt;"",--(AD160="Présent"),0),IF($AF$5&lt;&gt;"",--(AF160="Présent"),0),IF($AH$5&lt;&gt;"",--(AH160="Présent"),0),IF($AJ$5&lt;&gt;"",--(AJ160="Présent"),0),IF($AL$5&lt;&gt;"",--(AL160="Présent"),0),IF($AN$5&lt;&gt;"",--(AN160="Présent"),0),IF($AP$5&lt;&gt;"",--(AP160="Présent"),0),IF($AR$5&lt;&gt;"",--(AR160="Présent"),0),IF($AT$5&lt;&gt;"",--(AT160="Présent"),0),IF($AV$5&lt;&gt;"",--(AV160="Présent"),0),IF($AX$5&lt;&gt;"",--(AX160="Présent"),0),IF($AZ$5&lt;&gt;"",--(AZ160="Présent"),0),IF($BB$5&lt;&gt;"",--(BB160="Présent"),0),IF($BD$5&lt;&gt;"",--(BD160="Présent"),0),IF($BF$5&lt;&gt;"",--(BF160="Présent"),0),IF($BH$5&lt;&gt;"",--(BH160="Présent"),0),IF($BJ$5&lt;&gt;"",--(BJ160="Présent"),0),IF($BL$5&lt;&gt;"",--(BL160="Présent"),0)))</f>
      </c>
      <c r="BO160" s="22">
        <f>IF($A160="","",SUM(IF($D$5&lt;&gt;"",--(D160="Absent"),0),IF($F$5&lt;&gt;"",--(F160="Absent"),0),IF($H$5&lt;&gt;"",--(H160="Absent"),0),IF($J$5&lt;&gt;"",--(J160="Absent"),0),IF($L$5&lt;&gt;"",--(L160="Absent"),0),IF($N$5&lt;&gt;"",--(N160="Absent"),0),IF($P$5&lt;&gt;"",--(P160="Absent"),0),IF($R$5&lt;&gt;"",--(R160="Absent"),0),IF($T$5&lt;&gt;"",--(T160="Absent"),0),IF($V$5&lt;&gt;"",--(V160="Absent"),0),IF($X$5&lt;&gt;"",--(X160="Absent"),0),IF($Z$5&lt;&gt;"",--(Z160="Absent"),0),IF($AB$5&lt;&gt;"",--(AB160="Absent"),0),IF($AD$5&lt;&gt;"",--(AD160="Absent"),0),IF($AF$5&lt;&gt;"",--(AF160="Absent"),0),IF($AH$5&lt;&gt;"",--(AH160="Absent"),0),IF($AJ$5&lt;&gt;"",--(AJ160="Absent"),0),IF($AL$5&lt;&gt;"",--(AL160="Absent"),0),IF($AN$5&lt;&gt;"",--(AN160="Absent"),0),IF($AP$5&lt;&gt;"",--(AP160="Absent"),0),IF($AR$5&lt;&gt;"",--(AR160="Absent"),0),IF($AT$5&lt;&gt;"",--(AT160="Absent"),0),IF($AV$5&lt;&gt;"",--(AV160="Absent"),0),IF($AX$5&lt;&gt;"",--(AX160="Absent"),0),IF($AZ$5&lt;&gt;"",--(AZ160="Absent"),0),IF($BB$5&lt;&gt;"",--(BB160="Absent"),0),IF($BD$5&lt;&gt;"",--(BD160="Absent"),0),IF($BF$5&lt;&gt;"",--(BF160="Absent"),0),IF($BH$5&lt;&gt;"",--(BH160="Absent"),0),IF($BJ$5&lt;&gt;"",--(BJ160="Absent"),0),IF($BL$5&lt;&gt;"",--(BL160="Absent"),0)))</f>
      </c>
      <c r="BP160" s="22">
        <f>IF($A160="","",SUM(IF($D$5&lt;&gt;"",--(D160="Congé"),0),IF($F$5&lt;&gt;"",--(F160="Congé"),0),IF($H$5&lt;&gt;"",--(H160="Congé"),0),IF($J$5&lt;&gt;"",--(J160="Congé"),0),IF($L$5&lt;&gt;"",--(L160="Congé"),0),IF($N$5&lt;&gt;"",--(N160="Congé"),0),IF($P$5&lt;&gt;"",--(P160="Congé"),0),IF($R$5&lt;&gt;"",--(R160="Congé"),0),IF($T$5&lt;&gt;"",--(T160="Congé"),0),IF($V$5&lt;&gt;"",--(V160="Congé"),0),IF($X$5&lt;&gt;"",--(X160="Congé"),0),IF($Z$5&lt;&gt;"",--(Z160="Congé"),0),IF($AB$5&lt;&gt;"",--(AB160="Congé"),0),IF($AD$5&lt;&gt;"",--(AD160="Congé"),0),IF($AF$5&lt;&gt;"",--(AF160="Congé"),0),IF($AH$5&lt;&gt;"",--(AH160="Congé"),0),IF($AJ$5&lt;&gt;"",--(AJ160="Congé"),0),IF($AL$5&lt;&gt;"",--(AL160="Congé"),0),IF($AN$5&lt;&gt;"",--(AN160="Congé"),0),IF($AP$5&lt;&gt;"",--(AP160="Congé"),0),IF($AR$5&lt;&gt;"",--(AR160="Congé"),0),IF($AT$5&lt;&gt;"",--(AT160="Congé"),0),IF($AV$5&lt;&gt;"",--(AV160="Congé"),0),IF($AX$5&lt;&gt;"",--(AX160="Congé"),0),IF($AZ$5&lt;&gt;"",--(AZ160="Congé"),0),IF($BB$5&lt;&gt;"",--(BB160="Congé"),0),IF($BD$5&lt;&gt;"",--(BD160="Congé"),0),IF($BF$5&lt;&gt;"",--(BF160="Congé"),0),IF($BH$5&lt;&gt;"",--(BH160="Congé"),0),IF($BJ$5&lt;&gt;"",--(BJ160="Congé"),0),IF($BL$5&lt;&gt;"",--(BL160="Congé"),0)))</f>
      </c>
      <c r="BQ160" s="22">
        <f>IF($A160="","",SUM(IF($D$5&lt;&gt;"",--(D160="Maladie"),0),IF($F$5&lt;&gt;"",--(F160="Maladie"),0),IF($H$5&lt;&gt;"",--(H160="Maladie"),0),IF($J$5&lt;&gt;"",--(J160="Maladie"),0),IF($L$5&lt;&gt;"",--(L160="Maladie"),0),IF($N$5&lt;&gt;"",--(N160="Maladie"),0),IF($P$5&lt;&gt;"",--(P160="Maladie"),0),IF($R$5&lt;&gt;"",--(R160="Maladie"),0),IF($T$5&lt;&gt;"",--(T160="Maladie"),0),IF($V$5&lt;&gt;"",--(V160="Maladie"),0),IF($X$5&lt;&gt;"",--(X160="Maladie"),0),IF($Z$5&lt;&gt;"",--(Z160="Maladie"),0),IF($AB$5&lt;&gt;"",--(AB160="Maladie"),0),IF($AD$5&lt;&gt;"",--(AD160="Maladie"),0),IF($AF$5&lt;&gt;"",--(AF160="Maladie"),0),IF($AH$5&lt;&gt;"",--(AH160="Maladie"),0),IF($AJ$5&lt;&gt;"",--(AJ160="Maladie"),0),IF($AL$5&lt;&gt;"",--(AL160="Maladie"),0),IF($AN$5&lt;&gt;"",--(AN160="Maladie"),0),IF($AP$5&lt;&gt;"",--(AP160="Maladie"),0),IF($AR$5&lt;&gt;"",--(AR160="Maladie"),0),IF($AT$5&lt;&gt;"",--(AT160="Maladie"),0),IF($AV$5&lt;&gt;"",--(AV160="Maladie"),0),IF($AX$5&lt;&gt;"",--(AX160="Maladie"),0),IF($AZ$5&lt;&gt;"",--(AZ160="Maladie"),0),IF($BB$5&lt;&gt;"",--(BB160="Maladie"),0),IF($BD$5&lt;&gt;"",--(BD160="Maladie"),0),IF($BF$5&lt;&gt;"",--(BF160="Maladie"),0),IF($BH$5&lt;&gt;"",--(BH160="Maladie"),0),IF($BJ$5&lt;&gt;"",--(BJ160="Maladie"),0),IF($BL$5&lt;&gt;"",--(BL160="Maladie"),0)))</f>
      </c>
      <c r="BR160" s="23">
        <f>IF($A160="","",SUM(IF($D$5&lt;&gt;"",IF(D160="Présent",E160,0),0),IF($F$5&lt;&gt;"",IF(F160="Présent",G160,0),0),IF($H$5&lt;&gt;"",IF(H160="Présent",I160,0),0),IF($J$5&lt;&gt;"",IF(J160="Présent",K160,0),0),IF($L$5&lt;&gt;"",IF(L160="Présent",M160,0),0),IF($N$5&lt;&gt;"",IF(N160="Présent",O160,0),0),IF($P$5&lt;&gt;"",IF(P160="Présent",Q160,0),0),IF($R$5&lt;&gt;"",IF(R160="Présent",S160,0),0),IF($T$5&lt;&gt;"",IF(T160="Présent",U160,0),0),IF($V$5&lt;&gt;"",IF(V160="Présent",W160,0),0),IF($X$5&lt;&gt;"",IF(X160="Présent",Y160,0),0),IF($Z$5&lt;&gt;"",IF(Z160="Présent",AA160,0),0),IF($AB$5&lt;&gt;"",IF(AB160="Présent",AC160,0),0),IF($AD$5&lt;&gt;"",IF(AD160="Présent",AE160,0),0),IF($AF$5&lt;&gt;"",IF(AF160="Présent",AG160,0),0),IF($AH$5&lt;&gt;"",IF(AH160="Présent",AI160,0),0),IF($AJ$5&lt;&gt;"",IF(AJ160="Présent",AK160,0),0),IF($AL$5&lt;&gt;"",IF(AL160="Présent",AM160,0),0),IF($AN$5&lt;&gt;"",IF(AN160="Présent",AO160,0),0),IF($AP$5&lt;&gt;"",IF(AP160="Présent",AQ160,0),0),IF($AR$5&lt;&gt;"",IF(AR160="Présent",AS160,0),0),IF($AT$5&lt;&gt;"",IF(AT160="Présent",AU160,0),0),IF($AV$5&lt;&gt;"",IF(AV160="Présent",AW160,0),0),IF($AX$5&lt;&gt;"",IF(AX160="Présent",AY160,0),0),IF($AZ$5&lt;&gt;"",IF(AZ160="Présent",BA160,0),0),IF($BB$5&lt;&gt;"",IF(BB160="Présent",BC160,0),0),IF($BD$5&lt;&gt;"",IF(BD160="Présent",BE160,0),0),IF($BF$5&lt;&gt;"",IF(BF160="Présent",BG160,0),0),IF($BH$5&lt;&gt;"",IF(BH160="Présent",BI160,0),0),IF($BJ$5&lt;&gt;"",IF(BJ160="Présent",BK160,0),0),IF($BL$5&lt;&gt;"",IF(BL160="Présent",BM160,0),0)))</f>
      </c>
      <c r="BS160" s="25">
        <f>IF($A160="","",$BN160*IFERROR(INDEX(Categories_Salaire,MATCH($C160,ListeCategories,0)),0)+$BR160*IF(IFERROR(INDEX(Categories_TauxHS,MATCH($C160,ListeCategories,0)),0)&gt;0,IFERROR(INDEX(Categories_TauxHS,MATCH($C160,ListeCategories,0)),0),TauxHSDefaut))</f>
      </c>
    </row>
    <row r="161">
      <c r="A161" s="20">
        <f>IF(AND(INDEX(Employes_Nom,155)&lt;&gt;"",INDEX(Employes_Statut,155)="Actif",OR(INDEX(Employes_Embauche,155)="",INDEX(Employes_Embauche,155)&lt;=EOMONTH(DATE(AnneeCourante,MoisCourant,1),0))),INDEX(Employes_ID,155),"")</f>
      </c>
      <c r="B161" s="19">
        <f>IF($A161="","",INDEX(Employes_Nom,MATCH($A161,Employes_ID,0)))</f>
      </c>
      <c r="C161" s="20">
        <f>IF($A161="","",INDEX(Employes_Categorie,MATCH($A161,Employes_ID,0)))</f>
      </c>
      <c r="D161" s="26"/>
      <c r="E161" s="27"/>
      <c r="F161" s="26"/>
      <c r="G161" s="27"/>
      <c r="H161" s="26"/>
      <c r="I161" s="27"/>
      <c r="J161" s="26"/>
      <c r="K161" s="27"/>
      <c r="L161" s="26"/>
      <c r="M161" s="27"/>
      <c r="N161" s="26"/>
      <c r="O161" s="27"/>
      <c r="P161" s="26"/>
      <c r="Q161" s="27"/>
      <c r="R161" s="26"/>
      <c r="S161" s="27"/>
      <c r="T161" s="26"/>
      <c r="U161" s="27"/>
      <c r="V161" s="26"/>
      <c r="W161" s="27"/>
      <c r="X161" s="26"/>
      <c r="Y161" s="27"/>
      <c r="Z161" s="26"/>
      <c r="AA161" s="27"/>
      <c r="AB161" s="26"/>
      <c r="AC161" s="27"/>
      <c r="AD161" s="26"/>
      <c r="AE161" s="27"/>
      <c r="AF161" s="26"/>
      <c r="AG161" s="27"/>
      <c r="AH161" s="26"/>
      <c r="AI161" s="27"/>
      <c r="AJ161" s="26"/>
      <c r="AK161" s="27"/>
      <c r="AL161" s="26"/>
      <c r="AM161" s="27"/>
      <c r="AN161" s="26"/>
      <c r="AO161" s="27"/>
      <c r="AP161" s="26"/>
      <c r="AQ161" s="27"/>
      <c r="AR161" s="26"/>
      <c r="AS161" s="27"/>
      <c r="AT161" s="26"/>
      <c r="AU161" s="27"/>
      <c r="AV161" s="26"/>
      <c r="AW161" s="27"/>
      <c r="AX161" s="26"/>
      <c r="AY161" s="27"/>
      <c r="AZ161" s="26"/>
      <c r="BA161" s="27"/>
      <c r="BB161" s="26"/>
      <c r="BC161" s="27"/>
      <c r="BD161" s="26"/>
      <c r="BE161" s="27"/>
      <c r="BF161" s="26"/>
      <c r="BG161" s="27"/>
      <c r="BH161" s="26"/>
      <c r="BI161" s="27"/>
      <c r="BJ161" s="26"/>
      <c r="BK161" s="27"/>
      <c r="BL161" s="26"/>
      <c r="BM161" s="27"/>
      <c r="BN161" s="22">
        <f>IF($A161="","",SUM(IF($D$5&lt;&gt;"",--(D161="Présent"),0),IF($F$5&lt;&gt;"",--(F161="Présent"),0),IF($H$5&lt;&gt;"",--(H161="Présent"),0),IF($J$5&lt;&gt;"",--(J161="Présent"),0),IF($L$5&lt;&gt;"",--(L161="Présent"),0),IF($N$5&lt;&gt;"",--(N161="Présent"),0),IF($P$5&lt;&gt;"",--(P161="Présent"),0),IF($R$5&lt;&gt;"",--(R161="Présent"),0),IF($T$5&lt;&gt;"",--(T161="Présent"),0),IF($V$5&lt;&gt;"",--(V161="Présent"),0),IF($X$5&lt;&gt;"",--(X161="Présent"),0),IF($Z$5&lt;&gt;"",--(Z161="Présent"),0),IF($AB$5&lt;&gt;"",--(AB161="Présent"),0),IF($AD$5&lt;&gt;"",--(AD161="Présent"),0),IF($AF$5&lt;&gt;"",--(AF161="Présent"),0),IF($AH$5&lt;&gt;"",--(AH161="Présent"),0),IF($AJ$5&lt;&gt;"",--(AJ161="Présent"),0),IF($AL$5&lt;&gt;"",--(AL161="Présent"),0),IF($AN$5&lt;&gt;"",--(AN161="Présent"),0),IF($AP$5&lt;&gt;"",--(AP161="Présent"),0),IF($AR$5&lt;&gt;"",--(AR161="Présent"),0),IF($AT$5&lt;&gt;"",--(AT161="Présent"),0),IF($AV$5&lt;&gt;"",--(AV161="Présent"),0),IF($AX$5&lt;&gt;"",--(AX161="Présent"),0),IF($AZ$5&lt;&gt;"",--(AZ161="Présent"),0),IF($BB$5&lt;&gt;"",--(BB161="Présent"),0),IF($BD$5&lt;&gt;"",--(BD161="Présent"),0),IF($BF$5&lt;&gt;"",--(BF161="Présent"),0),IF($BH$5&lt;&gt;"",--(BH161="Présent"),0),IF($BJ$5&lt;&gt;"",--(BJ161="Présent"),0),IF($BL$5&lt;&gt;"",--(BL161="Présent"),0)))</f>
      </c>
      <c r="BO161" s="22">
        <f>IF($A161="","",SUM(IF($D$5&lt;&gt;"",--(D161="Absent"),0),IF($F$5&lt;&gt;"",--(F161="Absent"),0),IF($H$5&lt;&gt;"",--(H161="Absent"),0),IF($J$5&lt;&gt;"",--(J161="Absent"),0),IF($L$5&lt;&gt;"",--(L161="Absent"),0),IF($N$5&lt;&gt;"",--(N161="Absent"),0),IF($P$5&lt;&gt;"",--(P161="Absent"),0),IF($R$5&lt;&gt;"",--(R161="Absent"),0),IF($T$5&lt;&gt;"",--(T161="Absent"),0),IF($V$5&lt;&gt;"",--(V161="Absent"),0),IF($X$5&lt;&gt;"",--(X161="Absent"),0),IF($Z$5&lt;&gt;"",--(Z161="Absent"),0),IF($AB$5&lt;&gt;"",--(AB161="Absent"),0),IF($AD$5&lt;&gt;"",--(AD161="Absent"),0),IF($AF$5&lt;&gt;"",--(AF161="Absent"),0),IF($AH$5&lt;&gt;"",--(AH161="Absent"),0),IF($AJ$5&lt;&gt;"",--(AJ161="Absent"),0),IF($AL$5&lt;&gt;"",--(AL161="Absent"),0),IF($AN$5&lt;&gt;"",--(AN161="Absent"),0),IF($AP$5&lt;&gt;"",--(AP161="Absent"),0),IF($AR$5&lt;&gt;"",--(AR161="Absent"),0),IF($AT$5&lt;&gt;"",--(AT161="Absent"),0),IF($AV$5&lt;&gt;"",--(AV161="Absent"),0),IF($AX$5&lt;&gt;"",--(AX161="Absent"),0),IF($AZ$5&lt;&gt;"",--(AZ161="Absent"),0),IF($BB$5&lt;&gt;"",--(BB161="Absent"),0),IF($BD$5&lt;&gt;"",--(BD161="Absent"),0),IF($BF$5&lt;&gt;"",--(BF161="Absent"),0),IF($BH$5&lt;&gt;"",--(BH161="Absent"),0),IF($BJ$5&lt;&gt;"",--(BJ161="Absent"),0),IF($BL$5&lt;&gt;"",--(BL161="Absent"),0)))</f>
      </c>
      <c r="BP161" s="22">
        <f>IF($A161="","",SUM(IF($D$5&lt;&gt;"",--(D161="Congé"),0),IF($F$5&lt;&gt;"",--(F161="Congé"),0),IF($H$5&lt;&gt;"",--(H161="Congé"),0),IF($J$5&lt;&gt;"",--(J161="Congé"),0),IF($L$5&lt;&gt;"",--(L161="Congé"),0),IF($N$5&lt;&gt;"",--(N161="Congé"),0),IF($P$5&lt;&gt;"",--(P161="Congé"),0),IF($R$5&lt;&gt;"",--(R161="Congé"),0),IF($T$5&lt;&gt;"",--(T161="Congé"),0),IF($V$5&lt;&gt;"",--(V161="Congé"),0),IF($X$5&lt;&gt;"",--(X161="Congé"),0),IF($Z$5&lt;&gt;"",--(Z161="Congé"),0),IF($AB$5&lt;&gt;"",--(AB161="Congé"),0),IF($AD$5&lt;&gt;"",--(AD161="Congé"),0),IF($AF$5&lt;&gt;"",--(AF161="Congé"),0),IF($AH$5&lt;&gt;"",--(AH161="Congé"),0),IF($AJ$5&lt;&gt;"",--(AJ161="Congé"),0),IF($AL$5&lt;&gt;"",--(AL161="Congé"),0),IF($AN$5&lt;&gt;"",--(AN161="Congé"),0),IF($AP$5&lt;&gt;"",--(AP161="Congé"),0),IF($AR$5&lt;&gt;"",--(AR161="Congé"),0),IF($AT$5&lt;&gt;"",--(AT161="Congé"),0),IF($AV$5&lt;&gt;"",--(AV161="Congé"),0),IF($AX$5&lt;&gt;"",--(AX161="Congé"),0),IF($AZ$5&lt;&gt;"",--(AZ161="Congé"),0),IF($BB$5&lt;&gt;"",--(BB161="Congé"),0),IF($BD$5&lt;&gt;"",--(BD161="Congé"),0),IF($BF$5&lt;&gt;"",--(BF161="Congé"),0),IF($BH$5&lt;&gt;"",--(BH161="Congé"),0),IF($BJ$5&lt;&gt;"",--(BJ161="Congé"),0),IF($BL$5&lt;&gt;"",--(BL161="Congé"),0)))</f>
      </c>
      <c r="BQ161" s="22">
        <f>IF($A161="","",SUM(IF($D$5&lt;&gt;"",--(D161="Maladie"),0),IF($F$5&lt;&gt;"",--(F161="Maladie"),0),IF($H$5&lt;&gt;"",--(H161="Maladie"),0),IF($J$5&lt;&gt;"",--(J161="Maladie"),0),IF($L$5&lt;&gt;"",--(L161="Maladie"),0),IF($N$5&lt;&gt;"",--(N161="Maladie"),0),IF($P$5&lt;&gt;"",--(P161="Maladie"),0),IF($R$5&lt;&gt;"",--(R161="Maladie"),0),IF($T$5&lt;&gt;"",--(T161="Maladie"),0),IF($V$5&lt;&gt;"",--(V161="Maladie"),0),IF($X$5&lt;&gt;"",--(X161="Maladie"),0),IF($Z$5&lt;&gt;"",--(Z161="Maladie"),0),IF($AB$5&lt;&gt;"",--(AB161="Maladie"),0),IF($AD$5&lt;&gt;"",--(AD161="Maladie"),0),IF($AF$5&lt;&gt;"",--(AF161="Maladie"),0),IF($AH$5&lt;&gt;"",--(AH161="Maladie"),0),IF($AJ$5&lt;&gt;"",--(AJ161="Maladie"),0),IF($AL$5&lt;&gt;"",--(AL161="Maladie"),0),IF($AN$5&lt;&gt;"",--(AN161="Maladie"),0),IF($AP$5&lt;&gt;"",--(AP161="Maladie"),0),IF($AR$5&lt;&gt;"",--(AR161="Maladie"),0),IF($AT$5&lt;&gt;"",--(AT161="Maladie"),0),IF($AV$5&lt;&gt;"",--(AV161="Maladie"),0),IF($AX$5&lt;&gt;"",--(AX161="Maladie"),0),IF($AZ$5&lt;&gt;"",--(AZ161="Maladie"),0),IF($BB$5&lt;&gt;"",--(BB161="Maladie"),0),IF($BD$5&lt;&gt;"",--(BD161="Maladie"),0),IF($BF$5&lt;&gt;"",--(BF161="Maladie"),0),IF($BH$5&lt;&gt;"",--(BH161="Maladie"),0),IF($BJ$5&lt;&gt;"",--(BJ161="Maladie"),0),IF($BL$5&lt;&gt;"",--(BL161="Maladie"),0)))</f>
      </c>
      <c r="BR161" s="23">
        <f>IF($A161="","",SUM(IF($D$5&lt;&gt;"",IF(D161="Présent",E161,0),0),IF($F$5&lt;&gt;"",IF(F161="Présent",G161,0),0),IF($H$5&lt;&gt;"",IF(H161="Présent",I161,0),0),IF($J$5&lt;&gt;"",IF(J161="Présent",K161,0),0),IF($L$5&lt;&gt;"",IF(L161="Présent",M161,0),0),IF($N$5&lt;&gt;"",IF(N161="Présent",O161,0),0),IF($P$5&lt;&gt;"",IF(P161="Présent",Q161,0),0),IF($R$5&lt;&gt;"",IF(R161="Présent",S161,0),0),IF($T$5&lt;&gt;"",IF(T161="Présent",U161,0),0),IF($V$5&lt;&gt;"",IF(V161="Présent",W161,0),0),IF($X$5&lt;&gt;"",IF(X161="Présent",Y161,0),0),IF($Z$5&lt;&gt;"",IF(Z161="Présent",AA161,0),0),IF($AB$5&lt;&gt;"",IF(AB161="Présent",AC161,0),0),IF($AD$5&lt;&gt;"",IF(AD161="Présent",AE161,0),0),IF($AF$5&lt;&gt;"",IF(AF161="Présent",AG161,0),0),IF($AH$5&lt;&gt;"",IF(AH161="Présent",AI161,0),0),IF($AJ$5&lt;&gt;"",IF(AJ161="Présent",AK161,0),0),IF($AL$5&lt;&gt;"",IF(AL161="Présent",AM161,0),0),IF($AN$5&lt;&gt;"",IF(AN161="Présent",AO161,0),0),IF($AP$5&lt;&gt;"",IF(AP161="Présent",AQ161,0),0),IF($AR$5&lt;&gt;"",IF(AR161="Présent",AS161,0),0),IF($AT$5&lt;&gt;"",IF(AT161="Présent",AU161,0),0),IF($AV$5&lt;&gt;"",IF(AV161="Présent",AW161,0),0),IF($AX$5&lt;&gt;"",IF(AX161="Présent",AY161,0),0),IF($AZ$5&lt;&gt;"",IF(AZ161="Présent",BA161,0),0),IF($BB$5&lt;&gt;"",IF(BB161="Présent",BC161,0),0),IF($BD$5&lt;&gt;"",IF(BD161="Présent",BE161,0),0),IF($BF$5&lt;&gt;"",IF(BF161="Présent",BG161,0),0),IF($BH$5&lt;&gt;"",IF(BH161="Présent",BI161,0),0),IF($BJ$5&lt;&gt;"",IF(BJ161="Présent",BK161,0),0),IF($BL$5&lt;&gt;"",IF(BL161="Présent",BM161,0),0)))</f>
      </c>
      <c r="BS161" s="25">
        <f>IF($A161="","",$BN161*IFERROR(INDEX(Categories_Salaire,MATCH($C161,ListeCategories,0)),0)+$BR161*IF(IFERROR(INDEX(Categories_TauxHS,MATCH($C161,ListeCategories,0)),0)&gt;0,IFERROR(INDEX(Categories_TauxHS,MATCH($C161,ListeCategories,0)),0),TauxHSDefaut))</f>
      </c>
    </row>
    <row r="162">
      <c r="A162" s="20">
        <f>IF(AND(INDEX(Employes_Nom,156)&lt;&gt;"",INDEX(Employes_Statut,156)="Actif",OR(INDEX(Employes_Embauche,156)="",INDEX(Employes_Embauche,156)&lt;=EOMONTH(DATE(AnneeCourante,MoisCourant,1),0))),INDEX(Employes_ID,156),"")</f>
      </c>
      <c r="B162" s="19">
        <f>IF($A162="","",INDEX(Employes_Nom,MATCH($A162,Employes_ID,0)))</f>
      </c>
      <c r="C162" s="20">
        <f>IF($A162="","",INDEX(Employes_Categorie,MATCH($A162,Employes_ID,0)))</f>
      </c>
      <c r="D162" s="26"/>
      <c r="E162" s="27"/>
      <c r="F162" s="26"/>
      <c r="G162" s="27"/>
      <c r="H162" s="26"/>
      <c r="I162" s="27"/>
      <c r="J162" s="26"/>
      <c r="K162" s="27"/>
      <c r="L162" s="26"/>
      <c r="M162" s="27"/>
      <c r="N162" s="26"/>
      <c r="O162" s="27"/>
      <c r="P162" s="26"/>
      <c r="Q162" s="27"/>
      <c r="R162" s="26"/>
      <c r="S162" s="27"/>
      <c r="T162" s="26"/>
      <c r="U162" s="27"/>
      <c r="V162" s="26"/>
      <c r="W162" s="27"/>
      <c r="X162" s="26"/>
      <c r="Y162" s="27"/>
      <c r="Z162" s="26"/>
      <c r="AA162" s="27"/>
      <c r="AB162" s="26"/>
      <c r="AC162" s="27"/>
      <c r="AD162" s="26"/>
      <c r="AE162" s="27"/>
      <c r="AF162" s="26"/>
      <c r="AG162" s="27"/>
      <c r="AH162" s="26"/>
      <c r="AI162" s="27"/>
      <c r="AJ162" s="26"/>
      <c r="AK162" s="27"/>
      <c r="AL162" s="26"/>
      <c r="AM162" s="27"/>
      <c r="AN162" s="26"/>
      <c r="AO162" s="27"/>
      <c r="AP162" s="26"/>
      <c r="AQ162" s="27"/>
      <c r="AR162" s="26"/>
      <c r="AS162" s="27"/>
      <c r="AT162" s="26"/>
      <c r="AU162" s="27"/>
      <c r="AV162" s="26"/>
      <c r="AW162" s="27"/>
      <c r="AX162" s="26"/>
      <c r="AY162" s="27"/>
      <c r="AZ162" s="26"/>
      <c r="BA162" s="27"/>
      <c r="BB162" s="26"/>
      <c r="BC162" s="27"/>
      <c r="BD162" s="26"/>
      <c r="BE162" s="27"/>
      <c r="BF162" s="26"/>
      <c r="BG162" s="27"/>
      <c r="BH162" s="26"/>
      <c r="BI162" s="27"/>
      <c r="BJ162" s="26"/>
      <c r="BK162" s="27"/>
      <c r="BL162" s="26"/>
      <c r="BM162" s="27"/>
      <c r="BN162" s="22">
        <f>IF($A162="","",SUM(IF($D$5&lt;&gt;"",--(D162="Présent"),0),IF($F$5&lt;&gt;"",--(F162="Présent"),0),IF($H$5&lt;&gt;"",--(H162="Présent"),0),IF($J$5&lt;&gt;"",--(J162="Présent"),0),IF($L$5&lt;&gt;"",--(L162="Présent"),0),IF($N$5&lt;&gt;"",--(N162="Présent"),0),IF($P$5&lt;&gt;"",--(P162="Présent"),0),IF($R$5&lt;&gt;"",--(R162="Présent"),0),IF($T$5&lt;&gt;"",--(T162="Présent"),0),IF($V$5&lt;&gt;"",--(V162="Présent"),0),IF($X$5&lt;&gt;"",--(X162="Présent"),0),IF($Z$5&lt;&gt;"",--(Z162="Présent"),0),IF($AB$5&lt;&gt;"",--(AB162="Présent"),0),IF($AD$5&lt;&gt;"",--(AD162="Présent"),0),IF($AF$5&lt;&gt;"",--(AF162="Présent"),0),IF($AH$5&lt;&gt;"",--(AH162="Présent"),0),IF($AJ$5&lt;&gt;"",--(AJ162="Présent"),0),IF($AL$5&lt;&gt;"",--(AL162="Présent"),0),IF($AN$5&lt;&gt;"",--(AN162="Présent"),0),IF($AP$5&lt;&gt;"",--(AP162="Présent"),0),IF($AR$5&lt;&gt;"",--(AR162="Présent"),0),IF($AT$5&lt;&gt;"",--(AT162="Présent"),0),IF($AV$5&lt;&gt;"",--(AV162="Présent"),0),IF($AX$5&lt;&gt;"",--(AX162="Présent"),0),IF($AZ$5&lt;&gt;"",--(AZ162="Présent"),0),IF($BB$5&lt;&gt;"",--(BB162="Présent"),0),IF($BD$5&lt;&gt;"",--(BD162="Présent"),0),IF($BF$5&lt;&gt;"",--(BF162="Présent"),0),IF($BH$5&lt;&gt;"",--(BH162="Présent"),0),IF($BJ$5&lt;&gt;"",--(BJ162="Présent"),0),IF($BL$5&lt;&gt;"",--(BL162="Présent"),0)))</f>
      </c>
      <c r="BO162" s="22">
        <f>IF($A162="","",SUM(IF($D$5&lt;&gt;"",--(D162="Absent"),0),IF($F$5&lt;&gt;"",--(F162="Absent"),0),IF($H$5&lt;&gt;"",--(H162="Absent"),0),IF($J$5&lt;&gt;"",--(J162="Absent"),0),IF($L$5&lt;&gt;"",--(L162="Absent"),0),IF($N$5&lt;&gt;"",--(N162="Absent"),0),IF($P$5&lt;&gt;"",--(P162="Absent"),0),IF($R$5&lt;&gt;"",--(R162="Absent"),0),IF($T$5&lt;&gt;"",--(T162="Absent"),0),IF($V$5&lt;&gt;"",--(V162="Absent"),0),IF($X$5&lt;&gt;"",--(X162="Absent"),0),IF($Z$5&lt;&gt;"",--(Z162="Absent"),0),IF($AB$5&lt;&gt;"",--(AB162="Absent"),0),IF($AD$5&lt;&gt;"",--(AD162="Absent"),0),IF($AF$5&lt;&gt;"",--(AF162="Absent"),0),IF($AH$5&lt;&gt;"",--(AH162="Absent"),0),IF($AJ$5&lt;&gt;"",--(AJ162="Absent"),0),IF($AL$5&lt;&gt;"",--(AL162="Absent"),0),IF($AN$5&lt;&gt;"",--(AN162="Absent"),0),IF($AP$5&lt;&gt;"",--(AP162="Absent"),0),IF($AR$5&lt;&gt;"",--(AR162="Absent"),0),IF($AT$5&lt;&gt;"",--(AT162="Absent"),0),IF($AV$5&lt;&gt;"",--(AV162="Absent"),0),IF($AX$5&lt;&gt;"",--(AX162="Absent"),0),IF($AZ$5&lt;&gt;"",--(AZ162="Absent"),0),IF($BB$5&lt;&gt;"",--(BB162="Absent"),0),IF($BD$5&lt;&gt;"",--(BD162="Absent"),0),IF($BF$5&lt;&gt;"",--(BF162="Absent"),0),IF($BH$5&lt;&gt;"",--(BH162="Absent"),0),IF($BJ$5&lt;&gt;"",--(BJ162="Absent"),0),IF($BL$5&lt;&gt;"",--(BL162="Absent"),0)))</f>
      </c>
      <c r="BP162" s="22">
        <f>IF($A162="","",SUM(IF($D$5&lt;&gt;"",--(D162="Congé"),0),IF($F$5&lt;&gt;"",--(F162="Congé"),0),IF($H$5&lt;&gt;"",--(H162="Congé"),0),IF($J$5&lt;&gt;"",--(J162="Congé"),0),IF($L$5&lt;&gt;"",--(L162="Congé"),0),IF($N$5&lt;&gt;"",--(N162="Congé"),0),IF($P$5&lt;&gt;"",--(P162="Congé"),0),IF($R$5&lt;&gt;"",--(R162="Congé"),0),IF($T$5&lt;&gt;"",--(T162="Congé"),0),IF($V$5&lt;&gt;"",--(V162="Congé"),0),IF($X$5&lt;&gt;"",--(X162="Congé"),0),IF($Z$5&lt;&gt;"",--(Z162="Congé"),0),IF($AB$5&lt;&gt;"",--(AB162="Congé"),0),IF($AD$5&lt;&gt;"",--(AD162="Congé"),0),IF($AF$5&lt;&gt;"",--(AF162="Congé"),0),IF($AH$5&lt;&gt;"",--(AH162="Congé"),0),IF($AJ$5&lt;&gt;"",--(AJ162="Congé"),0),IF($AL$5&lt;&gt;"",--(AL162="Congé"),0),IF($AN$5&lt;&gt;"",--(AN162="Congé"),0),IF($AP$5&lt;&gt;"",--(AP162="Congé"),0),IF($AR$5&lt;&gt;"",--(AR162="Congé"),0),IF($AT$5&lt;&gt;"",--(AT162="Congé"),0),IF($AV$5&lt;&gt;"",--(AV162="Congé"),0),IF($AX$5&lt;&gt;"",--(AX162="Congé"),0),IF($AZ$5&lt;&gt;"",--(AZ162="Congé"),0),IF($BB$5&lt;&gt;"",--(BB162="Congé"),0),IF($BD$5&lt;&gt;"",--(BD162="Congé"),0),IF($BF$5&lt;&gt;"",--(BF162="Congé"),0),IF($BH$5&lt;&gt;"",--(BH162="Congé"),0),IF($BJ$5&lt;&gt;"",--(BJ162="Congé"),0),IF($BL$5&lt;&gt;"",--(BL162="Congé"),0)))</f>
      </c>
      <c r="BQ162" s="22">
        <f>IF($A162="","",SUM(IF($D$5&lt;&gt;"",--(D162="Maladie"),0),IF($F$5&lt;&gt;"",--(F162="Maladie"),0),IF($H$5&lt;&gt;"",--(H162="Maladie"),0),IF($J$5&lt;&gt;"",--(J162="Maladie"),0),IF($L$5&lt;&gt;"",--(L162="Maladie"),0),IF($N$5&lt;&gt;"",--(N162="Maladie"),0),IF($P$5&lt;&gt;"",--(P162="Maladie"),0),IF($R$5&lt;&gt;"",--(R162="Maladie"),0),IF($T$5&lt;&gt;"",--(T162="Maladie"),0),IF($V$5&lt;&gt;"",--(V162="Maladie"),0),IF($X$5&lt;&gt;"",--(X162="Maladie"),0),IF($Z$5&lt;&gt;"",--(Z162="Maladie"),0),IF($AB$5&lt;&gt;"",--(AB162="Maladie"),0),IF($AD$5&lt;&gt;"",--(AD162="Maladie"),0),IF($AF$5&lt;&gt;"",--(AF162="Maladie"),0),IF($AH$5&lt;&gt;"",--(AH162="Maladie"),0),IF($AJ$5&lt;&gt;"",--(AJ162="Maladie"),0),IF($AL$5&lt;&gt;"",--(AL162="Maladie"),0),IF($AN$5&lt;&gt;"",--(AN162="Maladie"),0),IF($AP$5&lt;&gt;"",--(AP162="Maladie"),0),IF($AR$5&lt;&gt;"",--(AR162="Maladie"),0),IF($AT$5&lt;&gt;"",--(AT162="Maladie"),0),IF($AV$5&lt;&gt;"",--(AV162="Maladie"),0),IF($AX$5&lt;&gt;"",--(AX162="Maladie"),0),IF($AZ$5&lt;&gt;"",--(AZ162="Maladie"),0),IF($BB$5&lt;&gt;"",--(BB162="Maladie"),0),IF($BD$5&lt;&gt;"",--(BD162="Maladie"),0),IF($BF$5&lt;&gt;"",--(BF162="Maladie"),0),IF($BH$5&lt;&gt;"",--(BH162="Maladie"),0),IF($BJ$5&lt;&gt;"",--(BJ162="Maladie"),0),IF($BL$5&lt;&gt;"",--(BL162="Maladie"),0)))</f>
      </c>
      <c r="BR162" s="23">
        <f>IF($A162="","",SUM(IF($D$5&lt;&gt;"",IF(D162="Présent",E162,0),0),IF($F$5&lt;&gt;"",IF(F162="Présent",G162,0),0),IF($H$5&lt;&gt;"",IF(H162="Présent",I162,0),0),IF($J$5&lt;&gt;"",IF(J162="Présent",K162,0),0),IF($L$5&lt;&gt;"",IF(L162="Présent",M162,0),0),IF($N$5&lt;&gt;"",IF(N162="Présent",O162,0),0),IF($P$5&lt;&gt;"",IF(P162="Présent",Q162,0),0),IF($R$5&lt;&gt;"",IF(R162="Présent",S162,0),0),IF($T$5&lt;&gt;"",IF(T162="Présent",U162,0),0),IF($V$5&lt;&gt;"",IF(V162="Présent",W162,0),0),IF($X$5&lt;&gt;"",IF(X162="Présent",Y162,0),0),IF($Z$5&lt;&gt;"",IF(Z162="Présent",AA162,0),0),IF($AB$5&lt;&gt;"",IF(AB162="Présent",AC162,0),0),IF($AD$5&lt;&gt;"",IF(AD162="Présent",AE162,0),0),IF($AF$5&lt;&gt;"",IF(AF162="Présent",AG162,0),0),IF($AH$5&lt;&gt;"",IF(AH162="Présent",AI162,0),0),IF($AJ$5&lt;&gt;"",IF(AJ162="Présent",AK162,0),0),IF($AL$5&lt;&gt;"",IF(AL162="Présent",AM162,0),0),IF($AN$5&lt;&gt;"",IF(AN162="Présent",AO162,0),0),IF($AP$5&lt;&gt;"",IF(AP162="Présent",AQ162,0),0),IF($AR$5&lt;&gt;"",IF(AR162="Présent",AS162,0),0),IF($AT$5&lt;&gt;"",IF(AT162="Présent",AU162,0),0),IF($AV$5&lt;&gt;"",IF(AV162="Présent",AW162,0),0),IF($AX$5&lt;&gt;"",IF(AX162="Présent",AY162,0),0),IF($AZ$5&lt;&gt;"",IF(AZ162="Présent",BA162,0),0),IF($BB$5&lt;&gt;"",IF(BB162="Présent",BC162,0),0),IF($BD$5&lt;&gt;"",IF(BD162="Présent",BE162,0),0),IF($BF$5&lt;&gt;"",IF(BF162="Présent",BG162,0),0),IF($BH$5&lt;&gt;"",IF(BH162="Présent",BI162,0),0),IF($BJ$5&lt;&gt;"",IF(BJ162="Présent",BK162,0),0),IF($BL$5&lt;&gt;"",IF(BL162="Présent",BM162,0),0)))</f>
      </c>
      <c r="BS162" s="25">
        <f>IF($A162="","",$BN162*IFERROR(INDEX(Categories_Salaire,MATCH($C162,ListeCategories,0)),0)+$BR162*IF(IFERROR(INDEX(Categories_TauxHS,MATCH($C162,ListeCategories,0)),0)&gt;0,IFERROR(INDEX(Categories_TauxHS,MATCH($C162,ListeCategories,0)),0),TauxHSDefaut))</f>
      </c>
    </row>
    <row r="163">
      <c r="A163" s="20">
        <f>IF(AND(INDEX(Employes_Nom,157)&lt;&gt;"",INDEX(Employes_Statut,157)="Actif",OR(INDEX(Employes_Embauche,157)="",INDEX(Employes_Embauche,157)&lt;=EOMONTH(DATE(AnneeCourante,MoisCourant,1),0))),INDEX(Employes_ID,157),"")</f>
      </c>
      <c r="B163" s="19">
        <f>IF($A163="","",INDEX(Employes_Nom,MATCH($A163,Employes_ID,0)))</f>
      </c>
      <c r="C163" s="20">
        <f>IF($A163="","",INDEX(Employes_Categorie,MATCH($A163,Employes_ID,0)))</f>
      </c>
      <c r="D163" s="26"/>
      <c r="E163" s="27"/>
      <c r="F163" s="26"/>
      <c r="G163" s="27"/>
      <c r="H163" s="26"/>
      <c r="I163" s="27"/>
      <c r="J163" s="26"/>
      <c r="K163" s="27"/>
      <c r="L163" s="26"/>
      <c r="M163" s="27"/>
      <c r="N163" s="26"/>
      <c r="O163" s="27"/>
      <c r="P163" s="26"/>
      <c r="Q163" s="27"/>
      <c r="R163" s="26"/>
      <c r="S163" s="27"/>
      <c r="T163" s="26"/>
      <c r="U163" s="27"/>
      <c r="V163" s="26"/>
      <c r="W163" s="27"/>
      <c r="X163" s="26"/>
      <c r="Y163" s="27"/>
      <c r="Z163" s="26"/>
      <c r="AA163" s="27"/>
      <c r="AB163" s="26"/>
      <c r="AC163" s="27"/>
      <c r="AD163" s="26"/>
      <c r="AE163" s="27"/>
      <c r="AF163" s="26"/>
      <c r="AG163" s="27"/>
      <c r="AH163" s="26"/>
      <c r="AI163" s="27"/>
      <c r="AJ163" s="26"/>
      <c r="AK163" s="27"/>
      <c r="AL163" s="26"/>
      <c r="AM163" s="27"/>
      <c r="AN163" s="26"/>
      <c r="AO163" s="27"/>
      <c r="AP163" s="26"/>
      <c r="AQ163" s="27"/>
      <c r="AR163" s="26"/>
      <c r="AS163" s="27"/>
      <c r="AT163" s="26"/>
      <c r="AU163" s="27"/>
      <c r="AV163" s="26"/>
      <c r="AW163" s="27"/>
      <c r="AX163" s="26"/>
      <c r="AY163" s="27"/>
      <c r="AZ163" s="26"/>
      <c r="BA163" s="27"/>
      <c r="BB163" s="26"/>
      <c r="BC163" s="27"/>
      <c r="BD163" s="26"/>
      <c r="BE163" s="27"/>
      <c r="BF163" s="26"/>
      <c r="BG163" s="27"/>
      <c r="BH163" s="26"/>
      <c r="BI163" s="27"/>
      <c r="BJ163" s="26"/>
      <c r="BK163" s="27"/>
      <c r="BL163" s="26"/>
      <c r="BM163" s="27"/>
      <c r="BN163" s="22">
        <f>IF($A163="","",SUM(IF($D$5&lt;&gt;"",--(D163="Présent"),0),IF($F$5&lt;&gt;"",--(F163="Présent"),0),IF($H$5&lt;&gt;"",--(H163="Présent"),0),IF($J$5&lt;&gt;"",--(J163="Présent"),0),IF($L$5&lt;&gt;"",--(L163="Présent"),0),IF($N$5&lt;&gt;"",--(N163="Présent"),0),IF($P$5&lt;&gt;"",--(P163="Présent"),0),IF($R$5&lt;&gt;"",--(R163="Présent"),0),IF($T$5&lt;&gt;"",--(T163="Présent"),0),IF($V$5&lt;&gt;"",--(V163="Présent"),0),IF($X$5&lt;&gt;"",--(X163="Présent"),0),IF($Z$5&lt;&gt;"",--(Z163="Présent"),0),IF($AB$5&lt;&gt;"",--(AB163="Présent"),0),IF($AD$5&lt;&gt;"",--(AD163="Présent"),0),IF($AF$5&lt;&gt;"",--(AF163="Présent"),0),IF($AH$5&lt;&gt;"",--(AH163="Présent"),0),IF($AJ$5&lt;&gt;"",--(AJ163="Présent"),0),IF($AL$5&lt;&gt;"",--(AL163="Présent"),0),IF($AN$5&lt;&gt;"",--(AN163="Présent"),0),IF($AP$5&lt;&gt;"",--(AP163="Présent"),0),IF($AR$5&lt;&gt;"",--(AR163="Présent"),0),IF($AT$5&lt;&gt;"",--(AT163="Présent"),0),IF($AV$5&lt;&gt;"",--(AV163="Présent"),0),IF($AX$5&lt;&gt;"",--(AX163="Présent"),0),IF($AZ$5&lt;&gt;"",--(AZ163="Présent"),0),IF($BB$5&lt;&gt;"",--(BB163="Présent"),0),IF($BD$5&lt;&gt;"",--(BD163="Présent"),0),IF($BF$5&lt;&gt;"",--(BF163="Présent"),0),IF($BH$5&lt;&gt;"",--(BH163="Présent"),0),IF($BJ$5&lt;&gt;"",--(BJ163="Présent"),0),IF($BL$5&lt;&gt;"",--(BL163="Présent"),0)))</f>
      </c>
      <c r="BO163" s="22">
        <f>IF($A163="","",SUM(IF($D$5&lt;&gt;"",--(D163="Absent"),0),IF($F$5&lt;&gt;"",--(F163="Absent"),0),IF($H$5&lt;&gt;"",--(H163="Absent"),0),IF($J$5&lt;&gt;"",--(J163="Absent"),0),IF($L$5&lt;&gt;"",--(L163="Absent"),0),IF($N$5&lt;&gt;"",--(N163="Absent"),0),IF($P$5&lt;&gt;"",--(P163="Absent"),0),IF($R$5&lt;&gt;"",--(R163="Absent"),0),IF($T$5&lt;&gt;"",--(T163="Absent"),0),IF($V$5&lt;&gt;"",--(V163="Absent"),0),IF($X$5&lt;&gt;"",--(X163="Absent"),0),IF($Z$5&lt;&gt;"",--(Z163="Absent"),0),IF($AB$5&lt;&gt;"",--(AB163="Absent"),0),IF($AD$5&lt;&gt;"",--(AD163="Absent"),0),IF($AF$5&lt;&gt;"",--(AF163="Absent"),0),IF($AH$5&lt;&gt;"",--(AH163="Absent"),0),IF($AJ$5&lt;&gt;"",--(AJ163="Absent"),0),IF($AL$5&lt;&gt;"",--(AL163="Absent"),0),IF($AN$5&lt;&gt;"",--(AN163="Absent"),0),IF($AP$5&lt;&gt;"",--(AP163="Absent"),0),IF($AR$5&lt;&gt;"",--(AR163="Absent"),0),IF($AT$5&lt;&gt;"",--(AT163="Absent"),0),IF($AV$5&lt;&gt;"",--(AV163="Absent"),0),IF($AX$5&lt;&gt;"",--(AX163="Absent"),0),IF($AZ$5&lt;&gt;"",--(AZ163="Absent"),0),IF($BB$5&lt;&gt;"",--(BB163="Absent"),0),IF($BD$5&lt;&gt;"",--(BD163="Absent"),0),IF($BF$5&lt;&gt;"",--(BF163="Absent"),0),IF($BH$5&lt;&gt;"",--(BH163="Absent"),0),IF($BJ$5&lt;&gt;"",--(BJ163="Absent"),0),IF($BL$5&lt;&gt;"",--(BL163="Absent"),0)))</f>
      </c>
      <c r="BP163" s="22">
        <f>IF($A163="","",SUM(IF($D$5&lt;&gt;"",--(D163="Congé"),0),IF($F$5&lt;&gt;"",--(F163="Congé"),0),IF($H$5&lt;&gt;"",--(H163="Congé"),0),IF($J$5&lt;&gt;"",--(J163="Congé"),0),IF($L$5&lt;&gt;"",--(L163="Congé"),0),IF($N$5&lt;&gt;"",--(N163="Congé"),0),IF($P$5&lt;&gt;"",--(P163="Congé"),0),IF($R$5&lt;&gt;"",--(R163="Congé"),0),IF($T$5&lt;&gt;"",--(T163="Congé"),0),IF($V$5&lt;&gt;"",--(V163="Congé"),0),IF($X$5&lt;&gt;"",--(X163="Congé"),0),IF($Z$5&lt;&gt;"",--(Z163="Congé"),0),IF($AB$5&lt;&gt;"",--(AB163="Congé"),0),IF($AD$5&lt;&gt;"",--(AD163="Congé"),0),IF($AF$5&lt;&gt;"",--(AF163="Congé"),0),IF($AH$5&lt;&gt;"",--(AH163="Congé"),0),IF($AJ$5&lt;&gt;"",--(AJ163="Congé"),0),IF($AL$5&lt;&gt;"",--(AL163="Congé"),0),IF($AN$5&lt;&gt;"",--(AN163="Congé"),0),IF($AP$5&lt;&gt;"",--(AP163="Congé"),0),IF($AR$5&lt;&gt;"",--(AR163="Congé"),0),IF($AT$5&lt;&gt;"",--(AT163="Congé"),0),IF($AV$5&lt;&gt;"",--(AV163="Congé"),0),IF($AX$5&lt;&gt;"",--(AX163="Congé"),0),IF($AZ$5&lt;&gt;"",--(AZ163="Congé"),0),IF($BB$5&lt;&gt;"",--(BB163="Congé"),0),IF($BD$5&lt;&gt;"",--(BD163="Congé"),0),IF($BF$5&lt;&gt;"",--(BF163="Congé"),0),IF($BH$5&lt;&gt;"",--(BH163="Congé"),0),IF($BJ$5&lt;&gt;"",--(BJ163="Congé"),0),IF($BL$5&lt;&gt;"",--(BL163="Congé"),0)))</f>
      </c>
      <c r="BQ163" s="22">
        <f>IF($A163="","",SUM(IF($D$5&lt;&gt;"",--(D163="Maladie"),0),IF($F$5&lt;&gt;"",--(F163="Maladie"),0),IF($H$5&lt;&gt;"",--(H163="Maladie"),0),IF($J$5&lt;&gt;"",--(J163="Maladie"),0),IF($L$5&lt;&gt;"",--(L163="Maladie"),0),IF($N$5&lt;&gt;"",--(N163="Maladie"),0),IF($P$5&lt;&gt;"",--(P163="Maladie"),0),IF($R$5&lt;&gt;"",--(R163="Maladie"),0),IF($T$5&lt;&gt;"",--(T163="Maladie"),0),IF($V$5&lt;&gt;"",--(V163="Maladie"),0),IF($X$5&lt;&gt;"",--(X163="Maladie"),0),IF($Z$5&lt;&gt;"",--(Z163="Maladie"),0),IF($AB$5&lt;&gt;"",--(AB163="Maladie"),0),IF($AD$5&lt;&gt;"",--(AD163="Maladie"),0),IF($AF$5&lt;&gt;"",--(AF163="Maladie"),0),IF($AH$5&lt;&gt;"",--(AH163="Maladie"),0),IF($AJ$5&lt;&gt;"",--(AJ163="Maladie"),0),IF($AL$5&lt;&gt;"",--(AL163="Maladie"),0),IF($AN$5&lt;&gt;"",--(AN163="Maladie"),0),IF($AP$5&lt;&gt;"",--(AP163="Maladie"),0),IF($AR$5&lt;&gt;"",--(AR163="Maladie"),0),IF($AT$5&lt;&gt;"",--(AT163="Maladie"),0),IF($AV$5&lt;&gt;"",--(AV163="Maladie"),0),IF($AX$5&lt;&gt;"",--(AX163="Maladie"),0),IF($AZ$5&lt;&gt;"",--(AZ163="Maladie"),0),IF($BB$5&lt;&gt;"",--(BB163="Maladie"),0),IF($BD$5&lt;&gt;"",--(BD163="Maladie"),0),IF($BF$5&lt;&gt;"",--(BF163="Maladie"),0),IF($BH$5&lt;&gt;"",--(BH163="Maladie"),0),IF($BJ$5&lt;&gt;"",--(BJ163="Maladie"),0),IF($BL$5&lt;&gt;"",--(BL163="Maladie"),0)))</f>
      </c>
      <c r="BR163" s="23">
        <f>IF($A163="","",SUM(IF($D$5&lt;&gt;"",IF(D163="Présent",E163,0),0),IF($F$5&lt;&gt;"",IF(F163="Présent",G163,0),0),IF($H$5&lt;&gt;"",IF(H163="Présent",I163,0),0),IF($J$5&lt;&gt;"",IF(J163="Présent",K163,0),0),IF($L$5&lt;&gt;"",IF(L163="Présent",M163,0),0),IF($N$5&lt;&gt;"",IF(N163="Présent",O163,0),0),IF($P$5&lt;&gt;"",IF(P163="Présent",Q163,0),0),IF($R$5&lt;&gt;"",IF(R163="Présent",S163,0),0),IF($T$5&lt;&gt;"",IF(T163="Présent",U163,0),0),IF($V$5&lt;&gt;"",IF(V163="Présent",W163,0),0),IF($X$5&lt;&gt;"",IF(X163="Présent",Y163,0),0),IF($Z$5&lt;&gt;"",IF(Z163="Présent",AA163,0),0),IF($AB$5&lt;&gt;"",IF(AB163="Présent",AC163,0),0),IF($AD$5&lt;&gt;"",IF(AD163="Présent",AE163,0),0),IF($AF$5&lt;&gt;"",IF(AF163="Présent",AG163,0),0),IF($AH$5&lt;&gt;"",IF(AH163="Présent",AI163,0),0),IF($AJ$5&lt;&gt;"",IF(AJ163="Présent",AK163,0),0),IF($AL$5&lt;&gt;"",IF(AL163="Présent",AM163,0),0),IF($AN$5&lt;&gt;"",IF(AN163="Présent",AO163,0),0),IF($AP$5&lt;&gt;"",IF(AP163="Présent",AQ163,0),0),IF($AR$5&lt;&gt;"",IF(AR163="Présent",AS163,0),0),IF($AT$5&lt;&gt;"",IF(AT163="Présent",AU163,0),0),IF($AV$5&lt;&gt;"",IF(AV163="Présent",AW163,0),0),IF($AX$5&lt;&gt;"",IF(AX163="Présent",AY163,0),0),IF($AZ$5&lt;&gt;"",IF(AZ163="Présent",BA163,0),0),IF($BB$5&lt;&gt;"",IF(BB163="Présent",BC163,0),0),IF($BD$5&lt;&gt;"",IF(BD163="Présent",BE163,0),0),IF($BF$5&lt;&gt;"",IF(BF163="Présent",BG163,0),0),IF($BH$5&lt;&gt;"",IF(BH163="Présent",BI163,0),0),IF($BJ$5&lt;&gt;"",IF(BJ163="Présent",BK163,0),0),IF($BL$5&lt;&gt;"",IF(BL163="Présent",BM163,0),0)))</f>
      </c>
      <c r="BS163" s="25">
        <f>IF($A163="","",$BN163*IFERROR(INDEX(Categories_Salaire,MATCH($C163,ListeCategories,0)),0)+$BR163*IF(IFERROR(INDEX(Categories_TauxHS,MATCH($C163,ListeCategories,0)),0)&gt;0,IFERROR(INDEX(Categories_TauxHS,MATCH($C163,ListeCategories,0)),0),TauxHSDefaut))</f>
      </c>
    </row>
    <row r="164">
      <c r="A164" s="20">
        <f>IF(AND(INDEX(Employes_Nom,158)&lt;&gt;"",INDEX(Employes_Statut,158)="Actif",OR(INDEX(Employes_Embauche,158)="",INDEX(Employes_Embauche,158)&lt;=EOMONTH(DATE(AnneeCourante,MoisCourant,1),0))),INDEX(Employes_ID,158),"")</f>
      </c>
      <c r="B164" s="19">
        <f>IF($A164="","",INDEX(Employes_Nom,MATCH($A164,Employes_ID,0)))</f>
      </c>
      <c r="C164" s="20">
        <f>IF($A164="","",INDEX(Employes_Categorie,MATCH($A164,Employes_ID,0)))</f>
      </c>
      <c r="D164" s="26"/>
      <c r="E164" s="27"/>
      <c r="F164" s="26"/>
      <c r="G164" s="27"/>
      <c r="H164" s="26"/>
      <c r="I164" s="27"/>
      <c r="J164" s="26"/>
      <c r="K164" s="27"/>
      <c r="L164" s="26"/>
      <c r="M164" s="27"/>
      <c r="N164" s="26"/>
      <c r="O164" s="27"/>
      <c r="P164" s="26"/>
      <c r="Q164" s="27"/>
      <c r="R164" s="26"/>
      <c r="S164" s="27"/>
      <c r="T164" s="26"/>
      <c r="U164" s="27"/>
      <c r="V164" s="26"/>
      <c r="W164" s="27"/>
      <c r="X164" s="26"/>
      <c r="Y164" s="27"/>
      <c r="Z164" s="26"/>
      <c r="AA164" s="27"/>
      <c r="AB164" s="26"/>
      <c r="AC164" s="27"/>
      <c r="AD164" s="26"/>
      <c r="AE164" s="27"/>
      <c r="AF164" s="26"/>
      <c r="AG164" s="27"/>
      <c r="AH164" s="26"/>
      <c r="AI164" s="27"/>
      <c r="AJ164" s="26"/>
      <c r="AK164" s="27"/>
      <c r="AL164" s="26"/>
      <c r="AM164" s="27"/>
      <c r="AN164" s="26"/>
      <c r="AO164" s="27"/>
      <c r="AP164" s="26"/>
      <c r="AQ164" s="27"/>
      <c r="AR164" s="26"/>
      <c r="AS164" s="27"/>
      <c r="AT164" s="26"/>
      <c r="AU164" s="27"/>
      <c r="AV164" s="26"/>
      <c r="AW164" s="27"/>
      <c r="AX164" s="26"/>
      <c r="AY164" s="27"/>
      <c r="AZ164" s="26"/>
      <c r="BA164" s="27"/>
      <c r="BB164" s="26"/>
      <c r="BC164" s="27"/>
      <c r="BD164" s="26"/>
      <c r="BE164" s="27"/>
      <c r="BF164" s="26"/>
      <c r="BG164" s="27"/>
      <c r="BH164" s="26"/>
      <c r="BI164" s="27"/>
      <c r="BJ164" s="26"/>
      <c r="BK164" s="27"/>
      <c r="BL164" s="26"/>
      <c r="BM164" s="27"/>
      <c r="BN164" s="22">
        <f>IF($A164="","",SUM(IF($D$5&lt;&gt;"",--(D164="Présent"),0),IF($F$5&lt;&gt;"",--(F164="Présent"),0),IF($H$5&lt;&gt;"",--(H164="Présent"),0),IF($J$5&lt;&gt;"",--(J164="Présent"),0),IF($L$5&lt;&gt;"",--(L164="Présent"),0),IF($N$5&lt;&gt;"",--(N164="Présent"),0),IF($P$5&lt;&gt;"",--(P164="Présent"),0),IF($R$5&lt;&gt;"",--(R164="Présent"),0),IF($T$5&lt;&gt;"",--(T164="Présent"),0),IF($V$5&lt;&gt;"",--(V164="Présent"),0),IF($X$5&lt;&gt;"",--(X164="Présent"),0),IF($Z$5&lt;&gt;"",--(Z164="Présent"),0),IF($AB$5&lt;&gt;"",--(AB164="Présent"),0),IF($AD$5&lt;&gt;"",--(AD164="Présent"),0),IF($AF$5&lt;&gt;"",--(AF164="Présent"),0),IF($AH$5&lt;&gt;"",--(AH164="Présent"),0),IF($AJ$5&lt;&gt;"",--(AJ164="Présent"),0),IF($AL$5&lt;&gt;"",--(AL164="Présent"),0),IF($AN$5&lt;&gt;"",--(AN164="Présent"),0),IF($AP$5&lt;&gt;"",--(AP164="Présent"),0),IF($AR$5&lt;&gt;"",--(AR164="Présent"),0),IF($AT$5&lt;&gt;"",--(AT164="Présent"),0),IF($AV$5&lt;&gt;"",--(AV164="Présent"),0),IF($AX$5&lt;&gt;"",--(AX164="Présent"),0),IF($AZ$5&lt;&gt;"",--(AZ164="Présent"),0),IF($BB$5&lt;&gt;"",--(BB164="Présent"),0),IF($BD$5&lt;&gt;"",--(BD164="Présent"),0),IF($BF$5&lt;&gt;"",--(BF164="Présent"),0),IF($BH$5&lt;&gt;"",--(BH164="Présent"),0),IF($BJ$5&lt;&gt;"",--(BJ164="Présent"),0),IF($BL$5&lt;&gt;"",--(BL164="Présent"),0)))</f>
      </c>
      <c r="BO164" s="22">
        <f>IF($A164="","",SUM(IF($D$5&lt;&gt;"",--(D164="Absent"),0),IF($F$5&lt;&gt;"",--(F164="Absent"),0),IF($H$5&lt;&gt;"",--(H164="Absent"),0),IF($J$5&lt;&gt;"",--(J164="Absent"),0),IF($L$5&lt;&gt;"",--(L164="Absent"),0),IF($N$5&lt;&gt;"",--(N164="Absent"),0),IF($P$5&lt;&gt;"",--(P164="Absent"),0),IF($R$5&lt;&gt;"",--(R164="Absent"),0),IF($T$5&lt;&gt;"",--(T164="Absent"),0),IF($V$5&lt;&gt;"",--(V164="Absent"),0),IF($X$5&lt;&gt;"",--(X164="Absent"),0),IF($Z$5&lt;&gt;"",--(Z164="Absent"),0),IF($AB$5&lt;&gt;"",--(AB164="Absent"),0),IF($AD$5&lt;&gt;"",--(AD164="Absent"),0),IF($AF$5&lt;&gt;"",--(AF164="Absent"),0),IF($AH$5&lt;&gt;"",--(AH164="Absent"),0),IF($AJ$5&lt;&gt;"",--(AJ164="Absent"),0),IF($AL$5&lt;&gt;"",--(AL164="Absent"),0),IF($AN$5&lt;&gt;"",--(AN164="Absent"),0),IF($AP$5&lt;&gt;"",--(AP164="Absent"),0),IF($AR$5&lt;&gt;"",--(AR164="Absent"),0),IF($AT$5&lt;&gt;"",--(AT164="Absent"),0),IF($AV$5&lt;&gt;"",--(AV164="Absent"),0),IF($AX$5&lt;&gt;"",--(AX164="Absent"),0),IF($AZ$5&lt;&gt;"",--(AZ164="Absent"),0),IF($BB$5&lt;&gt;"",--(BB164="Absent"),0),IF($BD$5&lt;&gt;"",--(BD164="Absent"),0),IF($BF$5&lt;&gt;"",--(BF164="Absent"),0),IF($BH$5&lt;&gt;"",--(BH164="Absent"),0),IF($BJ$5&lt;&gt;"",--(BJ164="Absent"),0),IF($BL$5&lt;&gt;"",--(BL164="Absent"),0)))</f>
      </c>
      <c r="BP164" s="22">
        <f>IF($A164="","",SUM(IF($D$5&lt;&gt;"",--(D164="Congé"),0),IF($F$5&lt;&gt;"",--(F164="Congé"),0),IF($H$5&lt;&gt;"",--(H164="Congé"),0),IF($J$5&lt;&gt;"",--(J164="Congé"),0),IF($L$5&lt;&gt;"",--(L164="Congé"),0),IF($N$5&lt;&gt;"",--(N164="Congé"),0),IF($P$5&lt;&gt;"",--(P164="Congé"),0),IF($R$5&lt;&gt;"",--(R164="Congé"),0),IF($T$5&lt;&gt;"",--(T164="Congé"),0),IF($V$5&lt;&gt;"",--(V164="Congé"),0),IF($X$5&lt;&gt;"",--(X164="Congé"),0),IF($Z$5&lt;&gt;"",--(Z164="Congé"),0),IF($AB$5&lt;&gt;"",--(AB164="Congé"),0),IF($AD$5&lt;&gt;"",--(AD164="Congé"),0),IF($AF$5&lt;&gt;"",--(AF164="Congé"),0),IF($AH$5&lt;&gt;"",--(AH164="Congé"),0),IF($AJ$5&lt;&gt;"",--(AJ164="Congé"),0),IF($AL$5&lt;&gt;"",--(AL164="Congé"),0),IF($AN$5&lt;&gt;"",--(AN164="Congé"),0),IF($AP$5&lt;&gt;"",--(AP164="Congé"),0),IF($AR$5&lt;&gt;"",--(AR164="Congé"),0),IF($AT$5&lt;&gt;"",--(AT164="Congé"),0),IF($AV$5&lt;&gt;"",--(AV164="Congé"),0),IF($AX$5&lt;&gt;"",--(AX164="Congé"),0),IF($AZ$5&lt;&gt;"",--(AZ164="Congé"),0),IF($BB$5&lt;&gt;"",--(BB164="Congé"),0),IF($BD$5&lt;&gt;"",--(BD164="Congé"),0),IF($BF$5&lt;&gt;"",--(BF164="Congé"),0),IF($BH$5&lt;&gt;"",--(BH164="Congé"),0),IF($BJ$5&lt;&gt;"",--(BJ164="Congé"),0),IF($BL$5&lt;&gt;"",--(BL164="Congé"),0)))</f>
      </c>
      <c r="BQ164" s="22">
        <f>IF($A164="","",SUM(IF($D$5&lt;&gt;"",--(D164="Maladie"),0),IF($F$5&lt;&gt;"",--(F164="Maladie"),0),IF($H$5&lt;&gt;"",--(H164="Maladie"),0),IF($J$5&lt;&gt;"",--(J164="Maladie"),0),IF($L$5&lt;&gt;"",--(L164="Maladie"),0),IF($N$5&lt;&gt;"",--(N164="Maladie"),0),IF($P$5&lt;&gt;"",--(P164="Maladie"),0),IF($R$5&lt;&gt;"",--(R164="Maladie"),0),IF($T$5&lt;&gt;"",--(T164="Maladie"),0),IF($V$5&lt;&gt;"",--(V164="Maladie"),0),IF($X$5&lt;&gt;"",--(X164="Maladie"),0),IF($Z$5&lt;&gt;"",--(Z164="Maladie"),0),IF($AB$5&lt;&gt;"",--(AB164="Maladie"),0),IF($AD$5&lt;&gt;"",--(AD164="Maladie"),0),IF($AF$5&lt;&gt;"",--(AF164="Maladie"),0),IF($AH$5&lt;&gt;"",--(AH164="Maladie"),0),IF($AJ$5&lt;&gt;"",--(AJ164="Maladie"),0),IF($AL$5&lt;&gt;"",--(AL164="Maladie"),0),IF($AN$5&lt;&gt;"",--(AN164="Maladie"),0),IF($AP$5&lt;&gt;"",--(AP164="Maladie"),0),IF($AR$5&lt;&gt;"",--(AR164="Maladie"),0),IF($AT$5&lt;&gt;"",--(AT164="Maladie"),0),IF($AV$5&lt;&gt;"",--(AV164="Maladie"),0),IF($AX$5&lt;&gt;"",--(AX164="Maladie"),0),IF($AZ$5&lt;&gt;"",--(AZ164="Maladie"),0),IF($BB$5&lt;&gt;"",--(BB164="Maladie"),0),IF($BD$5&lt;&gt;"",--(BD164="Maladie"),0),IF($BF$5&lt;&gt;"",--(BF164="Maladie"),0),IF($BH$5&lt;&gt;"",--(BH164="Maladie"),0),IF($BJ$5&lt;&gt;"",--(BJ164="Maladie"),0),IF($BL$5&lt;&gt;"",--(BL164="Maladie"),0)))</f>
      </c>
      <c r="BR164" s="23">
        <f>IF($A164="","",SUM(IF($D$5&lt;&gt;"",IF(D164="Présent",E164,0),0),IF($F$5&lt;&gt;"",IF(F164="Présent",G164,0),0),IF($H$5&lt;&gt;"",IF(H164="Présent",I164,0),0),IF($J$5&lt;&gt;"",IF(J164="Présent",K164,0),0),IF($L$5&lt;&gt;"",IF(L164="Présent",M164,0),0),IF($N$5&lt;&gt;"",IF(N164="Présent",O164,0),0),IF($P$5&lt;&gt;"",IF(P164="Présent",Q164,0),0),IF($R$5&lt;&gt;"",IF(R164="Présent",S164,0),0),IF($T$5&lt;&gt;"",IF(T164="Présent",U164,0),0),IF($V$5&lt;&gt;"",IF(V164="Présent",W164,0),0),IF($X$5&lt;&gt;"",IF(X164="Présent",Y164,0),0),IF($Z$5&lt;&gt;"",IF(Z164="Présent",AA164,0),0),IF($AB$5&lt;&gt;"",IF(AB164="Présent",AC164,0),0),IF($AD$5&lt;&gt;"",IF(AD164="Présent",AE164,0),0),IF($AF$5&lt;&gt;"",IF(AF164="Présent",AG164,0),0),IF($AH$5&lt;&gt;"",IF(AH164="Présent",AI164,0),0),IF($AJ$5&lt;&gt;"",IF(AJ164="Présent",AK164,0),0),IF($AL$5&lt;&gt;"",IF(AL164="Présent",AM164,0),0),IF($AN$5&lt;&gt;"",IF(AN164="Présent",AO164,0),0),IF($AP$5&lt;&gt;"",IF(AP164="Présent",AQ164,0),0),IF($AR$5&lt;&gt;"",IF(AR164="Présent",AS164,0),0),IF($AT$5&lt;&gt;"",IF(AT164="Présent",AU164,0),0),IF($AV$5&lt;&gt;"",IF(AV164="Présent",AW164,0),0),IF($AX$5&lt;&gt;"",IF(AX164="Présent",AY164,0),0),IF($AZ$5&lt;&gt;"",IF(AZ164="Présent",BA164,0),0),IF($BB$5&lt;&gt;"",IF(BB164="Présent",BC164,0),0),IF($BD$5&lt;&gt;"",IF(BD164="Présent",BE164,0),0),IF($BF$5&lt;&gt;"",IF(BF164="Présent",BG164,0),0),IF($BH$5&lt;&gt;"",IF(BH164="Présent",BI164,0),0),IF($BJ$5&lt;&gt;"",IF(BJ164="Présent",BK164,0),0),IF($BL$5&lt;&gt;"",IF(BL164="Présent",BM164,0),0)))</f>
      </c>
      <c r="BS164" s="25">
        <f>IF($A164="","",$BN164*IFERROR(INDEX(Categories_Salaire,MATCH($C164,ListeCategories,0)),0)+$BR164*IF(IFERROR(INDEX(Categories_TauxHS,MATCH($C164,ListeCategories,0)),0)&gt;0,IFERROR(INDEX(Categories_TauxHS,MATCH($C164,ListeCategories,0)),0),TauxHSDefaut))</f>
      </c>
    </row>
    <row r="165">
      <c r="A165" s="20">
        <f>IF(AND(INDEX(Employes_Nom,159)&lt;&gt;"",INDEX(Employes_Statut,159)="Actif",OR(INDEX(Employes_Embauche,159)="",INDEX(Employes_Embauche,159)&lt;=EOMONTH(DATE(AnneeCourante,MoisCourant,1),0))),INDEX(Employes_ID,159),"")</f>
      </c>
      <c r="B165" s="19">
        <f>IF($A165="","",INDEX(Employes_Nom,MATCH($A165,Employes_ID,0)))</f>
      </c>
      <c r="C165" s="20">
        <f>IF($A165="","",INDEX(Employes_Categorie,MATCH($A165,Employes_ID,0)))</f>
      </c>
      <c r="D165" s="26"/>
      <c r="E165" s="27"/>
      <c r="F165" s="26"/>
      <c r="G165" s="27"/>
      <c r="H165" s="26"/>
      <c r="I165" s="27"/>
      <c r="J165" s="26"/>
      <c r="K165" s="27"/>
      <c r="L165" s="26"/>
      <c r="M165" s="27"/>
      <c r="N165" s="26"/>
      <c r="O165" s="27"/>
      <c r="P165" s="26"/>
      <c r="Q165" s="27"/>
      <c r="R165" s="26"/>
      <c r="S165" s="27"/>
      <c r="T165" s="26"/>
      <c r="U165" s="27"/>
      <c r="V165" s="26"/>
      <c r="W165" s="27"/>
      <c r="X165" s="26"/>
      <c r="Y165" s="27"/>
      <c r="Z165" s="26"/>
      <c r="AA165" s="27"/>
      <c r="AB165" s="26"/>
      <c r="AC165" s="27"/>
      <c r="AD165" s="26"/>
      <c r="AE165" s="27"/>
      <c r="AF165" s="26"/>
      <c r="AG165" s="27"/>
      <c r="AH165" s="26"/>
      <c r="AI165" s="27"/>
      <c r="AJ165" s="26"/>
      <c r="AK165" s="27"/>
      <c r="AL165" s="26"/>
      <c r="AM165" s="27"/>
      <c r="AN165" s="26"/>
      <c r="AO165" s="27"/>
      <c r="AP165" s="26"/>
      <c r="AQ165" s="27"/>
      <c r="AR165" s="26"/>
      <c r="AS165" s="27"/>
      <c r="AT165" s="26"/>
      <c r="AU165" s="27"/>
      <c r="AV165" s="26"/>
      <c r="AW165" s="27"/>
      <c r="AX165" s="26"/>
      <c r="AY165" s="27"/>
      <c r="AZ165" s="26"/>
      <c r="BA165" s="27"/>
      <c r="BB165" s="26"/>
      <c r="BC165" s="27"/>
      <c r="BD165" s="26"/>
      <c r="BE165" s="27"/>
      <c r="BF165" s="26"/>
      <c r="BG165" s="27"/>
      <c r="BH165" s="26"/>
      <c r="BI165" s="27"/>
      <c r="BJ165" s="26"/>
      <c r="BK165" s="27"/>
      <c r="BL165" s="26"/>
      <c r="BM165" s="27"/>
      <c r="BN165" s="22">
        <f>IF($A165="","",SUM(IF($D$5&lt;&gt;"",--(D165="Présent"),0),IF($F$5&lt;&gt;"",--(F165="Présent"),0),IF($H$5&lt;&gt;"",--(H165="Présent"),0),IF($J$5&lt;&gt;"",--(J165="Présent"),0),IF($L$5&lt;&gt;"",--(L165="Présent"),0),IF($N$5&lt;&gt;"",--(N165="Présent"),0),IF($P$5&lt;&gt;"",--(P165="Présent"),0),IF($R$5&lt;&gt;"",--(R165="Présent"),0),IF($T$5&lt;&gt;"",--(T165="Présent"),0),IF($V$5&lt;&gt;"",--(V165="Présent"),0),IF($X$5&lt;&gt;"",--(X165="Présent"),0),IF($Z$5&lt;&gt;"",--(Z165="Présent"),0),IF($AB$5&lt;&gt;"",--(AB165="Présent"),0),IF($AD$5&lt;&gt;"",--(AD165="Présent"),0),IF($AF$5&lt;&gt;"",--(AF165="Présent"),0),IF($AH$5&lt;&gt;"",--(AH165="Présent"),0),IF($AJ$5&lt;&gt;"",--(AJ165="Présent"),0),IF($AL$5&lt;&gt;"",--(AL165="Présent"),0),IF($AN$5&lt;&gt;"",--(AN165="Présent"),0),IF($AP$5&lt;&gt;"",--(AP165="Présent"),0),IF($AR$5&lt;&gt;"",--(AR165="Présent"),0),IF($AT$5&lt;&gt;"",--(AT165="Présent"),0),IF($AV$5&lt;&gt;"",--(AV165="Présent"),0),IF($AX$5&lt;&gt;"",--(AX165="Présent"),0),IF($AZ$5&lt;&gt;"",--(AZ165="Présent"),0),IF($BB$5&lt;&gt;"",--(BB165="Présent"),0),IF($BD$5&lt;&gt;"",--(BD165="Présent"),0),IF($BF$5&lt;&gt;"",--(BF165="Présent"),0),IF($BH$5&lt;&gt;"",--(BH165="Présent"),0),IF($BJ$5&lt;&gt;"",--(BJ165="Présent"),0),IF($BL$5&lt;&gt;"",--(BL165="Présent"),0)))</f>
      </c>
      <c r="BO165" s="22">
        <f>IF($A165="","",SUM(IF($D$5&lt;&gt;"",--(D165="Absent"),0),IF($F$5&lt;&gt;"",--(F165="Absent"),0),IF($H$5&lt;&gt;"",--(H165="Absent"),0),IF($J$5&lt;&gt;"",--(J165="Absent"),0),IF($L$5&lt;&gt;"",--(L165="Absent"),0),IF($N$5&lt;&gt;"",--(N165="Absent"),0),IF($P$5&lt;&gt;"",--(P165="Absent"),0),IF($R$5&lt;&gt;"",--(R165="Absent"),0),IF($T$5&lt;&gt;"",--(T165="Absent"),0),IF($V$5&lt;&gt;"",--(V165="Absent"),0),IF($X$5&lt;&gt;"",--(X165="Absent"),0),IF($Z$5&lt;&gt;"",--(Z165="Absent"),0),IF($AB$5&lt;&gt;"",--(AB165="Absent"),0),IF($AD$5&lt;&gt;"",--(AD165="Absent"),0),IF($AF$5&lt;&gt;"",--(AF165="Absent"),0),IF($AH$5&lt;&gt;"",--(AH165="Absent"),0),IF($AJ$5&lt;&gt;"",--(AJ165="Absent"),0),IF($AL$5&lt;&gt;"",--(AL165="Absent"),0),IF($AN$5&lt;&gt;"",--(AN165="Absent"),0),IF($AP$5&lt;&gt;"",--(AP165="Absent"),0),IF($AR$5&lt;&gt;"",--(AR165="Absent"),0),IF($AT$5&lt;&gt;"",--(AT165="Absent"),0),IF($AV$5&lt;&gt;"",--(AV165="Absent"),0),IF($AX$5&lt;&gt;"",--(AX165="Absent"),0),IF($AZ$5&lt;&gt;"",--(AZ165="Absent"),0),IF($BB$5&lt;&gt;"",--(BB165="Absent"),0),IF($BD$5&lt;&gt;"",--(BD165="Absent"),0),IF($BF$5&lt;&gt;"",--(BF165="Absent"),0),IF($BH$5&lt;&gt;"",--(BH165="Absent"),0),IF($BJ$5&lt;&gt;"",--(BJ165="Absent"),0),IF($BL$5&lt;&gt;"",--(BL165="Absent"),0)))</f>
      </c>
      <c r="BP165" s="22">
        <f>IF($A165="","",SUM(IF($D$5&lt;&gt;"",--(D165="Congé"),0),IF($F$5&lt;&gt;"",--(F165="Congé"),0),IF($H$5&lt;&gt;"",--(H165="Congé"),0),IF($J$5&lt;&gt;"",--(J165="Congé"),0),IF($L$5&lt;&gt;"",--(L165="Congé"),0),IF($N$5&lt;&gt;"",--(N165="Congé"),0),IF($P$5&lt;&gt;"",--(P165="Congé"),0),IF($R$5&lt;&gt;"",--(R165="Congé"),0),IF($T$5&lt;&gt;"",--(T165="Congé"),0),IF($V$5&lt;&gt;"",--(V165="Congé"),0),IF($X$5&lt;&gt;"",--(X165="Congé"),0),IF($Z$5&lt;&gt;"",--(Z165="Congé"),0),IF($AB$5&lt;&gt;"",--(AB165="Congé"),0),IF($AD$5&lt;&gt;"",--(AD165="Congé"),0),IF($AF$5&lt;&gt;"",--(AF165="Congé"),0),IF($AH$5&lt;&gt;"",--(AH165="Congé"),0),IF($AJ$5&lt;&gt;"",--(AJ165="Congé"),0),IF($AL$5&lt;&gt;"",--(AL165="Congé"),0),IF($AN$5&lt;&gt;"",--(AN165="Congé"),0),IF($AP$5&lt;&gt;"",--(AP165="Congé"),0),IF($AR$5&lt;&gt;"",--(AR165="Congé"),0),IF($AT$5&lt;&gt;"",--(AT165="Congé"),0),IF($AV$5&lt;&gt;"",--(AV165="Congé"),0),IF($AX$5&lt;&gt;"",--(AX165="Congé"),0),IF($AZ$5&lt;&gt;"",--(AZ165="Congé"),0),IF($BB$5&lt;&gt;"",--(BB165="Congé"),0),IF($BD$5&lt;&gt;"",--(BD165="Congé"),0),IF($BF$5&lt;&gt;"",--(BF165="Congé"),0),IF($BH$5&lt;&gt;"",--(BH165="Congé"),0),IF($BJ$5&lt;&gt;"",--(BJ165="Congé"),0),IF($BL$5&lt;&gt;"",--(BL165="Congé"),0)))</f>
      </c>
      <c r="BQ165" s="22">
        <f>IF($A165="","",SUM(IF($D$5&lt;&gt;"",--(D165="Maladie"),0),IF($F$5&lt;&gt;"",--(F165="Maladie"),0),IF($H$5&lt;&gt;"",--(H165="Maladie"),0),IF($J$5&lt;&gt;"",--(J165="Maladie"),0),IF($L$5&lt;&gt;"",--(L165="Maladie"),0),IF($N$5&lt;&gt;"",--(N165="Maladie"),0),IF($P$5&lt;&gt;"",--(P165="Maladie"),0),IF($R$5&lt;&gt;"",--(R165="Maladie"),0),IF($T$5&lt;&gt;"",--(T165="Maladie"),0),IF($V$5&lt;&gt;"",--(V165="Maladie"),0),IF($X$5&lt;&gt;"",--(X165="Maladie"),0),IF($Z$5&lt;&gt;"",--(Z165="Maladie"),0),IF($AB$5&lt;&gt;"",--(AB165="Maladie"),0),IF($AD$5&lt;&gt;"",--(AD165="Maladie"),0),IF($AF$5&lt;&gt;"",--(AF165="Maladie"),0),IF($AH$5&lt;&gt;"",--(AH165="Maladie"),0),IF($AJ$5&lt;&gt;"",--(AJ165="Maladie"),0),IF($AL$5&lt;&gt;"",--(AL165="Maladie"),0),IF($AN$5&lt;&gt;"",--(AN165="Maladie"),0),IF($AP$5&lt;&gt;"",--(AP165="Maladie"),0),IF($AR$5&lt;&gt;"",--(AR165="Maladie"),0),IF($AT$5&lt;&gt;"",--(AT165="Maladie"),0),IF($AV$5&lt;&gt;"",--(AV165="Maladie"),0),IF($AX$5&lt;&gt;"",--(AX165="Maladie"),0),IF($AZ$5&lt;&gt;"",--(AZ165="Maladie"),0),IF($BB$5&lt;&gt;"",--(BB165="Maladie"),0),IF($BD$5&lt;&gt;"",--(BD165="Maladie"),0),IF($BF$5&lt;&gt;"",--(BF165="Maladie"),0),IF($BH$5&lt;&gt;"",--(BH165="Maladie"),0),IF($BJ$5&lt;&gt;"",--(BJ165="Maladie"),0),IF($BL$5&lt;&gt;"",--(BL165="Maladie"),0)))</f>
      </c>
      <c r="BR165" s="23">
        <f>IF($A165="","",SUM(IF($D$5&lt;&gt;"",IF(D165="Présent",E165,0),0),IF($F$5&lt;&gt;"",IF(F165="Présent",G165,0),0),IF($H$5&lt;&gt;"",IF(H165="Présent",I165,0),0),IF($J$5&lt;&gt;"",IF(J165="Présent",K165,0),0),IF($L$5&lt;&gt;"",IF(L165="Présent",M165,0),0),IF($N$5&lt;&gt;"",IF(N165="Présent",O165,0),0),IF($P$5&lt;&gt;"",IF(P165="Présent",Q165,0),0),IF($R$5&lt;&gt;"",IF(R165="Présent",S165,0),0),IF($T$5&lt;&gt;"",IF(T165="Présent",U165,0),0),IF($V$5&lt;&gt;"",IF(V165="Présent",W165,0),0),IF($X$5&lt;&gt;"",IF(X165="Présent",Y165,0),0),IF($Z$5&lt;&gt;"",IF(Z165="Présent",AA165,0),0),IF($AB$5&lt;&gt;"",IF(AB165="Présent",AC165,0),0),IF($AD$5&lt;&gt;"",IF(AD165="Présent",AE165,0),0),IF($AF$5&lt;&gt;"",IF(AF165="Présent",AG165,0),0),IF($AH$5&lt;&gt;"",IF(AH165="Présent",AI165,0),0),IF($AJ$5&lt;&gt;"",IF(AJ165="Présent",AK165,0),0),IF($AL$5&lt;&gt;"",IF(AL165="Présent",AM165,0),0),IF($AN$5&lt;&gt;"",IF(AN165="Présent",AO165,0),0),IF($AP$5&lt;&gt;"",IF(AP165="Présent",AQ165,0),0),IF($AR$5&lt;&gt;"",IF(AR165="Présent",AS165,0),0),IF($AT$5&lt;&gt;"",IF(AT165="Présent",AU165,0),0),IF($AV$5&lt;&gt;"",IF(AV165="Présent",AW165,0),0),IF($AX$5&lt;&gt;"",IF(AX165="Présent",AY165,0),0),IF($AZ$5&lt;&gt;"",IF(AZ165="Présent",BA165,0),0),IF($BB$5&lt;&gt;"",IF(BB165="Présent",BC165,0),0),IF($BD$5&lt;&gt;"",IF(BD165="Présent",BE165,0),0),IF($BF$5&lt;&gt;"",IF(BF165="Présent",BG165,0),0),IF($BH$5&lt;&gt;"",IF(BH165="Présent",BI165,0),0),IF($BJ$5&lt;&gt;"",IF(BJ165="Présent",BK165,0),0),IF($BL$5&lt;&gt;"",IF(BL165="Présent",BM165,0),0)))</f>
      </c>
      <c r="BS165" s="25">
        <f>IF($A165="","",$BN165*IFERROR(INDEX(Categories_Salaire,MATCH($C165,ListeCategories,0)),0)+$BR165*IF(IFERROR(INDEX(Categories_TauxHS,MATCH($C165,ListeCategories,0)),0)&gt;0,IFERROR(INDEX(Categories_TauxHS,MATCH($C165,ListeCategories,0)),0),TauxHSDefaut))</f>
      </c>
    </row>
    <row r="166">
      <c r="A166" s="20">
        <f>IF(AND(INDEX(Employes_Nom,160)&lt;&gt;"",INDEX(Employes_Statut,160)="Actif",OR(INDEX(Employes_Embauche,160)="",INDEX(Employes_Embauche,160)&lt;=EOMONTH(DATE(AnneeCourante,MoisCourant,1),0))),INDEX(Employes_ID,160),"")</f>
      </c>
      <c r="B166" s="19">
        <f>IF($A166="","",INDEX(Employes_Nom,MATCH($A166,Employes_ID,0)))</f>
      </c>
      <c r="C166" s="20">
        <f>IF($A166="","",INDEX(Employes_Categorie,MATCH($A166,Employes_ID,0)))</f>
      </c>
      <c r="D166" s="26"/>
      <c r="E166" s="27"/>
      <c r="F166" s="26"/>
      <c r="G166" s="27"/>
      <c r="H166" s="26"/>
      <c r="I166" s="27"/>
      <c r="J166" s="26"/>
      <c r="K166" s="27"/>
      <c r="L166" s="26"/>
      <c r="M166" s="27"/>
      <c r="N166" s="26"/>
      <c r="O166" s="27"/>
      <c r="P166" s="26"/>
      <c r="Q166" s="27"/>
      <c r="R166" s="26"/>
      <c r="S166" s="27"/>
      <c r="T166" s="26"/>
      <c r="U166" s="27"/>
      <c r="V166" s="26"/>
      <c r="W166" s="27"/>
      <c r="X166" s="26"/>
      <c r="Y166" s="27"/>
      <c r="Z166" s="26"/>
      <c r="AA166" s="27"/>
      <c r="AB166" s="26"/>
      <c r="AC166" s="27"/>
      <c r="AD166" s="26"/>
      <c r="AE166" s="27"/>
      <c r="AF166" s="26"/>
      <c r="AG166" s="27"/>
      <c r="AH166" s="26"/>
      <c r="AI166" s="27"/>
      <c r="AJ166" s="26"/>
      <c r="AK166" s="27"/>
      <c r="AL166" s="26"/>
      <c r="AM166" s="27"/>
      <c r="AN166" s="26"/>
      <c r="AO166" s="27"/>
      <c r="AP166" s="26"/>
      <c r="AQ166" s="27"/>
      <c r="AR166" s="26"/>
      <c r="AS166" s="27"/>
      <c r="AT166" s="26"/>
      <c r="AU166" s="27"/>
      <c r="AV166" s="26"/>
      <c r="AW166" s="27"/>
      <c r="AX166" s="26"/>
      <c r="AY166" s="27"/>
      <c r="AZ166" s="26"/>
      <c r="BA166" s="27"/>
      <c r="BB166" s="26"/>
      <c r="BC166" s="27"/>
      <c r="BD166" s="26"/>
      <c r="BE166" s="27"/>
      <c r="BF166" s="26"/>
      <c r="BG166" s="27"/>
      <c r="BH166" s="26"/>
      <c r="BI166" s="27"/>
      <c r="BJ166" s="26"/>
      <c r="BK166" s="27"/>
      <c r="BL166" s="26"/>
      <c r="BM166" s="27"/>
      <c r="BN166" s="22">
        <f>IF($A166="","",SUM(IF($D$5&lt;&gt;"",--(D166="Présent"),0),IF($F$5&lt;&gt;"",--(F166="Présent"),0),IF($H$5&lt;&gt;"",--(H166="Présent"),0),IF($J$5&lt;&gt;"",--(J166="Présent"),0),IF($L$5&lt;&gt;"",--(L166="Présent"),0),IF($N$5&lt;&gt;"",--(N166="Présent"),0),IF($P$5&lt;&gt;"",--(P166="Présent"),0),IF($R$5&lt;&gt;"",--(R166="Présent"),0),IF($T$5&lt;&gt;"",--(T166="Présent"),0),IF($V$5&lt;&gt;"",--(V166="Présent"),0),IF($X$5&lt;&gt;"",--(X166="Présent"),0),IF($Z$5&lt;&gt;"",--(Z166="Présent"),0),IF($AB$5&lt;&gt;"",--(AB166="Présent"),0),IF($AD$5&lt;&gt;"",--(AD166="Présent"),0),IF($AF$5&lt;&gt;"",--(AF166="Présent"),0),IF($AH$5&lt;&gt;"",--(AH166="Présent"),0),IF($AJ$5&lt;&gt;"",--(AJ166="Présent"),0),IF($AL$5&lt;&gt;"",--(AL166="Présent"),0),IF($AN$5&lt;&gt;"",--(AN166="Présent"),0),IF($AP$5&lt;&gt;"",--(AP166="Présent"),0),IF($AR$5&lt;&gt;"",--(AR166="Présent"),0),IF($AT$5&lt;&gt;"",--(AT166="Présent"),0),IF($AV$5&lt;&gt;"",--(AV166="Présent"),0),IF($AX$5&lt;&gt;"",--(AX166="Présent"),0),IF($AZ$5&lt;&gt;"",--(AZ166="Présent"),0),IF($BB$5&lt;&gt;"",--(BB166="Présent"),0),IF($BD$5&lt;&gt;"",--(BD166="Présent"),0),IF($BF$5&lt;&gt;"",--(BF166="Présent"),0),IF($BH$5&lt;&gt;"",--(BH166="Présent"),0),IF($BJ$5&lt;&gt;"",--(BJ166="Présent"),0),IF($BL$5&lt;&gt;"",--(BL166="Présent"),0)))</f>
      </c>
      <c r="BO166" s="22">
        <f>IF($A166="","",SUM(IF($D$5&lt;&gt;"",--(D166="Absent"),0),IF($F$5&lt;&gt;"",--(F166="Absent"),0),IF($H$5&lt;&gt;"",--(H166="Absent"),0),IF($J$5&lt;&gt;"",--(J166="Absent"),0),IF($L$5&lt;&gt;"",--(L166="Absent"),0),IF($N$5&lt;&gt;"",--(N166="Absent"),0),IF($P$5&lt;&gt;"",--(P166="Absent"),0),IF($R$5&lt;&gt;"",--(R166="Absent"),0),IF($T$5&lt;&gt;"",--(T166="Absent"),0),IF($V$5&lt;&gt;"",--(V166="Absent"),0),IF($X$5&lt;&gt;"",--(X166="Absent"),0),IF($Z$5&lt;&gt;"",--(Z166="Absent"),0),IF($AB$5&lt;&gt;"",--(AB166="Absent"),0),IF($AD$5&lt;&gt;"",--(AD166="Absent"),0),IF($AF$5&lt;&gt;"",--(AF166="Absent"),0),IF($AH$5&lt;&gt;"",--(AH166="Absent"),0),IF($AJ$5&lt;&gt;"",--(AJ166="Absent"),0),IF($AL$5&lt;&gt;"",--(AL166="Absent"),0),IF($AN$5&lt;&gt;"",--(AN166="Absent"),0),IF($AP$5&lt;&gt;"",--(AP166="Absent"),0),IF($AR$5&lt;&gt;"",--(AR166="Absent"),0),IF($AT$5&lt;&gt;"",--(AT166="Absent"),0),IF($AV$5&lt;&gt;"",--(AV166="Absent"),0),IF($AX$5&lt;&gt;"",--(AX166="Absent"),0),IF($AZ$5&lt;&gt;"",--(AZ166="Absent"),0),IF($BB$5&lt;&gt;"",--(BB166="Absent"),0),IF($BD$5&lt;&gt;"",--(BD166="Absent"),0),IF($BF$5&lt;&gt;"",--(BF166="Absent"),0),IF($BH$5&lt;&gt;"",--(BH166="Absent"),0),IF($BJ$5&lt;&gt;"",--(BJ166="Absent"),0),IF($BL$5&lt;&gt;"",--(BL166="Absent"),0)))</f>
      </c>
      <c r="BP166" s="22">
        <f>IF($A166="","",SUM(IF($D$5&lt;&gt;"",--(D166="Congé"),0),IF($F$5&lt;&gt;"",--(F166="Congé"),0),IF($H$5&lt;&gt;"",--(H166="Congé"),0),IF($J$5&lt;&gt;"",--(J166="Congé"),0),IF($L$5&lt;&gt;"",--(L166="Congé"),0),IF($N$5&lt;&gt;"",--(N166="Congé"),0),IF($P$5&lt;&gt;"",--(P166="Congé"),0),IF($R$5&lt;&gt;"",--(R166="Congé"),0),IF($T$5&lt;&gt;"",--(T166="Congé"),0),IF($V$5&lt;&gt;"",--(V166="Congé"),0),IF($X$5&lt;&gt;"",--(X166="Congé"),0),IF($Z$5&lt;&gt;"",--(Z166="Congé"),0),IF($AB$5&lt;&gt;"",--(AB166="Congé"),0),IF($AD$5&lt;&gt;"",--(AD166="Congé"),0),IF($AF$5&lt;&gt;"",--(AF166="Congé"),0),IF($AH$5&lt;&gt;"",--(AH166="Congé"),0),IF($AJ$5&lt;&gt;"",--(AJ166="Congé"),0),IF($AL$5&lt;&gt;"",--(AL166="Congé"),0),IF($AN$5&lt;&gt;"",--(AN166="Congé"),0),IF($AP$5&lt;&gt;"",--(AP166="Congé"),0),IF($AR$5&lt;&gt;"",--(AR166="Congé"),0),IF($AT$5&lt;&gt;"",--(AT166="Congé"),0),IF($AV$5&lt;&gt;"",--(AV166="Congé"),0),IF($AX$5&lt;&gt;"",--(AX166="Congé"),0),IF($AZ$5&lt;&gt;"",--(AZ166="Congé"),0),IF($BB$5&lt;&gt;"",--(BB166="Congé"),0),IF($BD$5&lt;&gt;"",--(BD166="Congé"),0),IF($BF$5&lt;&gt;"",--(BF166="Congé"),0),IF($BH$5&lt;&gt;"",--(BH166="Congé"),0),IF($BJ$5&lt;&gt;"",--(BJ166="Congé"),0),IF($BL$5&lt;&gt;"",--(BL166="Congé"),0)))</f>
      </c>
      <c r="BQ166" s="22">
        <f>IF($A166="","",SUM(IF($D$5&lt;&gt;"",--(D166="Maladie"),0),IF($F$5&lt;&gt;"",--(F166="Maladie"),0),IF($H$5&lt;&gt;"",--(H166="Maladie"),0),IF($J$5&lt;&gt;"",--(J166="Maladie"),0),IF($L$5&lt;&gt;"",--(L166="Maladie"),0),IF($N$5&lt;&gt;"",--(N166="Maladie"),0),IF($P$5&lt;&gt;"",--(P166="Maladie"),0),IF($R$5&lt;&gt;"",--(R166="Maladie"),0),IF($T$5&lt;&gt;"",--(T166="Maladie"),0),IF($V$5&lt;&gt;"",--(V166="Maladie"),0),IF($X$5&lt;&gt;"",--(X166="Maladie"),0),IF($Z$5&lt;&gt;"",--(Z166="Maladie"),0),IF($AB$5&lt;&gt;"",--(AB166="Maladie"),0),IF($AD$5&lt;&gt;"",--(AD166="Maladie"),0),IF($AF$5&lt;&gt;"",--(AF166="Maladie"),0),IF($AH$5&lt;&gt;"",--(AH166="Maladie"),0),IF($AJ$5&lt;&gt;"",--(AJ166="Maladie"),0),IF($AL$5&lt;&gt;"",--(AL166="Maladie"),0),IF($AN$5&lt;&gt;"",--(AN166="Maladie"),0),IF($AP$5&lt;&gt;"",--(AP166="Maladie"),0),IF($AR$5&lt;&gt;"",--(AR166="Maladie"),0),IF($AT$5&lt;&gt;"",--(AT166="Maladie"),0),IF($AV$5&lt;&gt;"",--(AV166="Maladie"),0),IF($AX$5&lt;&gt;"",--(AX166="Maladie"),0),IF($AZ$5&lt;&gt;"",--(AZ166="Maladie"),0),IF($BB$5&lt;&gt;"",--(BB166="Maladie"),0),IF($BD$5&lt;&gt;"",--(BD166="Maladie"),0),IF($BF$5&lt;&gt;"",--(BF166="Maladie"),0),IF($BH$5&lt;&gt;"",--(BH166="Maladie"),0),IF($BJ$5&lt;&gt;"",--(BJ166="Maladie"),0),IF($BL$5&lt;&gt;"",--(BL166="Maladie"),0)))</f>
      </c>
      <c r="BR166" s="23">
        <f>IF($A166="","",SUM(IF($D$5&lt;&gt;"",IF(D166="Présent",E166,0),0),IF($F$5&lt;&gt;"",IF(F166="Présent",G166,0),0),IF($H$5&lt;&gt;"",IF(H166="Présent",I166,0),0),IF($J$5&lt;&gt;"",IF(J166="Présent",K166,0),0),IF($L$5&lt;&gt;"",IF(L166="Présent",M166,0),0),IF($N$5&lt;&gt;"",IF(N166="Présent",O166,0),0),IF($P$5&lt;&gt;"",IF(P166="Présent",Q166,0),0),IF($R$5&lt;&gt;"",IF(R166="Présent",S166,0),0),IF($T$5&lt;&gt;"",IF(T166="Présent",U166,0),0),IF($V$5&lt;&gt;"",IF(V166="Présent",W166,0),0),IF($X$5&lt;&gt;"",IF(X166="Présent",Y166,0),0),IF($Z$5&lt;&gt;"",IF(Z166="Présent",AA166,0),0),IF($AB$5&lt;&gt;"",IF(AB166="Présent",AC166,0),0),IF($AD$5&lt;&gt;"",IF(AD166="Présent",AE166,0),0),IF($AF$5&lt;&gt;"",IF(AF166="Présent",AG166,0),0),IF($AH$5&lt;&gt;"",IF(AH166="Présent",AI166,0),0),IF($AJ$5&lt;&gt;"",IF(AJ166="Présent",AK166,0),0),IF($AL$5&lt;&gt;"",IF(AL166="Présent",AM166,0),0),IF($AN$5&lt;&gt;"",IF(AN166="Présent",AO166,0),0),IF($AP$5&lt;&gt;"",IF(AP166="Présent",AQ166,0),0),IF($AR$5&lt;&gt;"",IF(AR166="Présent",AS166,0),0),IF($AT$5&lt;&gt;"",IF(AT166="Présent",AU166,0),0),IF($AV$5&lt;&gt;"",IF(AV166="Présent",AW166,0),0),IF($AX$5&lt;&gt;"",IF(AX166="Présent",AY166,0),0),IF($AZ$5&lt;&gt;"",IF(AZ166="Présent",BA166,0),0),IF($BB$5&lt;&gt;"",IF(BB166="Présent",BC166,0),0),IF($BD$5&lt;&gt;"",IF(BD166="Présent",BE166,0),0),IF($BF$5&lt;&gt;"",IF(BF166="Présent",BG166,0),0),IF($BH$5&lt;&gt;"",IF(BH166="Présent",BI166,0),0),IF($BJ$5&lt;&gt;"",IF(BJ166="Présent",BK166,0),0),IF($BL$5&lt;&gt;"",IF(BL166="Présent",BM166,0),0)))</f>
      </c>
      <c r="BS166" s="25">
        <f>IF($A166="","",$BN166*IFERROR(INDEX(Categories_Salaire,MATCH($C166,ListeCategories,0)),0)+$BR166*IF(IFERROR(INDEX(Categories_TauxHS,MATCH($C166,ListeCategories,0)),0)&gt;0,IFERROR(INDEX(Categories_TauxHS,MATCH($C166,ListeCategories,0)),0),TauxHSDefaut))</f>
      </c>
    </row>
    <row r="167">
      <c r="A167" s="20">
        <f>IF(AND(INDEX(Employes_Nom,161)&lt;&gt;"",INDEX(Employes_Statut,161)="Actif",OR(INDEX(Employes_Embauche,161)="",INDEX(Employes_Embauche,161)&lt;=EOMONTH(DATE(AnneeCourante,MoisCourant,1),0))),INDEX(Employes_ID,161),"")</f>
      </c>
      <c r="B167" s="19">
        <f>IF($A167="","",INDEX(Employes_Nom,MATCH($A167,Employes_ID,0)))</f>
      </c>
      <c r="C167" s="20">
        <f>IF($A167="","",INDEX(Employes_Categorie,MATCH($A167,Employes_ID,0)))</f>
      </c>
      <c r="D167" s="26"/>
      <c r="E167" s="27"/>
      <c r="F167" s="26"/>
      <c r="G167" s="27"/>
      <c r="H167" s="26"/>
      <c r="I167" s="27"/>
      <c r="J167" s="26"/>
      <c r="K167" s="27"/>
      <c r="L167" s="26"/>
      <c r="M167" s="27"/>
      <c r="N167" s="26"/>
      <c r="O167" s="27"/>
      <c r="P167" s="26"/>
      <c r="Q167" s="27"/>
      <c r="R167" s="26"/>
      <c r="S167" s="27"/>
      <c r="T167" s="26"/>
      <c r="U167" s="27"/>
      <c r="V167" s="26"/>
      <c r="W167" s="27"/>
      <c r="X167" s="26"/>
      <c r="Y167" s="27"/>
      <c r="Z167" s="26"/>
      <c r="AA167" s="27"/>
      <c r="AB167" s="26"/>
      <c r="AC167" s="27"/>
      <c r="AD167" s="26"/>
      <c r="AE167" s="27"/>
      <c r="AF167" s="26"/>
      <c r="AG167" s="27"/>
      <c r="AH167" s="26"/>
      <c r="AI167" s="27"/>
      <c r="AJ167" s="26"/>
      <c r="AK167" s="27"/>
      <c r="AL167" s="26"/>
      <c r="AM167" s="27"/>
      <c r="AN167" s="26"/>
      <c r="AO167" s="27"/>
      <c r="AP167" s="26"/>
      <c r="AQ167" s="27"/>
      <c r="AR167" s="26"/>
      <c r="AS167" s="27"/>
      <c r="AT167" s="26"/>
      <c r="AU167" s="27"/>
      <c r="AV167" s="26"/>
      <c r="AW167" s="27"/>
      <c r="AX167" s="26"/>
      <c r="AY167" s="27"/>
      <c r="AZ167" s="26"/>
      <c r="BA167" s="27"/>
      <c r="BB167" s="26"/>
      <c r="BC167" s="27"/>
      <c r="BD167" s="26"/>
      <c r="BE167" s="27"/>
      <c r="BF167" s="26"/>
      <c r="BG167" s="27"/>
      <c r="BH167" s="26"/>
      <c r="BI167" s="27"/>
      <c r="BJ167" s="26"/>
      <c r="BK167" s="27"/>
      <c r="BL167" s="26"/>
      <c r="BM167" s="27"/>
      <c r="BN167" s="22">
        <f>IF($A167="","",SUM(IF($D$5&lt;&gt;"",--(D167="Présent"),0),IF($F$5&lt;&gt;"",--(F167="Présent"),0),IF($H$5&lt;&gt;"",--(H167="Présent"),0),IF($J$5&lt;&gt;"",--(J167="Présent"),0),IF($L$5&lt;&gt;"",--(L167="Présent"),0),IF($N$5&lt;&gt;"",--(N167="Présent"),0),IF($P$5&lt;&gt;"",--(P167="Présent"),0),IF($R$5&lt;&gt;"",--(R167="Présent"),0),IF($T$5&lt;&gt;"",--(T167="Présent"),0),IF($V$5&lt;&gt;"",--(V167="Présent"),0),IF($X$5&lt;&gt;"",--(X167="Présent"),0),IF($Z$5&lt;&gt;"",--(Z167="Présent"),0),IF($AB$5&lt;&gt;"",--(AB167="Présent"),0),IF($AD$5&lt;&gt;"",--(AD167="Présent"),0),IF($AF$5&lt;&gt;"",--(AF167="Présent"),0),IF($AH$5&lt;&gt;"",--(AH167="Présent"),0),IF($AJ$5&lt;&gt;"",--(AJ167="Présent"),0),IF($AL$5&lt;&gt;"",--(AL167="Présent"),0),IF($AN$5&lt;&gt;"",--(AN167="Présent"),0),IF($AP$5&lt;&gt;"",--(AP167="Présent"),0),IF($AR$5&lt;&gt;"",--(AR167="Présent"),0),IF($AT$5&lt;&gt;"",--(AT167="Présent"),0),IF($AV$5&lt;&gt;"",--(AV167="Présent"),0),IF($AX$5&lt;&gt;"",--(AX167="Présent"),0),IF($AZ$5&lt;&gt;"",--(AZ167="Présent"),0),IF($BB$5&lt;&gt;"",--(BB167="Présent"),0),IF($BD$5&lt;&gt;"",--(BD167="Présent"),0),IF($BF$5&lt;&gt;"",--(BF167="Présent"),0),IF($BH$5&lt;&gt;"",--(BH167="Présent"),0),IF($BJ$5&lt;&gt;"",--(BJ167="Présent"),0),IF($BL$5&lt;&gt;"",--(BL167="Présent"),0)))</f>
      </c>
      <c r="BO167" s="22">
        <f>IF($A167="","",SUM(IF($D$5&lt;&gt;"",--(D167="Absent"),0),IF($F$5&lt;&gt;"",--(F167="Absent"),0),IF($H$5&lt;&gt;"",--(H167="Absent"),0),IF($J$5&lt;&gt;"",--(J167="Absent"),0),IF($L$5&lt;&gt;"",--(L167="Absent"),0),IF($N$5&lt;&gt;"",--(N167="Absent"),0),IF($P$5&lt;&gt;"",--(P167="Absent"),0),IF($R$5&lt;&gt;"",--(R167="Absent"),0),IF($T$5&lt;&gt;"",--(T167="Absent"),0),IF($V$5&lt;&gt;"",--(V167="Absent"),0),IF($X$5&lt;&gt;"",--(X167="Absent"),0),IF($Z$5&lt;&gt;"",--(Z167="Absent"),0),IF($AB$5&lt;&gt;"",--(AB167="Absent"),0),IF($AD$5&lt;&gt;"",--(AD167="Absent"),0),IF($AF$5&lt;&gt;"",--(AF167="Absent"),0),IF($AH$5&lt;&gt;"",--(AH167="Absent"),0),IF($AJ$5&lt;&gt;"",--(AJ167="Absent"),0),IF($AL$5&lt;&gt;"",--(AL167="Absent"),0),IF($AN$5&lt;&gt;"",--(AN167="Absent"),0),IF($AP$5&lt;&gt;"",--(AP167="Absent"),0),IF($AR$5&lt;&gt;"",--(AR167="Absent"),0),IF($AT$5&lt;&gt;"",--(AT167="Absent"),0),IF($AV$5&lt;&gt;"",--(AV167="Absent"),0),IF($AX$5&lt;&gt;"",--(AX167="Absent"),0),IF($AZ$5&lt;&gt;"",--(AZ167="Absent"),0),IF($BB$5&lt;&gt;"",--(BB167="Absent"),0),IF($BD$5&lt;&gt;"",--(BD167="Absent"),0),IF($BF$5&lt;&gt;"",--(BF167="Absent"),0),IF($BH$5&lt;&gt;"",--(BH167="Absent"),0),IF($BJ$5&lt;&gt;"",--(BJ167="Absent"),0),IF($BL$5&lt;&gt;"",--(BL167="Absent"),0)))</f>
      </c>
      <c r="BP167" s="22">
        <f>IF($A167="","",SUM(IF($D$5&lt;&gt;"",--(D167="Congé"),0),IF($F$5&lt;&gt;"",--(F167="Congé"),0),IF($H$5&lt;&gt;"",--(H167="Congé"),0),IF($J$5&lt;&gt;"",--(J167="Congé"),0),IF($L$5&lt;&gt;"",--(L167="Congé"),0),IF($N$5&lt;&gt;"",--(N167="Congé"),0),IF($P$5&lt;&gt;"",--(P167="Congé"),0),IF($R$5&lt;&gt;"",--(R167="Congé"),0),IF($T$5&lt;&gt;"",--(T167="Congé"),0),IF($V$5&lt;&gt;"",--(V167="Congé"),0),IF($X$5&lt;&gt;"",--(X167="Congé"),0),IF($Z$5&lt;&gt;"",--(Z167="Congé"),0),IF($AB$5&lt;&gt;"",--(AB167="Congé"),0),IF($AD$5&lt;&gt;"",--(AD167="Congé"),0),IF($AF$5&lt;&gt;"",--(AF167="Congé"),0),IF($AH$5&lt;&gt;"",--(AH167="Congé"),0),IF($AJ$5&lt;&gt;"",--(AJ167="Congé"),0),IF($AL$5&lt;&gt;"",--(AL167="Congé"),0),IF($AN$5&lt;&gt;"",--(AN167="Congé"),0),IF($AP$5&lt;&gt;"",--(AP167="Congé"),0),IF($AR$5&lt;&gt;"",--(AR167="Congé"),0),IF($AT$5&lt;&gt;"",--(AT167="Congé"),0),IF($AV$5&lt;&gt;"",--(AV167="Congé"),0),IF($AX$5&lt;&gt;"",--(AX167="Congé"),0),IF($AZ$5&lt;&gt;"",--(AZ167="Congé"),0),IF($BB$5&lt;&gt;"",--(BB167="Congé"),0),IF($BD$5&lt;&gt;"",--(BD167="Congé"),0),IF($BF$5&lt;&gt;"",--(BF167="Congé"),0),IF($BH$5&lt;&gt;"",--(BH167="Congé"),0),IF($BJ$5&lt;&gt;"",--(BJ167="Congé"),0),IF($BL$5&lt;&gt;"",--(BL167="Congé"),0)))</f>
      </c>
      <c r="BQ167" s="22">
        <f>IF($A167="","",SUM(IF($D$5&lt;&gt;"",--(D167="Maladie"),0),IF($F$5&lt;&gt;"",--(F167="Maladie"),0),IF($H$5&lt;&gt;"",--(H167="Maladie"),0),IF($J$5&lt;&gt;"",--(J167="Maladie"),0),IF($L$5&lt;&gt;"",--(L167="Maladie"),0),IF($N$5&lt;&gt;"",--(N167="Maladie"),0),IF($P$5&lt;&gt;"",--(P167="Maladie"),0),IF($R$5&lt;&gt;"",--(R167="Maladie"),0),IF($T$5&lt;&gt;"",--(T167="Maladie"),0),IF($V$5&lt;&gt;"",--(V167="Maladie"),0),IF($X$5&lt;&gt;"",--(X167="Maladie"),0),IF($Z$5&lt;&gt;"",--(Z167="Maladie"),0),IF($AB$5&lt;&gt;"",--(AB167="Maladie"),0),IF($AD$5&lt;&gt;"",--(AD167="Maladie"),0),IF($AF$5&lt;&gt;"",--(AF167="Maladie"),0),IF($AH$5&lt;&gt;"",--(AH167="Maladie"),0),IF($AJ$5&lt;&gt;"",--(AJ167="Maladie"),0),IF($AL$5&lt;&gt;"",--(AL167="Maladie"),0),IF($AN$5&lt;&gt;"",--(AN167="Maladie"),0),IF($AP$5&lt;&gt;"",--(AP167="Maladie"),0),IF($AR$5&lt;&gt;"",--(AR167="Maladie"),0),IF($AT$5&lt;&gt;"",--(AT167="Maladie"),0),IF($AV$5&lt;&gt;"",--(AV167="Maladie"),0),IF($AX$5&lt;&gt;"",--(AX167="Maladie"),0),IF($AZ$5&lt;&gt;"",--(AZ167="Maladie"),0),IF($BB$5&lt;&gt;"",--(BB167="Maladie"),0),IF($BD$5&lt;&gt;"",--(BD167="Maladie"),0),IF($BF$5&lt;&gt;"",--(BF167="Maladie"),0),IF($BH$5&lt;&gt;"",--(BH167="Maladie"),0),IF($BJ$5&lt;&gt;"",--(BJ167="Maladie"),0),IF($BL$5&lt;&gt;"",--(BL167="Maladie"),0)))</f>
      </c>
      <c r="BR167" s="23">
        <f>IF($A167="","",SUM(IF($D$5&lt;&gt;"",IF(D167="Présent",E167,0),0),IF($F$5&lt;&gt;"",IF(F167="Présent",G167,0),0),IF($H$5&lt;&gt;"",IF(H167="Présent",I167,0),0),IF($J$5&lt;&gt;"",IF(J167="Présent",K167,0),0),IF($L$5&lt;&gt;"",IF(L167="Présent",M167,0),0),IF($N$5&lt;&gt;"",IF(N167="Présent",O167,0),0),IF($P$5&lt;&gt;"",IF(P167="Présent",Q167,0),0),IF($R$5&lt;&gt;"",IF(R167="Présent",S167,0),0),IF($T$5&lt;&gt;"",IF(T167="Présent",U167,0),0),IF($V$5&lt;&gt;"",IF(V167="Présent",W167,0),0),IF($X$5&lt;&gt;"",IF(X167="Présent",Y167,0),0),IF($Z$5&lt;&gt;"",IF(Z167="Présent",AA167,0),0),IF($AB$5&lt;&gt;"",IF(AB167="Présent",AC167,0),0),IF($AD$5&lt;&gt;"",IF(AD167="Présent",AE167,0),0),IF($AF$5&lt;&gt;"",IF(AF167="Présent",AG167,0),0),IF($AH$5&lt;&gt;"",IF(AH167="Présent",AI167,0),0),IF($AJ$5&lt;&gt;"",IF(AJ167="Présent",AK167,0),0),IF($AL$5&lt;&gt;"",IF(AL167="Présent",AM167,0),0),IF($AN$5&lt;&gt;"",IF(AN167="Présent",AO167,0),0),IF($AP$5&lt;&gt;"",IF(AP167="Présent",AQ167,0),0),IF($AR$5&lt;&gt;"",IF(AR167="Présent",AS167,0),0),IF($AT$5&lt;&gt;"",IF(AT167="Présent",AU167,0),0),IF($AV$5&lt;&gt;"",IF(AV167="Présent",AW167,0),0),IF($AX$5&lt;&gt;"",IF(AX167="Présent",AY167,0),0),IF($AZ$5&lt;&gt;"",IF(AZ167="Présent",BA167,0),0),IF($BB$5&lt;&gt;"",IF(BB167="Présent",BC167,0),0),IF($BD$5&lt;&gt;"",IF(BD167="Présent",BE167,0),0),IF($BF$5&lt;&gt;"",IF(BF167="Présent",BG167,0),0),IF($BH$5&lt;&gt;"",IF(BH167="Présent",BI167,0),0),IF($BJ$5&lt;&gt;"",IF(BJ167="Présent",BK167,0),0),IF($BL$5&lt;&gt;"",IF(BL167="Présent",BM167,0),0)))</f>
      </c>
      <c r="BS167" s="25">
        <f>IF($A167="","",$BN167*IFERROR(INDEX(Categories_Salaire,MATCH($C167,ListeCategories,0)),0)+$BR167*IF(IFERROR(INDEX(Categories_TauxHS,MATCH($C167,ListeCategories,0)),0)&gt;0,IFERROR(INDEX(Categories_TauxHS,MATCH($C167,ListeCategories,0)),0),TauxHSDefaut))</f>
      </c>
    </row>
    <row r="168">
      <c r="A168" s="20">
        <f>IF(AND(INDEX(Employes_Nom,162)&lt;&gt;"",INDEX(Employes_Statut,162)="Actif",OR(INDEX(Employes_Embauche,162)="",INDEX(Employes_Embauche,162)&lt;=EOMONTH(DATE(AnneeCourante,MoisCourant,1),0))),INDEX(Employes_ID,162),"")</f>
      </c>
      <c r="B168" s="19">
        <f>IF($A168="","",INDEX(Employes_Nom,MATCH($A168,Employes_ID,0)))</f>
      </c>
      <c r="C168" s="20">
        <f>IF($A168="","",INDEX(Employes_Categorie,MATCH($A168,Employes_ID,0)))</f>
      </c>
      <c r="D168" s="26"/>
      <c r="E168" s="27"/>
      <c r="F168" s="26"/>
      <c r="G168" s="27"/>
      <c r="H168" s="26"/>
      <c r="I168" s="27"/>
      <c r="J168" s="26"/>
      <c r="K168" s="27"/>
      <c r="L168" s="26"/>
      <c r="M168" s="27"/>
      <c r="N168" s="26"/>
      <c r="O168" s="27"/>
      <c r="P168" s="26"/>
      <c r="Q168" s="27"/>
      <c r="R168" s="26"/>
      <c r="S168" s="27"/>
      <c r="T168" s="26"/>
      <c r="U168" s="27"/>
      <c r="V168" s="26"/>
      <c r="W168" s="27"/>
      <c r="X168" s="26"/>
      <c r="Y168" s="27"/>
      <c r="Z168" s="26"/>
      <c r="AA168" s="27"/>
      <c r="AB168" s="26"/>
      <c r="AC168" s="27"/>
      <c r="AD168" s="26"/>
      <c r="AE168" s="27"/>
      <c r="AF168" s="26"/>
      <c r="AG168" s="27"/>
      <c r="AH168" s="26"/>
      <c r="AI168" s="27"/>
      <c r="AJ168" s="26"/>
      <c r="AK168" s="27"/>
      <c r="AL168" s="26"/>
      <c r="AM168" s="27"/>
      <c r="AN168" s="26"/>
      <c r="AO168" s="27"/>
      <c r="AP168" s="26"/>
      <c r="AQ168" s="27"/>
      <c r="AR168" s="26"/>
      <c r="AS168" s="27"/>
      <c r="AT168" s="26"/>
      <c r="AU168" s="27"/>
      <c r="AV168" s="26"/>
      <c r="AW168" s="27"/>
      <c r="AX168" s="26"/>
      <c r="AY168" s="27"/>
      <c r="AZ168" s="26"/>
      <c r="BA168" s="27"/>
      <c r="BB168" s="26"/>
      <c r="BC168" s="27"/>
      <c r="BD168" s="26"/>
      <c r="BE168" s="27"/>
      <c r="BF168" s="26"/>
      <c r="BG168" s="27"/>
      <c r="BH168" s="26"/>
      <c r="BI168" s="27"/>
      <c r="BJ168" s="26"/>
      <c r="BK168" s="27"/>
      <c r="BL168" s="26"/>
      <c r="BM168" s="27"/>
      <c r="BN168" s="22">
        <f>IF($A168="","",SUM(IF($D$5&lt;&gt;"",--(D168="Présent"),0),IF($F$5&lt;&gt;"",--(F168="Présent"),0),IF($H$5&lt;&gt;"",--(H168="Présent"),0),IF($J$5&lt;&gt;"",--(J168="Présent"),0),IF($L$5&lt;&gt;"",--(L168="Présent"),0),IF($N$5&lt;&gt;"",--(N168="Présent"),0),IF($P$5&lt;&gt;"",--(P168="Présent"),0),IF($R$5&lt;&gt;"",--(R168="Présent"),0),IF($T$5&lt;&gt;"",--(T168="Présent"),0),IF($V$5&lt;&gt;"",--(V168="Présent"),0),IF($X$5&lt;&gt;"",--(X168="Présent"),0),IF($Z$5&lt;&gt;"",--(Z168="Présent"),0),IF($AB$5&lt;&gt;"",--(AB168="Présent"),0),IF($AD$5&lt;&gt;"",--(AD168="Présent"),0),IF($AF$5&lt;&gt;"",--(AF168="Présent"),0),IF($AH$5&lt;&gt;"",--(AH168="Présent"),0),IF($AJ$5&lt;&gt;"",--(AJ168="Présent"),0),IF($AL$5&lt;&gt;"",--(AL168="Présent"),0),IF($AN$5&lt;&gt;"",--(AN168="Présent"),0),IF($AP$5&lt;&gt;"",--(AP168="Présent"),0),IF($AR$5&lt;&gt;"",--(AR168="Présent"),0),IF($AT$5&lt;&gt;"",--(AT168="Présent"),0),IF($AV$5&lt;&gt;"",--(AV168="Présent"),0),IF($AX$5&lt;&gt;"",--(AX168="Présent"),0),IF($AZ$5&lt;&gt;"",--(AZ168="Présent"),0),IF($BB$5&lt;&gt;"",--(BB168="Présent"),0),IF($BD$5&lt;&gt;"",--(BD168="Présent"),0),IF($BF$5&lt;&gt;"",--(BF168="Présent"),0),IF($BH$5&lt;&gt;"",--(BH168="Présent"),0),IF($BJ$5&lt;&gt;"",--(BJ168="Présent"),0),IF($BL$5&lt;&gt;"",--(BL168="Présent"),0)))</f>
      </c>
      <c r="BO168" s="22">
        <f>IF($A168="","",SUM(IF($D$5&lt;&gt;"",--(D168="Absent"),0),IF($F$5&lt;&gt;"",--(F168="Absent"),0),IF($H$5&lt;&gt;"",--(H168="Absent"),0),IF($J$5&lt;&gt;"",--(J168="Absent"),0),IF($L$5&lt;&gt;"",--(L168="Absent"),0),IF($N$5&lt;&gt;"",--(N168="Absent"),0),IF($P$5&lt;&gt;"",--(P168="Absent"),0),IF($R$5&lt;&gt;"",--(R168="Absent"),0),IF($T$5&lt;&gt;"",--(T168="Absent"),0),IF($V$5&lt;&gt;"",--(V168="Absent"),0),IF($X$5&lt;&gt;"",--(X168="Absent"),0),IF($Z$5&lt;&gt;"",--(Z168="Absent"),0),IF($AB$5&lt;&gt;"",--(AB168="Absent"),0),IF($AD$5&lt;&gt;"",--(AD168="Absent"),0),IF($AF$5&lt;&gt;"",--(AF168="Absent"),0),IF($AH$5&lt;&gt;"",--(AH168="Absent"),0),IF($AJ$5&lt;&gt;"",--(AJ168="Absent"),0),IF($AL$5&lt;&gt;"",--(AL168="Absent"),0),IF($AN$5&lt;&gt;"",--(AN168="Absent"),0),IF($AP$5&lt;&gt;"",--(AP168="Absent"),0),IF($AR$5&lt;&gt;"",--(AR168="Absent"),0),IF($AT$5&lt;&gt;"",--(AT168="Absent"),0),IF($AV$5&lt;&gt;"",--(AV168="Absent"),0),IF($AX$5&lt;&gt;"",--(AX168="Absent"),0),IF($AZ$5&lt;&gt;"",--(AZ168="Absent"),0),IF($BB$5&lt;&gt;"",--(BB168="Absent"),0),IF($BD$5&lt;&gt;"",--(BD168="Absent"),0),IF($BF$5&lt;&gt;"",--(BF168="Absent"),0),IF($BH$5&lt;&gt;"",--(BH168="Absent"),0),IF($BJ$5&lt;&gt;"",--(BJ168="Absent"),0),IF($BL$5&lt;&gt;"",--(BL168="Absent"),0)))</f>
      </c>
      <c r="BP168" s="22">
        <f>IF($A168="","",SUM(IF($D$5&lt;&gt;"",--(D168="Congé"),0),IF($F$5&lt;&gt;"",--(F168="Congé"),0),IF($H$5&lt;&gt;"",--(H168="Congé"),0),IF($J$5&lt;&gt;"",--(J168="Congé"),0),IF($L$5&lt;&gt;"",--(L168="Congé"),0),IF($N$5&lt;&gt;"",--(N168="Congé"),0),IF($P$5&lt;&gt;"",--(P168="Congé"),0),IF($R$5&lt;&gt;"",--(R168="Congé"),0),IF($T$5&lt;&gt;"",--(T168="Congé"),0),IF($V$5&lt;&gt;"",--(V168="Congé"),0),IF($X$5&lt;&gt;"",--(X168="Congé"),0),IF($Z$5&lt;&gt;"",--(Z168="Congé"),0),IF($AB$5&lt;&gt;"",--(AB168="Congé"),0),IF($AD$5&lt;&gt;"",--(AD168="Congé"),0),IF($AF$5&lt;&gt;"",--(AF168="Congé"),0),IF($AH$5&lt;&gt;"",--(AH168="Congé"),0),IF($AJ$5&lt;&gt;"",--(AJ168="Congé"),0),IF($AL$5&lt;&gt;"",--(AL168="Congé"),0),IF($AN$5&lt;&gt;"",--(AN168="Congé"),0),IF($AP$5&lt;&gt;"",--(AP168="Congé"),0),IF($AR$5&lt;&gt;"",--(AR168="Congé"),0),IF($AT$5&lt;&gt;"",--(AT168="Congé"),0),IF($AV$5&lt;&gt;"",--(AV168="Congé"),0),IF($AX$5&lt;&gt;"",--(AX168="Congé"),0),IF($AZ$5&lt;&gt;"",--(AZ168="Congé"),0),IF($BB$5&lt;&gt;"",--(BB168="Congé"),0),IF($BD$5&lt;&gt;"",--(BD168="Congé"),0),IF($BF$5&lt;&gt;"",--(BF168="Congé"),0),IF($BH$5&lt;&gt;"",--(BH168="Congé"),0),IF($BJ$5&lt;&gt;"",--(BJ168="Congé"),0),IF($BL$5&lt;&gt;"",--(BL168="Congé"),0)))</f>
      </c>
      <c r="BQ168" s="22">
        <f>IF($A168="","",SUM(IF($D$5&lt;&gt;"",--(D168="Maladie"),0),IF($F$5&lt;&gt;"",--(F168="Maladie"),0),IF($H$5&lt;&gt;"",--(H168="Maladie"),0),IF($J$5&lt;&gt;"",--(J168="Maladie"),0),IF($L$5&lt;&gt;"",--(L168="Maladie"),0),IF($N$5&lt;&gt;"",--(N168="Maladie"),0),IF($P$5&lt;&gt;"",--(P168="Maladie"),0),IF($R$5&lt;&gt;"",--(R168="Maladie"),0),IF($T$5&lt;&gt;"",--(T168="Maladie"),0),IF($V$5&lt;&gt;"",--(V168="Maladie"),0),IF($X$5&lt;&gt;"",--(X168="Maladie"),0),IF($Z$5&lt;&gt;"",--(Z168="Maladie"),0),IF($AB$5&lt;&gt;"",--(AB168="Maladie"),0),IF($AD$5&lt;&gt;"",--(AD168="Maladie"),0),IF($AF$5&lt;&gt;"",--(AF168="Maladie"),0),IF($AH$5&lt;&gt;"",--(AH168="Maladie"),0),IF($AJ$5&lt;&gt;"",--(AJ168="Maladie"),0),IF($AL$5&lt;&gt;"",--(AL168="Maladie"),0),IF($AN$5&lt;&gt;"",--(AN168="Maladie"),0),IF($AP$5&lt;&gt;"",--(AP168="Maladie"),0),IF($AR$5&lt;&gt;"",--(AR168="Maladie"),0),IF($AT$5&lt;&gt;"",--(AT168="Maladie"),0),IF($AV$5&lt;&gt;"",--(AV168="Maladie"),0),IF($AX$5&lt;&gt;"",--(AX168="Maladie"),0),IF($AZ$5&lt;&gt;"",--(AZ168="Maladie"),0),IF($BB$5&lt;&gt;"",--(BB168="Maladie"),0),IF($BD$5&lt;&gt;"",--(BD168="Maladie"),0),IF($BF$5&lt;&gt;"",--(BF168="Maladie"),0),IF($BH$5&lt;&gt;"",--(BH168="Maladie"),0),IF($BJ$5&lt;&gt;"",--(BJ168="Maladie"),0),IF($BL$5&lt;&gt;"",--(BL168="Maladie"),0)))</f>
      </c>
      <c r="BR168" s="23">
        <f>IF($A168="","",SUM(IF($D$5&lt;&gt;"",IF(D168="Présent",E168,0),0),IF($F$5&lt;&gt;"",IF(F168="Présent",G168,0),0),IF($H$5&lt;&gt;"",IF(H168="Présent",I168,0),0),IF($J$5&lt;&gt;"",IF(J168="Présent",K168,0),0),IF($L$5&lt;&gt;"",IF(L168="Présent",M168,0),0),IF($N$5&lt;&gt;"",IF(N168="Présent",O168,0),0),IF($P$5&lt;&gt;"",IF(P168="Présent",Q168,0),0),IF($R$5&lt;&gt;"",IF(R168="Présent",S168,0),0),IF($T$5&lt;&gt;"",IF(T168="Présent",U168,0),0),IF($V$5&lt;&gt;"",IF(V168="Présent",W168,0),0),IF($X$5&lt;&gt;"",IF(X168="Présent",Y168,0),0),IF($Z$5&lt;&gt;"",IF(Z168="Présent",AA168,0),0),IF($AB$5&lt;&gt;"",IF(AB168="Présent",AC168,0),0),IF($AD$5&lt;&gt;"",IF(AD168="Présent",AE168,0),0),IF($AF$5&lt;&gt;"",IF(AF168="Présent",AG168,0),0),IF($AH$5&lt;&gt;"",IF(AH168="Présent",AI168,0),0),IF($AJ$5&lt;&gt;"",IF(AJ168="Présent",AK168,0),0),IF($AL$5&lt;&gt;"",IF(AL168="Présent",AM168,0),0),IF($AN$5&lt;&gt;"",IF(AN168="Présent",AO168,0),0),IF($AP$5&lt;&gt;"",IF(AP168="Présent",AQ168,0),0),IF($AR$5&lt;&gt;"",IF(AR168="Présent",AS168,0),0),IF($AT$5&lt;&gt;"",IF(AT168="Présent",AU168,0),0),IF($AV$5&lt;&gt;"",IF(AV168="Présent",AW168,0),0),IF($AX$5&lt;&gt;"",IF(AX168="Présent",AY168,0),0),IF($AZ$5&lt;&gt;"",IF(AZ168="Présent",BA168,0),0),IF($BB$5&lt;&gt;"",IF(BB168="Présent",BC168,0),0),IF($BD$5&lt;&gt;"",IF(BD168="Présent",BE168,0),0),IF($BF$5&lt;&gt;"",IF(BF168="Présent",BG168,0),0),IF($BH$5&lt;&gt;"",IF(BH168="Présent",BI168,0),0),IF($BJ$5&lt;&gt;"",IF(BJ168="Présent",BK168,0),0),IF($BL$5&lt;&gt;"",IF(BL168="Présent",BM168,0),0)))</f>
      </c>
      <c r="BS168" s="25">
        <f>IF($A168="","",$BN168*IFERROR(INDEX(Categories_Salaire,MATCH($C168,ListeCategories,0)),0)+$BR168*IF(IFERROR(INDEX(Categories_TauxHS,MATCH($C168,ListeCategories,0)),0)&gt;0,IFERROR(INDEX(Categories_TauxHS,MATCH($C168,ListeCategories,0)),0),TauxHSDefaut))</f>
      </c>
    </row>
    <row r="169">
      <c r="A169" s="20">
        <f>IF(AND(INDEX(Employes_Nom,163)&lt;&gt;"",INDEX(Employes_Statut,163)="Actif",OR(INDEX(Employes_Embauche,163)="",INDEX(Employes_Embauche,163)&lt;=EOMONTH(DATE(AnneeCourante,MoisCourant,1),0))),INDEX(Employes_ID,163),"")</f>
      </c>
      <c r="B169" s="19">
        <f>IF($A169="","",INDEX(Employes_Nom,MATCH($A169,Employes_ID,0)))</f>
      </c>
      <c r="C169" s="20">
        <f>IF($A169="","",INDEX(Employes_Categorie,MATCH($A169,Employes_ID,0)))</f>
      </c>
      <c r="D169" s="26"/>
      <c r="E169" s="27"/>
      <c r="F169" s="26"/>
      <c r="G169" s="27"/>
      <c r="H169" s="26"/>
      <c r="I169" s="27"/>
      <c r="J169" s="26"/>
      <c r="K169" s="27"/>
      <c r="L169" s="26"/>
      <c r="M169" s="27"/>
      <c r="N169" s="26"/>
      <c r="O169" s="27"/>
      <c r="P169" s="26"/>
      <c r="Q169" s="27"/>
      <c r="R169" s="26"/>
      <c r="S169" s="27"/>
      <c r="T169" s="26"/>
      <c r="U169" s="27"/>
      <c r="V169" s="26"/>
      <c r="W169" s="27"/>
      <c r="X169" s="26"/>
      <c r="Y169" s="27"/>
      <c r="Z169" s="26"/>
      <c r="AA169" s="27"/>
      <c r="AB169" s="26"/>
      <c r="AC169" s="27"/>
      <c r="AD169" s="26"/>
      <c r="AE169" s="27"/>
      <c r="AF169" s="26"/>
      <c r="AG169" s="27"/>
      <c r="AH169" s="26"/>
      <c r="AI169" s="27"/>
      <c r="AJ169" s="26"/>
      <c r="AK169" s="27"/>
      <c r="AL169" s="26"/>
      <c r="AM169" s="27"/>
      <c r="AN169" s="26"/>
      <c r="AO169" s="27"/>
      <c r="AP169" s="26"/>
      <c r="AQ169" s="27"/>
      <c r="AR169" s="26"/>
      <c r="AS169" s="27"/>
      <c r="AT169" s="26"/>
      <c r="AU169" s="27"/>
      <c r="AV169" s="26"/>
      <c r="AW169" s="27"/>
      <c r="AX169" s="26"/>
      <c r="AY169" s="27"/>
      <c r="AZ169" s="26"/>
      <c r="BA169" s="27"/>
      <c r="BB169" s="26"/>
      <c r="BC169" s="27"/>
      <c r="BD169" s="26"/>
      <c r="BE169" s="27"/>
      <c r="BF169" s="26"/>
      <c r="BG169" s="27"/>
      <c r="BH169" s="26"/>
      <c r="BI169" s="27"/>
      <c r="BJ169" s="26"/>
      <c r="BK169" s="27"/>
      <c r="BL169" s="26"/>
      <c r="BM169" s="27"/>
      <c r="BN169" s="22">
        <f>IF($A169="","",SUM(IF($D$5&lt;&gt;"",--(D169="Présent"),0),IF($F$5&lt;&gt;"",--(F169="Présent"),0),IF($H$5&lt;&gt;"",--(H169="Présent"),0),IF($J$5&lt;&gt;"",--(J169="Présent"),0),IF($L$5&lt;&gt;"",--(L169="Présent"),0),IF($N$5&lt;&gt;"",--(N169="Présent"),0),IF($P$5&lt;&gt;"",--(P169="Présent"),0),IF($R$5&lt;&gt;"",--(R169="Présent"),0),IF($T$5&lt;&gt;"",--(T169="Présent"),0),IF($V$5&lt;&gt;"",--(V169="Présent"),0),IF($X$5&lt;&gt;"",--(X169="Présent"),0),IF($Z$5&lt;&gt;"",--(Z169="Présent"),0),IF($AB$5&lt;&gt;"",--(AB169="Présent"),0),IF($AD$5&lt;&gt;"",--(AD169="Présent"),0),IF($AF$5&lt;&gt;"",--(AF169="Présent"),0),IF($AH$5&lt;&gt;"",--(AH169="Présent"),0),IF($AJ$5&lt;&gt;"",--(AJ169="Présent"),0),IF($AL$5&lt;&gt;"",--(AL169="Présent"),0),IF($AN$5&lt;&gt;"",--(AN169="Présent"),0),IF($AP$5&lt;&gt;"",--(AP169="Présent"),0),IF($AR$5&lt;&gt;"",--(AR169="Présent"),0),IF($AT$5&lt;&gt;"",--(AT169="Présent"),0),IF($AV$5&lt;&gt;"",--(AV169="Présent"),0),IF($AX$5&lt;&gt;"",--(AX169="Présent"),0),IF($AZ$5&lt;&gt;"",--(AZ169="Présent"),0),IF($BB$5&lt;&gt;"",--(BB169="Présent"),0),IF($BD$5&lt;&gt;"",--(BD169="Présent"),0),IF($BF$5&lt;&gt;"",--(BF169="Présent"),0),IF($BH$5&lt;&gt;"",--(BH169="Présent"),0),IF($BJ$5&lt;&gt;"",--(BJ169="Présent"),0),IF($BL$5&lt;&gt;"",--(BL169="Présent"),0)))</f>
      </c>
      <c r="BO169" s="22">
        <f>IF($A169="","",SUM(IF($D$5&lt;&gt;"",--(D169="Absent"),0),IF($F$5&lt;&gt;"",--(F169="Absent"),0),IF($H$5&lt;&gt;"",--(H169="Absent"),0),IF($J$5&lt;&gt;"",--(J169="Absent"),0),IF($L$5&lt;&gt;"",--(L169="Absent"),0),IF($N$5&lt;&gt;"",--(N169="Absent"),0),IF($P$5&lt;&gt;"",--(P169="Absent"),0),IF($R$5&lt;&gt;"",--(R169="Absent"),0),IF($T$5&lt;&gt;"",--(T169="Absent"),0),IF($V$5&lt;&gt;"",--(V169="Absent"),0),IF($X$5&lt;&gt;"",--(X169="Absent"),0),IF($Z$5&lt;&gt;"",--(Z169="Absent"),0),IF($AB$5&lt;&gt;"",--(AB169="Absent"),0),IF($AD$5&lt;&gt;"",--(AD169="Absent"),0),IF($AF$5&lt;&gt;"",--(AF169="Absent"),0),IF($AH$5&lt;&gt;"",--(AH169="Absent"),0),IF($AJ$5&lt;&gt;"",--(AJ169="Absent"),0),IF($AL$5&lt;&gt;"",--(AL169="Absent"),0),IF($AN$5&lt;&gt;"",--(AN169="Absent"),0),IF($AP$5&lt;&gt;"",--(AP169="Absent"),0),IF($AR$5&lt;&gt;"",--(AR169="Absent"),0),IF($AT$5&lt;&gt;"",--(AT169="Absent"),0),IF($AV$5&lt;&gt;"",--(AV169="Absent"),0),IF($AX$5&lt;&gt;"",--(AX169="Absent"),0),IF($AZ$5&lt;&gt;"",--(AZ169="Absent"),0),IF($BB$5&lt;&gt;"",--(BB169="Absent"),0),IF($BD$5&lt;&gt;"",--(BD169="Absent"),0),IF($BF$5&lt;&gt;"",--(BF169="Absent"),0),IF($BH$5&lt;&gt;"",--(BH169="Absent"),0),IF($BJ$5&lt;&gt;"",--(BJ169="Absent"),0),IF($BL$5&lt;&gt;"",--(BL169="Absent"),0)))</f>
      </c>
      <c r="BP169" s="22">
        <f>IF($A169="","",SUM(IF($D$5&lt;&gt;"",--(D169="Congé"),0),IF($F$5&lt;&gt;"",--(F169="Congé"),0),IF($H$5&lt;&gt;"",--(H169="Congé"),0),IF($J$5&lt;&gt;"",--(J169="Congé"),0),IF($L$5&lt;&gt;"",--(L169="Congé"),0),IF($N$5&lt;&gt;"",--(N169="Congé"),0),IF($P$5&lt;&gt;"",--(P169="Congé"),0),IF($R$5&lt;&gt;"",--(R169="Congé"),0),IF($T$5&lt;&gt;"",--(T169="Congé"),0),IF($V$5&lt;&gt;"",--(V169="Congé"),0),IF($X$5&lt;&gt;"",--(X169="Congé"),0),IF($Z$5&lt;&gt;"",--(Z169="Congé"),0),IF($AB$5&lt;&gt;"",--(AB169="Congé"),0),IF($AD$5&lt;&gt;"",--(AD169="Congé"),0),IF($AF$5&lt;&gt;"",--(AF169="Congé"),0),IF($AH$5&lt;&gt;"",--(AH169="Congé"),0),IF($AJ$5&lt;&gt;"",--(AJ169="Congé"),0),IF($AL$5&lt;&gt;"",--(AL169="Congé"),0),IF($AN$5&lt;&gt;"",--(AN169="Congé"),0),IF($AP$5&lt;&gt;"",--(AP169="Congé"),0),IF($AR$5&lt;&gt;"",--(AR169="Congé"),0),IF($AT$5&lt;&gt;"",--(AT169="Congé"),0),IF($AV$5&lt;&gt;"",--(AV169="Congé"),0),IF($AX$5&lt;&gt;"",--(AX169="Congé"),0),IF($AZ$5&lt;&gt;"",--(AZ169="Congé"),0),IF($BB$5&lt;&gt;"",--(BB169="Congé"),0),IF($BD$5&lt;&gt;"",--(BD169="Congé"),0),IF($BF$5&lt;&gt;"",--(BF169="Congé"),0),IF($BH$5&lt;&gt;"",--(BH169="Congé"),0),IF($BJ$5&lt;&gt;"",--(BJ169="Congé"),0),IF($BL$5&lt;&gt;"",--(BL169="Congé"),0)))</f>
      </c>
      <c r="BQ169" s="22">
        <f>IF($A169="","",SUM(IF($D$5&lt;&gt;"",--(D169="Maladie"),0),IF($F$5&lt;&gt;"",--(F169="Maladie"),0),IF($H$5&lt;&gt;"",--(H169="Maladie"),0),IF($J$5&lt;&gt;"",--(J169="Maladie"),0),IF($L$5&lt;&gt;"",--(L169="Maladie"),0),IF($N$5&lt;&gt;"",--(N169="Maladie"),0),IF($P$5&lt;&gt;"",--(P169="Maladie"),0),IF($R$5&lt;&gt;"",--(R169="Maladie"),0),IF($T$5&lt;&gt;"",--(T169="Maladie"),0),IF($V$5&lt;&gt;"",--(V169="Maladie"),0),IF($X$5&lt;&gt;"",--(X169="Maladie"),0),IF($Z$5&lt;&gt;"",--(Z169="Maladie"),0),IF($AB$5&lt;&gt;"",--(AB169="Maladie"),0),IF($AD$5&lt;&gt;"",--(AD169="Maladie"),0),IF($AF$5&lt;&gt;"",--(AF169="Maladie"),0),IF($AH$5&lt;&gt;"",--(AH169="Maladie"),0),IF($AJ$5&lt;&gt;"",--(AJ169="Maladie"),0),IF($AL$5&lt;&gt;"",--(AL169="Maladie"),0),IF($AN$5&lt;&gt;"",--(AN169="Maladie"),0),IF($AP$5&lt;&gt;"",--(AP169="Maladie"),0),IF($AR$5&lt;&gt;"",--(AR169="Maladie"),0),IF($AT$5&lt;&gt;"",--(AT169="Maladie"),0),IF($AV$5&lt;&gt;"",--(AV169="Maladie"),0),IF($AX$5&lt;&gt;"",--(AX169="Maladie"),0),IF($AZ$5&lt;&gt;"",--(AZ169="Maladie"),0),IF($BB$5&lt;&gt;"",--(BB169="Maladie"),0),IF($BD$5&lt;&gt;"",--(BD169="Maladie"),0),IF($BF$5&lt;&gt;"",--(BF169="Maladie"),0),IF($BH$5&lt;&gt;"",--(BH169="Maladie"),0),IF($BJ$5&lt;&gt;"",--(BJ169="Maladie"),0),IF($BL$5&lt;&gt;"",--(BL169="Maladie"),0)))</f>
      </c>
      <c r="BR169" s="23">
        <f>IF($A169="","",SUM(IF($D$5&lt;&gt;"",IF(D169="Présent",E169,0),0),IF($F$5&lt;&gt;"",IF(F169="Présent",G169,0),0),IF($H$5&lt;&gt;"",IF(H169="Présent",I169,0),0),IF($J$5&lt;&gt;"",IF(J169="Présent",K169,0),0),IF($L$5&lt;&gt;"",IF(L169="Présent",M169,0),0),IF($N$5&lt;&gt;"",IF(N169="Présent",O169,0),0),IF($P$5&lt;&gt;"",IF(P169="Présent",Q169,0),0),IF($R$5&lt;&gt;"",IF(R169="Présent",S169,0),0),IF($T$5&lt;&gt;"",IF(T169="Présent",U169,0),0),IF($V$5&lt;&gt;"",IF(V169="Présent",W169,0),0),IF($X$5&lt;&gt;"",IF(X169="Présent",Y169,0),0),IF($Z$5&lt;&gt;"",IF(Z169="Présent",AA169,0),0),IF($AB$5&lt;&gt;"",IF(AB169="Présent",AC169,0),0),IF($AD$5&lt;&gt;"",IF(AD169="Présent",AE169,0),0),IF($AF$5&lt;&gt;"",IF(AF169="Présent",AG169,0),0),IF($AH$5&lt;&gt;"",IF(AH169="Présent",AI169,0),0),IF($AJ$5&lt;&gt;"",IF(AJ169="Présent",AK169,0),0),IF($AL$5&lt;&gt;"",IF(AL169="Présent",AM169,0),0),IF($AN$5&lt;&gt;"",IF(AN169="Présent",AO169,0),0),IF($AP$5&lt;&gt;"",IF(AP169="Présent",AQ169,0),0),IF($AR$5&lt;&gt;"",IF(AR169="Présent",AS169,0),0),IF($AT$5&lt;&gt;"",IF(AT169="Présent",AU169,0),0),IF($AV$5&lt;&gt;"",IF(AV169="Présent",AW169,0),0),IF($AX$5&lt;&gt;"",IF(AX169="Présent",AY169,0),0),IF($AZ$5&lt;&gt;"",IF(AZ169="Présent",BA169,0),0),IF($BB$5&lt;&gt;"",IF(BB169="Présent",BC169,0),0),IF($BD$5&lt;&gt;"",IF(BD169="Présent",BE169,0),0),IF($BF$5&lt;&gt;"",IF(BF169="Présent",BG169,0),0),IF($BH$5&lt;&gt;"",IF(BH169="Présent",BI169,0),0),IF($BJ$5&lt;&gt;"",IF(BJ169="Présent",BK169,0),0),IF($BL$5&lt;&gt;"",IF(BL169="Présent",BM169,0),0)))</f>
      </c>
      <c r="BS169" s="25">
        <f>IF($A169="","",$BN169*IFERROR(INDEX(Categories_Salaire,MATCH($C169,ListeCategories,0)),0)+$BR169*IF(IFERROR(INDEX(Categories_TauxHS,MATCH($C169,ListeCategories,0)),0)&gt;0,IFERROR(INDEX(Categories_TauxHS,MATCH($C169,ListeCategories,0)),0),TauxHSDefaut))</f>
      </c>
    </row>
    <row r="170">
      <c r="A170" s="20">
        <f>IF(AND(INDEX(Employes_Nom,164)&lt;&gt;"",INDEX(Employes_Statut,164)="Actif",OR(INDEX(Employes_Embauche,164)="",INDEX(Employes_Embauche,164)&lt;=EOMONTH(DATE(AnneeCourante,MoisCourant,1),0))),INDEX(Employes_ID,164),"")</f>
      </c>
      <c r="B170" s="19">
        <f>IF($A170="","",INDEX(Employes_Nom,MATCH($A170,Employes_ID,0)))</f>
      </c>
      <c r="C170" s="20">
        <f>IF($A170="","",INDEX(Employes_Categorie,MATCH($A170,Employes_ID,0)))</f>
      </c>
      <c r="D170" s="26"/>
      <c r="E170" s="27"/>
      <c r="F170" s="26"/>
      <c r="G170" s="27"/>
      <c r="H170" s="26"/>
      <c r="I170" s="27"/>
      <c r="J170" s="26"/>
      <c r="K170" s="27"/>
      <c r="L170" s="26"/>
      <c r="M170" s="27"/>
      <c r="N170" s="26"/>
      <c r="O170" s="27"/>
      <c r="P170" s="26"/>
      <c r="Q170" s="27"/>
      <c r="R170" s="26"/>
      <c r="S170" s="27"/>
      <c r="T170" s="26"/>
      <c r="U170" s="27"/>
      <c r="V170" s="26"/>
      <c r="W170" s="27"/>
      <c r="X170" s="26"/>
      <c r="Y170" s="27"/>
      <c r="Z170" s="26"/>
      <c r="AA170" s="27"/>
      <c r="AB170" s="26"/>
      <c r="AC170" s="27"/>
      <c r="AD170" s="26"/>
      <c r="AE170" s="27"/>
      <c r="AF170" s="26"/>
      <c r="AG170" s="27"/>
      <c r="AH170" s="26"/>
      <c r="AI170" s="27"/>
      <c r="AJ170" s="26"/>
      <c r="AK170" s="27"/>
      <c r="AL170" s="26"/>
      <c r="AM170" s="27"/>
      <c r="AN170" s="26"/>
      <c r="AO170" s="27"/>
      <c r="AP170" s="26"/>
      <c r="AQ170" s="27"/>
      <c r="AR170" s="26"/>
      <c r="AS170" s="27"/>
      <c r="AT170" s="26"/>
      <c r="AU170" s="27"/>
      <c r="AV170" s="26"/>
      <c r="AW170" s="27"/>
      <c r="AX170" s="26"/>
      <c r="AY170" s="27"/>
      <c r="AZ170" s="26"/>
      <c r="BA170" s="27"/>
      <c r="BB170" s="26"/>
      <c r="BC170" s="27"/>
      <c r="BD170" s="26"/>
      <c r="BE170" s="27"/>
      <c r="BF170" s="26"/>
      <c r="BG170" s="27"/>
      <c r="BH170" s="26"/>
      <c r="BI170" s="27"/>
      <c r="BJ170" s="26"/>
      <c r="BK170" s="27"/>
      <c r="BL170" s="26"/>
      <c r="BM170" s="27"/>
      <c r="BN170" s="22">
        <f>IF($A170="","",SUM(IF($D$5&lt;&gt;"",--(D170="Présent"),0),IF($F$5&lt;&gt;"",--(F170="Présent"),0),IF($H$5&lt;&gt;"",--(H170="Présent"),0),IF($J$5&lt;&gt;"",--(J170="Présent"),0),IF($L$5&lt;&gt;"",--(L170="Présent"),0),IF($N$5&lt;&gt;"",--(N170="Présent"),0),IF($P$5&lt;&gt;"",--(P170="Présent"),0),IF($R$5&lt;&gt;"",--(R170="Présent"),0),IF($T$5&lt;&gt;"",--(T170="Présent"),0),IF($V$5&lt;&gt;"",--(V170="Présent"),0),IF($X$5&lt;&gt;"",--(X170="Présent"),0),IF($Z$5&lt;&gt;"",--(Z170="Présent"),0),IF($AB$5&lt;&gt;"",--(AB170="Présent"),0),IF($AD$5&lt;&gt;"",--(AD170="Présent"),0),IF($AF$5&lt;&gt;"",--(AF170="Présent"),0),IF($AH$5&lt;&gt;"",--(AH170="Présent"),0),IF($AJ$5&lt;&gt;"",--(AJ170="Présent"),0),IF($AL$5&lt;&gt;"",--(AL170="Présent"),0),IF($AN$5&lt;&gt;"",--(AN170="Présent"),0),IF($AP$5&lt;&gt;"",--(AP170="Présent"),0),IF($AR$5&lt;&gt;"",--(AR170="Présent"),0),IF($AT$5&lt;&gt;"",--(AT170="Présent"),0),IF($AV$5&lt;&gt;"",--(AV170="Présent"),0),IF($AX$5&lt;&gt;"",--(AX170="Présent"),0),IF($AZ$5&lt;&gt;"",--(AZ170="Présent"),0),IF($BB$5&lt;&gt;"",--(BB170="Présent"),0),IF($BD$5&lt;&gt;"",--(BD170="Présent"),0),IF($BF$5&lt;&gt;"",--(BF170="Présent"),0),IF($BH$5&lt;&gt;"",--(BH170="Présent"),0),IF($BJ$5&lt;&gt;"",--(BJ170="Présent"),0),IF($BL$5&lt;&gt;"",--(BL170="Présent"),0)))</f>
      </c>
      <c r="BO170" s="22">
        <f>IF($A170="","",SUM(IF($D$5&lt;&gt;"",--(D170="Absent"),0),IF($F$5&lt;&gt;"",--(F170="Absent"),0),IF($H$5&lt;&gt;"",--(H170="Absent"),0),IF($J$5&lt;&gt;"",--(J170="Absent"),0),IF($L$5&lt;&gt;"",--(L170="Absent"),0),IF($N$5&lt;&gt;"",--(N170="Absent"),0),IF($P$5&lt;&gt;"",--(P170="Absent"),0),IF($R$5&lt;&gt;"",--(R170="Absent"),0),IF($T$5&lt;&gt;"",--(T170="Absent"),0),IF($V$5&lt;&gt;"",--(V170="Absent"),0),IF($X$5&lt;&gt;"",--(X170="Absent"),0),IF($Z$5&lt;&gt;"",--(Z170="Absent"),0),IF($AB$5&lt;&gt;"",--(AB170="Absent"),0),IF($AD$5&lt;&gt;"",--(AD170="Absent"),0),IF($AF$5&lt;&gt;"",--(AF170="Absent"),0),IF($AH$5&lt;&gt;"",--(AH170="Absent"),0),IF($AJ$5&lt;&gt;"",--(AJ170="Absent"),0),IF($AL$5&lt;&gt;"",--(AL170="Absent"),0),IF($AN$5&lt;&gt;"",--(AN170="Absent"),0),IF($AP$5&lt;&gt;"",--(AP170="Absent"),0),IF($AR$5&lt;&gt;"",--(AR170="Absent"),0),IF($AT$5&lt;&gt;"",--(AT170="Absent"),0),IF($AV$5&lt;&gt;"",--(AV170="Absent"),0),IF($AX$5&lt;&gt;"",--(AX170="Absent"),0),IF($AZ$5&lt;&gt;"",--(AZ170="Absent"),0),IF($BB$5&lt;&gt;"",--(BB170="Absent"),0),IF($BD$5&lt;&gt;"",--(BD170="Absent"),0),IF($BF$5&lt;&gt;"",--(BF170="Absent"),0),IF($BH$5&lt;&gt;"",--(BH170="Absent"),0),IF($BJ$5&lt;&gt;"",--(BJ170="Absent"),0),IF($BL$5&lt;&gt;"",--(BL170="Absent"),0)))</f>
      </c>
      <c r="BP170" s="22">
        <f>IF($A170="","",SUM(IF($D$5&lt;&gt;"",--(D170="Congé"),0),IF($F$5&lt;&gt;"",--(F170="Congé"),0),IF($H$5&lt;&gt;"",--(H170="Congé"),0),IF($J$5&lt;&gt;"",--(J170="Congé"),0),IF($L$5&lt;&gt;"",--(L170="Congé"),0),IF($N$5&lt;&gt;"",--(N170="Congé"),0),IF($P$5&lt;&gt;"",--(P170="Congé"),0),IF($R$5&lt;&gt;"",--(R170="Congé"),0),IF($T$5&lt;&gt;"",--(T170="Congé"),0),IF($V$5&lt;&gt;"",--(V170="Congé"),0),IF($X$5&lt;&gt;"",--(X170="Congé"),0),IF($Z$5&lt;&gt;"",--(Z170="Congé"),0),IF($AB$5&lt;&gt;"",--(AB170="Congé"),0),IF($AD$5&lt;&gt;"",--(AD170="Congé"),0),IF($AF$5&lt;&gt;"",--(AF170="Congé"),0),IF($AH$5&lt;&gt;"",--(AH170="Congé"),0),IF($AJ$5&lt;&gt;"",--(AJ170="Congé"),0),IF($AL$5&lt;&gt;"",--(AL170="Congé"),0),IF($AN$5&lt;&gt;"",--(AN170="Congé"),0),IF($AP$5&lt;&gt;"",--(AP170="Congé"),0),IF($AR$5&lt;&gt;"",--(AR170="Congé"),0),IF($AT$5&lt;&gt;"",--(AT170="Congé"),0),IF($AV$5&lt;&gt;"",--(AV170="Congé"),0),IF($AX$5&lt;&gt;"",--(AX170="Congé"),0),IF($AZ$5&lt;&gt;"",--(AZ170="Congé"),0),IF($BB$5&lt;&gt;"",--(BB170="Congé"),0),IF($BD$5&lt;&gt;"",--(BD170="Congé"),0),IF($BF$5&lt;&gt;"",--(BF170="Congé"),0),IF($BH$5&lt;&gt;"",--(BH170="Congé"),0),IF($BJ$5&lt;&gt;"",--(BJ170="Congé"),0),IF($BL$5&lt;&gt;"",--(BL170="Congé"),0)))</f>
      </c>
      <c r="BQ170" s="22">
        <f>IF($A170="","",SUM(IF($D$5&lt;&gt;"",--(D170="Maladie"),0),IF($F$5&lt;&gt;"",--(F170="Maladie"),0),IF($H$5&lt;&gt;"",--(H170="Maladie"),0),IF($J$5&lt;&gt;"",--(J170="Maladie"),0),IF($L$5&lt;&gt;"",--(L170="Maladie"),0),IF($N$5&lt;&gt;"",--(N170="Maladie"),0),IF($P$5&lt;&gt;"",--(P170="Maladie"),0),IF($R$5&lt;&gt;"",--(R170="Maladie"),0),IF($T$5&lt;&gt;"",--(T170="Maladie"),0),IF($V$5&lt;&gt;"",--(V170="Maladie"),0),IF($X$5&lt;&gt;"",--(X170="Maladie"),0),IF($Z$5&lt;&gt;"",--(Z170="Maladie"),0),IF($AB$5&lt;&gt;"",--(AB170="Maladie"),0),IF($AD$5&lt;&gt;"",--(AD170="Maladie"),0),IF($AF$5&lt;&gt;"",--(AF170="Maladie"),0),IF($AH$5&lt;&gt;"",--(AH170="Maladie"),0),IF($AJ$5&lt;&gt;"",--(AJ170="Maladie"),0),IF($AL$5&lt;&gt;"",--(AL170="Maladie"),0),IF($AN$5&lt;&gt;"",--(AN170="Maladie"),0),IF($AP$5&lt;&gt;"",--(AP170="Maladie"),0),IF($AR$5&lt;&gt;"",--(AR170="Maladie"),0),IF($AT$5&lt;&gt;"",--(AT170="Maladie"),0),IF($AV$5&lt;&gt;"",--(AV170="Maladie"),0),IF($AX$5&lt;&gt;"",--(AX170="Maladie"),0),IF($AZ$5&lt;&gt;"",--(AZ170="Maladie"),0),IF($BB$5&lt;&gt;"",--(BB170="Maladie"),0),IF($BD$5&lt;&gt;"",--(BD170="Maladie"),0),IF($BF$5&lt;&gt;"",--(BF170="Maladie"),0),IF($BH$5&lt;&gt;"",--(BH170="Maladie"),0),IF($BJ$5&lt;&gt;"",--(BJ170="Maladie"),0),IF($BL$5&lt;&gt;"",--(BL170="Maladie"),0)))</f>
      </c>
      <c r="BR170" s="23">
        <f>IF($A170="","",SUM(IF($D$5&lt;&gt;"",IF(D170="Présent",E170,0),0),IF($F$5&lt;&gt;"",IF(F170="Présent",G170,0),0),IF($H$5&lt;&gt;"",IF(H170="Présent",I170,0),0),IF($J$5&lt;&gt;"",IF(J170="Présent",K170,0),0),IF($L$5&lt;&gt;"",IF(L170="Présent",M170,0),0),IF($N$5&lt;&gt;"",IF(N170="Présent",O170,0),0),IF($P$5&lt;&gt;"",IF(P170="Présent",Q170,0),0),IF($R$5&lt;&gt;"",IF(R170="Présent",S170,0),0),IF($T$5&lt;&gt;"",IF(T170="Présent",U170,0),0),IF($V$5&lt;&gt;"",IF(V170="Présent",W170,0),0),IF($X$5&lt;&gt;"",IF(X170="Présent",Y170,0),0),IF($Z$5&lt;&gt;"",IF(Z170="Présent",AA170,0),0),IF($AB$5&lt;&gt;"",IF(AB170="Présent",AC170,0),0),IF($AD$5&lt;&gt;"",IF(AD170="Présent",AE170,0),0),IF($AF$5&lt;&gt;"",IF(AF170="Présent",AG170,0),0),IF($AH$5&lt;&gt;"",IF(AH170="Présent",AI170,0),0),IF($AJ$5&lt;&gt;"",IF(AJ170="Présent",AK170,0),0),IF($AL$5&lt;&gt;"",IF(AL170="Présent",AM170,0),0),IF($AN$5&lt;&gt;"",IF(AN170="Présent",AO170,0),0),IF($AP$5&lt;&gt;"",IF(AP170="Présent",AQ170,0),0),IF($AR$5&lt;&gt;"",IF(AR170="Présent",AS170,0),0),IF($AT$5&lt;&gt;"",IF(AT170="Présent",AU170,0),0),IF($AV$5&lt;&gt;"",IF(AV170="Présent",AW170,0),0),IF($AX$5&lt;&gt;"",IF(AX170="Présent",AY170,0),0),IF($AZ$5&lt;&gt;"",IF(AZ170="Présent",BA170,0),0),IF($BB$5&lt;&gt;"",IF(BB170="Présent",BC170,0),0),IF($BD$5&lt;&gt;"",IF(BD170="Présent",BE170,0),0),IF($BF$5&lt;&gt;"",IF(BF170="Présent",BG170,0),0),IF($BH$5&lt;&gt;"",IF(BH170="Présent",BI170,0),0),IF($BJ$5&lt;&gt;"",IF(BJ170="Présent",BK170,0),0),IF($BL$5&lt;&gt;"",IF(BL170="Présent",BM170,0),0)))</f>
      </c>
      <c r="BS170" s="25">
        <f>IF($A170="","",$BN170*IFERROR(INDEX(Categories_Salaire,MATCH($C170,ListeCategories,0)),0)+$BR170*IF(IFERROR(INDEX(Categories_TauxHS,MATCH($C170,ListeCategories,0)),0)&gt;0,IFERROR(INDEX(Categories_TauxHS,MATCH($C170,ListeCategories,0)),0),TauxHSDefaut))</f>
      </c>
    </row>
    <row r="171">
      <c r="A171" s="20">
        <f>IF(AND(INDEX(Employes_Nom,165)&lt;&gt;"",INDEX(Employes_Statut,165)="Actif",OR(INDEX(Employes_Embauche,165)="",INDEX(Employes_Embauche,165)&lt;=EOMONTH(DATE(AnneeCourante,MoisCourant,1),0))),INDEX(Employes_ID,165),"")</f>
      </c>
      <c r="B171" s="19">
        <f>IF($A171="","",INDEX(Employes_Nom,MATCH($A171,Employes_ID,0)))</f>
      </c>
      <c r="C171" s="20">
        <f>IF($A171="","",INDEX(Employes_Categorie,MATCH($A171,Employes_ID,0)))</f>
      </c>
      <c r="D171" s="26"/>
      <c r="E171" s="27"/>
      <c r="F171" s="26"/>
      <c r="G171" s="27"/>
      <c r="H171" s="26"/>
      <c r="I171" s="27"/>
      <c r="J171" s="26"/>
      <c r="K171" s="27"/>
      <c r="L171" s="26"/>
      <c r="M171" s="27"/>
      <c r="N171" s="26"/>
      <c r="O171" s="27"/>
      <c r="P171" s="26"/>
      <c r="Q171" s="27"/>
      <c r="R171" s="26"/>
      <c r="S171" s="27"/>
      <c r="T171" s="26"/>
      <c r="U171" s="27"/>
      <c r="V171" s="26"/>
      <c r="W171" s="27"/>
      <c r="X171" s="26"/>
      <c r="Y171" s="27"/>
      <c r="Z171" s="26"/>
      <c r="AA171" s="27"/>
      <c r="AB171" s="26"/>
      <c r="AC171" s="27"/>
      <c r="AD171" s="26"/>
      <c r="AE171" s="27"/>
      <c r="AF171" s="26"/>
      <c r="AG171" s="27"/>
      <c r="AH171" s="26"/>
      <c r="AI171" s="27"/>
      <c r="AJ171" s="26"/>
      <c r="AK171" s="27"/>
      <c r="AL171" s="26"/>
      <c r="AM171" s="27"/>
      <c r="AN171" s="26"/>
      <c r="AO171" s="27"/>
      <c r="AP171" s="26"/>
      <c r="AQ171" s="27"/>
      <c r="AR171" s="26"/>
      <c r="AS171" s="27"/>
      <c r="AT171" s="26"/>
      <c r="AU171" s="27"/>
      <c r="AV171" s="26"/>
      <c r="AW171" s="27"/>
      <c r="AX171" s="26"/>
      <c r="AY171" s="27"/>
      <c r="AZ171" s="26"/>
      <c r="BA171" s="27"/>
      <c r="BB171" s="26"/>
      <c r="BC171" s="27"/>
      <c r="BD171" s="26"/>
      <c r="BE171" s="27"/>
      <c r="BF171" s="26"/>
      <c r="BG171" s="27"/>
      <c r="BH171" s="26"/>
      <c r="BI171" s="27"/>
      <c r="BJ171" s="26"/>
      <c r="BK171" s="27"/>
      <c r="BL171" s="26"/>
      <c r="BM171" s="27"/>
      <c r="BN171" s="22">
        <f>IF($A171="","",SUM(IF($D$5&lt;&gt;"",--(D171="Présent"),0),IF($F$5&lt;&gt;"",--(F171="Présent"),0),IF($H$5&lt;&gt;"",--(H171="Présent"),0),IF($J$5&lt;&gt;"",--(J171="Présent"),0),IF($L$5&lt;&gt;"",--(L171="Présent"),0),IF($N$5&lt;&gt;"",--(N171="Présent"),0),IF($P$5&lt;&gt;"",--(P171="Présent"),0),IF($R$5&lt;&gt;"",--(R171="Présent"),0),IF($T$5&lt;&gt;"",--(T171="Présent"),0),IF($V$5&lt;&gt;"",--(V171="Présent"),0),IF($X$5&lt;&gt;"",--(X171="Présent"),0),IF($Z$5&lt;&gt;"",--(Z171="Présent"),0),IF($AB$5&lt;&gt;"",--(AB171="Présent"),0),IF($AD$5&lt;&gt;"",--(AD171="Présent"),0),IF($AF$5&lt;&gt;"",--(AF171="Présent"),0),IF($AH$5&lt;&gt;"",--(AH171="Présent"),0),IF($AJ$5&lt;&gt;"",--(AJ171="Présent"),0),IF($AL$5&lt;&gt;"",--(AL171="Présent"),0),IF($AN$5&lt;&gt;"",--(AN171="Présent"),0),IF($AP$5&lt;&gt;"",--(AP171="Présent"),0),IF($AR$5&lt;&gt;"",--(AR171="Présent"),0),IF($AT$5&lt;&gt;"",--(AT171="Présent"),0),IF($AV$5&lt;&gt;"",--(AV171="Présent"),0),IF($AX$5&lt;&gt;"",--(AX171="Présent"),0),IF($AZ$5&lt;&gt;"",--(AZ171="Présent"),0),IF($BB$5&lt;&gt;"",--(BB171="Présent"),0),IF($BD$5&lt;&gt;"",--(BD171="Présent"),0),IF($BF$5&lt;&gt;"",--(BF171="Présent"),0),IF($BH$5&lt;&gt;"",--(BH171="Présent"),0),IF($BJ$5&lt;&gt;"",--(BJ171="Présent"),0),IF($BL$5&lt;&gt;"",--(BL171="Présent"),0)))</f>
      </c>
      <c r="BO171" s="22">
        <f>IF($A171="","",SUM(IF($D$5&lt;&gt;"",--(D171="Absent"),0),IF($F$5&lt;&gt;"",--(F171="Absent"),0),IF($H$5&lt;&gt;"",--(H171="Absent"),0),IF($J$5&lt;&gt;"",--(J171="Absent"),0),IF($L$5&lt;&gt;"",--(L171="Absent"),0),IF($N$5&lt;&gt;"",--(N171="Absent"),0),IF($P$5&lt;&gt;"",--(P171="Absent"),0),IF($R$5&lt;&gt;"",--(R171="Absent"),0),IF($T$5&lt;&gt;"",--(T171="Absent"),0),IF($V$5&lt;&gt;"",--(V171="Absent"),0),IF($X$5&lt;&gt;"",--(X171="Absent"),0),IF($Z$5&lt;&gt;"",--(Z171="Absent"),0),IF($AB$5&lt;&gt;"",--(AB171="Absent"),0),IF($AD$5&lt;&gt;"",--(AD171="Absent"),0),IF($AF$5&lt;&gt;"",--(AF171="Absent"),0),IF($AH$5&lt;&gt;"",--(AH171="Absent"),0),IF($AJ$5&lt;&gt;"",--(AJ171="Absent"),0),IF($AL$5&lt;&gt;"",--(AL171="Absent"),0),IF($AN$5&lt;&gt;"",--(AN171="Absent"),0),IF($AP$5&lt;&gt;"",--(AP171="Absent"),0),IF($AR$5&lt;&gt;"",--(AR171="Absent"),0),IF($AT$5&lt;&gt;"",--(AT171="Absent"),0),IF($AV$5&lt;&gt;"",--(AV171="Absent"),0),IF($AX$5&lt;&gt;"",--(AX171="Absent"),0),IF($AZ$5&lt;&gt;"",--(AZ171="Absent"),0),IF($BB$5&lt;&gt;"",--(BB171="Absent"),0),IF($BD$5&lt;&gt;"",--(BD171="Absent"),0),IF($BF$5&lt;&gt;"",--(BF171="Absent"),0),IF($BH$5&lt;&gt;"",--(BH171="Absent"),0),IF($BJ$5&lt;&gt;"",--(BJ171="Absent"),0),IF($BL$5&lt;&gt;"",--(BL171="Absent"),0)))</f>
      </c>
      <c r="BP171" s="22">
        <f>IF($A171="","",SUM(IF($D$5&lt;&gt;"",--(D171="Congé"),0),IF($F$5&lt;&gt;"",--(F171="Congé"),0),IF($H$5&lt;&gt;"",--(H171="Congé"),0),IF($J$5&lt;&gt;"",--(J171="Congé"),0),IF($L$5&lt;&gt;"",--(L171="Congé"),0),IF($N$5&lt;&gt;"",--(N171="Congé"),0),IF($P$5&lt;&gt;"",--(P171="Congé"),0),IF($R$5&lt;&gt;"",--(R171="Congé"),0),IF($T$5&lt;&gt;"",--(T171="Congé"),0),IF($V$5&lt;&gt;"",--(V171="Congé"),0),IF($X$5&lt;&gt;"",--(X171="Congé"),0),IF($Z$5&lt;&gt;"",--(Z171="Congé"),0),IF($AB$5&lt;&gt;"",--(AB171="Congé"),0),IF($AD$5&lt;&gt;"",--(AD171="Congé"),0),IF($AF$5&lt;&gt;"",--(AF171="Congé"),0),IF($AH$5&lt;&gt;"",--(AH171="Congé"),0),IF($AJ$5&lt;&gt;"",--(AJ171="Congé"),0),IF($AL$5&lt;&gt;"",--(AL171="Congé"),0),IF($AN$5&lt;&gt;"",--(AN171="Congé"),0),IF($AP$5&lt;&gt;"",--(AP171="Congé"),0),IF($AR$5&lt;&gt;"",--(AR171="Congé"),0),IF($AT$5&lt;&gt;"",--(AT171="Congé"),0),IF($AV$5&lt;&gt;"",--(AV171="Congé"),0),IF($AX$5&lt;&gt;"",--(AX171="Congé"),0),IF($AZ$5&lt;&gt;"",--(AZ171="Congé"),0),IF($BB$5&lt;&gt;"",--(BB171="Congé"),0),IF($BD$5&lt;&gt;"",--(BD171="Congé"),0),IF($BF$5&lt;&gt;"",--(BF171="Congé"),0),IF($BH$5&lt;&gt;"",--(BH171="Congé"),0),IF($BJ$5&lt;&gt;"",--(BJ171="Congé"),0),IF($BL$5&lt;&gt;"",--(BL171="Congé"),0)))</f>
      </c>
      <c r="BQ171" s="22">
        <f>IF($A171="","",SUM(IF($D$5&lt;&gt;"",--(D171="Maladie"),0),IF($F$5&lt;&gt;"",--(F171="Maladie"),0),IF($H$5&lt;&gt;"",--(H171="Maladie"),0),IF($J$5&lt;&gt;"",--(J171="Maladie"),0),IF($L$5&lt;&gt;"",--(L171="Maladie"),0),IF($N$5&lt;&gt;"",--(N171="Maladie"),0),IF($P$5&lt;&gt;"",--(P171="Maladie"),0),IF($R$5&lt;&gt;"",--(R171="Maladie"),0),IF($T$5&lt;&gt;"",--(T171="Maladie"),0),IF($V$5&lt;&gt;"",--(V171="Maladie"),0),IF($X$5&lt;&gt;"",--(X171="Maladie"),0),IF($Z$5&lt;&gt;"",--(Z171="Maladie"),0),IF($AB$5&lt;&gt;"",--(AB171="Maladie"),0),IF($AD$5&lt;&gt;"",--(AD171="Maladie"),0),IF($AF$5&lt;&gt;"",--(AF171="Maladie"),0),IF($AH$5&lt;&gt;"",--(AH171="Maladie"),0),IF($AJ$5&lt;&gt;"",--(AJ171="Maladie"),0),IF($AL$5&lt;&gt;"",--(AL171="Maladie"),0),IF($AN$5&lt;&gt;"",--(AN171="Maladie"),0),IF($AP$5&lt;&gt;"",--(AP171="Maladie"),0),IF($AR$5&lt;&gt;"",--(AR171="Maladie"),0),IF($AT$5&lt;&gt;"",--(AT171="Maladie"),0),IF($AV$5&lt;&gt;"",--(AV171="Maladie"),0),IF($AX$5&lt;&gt;"",--(AX171="Maladie"),0),IF($AZ$5&lt;&gt;"",--(AZ171="Maladie"),0),IF($BB$5&lt;&gt;"",--(BB171="Maladie"),0),IF($BD$5&lt;&gt;"",--(BD171="Maladie"),0),IF($BF$5&lt;&gt;"",--(BF171="Maladie"),0),IF($BH$5&lt;&gt;"",--(BH171="Maladie"),0),IF($BJ$5&lt;&gt;"",--(BJ171="Maladie"),0),IF($BL$5&lt;&gt;"",--(BL171="Maladie"),0)))</f>
      </c>
      <c r="BR171" s="23">
        <f>IF($A171="","",SUM(IF($D$5&lt;&gt;"",IF(D171="Présent",E171,0),0),IF($F$5&lt;&gt;"",IF(F171="Présent",G171,0),0),IF($H$5&lt;&gt;"",IF(H171="Présent",I171,0),0),IF($J$5&lt;&gt;"",IF(J171="Présent",K171,0),0),IF($L$5&lt;&gt;"",IF(L171="Présent",M171,0),0),IF($N$5&lt;&gt;"",IF(N171="Présent",O171,0),0),IF($P$5&lt;&gt;"",IF(P171="Présent",Q171,0),0),IF($R$5&lt;&gt;"",IF(R171="Présent",S171,0),0),IF($T$5&lt;&gt;"",IF(T171="Présent",U171,0),0),IF($V$5&lt;&gt;"",IF(V171="Présent",W171,0),0),IF($X$5&lt;&gt;"",IF(X171="Présent",Y171,0),0),IF($Z$5&lt;&gt;"",IF(Z171="Présent",AA171,0),0),IF($AB$5&lt;&gt;"",IF(AB171="Présent",AC171,0),0),IF($AD$5&lt;&gt;"",IF(AD171="Présent",AE171,0),0),IF($AF$5&lt;&gt;"",IF(AF171="Présent",AG171,0),0),IF($AH$5&lt;&gt;"",IF(AH171="Présent",AI171,0),0),IF($AJ$5&lt;&gt;"",IF(AJ171="Présent",AK171,0),0),IF($AL$5&lt;&gt;"",IF(AL171="Présent",AM171,0),0),IF($AN$5&lt;&gt;"",IF(AN171="Présent",AO171,0),0),IF($AP$5&lt;&gt;"",IF(AP171="Présent",AQ171,0),0),IF($AR$5&lt;&gt;"",IF(AR171="Présent",AS171,0),0),IF($AT$5&lt;&gt;"",IF(AT171="Présent",AU171,0),0),IF($AV$5&lt;&gt;"",IF(AV171="Présent",AW171,0),0),IF($AX$5&lt;&gt;"",IF(AX171="Présent",AY171,0),0),IF($AZ$5&lt;&gt;"",IF(AZ171="Présent",BA171,0),0),IF($BB$5&lt;&gt;"",IF(BB171="Présent",BC171,0),0),IF($BD$5&lt;&gt;"",IF(BD171="Présent",BE171,0),0),IF($BF$5&lt;&gt;"",IF(BF171="Présent",BG171,0),0),IF($BH$5&lt;&gt;"",IF(BH171="Présent",BI171,0),0),IF($BJ$5&lt;&gt;"",IF(BJ171="Présent",BK171,0),0),IF($BL$5&lt;&gt;"",IF(BL171="Présent",BM171,0),0)))</f>
      </c>
      <c r="BS171" s="25">
        <f>IF($A171="","",$BN171*IFERROR(INDEX(Categories_Salaire,MATCH($C171,ListeCategories,0)),0)+$BR171*IF(IFERROR(INDEX(Categories_TauxHS,MATCH($C171,ListeCategories,0)),0)&gt;0,IFERROR(INDEX(Categories_TauxHS,MATCH($C171,ListeCategories,0)),0),TauxHSDefaut))</f>
      </c>
    </row>
    <row r="172">
      <c r="A172" s="20">
        <f>IF(AND(INDEX(Employes_Nom,166)&lt;&gt;"",INDEX(Employes_Statut,166)="Actif",OR(INDEX(Employes_Embauche,166)="",INDEX(Employes_Embauche,166)&lt;=EOMONTH(DATE(AnneeCourante,MoisCourant,1),0))),INDEX(Employes_ID,166),"")</f>
      </c>
      <c r="B172" s="19">
        <f>IF($A172="","",INDEX(Employes_Nom,MATCH($A172,Employes_ID,0)))</f>
      </c>
      <c r="C172" s="20">
        <f>IF($A172="","",INDEX(Employes_Categorie,MATCH($A172,Employes_ID,0)))</f>
      </c>
      <c r="D172" s="26"/>
      <c r="E172" s="27"/>
      <c r="F172" s="26"/>
      <c r="G172" s="27"/>
      <c r="H172" s="26"/>
      <c r="I172" s="27"/>
      <c r="J172" s="26"/>
      <c r="K172" s="27"/>
      <c r="L172" s="26"/>
      <c r="M172" s="27"/>
      <c r="N172" s="26"/>
      <c r="O172" s="27"/>
      <c r="P172" s="26"/>
      <c r="Q172" s="27"/>
      <c r="R172" s="26"/>
      <c r="S172" s="27"/>
      <c r="T172" s="26"/>
      <c r="U172" s="27"/>
      <c r="V172" s="26"/>
      <c r="W172" s="27"/>
      <c r="X172" s="26"/>
      <c r="Y172" s="27"/>
      <c r="Z172" s="26"/>
      <c r="AA172" s="27"/>
      <c r="AB172" s="26"/>
      <c r="AC172" s="27"/>
      <c r="AD172" s="26"/>
      <c r="AE172" s="27"/>
      <c r="AF172" s="26"/>
      <c r="AG172" s="27"/>
      <c r="AH172" s="26"/>
      <c r="AI172" s="27"/>
      <c r="AJ172" s="26"/>
      <c r="AK172" s="27"/>
      <c r="AL172" s="26"/>
      <c r="AM172" s="27"/>
      <c r="AN172" s="26"/>
      <c r="AO172" s="27"/>
      <c r="AP172" s="26"/>
      <c r="AQ172" s="27"/>
      <c r="AR172" s="26"/>
      <c r="AS172" s="27"/>
      <c r="AT172" s="26"/>
      <c r="AU172" s="27"/>
      <c r="AV172" s="26"/>
      <c r="AW172" s="27"/>
      <c r="AX172" s="26"/>
      <c r="AY172" s="27"/>
      <c r="AZ172" s="26"/>
      <c r="BA172" s="27"/>
      <c r="BB172" s="26"/>
      <c r="BC172" s="27"/>
      <c r="BD172" s="26"/>
      <c r="BE172" s="27"/>
      <c r="BF172" s="26"/>
      <c r="BG172" s="27"/>
      <c r="BH172" s="26"/>
      <c r="BI172" s="27"/>
      <c r="BJ172" s="26"/>
      <c r="BK172" s="27"/>
      <c r="BL172" s="26"/>
      <c r="BM172" s="27"/>
      <c r="BN172" s="22">
        <f>IF($A172="","",SUM(IF($D$5&lt;&gt;"",--(D172="Présent"),0),IF($F$5&lt;&gt;"",--(F172="Présent"),0),IF($H$5&lt;&gt;"",--(H172="Présent"),0),IF($J$5&lt;&gt;"",--(J172="Présent"),0),IF($L$5&lt;&gt;"",--(L172="Présent"),0),IF($N$5&lt;&gt;"",--(N172="Présent"),0),IF($P$5&lt;&gt;"",--(P172="Présent"),0),IF($R$5&lt;&gt;"",--(R172="Présent"),0),IF($T$5&lt;&gt;"",--(T172="Présent"),0),IF($V$5&lt;&gt;"",--(V172="Présent"),0),IF($X$5&lt;&gt;"",--(X172="Présent"),0),IF($Z$5&lt;&gt;"",--(Z172="Présent"),0),IF($AB$5&lt;&gt;"",--(AB172="Présent"),0),IF($AD$5&lt;&gt;"",--(AD172="Présent"),0),IF($AF$5&lt;&gt;"",--(AF172="Présent"),0),IF($AH$5&lt;&gt;"",--(AH172="Présent"),0),IF($AJ$5&lt;&gt;"",--(AJ172="Présent"),0),IF($AL$5&lt;&gt;"",--(AL172="Présent"),0),IF($AN$5&lt;&gt;"",--(AN172="Présent"),0),IF($AP$5&lt;&gt;"",--(AP172="Présent"),0),IF($AR$5&lt;&gt;"",--(AR172="Présent"),0),IF($AT$5&lt;&gt;"",--(AT172="Présent"),0),IF($AV$5&lt;&gt;"",--(AV172="Présent"),0),IF($AX$5&lt;&gt;"",--(AX172="Présent"),0),IF($AZ$5&lt;&gt;"",--(AZ172="Présent"),0),IF($BB$5&lt;&gt;"",--(BB172="Présent"),0),IF($BD$5&lt;&gt;"",--(BD172="Présent"),0),IF($BF$5&lt;&gt;"",--(BF172="Présent"),0),IF($BH$5&lt;&gt;"",--(BH172="Présent"),0),IF($BJ$5&lt;&gt;"",--(BJ172="Présent"),0),IF($BL$5&lt;&gt;"",--(BL172="Présent"),0)))</f>
      </c>
      <c r="BO172" s="22">
        <f>IF($A172="","",SUM(IF($D$5&lt;&gt;"",--(D172="Absent"),0),IF($F$5&lt;&gt;"",--(F172="Absent"),0),IF($H$5&lt;&gt;"",--(H172="Absent"),0),IF($J$5&lt;&gt;"",--(J172="Absent"),0),IF($L$5&lt;&gt;"",--(L172="Absent"),0),IF($N$5&lt;&gt;"",--(N172="Absent"),0),IF($P$5&lt;&gt;"",--(P172="Absent"),0),IF($R$5&lt;&gt;"",--(R172="Absent"),0),IF($T$5&lt;&gt;"",--(T172="Absent"),0),IF($V$5&lt;&gt;"",--(V172="Absent"),0),IF($X$5&lt;&gt;"",--(X172="Absent"),0),IF($Z$5&lt;&gt;"",--(Z172="Absent"),0),IF($AB$5&lt;&gt;"",--(AB172="Absent"),0),IF($AD$5&lt;&gt;"",--(AD172="Absent"),0),IF($AF$5&lt;&gt;"",--(AF172="Absent"),0),IF($AH$5&lt;&gt;"",--(AH172="Absent"),0),IF($AJ$5&lt;&gt;"",--(AJ172="Absent"),0),IF($AL$5&lt;&gt;"",--(AL172="Absent"),0),IF($AN$5&lt;&gt;"",--(AN172="Absent"),0),IF($AP$5&lt;&gt;"",--(AP172="Absent"),0),IF($AR$5&lt;&gt;"",--(AR172="Absent"),0),IF($AT$5&lt;&gt;"",--(AT172="Absent"),0),IF($AV$5&lt;&gt;"",--(AV172="Absent"),0),IF($AX$5&lt;&gt;"",--(AX172="Absent"),0),IF($AZ$5&lt;&gt;"",--(AZ172="Absent"),0),IF($BB$5&lt;&gt;"",--(BB172="Absent"),0),IF($BD$5&lt;&gt;"",--(BD172="Absent"),0),IF($BF$5&lt;&gt;"",--(BF172="Absent"),0),IF($BH$5&lt;&gt;"",--(BH172="Absent"),0),IF($BJ$5&lt;&gt;"",--(BJ172="Absent"),0),IF($BL$5&lt;&gt;"",--(BL172="Absent"),0)))</f>
      </c>
      <c r="BP172" s="22">
        <f>IF($A172="","",SUM(IF($D$5&lt;&gt;"",--(D172="Congé"),0),IF($F$5&lt;&gt;"",--(F172="Congé"),0),IF($H$5&lt;&gt;"",--(H172="Congé"),0),IF($J$5&lt;&gt;"",--(J172="Congé"),0),IF($L$5&lt;&gt;"",--(L172="Congé"),0),IF($N$5&lt;&gt;"",--(N172="Congé"),0),IF($P$5&lt;&gt;"",--(P172="Congé"),0),IF($R$5&lt;&gt;"",--(R172="Congé"),0),IF($T$5&lt;&gt;"",--(T172="Congé"),0),IF($V$5&lt;&gt;"",--(V172="Congé"),0),IF($X$5&lt;&gt;"",--(X172="Congé"),0),IF($Z$5&lt;&gt;"",--(Z172="Congé"),0),IF($AB$5&lt;&gt;"",--(AB172="Congé"),0),IF($AD$5&lt;&gt;"",--(AD172="Congé"),0),IF($AF$5&lt;&gt;"",--(AF172="Congé"),0),IF($AH$5&lt;&gt;"",--(AH172="Congé"),0),IF($AJ$5&lt;&gt;"",--(AJ172="Congé"),0),IF($AL$5&lt;&gt;"",--(AL172="Congé"),0),IF($AN$5&lt;&gt;"",--(AN172="Congé"),0),IF($AP$5&lt;&gt;"",--(AP172="Congé"),0),IF($AR$5&lt;&gt;"",--(AR172="Congé"),0),IF($AT$5&lt;&gt;"",--(AT172="Congé"),0),IF($AV$5&lt;&gt;"",--(AV172="Congé"),0),IF($AX$5&lt;&gt;"",--(AX172="Congé"),0),IF($AZ$5&lt;&gt;"",--(AZ172="Congé"),0),IF($BB$5&lt;&gt;"",--(BB172="Congé"),0),IF($BD$5&lt;&gt;"",--(BD172="Congé"),0),IF($BF$5&lt;&gt;"",--(BF172="Congé"),0),IF($BH$5&lt;&gt;"",--(BH172="Congé"),0),IF($BJ$5&lt;&gt;"",--(BJ172="Congé"),0),IF($BL$5&lt;&gt;"",--(BL172="Congé"),0)))</f>
      </c>
      <c r="BQ172" s="22">
        <f>IF($A172="","",SUM(IF($D$5&lt;&gt;"",--(D172="Maladie"),0),IF($F$5&lt;&gt;"",--(F172="Maladie"),0),IF($H$5&lt;&gt;"",--(H172="Maladie"),0),IF($J$5&lt;&gt;"",--(J172="Maladie"),0),IF($L$5&lt;&gt;"",--(L172="Maladie"),0),IF($N$5&lt;&gt;"",--(N172="Maladie"),0),IF($P$5&lt;&gt;"",--(P172="Maladie"),0),IF($R$5&lt;&gt;"",--(R172="Maladie"),0),IF($T$5&lt;&gt;"",--(T172="Maladie"),0),IF($V$5&lt;&gt;"",--(V172="Maladie"),0),IF($X$5&lt;&gt;"",--(X172="Maladie"),0),IF($Z$5&lt;&gt;"",--(Z172="Maladie"),0),IF($AB$5&lt;&gt;"",--(AB172="Maladie"),0),IF($AD$5&lt;&gt;"",--(AD172="Maladie"),0),IF($AF$5&lt;&gt;"",--(AF172="Maladie"),0),IF($AH$5&lt;&gt;"",--(AH172="Maladie"),0),IF($AJ$5&lt;&gt;"",--(AJ172="Maladie"),0),IF($AL$5&lt;&gt;"",--(AL172="Maladie"),0),IF($AN$5&lt;&gt;"",--(AN172="Maladie"),0),IF($AP$5&lt;&gt;"",--(AP172="Maladie"),0),IF($AR$5&lt;&gt;"",--(AR172="Maladie"),0),IF($AT$5&lt;&gt;"",--(AT172="Maladie"),0),IF($AV$5&lt;&gt;"",--(AV172="Maladie"),0),IF($AX$5&lt;&gt;"",--(AX172="Maladie"),0),IF($AZ$5&lt;&gt;"",--(AZ172="Maladie"),0),IF($BB$5&lt;&gt;"",--(BB172="Maladie"),0),IF($BD$5&lt;&gt;"",--(BD172="Maladie"),0),IF($BF$5&lt;&gt;"",--(BF172="Maladie"),0),IF($BH$5&lt;&gt;"",--(BH172="Maladie"),0),IF($BJ$5&lt;&gt;"",--(BJ172="Maladie"),0),IF($BL$5&lt;&gt;"",--(BL172="Maladie"),0)))</f>
      </c>
      <c r="BR172" s="23">
        <f>IF($A172="","",SUM(IF($D$5&lt;&gt;"",IF(D172="Présent",E172,0),0),IF($F$5&lt;&gt;"",IF(F172="Présent",G172,0),0),IF($H$5&lt;&gt;"",IF(H172="Présent",I172,0),0),IF($J$5&lt;&gt;"",IF(J172="Présent",K172,0),0),IF($L$5&lt;&gt;"",IF(L172="Présent",M172,0),0),IF($N$5&lt;&gt;"",IF(N172="Présent",O172,0),0),IF($P$5&lt;&gt;"",IF(P172="Présent",Q172,0),0),IF($R$5&lt;&gt;"",IF(R172="Présent",S172,0),0),IF($T$5&lt;&gt;"",IF(T172="Présent",U172,0),0),IF($V$5&lt;&gt;"",IF(V172="Présent",W172,0),0),IF($X$5&lt;&gt;"",IF(X172="Présent",Y172,0),0),IF($Z$5&lt;&gt;"",IF(Z172="Présent",AA172,0),0),IF($AB$5&lt;&gt;"",IF(AB172="Présent",AC172,0),0),IF($AD$5&lt;&gt;"",IF(AD172="Présent",AE172,0),0),IF($AF$5&lt;&gt;"",IF(AF172="Présent",AG172,0),0),IF($AH$5&lt;&gt;"",IF(AH172="Présent",AI172,0),0),IF($AJ$5&lt;&gt;"",IF(AJ172="Présent",AK172,0),0),IF($AL$5&lt;&gt;"",IF(AL172="Présent",AM172,0),0),IF($AN$5&lt;&gt;"",IF(AN172="Présent",AO172,0),0),IF($AP$5&lt;&gt;"",IF(AP172="Présent",AQ172,0),0),IF($AR$5&lt;&gt;"",IF(AR172="Présent",AS172,0),0),IF($AT$5&lt;&gt;"",IF(AT172="Présent",AU172,0),0),IF($AV$5&lt;&gt;"",IF(AV172="Présent",AW172,0),0),IF($AX$5&lt;&gt;"",IF(AX172="Présent",AY172,0),0),IF($AZ$5&lt;&gt;"",IF(AZ172="Présent",BA172,0),0),IF($BB$5&lt;&gt;"",IF(BB172="Présent",BC172,0),0),IF($BD$5&lt;&gt;"",IF(BD172="Présent",BE172,0),0),IF($BF$5&lt;&gt;"",IF(BF172="Présent",BG172,0),0),IF($BH$5&lt;&gt;"",IF(BH172="Présent",BI172,0),0),IF($BJ$5&lt;&gt;"",IF(BJ172="Présent",BK172,0),0),IF($BL$5&lt;&gt;"",IF(BL172="Présent",BM172,0),0)))</f>
      </c>
      <c r="BS172" s="25">
        <f>IF($A172="","",$BN172*IFERROR(INDEX(Categories_Salaire,MATCH($C172,ListeCategories,0)),0)+$BR172*IF(IFERROR(INDEX(Categories_TauxHS,MATCH($C172,ListeCategories,0)),0)&gt;0,IFERROR(INDEX(Categories_TauxHS,MATCH($C172,ListeCategories,0)),0),TauxHSDefaut))</f>
      </c>
    </row>
    <row r="173">
      <c r="A173" s="20">
        <f>IF(AND(INDEX(Employes_Nom,167)&lt;&gt;"",INDEX(Employes_Statut,167)="Actif",OR(INDEX(Employes_Embauche,167)="",INDEX(Employes_Embauche,167)&lt;=EOMONTH(DATE(AnneeCourante,MoisCourant,1),0))),INDEX(Employes_ID,167),"")</f>
      </c>
      <c r="B173" s="19">
        <f>IF($A173="","",INDEX(Employes_Nom,MATCH($A173,Employes_ID,0)))</f>
      </c>
      <c r="C173" s="20">
        <f>IF($A173="","",INDEX(Employes_Categorie,MATCH($A173,Employes_ID,0)))</f>
      </c>
      <c r="D173" s="26"/>
      <c r="E173" s="27"/>
      <c r="F173" s="26"/>
      <c r="G173" s="27"/>
      <c r="H173" s="26"/>
      <c r="I173" s="27"/>
      <c r="J173" s="26"/>
      <c r="K173" s="27"/>
      <c r="L173" s="26"/>
      <c r="M173" s="27"/>
      <c r="N173" s="26"/>
      <c r="O173" s="27"/>
      <c r="P173" s="26"/>
      <c r="Q173" s="27"/>
      <c r="R173" s="26"/>
      <c r="S173" s="27"/>
      <c r="T173" s="26"/>
      <c r="U173" s="27"/>
      <c r="V173" s="26"/>
      <c r="W173" s="27"/>
      <c r="X173" s="26"/>
      <c r="Y173" s="27"/>
      <c r="Z173" s="26"/>
      <c r="AA173" s="27"/>
      <c r="AB173" s="26"/>
      <c r="AC173" s="27"/>
      <c r="AD173" s="26"/>
      <c r="AE173" s="27"/>
      <c r="AF173" s="26"/>
      <c r="AG173" s="27"/>
      <c r="AH173" s="26"/>
      <c r="AI173" s="27"/>
      <c r="AJ173" s="26"/>
      <c r="AK173" s="27"/>
      <c r="AL173" s="26"/>
      <c r="AM173" s="27"/>
      <c r="AN173" s="26"/>
      <c r="AO173" s="27"/>
      <c r="AP173" s="26"/>
      <c r="AQ173" s="27"/>
      <c r="AR173" s="26"/>
      <c r="AS173" s="27"/>
      <c r="AT173" s="26"/>
      <c r="AU173" s="27"/>
      <c r="AV173" s="26"/>
      <c r="AW173" s="27"/>
      <c r="AX173" s="26"/>
      <c r="AY173" s="27"/>
      <c r="AZ173" s="26"/>
      <c r="BA173" s="27"/>
      <c r="BB173" s="26"/>
      <c r="BC173" s="27"/>
      <c r="BD173" s="26"/>
      <c r="BE173" s="27"/>
      <c r="BF173" s="26"/>
      <c r="BG173" s="27"/>
      <c r="BH173" s="26"/>
      <c r="BI173" s="27"/>
      <c r="BJ173" s="26"/>
      <c r="BK173" s="27"/>
      <c r="BL173" s="26"/>
      <c r="BM173" s="27"/>
      <c r="BN173" s="22">
        <f>IF($A173="","",SUM(IF($D$5&lt;&gt;"",--(D173="Présent"),0),IF($F$5&lt;&gt;"",--(F173="Présent"),0),IF($H$5&lt;&gt;"",--(H173="Présent"),0),IF($J$5&lt;&gt;"",--(J173="Présent"),0),IF($L$5&lt;&gt;"",--(L173="Présent"),0),IF($N$5&lt;&gt;"",--(N173="Présent"),0),IF($P$5&lt;&gt;"",--(P173="Présent"),0),IF($R$5&lt;&gt;"",--(R173="Présent"),0),IF($T$5&lt;&gt;"",--(T173="Présent"),0),IF($V$5&lt;&gt;"",--(V173="Présent"),0),IF($X$5&lt;&gt;"",--(X173="Présent"),0),IF($Z$5&lt;&gt;"",--(Z173="Présent"),0),IF($AB$5&lt;&gt;"",--(AB173="Présent"),0),IF($AD$5&lt;&gt;"",--(AD173="Présent"),0),IF($AF$5&lt;&gt;"",--(AF173="Présent"),0),IF($AH$5&lt;&gt;"",--(AH173="Présent"),0),IF($AJ$5&lt;&gt;"",--(AJ173="Présent"),0),IF($AL$5&lt;&gt;"",--(AL173="Présent"),0),IF($AN$5&lt;&gt;"",--(AN173="Présent"),0),IF($AP$5&lt;&gt;"",--(AP173="Présent"),0),IF($AR$5&lt;&gt;"",--(AR173="Présent"),0),IF($AT$5&lt;&gt;"",--(AT173="Présent"),0),IF($AV$5&lt;&gt;"",--(AV173="Présent"),0),IF($AX$5&lt;&gt;"",--(AX173="Présent"),0),IF($AZ$5&lt;&gt;"",--(AZ173="Présent"),0),IF($BB$5&lt;&gt;"",--(BB173="Présent"),0),IF($BD$5&lt;&gt;"",--(BD173="Présent"),0),IF($BF$5&lt;&gt;"",--(BF173="Présent"),0),IF($BH$5&lt;&gt;"",--(BH173="Présent"),0),IF($BJ$5&lt;&gt;"",--(BJ173="Présent"),0),IF($BL$5&lt;&gt;"",--(BL173="Présent"),0)))</f>
      </c>
      <c r="BO173" s="22">
        <f>IF($A173="","",SUM(IF($D$5&lt;&gt;"",--(D173="Absent"),0),IF($F$5&lt;&gt;"",--(F173="Absent"),0),IF($H$5&lt;&gt;"",--(H173="Absent"),0),IF($J$5&lt;&gt;"",--(J173="Absent"),0),IF($L$5&lt;&gt;"",--(L173="Absent"),0),IF($N$5&lt;&gt;"",--(N173="Absent"),0),IF($P$5&lt;&gt;"",--(P173="Absent"),0),IF($R$5&lt;&gt;"",--(R173="Absent"),0),IF($T$5&lt;&gt;"",--(T173="Absent"),0),IF($V$5&lt;&gt;"",--(V173="Absent"),0),IF($X$5&lt;&gt;"",--(X173="Absent"),0),IF($Z$5&lt;&gt;"",--(Z173="Absent"),0),IF($AB$5&lt;&gt;"",--(AB173="Absent"),0),IF($AD$5&lt;&gt;"",--(AD173="Absent"),0),IF($AF$5&lt;&gt;"",--(AF173="Absent"),0),IF($AH$5&lt;&gt;"",--(AH173="Absent"),0),IF($AJ$5&lt;&gt;"",--(AJ173="Absent"),0),IF($AL$5&lt;&gt;"",--(AL173="Absent"),0),IF($AN$5&lt;&gt;"",--(AN173="Absent"),0),IF($AP$5&lt;&gt;"",--(AP173="Absent"),0),IF($AR$5&lt;&gt;"",--(AR173="Absent"),0),IF($AT$5&lt;&gt;"",--(AT173="Absent"),0),IF($AV$5&lt;&gt;"",--(AV173="Absent"),0),IF($AX$5&lt;&gt;"",--(AX173="Absent"),0),IF($AZ$5&lt;&gt;"",--(AZ173="Absent"),0),IF($BB$5&lt;&gt;"",--(BB173="Absent"),0),IF($BD$5&lt;&gt;"",--(BD173="Absent"),0),IF($BF$5&lt;&gt;"",--(BF173="Absent"),0),IF($BH$5&lt;&gt;"",--(BH173="Absent"),0),IF($BJ$5&lt;&gt;"",--(BJ173="Absent"),0),IF($BL$5&lt;&gt;"",--(BL173="Absent"),0)))</f>
      </c>
      <c r="BP173" s="22">
        <f>IF($A173="","",SUM(IF($D$5&lt;&gt;"",--(D173="Congé"),0),IF($F$5&lt;&gt;"",--(F173="Congé"),0),IF($H$5&lt;&gt;"",--(H173="Congé"),0),IF($J$5&lt;&gt;"",--(J173="Congé"),0),IF($L$5&lt;&gt;"",--(L173="Congé"),0),IF($N$5&lt;&gt;"",--(N173="Congé"),0),IF($P$5&lt;&gt;"",--(P173="Congé"),0),IF($R$5&lt;&gt;"",--(R173="Congé"),0),IF($T$5&lt;&gt;"",--(T173="Congé"),0),IF($V$5&lt;&gt;"",--(V173="Congé"),0),IF($X$5&lt;&gt;"",--(X173="Congé"),0),IF($Z$5&lt;&gt;"",--(Z173="Congé"),0),IF($AB$5&lt;&gt;"",--(AB173="Congé"),0),IF($AD$5&lt;&gt;"",--(AD173="Congé"),0),IF($AF$5&lt;&gt;"",--(AF173="Congé"),0),IF($AH$5&lt;&gt;"",--(AH173="Congé"),0),IF($AJ$5&lt;&gt;"",--(AJ173="Congé"),0),IF($AL$5&lt;&gt;"",--(AL173="Congé"),0),IF($AN$5&lt;&gt;"",--(AN173="Congé"),0),IF($AP$5&lt;&gt;"",--(AP173="Congé"),0),IF($AR$5&lt;&gt;"",--(AR173="Congé"),0),IF($AT$5&lt;&gt;"",--(AT173="Congé"),0),IF($AV$5&lt;&gt;"",--(AV173="Congé"),0),IF($AX$5&lt;&gt;"",--(AX173="Congé"),0),IF($AZ$5&lt;&gt;"",--(AZ173="Congé"),0),IF($BB$5&lt;&gt;"",--(BB173="Congé"),0),IF($BD$5&lt;&gt;"",--(BD173="Congé"),0),IF($BF$5&lt;&gt;"",--(BF173="Congé"),0),IF($BH$5&lt;&gt;"",--(BH173="Congé"),0),IF($BJ$5&lt;&gt;"",--(BJ173="Congé"),0),IF($BL$5&lt;&gt;"",--(BL173="Congé"),0)))</f>
      </c>
      <c r="BQ173" s="22">
        <f>IF($A173="","",SUM(IF($D$5&lt;&gt;"",--(D173="Maladie"),0),IF($F$5&lt;&gt;"",--(F173="Maladie"),0),IF($H$5&lt;&gt;"",--(H173="Maladie"),0),IF($J$5&lt;&gt;"",--(J173="Maladie"),0),IF($L$5&lt;&gt;"",--(L173="Maladie"),0),IF($N$5&lt;&gt;"",--(N173="Maladie"),0),IF($P$5&lt;&gt;"",--(P173="Maladie"),0),IF($R$5&lt;&gt;"",--(R173="Maladie"),0),IF($T$5&lt;&gt;"",--(T173="Maladie"),0),IF($V$5&lt;&gt;"",--(V173="Maladie"),0),IF($X$5&lt;&gt;"",--(X173="Maladie"),0),IF($Z$5&lt;&gt;"",--(Z173="Maladie"),0),IF($AB$5&lt;&gt;"",--(AB173="Maladie"),0),IF($AD$5&lt;&gt;"",--(AD173="Maladie"),0),IF($AF$5&lt;&gt;"",--(AF173="Maladie"),0),IF($AH$5&lt;&gt;"",--(AH173="Maladie"),0),IF($AJ$5&lt;&gt;"",--(AJ173="Maladie"),0),IF($AL$5&lt;&gt;"",--(AL173="Maladie"),0),IF($AN$5&lt;&gt;"",--(AN173="Maladie"),0),IF($AP$5&lt;&gt;"",--(AP173="Maladie"),0),IF($AR$5&lt;&gt;"",--(AR173="Maladie"),0),IF($AT$5&lt;&gt;"",--(AT173="Maladie"),0),IF($AV$5&lt;&gt;"",--(AV173="Maladie"),0),IF($AX$5&lt;&gt;"",--(AX173="Maladie"),0),IF($AZ$5&lt;&gt;"",--(AZ173="Maladie"),0),IF($BB$5&lt;&gt;"",--(BB173="Maladie"),0),IF($BD$5&lt;&gt;"",--(BD173="Maladie"),0),IF($BF$5&lt;&gt;"",--(BF173="Maladie"),0),IF($BH$5&lt;&gt;"",--(BH173="Maladie"),0),IF($BJ$5&lt;&gt;"",--(BJ173="Maladie"),0),IF($BL$5&lt;&gt;"",--(BL173="Maladie"),0)))</f>
      </c>
      <c r="BR173" s="23">
        <f>IF($A173="","",SUM(IF($D$5&lt;&gt;"",IF(D173="Présent",E173,0),0),IF($F$5&lt;&gt;"",IF(F173="Présent",G173,0),0),IF($H$5&lt;&gt;"",IF(H173="Présent",I173,0),0),IF($J$5&lt;&gt;"",IF(J173="Présent",K173,0),0),IF($L$5&lt;&gt;"",IF(L173="Présent",M173,0),0),IF($N$5&lt;&gt;"",IF(N173="Présent",O173,0),0),IF($P$5&lt;&gt;"",IF(P173="Présent",Q173,0),0),IF($R$5&lt;&gt;"",IF(R173="Présent",S173,0),0),IF($T$5&lt;&gt;"",IF(T173="Présent",U173,0),0),IF($V$5&lt;&gt;"",IF(V173="Présent",W173,0),0),IF($X$5&lt;&gt;"",IF(X173="Présent",Y173,0),0),IF($Z$5&lt;&gt;"",IF(Z173="Présent",AA173,0),0),IF($AB$5&lt;&gt;"",IF(AB173="Présent",AC173,0),0),IF($AD$5&lt;&gt;"",IF(AD173="Présent",AE173,0),0),IF($AF$5&lt;&gt;"",IF(AF173="Présent",AG173,0),0),IF($AH$5&lt;&gt;"",IF(AH173="Présent",AI173,0),0),IF($AJ$5&lt;&gt;"",IF(AJ173="Présent",AK173,0),0),IF($AL$5&lt;&gt;"",IF(AL173="Présent",AM173,0),0),IF($AN$5&lt;&gt;"",IF(AN173="Présent",AO173,0),0),IF($AP$5&lt;&gt;"",IF(AP173="Présent",AQ173,0),0),IF($AR$5&lt;&gt;"",IF(AR173="Présent",AS173,0),0),IF($AT$5&lt;&gt;"",IF(AT173="Présent",AU173,0),0),IF($AV$5&lt;&gt;"",IF(AV173="Présent",AW173,0),0),IF($AX$5&lt;&gt;"",IF(AX173="Présent",AY173,0),0),IF($AZ$5&lt;&gt;"",IF(AZ173="Présent",BA173,0),0),IF($BB$5&lt;&gt;"",IF(BB173="Présent",BC173,0),0),IF($BD$5&lt;&gt;"",IF(BD173="Présent",BE173,0),0),IF($BF$5&lt;&gt;"",IF(BF173="Présent",BG173,0),0),IF($BH$5&lt;&gt;"",IF(BH173="Présent",BI173,0),0),IF($BJ$5&lt;&gt;"",IF(BJ173="Présent",BK173,0),0),IF($BL$5&lt;&gt;"",IF(BL173="Présent",BM173,0),0)))</f>
      </c>
      <c r="BS173" s="25">
        <f>IF($A173="","",$BN173*IFERROR(INDEX(Categories_Salaire,MATCH($C173,ListeCategories,0)),0)+$BR173*IF(IFERROR(INDEX(Categories_TauxHS,MATCH($C173,ListeCategories,0)),0)&gt;0,IFERROR(INDEX(Categories_TauxHS,MATCH($C173,ListeCategories,0)),0),TauxHSDefaut))</f>
      </c>
    </row>
    <row r="174">
      <c r="A174" s="20">
        <f>IF(AND(INDEX(Employes_Nom,168)&lt;&gt;"",INDEX(Employes_Statut,168)="Actif",OR(INDEX(Employes_Embauche,168)="",INDEX(Employes_Embauche,168)&lt;=EOMONTH(DATE(AnneeCourante,MoisCourant,1),0))),INDEX(Employes_ID,168),"")</f>
      </c>
      <c r="B174" s="19">
        <f>IF($A174="","",INDEX(Employes_Nom,MATCH($A174,Employes_ID,0)))</f>
      </c>
      <c r="C174" s="20">
        <f>IF($A174="","",INDEX(Employes_Categorie,MATCH($A174,Employes_ID,0)))</f>
      </c>
      <c r="D174" s="26"/>
      <c r="E174" s="27"/>
      <c r="F174" s="26"/>
      <c r="G174" s="27"/>
      <c r="H174" s="26"/>
      <c r="I174" s="27"/>
      <c r="J174" s="26"/>
      <c r="K174" s="27"/>
      <c r="L174" s="26"/>
      <c r="M174" s="27"/>
      <c r="N174" s="26"/>
      <c r="O174" s="27"/>
      <c r="P174" s="26"/>
      <c r="Q174" s="27"/>
      <c r="R174" s="26"/>
      <c r="S174" s="27"/>
      <c r="T174" s="26"/>
      <c r="U174" s="27"/>
      <c r="V174" s="26"/>
      <c r="W174" s="27"/>
      <c r="X174" s="26"/>
      <c r="Y174" s="27"/>
      <c r="Z174" s="26"/>
      <c r="AA174" s="27"/>
      <c r="AB174" s="26"/>
      <c r="AC174" s="27"/>
      <c r="AD174" s="26"/>
      <c r="AE174" s="27"/>
      <c r="AF174" s="26"/>
      <c r="AG174" s="27"/>
      <c r="AH174" s="26"/>
      <c r="AI174" s="27"/>
      <c r="AJ174" s="26"/>
      <c r="AK174" s="27"/>
      <c r="AL174" s="26"/>
      <c r="AM174" s="27"/>
      <c r="AN174" s="26"/>
      <c r="AO174" s="27"/>
      <c r="AP174" s="26"/>
      <c r="AQ174" s="27"/>
      <c r="AR174" s="26"/>
      <c r="AS174" s="27"/>
      <c r="AT174" s="26"/>
      <c r="AU174" s="27"/>
      <c r="AV174" s="26"/>
      <c r="AW174" s="27"/>
      <c r="AX174" s="26"/>
      <c r="AY174" s="27"/>
      <c r="AZ174" s="26"/>
      <c r="BA174" s="27"/>
      <c r="BB174" s="26"/>
      <c r="BC174" s="27"/>
      <c r="BD174" s="26"/>
      <c r="BE174" s="27"/>
      <c r="BF174" s="26"/>
      <c r="BG174" s="27"/>
      <c r="BH174" s="26"/>
      <c r="BI174" s="27"/>
      <c r="BJ174" s="26"/>
      <c r="BK174" s="27"/>
      <c r="BL174" s="26"/>
      <c r="BM174" s="27"/>
      <c r="BN174" s="22">
        <f>IF($A174="","",SUM(IF($D$5&lt;&gt;"",--(D174="Présent"),0),IF($F$5&lt;&gt;"",--(F174="Présent"),0),IF($H$5&lt;&gt;"",--(H174="Présent"),0),IF($J$5&lt;&gt;"",--(J174="Présent"),0),IF($L$5&lt;&gt;"",--(L174="Présent"),0),IF($N$5&lt;&gt;"",--(N174="Présent"),0),IF($P$5&lt;&gt;"",--(P174="Présent"),0),IF($R$5&lt;&gt;"",--(R174="Présent"),0),IF($T$5&lt;&gt;"",--(T174="Présent"),0),IF($V$5&lt;&gt;"",--(V174="Présent"),0),IF($X$5&lt;&gt;"",--(X174="Présent"),0),IF($Z$5&lt;&gt;"",--(Z174="Présent"),0),IF($AB$5&lt;&gt;"",--(AB174="Présent"),0),IF($AD$5&lt;&gt;"",--(AD174="Présent"),0),IF($AF$5&lt;&gt;"",--(AF174="Présent"),0),IF($AH$5&lt;&gt;"",--(AH174="Présent"),0),IF($AJ$5&lt;&gt;"",--(AJ174="Présent"),0),IF($AL$5&lt;&gt;"",--(AL174="Présent"),0),IF($AN$5&lt;&gt;"",--(AN174="Présent"),0),IF($AP$5&lt;&gt;"",--(AP174="Présent"),0),IF($AR$5&lt;&gt;"",--(AR174="Présent"),0),IF($AT$5&lt;&gt;"",--(AT174="Présent"),0),IF($AV$5&lt;&gt;"",--(AV174="Présent"),0),IF($AX$5&lt;&gt;"",--(AX174="Présent"),0),IF($AZ$5&lt;&gt;"",--(AZ174="Présent"),0),IF($BB$5&lt;&gt;"",--(BB174="Présent"),0),IF($BD$5&lt;&gt;"",--(BD174="Présent"),0),IF($BF$5&lt;&gt;"",--(BF174="Présent"),0),IF($BH$5&lt;&gt;"",--(BH174="Présent"),0),IF($BJ$5&lt;&gt;"",--(BJ174="Présent"),0),IF($BL$5&lt;&gt;"",--(BL174="Présent"),0)))</f>
      </c>
      <c r="BO174" s="22">
        <f>IF($A174="","",SUM(IF($D$5&lt;&gt;"",--(D174="Absent"),0),IF($F$5&lt;&gt;"",--(F174="Absent"),0),IF($H$5&lt;&gt;"",--(H174="Absent"),0),IF($J$5&lt;&gt;"",--(J174="Absent"),0),IF($L$5&lt;&gt;"",--(L174="Absent"),0),IF($N$5&lt;&gt;"",--(N174="Absent"),0),IF($P$5&lt;&gt;"",--(P174="Absent"),0),IF($R$5&lt;&gt;"",--(R174="Absent"),0),IF($T$5&lt;&gt;"",--(T174="Absent"),0),IF($V$5&lt;&gt;"",--(V174="Absent"),0),IF($X$5&lt;&gt;"",--(X174="Absent"),0),IF($Z$5&lt;&gt;"",--(Z174="Absent"),0),IF($AB$5&lt;&gt;"",--(AB174="Absent"),0),IF($AD$5&lt;&gt;"",--(AD174="Absent"),0),IF($AF$5&lt;&gt;"",--(AF174="Absent"),0),IF($AH$5&lt;&gt;"",--(AH174="Absent"),0),IF($AJ$5&lt;&gt;"",--(AJ174="Absent"),0),IF($AL$5&lt;&gt;"",--(AL174="Absent"),0),IF($AN$5&lt;&gt;"",--(AN174="Absent"),0),IF($AP$5&lt;&gt;"",--(AP174="Absent"),0),IF($AR$5&lt;&gt;"",--(AR174="Absent"),0),IF($AT$5&lt;&gt;"",--(AT174="Absent"),0),IF($AV$5&lt;&gt;"",--(AV174="Absent"),0),IF($AX$5&lt;&gt;"",--(AX174="Absent"),0),IF($AZ$5&lt;&gt;"",--(AZ174="Absent"),0),IF($BB$5&lt;&gt;"",--(BB174="Absent"),0),IF($BD$5&lt;&gt;"",--(BD174="Absent"),0),IF($BF$5&lt;&gt;"",--(BF174="Absent"),0),IF($BH$5&lt;&gt;"",--(BH174="Absent"),0),IF($BJ$5&lt;&gt;"",--(BJ174="Absent"),0),IF($BL$5&lt;&gt;"",--(BL174="Absent"),0)))</f>
      </c>
      <c r="BP174" s="22">
        <f>IF($A174="","",SUM(IF($D$5&lt;&gt;"",--(D174="Congé"),0),IF($F$5&lt;&gt;"",--(F174="Congé"),0),IF($H$5&lt;&gt;"",--(H174="Congé"),0),IF($J$5&lt;&gt;"",--(J174="Congé"),0),IF($L$5&lt;&gt;"",--(L174="Congé"),0),IF($N$5&lt;&gt;"",--(N174="Congé"),0),IF($P$5&lt;&gt;"",--(P174="Congé"),0),IF($R$5&lt;&gt;"",--(R174="Congé"),0),IF($T$5&lt;&gt;"",--(T174="Congé"),0),IF($V$5&lt;&gt;"",--(V174="Congé"),0),IF($X$5&lt;&gt;"",--(X174="Congé"),0),IF($Z$5&lt;&gt;"",--(Z174="Congé"),0),IF($AB$5&lt;&gt;"",--(AB174="Congé"),0),IF($AD$5&lt;&gt;"",--(AD174="Congé"),0),IF($AF$5&lt;&gt;"",--(AF174="Congé"),0),IF($AH$5&lt;&gt;"",--(AH174="Congé"),0),IF($AJ$5&lt;&gt;"",--(AJ174="Congé"),0),IF($AL$5&lt;&gt;"",--(AL174="Congé"),0),IF($AN$5&lt;&gt;"",--(AN174="Congé"),0),IF($AP$5&lt;&gt;"",--(AP174="Congé"),0),IF($AR$5&lt;&gt;"",--(AR174="Congé"),0),IF($AT$5&lt;&gt;"",--(AT174="Congé"),0),IF($AV$5&lt;&gt;"",--(AV174="Congé"),0),IF($AX$5&lt;&gt;"",--(AX174="Congé"),0),IF($AZ$5&lt;&gt;"",--(AZ174="Congé"),0),IF($BB$5&lt;&gt;"",--(BB174="Congé"),0),IF($BD$5&lt;&gt;"",--(BD174="Congé"),0),IF($BF$5&lt;&gt;"",--(BF174="Congé"),0),IF($BH$5&lt;&gt;"",--(BH174="Congé"),0),IF($BJ$5&lt;&gt;"",--(BJ174="Congé"),0),IF($BL$5&lt;&gt;"",--(BL174="Congé"),0)))</f>
      </c>
      <c r="BQ174" s="22">
        <f>IF($A174="","",SUM(IF($D$5&lt;&gt;"",--(D174="Maladie"),0),IF($F$5&lt;&gt;"",--(F174="Maladie"),0),IF($H$5&lt;&gt;"",--(H174="Maladie"),0),IF($J$5&lt;&gt;"",--(J174="Maladie"),0),IF($L$5&lt;&gt;"",--(L174="Maladie"),0),IF($N$5&lt;&gt;"",--(N174="Maladie"),0),IF($P$5&lt;&gt;"",--(P174="Maladie"),0),IF($R$5&lt;&gt;"",--(R174="Maladie"),0),IF($T$5&lt;&gt;"",--(T174="Maladie"),0),IF($V$5&lt;&gt;"",--(V174="Maladie"),0),IF($X$5&lt;&gt;"",--(X174="Maladie"),0),IF($Z$5&lt;&gt;"",--(Z174="Maladie"),0),IF($AB$5&lt;&gt;"",--(AB174="Maladie"),0),IF($AD$5&lt;&gt;"",--(AD174="Maladie"),0),IF($AF$5&lt;&gt;"",--(AF174="Maladie"),0),IF($AH$5&lt;&gt;"",--(AH174="Maladie"),0),IF($AJ$5&lt;&gt;"",--(AJ174="Maladie"),0),IF($AL$5&lt;&gt;"",--(AL174="Maladie"),0),IF($AN$5&lt;&gt;"",--(AN174="Maladie"),0),IF($AP$5&lt;&gt;"",--(AP174="Maladie"),0),IF($AR$5&lt;&gt;"",--(AR174="Maladie"),0),IF($AT$5&lt;&gt;"",--(AT174="Maladie"),0),IF($AV$5&lt;&gt;"",--(AV174="Maladie"),0),IF($AX$5&lt;&gt;"",--(AX174="Maladie"),0),IF($AZ$5&lt;&gt;"",--(AZ174="Maladie"),0),IF($BB$5&lt;&gt;"",--(BB174="Maladie"),0),IF($BD$5&lt;&gt;"",--(BD174="Maladie"),0),IF($BF$5&lt;&gt;"",--(BF174="Maladie"),0),IF($BH$5&lt;&gt;"",--(BH174="Maladie"),0),IF($BJ$5&lt;&gt;"",--(BJ174="Maladie"),0),IF($BL$5&lt;&gt;"",--(BL174="Maladie"),0)))</f>
      </c>
      <c r="BR174" s="23">
        <f>IF($A174="","",SUM(IF($D$5&lt;&gt;"",IF(D174="Présent",E174,0),0),IF($F$5&lt;&gt;"",IF(F174="Présent",G174,0),0),IF($H$5&lt;&gt;"",IF(H174="Présent",I174,0),0),IF($J$5&lt;&gt;"",IF(J174="Présent",K174,0),0),IF($L$5&lt;&gt;"",IF(L174="Présent",M174,0),0),IF($N$5&lt;&gt;"",IF(N174="Présent",O174,0),0),IF($P$5&lt;&gt;"",IF(P174="Présent",Q174,0),0),IF($R$5&lt;&gt;"",IF(R174="Présent",S174,0),0),IF($T$5&lt;&gt;"",IF(T174="Présent",U174,0),0),IF($V$5&lt;&gt;"",IF(V174="Présent",W174,0),0),IF($X$5&lt;&gt;"",IF(X174="Présent",Y174,0),0),IF($Z$5&lt;&gt;"",IF(Z174="Présent",AA174,0),0),IF($AB$5&lt;&gt;"",IF(AB174="Présent",AC174,0),0),IF($AD$5&lt;&gt;"",IF(AD174="Présent",AE174,0),0),IF($AF$5&lt;&gt;"",IF(AF174="Présent",AG174,0),0),IF($AH$5&lt;&gt;"",IF(AH174="Présent",AI174,0),0),IF($AJ$5&lt;&gt;"",IF(AJ174="Présent",AK174,0),0),IF($AL$5&lt;&gt;"",IF(AL174="Présent",AM174,0),0),IF($AN$5&lt;&gt;"",IF(AN174="Présent",AO174,0),0),IF($AP$5&lt;&gt;"",IF(AP174="Présent",AQ174,0),0),IF($AR$5&lt;&gt;"",IF(AR174="Présent",AS174,0),0),IF($AT$5&lt;&gt;"",IF(AT174="Présent",AU174,0),0),IF($AV$5&lt;&gt;"",IF(AV174="Présent",AW174,0),0),IF($AX$5&lt;&gt;"",IF(AX174="Présent",AY174,0),0),IF($AZ$5&lt;&gt;"",IF(AZ174="Présent",BA174,0),0),IF($BB$5&lt;&gt;"",IF(BB174="Présent",BC174,0),0),IF($BD$5&lt;&gt;"",IF(BD174="Présent",BE174,0),0),IF($BF$5&lt;&gt;"",IF(BF174="Présent",BG174,0),0),IF($BH$5&lt;&gt;"",IF(BH174="Présent",BI174,0),0),IF($BJ$5&lt;&gt;"",IF(BJ174="Présent",BK174,0),0),IF($BL$5&lt;&gt;"",IF(BL174="Présent",BM174,0),0)))</f>
      </c>
      <c r="BS174" s="25">
        <f>IF($A174="","",$BN174*IFERROR(INDEX(Categories_Salaire,MATCH($C174,ListeCategories,0)),0)+$BR174*IF(IFERROR(INDEX(Categories_TauxHS,MATCH($C174,ListeCategories,0)),0)&gt;0,IFERROR(INDEX(Categories_TauxHS,MATCH($C174,ListeCategories,0)),0),TauxHSDefaut))</f>
      </c>
    </row>
    <row r="175">
      <c r="A175" s="20">
        <f>IF(AND(INDEX(Employes_Nom,169)&lt;&gt;"",INDEX(Employes_Statut,169)="Actif",OR(INDEX(Employes_Embauche,169)="",INDEX(Employes_Embauche,169)&lt;=EOMONTH(DATE(AnneeCourante,MoisCourant,1),0))),INDEX(Employes_ID,169),"")</f>
      </c>
      <c r="B175" s="19">
        <f>IF($A175="","",INDEX(Employes_Nom,MATCH($A175,Employes_ID,0)))</f>
      </c>
      <c r="C175" s="20">
        <f>IF($A175="","",INDEX(Employes_Categorie,MATCH($A175,Employes_ID,0)))</f>
      </c>
      <c r="D175" s="26"/>
      <c r="E175" s="27"/>
      <c r="F175" s="26"/>
      <c r="G175" s="27"/>
      <c r="H175" s="26"/>
      <c r="I175" s="27"/>
      <c r="J175" s="26"/>
      <c r="K175" s="27"/>
      <c r="L175" s="26"/>
      <c r="M175" s="27"/>
      <c r="N175" s="26"/>
      <c r="O175" s="27"/>
      <c r="P175" s="26"/>
      <c r="Q175" s="27"/>
      <c r="R175" s="26"/>
      <c r="S175" s="27"/>
      <c r="T175" s="26"/>
      <c r="U175" s="27"/>
      <c r="V175" s="26"/>
      <c r="W175" s="27"/>
      <c r="X175" s="26"/>
      <c r="Y175" s="27"/>
      <c r="Z175" s="26"/>
      <c r="AA175" s="27"/>
      <c r="AB175" s="26"/>
      <c r="AC175" s="27"/>
      <c r="AD175" s="26"/>
      <c r="AE175" s="27"/>
      <c r="AF175" s="26"/>
      <c r="AG175" s="27"/>
      <c r="AH175" s="26"/>
      <c r="AI175" s="27"/>
      <c r="AJ175" s="26"/>
      <c r="AK175" s="27"/>
      <c r="AL175" s="26"/>
      <c r="AM175" s="27"/>
      <c r="AN175" s="26"/>
      <c r="AO175" s="27"/>
      <c r="AP175" s="26"/>
      <c r="AQ175" s="27"/>
      <c r="AR175" s="26"/>
      <c r="AS175" s="27"/>
      <c r="AT175" s="26"/>
      <c r="AU175" s="27"/>
      <c r="AV175" s="26"/>
      <c r="AW175" s="27"/>
      <c r="AX175" s="26"/>
      <c r="AY175" s="27"/>
      <c r="AZ175" s="26"/>
      <c r="BA175" s="27"/>
      <c r="BB175" s="26"/>
      <c r="BC175" s="27"/>
      <c r="BD175" s="26"/>
      <c r="BE175" s="27"/>
      <c r="BF175" s="26"/>
      <c r="BG175" s="27"/>
      <c r="BH175" s="26"/>
      <c r="BI175" s="27"/>
      <c r="BJ175" s="26"/>
      <c r="BK175" s="27"/>
      <c r="BL175" s="26"/>
      <c r="BM175" s="27"/>
      <c r="BN175" s="22">
        <f>IF($A175="","",SUM(IF($D$5&lt;&gt;"",--(D175="Présent"),0),IF($F$5&lt;&gt;"",--(F175="Présent"),0),IF($H$5&lt;&gt;"",--(H175="Présent"),0),IF($J$5&lt;&gt;"",--(J175="Présent"),0),IF($L$5&lt;&gt;"",--(L175="Présent"),0),IF($N$5&lt;&gt;"",--(N175="Présent"),0),IF($P$5&lt;&gt;"",--(P175="Présent"),0),IF($R$5&lt;&gt;"",--(R175="Présent"),0),IF($T$5&lt;&gt;"",--(T175="Présent"),0),IF($V$5&lt;&gt;"",--(V175="Présent"),0),IF($X$5&lt;&gt;"",--(X175="Présent"),0),IF($Z$5&lt;&gt;"",--(Z175="Présent"),0),IF($AB$5&lt;&gt;"",--(AB175="Présent"),0),IF($AD$5&lt;&gt;"",--(AD175="Présent"),0),IF($AF$5&lt;&gt;"",--(AF175="Présent"),0),IF($AH$5&lt;&gt;"",--(AH175="Présent"),0),IF($AJ$5&lt;&gt;"",--(AJ175="Présent"),0),IF($AL$5&lt;&gt;"",--(AL175="Présent"),0),IF($AN$5&lt;&gt;"",--(AN175="Présent"),0),IF($AP$5&lt;&gt;"",--(AP175="Présent"),0),IF($AR$5&lt;&gt;"",--(AR175="Présent"),0),IF($AT$5&lt;&gt;"",--(AT175="Présent"),0),IF($AV$5&lt;&gt;"",--(AV175="Présent"),0),IF($AX$5&lt;&gt;"",--(AX175="Présent"),0),IF($AZ$5&lt;&gt;"",--(AZ175="Présent"),0),IF($BB$5&lt;&gt;"",--(BB175="Présent"),0),IF($BD$5&lt;&gt;"",--(BD175="Présent"),0),IF($BF$5&lt;&gt;"",--(BF175="Présent"),0),IF($BH$5&lt;&gt;"",--(BH175="Présent"),0),IF($BJ$5&lt;&gt;"",--(BJ175="Présent"),0),IF($BL$5&lt;&gt;"",--(BL175="Présent"),0)))</f>
      </c>
      <c r="BO175" s="22">
        <f>IF($A175="","",SUM(IF($D$5&lt;&gt;"",--(D175="Absent"),0),IF($F$5&lt;&gt;"",--(F175="Absent"),0),IF($H$5&lt;&gt;"",--(H175="Absent"),0),IF($J$5&lt;&gt;"",--(J175="Absent"),0),IF($L$5&lt;&gt;"",--(L175="Absent"),0),IF($N$5&lt;&gt;"",--(N175="Absent"),0),IF($P$5&lt;&gt;"",--(P175="Absent"),0),IF($R$5&lt;&gt;"",--(R175="Absent"),0),IF($T$5&lt;&gt;"",--(T175="Absent"),0),IF($V$5&lt;&gt;"",--(V175="Absent"),0),IF($X$5&lt;&gt;"",--(X175="Absent"),0),IF($Z$5&lt;&gt;"",--(Z175="Absent"),0),IF($AB$5&lt;&gt;"",--(AB175="Absent"),0),IF($AD$5&lt;&gt;"",--(AD175="Absent"),0),IF($AF$5&lt;&gt;"",--(AF175="Absent"),0),IF($AH$5&lt;&gt;"",--(AH175="Absent"),0),IF($AJ$5&lt;&gt;"",--(AJ175="Absent"),0),IF($AL$5&lt;&gt;"",--(AL175="Absent"),0),IF($AN$5&lt;&gt;"",--(AN175="Absent"),0),IF($AP$5&lt;&gt;"",--(AP175="Absent"),0),IF($AR$5&lt;&gt;"",--(AR175="Absent"),0),IF($AT$5&lt;&gt;"",--(AT175="Absent"),0),IF($AV$5&lt;&gt;"",--(AV175="Absent"),0),IF($AX$5&lt;&gt;"",--(AX175="Absent"),0),IF($AZ$5&lt;&gt;"",--(AZ175="Absent"),0),IF($BB$5&lt;&gt;"",--(BB175="Absent"),0),IF($BD$5&lt;&gt;"",--(BD175="Absent"),0),IF($BF$5&lt;&gt;"",--(BF175="Absent"),0),IF($BH$5&lt;&gt;"",--(BH175="Absent"),0),IF($BJ$5&lt;&gt;"",--(BJ175="Absent"),0),IF($BL$5&lt;&gt;"",--(BL175="Absent"),0)))</f>
      </c>
      <c r="BP175" s="22">
        <f>IF($A175="","",SUM(IF($D$5&lt;&gt;"",--(D175="Congé"),0),IF($F$5&lt;&gt;"",--(F175="Congé"),0),IF($H$5&lt;&gt;"",--(H175="Congé"),0),IF($J$5&lt;&gt;"",--(J175="Congé"),0),IF($L$5&lt;&gt;"",--(L175="Congé"),0),IF($N$5&lt;&gt;"",--(N175="Congé"),0),IF($P$5&lt;&gt;"",--(P175="Congé"),0),IF($R$5&lt;&gt;"",--(R175="Congé"),0),IF($T$5&lt;&gt;"",--(T175="Congé"),0),IF($V$5&lt;&gt;"",--(V175="Congé"),0),IF($X$5&lt;&gt;"",--(X175="Congé"),0),IF($Z$5&lt;&gt;"",--(Z175="Congé"),0),IF($AB$5&lt;&gt;"",--(AB175="Congé"),0),IF($AD$5&lt;&gt;"",--(AD175="Congé"),0),IF($AF$5&lt;&gt;"",--(AF175="Congé"),0),IF($AH$5&lt;&gt;"",--(AH175="Congé"),0),IF($AJ$5&lt;&gt;"",--(AJ175="Congé"),0),IF($AL$5&lt;&gt;"",--(AL175="Congé"),0),IF($AN$5&lt;&gt;"",--(AN175="Congé"),0),IF($AP$5&lt;&gt;"",--(AP175="Congé"),0),IF($AR$5&lt;&gt;"",--(AR175="Congé"),0),IF($AT$5&lt;&gt;"",--(AT175="Congé"),0),IF($AV$5&lt;&gt;"",--(AV175="Congé"),0),IF($AX$5&lt;&gt;"",--(AX175="Congé"),0),IF($AZ$5&lt;&gt;"",--(AZ175="Congé"),0),IF($BB$5&lt;&gt;"",--(BB175="Congé"),0),IF($BD$5&lt;&gt;"",--(BD175="Congé"),0),IF($BF$5&lt;&gt;"",--(BF175="Congé"),0),IF($BH$5&lt;&gt;"",--(BH175="Congé"),0),IF($BJ$5&lt;&gt;"",--(BJ175="Congé"),0),IF($BL$5&lt;&gt;"",--(BL175="Congé"),0)))</f>
      </c>
      <c r="BQ175" s="22">
        <f>IF($A175="","",SUM(IF($D$5&lt;&gt;"",--(D175="Maladie"),0),IF($F$5&lt;&gt;"",--(F175="Maladie"),0),IF($H$5&lt;&gt;"",--(H175="Maladie"),0),IF($J$5&lt;&gt;"",--(J175="Maladie"),0),IF($L$5&lt;&gt;"",--(L175="Maladie"),0),IF($N$5&lt;&gt;"",--(N175="Maladie"),0),IF($P$5&lt;&gt;"",--(P175="Maladie"),0),IF($R$5&lt;&gt;"",--(R175="Maladie"),0),IF($T$5&lt;&gt;"",--(T175="Maladie"),0),IF($V$5&lt;&gt;"",--(V175="Maladie"),0),IF($X$5&lt;&gt;"",--(X175="Maladie"),0),IF($Z$5&lt;&gt;"",--(Z175="Maladie"),0),IF($AB$5&lt;&gt;"",--(AB175="Maladie"),0),IF($AD$5&lt;&gt;"",--(AD175="Maladie"),0),IF($AF$5&lt;&gt;"",--(AF175="Maladie"),0),IF($AH$5&lt;&gt;"",--(AH175="Maladie"),0),IF($AJ$5&lt;&gt;"",--(AJ175="Maladie"),0),IF($AL$5&lt;&gt;"",--(AL175="Maladie"),0),IF($AN$5&lt;&gt;"",--(AN175="Maladie"),0),IF($AP$5&lt;&gt;"",--(AP175="Maladie"),0),IF($AR$5&lt;&gt;"",--(AR175="Maladie"),0),IF($AT$5&lt;&gt;"",--(AT175="Maladie"),0),IF($AV$5&lt;&gt;"",--(AV175="Maladie"),0),IF($AX$5&lt;&gt;"",--(AX175="Maladie"),0),IF($AZ$5&lt;&gt;"",--(AZ175="Maladie"),0),IF($BB$5&lt;&gt;"",--(BB175="Maladie"),0),IF($BD$5&lt;&gt;"",--(BD175="Maladie"),0),IF($BF$5&lt;&gt;"",--(BF175="Maladie"),0),IF($BH$5&lt;&gt;"",--(BH175="Maladie"),0),IF($BJ$5&lt;&gt;"",--(BJ175="Maladie"),0),IF($BL$5&lt;&gt;"",--(BL175="Maladie"),0)))</f>
      </c>
      <c r="BR175" s="23">
        <f>IF($A175="","",SUM(IF($D$5&lt;&gt;"",IF(D175="Présent",E175,0),0),IF($F$5&lt;&gt;"",IF(F175="Présent",G175,0),0),IF($H$5&lt;&gt;"",IF(H175="Présent",I175,0),0),IF($J$5&lt;&gt;"",IF(J175="Présent",K175,0),0),IF($L$5&lt;&gt;"",IF(L175="Présent",M175,0),0),IF($N$5&lt;&gt;"",IF(N175="Présent",O175,0),0),IF($P$5&lt;&gt;"",IF(P175="Présent",Q175,0),0),IF($R$5&lt;&gt;"",IF(R175="Présent",S175,0),0),IF($T$5&lt;&gt;"",IF(T175="Présent",U175,0),0),IF($V$5&lt;&gt;"",IF(V175="Présent",W175,0),0),IF($X$5&lt;&gt;"",IF(X175="Présent",Y175,0),0),IF($Z$5&lt;&gt;"",IF(Z175="Présent",AA175,0),0),IF($AB$5&lt;&gt;"",IF(AB175="Présent",AC175,0),0),IF($AD$5&lt;&gt;"",IF(AD175="Présent",AE175,0),0),IF($AF$5&lt;&gt;"",IF(AF175="Présent",AG175,0),0),IF($AH$5&lt;&gt;"",IF(AH175="Présent",AI175,0),0),IF($AJ$5&lt;&gt;"",IF(AJ175="Présent",AK175,0),0),IF($AL$5&lt;&gt;"",IF(AL175="Présent",AM175,0),0),IF($AN$5&lt;&gt;"",IF(AN175="Présent",AO175,0),0),IF($AP$5&lt;&gt;"",IF(AP175="Présent",AQ175,0),0),IF($AR$5&lt;&gt;"",IF(AR175="Présent",AS175,0),0),IF($AT$5&lt;&gt;"",IF(AT175="Présent",AU175,0),0),IF($AV$5&lt;&gt;"",IF(AV175="Présent",AW175,0),0),IF($AX$5&lt;&gt;"",IF(AX175="Présent",AY175,0),0),IF($AZ$5&lt;&gt;"",IF(AZ175="Présent",BA175,0),0),IF($BB$5&lt;&gt;"",IF(BB175="Présent",BC175,0),0),IF($BD$5&lt;&gt;"",IF(BD175="Présent",BE175,0),0),IF($BF$5&lt;&gt;"",IF(BF175="Présent",BG175,0),0),IF($BH$5&lt;&gt;"",IF(BH175="Présent",BI175,0),0),IF($BJ$5&lt;&gt;"",IF(BJ175="Présent",BK175,0),0),IF($BL$5&lt;&gt;"",IF(BL175="Présent",BM175,0),0)))</f>
      </c>
      <c r="BS175" s="25">
        <f>IF($A175="","",$BN175*IFERROR(INDEX(Categories_Salaire,MATCH($C175,ListeCategories,0)),0)+$BR175*IF(IFERROR(INDEX(Categories_TauxHS,MATCH($C175,ListeCategories,0)),0)&gt;0,IFERROR(INDEX(Categories_TauxHS,MATCH($C175,ListeCategories,0)),0),TauxHSDefaut))</f>
      </c>
    </row>
    <row r="176">
      <c r="A176" s="20">
        <f>IF(AND(INDEX(Employes_Nom,170)&lt;&gt;"",INDEX(Employes_Statut,170)="Actif",OR(INDEX(Employes_Embauche,170)="",INDEX(Employes_Embauche,170)&lt;=EOMONTH(DATE(AnneeCourante,MoisCourant,1),0))),INDEX(Employes_ID,170),"")</f>
      </c>
      <c r="B176" s="19">
        <f>IF($A176="","",INDEX(Employes_Nom,MATCH($A176,Employes_ID,0)))</f>
      </c>
      <c r="C176" s="20">
        <f>IF($A176="","",INDEX(Employes_Categorie,MATCH($A176,Employes_ID,0)))</f>
      </c>
      <c r="D176" s="26"/>
      <c r="E176" s="27"/>
      <c r="F176" s="26"/>
      <c r="G176" s="27"/>
      <c r="H176" s="26"/>
      <c r="I176" s="27"/>
      <c r="J176" s="26"/>
      <c r="K176" s="27"/>
      <c r="L176" s="26"/>
      <c r="M176" s="27"/>
      <c r="N176" s="26"/>
      <c r="O176" s="27"/>
      <c r="P176" s="26"/>
      <c r="Q176" s="27"/>
      <c r="R176" s="26"/>
      <c r="S176" s="27"/>
      <c r="T176" s="26"/>
      <c r="U176" s="27"/>
      <c r="V176" s="26"/>
      <c r="W176" s="27"/>
      <c r="X176" s="26"/>
      <c r="Y176" s="27"/>
      <c r="Z176" s="26"/>
      <c r="AA176" s="27"/>
      <c r="AB176" s="26"/>
      <c r="AC176" s="27"/>
      <c r="AD176" s="26"/>
      <c r="AE176" s="27"/>
      <c r="AF176" s="26"/>
      <c r="AG176" s="27"/>
      <c r="AH176" s="26"/>
      <c r="AI176" s="27"/>
      <c r="AJ176" s="26"/>
      <c r="AK176" s="27"/>
      <c r="AL176" s="26"/>
      <c r="AM176" s="27"/>
      <c r="AN176" s="26"/>
      <c r="AO176" s="27"/>
      <c r="AP176" s="26"/>
      <c r="AQ176" s="27"/>
      <c r="AR176" s="26"/>
      <c r="AS176" s="27"/>
      <c r="AT176" s="26"/>
      <c r="AU176" s="27"/>
      <c r="AV176" s="26"/>
      <c r="AW176" s="27"/>
      <c r="AX176" s="26"/>
      <c r="AY176" s="27"/>
      <c r="AZ176" s="26"/>
      <c r="BA176" s="27"/>
      <c r="BB176" s="26"/>
      <c r="BC176" s="27"/>
      <c r="BD176" s="26"/>
      <c r="BE176" s="27"/>
      <c r="BF176" s="26"/>
      <c r="BG176" s="27"/>
      <c r="BH176" s="26"/>
      <c r="BI176" s="27"/>
      <c r="BJ176" s="26"/>
      <c r="BK176" s="27"/>
      <c r="BL176" s="26"/>
      <c r="BM176" s="27"/>
      <c r="BN176" s="22">
        <f>IF($A176="","",SUM(IF($D$5&lt;&gt;"",--(D176="Présent"),0),IF($F$5&lt;&gt;"",--(F176="Présent"),0),IF($H$5&lt;&gt;"",--(H176="Présent"),0),IF($J$5&lt;&gt;"",--(J176="Présent"),0),IF($L$5&lt;&gt;"",--(L176="Présent"),0),IF($N$5&lt;&gt;"",--(N176="Présent"),0),IF($P$5&lt;&gt;"",--(P176="Présent"),0),IF($R$5&lt;&gt;"",--(R176="Présent"),0),IF($T$5&lt;&gt;"",--(T176="Présent"),0),IF($V$5&lt;&gt;"",--(V176="Présent"),0),IF($X$5&lt;&gt;"",--(X176="Présent"),0),IF($Z$5&lt;&gt;"",--(Z176="Présent"),0),IF($AB$5&lt;&gt;"",--(AB176="Présent"),0),IF($AD$5&lt;&gt;"",--(AD176="Présent"),0),IF($AF$5&lt;&gt;"",--(AF176="Présent"),0),IF($AH$5&lt;&gt;"",--(AH176="Présent"),0),IF($AJ$5&lt;&gt;"",--(AJ176="Présent"),0),IF($AL$5&lt;&gt;"",--(AL176="Présent"),0),IF($AN$5&lt;&gt;"",--(AN176="Présent"),0),IF($AP$5&lt;&gt;"",--(AP176="Présent"),0),IF($AR$5&lt;&gt;"",--(AR176="Présent"),0),IF($AT$5&lt;&gt;"",--(AT176="Présent"),0),IF($AV$5&lt;&gt;"",--(AV176="Présent"),0),IF($AX$5&lt;&gt;"",--(AX176="Présent"),0),IF($AZ$5&lt;&gt;"",--(AZ176="Présent"),0),IF($BB$5&lt;&gt;"",--(BB176="Présent"),0),IF($BD$5&lt;&gt;"",--(BD176="Présent"),0),IF($BF$5&lt;&gt;"",--(BF176="Présent"),0),IF($BH$5&lt;&gt;"",--(BH176="Présent"),0),IF($BJ$5&lt;&gt;"",--(BJ176="Présent"),0),IF($BL$5&lt;&gt;"",--(BL176="Présent"),0)))</f>
      </c>
      <c r="BO176" s="22">
        <f>IF($A176="","",SUM(IF($D$5&lt;&gt;"",--(D176="Absent"),0),IF($F$5&lt;&gt;"",--(F176="Absent"),0),IF($H$5&lt;&gt;"",--(H176="Absent"),0),IF($J$5&lt;&gt;"",--(J176="Absent"),0),IF($L$5&lt;&gt;"",--(L176="Absent"),0),IF($N$5&lt;&gt;"",--(N176="Absent"),0),IF($P$5&lt;&gt;"",--(P176="Absent"),0),IF($R$5&lt;&gt;"",--(R176="Absent"),0),IF($T$5&lt;&gt;"",--(T176="Absent"),0),IF($V$5&lt;&gt;"",--(V176="Absent"),0),IF($X$5&lt;&gt;"",--(X176="Absent"),0),IF($Z$5&lt;&gt;"",--(Z176="Absent"),0),IF($AB$5&lt;&gt;"",--(AB176="Absent"),0),IF($AD$5&lt;&gt;"",--(AD176="Absent"),0),IF($AF$5&lt;&gt;"",--(AF176="Absent"),0),IF($AH$5&lt;&gt;"",--(AH176="Absent"),0),IF($AJ$5&lt;&gt;"",--(AJ176="Absent"),0),IF($AL$5&lt;&gt;"",--(AL176="Absent"),0),IF($AN$5&lt;&gt;"",--(AN176="Absent"),0),IF($AP$5&lt;&gt;"",--(AP176="Absent"),0),IF($AR$5&lt;&gt;"",--(AR176="Absent"),0),IF($AT$5&lt;&gt;"",--(AT176="Absent"),0),IF($AV$5&lt;&gt;"",--(AV176="Absent"),0),IF($AX$5&lt;&gt;"",--(AX176="Absent"),0),IF($AZ$5&lt;&gt;"",--(AZ176="Absent"),0),IF($BB$5&lt;&gt;"",--(BB176="Absent"),0),IF($BD$5&lt;&gt;"",--(BD176="Absent"),0),IF($BF$5&lt;&gt;"",--(BF176="Absent"),0),IF($BH$5&lt;&gt;"",--(BH176="Absent"),0),IF($BJ$5&lt;&gt;"",--(BJ176="Absent"),0),IF($BL$5&lt;&gt;"",--(BL176="Absent"),0)))</f>
      </c>
      <c r="BP176" s="22">
        <f>IF($A176="","",SUM(IF($D$5&lt;&gt;"",--(D176="Congé"),0),IF($F$5&lt;&gt;"",--(F176="Congé"),0),IF($H$5&lt;&gt;"",--(H176="Congé"),0),IF($J$5&lt;&gt;"",--(J176="Congé"),0),IF($L$5&lt;&gt;"",--(L176="Congé"),0),IF($N$5&lt;&gt;"",--(N176="Congé"),0),IF($P$5&lt;&gt;"",--(P176="Congé"),0),IF($R$5&lt;&gt;"",--(R176="Congé"),0),IF($T$5&lt;&gt;"",--(T176="Congé"),0),IF($V$5&lt;&gt;"",--(V176="Congé"),0),IF($X$5&lt;&gt;"",--(X176="Congé"),0),IF($Z$5&lt;&gt;"",--(Z176="Congé"),0),IF($AB$5&lt;&gt;"",--(AB176="Congé"),0),IF($AD$5&lt;&gt;"",--(AD176="Congé"),0),IF($AF$5&lt;&gt;"",--(AF176="Congé"),0),IF($AH$5&lt;&gt;"",--(AH176="Congé"),0),IF($AJ$5&lt;&gt;"",--(AJ176="Congé"),0),IF($AL$5&lt;&gt;"",--(AL176="Congé"),0),IF($AN$5&lt;&gt;"",--(AN176="Congé"),0),IF($AP$5&lt;&gt;"",--(AP176="Congé"),0),IF($AR$5&lt;&gt;"",--(AR176="Congé"),0),IF($AT$5&lt;&gt;"",--(AT176="Congé"),0),IF($AV$5&lt;&gt;"",--(AV176="Congé"),0),IF($AX$5&lt;&gt;"",--(AX176="Congé"),0),IF($AZ$5&lt;&gt;"",--(AZ176="Congé"),0),IF($BB$5&lt;&gt;"",--(BB176="Congé"),0),IF($BD$5&lt;&gt;"",--(BD176="Congé"),0),IF($BF$5&lt;&gt;"",--(BF176="Congé"),0),IF($BH$5&lt;&gt;"",--(BH176="Congé"),0),IF($BJ$5&lt;&gt;"",--(BJ176="Congé"),0),IF($BL$5&lt;&gt;"",--(BL176="Congé"),0)))</f>
      </c>
      <c r="BQ176" s="22">
        <f>IF($A176="","",SUM(IF($D$5&lt;&gt;"",--(D176="Maladie"),0),IF($F$5&lt;&gt;"",--(F176="Maladie"),0),IF($H$5&lt;&gt;"",--(H176="Maladie"),0),IF($J$5&lt;&gt;"",--(J176="Maladie"),0),IF($L$5&lt;&gt;"",--(L176="Maladie"),0),IF($N$5&lt;&gt;"",--(N176="Maladie"),0),IF($P$5&lt;&gt;"",--(P176="Maladie"),0),IF($R$5&lt;&gt;"",--(R176="Maladie"),0),IF($T$5&lt;&gt;"",--(T176="Maladie"),0),IF($V$5&lt;&gt;"",--(V176="Maladie"),0),IF($X$5&lt;&gt;"",--(X176="Maladie"),0),IF($Z$5&lt;&gt;"",--(Z176="Maladie"),0),IF($AB$5&lt;&gt;"",--(AB176="Maladie"),0),IF($AD$5&lt;&gt;"",--(AD176="Maladie"),0),IF($AF$5&lt;&gt;"",--(AF176="Maladie"),0),IF($AH$5&lt;&gt;"",--(AH176="Maladie"),0),IF($AJ$5&lt;&gt;"",--(AJ176="Maladie"),0),IF($AL$5&lt;&gt;"",--(AL176="Maladie"),0),IF($AN$5&lt;&gt;"",--(AN176="Maladie"),0),IF($AP$5&lt;&gt;"",--(AP176="Maladie"),0),IF($AR$5&lt;&gt;"",--(AR176="Maladie"),0),IF($AT$5&lt;&gt;"",--(AT176="Maladie"),0),IF($AV$5&lt;&gt;"",--(AV176="Maladie"),0),IF($AX$5&lt;&gt;"",--(AX176="Maladie"),0),IF($AZ$5&lt;&gt;"",--(AZ176="Maladie"),0),IF($BB$5&lt;&gt;"",--(BB176="Maladie"),0),IF($BD$5&lt;&gt;"",--(BD176="Maladie"),0),IF($BF$5&lt;&gt;"",--(BF176="Maladie"),0),IF($BH$5&lt;&gt;"",--(BH176="Maladie"),0),IF($BJ$5&lt;&gt;"",--(BJ176="Maladie"),0),IF($BL$5&lt;&gt;"",--(BL176="Maladie"),0)))</f>
      </c>
      <c r="BR176" s="23">
        <f>IF($A176="","",SUM(IF($D$5&lt;&gt;"",IF(D176="Présent",E176,0),0),IF($F$5&lt;&gt;"",IF(F176="Présent",G176,0),0),IF($H$5&lt;&gt;"",IF(H176="Présent",I176,0),0),IF($J$5&lt;&gt;"",IF(J176="Présent",K176,0),0),IF($L$5&lt;&gt;"",IF(L176="Présent",M176,0),0),IF($N$5&lt;&gt;"",IF(N176="Présent",O176,0),0),IF($P$5&lt;&gt;"",IF(P176="Présent",Q176,0),0),IF($R$5&lt;&gt;"",IF(R176="Présent",S176,0),0),IF($T$5&lt;&gt;"",IF(T176="Présent",U176,0),0),IF($V$5&lt;&gt;"",IF(V176="Présent",W176,0),0),IF($X$5&lt;&gt;"",IF(X176="Présent",Y176,0),0),IF($Z$5&lt;&gt;"",IF(Z176="Présent",AA176,0),0),IF($AB$5&lt;&gt;"",IF(AB176="Présent",AC176,0),0),IF($AD$5&lt;&gt;"",IF(AD176="Présent",AE176,0),0),IF($AF$5&lt;&gt;"",IF(AF176="Présent",AG176,0),0),IF($AH$5&lt;&gt;"",IF(AH176="Présent",AI176,0),0),IF($AJ$5&lt;&gt;"",IF(AJ176="Présent",AK176,0),0),IF($AL$5&lt;&gt;"",IF(AL176="Présent",AM176,0),0),IF($AN$5&lt;&gt;"",IF(AN176="Présent",AO176,0),0),IF($AP$5&lt;&gt;"",IF(AP176="Présent",AQ176,0),0),IF($AR$5&lt;&gt;"",IF(AR176="Présent",AS176,0),0),IF($AT$5&lt;&gt;"",IF(AT176="Présent",AU176,0),0),IF($AV$5&lt;&gt;"",IF(AV176="Présent",AW176,0),0),IF($AX$5&lt;&gt;"",IF(AX176="Présent",AY176,0),0),IF($AZ$5&lt;&gt;"",IF(AZ176="Présent",BA176,0),0),IF($BB$5&lt;&gt;"",IF(BB176="Présent",BC176,0),0),IF($BD$5&lt;&gt;"",IF(BD176="Présent",BE176,0),0),IF($BF$5&lt;&gt;"",IF(BF176="Présent",BG176,0),0),IF($BH$5&lt;&gt;"",IF(BH176="Présent",BI176,0),0),IF($BJ$5&lt;&gt;"",IF(BJ176="Présent",BK176,0),0),IF($BL$5&lt;&gt;"",IF(BL176="Présent",BM176,0),0)))</f>
      </c>
      <c r="BS176" s="25">
        <f>IF($A176="","",$BN176*IFERROR(INDEX(Categories_Salaire,MATCH($C176,ListeCategories,0)),0)+$BR176*IF(IFERROR(INDEX(Categories_TauxHS,MATCH($C176,ListeCategories,0)),0)&gt;0,IFERROR(INDEX(Categories_TauxHS,MATCH($C176,ListeCategories,0)),0),TauxHSDefaut))</f>
      </c>
    </row>
    <row r="177">
      <c r="A177" s="20">
        <f>IF(AND(INDEX(Employes_Nom,171)&lt;&gt;"",INDEX(Employes_Statut,171)="Actif",OR(INDEX(Employes_Embauche,171)="",INDEX(Employes_Embauche,171)&lt;=EOMONTH(DATE(AnneeCourante,MoisCourant,1),0))),INDEX(Employes_ID,171),"")</f>
      </c>
      <c r="B177" s="19">
        <f>IF($A177="","",INDEX(Employes_Nom,MATCH($A177,Employes_ID,0)))</f>
      </c>
      <c r="C177" s="20">
        <f>IF($A177="","",INDEX(Employes_Categorie,MATCH($A177,Employes_ID,0)))</f>
      </c>
      <c r="D177" s="26"/>
      <c r="E177" s="27"/>
      <c r="F177" s="26"/>
      <c r="G177" s="27"/>
      <c r="H177" s="26"/>
      <c r="I177" s="27"/>
      <c r="J177" s="26"/>
      <c r="K177" s="27"/>
      <c r="L177" s="26"/>
      <c r="M177" s="27"/>
      <c r="N177" s="26"/>
      <c r="O177" s="27"/>
      <c r="P177" s="26"/>
      <c r="Q177" s="27"/>
      <c r="R177" s="26"/>
      <c r="S177" s="27"/>
      <c r="T177" s="26"/>
      <c r="U177" s="27"/>
      <c r="V177" s="26"/>
      <c r="W177" s="27"/>
      <c r="X177" s="26"/>
      <c r="Y177" s="27"/>
      <c r="Z177" s="26"/>
      <c r="AA177" s="27"/>
      <c r="AB177" s="26"/>
      <c r="AC177" s="27"/>
      <c r="AD177" s="26"/>
      <c r="AE177" s="27"/>
      <c r="AF177" s="26"/>
      <c r="AG177" s="27"/>
      <c r="AH177" s="26"/>
      <c r="AI177" s="27"/>
      <c r="AJ177" s="26"/>
      <c r="AK177" s="27"/>
      <c r="AL177" s="26"/>
      <c r="AM177" s="27"/>
      <c r="AN177" s="26"/>
      <c r="AO177" s="27"/>
      <c r="AP177" s="26"/>
      <c r="AQ177" s="27"/>
      <c r="AR177" s="26"/>
      <c r="AS177" s="27"/>
      <c r="AT177" s="26"/>
      <c r="AU177" s="27"/>
      <c r="AV177" s="26"/>
      <c r="AW177" s="27"/>
      <c r="AX177" s="26"/>
      <c r="AY177" s="27"/>
      <c r="AZ177" s="26"/>
      <c r="BA177" s="27"/>
      <c r="BB177" s="26"/>
      <c r="BC177" s="27"/>
      <c r="BD177" s="26"/>
      <c r="BE177" s="27"/>
      <c r="BF177" s="26"/>
      <c r="BG177" s="27"/>
      <c r="BH177" s="26"/>
      <c r="BI177" s="27"/>
      <c r="BJ177" s="26"/>
      <c r="BK177" s="27"/>
      <c r="BL177" s="26"/>
      <c r="BM177" s="27"/>
      <c r="BN177" s="22">
        <f>IF($A177="","",SUM(IF($D$5&lt;&gt;"",--(D177="Présent"),0),IF($F$5&lt;&gt;"",--(F177="Présent"),0),IF($H$5&lt;&gt;"",--(H177="Présent"),0),IF($J$5&lt;&gt;"",--(J177="Présent"),0),IF($L$5&lt;&gt;"",--(L177="Présent"),0),IF($N$5&lt;&gt;"",--(N177="Présent"),0),IF($P$5&lt;&gt;"",--(P177="Présent"),0),IF($R$5&lt;&gt;"",--(R177="Présent"),0),IF($T$5&lt;&gt;"",--(T177="Présent"),0),IF($V$5&lt;&gt;"",--(V177="Présent"),0),IF($X$5&lt;&gt;"",--(X177="Présent"),0),IF($Z$5&lt;&gt;"",--(Z177="Présent"),0),IF($AB$5&lt;&gt;"",--(AB177="Présent"),0),IF($AD$5&lt;&gt;"",--(AD177="Présent"),0),IF($AF$5&lt;&gt;"",--(AF177="Présent"),0),IF($AH$5&lt;&gt;"",--(AH177="Présent"),0),IF($AJ$5&lt;&gt;"",--(AJ177="Présent"),0),IF($AL$5&lt;&gt;"",--(AL177="Présent"),0),IF($AN$5&lt;&gt;"",--(AN177="Présent"),0),IF($AP$5&lt;&gt;"",--(AP177="Présent"),0),IF($AR$5&lt;&gt;"",--(AR177="Présent"),0),IF($AT$5&lt;&gt;"",--(AT177="Présent"),0),IF($AV$5&lt;&gt;"",--(AV177="Présent"),0),IF($AX$5&lt;&gt;"",--(AX177="Présent"),0),IF($AZ$5&lt;&gt;"",--(AZ177="Présent"),0),IF($BB$5&lt;&gt;"",--(BB177="Présent"),0),IF($BD$5&lt;&gt;"",--(BD177="Présent"),0),IF($BF$5&lt;&gt;"",--(BF177="Présent"),0),IF($BH$5&lt;&gt;"",--(BH177="Présent"),0),IF($BJ$5&lt;&gt;"",--(BJ177="Présent"),0),IF($BL$5&lt;&gt;"",--(BL177="Présent"),0)))</f>
      </c>
      <c r="BO177" s="22">
        <f>IF($A177="","",SUM(IF($D$5&lt;&gt;"",--(D177="Absent"),0),IF($F$5&lt;&gt;"",--(F177="Absent"),0),IF($H$5&lt;&gt;"",--(H177="Absent"),0),IF($J$5&lt;&gt;"",--(J177="Absent"),0),IF($L$5&lt;&gt;"",--(L177="Absent"),0),IF($N$5&lt;&gt;"",--(N177="Absent"),0),IF($P$5&lt;&gt;"",--(P177="Absent"),0),IF($R$5&lt;&gt;"",--(R177="Absent"),0),IF($T$5&lt;&gt;"",--(T177="Absent"),0),IF($V$5&lt;&gt;"",--(V177="Absent"),0),IF($X$5&lt;&gt;"",--(X177="Absent"),0),IF($Z$5&lt;&gt;"",--(Z177="Absent"),0),IF($AB$5&lt;&gt;"",--(AB177="Absent"),0),IF($AD$5&lt;&gt;"",--(AD177="Absent"),0),IF($AF$5&lt;&gt;"",--(AF177="Absent"),0),IF($AH$5&lt;&gt;"",--(AH177="Absent"),0),IF($AJ$5&lt;&gt;"",--(AJ177="Absent"),0),IF($AL$5&lt;&gt;"",--(AL177="Absent"),0),IF($AN$5&lt;&gt;"",--(AN177="Absent"),0),IF($AP$5&lt;&gt;"",--(AP177="Absent"),0),IF($AR$5&lt;&gt;"",--(AR177="Absent"),0),IF($AT$5&lt;&gt;"",--(AT177="Absent"),0),IF($AV$5&lt;&gt;"",--(AV177="Absent"),0),IF($AX$5&lt;&gt;"",--(AX177="Absent"),0),IF($AZ$5&lt;&gt;"",--(AZ177="Absent"),0),IF($BB$5&lt;&gt;"",--(BB177="Absent"),0),IF($BD$5&lt;&gt;"",--(BD177="Absent"),0),IF($BF$5&lt;&gt;"",--(BF177="Absent"),0),IF($BH$5&lt;&gt;"",--(BH177="Absent"),0),IF($BJ$5&lt;&gt;"",--(BJ177="Absent"),0),IF($BL$5&lt;&gt;"",--(BL177="Absent"),0)))</f>
      </c>
      <c r="BP177" s="22">
        <f>IF($A177="","",SUM(IF($D$5&lt;&gt;"",--(D177="Congé"),0),IF($F$5&lt;&gt;"",--(F177="Congé"),0),IF($H$5&lt;&gt;"",--(H177="Congé"),0),IF($J$5&lt;&gt;"",--(J177="Congé"),0),IF($L$5&lt;&gt;"",--(L177="Congé"),0),IF($N$5&lt;&gt;"",--(N177="Congé"),0),IF($P$5&lt;&gt;"",--(P177="Congé"),0),IF($R$5&lt;&gt;"",--(R177="Congé"),0),IF($T$5&lt;&gt;"",--(T177="Congé"),0),IF($V$5&lt;&gt;"",--(V177="Congé"),0),IF($X$5&lt;&gt;"",--(X177="Congé"),0),IF($Z$5&lt;&gt;"",--(Z177="Congé"),0),IF($AB$5&lt;&gt;"",--(AB177="Congé"),0),IF($AD$5&lt;&gt;"",--(AD177="Congé"),0),IF($AF$5&lt;&gt;"",--(AF177="Congé"),0),IF($AH$5&lt;&gt;"",--(AH177="Congé"),0),IF($AJ$5&lt;&gt;"",--(AJ177="Congé"),0),IF($AL$5&lt;&gt;"",--(AL177="Congé"),0),IF($AN$5&lt;&gt;"",--(AN177="Congé"),0),IF($AP$5&lt;&gt;"",--(AP177="Congé"),0),IF($AR$5&lt;&gt;"",--(AR177="Congé"),0),IF($AT$5&lt;&gt;"",--(AT177="Congé"),0),IF($AV$5&lt;&gt;"",--(AV177="Congé"),0),IF($AX$5&lt;&gt;"",--(AX177="Congé"),0),IF($AZ$5&lt;&gt;"",--(AZ177="Congé"),0),IF($BB$5&lt;&gt;"",--(BB177="Congé"),0),IF($BD$5&lt;&gt;"",--(BD177="Congé"),0),IF($BF$5&lt;&gt;"",--(BF177="Congé"),0),IF($BH$5&lt;&gt;"",--(BH177="Congé"),0),IF($BJ$5&lt;&gt;"",--(BJ177="Congé"),0),IF($BL$5&lt;&gt;"",--(BL177="Congé"),0)))</f>
      </c>
      <c r="BQ177" s="22">
        <f>IF($A177="","",SUM(IF($D$5&lt;&gt;"",--(D177="Maladie"),0),IF($F$5&lt;&gt;"",--(F177="Maladie"),0),IF($H$5&lt;&gt;"",--(H177="Maladie"),0),IF($J$5&lt;&gt;"",--(J177="Maladie"),0),IF($L$5&lt;&gt;"",--(L177="Maladie"),0),IF($N$5&lt;&gt;"",--(N177="Maladie"),0),IF($P$5&lt;&gt;"",--(P177="Maladie"),0),IF($R$5&lt;&gt;"",--(R177="Maladie"),0),IF($T$5&lt;&gt;"",--(T177="Maladie"),0),IF($V$5&lt;&gt;"",--(V177="Maladie"),0),IF($X$5&lt;&gt;"",--(X177="Maladie"),0),IF($Z$5&lt;&gt;"",--(Z177="Maladie"),0),IF($AB$5&lt;&gt;"",--(AB177="Maladie"),0),IF($AD$5&lt;&gt;"",--(AD177="Maladie"),0),IF($AF$5&lt;&gt;"",--(AF177="Maladie"),0),IF($AH$5&lt;&gt;"",--(AH177="Maladie"),0),IF($AJ$5&lt;&gt;"",--(AJ177="Maladie"),0),IF($AL$5&lt;&gt;"",--(AL177="Maladie"),0),IF($AN$5&lt;&gt;"",--(AN177="Maladie"),0),IF($AP$5&lt;&gt;"",--(AP177="Maladie"),0),IF($AR$5&lt;&gt;"",--(AR177="Maladie"),0),IF($AT$5&lt;&gt;"",--(AT177="Maladie"),0),IF($AV$5&lt;&gt;"",--(AV177="Maladie"),0),IF($AX$5&lt;&gt;"",--(AX177="Maladie"),0),IF($AZ$5&lt;&gt;"",--(AZ177="Maladie"),0),IF($BB$5&lt;&gt;"",--(BB177="Maladie"),0),IF($BD$5&lt;&gt;"",--(BD177="Maladie"),0),IF($BF$5&lt;&gt;"",--(BF177="Maladie"),0),IF($BH$5&lt;&gt;"",--(BH177="Maladie"),0),IF($BJ$5&lt;&gt;"",--(BJ177="Maladie"),0),IF($BL$5&lt;&gt;"",--(BL177="Maladie"),0)))</f>
      </c>
      <c r="BR177" s="23">
        <f>IF($A177="","",SUM(IF($D$5&lt;&gt;"",IF(D177="Présent",E177,0),0),IF($F$5&lt;&gt;"",IF(F177="Présent",G177,0),0),IF($H$5&lt;&gt;"",IF(H177="Présent",I177,0),0),IF($J$5&lt;&gt;"",IF(J177="Présent",K177,0),0),IF($L$5&lt;&gt;"",IF(L177="Présent",M177,0),0),IF($N$5&lt;&gt;"",IF(N177="Présent",O177,0),0),IF($P$5&lt;&gt;"",IF(P177="Présent",Q177,0),0),IF($R$5&lt;&gt;"",IF(R177="Présent",S177,0),0),IF($T$5&lt;&gt;"",IF(T177="Présent",U177,0),0),IF($V$5&lt;&gt;"",IF(V177="Présent",W177,0),0),IF($X$5&lt;&gt;"",IF(X177="Présent",Y177,0),0),IF($Z$5&lt;&gt;"",IF(Z177="Présent",AA177,0),0),IF($AB$5&lt;&gt;"",IF(AB177="Présent",AC177,0),0),IF($AD$5&lt;&gt;"",IF(AD177="Présent",AE177,0),0),IF($AF$5&lt;&gt;"",IF(AF177="Présent",AG177,0),0),IF($AH$5&lt;&gt;"",IF(AH177="Présent",AI177,0),0),IF($AJ$5&lt;&gt;"",IF(AJ177="Présent",AK177,0),0),IF($AL$5&lt;&gt;"",IF(AL177="Présent",AM177,0),0),IF($AN$5&lt;&gt;"",IF(AN177="Présent",AO177,0),0),IF($AP$5&lt;&gt;"",IF(AP177="Présent",AQ177,0),0),IF($AR$5&lt;&gt;"",IF(AR177="Présent",AS177,0),0),IF($AT$5&lt;&gt;"",IF(AT177="Présent",AU177,0),0),IF($AV$5&lt;&gt;"",IF(AV177="Présent",AW177,0),0),IF($AX$5&lt;&gt;"",IF(AX177="Présent",AY177,0),0),IF($AZ$5&lt;&gt;"",IF(AZ177="Présent",BA177,0),0),IF($BB$5&lt;&gt;"",IF(BB177="Présent",BC177,0),0),IF($BD$5&lt;&gt;"",IF(BD177="Présent",BE177,0),0),IF($BF$5&lt;&gt;"",IF(BF177="Présent",BG177,0),0),IF($BH$5&lt;&gt;"",IF(BH177="Présent",BI177,0),0),IF($BJ$5&lt;&gt;"",IF(BJ177="Présent",BK177,0),0),IF($BL$5&lt;&gt;"",IF(BL177="Présent",BM177,0),0)))</f>
      </c>
      <c r="BS177" s="25">
        <f>IF($A177="","",$BN177*IFERROR(INDEX(Categories_Salaire,MATCH($C177,ListeCategories,0)),0)+$BR177*IF(IFERROR(INDEX(Categories_TauxHS,MATCH($C177,ListeCategories,0)),0)&gt;0,IFERROR(INDEX(Categories_TauxHS,MATCH($C177,ListeCategories,0)),0),TauxHSDefaut))</f>
      </c>
    </row>
    <row r="178">
      <c r="A178" s="20">
        <f>IF(AND(INDEX(Employes_Nom,172)&lt;&gt;"",INDEX(Employes_Statut,172)="Actif",OR(INDEX(Employes_Embauche,172)="",INDEX(Employes_Embauche,172)&lt;=EOMONTH(DATE(AnneeCourante,MoisCourant,1),0))),INDEX(Employes_ID,172),"")</f>
      </c>
      <c r="B178" s="19">
        <f>IF($A178="","",INDEX(Employes_Nom,MATCH($A178,Employes_ID,0)))</f>
      </c>
      <c r="C178" s="20">
        <f>IF($A178="","",INDEX(Employes_Categorie,MATCH($A178,Employes_ID,0)))</f>
      </c>
      <c r="D178" s="26"/>
      <c r="E178" s="27"/>
      <c r="F178" s="26"/>
      <c r="G178" s="27"/>
      <c r="H178" s="26"/>
      <c r="I178" s="27"/>
      <c r="J178" s="26"/>
      <c r="K178" s="27"/>
      <c r="L178" s="26"/>
      <c r="M178" s="27"/>
      <c r="N178" s="26"/>
      <c r="O178" s="27"/>
      <c r="P178" s="26"/>
      <c r="Q178" s="27"/>
      <c r="R178" s="26"/>
      <c r="S178" s="27"/>
      <c r="T178" s="26"/>
      <c r="U178" s="27"/>
      <c r="V178" s="26"/>
      <c r="W178" s="27"/>
      <c r="X178" s="26"/>
      <c r="Y178" s="27"/>
      <c r="Z178" s="26"/>
      <c r="AA178" s="27"/>
      <c r="AB178" s="26"/>
      <c r="AC178" s="27"/>
      <c r="AD178" s="26"/>
      <c r="AE178" s="27"/>
      <c r="AF178" s="26"/>
      <c r="AG178" s="27"/>
      <c r="AH178" s="26"/>
      <c r="AI178" s="27"/>
      <c r="AJ178" s="26"/>
      <c r="AK178" s="27"/>
      <c r="AL178" s="26"/>
      <c r="AM178" s="27"/>
      <c r="AN178" s="26"/>
      <c r="AO178" s="27"/>
      <c r="AP178" s="26"/>
      <c r="AQ178" s="27"/>
      <c r="AR178" s="26"/>
      <c r="AS178" s="27"/>
      <c r="AT178" s="26"/>
      <c r="AU178" s="27"/>
      <c r="AV178" s="26"/>
      <c r="AW178" s="27"/>
      <c r="AX178" s="26"/>
      <c r="AY178" s="27"/>
      <c r="AZ178" s="26"/>
      <c r="BA178" s="27"/>
      <c r="BB178" s="26"/>
      <c r="BC178" s="27"/>
      <c r="BD178" s="26"/>
      <c r="BE178" s="27"/>
      <c r="BF178" s="26"/>
      <c r="BG178" s="27"/>
      <c r="BH178" s="26"/>
      <c r="BI178" s="27"/>
      <c r="BJ178" s="26"/>
      <c r="BK178" s="27"/>
      <c r="BL178" s="26"/>
      <c r="BM178" s="27"/>
      <c r="BN178" s="22">
        <f>IF($A178="","",SUM(IF($D$5&lt;&gt;"",--(D178="Présent"),0),IF($F$5&lt;&gt;"",--(F178="Présent"),0),IF($H$5&lt;&gt;"",--(H178="Présent"),0),IF($J$5&lt;&gt;"",--(J178="Présent"),0),IF($L$5&lt;&gt;"",--(L178="Présent"),0),IF($N$5&lt;&gt;"",--(N178="Présent"),0),IF($P$5&lt;&gt;"",--(P178="Présent"),0),IF($R$5&lt;&gt;"",--(R178="Présent"),0),IF($T$5&lt;&gt;"",--(T178="Présent"),0),IF($V$5&lt;&gt;"",--(V178="Présent"),0),IF($X$5&lt;&gt;"",--(X178="Présent"),0),IF($Z$5&lt;&gt;"",--(Z178="Présent"),0),IF($AB$5&lt;&gt;"",--(AB178="Présent"),0),IF($AD$5&lt;&gt;"",--(AD178="Présent"),0),IF($AF$5&lt;&gt;"",--(AF178="Présent"),0),IF($AH$5&lt;&gt;"",--(AH178="Présent"),0),IF($AJ$5&lt;&gt;"",--(AJ178="Présent"),0),IF($AL$5&lt;&gt;"",--(AL178="Présent"),0),IF($AN$5&lt;&gt;"",--(AN178="Présent"),0),IF($AP$5&lt;&gt;"",--(AP178="Présent"),0),IF($AR$5&lt;&gt;"",--(AR178="Présent"),0),IF($AT$5&lt;&gt;"",--(AT178="Présent"),0),IF($AV$5&lt;&gt;"",--(AV178="Présent"),0),IF($AX$5&lt;&gt;"",--(AX178="Présent"),0),IF($AZ$5&lt;&gt;"",--(AZ178="Présent"),0),IF($BB$5&lt;&gt;"",--(BB178="Présent"),0),IF($BD$5&lt;&gt;"",--(BD178="Présent"),0),IF($BF$5&lt;&gt;"",--(BF178="Présent"),0),IF($BH$5&lt;&gt;"",--(BH178="Présent"),0),IF($BJ$5&lt;&gt;"",--(BJ178="Présent"),0),IF($BL$5&lt;&gt;"",--(BL178="Présent"),0)))</f>
      </c>
      <c r="BO178" s="22">
        <f>IF($A178="","",SUM(IF($D$5&lt;&gt;"",--(D178="Absent"),0),IF($F$5&lt;&gt;"",--(F178="Absent"),0),IF($H$5&lt;&gt;"",--(H178="Absent"),0),IF($J$5&lt;&gt;"",--(J178="Absent"),0),IF($L$5&lt;&gt;"",--(L178="Absent"),0),IF($N$5&lt;&gt;"",--(N178="Absent"),0),IF($P$5&lt;&gt;"",--(P178="Absent"),0),IF($R$5&lt;&gt;"",--(R178="Absent"),0),IF($T$5&lt;&gt;"",--(T178="Absent"),0),IF($V$5&lt;&gt;"",--(V178="Absent"),0),IF($X$5&lt;&gt;"",--(X178="Absent"),0),IF($Z$5&lt;&gt;"",--(Z178="Absent"),0),IF($AB$5&lt;&gt;"",--(AB178="Absent"),0),IF($AD$5&lt;&gt;"",--(AD178="Absent"),0),IF($AF$5&lt;&gt;"",--(AF178="Absent"),0),IF($AH$5&lt;&gt;"",--(AH178="Absent"),0),IF($AJ$5&lt;&gt;"",--(AJ178="Absent"),0),IF($AL$5&lt;&gt;"",--(AL178="Absent"),0),IF($AN$5&lt;&gt;"",--(AN178="Absent"),0),IF($AP$5&lt;&gt;"",--(AP178="Absent"),0),IF($AR$5&lt;&gt;"",--(AR178="Absent"),0),IF($AT$5&lt;&gt;"",--(AT178="Absent"),0),IF($AV$5&lt;&gt;"",--(AV178="Absent"),0),IF($AX$5&lt;&gt;"",--(AX178="Absent"),0),IF($AZ$5&lt;&gt;"",--(AZ178="Absent"),0),IF($BB$5&lt;&gt;"",--(BB178="Absent"),0),IF($BD$5&lt;&gt;"",--(BD178="Absent"),0),IF($BF$5&lt;&gt;"",--(BF178="Absent"),0),IF($BH$5&lt;&gt;"",--(BH178="Absent"),0),IF($BJ$5&lt;&gt;"",--(BJ178="Absent"),0),IF($BL$5&lt;&gt;"",--(BL178="Absent"),0)))</f>
      </c>
      <c r="BP178" s="22">
        <f>IF($A178="","",SUM(IF($D$5&lt;&gt;"",--(D178="Congé"),0),IF($F$5&lt;&gt;"",--(F178="Congé"),0),IF($H$5&lt;&gt;"",--(H178="Congé"),0),IF($J$5&lt;&gt;"",--(J178="Congé"),0),IF($L$5&lt;&gt;"",--(L178="Congé"),0),IF($N$5&lt;&gt;"",--(N178="Congé"),0),IF($P$5&lt;&gt;"",--(P178="Congé"),0),IF($R$5&lt;&gt;"",--(R178="Congé"),0),IF($T$5&lt;&gt;"",--(T178="Congé"),0),IF($V$5&lt;&gt;"",--(V178="Congé"),0),IF($X$5&lt;&gt;"",--(X178="Congé"),0),IF($Z$5&lt;&gt;"",--(Z178="Congé"),0),IF($AB$5&lt;&gt;"",--(AB178="Congé"),0),IF($AD$5&lt;&gt;"",--(AD178="Congé"),0),IF($AF$5&lt;&gt;"",--(AF178="Congé"),0),IF($AH$5&lt;&gt;"",--(AH178="Congé"),0),IF($AJ$5&lt;&gt;"",--(AJ178="Congé"),0),IF($AL$5&lt;&gt;"",--(AL178="Congé"),0),IF($AN$5&lt;&gt;"",--(AN178="Congé"),0),IF($AP$5&lt;&gt;"",--(AP178="Congé"),0),IF($AR$5&lt;&gt;"",--(AR178="Congé"),0),IF($AT$5&lt;&gt;"",--(AT178="Congé"),0),IF($AV$5&lt;&gt;"",--(AV178="Congé"),0),IF($AX$5&lt;&gt;"",--(AX178="Congé"),0),IF($AZ$5&lt;&gt;"",--(AZ178="Congé"),0),IF($BB$5&lt;&gt;"",--(BB178="Congé"),0),IF($BD$5&lt;&gt;"",--(BD178="Congé"),0),IF($BF$5&lt;&gt;"",--(BF178="Congé"),0),IF($BH$5&lt;&gt;"",--(BH178="Congé"),0),IF($BJ$5&lt;&gt;"",--(BJ178="Congé"),0),IF($BL$5&lt;&gt;"",--(BL178="Congé"),0)))</f>
      </c>
      <c r="BQ178" s="22">
        <f>IF($A178="","",SUM(IF($D$5&lt;&gt;"",--(D178="Maladie"),0),IF($F$5&lt;&gt;"",--(F178="Maladie"),0),IF($H$5&lt;&gt;"",--(H178="Maladie"),0),IF($J$5&lt;&gt;"",--(J178="Maladie"),0),IF($L$5&lt;&gt;"",--(L178="Maladie"),0),IF($N$5&lt;&gt;"",--(N178="Maladie"),0),IF($P$5&lt;&gt;"",--(P178="Maladie"),0),IF($R$5&lt;&gt;"",--(R178="Maladie"),0),IF($T$5&lt;&gt;"",--(T178="Maladie"),0),IF($V$5&lt;&gt;"",--(V178="Maladie"),0),IF($X$5&lt;&gt;"",--(X178="Maladie"),0),IF($Z$5&lt;&gt;"",--(Z178="Maladie"),0),IF($AB$5&lt;&gt;"",--(AB178="Maladie"),0),IF($AD$5&lt;&gt;"",--(AD178="Maladie"),0),IF($AF$5&lt;&gt;"",--(AF178="Maladie"),0),IF($AH$5&lt;&gt;"",--(AH178="Maladie"),0),IF($AJ$5&lt;&gt;"",--(AJ178="Maladie"),0),IF($AL$5&lt;&gt;"",--(AL178="Maladie"),0),IF($AN$5&lt;&gt;"",--(AN178="Maladie"),0),IF($AP$5&lt;&gt;"",--(AP178="Maladie"),0),IF($AR$5&lt;&gt;"",--(AR178="Maladie"),0),IF($AT$5&lt;&gt;"",--(AT178="Maladie"),0),IF($AV$5&lt;&gt;"",--(AV178="Maladie"),0),IF($AX$5&lt;&gt;"",--(AX178="Maladie"),0),IF($AZ$5&lt;&gt;"",--(AZ178="Maladie"),0),IF($BB$5&lt;&gt;"",--(BB178="Maladie"),0),IF($BD$5&lt;&gt;"",--(BD178="Maladie"),0),IF($BF$5&lt;&gt;"",--(BF178="Maladie"),0),IF($BH$5&lt;&gt;"",--(BH178="Maladie"),0),IF($BJ$5&lt;&gt;"",--(BJ178="Maladie"),0),IF($BL$5&lt;&gt;"",--(BL178="Maladie"),0)))</f>
      </c>
      <c r="BR178" s="23">
        <f>IF($A178="","",SUM(IF($D$5&lt;&gt;"",IF(D178="Présent",E178,0),0),IF($F$5&lt;&gt;"",IF(F178="Présent",G178,0),0),IF($H$5&lt;&gt;"",IF(H178="Présent",I178,0),0),IF($J$5&lt;&gt;"",IF(J178="Présent",K178,0),0),IF($L$5&lt;&gt;"",IF(L178="Présent",M178,0),0),IF($N$5&lt;&gt;"",IF(N178="Présent",O178,0),0),IF($P$5&lt;&gt;"",IF(P178="Présent",Q178,0),0),IF($R$5&lt;&gt;"",IF(R178="Présent",S178,0),0),IF($T$5&lt;&gt;"",IF(T178="Présent",U178,0),0),IF($V$5&lt;&gt;"",IF(V178="Présent",W178,0),0),IF($X$5&lt;&gt;"",IF(X178="Présent",Y178,0),0),IF($Z$5&lt;&gt;"",IF(Z178="Présent",AA178,0),0),IF($AB$5&lt;&gt;"",IF(AB178="Présent",AC178,0),0),IF($AD$5&lt;&gt;"",IF(AD178="Présent",AE178,0),0),IF($AF$5&lt;&gt;"",IF(AF178="Présent",AG178,0),0),IF($AH$5&lt;&gt;"",IF(AH178="Présent",AI178,0),0),IF($AJ$5&lt;&gt;"",IF(AJ178="Présent",AK178,0),0),IF($AL$5&lt;&gt;"",IF(AL178="Présent",AM178,0),0),IF($AN$5&lt;&gt;"",IF(AN178="Présent",AO178,0),0),IF($AP$5&lt;&gt;"",IF(AP178="Présent",AQ178,0),0),IF($AR$5&lt;&gt;"",IF(AR178="Présent",AS178,0),0),IF($AT$5&lt;&gt;"",IF(AT178="Présent",AU178,0),0),IF($AV$5&lt;&gt;"",IF(AV178="Présent",AW178,0),0),IF($AX$5&lt;&gt;"",IF(AX178="Présent",AY178,0),0),IF($AZ$5&lt;&gt;"",IF(AZ178="Présent",BA178,0),0),IF($BB$5&lt;&gt;"",IF(BB178="Présent",BC178,0),0),IF($BD$5&lt;&gt;"",IF(BD178="Présent",BE178,0),0),IF($BF$5&lt;&gt;"",IF(BF178="Présent",BG178,0),0),IF($BH$5&lt;&gt;"",IF(BH178="Présent",BI178,0),0),IF($BJ$5&lt;&gt;"",IF(BJ178="Présent",BK178,0),0),IF($BL$5&lt;&gt;"",IF(BL178="Présent",BM178,0),0)))</f>
      </c>
      <c r="BS178" s="25">
        <f>IF($A178="","",$BN178*IFERROR(INDEX(Categories_Salaire,MATCH($C178,ListeCategories,0)),0)+$BR178*IF(IFERROR(INDEX(Categories_TauxHS,MATCH($C178,ListeCategories,0)),0)&gt;0,IFERROR(INDEX(Categories_TauxHS,MATCH($C178,ListeCategories,0)),0),TauxHSDefaut))</f>
      </c>
    </row>
    <row r="179">
      <c r="A179" s="20">
        <f>IF(AND(INDEX(Employes_Nom,173)&lt;&gt;"",INDEX(Employes_Statut,173)="Actif",OR(INDEX(Employes_Embauche,173)="",INDEX(Employes_Embauche,173)&lt;=EOMONTH(DATE(AnneeCourante,MoisCourant,1),0))),INDEX(Employes_ID,173),"")</f>
      </c>
      <c r="B179" s="19">
        <f>IF($A179="","",INDEX(Employes_Nom,MATCH($A179,Employes_ID,0)))</f>
      </c>
      <c r="C179" s="20">
        <f>IF($A179="","",INDEX(Employes_Categorie,MATCH($A179,Employes_ID,0)))</f>
      </c>
      <c r="D179" s="26"/>
      <c r="E179" s="27"/>
      <c r="F179" s="26"/>
      <c r="G179" s="27"/>
      <c r="H179" s="26"/>
      <c r="I179" s="27"/>
      <c r="J179" s="26"/>
      <c r="K179" s="27"/>
      <c r="L179" s="26"/>
      <c r="M179" s="27"/>
      <c r="N179" s="26"/>
      <c r="O179" s="27"/>
      <c r="P179" s="26"/>
      <c r="Q179" s="27"/>
      <c r="R179" s="26"/>
      <c r="S179" s="27"/>
      <c r="T179" s="26"/>
      <c r="U179" s="27"/>
      <c r="V179" s="26"/>
      <c r="W179" s="27"/>
      <c r="X179" s="26"/>
      <c r="Y179" s="27"/>
      <c r="Z179" s="26"/>
      <c r="AA179" s="27"/>
      <c r="AB179" s="26"/>
      <c r="AC179" s="27"/>
      <c r="AD179" s="26"/>
      <c r="AE179" s="27"/>
      <c r="AF179" s="26"/>
      <c r="AG179" s="27"/>
      <c r="AH179" s="26"/>
      <c r="AI179" s="27"/>
      <c r="AJ179" s="26"/>
      <c r="AK179" s="27"/>
      <c r="AL179" s="26"/>
      <c r="AM179" s="27"/>
      <c r="AN179" s="26"/>
      <c r="AO179" s="27"/>
      <c r="AP179" s="26"/>
      <c r="AQ179" s="27"/>
      <c r="AR179" s="26"/>
      <c r="AS179" s="27"/>
      <c r="AT179" s="26"/>
      <c r="AU179" s="27"/>
      <c r="AV179" s="26"/>
      <c r="AW179" s="27"/>
      <c r="AX179" s="26"/>
      <c r="AY179" s="27"/>
      <c r="AZ179" s="26"/>
      <c r="BA179" s="27"/>
      <c r="BB179" s="26"/>
      <c r="BC179" s="27"/>
      <c r="BD179" s="26"/>
      <c r="BE179" s="27"/>
      <c r="BF179" s="26"/>
      <c r="BG179" s="27"/>
      <c r="BH179" s="26"/>
      <c r="BI179" s="27"/>
      <c r="BJ179" s="26"/>
      <c r="BK179" s="27"/>
      <c r="BL179" s="26"/>
      <c r="BM179" s="27"/>
      <c r="BN179" s="22">
        <f>IF($A179="","",SUM(IF($D$5&lt;&gt;"",--(D179="Présent"),0),IF($F$5&lt;&gt;"",--(F179="Présent"),0),IF($H$5&lt;&gt;"",--(H179="Présent"),0),IF($J$5&lt;&gt;"",--(J179="Présent"),0),IF($L$5&lt;&gt;"",--(L179="Présent"),0),IF($N$5&lt;&gt;"",--(N179="Présent"),0),IF($P$5&lt;&gt;"",--(P179="Présent"),0),IF($R$5&lt;&gt;"",--(R179="Présent"),0),IF($T$5&lt;&gt;"",--(T179="Présent"),0),IF($V$5&lt;&gt;"",--(V179="Présent"),0),IF($X$5&lt;&gt;"",--(X179="Présent"),0),IF($Z$5&lt;&gt;"",--(Z179="Présent"),0),IF($AB$5&lt;&gt;"",--(AB179="Présent"),0),IF($AD$5&lt;&gt;"",--(AD179="Présent"),0),IF($AF$5&lt;&gt;"",--(AF179="Présent"),0),IF($AH$5&lt;&gt;"",--(AH179="Présent"),0),IF($AJ$5&lt;&gt;"",--(AJ179="Présent"),0),IF($AL$5&lt;&gt;"",--(AL179="Présent"),0),IF($AN$5&lt;&gt;"",--(AN179="Présent"),0),IF($AP$5&lt;&gt;"",--(AP179="Présent"),0),IF($AR$5&lt;&gt;"",--(AR179="Présent"),0),IF($AT$5&lt;&gt;"",--(AT179="Présent"),0),IF($AV$5&lt;&gt;"",--(AV179="Présent"),0),IF($AX$5&lt;&gt;"",--(AX179="Présent"),0),IF($AZ$5&lt;&gt;"",--(AZ179="Présent"),0),IF($BB$5&lt;&gt;"",--(BB179="Présent"),0),IF($BD$5&lt;&gt;"",--(BD179="Présent"),0),IF($BF$5&lt;&gt;"",--(BF179="Présent"),0),IF($BH$5&lt;&gt;"",--(BH179="Présent"),0),IF($BJ$5&lt;&gt;"",--(BJ179="Présent"),0),IF($BL$5&lt;&gt;"",--(BL179="Présent"),0)))</f>
      </c>
      <c r="BO179" s="22">
        <f>IF($A179="","",SUM(IF($D$5&lt;&gt;"",--(D179="Absent"),0),IF($F$5&lt;&gt;"",--(F179="Absent"),0),IF($H$5&lt;&gt;"",--(H179="Absent"),0),IF($J$5&lt;&gt;"",--(J179="Absent"),0),IF($L$5&lt;&gt;"",--(L179="Absent"),0),IF($N$5&lt;&gt;"",--(N179="Absent"),0),IF($P$5&lt;&gt;"",--(P179="Absent"),0),IF($R$5&lt;&gt;"",--(R179="Absent"),0),IF($T$5&lt;&gt;"",--(T179="Absent"),0),IF($V$5&lt;&gt;"",--(V179="Absent"),0),IF($X$5&lt;&gt;"",--(X179="Absent"),0),IF($Z$5&lt;&gt;"",--(Z179="Absent"),0),IF($AB$5&lt;&gt;"",--(AB179="Absent"),0),IF($AD$5&lt;&gt;"",--(AD179="Absent"),0),IF($AF$5&lt;&gt;"",--(AF179="Absent"),0),IF($AH$5&lt;&gt;"",--(AH179="Absent"),0),IF($AJ$5&lt;&gt;"",--(AJ179="Absent"),0),IF($AL$5&lt;&gt;"",--(AL179="Absent"),0),IF($AN$5&lt;&gt;"",--(AN179="Absent"),0),IF($AP$5&lt;&gt;"",--(AP179="Absent"),0),IF($AR$5&lt;&gt;"",--(AR179="Absent"),0),IF($AT$5&lt;&gt;"",--(AT179="Absent"),0),IF($AV$5&lt;&gt;"",--(AV179="Absent"),0),IF($AX$5&lt;&gt;"",--(AX179="Absent"),0),IF($AZ$5&lt;&gt;"",--(AZ179="Absent"),0),IF($BB$5&lt;&gt;"",--(BB179="Absent"),0),IF($BD$5&lt;&gt;"",--(BD179="Absent"),0),IF($BF$5&lt;&gt;"",--(BF179="Absent"),0),IF($BH$5&lt;&gt;"",--(BH179="Absent"),0),IF($BJ$5&lt;&gt;"",--(BJ179="Absent"),0),IF($BL$5&lt;&gt;"",--(BL179="Absent"),0)))</f>
      </c>
      <c r="BP179" s="22">
        <f>IF($A179="","",SUM(IF($D$5&lt;&gt;"",--(D179="Congé"),0),IF($F$5&lt;&gt;"",--(F179="Congé"),0),IF($H$5&lt;&gt;"",--(H179="Congé"),0),IF($J$5&lt;&gt;"",--(J179="Congé"),0),IF($L$5&lt;&gt;"",--(L179="Congé"),0),IF($N$5&lt;&gt;"",--(N179="Congé"),0),IF($P$5&lt;&gt;"",--(P179="Congé"),0),IF($R$5&lt;&gt;"",--(R179="Congé"),0),IF($T$5&lt;&gt;"",--(T179="Congé"),0),IF($V$5&lt;&gt;"",--(V179="Congé"),0),IF($X$5&lt;&gt;"",--(X179="Congé"),0),IF($Z$5&lt;&gt;"",--(Z179="Congé"),0),IF($AB$5&lt;&gt;"",--(AB179="Congé"),0),IF($AD$5&lt;&gt;"",--(AD179="Congé"),0),IF($AF$5&lt;&gt;"",--(AF179="Congé"),0),IF($AH$5&lt;&gt;"",--(AH179="Congé"),0),IF($AJ$5&lt;&gt;"",--(AJ179="Congé"),0),IF($AL$5&lt;&gt;"",--(AL179="Congé"),0),IF($AN$5&lt;&gt;"",--(AN179="Congé"),0),IF($AP$5&lt;&gt;"",--(AP179="Congé"),0),IF($AR$5&lt;&gt;"",--(AR179="Congé"),0),IF($AT$5&lt;&gt;"",--(AT179="Congé"),0),IF($AV$5&lt;&gt;"",--(AV179="Congé"),0),IF($AX$5&lt;&gt;"",--(AX179="Congé"),0),IF($AZ$5&lt;&gt;"",--(AZ179="Congé"),0),IF($BB$5&lt;&gt;"",--(BB179="Congé"),0),IF($BD$5&lt;&gt;"",--(BD179="Congé"),0),IF($BF$5&lt;&gt;"",--(BF179="Congé"),0),IF($BH$5&lt;&gt;"",--(BH179="Congé"),0),IF($BJ$5&lt;&gt;"",--(BJ179="Congé"),0),IF($BL$5&lt;&gt;"",--(BL179="Congé"),0)))</f>
      </c>
      <c r="BQ179" s="22">
        <f>IF($A179="","",SUM(IF($D$5&lt;&gt;"",--(D179="Maladie"),0),IF($F$5&lt;&gt;"",--(F179="Maladie"),0),IF($H$5&lt;&gt;"",--(H179="Maladie"),0),IF($J$5&lt;&gt;"",--(J179="Maladie"),0),IF($L$5&lt;&gt;"",--(L179="Maladie"),0),IF($N$5&lt;&gt;"",--(N179="Maladie"),0),IF($P$5&lt;&gt;"",--(P179="Maladie"),0),IF($R$5&lt;&gt;"",--(R179="Maladie"),0),IF($T$5&lt;&gt;"",--(T179="Maladie"),0),IF($V$5&lt;&gt;"",--(V179="Maladie"),0),IF($X$5&lt;&gt;"",--(X179="Maladie"),0),IF($Z$5&lt;&gt;"",--(Z179="Maladie"),0),IF($AB$5&lt;&gt;"",--(AB179="Maladie"),0),IF($AD$5&lt;&gt;"",--(AD179="Maladie"),0),IF($AF$5&lt;&gt;"",--(AF179="Maladie"),0),IF($AH$5&lt;&gt;"",--(AH179="Maladie"),0),IF($AJ$5&lt;&gt;"",--(AJ179="Maladie"),0),IF($AL$5&lt;&gt;"",--(AL179="Maladie"),0),IF($AN$5&lt;&gt;"",--(AN179="Maladie"),0),IF($AP$5&lt;&gt;"",--(AP179="Maladie"),0),IF($AR$5&lt;&gt;"",--(AR179="Maladie"),0),IF($AT$5&lt;&gt;"",--(AT179="Maladie"),0),IF($AV$5&lt;&gt;"",--(AV179="Maladie"),0),IF($AX$5&lt;&gt;"",--(AX179="Maladie"),0),IF($AZ$5&lt;&gt;"",--(AZ179="Maladie"),0),IF($BB$5&lt;&gt;"",--(BB179="Maladie"),0),IF($BD$5&lt;&gt;"",--(BD179="Maladie"),0),IF($BF$5&lt;&gt;"",--(BF179="Maladie"),0),IF($BH$5&lt;&gt;"",--(BH179="Maladie"),0),IF($BJ$5&lt;&gt;"",--(BJ179="Maladie"),0),IF($BL$5&lt;&gt;"",--(BL179="Maladie"),0)))</f>
      </c>
      <c r="BR179" s="23">
        <f>IF($A179="","",SUM(IF($D$5&lt;&gt;"",IF(D179="Présent",E179,0),0),IF($F$5&lt;&gt;"",IF(F179="Présent",G179,0),0),IF($H$5&lt;&gt;"",IF(H179="Présent",I179,0),0),IF($J$5&lt;&gt;"",IF(J179="Présent",K179,0),0),IF($L$5&lt;&gt;"",IF(L179="Présent",M179,0),0),IF($N$5&lt;&gt;"",IF(N179="Présent",O179,0),0),IF($P$5&lt;&gt;"",IF(P179="Présent",Q179,0),0),IF($R$5&lt;&gt;"",IF(R179="Présent",S179,0),0),IF($T$5&lt;&gt;"",IF(T179="Présent",U179,0),0),IF($V$5&lt;&gt;"",IF(V179="Présent",W179,0),0),IF($X$5&lt;&gt;"",IF(X179="Présent",Y179,0),0),IF($Z$5&lt;&gt;"",IF(Z179="Présent",AA179,0),0),IF($AB$5&lt;&gt;"",IF(AB179="Présent",AC179,0),0),IF($AD$5&lt;&gt;"",IF(AD179="Présent",AE179,0),0),IF($AF$5&lt;&gt;"",IF(AF179="Présent",AG179,0),0),IF($AH$5&lt;&gt;"",IF(AH179="Présent",AI179,0),0),IF($AJ$5&lt;&gt;"",IF(AJ179="Présent",AK179,0),0),IF($AL$5&lt;&gt;"",IF(AL179="Présent",AM179,0),0),IF($AN$5&lt;&gt;"",IF(AN179="Présent",AO179,0),0),IF($AP$5&lt;&gt;"",IF(AP179="Présent",AQ179,0),0),IF($AR$5&lt;&gt;"",IF(AR179="Présent",AS179,0),0),IF($AT$5&lt;&gt;"",IF(AT179="Présent",AU179,0),0),IF($AV$5&lt;&gt;"",IF(AV179="Présent",AW179,0),0),IF($AX$5&lt;&gt;"",IF(AX179="Présent",AY179,0),0),IF($AZ$5&lt;&gt;"",IF(AZ179="Présent",BA179,0),0),IF($BB$5&lt;&gt;"",IF(BB179="Présent",BC179,0),0),IF($BD$5&lt;&gt;"",IF(BD179="Présent",BE179,0),0),IF($BF$5&lt;&gt;"",IF(BF179="Présent",BG179,0),0),IF($BH$5&lt;&gt;"",IF(BH179="Présent",BI179,0),0),IF($BJ$5&lt;&gt;"",IF(BJ179="Présent",BK179,0),0),IF($BL$5&lt;&gt;"",IF(BL179="Présent",BM179,0),0)))</f>
      </c>
      <c r="BS179" s="25">
        <f>IF($A179="","",$BN179*IFERROR(INDEX(Categories_Salaire,MATCH($C179,ListeCategories,0)),0)+$BR179*IF(IFERROR(INDEX(Categories_TauxHS,MATCH($C179,ListeCategories,0)),0)&gt;0,IFERROR(INDEX(Categories_TauxHS,MATCH($C179,ListeCategories,0)),0),TauxHSDefaut))</f>
      </c>
    </row>
    <row r="180">
      <c r="A180" s="20">
        <f>IF(AND(INDEX(Employes_Nom,174)&lt;&gt;"",INDEX(Employes_Statut,174)="Actif",OR(INDEX(Employes_Embauche,174)="",INDEX(Employes_Embauche,174)&lt;=EOMONTH(DATE(AnneeCourante,MoisCourant,1),0))),INDEX(Employes_ID,174),"")</f>
      </c>
      <c r="B180" s="19">
        <f>IF($A180="","",INDEX(Employes_Nom,MATCH($A180,Employes_ID,0)))</f>
      </c>
      <c r="C180" s="20">
        <f>IF($A180="","",INDEX(Employes_Categorie,MATCH($A180,Employes_ID,0)))</f>
      </c>
      <c r="D180" s="26"/>
      <c r="E180" s="27"/>
      <c r="F180" s="26"/>
      <c r="G180" s="27"/>
      <c r="H180" s="26"/>
      <c r="I180" s="27"/>
      <c r="J180" s="26"/>
      <c r="K180" s="27"/>
      <c r="L180" s="26"/>
      <c r="M180" s="27"/>
      <c r="N180" s="26"/>
      <c r="O180" s="27"/>
      <c r="P180" s="26"/>
      <c r="Q180" s="27"/>
      <c r="R180" s="26"/>
      <c r="S180" s="27"/>
      <c r="T180" s="26"/>
      <c r="U180" s="27"/>
      <c r="V180" s="26"/>
      <c r="W180" s="27"/>
      <c r="X180" s="26"/>
      <c r="Y180" s="27"/>
      <c r="Z180" s="26"/>
      <c r="AA180" s="27"/>
      <c r="AB180" s="26"/>
      <c r="AC180" s="27"/>
      <c r="AD180" s="26"/>
      <c r="AE180" s="27"/>
      <c r="AF180" s="26"/>
      <c r="AG180" s="27"/>
      <c r="AH180" s="26"/>
      <c r="AI180" s="27"/>
      <c r="AJ180" s="26"/>
      <c r="AK180" s="27"/>
      <c r="AL180" s="26"/>
      <c r="AM180" s="27"/>
      <c r="AN180" s="26"/>
      <c r="AO180" s="27"/>
      <c r="AP180" s="26"/>
      <c r="AQ180" s="27"/>
      <c r="AR180" s="26"/>
      <c r="AS180" s="27"/>
      <c r="AT180" s="26"/>
      <c r="AU180" s="27"/>
      <c r="AV180" s="26"/>
      <c r="AW180" s="27"/>
      <c r="AX180" s="26"/>
      <c r="AY180" s="27"/>
      <c r="AZ180" s="26"/>
      <c r="BA180" s="27"/>
      <c r="BB180" s="26"/>
      <c r="BC180" s="27"/>
      <c r="BD180" s="26"/>
      <c r="BE180" s="27"/>
      <c r="BF180" s="26"/>
      <c r="BG180" s="27"/>
      <c r="BH180" s="26"/>
      <c r="BI180" s="27"/>
      <c r="BJ180" s="26"/>
      <c r="BK180" s="27"/>
      <c r="BL180" s="26"/>
      <c r="BM180" s="27"/>
      <c r="BN180" s="22">
        <f>IF($A180="","",SUM(IF($D$5&lt;&gt;"",--(D180="Présent"),0),IF($F$5&lt;&gt;"",--(F180="Présent"),0),IF($H$5&lt;&gt;"",--(H180="Présent"),0),IF($J$5&lt;&gt;"",--(J180="Présent"),0),IF($L$5&lt;&gt;"",--(L180="Présent"),0),IF($N$5&lt;&gt;"",--(N180="Présent"),0),IF($P$5&lt;&gt;"",--(P180="Présent"),0),IF($R$5&lt;&gt;"",--(R180="Présent"),0),IF($T$5&lt;&gt;"",--(T180="Présent"),0),IF($V$5&lt;&gt;"",--(V180="Présent"),0),IF($X$5&lt;&gt;"",--(X180="Présent"),0),IF($Z$5&lt;&gt;"",--(Z180="Présent"),0),IF($AB$5&lt;&gt;"",--(AB180="Présent"),0),IF($AD$5&lt;&gt;"",--(AD180="Présent"),0),IF($AF$5&lt;&gt;"",--(AF180="Présent"),0),IF($AH$5&lt;&gt;"",--(AH180="Présent"),0),IF($AJ$5&lt;&gt;"",--(AJ180="Présent"),0),IF($AL$5&lt;&gt;"",--(AL180="Présent"),0),IF($AN$5&lt;&gt;"",--(AN180="Présent"),0),IF($AP$5&lt;&gt;"",--(AP180="Présent"),0),IF($AR$5&lt;&gt;"",--(AR180="Présent"),0),IF($AT$5&lt;&gt;"",--(AT180="Présent"),0),IF($AV$5&lt;&gt;"",--(AV180="Présent"),0),IF($AX$5&lt;&gt;"",--(AX180="Présent"),0),IF($AZ$5&lt;&gt;"",--(AZ180="Présent"),0),IF($BB$5&lt;&gt;"",--(BB180="Présent"),0),IF($BD$5&lt;&gt;"",--(BD180="Présent"),0),IF($BF$5&lt;&gt;"",--(BF180="Présent"),0),IF($BH$5&lt;&gt;"",--(BH180="Présent"),0),IF($BJ$5&lt;&gt;"",--(BJ180="Présent"),0),IF($BL$5&lt;&gt;"",--(BL180="Présent"),0)))</f>
      </c>
      <c r="BO180" s="22">
        <f>IF($A180="","",SUM(IF($D$5&lt;&gt;"",--(D180="Absent"),0),IF($F$5&lt;&gt;"",--(F180="Absent"),0),IF($H$5&lt;&gt;"",--(H180="Absent"),0),IF($J$5&lt;&gt;"",--(J180="Absent"),0),IF($L$5&lt;&gt;"",--(L180="Absent"),0),IF($N$5&lt;&gt;"",--(N180="Absent"),0),IF($P$5&lt;&gt;"",--(P180="Absent"),0),IF($R$5&lt;&gt;"",--(R180="Absent"),0),IF($T$5&lt;&gt;"",--(T180="Absent"),0),IF($V$5&lt;&gt;"",--(V180="Absent"),0),IF($X$5&lt;&gt;"",--(X180="Absent"),0),IF($Z$5&lt;&gt;"",--(Z180="Absent"),0),IF($AB$5&lt;&gt;"",--(AB180="Absent"),0),IF($AD$5&lt;&gt;"",--(AD180="Absent"),0),IF($AF$5&lt;&gt;"",--(AF180="Absent"),0),IF($AH$5&lt;&gt;"",--(AH180="Absent"),0),IF($AJ$5&lt;&gt;"",--(AJ180="Absent"),0),IF($AL$5&lt;&gt;"",--(AL180="Absent"),0),IF($AN$5&lt;&gt;"",--(AN180="Absent"),0),IF($AP$5&lt;&gt;"",--(AP180="Absent"),0),IF($AR$5&lt;&gt;"",--(AR180="Absent"),0),IF($AT$5&lt;&gt;"",--(AT180="Absent"),0),IF($AV$5&lt;&gt;"",--(AV180="Absent"),0),IF($AX$5&lt;&gt;"",--(AX180="Absent"),0),IF($AZ$5&lt;&gt;"",--(AZ180="Absent"),0),IF($BB$5&lt;&gt;"",--(BB180="Absent"),0),IF($BD$5&lt;&gt;"",--(BD180="Absent"),0),IF($BF$5&lt;&gt;"",--(BF180="Absent"),0),IF($BH$5&lt;&gt;"",--(BH180="Absent"),0),IF($BJ$5&lt;&gt;"",--(BJ180="Absent"),0),IF($BL$5&lt;&gt;"",--(BL180="Absent"),0)))</f>
      </c>
      <c r="BP180" s="22">
        <f>IF($A180="","",SUM(IF($D$5&lt;&gt;"",--(D180="Congé"),0),IF($F$5&lt;&gt;"",--(F180="Congé"),0),IF($H$5&lt;&gt;"",--(H180="Congé"),0),IF($J$5&lt;&gt;"",--(J180="Congé"),0),IF($L$5&lt;&gt;"",--(L180="Congé"),0),IF($N$5&lt;&gt;"",--(N180="Congé"),0),IF($P$5&lt;&gt;"",--(P180="Congé"),0),IF($R$5&lt;&gt;"",--(R180="Congé"),0),IF($T$5&lt;&gt;"",--(T180="Congé"),0),IF($V$5&lt;&gt;"",--(V180="Congé"),0),IF($X$5&lt;&gt;"",--(X180="Congé"),0),IF($Z$5&lt;&gt;"",--(Z180="Congé"),0),IF($AB$5&lt;&gt;"",--(AB180="Congé"),0),IF($AD$5&lt;&gt;"",--(AD180="Congé"),0),IF($AF$5&lt;&gt;"",--(AF180="Congé"),0),IF($AH$5&lt;&gt;"",--(AH180="Congé"),0),IF($AJ$5&lt;&gt;"",--(AJ180="Congé"),0),IF($AL$5&lt;&gt;"",--(AL180="Congé"),0),IF($AN$5&lt;&gt;"",--(AN180="Congé"),0),IF($AP$5&lt;&gt;"",--(AP180="Congé"),0),IF($AR$5&lt;&gt;"",--(AR180="Congé"),0),IF($AT$5&lt;&gt;"",--(AT180="Congé"),0),IF($AV$5&lt;&gt;"",--(AV180="Congé"),0),IF($AX$5&lt;&gt;"",--(AX180="Congé"),0),IF($AZ$5&lt;&gt;"",--(AZ180="Congé"),0),IF($BB$5&lt;&gt;"",--(BB180="Congé"),0),IF($BD$5&lt;&gt;"",--(BD180="Congé"),0),IF($BF$5&lt;&gt;"",--(BF180="Congé"),0),IF($BH$5&lt;&gt;"",--(BH180="Congé"),0),IF($BJ$5&lt;&gt;"",--(BJ180="Congé"),0),IF($BL$5&lt;&gt;"",--(BL180="Congé"),0)))</f>
      </c>
      <c r="BQ180" s="22">
        <f>IF($A180="","",SUM(IF($D$5&lt;&gt;"",--(D180="Maladie"),0),IF($F$5&lt;&gt;"",--(F180="Maladie"),0),IF($H$5&lt;&gt;"",--(H180="Maladie"),0),IF($J$5&lt;&gt;"",--(J180="Maladie"),0),IF($L$5&lt;&gt;"",--(L180="Maladie"),0),IF($N$5&lt;&gt;"",--(N180="Maladie"),0),IF($P$5&lt;&gt;"",--(P180="Maladie"),0),IF($R$5&lt;&gt;"",--(R180="Maladie"),0),IF($T$5&lt;&gt;"",--(T180="Maladie"),0),IF($V$5&lt;&gt;"",--(V180="Maladie"),0),IF($X$5&lt;&gt;"",--(X180="Maladie"),0),IF($Z$5&lt;&gt;"",--(Z180="Maladie"),0),IF($AB$5&lt;&gt;"",--(AB180="Maladie"),0),IF($AD$5&lt;&gt;"",--(AD180="Maladie"),0),IF($AF$5&lt;&gt;"",--(AF180="Maladie"),0),IF($AH$5&lt;&gt;"",--(AH180="Maladie"),0),IF($AJ$5&lt;&gt;"",--(AJ180="Maladie"),0),IF($AL$5&lt;&gt;"",--(AL180="Maladie"),0),IF($AN$5&lt;&gt;"",--(AN180="Maladie"),0),IF($AP$5&lt;&gt;"",--(AP180="Maladie"),0),IF($AR$5&lt;&gt;"",--(AR180="Maladie"),0),IF($AT$5&lt;&gt;"",--(AT180="Maladie"),0),IF($AV$5&lt;&gt;"",--(AV180="Maladie"),0),IF($AX$5&lt;&gt;"",--(AX180="Maladie"),0),IF($AZ$5&lt;&gt;"",--(AZ180="Maladie"),0),IF($BB$5&lt;&gt;"",--(BB180="Maladie"),0),IF($BD$5&lt;&gt;"",--(BD180="Maladie"),0),IF($BF$5&lt;&gt;"",--(BF180="Maladie"),0),IF($BH$5&lt;&gt;"",--(BH180="Maladie"),0),IF($BJ$5&lt;&gt;"",--(BJ180="Maladie"),0),IF($BL$5&lt;&gt;"",--(BL180="Maladie"),0)))</f>
      </c>
      <c r="BR180" s="23">
        <f>IF($A180="","",SUM(IF($D$5&lt;&gt;"",IF(D180="Présent",E180,0),0),IF($F$5&lt;&gt;"",IF(F180="Présent",G180,0),0),IF($H$5&lt;&gt;"",IF(H180="Présent",I180,0),0),IF($J$5&lt;&gt;"",IF(J180="Présent",K180,0),0),IF($L$5&lt;&gt;"",IF(L180="Présent",M180,0),0),IF($N$5&lt;&gt;"",IF(N180="Présent",O180,0),0),IF($P$5&lt;&gt;"",IF(P180="Présent",Q180,0),0),IF($R$5&lt;&gt;"",IF(R180="Présent",S180,0),0),IF($T$5&lt;&gt;"",IF(T180="Présent",U180,0),0),IF($V$5&lt;&gt;"",IF(V180="Présent",W180,0),0),IF($X$5&lt;&gt;"",IF(X180="Présent",Y180,0),0),IF($Z$5&lt;&gt;"",IF(Z180="Présent",AA180,0),0),IF($AB$5&lt;&gt;"",IF(AB180="Présent",AC180,0),0),IF($AD$5&lt;&gt;"",IF(AD180="Présent",AE180,0),0),IF($AF$5&lt;&gt;"",IF(AF180="Présent",AG180,0),0),IF($AH$5&lt;&gt;"",IF(AH180="Présent",AI180,0),0),IF($AJ$5&lt;&gt;"",IF(AJ180="Présent",AK180,0),0),IF($AL$5&lt;&gt;"",IF(AL180="Présent",AM180,0),0),IF($AN$5&lt;&gt;"",IF(AN180="Présent",AO180,0),0),IF($AP$5&lt;&gt;"",IF(AP180="Présent",AQ180,0),0),IF($AR$5&lt;&gt;"",IF(AR180="Présent",AS180,0),0),IF($AT$5&lt;&gt;"",IF(AT180="Présent",AU180,0),0),IF($AV$5&lt;&gt;"",IF(AV180="Présent",AW180,0),0),IF($AX$5&lt;&gt;"",IF(AX180="Présent",AY180,0),0),IF($AZ$5&lt;&gt;"",IF(AZ180="Présent",BA180,0),0),IF($BB$5&lt;&gt;"",IF(BB180="Présent",BC180,0),0),IF($BD$5&lt;&gt;"",IF(BD180="Présent",BE180,0),0),IF($BF$5&lt;&gt;"",IF(BF180="Présent",BG180,0),0),IF($BH$5&lt;&gt;"",IF(BH180="Présent",BI180,0),0),IF($BJ$5&lt;&gt;"",IF(BJ180="Présent",BK180,0),0),IF($BL$5&lt;&gt;"",IF(BL180="Présent",BM180,0),0)))</f>
      </c>
      <c r="BS180" s="25">
        <f>IF($A180="","",$BN180*IFERROR(INDEX(Categories_Salaire,MATCH($C180,ListeCategories,0)),0)+$BR180*IF(IFERROR(INDEX(Categories_TauxHS,MATCH($C180,ListeCategories,0)),0)&gt;0,IFERROR(INDEX(Categories_TauxHS,MATCH($C180,ListeCategories,0)),0),TauxHSDefaut))</f>
      </c>
    </row>
    <row r="181">
      <c r="A181" s="20">
        <f>IF(AND(INDEX(Employes_Nom,175)&lt;&gt;"",INDEX(Employes_Statut,175)="Actif",OR(INDEX(Employes_Embauche,175)="",INDEX(Employes_Embauche,175)&lt;=EOMONTH(DATE(AnneeCourante,MoisCourant,1),0))),INDEX(Employes_ID,175),"")</f>
      </c>
      <c r="B181" s="19">
        <f>IF($A181="","",INDEX(Employes_Nom,MATCH($A181,Employes_ID,0)))</f>
      </c>
      <c r="C181" s="20">
        <f>IF($A181="","",INDEX(Employes_Categorie,MATCH($A181,Employes_ID,0)))</f>
      </c>
      <c r="D181" s="26"/>
      <c r="E181" s="27"/>
      <c r="F181" s="26"/>
      <c r="G181" s="27"/>
      <c r="H181" s="26"/>
      <c r="I181" s="27"/>
      <c r="J181" s="26"/>
      <c r="K181" s="27"/>
      <c r="L181" s="26"/>
      <c r="M181" s="27"/>
      <c r="N181" s="26"/>
      <c r="O181" s="27"/>
      <c r="P181" s="26"/>
      <c r="Q181" s="27"/>
      <c r="R181" s="26"/>
      <c r="S181" s="27"/>
      <c r="T181" s="26"/>
      <c r="U181" s="27"/>
      <c r="V181" s="26"/>
      <c r="W181" s="27"/>
      <c r="X181" s="26"/>
      <c r="Y181" s="27"/>
      <c r="Z181" s="26"/>
      <c r="AA181" s="27"/>
      <c r="AB181" s="26"/>
      <c r="AC181" s="27"/>
      <c r="AD181" s="26"/>
      <c r="AE181" s="27"/>
      <c r="AF181" s="26"/>
      <c r="AG181" s="27"/>
      <c r="AH181" s="26"/>
      <c r="AI181" s="27"/>
      <c r="AJ181" s="26"/>
      <c r="AK181" s="27"/>
      <c r="AL181" s="26"/>
      <c r="AM181" s="27"/>
      <c r="AN181" s="26"/>
      <c r="AO181" s="27"/>
      <c r="AP181" s="26"/>
      <c r="AQ181" s="27"/>
      <c r="AR181" s="26"/>
      <c r="AS181" s="27"/>
      <c r="AT181" s="26"/>
      <c r="AU181" s="27"/>
      <c r="AV181" s="26"/>
      <c r="AW181" s="27"/>
      <c r="AX181" s="26"/>
      <c r="AY181" s="27"/>
      <c r="AZ181" s="26"/>
      <c r="BA181" s="27"/>
      <c r="BB181" s="26"/>
      <c r="BC181" s="27"/>
      <c r="BD181" s="26"/>
      <c r="BE181" s="27"/>
      <c r="BF181" s="26"/>
      <c r="BG181" s="27"/>
      <c r="BH181" s="26"/>
      <c r="BI181" s="27"/>
      <c r="BJ181" s="26"/>
      <c r="BK181" s="27"/>
      <c r="BL181" s="26"/>
      <c r="BM181" s="27"/>
      <c r="BN181" s="22">
        <f>IF($A181="","",SUM(IF($D$5&lt;&gt;"",--(D181="Présent"),0),IF($F$5&lt;&gt;"",--(F181="Présent"),0),IF($H$5&lt;&gt;"",--(H181="Présent"),0),IF($J$5&lt;&gt;"",--(J181="Présent"),0),IF($L$5&lt;&gt;"",--(L181="Présent"),0),IF($N$5&lt;&gt;"",--(N181="Présent"),0),IF($P$5&lt;&gt;"",--(P181="Présent"),0),IF($R$5&lt;&gt;"",--(R181="Présent"),0),IF($T$5&lt;&gt;"",--(T181="Présent"),0),IF($V$5&lt;&gt;"",--(V181="Présent"),0),IF($X$5&lt;&gt;"",--(X181="Présent"),0),IF($Z$5&lt;&gt;"",--(Z181="Présent"),0),IF($AB$5&lt;&gt;"",--(AB181="Présent"),0),IF($AD$5&lt;&gt;"",--(AD181="Présent"),0),IF($AF$5&lt;&gt;"",--(AF181="Présent"),0),IF($AH$5&lt;&gt;"",--(AH181="Présent"),0),IF($AJ$5&lt;&gt;"",--(AJ181="Présent"),0),IF($AL$5&lt;&gt;"",--(AL181="Présent"),0),IF($AN$5&lt;&gt;"",--(AN181="Présent"),0),IF($AP$5&lt;&gt;"",--(AP181="Présent"),0),IF($AR$5&lt;&gt;"",--(AR181="Présent"),0),IF($AT$5&lt;&gt;"",--(AT181="Présent"),0),IF($AV$5&lt;&gt;"",--(AV181="Présent"),0),IF($AX$5&lt;&gt;"",--(AX181="Présent"),0),IF($AZ$5&lt;&gt;"",--(AZ181="Présent"),0),IF($BB$5&lt;&gt;"",--(BB181="Présent"),0),IF($BD$5&lt;&gt;"",--(BD181="Présent"),0),IF($BF$5&lt;&gt;"",--(BF181="Présent"),0),IF($BH$5&lt;&gt;"",--(BH181="Présent"),0),IF($BJ$5&lt;&gt;"",--(BJ181="Présent"),0),IF($BL$5&lt;&gt;"",--(BL181="Présent"),0)))</f>
      </c>
      <c r="BO181" s="22">
        <f>IF($A181="","",SUM(IF($D$5&lt;&gt;"",--(D181="Absent"),0),IF($F$5&lt;&gt;"",--(F181="Absent"),0),IF($H$5&lt;&gt;"",--(H181="Absent"),0),IF($J$5&lt;&gt;"",--(J181="Absent"),0),IF($L$5&lt;&gt;"",--(L181="Absent"),0),IF($N$5&lt;&gt;"",--(N181="Absent"),0),IF($P$5&lt;&gt;"",--(P181="Absent"),0),IF($R$5&lt;&gt;"",--(R181="Absent"),0),IF($T$5&lt;&gt;"",--(T181="Absent"),0),IF($V$5&lt;&gt;"",--(V181="Absent"),0),IF($X$5&lt;&gt;"",--(X181="Absent"),0),IF($Z$5&lt;&gt;"",--(Z181="Absent"),0),IF($AB$5&lt;&gt;"",--(AB181="Absent"),0),IF($AD$5&lt;&gt;"",--(AD181="Absent"),0),IF($AF$5&lt;&gt;"",--(AF181="Absent"),0),IF($AH$5&lt;&gt;"",--(AH181="Absent"),0),IF($AJ$5&lt;&gt;"",--(AJ181="Absent"),0),IF($AL$5&lt;&gt;"",--(AL181="Absent"),0),IF($AN$5&lt;&gt;"",--(AN181="Absent"),0),IF($AP$5&lt;&gt;"",--(AP181="Absent"),0),IF($AR$5&lt;&gt;"",--(AR181="Absent"),0),IF($AT$5&lt;&gt;"",--(AT181="Absent"),0),IF($AV$5&lt;&gt;"",--(AV181="Absent"),0),IF($AX$5&lt;&gt;"",--(AX181="Absent"),0),IF($AZ$5&lt;&gt;"",--(AZ181="Absent"),0),IF($BB$5&lt;&gt;"",--(BB181="Absent"),0),IF($BD$5&lt;&gt;"",--(BD181="Absent"),0),IF($BF$5&lt;&gt;"",--(BF181="Absent"),0),IF($BH$5&lt;&gt;"",--(BH181="Absent"),0),IF($BJ$5&lt;&gt;"",--(BJ181="Absent"),0),IF($BL$5&lt;&gt;"",--(BL181="Absent"),0)))</f>
      </c>
      <c r="BP181" s="22">
        <f>IF($A181="","",SUM(IF($D$5&lt;&gt;"",--(D181="Congé"),0),IF($F$5&lt;&gt;"",--(F181="Congé"),0),IF($H$5&lt;&gt;"",--(H181="Congé"),0),IF($J$5&lt;&gt;"",--(J181="Congé"),0),IF($L$5&lt;&gt;"",--(L181="Congé"),0),IF($N$5&lt;&gt;"",--(N181="Congé"),0),IF($P$5&lt;&gt;"",--(P181="Congé"),0),IF($R$5&lt;&gt;"",--(R181="Congé"),0),IF($T$5&lt;&gt;"",--(T181="Congé"),0),IF($V$5&lt;&gt;"",--(V181="Congé"),0),IF($X$5&lt;&gt;"",--(X181="Congé"),0),IF($Z$5&lt;&gt;"",--(Z181="Congé"),0),IF($AB$5&lt;&gt;"",--(AB181="Congé"),0),IF($AD$5&lt;&gt;"",--(AD181="Congé"),0),IF($AF$5&lt;&gt;"",--(AF181="Congé"),0),IF($AH$5&lt;&gt;"",--(AH181="Congé"),0),IF($AJ$5&lt;&gt;"",--(AJ181="Congé"),0),IF($AL$5&lt;&gt;"",--(AL181="Congé"),0),IF($AN$5&lt;&gt;"",--(AN181="Congé"),0),IF($AP$5&lt;&gt;"",--(AP181="Congé"),0),IF($AR$5&lt;&gt;"",--(AR181="Congé"),0),IF($AT$5&lt;&gt;"",--(AT181="Congé"),0),IF($AV$5&lt;&gt;"",--(AV181="Congé"),0),IF($AX$5&lt;&gt;"",--(AX181="Congé"),0),IF($AZ$5&lt;&gt;"",--(AZ181="Congé"),0),IF($BB$5&lt;&gt;"",--(BB181="Congé"),0),IF($BD$5&lt;&gt;"",--(BD181="Congé"),0),IF($BF$5&lt;&gt;"",--(BF181="Congé"),0),IF($BH$5&lt;&gt;"",--(BH181="Congé"),0),IF($BJ$5&lt;&gt;"",--(BJ181="Congé"),0),IF($BL$5&lt;&gt;"",--(BL181="Congé"),0)))</f>
      </c>
      <c r="BQ181" s="22">
        <f>IF($A181="","",SUM(IF($D$5&lt;&gt;"",--(D181="Maladie"),0),IF($F$5&lt;&gt;"",--(F181="Maladie"),0),IF($H$5&lt;&gt;"",--(H181="Maladie"),0),IF($J$5&lt;&gt;"",--(J181="Maladie"),0),IF($L$5&lt;&gt;"",--(L181="Maladie"),0),IF($N$5&lt;&gt;"",--(N181="Maladie"),0),IF($P$5&lt;&gt;"",--(P181="Maladie"),0),IF($R$5&lt;&gt;"",--(R181="Maladie"),0),IF($T$5&lt;&gt;"",--(T181="Maladie"),0),IF($V$5&lt;&gt;"",--(V181="Maladie"),0),IF($X$5&lt;&gt;"",--(X181="Maladie"),0),IF($Z$5&lt;&gt;"",--(Z181="Maladie"),0),IF($AB$5&lt;&gt;"",--(AB181="Maladie"),0),IF($AD$5&lt;&gt;"",--(AD181="Maladie"),0),IF($AF$5&lt;&gt;"",--(AF181="Maladie"),0),IF($AH$5&lt;&gt;"",--(AH181="Maladie"),0),IF($AJ$5&lt;&gt;"",--(AJ181="Maladie"),0),IF($AL$5&lt;&gt;"",--(AL181="Maladie"),0),IF($AN$5&lt;&gt;"",--(AN181="Maladie"),0),IF($AP$5&lt;&gt;"",--(AP181="Maladie"),0),IF($AR$5&lt;&gt;"",--(AR181="Maladie"),0),IF($AT$5&lt;&gt;"",--(AT181="Maladie"),0),IF($AV$5&lt;&gt;"",--(AV181="Maladie"),0),IF($AX$5&lt;&gt;"",--(AX181="Maladie"),0),IF($AZ$5&lt;&gt;"",--(AZ181="Maladie"),0),IF($BB$5&lt;&gt;"",--(BB181="Maladie"),0),IF($BD$5&lt;&gt;"",--(BD181="Maladie"),0),IF($BF$5&lt;&gt;"",--(BF181="Maladie"),0),IF($BH$5&lt;&gt;"",--(BH181="Maladie"),0),IF($BJ$5&lt;&gt;"",--(BJ181="Maladie"),0),IF($BL$5&lt;&gt;"",--(BL181="Maladie"),0)))</f>
      </c>
      <c r="BR181" s="23">
        <f>IF($A181="","",SUM(IF($D$5&lt;&gt;"",IF(D181="Présent",E181,0),0),IF($F$5&lt;&gt;"",IF(F181="Présent",G181,0),0),IF($H$5&lt;&gt;"",IF(H181="Présent",I181,0),0),IF($J$5&lt;&gt;"",IF(J181="Présent",K181,0),0),IF($L$5&lt;&gt;"",IF(L181="Présent",M181,0),0),IF($N$5&lt;&gt;"",IF(N181="Présent",O181,0),0),IF($P$5&lt;&gt;"",IF(P181="Présent",Q181,0),0),IF($R$5&lt;&gt;"",IF(R181="Présent",S181,0),0),IF($T$5&lt;&gt;"",IF(T181="Présent",U181,0),0),IF($V$5&lt;&gt;"",IF(V181="Présent",W181,0),0),IF($X$5&lt;&gt;"",IF(X181="Présent",Y181,0),0),IF($Z$5&lt;&gt;"",IF(Z181="Présent",AA181,0),0),IF($AB$5&lt;&gt;"",IF(AB181="Présent",AC181,0),0),IF($AD$5&lt;&gt;"",IF(AD181="Présent",AE181,0),0),IF($AF$5&lt;&gt;"",IF(AF181="Présent",AG181,0),0),IF($AH$5&lt;&gt;"",IF(AH181="Présent",AI181,0),0),IF($AJ$5&lt;&gt;"",IF(AJ181="Présent",AK181,0),0),IF($AL$5&lt;&gt;"",IF(AL181="Présent",AM181,0),0),IF($AN$5&lt;&gt;"",IF(AN181="Présent",AO181,0),0),IF($AP$5&lt;&gt;"",IF(AP181="Présent",AQ181,0),0),IF($AR$5&lt;&gt;"",IF(AR181="Présent",AS181,0),0),IF($AT$5&lt;&gt;"",IF(AT181="Présent",AU181,0),0),IF($AV$5&lt;&gt;"",IF(AV181="Présent",AW181,0),0),IF($AX$5&lt;&gt;"",IF(AX181="Présent",AY181,0),0),IF($AZ$5&lt;&gt;"",IF(AZ181="Présent",BA181,0),0),IF($BB$5&lt;&gt;"",IF(BB181="Présent",BC181,0),0),IF($BD$5&lt;&gt;"",IF(BD181="Présent",BE181,0),0),IF($BF$5&lt;&gt;"",IF(BF181="Présent",BG181,0),0),IF($BH$5&lt;&gt;"",IF(BH181="Présent",BI181,0),0),IF($BJ$5&lt;&gt;"",IF(BJ181="Présent",BK181,0),0),IF($BL$5&lt;&gt;"",IF(BL181="Présent",BM181,0),0)))</f>
      </c>
      <c r="BS181" s="25">
        <f>IF($A181="","",$BN181*IFERROR(INDEX(Categories_Salaire,MATCH($C181,ListeCategories,0)),0)+$BR181*IF(IFERROR(INDEX(Categories_TauxHS,MATCH($C181,ListeCategories,0)),0)&gt;0,IFERROR(INDEX(Categories_TauxHS,MATCH($C181,ListeCategories,0)),0),TauxHSDefaut))</f>
      </c>
    </row>
    <row r="182">
      <c r="A182" s="20">
        <f>IF(AND(INDEX(Employes_Nom,176)&lt;&gt;"",INDEX(Employes_Statut,176)="Actif",OR(INDEX(Employes_Embauche,176)="",INDEX(Employes_Embauche,176)&lt;=EOMONTH(DATE(AnneeCourante,MoisCourant,1),0))),INDEX(Employes_ID,176),"")</f>
      </c>
      <c r="B182" s="19">
        <f>IF($A182="","",INDEX(Employes_Nom,MATCH($A182,Employes_ID,0)))</f>
      </c>
      <c r="C182" s="20">
        <f>IF($A182="","",INDEX(Employes_Categorie,MATCH($A182,Employes_ID,0)))</f>
      </c>
      <c r="D182" s="26"/>
      <c r="E182" s="27"/>
      <c r="F182" s="26"/>
      <c r="G182" s="27"/>
      <c r="H182" s="26"/>
      <c r="I182" s="27"/>
      <c r="J182" s="26"/>
      <c r="K182" s="27"/>
      <c r="L182" s="26"/>
      <c r="M182" s="27"/>
      <c r="N182" s="26"/>
      <c r="O182" s="27"/>
      <c r="P182" s="26"/>
      <c r="Q182" s="27"/>
      <c r="R182" s="26"/>
      <c r="S182" s="27"/>
      <c r="T182" s="26"/>
      <c r="U182" s="27"/>
      <c r="V182" s="26"/>
      <c r="W182" s="27"/>
      <c r="X182" s="26"/>
      <c r="Y182" s="27"/>
      <c r="Z182" s="26"/>
      <c r="AA182" s="27"/>
      <c r="AB182" s="26"/>
      <c r="AC182" s="27"/>
      <c r="AD182" s="26"/>
      <c r="AE182" s="27"/>
      <c r="AF182" s="26"/>
      <c r="AG182" s="27"/>
      <c r="AH182" s="26"/>
      <c r="AI182" s="27"/>
      <c r="AJ182" s="26"/>
      <c r="AK182" s="27"/>
      <c r="AL182" s="26"/>
      <c r="AM182" s="27"/>
      <c r="AN182" s="26"/>
      <c r="AO182" s="27"/>
      <c r="AP182" s="26"/>
      <c r="AQ182" s="27"/>
      <c r="AR182" s="26"/>
      <c r="AS182" s="27"/>
      <c r="AT182" s="26"/>
      <c r="AU182" s="27"/>
      <c r="AV182" s="26"/>
      <c r="AW182" s="27"/>
      <c r="AX182" s="26"/>
      <c r="AY182" s="27"/>
      <c r="AZ182" s="26"/>
      <c r="BA182" s="27"/>
      <c r="BB182" s="26"/>
      <c r="BC182" s="27"/>
      <c r="BD182" s="26"/>
      <c r="BE182" s="27"/>
      <c r="BF182" s="26"/>
      <c r="BG182" s="27"/>
      <c r="BH182" s="26"/>
      <c r="BI182" s="27"/>
      <c r="BJ182" s="26"/>
      <c r="BK182" s="27"/>
      <c r="BL182" s="26"/>
      <c r="BM182" s="27"/>
      <c r="BN182" s="22">
        <f>IF($A182="","",SUM(IF($D$5&lt;&gt;"",--(D182="Présent"),0),IF($F$5&lt;&gt;"",--(F182="Présent"),0),IF($H$5&lt;&gt;"",--(H182="Présent"),0),IF($J$5&lt;&gt;"",--(J182="Présent"),0),IF($L$5&lt;&gt;"",--(L182="Présent"),0),IF($N$5&lt;&gt;"",--(N182="Présent"),0),IF($P$5&lt;&gt;"",--(P182="Présent"),0),IF($R$5&lt;&gt;"",--(R182="Présent"),0),IF($T$5&lt;&gt;"",--(T182="Présent"),0),IF($V$5&lt;&gt;"",--(V182="Présent"),0),IF($X$5&lt;&gt;"",--(X182="Présent"),0),IF($Z$5&lt;&gt;"",--(Z182="Présent"),0),IF($AB$5&lt;&gt;"",--(AB182="Présent"),0),IF($AD$5&lt;&gt;"",--(AD182="Présent"),0),IF($AF$5&lt;&gt;"",--(AF182="Présent"),0),IF($AH$5&lt;&gt;"",--(AH182="Présent"),0),IF($AJ$5&lt;&gt;"",--(AJ182="Présent"),0),IF($AL$5&lt;&gt;"",--(AL182="Présent"),0),IF($AN$5&lt;&gt;"",--(AN182="Présent"),0),IF($AP$5&lt;&gt;"",--(AP182="Présent"),0),IF($AR$5&lt;&gt;"",--(AR182="Présent"),0),IF($AT$5&lt;&gt;"",--(AT182="Présent"),0),IF($AV$5&lt;&gt;"",--(AV182="Présent"),0),IF($AX$5&lt;&gt;"",--(AX182="Présent"),0),IF($AZ$5&lt;&gt;"",--(AZ182="Présent"),0),IF($BB$5&lt;&gt;"",--(BB182="Présent"),0),IF($BD$5&lt;&gt;"",--(BD182="Présent"),0),IF($BF$5&lt;&gt;"",--(BF182="Présent"),0),IF($BH$5&lt;&gt;"",--(BH182="Présent"),0),IF($BJ$5&lt;&gt;"",--(BJ182="Présent"),0),IF($BL$5&lt;&gt;"",--(BL182="Présent"),0)))</f>
      </c>
      <c r="BO182" s="22">
        <f>IF($A182="","",SUM(IF($D$5&lt;&gt;"",--(D182="Absent"),0),IF($F$5&lt;&gt;"",--(F182="Absent"),0),IF($H$5&lt;&gt;"",--(H182="Absent"),0),IF($J$5&lt;&gt;"",--(J182="Absent"),0),IF($L$5&lt;&gt;"",--(L182="Absent"),0),IF($N$5&lt;&gt;"",--(N182="Absent"),0),IF($P$5&lt;&gt;"",--(P182="Absent"),0),IF($R$5&lt;&gt;"",--(R182="Absent"),0),IF($T$5&lt;&gt;"",--(T182="Absent"),0),IF($V$5&lt;&gt;"",--(V182="Absent"),0),IF($X$5&lt;&gt;"",--(X182="Absent"),0),IF($Z$5&lt;&gt;"",--(Z182="Absent"),0),IF($AB$5&lt;&gt;"",--(AB182="Absent"),0),IF($AD$5&lt;&gt;"",--(AD182="Absent"),0),IF($AF$5&lt;&gt;"",--(AF182="Absent"),0),IF($AH$5&lt;&gt;"",--(AH182="Absent"),0),IF($AJ$5&lt;&gt;"",--(AJ182="Absent"),0),IF($AL$5&lt;&gt;"",--(AL182="Absent"),0),IF($AN$5&lt;&gt;"",--(AN182="Absent"),0),IF($AP$5&lt;&gt;"",--(AP182="Absent"),0),IF($AR$5&lt;&gt;"",--(AR182="Absent"),0),IF($AT$5&lt;&gt;"",--(AT182="Absent"),0),IF($AV$5&lt;&gt;"",--(AV182="Absent"),0),IF($AX$5&lt;&gt;"",--(AX182="Absent"),0),IF($AZ$5&lt;&gt;"",--(AZ182="Absent"),0),IF($BB$5&lt;&gt;"",--(BB182="Absent"),0),IF($BD$5&lt;&gt;"",--(BD182="Absent"),0),IF($BF$5&lt;&gt;"",--(BF182="Absent"),0),IF($BH$5&lt;&gt;"",--(BH182="Absent"),0),IF($BJ$5&lt;&gt;"",--(BJ182="Absent"),0),IF($BL$5&lt;&gt;"",--(BL182="Absent"),0)))</f>
      </c>
      <c r="BP182" s="22">
        <f>IF($A182="","",SUM(IF($D$5&lt;&gt;"",--(D182="Congé"),0),IF($F$5&lt;&gt;"",--(F182="Congé"),0),IF($H$5&lt;&gt;"",--(H182="Congé"),0),IF($J$5&lt;&gt;"",--(J182="Congé"),0),IF($L$5&lt;&gt;"",--(L182="Congé"),0),IF($N$5&lt;&gt;"",--(N182="Congé"),0),IF($P$5&lt;&gt;"",--(P182="Congé"),0),IF($R$5&lt;&gt;"",--(R182="Congé"),0),IF($T$5&lt;&gt;"",--(T182="Congé"),0),IF($V$5&lt;&gt;"",--(V182="Congé"),0),IF($X$5&lt;&gt;"",--(X182="Congé"),0),IF($Z$5&lt;&gt;"",--(Z182="Congé"),0),IF($AB$5&lt;&gt;"",--(AB182="Congé"),0),IF($AD$5&lt;&gt;"",--(AD182="Congé"),0),IF($AF$5&lt;&gt;"",--(AF182="Congé"),0),IF($AH$5&lt;&gt;"",--(AH182="Congé"),0),IF($AJ$5&lt;&gt;"",--(AJ182="Congé"),0),IF($AL$5&lt;&gt;"",--(AL182="Congé"),0),IF($AN$5&lt;&gt;"",--(AN182="Congé"),0),IF($AP$5&lt;&gt;"",--(AP182="Congé"),0),IF($AR$5&lt;&gt;"",--(AR182="Congé"),0),IF($AT$5&lt;&gt;"",--(AT182="Congé"),0),IF($AV$5&lt;&gt;"",--(AV182="Congé"),0),IF($AX$5&lt;&gt;"",--(AX182="Congé"),0),IF($AZ$5&lt;&gt;"",--(AZ182="Congé"),0),IF($BB$5&lt;&gt;"",--(BB182="Congé"),0),IF($BD$5&lt;&gt;"",--(BD182="Congé"),0),IF($BF$5&lt;&gt;"",--(BF182="Congé"),0),IF($BH$5&lt;&gt;"",--(BH182="Congé"),0),IF($BJ$5&lt;&gt;"",--(BJ182="Congé"),0),IF($BL$5&lt;&gt;"",--(BL182="Congé"),0)))</f>
      </c>
      <c r="BQ182" s="22">
        <f>IF($A182="","",SUM(IF($D$5&lt;&gt;"",--(D182="Maladie"),0),IF($F$5&lt;&gt;"",--(F182="Maladie"),0),IF($H$5&lt;&gt;"",--(H182="Maladie"),0),IF($J$5&lt;&gt;"",--(J182="Maladie"),0),IF($L$5&lt;&gt;"",--(L182="Maladie"),0),IF($N$5&lt;&gt;"",--(N182="Maladie"),0),IF($P$5&lt;&gt;"",--(P182="Maladie"),0),IF($R$5&lt;&gt;"",--(R182="Maladie"),0),IF($T$5&lt;&gt;"",--(T182="Maladie"),0),IF($V$5&lt;&gt;"",--(V182="Maladie"),0),IF($X$5&lt;&gt;"",--(X182="Maladie"),0),IF($Z$5&lt;&gt;"",--(Z182="Maladie"),0),IF($AB$5&lt;&gt;"",--(AB182="Maladie"),0),IF($AD$5&lt;&gt;"",--(AD182="Maladie"),0),IF($AF$5&lt;&gt;"",--(AF182="Maladie"),0),IF($AH$5&lt;&gt;"",--(AH182="Maladie"),0),IF($AJ$5&lt;&gt;"",--(AJ182="Maladie"),0),IF($AL$5&lt;&gt;"",--(AL182="Maladie"),0),IF($AN$5&lt;&gt;"",--(AN182="Maladie"),0),IF($AP$5&lt;&gt;"",--(AP182="Maladie"),0),IF($AR$5&lt;&gt;"",--(AR182="Maladie"),0),IF($AT$5&lt;&gt;"",--(AT182="Maladie"),0),IF($AV$5&lt;&gt;"",--(AV182="Maladie"),0),IF($AX$5&lt;&gt;"",--(AX182="Maladie"),0),IF($AZ$5&lt;&gt;"",--(AZ182="Maladie"),0),IF($BB$5&lt;&gt;"",--(BB182="Maladie"),0),IF($BD$5&lt;&gt;"",--(BD182="Maladie"),0),IF($BF$5&lt;&gt;"",--(BF182="Maladie"),0),IF($BH$5&lt;&gt;"",--(BH182="Maladie"),0),IF($BJ$5&lt;&gt;"",--(BJ182="Maladie"),0),IF($BL$5&lt;&gt;"",--(BL182="Maladie"),0)))</f>
      </c>
      <c r="BR182" s="23">
        <f>IF($A182="","",SUM(IF($D$5&lt;&gt;"",IF(D182="Présent",E182,0),0),IF($F$5&lt;&gt;"",IF(F182="Présent",G182,0),0),IF($H$5&lt;&gt;"",IF(H182="Présent",I182,0),0),IF($J$5&lt;&gt;"",IF(J182="Présent",K182,0),0),IF($L$5&lt;&gt;"",IF(L182="Présent",M182,0),0),IF($N$5&lt;&gt;"",IF(N182="Présent",O182,0),0),IF($P$5&lt;&gt;"",IF(P182="Présent",Q182,0),0),IF($R$5&lt;&gt;"",IF(R182="Présent",S182,0),0),IF($T$5&lt;&gt;"",IF(T182="Présent",U182,0),0),IF($V$5&lt;&gt;"",IF(V182="Présent",W182,0),0),IF($X$5&lt;&gt;"",IF(X182="Présent",Y182,0),0),IF($Z$5&lt;&gt;"",IF(Z182="Présent",AA182,0),0),IF($AB$5&lt;&gt;"",IF(AB182="Présent",AC182,0),0),IF($AD$5&lt;&gt;"",IF(AD182="Présent",AE182,0),0),IF($AF$5&lt;&gt;"",IF(AF182="Présent",AG182,0),0),IF($AH$5&lt;&gt;"",IF(AH182="Présent",AI182,0),0),IF($AJ$5&lt;&gt;"",IF(AJ182="Présent",AK182,0),0),IF($AL$5&lt;&gt;"",IF(AL182="Présent",AM182,0),0),IF($AN$5&lt;&gt;"",IF(AN182="Présent",AO182,0),0),IF($AP$5&lt;&gt;"",IF(AP182="Présent",AQ182,0),0),IF($AR$5&lt;&gt;"",IF(AR182="Présent",AS182,0),0),IF($AT$5&lt;&gt;"",IF(AT182="Présent",AU182,0),0),IF($AV$5&lt;&gt;"",IF(AV182="Présent",AW182,0),0),IF($AX$5&lt;&gt;"",IF(AX182="Présent",AY182,0),0),IF($AZ$5&lt;&gt;"",IF(AZ182="Présent",BA182,0),0),IF($BB$5&lt;&gt;"",IF(BB182="Présent",BC182,0),0),IF($BD$5&lt;&gt;"",IF(BD182="Présent",BE182,0),0),IF($BF$5&lt;&gt;"",IF(BF182="Présent",BG182,0),0),IF($BH$5&lt;&gt;"",IF(BH182="Présent",BI182,0),0),IF($BJ$5&lt;&gt;"",IF(BJ182="Présent",BK182,0),0),IF($BL$5&lt;&gt;"",IF(BL182="Présent",BM182,0),0)))</f>
      </c>
      <c r="BS182" s="25">
        <f>IF($A182="","",$BN182*IFERROR(INDEX(Categories_Salaire,MATCH($C182,ListeCategories,0)),0)+$BR182*IF(IFERROR(INDEX(Categories_TauxHS,MATCH($C182,ListeCategories,0)),0)&gt;0,IFERROR(INDEX(Categories_TauxHS,MATCH($C182,ListeCategories,0)),0),TauxHSDefaut))</f>
      </c>
    </row>
    <row r="183">
      <c r="A183" s="20">
        <f>IF(AND(INDEX(Employes_Nom,177)&lt;&gt;"",INDEX(Employes_Statut,177)="Actif",OR(INDEX(Employes_Embauche,177)="",INDEX(Employes_Embauche,177)&lt;=EOMONTH(DATE(AnneeCourante,MoisCourant,1),0))),INDEX(Employes_ID,177),"")</f>
      </c>
      <c r="B183" s="19">
        <f>IF($A183="","",INDEX(Employes_Nom,MATCH($A183,Employes_ID,0)))</f>
      </c>
      <c r="C183" s="20">
        <f>IF($A183="","",INDEX(Employes_Categorie,MATCH($A183,Employes_ID,0)))</f>
      </c>
      <c r="D183" s="26"/>
      <c r="E183" s="27"/>
      <c r="F183" s="26"/>
      <c r="G183" s="27"/>
      <c r="H183" s="26"/>
      <c r="I183" s="27"/>
      <c r="J183" s="26"/>
      <c r="K183" s="27"/>
      <c r="L183" s="26"/>
      <c r="M183" s="27"/>
      <c r="N183" s="26"/>
      <c r="O183" s="27"/>
      <c r="P183" s="26"/>
      <c r="Q183" s="27"/>
      <c r="R183" s="26"/>
      <c r="S183" s="27"/>
      <c r="T183" s="26"/>
      <c r="U183" s="27"/>
      <c r="V183" s="26"/>
      <c r="W183" s="27"/>
      <c r="X183" s="26"/>
      <c r="Y183" s="27"/>
      <c r="Z183" s="26"/>
      <c r="AA183" s="27"/>
      <c r="AB183" s="26"/>
      <c r="AC183" s="27"/>
      <c r="AD183" s="26"/>
      <c r="AE183" s="27"/>
      <c r="AF183" s="26"/>
      <c r="AG183" s="27"/>
      <c r="AH183" s="26"/>
      <c r="AI183" s="27"/>
      <c r="AJ183" s="26"/>
      <c r="AK183" s="27"/>
      <c r="AL183" s="26"/>
      <c r="AM183" s="27"/>
      <c r="AN183" s="26"/>
      <c r="AO183" s="27"/>
      <c r="AP183" s="26"/>
      <c r="AQ183" s="27"/>
      <c r="AR183" s="26"/>
      <c r="AS183" s="27"/>
      <c r="AT183" s="26"/>
      <c r="AU183" s="27"/>
      <c r="AV183" s="26"/>
      <c r="AW183" s="27"/>
      <c r="AX183" s="26"/>
      <c r="AY183" s="27"/>
      <c r="AZ183" s="26"/>
      <c r="BA183" s="27"/>
      <c r="BB183" s="26"/>
      <c r="BC183" s="27"/>
      <c r="BD183" s="26"/>
      <c r="BE183" s="27"/>
      <c r="BF183" s="26"/>
      <c r="BG183" s="27"/>
      <c r="BH183" s="26"/>
      <c r="BI183" s="27"/>
      <c r="BJ183" s="26"/>
      <c r="BK183" s="27"/>
      <c r="BL183" s="26"/>
      <c r="BM183" s="27"/>
      <c r="BN183" s="22">
        <f>IF($A183="","",SUM(IF($D$5&lt;&gt;"",--(D183="Présent"),0),IF($F$5&lt;&gt;"",--(F183="Présent"),0),IF($H$5&lt;&gt;"",--(H183="Présent"),0),IF($J$5&lt;&gt;"",--(J183="Présent"),0),IF($L$5&lt;&gt;"",--(L183="Présent"),0),IF($N$5&lt;&gt;"",--(N183="Présent"),0),IF($P$5&lt;&gt;"",--(P183="Présent"),0),IF($R$5&lt;&gt;"",--(R183="Présent"),0),IF($T$5&lt;&gt;"",--(T183="Présent"),0),IF($V$5&lt;&gt;"",--(V183="Présent"),0),IF($X$5&lt;&gt;"",--(X183="Présent"),0),IF($Z$5&lt;&gt;"",--(Z183="Présent"),0),IF($AB$5&lt;&gt;"",--(AB183="Présent"),0),IF($AD$5&lt;&gt;"",--(AD183="Présent"),0),IF($AF$5&lt;&gt;"",--(AF183="Présent"),0),IF($AH$5&lt;&gt;"",--(AH183="Présent"),0),IF($AJ$5&lt;&gt;"",--(AJ183="Présent"),0),IF($AL$5&lt;&gt;"",--(AL183="Présent"),0),IF($AN$5&lt;&gt;"",--(AN183="Présent"),0),IF($AP$5&lt;&gt;"",--(AP183="Présent"),0),IF($AR$5&lt;&gt;"",--(AR183="Présent"),0),IF($AT$5&lt;&gt;"",--(AT183="Présent"),0),IF($AV$5&lt;&gt;"",--(AV183="Présent"),0),IF($AX$5&lt;&gt;"",--(AX183="Présent"),0),IF($AZ$5&lt;&gt;"",--(AZ183="Présent"),0),IF($BB$5&lt;&gt;"",--(BB183="Présent"),0),IF($BD$5&lt;&gt;"",--(BD183="Présent"),0),IF($BF$5&lt;&gt;"",--(BF183="Présent"),0),IF($BH$5&lt;&gt;"",--(BH183="Présent"),0),IF($BJ$5&lt;&gt;"",--(BJ183="Présent"),0),IF($BL$5&lt;&gt;"",--(BL183="Présent"),0)))</f>
      </c>
      <c r="BO183" s="22">
        <f>IF($A183="","",SUM(IF($D$5&lt;&gt;"",--(D183="Absent"),0),IF($F$5&lt;&gt;"",--(F183="Absent"),0),IF($H$5&lt;&gt;"",--(H183="Absent"),0),IF($J$5&lt;&gt;"",--(J183="Absent"),0),IF($L$5&lt;&gt;"",--(L183="Absent"),0),IF($N$5&lt;&gt;"",--(N183="Absent"),0),IF($P$5&lt;&gt;"",--(P183="Absent"),0),IF($R$5&lt;&gt;"",--(R183="Absent"),0),IF($T$5&lt;&gt;"",--(T183="Absent"),0),IF($V$5&lt;&gt;"",--(V183="Absent"),0),IF($X$5&lt;&gt;"",--(X183="Absent"),0),IF($Z$5&lt;&gt;"",--(Z183="Absent"),0),IF($AB$5&lt;&gt;"",--(AB183="Absent"),0),IF($AD$5&lt;&gt;"",--(AD183="Absent"),0),IF($AF$5&lt;&gt;"",--(AF183="Absent"),0),IF($AH$5&lt;&gt;"",--(AH183="Absent"),0),IF($AJ$5&lt;&gt;"",--(AJ183="Absent"),0),IF($AL$5&lt;&gt;"",--(AL183="Absent"),0),IF($AN$5&lt;&gt;"",--(AN183="Absent"),0),IF($AP$5&lt;&gt;"",--(AP183="Absent"),0),IF($AR$5&lt;&gt;"",--(AR183="Absent"),0),IF($AT$5&lt;&gt;"",--(AT183="Absent"),0),IF($AV$5&lt;&gt;"",--(AV183="Absent"),0),IF($AX$5&lt;&gt;"",--(AX183="Absent"),0),IF($AZ$5&lt;&gt;"",--(AZ183="Absent"),0),IF($BB$5&lt;&gt;"",--(BB183="Absent"),0),IF($BD$5&lt;&gt;"",--(BD183="Absent"),0),IF($BF$5&lt;&gt;"",--(BF183="Absent"),0),IF($BH$5&lt;&gt;"",--(BH183="Absent"),0),IF($BJ$5&lt;&gt;"",--(BJ183="Absent"),0),IF($BL$5&lt;&gt;"",--(BL183="Absent"),0)))</f>
      </c>
      <c r="BP183" s="22">
        <f>IF($A183="","",SUM(IF($D$5&lt;&gt;"",--(D183="Congé"),0),IF($F$5&lt;&gt;"",--(F183="Congé"),0),IF($H$5&lt;&gt;"",--(H183="Congé"),0),IF($J$5&lt;&gt;"",--(J183="Congé"),0),IF($L$5&lt;&gt;"",--(L183="Congé"),0),IF($N$5&lt;&gt;"",--(N183="Congé"),0),IF($P$5&lt;&gt;"",--(P183="Congé"),0),IF($R$5&lt;&gt;"",--(R183="Congé"),0),IF($T$5&lt;&gt;"",--(T183="Congé"),0),IF($V$5&lt;&gt;"",--(V183="Congé"),0),IF($X$5&lt;&gt;"",--(X183="Congé"),0),IF($Z$5&lt;&gt;"",--(Z183="Congé"),0),IF($AB$5&lt;&gt;"",--(AB183="Congé"),0),IF($AD$5&lt;&gt;"",--(AD183="Congé"),0),IF($AF$5&lt;&gt;"",--(AF183="Congé"),0),IF($AH$5&lt;&gt;"",--(AH183="Congé"),0),IF($AJ$5&lt;&gt;"",--(AJ183="Congé"),0),IF($AL$5&lt;&gt;"",--(AL183="Congé"),0),IF($AN$5&lt;&gt;"",--(AN183="Congé"),0),IF($AP$5&lt;&gt;"",--(AP183="Congé"),0),IF($AR$5&lt;&gt;"",--(AR183="Congé"),0),IF($AT$5&lt;&gt;"",--(AT183="Congé"),0),IF($AV$5&lt;&gt;"",--(AV183="Congé"),0),IF($AX$5&lt;&gt;"",--(AX183="Congé"),0),IF($AZ$5&lt;&gt;"",--(AZ183="Congé"),0),IF($BB$5&lt;&gt;"",--(BB183="Congé"),0),IF($BD$5&lt;&gt;"",--(BD183="Congé"),0),IF($BF$5&lt;&gt;"",--(BF183="Congé"),0),IF($BH$5&lt;&gt;"",--(BH183="Congé"),0),IF($BJ$5&lt;&gt;"",--(BJ183="Congé"),0),IF($BL$5&lt;&gt;"",--(BL183="Congé"),0)))</f>
      </c>
      <c r="BQ183" s="22">
        <f>IF($A183="","",SUM(IF($D$5&lt;&gt;"",--(D183="Maladie"),0),IF($F$5&lt;&gt;"",--(F183="Maladie"),0),IF($H$5&lt;&gt;"",--(H183="Maladie"),0),IF($J$5&lt;&gt;"",--(J183="Maladie"),0),IF($L$5&lt;&gt;"",--(L183="Maladie"),0),IF($N$5&lt;&gt;"",--(N183="Maladie"),0),IF($P$5&lt;&gt;"",--(P183="Maladie"),0),IF($R$5&lt;&gt;"",--(R183="Maladie"),0),IF($T$5&lt;&gt;"",--(T183="Maladie"),0),IF($V$5&lt;&gt;"",--(V183="Maladie"),0),IF($X$5&lt;&gt;"",--(X183="Maladie"),0),IF($Z$5&lt;&gt;"",--(Z183="Maladie"),0),IF($AB$5&lt;&gt;"",--(AB183="Maladie"),0),IF($AD$5&lt;&gt;"",--(AD183="Maladie"),0),IF($AF$5&lt;&gt;"",--(AF183="Maladie"),0),IF($AH$5&lt;&gt;"",--(AH183="Maladie"),0),IF($AJ$5&lt;&gt;"",--(AJ183="Maladie"),0),IF($AL$5&lt;&gt;"",--(AL183="Maladie"),0),IF($AN$5&lt;&gt;"",--(AN183="Maladie"),0),IF($AP$5&lt;&gt;"",--(AP183="Maladie"),0),IF($AR$5&lt;&gt;"",--(AR183="Maladie"),0),IF($AT$5&lt;&gt;"",--(AT183="Maladie"),0),IF($AV$5&lt;&gt;"",--(AV183="Maladie"),0),IF($AX$5&lt;&gt;"",--(AX183="Maladie"),0),IF($AZ$5&lt;&gt;"",--(AZ183="Maladie"),0),IF($BB$5&lt;&gt;"",--(BB183="Maladie"),0),IF($BD$5&lt;&gt;"",--(BD183="Maladie"),0),IF($BF$5&lt;&gt;"",--(BF183="Maladie"),0),IF($BH$5&lt;&gt;"",--(BH183="Maladie"),0),IF($BJ$5&lt;&gt;"",--(BJ183="Maladie"),0),IF($BL$5&lt;&gt;"",--(BL183="Maladie"),0)))</f>
      </c>
      <c r="BR183" s="23">
        <f>IF($A183="","",SUM(IF($D$5&lt;&gt;"",IF(D183="Présent",E183,0),0),IF($F$5&lt;&gt;"",IF(F183="Présent",G183,0),0),IF($H$5&lt;&gt;"",IF(H183="Présent",I183,0),0),IF($J$5&lt;&gt;"",IF(J183="Présent",K183,0),0),IF($L$5&lt;&gt;"",IF(L183="Présent",M183,0),0),IF($N$5&lt;&gt;"",IF(N183="Présent",O183,0),0),IF($P$5&lt;&gt;"",IF(P183="Présent",Q183,0),0),IF($R$5&lt;&gt;"",IF(R183="Présent",S183,0),0),IF($T$5&lt;&gt;"",IF(T183="Présent",U183,0),0),IF($V$5&lt;&gt;"",IF(V183="Présent",W183,0),0),IF($X$5&lt;&gt;"",IF(X183="Présent",Y183,0),0),IF($Z$5&lt;&gt;"",IF(Z183="Présent",AA183,0),0),IF($AB$5&lt;&gt;"",IF(AB183="Présent",AC183,0),0),IF($AD$5&lt;&gt;"",IF(AD183="Présent",AE183,0),0),IF($AF$5&lt;&gt;"",IF(AF183="Présent",AG183,0),0),IF($AH$5&lt;&gt;"",IF(AH183="Présent",AI183,0),0),IF($AJ$5&lt;&gt;"",IF(AJ183="Présent",AK183,0),0),IF($AL$5&lt;&gt;"",IF(AL183="Présent",AM183,0),0),IF($AN$5&lt;&gt;"",IF(AN183="Présent",AO183,0),0),IF($AP$5&lt;&gt;"",IF(AP183="Présent",AQ183,0),0),IF($AR$5&lt;&gt;"",IF(AR183="Présent",AS183,0),0),IF($AT$5&lt;&gt;"",IF(AT183="Présent",AU183,0),0),IF($AV$5&lt;&gt;"",IF(AV183="Présent",AW183,0),0),IF($AX$5&lt;&gt;"",IF(AX183="Présent",AY183,0),0),IF($AZ$5&lt;&gt;"",IF(AZ183="Présent",BA183,0),0),IF($BB$5&lt;&gt;"",IF(BB183="Présent",BC183,0),0),IF($BD$5&lt;&gt;"",IF(BD183="Présent",BE183,0),0),IF($BF$5&lt;&gt;"",IF(BF183="Présent",BG183,0),0),IF($BH$5&lt;&gt;"",IF(BH183="Présent",BI183,0),0),IF($BJ$5&lt;&gt;"",IF(BJ183="Présent",BK183,0),0),IF($BL$5&lt;&gt;"",IF(BL183="Présent",BM183,0),0)))</f>
      </c>
      <c r="BS183" s="25">
        <f>IF($A183="","",$BN183*IFERROR(INDEX(Categories_Salaire,MATCH($C183,ListeCategories,0)),0)+$BR183*IF(IFERROR(INDEX(Categories_TauxHS,MATCH($C183,ListeCategories,0)),0)&gt;0,IFERROR(INDEX(Categories_TauxHS,MATCH($C183,ListeCategories,0)),0),TauxHSDefaut))</f>
      </c>
    </row>
    <row r="184">
      <c r="A184" s="20">
        <f>IF(AND(INDEX(Employes_Nom,178)&lt;&gt;"",INDEX(Employes_Statut,178)="Actif",OR(INDEX(Employes_Embauche,178)="",INDEX(Employes_Embauche,178)&lt;=EOMONTH(DATE(AnneeCourante,MoisCourant,1),0))),INDEX(Employes_ID,178),"")</f>
      </c>
      <c r="B184" s="19">
        <f>IF($A184="","",INDEX(Employes_Nom,MATCH($A184,Employes_ID,0)))</f>
      </c>
      <c r="C184" s="20">
        <f>IF($A184="","",INDEX(Employes_Categorie,MATCH($A184,Employes_ID,0)))</f>
      </c>
      <c r="D184" s="26"/>
      <c r="E184" s="27"/>
      <c r="F184" s="26"/>
      <c r="G184" s="27"/>
      <c r="H184" s="26"/>
      <c r="I184" s="27"/>
      <c r="J184" s="26"/>
      <c r="K184" s="27"/>
      <c r="L184" s="26"/>
      <c r="M184" s="27"/>
      <c r="N184" s="26"/>
      <c r="O184" s="27"/>
      <c r="P184" s="26"/>
      <c r="Q184" s="27"/>
      <c r="R184" s="26"/>
      <c r="S184" s="27"/>
      <c r="T184" s="26"/>
      <c r="U184" s="27"/>
      <c r="V184" s="26"/>
      <c r="W184" s="27"/>
      <c r="X184" s="26"/>
      <c r="Y184" s="27"/>
      <c r="Z184" s="26"/>
      <c r="AA184" s="27"/>
      <c r="AB184" s="26"/>
      <c r="AC184" s="27"/>
      <c r="AD184" s="26"/>
      <c r="AE184" s="27"/>
      <c r="AF184" s="26"/>
      <c r="AG184" s="27"/>
      <c r="AH184" s="26"/>
      <c r="AI184" s="27"/>
      <c r="AJ184" s="26"/>
      <c r="AK184" s="27"/>
      <c r="AL184" s="26"/>
      <c r="AM184" s="27"/>
      <c r="AN184" s="26"/>
      <c r="AO184" s="27"/>
      <c r="AP184" s="26"/>
      <c r="AQ184" s="27"/>
      <c r="AR184" s="26"/>
      <c r="AS184" s="27"/>
      <c r="AT184" s="26"/>
      <c r="AU184" s="27"/>
      <c r="AV184" s="26"/>
      <c r="AW184" s="27"/>
      <c r="AX184" s="26"/>
      <c r="AY184" s="27"/>
      <c r="AZ184" s="26"/>
      <c r="BA184" s="27"/>
      <c r="BB184" s="26"/>
      <c r="BC184" s="27"/>
      <c r="BD184" s="26"/>
      <c r="BE184" s="27"/>
      <c r="BF184" s="26"/>
      <c r="BG184" s="27"/>
      <c r="BH184" s="26"/>
      <c r="BI184" s="27"/>
      <c r="BJ184" s="26"/>
      <c r="BK184" s="27"/>
      <c r="BL184" s="26"/>
      <c r="BM184" s="27"/>
      <c r="BN184" s="22">
        <f>IF($A184="","",SUM(IF($D$5&lt;&gt;"",--(D184="Présent"),0),IF($F$5&lt;&gt;"",--(F184="Présent"),0),IF($H$5&lt;&gt;"",--(H184="Présent"),0),IF($J$5&lt;&gt;"",--(J184="Présent"),0),IF($L$5&lt;&gt;"",--(L184="Présent"),0),IF($N$5&lt;&gt;"",--(N184="Présent"),0),IF($P$5&lt;&gt;"",--(P184="Présent"),0),IF($R$5&lt;&gt;"",--(R184="Présent"),0),IF($T$5&lt;&gt;"",--(T184="Présent"),0),IF($V$5&lt;&gt;"",--(V184="Présent"),0),IF($X$5&lt;&gt;"",--(X184="Présent"),0),IF($Z$5&lt;&gt;"",--(Z184="Présent"),0),IF($AB$5&lt;&gt;"",--(AB184="Présent"),0),IF($AD$5&lt;&gt;"",--(AD184="Présent"),0),IF($AF$5&lt;&gt;"",--(AF184="Présent"),0),IF($AH$5&lt;&gt;"",--(AH184="Présent"),0),IF($AJ$5&lt;&gt;"",--(AJ184="Présent"),0),IF($AL$5&lt;&gt;"",--(AL184="Présent"),0),IF($AN$5&lt;&gt;"",--(AN184="Présent"),0),IF($AP$5&lt;&gt;"",--(AP184="Présent"),0),IF($AR$5&lt;&gt;"",--(AR184="Présent"),0),IF($AT$5&lt;&gt;"",--(AT184="Présent"),0),IF($AV$5&lt;&gt;"",--(AV184="Présent"),0),IF($AX$5&lt;&gt;"",--(AX184="Présent"),0),IF($AZ$5&lt;&gt;"",--(AZ184="Présent"),0),IF($BB$5&lt;&gt;"",--(BB184="Présent"),0),IF($BD$5&lt;&gt;"",--(BD184="Présent"),0),IF($BF$5&lt;&gt;"",--(BF184="Présent"),0),IF($BH$5&lt;&gt;"",--(BH184="Présent"),0),IF($BJ$5&lt;&gt;"",--(BJ184="Présent"),0),IF($BL$5&lt;&gt;"",--(BL184="Présent"),0)))</f>
      </c>
      <c r="BO184" s="22">
        <f>IF($A184="","",SUM(IF($D$5&lt;&gt;"",--(D184="Absent"),0),IF($F$5&lt;&gt;"",--(F184="Absent"),0),IF($H$5&lt;&gt;"",--(H184="Absent"),0),IF($J$5&lt;&gt;"",--(J184="Absent"),0),IF($L$5&lt;&gt;"",--(L184="Absent"),0),IF($N$5&lt;&gt;"",--(N184="Absent"),0),IF($P$5&lt;&gt;"",--(P184="Absent"),0),IF($R$5&lt;&gt;"",--(R184="Absent"),0),IF($T$5&lt;&gt;"",--(T184="Absent"),0),IF($V$5&lt;&gt;"",--(V184="Absent"),0),IF($X$5&lt;&gt;"",--(X184="Absent"),0),IF($Z$5&lt;&gt;"",--(Z184="Absent"),0),IF($AB$5&lt;&gt;"",--(AB184="Absent"),0),IF($AD$5&lt;&gt;"",--(AD184="Absent"),0),IF($AF$5&lt;&gt;"",--(AF184="Absent"),0),IF($AH$5&lt;&gt;"",--(AH184="Absent"),0),IF($AJ$5&lt;&gt;"",--(AJ184="Absent"),0),IF($AL$5&lt;&gt;"",--(AL184="Absent"),0),IF($AN$5&lt;&gt;"",--(AN184="Absent"),0),IF($AP$5&lt;&gt;"",--(AP184="Absent"),0),IF($AR$5&lt;&gt;"",--(AR184="Absent"),0),IF($AT$5&lt;&gt;"",--(AT184="Absent"),0),IF($AV$5&lt;&gt;"",--(AV184="Absent"),0),IF($AX$5&lt;&gt;"",--(AX184="Absent"),0),IF($AZ$5&lt;&gt;"",--(AZ184="Absent"),0),IF($BB$5&lt;&gt;"",--(BB184="Absent"),0),IF($BD$5&lt;&gt;"",--(BD184="Absent"),0),IF($BF$5&lt;&gt;"",--(BF184="Absent"),0),IF($BH$5&lt;&gt;"",--(BH184="Absent"),0),IF($BJ$5&lt;&gt;"",--(BJ184="Absent"),0),IF($BL$5&lt;&gt;"",--(BL184="Absent"),0)))</f>
      </c>
      <c r="BP184" s="22">
        <f>IF($A184="","",SUM(IF($D$5&lt;&gt;"",--(D184="Congé"),0),IF($F$5&lt;&gt;"",--(F184="Congé"),0),IF($H$5&lt;&gt;"",--(H184="Congé"),0),IF($J$5&lt;&gt;"",--(J184="Congé"),0),IF($L$5&lt;&gt;"",--(L184="Congé"),0),IF($N$5&lt;&gt;"",--(N184="Congé"),0),IF($P$5&lt;&gt;"",--(P184="Congé"),0),IF($R$5&lt;&gt;"",--(R184="Congé"),0),IF($T$5&lt;&gt;"",--(T184="Congé"),0),IF($V$5&lt;&gt;"",--(V184="Congé"),0),IF($X$5&lt;&gt;"",--(X184="Congé"),0),IF($Z$5&lt;&gt;"",--(Z184="Congé"),0),IF($AB$5&lt;&gt;"",--(AB184="Congé"),0),IF($AD$5&lt;&gt;"",--(AD184="Congé"),0),IF($AF$5&lt;&gt;"",--(AF184="Congé"),0),IF($AH$5&lt;&gt;"",--(AH184="Congé"),0),IF($AJ$5&lt;&gt;"",--(AJ184="Congé"),0),IF($AL$5&lt;&gt;"",--(AL184="Congé"),0),IF($AN$5&lt;&gt;"",--(AN184="Congé"),0),IF($AP$5&lt;&gt;"",--(AP184="Congé"),0),IF($AR$5&lt;&gt;"",--(AR184="Congé"),0),IF($AT$5&lt;&gt;"",--(AT184="Congé"),0),IF($AV$5&lt;&gt;"",--(AV184="Congé"),0),IF($AX$5&lt;&gt;"",--(AX184="Congé"),0),IF($AZ$5&lt;&gt;"",--(AZ184="Congé"),0),IF($BB$5&lt;&gt;"",--(BB184="Congé"),0),IF($BD$5&lt;&gt;"",--(BD184="Congé"),0),IF($BF$5&lt;&gt;"",--(BF184="Congé"),0),IF($BH$5&lt;&gt;"",--(BH184="Congé"),0),IF($BJ$5&lt;&gt;"",--(BJ184="Congé"),0),IF($BL$5&lt;&gt;"",--(BL184="Congé"),0)))</f>
      </c>
      <c r="BQ184" s="22">
        <f>IF($A184="","",SUM(IF($D$5&lt;&gt;"",--(D184="Maladie"),0),IF($F$5&lt;&gt;"",--(F184="Maladie"),0),IF($H$5&lt;&gt;"",--(H184="Maladie"),0),IF($J$5&lt;&gt;"",--(J184="Maladie"),0),IF($L$5&lt;&gt;"",--(L184="Maladie"),0),IF($N$5&lt;&gt;"",--(N184="Maladie"),0),IF($P$5&lt;&gt;"",--(P184="Maladie"),0),IF($R$5&lt;&gt;"",--(R184="Maladie"),0),IF($T$5&lt;&gt;"",--(T184="Maladie"),0),IF($V$5&lt;&gt;"",--(V184="Maladie"),0),IF($X$5&lt;&gt;"",--(X184="Maladie"),0),IF($Z$5&lt;&gt;"",--(Z184="Maladie"),0),IF($AB$5&lt;&gt;"",--(AB184="Maladie"),0),IF($AD$5&lt;&gt;"",--(AD184="Maladie"),0),IF($AF$5&lt;&gt;"",--(AF184="Maladie"),0),IF($AH$5&lt;&gt;"",--(AH184="Maladie"),0),IF($AJ$5&lt;&gt;"",--(AJ184="Maladie"),0),IF($AL$5&lt;&gt;"",--(AL184="Maladie"),0),IF($AN$5&lt;&gt;"",--(AN184="Maladie"),0),IF($AP$5&lt;&gt;"",--(AP184="Maladie"),0),IF($AR$5&lt;&gt;"",--(AR184="Maladie"),0),IF($AT$5&lt;&gt;"",--(AT184="Maladie"),0),IF($AV$5&lt;&gt;"",--(AV184="Maladie"),0),IF($AX$5&lt;&gt;"",--(AX184="Maladie"),0),IF($AZ$5&lt;&gt;"",--(AZ184="Maladie"),0),IF($BB$5&lt;&gt;"",--(BB184="Maladie"),0),IF($BD$5&lt;&gt;"",--(BD184="Maladie"),0),IF($BF$5&lt;&gt;"",--(BF184="Maladie"),0),IF($BH$5&lt;&gt;"",--(BH184="Maladie"),0),IF($BJ$5&lt;&gt;"",--(BJ184="Maladie"),0),IF($BL$5&lt;&gt;"",--(BL184="Maladie"),0)))</f>
      </c>
      <c r="BR184" s="23">
        <f>IF($A184="","",SUM(IF($D$5&lt;&gt;"",IF(D184="Présent",E184,0),0),IF($F$5&lt;&gt;"",IF(F184="Présent",G184,0),0),IF($H$5&lt;&gt;"",IF(H184="Présent",I184,0),0),IF($J$5&lt;&gt;"",IF(J184="Présent",K184,0),0),IF($L$5&lt;&gt;"",IF(L184="Présent",M184,0),0),IF($N$5&lt;&gt;"",IF(N184="Présent",O184,0),0),IF($P$5&lt;&gt;"",IF(P184="Présent",Q184,0),0),IF($R$5&lt;&gt;"",IF(R184="Présent",S184,0),0),IF($T$5&lt;&gt;"",IF(T184="Présent",U184,0),0),IF($V$5&lt;&gt;"",IF(V184="Présent",W184,0),0),IF($X$5&lt;&gt;"",IF(X184="Présent",Y184,0),0),IF($Z$5&lt;&gt;"",IF(Z184="Présent",AA184,0),0),IF($AB$5&lt;&gt;"",IF(AB184="Présent",AC184,0),0),IF($AD$5&lt;&gt;"",IF(AD184="Présent",AE184,0),0),IF($AF$5&lt;&gt;"",IF(AF184="Présent",AG184,0),0),IF($AH$5&lt;&gt;"",IF(AH184="Présent",AI184,0),0),IF($AJ$5&lt;&gt;"",IF(AJ184="Présent",AK184,0),0),IF($AL$5&lt;&gt;"",IF(AL184="Présent",AM184,0),0),IF($AN$5&lt;&gt;"",IF(AN184="Présent",AO184,0),0),IF($AP$5&lt;&gt;"",IF(AP184="Présent",AQ184,0),0),IF($AR$5&lt;&gt;"",IF(AR184="Présent",AS184,0),0),IF($AT$5&lt;&gt;"",IF(AT184="Présent",AU184,0),0),IF($AV$5&lt;&gt;"",IF(AV184="Présent",AW184,0),0),IF($AX$5&lt;&gt;"",IF(AX184="Présent",AY184,0),0),IF($AZ$5&lt;&gt;"",IF(AZ184="Présent",BA184,0),0),IF($BB$5&lt;&gt;"",IF(BB184="Présent",BC184,0),0),IF($BD$5&lt;&gt;"",IF(BD184="Présent",BE184,0),0),IF($BF$5&lt;&gt;"",IF(BF184="Présent",BG184,0),0),IF($BH$5&lt;&gt;"",IF(BH184="Présent",BI184,0),0),IF($BJ$5&lt;&gt;"",IF(BJ184="Présent",BK184,0),0),IF($BL$5&lt;&gt;"",IF(BL184="Présent",BM184,0),0)))</f>
      </c>
      <c r="BS184" s="25">
        <f>IF($A184="","",$BN184*IFERROR(INDEX(Categories_Salaire,MATCH($C184,ListeCategories,0)),0)+$BR184*IF(IFERROR(INDEX(Categories_TauxHS,MATCH($C184,ListeCategories,0)),0)&gt;0,IFERROR(INDEX(Categories_TauxHS,MATCH($C184,ListeCategories,0)),0),TauxHSDefaut))</f>
      </c>
    </row>
    <row r="185">
      <c r="A185" s="20">
        <f>IF(AND(INDEX(Employes_Nom,179)&lt;&gt;"",INDEX(Employes_Statut,179)="Actif",OR(INDEX(Employes_Embauche,179)="",INDEX(Employes_Embauche,179)&lt;=EOMONTH(DATE(AnneeCourante,MoisCourant,1),0))),INDEX(Employes_ID,179),"")</f>
      </c>
      <c r="B185" s="19">
        <f>IF($A185="","",INDEX(Employes_Nom,MATCH($A185,Employes_ID,0)))</f>
      </c>
      <c r="C185" s="20">
        <f>IF($A185="","",INDEX(Employes_Categorie,MATCH($A185,Employes_ID,0)))</f>
      </c>
      <c r="D185" s="26"/>
      <c r="E185" s="27"/>
      <c r="F185" s="26"/>
      <c r="G185" s="27"/>
      <c r="H185" s="26"/>
      <c r="I185" s="27"/>
      <c r="J185" s="26"/>
      <c r="K185" s="27"/>
      <c r="L185" s="26"/>
      <c r="M185" s="27"/>
      <c r="N185" s="26"/>
      <c r="O185" s="27"/>
      <c r="P185" s="26"/>
      <c r="Q185" s="27"/>
      <c r="R185" s="26"/>
      <c r="S185" s="27"/>
      <c r="T185" s="26"/>
      <c r="U185" s="27"/>
      <c r="V185" s="26"/>
      <c r="W185" s="27"/>
      <c r="X185" s="26"/>
      <c r="Y185" s="27"/>
      <c r="Z185" s="26"/>
      <c r="AA185" s="27"/>
      <c r="AB185" s="26"/>
      <c r="AC185" s="27"/>
      <c r="AD185" s="26"/>
      <c r="AE185" s="27"/>
      <c r="AF185" s="26"/>
      <c r="AG185" s="27"/>
      <c r="AH185" s="26"/>
      <c r="AI185" s="27"/>
      <c r="AJ185" s="26"/>
      <c r="AK185" s="27"/>
      <c r="AL185" s="26"/>
      <c r="AM185" s="27"/>
      <c r="AN185" s="26"/>
      <c r="AO185" s="27"/>
      <c r="AP185" s="26"/>
      <c r="AQ185" s="27"/>
      <c r="AR185" s="26"/>
      <c r="AS185" s="27"/>
      <c r="AT185" s="26"/>
      <c r="AU185" s="27"/>
      <c r="AV185" s="26"/>
      <c r="AW185" s="27"/>
      <c r="AX185" s="26"/>
      <c r="AY185" s="27"/>
      <c r="AZ185" s="26"/>
      <c r="BA185" s="27"/>
      <c r="BB185" s="26"/>
      <c r="BC185" s="27"/>
      <c r="BD185" s="26"/>
      <c r="BE185" s="27"/>
      <c r="BF185" s="26"/>
      <c r="BG185" s="27"/>
      <c r="BH185" s="26"/>
      <c r="BI185" s="27"/>
      <c r="BJ185" s="26"/>
      <c r="BK185" s="27"/>
      <c r="BL185" s="26"/>
      <c r="BM185" s="27"/>
      <c r="BN185" s="22">
        <f>IF($A185="","",SUM(IF($D$5&lt;&gt;"",--(D185="Présent"),0),IF($F$5&lt;&gt;"",--(F185="Présent"),0),IF($H$5&lt;&gt;"",--(H185="Présent"),0),IF($J$5&lt;&gt;"",--(J185="Présent"),0),IF($L$5&lt;&gt;"",--(L185="Présent"),0),IF($N$5&lt;&gt;"",--(N185="Présent"),0),IF($P$5&lt;&gt;"",--(P185="Présent"),0),IF($R$5&lt;&gt;"",--(R185="Présent"),0),IF($T$5&lt;&gt;"",--(T185="Présent"),0),IF($V$5&lt;&gt;"",--(V185="Présent"),0),IF($X$5&lt;&gt;"",--(X185="Présent"),0),IF($Z$5&lt;&gt;"",--(Z185="Présent"),0),IF($AB$5&lt;&gt;"",--(AB185="Présent"),0),IF($AD$5&lt;&gt;"",--(AD185="Présent"),0),IF($AF$5&lt;&gt;"",--(AF185="Présent"),0),IF($AH$5&lt;&gt;"",--(AH185="Présent"),0),IF($AJ$5&lt;&gt;"",--(AJ185="Présent"),0),IF($AL$5&lt;&gt;"",--(AL185="Présent"),0),IF($AN$5&lt;&gt;"",--(AN185="Présent"),0),IF($AP$5&lt;&gt;"",--(AP185="Présent"),0),IF($AR$5&lt;&gt;"",--(AR185="Présent"),0),IF($AT$5&lt;&gt;"",--(AT185="Présent"),0),IF($AV$5&lt;&gt;"",--(AV185="Présent"),0),IF($AX$5&lt;&gt;"",--(AX185="Présent"),0),IF($AZ$5&lt;&gt;"",--(AZ185="Présent"),0),IF($BB$5&lt;&gt;"",--(BB185="Présent"),0),IF($BD$5&lt;&gt;"",--(BD185="Présent"),0),IF($BF$5&lt;&gt;"",--(BF185="Présent"),0),IF($BH$5&lt;&gt;"",--(BH185="Présent"),0),IF($BJ$5&lt;&gt;"",--(BJ185="Présent"),0),IF($BL$5&lt;&gt;"",--(BL185="Présent"),0)))</f>
      </c>
      <c r="BO185" s="22">
        <f>IF($A185="","",SUM(IF($D$5&lt;&gt;"",--(D185="Absent"),0),IF($F$5&lt;&gt;"",--(F185="Absent"),0),IF($H$5&lt;&gt;"",--(H185="Absent"),0),IF($J$5&lt;&gt;"",--(J185="Absent"),0),IF($L$5&lt;&gt;"",--(L185="Absent"),0),IF($N$5&lt;&gt;"",--(N185="Absent"),0),IF($P$5&lt;&gt;"",--(P185="Absent"),0),IF($R$5&lt;&gt;"",--(R185="Absent"),0),IF($T$5&lt;&gt;"",--(T185="Absent"),0),IF($V$5&lt;&gt;"",--(V185="Absent"),0),IF($X$5&lt;&gt;"",--(X185="Absent"),0),IF($Z$5&lt;&gt;"",--(Z185="Absent"),0),IF($AB$5&lt;&gt;"",--(AB185="Absent"),0),IF($AD$5&lt;&gt;"",--(AD185="Absent"),0),IF($AF$5&lt;&gt;"",--(AF185="Absent"),0),IF($AH$5&lt;&gt;"",--(AH185="Absent"),0),IF($AJ$5&lt;&gt;"",--(AJ185="Absent"),0),IF($AL$5&lt;&gt;"",--(AL185="Absent"),0),IF($AN$5&lt;&gt;"",--(AN185="Absent"),0),IF($AP$5&lt;&gt;"",--(AP185="Absent"),0),IF($AR$5&lt;&gt;"",--(AR185="Absent"),0),IF($AT$5&lt;&gt;"",--(AT185="Absent"),0),IF($AV$5&lt;&gt;"",--(AV185="Absent"),0),IF($AX$5&lt;&gt;"",--(AX185="Absent"),0),IF($AZ$5&lt;&gt;"",--(AZ185="Absent"),0),IF($BB$5&lt;&gt;"",--(BB185="Absent"),0),IF($BD$5&lt;&gt;"",--(BD185="Absent"),0),IF($BF$5&lt;&gt;"",--(BF185="Absent"),0),IF($BH$5&lt;&gt;"",--(BH185="Absent"),0),IF($BJ$5&lt;&gt;"",--(BJ185="Absent"),0),IF($BL$5&lt;&gt;"",--(BL185="Absent"),0)))</f>
      </c>
      <c r="BP185" s="22">
        <f>IF($A185="","",SUM(IF($D$5&lt;&gt;"",--(D185="Congé"),0),IF($F$5&lt;&gt;"",--(F185="Congé"),0),IF($H$5&lt;&gt;"",--(H185="Congé"),0),IF($J$5&lt;&gt;"",--(J185="Congé"),0),IF($L$5&lt;&gt;"",--(L185="Congé"),0),IF($N$5&lt;&gt;"",--(N185="Congé"),0),IF($P$5&lt;&gt;"",--(P185="Congé"),0),IF($R$5&lt;&gt;"",--(R185="Congé"),0),IF($T$5&lt;&gt;"",--(T185="Congé"),0),IF($V$5&lt;&gt;"",--(V185="Congé"),0),IF($X$5&lt;&gt;"",--(X185="Congé"),0),IF($Z$5&lt;&gt;"",--(Z185="Congé"),0),IF($AB$5&lt;&gt;"",--(AB185="Congé"),0),IF($AD$5&lt;&gt;"",--(AD185="Congé"),0),IF($AF$5&lt;&gt;"",--(AF185="Congé"),0),IF($AH$5&lt;&gt;"",--(AH185="Congé"),0),IF($AJ$5&lt;&gt;"",--(AJ185="Congé"),0),IF($AL$5&lt;&gt;"",--(AL185="Congé"),0),IF($AN$5&lt;&gt;"",--(AN185="Congé"),0),IF($AP$5&lt;&gt;"",--(AP185="Congé"),0),IF($AR$5&lt;&gt;"",--(AR185="Congé"),0),IF($AT$5&lt;&gt;"",--(AT185="Congé"),0),IF($AV$5&lt;&gt;"",--(AV185="Congé"),0),IF($AX$5&lt;&gt;"",--(AX185="Congé"),0),IF($AZ$5&lt;&gt;"",--(AZ185="Congé"),0),IF($BB$5&lt;&gt;"",--(BB185="Congé"),0),IF($BD$5&lt;&gt;"",--(BD185="Congé"),0),IF($BF$5&lt;&gt;"",--(BF185="Congé"),0),IF($BH$5&lt;&gt;"",--(BH185="Congé"),0),IF($BJ$5&lt;&gt;"",--(BJ185="Congé"),0),IF($BL$5&lt;&gt;"",--(BL185="Congé"),0)))</f>
      </c>
      <c r="BQ185" s="22">
        <f>IF($A185="","",SUM(IF($D$5&lt;&gt;"",--(D185="Maladie"),0),IF($F$5&lt;&gt;"",--(F185="Maladie"),0),IF($H$5&lt;&gt;"",--(H185="Maladie"),0),IF($J$5&lt;&gt;"",--(J185="Maladie"),0),IF($L$5&lt;&gt;"",--(L185="Maladie"),0),IF($N$5&lt;&gt;"",--(N185="Maladie"),0),IF($P$5&lt;&gt;"",--(P185="Maladie"),0),IF($R$5&lt;&gt;"",--(R185="Maladie"),0),IF($T$5&lt;&gt;"",--(T185="Maladie"),0),IF($V$5&lt;&gt;"",--(V185="Maladie"),0),IF($X$5&lt;&gt;"",--(X185="Maladie"),0),IF($Z$5&lt;&gt;"",--(Z185="Maladie"),0),IF($AB$5&lt;&gt;"",--(AB185="Maladie"),0),IF($AD$5&lt;&gt;"",--(AD185="Maladie"),0),IF($AF$5&lt;&gt;"",--(AF185="Maladie"),0),IF($AH$5&lt;&gt;"",--(AH185="Maladie"),0),IF($AJ$5&lt;&gt;"",--(AJ185="Maladie"),0),IF($AL$5&lt;&gt;"",--(AL185="Maladie"),0),IF($AN$5&lt;&gt;"",--(AN185="Maladie"),0),IF($AP$5&lt;&gt;"",--(AP185="Maladie"),0),IF($AR$5&lt;&gt;"",--(AR185="Maladie"),0),IF($AT$5&lt;&gt;"",--(AT185="Maladie"),0),IF($AV$5&lt;&gt;"",--(AV185="Maladie"),0),IF($AX$5&lt;&gt;"",--(AX185="Maladie"),0),IF($AZ$5&lt;&gt;"",--(AZ185="Maladie"),0),IF($BB$5&lt;&gt;"",--(BB185="Maladie"),0),IF($BD$5&lt;&gt;"",--(BD185="Maladie"),0),IF($BF$5&lt;&gt;"",--(BF185="Maladie"),0),IF($BH$5&lt;&gt;"",--(BH185="Maladie"),0),IF($BJ$5&lt;&gt;"",--(BJ185="Maladie"),0),IF($BL$5&lt;&gt;"",--(BL185="Maladie"),0)))</f>
      </c>
      <c r="BR185" s="23">
        <f>IF($A185="","",SUM(IF($D$5&lt;&gt;"",IF(D185="Présent",E185,0),0),IF($F$5&lt;&gt;"",IF(F185="Présent",G185,0),0),IF($H$5&lt;&gt;"",IF(H185="Présent",I185,0),0),IF($J$5&lt;&gt;"",IF(J185="Présent",K185,0),0),IF($L$5&lt;&gt;"",IF(L185="Présent",M185,0),0),IF($N$5&lt;&gt;"",IF(N185="Présent",O185,0),0),IF($P$5&lt;&gt;"",IF(P185="Présent",Q185,0),0),IF($R$5&lt;&gt;"",IF(R185="Présent",S185,0),0),IF($T$5&lt;&gt;"",IF(T185="Présent",U185,0),0),IF($V$5&lt;&gt;"",IF(V185="Présent",W185,0),0),IF($X$5&lt;&gt;"",IF(X185="Présent",Y185,0),0),IF($Z$5&lt;&gt;"",IF(Z185="Présent",AA185,0),0),IF($AB$5&lt;&gt;"",IF(AB185="Présent",AC185,0),0),IF($AD$5&lt;&gt;"",IF(AD185="Présent",AE185,0),0),IF($AF$5&lt;&gt;"",IF(AF185="Présent",AG185,0),0),IF($AH$5&lt;&gt;"",IF(AH185="Présent",AI185,0),0),IF($AJ$5&lt;&gt;"",IF(AJ185="Présent",AK185,0),0),IF($AL$5&lt;&gt;"",IF(AL185="Présent",AM185,0),0),IF($AN$5&lt;&gt;"",IF(AN185="Présent",AO185,0),0),IF($AP$5&lt;&gt;"",IF(AP185="Présent",AQ185,0),0),IF($AR$5&lt;&gt;"",IF(AR185="Présent",AS185,0),0),IF($AT$5&lt;&gt;"",IF(AT185="Présent",AU185,0),0),IF($AV$5&lt;&gt;"",IF(AV185="Présent",AW185,0),0),IF($AX$5&lt;&gt;"",IF(AX185="Présent",AY185,0),0),IF($AZ$5&lt;&gt;"",IF(AZ185="Présent",BA185,0),0),IF($BB$5&lt;&gt;"",IF(BB185="Présent",BC185,0),0),IF($BD$5&lt;&gt;"",IF(BD185="Présent",BE185,0),0),IF($BF$5&lt;&gt;"",IF(BF185="Présent",BG185,0),0),IF($BH$5&lt;&gt;"",IF(BH185="Présent",BI185,0),0),IF($BJ$5&lt;&gt;"",IF(BJ185="Présent",BK185,0),0),IF($BL$5&lt;&gt;"",IF(BL185="Présent",BM185,0),0)))</f>
      </c>
      <c r="BS185" s="25">
        <f>IF($A185="","",$BN185*IFERROR(INDEX(Categories_Salaire,MATCH($C185,ListeCategories,0)),0)+$BR185*IF(IFERROR(INDEX(Categories_TauxHS,MATCH($C185,ListeCategories,0)),0)&gt;0,IFERROR(INDEX(Categories_TauxHS,MATCH($C185,ListeCategories,0)),0),TauxHSDefaut))</f>
      </c>
    </row>
    <row r="186">
      <c r="A186" s="20">
        <f>IF(AND(INDEX(Employes_Nom,180)&lt;&gt;"",INDEX(Employes_Statut,180)="Actif",OR(INDEX(Employes_Embauche,180)="",INDEX(Employes_Embauche,180)&lt;=EOMONTH(DATE(AnneeCourante,MoisCourant,1),0))),INDEX(Employes_ID,180),"")</f>
      </c>
      <c r="B186" s="19">
        <f>IF($A186="","",INDEX(Employes_Nom,MATCH($A186,Employes_ID,0)))</f>
      </c>
      <c r="C186" s="20">
        <f>IF($A186="","",INDEX(Employes_Categorie,MATCH($A186,Employes_ID,0)))</f>
      </c>
      <c r="D186" s="26"/>
      <c r="E186" s="27"/>
      <c r="F186" s="26"/>
      <c r="G186" s="27"/>
      <c r="H186" s="26"/>
      <c r="I186" s="27"/>
      <c r="J186" s="26"/>
      <c r="K186" s="27"/>
      <c r="L186" s="26"/>
      <c r="M186" s="27"/>
      <c r="N186" s="26"/>
      <c r="O186" s="27"/>
      <c r="P186" s="26"/>
      <c r="Q186" s="27"/>
      <c r="R186" s="26"/>
      <c r="S186" s="27"/>
      <c r="T186" s="26"/>
      <c r="U186" s="27"/>
      <c r="V186" s="26"/>
      <c r="W186" s="27"/>
      <c r="X186" s="26"/>
      <c r="Y186" s="27"/>
      <c r="Z186" s="26"/>
      <c r="AA186" s="27"/>
      <c r="AB186" s="26"/>
      <c r="AC186" s="27"/>
      <c r="AD186" s="26"/>
      <c r="AE186" s="27"/>
      <c r="AF186" s="26"/>
      <c r="AG186" s="27"/>
      <c r="AH186" s="26"/>
      <c r="AI186" s="27"/>
      <c r="AJ186" s="26"/>
      <c r="AK186" s="27"/>
      <c r="AL186" s="26"/>
      <c r="AM186" s="27"/>
      <c r="AN186" s="26"/>
      <c r="AO186" s="27"/>
      <c r="AP186" s="26"/>
      <c r="AQ186" s="27"/>
      <c r="AR186" s="26"/>
      <c r="AS186" s="27"/>
      <c r="AT186" s="26"/>
      <c r="AU186" s="27"/>
      <c r="AV186" s="26"/>
      <c r="AW186" s="27"/>
      <c r="AX186" s="26"/>
      <c r="AY186" s="27"/>
      <c r="AZ186" s="26"/>
      <c r="BA186" s="27"/>
      <c r="BB186" s="26"/>
      <c r="BC186" s="27"/>
      <c r="BD186" s="26"/>
      <c r="BE186" s="27"/>
      <c r="BF186" s="26"/>
      <c r="BG186" s="27"/>
      <c r="BH186" s="26"/>
      <c r="BI186" s="27"/>
      <c r="BJ186" s="26"/>
      <c r="BK186" s="27"/>
      <c r="BL186" s="26"/>
      <c r="BM186" s="27"/>
      <c r="BN186" s="22">
        <f>IF($A186="","",SUM(IF($D$5&lt;&gt;"",--(D186="Présent"),0),IF($F$5&lt;&gt;"",--(F186="Présent"),0),IF($H$5&lt;&gt;"",--(H186="Présent"),0),IF($J$5&lt;&gt;"",--(J186="Présent"),0),IF($L$5&lt;&gt;"",--(L186="Présent"),0),IF($N$5&lt;&gt;"",--(N186="Présent"),0),IF($P$5&lt;&gt;"",--(P186="Présent"),0),IF($R$5&lt;&gt;"",--(R186="Présent"),0),IF($T$5&lt;&gt;"",--(T186="Présent"),0),IF($V$5&lt;&gt;"",--(V186="Présent"),0),IF($X$5&lt;&gt;"",--(X186="Présent"),0),IF($Z$5&lt;&gt;"",--(Z186="Présent"),0),IF($AB$5&lt;&gt;"",--(AB186="Présent"),0),IF($AD$5&lt;&gt;"",--(AD186="Présent"),0),IF($AF$5&lt;&gt;"",--(AF186="Présent"),0),IF($AH$5&lt;&gt;"",--(AH186="Présent"),0),IF($AJ$5&lt;&gt;"",--(AJ186="Présent"),0),IF($AL$5&lt;&gt;"",--(AL186="Présent"),0),IF($AN$5&lt;&gt;"",--(AN186="Présent"),0),IF($AP$5&lt;&gt;"",--(AP186="Présent"),0),IF($AR$5&lt;&gt;"",--(AR186="Présent"),0),IF($AT$5&lt;&gt;"",--(AT186="Présent"),0),IF($AV$5&lt;&gt;"",--(AV186="Présent"),0),IF($AX$5&lt;&gt;"",--(AX186="Présent"),0),IF($AZ$5&lt;&gt;"",--(AZ186="Présent"),0),IF($BB$5&lt;&gt;"",--(BB186="Présent"),0),IF($BD$5&lt;&gt;"",--(BD186="Présent"),0),IF($BF$5&lt;&gt;"",--(BF186="Présent"),0),IF($BH$5&lt;&gt;"",--(BH186="Présent"),0),IF($BJ$5&lt;&gt;"",--(BJ186="Présent"),0),IF($BL$5&lt;&gt;"",--(BL186="Présent"),0)))</f>
      </c>
      <c r="BO186" s="22">
        <f>IF($A186="","",SUM(IF($D$5&lt;&gt;"",--(D186="Absent"),0),IF($F$5&lt;&gt;"",--(F186="Absent"),0),IF($H$5&lt;&gt;"",--(H186="Absent"),0),IF($J$5&lt;&gt;"",--(J186="Absent"),0),IF($L$5&lt;&gt;"",--(L186="Absent"),0),IF($N$5&lt;&gt;"",--(N186="Absent"),0),IF($P$5&lt;&gt;"",--(P186="Absent"),0),IF($R$5&lt;&gt;"",--(R186="Absent"),0),IF($T$5&lt;&gt;"",--(T186="Absent"),0),IF($V$5&lt;&gt;"",--(V186="Absent"),0),IF($X$5&lt;&gt;"",--(X186="Absent"),0),IF($Z$5&lt;&gt;"",--(Z186="Absent"),0),IF($AB$5&lt;&gt;"",--(AB186="Absent"),0),IF($AD$5&lt;&gt;"",--(AD186="Absent"),0),IF($AF$5&lt;&gt;"",--(AF186="Absent"),0),IF($AH$5&lt;&gt;"",--(AH186="Absent"),0),IF($AJ$5&lt;&gt;"",--(AJ186="Absent"),0),IF($AL$5&lt;&gt;"",--(AL186="Absent"),0),IF($AN$5&lt;&gt;"",--(AN186="Absent"),0),IF($AP$5&lt;&gt;"",--(AP186="Absent"),0),IF($AR$5&lt;&gt;"",--(AR186="Absent"),0),IF($AT$5&lt;&gt;"",--(AT186="Absent"),0),IF($AV$5&lt;&gt;"",--(AV186="Absent"),0),IF($AX$5&lt;&gt;"",--(AX186="Absent"),0),IF($AZ$5&lt;&gt;"",--(AZ186="Absent"),0),IF($BB$5&lt;&gt;"",--(BB186="Absent"),0),IF($BD$5&lt;&gt;"",--(BD186="Absent"),0),IF($BF$5&lt;&gt;"",--(BF186="Absent"),0),IF($BH$5&lt;&gt;"",--(BH186="Absent"),0),IF($BJ$5&lt;&gt;"",--(BJ186="Absent"),0),IF($BL$5&lt;&gt;"",--(BL186="Absent"),0)))</f>
      </c>
      <c r="BP186" s="22">
        <f>IF($A186="","",SUM(IF($D$5&lt;&gt;"",--(D186="Congé"),0),IF($F$5&lt;&gt;"",--(F186="Congé"),0),IF($H$5&lt;&gt;"",--(H186="Congé"),0),IF($J$5&lt;&gt;"",--(J186="Congé"),0),IF($L$5&lt;&gt;"",--(L186="Congé"),0),IF($N$5&lt;&gt;"",--(N186="Congé"),0),IF($P$5&lt;&gt;"",--(P186="Congé"),0),IF($R$5&lt;&gt;"",--(R186="Congé"),0),IF($T$5&lt;&gt;"",--(T186="Congé"),0),IF($V$5&lt;&gt;"",--(V186="Congé"),0),IF($X$5&lt;&gt;"",--(X186="Congé"),0),IF($Z$5&lt;&gt;"",--(Z186="Congé"),0),IF($AB$5&lt;&gt;"",--(AB186="Congé"),0),IF($AD$5&lt;&gt;"",--(AD186="Congé"),0),IF($AF$5&lt;&gt;"",--(AF186="Congé"),0),IF($AH$5&lt;&gt;"",--(AH186="Congé"),0),IF($AJ$5&lt;&gt;"",--(AJ186="Congé"),0),IF($AL$5&lt;&gt;"",--(AL186="Congé"),0),IF($AN$5&lt;&gt;"",--(AN186="Congé"),0),IF($AP$5&lt;&gt;"",--(AP186="Congé"),0),IF($AR$5&lt;&gt;"",--(AR186="Congé"),0),IF($AT$5&lt;&gt;"",--(AT186="Congé"),0),IF($AV$5&lt;&gt;"",--(AV186="Congé"),0),IF($AX$5&lt;&gt;"",--(AX186="Congé"),0),IF($AZ$5&lt;&gt;"",--(AZ186="Congé"),0),IF($BB$5&lt;&gt;"",--(BB186="Congé"),0),IF($BD$5&lt;&gt;"",--(BD186="Congé"),0),IF($BF$5&lt;&gt;"",--(BF186="Congé"),0),IF($BH$5&lt;&gt;"",--(BH186="Congé"),0),IF($BJ$5&lt;&gt;"",--(BJ186="Congé"),0),IF($BL$5&lt;&gt;"",--(BL186="Congé"),0)))</f>
      </c>
      <c r="BQ186" s="22">
        <f>IF($A186="","",SUM(IF($D$5&lt;&gt;"",--(D186="Maladie"),0),IF($F$5&lt;&gt;"",--(F186="Maladie"),0),IF($H$5&lt;&gt;"",--(H186="Maladie"),0),IF($J$5&lt;&gt;"",--(J186="Maladie"),0),IF($L$5&lt;&gt;"",--(L186="Maladie"),0),IF($N$5&lt;&gt;"",--(N186="Maladie"),0),IF($P$5&lt;&gt;"",--(P186="Maladie"),0),IF($R$5&lt;&gt;"",--(R186="Maladie"),0),IF($T$5&lt;&gt;"",--(T186="Maladie"),0),IF($V$5&lt;&gt;"",--(V186="Maladie"),0),IF($X$5&lt;&gt;"",--(X186="Maladie"),0),IF($Z$5&lt;&gt;"",--(Z186="Maladie"),0),IF($AB$5&lt;&gt;"",--(AB186="Maladie"),0),IF($AD$5&lt;&gt;"",--(AD186="Maladie"),0),IF($AF$5&lt;&gt;"",--(AF186="Maladie"),0),IF($AH$5&lt;&gt;"",--(AH186="Maladie"),0),IF($AJ$5&lt;&gt;"",--(AJ186="Maladie"),0),IF($AL$5&lt;&gt;"",--(AL186="Maladie"),0),IF($AN$5&lt;&gt;"",--(AN186="Maladie"),0),IF($AP$5&lt;&gt;"",--(AP186="Maladie"),0),IF($AR$5&lt;&gt;"",--(AR186="Maladie"),0),IF($AT$5&lt;&gt;"",--(AT186="Maladie"),0),IF($AV$5&lt;&gt;"",--(AV186="Maladie"),0),IF($AX$5&lt;&gt;"",--(AX186="Maladie"),0),IF($AZ$5&lt;&gt;"",--(AZ186="Maladie"),0),IF($BB$5&lt;&gt;"",--(BB186="Maladie"),0),IF($BD$5&lt;&gt;"",--(BD186="Maladie"),0),IF($BF$5&lt;&gt;"",--(BF186="Maladie"),0),IF($BH$5&lt;&gt;"",--(BH186="Maladie"),0),IF($BJ$5&lt;&gt;"",--(BJ186="Maladie"),0),IF($BL$5&lt;&gt;"",--(BL186="Maladie"),0)))</f>
      </c>
      <c r="BR186" s="23">
        <f>IF($A186="","",SUM(IF($D$5&lt;&gt;"",IF(D186="Présent",E186,0),0),IF($F$5&lt;&gt;"",IF(F186="Présent",G186,0),0),IF($H$5&lt;&gt;"",IF(H186="Présent",I186,0),0),IF($J$5&lt;&gt;"",IF(J186="Présent",K186,0),0),IF($L$5&lt;&gt;"",IF(L186="Présent",M186,0),0),IF($N$5&lt;&gt;"",IF(N186="Présent",O186,0),0),IF($P$5&lt;&gt;"",IF(P186="Présent",Q186,0),0),IF($R$5&lt;&gt;"",IF(R186="Présent",S186,0),0),IF($T$5&lt;&gt;"",IF(T186="Présent",U186,0),0),IF($V$5&lt;&gt;"",IF(V186="Présent",W186,0),0),IF($X$5&lt;&gt;"",IF(X186="Présent",Y186,0),0),IF($Z$5&lt;&gt;"",IF(Z186="Présent",AA186,0),0),IF($AB$5&lt;&gt;"",IF(AB186="Présent",AC186,0),0),IF($AD$5&lt;&gt;"",IF(AD186="Présent",AE186,0),0),IF($AF$5&lt;&gt;"",IF(AF186="Présent",AG186,0),0),IF($AH$5&lt;&gt;"",IF(AH186="Présent",AI186,0),0),IF($AJ$5&lt;&gt;"",IF(AJ186="Présent",AK186,0),0),IF($AL$5&lt;&gt;"",IF(AL186="Présent",AM186,0),0),IF($AN$5&lt;&gt;"",IF(AN186="Présent",AO186,0),0),IF($AP$5&lt;&gt;"",IF(AP186="Présent",AQ186,0),0),IF($AR$5&lt;&gt;"",IF(AR186="Présent",AS186,0),0),IF($AT$5&lt;&gt;"",IF(AT186="Présent",AU186,0),0),IF($AV$5&lt;&gt;"",IF(AV186="Présent",AW186,0),0),IF($AX$5&lt;&gt;"",IF(AX186="Présent",AY186,0),0),IF($AZ$5&lt;&gt;"",IF(AZ186="Présent",BA186,0),0),IF($BB$5&lt;&gt;"",IF(BB186="Présent",BC186,0),0),IF($BD$5&lt;&gt;"",IF(BD186="Présent",BE186,0),0),IF($BF$5&lt;&gt;"",IF(BF186="Présent",BG186,0),0),IF($BH$5&lt;&gt;"",IF(BH186="Présent",BI186,0),0),IF($BJ$5&lt;&gt;"",IF(BJ186="Présent",BK186,0),0),IF($BL$5&lt;&gt;"",IF(BL186="Présent",BM186,0),0)))</f>
      </c>
      <c r="BS186" s="25">
        <f>IF($A186="","",$BN186*IFERROR(INDEX(Categories_Salaire,MATCH($C186,ListeCategories,0)),0)+$BR186*IF(IFERROR(INDEX(Categories_TauxHS,MATCH($C186,ListeCategories,0)),0)&gt;0,IFERROR(INDEX(Categories_TauxHS,MATCH($C186,ListeCategories,0)),0),TauxHSDefaut))</f>
      </c>
    </row>
    <row r="187">
      <c r="A187" s="20">
        <f>IF(AND(INDEX(Employes_Nom,181)&lt;&gt;"",INDEX(Employes_Statut,181)="Actif",OR(INDEX(Employes_Embauche,181)="",INDEX(Employes_Embauche,181)&lt;=EOMONTH(DATE(AnneeCourante,MoisCourant,1),0))),INDEX(Employes_ID,181),"")</f>
      </c>
      <c r="B187" s="19">
        <f>IF($A187="","",INDEX(Employes_Nom,MATCH($A187,Employes_ID,0)))</f>
      </c>
      <c r="C187" s="20">
        <f>IF($A187="","",INDEX(Employes_Categorie,MATCH($A187,Employes_ID,0)))</f>
      </c>
      <c r="D187" s="26"/>
      <c r="E187" s="27"/>
      <c r="F187" s="26"/>
      <c r="G187" s="27"/>
      <c r="H187" s="26"/>
      <c r="I187" s="27"/>
      <c r="J187" s="26"/>
      <c r="K187" s="27"/>
      <c r="L187" s="26"/>
      <c r="M187" s="27"/>
      <c r="N187" s="26"/>
      <c r="O187" s="27"/>
      <c r="P187" s="26"/>
      <c r="Q187" s="27"/>
      <c r="R187" s="26"/>
      <c r="S187" s="27"/>
      <c r="T187" s="26"/>
      <c r="U187" s="27"/>
      <c r="V187" s="26"/>
      <c r="W187" s="27"/>
      <c r="X187" s="26"/>
      <c r="Y187" s="27"/>
      <c r="Z187" s="26"/>
      <c r="AA187" s="27"/>
      <c r="AB187" s="26"/>
      <c r="AC187" s="27"/>
      <c r="AD187" s="26"/>
      <c r="AE187" s="27"/>
      <c r="AF187" s="26"/>
      <c r="AG187" s="27"/>
      <c r="AH187" s="26"/>
      <c r="AI187" s="27"/>
      <c r="AJ187" s="26"/>
      <c r="AK187" s="27"/>
      <c r="AL187" s="26"/>
      <c r="AM187" s="27"/>
      <c r="AN187" s="26"/>
      <c r="AO187" s="27"/>
      <c r="AP187" s="26"/>
      <c r="AQ187" s="27"/>
      <c r="AR187" s="26"/>
      <c r="AS187" s="27"/>
      <c r="AT187" s="26"/>
      <c r="AU187" s="27"/>
      <c r="AV187" s="26"/>
      <c r="AW187" s="27"/>
      <c r="AX187" s="26"/>
      <c r="AY187" s="27"/>
      <c r="AZ187" s="26"/>
      <c r="BA187" s="27"/>
      <c r="BB187" s="26"/>
      <c r="BC187" s="27"/>
      <c r="BD187" s="26"/>
      <c r="BE187" s="27"/>
      <c r="BF187" s="26"/>
      <c r="BG187" s="27"/>
      <c r="BH187" s="26"/>
      <c r="BI187" s="27"/>
      <c r="BJ187" s="26"/>
      <c r="BK187" s="27"/>
      <c r="BL187" s="26"/>
      <c r="BM187" s="27"/>
      <c r="BN187" s="22">
        <f>IF($A187="","",SUM(IF($D$5&lt;&gt;"",--(D187="Présent"),0),IF($F$5&lt;&gt;"",--(F187="Présent"),0),IF($H$5&lt;&gt;"",--(H187="Présent"),0),IF($J$5&lt;&gt;"",--(J187="Présent"),0),IF($L$5&lt;&gt;"",--(L187="Présent"),0),IF($N$5&lt;&gt;"",--(N187="Présent"),0),IF($P$5&lt;&gt;"",--(P187="Présent"),0),IF($R$5&lt;&gt;"",--(R187="Présent"),0),IF($T$5&lt;&gt;"",--(T187="Présent"),0),IF($V$5&lt;&gt;"",--(V187="Présent"),0),IF($X$5&lt;&gt;"",--(X187="Présent"),0),IF($Z$5&lt;&gt;"",--(Z187="Présent"),0),IF($AB$5&lt;&gt;"",--(AB187="Présent"),0),IF($AD$5&lt;&gt;"",--(AD187="Présent"),0),IF($AF$5&lt;&gt;"",--(AF187="Présent"),0),IF($AH$5&lt;&gt;"",--(AH187="Présent"),0),IF($AJ$5&lt;&gt;"",--(AJ187="Présent"),0),IF($AL$5&lt;&gt;"",--(AL187="Présent"),0),IF($AN$5&lt;&gt;"",--(AN187="Présent"),0),IF($AP$5&lt;&gt;"",--(AP187="Présent"),0),IF($AR$5&lt;&gt;"",--(AR187="Présent"),0),IF($AT$5&lt;&gt;"",--(AT187="Présent"),0),IF($AV$5&lt;&gt;"",--(AV187="Présent"),0),IF($AX$5&lt;&gt;"",--(AX187="Présent"),0),IF($AZ$5&lt;&gt;"",--(AZ187="Présent"),0),IF($BB$5&lt;&gt;"",--(BB187="Présent"),0),IF($BD$5&lt;&gt;"",--(BD187="Présent"),0),IF($BF$5&lt;&gt;"",--(BF187="Présent"),0),IF($BH$5&lt;&gt;"",--(BH187="Présent"),0),IF($BJ$5&lt;&gt;"",--(BJ187="Présent"),0),IF($BL$5&lt;&gt;"",--(BL187="Présent"),0)))</f>
      </c>
      <c r="BO187" s="22">
        <f>IF($A187="","",SUM(IF($D$5&lt;&gt;"",--(D187="Absent"),0),IF($F$5&lt;&gt;"",--(F187="Absent"),0),IF($H$5&lt;&gt;"",--(H187="Absent"),0),IF($J$5&lt;&gt;"",--(J187="Absent"),0),IF($L$5&lt;&gt;"",--(L187="Absent"),0),IF($N$5&lt;&gt;"",--(N187="Absent"),0),IF($P$5&lt;&gt;"",--(P187="Absent"),0),IF($R$5&lt;&gt;"",--(R187="Absent"),0),IF($T$5&lt;&gt;"",--(T187="Absent"),0),IF($V$5&lt;&gt;"",--(V187="Absent"),0),IF($X$5&lt;&gt;"",--(X187="Absent"),0),IF($Z$5&lt;&gt;"",--(Z187="Absent"),0),IF($AB$5&lt;&gt;"",--(AB187="Absent"),0),IF($AD$5&lt;&gt;"",--(AD187="Absent"),0),IF($AF$5&lt;&gt;"",--(AF187="Absent"),0),IF($AH$5&lt;&gt;"",--(AH187="Absent"),0),IF($AJ$5&lt;&gt;"",--(AJ187="Absent"),0),IF($AL$5&lt;&gt;"",--(AL187="Absent"),0),IF($AN$5&lt;&gt;"",--(AN187="Absent"),0),IF($AP$5&lt;&gt;"",--(AP187="Absent"),0),IF($AR$5&lt;&gt;"",--(AR187="Absent"),0),IF($AT$5&lt;&gt;"",--(AT187="Absent"),0),IF($AV$5&lt;&gt;"",--(AV187="Absent"),0),IF($AX$5&lt;&gt;"",--(AX187="Absent"),0),IF($AZ$5&lt;&gt;"",--(AZ187="Absent"),0),IF($BB$5&lt;&gt;"",--(BB187="Absent"),0),IF($BD$5&lt;&gt;"",--(BD187="Absent"),0),IF($BF$5&lt;&gt;"",--(BF187="Absent"),0),IF($BH$5&lt;&gt;"",--(BH187="Absent"),0),IF($BJ$5&lt;&gt;"",--(BJ187="Absent"),0),IF($BL$5&lt;&gt;"",--(BL187="Absent"),0)))</f>
      </c>
      <c r="BP187" s="22">
        <f>IF($A187="","",SUM(IF($D$5&lt;&gt;"",--(D187="Congé"),0),IF($F$5&lt;&gt;"",--(F187="Congé"),0),IF($H$5&lt;&gt;"",--(H187="Congé"),0),IF($J$5&lt;&gt;"",--(J187="Congé"),0),IF($L$5&lt;&gt;"",--(L187="Congé"),0),IF($N$5&lt;&gt;"",--(N187="Congé"),0),IF($P$5&lt;&gt;"",--(P187="Congé"),0),IF($R$5&lt;&gt;"",--(R187="Congé"),0),IF($T$5&lt;&gt;"",--(T187="Congé"),0),IF($V$5&lt;&gt;"",--(V187="Congé"),0),IF($X$5&lt;&gt;"",--(X187="Congé"),0),IF($Z$5&lt;&gt;"",--(Z187="Congé"),0),IF($AB$5&lt;&gt;"",--(AB187="Congé"),0),IF($AD$5&lt;&gt;"",--(AD187="Congé"),0),IF($AF$5&lt;&gt;"",--(AF187="Congé"),0),IF($AH$5&lt;&gt;"",--(AH187="Congé"),0),IF($AJ$5&lt;&gt;"",--(AJ187="Congé"),0),IF($AL$5&lt;&gt;"",--(AL187="Congé"),0),IF($AN$5&lt;&gt;"",--(AN187="Congé"),0),IF($AP$5&lt;&gt;"",--(AP187="Congé"),0),IF($AR$5&lt;&gt;"",--(AR187="Congé"),0),IF($AT$5&lt;&gt;"",--(AT187="Congé"),0),IF($AV$5&lt;&gt;"",--(AV187="Congé"),0),IF($AX$5&lt;&gt;"",--(AX187="Congé"),0),IF($AZ$5&lt;&gt;"",--(AZ187="Congé"),0),IF($BB$5&lt;&gt;"",--(BB187="Congé"),0),IF($BD$5&lt;&gt;"",--(BD187="Congé"),0),IF($BF$5&lt;&gt;"",--(BF187="Congé"),0),IF($BH$5&lt;&gt;"",--(BH187="Congé"),0),IF($BJ$5&lt;&gt;"",--(BJ187="Congé"),0),IF($BL$5&lt;&gt;"",--(BL187="Congé"),0)))</f>
      </c>
      <c r="BQ187" s="22">
        <f>IF($A187="","",SUM(IF($D$5&lt;&gt;"",--(D187="Maladie"),0),IF($F$5&lt;&gt;"",--(F187="Maladie"),0),IF($H$5&lt;&gt;"",--(H187="Maladie"),0),IF($J$5&lt;&gt;"",--(J187="Maladie"),0),IF($L$5&lt;&gt;"",--(L187="Maladie"),0),IF($N$5&lt;&gt;"",--(N187="Maladie"),0),IF($P$5&lt;&gt;"",--(P187="Maladie"),0),IF($R$5&lt;&gt;"",--(R187="Maladie"),0),IF($T$5&lt;&gt;"",--(T187="Maladie"),0),IF($V$5&lt;&gt;"",--(V187="Maladie"),0),IF($X$5&lt;&gt;"",--(X187="Maladie"),0),IF($Z$5&lt;&gt;"",--(Z187="Maladie"),0),IF($AB$5&lt;&gt;"",--(AB187="Maladie"),0),IF($AD$5&lt;&gt;"",--(AD187="Maladie"),0),IF($AF$5&lt;&gt;"",--(AF187="Maladie"),0),IF($AH$5&lt;&gt;"",--(AH187="Maladie"),0),IF($AJ$5&lt;&gt;"",--(AJ187="Maladie"),0),IF($AL$5&lt;&gt;"",--(AL187="Maladie"),0),IF($AN$5&lt;&gt;"",--(AN187="Maladie"),0),IF($AP$5&lt;&gt;"",--(AP187="Maladie"),0),IF($AR$5&lt;&gt;"",--(AR187="Maladie"),0),IF($AT$5&lt;&gt;"",--(AT187="Maladie"),0),IF($AV$5&lt;&gt;"",--(AV187="Maladie"),0),IF($AX$5&lt;&gt;"",--(AX187="Maladie"),0),IF($AZ$5&lt;&gt;"",--(AZ187="Maladie"),0),IF($BB$5&lt;&gt;"",--(BB187="Maladie"),0),IF($BD$5&lt;&gt;"",--(BD187="Maladie"),0),IF($BF$5&lt;&gt;"",--(BF187="Maladie"),0),IF($BH$5&lt;&gt;"",--(BH187="Maladie"),0),IF($BJ$5&lt;&gt;"",--(BJ187="Maladie"),0),IF($BL$5&lt;&gt;"",--(BL187="Maladie"),0)))</f>
      </c>
      <c r="BR187" s="23">
        <f>IF($A187="","",SUM(IF($D$5&lt;&gt;"",IF(D187="Présent",E187,0),0),IF($F$5&lt;&gt;"",IF(F187="Présent",G187,0),0),IF($H$5&lt;&gt;"",IF(H187="Présent",I187,0),0),IF($J$5&lt;&gt;"",IF(J187="Présent",K187,0),0),IF($L$5&lt;&gt;"",IF(L187="Présent",M187,0),0),IF($N$5&lt;&gt;"",IF(N187="Présent",O187,0),0),IF($P$5&lt;&gt;"",IF(P187="Présent",Q187,0),0),IF($R$5&lt;&gt;"",IF(R187="Présent",S187,0),0),IF($T$5&lt;&gt;"",IF(T187="Présent",U187,0),0),IF($V$5&lt;&gt;"",IF(V187="Présent",W187,0),0),IF($X$5&lt;&gt;"",IF(X187="Présent",Y187,0),0),IF($Z$5&lt;&gt;"",IF(Z187="Présent",AA187,0),0),IF($AB$5&lt;&gt;"",IF(AB187="Présent",AC187,0),0),IF($AD$5&lt;&gt;"",IF(AD187="Présent",AE187,0),0),IF($AF$5&lt;&gt;"",IF(AF187="Présent",AG187,0),0),IF($AH$5&lt;&gt;"",IF(AH187="Présent",AI187,0),0),IF($AJ$5&lt;&gt;"",IF(AJ187="Présent",AK187,0),0),IF($AL$5&lt;&gt;"",IF(AL187="Présent",AM187,0),0),IF($AN$5&lt;&gt;"",IF(AN187="Présent",AO187,0),0),IF($AP$5&lt;&gt;"",IF(AP187="Présent",AQ187,0),0),IF($AR$5&lt;&gt;"",IF(AR187="Présent",AS187,0),0),IF($AT$5&lt;&gt;"",IF(AT187="Présent",AU187,0),0),IF($AV$5&lt;&gt;"",IF(AV187="Présent",AW187,0),0),IF($AX$5&lt;&gt;"",IF(AX187="Présent",AY187,0),0),IF($AZ$5&lt;&gt;"",IF(AZ187="Présent",BA187,0),0),IF($BB$5&lt;&gt;"",IF(BB187="Présent",BC187,0),0),IF($BD$5&lt;&gt;"",IF(BD187="Présent",BE187,0),0),IF($BF$5&lt;&gt;"",IF(BF187="Présent",BG187,0),0),IF($BH$5&lt;&gt;"",IF(BH187="Présent",BI187,0),0),IF($BJ$5&lt;&gt;"",IF(BJ187="Présent",BK187,0),0),IF($BL$5&lt;&gt;"",IF(BL187="Présent",BM187,0),0)))</f>
      </c>
      <c r="BS187" s="25">
        <f>IF($A187="","",$BN187*IFERROR(INDEX(Categories_Salaire,MATCH($C187,ListeCategories,0)),0)+$BR187*IF(IFERROR(INDEX(Categories_TauxHS,MATCH($C187,ListeCategories,0)),0)&gt;0,IFERROR(INDEX(Categories_TauxHS,MATCH($C187,ListeCategories,0)),0),TauxHSDefaut))</f>
      </c>
    </row>
    <row r="188">
      <c r="A188" s="20">
        <f>IF(AND(INDEX(Employes_Nom,182)&lt;&gt;"",INDEX(Employes_Statut,182)="Actif",OR(INDEX(Employes_Embauche,182)="",INDEX(Employes_Embauche,182)&lt;=EOMONTH(DATE(AnneeCourante,MoisCourant,1),0))),INDEX(Employes_ID,182),"")</f>
      </c>
      <c r="B188" s="19">
        <f>IF($A188="","",INDEX(Employes_Nom,MATCH($A188,Employes_ID,0)))</f>
      </c>
      <c r="C188" s="20">
        <f>IF($A188="","",INDEX(Employes_Categorie,MATCH($A188,Employes_ID,0)))</f>
      </c>
      <c r="D188" s="26"/>
      <c r="E188" s="27"/>
      <c r="F188" s="26"/>
      <c r="G188" s="27"/>
      <c r="H188" s="26"/>
      <c r="I188" s="27"/>
      <c r="J188" s="26"/>
      <c r="K188" s="27"/>
      <c r="L188" s="26"/>
      <c r="M188" s="27"/>
      <c r="N188" s="26"/>
      <c r="O188" s="27"/>
      <c r="P188" s="26"/>
      <c r="Q188" s="27"/>
      <c r="R188" s="26"/>
      <c r="S188" s="27"/>
      <c r="T188" s="26"/>
      <c r="U188" s="27"/>
      <c r="V188" s="26"/>
      <c r="W188" s="27"/>
      <c r="X188" s="26"/>
      <c r="Y188" s="27"/>
      <c r="Z188" s="26"/>
      <c r="AA188" s="27"/>
      <c r="AB188" s="26"/>
      <c r="AC188" s="27"/>
      <c r="AD188" s="26"/>
      <c r="AE188" s="27"/>
      <c r="AF188" s="26"/>
      <c r="AG188" s="27"/>
      <c r="AH188" s="26"/>
      <c r="AI188" s="27"/>
      <c r="AJ188" s="26"/>
      <c r="AK188" s="27"/>
      <c r="AL188" s="26"/>
      <c r="AM188" s="27"/>
      <c r="AN188" s="26"/>
      <c r="AO188" s="27"/>
      <c r="AP188" s="26"/>
      <c r="AQ188" s="27"/>
      <c r="AR188" s="26"/>
      <c r="AS188" s="27"/>
      <c r="AT188" s="26"/>
      <c r="AU188" s="27"/>
      <c r="AV188" s="26"/>
      <c r="AW188" s="27"/>
      <c r="AX188" s="26"/>
      <c r="AY188" s="27"/>
      <c r="AZ188" s="26"/>
      <c r="BA188" s="27"/>
      <c r="BB188" s="26"/>
      <c r="BC188" s="27"/>
      <c r="BD188" s="26"/>
      <c r="BE188" s="27"/>
      <c r="BF188" s="26"/>
      <c r="BG188" s="27"/>
      <c r="BH188" s="26"/>
      <c r="BI188" s="27"/>
      <c r="BJ188" s="26"/>
      <c r="BK188" s="27"/>
      <c r="BL188" s="26"/>
      <c r="BM188" s="27"/>
      <c r="BN188" s="22">
        <f>IF($A188="","",SUM(IF($D$5&lt;&gt;"",--(D188="Présent"),0),IF($F$5&lt;&gt;"",--(F188="Présent"),0),IF($H$5&lt;&gt;"",--(H188="Présent"),0),IF($J$5&lt;&gt;"",--(J188="Présent"),0),IF($L$5&lt;&gt;"",--(L188="Présent"),0),IF($N$5&lt;&gt;"",--(N188="Présent"),0),IF($P$5&lt;&gt;"",--(P188="Présent"),0),IF($R$5&lt;&gt;"",--(R188="Présent"),0),IF($T$5&lt;&gt;"",--(T188="Présent"),0),IF($V$5&lt;&gt;"",--(V188="Présent"),0),IF($X$5&lt;&gt;"",--(X188="Présent"),0),IF($Z$5&lt;&gt;"",--(Z188="Présent"),0),IF($AB$5&lt;&gt;"",--(AB188="Présent"),0),IF($AD$5&lt;&gt;"",--(AD188="Présent"),0),IF($AF$5&lt;&gt;"",--(AF188="Présent"),0),IF($AH$5&lt;&gt;"",--(AH188="Présent"),0),IF($AJ$5&lt;&gt;"",--(AJ188="Présent"),0),IF($AL$5&lt;&gt;"",--(AL188="Présent"),0),IF($AN$5&lt;&gt;"",--(AN188="Présent"),0),IF($AP$5&lt;&gt;"",--(AP188="Présent"),0),IF($AR$5&lt;&gt;"",--(AR188="Présent"),0),IF($AT$5&lt;&gt;"",--(AT188="Présent"),0),IF($AV$5&lt;&gt;"",--(AV188="Présent"),0),IF($AX$5&lt;&gt;"",--(AX188="Présent"),0),IF($AZ$5&lt;&gt;"",--(AZ188="Présent"),0),IF($BB$5&lt;&gt;"",--(BB188="Présent"),0),IF($BD$5&lt;&gt;"",--(BD188="Présent"),0),IF($BF$5&lt;&gt;"",--(BF188="Présent"),0),IF($BH$5&lt;&gt;"",--(BH188="Présent"),0),IF($BJ$5&lt;&gt;"",--(BJ188="Présent"),0),IF($BL$5&lt;&gt;"",--(BL188="Présent"),0)))</f>
      </c>
      <c r="BO188" s="22">
        <f>IF($A188="","",SUM(IF($D$5&lt;&gt;"",--(D188="Absent"),0),IF($F$5&lt;&gt;"",--(F188="Absent"),0),IF($H$5&lt;&gt;"",--(H188="Absent"),0),IF($J$5&lt;&gt;"",--(J188="Absent"),0),IF($L$5&lt;&gt;"",--(L188="Absent"),0),IF($N$5&lt;&gt;"",--(N188="Absent"),0),IF($P$5&lt;&gt;"",--(P188="Absent"),0),IF($R$5&lt;&gt;"",--(R188="Absent"),0),IF($T$5&lt;&gt;"",--(T188="Absent"),0),IF($V$5&lt;&gt;"",--(V188="Absent"),0),IF($X$5&lt;&gt;"",--(X188="Absent"),0),IF($Z$5&lt;&gt;"",--(Z188="Absent"),0),IF($AB$5&lt;&gt;"",--(AB188="Absent"),0),IF($AD$5&lt;&gt;"",--(AD188="Absent"),0),IF($AF$5&lt;&gt;"",--(AF188="Absent"),0),IF($AH$5&lt;&gt;"",--(AH188="Absent"),0),IF($AJ$5&lt;&gt;"",--(AJ188="Absent"),0),IF($AL$5&lt;&gt;"",--(AL188="Absent"),0),IF($AN$5&lt;&gt;"",--(AN188="Absent"),0),IF($AP$5&lt;&gt;"",--(AP188="Absent"),0),IF($AR$5&lt;&gt;"",--(AR188="Absent"),0),IF($AT$5&lt;&gt;"",--(AT188="Absent"),0),IF($AV$5&lt;&gt;"",--(AV188="Absent"),0),IF($AX$5&lt;&gt;"",--(AX188="Absent"),0),IF($AZ$5&lt;&gt;"",--(AZ188="Absent"),0),IF($BB$5&lt;&gt;"",--(BB188="Absent"),0),IF($BD$5&lt;&gt;"",--(BD188="Absent"),0),IF($BF$5&lt;&gt;"",--(BF188="Absent"),0),IF($BH$5&lt;&gt;"",--(BH188="Absent"),0),IF($BJ$5&lt;&gt;"",--(BJ188="Absent"),0),IF($BL$5&lt;&gt;"",--(BL188="Absent"),0)))</f>
      </c>
      <c r="BP188" s="22">
        <f>IF($A188="","",SUM(IF($D$5&lt;&gt;"",--(D188="Congé"),0),IF($F$5&lt;&gt;"",--(F188="Congé"),0),IF($H$5&lt;&gt;"",--(H188="Congé"),0),IF($J$5&lt;&gt;"",--(J188="Congé"),0),IF($L$5&lt;&gt;"",--(L188="Congé"),0),IF($N$5&lt;&gt;"",--(N188="Congé"),0),IF($P$5&lt;&gt;"",--(P188="Congé"),0),IF($R$5&lt;&gt;"",--(R188="Congé"),0),IF($T$5&lt;&gt;"",--(T188="Congé"),0),IF($V$5&lt;&gt;"",--(V188="Congé"),0),IF($X$5&lt;&gt;"",--(X188="Congé"),0),IF($Z$5&lt;&gt;"",--(Z188="Congé"),0),IF($AB$5&lt;&gt;"",--(AB188="Congé"),0),IF($AD$5&lt;&gt;"",--(AD188="Congé"),0),IF($AF$5&lt;&gt;"",--(AF188="Congé"),0),IF($AH$5&lt;&gt;"",--(AH188="Congé"),0),IF($AJ$5&lt;&gt;"",--(AJ188="Congé"),0),IF($AL$5&lt;&gt;"",--(AL188="Congé"),0),IF($AN$5&lt;&gt;"",--(AN188="Congé"),0),IF($AP$5&lt;&gt;"",--(AP188="Congé"),0),IF($AR$5&lt;&gt;"",--(AR188="Congé"),0),IF($AT$5&lt;&gt;"",--(AT188="Congé"),0),IF($AV$5&lt;&gt;"",--(AV188="Congé"),0),IF($AX$5&lt;&gt;"",--(AX188="Congé"),0),IF($AZ$5&lt;&gt;"",--(AZ188="Congé"),0),IF($BB$5&lt;&gt;"",--(BB188="Congé"),0),IF($BD$5&lt;&gt;"",--(BD188="Congé"),0),IF($BF$5&lt;&gt;"",--(BF188="Congé"),0),IF($BH$5&lt;&gt;"",--(BH188="Congé"),0),IF($BJ$5&lt;&gt;"",--(BJ188="Congé"),0),IF($BL$5&lt;&gt;"",--(BL188="Congé"),0)))</f>
      </c>
      <c r="BQ188" s="22">
        <f>IF($A188="","",SUM(IF($D$5&lt;&gt;"",--(D188="Maladie"),0),IF($F$5&lt;&gt;"",--(F188="Maladie"),0),IF($H$5&lt;&gt;"",--(H188="Maladie"),0),IF($J$5&lt;&gt;"",--(J188="Maladie"),0),IF($L$5&lt;&gt;"",--(L188="Maladie"),0),IF($N$5&lt;&gt;"",--(N188="Maladie"),0),IF($P$5&lt;&gt;"",--(P188="Maladie"),0),IF($R$5&lt;&gt;"",--(R188="Maladie"),0),IF($T$5&lt;&gt;"",--(T188="Maladie"),0),IF($V$5&lt;&gt;"",--(V188="Maladie"),0),IF($X$5&lt;&gt;"",--(X188="Maladie"),0),IF($Z$5&lt;&gt;"",--(Z188="Maladie"),0),IF($AB$5&lt;&gt;"",--(AB188="Maladie"),0),IF($AD$5&lt;&gt;"",--(AD188="Maladie"),0),IF($AF$5&lt;&gt;"",--(AF188="Maladie"),0),IF($AH$5&lt;&gt;"",--(AH188="Maladie"),0),IF($AJ$5&lt;&gt;"",--(AJ188="Maladie"),0),IF($AL$5&lt;&gt;"",--(AL188="Maladie"),0),IF($AN$5&lt;&gt;"",--(AN188="Maladie"),0),IF($AP$5&lt;&gt;"",--(AP188="Maladie"),0),IF($AR$5&lt;&gt;"",--(AR188="Maladie"),0),IF($AT$5&lt;&gt;"",--(AT188="Maladie"),0),IF($AV$5&lt;&gt;"",--(AV188="Maladie"),0),IF($AX$5&lt;&gt;"",--(AX188="Maladie"),0),IF($AZ$5&lt;&gt;"",--(AZ188="Maladie"),0),IF($BB$5&lt;&gt;"",--(BB188="Maladie"),0),IF($BD$5&lt;&gt;"",--(BD188="Maladie"),0),IF($BF$5&lt;&gt;"",--(BF188="Maladie"),0),IF($BH$5&lt;&gt;"",--(BH188="Maladie"),0),IF($BJ$5&lt;&gt;"",--(BJ188="Maladie"),0),IF($BL$5&lt;&gt;"",--(BL188="Maladie"),0)))</f>
      </c>
      <c r="BR188" s="23">
        <f>IF($A188="","",SUM(IF($D$5&lt;&gt;"",IF(D188="Présent",E188,0),0),IF($F$5&lt;&gt;"",IF(F188="Présent",G188,0),0),IF($H$5&lt;&gt;"",IF(H188="Présent",I188,0),0),IF($J$5&lt;&gt;"",IF(J188="Présent",K188,0),0),IF($L$5&lt;&gt;"",IF(L188="Présent",M188,0),0),IF($N$5&lt;&gt;"",IF(N188="Présent",O188,0),0),IF($P$5&lt;&gt;"",IF(P188="Présent",Q188,0),0),IF($R$5&lt;&gt;"",IF(R188="Présent",S188,0),0),IF($T$5&lt;&gt;"",IF(T188="Présent",U188,0),0),IF($V$5&lt;&gt;"",IF(V188="Présent",W188,0),0),IF($X$5&lt;&gt;"",IF(X188="Présent",Y188,0),0),IF($Z$5&lt;&gt;"",IF(Z188="Présent",AA188,0),0),IF($AB$5&lt;&gt;"",IF(AB188="Présent",AC188,0),0),IF($AD$5&lt;&gt;"",IF(AD188="Présent",AE188,0),0),IF($AF$5&lt;&gt;"",IF(AF188="Présent",AG188,0),0),IF($AH$5&lt;&gt;"",IF(AH188="Présent",AI188,0),0),IF($AJ$5&lt;&gt;"",IF(AJ188="Présent",AK188,0),0),IF($AL$5&lt;&gt;"",IF(AL188="Présent",AM188,0),0),IF($AN$5&lt;&gt;"",IF(AN188="Présent",AO188,0),0),IF($AP$5&lt;&gt;"",IF(AP188="Présent",AQ188,0),0),IF($AR$5&lt;&gt;"",IF(AR188="Présent",AS188,0),0),IF($AT$5&lt;&gt;"",IF(AT188="Présent",AU188,0),0),IF($AV$5&lt;&gt;"",IF(AV188="Présent",AW188,0),0),IF($AX$5&lt;&gt;"",IF(AX188="Présent",AY188,0),0),IF($AZ$5&lt;&gt;"",IF(AZ188="Présent",BA188,0),0),IF($BB$5&lt;&gt;"",IF(BB188="Présent",BC188,0),0),IF($BD$5&lt;&gt;"",IF(BD188="Présent",BE188,0),0),IF($BF$5&lt;&gt;"",IF(BF188="Présent",BG188,0),0),IF($BH$5&lt;&gt;"",IF(BH188="Présent",BI188,0),0),IF($BJ$5&lt;&gt;"",IF(BJ188="Présent",BK188,0),0),IF($BL$5&lt;&gt;"",IF(BL188="Présent",BM188,0),0)))</f>
      </c>
      <c r="BS188" s="25">
        <f>IF($A188="","",$BN188*IFERROR(INDEX(Categories_Salaire,MATCH($C188,ListeCategories,0)),0)+$BR188*IF(IFERROR(INDEX(Categories_TauxHS,MATCH($C188,ListeCategories,0)),0)&gt;0,IFERROR(INDEX(Categories_TauxHS,MATCH($C188,ListeCategories,0)),0),TauxHSDefaut))</f>
      </c>
    </row>
    <row r="189">
      <c r="A189" s="20">
        <f>IF(AND(INDEX(Employes_Nom,183)&lt;&gt;"",INDEX(Employes_Statut,183)="Actif",OR(INDEX(Employes_Embauche,183)="",INDEX(Employes_Embauche,183)&lt;=EOMONTH(DATE(AnneeCourante,MoisCourant,1),0))),INDEX(Employes_ID,183),"")</f>
      </c>
      <c r="B189" s="19">
        <f>IF($A189="","",INDEX(Employes_Nom,MATCH($A189,Employes_ID,0)))</f>
      </c>
      <c r="C189" s="20">
        <f>IF($A189="","",INDEX(Employes_Categorie,MATCH($A189,Employes_ID,0)))</f>
      </c>
      <c r="D189" s="26"/>
      <c r="E189" s="27"/>
      <c r="F189" s="26"/>
      <c r="G189" s="27"/>
      <c r="H189" s="26"/>
      <c r="I189" s="27"/>
      <c r="J189" s="26"/>
      <c r="K189" s="27"/>
      <c r="L189" s="26"/>
      <c r="M189" s="27"/>
      <c r="N189" s="26"/>
      <c r="O189" s="27"/>
      <c r="P189" s="26"/>
      <c r="Q189" s="27"/>
      <c r="R189" s="26"/>
      <c r="S189" s="27"/>
      <c r="T189" s="26"/>
      <c r="U189" s="27"/>
      <c r="V189" s="26"/>
      <c r="W189" s="27"/>
      <c r="X189" s="26"/>
      <c r="Y189" s="27"/>
      <c r="Z189" s="26"/>
      <c r="AA189" s="27"/>
      <c r="AB189" s="26"/>
      <c r="AC189" s="27"/>
      <c r="AD189" s="26"/>
      <c r="AE189" s="27"/>
      <c r="AF189" s="26"/>
      <c r="AG189" s="27"/>
      <c r="AH189" s="26"/>
      <c r="AI189" s="27"/>
      <c r="AJ189" s="26"/>
      <c r="AK189" s="27"/>
      <c r="AL189" s="26"/>
      <c r="AM189" s="27"/>
      <c r="AN189" s="26"/>
      <c r="AO189" s="27"/>
      <c r="AP189" s="26"/>
      <c r="AQ189" s="27"/>
      <c r="AR189" s="26"/>
      <c r="AS189" s="27"/>
      <c r="AT189" s="26"/>
      <c r="AU189" s="27"/>
      <c r="AV189" s="26"/>
      <c r="AW189" s="27"/>
      <c r="AX189" s="26"/>
      <c r="AY189" s="27"/>
      <c r="AZ189" s="26"/>
      <c r="BA189" s="27"/>
      <c r="BB189" s="26"/>
      <c r="BC189" s="27"/>
      <c r="BD189" s="26"/>
      <c r="BE189" s="27"/>
      <c r="BF189" s="26"/>
      <c r="BG189" s="27"/>
      <c r="BH189" s="26"/>
      <c r="BI189" s="27"/>
      <c r="BJ189" s="26"/>
      <c r="BK189" s="27"/>
      <c r="BL189" s="26"/>
      <c r="BM189" s="27"/>
      <c r="BN189" s="22">
        <f>IF($A189="","",SUM(IF($D$5&lt;&gt;"",--(D189="Présent"),0),IF($F$5&lt;&gt;"",--(F189="Présent"),0),IF($H$5&lt;&gt;"",--(H189="Présent"),0),IF($J$5&lt;&gt;"",--(J189="Présent"),0),IF($L$5&lt;&gt;"",--(L189="Présent"),0),IF($N$5&lt;&gt;"",--(N189="Présent"),0),IF($P$5&lt;&gt;"",--(P189="Présent"),0),IF($R$5&lt;&gt;"",--(R189="Présent"),0),IF($T$5&lt;&gt;"",--(T189="Présent"),0),IF($V$5&lt;&gt;"",--(V189="Présent"),0),IF($X$5&lt;&gt;"",--(X189="Présent"),0),IF($Z$5&lt;&gt;"",--(Z189="Présent"),0),IF($AB$5&lt;&gt;"",--(AB189="Présent"),0),IF($AD$5&lt;&gt;"",--(AD189="Présent"),0),IF($AF$5&lt;&gt;"",--(AF189="Présent"),0),IF($AH$5&lt;&gt;"",--(AH189="Présent"),0),IF($AJ$5&lt;&gt;"",--(AJ189="Présent"),0),IF($AL$5&lt;&gt;"",--(AL189="Présent"),0),IF($AN$5&lt;&gt;"",--(AN189="Présent"),0),IF($AP$5&lt;&gt;"",--(AP189="Présent"),0),IF($AR$5&lt;&gt;"",--(AR189="Présent"),0),IF($AT$5&lt;&gt;"",--(AT189="Présent"),0),IF($AV$5&lt;&gt;"",--(AV189="Présent"),0),IF($AX$5&lt;&gt;"",--(AX189="Présent"),0),IF($AZ$5&lt;&gt;"",--(AZ189="Présent"),0),IF($BB$5&lt;&gt;"",--(BB189="Présent"),0),IF($BD$5&lt;&gt;"",--(BD189="Présent"),0),IF($BF$5&lt;&gt;"",--(BF189="Présent"),0),IF($BH$5&lt;&gt;"",--(BH189="Présent"),0),IF($BJ$5&lt;&gt;"",--(BJ189="Présent"),0),IF($BL$5&lt;&gt;"",--(BL189="Présent"),0)))</f>
      </c>
      <c r="BO189" s="22">
        <f>IF($A189="","",SUM(IF($D$5&lt;&gt;"",--(D189="Absent"),0),IF($F$5&lt;&gt;"",--(F189="Absent"),0),IF($H$5&lt;&gt;"",--(H189="Absent"),0),IF($J$5&lt;&gt;"",--(J189="Absent"),0),IF($L$5&lt;&gt;"",--(L189="Absent"),0),IF($N$5&lt;&gt;"",--(N189="Absent"),0),IF($P$5&lt;&gt;"",--(P189="Absent"),0),IF($R$5&lt;&gt;"",--(R189="Absent"),0),IF($T$5&lt;&gt;"",--(T189="Absent"),0),IF($V$5&lt;&gt;"",--(V189="Absent"),0),IF($X$5&lt;&gt;"",--(X189="Absent"),0),IF($Z$5&lt;&gt;"",--(Z189="Absent"),0),IF($AB$5&lt;&gt;"",--(AB189="Absent"),0),IF($AD$5&lt;&gt;"",--(AD189="Absent"),0),IF($AF$5&lt;&gt;"",--(AF189="Absent"),0),IF($AH$5&lt;&gt;"",--(AH189="Absent"),0),IF($AJ$5&lt;&gt;"",--(AJ189="Absent"),0),IF($AL$5&lt;&gt;"",--(AL189="Absent"),0),IF($AN$5&lt;&gt;"",--(AN189="Absent"),0),IF($AP$5&lt;&gt;"",--(AP189="Absent"),0),IF($AR$5&lt;&gt;"",--(AR189="Absent"),0),IF($AT$5&lt;&gt;"",--(AT189="Absent"),0),IF($AV$5&lt;&gt;"",--(AV189="Absent"),0),IF($AX$5&lt;&gt;"",--(AX189="Absent"),0),IF($AZ$5&lt;&gt;"",--(AZ189="Absent"),0),IF($BB$5&lt;&gt;"",--(BB189="Absent"),0),IF($BD$5&lt;&gt;"",--(BD189="Absent"),0),IF($BF$5&lt;&gt;"",--(BF189="Absent"),0),IF($BH$5&lt;&gt;"",--(BH189="Absent"),0),IF($BJ$5&lt;&gt;"",--(BJ189="Absent"),0),IF($BL$5&lt;&gt;"",--(BL189="Absent"),0)))</f>
      </c>
      <c r="BP189" s="22">
        <f>IF($A189="","",SUM(IF($D$5&lt;&gt;"",--(D189="Congé"),0),IF($F$5&lt;&gt;"",--(F189="Congé"),0),IF($H$5&lt;&gt;"",--(H189="Congé"),0),IF($J$5&lt;&gt;"",--(J189="Congé"),0),IF($L$5&lt;&gt;"",--(L189="Congé"),0),IF($N$5&lt;&gt;"",--(N189="Congé"),0),IF($P$5&lt;&gt;"",--(P189="Congé"),0),IF($R$5&lt;&gt;"",--(R189="Congé"),0),IF($T$5&lt;&gt;"",--(T189="Congé"),0),IF($V$5&lt;&gt;"",--(V189="Congé"),0),IF($X$5&lt;&gt;"",--(X189="Congé"),0),IF($Z$5&lt;&gt;"",--(Z189="Congé"),0),IF($AB$5&lt;&gt;"",--(AB189="Congé"),0),IF($AD$5&lt;&gt;"",--(AD189="Congé"),0),IF($AF$5&lt;&gt;"",--(AF189="Congé"),0),IF($AH$5&lt;&gt;"",--(AH189="Congé"),0),IF($AJ$5&lt;&gt;"",--(AJ189="Congé"),0),IF($AL$5&lt;&gt;"",--(AL189="Congé"),0),IF($AN$5&lt;&gt;"",--(AN189="Congé"),0),IF($AP$5&lt;&gt;"",--(AP189="Congé"),0),IF($AR$5&lt;&gt;"",--(AR189="Congé"),0),IF($AT$5&lt;&gt;"",--(AT189="Congé"),0),IF($AV$5&lt;&gt;"",--(AV189="Congé"),0),IF($AX$5&lt;&gt;"",--(AX189="Congé"),0),IF($AZ$5&lt;&gt;"",--(AZ189="Congé"),0),IF($BB$5&lt;&gt;"",--(BB189="Congé"),0),IF($BD$5&lt;&gt;"",--(BD189="Congé"),0),IF($BF$5&lt;&gt;"",--(BF189="Congé"),0),IF($BH$5&lt;&gt;"",--(BH189="Congé"),0),IF($BJ$5&lt;&gt;"",--(BJ189="Congé"),0),IF($BL$5&lt;&gt;"",--(BL189="Congé"),0)))</f>
      </c>
      <c r="BQ189" s="22">
        <f>IF($A189="","",SUM(IF($D$5&lt;&gt;"",--(D189="Maladie"),0),IF($F$5&lt;&gt;"",--(F189="Maladie"),0),IF($H$5&lt;&gt;"",--(H189="Maladie"),0),IF($J$5&lt;&gt;"",--(J189="Maladie"),0),IF($L$5&lt;&gt;"",--(L189="Maladie"),0),IF($N$5&lt;&gt;"",--(N189="Maladie"),0),IF($P$5&lt;&gt;"",--(P189="Maladie"),0),IF($R$5&lt;&gt;"",--(R189="Maladie"),0),IF($T$5&lt;&gt;"",--(T189="Maladie"),0),IF($V$5&lt;&gt;"",--(V189="Maladie"),0),IF($X$5&lt;&gt;"",--(X189="Maladie"),0),IF($Z$5&lt;&gt;"",--(Z189="Maladie"),0),IF($AB$5&lt;&gt;"",--(AB189="Maladie"),0),IF($AD$5&lt;&gt;"",--(AD189="Maladie"),0),IF($AF$5&lt;&gt;"",--(AF189="Maladie"),0),IF($AH$5&lt;&gt;"",--(AH189="Maladie"),0),IF($AJ$5&lt;&gt;"",--(AJ189="Maladie"),0),IF($AL$5&lt;&gt;"",--(AL189="Maladie"),0),IF($AN$5&lt;&gt;"",--(AN189="Maladie"),0),IF($AP$5&lt;&gt;"",--(AP189="Maladie"),0),IF($AR$5&lt;&gt;"",--(AR189="Maladie"),0),IF($AT$5&lt;&gt;"",--(AT189="Maladie"),0),IF($AV$5&lt;&gt;"",--(AV189="Maladie"),0),IF($AX$5&lt;&gt;"",--(AX189="Maladie"),0),IF($AZ$5&lt;&gt;"",--(AZ189="Maladie"),0),IF($BB$5&lt;&gt;"",--(BB189="Maladie"),0),IF($BD$5&lt;&gt;"",--(BD189="Maladie"),0),IF($BF$5&lt;&gt;"",--(BF189="Maladie"),0),IF($BH$5&lt;&gt;"",--(BH189="Maladie"),0),IF($BJ$5&lt;&gt;"",--(BJ189="Maladie"),0),IF($BL$5&lt;&gt;"",--(BL189="Maladie"),0)))</f>
      </c>
      <c r="BR189" s="23">
        <f>IF($A189="","",SUM(IF($D$5&lt;&gt;"",IF(D189="Présent",E189,0),0),IF($F$5&lt;&gt;"",IF(F189="Présent",G189,0),0),IF($H$5&lt;&gt;"",IF(H189="Présent",I189,0),0),IF($J$5&lt;&gt;"",IF(J189="Présent",K189,0),0),IF($L$5&lt;&gt;"",IF(L189="Présent",M189,0),0),IF($N$5&lt;&gt;"",IF(N189="Présent",O189,0),0),IF($P$5&lt;&gt;"",IF(P189="Présent",Q189,0),0),IF($R$5&lt;&gt;"",IF(R189="Présent",S189,0),0),IF($T$5&lt;&gt;"",IF(T189="Présent",U189,0),0),IF($V$5&lt;&gt;"",IF(V189="Présent",W189,0),0),IF($X$5&lt;&gt;"",IF(X189="Présent",Y189,0),0),IF($Z$5&lt;&gt;"",IF(Z189="Présent",AA189,0),0),IF($AB$5&lt;&gt;"",IF(AB189="Présent",AC189,0),0),IF($AD$5&lt;&gt;"",IF(AD189="Présent",AE189,0),0),IF($AF$5&lt;&gt;"",IF(AF189="Présent",AG189,0),0),IF($AH$5&lt;&gt;"",IF(AH189="Présent",AI189,0),0),IF($AJ$5&lt;&gt;"",IF(AJ189="Présent",AK189,0),0),IF($AL$5&lt;&gt;"",IF(AL189="Présent",AM189,0),0),IF($AN$5&lt;&gt;"",IF(AN189="Présent",AO189,0),0),IF($AP$5&lt;&gt;"",IF(AP189="Présent",AQ189,0),0),IF($AR$5&lt;&gt;"",IF(AR189="Présent",AS189,0),0),IF($AT$5&lt;&gt;"",IF(AT189="Présent",AU189,0),0),IF($AV$5&lt;&gt;"",IF(AV189="Présent",AW189,0),0),IF($AX$5&lt;&gt;"",IF(AX189="Présent",AY189,0),0),IF($AZ$5&lt;&gt;"",IF(AZ189="Présent",BA189,0),0),IF($BB$5&lt;&gt;"",IF(BB189="Présent",BC189,0),0),IF($BD$5&lt;&gt;"",IF(BD189="Présent",BE189,0),0),IF($BF$5&lt;&gt;"",IF(BF189="Présent",BG189,0),0),IF($BH$5&lt;&gt;"",IF(BH189="Présent",BI189,0),0),IF($BJ$5&lt;&gt;"",IF(BJ189="Présent",BK189,0),0),IF($BL$5&lt;&gt;"",IF(BL189="Présent",BM189,0),0)))</f>
      </c>
      <c r="BS189" s="25">
        <f>IF($A189="","",$BN189*IFERROR(INDEX(Categories_Salaire,MATCH($C189,ListeCategories,0)),0)+$BR189*IF(IFERROR(INDEX(Categories_TauxHS,MATCH($C189,ListeCategories,0)),0)&gt;0,IFERROR(INDEX(Categories_TauxHS,MATCH($C189,ListeCategories,0)),0),TauxHSDefaut))</f>
      </c>
    </row>
    <row r="190">
      <c r="A190" s="20">
        <f>IF(AND(INDEX(Employes_Nom,184)&lt;&gt;"",INDEX(Employes_Statut,184)="Actif",OR(INDEX(Employes_Embauche,184)="",INDEX(Employes_Embauche,184)&lt;=EOMONTH(DATE(AnneeCourante,MoisCourant,1),0))),INDEX(Employes_ID,184),"")</f>
      </c>
      <c r="B190" s="19">
        <f>IF($A190="","",INDEX(Employes_Nom,MATCH($A190,Employes_ID,0)))</f>
      </c>
      <c r="C190" s="20">
        <f>IF($A190="","",INDEX(Employes_Categorie,MATCH($A190,Employes_ID,0)))</f>
      </c>
      <c r="D190" s="26"/>
      <c r="E190" s="27"/>
      <c r="F190" s="26"/>
      <c r="G190" s="27"/>
      <c r="H190" s="26"/>
      <c r="I190" s="27"/>
      <c r="J190" s="26"/>
      <c r="K190" s="27"/>
      <c r="L190" s="26"/>
      <c r="M190" s="27"/>
      <c r="N190" s="26"/>
      <c r="O190" s="27"/>
      <c r="P190" s="26"/>
      <c r="Q190" s="27"/>
      <c r="R190" s="26"/>
      <c r="S190" s="27"/>
      <c r="T190" s="26"/>
      <c r="U190" s="27"/>
      <c r="V190" s="26"/>
      <c r="W190" s="27"/>
      <c r="X190" s="26"/>
      <c r="Y190" s="27"/>
      <c r="Z190" s="26"/>
      <c r="AA190" s="27"/>
      <c r="AB190" s="26"/>
      <c r="AC190" s="27"/>
      <c r="AD190" s="26"/>
      <c r="AE190" s="27"/>
      <c r="AF190" s="26"/>
      <c r="AG190" s="27"/>
      <c r="AH190" s="26"/>
      <c r="AI190" s="27"/>
      <c r="AJ190" s="26"/>
      <c r="AK190" s="27"/>
      <c r="AL190" s="26"/>
      <c r="AM190" s="27"/>
      <c r="AN190" s="26"/>
      <c r="AO190" s="27"/>
      <c r="AP190" s="26"/>
      <c r="AQ190" s="27"/>
      <c r="AR190" s="26"/>
      <c r="AS190" s="27"/>
      <c r="AT190" s="26"/>
      <c r="AU190" s="27"/>
      <c r="AV190" s="26"/>
      <c r="AW190" s="27"/>
      <c r="AX190" s="26"/>
      <c r="AY190" s="27"/>
      <c r="AZ190" s="26"/>
      <c r="BA190" s="27"/>
      <c r="BB190" s="26"/>
      <c r="BC190" s="27"/>
      <c r="BD190" s="26"/>
      <c r="BE190" s="27"/>
      <c r="BF190" s="26"/>
      <c r="BG190" s="27"/>
      <c r="BH190" s="26"/>
      <c r="BI190" s="27"/>
      <c r="BJ190" s="26"/>
      <c r="BK190" s="27"/>
      <c r="BL190" s="26"/>
      <c r="BM190" s="27"/>
      <c r="BN190" s="22">
        <f>IF($A190="","",SUM(IF($D$5&lt;&gt;"",--(D190="Présent"),0),IF($F$5&lt;&gt;"",--(F190="Présent"),0),IF($H$5&lt;&gt;"",--(H190="Présent"),0),IF($J$5&lt;&gt;"",--(J190="Présent"),0),IF($L$5&lt;&gt;"",--(L190="Présent"),0),IF($N$5&lt;&gt;"",--(N190="Présent"),0),IF($P$5&lt;&gt;"",--(P190="Présent"),0),IF($R$5&lt;&gt;"",--(R190="Présent"),0),IF($T$5&lt;&gt;"",--(T190="Présent"),0),IF($V$5&lt;&gt;"",--(V190="Présent"),0),IF($X$5&lt;&gt;"",--(X190="Présent"),0),IF($Z$5&lt;&gt;"",--(Z190="Présent"),0),IF($AB$5&lt;&gt;"",--(AB190="Présent"),0),IF($AD$5&lt;&gt;"",--(AD190="Présent"),0),IF($AF$5&lt;&gt;"",--(AF190="Présent"),0),IF($AH$5&lt;&gt;"",--(AH190="Présent"),0),IF($AJ$5&lt;&gt;"",--(AJ190="Présent"),0),IF($AL$5&lt;&gt;"",--(AL190="Présent"),0),IF($AN$5&lt;&gt;"",--(AN190="Présent"),0),IF($AP$5&lt;&gt;"",--(AP190="Présent"),0),IF($AR$5&lt;&gt;"",--(AR190="Présent"),0),IF($AT$5&lt;&gt;"",--(AT190="Présent"),0),IF($AV$5&lt;&gt;"",--(AV190="Présent"),0),IF($AX$5&lt;&gt;"",--(AX190="Présent"),0),IF($AZ$5&lt;&gt;"",--(AZ190="Présent"),0),IF($BB$5&lt;&gt;"",--(BB190="Présent"),0),IF($BD$5&lt;&gt;"",--(BD190="Présent"),0),IF($BF$5&lt;&gt;"",--(BF190="Présent"),0),IF($BH$5&lt;&gt;"",--(BH190="Présent"),0),IF($BJ$5&lt;&gt;"",--(BJ190="Présent"),0),IF($BL$5&lt;&gt;"",--(BL190="Présent"),0)))</f>
      </c>
      <c r="BO190" s="22">
        <f>IF($A190="","",SUM(IF($D$5&lt;&gt;"",--(D190="Absent"),0),IF($F$5&lt;&gt;"",--(F190="Absent"),0),IF($H$5&lt;&gt;"",--(H190="Absent"),0),IF($J$5&lt;&gt;"",--(J190="Absent"),0),IF($L$5&lt;&gt;"",--(L190="Absent"),0),IF($N$5&lt;&gt;"",--(N190="Absent"),0),IF($P$5&lt;&gt;"",--(P190="Absent"),0),IF($R$5&lt;&gt;"",--(R190="Absent"),0),IF($T$5&lt;&gt;"",--(T190="Absent"),0),IF($V$5&lt;&gt;"",--(V190="Absent"),0),IF($X$5&lt;&gt;"",--(X190="Absent"),0),IF($Z$5&lt;&gt;"",--(Z190="Absent"),0),IF($AB$5&lt;&gt;"",--(AB190="Absent"),0),IF($AD$5&lt;&gt;"",--(AD190="Absent"),0),IF($AF$5&lt;&gt;"",--(AF190="Absent"),0),IF($AH$5&lt;&gt;"",--(AH190="Absent"),0),IF($AJ$5&lt;&gt;"",--(AJ190="Absent"),0),IF($AL$5&lt;&gt;"",--(AL190="Absent"),0),IF($AN$5&lt;&gt;"",--(AN190="Absent"),0),IF($AP$5&lt;&gt;"",--(AP190="Absent"),0),IF($AR$5&lt;&gt;"",--(AR190="Absent"),0),IF($AT$5&lt;&gt;"",--(AT190="Absent"),0),IF($AV$5&lt;&gt;"",--(AV190="Absent"),0),IF($AX$5&lt;&gt;"",--(AX190="Absent"),0),IF($AZ$5&lt;&gt;"",--(AZ190="Absent"),0),IF($BB$5&lt;&gt;"",--(BB190="Absent"),0),IF($BD$5&lt;&gt;"",--(BD190="Absent"),0),IF($BF$5&lt;&gt;"",--(BF190="Absent"),0),IF($BH$5&lt;&gt;"",--(BH190="Absent"),0),IF($BJ$5&lt;&gt;"",--(BJ190="Absent"),0),IF($BL$5&lt;&gt;"",--(BL190="Absent"),0)))</f>
      </c>
      <c r="BP190" s="22">
        <f>IF($A190="","",SUM(IF($D$5&lt;&gt;"",--(D190="Congé"),0),IF($F$5&lt;&gt;"",--(F190="Congé"),0),IF($H$5&lt;&gt;"",--(H190="Congé"),0),IF($J$5&lt;&gt;"",--(J190="Congé"),0),IF($L$5&lt;&gt;"",--(L190="Congé"),0),IF($N$5&lt;&gt;"",--(N190="Congé"),0),IF($P$5&lt;&gt;"",--(P190="Congé"),0),IF($R$5&lt;&gt;"",--(R190="Congé"),0),IF($T$5&lt;&gt;"",--(T190="Congé"),0),IF($V$5&lt;&gt;"",--(V190="Congé"),0),IF($X$5&lt;&gt;"",--(X190="Congé"),0),IF($Z$5&lt;&gt;"",--(Z190="Congé"),0),IF($AB$5&lt;&gt;"",--(AB190="Congé"),0),IF($AD$5&lt;&gt;"",--(AD190="Congé"),0),IF($AF$5&lt;&gt;"",--(AF190="Congé"),0),IF($AH$5&lt;&gt;"",--(AH190="Congé"),0),IF($AJ$5&lt;&gt;"",--(AJ190="Congé"),0),IF($AL$5&lt;&gt;"",--(AL190="Congé"),0),IF($AN$5&lt;&gt;"",--(AN190="Congé"),0),IF($AP$5&lt;&gt;"",--(AP190="Congé"),0),IF($AR$5&lt;&gt;"",--(AR190="Congé"),0),IF($AT$5&lt;&gt;"",--(AT190="Congé"),0),IF($AV$5&lt;&gt;"",--(AV190="Congé"),0),IF($AX$5&lt;&gt;"",--(AX190="Congé"),0),IF($AZ$5&lt;&gt;"",--(AZ190="Congé"),0),IF($BB$5&lt;&gt;"",--(BB190="Congé"),0),IF($BD$5&lt;&gt;"",--(BD190="Congé"),0),IF($BF$5&lt;&gt;"",--(BF190="Congé"),0),IF($BH$5&lt;&gt;"",--(BH190="Congé"),0),IF($BJ$5&lt;&gt;"",--(BJ190="Congé"),0),IF($BL$5&lt;&gt;"",--(BL190="Congé"),0)))</f>
      </c>
      <c r="BQ190" s="22">
        <f>IF($A190="","",SUM(IF($D$5&lt;&gt;"",--(D190="Maladie"),0),IF($F$5&lt;&gt;"",--(F190="Maladie"),0),IF($H$5&lt;&gt;"",--(H190="Maladie"),0),IF($J$5&lt;&gt;"",--(J190="Maladie"),0),IF($L$5&lt;&gt;"",--(L190="Maladie"),0),IF($N$5&lt;&gt;"",--(N190="Maladie"),0),IF($P$5&lt;&gt;"",--(P190="Maladie"),0),IF($R$5&lt;&gt;"",--(R190="Maladie"),0),IF($T$5&lt;&gt;"",--(T190="Maladie"),0),IF($V$5&lt;&gt;"",--(V190="Maladie"),0),IF($X$5&lt;&gt;"",--(X190="Maladie"),0),IF($Z$5&lt;&gt;"",--(Z190="Maladie"),0),IF($AB$5&lt;&gt;"",--(AB190="Maladie"),0),IF($AD$5&lt;&gt;"",--(AD190="Maladie"),0),IF($AF$5&lt;&gt;"",--(AF190="Maladie"),0),IF($AH$5&lt;&gt;"",--(AH190="Maladie"),0),IF($AJ$5&lt;&gt;"",--(AJ190="Maladie"),0),IF($AL$5&lt;&gt;"",--(AL190="Maladie"),0),IF($AN$5&lt;&gt;"",--(AN190="Maladie"),0),IF($AP$5&lt;&gt;"",--(AP190="Maladie"),0),IF($AR$5&lt;&gt;"",--(AR190="Maladie"),0),IF($AT$5&lt;&gt;"",--(AT190="Maladie"),0),IF($AV$5&lt;&gt;"",--(AV190="Maladie"),0),IF($AX$5&lt;&gt;"",--(AX190="Maladie"),0),IF($AZ$5&lt;&gt;"",--(AZ190="Maladie"),0),IF($BB$5&lt;&gt;"",--(BB190="Maladie"),0),IF($BD$5&lt;&gt;"",--(BD190="Maladie"),0),IF($BF$5&lt;&gt;"",--(BF190="Maladie"),0),IF($BH$5&lt;&gt;"",--(BH190="Maladie"),0),IF($BJ$5&lt;&gt;"",--(BJ190="Maladie"),0),IF($BL$5&lt;&gt;"",--(BL190="Maladie"),0)))</f>
      </c>
      <c r="BR190" s="23">
        <f>IF($A190="","",SUM(IF($D$5&lt;&gt;"",IF(D190="Présent",E190,0),0),IF($F$5&lt;&gt;"",IF(F190="Présent",G190,0),0),IF($H$5&lt;&gt;"",IF(H190="Présent",I190,0),0),IF($J$5&lt;&gt;"",IF(J190="Présent",K190,0),0),IF($L$5&lt;&gt;"",IF(L190="Présent",M190,0),0),IF($N$5&lt;&gt;"",IF(N190="Présent",O190,0),0),IF($P$5&lt;&gt;"",IF(P190="Présent",Q190,0),0),IF($R$5&lt;&gt;"",IF(R190="Présent",S190,0),0),IF($T$5&lt;&gt;"",IF(T190="Présent",U190,0),0),IF($V$5&lt;&gt;"",IF(V190="Présent",W190,0),0),IF($X$5&lt;&gt;"",IF(X190="Présent",Y190,0),0),IF($Z$5&lt;&gt;"",IF(Z190="Présent",AA190,0),0),IF($AB$5&lt;&gt;"",IF(AB190="Présent",AC190,0),0),IF($AD$5&lt;&gt;"",IF(AD190="Présent",AE190,0),0),IF($AF$5&lt;&gt;"",IF(AF190="Présent",AG190,0),0),IF($AH$5&lt;&gt;"",IF(AH190="Présent",AI190,0),0),IF($AJ$5&lt;&gt;"",IF(AJ190="Présent",AK190,0),0),IF($AL$5&lt;&gt;"",IF(AL190="Présent",AM190,0),0),IF($AN$5&lt;&gt;"",IF(AN190="Présent",AO190,0),0),IF($AP$5&lt;&gt;"",IF(AP190="Présent",AQ190,0),0),IF($AR$5&lt;&gt;"",IF(AR190="Présent",AS190,0),0),IF($AT$5&lt;&gt;"",IF(AT190="Présent",AU190,0),0),IF($AV$5&lt;&gt;"",IF(AV190="Présent",AW190,0),0),IF($AX$5&lt;&gt;"",IF(AX190="Présent",AY190,0),0),IF($AZ$5&lt;&gt;"",IF(AZ190="Présent",BA190,0),0),IF($BB$5&lt;&gt;"",IF(BB190="Présent",BC190,0),0),IF($BD$5&lt;&gt;"",IF(BD190="Présent",BE190,0),0),IF($BF$5&lt;&gt;"",IF(BF190="Présent",BG190,0),0),IF($BH$5&lt;&gt;"",IF(BH190="Présent",BI190,0),0),IF($BJ$5&lt;&gt;"",IF(BJ190="Présent",BK190,0),0),IF($BL$5&lt;&gt;"",IF(BL190="Présent",BM190,0),0)))</f>
      </c>
      <c r="BS190" s="25">
        <f>IF($A190="","",$BN190*IFERROR(INDEX(Categories_Salaire,MATCH($C190,ListeCategories,0)),0)+$BR190*IF(IFERROR(INDEX(Categories_TauxHS,MATCH($C190,ListeCategories,0)),0)&gt;0,IFERROR(INDEX(Categories_TauxHS,MATCH($C190,ListeCategories,0)),0),TauxHSDefaut))</f>
      </c>
    </row>
    <row r="191">
      <c r="A191" s="20">
        <f>IF(AND(INDEX(Employes_Nom,185)&lt;&gt;"",INDEX(Employes_Statut,185)="Actif",OR(INDEX(Employes_Embauche,185)="",INDEX(Employes_Embauche,185)&lt;=EOMONTH(DATE(AnneeCourante,MoisCourant,1),0))),INDEX(Employes_ID,185),"")</f>
      </c>
      <c r="B191" s="19">
        <f>IF($A191="","",INDEX(Employes_Nom,MATCH($A191,Employes_ID,0)))</f>
      </c>
      <c r="C191" s="20">
        <f>IF($A191="","",INDEX(Employes_Categorie,MATCH($A191,Employes_ID,0)))</f>
      </c>
      <c r="D191" s="26"/>
      <c r="E191" s="27"/>
      <c r="F191" s="26"/>
      <c r="G191" s="27"/>
      <c r="H191" s="26"/>
      <c r="I191" s="27"/>
      <c r="J191" s="26"/>
      <c r="K191" s="27"/>
      <c r="L191" s="26"/>
      <c r="M191" s="27"/>
      <c r="N191" s="26"/>
      <c r="O191" s="27"/>
      <c r="P191" s="26"/>
      <c r="Q191" s="27"/>
      <c r="R191" s="26"/>
      <c r="S191" s="27"/>
      <c r="T191" s="26"/>
      <c r="U191" s="27"/>
      <c r="V191" s="26"/>
      <c r="W191" s="27"/>
      <c r="X191" s="26"/>
      <c r="Y191" s="27"/>
      <c r="Z191" s="26"/>
      <c r="AA191" s="27"/>
      <c r="AB191" s="26"/>
      <c r="AC191" s="27"/>
      <c r="AD191" s="26"/>
      <c r="AE191" s="27"/>
      <c r="AF191" s="26"/>
      <c r="AG191" s="27"/>
      <c r="AH191" s="26"/>
      <c r="AI191" s="27"/>
      <c r="AJ191" s="26"/>
      <c r="AK191" s="27"/>
      <c r="AL191" s="26"/>
      <c r="AM191" s="27"/>
      <c r="AN191" s="26"/>
      <c r="AO191" s="27"/>
      <c r="AP191" s="26"/>
      <c r="AQ191" s="27"/>
      <c r="AR191" s="26"/>
      <c r="AS191" s="27"/>
      <c r="AT191" s="26"/>
      <c r="AU191" s="27"/>
      <c r="AV191" s="26"/>
      <c r="AW191" s="27"/>
      <c r="AX191" s="26"/>
      <c r="AY191" s="27"/>
      <c r="AZ191" s="26"/>
      <c r="BA191" s="27"/>
      <c r="BB191" s="26"/>
      <c r="BC191" s="27"/>
      <c r="BD191" s="26"/>
      <c r="BE191" s="27"/>
      <c r="BF191" s="26"/>
      <c r="BG191" s="27"/>
      <c r="BH191" s="26"/>
      <c r="BI191" s="27"/>
      <c r="BJ191" s="26"/>
      <c r="BK191" s="27"/>
      <c r="BL191" s="26"/>
      <c r="BM191" s="27"/>
      <c r="BN191" s="22">
        <f>IF($A191="","",SUM(IF($D$5&lt;&gt;"",--(D191="Présent"),0),IF($F$5&lt;&gt;"",--(F191="Présent"),0),IF($H$5&lt;&gt;"",--(H191="Présent"),0),IF($J$5&lt;&gt;"",--(J191="Présent"),0),IF($L$5&lt;&gt;"",--(L191="Présent"),0),IF($N$5&lt;&gt;"",--(N191="Présent"),0),IF($P$5&lt;&gt;"",--(P191="Présent"),0),IF($R$5&lt;&gt;"",--(R191="Présent"),0),IF($T$5&lt;&gt;"",--(T191="Présent"),0),IF($V$5&lt;&gt;"",--(V191="Présent"),0),IF($X$5&lt;&gt;"",--(X191="Présent"),0),IF($Z$5&lt;&gt;"",--(Z191="Présent"),0),IF($AB$5&lt;&gt;"",--(AB191="Présent"),0),IF($AD$5&lt;&gt;"",--(AD191="Présent"),0),IF($AF$5&lt;&gt;"",--(AF191="Présent"),0),IF($AH$5&lt;&gt;"",--(AH191="Présent"),0),IF($AJ$5&lt;&gt;"",--(AJ191="Présent"),0),IF($AL$5&lt;&gt;"",--(AL191="Présent"),0),IF($AN$5&lt;&gt;"",--(AN191="Présent"),0),IF($AP$5&lt;&gt;"",--(AP191="Présent"),0),IF($AR$5&lt;&gt;"",--(AR191="Présent"),0),IF($AT$5&lt;&gt;"",--(AT191="Présent"),0),IF($AV$5&lt;&gt;"",--(AV191="Présent"),0),IF($AX$5&lt;&gt;"",--(AX191="Présent"),0),IF($AZ$5&lt;&gt;"",--(AZ191="Présent"),0),IF($BB$5&lt;&gt;"",--(BB191="Présent"),0),IF($BD$5&lt;&gt;"",--(BD191="Présent"),0),IF($BF$5&lt;&gt;"",--(BF191="Présent"),0),IF($BH$5&lt;&gt;"",--(BH191="Présent"),0),IF($BJ$5&lt;&gt;"",--(BJ191="Présent"),0),IF($BL$5&lt;&gt;"",--(BL191="Présent"),0)))</f>
      </c>
      <c r="BO191" s="22">
        <f>IF($A191="","",SUM(IF($D$5&lt;&gt;"",--(D191="Absent"),0),IF($F$5&lt;&gt;"",--(F191="Absent"),0),IF($H$5&lt;&gt;"",--(H191="Absent"),0),IF($J$5&lt;&gt;"",--(J191="Absent"),0),IF($L$5&lt;&gt;"",--(L191="Absent"),0),IF($N$5&lt;&gt;"",--(N191="Absent"),0),IF($P$5&lt;&gt;"",--(P191="Absent"),0),IF($R$5&lt;&gt;"",--(R191="Absent"),0),IF($T$5&lt;&gt;"",--(T191="Absent"),0),IF($V$5&lt;&gt;"",--(V191="Absent"),0),IF($X$5&lt;&gt;"",--(X191="Absent"),0),IF($Z$5&lt;&gt;"",--(Z191="Absent"),0),IF($AB$5&lt;&gt;"",--(AB191="Absent"),0),IF($AD$5&lt;&gt;"",--(AD191="Absent"),0),IF($AF$5&lt;&gt;"",--(AF191="Absent"),0),IF($AH$5&lt;&gt;"",--(AH191="Absent"),0),IF($AJ$5&lt;&gt;"",--(AJ191="Absent"),0),IF($AL$5&lt;&gt;"",--(AL191="Absent"),0),IF($AN$5&lt;&gt;"",--(AN191="Absent"),0),IF($AP$5&lt;&gt;"",--(AP191="Absent"),0),IF($AR$5&lt;&gt;"",--(AR191="Absent"),0),IF($AT$5&lt;&gt;"",--(AT191="Absent"),0),IF($AV$5&lt;&gt;"",--(AV191="Absent"),0),IF($AX$5&lt;&gt;"",--(AX191="Absent"),0),IF($AZ$5&lt;&gt;"",--(AZ191="Absent"),0),IF($BB$5&lt;&gt;"",--(BB191="Absent"),0),IF($BD$5&lt;&gt;"",--(BD191="Absent"),0),IF($BF$5&lt;&gt;"",--(BF191="Absent"),0),IF($BH$5&lt;&gt;"",--(BH191="Absent"),0),IF($BJ$5&lt;&gt;"",--(BJ191="Absent"),0),IF($BL$5&lt;&gt;"",--(BL191="Absent"),0)))</f>
      </c>
      <c r="BP191" s="22">
        <f>IF($A191="","",SUM(IF($D$5&lt;&gt;"",--(D191="Congé"),0),IF($F$5&lt;&gt;"",--(F191="Congé"),0),IF($H$5&lt;&gt;"",--(H191="Congé"),0),IF($J$5&lt;&gt;"",--(J191="Congé"),0),IF($L$5&lt;&gt;"",--(L191="Congé"),0),IF($N$5&lt;&gt;"",--(N191="Congé"),0),IF($P$5&lt;&gt;"",--(P191="Congé"),0),IF($R$5&lt;&gt;"",--(R191="Congé"),0),IF($T$5&lt;&gt;"",--(T191="Congé"),0),IF($V$5&lt;&gt;"",--(V191="Congé"),0),IF($X$5&lt;&gt;"",--(X191="Congé"),0),IF($Z$5&lt;&gt;"",--(Z191="Congé"),0),IF($AB$5&lt;&gt;"",--(AB191="Congé"),0),IF($AD$5&lt;&gt;"",--(AD191="Congé"),0),IF($AF$5&lt;&gt;"",--(AF191="Congé"),0),IF($AH$5&lt;&gt;"",--(AH191="Congé"),0),IF($AJ$5&lt;&gt;"",--(AJ191="Congé"),0),IF($AL$5&lt;&gt;"",--(AL191="Congé"),0),IF($AN$5&lt;&gt;"",--(AN191="Congé"),0),IF($AP$5&lt;&gt;"",--(AP191="Congé"),0),IF($AR$5&lt;&gt;"",--(AR191="Congé"),0),IF($AT$5&lt;&gt;"",--(AT191="Congé"),0),IF($AV$5&lt;&gt;"",--(AV191="Congé"),0),IF($AX$5&lt;&gt;"",--(AX191="Congé"),0),IF($AZ$5&lt;&gt;"",--(AZ191="Congé"),0),IF($BB$5&lt;&gt;"",--(BB191="Congé"),0),IF($BD$5&lt;&gt;"",--(BD191="Congé"),0),IF($BF$5&lt;&gt;"",--(BF191="Congé"),0),IF($BH$5&lt;&gt;"",--(BH191="Congé"),0),IF($BJ$5&lt;&gt;"",--(BJ191="Congé"),0),IF($BL$5&lt;&gt;"",--(BL191="Congé"),0)))</f>
      </c>
      <c r="BQ191" s="22">
        <f>IF($A191="","",SUM(IF($D$5&lt;&gt;"",--(D191="Maladie"),0),IF($F$5&lt;&gt;"",--(F191="Maladie"),0),IF($H$5&lt;&gt;"",--(H191="Maladie"),0),IF($J$5&lt;&gt;"",--(J191="Maladie"),0),IF($L$5&lt;&gt;"",--(L191="Maladie"),0),IF($N$5&lt;&gt;"",--(N191="Maladie"),0),IF($P$5&lt;&gt;"",--(P191="Maladie"),0),IF($R$5&lt;&gt;"",--(R191="Maladie"),0),IF($T$5&lt;&gt;"",--(T191="Maladie"),0),IF($V$5&lt;&gt;"",--(V191="Maladie"),0),IF($X$5&lt;&gt;"",--(X191="Maladie"),0),IF($Z$5&lt;&gt;"",--(Z191="Maladie"),0),IF($AB$5&lt;&gt;"",--(AB191="Maladie"),0),IF($AD$5&lt;&gt;"",--(AD191="Maladie"),0),IF($AF$5&lt;&gt;"",--(AF191="Maladie"),0),IF($AH$5&lt;&gt;"",--(AH191="Maladie"),0),IF($AJ$5&lt;&gt;"",--(AJ191="Maladie"),0),IF($AL$5&lt;&gt;"",--(AL191="Maladie"),0),IF($AN$5&lt;&gt;"",--(AN191="Maladie"),0),IF($AP$5&lt;&gt;"",--(AP191="Maladie"),0),IF($AR$5&lt;&gt;"",--(AR191="Maladie"),0),IF($AT$5&lt;&gt;"",--(AT191="Maladie"),0),IF($AV$5&lt;&gt;"",--(AV191="Maladie"),0),IF($AX$5&lt;&gt;"",--(AX191="Maladie"),0),IF($AZ$5&lt;&gt;"",--(AZ191="Maladie"),0),IF($BB$5&lt;&gt;"",--(BB191="Maladie"),0),IF($BD$5&lt;&gt;"",--(BD191="Maladie"),0),IF($BF$5&lt;&gt;"",--(BF191="Maladie"),0),IF($BH$5&lt;&gt;"",--(BH191="Maladie"),0),IF($BJ$5&lt;&gt;"",--(BJ191="Maladie"),0),IF($BL$5&lt;&gt;"",--(BL191="Maladie"),0)))</f>
      </c>
      <c r="BR191" s="23">
        <f>IF($A191="","",SUM(IF($D$5&lt;&gt;"",IF(D191="Présent",E191,0),0),IF($F$5&lt;&gt;"",IF(F191="Présent",G191,0),0),IF($H$5&lt;&gt;"",IF(H191="Présent",I191,0),0),IF($J$5&lt;&gt;"",IF(J191="Présent",K191,0),0),IF($L$5&lt;&gt;"",IF(L191="Présent",M191,0),0),IF($N$5&lt;&gt;"",IF(N191="Présent",O191,0),0),IF($P$5&lt;&gt;"",IF(P191="Présent",Q191,0),0),IF($R$5&lt;&gt;"",IF(R191="Présent",S191,0),0),IF($T$5&lt;&gt;"",IF(T191="Présent",U191,0),0),IF($V$5&lt;&gt;"",IF(V191="Présent",W191,0),0),IF($X$5&lt;&gt;"",IF(X191="Présent",Y191,0),0),IF($Z$5&lt;&gt;"",IF(Z191="Présent",AA191,0),0),IF($AB$5&lt;&gt;"",IF(AB191="Présent",AC191,0),0),IF($AD$5&lt;&gt;"",IF(AD191="Présent",AE191,0),0),IF($AF$5&lt;&gt;"",IF(AF191="Présent",AG191,0),0),IF($AH$5&lt;&gt;"",IF(AH191="Présent",AI191,0),0),IF($AJ$5&lt;&gt;"",IF(AJ191="Présent",AK191,0),0),IF($AL$5&lt;&gt;"",IF(AL191="Présent",AM191,0),0),IF($AN$5&lt;&gt;"",IF(AN191="Présent",AO191,0),0),IF($AP$5&lt;&gt;"",IF(AP191="Présent",AQ191,0),0),IF($AR$5&lt;&gt;"",IF(AR191="Présent",AS191,0),0),IF($AT$5&lt;&gt;"",IF(AT191="Présent",AU191,0),0),IF($AV$5&lt;&gt;"",IF(AV191="Présent",AW191,0),0),IF($AX$5&lt;&gt;"",IF(AX191="Présent",AY191,0),0),IF($AZ$5&lt;&gt;"",IF(AZ191="Présent",BA191,0),0),IF($BB$5&lt;&gt;"",IF(BB191="Présent",BC191,0),0),IF($BD$5&lt;&gt;"",IF(BD191="Présent",BE191,0),0),IF($BF$5&lt;&gt;"",IF(BF191="Présent",BG191,0),0),IF($BH$5&lt;&gt;"",IF(BH191="Présent",BI191,0),0),IF($BJ$5&lt;&gt;"",IF(BJ191="Présent",BK191,0),0),IF($BL$5&lt;&gt;"",IF(BL191="Présent",BM191,0),0)))</f>
      </c>
      <c r="BS191" s="25">
        <f>IF($A191="","",$BN191*IFERROR(INDEX(Categories_Salaire,MATCH($C191,ListeCategories,0)),0)+$BR191*IF(IFERROR(INDEX(Categories_TauxHS,MATCH($C191,ListeCategories,0)),0)&gt;0,IFERROR(INDEX(Categories_TauxHS,MATCH($C191,ListeCategories,0)),0),TauxHSDefaut))</f>
      </c>
    </row>
    <row r="192">
      <c r="A192" s="20">
        <f>IF(AND(INDEX(Employes_Nom,186)&lt;&gt;"",INDEX(Employes_Statut,186)="Actif",OR(INDEX(Employes_Embauche,186)="",INDEX(Employes_Embauche,186)&lt;=EOMONTH(DATE(AnneeCourante,MoisCourant,1),0))),INDEX(Employes_ID,186),"")</f>
      </c>
      <c r="B192" s="19">
        <f>IF($A192="","",INDEX(Employes_Nom,MATCH($A192,Employes_ID,0)))</f>
      </c>
      <c r="C192" s="20">
        <f>IF($A192="","",INDEX(Employes_Categorie,MATCH($A192,Employes_ID,0)))</f>
      </c>
      <c r="D192" s="26"/>
      <c r="E192" s="27"/>
      <c r="F192" s="26"/>
      <c r="G192" s="27"/>
      <c r="H192" s="26"/>
      <c r="I192" s="27"/>
      <c r="J192" s="26"/>
      <c r="K192" s="27"/>
      <c r="L192" s="26"/>
      <c r="M192" s="27"/>
      <c r="N192" s="26"/>
      <c r="O192" s="27"/>
      <c r="P192" s="26"/>
      <c r="Q192" s="27"/>
      <c r="R192" s="26"/>
      <c r="S192" s="27"/>
      <c r="T192" s="26"/>
      <c r="U192" s="27"/>
      <c r="V192" s="26"/>
      <c r="W192" s="27"/>
      <c r="X192" s="26"/>
      <c r="Y192" s="27"/>
      <c r="Z192" s="26"/>
      <c r="AA192" s="27"/>
      <c r="AB192" s="26"/>
      <c r="AC192" s="27"/>
      <c r="AD192" s="26"/>
      <c r="AE192" s="27"/>
      <c r="AF192" s="26"/>
      <c r="AG192" s="27"/>
      <c r="AH192" s="26"/>
      <c r="AI192" s="27"/>
      <c r="AJ192" s="26"/>
      <c r="AK192" s="27"/>
      <c r="AL192" s="26"/>
      <c r="AM192" s="27"/>
      <c r="AN192" s="26"/>
      <c r="AO192" s="27"/>
      <c r="AP192" s="26"/>
      <c r="AQ192" s="27"/>
      <c r="AR192" s="26"/>
      <c r="AS192" s="27"/>
      <c r="AT192" s="26"/>
      <c r="AU192" s="27"/>
      <c r="AV192" s="26"/>
      <c r="AW192" s="27"/>
      <c r="AX192" s="26"/>
      <c r="AY192" s="27"/>
      <c r="AZ192" s="26"/>
      <c r="BA192" s="27"/>
      <c r="BB192" s="26"/>
      <c r="BC192" s="27"/>
      <c r="BD192" s="26"/>
      <c r="BE192" s="27"/>
      <c r="BF192" s="26"/>
      <c r="BG192" s="27"/>
      <c r="BH192" s="26"/>
      <c r="BI192" s="27"/>
      <c r="BJ192" s="26"/>
      <c r="BK192" s="27"/>
      <c r="BL192" s="26"/>
      <c r="BM192" s="27"/>
      <c r="BN192" s="22">
        <f>IF($A192="","",SUM(IF($D$5&lt;&gt;"",--(D192="Présent"),0),IF($F$5&lt;&gt;"",--(F192="Présent"),0),IF($H$5&lt;&gt;"",--(H192="Présent"),0),IF($J$5&lt;&gt;"",--(J192="Présent"),0),IF($L$5&lt;&gt;"",--(L192="Présent"),0),IF($N$5&lt;&gt;"",--(N192="Présent"),0),IF($P$5&lt;&gt;"",--(P192="Présent"),0),IF($R$5&lt;&gt;"",--(R192="Présent"),0),IF($T$5&lt;&gt;"",--(T192="Présent"),0),IF($V$5&lt;&gt;"",--(V192="Présent"),0),IF($X$5&lt;&gt;"",--(X192="Présent"),0),IF($Z$5&lt;&gt;"",--(Z192="Présent"),0),IF($AB$5&lt;&gt;"",--(AB192="Présent"),0),IF($AD$5&lt;&gt;"",--(AD192="Présent"),0),IF($AF$5&lt;&gt;"",--(AF192="Présent"),0),IF($AH$5&lt;&gt;"",--(AH192="Présent"),0),IF($AJ$5&lt;&gt;"",--(AJ192="Présent"),0),IF($AL$5&lt;&gt;"",--(AL192="Présent"),0),IF($AN$5&lt;&gt;"",--(AN192="Présent"),0),IF($AP$5&lt;&gt;"",--(AP192="Présent"),0),IF($AR$5&lt;&gt;"",--(AR192="Présent"),0),IF($AT$5&lt;&gt;"",--(AT192="Présent"),0),IF($AV$5&lt;&gt;"",--(AV192="Présent"),0),IF($AX$5&lt;&gt;"",--(AX192="Présent"),0),IF($AZ$5&lt;&gt;"",--(AZ192="Présent"),0),IF($BB$5&lt;&gt;"",--(BB192="Présent"),0),IF($BD$5&lt;&gt;"",--(BD192="Présent"),0),IF($BF$5&lt;&gt;"",--(BF192="Présent"),0),IF($BH$5&lt;&gt;"",--(BH192="Présent"),0),IF($BJ$5&lt;&gt;"",--(BJ192="Présent"),0),IF($BL$5&lt;&gt;"",--(BL192="Présent"),0)))</f>
      </c>
      <c r="BO192" s="22">
        <f>IF($A192="","",SUM(IF($D$5&lt;&gt;"",--(D192="Absent"),0),IF($F$5&lt;&gt;"",--(F192="Absent"),0),IF($H$5&lt;&gt;"",--(H192="Absent"),0),IF($J$5&lt;&gt;"",--(J192="Absent"),0),IF($L$5&lt;&gt;"",--(L192="Absent"),0),IF($N$5&lt;&gt;"",--(N192="Absent"),0),IF($P$5&lt;&gt;"",--(P192="Absent"),0),IF($R$5&lt;&gt;"",--(R192="Absent"),0),IF($T$5&lt;&gt;"",--(T192="Absent"),0),IF($V$5&lt;&gt;"",--(V192="Absent"),0),IF($X$5&lt;&gt;"",--(X192="Absent"),0),IF($Z$5&lt;&gt;"",--(Z192="Absent"),0),IF($AB$5&lt;&gt;"",--(AB192="Absent"),0),IF($AD$5&lt;&gt;"",--(AD192="Absent"),0),IF($AF$5&lt;&gt;"",--(AF192="Absent"),0),IF($AH$5&lt;&gt;"",--(AH192="Absent"),0),IF($AJ$5&lt;&gt;"",--(AJ192="Absent"),0),IF($AL$5&lt;&gt;"",--(AL192="Absent"),0),IF($AN$5&lt;&gt;"",--(AN192="Absent"),0),IF($AP$5&lt;&gt;"",--(AP192="Absent"),0),IF($AR$5&lt;&gt;"",--(AR192="Absent"),0),IF($AT$5&lt;&gt;"",--(AT192="Absent"),0),IF($AV$5&lt;&gt;"",--(AV192="Absent"),0),IF($AX$5&lt;&gt;"",--(AX192="Absent"),0),IF($AZ$5&lt;&gt;"",--(AZ192="Absent"),0),IF($BB$5&lt;&gt;"",--(BB192="Absent"),0),IF($BD$5&lt;&gt;"",--(BD192="Absent"),0),IF($BF$5&lt;&gt;"",--(BF192="Absent"),0),IF($BH$5&lt;&gt;"",--(BH192="Absent"),0),IF($BJ$5&lt;&gt;"",--(BJ192="Absent"),0),IF($BL$5&lt;&gt;"",--(BL192="Absent"),0)))</f>
      </c>
      <c r="BP192" s="22">
        <f>IF($A192="","",SUM(IF($D$5&lt;&gt;"",--(D192="Congé"),0),IF($F$5&lt;&gt;"",--(F192="Congé"),0),IF($H$5&lt;&gt;"",--(H192="Congé"),0),IF($J$5&lt;&gt;"",--(J192="Congé"),0),IF($L$5&lt;&gt;"",--(L192="Congé"),0),IF($N$5&lt;&gt;"",--(N192="Congé"),0),IF($P$5&lt;&gt;"",--(P192="Congé"),0),IF($R$5&lt;&gt;"",--(R192="Congé"),0),IF($T$5&lt;&gt;"",--(T192="Congé"),0),IF($V$5&lt;&gt;"",--(V192="Congé"),0),IF($X$5&lt;&gt;"",--(X192="Congé"),0),IF($Z$5&lt;&gt;"",--(Z192="Congé"),0),IF($AB$5&lt;&gt;"",--(AB192="Congé"),0),IF($AD$5&lt;&gt;"",--(AD192="Congé"),0),IF($AF$5&lt;&gt;"",--(AF192="Congé"),0),IF($AH$5&lt;&gt;"",--(AH192="Congé"),0),IF($AJ$5&lt;&gt;"",--(AJ192="Congé"),0),IF($AL$5&lt;&gt;"",--(AL192="Congé"),0),IF($AN$5&lt;&gt;"",--(AN192="Congé"),0),IF($AP$5&lt;&gt;"",--(AP192="Congé"),0),IF($AR$5&lt;&gt;"",--(AR192="Congé"),0),IF($AT$5&lt;&gt;"",--(AT192="Congé"),0),IF($AV$5&lt;&gt;"",--(AV192="Congé"),0),IF($AX$5&lt;&gt;"",--(AX192="Congé"),0),IF($AZ$5&lt;&gt;"",--(AZ192="Congé"),0),IF($BB$5&lt;&gt;"",--(BB192="Congé"),0),IF($BD$5&lt;&gt;"",--(BD192="Congé"),0),IF($BF$5&lt;&gt;"",--(BF192="Congé"),0),IF($BH$5&lt;&gt;"",--(BH192="Congé"),0),IF($BJ$5&lt;&gt;"",--(BJ192="Congé"),0),IF($BL$5&lt;&gt;"",--(BL192="Congé"),0)))</f>
      </c>
      <c r="BQ192" s="22">
        <f>IF($A192="","",SUM(IF($D$5&lt;&gt;"",--(D192="Maladie"),0),IF($F$5&lt;&gt;"",--(F192="Maladie"),0),IF($H$5&lt;&gt;"",--(H192="Maladie"),0),IF($J$5&lt;&gt;"",--(J192="Maladie"),0),IF($L$5&lt;&gt;"",--(L192="Maladie"),0),IF($N$5&lt;&gt;"",--(N192="Maladie"),0),IF($P$5&lt;&gt;"",--(P192="Maladie"),0),IF($R$5&lt;&gt;"",--(R192="Maladie"),0),IF($T$5&lt;&gt;"",--(T192="Maladie"),0),IF($V$5&lt;&gt;"",--(V192="Maladie"),0),IF($X$5&lt;&gt;"",--(X192="Maladie"),0),IF($Z$5&lt;&gt;"",--(Z192="Maladie"),0),IF($AB$5&lt;&gt;"",--(AB192="Maladie"),0),IF($AD$5&lt;&gt;"",--(AD192="Maladie"),0),IF($AF$5&lt;&gt;"",--(AF192="Maladie"),0),IF($AH$5&lt;&gt;"",--(AH192="Maladie"),0),IF($AJ$5&lt;&gt;"",--(AJ192="Maladie"),0),IF($AL$5&lt;&gt;"",--(AL192="Maladie"),0),IF($AN$5&lt;&gt;"",--(AN192="Maladie"),0),IF($AP$5&lt;&gt;"",--(AP192="Maladie"),0),IF($AR$5&lt;&gt;"",--(AR192="Maladie"),0),IF($AT$5&lt;&gt;"",--(AT192="Maladie"),0),IF($AV$5&lt;&gt;"",--(AV192="Maladie"),0),IF($AX$5&lt;&gt;"",--(AX192="Maladie"),0),IF($AZ$5&lt;&gt;"",--(AZ192="Maladie"),0),IF($BB$5&lt;&gt;"",--(BB192="Maladie"),0),IF($BD$5&lt;&gt;"",--(BD192="Maladie"),0),IF($BF$5&lt;&gt;"",--(BF192="Maladie"),0),IF($BH$5&lt;&gt;"",--(BH192="Maladie"),0),IF($BJ$5&lt;&gt;"",--(BJ192="Maladie"),0),IF($BL$5&lt;&gt;"",--(BL192="Maladie"),0)))</f>
      </c>
      <c r="BR192" s="23">
        <f>IF($A192="","",SUM(IF($D$5&lt;&gt;"",IF(D192="Présent",E192,0),0),IF($F$5&lt;&gt;"",IF(F192="Présent",G192,0),0),IF($H$5&lt;&gt;"",IF(H192="Présent",I192,0),0),IF($J$5&lt;&gt;"",IF(J192="Présent",K192,0),0),IF($L$5&lt;&gt;"",IF(L192="Présent",M192,0),0),IF($N$5&lt;&gt;"",IF(N192="Présent",O192,0),0),IF($P$5&lt;&gt;"",IF(P192="Présent",Q192,0),0),IF($R$5&lt;&gt;"",IF(R192="Présent",S192,0),0),IF($T$5&lt;&gt;"",IF(T192="Présent",U192,0),0),IF($V$5&lt;&gt;"",IF(V192="Présent",W192,0),0),IF($X$5&lt;&gt;"",IF(X192="Présent",Y192,0),0),IF($Z$5&lt;&gt;"",IF(Z192="Présent",AA192,0),0),IF($AB$5&lt;&gt;"",IF(AB192="Présent",AC192,0),0),IF($AD$5&lt;&gt;"",IF(AD192="Présent",AE192,0),0),IF($AF$5&lt;&gt;"",IF(AF192="Présent",AG192,0),0),IF($AH$5&lt;&gt;"",IF(AH192="Présent",AI192,0),0),IF($AJ$5&lt;&gt;"",IF(AJ192="Présent",AK192,0),0),IF($AL$5&lt;&gt;"",IF(AL192="Présent",AM192,0),0),IF($AN$5&lt;&gt;"",IF(AN192="Présent",AO192,0),0),IF($AP$5&lt;&gt;"",IF(AP192="Présent",AQ192,0),0),IF($AR$5&lt;&gt;"",IF(AR192="Présent",AS192,0),0),IF($AT$5&lt;&gt;"",IF(AT192="Présent",AU192,0),0),IF($AV$5&lt;&gt;"",IF(AV192="Présent",AW192,0),0),IF($AX$5&lt;&gt;"",IF(AX192="Présent",AY192,0),0),IF($AZ$5&lt;&gt;"",IF(AZ192="Présent",BA192,0),0),IF($BB$5&lt;&gt;"",IF(BB192="Présent",BC192,0),0),IF($BD$5&lt;&gt;"",IF(BD192="Présent",BE192,0),0),IF($BF$5&lt;&gt;"",IF(BF192="Présent",BG192,0),0),IF($BH$5&lt;&gt;"",IF(BH192="Présent",BI192,0),0),IF($BJ$5&lt;&gt;"",IF(BJ192="Présent",BK192,0),0),IF($BL$5&lt;&gt;"",IF(BL192="Présent",BM192,0),0)))</f>
      </c>
      <c r="BS192" s="25">
        <f>IF($A192="","",$BN192*IFERROR(INDEX(Categories_Salaire,MATCH($C192,ListeCategories,0)),0)+$BR192*IF(IFERROR(INDEX(Categories_TauxHS,MATCH($C192,ListeCategories,0)),0)&gt;0,IFERROR(INDEX(Categories_TauxHS,MATCH($C192,ListeCategories,0)),0),TauxHSDefaut))</f>
      </c>
    </row>
    <row r="193">
      <c r="A193" s="20">
        <f>IF(AND(INDEX(Employes_Nom,187)&lt;&gt;"",INDEX(Employes_Statut,187)="Actif",OR(INDEX(Employes_Embauche,187)="",INDEX(Employes_Embauche,187)&lt;=EOMONTH(DATE(AnneeCourante,MoisCourant,1),0))),INDEX(Employes_ID,187),"")</f>
      </c>
      <c r="B193" s="19">
        <f>IF($A193="","",INDEX(Employes_Nom,MATCH($A193,Employes_ID,0)))</f>
      </c>
      <c r="C193" s="20">
        <f>IF($A193="","",INDEX(Employes_Categorie,MATCH($A193,Employes_ID,0)))</f>
      </c>
      <c r="D193" s="26"/>
      <c r="E193" s="27"/>
      <c r="F193" s="26"/>
      <c r="G193" s="27"/>
      <c r="H193" s="26"/>
      <c r="I193" s="27"/>
      <c r="J193" s="26"/>
      <c r="K193" s="27"/>
      <c r="L193" s="26"/>
      <c r="M193" s="27"/>
      <c r="N193" s="26"/>
      <c r="O193" s="27"/>
      <c r="P193" s="26"/>
      <c r="Q193" s="27"/>
      <c r="R193" s="26"/>
      <c r="S193" s="27"/>
      <c r="T193" s="26"/>
      <c r="U193" s="27"/>
      <c r="V193" s="26"/>
      <c r="W193" s="27"/>
      <c r="X193" s="26"/>
      <c r="Y193" s="27"/>
      <c r="Z193" s="26"/>
      <c r="AA193" s="27"/>
      <c r="AB193" s="26"/>
      <c r="AC193" s="27"/>
      <c r="AD193" s="26"/>
      <c r="AE193" s="27"/>
      <c r="AF193" s="26"/>
      <c r="AG193" s="27"/>
      <c r="AH193" s="26"/>
      <c r="AI193" s="27"/>
      <c r="AJ193" s="26"/>
      <c r="AK193" s="27"/>
      <c r="AL193" s="26"/>
      <c r="AM193" s="27"/>
      <c r="AN193" s="26"/>
      <c r="AO193" s="27"/>
      <c r="AP193" s="26"/>
      <c r="AQ193" s="27"/>
      <c r="AR193" s="26"/>
      <c r="AS193" s="27"/>
      <c r="AT193" s="26"/>
      <c r="AU193" s="27"/>
      <c r="AV193" s="26"/>
      <c r="AW193" s="27"/>
      <c r="AX193" s="26"/>
      <c r="AY193" s="27"/>
      <c r="AZ193" s="26"/>
      <c r="BA193" s="27"/>
      <c r="BB193" s="26"/>
      <c r="BC193" s="27"/>
      <c r="BD193" s="26"/>
      <c r="BE193" s="27"/>
      <c r="BF193" s="26"/>
      <c r="BG193" s="27"/>
      <c r="BH193" s="26"/>
      <c r="BI193" s="27"/>
      <c r="BJ193" s="26"/>
      <c r="BK193" s="27"/>
      <c r="BL193" s="26"/>
      <c r="BM193" s="27"/>
      <c r="BN193" s="22">
        <f>IF($A193="","",SUM(IF($D$5&lt;&gt;"",--(D193="Présent"),0),IF($F$5&lt;&gt;"",--(F193="Présent"),0),IF($H$5&lt;&gt;"",--(H193="Présent"),0),IF($J$5&lt;&gt;"",--(J193="Présent"),0),IF($L$5&lt;&gt;"",--(L193="Présent"),0),IF($N$5&lt;&gt;"",--(N193="Présent"),0),IF($P$5&lt;&gt;"",--(P193="Présent"),0),IF($R$5&lt;&gt;"",--(R193="Présent"),0),IF($T$5&lt;&gt;"",--(T193="Présent"),0),IF($V$5&lt;&gt;"",--(V193="Présent"),0),IF($X$5&lt;&gt;"",--(X193="Présent"),0),IF($Z$5&lt;&gt;"",--(Z193="Présent"),0),IF($AB$5&lt;&gt;"",--(AB193="Présent"),0),IF($AD$5&lt;&gt;"",--(AD193="Présent"),0),IF($AF$5&lt;&gt;"",--(AF193="Présent"),0),IF($AH$5&lt;&gt;"",--(AH193="Présent"),0),IF($AJ$5&lt;&gt;"",--(AJ193="Présent"),0),IF($AL$5&lt;&gt;"",--(AL193="Présent"),0),IF($AN$5&lt;&gt;"",--(AN193="Présent"),0),IF($AP$5&lt;&gt;"",--(AP193="Présent"),0),IF($AR$5&lt;&gt;"",--(AR193="Présent"),0),IF($AT$5&lt;&gt;"",--(AT193="Présent"),0),IF($AV$5&lt;&gt;"",--(AV193="Présent"),0),IF($AX$5&lt;&gt;"",--(AX193="Présent"),0),IF($AZ$5&lt;&gt;"",--(AZ193="Présent"),0),IF($BB$5&lt;&gt;"",--(BB193="Présent"),0),IF($BD$5&lt;&gt;"",--(BD193="Présent"),0),IF($BF$5&lt;&gt;"",--(BF193="Présent"),0),IF($BH$5&lt;&gt;"",--(BH193="Présent"),0),IF($BJ$5&lt;&gt;"",--(BJ193="Présent"),0),IF($BL$5&lt;&gt;"",--(BL193="Présent"),0)))</f>
      </c>
      <c r="BO193" s="22">
        <f>IF($A193="","",SUM(IF($D$5&lt;&gt;"",--(D193="Absent"),0),IF($F$5&lt;&gt;"",--(F193="Absent"),0),IF($H$5&lt;&gt;"",--(H193="Absent"),0),IF($J$5&lt;&gt;"",--(J193="Absent"),0),IF($L$5&lt;&gt;"",--(L193="Absent"),0),IF($N$5&lt;&gt;"",--(N193="Absent"),0),IF($P$5&lt;&gt;"",--(P193="Absent"),0),IF($R$5&lt;&gt;"",--(R193="Absent"),0),IF($T$5&lt;&gt;"",--(T193="Absent"),0),IF($V$5&lt;&gt;"",--(V193="Absent"),0),IF($X$5&lt;&gt;"",--(X193="Absent"),0),IF($Z$5&lt;&gt;"",--(Z193="Absent"),0),IF($AB$5&lt;&gt;"",--(AB193="Absent"),0),IF($AD$5&lt;&gt;"",--(AD193="Absent"),0),IF($AF$5&lt;&gt;"",--(AF193="Absent"),0),IF($AH$5&lt;&gt;"",--(AH193="Absent"),0),IF($AJ$5&lt;&gt;"",--(AJ193="Absent"),0),IF($AL$5&lt;&gt;"",--(AL193="Absent"),0),IF($AN$5&lt;&gt;"",--(AN193="Absent"),0),IF($AP$5&lt;&gt;"",--(AP193="Absent"),0),IF($AR$5&lt;&gt;"",--(AR193="Absent"),0),IF($AT$5&lt;&gt;"",--(AT193="Absent"),0),IF($AV$5&lt;&gt;"",--(AV193="Absent"),0),IF($AX$5&lt;&gt;"",--(AX193="Absent"),0),IF($AZ$5&lt;&gt;"",--(AZ193="Absent"),0),IF($BB$5&lt;&gt;"",--(BB193="Absent"),0),IF($BD$5&lt;&gt;"",--(BD193="Absent"),0),IF($BF$5&lt;&gt;"",--(BF193="Absent"),0),IF($BH$5&lt;&gt;"",--(BH193="Absent"),0),IF($BJ$5&lt;&gt;"",--(BJ193="Absent"),0),IF($BL$5&lt;&gt;"",--(BL193="Absent"),0)))</f>
      </c>
      <c r="BP193" s="22">
        <f>IF($A193="","",SUM(IF($D$5&lt;&gt;"",--(D193="Congé"),0),IF($F$5&lt;&gt;"",--(F193="Congé"),0),IF($H$5&lt;&gt;"",--(H193="Congé"),0),IF($J$5&lt;&gt;"",--(J193="Congé"),0),IF($L$5&lt;&gt;"",--(L193="Congé"),0),IF($N$5&lt;&gt;"",--(N193="Congé"),0),IF($P$5&lt;&gt;"",--(P193="Congé"),0),IF($R$5&lt;&gt;"",--(R193="Congé"),0),IF($T$5&lt;&gt;"",--(T193="Congé"),0),IF($V$5&lt;&gt;"",--(V193="Congé"),0),IF($X$5&lt;&gt;"",--(X193="Congé"),0),IF($Z$5&lt;&gt;"",--(Z193="Congé"),0),IF($AB$5&lt;&gt;"",--(AB193="Congé"),0),IF($AD$5&lt;&gt;"",--(AD193="Congé"),0),IF($AF$5&lt;&gt;"",--(AF193="Congé"),0),IF($AH$5&lt;&gt;"",--(AH193="Congé"),0),IF($AJ$5&lt;&gt;"",--(AJ193="Congé"),0),IF($AL$5&lt;&gt;"",--(AL193="Congé"),0),IF($AN$5&lt;&gt;"",--(AN193="Congé"),0),IF($AP$5&lt;&gt;"",--(AP193="Congé"),0),IF($AR$5&lt;&gt;"",--(AR193="Congé"),0),IF($AT$5&lt;&gt;"",--(AT193="Congé"),0),IF($AV$5&lt;&gt;"",--(AV193="Congé"),0),IF($AX$5&lt;&gt;"",--(AX193="Congé"),0),IF($AZ$5&lt;&gt;"",--(AZ193="Congé"),0),IF($BB$5&lt;&gt;"",--(BB193="Congé"),0),IF($BD$5&lt;&gt;"",--(BD193="Congé"),0),IF($BF$5&lt;&gt;"",--(BF193="Congé"),0),IF($BH$5&lt;&gt;"",--(BH193="Congé"),0),IF($BJ$5&lt;&gt;"",--(BJ193="Congé"),0),IF($BL$5&lt;&gt;"",--(BL193="Congé"),0)))</f>
      </c>
      <c r="BQ193" s="22">
        <f>IF($A193="","",SUM(IF($D$5&lt;&gt;"",--(D193="Maladie"),0),IF($F$5&lt;&gt;"",--(F193="Maladie"),0),IF($H$5&lt;&gt;"",--(H193="Maladie"),0),IF($J$5&lt;&gt;"",--(J193="Maladie"),0),IF($L$5&lt;&gt;"",--(L193="Maladie"),0),IF($N$5&lt;&gt;"",--(N193="Maladie"),0),IF($P$5&lt;&gt;"",--(P193="Maladie"),0),IF($R$5&lt;&gt;"",--(R193="Maladie"),0),IF($T$5&lt;&gt;"",--(T193="Maladie"),0),IF($V$5&lt;&gt;"",--(V193="Maladie"),0),IF($X$5&lt;&gt;"",--(X193="Maladie"),0),IF($Z$5&lt;&gt;"",--(Z193="Maladie"),0),IF($AB$5&lt;&gt;"",--(AB193="Maladie"),0),IF($AD$5&lt;&gt;"",--(AD193="Maladie"),0),IF($AF$5&lt;&gt;"",--(AF193="Maladie"),0),IF($AH$5&lt;&gt;"",--(AH193="Maladie"),0),IF($AJ$5&lt;&gt;"",--(AJ193="Maladie"),0),IF($AL$5&lt;&gt;"",--(AL193="Maladie"),0),IF($AN$5&lt;&gt;"",--(AN193="Maladie"),0),IF($AP$5&lt;&gt;"",--(AP193="Maladie"),0),IF($AR$5&lt;&gt;"",--(AR193="Maladie"),0),IF($AT$5&lt;&gt;"",--(AT193="Maladie"),0),IF($AV$5&lt;&gt;"",--(AV193="Maladie"),0),IF($AX$5&lt;&gt;"",--(AX193="Maladie"),0),IF($AZ$5&lt;&gt;"",--(AZ193="Maladie"),0),IF($BB$5&lt;&gt;"",--(BB193="Maladie"),0),IF($BD$5&lt;&gt;"",--(BD193="Maladie"),0),IF($BF$5&lt;&gt;"",--(BF193="Maladie"),0),IF($BH$5&lt;&gt;"",--(BH193="Maladie"),0),IF($BJ$5&lt;&gt;"",--(BJ193="Maladie"),0),IF($BL$5&lt;&gt;"",--(BL193="Maladie"),0)))</f>
      </c>
      <c r="BR193" s="23">
        <f>IF($A193="","",SUM(IF($D$5&lt;&gt;"",IF(D193="Présent",E193,0),0),IF($F$5&lt;&gt;"",IF(F193="Présent",G193,0),0),IF($H$5&lt;&gt;"",IF(H193="Présent",I193,0),0),IF($J$5&lt;&gt;"",IF(J193="Présent",K193,0),0),IF($L$5&lt;&gt;"",IF(L193="Présent",M193,0),0),IF($N$5&lt;&gt;"",IF(N193="Présent",O193,0),0),IF($P$5&lt;&gt;"",IF(P193="Présent",Q193,0),0),IF($R$5&lt;&gt;"",IF(R193="Présent",S193,0),0),IF($T$5&lt;&gt;"",IF(T193="Présent",U193,0),0),IF($V$5&lt;&gt;"",IF(V193="Présent",W193,0),0),IF($X$5&lt;&gt;"",IF(X193="Présent",Y193,0),0),IF($Z$5&lt;&gt;"",IF(Z193="Présent",AA193,0),0),IF($AB$5&lt;&gt;"",IF(AB193="Présent",AC193,0),0),IF($AD$5&lt;&gt;"",IF(AD193="Présent",AE193,0),0),IF($AF$5&lt;&gt;"",IF(AF193="Présent",AG193,0),0),IF($AH$5&lt;&gt;"",IF(AH193="Présent",AI193,0),0),IF($AJ$5&lt;&gt;"",IF(AJ193="Présent",AK193,0),0),IF($AL$5&lt;&gt;"",IF(AL193="Présent",AM193,0),0),IF($AN$5&lt;&gt;"",IF(AN193="Présent",AO193,0),0),IF($AP$5&lt;&gt;"",IF(AP193="Présent",AQ193,0),0),IF($AR$5&lt;&gt;"",IF(AR193="Présent",AS193,0),0),IF($AT$5&lt;&gt;"",IF(AT193="Présent",AU193,0),0),IF($AV$5&lt;&gt;"",IF(AV193="Présent",AW193,0),0),IF($AX$5&lt;&gt;"",IF(AX193="Présent",AY193,0),0),IF($AZ$5&lt;&gt;"",IF(AZ193="Présent",BA193,0),0),IF($BB$5&lt;&gt;"",IF(BB193="Présent",BC193,0),0),IF($BD$5&lt;&gt;"",IF(BD193="Présent",BE193,0),0),IF($BF$5&lt;&gt;"",IF(BF193="Présent",BG193,0),0),IF($BH$5&lt;&gt;"",IF(BH193="Présent",BI193,0),0),IF($BJ$5&lt;&gt;"",IF(BJ193="Présent",BK193,0),0),IF($BL$5&lt;&gt;"",IF(BL193="Présent",BM193,0),0)))</f>
      </c>
      <c r="BS193" s="25">
        <f>IF($A193="","",$BN193*IFERROR(INDEX(Categories_Salaire,MATCH($C193,ListeCategories,0)),0)+$BR193*IF(IFERROR(INDEX(Categories_TauxHS,MATCH($C193,ListeCategories,0)),0)&gt;0,IFERROR(INDEX(Categories_TauxHS,MATCH($C193,ListeCategories,0)),0),TauxHSDefaut))</f>
      </c>
    </row>
    <row r="194">
      <c r="A194" s="20">
        <f>IF(AND(INDEX(Employes_Nom,188)&lt;&gt;"",INDEX(Employes_Statut,188)="Actif",OR(INDEX(Employes_Embauche,188)="",INDEX(Employes_Embauche,188)&lt;=EOMONTH(DATE(AnneeCourante,MoisCourant,1),0))),INDEX(Employes_ID,188),"")</f>
      </c>
      <c r="B194" s="19">
        <f>IF($A194="","",INDEX(Employes_Nom,MATCH($A194,Employes_ID,0)))</f>
      </c>
      <c r="C194" s="20">
        <f>IF($A194="","",INDEX(Employes_Categorie,MATCH($A194,Employes_ID,0)))</f>
      </c>
      <c r="D194" s="26"/>
      <c r="E194" s="27"/>
      <c r="F194" s="26"/>
      <c r="G194" s="27"/>
      <c r="H194" s="26"/>
      <c r="I194" s="27"/>
      <c r="J194" s="26"/>
      <c r="K194" s="27"/>
      <c r="L194" s="26"/>
      <c r="M194" s="27"/>
      <c r="N194" s="26"/>
      <c r="O194" s="27"/>
      <c r="P194" s="26"/>
      <c r="Q194" s="27"/>
      <c r="R194" s="26"/>
      <c r="S194" s="27"/>
      <c r="T194" s="26"/>
      <c r="U194" s="27"/>
      <c r="V194" s="26"/>
      <c r="W194" s="27"/>
      <c r="X194" s="26"/>
      <c r="Y194" s="27"/>
      <c r="Z194" s="26"/>
      <c r="AA194" s="27"/>
      <c r="AB194" s="26"/>
      <c r="AC194" s="27"/>
      <c r="AD194" s="26"/>
      <c r="AE194" s="27"/>
      <c r="AF194" s="26"/>
      <c r="AG194" s="27"/>
      <c r="AH194" s="26"/>
      <c r="AI194" s="27"/>
      <c r="AJ194" s="26"/>
      <c r="AK194" s="27"/>
      <c r="AL194" s="26"/>
      <c r="AM194" s="27"/>
      <c r="AN194" s="26"/>
      <c r="AO194" s="27"/>
      <c r="AP194" s="26"/>
      <c r="AQ194" s="27"/>
      <c r="AR194" s="26"/>
      <c r="AS194" s="27"/>
      <c r="AT194" s="26"/>
      <c r="AU194" s="27"/>
      <c r="AV194" s="26"/>
      <c r="AW194" s="27"/>
      <c r="AX194" s="26"/>
      <c r="AY194" s="27"/>
      <c r="AZ194" s="26"/>
      <c r="BA194" s="27"/>
      <c r="BB194" s="26"/>
      <c r="BC194" s="27"/>
      <c r="BD194" s="26"/>
      <c r="BE194" s="27"/>
      <c r="BF194" s="26"/>
      <c r="BG194" s="27"/>
      <c r="BH194" s="26"/>
      <c r="BI194" s="27"/>
      <c r="BJ194" s="26"/>
      <c r="BK194" s="27"/>
      <c r="BL194" s="26"/>
      <c r="BM194" s="27"/>
      <c r="BN194" s="22">
        <f>IF($A194="","",SUM(IF($D$5&lt;&gt;"",--(D194="Présent"),0),IF($F$5&lt;&gt;"",--(F194="Présent"),0),IF($H$5&lt;&gt;"",--(H194="Présent"),0),IF($J$5&lt;&gt;"",--(J194="Présent"),0),IF($L$5&lt;&gt;"",--(L194="Présent"),0),IF($N$5&lt;&gt;"",--(N194="Présent"),0),IF($P$5&lt;&gt;"",--(P194="Présent"),0),IF($R$5&lt;&gt;"",--(R194="Présent"),0),IF($T$5&lt;&gt;"",--(T194="Présent"),0),IF($V$5&lt;&gt;"",--(V194="Présent"),0),IF($X$5&lt;&gt;"",--(X194="Présent"),0),IF($Z$5&lt;&gt;"",--(Z194="Présent"),0),IF($AB$5&lt;&gt;"",--(AB194="Présent"),0),IF($AD$5&lt;&gt;"",--(AD194="Présent"),0),IF($AF$5&lt;&gt;"",--(AF194="Présent"),0),IF($AH$5&lt;&gt;"",--(AH194="Présent"),0),IF($AJ$5&lt;&gt;"",--(AJ194="Présent"),0),IF($AL$5&lt;&gt;"",--(AL194="Présent"),0),IF($AN$5&lt;&gt;"",--(AN194="Présent"),0),IF($AP$5&lt;&gt;"",--(AP194="Présent"),0),IF($AR$5&lt;&gt;"",--(AR194="Présent"),0),IF($AT$5&lt;&gt;"",--(AT194="Présent"),0),IF($AV$5&lt;&gt;"",--(AV194="Présent"),0),IF($AX$5&lt;&gt;"",--(AX194="Présent"),0),IF($AZ$5&lt;&gt;"",--(AZ194="Présent"),0),IF($BB$5&lt;&gt;"",--(BB194="Présent"),0),IF($BD$5&lt;&gt;"",--(BD194="Présent"),0),IF($BF$5&lt;&gt;"",--(BF194="Présent"),0),IF($BH$5&lt;&gt;"",--(BH194="Présent"),0),IF($BJ$5&lt;&gt;"",--(BJ194="Présent"),0),IF($BL$5&lt;&gt;"",--(BL194="Présent"),0)))</f>
      </c>
      <c r="BO194" s="22">
        <f>IF($A194="","",SUM(IF($D$5&lt;&gt;"",--(D194="Absent"),0),IF($F$5&lt;&gt;"",--(F194="Absent"),0),IF($H$5&lt;&gt;"",--(H194="Absent"),0),IF($J$5&lt;&gt;"",--(J194="Absent"),0),IF($L$5&lt;&gt;"",--(L194="Absent"),0),IF($N$5&lt;&gt;"",--(N194="Absent"),0),IF($P$5&lt;&gt;"",--(P194="Absent"),0),IF($R$5&lt;&gt;"",--(R194="Absent"),0),IF($T$5&lt;&gt;"",--(T194="Absent"),0),IF($V$5&lt;&gt;"",--(V194="Absent"),0),IF($X$5&lt;&gt;"",--(X194="Absent"),0),IF($Z$5&lt;&gt;"",--(Z194="Absent"),0),IF($AB$5&lt;&gt;"",--(AB194="Absent"),0),IF($AD$5&lt;&gt;"",--(AD194="Absent"),0),IF($AF$5&lt;&gt;"",--(AF194="Absent"),0),IF($AH$5&lt;&gt;"",--(AH194="Absent"),0),IF($AJ$5&lt;&gt;"",--(AJ194="Absent"),0),IF($AL$5&lt;&gt;"",--(AL194="Absent"),0),IF($AN$5&lt;&gt;"",--(AN194="Absent"),0),IF($AP$5&lt;&gt;"",--(AP194="Absent"),0),IF($AR$5&lt;&gt;"",--(AR194="Absent"),0),IF($AT$5&lt;&gt;"",--(AT194="Absent"),0),IF($AV$5&lt;&gt;"",--(AV194="Absent"),0),IF($AX$5&lt;&gt;"",--(AX194="Absent"),0),IF($AZ$5&lt;&gt;"",--(AZ194="Absent"),0),IF($BB$5&lt;&gt;"",--(BB194="Absent"),0),IF($BD$5&lt;&gt;"",--(BD194="Absent"),0),IF($BF$5&lt;&gt;"",--(BF194="Absent"),0),IF($BH$5&lt;&gt;"",--(BH194="Absent"),0),IF($BJ$5&lt;&gt;"",--(BJ194="Absent"),0),IF($BL$5&lt;&gt;"",--(BL194="Absent"),0)))</f>
      </c>
      <c r="BP194" s="22">
        <f>IF($A194="","",SUM(IF($D$5&lt;&gt;"",--(D194="Congé"),0),IF($F$5&lt;&gt;"",--(F194="Congé"),0),IF($H$5&lt;&gt;"",--(H194="Congé"),0),IF($J$5&lt;&gt;"",--(J194="Congé"),0),IF($L$5&lt;&gt;"",--(L194="Congé"),0),IF($N$5&lt;&gt;"",--(N194="Congé"),0),IF($P$5&lt;&gt;"",--(P194="Congé"),0),IF($R$5&lt;&gt;"",--(R194="Congé"),0),IF($T$5&lt;&gt;"",--(T194="Congé"),0),IF($V$5&lt;&gt;"",--(V194="Congé"),0),IF($X$5&lt;&gt;"",--(X194="Congé"),0),IF($Z$5&lt;&gt;"",--(Z194="Congé"),0),IF($AB$5&lt;&gt;"",--(AB194="Congé"),0),IF($AD$5&lt;&gt;"",--(AD194="Congé"),0),IF($AF$5&lt;&gt;"",--(AF194="Congé"),0),IF($AH$5&lt;&gt;"",--(AH194="Congé"),0),IF($AJ$5&lt;&gt;"",--(AJ194="Congé"),0),IF($AL$5&lt;&gt;"",--(AL194="Congé"),0),IF($AN$5&lt;&gt;"",--(AN194="Congé"),0),IF($AP$5&lt;&gt;"",--(AP194="Congé"),0),IF($AR$5&lt;&gt;"",--(AR194="Congé"),0),IF($AT$5&lt;&gt;"",--(AT194="Congé"),0),IF($AV$5&lt;&gt;"",--(AV194="Congé"),0),IF($AX$5&lt;&gt;"",--(AX194="Congé"),0),IF($AZ$5&lt;&gt;"",--(AZ194="Congé"),0),IF($BB$5&lt;&gt;"",--(BB194="Congé"),0),IF($BD$5&lt;&gt;"",--(BD194="Congé"),0),IF($BF$5&lt;&gt;"",--(BF194="Congé"),0),IF($BH$5&lt;&gt;"",--(BH194="Congé"),0),IF($BJ$5&lt;&gt;"",--(BJ194="Congé"),0),IF($BL$5&lt;&gt;"",--(BL194="Congé"),0)))</f>
      </c>
      <c r="BQ194" s="22">
        <f>IF($A194="","",SUM(IF($D$5&lt;&gt;"",--(D194="Maladie"),0),IF($F$5&lt;&gt;"",--(F194="Maladie"),0),IF($H$5&lt;&gt;"",--(H194="Maladie"),0),IF($J$5&lt;&gt;"",--(J194="Maladie"),0),IF($L$5&lt;&gt;"",--(L194="Maladie"),0),IF($N$5&lt;&gt;"",--(N194="Maladie"),0),IF($P$5&lt;&gt;"",--(P194="Maladie"),0),IF($R$5&lt;&gt;"",--(R194="Maladie"),0),IF($T$5&lt;&gt;"",--(T194="Maladie"),0),IF($V$5&lt;&gt;"",--(V194="Maladie"),0),IF($X$5&lt;&gt;"",--(X194="Maladie"),0),IF($Z$5&lt;&gt;"",--(Z194="Maladie"),0),IF($AB$5&lt;&gt;"",--(AB194="Maladie"),0),IF($AD$5&lt;&gt;"",--(AD194="Maladie"),0),IF($AF$5&lt;&gt;"",--(AF194="Maladie"),0),IF($AH$5&lt;&gt;"",--(AH194="Maladie"),0),IF($AJ$5&lt;&gt;"",--(AJ194="Maladie"),0),IF($AL$5&lt;&gt;"",--(AL194="Maladie"),0),IF($AN$5&lt;&gt;"",--(AN194="Maladie"),0),IF($AP$5&lt;&gt;"",--(AP194="Maladie"),0),IF($AR$5&lt;&gt;"",--(AR194="Maladie"),0),IF($AT$5&lt;&gt;"",--(AT194="Maladie"),0),IF($AV$5&lt;&gt;"",--(AV194="Maladie"),0),IF($AX$5&lt;&gt;"",--(AX194="Maladie"),0),IF($AZ$5&lt;&gt;"",--(AZ194="Maladie"),0),IF($BB$5&lt;&gt;"",--(BB194="Maladie"),0),IF($BD$5&lt;&gt;"",--(BD194="Maladie"),0),IF($BF$5&lt;&gt;"",--(BF194="Maladie"),0),IF($BH$5&lt;&gt;"",--(BH194="Maladie"),0),IF($BJ$5&lt;&gt;"",--(BJ194="Maladie"),0),IF($BL$5&lt;&gt;"",--(BL194="Maladie"),0)))</f>
      </c>
      <c r="BR194" s="23">
        <f>IF($A194="","",SUM(IF($D$5&lt;&gt;"",IF(D194="Présent",E194,0),0),IF($F$5&lt;&gt;"",IF(F194="Présent",G194,0),0),IF($H$5&lt;&gt;"",IF(H194="Présent",I194,0),0),IF($J$5&lt;&gt;"",IF(J194="Présent",K194,0),0),IF($L$5&lt;&gt;"",IF(L194="Présent",M194,0),0),IF($N$5&lt;&gt;"",IF(N194="Présent",O194,0),0),IF($P$5&lt;&gt;"",IF(P194="Présent",Q194,0),0),IF($R$5&lt;&gt;"",IF(R194="Présent",S194,0),0),IF($T$5&lt;&gt;"",IF(T194="Présent",U194,0),0),IF($V$5&lt;&gt;"",IF(V194="Présent",W194,0),0),IF($X$5&lt;&gt;"",IF(X194="Présent",Y194,0),0),IF($Z$5&lt;&gt;"",IF(Z194="Présent",AA194,0),0),IF($AB$5&lt;&gt;"",IF(AB194="Présent",AC194,0),0),IF($AD$5&lt;&gt;"",IF(AD194="Présent",AE194,0),0),IF($AF$5&lt;&gt;"",IF(AF194="Présent",AG194,0),0),IF($AH$5&lt;&gt;"",IF(AH194="Présent",AI194,0),0),IF($AJ$5&lt;&gt;"",IF(AJ194="Présent",AK194,0),0),IF($AL$5&lt;&gt;"",IF(AL194="Présent",AM194,0),0),IF($AN$5&lt;&gt;"",IF(AN194="Présent",AO194,0),0),IF($AP$5&lt;&gt;"",IF(AP194="Présent",AQ194,0),0),IF($AR$5&lt;&gt;"",IF(AR194="Présent",AS194,0),0),IF($AT$5&lt;&gt;"",IF(AT194="Présent",AU194,0),0),IF($AV$5&lt;&gt;"",IF(AV194="Présent",AW194,0),0),IF($AX$5&lt;&gt;"",IF(AX194="Présent",AY194,0),0),IF($AZ$5&lt;&gt;"",IF(AZ194="Présent",BA194,0),0),IF($BB$5&lt;&gt;"",IF(BB194="Présent",BC194,0),0),IF($BD$5&lt;&gt;"",IF(BD194="Présent",BE194,0),0),IF($BF$5&lt;&gt;"",IF(BF194="Présent",BG194,0),0),IF($BH$5&lt;&gt;"",IF(BH194="Présent",BI194,0),0),IF($BJ$5&lt;&gt;"",IF(BJ194="Présent",BK194,0),0),IF($BL$5&lt;&gt;"",IF(BL194="Présent",BM194,0),0)))</f>
      </c>
      <c r="BS194" s="25">
        <f>IF($A194="","",$BN194*IFERROR(INDEX(Categories_Salaire,MATCH($C194,ListeCategories,0)),0)+$BR194*IF(IFERROR(INDEX(Categories_TauxHS,MATCH($C194,ListeCategories,0)),0)&gt;0,IFERROR(INDEX(Categories_TauxHS,MATCH($C194,ListeCategories,0)),0),TauxHSDefaut))</f>
      </c>
    </row>
    <row r="195">
      <c r="A195" s="20">
        <f>IF(AND(INDEX(Employes_Nom,189)&lt;&gt;"",INDEX(Employes_Statut,189)="Actif",OR(INDEX(Employes_Embauche,189)="",INDEX(Employes_Embauche,189)&lt;=EOMONTH(DATE(AnneeCourante,MoisCourant,1),0))),INDEX(Employes_ID,189),"")</f>
      </c>
      <c r="B195" s="19">
        <f>IF($A195="","",INDEX(Employes_Nom,MATCH($A195,Employes_ID,0)))</f>
      </c>
      <c r="C195" s="20">
        <f>IF($A195="","",INDEX(Employes_Categorie,MATCH($A195,Employes_ID,0)))</f>
      </c>
      <c r="D195" s="26"/>
      <c r="E195" s="27"/>
      <c r="F195" s="26"/>
      <c r="G195" s="27"/>
      <c r="H195" s="26"/>
      <c r="I195" s="27"/>
      <c r="J195" s="26"/>
      <c r="K195" s="27"/>
      <c r="L195" s="26"/>
      <c r="M195" s="27"/>
      <c r="N195" s="26"/>
      <c r="O195" s="27"/>
      <c r="P195" s="26"/>
      <c r="Q195" s="27"/>
      <c r="R195" s="26"/>
      <c r="S195" s="27"/>
      <c r="T195" s="26"/>
      <c r="U195" s="27"/>
      <c r="V195" s="26"/>
      <c r="W195" s="27"/>
      <c r="X195" s="26"/>
      <c r="Y195" s="27"/>
      <c r="Z195" s="26"/>
      <c r="AA195" s="27"/>
      <c r="AB195" s="26"/>
      <c r="AC195" s="27"/>
      <c r="AD195" s="26"/>
      <c r="AE195" s="27"/>
      <c r="AF195" s="26"/>
      <c r="AG195" s="27"/>
      <c r="AH195" s="26"/>
      <c r="AI195" s="27"/>
      <c r="AJ195" s="26"/>
      <c r="AK195" s="27"/>
      <c r="AL195" s="26"/>
      <c r="AM195" s="27"/>
      <c r="AN195" s="26"/>
      <c r="AO195" s="27"/>
      <c r="AP195" s="26"/>
      <c r="AQ195" s="27"/>
      <c r="AR195" s="26"/>
      <c r="AS195" s="27"/>
      <c r="AT195" s="26"/>
      <c r="AU195" s="27"/>
      <c r="AV195" s="26"/>
      <c r="AW195" s="27"/>
      <c r="AX195" s="26"/>
      <c r="AY195" s="27"/>
      <c r="AZ195" s="26"/>
      <c r="BA195" s="27"/>
      <c r="BB195" s="26"/>
      <c r="BC195" s="27"/>
      <c r="BD195" s="26"/>
      <c r="BE195" s="27"/>
      <c r="BF195" s="26"/>
      <c r="BG195" s="27"/>
      <c r="BH195" s="26"/>
      <c r="BI195" s="27"/>
      <c r="BJ195" s="26"/>
      <c r="BK195" s="27"/>
      <c r="BL195" s="26"/>
      <c r="BM195" s="27"/>
      <c r="BN195" s="22">
        <f>IF($A195="","",SUM(IF($D$5&lt;&gt;"",--(D195="Présent"),0),IF($F$5&lt;&gt;"",--(F195="Présent"),0),IF($H$5&lt;&gt;"",--(H195="Présent"),0),IF($J$5&lt;&gt;"",--(J195="Présent"),0),IF($L$5&lt;&gt;"",--(L195="Présent"),0),IF($N$5&lt;&gt;"",--(N195="Présent"),0),IF($P$5&lt;&gt;"",--(P195="Présent"),0),IF($R$5&lt;&gt;"",--(R195="Présent"),0),IF($T$5&lt;&gt;"",--(T195="Présent"),0),IF($V$5&lt;&gt;"",--(V195="Présent"),0),IF($X$5&lt;&gt;"",--(X195="Présent"),0),IF($Z$5&lt;&gt;"",--(Z195="Présent"),0),IF($AB$5&lt;&gt;"",--(AB195="Présent"),0),IF($AD$5&lt;&gt;"",--(AD195="Présent"),0),IF($AF$5&lt;&gt;"",--(AF195="Présent"),0),IF($AH$5&lt;&gt;"",--(AH195="Présent"),0),IF($AJ$5&lt;&gt;"",--(AJ195="Présent"),0),IF($AL$5&lt;&gt;"",--(AL195="Présent"),0),IF($AN$5&lt;&gt;"",--(AN195="Présent"),0),IF($AP$5&lt;&gt;"",--(AP195="Présent"),0),IF($AR$5&lt;&gt;"",--(AR195="Présent"),0),IF($AT$5&lt;&gt;"",--(AT195="Présent"),0),IF($AV$5&lt;&gt;"",--(AV195="Présent"),0),IF($AX$5&lt;&gt;"",--(AX195="Présent"),0),IF($AZ$5&lt;&gt;"",--(AZ195="Présent"),0),IF($BB$5&lt;&gt;"",--(BB195="Présent"),0),IF($BD$5&lt;&gt;"",--(BD195="Présent"),0),IF($BF$5&lt;&gt;"",--(BF195="Présent"),0),IF($BH$5&lt;&gt;"",--(BH195="Présent"),0),IF($BJ$5&lt;&gt;"",--(BJ195="Présent"),0),IF($BL$5&lt;&gt;"",--(BL195="Présent"),0)))</f>
      </c>
      <c r="BO195" s="22">
        <f>IF($A195="","",SUM(IF($D$5&lt;&gt;"",--(D195="Absent"),0),IF($F$5&lt;&gt;"",--(F195="Absent"),0),IF($H$5&lt;&gt;"",--(H195="Absent"),0),IF($J$5&lt;&gt;"",--(J195="Absent"),0),IF($L$5&lt;&gt;"",--(L195="Absent"),0),IF($N$5&lt;&gt;"",--(N195="Absent"),0),IF($P$5&lt;&gt;"",--(P195="Absent"),0),IF($R$5&lt;&gt;"",--(R195="Absent"),0),IF($T$5&lt;&gt;"",--(T195="Absent"),0),IF($V$5&lt;&gt;"",--(V195="Absent"),0),IF($X$5&lt;&gt;"",--(X195="Absent"),0),IF($Z$5&lt;&gt;"",--(Z195="Absent"),0),IF($AB$5&lt;&gt;"",--(AB195="Absent"),0),IF($AD$5&lt;&gt;"",--(AD195="Absent"),0),IF($AF$5&lt;&gt;"",--(AF195="Absent"),0),IF($AH$5&lt;&gt;"",--(AH195="Absent"),0),IF($AJ$5&lt;&gt;"",--(AJ195="Absent"),0),IF($AL$5&lt;&gt;"",--(AL195="Absent"),0),IF($AN$5&lt;&gt;"",--(AN195="Absent"),0),IF($AP$5&lt;&gt;"",--(AP195="Absent"),0),IF($AR$5&lt;&gt;"",--(AR195="Absent"),0),IF($AT$5&lt;&gt;"",--(AT195="Absent"),0),IF($AV$5&lt;&gt;"",--(AV195="Absent"),0),IF($AX$5&lt;&gt;"",--(AX195="Absent"),0),IF($AZ$5&lt;&gt;"",--(AZ195="Absent"),0),IF($BB$5&lt;&gt;"",--(BB195="Absent"),0),IF($BD$5&lt;&gt;"",--(BD195="Absent"),0),IF($BF$5&lt;&gt;"",--(BF195="Absent"),0),IF($BH$5&lt;&gt;"",--(BH195="Absent"),0),IF($BJ$5&lt;&gt;"",--(BJ195="Absent"),0),IF($BL$5&lt;&gt;"",--(BL195="Absent"),0)))</f>
      </c>
      <c r="BP195" s="22">
        <f>IF($A195="","",SUM(IF($D$5&lt;&gt;"",--(D195="Congé"),0),IF($F$5&lt;&gt;"",--(F195="Congé"),0),IF($H$5&lt;&gt;"",--(H195="Congé"),0),IF($J$5&lt;&gt;"",--(J195="Congé"),0),IF($L$5&lt;&gt;"",--(L195="Congé"),0),IF($N$5&lt;&gt;"",--(N195="Congé"),0),IF($P$5&lt;&gt;"",--(P195="Congé"),0),IF($R$5&lt;&gt;"",--(R195="Congé"),0),IF($T$5&lt;&gt;"",--(T195="Congé"),0),IF($V$5&lt;&gt;"",--(V195="Congé"),0),IF($X$5&lt;&gt;"",--(X195="Congé"),0),IF($Z$5&lt;&gt;"",--(Z195="Congé"),0),IF($AB$5&lt;&gt;"",--(AB195="Congé"),0),IF($AD$5&lt;&gt;"",--(AD195="Congé"),0),IF($AF$5&lt;&gt;"",--(AF195="Congé"),0),IF($AH$5&lt;&gt;"",--(AH195="Congé"),0),IF($AJ$5&lt;&gt;"",--(AJ195="Congé"),0),IF($AL$5&lt;&gt;"",--(AL195="Congé"),0),IF($AN$5&lt;&gt;"",--(AN195="Congé"),0),IF($AP$5&lt;&gt;"",--(AP195="Congé"),0),IF($AR$5&lt;&gt;"",--(AR195="Congé"),0),IF($AT$5&lt;&gt;"",--(AT195="Congé"),0),IF($AV$5&lt;&gt;"",--(AV195="Congé"),0),IF($AX$5&lt;&gt;"",--(AX195="Congé"),0),IF($AZ$5&lt;&gt;"",--(AZ195="Congé"),0),IF($BB$5&lt;&gt;"",--(BB195="Congé"),0),IF($BD$5&lt;&gt;"",--(BD195="Congé"),0),IF($BF$5&lt;&gt;"",--(BF195="Congé"),0),IF($BH$5&lt;&gt;"",--(BH195="Congé"),0),IF($BJ$5&lt;&gt;"",--(BJ195="Congé"),0),IF($BL$5&lt;&gt;"",--(BL195="Congé"),0)))</f>
      </c>
      <c r="BQ195" s="22">
        <f>IF($A195="","",SUM(IF($D$5&lt;&gt;"",--(D195="Maladie"),0),IF($F$5&lt;&gt;"",--(F195="Maladie"),0),IF($H$5&lt;&gt;"",--(H195="Maladie"),0),IF($J$5&lt;&gt;"",--(J195="Maladie"),0),IF($L$5&lt;&gt;"",--(L195="Maladie"),0),IF($N$5&lt;&gt;"",--(N195="Maladie"),0),IF($P$5&lt;&gt;"",--(P195="Maladie"),0),IF($R$5&lt;&gt;"",--(R195="Maladie"),0),IF($T$5&lt;&gt;"",--(T195="Maladie"),0),IF($V$5&lt;&gt;"",--(V195="Maladie"),0),IF($X$5&lt;&gt;"",--(X195="Maladie"),0),IF($Z$5&lt;&gt;"",--(Z195="Maladie"),0),IF($AB$5&lt;&gt;"",--(AB195="Maladie"),0),IF($AD$5&lt;&gt;"",--(AD195="Maladie"),0),IF($AF$5&lt;&gt;"",--(AF195="Maladie"),0),IF($AH$5&lt;&gt;"",--(AH195="Maladie"),0),IF($AJ$5&lt;&gt;"",--(AJ195="Maladie"),0),IF($AL$5&lt;&gt;"",--(AL195="Maladie"),0),IF($AN$5&lt;&gt;"",--(AN195="Maladie"),0),IF($AP$5&lt;&gt;"",--(AP195="Maladie"),0),IF($AR$5&lt;&gt;"",--(AR195="Maladie"),0),IF($AT$5&lt;&gt;"",--(AT195="Maladie"),0),IF($AV$5&lt;&gt;"",--(AV195="Maladie"),0),IF($AX$5&lt;&gt;"",--(AX195="Maladie"),0),IF($AZ$5&lt;&gt;"",--(AZ195="Maladie"),0),IF($BB$5&lt;&gt;"",--(BB195="Maladie"),0),IF($BD$5&lt;&gt;"",--(BD195="Maladie"),0),IF($BF$5&lt;&gt;"",--(BF195="Maladie"),0),IF($BH$5&lt;&gt;"",--(BH195="Maladie"),0),IF($BJ$5&lt;&gt;"",--(BJ195="Maladie"),0),IF($BL$5&lt;&gt;"",--(BL195="Maladie"),0)))</f>
      </c>
      <c r="BR195" s="23">
        <f>IF($A195="","",SUM(IF($D$5&lt;&gt;"",IF(D195="Présent",E195,0),0),IF($F$5&lt;&gt;"",IF(F195="Présent",G195,0),0),IF($H$5&lt;&gt;"",IF(H195="Présent",I195,0),0),IF($J$5&lt;&gt;"",IF(J195="Présent",K195,0),0),IF($L$5&lt;&gt;"",IF(L195="Présent",M195,0),0),IF($N$5&lt;&gt;"",IF(N195="Présent",O195,0),0),IF($P$5&lt;&gt;"",IF(P195="Présent",Q195,0),0),IF($R$5&lt;&gt;"",IF(R195="Présent",S195,0),0),IF($T$5&lt;&gt;"",IF(T195="Présent",U195,0),0),IF($V$5&lt;&gt;"",IF(V195="Présent",W195,0),0),IF($X$5&lt;&gt;"",IF(X195="Présent",Y195,0),0),IF($Z$5&lt;&gt;"",IF(Z195="Présent",AA195,0),0),IF($AB$5&lt;&gt;"",IF(AB195="Présent",AC195,0),0),IF($AD$5&lt;&gt;"",IF(AD195="Présent",AE195,0),0),IF($AF$5&lt;&gt;"",IF(AF195="Présent",AG195,0),0),IF($AH$5&lt;&gt;"",IF(AH195="Présent",AI195,0),0),IF($AJ$5&lt;&gt;"",IF(AJ195="Présent",AK195,0),0),IF($AL$5&lt;&gt;"",IF(AL195="Présent",AM195,0),0),IF($AN$5&lt;&gt;"",IF(AN195="Présent",AO195,0),0),IF($AP$5&lt;&gt;"",IF(AP195="Présent",AQ195,0),0),IF($AR$5&lt;&gt;"",IF(AR195="Présent",AS195,0),0),IF($AT$5&lt;&gt;"",IF(AT195="Présent",AU195,0),0),IF($AV$5&lt;&gt;"",IF(AV195="Présent",AW195,0),0),IF($AX$5&lt;&gt;"",IF(AX195="Présent",AY195,0),0),IF($AZ$5&lt;&gt;"",IF(AZ195="Présent",BA195,0),0),IF($BB$5&lt;&gt;"",IF(BB195="Présent",BC195,0),0),IF($BD$5&lt;&gt;"",IF(BD195="Présent",BE195,0),0),IF($BF$5&lt;&gt;"",IF(BF195="Présent",BG195,0),0),IF($BH$5&lt;&gt;"",IF(BH195="Présent",BI195,0),0),IF($BJ$5&lt;&gt;"",IF(BJ195="Présent",BK195,0),0),IF($BL$5&lt;&gt;"",IF(BL195="Présent",BM195,0),0)))</f>
      </c>
      <c r="BS195" s="25">
        <f>IF($A195="","",$BN195*IFERROR(INDEX(Categories_Salaire,MATCH($C195,ListeCategories,0)),0)+$BR195*IF(IFERROR(INDEX(Categories_TauxHS,MATCH($C195,ListeCategories,0)),0)&gt;0,IFERROR(INDEX(Categories_TauxHS,MATCH($C195,ListeCategories,0)),0),TauxHSDefaut))</f>
      </c>
    </row>
    <row r="196">
      <c r="A196" s="20">
        <f>IF(AND(INDEX(Employes_Nom,190)&lt;&gt;"",INDEX(Employes_Statut,190)="Actif",OR(INDEX(Employes_Embauche,190)="",INDEX(Employes_Embauche,190)&lt;=EOMONTH(DATE(AnneeCourante,MoisCourant,1),0))),INDEX(Employes_ID,190),"")</f>
      </c>
      <c r="B196" s="19">
        <f>IF($A196="","",INDEX(Employes_Nom,MATCH($A196,Employes_ID,0)))</f>
      </c>
      <c r="C196" s="20">
        <f>IF($A196="","",INDEX(Employes_Categorie,MATCH($A196,Employes_ID,0)))</f>
      </c>
      <c r="D196" s="26"/>
      <c r="E196" s="27"/>
      <c r="F196" s="26"/>
      <c r="G196" s="27"/>
      <c r="H196" s="26"/>
      <c r="I196" s="27"/>
      <c r="J196" s="26"/>
      <c r="K196" s="27"/>
      <c r="L196" s="26"/>
      <c r="M196" s="27"/>
      <c r="N196" s="26"/>
      <c r="O196" s="27"/>
      <c r="P196" s="26"/>
      <c r="Q196" s="27"/>
      <c r="R196" s="26"/>
      <c r="S196" s="27"/>
      <c r="T196" s="26"/>
      <c r="U196" s="27"/>
      <c r="V196" s="26"/>
      <c r="W196" s="27"/>
      <c r="X196" s="26"/>
      <c r="Y196" s="27"/>
      <c r="Z196" s="26"/>
      <c r="AA196" s="27"/>
      <c r="AB196" s="26"/>
      <c r="AC196" s="27"/>
      <c r="AD196" s="26"/>
      <c r="AE196" s="27"/>
      <c r="AF196" s="26"/>
      <c r="AG196" s="27"/>
      <c r="AH196" s="26"/>
      <c r="AI196" s="27"/>
      <c r="AJ196" s="26"/>
      <c r="AK196" s="27"/>
      <c r="AL196" s="26"/>
      <c r="AM196" s="27"/>
      <c r="AN196" s="26"/>
      <c r="AO196" s="27"/>
      <c r="AP196" s="26"/>
      <c r="AQ196" s="27"/>
      <c r="AR196" s="26"/>
      <c r="AS196" s="27"/>
      <c r="AT196" s="26"/>
      <c r="AU196" s="27"/>
      <c r="AV196" s="26"/>
      <c r="AW196" s="27"/>
      <c r="AX196" s="26"/>
      <c r="AY196" s="27"/>
      <c r="AZ196" s="26"/>
      <c r="BA196" s="27"/>
      <c r="BB196" s="26"/>
      <c r="BC196" s="27"/>
      <c r="BD196" s="26"/>
      <c r="BE196" s="27"/>
      <c r="BF196" s="26"/>
      <c r="BG196" s="27"/>
      <c r="BH196" s="26"/>
      <c r="BI196" s="27"/>
      <c r="BJ196" s="26"/>
      <c r="BK196" s="27"/>
      <c r="BL196" s="26"/>
      <c r="BM196" s="27"/>
      <c r="BN196" s="22">
        <f>IF($A196="","",SUM(IF($D$5&lt;&gt;"",--(D196="Présent"),0),IF($F$5&lt;&gt;"",--(F196="Présent"),0),IF($H$5&lt;&gt;"",--(H196="Présent"),0),IF($J$5&lt;&gt;"",--(J196="Présent"),0),IF($L$5&lt;&gt;"",--(L196="Présent"),0),IF($N$5&lt;&gt;"",--(N196="Présent"),0),IF($P$5&lt;&gt;"",--(P196="Présent"),0),IF($R$5&lt;&gt;"",--(R196="Présent"),0),IF($T$5&lt;&gt;"",--(T196="Présent"),0),IF($V$5&lt;&gt;"",--(V196="Présent"),0),IF($X$5&lt;&gt;"",--(X196="Présent"),0),IF($Z$5&lt;&gt;"",--(Z196="Présent"),0),IF($AB$5&lt;&gt;"",--(AB196="Présent"),0),IF($AD$5&lt;&gt;"",--(AD196="Présent"),0),IF($AF$5&lt;&gt;"",--(AF196="Présent"),0),IF($AH$5&lt;&gt;"",--(AH196="Présent"),0),IF($AJ$5&lt;&gt;"",--(AJ196="Présent"),0),IF($AL$5&lt;&gt;"",--(AL196="Présent"),0),IF($AN$5&lt;&gt;"",--(AN196="Présent"),0),IF($AP$5&lt;&gt;"",--(AP196="Présent"),0),IF($AR$5&lt;&gt;"",--(AR196="Présent"),0),IF($AT$5&lt;&gt;"",--(AT196="Présent"),0),IF($AV$5&lt;&gt;"",--(AV196="Présent"),0),IF($AX$5&lt;&gt;"",--(AX196="Présent"),0),IF($AZ$5&lt;&gt;"",--(AZ196="Présent"),0),IF($BB$5&lt;&gt;"",--(BB196="Présent"),0),IF($BD$5&lt;&gt;"",--(BD196="Présent"),0),IF($BF$5&lt;&gt;"",--(BF196="Présent"),0),IF($BH$5&lt;&gt;"",--(BH196="Présent"),0),IF($BJ$5&lt;&gt;"",--(BJ196="Présent"),0),IF($BL$5&lt;&gt;"",--(BL196="Présent"),0)))</f>
      </c>
      <c r="BO196" s="22">
        <f>IF($A196="","",SUM(IF($D$5&lt;&gt;"",--(D196="Absent"),0),IF($F$5&lt;&gt;"",--(F196="Absent"),0),IF($H$5&lt;&gt;"",--(H196="Absent"),0),IF($J$5&lt;&gt;"",--(J196="Absent"),0),IF($L$5&lt;&gt;"",--(L196="Absent"),0),IF($N$5&lt;&gt;"",--(N196="Absent"),0),IF($P$5&lt;&gt;"",--(P196="Absent"),0),IF($R$5&lt;&gt;"",--(R196="Absent"),0),IF($T$5&lt;&gt;"",--(T196="Absent"),0),IF($V$5&lt;&gt;"",--(V196="Absent"),0),IF($X$5&lt;&gt;"",--(X196="Absent"),0),IF($Z$5&lt;&gt;"",--(Z196="Absent"),0),IF($AB$5&lt;&gt;"",--(AB196="Absent"),0),IF($AD$5&lt;&gt;"",--(AD196="Absent"),0),IF($AF$5&lt;&gt;"",--(AF196="Absent"),0),IF($AH$5&lt;&gt;"",--(AH196="Absent"),0),IF($AJ$5&lt;&gt;"",--(AJ196="Absent"),0),IF($AL$5&lt;&gt;"",--(AL196="Absent"),0),IF($AN$5&lt;&gt;"",--(AN196="Absent"),0),IF($AP$5&lt;&gt;"",--(AP196="Absent"),0),IF($AR$5&lt;&gt;"",--(AR196="Absent"),0),IF($AT$5&lt;&gt;"",--(AT196="Absent"),0),IF($AV$5&lt;&gt;"",--(AV196="Absent"),0),IF($AX$5&lt;&gt;"",--(AX196="Absent"),0),IF($AZ$5&lt;&gt;"",--(AZ196="Absent"),0),IF($BB$5&lt;&gt;"",--(BB196="Absent"),0),IF($BD$5&lt;&gt;"",--(BD196="Absent"),0),IF($BF$5&lt;&gt;"",--(BF196="Absent"),0),IF($BH$5&lt;&gt;"",--(BH196="Absent"),0),IF($BJ$5&lt;&gt;"",--(BJ196="Absent"),0),IF($BL$5&lt;&gt;"",--(BL196="Absent"),0)))</f>
      </c>
      <c r="BP196" s="22">
        <f>IF($A196="","",SUM(IF($D$5&lt;&gt;"",--(D196="Congé"),0),IF($F$5&lt;&gt;"",--(F196="Congé"),0),IF($H$5&lt;&gt;"",--(H196="Congé"),0),IF($J$5&lt;&gt;"",--(J196="Congé"),0),IF($L$5&lt;&gt;"",--(L196="Congé"),0),IF($N$5&lt;&gt;"",--(N196="Congé"),0),IF($P$5&lt;&gt;"",--(P196="Congé"),0),IF($R$5&lt;&gt;"",--(R196="Congé"),0),IF($T$5&lt;&gt;"",--(T196="Congé"),0),IF($V$5&lt;&gt;"",--(V196="Congé"),0),IF($X$5&lt;&gt;"",--(X196="Congé"),0),IF($Z$5&lt;&gt;"",--(Z196="Congé"),0),IF($AB$5&lt;&gt;"",--(AB196="Congé"),0),IF($AD$5&lt;&gt;"",--(AD196="Congé"),0),IF($AF$5&lt;&gt;"",--(AF196="Congé"),0),IF($AH$5&lt;&gt;"",--(AH196="Congé"),0),IF($AJ$5&lt;&gt;"",--(AJ196="Congé"),0),IF($AL$5&lt;&gt;"",--(AL196="Congé"),0),IF($AN$5&lt;&gt;"",--(AN196="Congé"),0),IF($AP$5&lt;&gt;"",--(AP196="Congé"),0),IF($AR$5&lt;&gt;"",--(AR196="Congé"),0),IF($AT$5&lt;&gt;"",--(AT196="Congé"),0),IF($AV$5&lt;&gt;"",--(AV196="Congé"),0),IF($AX$5&lt;&gt;"",--(AX196="Congé"),0),IF($AZ$5&lt;&gt;"",--(AZ196="Congé"),0),IF($BB$5&lt;&gt;"",--(BB196="Congé"),0),IF($BD$5&lt;&gt;"",--(BD196="Congé"),0),IF($BF$5&lt;&gt;"",--(BF196="Congé"),0),IF($BH$5&lt;&gt;"",--(BH196="Congé"),0),IF($BJ$5&lt;&gt;"",--(BJ196="Congé"),0),IF($BL$5&lt;&gt;"",--(BL196="Congé"),0)))</f>
      </c>
      <c r="BQ196" s="22">
        <f>IF($A196="","",SUM(IF($D$5&lt;&gt;"",--(D196="Maladie"),0),IF($F$5&lt;&gt;"",--(F196="Maladie"),0),IF($H$5&lt;&gt;"",--(H196="Maladie"),0),IF($J$5&lt;&gt;"",--(J196="Maladie"),0),IF($L$5&lt;&gt;"",--(L196="Maladie"),0),IF($N$5&lt;&gt;"",--(N196="Maladie"),0),IF($P$5&lt;&gt;"",--(P196="Maladie"),0),IF($R$5&lt;&gt;"",--(R196="Maladie"),0),IF($T$5&lt;&gt;"",--(T196="Maladie"),0),IF($V$5&lt;&gt;"",--(V196="Maladie"),0),IF($X$5&lt;&gt;"",--(X196="Maladie"),0),IF($Z$5&lt;&gt;"",--(Z196="Maladie"),0),IF($AB$5&lt;&gt;"",--(AB196="Maladie"),0),IF($AD$5&lt;&gt;"",--(AD196="Maladie"),0),IF($AF$5&lt;&gt;"",--(AF196="Maladie"),0),IF($AH$5&lt;&gt;"",--(AH196="Maladie"),0),IF($AJ$5&lt;&gt;"",--(AJ196="Maladie"),0),IF($AL$5&lt;&gt;"",--(AL196="Maladie"),0),IF($AN$5&lt;&gt;"",--(AN196="Maladie"),0),IF($AP$5&lt;&gt;"",--(AP196="Maladie"),0),IF($AR$5&lt;&gt;"",--(AR196="Maladie"),0),IF($AT$5&lt;&gt;"",--(AT196="Maladie"),0),IF($AV$5&lt;&gt;"",--(AV196="Maladie"),0),IF($AX$5&lt;&gt;"",--(AX196="Maladie"),0),IF($AZ$5&lt;&gt;"",--(AZ196="Maladie"),0),IF($BB$5&lt;&gt;"",--(BB196="Maladie"),0),IF($BD$5&lt;&gt;"",--(BD196="Maladie"),0),IF($BF$5&lt;&gt;"",--(BF196="Maladie"),0),IF($BH$5&lt;&gt;"",--(BH196="Maladie"),0),IF($BJ$5&lt;&gt;"",--(BJ196="Maladie"),0),IF($BL$5&lt;&gt;"",--(BL196="Maladie"),0)))</f>
      </c>
      <c r="BR196" s="23">
        <f>IF($A196="","",SUM(IF($D$5&lt;&gt;"",IF(D196="Présent",E196,0),0),IF($F$5&lt;&gt;"",IF(F196="Présent",G196,0),0),IF($H$5&lt;&gt;"",IF(H196="Présent",I196,0),0),IF($J$5&lt;&gt;"",IF(J196="Présent",K196,0),0),IF($L$5&lt;&gt;"",IF(L196="Présent",M196,0),0),IF($N$5&lt;&gt;"",IF(N196="Présent",O196,0),0),IF($P$5&lt;&gt;"",IF(P196="Présent",Q196,0),0),IF($R$5&lt;&gt;"",IF(R196="Présent",S196,0),0),IF($T$5&lt;&gt;"",IF(T196="Présent",U196,0),0),IF($V$5&lt;&gt;"",IF(V196="Présent",W196,0),0),IF($X$5&lt;&gt;"",IF(X196="Présent",Y196,0),0),IF($Z$5&lt;&gt;"",IF(Z196="Présent",AA196,0),0),IF($AB$5&lt;&gt;"",IF(AB196="Présent",AC196,0),0),IF($AD$5&lt;&gt;"",IF(AD196="Présent",AE196,0),0),IF($AF$5&lt;&gt;"",IF(AF196="Présent",AG196,0),0),IF($AH$5&lt;&gt;"",IF(AH196="Présent",AI196,0),0),IF($AJ$5&lt;&gt;"",IF(AJ196="Présent",AK196,0),0),IF($AL$5&lt;&gt;"",IF(AL196="Présent",AM196,0),0),IF($AN$5&lt;&gt;"",IF(AN196="Présent",AO196,0),0),IF($AP$5&lt;&gt;"",IF(AP196="Présent",AQ196,0),0),IF($AR$5&lt;&gt;"",IF(AR196="Présent",AS196,0),0),IF($AT$5&lt;&gt;"",IF(AT196="Présent",AU196,0),0),IF($AV$5&lt;&gt;"",IF(AV196="Présent",AW196,0),0),IF($AX$5&lt;&gt;"",IF(AX196="Présent",AY196,0),0),IF($AZ$5&lt;&gt;"",IF(AZ196="Présent",BA196,0),0),IF($BB$5&lt;&gt;"",IF(BB196="Présent",BC196,0),0),IF($BD$5&lt;&gt;"",IF(BD196="Présent",BE196,0),0),IF($BF$5&lt;&gt;"",IF(BF196="Présent",BG196,0),0),IF($BH$5&lt;&gt;"",IF(BH196="Présent",BI196,0),0),IF($BJ$5&lt;&gt;"",IF(BJ196="Présent",BK196,0),0),IF($BL$5&lt;&gt;"",IF(BL196="Présent",BM196,0),0)))</f>
      </c>
      <c r="BS196" s="25">
        <f>IF($A196="","",$BN196*IFERROR(INDEX(Categories_Salaire,MATCH($C196,ListeCategories,0)),0)+$BR196*IF(IFERROR(INDEX(Categories_TauxHS,MATCH($C196,ListeCategories,0)),0)&gt;0,IFERROR(INDEX(Categories_TauxHS,MATCH($C196,ListeCategories,0)),0),TauxHSDefaut))</f>
      </c>
    </row>
    <row r="197">
      <c r="A197" s="20">
        <f>IF(AND(INDEX(Employes_Nom,191)&lt;&gt;"",INDEX(Employes_Statut,191)="Actif",OR(INDEX(Employes_Embauche,191)="",INDEX(Employes_Embauche,191)&lt;=EOMONTH(DATE(AnneeCourante,MoisCourant,1),0))),INDEX(Employes_ID,191),"")</f>
      </c>
      <c r="B197" s="19">
        <f>IF($A197="","",INDEX(Employes_Nom,MATCH($A197,Employes_ID,0)))</f>
      </c>
      <c r="C197" s="20">
        <f>IF($A197="","",INDEX(Employes_Categorie,MATCH($A197,Employes_ID,0)))</f>
      </c>
      <c r="D197" s="26"/>
      <c r="E197" s="27"/>
      <c r="F197" s="26"/>
      <c r="G197" s="27"/>
      <c r="H197" s="26"/>
      <c r="I197" s="27"/>
      <c r="J197" s="26"/>
      <c r="K197" s="27"/>
      <c r="L197" s="26"/>
      <c r="M197" s="27"/>
      <c r="N197" s="26"/>
      <c r="O197" s="27"/>
      <c r="P197" s="26"/>
      <c r="Q197" s="27"/>
      <c r="R197" s="26"/>
      <c r="S197" s="27"/>
      <c r="T197" s="26"/>
      <c r="U197" s="27"/>
      <c r="V197" s="26"/>
      <c r="W197" s="27"/>
      <c r="X197" s="26"/>
      <c r="Y197" s="27"/>
      <c r="Z197" s="26"/>
      <c r="AA197" s="27"/>
      <c r="AB197" s="26"/>
      <c r="AC197" s="27"/>
      <c r="AD197" s="26"/>
      <c r="AE197" s="27"/>
      <c r="AF197" s="26"/>
      <c r="AG197" s="27"/>
      <c r="AH197" s="26"/>
      <c r="AI197" s="27"/>
      <c r="AJ197" s="26"/>
      <c r="AK197" s="27"/>
      <c r="AL197" s="26"/>
      <c r="AM197" s="27"/>
      <c r="AN197" s="26"/>
      <c r="AO197" s="27"/>
      <c r="AP197" s="26"/>
      <c r="AQ197" s="27"/>
      <c r="AR197" s="26"/>
      <c r="AS197" s="27"/>
      <c r="AT197" s="26"/>
      <c r="AU197" s="27"/>
      <c r="AV197" s="26"/>
      <c r="AW197" s="27"/>
      <c r="AX197" s="26"/>
      <c r="AY197" s="27"/>
      <c r="AZ197" s="26"/>
      <c r="BA197" s="27"/>
      <c r="BB197" s="26"/>
      <c r="BC197" s="27"/>
      <c r="BD197" s="26"/>
      <c r="BE197" s="27"/>
      <c r="BF197" s="26"/>
      <c r="BG197" s="27"/>
      <c r="BH197" s="26"/>
      <c r="BI197" s="27"/>
      <c r="BJ197" s="26"/>
      <c r="BK197" s="27"/>
      <c r="BL197" s="26"/>
      <c r="BM197" s="27"/>
      <c r="BN197" s="22">
        <f>IF($A197="","",SUM(IF($D$5&lt;&gt;"",--(D197="Présent"),0),IF($F$5&lt;&gt;"",--(F197="Présent"),0),IF($H$5&lt;&gt;"",--(H197="Présent"),0),IF($J$5&lt;&gt;"",--(J197="Présent"),0),IF($L$5&lt;&gt;"",--(L197="Présent"),0),IF($N$5&lt;&gt;"",--(N197="Présent"),0),IF($P$5&lt;&gt;"",--(P197="Présent"),0),IF($R$5&lt;&gt;"",--(R197="Présent"),0),IF($T$5&lt;&gt;"",--(T197="Présent"),0),IF($V$5&lt;&gt;"",--(V197="Présent"),0),IF($X$5&lt;&gt;"",--(X197="Présent"),0),IF($Z$5&lt;&gt;"",--(Z197="Présent"),0),IF($AB$5&lt;&gt;"",--(AB197="Présent"),0),IF($AD$5&lt;&gt;"",--(AD197="Présent"),0),IF($AF$5&lt;&gt;"",--(AF197="Présent"),0),IF($AH$5&lt;&gt;"",--(AH197="Présent"),0),IF($AJ$5&lt;&gt;"",--(AJ197="Présent"),0),IF($AL$5&lt;&gt;"",--(AL197="Présent"),0),IF($AN$5&lt;&gt;"",--(AN197="Présent"),0),IF($AP$5&lt;&gt;"",--(AP197="Présent"),0),IF($AR$5&lt;&gt;"",--(AR197="Présent"),0),IF($AT$5&lt;&gt;"",--(AT197="Présent"),0),IF($AV$5&lt;&gt;"",--(AV197="Présent"),0),IF($AX$5&lt;&gt;"",--(AX197="Présent"),0),IF($AZ$5&lt;&gt;"",--(AZ197="Présent"),0),IF($BB$5&lt;&gt;"",--(BB197="Présent"),0),IF($BD$5&lt;&gt;"",--(BD197="Présent"),0),IF($BF$5&lt;&gt;"",--(BF197="Présent"),0),IF($BH$5&lt;&gt;"",--(BH197="Présent"),0),IF($BJ$5&lt;&gt;"",--(BJ197="Présent"),0),IF($BL$5&lt;&gt;"",--(BL197="Présent"),0)))</f>
      </c>
      <c r="BO197" s="22">
        <f>IF($A197="","",SUM(IF($D$5&lt;&gt;"",--(D197="Absent"),0),IF($F$5&lt;&gt;"",--(F197="Absent"),0),IF($H$5&lt;&gt;"",--(H197="Absent"),0),IF($J$5&lt;&gt;"",--(J197="Absent"),0),IF($L$5&lt;&gt;"",--(L197="Absent"),0),IF($N$5&lt;&gt;"",--(N197="Absent"),0),IF($P$5&lt;&gt;"",--(P197="Absent"),0),IF($R$5&lt;&gt;"",--(R197="Absent"),0),IF($T$5&lt;&gt;"",--(T197="Absent"),0),IF($V$5&lt;&gt;"",--(V197="Absent"),0),IF($X$5&lt;&gt;"",--(X197="Absent"),0),IF($Z$5&lt;&gt;"",--(Z197="Absent"),0),IF($AB$5&lt;&gt;"",--(AB197="Absent"),0),IF($AD$5&lt;&gt;"",--(AD197="Absent"),0),IF($AF$5&lt;&gt;"",--(AF197="Absent"),0),IF($AH$5&lt;&gt;"",--(AH197="Absent"),0),IF($AJ$5&lt;&gt;"",--(AJ197="Absent"),0),IF($AL$5&lt;&gt;"",--(AL197="Absent"),0),IF($AN$5&lt;&gt;"",--(AN197="Absent"),0),IF($AP$5&lt;&gt;"",--(AP197="Absent"),0),IF($AR$5&lt;&gt;"",--(AR197="Absent"),0),IF($AT$5&lt;&gt;"",--(AT197="Absent"),0),IF($AV$5&lt;&gt;"",--(AV197="Absent"),0),IF($AX$5&lt;&gt;"",--(AX197="Absent"),0),IF($AZ$5&lt;&gt;"",--(AZ197="Absent"),0),IF($BB$5&lt;&gt;"",--(BB197="Absent"),0),IF($BD$5&lt;&gt;"",--(BD197="Absent"),0),IF($BF$5&lt;&gt;"",--(BF197="Absent"),0),IF($BH$5&lt;&gt;"",--(BH197="Absent"),0),IF($BJ$5&lt;&gt;"",--(BJ197="Absent"),0),IF($BL$5&lt;&gt;"",--(BL197="Absent"),0)))</f>
      </c>
      <c r="BP197" s="22">
        <f>IF($A197="","",SUM(IF($D$5&lt;&gt;"",--(D197="Congé"),0),IF($F$5&lt;&gt;"",--(F197="Congé"),0),IF($H$5&lt;&gt;"",--(H197="Congé"),0),IF($J$5&lt;&gt;"",--(J197="Congé"),0),IF($L$5&lt;&gt;"",--(L197="Congé"),0),IF($N$5&lt;&gt;"",--(N197="Congé"),0),IF($P$5&lt;&gt;"",--(P197="Congé"),0),IF($R$5&lt;&gt;"",--(R197="Congé"),0),IF($T$5&lt;&gt;"",--(T197="Congé"),0),IF($V$5&lt;&gt;"",--(V197="Congé"),0),IF($X$5&lt;&gt;"",--(X197="Congé"),0),IF($Z$5&lt;&gt;"",--(Z197="Congé"),0),IF($AB$5&lt;&gt;"",--(AB197="Congé"),0),IF($AD$5&lt;&gt;"",--(AD197="Congé"),0),IF($AF$5&lt;&gt;"",--(AF197="Congé"),0),IF($AH$5&lt;&gt;"",--(AH197="Congé"),0),IF($AJ$5&lt;&gt;"",--(AJ197="Congé"),0),IF($AL$5&lt;&gt;"",--(AL197="Congé"),0),IF($AN$5&lt;&gt;"",--(AN197="Congé"),0),IF($AP$5&lt;&gt;"",--(AP197="Congé"),0),IF($AR$5&lt;&gt;"",--(AR197="Congé"),0),IF($AT$5&lt;&gt;"",--(AT197="Congé"),0),IF($AV$5&lt;&gt;"",--(AV197="Congé"),0),IF($AX$5&lt;&gt;"",--(AX197="Congé"),0),IF($AZ$5&lt;&gt;"",--(AZ197="Congé"),0),IF($BB$5&lt;&gt;"",--(BB197="Congé"),0),IF($BD$5&lt;&gt;"",--(BD197="Congé"),0),IF($BF$5&lt;&gt;"",--(BF197="Congé"),0),IF($BH$5&lt;&gt;"",--(BH197="Congé"),0),IF($BJ$5&lt;&gt;"",--(BJ197="Congé"),0),IF($BL$5&lt;&gt;"",--(BL197="Congé"),0)))</f>
      </c>
      <c r="BQ197" s="22">
        <f>IF($A197="","",SUM(IF($D$5&lt;&gt;"",--(D197="Maladie"),0),IF($F$5&lt;&gt;"",--(F197="Maladie"),0),IF($H$5&lt;&gt;"",--(H197="Maladie"),0),IF($J$5&lt;&gt;"",--(J197="Maladie"),0),IF($L$5&lt;&gt;"",--(L197="Maladie"),0),IF($N$5&lt;&gt;"",--(N197="Maladie"),0),IF($P$5&lt;&gt;"",--(P197="Maladie"),0),IF($R$5&lt;&gt;"",--(R197="Maladie"),0),IF($T$5&lt;&gt;"",--(T197="Maladie"),0),IF($V$5&lt;&gt;"",--(V197="Maladie"),0),IF($X$5&lt;&gt;"",--(X197="Maladie"),0),IF($Z$5&lt;&gt;"",--(Z197="Maladie"),0),IF($AB$5&lt;&gt;"",--(AB197="Maladie"),0),IF($AD$5&lt;&gt;"",--(AD197="Maladie"),0),IF($AF$5&lt;&gt;"",--(AF197="Maladie"),0),IF($AH$5&lt;&gt;"",--(AH197="Maladie"),0),IF($AJ$5&lt;&gt;"",--(AJ197="Maladie"),0),IF($AL$5&lt;&gt;"",--(AL197="Maladie"),0),IF($AN$5&lt;&gt;"",--(AN197="Maladie"),0),IF($AP$5&lt;&gt;"",--(AP197="Maladie"),0),IF($AR$5&lt;&gt;"",--(AR197="Maladie"),0),IF($AT$5&lt;&gt;"",--(AT197="Maladie"),0),IF($AV$5&lt;&gt;"",--(AV197="Maladie"),0),IF($AX$5&lt;&gt;"",--(AX197="Maladie"),0),IF($AZ$5&lt;&gt;"",--(AZ197="Maladie"),0),IF($BB$5&lt;&gt;"",--(BB197="Maladie"),0),IF($BD$5&lt;&gt;"",--(BD197="Maladie"),0),IF($BF$5&lt;&gt;"",--(BF197="Maladie"),0),IF($BH$5&lt;&gt;"",--(BH197="Maladie"),0),IF($BJ$5&lt;&gt;"",--(BJ197="Maladie"),0),IF($BL$5&lt;&gt;"",--(BL197="Maladie"),0)))</f>
      </c>
      <c r="BR197" s="23">
        <f>IF($A197="","",SUM(IF($D$5&lt;&gt;"",IF(D197="Présent",E197,0),0),IF($F$5&lt;&gt;"",IF(F197="Présent",G197,0),0),IF($H$5&lt;&gt;"",IF(H197="Présent",I197,0),0),IF($J$5&lt;&gt;"",IF(J197="Présent",K197,0),0),IF($L$5&lt;&gt;"",IF(L197="Présent",M197,0),0),IF($N$5&lt;&gt;"",IF(N197="Présent",O197,0),0),IF($P$5&lt;&gt;"",IF(P197="Présent",Q197,0),0),IF($R$5&lt;&gt;"",IF(R197="Présent",S197,0),0),IF($T$5&lt;&gt;"",IF(T197="Présent",U197,0),0),IF($V$5&lt;&gt;"",IF(V197="Présent",W197,0),0),IF($X$5&lt;&gt;"",IF(X197="Présent",Y197,0),0),IF($Z$5&lt;&gt;"",IF(Z197="Présent",AA197,0),0),IF($AB$5&lt;&gt;"",IF(AB197="Présent",AC197,0),0),IF($AD$5&lt;&gt;"",IF(AD197="Présent",AE197,0),0),IF($AF$5&lt;&gt;"",IF(AF197="Présent",AG197,0),0),IF($AH$5&lt;&gt;"",IF(AH197="Présent",AI197,0),0),IF($AJ$5&lt;&gt;"",IF(AJ197="Présent",AK197,0),0),IF($AL$5&lt;&gt;"",IF(AL197="Présent",AM197,0),0),IF($AN$5&lt;&gt;"",IF(AN197="Présent",AO197,0),0),IF($AP$5&lt;&gt;"",IF(AP197="Présent",AQ197,0),0),IF($AR$5&lt;&gt;"",IF(AR197="Présent",AS197,0),0),IF($AT$5&lt;&gt;"",IF(AT197="Présent",AU197,0),0),IF($AV$5&lt;&gt;"",IF(AV197="Présent",AW197,0),0),IF($AX$5&lt;&gt;"",IF(AX197="Présent",AY197,0),0),IF($AZ$5&lt;&gt;"",IF(AZ197="Présent",BA197,0),0),IF($BB$5&lt;&gt;"",IF(BB197="Présent",BC197,0),0),IF($BD$5&lt;&gt;"",IF(BD197="Présent",BE197,0),0),IF($BF$5&lt;&gt;"",IF(BF197="Présent",BG197,0),0),IF($BH$5&lt;&gt;"",IF(BH197="Présent",BI197,0),0),IF($BJ$5&lt;&gt;"",IF(BJ197="Présent",BK197,0),0),IF($BL$5&lt;&gt;"",IF(BL197="Présent",BM197,0),0)))</f>
      </c>
      <c r="BS197" s="25">
        <f>IF($A197="","",$BN197*IFERROR(INDEX(Categories_Salaire,MATCH($C197,ListeCategories,0)),0)+$BR197*IF(IFERROR(INDEX(Categories_TauxHS,MATCH($C197,ListeCategories,0)),0)&gt;0,IFERROR(INDEX(Categories_TauxHS,MATCH($C197,ListeCategories,0)),0),TauxHSDefaut))</f>
      </c>
    </row>
    <row r="198">
      <c r="A198" s="20">
        <f>IF(AND(INDEX(Employes_Nom,192)&lt;&gt;"",INDEX(Employes_Statut,192)="Actif",OR(INDEX(Employes_Embauche,192)="",INDEX(Employes_Embauche,192)&lt;=EOMONTH(DATE(AnneeCourante,MoisCourant,1),0))),INDEX(Employes_ID,192),"")</f>
      </c>
      <c r="B198" s="19">
        <f>IF($A198="","",INDEX(Employes_Nom,MATCH($A198,Employes_ID,0)))</f>
      </c>
      <c r="C198" s="20">
        <f>IF($A198="","",INDEX(Employes_Categorie,MATCH($A198,Employes_ID,0)))</f>
      </c>
      <c r="D198" s="26"/>
      <c r="E198" s="27"/>
      <c r="F198" s="26"/>
      <c r="G198" s="27"/>
      <c r="H198" s="26"/>
      <c r="I198" s="27"/>
      <c r="J198" s="26"/>
      <c r="K198" s="27"/>
      <c r="L198" s="26"/>
      <c r="M198" s="27"/>
      <c r="N198" s="26"/>
      <c r="O198" s="27"/>
      <c r="P198" s="26"/>
      <c r="Q198" s="27"/>
      <c r="R198" s="26"/>
      <c r="S198" s="27"/>
      <c r="T198" s="26"/>
      <c r="U198" s="27"/>
      <c r="V198" s="26"/>
      <c r="W198" s="27"/>
      <c r="X198" s="26"/>
      <c r="Y198" s="27"/>
      <c r="Z198" s="26"/>
      <c r="AA198" s="27"/>
      <c r="AB198" s="26"/>
      <c r="AC198" s="27"/>
      <c r="AD198" s="26"/>
      <c r="AE198" s="27"/>
      <c r="AF198" s="26"/>
      <c r="AG198" s="27"/>
      <c r="AH198" s="26"/>
      <c r="AI198" s="27"/>
      <c r="AJ198" s="26"/>
      <c r="AK198" s="27"/>
      <c r="AL198" s="26"/>
      <c r="AM198" s="27"/>
      <c r="AN198" s="26"/>
      <c r="AO198" s="27"/>
      <c r="AP198" s="26"/>
      <c r="AQ198" s="27"/>
      <c r="AR198" s="26"/>
      <c r="AS198" s="27"/>
      <c r="AT198" s="26"/>
      <c r="AU198" s="27"/>
      <c r="AV198" s="26"/>
      <c r="AW198" s="27"/>
      <c r="AX198" s="26"/>
      <c r="AY198" s="27"/>
      <c r="AZ198" s="26"/>
      <c r="BA198" s="27"/>
      <c r="BB198" s="26"/>
      <c r="BC198" s="27"/>
      <c r="BD198" s="26"/>
      <c r="BE198" s="27"/>
      <c r="BF198" s="26"/>
      <c r="BG198" s="27"/>
      <c r="BH198" s="26"/>
      <c r="BI198" s="27"/>
      <c r="BJ198" s="26"/>
      <c r="BK198" s="27"/>
      <c r="BL198" s="26"/>
      <c r="BM198" s="27"/>
      <c r="BN198" s="22">
        <f>IF($A198="","",SUM(IF($D$5&lt;&gt;"",--(D198="Présent"),0),IF($F$5&lt;&gt;"",--(F198="Présent"),0),IF($H$5&lt;&gt;"",--(H198="Présent"),0),IF($J$5&lt;&gt;"",--(J198="Présent"),0),IF($L$5&lt;&gt;"",--(L198="Présent"),0),IF($N$5&lt;&gt;"",--(N198="Présent"),0),IF($P$5&lt;&gt;"",--(P198="Présent"),0),IF($R$5&lt;&gt;"",--(R198="Présent"),0),IF($T$5&lt;&gt;"",--(T198="Présent"),0),IF($V$5&lt;&gt;"",--(V198="Présent"),0),IF($X$5&lt;&gt;"",--(X198="Présent"),0),IF($Z$5&lt;&gt;"",--(Z198="Présent"),0),IF($AB$5&lt;&gt;"",--(AB198="Présent"),0),IF($AD$5&lt;&gt;"",--(AD198="Présent"),0),IF($AF$5&lt;&gt;"",--(AF198="Présent"),0),IF($AH$5&lt;&gt;"",--(AH198="Présent"),0),IF($AJ$5&lt;&gt;"",--(AJ198="Présent"),0),IF($AL$5&lt;&gt;"",--(AL198="Présent"),0),IF($AN$5&lt;&gt;"",--(AN198="Présent"),0),IF($AP$5&lt;&gt;"",--(AP198="Présent"),0),IF($AR$5&lt;&gt;"",--(AR198="Présent"),0),IF($AT$5&lt;&gt;"",--(AT198="Présent"),0),IF($AV$5&lt;&gt;"",--(AV198="Présent"),0),IF($AX$5&lt;&gt;"",--(AX198="Présent"),0),IF($AZ$5&lt;&gt;"",--(AZ198="Présent"),0),IF($BB$5&lt;&gt;"",--(BB198="Présent"),0),IF($BD$5&lt;&gt;"",--(BD198="Présent"),0),IF($BF$5&lt;&gt;"",--(BF198="Présent"),0),IF($BH$5&lt;&gt;"",--(BH198="Présent"),0),IF($BJ$5&lt;&gt;"",--(BJ198="Présent"),0),IF($BL$5&lt;&gt;"",--(BL198="Présent"),0)))</f>
      </c>
      <c r="BO198" s="22">
        <f>IF($A198="","",SUM(IF($D$5&lt;&gt;"",--(D198="Absent"),0),IF($F$5&lt;&gt;"",--(F198="Absent"),0),IF($H$5&lt;&gt;"",--(H198="Absent"),0),IF($J$5&lt;&gt;"",--(J198="Absent"),0),IF($L$5&lt;&gt;"",--(L198="Absent"),0),IF($N$5&lt;&gt;"",--(N198="Absent"),0),IF($P$5&lt;&gt;"",--(P198="Absent"),0),IF($R$5&lt;&gt;"",--(R198="Absent"),0),IF($T$5&lt;&gt;"",--(T198="Absent"),0),IF($V$5&lt;&gt;"",--(V198="Absent"),0),IF($X$5&lt;&gt;"",--(X198="Absent"),0),IF($Z$5&lt;&gt;"",--(Z198="Absent"),0),IF($AB$5&lt;&gt;"",--(AB198="Absent"),0),IF($AD$5&lt;&gt;"",--(AD198="Absent"),0),IF($AF$5&lt;&gt;"",--(AF198="Absent"),0),IF($AH$5&lt;&gt;"",--(AH198="Absent"),0),IF($AJ$5&lt;&gt;"",--(AJ198="Absent"),0),IF($AL$5&lt;&gt;"",--(AL198="Absent"),0),IF($AN$5&lt;&gt;"",--(AN198="Absent"),0),IF($AP$5&lt;&gt;"",--(AP198="Absent"),0),IF($AR$5&lt;&gt;"",--(AR198="Absent"),0),IF($AT$5&lt;&gt;"",--(AT198="Absent"),0),IF($AV$5&lt;&gt;"",--(AV198="Absent"),0),IF($AX$5&lt;&gt;"",--(AX198="Absent"),0),IF($AZ$5&lt;&gt;"",--(AZ198="Absent"),0),IF($BB$5&lt;&gt;"",--(BB198="Absent"),0),IF($BD$5&lt;&gt;"",--(BD198="Absent"),0),IF($BF$5&lt;&gt;"",--(BF198="Absent"),0),IF($BH$5&lt;&gt;"",--(BH198="Absent"),0),IF($BJ$5&lt;&gt;"",--(BJ198="Absent"),0),IF($BL$5&lt;&gt;"",--(BL198="Absent"),0)))</f>
      </c>
      <c r="BP198" s="22">
        <f>IF($A198="","",SUM(IF($D$5&lt;&gt;"",--(D198="Congé"),0),IF($F$5&lt;&gt;"",--(F198="Congé"),0),IF($H$5&lt;&gt;"",--(H198="Congé"),0),IF($J$5&lt;&gt;"",--(J198="Congé"),0),IF($L$5&lt;&gt;"",--(L198="Congé"),0),IF($N$5&lt;&gt;"",--(N198="Congé"),0),IF($P$5&lt;&gt;"",--(P198="Congé"),0),IF($R$5&lt;&gt;"",--(R198="Congé"),0),IF($T$5&lt;&gt;"",--(T198="Congé"),0),IF($V$5&lt;&gt;"",--(V198="Congé"),0),IF($X$5&lt;&gt;"",--(X198="Congé"),0),IF($Z$5&lt;&gt;"",--(Z198="Congé"),0),IF($AB$5&lt;&gt;"",--(AB198="Congé"),0),IF($AD$5&lt;&gt;"",--(AD198="Congé"),0),IF($AF$5&lt;&gt;"",--(AF198="Congé"),0),IF($AH$5&lt;&gt;"",--(AH198="Congé"),0),IF($AJ$5&lt;&gt;"",--(AJ198="Congé"),0),IF($AL$5&lt;&gt;"",--(AL198="Congé"),0),IF($AN$5&lt;&gt;"",--(AN198="Congé"),0),IF($AP$5&lt;&gt;"",--(AP198="Congé"),0),IF($AR$5&lt;&gt;"",--(AR198="Congé"),0),IF($AT$5&lt;&gt;"",--(AT198="Congé"),0),IF($AV$5&lt;&gt;"",--(AV198="Congé"),0),IF($AX$5&lt;&gt;"",--(AX198="Congé"),0),IF($AZ$5&lt;&gt;"",--(AZ198="Congé"),0),IF($BB$5&lt;&gt;"",--(BB198="Congé"),0),IF($BD$5&lt;&gt;"",--(BD198="Congé"),0),IF($BF$5&lt;&gt;"",--(BF198="Congé"),0),IF($BH$5&lt;&gt;"",--(BH198="Congé"),0),IF($BJ$5&lt;&gt;"",--(BJ198="Congé"),0),IF($BL$5&lt;&gt;"",--(BL198="Congé"),0)))</f>
      </c>
      <c r="BQ198" s="22">
        <f>IF($A198="","",SUM(IF($D$5&lt;&gt;"",--(D198="Maladie"),0),IF($F$5&lt;&gt;"",--(F198="Maladie"),0),IF($H$5&lt;&gt;"",--(H198="Maladie"),0),IF($J$5&lt;&gt;"",--(J198="Maladie"),0),IF($L$5&lt;&gt;"",--(L198="Maladie"),0),IF($N$5&lt;&gt;"",--(N198="Maladie"),0),IF($P$5&lt;&gt;"",--(P198="Maladie"),0),IF($R$5&lt;&gt;"",--(R198="Maladie"),0),IF($T$5&lt;&gt;"",--(T198="Maladie"),0),IF($V$5&lt;&gt;"",--(V198="Maladie"),0),IF($X$5&lt;&gt;"",--(X198="Maladie"),0),IF($Z$5&lt;&gt;"",--(Z198="Maladie"),0),IF($AB$5&lt;&gt;"",--(AB198="Maladie"),0),IF($AD$5&lt;&gt;"",--(AD198="Maladie"),0),IF($AF$5&lt;&gt;"",--(AF198="Maladie"),0),IF($AH$5&lt;&gt;"",--(AH198="Maladie"),0),IF($AJ$5&lt;&gt;"",--(AJ198="Maladie"),0),IF($AL$5&lt;&gt;"",--(AL198="Maladie"),0),IF($AN$5&lt;&gt;"",--(AN198="Maladie"),0),IF($AP$5&lt;&gt;"",--(AP198="Maladie"),0),IF($AR$5&lt;&gt;"",--(AR198="Maladie"),0),IF($AT$5&lt;&gt;"",--(AT198="Maladie"),0),IF($AV$5&lt;&gt;"",--(AV198="Maladie"),0),IF($AX$5&lt;&gt;"",--(AX198="Maladie"),0),IF($AZ$5&lt;&gt;"",--(AZ198="Maladie"),0),IF($BB$5&lt;&gt;"",--(BB198="Maladie"),0),IF($BD$5&lt;&gt;"",--(BD198="Maladie"),0),IF($BF$5&lt;&gt;"",--(BF198="Maladie"),0),IF($BH$5&lt;&gt;"",--(BH198="Maladie"),0),IF($BJ$5&lt;&gt;"",--(BJ198="Maladie"),0),IF($BL$5&lt;&gt;"",--(BL198="Maladie"),0)))</f>
      </c>
      <c r="BR198" s="23">
        <f>IF($A198="","",SUM(IF($D$5&lt;&gt;"",IF(D198="Présent",E198,0),0),IF($F$5&lt;&gt;"",IF(F198="Présent",G198,0),0),IF($H$5&lt;&gt;"",IF(H198="Présent",I198,0),0),IF($J$5&lt;&gt;"",IF(J198="Présent",K198,0),0),IF($L$5&lt;&gt;"",IF(L198="Présent",M198,0),0),IF($N$5&lt;&gt;"",IF(N198="Présent",O198,0),0),IF($P$5&lt;&gt;"",IF(P198="Présent",Q198,0),0),IF($R$5&lt;&gt;"",IF(R198="Présent",S198,0),0),IF($T$5&lt;&gt;"",IF(T198="Présent",U198,0),0),IF($V$5&lt;&gt;"",IF(V198="Présent",W198,0),0),IF($X$5&lt;&gt;"",IF(X198="Présent",Y198,0),0),IF($Z$5&lt;&gt;"",IF(Z198="Présent",AA198,0),0),IF($AB$5&lt;&gt;"",IF(AB198="Présent",AC198,0),0),IF($AD$5&lt;&gt;"",IF(AD198="Présent",AE198,0),0),IF($AF$5&lt;&gt;"",IF(AF198="Présent",AG198,0),0),IF($AH$5&lt;&gt;"",IF(AH198="Présent",AI198,0),0),IF($AJ$5&lt;&gt;"",IF(AJ198="Présent",AK198,0),0),IF($AL$5&lt;&gt;"",IF(AL198="Présent",AM198,0),0),IF($AN$5&lt;&gt;"",IF(AN198="Présent",AO198,0),0),IF($AP$5&lt;&gt;"",IF(AP198="Présent",AQ198,0),0),IF($AR$5&lt;&gt;"",IF(AR198="Présent",AS198,0),0),IF($AT$5&lt;&gt;"",IF(AT198="Présent",AU198,0),0),IF($AV$5&lt;&gt;"",IF(AV198="Présent",AW198,0),0),IF($AX$5&lt;&gt;"",IF(AX198="Présent",AY198,0),0),IF($AZ$5&lt;&gt;"",IF(AZ198="Présent",BA198,0),0),IF($BB$5&lt;&gt;"",IF(BB198="Présent",BC198,0),0),IF($BD$5&lt;&gt;"",IF(BD198="Présent",BE198,0),0),IF($BF$5&lt;&gt;"",IF(BF198="Présent",BG198,0),0),IF($BH$5&lt;&gt;"",IF(BH198="Présent",BI198,0),0),IF($BJ$5&lt;&gt;"",IF(BJ198="Présent",BK198,0),0),IF($BL$5&lt;&gt;"",IF(BL198="Présent",BM198,0),0)))</f>
      </c>
      <c r="BS198" s="25">
        <f>IF($A198="","",$BN198*IFERROR(INDEX(Categories_Salaire,MATCH($C198,ListeCategories,0)),0)+$BR198*IF(IFERROR(INDEX(Categories_TauxHS,MATCH($C198,ListeCategories,0)),0)&gt;0,IFERROR(INDEX(Categories_TauxHS,MATCH($C198,ListeCategories,0)),0),TauxHSDefaut))</f>
      </c>
    </row>
    <row r="199">
      <c r="A199" s="20">
        <f>IF(AND(INDEX(Employes_Nom,193)&lt;&gt;"",INDEX(Employes_Statut,193)="Actif",OR(INDEX(Employes_Embauche,193)="",INDEX(Employes_Embauche,193)&lt;=EOMONTH(DATE(AnneeCourante,MoisCourant,1),0))),INDEX(Employes_ID,193),"")</f>
      </c>
      <c r="B199" s="19">
        <f>IF($A199="","",INDEX(Employes_Nom,MATCH($A199,Employes_ID,0)))</f>
      </c>
      <c r="C199" s="20">
        <f>IF($A199="","",INDEX(Employes_Categorie,MATCH($A199,Employes_ID,0)))</f>
      </c>
      <c r="D199" s="26"/>
      <c r="E199" s="27"/>
      <c r="F199" s="26"/>
      <c r="G199" s="27"/>
      <c r="H199" s="26"/>
      <c r="I199" s="27"/>
      <c r="J199" s="26"/>
      <c r="K199" s="27"/>
      <c r="L199" s="26"/>
      <c r="M199" s="27"/>
      <c r="N199" s="26"/>
      <c r="O199" s="27"/>
      <c r="P199" s="26"/>
      <c r="Q199" s="27"/>
      <c r="R199" s="26"/>
      <c r="S199" s="27"/>
      <c r="T199" s="26"/>
      <c r="U199" s="27"/>
      <c r="V199" s="26"/>
      <c r="W199" s="27"/>
      <c r="X199" s="26"/>
      <c r="Y199" s="27"/>
      <c r="Z199" s="26"/>
      <c r="AA199" s="27"/>
      <c r="AB199" s="26"/>
      <c r="AC199" s="27"/>
      <c r="AD199" s="26"/>
      <c r="AE199" s="27"/>
      <c r="AF199" s="26"/>
      <c r="AG199" s="27"/>
      <c r="AH199" s="26"/>
      <c r="AI199" s="27"/>
      <c r="AJ199" s="26"/>
      <c r="AK199" s="27"/>
      <c r="AL199" s="26"/>
      <c r="AM199" s="27"/>
      <c r="AN199" s="26"/>
      <c r="AO199" s="27"/>
      <c r="AP199" s="26"/>
      <c r="AQ199" s="27"/>
      <c r="AR199" s="26"/>
      <c r="AS199" s="27"/>
      <c r="AT199" s="26"/>
      <c r="AU199" s="27"/>
      <c r="AV199" s="26"/>
      <c r="AW199" s="27"/>
      <c r="AX199" s="26"/>
      <c r="AY199" s="27"/>
      <c r="AZ199" s="26"/>
      <c r="BA199" s="27"/>
      <c r="BB199" s="26"/>
      <c r="BC199" s="27"/>
      <c r="BD199" s="26"/>
      <c r="BE199" s="27"/>
      <c r="BF199" s="26"/>
      <c r="BG199" s="27"/>
      <c r="BH199" s="26"/>
      <c r="BI199" s="27"/>
      <c r="BJ199" s="26"/>
      <c r="BK199" s="27"/>
      <c r="BL199" s="26"/>
      <c r="BM199" s="27"/>
      <c r="BN199" s="22">
        <f>IF($A199="","",SUM(IF($D$5&lt;&gt;"",--(D199="Présent"),0),IF($F$5&lt;&gt;"",--(F199="Présent"),0),IF($H$5&lt;&gt;"",--(H199="Présent"),0),IF($J$5&lt;&gt;"",--(J199="Présent"),0),IF($L$5&lt;&gt;"",--(L199="Présent"),0),IF($N$5&lt;&gt;"",--(N199="Présent"),0),IF($P$5&lt;&gt;"",--(P199="Présent"),0),IF($R$5&lt;&gt;"",--(R199="Présent"),0),IF($T$5&lt;&gt;"",--(T199="Présent"),0),IF($V$5&lt;&gt;"",--(V199="Présent"),0),IF($X$5&lt;&gt;"",--(X199="Présent"),0),IF($Z$5&lt;&gt;"",--(Z199="Présent"),0),IF($AB$5&lt;&gt;"",--(AB199="Présent"),0),IF($AD$5&lt;&gt;"",--(AD199="Présent"),0),IF($AF$5&lt;&gt;"",--(AF199="Présent"),0),IF($AH$5&lt;&gt;"",--(AH199="Présent"),0),IF($AJ$5&lt;&gt;"",--(AJ199="Présent"),0),IF($AL$5&lt;&gt;"",--(AL199="Présent"),0),IF($AN$5&lt;&gt;"",--(AN199="Présent"),0),IF($AP$5&lt;&gt;"",--(AP199="Présent"),0),IF($AR$5&lt;&gt;"",--(AR199="Présent"),0),IF($AT$5&lt;&gt;"",--(AT199="Présent"),0),IF($AV$5&lt;&gt;"",--(AV199="Présent"),0),IF($AX$5&lt;&gt;"",--(AX199="Présent"),0),IF($AZ$5&lt;&gt;"",--(AZ199="Présent"),0),IF($BB$5&lt;&gt;"",--(BB199="Présent"),0),IF($BD$5&lt;&gt;"",--(BD199="Présent"),0),IF($BF$5&lt;&gt;"",--(BF199="Présent"),0),IF($BH$5&lt;&gt;"",--(BH199="Présent"),0),IF($BJ$5&lt;&gt;"",--(BJ199="Présent"),0),IF($BL$5&lt;&gt;"",--(BL199="Présent"),0)))</f>
      </c>
      <c r="BO199" s="22">
        <f>IF($A199="","",SUM(IF($D$5&lt;&gt;"",--(D199="Absent"),0),IF($F$5&lt;&gt;"",--(F199="Absent"),0),IF($H$5&lt;&gt;"",--(H199="Absent"),0),IF($J$5&lt;&gt;"",--(J199="Absent"),0),IF($L$5&lt;&gt;"",--(L199="Absent"),0),IF($N$5&lt;&gt;"",--(N199="Absent"),0),IF($P$5&lt;&gt;"",--(P199="Absent"),0),IF($R$5&lt;&gt;"",--(R199="Absent"),0),IF($T$5&lt;&gt;"",--(T199="Absent"),0),IF($V$5&lt;&gt;"",--(V199="Absent"),0),IF($X$5&lt;&gt;"",--(X199="Absent"),0),IF($Z$5&lt;&gt;"",--(Z199="Absent"),0),IF($AB$5&lt;&gt;"",--(AB199="Absent"),0),IF($AD$5&lt;&gt;"",--(AD199="Absent"),0),IF($AF$5&lt;&gt;"",--(AF199="Absent"),0),IF($AH$5&lt;&gt;"",--(AH199="Absent"),0),IF($AJ$5&lt;&gt;"",--(AJ199="Absent"),0),IF($AL$5&lt;&gt;"",--(AL199="Absent"),0),IF($AN$5&lt;&gt;"",--(AN199="Absent"),0),IF($AP$5&lt;&gt;"",--(AP199="Absent"),0),IF($AR$5&lt;&gt;"",--(AR199="Absent"),0),IF($AT$5&lt;&gt;"",--(AT199="Absent"),0),IF($AV$5&lt;&gt;"",--(AV199="Absent"),0),IF($AX$5&lt;&gt;"",--(AX199="Absent"),0),IF($AZ$5&lt;&gt;"",--(AZ199="Absent"),0),IF($BB$5&lt;&gt;"",--(BB199="Absent"),0),IF($BD$5&lt;&gt;"",--(BD199="Absent"),0),IF($BF$5&lt;&gt;"",--(BF199="Absent"),0),IF($BH$5&lt;&gt;"",--(BH199="Absent"),0),IF($BJ$5&lt;&gt;"",--(BJ199="Absent"),0),IF($BL$5&lt;&gt;"",--(BL199="Absent"),0)))</f>
      </c>
      <c r="BP199" s="22">
        <f>IF($A199="","",SUM(IF($D$5&lt;&gt;"",--(D199="Congé"),0),IF($F$5&lt;&gt;"",--(F199="Congé"),0),IF($H$5&lt;&gt;"",--(H199="Congé"),0),IF($J$5&lt;&gt;"",--(J199="Congé"),0),IF($L$5&lt;&gt;"",--(L199="Congé"),0),IF($N$5&lt;&gt;"",--(N199="Congé"),0),IF($P$5&lt;&gt;"",--(P199="Congé"),0),IF($R$5&lt;&gt;"",--(R199="Congé"),0),IF($T$5&lt;&gt;"",--(T199="Congé"),0),IF($V$5&lt;&gt;"",--(V199="Congé"),0),IF($X$5&lt;&gt;"",--(X199="Congé"),0),IF($Z$5&lt;&gt;"",--(Z199="Congé"),0),IF($AB$5&lt;&gt;"",--(AB199="Congé"),0),IF($AD$5&lt;&gt;"",--(AD199="Congé"),0),IF($AF$5&lt;&gt;"",--(AF199="Congé"),0),IF($AH$5&lt;&gt;"",--(AH199="Congé"),0),IF($AJ$5&lt;&gt;"",--(AJ199="Congé"),0),IF($AL$5&lt;&gt;"",--(AL199="Congé"),0),IF($AN$5&lt;&gt;"",--(AN199="Congé"),0),IF($AP$5&lt;&gt;"",--(AP199="Congé"),0),IF($AR$5&lt;&gt;"",--(AR199="Congé"),0),IF($AT$5&lt;&gt;"",--(AT199="Congé"),0),IF($AV$5&lt;&gt;"",--(AV199="Congé"),0),IF($AX$5&lt;&gt;"",--(AX199="Congé"),0),IF($AZ$5&lt;&gt;"",--(AZ199="Congé"),0),IF($BB$5&lt;&gt;"",--(BB199="Congé"),0),IF($BD$5&lt;&gt;"",--(BD199="Congé"),0),IF($BF$5&lt;&gt;"",--(BF199="Congé"),0),IF($BH$5&lt;&gt;"",--(BH199="Congé"),0),IF($BJ$5&lt;&gt;"",--(BJ199="Congé"),0),IF($BL$5&lt;&gt;"",--(BL199="Congé"),0)))</f>
      </c>
      <c r="BQ199" s="22">
        <f>IF($A199="","",SUM(IF($D$5&lt;&gt;"",--(D199="Maladie"),0),IF($F$5&lt;&gt;"",--(F199="Maladie"),0),IF($H$5&lt;&gt;"",--(H199="Maladie"),0),IF($J$5&lt;&gt;"",--(J199="Maladie"),0),IF($L$5&lt;&gt;"",--(L199="Maladie"),0),IF($N$5&lt;&gt;"",--(N199="Maladie"),0),IF($P$5&lt;&gt;"",--(P199="Maladie"),0),IF($R$5&lt;&gt;"",--(R199="Maladie"),0),IF($T$5&lt;&gt;"",--(T199="Maladie"),0),IF($V$5&lt;&gt;"",--(V199="Maladie"),0),IF($X$5&lt;&gt;"",--(X199="Maladie"),0),IF($Z$5&lt;&gt;"",--(Z199="Maladie"),0),IF($AB$5&lt;&gt;"",--(AB199="Maladie"),0),IF($AD$5&lt;&gt;"",--(AD199="Maladie"),0),IF($AF$5&lt;&gt;"",--(AF199="Maladie"),0),IF($AH$5&lt;&gt;"",--(AH199="Maladie"),0),IF($AJ$5&lt;&gt;"",--(AJ199="Maladie"),0),IF($AL$5&lt;&gt;"",--(AL199="Maladie"),0),IF($AN$5&lt;&gt;"",--(AN199="Maladie"),0),IF($AP$5&lt;&gt;"",--(AP199="Maladie"),0),IF($AR$5&lt;&gt;"",--(AR199="Maladie"),0),IF($AT$5&lt;&gt;"",--(AT199="Maladie"),0),IF($AV$5&lt;&gt;"",--(AV199="Maladie"),0),IF($AX$5&lt;&gt;"",--(AX199="Maladie"),0),IF($AZ$5&lt;&gt;"",--(AZ199="Maladie"),0),IF($BB$5&lt;&gt;"",--(BB199="Maladie"),0),IF($BD$5&lt;&gt;"",--(BD199="Maladie"),0),IF($BF$5&lt;&gt;"",--(BF199="Maladie"),0),IF($BH$5&lt;&gt;"",--(BH199="Maladie"),0),IF($BJ$5&lt;&gt;"",--(BJ199="Maladie"),0),IF($BL$5&lt;&gt;"",--(BL199="Maladie"),0)))</f>
      </c>
      <c r="BR199" s="23">
        <f>IF($A199="","",SUM(IF($D$5&lt;&gt;"",IF(D199="Présent",E199,0),0),IF($F$5&lt;&gt;"",IF(F199="Présent",G199,0),0),IF($H$5&lt;&gt;"",IF(H199="Présent",I199,0),0),IF($J$5&lt;&gt;"",IF(J199="Présent",K199,0),0),IF($L$5&lt;&gt;"",IF(L199="Présent",M199,0),0),IF($N$5&lt;&gt;"",IF(N199="Présent",O199,0),0),IF($P$5&lt;&gt;"",IF(P199="Présent",Q199,0),0),IF($R$5&lt;&gt;"",IF(R199="Présent",S199,0),0),IF($T$5&lt;&gt;"",IF(T199="Présent",U199,0),0),IF($V$5&lt;&gt;"",IF(V199="Présent",W199,0),0),IF($X$5&lt;&gt;"",IF(X199="Présent",Y199,0),0),IF($Z$5&lt;&gt;"",IF(Z199="Présent",AA199,0),0),IF($AB$5&lt;&gt;"",IF(AB199="Présent",AC199,0),0),IF($AD$5&lt;&gt;"",IF(AD199="Présent",AE199,0),0),IF($AF$5&lt;&gt;"",IF(AF199="Présent",AG199,0),0),IF($AH$5&lt;&gt;"",IF(AH199="Présent",AI199,0),0),IF($AJ$5&lt;&gt;"",IF(AJ199="Présent",AK199,0),0),IF($AL$5&lt;&gt;"",IF(AL199="Présent",AM199,0),0),IF($AN$5&lt;&gt;"",IF(AN199="Présent",AO199,0),0),IF($AP$5&lt;&gt;"",IF(AP199="Présent",AQ199,0),0),IF($AR$5&lt;&gt;"",IF(AR199="Présent",AS199,0),0),IF($AT$5&lt;&gt;"",IF(AT199="Présent",AU199,0),0),IF($AV$5&lt;&gt;"",IF(AV199="Présent",AW199,0),0),IF($AX$5&lt;&gt;"",IF(AX199="Présent",AY199,0),0),IF($AZ$5&lt;&gt;"",IF(AZ199="Présent",BA199,0),0),IF($BB$5&lt;&gt;"",IF(BB199="Présent",BC199,0),0),IF($BD$5&lt;&gt;"",IF(BD199="Présent",BE199,0),0),IF($BF$5&lt;&gt;"",IF(BF199="Présent",BG199,0),0),IF($BH$5&lt;&gt;"",IF(BH199="Présent",BI199,0),0),IF($BJ$5&lt;&gt;"",IF(BJ199="Présent",BK199,0),0),IF($BL$5&lt;&gt;"",IF(BL199="Présent",BM199,0),0)))</f>
      </c>
      <c r="BS199" s="25">
        <f>IF($A199="","",$BN199*IFERROR(INDEX(Categories_Salaire,MATCH($C199,ListeCategories,0)),0)+$BR199*IF(IFERROR(INDEX(Categories_TauxHS,MATCH($C199,ListeCategories,0)),0)&gt;0,IFERROR(INDEX(Categories_TauxHS,MATCH($C199,ListeCategories,0)),0),TauxHSDefaut))</f>
      </c>
    </row>
    <row r="200">
      <c r="A200" s="20">
        <f>IF(AND(INDEX(Employes_Nom,194)&lt;&gt;"",INDEX(Employes_Statut,194)="Actif",OR(INDEX(Employes_Embauche,194)="",INDEX(Employes_Embauche,194)&lt;=EOMONTH(DATE(AnneeCourante,MoisCourant,1),0))),INDEX(Employes_ID,194),"")</f>
      </c>
      <c r="B200" s="19">
        <f>IF($A200="","",INDEX(Employes_Nom,MATCH($A200,Employes_ID,0)))</f>
      </c>
      <c r="C200" s="20">
        <f>IF($A200="","",INDEX(Employes_Categorie,MATCH($A200,Employes_ID,0)))</f>
      </c>
      <c r="D200" s="26"/>
      <c r="E200" s="27"/>
      <c r="F200" s="26"/>
      <c r="G200" s="27"/>
      <c r="H200" s="26"/>
      <c r="I200" s="27"/>
      <c r="J200" s="26"/>
      <c r="K200" s="27"/>
      <c r="L200" s="26"/>
      <c r="M200" s="27"/>
      <c r="N200" s="26"/>
      <c r="O200" s="27"/>
      <c r="P200" s="26"/>
      <c r="Q200" s="27"/>
      <c r="R200" s="26"/>
      <c r="S200" s="27"/>
      <c r="T200" s="26"/>
      <c r="U200" s="27"/>
      <c r="V200" s="26"/>
      <c r="W200" s="27"/>
      <c r="X200" s="26"/>
      <c r="Y200" s="27"/>
      <c r="Z200" s="26"/>
      <c r="AA200" s="27"/>
      <c r="AB200" s="26"/>
      <c r="AC200" s="27"/>
      <c r="AD200" s="26"/>
      <c r="AE200" s="27"/>
      <c r="AF200" s="26"/>
      <c r="AG200" s="27"/>
      <c r="AH200" s="26"/>
      <c r="AI200" s="27"/>
      <c r="AJ200" s="26"/>
      <c r="AK200" s="27"/>
      <c r="AL200" s="26"/>
      <c r="AM200" s="27"/>
      <c r="AN200" s="26"/>
      <c r="AO200" s="27"/>
      <c r="AP200" s="26"/>
      <c r="AQ200" s="27"/>
      <c r="AR200" s="26"/>
      <c r="AS200" s="27"/>
      <c r="AT200" s="26"/>
      <c r="AU200" s="27"/>
      <c r="AV200" s="26"/>
      <c r="AW200" s="27"/>
      <c r="AX200" s="26"/>
      <c r="AY200" s="27"/>
      <c r="AZ200" s="26"/>
      <c r="BA200" s="27"/>
      <c r="BB200" s="26"/>
      <c r="BC200" s="27"/>
      <c r="BD200" s="26"/>
      <c r="BE200" s="27"/>
      <c r="BF200" s="26"/>
      <c r="BG200" s="27"/>
      <c r="BH200" s="26"/>
      <c r="BI200" s="27"/>
      <c r="BJ200" s="26"/>
      <c r="BK200" s="27"/>
      <c r="BL200" s="26"/>
      <c r="BM200" s="27"/>
      <c r="BN200" s="22">
        <f>IF($A200="","",SUM(IF($D$5&lt;&gt;"",--(D200="Présent"),0),IF($F$5&lt;&gt;"",--(F200="Présent"),0),IF($H$5&lt;&gt;"",--(H200="Présent"),0),IF($J$5&lt;&gt;"",--(J200="Présent"),0),IF($L$5&lt;&gt;"",--(L200="Présent"),0),IF($N$5&lt;&gt;"",--(N200="Présent"),0),IF($P$5&lt;&gt;"",--(P200="Présent"),0),IF($R$5&lt;&gt;"",--(R200="Présent"),0),IF($T$5&lt;&gt;"",--(T200="Présent"),0),IF($V$5&lt;&gt;"",--(V200="Présent"),0),IF($X$5&lt;&gt;"",--(X200="Présent"),0),IF($Z$5&lt;&gt;"",--(Z200="Présent"),0),IF($AB$5&lt;&gt;"",--(AB200="Présent"),0),IF($AD$5&lt;&gt;"",--(AD200="Présent"),0),IF($AF$5&lt;&gt;"",--(AF200="Présent"),0),IF($AH$5&lt;&gt;"",--(AH200="Présent"),0),IF($AJ$5&lt;&gt;"",--(AJ200="Présent"),0),IF($AL$5&lt;&gt;"",--(AL200="Présent"),0),IF($AN$5&lt;&gt;"",--(AN200="Présent"),0),IF($AP$5&lt;&gt;"",--(AP200="Présent"),0),IF($AR$5&lt;&gt;"",--(AR200="Présent"),0),IF($AT$5&lt;&gt;"",--(AT200="Présent"),0),IF($AV$5&lt;&gt;"",--(AV200="Présent"),0),IF($AX$5&lt;&gt;"",--(AX200="Présent"),0),IF($AZ$5&lt;&gt;"",--(AZ200="Présent"),0),IF($BB$5&lt;&gt;"",--(BB200="Présent"),0),IF($BD$5&lt;&gt;"",--(BD200="Présent"),0),IF($BF$5&lt;&gt;"",--(BF200="Présent"),0),IF($BH$5&lt;&gt;"",--(BH200="Présent"),0),IF($BJ$5&lt;&gt;"",--(BJ200="Présent"),0),IF($BL$5&lt;&gt;"",--(BL200="Présent"),0)))</f>
      </c>
      <c r="BO200" s="22">
        <f>IF($A200="","",SUM(IF($D$5&lt;&gt;"",--(D200="Absent"),0),IF($F$5&lt;&gt;"",--(F200="Absent"),0),IF($H$5&lt;&gt;"",--(H200="Absent"),0),IF($J$5&lt;&gt;"",--(J200="Absent"),0),IF($L$5&lt;&gt;"",--(L200="Absent"),0),IF($N$5&lt;&gt;"",--(N200="Absent"),0),IF($P$5&lt;&gt;"",--(P200="Absent"),0),IF($R$5&lt;&gt;"",--(R200="Absent"),0),IF($T$5&lt;&gt;"",--(T200="Absent"),0),IF($V$5&lt;&gt;"",--(V200="Absent"),0),IF($X$5&lt;&gt;"",--(X200="Absent"),0),IF($Z$5&lt;&gt;"",--(Z200="Absent"),0),IF($AB$5&lt;&gt;"",--(AB200="Absent"),0),IF($AD$5&lt;&gt;"",--(AD200="Absent"),0),IF($AF$5&lt;&gt;"",--(AF200="Absent"),0),IF($AH$5&lt;&gt;"",--(AH200="Absent"),0),IF($AJ$5&lt;&gt;"",--(AJ200="Absent"),0),IF($AL$5&lt;&gt;"",--(AL200="Absent"),0),IF($AN$5&lt;&gt;"",--(AN200="Absent"),0),IF($AP$5&lt;&gt;"",--(AP200="Absent"),0),IF($AR$5&lt;&gt;"",--(AR200="Absent"),0),IF($AT$5&lt;&gt;"",--(AT200="Absent"),0),IF($AV$5&lt;&gt;"",--(AV200="Absent"),0),IF($AX$5&lt;&gt;"",--(AX200="Absent"),0),IF($AZ$5&lt;&gt;"",--(AZ200="Absent"),0),IF($BB$5&lt;&gt;"",--(BB200="Absent"),0),IF($BD$5&lt;&gt;"",--(BD200="Absent"),0),IF($BF$5&lt;&gt;"",--(BF200="Absent"),0),IF($BH$5&lt;&gt;"",--(BH200="Absent"),0),IF($BJ$5&lt;&gt;"",--(BJ200="Absent"),0),IF($BL$5&lt;&gt;"",--(BL200="Absent"),0)))</f>
      </c>
      <c r="BP200" s="22">
        <f>IF($A200="","",SUM(IF($D$5&lt;&gt;"",--(D200="Congé"),0),IF($F$5&lt;&gt;"",--(F200="Congé"),0),IF($H$5&lt;&gt;"",--(H200="Congé"),0),IF($J$5&lt;&gt;"",--(J200="Congé"),0),IF($L$5&lt;&gt;"",--(L200="Congé"),0),IF($N$5&lt;&gt;"",--(N200="Congé"),0),IF($P$5&lt;&gt;"",--(P200="Congé"),0),IF($R$5&lt;&gt;"",--(R200="Congé"),0),IF($T$5&lt;&gt;"",--(T200="Congé"),0),IF($V$5&lt;&gt;"",--(V200="Congé"),0),IF($X$5&lt;&gt;"",--(X200="Congé"),0),IF($Z$5&lt;&gt;"",--(Z200="Congé"),0),IF($AB$5&lt;&gt;"",--(AB200="Congé"),0),IF($AD$5&lt;&gt;"",--(AD200="Congé"),0),IF($AF$5&lt;&gt;"",--(AF200="Congé"),0),IF($AH$5&lt;&gt;"",--(AH200="Congé"),0),IF($AJ$5&lt;&gt;"",--(AJ200="Congé"),0),IF($AL$5&lt;&gt;"",--(AL200="Congé"),0),IF($AN$5&lt;&gt;"",--(AN200="Congé"),0),IF($AP$5&lt;&gt;"",--(AP200="Congé"),0),IF($AR$5&lt;&gt;"",--(AR200="Congé"),0),IF($AT$5&lt;&gt;"",--(AT200="Congé"),0),IF($AV$5&lt;&gt;"",--(AV200="Congé"),0),IF($AX$5&lt;&gt;"",--(AX200="Congé"),0),IF($AZ$5&lt;&gt;"",--(AZ200="Congé"),0),IF($BB$5&lt;&gt;"",--(BB200="Congé"),0),IF($BD$5&lt;&gt;"",--(BD200="Congé"),0),IF($BF$5&lt;&gt;"",--(BF200="Congé"),0),IF($BH$5&lt;&gt;"",--(BH200="Congé"),0),IF($BJ$5&lt;&gt;"",--(BJ200="Congé"),0),IF($BL$5&lt;&gt;"",--(BL200="Congé"),0)))</f>
      </c>
      <c r="BQ200" s="22">
        <f>IF($A200="","",SUM(IF($D$5&lt;&gt;"",--(D200="Maladie"),0),IF($F$5&lt;&gt;"",--(F200="Maladie"),0),IF($H$5&lt;&gt;"",--(H200="Maladie"),0),IF($J$5&lt;&gt;"",--(J200="Maladie"),0),IF($L$5&lt;&gt;"",--(L200="Maladie"),0),IF($N$5&lt;&gt;"",--(N200="Maladie"),0),IF($P$5&lt;&gt;"",--(P200="Maladie"),0),IF($R$5&lt;&gt;"",--(R200="Maladie"),0),IF($T$5&lt;&gt;"",--(T200="Maladie"),0),IF($V$5&lt;&gt;"",--(V200="Maladie"),0),IF($X$5&lt;&gt;"",--(X200="Maladie"),0),IF($Z$5&lt;&gt;"",--(Z200="Maladie"),0),IF($AB$5&lt;&gt;"",--(AB200="Maladie"),0),IF($AD$5&lt;&gt;"",--(AD200="Maladie"),0),IF($AF$5&lt;&gt;"",--(AF200="Maladie"),0),IF($AH$5&lt;&gt;"",--(AH200="Maladie"),0),IF($AJ$5&lt;&gt;"",--(AJ200="Maladie"),0),IF($AL$5&lt;&gt;"",--(AL200="Maladie"),0),IF($AN$5&lt;&gt;"",--(AN200="Maladie"),0),IF($AP$5&lt;&gt;"",--(AP200="Maladie"),0),IF($AR$5&lt;&gt;"",--(AR200="Maladie"),0),IF($AT$5&lt;&gt;"",--(AT200="Maladie"),0),IF($AV$5&lt;&gt;"",--(AV200="Maladie"),0),IF($AX$5&lt;&gt;"",--(AX200="Maladie"),0),IF($AZ$5&lt;&gt;"",--(AZ200="Maladie"),0),IF($BB$5&lt;&gt;"",--(BB200="Maladie"),0),IF($BD$5&lt;&gt;"",--(BD200="Maladie"),0),IF($BF$5&lt;&gt;"",--(BF200="Maladie"),0),IF($BH$5&lt;&gt;"",--(BH200="Maladie"),0),IF($BJ$5&lt;&gt;"",--(BJ200="Maladie"),0),IF($BL$5&lt;&gt;"",--(BL200="Maladie"),0)))</f>
      </c>
      <c r="BR200" s="23">
        <f>IF($A200="","",SUM(IF($D$5&lt;&gt;"",IF(D200="Présent",E200,0),0),IF($F$5&lt;&gt;"",IF(F200="Présent",G200,0),0),IF($H$5&lt;&gt;"",IF(H200="Présent",I200,0),0),IF($J$5&lt;&gt;"",IF(J200="Présent",K200,0),0),IF($L$5&lt;&gt;"",IF(L200="Présent",M200,0),0),IF($N$5&lt;&gt;"",IF(N200="Présent",O200,0),0),IF($P$5&lt;&gt;"",IF(P200="Présent",Q200,0),0),IF($R$5&lt;&gt;"",IF(R200="Présent",S200,0),0),IF($T$5&lt;&gt;"",IF(T200="Présent",U200,0),0),IF($V$5&lt;&gt;"",IF(V200="Présent",W200,0),0),IF($X$5&lt;&gt;"",IF(X200="Présent",Y200,0),0),IF($Z$5&lt;&gt;"",IF(Z200="Présent",AA200,0),0),IF($AB$5&lt;&gt;"",IF(AB200="Présent",AC200,0),0),IF($AD$5&lt;&gt;"",IF(AD200="Présent",AE200,0),0),IF($AF$5&lt;&gt;"",IF(AF200="Présent",AG200,0),0),IF($AH$5&lt;&gt;"",IF(AH200="Présent",AI200,0),0),IF($AJ$5&lt;&gt;"",IF(AJ200="Présent",AK200,0),0),IF($AL$5&lt;&gt;"",IF(AL200="Présent",AM200,0),0),IF($AN$5&lt;&gt;"",IF(AN200="Présent",AO200,0),0),IF($AP$5&lt;&gt;"",IF(AP200="Présent",AQ200,0),0),IF($AR$5&lt;&gt;"",IF(AR200="Présent",AS200,0),0),IF($AT$5&lt;&gt;"",IF(AT200="Présent",AU200,0),0),IF($AV$5&lt;&gt;"",IF(AV200="Présent",AW200,0),0),IF($AX$5&lt;&gt;"",IF(AX200="Présent",AY200,0),0),IF($AZ$5&lt;&gt;"",IF(AZ200="Présent",BA200,0),0),IF($BB$5&lt;&gt;"",IF(BB200="Présent",BC200,0),0),IF($BD$5&lt;&gt;"",IF(BD200="Présent",BE200,0),0),IF($BF$5&lt;&gt;"",IF(BF200="Présent",BG200,0),0),IF($BH$5&lt;&gt;"",IF(BH200="Présent",BI200,0),0),IF($BJ$5&lt;&gt;"",IF(BJ200="Présent",BK200,0),0),IF($BL$5&lt;&gt;"",IF(BL200="Présent",BM200,0),0)))</f>
      </c>
      <c r="BS200" s="25">
        <f>IF($A200="","",$BN200*IFERROR(INDEX(Categories_Salaire,MATCH($C200,ListeCategories,0)),0)+$BR200*IF(IFERROR(INDEX(Categories_TauxHS,MATCH($C200,ListeCategories,0)),0)&gt;0,IFERROR(INDEX(Categories_TauxHS,MATCH($C200,ListeCategories,0)),0),TauxHSDefaut))</f>
      </c>
    </row>
    <row r="201">
      <c r="A201" s="20">
        <f>IF(AND(INDEX(Employes_Nom,195)&lt;&gt;"",INDEX(Employes_Statut,195)="Actif",OR(INDEX(Employes_Embauche,195)="",INDEX(Employes_Embauche,195)&lt;=EOMONTH(DATE(AnneeCourante,MoisCourant,1),0))),INDEX(Employes_ID,195),"")</f>
      </c>
      <c r="B201" s="19">
        <f>IF($A201="","",INDEX(Employes_Nom,MATCH($A201,Employes_ID,0)))</f>
      </c>
      <c r="C201" s="20">
        <f>IF($A201="","",INDEX(Employes_Categorie,MATCH($A201,Employes_ID,0)))</f>
      </c>
      <c r="D201" s="26"/>
      <c r="E201" s="27"/>
      <c r="F201" s="26"/>
      <c r="G201" s="27"/>
      <c r="H201" s="26"/>
      <c r="I201" s="27"/>
      <c r="J201" s="26"/>
      <c r="K201" s="27"/>
      <c r="L201" s="26"/>
      <c r="M201" s="27"/>
      <c r="N201" s="26"/>
      <c r="O201" s="27"/>
      <c r="P201" s="26"/>
      <c r="Q201" s="27"/>
      <c r="R201" s="26"/>
      <c r="S201" s="27"/>
      <c r="T201" s="26"/>
      <c r="U201" s="27"/>
      <c r="V201" s="26"/>
      <c r="W201" s="27"/>
      <c r="X201" s="26"/>
      <c r="Y201" s="27"/>
      <c r="Z201" s="26"/>
      <c r="AA201" s="27"/>
      <c r="AB201" s="26"/>
      <c r="AC201" s="27"/>
      <c r="AD201" s="26"/>
      <c r="AE201" s="27"/>
      <c r="AF201" s="26"/>
      <c r="AG201" s="27"/>
      <c r="AH201" s="26"/>
      <c r="AI201" s="27"/>
      <c r="AJ201" s="26"/>
      <c r="AK201" s="27"/>
      <c r="AL201" s="26"/>
      <c r="AM201" s="27"/>
      <c r="AN201" s="26"/>
      <c r="AO201" s="27"/>
      <c r="AP201" s="26"/>
      <c r="AQ201" s="27"/>
      <c r="AR201" s="26"/>
      <c r="AS201" s="27"/>
      <c r="AT201" s="26"/>
      <c r="AU201" s="27"/>
      <c r="AV201" s="26"/>
      <c r="AW201" s="27"/>
      <c r="AX201" s="26"/>
      <c r="AY201" s="27"/>
      <c r="AZ201" s="26"/>
      <c r="BA201" s="27"/>
      <c r="BB201" s="26"/>
      <c r="BC201" s="27"/>
      <c r="BD201" s="26"/>
      <c r="BE201" s="27"/>
      <c r="BF201" s="26"/>
      <c r="BG201" s="27"/>
      <c r="BH201" s="26"/>
      <c r="BI201" s="27"/>
      <c r="BJ201" s="26"/>
      <c r="BK201" s="27"/>
      <c r="BL201" s="26"/>
      <c r="BM201" s="27"/>
      <c r="BN201" s="22">
        <f>IF($A201="","",SUM(IF($D$5&lt;&gt;"",--(D201="Présent"),0),IF($F$5&lt;&gt;"",--(F201="Présent"),0),IF($H$5&lt;&gt;"",--(H201="Présent"),0),IF($J$5&lt;&gt;"",--(J201="Présent"),0),IF($L$5&lt;&gt;"",--(L201="Présent"),0),IF($N$5&lt;&gt;"",--(N201="Présent"),0),IF($P$5&lt;&gt;"",--(P201="Présent"),0),IF($R$5&lt;&gt;"",--(R201="Présent"),0),IF($T$5&lt;&gt;"",--(T201="Présent"),0),IF($V$5&lt;&gt;"",--(V201="Présent"),0),IF($X$5&lt;&gt;"",--(X201="Présent"),0),IF($Z$5&lt;&gt;"",--(Z201="Présent"),0),IF($AB$5&lt;&gt;"",--(AB201="Présent"),0),IF($AD$5&lt;&gt;"",--(AD201="Présent"),0),IF($AF$5&lt;&gt;"",--(AF201="Présent"),0),IF($AH$5&lt;&gt;"",--(AH201="Présent"),0),IF($AJ$5&lt;&gt;"",--(AJ201="Présent"),0),IF($AL$5&lt;&gt;"",--(AL201="Présent"),0),IF($AN$5&lt;&gt;"",--(AN201="Présent"),0),IF($AP$5&lt;&gt;"",--(AP201="Présent"),0),IF($AR$5&lt;&gt;"",--(AR201="Présent"),0),IF($AT$5&lt;&gt;"",--(AT201="Présent"),0),IF($AV$5&lt;&gt;"",--(AV201="Présent"),0),IF($AX$5&lt;&gt;"",--(AX201="Présent"),0),IF($AZ$5&lt;&gt;"",--(AZ201="Présent"),0),IF($BB$5&lt;&gt;"",--(BB201="Présent"),0),IF($BD$5&lt;&gt;"",--(BD201="Présent"),0),IF($BF$5&lt;&gt;"",--(BF201="Présent"),0),IF($BH$5&lt;&gt;"",--(BH201="Présent"),0),IF($BJ$5&lt;&gt;"",--(BJ201="Présent"),0),IF($BL$5&lt;&gt;"",--(BL201="Présent"),0)))</f>
      </c>
      <c r="BO201" s="22">
        <f>IF($A201="","",SUM(IF($D$5&lt;&gt;"",--(D201="Absent"),0),IF($F$5&lt;&gt;"",--(F201="Absent"),0),IF($H$5&lt;&gt;"",--(H201="Absent"),0),IF($J$5&lt;&gt;"",--(J201="Absent"),0),IF($L$5&lt;&gt;"",--(L201="Absent"),0),IF($N$5&lt;&gt;"",--(N201="Absent"),0),IF($P$5&lt;&gt;"",--(P201="Absent"),0),IF($R$5&lt;&gt;"",--(R201="Absent"),0),IF($T$5&lt;&gt;"",--(T201="Absent"),0),IF($V$5&lt;&gt;"",--(V201="Absent"),0),IF($X$5&lt;&gt;"",--(X201="Absent"),0),IF($Z$5&lt;&gt;"",--(Z201="Absent"),0),IF($AB$5&lt;&gt;"",--(AB201="Absent"),0),IF($AD$5&lt;&gt;"",--(AD201="Absent"),0),IF($AF$5&lt;&gt;"",--(AF201="Absent"),0),IF($AH$5&lt;&gt;"",--(AH201="Absent"),0),IF($AJ$5&lt;&gt;"",--(AJ201="Absent"),0),IF($AL$5&lt;&gt;"",--(AL201="Absent"),0),IF($AN$5&lt;&gt;"",--(AN201="Absent"),0),IF($AP$5&lt;&gt;"",--(AP201="Absent"),0),IF($AR$5&lt;&gt;"",--(AR201="Absent"),0),IF($AT$5&lt;&gt;"",--(AT201="Absent"),0),IF($AV$5&lt;&gt;"",--(AV201="Absent"),0),IF($AX$5&lt;&gt;"",--(AX201="Absent"),0),IF($AZ$5&lt;&gt;"",--(AZ201="Absent"),0),IF($BB$5&lt;&gt;"",--(BB201="Absent"),0),IF($BD$5&lt;&gt;"",--(BD201="Absent"),0),IF($BF$5&lt;&gt;"",--(BF201="Absent"),0),IF($BH$5&lt;&gt;"",--(BH201="Absent"),0),IF($BJ$5&lt;&gt;"",--(BJ201="Absent"),0),IF($BL$5&lt;&gt;"",--(BL201="Absent"),0)))</f>
      </c>
      <c r="BP201" s="22">
        <f>IF($A201="","",SUM(IF($D$5&lt;&gt;"",--(D201="Congé"),0),IF($F$5&lt;&gt;"",--(F201="Congé"),0),IF($H$5&lt;&gt;"",--(H201="Congé"),0),IF($J$5&lt;&gt;"",--(J201="Congé"),0),IF($L$5&lt;&gt;"",--(L201="Congé"),0),IF($N$5&lt;&gt;"",--(N201="Congé"),0),IF($P$5&lt;&gt;"",--(P201="Congé"),0),IF($R$5&lt;&gt;"",--(R201="Congé"),0),IF($T$5&lt;&gt;"",--(T201="Congé"),0),IF($V$5&lt;&gt;"",--(V201="Congé"),0),IF($X$5&lt;&gt;"",--(X201="Congé"),0),IF($Z$5&lt;&gt;"",--(Z201="Congé"),0),IF($AB$5&lt;&gt;"",--(AB201="Congé"),0),IF($AD$5&lt;&gt;"",--(AD201="Congé"),0),IF($AF$5&lt;&gt;"",--(AF201="Congé"),0),IF($AH$5&lt;&gt;"",--(AH201="Congé"),0),IF($AJ$5&lt;&gt;"",--(AJ201="Congé"),0),IF($AL$5&lt;&gt;"",--(AL201="Congé"),0),IF($AN$5&lt;&gt;"",--(AN201="Congé"),0),IF($AP$5&lt;&gt;"",--(AP201="Congé"),0),IF($AR$5&lt;&gt;"",--(AR201="Congé"),0),IF($AT$5&lt;&gt;"",--(AT201="Congé"),0),IF($AV$5&lt;&gt;"",--(AV201="Congé"),0),IF($AX$5&lt;&gt;"",--(AX201="Congé"),0),IF($AZ$5&lt;&gt;"",--(AZ201="Congé"),0),IF($BB$5&lt;&gt;"",--(BB201="Congé"),0),IF($BD$5&lt;&gt;"",--(BD201="Congé"),0),IF($BF$5&lt;&gt;"",--(BF201="Congé"),0),IF($BH$5&lt;&gt;"",--(BH201="Congé"),0),IF($BJ$5&lt;&gt;"",--(BJ201="Congé"),0),IF($BL$5&lt;&gt;"",--(BL201="Congé"),0)))</f>
      </c>
      <c r="BQ201" s="22">
        <f>IF($A201="","",SUM(IF($D$5&lt;&gt;"",--(D201="Maladie"),0),IF($F$5&lt;&gt;"",--(F201="Maladie"),0),IF($H$5&lt;&gt;"",--(H201="Maladie"),0),IF($J$5&lt;&gt;"",--(J201="Maladie"),0),IF($L$5&lt;&gt;"",--(L201="Maladie"),0),IF($N$5&lt;&gt;"",--(N201="Maladie"),0),IF($P$5&lt;&gt;"",--(P201="Maladie"),0),IF($R$5&lt;&gt;"",--(R201="Maladie"),0),IF($T$5&lt;&gt;"",--(T201="Maladie"),0),IF($V$5&lt;&gt;"",--(V201="Maladie"),0),IF($X$5&lt;&gt;"",--(X201="Maladie"),0),IF($Z$5&lt;&gt;"",--(Z201="Maladie"),0),IF($AB$5&lt;&gt;"",--(AB201="Maladie"),0),IF($AD$5&lt;&gt;"",--(AD201="Maladie"),0),IF($AF$5&lt;&gt;"",--(AF201="Maladie"),0),IF($AH$5&lt;&gt;"",--(AH201="Maladie"),0),IF($AJ$5&lt;&gt;"",--(AJ201="Maladie"),0),IF($AL$5&lt;&gt;"",--(AL201="Maladie"),0),IF($AN$5&lt;&gt;"",--(AN201="Maladie"),0),IF($AP$5&lt;&gt;"",--(AP201="Maladie"),0),IF($AR$5&lt;&gt;"",--(AR201="Maladie"),0),IF($AT$5&lt;&gt;"",--(AT201="Maladie"),0),IF($AV$5&lt;&gt;"",--(AV201="Maladie"),0),IF($AX$5&lt;&gt;"",--(AX201="Maladie"),0),IF($AZ$5&lt;&gt;"",--(AZ201="Maladie"),0),IF($BB$5&lt;&gt;"",--(BB201="Maladie"),0),IF($BD$5&lt;&gt;"",--(BD201="Maladie"),0),IF($BF$5&lt;&gt;"",--(BF201="Maladie"),0),IF($BH$5&lt;&gt;"",--(BH201="Maladie"),0),IF($BJ$5&lt;&gt;"",--(BJ201="Maladie"),0),IF($BL$5&lt;&gt;"",--(BL201="Maladie"),0)))</f>
      </c>
      <c r="BR201" s="23">
        <f>IF($A201="","",SUM(IF($D$5&lt;&gt;"",IF(D201="Présent",E201,0),0),IF($F$5&lt;&gt;"",IF(F201="Présent",G201,0),0),IF($H$5&lt;&gt;"",IF(H201="Présent",I201,0),0),IF($J$5&lt;&gt;"",IF(J201="Présent",K201,0),0),IF($L$5&lt;&gt;"",IF(L201="Présent",M201,0),0),IF($N$5&lt;&gt;"",IF(N201="Présent",O201,0),0),IF($P$5&lt;&gt;"",IF(P201="Présent",Q201,0),0),IF($R$5&lt;&gt;"",IF(R201="Présent",S201,0),0),IF($T$5&lt;&gt;"",IF(T201="Présent",U201,0),0),IF($V$5&lt;&gt;"",IF(V201="Présent",W201,0),0),IF($X$5&lt;&gt;"",IF(X201="Présent",Y201,0),0),IF($Z$5&lt;&gt;"",IF(Z201="Présent",AA201,0),0),IF($AB$5&lt;&gt;"",IF(AB201="Présent",AC201,0),0),IF($AD$5&lt;&gt;"",IF(AD201="Présent",AE201,0),0),IF($AF$5&lt;&gt;"",IF(AF201="Présent",AG201,0),0),IF($AH$5&lt;&gt;"",IF(AH201="Présent",AI201,0),0),IF($AJ$5&lt;&gt;"",IF(AJ201="Présent",AK201,0),0),IF($AL$5&lt;&gt;"",IF(AL201="Présent",AM201,0),0),IF($AN$5&lt;&gt;"",IF(AN201="Présent",AO201,0),0),IF($AP$5&lt;&gt;"",IF(AP201="Présent",AQ201,0),0),IF($AR$5&lt;&gt;"",IF(AR201="Présent",AS201,0),0),IF($AT$5&lt;&gt;"",IF(AT201="Présent",AU201,0),0),IF($AV$5&lt;&gt;"",IF(AV201="Présent",AW201,0),0),IF($AX$5&lt;&gt;"",IF(AX201="Présent",AY201,0),0),IF($AZ$5&lt;&gt;"",IF(AZ201="Présent",BA201,0),0),IF($BB$5&lt;&gt;"",IF(BB201="Présent",BC201,0),0),IF($BD$5&lt;&gt;"",IF(BD201="Présent",BE201,0),0),IF($BF$5&lt;&gt;"",IF(BF201="Présent",BG201,0),0),IF($BH$5&lt;&gt;"",IF(BH201="Présent",BI201,0),0),IF($BJ$5&lt;&gt;"",IF(BJ201="Présent",BK201,0),0),IF($BL$5&lt;&gt;"",IF(BL201="Présent",BM201,0),0)))</f>
      </c>
      <c r="BS201" s="25">
        <f>IF($A201="","",$BN201*IFERROR(INDEX(Categories_Salaire,MATCH($C201,ListeCategories,0)),0)+$BR201*IF(IFERROR(INDEX(Categories_TauxHS,MATCH($C201,ListeCategories,0)),0)&gt;0,IFERROR(INDEX(Categories_TauxHS,MATCH($C201,ListeCategories,0)),0),TauxHSDefaut))</f>
      </c>
    </row>
    <row r="202">
      <c r="A202" s="20">
        <f>IF(AND(INDEX(Employes_Nom,196)&lt;&gt;"",INDEX(Employes_Statut,196)="Actif",OR(INDEX(Employes_Embauche,196)="",INDEX(Employes_Embauche,196)&lt;=EOMONTH(DATE(AnneeCourante,MoisCourant,1),0))),INDEX(Employes_ID,196),"")</f>
      </c>
      <c r="B202" s="19">
        <f>IF($A202="","",INDEX(Employes_Nom,MATCH($A202,Employes_ID,0)))</f>
      </c>
      <c r="C202" s="20">
        <f>IF($A202="","",INDEX(Employes_Categorie,MATCH($A202,Employes_ID,0)))</f>
      </c>
      <c r="D202" s="26"/>
      <c r="E202" s="27"/>
      <c r="F202" s="26"/>
      <c r="G202" s="27"/>
      <c r="H202" s="26"/>
      <c r="I202" s="27"/>
      <c r="J202" s="26"/>
      <c r="K202" s="27"/>
      <c r="L202" s="26"/>
      <c r="M202" s="27"/>
      <c r="N202" s="26"/>
      <c r="O202" s="27"/>
      <c r="P202" s="26"/>
      <c r="Q202" s="27"/>
      <c r="R202" s="26"/>
      <c r="S202" s="27"/>
      <c r="T202" s="26"/>
      <c r="U202" s="27"/>
      <c r="V202" s="26"/>
      <c r="W202" s="27"/>
      <c r="X202" s="26"/>
      <c r="Y202" s="27"/>
      <c r="Z202" s="26"/>
      <c r="AA202" s="27"/>
      <c r="AB202" s="26"/>
      <c r="AC202" s="27"/>
      <c r="AD202" s="26"/>
      <c r="AE202" s="27"/>
      <c r="AF202" s="26"/>
      <c r="AG202" s="27"/>
      <c r="AH202" s="26"/>
      <c r="AI202" s="27"/>
      <c r="AJ202" s="26"/>
      <c r="AK202" s="27"/>
      <c r="AL202" s="26"/>
      <c r="AM202" s="27"/>
      <c r="AN202" s="26"/>
      <c r="AO202" s="27"/>
      <c r="AP202" s="26"/>
      <c r="AQ202" s="27"/>
      <c r="AR202" s="26"/>
      <c r="AS202" s="27"/>
      <c r="AT202" s="26"/>
      <c r="AU202" s="27"/>
      <c r="AV202" s="26"/>
      <c r="AW202" s="27"/>
      <c r="AX202" s="26"/>
      <c r="AY202" s="27"/>
      <c r="AZ202" s="26"/>
      <c r="BA202" s="27"/>
      <c r="BB202" s="26"/>
      <c r="BC202" s="27"/>
      <c r="BD202" s="26"/>
      <c r="BE202" s="27"/>
      <c r="BF202" s="26"/>
      <c r="BG202" s="27"/>
      <c r="BH202" s="26"/>
      <c r="BI202" s="27"/>
      <c r="BJ202" s="26"/>
      <c r="BK202" s="27"/>
      <c r="BL202" s="26"/>
      <c r="BM202" s="27"/>
      <c r="BN202" s="22">
        <f>IF($A202="","",SUM(IF($D$5&lt;&gt;"",--(D202="Présent"),0),IF($F$5&lt;&gt;"",--(F202="Présent"),0),IF($H$5&lt;&gt;"",--(H202="Présent"),0),IF($J$5&lt;&gt;"",--(J202="Présent"),0),IF($L$5&lt;&gt;"",--(L202="Présent"),0),IF($N$5&lt;&gt;"",--(N202="Présent"),0),IF($P$5&lt;&gt;"",--(P202="Présent"),0),IF($R$5&lt;&gt;"",--(R202="Présent"),0),IF($T$5&lt;&gt;"",--(T202="Présent"),0),IF($V$5&lt;&gt;"",--(V202="Présent"),0),IF($X$5&lt;&gt;"",--(X202="Présent"),0),IF($Z$5&lt;&gt;"",--(Z202="Présent"),0),IF($AB$5&lt;&gt;"",--(AB202="Présent"),0),IF($AD$5&lt;&gt;"",--(AD202="Présent"),0),IF($AF$5&lt;&gt;"",--(AF202="Présent"),0),IF($AH$5&lt;&gt;"",--(AH202="Présent"),0),IF($AJ$5&lt;&gt;"",--(AJ202="Présent"),0),IF($AL$5&lt;&gt;"",--(AL202="Présent"),0),IF($AN$5&lt;&gt;"",--(AN202="Présent"),0),IF($AP$5&lt;&gt;"",--(AP202="Présent"),0),IF($AR$5&lt;&gt;"",--(AR202="Présent"),0),IF($AT$5&lt;&gt;"",--(AT202="Présent"),0),IF($AV$5&lt;&gt;"",--(AV202="Présent"),0),IF($AX$5&lt;&gt;"",--(AX202="Présent"),0),IF($AZ$5&lt;&gt;"",--(AZ202="Présent"),0),IF($BB$5&lt;&gt;"",--(BB202="Présent"),0),IF($BD$5&lt;&gt;"",--(BD202="Présent"),0),IF($BF$5&lt;&gt;"",--(BF202="Présent"),0),IF($BH$5&lt;&gt;"",--(BH202="Présent"),0),IF($BJ$5&lt;&gt;"",--(BJ202="Présent"),0),IF($BL$5&lt;&gt;"",--(BL202="Présent"),0)))</f>
      </c>
      <c r="BO202" s="22">
        <f>IF($A202="","",SUM(IF($D$5&lt;&gt;"",--(D202="Absent"),0),IF($F$5&lt;&gt;"",--(F202="Absent"),0),IF($H$5&lt;&gt;"",--(H202="Absent"),0),IF($J$5&lt;&gt;"",--(J202="Absent"),0),IF($L$5&lt;&gt;"",--(L202="Absent"),0),IF($N$5&lt;&gt;"",--(N202="Absent"),0),IF($P$5&lt;&gt;"",--(P202="Absent"),0),IF($R$5&lt;&gt;"",--(R202="Absent"),0),IF($T$5&lt;&gt;"",--(T202="Absent"),0),IF($V$5&lt;&gt;"",--(V202="Absent"),0),IF($X$5&lt;&gt;"",--(X202="Absent"),0),IF($Z$5&lt;&gt;"",--(Z202="Absent"),0),IF($AB$5&lt;&gt;"",--(AB202="Absent"),0),IF($AD$5&lt;&gt;"",--(AD202="Absent"),0),IF($AF$5&lt;&gt;"",--(AF202="Absent"),0),IF($AH$5&lt;&gt;"",--(AH202="Absent"),0),IF($AJ$5&lt;&gt;"",--(AJ202="Absent"),0),IF($AL$5&lt;&gt;"",--(AL202="Absent"),0),IF($AN$5&lt;&gt;"",--(AN202="Absent"),0),IF($AP$5&lt;&gt;"",--(AP202="Absent"),0),IF($AR$5&lt;&gt;"",--(AR202="Absent"),0),IF($AT$5&lt;&gt;"",--(AT202="Absent"),0),IF($AV$5&lt;&gt;"",--(AV202="Absent"),0),IF($AX$5&lt;&gt;"",--(AX202="Absent"),0),IF($AZ$5&lt;&gt;"",--(AZ202="Absent"),0),IF($BB$5&lt;&gt;"",--(BB202="Absent"),0),IF($BD$5&lt;&gt;"",--(BD202="Absent"),0),IF($BF$5&lt;&gt;"",--(BF202="Absent"),0),IF($BH$5&lt;&gt;"",--(BH202="Absent"),0),IF($BJ$5&lt;&gt;"",--(BJ202="Absent"),0),IF($BL$5&lt;&gt;"",--(BL202="Absent"),0)))</f>
      </c>
      <c r="BP202" s="22">
        <f>IF($A202="","",SUM(IF($D$5&lt;&gt;"",--(D202="Congé"),0),IF($F$5&lt;&gt;"",--(F202="Congé"),0),IF($H$5&lt;&gt;"",--(H202="Congé"),0),IF($J$5&lt;&gt;"",--(J202="Congé"),0),IF($L$5&lt;&gt;"",--(L202="Congé"),0),IF($N$5&lt;&gt;"",--(N202="Congé"),0),IF($P$5&lt;&gt;"",--(P202="Congé"),0),IF($R$5&lt;&gt;"",--(R202="Congé"),0),IF($T$5&lt;&gt;"",--(T202="Congé"),0),IF($V$5&lt;&gt;"",--(V202="Congé"),0),IF($X$5&lt;&gt;"",--(X202="Congé"),0),IF($Z$5&lt;&gt;"",--(Z202="Congé"),0),IF($AB$5&lt;&gt;"",--(AB202="Congé"),0),IF($AD$5&lt;&gt;"",--(AD202="Congé"),0),IF($AF$5&lt;&gt;"",--(AF202="Congé"),0),IF($AH$5&lt;&gt;"",--(AH202="Congé"),0),IF($AJ$5&lt;&gt;"",--(AJ202="Congé"),0),IF($AL$5&lt;&gt;"",--(AL202="Congé"),0),IF($AN$5&lt;&gt;"",--(AN202="Congé"),0),IF($AP$5&lt;&gt;"",--(AP202="Congé"),0),IF($AR$5&lt;&gt;"",--(AR202="Congé"),0),IF($AT$5&lt;&gt;"",--(AT202="Congé"),0),IF($AV$5&lt;&gt;"",--(AV202="Congé"),0),IF($AX$5&lt;&gt;"",--(AX202="Congé"),0),IF($AZ$5&lt;&gt;"",--(AZ202="Congé"),0),IF($BB$5&lt;&gt;"",--(BB202="Congé"),0),IF($BD$5&lt;&gt;"",--(BD202="Congé"),0),IF($BF$5&lt;&gt;"",--(BF202="Congé"),0),IF($BH$5&lt;&gt;"",--(BH202="Congé"),0),IF($BJ$5&lt;&gt;"",--(BJ202="Congé"),0),IF($BL$5&lt;&gt;"",--(BL202="Congé"),0)))</f>
      </c>
      <c r="BQ202" s="22">
        <f>IF($A202="","",SUM(IF($D$5&lt;&gt;"",--(D202="Maladie"),0),IF($F$5&lt;&gt;"",--(F202="Maladie"),0),IF($H$5&lt;&gt;"",--(H202="Maladie"),0),IF($J$5&lt;&gt;"",--(J202="Maladie"),0),IF($L$5&lt;&gt;"",--(L202="Maladie"),0),IF($N$5&lt;&gt;"",--(N202="Maladie"),0),IF($P$5&lt;&gt;"",--(P202="Maladie"),0),IF($R$5&lt;&gt;"",--(R202="Maladie"),0),IF($T$5&lt;&gt;"",--(T202="Maladie"),0),IF($V$5&lt;&gt;"",--(V202="Maladie"),0),IF($X$5&lt;&gt;"",--(X202="Maladie"),0),IF($Z$5&lt;&gt;"",--(Z202="Maladie"),0),IF($AB$5&lt;&gt;"",--(AB202="Maladie"),0),IF($AD$5&lt;&gt;"",--(AD202="Maladie"),0),IF($AF$5&lt;&gt;"",--(AF202="Maladie"),0),IF($AH$5&lt;&gt;"",--(AH202="Maladie"),0),IF($AJ$5&lt;&gt;"",--(AJ202="Maladie"),0),IF($AL$5&lt;&gt;"",--(AL202="Maladie"),0),IF($AN$5&lt;&gt;"",--(AN202="Maladie"),0),IF($AP$5&lt;&gt;"",--(AP202="Maladie"),0),IF($AR$5&lt;&gt;"",--(AR202="Maladie"),0),IF($AT$5&lt;&gt;"",--(AT202="Maladie"),0),IF($AV$5&lt;&gt;"",--(AV202="Maladie"),0),IF($AX$5&lt;&gt;"",--(AX202="Maladie"),0),IF($AZ$5&lt;&gt;"",--(AZ202="Maladie"),0),IF($BB$5&lt;&gt;"",--(BB202="Maladie"),0),IF($BD$5&lt;&gt;"",--(BD202="Maladie"),0),IF($BF$5&lt;&gt;"",--(BF202="Maladie"),0),IF($BH$5&lt;&gt;"",--(BH202="Maladie"),0),IF($BJ$5&lt;&gt;"",--(BJ202="Maladie"),0),IF($BL$5&lt;&gt;"",--(BL202="Maladie"),0)))</f>
      </c>
      <c r="BR202" s="23">
        <f>IF($A202="","",SUM(IF($D$5&lt;&gt;"",IF(D202="Présent",E202,0),0),IF($F$5&lt;&gt;"",IF(F202="Présent",G202,0),0),IF($H$5&lt;&gt;"",IF(H202="Présent",I202,0),0),IF($J$5&lt;&gt;"",IF(J202="Présent",K202,0),0),IF($L$5&lt;&gt;"",IF(L202="Présent",M202,0),0),IF($N$5&lt;&gt;"",IF(N202="Présent",O202,0),0),IF($P$5&lt;&gt;"",IF(P202="Présent",Q202,0),0),IF($R$5&lt;&gt;"",IF(R202="Présent",S202,0),0),IF($T$5&lt;&gt;"",IF(T202="Présent",U202,0),0),IF($V$5&lt;&gt;"",IF(V202="Présent",W202,0),0),IF($X$5&lt;&gt;"",IF(X202="Présent",Y202,0),0),IF($Z$5&lt;&gt;"",IF(Z202="Présent",AA202,0),0),IF($AB$5&lt;&gt;"",IF(AB202="Présent",AC202,0),0),IF($AD$5&lt;&gt;"",IF(AD202="Présent",AE202,0),0),IF($AF$5&lt;&gt;"",IF(AF202="Présent",AG202,0),0),IF($AH$5&lt;&gt;"",IF(AH202="Présent",AI202,0),0),IF($AJ$5&lt;&gt;"",IF(AJ202="Présent",AK202,0),0),IF($AL$5&lt;&gt;"",IF(AL202="Présent",AM202,0),0),IF($AN$5&lt;&gt;"",IF(AN202="Présent",AO202,0),0),IF($AP$5&lt;&gt;"",IF(AP202="Présent",AQ202,0),0),IF($AR$5&lt;&gt;"",IF(AR202="Présent",AS202,0),0),IF($AT$5&lt;&gt;"",IF(AT202="Présent",AU202,0),0),IF($AV$5&lt;&gt;"",IF(AV202="Présent",AW202,0),0),IF($AX$5&lt;&gt;"",IF(AX202="Présent",AY202,0),0),IF($AZ$5&lt;&gt;"",IF(AZ202="Présent",BA202,0),0),IF($BB$5&lt;&gt;"",IF(BB202="Présent",BC202,0),0),IF($BD$5&lt;&gt;"",IF(BD202="Présent",BE202,0),0),IF($BF$5&lt;&gt;"",IF(BF202="Présent",BG202,0),0),IF($BH$5&lt;&gt;"",IF(BH202="Présent",BI202,0),0),IF($BJ$5&lt;&gt;"",IF(BJ202="Présent",BK202,0),0),IF($BL$5&lt;&gt;"",IF(BL202="Présent",BM202,0),0)))</f>
      </c>
      <c r="BS202" s="25">
        <f>IF($A202="","",$BN202*IFERROR(INDEX(Categories_Salaire,MATCH($C202,ListeCategories,0)),0)+$BR202*IF(IFERROR(INDEX(Categories_TauxHS,MATCH($C202,ListeCategories,0)),0)&gt;0,IFERROR(INDEX(Categories_TauxHS,MATCH($C202,ListeCategories,0)),0),TauxHSDefaut))</f>
      </c>
    </row>
    <row r="203">
      <c r="A203" s="20">
        <f>IF(AND(INDEX(Employes_Nom,197)&lt;&gt;"",INDEX(Employes_Statut,197)="Actif",OR(INDEX(Employes_Embauche,197)="",INDEX(Employes_Embauche,197)&lt;=EOMONTH(DATE(AnneeCourante,MoisCourant,1),0))),INDEX(Employes_ID,197),"")</f>
      </c>
      <c r="B203" s="19">
        <f>IF($A203="","",INDEX(Employes_Nom,MATCH($A203,Employes_ID,0)))</f>
      </c>
      <c r="C203" s="20">
        <f>IF($A203="","",INDEX(Employes_Categorie,MATCH($A203,Employes_ID,0)))</f>
      </c>
      <c r="D203" s="26"/>
      <c r="E203" s="27"/>
      <c r="F203" s="26"/>
      <c r="G203" s="27"/>
      <c r="H203" s="26"/>
      <c r="I203" s="27"/>
      <c r="J203" s="26"/>
      <c r="K203" s="27"/>
      <c r="L203" s="26"/>
      <c r="M203" s="27"/>
      <c r="N203" s="26"/>
      <c r="O203" s="27"/>
      <c r="P203" s="26"/>
      <c r="Q203" s="27"/>
      <c r="R203" s="26"/>
      <c r="S203" s="27"/>
      <c r="T203" s="26"/>
      <c r="U203" s="27"/>
      <c r="V203" s="26"/>
      <c r="W203" s="27"/>
      <c r="X203" s="26"/>
      <c r="Y203" s="27"/>
      <c r="Z203" s="26"/>
      <c r="AA203" s="27"/>
      <c r="AB203" s="26"/>
      <c r="AC203" s="27"/>
      <c r="AD203" s="26"/>
      <c r="AE203" s="27"/>
      <c r="AF203" s="26"/>
      <c r="AG203" s="27"/>
      <c r="AH203" s="26"/>
      <c r="AI203" s="27"/>
      <c r="AJ203" s="26"/>
      <c r="AK203" s="27"/>
      <c r="AL203" s="26"/>
      <c r="AM203" s="27"/>
      <c r="AN203" s="26"/>
      <c r="AO203" s="27"/>
      <c r="AP203" s="26"/>
      <c r="AQ203" s="27"/>
      <c r="AR203" s="26"/>
      <c r="AS203" s="27"/>
      <c r="AT203" s="26"/>
      <c r="AU203" s="27"/>
      <c r="AV203" s="26"/>
      <c r="AW203" s="27"/>
      <c r="AX203" s="26"/>
      <c r="AY203" s="27"/>
      <c r="AZ203" s="26"/>
      <c r="BA203" s="27"/>
      <c r="BB203" s="26"/>
      <c r="BC203" s="27"/>
      <c r="BD203" s="26"/>
      <c r="BE203" s="27"/>
      <c r="BF203" s="26"/>
      <c r="BG203" s="27"/>
      <c r="BH203" s="26"/>
      <c r="BI203" s="27"/>
      <c r="BJ203" s="26"/>
      <c r="BK203" s="27"/>
      <c r="BL203" s="26"/>
      <c r="BM203" s="27"/>
      <c r="BN203" s="22">
        <f>IF($A203="","",SUM(IF($D$5&lt;&gt;"",--(D203="Présent"),0),IF($F$5&lt;&gt;"",--(F203="Présent"),0),IF($H$5&lt;&gt;"",--(H203="Présent"),0),IF($J$5&lt;&gt;"",--(J203="Présent"),0),IF($L$5&lt;&gt;"",--(L203="Présent"),0),IF($N$5&lt;&gt;"",--(N203="Présent"),0),IF($P$5&lt;&gt;"",--(P203="Présent"),0),IF($R$5&lt;&gt;"",--(R203="Présent"),0),IF($T$5&lt;&gt;"",--(T203="Présent"),0),IF($V$5&lt;&gt;"",--(V203="Présent"),0),IF($X$5&lt;&gt;"",--(X203="Présent"),0),IF($Z$5&lt;&gt;"",--(Z203="Présent"),0),IF($AB$5&lt;&gt;"",--(AB203="Présent"),0),IF($AD$5&lt;&gt;"",--(AD203="Présent"),0),IF($AF$5&lt;&gt;"",--(AF203="Présent"),0),IF($AH$5&lt;&gt;"",--(AH203="Présent"),0),IF($AJ$5&lt;&gt;"",--(AJ203="Présent"),0),IF($AL$5&lt;&gt;"",--(AL203="Présent"),0),IF($AN$5&lt;&gt;"",--(AN203="Présent"),0),IF($AP$5&lt;&gt;"",--(AP203="Présent"),0),IF($AR$5&lt;&gt;"",--(AR203="Présent"),0),IF($AT$5&lt;&gt;"",--(AT203="Présent"),0),IF($AV$5&lt;&gt;"",--(AV203="Présent"),0),IF($AX$5&lt;&gt;"",--(AX203="Présent"),0),IF($AZ$5&lt;&gt;"",--(AZ203="Présent"),0),IF($BB$5&lt;&gt;"",--(BB203="Présent"),0),IF($BD$5&lt;&gt;"",--(BD203="Présent"),0),IF($BF$5&lt;&gt;"",--(BF203="Présent"),0),IF($BH$5&lt;&gt;"",--(BH203="Présent"),0),IF($BJ$5&lt;&gt;"",--(BJ203="Présent"),0),IF($BL$5&lt;&gt;"",--(BL203="Présent"),0)))</f>
      </c>
      <c r="BO203" s="22">
        <f>IF($A203="","",SUM(IF($D$5&lt;&gt;"",--(D203="Absent"),0),IF($F$5&lt;&gt;"",--(F203="Absent"),0),IF($H$5&lt;&gt;"",--(H203="Absent"),0),IF($J$5&lt;&gt;"",--(J203="Absent"),0),IF($L$5&lt;&gt;"",--(L203="Absent"),0),IF($N$5&lt;&gt;"",--(N203="Absent"),0),IF($P$5&lt;&gt;"",--(P203="Absent"),0),IF($R$5&lt;&gt;"",--(R203="Absent"),0),IF($T$5&lt;&gt;"",--(T203="Absent"),0),IF($V$5&lt;&gt;"",--(V203="Absent"),0),IF($X$5&lt;&gt;"",--(X203="Absent"),0),IF($Z$5&lt;&gt;"",--(Z203="Absent"),0),IF($AB$5&lt;&gt;"",--(AB203="Absent"),0),IF($AD$5&lt;&gt;"",--(AD203="Absent"),0),IF($AF$5&lt;&gt;"",--(AF203="Absent"),0),IF($AH$5&lt;&gt;"",--(AH203="Absent"),0),IF($AJ$5&lt;&gt;"",--(AJ203="Absent"),0),IF($AL$5&lt;&gt;"",--(AL203="Absent"),0),IF($AN$5&lt;&gt;"",--(AN203="Absent"),0),IF($AP$5&lt;&gt;"",--(AP203="Absent"),0),IF($AR$5&lt;&gt;"",--(AR203="Absent"),0),IF($AT$5&lt;&gt;"",--(AT203="Absent"),0),IF($AV$5&lt;&gt;"",--(AV203="Absent"),0),IF($AX$5&lt;&gt;"",--(AX203="Absent"),0),IF($AZ$5&lt;&gt;"",--(AZ203="Absent"),0),IF($BB$5&lt;&gt;"",--(BB203="Absent"),0),IF($BD$5&lt;&gt;"",--(BD203="Absent"),0),IF($BF$5&lt;&gt;"",--(BF203="Absent"),0),IF($BH$5&lt;&gt;"",--(BH203="Absent"),0),IF($BJ$5&lt;&gt;"",--(BJ203="Absent"),0),IF($BL$5&lt;&gt;"",--(BL203="Absent"),0)))</f>
      </c>
      <c r="BP203" s="22">
        <f>IF($A203="","",SUM(IF($D$5&lt;&gt;"",--(D203="Congé"),0),IF($F$5&lt;&gt;"",--(F203="Congé"),0),IF($H$5&lt;&gt;"",--(H203="Congé"),0),IF($J$5&lt;&gt;"",--(J203="Congé"),0),IF($L$5&lt;&gt;"",--(L203="Congé"),0),IF($N$5&lt;&gt;"",--(N203="Congé"),0),IF($P$5&lt;&gt;"",--(P203="Congé"),0),IF($R$5&lt;&gt;"",--(R203="Congé"),0),IF($T$5&lt;&gt;"",--(T203="Congé"),0),IF($V$5&lt;&gt;"",--(V203="Congé"),0),IF($X$5&lt;&gt;"",--(X203="Congé"),0),IF($Z$5&lt;&gt;"",--(Z203="Congé"),0),IF($AB$5&lt;&gt;"",--(AB203="Congé"),0),IF($AD$5&lt;&gt;"",--(AD203="Congé"),0),IF($AF$5&lt;&gt;"",--(AF203="Congé"),0),IF($AH$5&lt;&gt;"",--(AH203="Congé"),0),IF($AJ$5&lt;&gt;"",--(AJ203="Congé"),0),IF($AL$5&lt;&gt;"",--(AL203="Congé"),0),IF($AN$5&lt;&gt;"",--(AN203="Congé"),0),IF($AP$5&lt;&gt;"",--(AP203="Congé"),0),IF($AR$5&lt;&gt;"",--(AR203="Congé"),0),IF($AT$5&lt;&gt;"",--(AT203="Congé"),0),IF($AV$5&lt;&gt;"",--(AV203="Congé"),0),IF($AX$5&lt;&gt;"",--(AX203="Congé"),0),IF($AZ$5&lt;&gt;"",--(AZ203="Congé"),0),IF($BB$5&lt;&gt;"",--(BB203="Congé"),0),IF($BD$5&lt;&gt;"",--(BD203="Congé"),0),IF($BF$5&lt;&gt;"",--(BF203="Congé"),0),IF($BH$5&lt;&gt;"",--(BH203="Congé"),0),IF($BJ$5&lt;&gt;"",--(BJ203="Congé"),0),IF($BL$5&lt;&gt;"",--(BL203="Congé"),0)))</f>
      </c>
      <c r="BQ203" s="22">
        <f>IF($A203="","",SUM(IF($D$5&lt;&gt;"",--(D203="Maladie"),0),IF($F$5&lt;&gt;"",--(F203="Maladie"),0),IF($H$5&lt;&gt;"",--(H203="Maladie"),0),IF($J$5&lt;&gt;"",--(J203="Maladie"),0),IF($L$5&lt;&gt;"",--(L203="Maladie"),0),IF($N$5&lt;&gt;"",--(N203="Maladie"),0),IF($P$5&lt;&gt;"",--(P203="Maladie"),0),IF($R$5&lt;&gt;"",--(R203="Maladie"),0),IF($T$5&lt;&gt;"",--(T203="Maladie"),0),IF($V$5&lt;&gt;"",--(V203="Maladie"),0),IF($X$5&lt;&gt;"",--(X203="Maladie"),0),IF($Z$5&lt;&gt;"",--(Z203="Maladie"),0),IF($AB$5&lt;&gt;"",--(AB203="Maladie"),0),IF($AD$5&lt;&gt;"",--(AD203="Maladie"),0),IF($AF$5&lt;&gt;"",--(AF203="Maladie"),0),IF($AH$5&lt;&gt;"",--(AH203="Maladie"),0),IF($AJ$5&lt;&gt;"",--(AJ203="Maladie"),0),IF($AL$5&lt;&gt;"",--(AL203="Maladie"),0),IF($AN$5&lt;&gt;"",--(AN203="Maladie"),0),IF($AP$5&lt;&gt;"",--(AP203="Maladie"),0),IF($AR$5&lt;&gt;"",--(AR203="Maladie"),0),IF($AT$5&lt;&gt;"",--(AT203="Maladie"),0),IF($AV$5&lt;&gt;"",--(AV203="Maladie"),0),IF($AX$5&lt;&gt;"",--(AX203="Maladie"),0),IF($AZ$5&lt;&gt;"",--(AZ203="Maladie"),0),IF($BB$5&lt;&gt;"",--(BB203="Maladie"),0),IF($BD$5&lt;&gt;"",--(BD203="Maladie"),0),IF($BF$5&lt;&gt;"",--(BF203="Maladie"),0),IF($BH$5&lt;&gt;"",--(BH203="Maladie"),0),IF($BJ$5&lt;&gt;"",--(BJ203="Maladie"),0),IF($BL$5&lt;&gt;"",--(BL203="Maladie"),0)))</f>
      </c>
      <c r="BR203" s="23">
        <f>IF($A203="","",SUM(IF($D$5&lt;&gt;"",IF(D203="Présent",E203,0),0),IF($F$5&lt;&gt;"",IF(F203="Présent",G203,0),0),IF($H$5&lt;&gt;"",IF(H203="Présent",I203,0),0),IF($J$5&lt;&gt;"",IF(J203="Présent",K203,0),0),IF($L$5&lt;&gt;"",IF(L203="Présent",M203,0),0),IF($N$5&lt;&gt;"",IF(N203="Présent",O203,0),0),IF($P$5&lt;&gt;"",IF(P203="Présent",Q203,0),0),IF($R$5&lt;&gt;"",IF(R203="Présent",S203,0),0),IF($T$5&lt;&gt;"",IF(T203="Présent",U203,0),0),IF($V$5&lt;&gt;"",IF(V203="Présent",W203,0),0),IF($X$5&lt;&gt;"",IF(X203="Présent",Y203,0),0),IF($Z$5&lt;&gt;"",IF(Z203="Présent",AA203,0),0),IF($AB$5&lt;&gt;"",IF(AB203="Présent",AC203,0),0),IF($AD$5&lt;&gt;"",IF(AD203="Présent",AE203,0),0),IF($AF$5&lt;&gt;"",IF(AF203="Présent",AG203,0),0),IF($AH$5&lt;&gt;"",IF(AH203="Présent",AI203,0),0),IF($AJ$5&lt;&gt;"",IF(AJ203="Présent",AK203,0),0),IF($AL$5&lt;&gt;"",IF(AL203="Présent",AM203,0),0),IF($AN$5&lt;&gt;"",IF(AN203="Présent",AO203,0),0),IF($AP$5&lt;&gt;"",IF(AP203="Présent",AQ203,0),0),IF($AR$5&lt;&gt;"",IF(AR203="Présent",AS203,0),0),IF($AT$5&lt;&gt;"",IF(AT203="Présent",AU203,0),0),IF($AV$5&lt;&gt;"",IF(AV203="Présent",AW203,0),0),IF($AX$5&lt;&gt;"",IF(AX203="Présent",AY203,0),0),IF($AZ$5&lt;&gt;"",IF(AZ203="Présent",BA203,0),0),IF($BB$5&lt;&gt;"",IF(BB203="Présent",BC203,0),0),IF($BD$5&lt;&gt;"",IF(BD203="Présent",BE203,0),0),IF($BF$5&lt;&gt;"",IF(BF203="Présent",BG203,0),0),IF($BH$5&lt;&gt;"",IF(BH203="Présent",BI203,0),0),IF($BJ$5&lt;&gt;"",IF(BJ203="Présent",BK203,0),0),IF($BL$5&lt;&gt;"",IF(BL203="Présent",BM203,0),0)))</f>
      </c>
      <c r="BS203" s="25">
        <f>IF($A203="","",$BN203*IFERROR(INDEX(Categories_Salaire,MATCH($C203,ListeCategories,0)),0)+$BR203*IF(IFERROR(INDEX(Categories_TauxHS,MATCH($C203,ListeCategories,0)),0)&gt;0,IFERROR(INDEX(Categories_TauxHS,MATCH($C203,ListeCategories,0)),0),TauxHSDefaut))</f>
      </c>
    </row>
    <row r="204">
      <c r="A204" s="20">
        <f>IF(AND(INDEX(Employes_Nom,198)&lt;&gt;"",INDEX(Employes_Statut,198)="Actif",OR(INDEX(Employes_Embauche,198)="",INDEX(Employes_Embauche,198)&lt;=EOMONTH(DATE(AnneeCourante,MoisCourant,1),0))),INDEX(Employes_ID,198),"")</f>
      </c>
      <c r="B204" s="19">
        <f>IF($A204="","",INDEX(Employes_Nom,MATCH($A204,Employes_ID,0)))</f>
      </c>
      <c r="C204" s="20">
        <f>IF($A204="","",INDEX(Employes_Categorie,MATCH($A204,Employes_ID,0)))</f>
      </c>
      <c r="D204" s="26"/>
      <c r="E204" s="27"/>
      <c r="F204" s="26"/>
      <c r="G204" s="27"/>
      <c r="H204" s="26"/>
      <c r="I204" s="27"/>
      <c r="J204" s="26"/>
      <c r="K204" s="27"/>
      <c r="L204" s="26"/>
      <c r="M204" s="27"/>
      <c r="N204" s="26"/>
      <c r="O204" s="27"/>
      <c r="P204" s="26"/>
      <c r="Q204" s="27"/>
      <c r="R204" s="26"/>
      <c r="S204" s="27"/>
      <c r="T204" s="26"/>
      <c r="U204" s="27"/>
      <c r="V204" s="26"/>
      <c r="W204" s="27"/>
      <c r="X204" s="26"/>
      <c r="Y204" s="27"/>
      <c r="Z204" s="26"/>
      <c r="AA204" s="27"/>
      <c r="AB204" s="26"/>
      <c r="AC204" s="27"/>
      <c r="AD204" s="26"/>
      <c r="AE204" s="27"/>
      <c r="AF204" s="26"/>
      <c r="AG204" s="27"/>
      <c r="AH204" s="26"/>
      <c r="AI204" s="27"/>
      <c r="AJ204" s="26"/>
      <c r="AK204" s="27"/>
      <c r="AL204" s="26"/>
      <c r="AM204" s="27"/>
      <c r="AN204" s="26"/>
      <c r="AO204" s="27"/>
      <c r="AP204" s="26"/>
      <c r="AQ204" s="27"/>
      <c r="AR204" s="26"/>
      <c r="AS204" s="27"/>
      <c r="AT204" s="26"/>
      <c r="AU204" s="27"/>
      <c r="AV204" s="26"/>
      <c r="AW204" s="27"/>
      <c r="AX204" s="26"/>
      <c r="AY204" s="27"/>
      <c r="AZ204" s="26"/>
      <c r="BA204" s="27"/>
      <c r="BB204" s="26"/>
      <c r="BC204" s="27"/>
      <c r="BD204" s="26"/>
      <c r="BE204" s="27"/>
      <c r="BF204" s="26"/>
      <c r="BG204" s="27"/>
      <c r="BH204" s="26"/>
      <c r="BI204" s="27"/>
      <c r="BJ204" s="26"/>
      <c r="BK204" s="27"/>
      <c r="BL204" s="26"/>
      <c r="BM204" s="27"/>
      <c r="BN204" s="22">
        <f>IF($A204="","",SUM(IF($D$5&lt;&gt;"",--(D204="Présent"),0),IF($F$5&lt;&gt;"",--(F204="Présent"),0),IF($H$5&lt;&gt;"",--(H204="Présent"),0),IF($J$5&lt;&gt;"",--(J204="Présent"),0),IF($L$5&lt;&gt;"",--(L204="Présent"),0),IF($N$5&lt;&gt;"",--(N204="Présent"),0),IF($P$5&lt;&gt;"",--(P204="Présent"),0),IF($R$5&lt;&gt;"",--(R204="Présent"),0),IF($T$5&lt;&gt;"",--(T204="Présent"),0),IF($V$5&lt;&gt;"",--(V204="Présent"),0),IF($X$5&lt;&gt;"",--(X204="Présent"),0),IF($Z$5&lt;&gt;"",--(Z204="Présent"),0),IF($AB$5&lt;&gt;"",--(AB204="Présent"),0),IF($AD$5&lt;&gt;"",--(AD204="Présent"),0),IF($AF$5&lt;&gt;"",--(AF204="Présent"),0),IF($AH$5&lt;&gt;"",--(AH204="Présent"),0),IF($AJ$5&lt;&gt;"",--(AJ204="Présent"),0),IF($AL$5&lt;&gt;"",--(AL204="Présent"),0),IF($AN$5&lt;&gt;"",--(AN204="Présent"),0),IF($AP$5&lt;&gt;"",--(AP204="Présent"),0),IF($AR$5&lt;&gt;"",--(AR204="Présent"),0),IF($AT$5&lt;&gt;"",--(AT204="Présent"),0),IF($AV$5&lt;&gt;"",--(AV204="Présent"),0),IF($AX$5&lt;&gt;"",--(AX204="Présent"),0),IF($AZ$5&lt;&gt;"",--(AZ204="Présent"),0),IF($BB$5&lt;&gt;"",--(BB204="Présent"),0),IF($BD$5&lt;&gt;"",--(BD204="Présent"),0),IF($BF$5&lt;&gt;"",--(BF204="Présent"),0),IF($BH$5&lt;&gt;"",--(BH204="Présent"),0),IF($BJ$5&lt;&gt;"",--(BJ204="Présent"),0),IF($BL$5&lt;&gt;"",--(BL204="Présent"),0)))</f>
      </c>
      <c r="BO204" s="22">
        <f>IF($A204="","",SUM(IF($D$5&lt;&gt;"",--(D204="Absent"),0),IF($F$5&lt;&gt;"",--(F204="Absent"),0),IF($H$5&lt;&gt;"",--(H204="Absent"),0),IF($J$5&lt;&gt;"",--(J204="Absent"),0),IF($L$5&lt;&gt;"",--(L204="Absent"),0),IF($N$5&lt;&gt;"",--(N204="Absent"),0),IF($P$5&lt;&gt;"",--(P204="Absent"),0),IF($R$5&lt;&gt;"",--(R204="Absent"),0),IF($T$5&lt;&gt;"",--(T204="Absent"),0),IF($V$5&lt;&gt;"",--(V204="Absent"),0),IF($X$5&lt;&gt;"",--(X204="Absent"),0),IF($Z$5&lt;&gt;"",--(Z204="Absent"),0),IF($AB$5&lt;&gt;"",--(AB204="Absent"),0),IF($AD$5&lt;&gt;"",--(AD204="Absent"),0),IF($AF$5&lt;&gt;"",--(AF204="Absent"),0),IF($AH$5&lt;&gt;"",--(AH204="Absent"),0),IF($AJ$5&lt;&gt;"",--(AJ204="Absent"),0),IF($AL$5&lt;&gt;"",--(AL204="Absent"),0),IF($AN$5&lt;&gt;"",--(AN204="Absent"),0),IF($AP$5&lt;&gt;"",--(AP204="Absent"),0),IF($AR$5&lt;&gt;"",--(AR204="Absent"),0),IF($AT$5&lt;&gt;"",--(AT204="Absent"),0),IF($AV$5&lt;&gt;"",--(AV204="Absent"),0),IF($AX$5&lt;&gt;"",--(AX204="Absent"),0),IF($AZ$5&lt;&gt;"",--(AZ204="Absent"),0),IF($BB$5&lt;&gt;"",--(BB204="Absent"),0),IF($BD$5&lt;&gt;"",--(BD204="Absent"),0),IF($BF$5&lt;&gt;"",--(BF204="Absent"),0),IF($BH$5&lt;&gt;"",--(BH204="Absent"),0),IF($BJ$5&lt;&gt;"",--(BJ204="Absent"),0),IF($BL$5&lt;&gt;"",--(BL204="Absent"),0)))</f>
      </c>
      <c r="BP204" s="22">
        <f>IF($A204="","",SUM(IF($D$5&lt;&gt;"",--(D204="Congé"),0),IF($F$5&lt;&gt;"",--(F204="Congé"),0),IF($H$5&lt;&gt;"",--(H204="Congé"),0),IF($J$5&lt;&gt;"",--(J204="Congé"),0),IF($L$5&lt;&gt;"",--(L204="Congé"),0),IF($N$5&lt;&gt;"",--(N204="Congé"),0),IF($P$5&lt;&gt;"",--(P204="Congé"),0),IF($R$5&lt;&gt;"",--(R204="Congé"),0),IF($T$5&lt;&gt;"",--(T204="Congé"),0),IF($V$5&lt;&gt;"",--(V204="Congé"),0),IF($X$5&lt;&gt;"",--(X204="Congé"),0),IF($Z$5&lt;&gt;"",--(Z204="Congé"),0),IF($AB$5&lt;&gt;"",--(AB204="Congé"),0),IF($AD$5&lt;&gt;"",--(AD204="Congé"),0),IF($AF$5&lt;&gt;"",--(AF204="Congé"),0),IF($AH$5&lt;&gt;"",--(AH204="Congé"),0),IF($AJ$5&lt;&gt;"",--(AJ204="Congé"),0),IF($AL$5&lt;&gt;"",--(AL204="Congé"),0),IF($AN$5&lt;&gt;"",--(AN204="Congé"),0),IF($AP$5&lt;&gt;"",--(AP204="Congé"),0),IF($AR$5&lt;&gt;"",--(AR204="Congé"),0),IF($AT$5&lt;&gt;"",--(AT204="Congé"),0),IF($AV$5&lt;&gt;"",--(AV204="Congé"),0),IF($AX$5&lt;&gt;"",--(AX204="Congé"),0),IF($AZ$5&lt;&gt;"",--(AZ204="Congé"),0),IF($BB$5&lt;&gt;"",--(BB204="Congé"),0),IF($BD$5&lt;&gt;"",--(BD204="Congé"),0),IF($BF$5&lt;&gt;"",--(BF204="Congé"),0),IF($BH$5&lt;&gt;"",--(BH204="Congé"),0),IF($BJ$5&lt;&gt;"",--(BJ204="Congé"),0),IF($BL$5&lt;&gt;"",--(BL204="Congé"),0)))</f>
      </c>
      <c r="BQ204" s="22">
        <f>IF($A204="","",SUM(IF($D$5&lt;&gt;"",--(D204="Maladie"),0),IF($F$5&lt;&gt;"",--(F204="Maladie"),0),IF($H$5&lt;&gt;"",--(H204="Maladie"),0),IF($J$5&lt;&gt;"",--(J204="Maladie"),0),IF($L$5&lt;&gt;"",--(L204="Maladie"),0),IF($N$5&lt;&gt;"",--(N204="Maladie"),0),IF($P$5&lt;&gt;"",--(P204="Maladie"),0),IF($R$5&lt;&gt;"",--(R204="Maladie"),0),IF($T$5&lt;&gt;"",--(T204="Maladie"),0),IF($V$5&lt;&gt;"",--(V204="Maladie"),0),IF($X$5&lt;&gt;"",--(X204="Maladie"),0),IF($Z$5&lt;&gt;"",--(Z204="Maladie"),0),IF($AB$5&lt;&gt;"",--(AB204="Maladie"),0),IF($AD$5&lt;&gt;"",--(AD204="Maladie"),0),IF($AF$5&lt;&gt;"",--(AF204="Maladie"),0),IF($AH$5&lt;&gt;"",--(AH204="Maladie"),0),IF($AJ$5&lt;&gt;"",--(AJ204="Maladie"),0),IF($AL$5&lt;&gt;"",--(AL204="Maladie"),0),IF($AN$5&lt;&gt;"",--(AN204="Maladie"),0),IF($AP$5&lt;&gt;"",--(AP204="Maladie"),0),IF($AR$5&lt;&gt;"",--(AR204="Maladie"),0),IF($AT$5&lt;&gt;"",--(AT204="Maladie"),0),IF($AV$5&lt;&gt;"",--(AV204="Maladie"),0),IF($AX$5&lt;&gt;"",--(AX204="Maladie"),0),IF($AZ$5&lt;&gt;"",--(AZ204="Maladie"),0),IF($BB$5&lt;&gt;"",--(BB204="Maladie"),0),IF($BD$5&lt;&gt;"",--(BD204="Maladie"),0),IF($BF$5&lt;&gt;"",--(BF204="Maladie"),0),IF($BH$5&lt;&gt;"",--(BH204="Maladie"),0),IF($BJ$5&lt;&gt;"",--(BJ204="Maladie"),0),IF($BL$5&lt;&gt;"",--(BL204="Maladie"),0)))</f>
      </c>
      <c r="BR204" s="23">
        <f>IF($A204="","",SUM(IF($D$5&lt;&gt;"",IF(D204="Présent",E204,0),0),IF($F$5&lt;&gt;"",IF(F204="Présent",G204,0),0),IF($H$5&lt;&gt;"",IF(H204="Présent",I204,0),0),IF($J$5&lt;&gt;"",IF(J204="Présent",K204,0),0),IF($L$5&lt;&gt;"",IF(L204="Présent",M204,0),0),IF($N$5&lt;&gt;"",IF(N204="Présent",O204,0),0),IF($P$5&lt;&gt;"",IF(P204="Présent",Q204,0),0),IF($R$5&lt;&gt;"",IF(R204="Présent",S204,0),0),IF($T$5&lt;&gt;"",IF(T204="Présent",U204,0),0),IF($V$5&lt;&gt;"",IF(V204="Présent",W204,0),0),IF($X$5&lt;&gt;"",IF(X204="Présent",Y204,0),0),IF($Z$5&lt;&gt;"",IF(Z204="Présent",AA204,0),0),IF($AB$5&lt;&gt;"",IF(AB204="Présent",AC204,0),0),IF($AD$5&lt;&gt;"",IF(AD204="Présent",AE204,0),0),IF($AF$5&lt;&gt;"",IF(AF204="Présent",AG204,0),0),IF($AH$5&lt;&gt;"",IF(AH204="Présent",AI204,0),0),IF($AJ$5&lt;&gt;"",IF(AJ204="Présent",AK204,0),0),IF($AL$5&lt;&gt;"",IF(AL204="Présent",AM204,0),0),IF($AN$5&lt;&gt;"",IF(AN204="Présent",AO204,0),0),IF($AP$5&lt;&gt;"",IF(AP204="Présent",AQ204,0),0),IF($AR$5&lt;&gt;"",IF(AR204="Présent",AS204,0),0),IF($AT$5&lt;&gt;"",IF(AT204="Présent",AU204,0),0),IF($AV$5&lt;&gt;"",IF(AV204="Présent",AW204,0),0),IF($AX$5&lt;&gt;"",IF(AX204="Présent",AY204,0),0),IF($AZ$5&lt;&gt;"",IF(AZ204="Présent",BA204,0),0),IF($BB$5&lt;&gt;"",IF(BB204="Présent",BC204,0),0),IF($BD$5&lt;&gt;"",IF(BD204="Présent",BE204,0),0),IF($BF$5&lt;&gt;"",IF(BF204="Présent",BG204,0),0),IF($BH$5&lt;&gt;"",IF(BH204="Présent",BI204,0),0),IF($BJ$5&lt;&gt;"",IF(BJ204="Présent",BK204,0),0),IF($BL$5&lt;&gt;"",IF(BL204="Présent",BM204,0),0)))</f>
      </c>
      <c r="BS204" s="25">
        <f>IF($A204="","",$BN204*IFERROR(INDEX(Categories_Salaire,MATCH($C204,ListeCategories,0)),0)+$BR204*IF(IFERROR(INDEX(Categories_TauxHS,MATCH($C204,ListeCategories,0)),0)&gt;0,IFERROR(INDEX(Categories_TauxHS,MATCH($C204,ListeCategories,0)),0),TauxHSDefaut))</f>
      </c>
    </row>
    <row r="205">
      <c r="A205" s="20">
        <f>IF(AND(INDEX(Employes_Nom,199)&lt;&gt;"",INDEX(Employes_Statut,199)="Actif",OR(INDEX(Employes_Embauche,199)="",INDEX(Employes_Embauche,199)&lt;=EOMONTH(DATE(AnneeCourante,MoisCourant,1),0))),INDEX(Employes_ID,199),"")</f>
      </c>
      <c r="B205" s="19">
        <f>IF($A205="","",INDEX(Employes_Nom,MATCH($A205,Employes_ID,0)))</f>
      </c>
      <c r="C205" s="20">
        <f>IF($A205="","",INDEX(Employes_Categorie,MATCH($A205,Employes_ID,0)))</f>
      </c>
      <c r="D205" s="26"/>
      <c r="E205" s="27"/>
      <c r="F205" s="26"/>
      <c r="G205" s="27"/>
      <c r="H205" s="26"/>
      <c r="I205" s="27"/>
      <c r="J205" s="26"/>
      <c r="K205" s="27"/>
      <c r="L205" s="26"/>
      <c r="M205" s="27"/>
      <c r="N205" s="26"/>
      <c r="O205" s="27"/>
      <c r="P205" s="26"/>
      <c r="Q205" s="27"/>
      <c r="R205" s="26"/>
      <c r="S205" s="27"/>
      <c r="T205" s="26"/>
      <c r="U205" s="27"/>
      <c r="V205" s="26"/>
      <c r="W205" s="27"/>
      <c r="X205" s="26"/>
      <c r="Y205" s="27"/>
      <c r="Z205" s="26"/>
      <c r="AA205" s="27"/>
      <c r="AB205" s="26"/>
      <c r="AC205" s="27"/>
      <c r="AD205" s="26"/>
      <c r="AE205" s="27"/>
      <c r="AF205" s="26"/>
      <c r="AG205" s="27"/>
      <c r="AH205" s="26"/>
      <c r="AI205" s="27"/>
      <c r="AJ205" s="26"/>
      <c r="AK205" s="27"/>
      <c r="AL205" s="26"/>
      <c r="AM205" s="27"/>
      <c r="AN205" s="26"/>
      <c r="AO205" s="27"/>
      <c r="AP205" s="26"/>
      <c r="AQ205" s="27"/>
      <c r="AR205" s="26"/>
      <c r="AS205" s="27"/>
      <c r="AT205" s="26"/>
      <c r="AU205" s="27"/>
      <c r="AV205" s="26"/>
      <c r="AW205" s="27"/>
      <c r="AX205" s="26"/>
      <c r="AY205" s="27"/>
      <c r="AZ205" s="26"/>
      <c r="BA205" s="27"/>
      <c r="BB205" s="26"/>
      <c r="BC205" s="27"/>
      <c r="BD205" s="26"/>
      <c r="BE205" s="27"/>
      <c r="BF205" s="26"/>
      <c r="BG205" s="27"/>
      <c r="BH205" s="26"/>
      <c r="BI205" s="27"/>
      <c r="BJ205" s="26"/>
      <c r="BK205" s="27"/>
      <c r="BL205" s="26"/>
      <c r="BM205" s="27"/>
      <c r="BN205" s="22">
        <f>IF($A205="","",SUM(IF($D$5&lt;&gt;"",--(D205="Présent"),0),IF($F$5&lt;&gt;"",--(F205="Présent"),0),IF($H$5&lt;&gt;"",--(H205="Présent"),0),IF($J$5&lt;&gt;"",--(J205="Présent"),0),IF($L$5&lt;&gt;"",--(L205="Présent"),0),IF($N$5&lt;&gt;"",--(N205="Présent"),0),IF($P$5&lt;&gt;"",--(P205="Présent"),0),IF($R$5&lt;&gt;"",--(R205="Présent"),0),IF($T$5&lt;&gt;"",--(T205="Présent"),0),IF($V$5&lt;&gt;"",--(V205="Présent"),0),IF($X$5&lt;&gt;"",--(X205="Présent"),0),IF($Z$5&lt;&gt;"",--(Z205="Présent"),0),IF($AB$5&lt;&gt;"",--(AB205="Présent"),0),IF($AD$5&lt;&gt;"",--(AD205="Présent"),0),IF($AF$5&lt;&gt;"",--(AF205="Présent"),0),IF($AH$5&lt;&gt;"",--(AH205="Présent"),0),IF($AJ$5&lt;&gt;"",--(AJ205="Présent"),0),IF($AL$5&lt;&gt;"",--(AL205="Présent"),0),IF($AN$5&lt;&gt;"",--(AN205="Présent"),0),IF($AP$5&lt;&gt;"",--(AP205="Présent"),0),IF($AR$5&lt;&gt;"",--(AR205="Présent"),0),IF($AT$5&lt;&gt;"",--(AT205="Présent"),0),IF($AV$5&lt;&gt;"",--(AV205="Présent"),0),IF($AX$5&lt;&gt;"",--(AX205="Présent"),0),IF($AZ$5&lt;&gt;"",--(AZ205="Présent"),0),IF($BB$5&lt;&gt;"",--(BB205="Présent"),0),IF($BD$5&lt;&gt;"",--(BD205="Présent"),0),IF($BF$5&lt;&gt;"",--(BF205="Présent"),0),IF($BH$5&lt;&gt;"",--(BH205="Présent"),0),IF($BJ$5&lt;&gt;"",--(BJ205="Présent"),0),IF($BL$5&lt;&gt;"",--(BL205="Présent"),0)))</f>
      </c>
      <c r="BO205" s="22">
        <f>IF($A205="","",SUM(IF($D$5&lt;&gt;"",--(D205="Absent"),0),IF($F$5&lt;&gt;"",--(F205="Absent"),0),IF($H$5&lt;&gt;"",--(H205="Absent"),0),IF($J$5&lt;&gt;"",--(J205="Absent"),0),IF($L$5&lt;&gt;"",--(L205="Absent"),0),IF($N$5&lt;&gt;"",--(N205="Absent"),0),IF($P$5&lt;&gt;"",--(P205="Absent"),0),IF($R$5&lt;&gt;"",--(R205="Absent"),0),IF($T$5&lt;&gt;"",--(T205="Absent"),0),IF($V$5&lt;&gt;"",--(V205="Absent"),0),IF($X$5&lt;&gt;"",--(X205="Absent"),0),IF($Z$5&lt;&gt;"",--(Z205="Absent"),0),IF($AB$5&lt;&gt;"",--(AB205="Absent"),0),IF($AD$5&lt;&gt;"",--(AD205="Absent"),0),IF($AF$5&lt;&gt;"",--(AF205="Absent"),0),IF($AH$5&lt;&gt;"",--(AH205="Absent"),0),IF($AJ$5&lt;&gt;"",--(AJ205="Absent"),0),IF($AL$5&lt;&gt;"",--(AL205="Absent"),0),IF($AN$5&lt;&gt;"",--(AN205="Absent"),0),IF($AP$5&lt;&gt;"",--(AP205="Absent"),0),IF($AR$5&lt;&gt;"",--(AR205="Absent"),0),IF($AT$5&lt;&gt;"",--(AT205="Absent"),0),IF($AV$5&lt;&gt;"",--(AV205="Absent"),0),IF($AX$5&lt;&gt;"",--(AX205="Absent"),0),IF($AZ$5&lt;&gt;"",--(AZ205="Absent"),0),IF($BB$5&lt;&gt;"",--(BB205="Absent"),0),IF($BD$5&lt;&gt;"",--(BD205="Absent"),0),IF($BF$5&lt;&gt;"",--(BF205="Absent"),0),IF($BH$5&lt;&gt;"",--(BH205="Absent"),0),IF($BJ$5&lt;&gt;"",--(BJ205="Absent"),0),IF($BL$5&lt;&gt;"",--(BL205="Absent"),0)))</f>
      </c>
      <c r="BP205" s="22">
        <f>IF($A205="","",SUM(IF($D$5&lt;&gt;"",--(D205="Congé"),0),IF($F$5&lt;&gt;"",--(F205="Congé"),0),IF($H$5&lt;&gt;"",--(H205="Congé"),0),IF($J$5&lt;&gt;"",--(J205="Congé"),0),IF($L$5&lt;&gt;"",--(L205="Congé"),0),IF($N$5&lt;&gt;"",--(N205="Congé"),0),IF($P$5&lt;&gt;"",--(P205="Congé"),0),IF($R$5&lt;&gt;"",--(R205="Congé"),0),IF($T$5&lt;&gt;"",--(T205="Congé"),0),IF($V$5&lt;&gt;"",--(V205="Congé"),0),IF($X$5&lt;&gt;"",--(X205="Congé"),0),IF($Z$5&lt;&gt;"",--(Z205="Congé"),0),IF($AB$5&lt;&gt;"",--(AB205="Congé"),0),IF($AD$5&lt;&gt;"",--(AD205="Congé"),0),IF($AF$5&lt;&gt;"",--(AF205="Congé"),0),IF($AH$5&lt;&gt;"",--(AH205="Congé"),0),IF($AJ$5&lt;&gt;"",--(AJ205="Congé"),0),IF($AL$5&lt;&gt;"",--(AL205="Congé"),0),IF($AN$5&lt;&gt;"",--(AN205="Congé"),0),IF($AP$5&lt;&gt;"",--(AP205="Congé"),0),IF($AR$5&lt;&gt;"",--(AR205="Congé"),0),IF($AT$5&lt;&gt;"",--(AT205="Congé"),0),IF($AV$5&lt;&gt;"",--(AV205="Congé"),0),IF($AX$5&lt;&gt;"",--(AX205="Congé"),0),IF($AZ$5&lt;&gt;"",--(AZ205="Congé"),0),IF($BB$5&lt;&gt;"",--(BB205="Congé"),0),IF($BD$5&lt;&gt;"",--(BD205="Congé"),0),IF($BF$5&lt;&gt;"",--(BF205="Congé"),0),IF($BH$5&lt;&gt;"",--(BH205="Congé"),0),IF($BJ$5&lt;&gt;"",--(BJ205="Congé"),0),IF($BL$5&lt;&gt;"",--(BL205="Congé"),0)))</f>
      </c>
      <c r="BQ205" s="22">
        <f>IF($A205="","",SUM(IF($D$5&lt;&gt;"",--(D205="Maladie"),0),IF($F$5&lt;&gt;"",--(F205="Maladie"),0),IF($H$5&lt;&gt;"",--(H205="Maladie"),0),IF($J$5&lt;&gt;"",--(J205="Maladie"),0),IF($L$5&lt;&gt;"",--(L205="Maladie"),0),IF($N$5&lt;&gt;"",--(N205="Maladie"),0),IF($P$5&lt;&gt;"",--(P205="Maladie"),0),IF($R$5&lt;&gt;"",--(R205="Maladie"),0),IF($T$5&lt;&gt;"",--(T205="Maladie"),0),IF($V$5&lt;&gt;"",--(V205="Maladie"),0),IF($X$5&lt;&gt;"",--(X205="Maladie"),0),IF($Z$5&lt;&gt;"",--(Z205="Maladie"),0),IF($AB$5&lt;&gt;"",--(AB205="Maladie"),0),IF($AD$5&lt;&gt;"",--(AD205="Maladie"),0),IF($AF$5&lt;&gt;"",--(AF205="Maladie"),0),IF($AH$5&lt;&gt;"",--(AH205="Maladie"),0),IF($AJ$5&lt;&gt;"",--(AJ205="Maladie"),0),IF($AL$5&lt;&gt;"",--(AL205="Maladie"),0),IF($AN$5&lt;&gt;"",--(AN205="Maladie"),0),IF($AP$5&lt;&gt;"",--(AP205="Maladie"),0),IF($AR$5&lt;&gt;"",--(AR205="Maladie"),0),IF($AT$5&lt;&gt;"",--(AT205="Maladie"),0),IF($AV$5&lt;&gt;"",--(AV205="Maladie"),0),IF($AX$5&lt;&gt;"",--(AX205="Maladie"),0),IF($AZ$5&lt;&gt;"",--(AZ205="Maladie"),0),IF($BB$5&lt;&gt;"",--(BB205="Maladie"),0),IF($BD$5&lt;&gt;"",--(BD205="Maladie"),0),IF($BF$5&lt;&gt;"",--(BF205="Maladie"),0),IF($BH$5&lt;&gt;"",--(BH205="Maladie"),0),IF($BJ$5&lt;&gt;"",--(BJ205="Maladie"),0),IF($BL$5&lt;&gt;"",--(BL205="Maladie"),0)))</f>
      </c>
      <c r="BR205" s="23">
        <f>IF($A205="","",SUM(IF($D$5&lt;&gt;"",IF(D205="Présent",E205,0),0),IF($F$5&lt;&gt;"",IF(F205="Présent",G205,0),0),IF($H$5&lt;&gt;"",IF(H205="Présent",I205,0),0),IF($J$5&lt;&gt;"",IF(J205="Présent",K205,0),0),IF($L$5&lt;&gt;"",IF(L205="Présent",M205,0),0),IF($N$5&lt;&gt;"",IF(N205="Présent",O205,0),0),IF($P$5&lt;&gt;"",IF(P205="Présent",Q205,0),0),IF($R$5&lt;&gt;"",IF(R205="Présent",S205,0),0),IF($T$5&lt;&gt;"",IF(T205="Présent",U205,0),0),IF($V$5&lt;&gt;"",IF(V205="Présent",W205,0),0),IF($X$5&lt;&gt;"",IF(X205="Présent",Y205,0),0),IF($Z$5&lt;&gt;"",IF(Z205="Présent",AA205,0),0),IF($AB$5&lt;&gt;"",IF(AB205="Présent",AC205,0),0),IF($AD$5&lt;&gt;"",IF(AD205="Présent",AE205,0),0),IF($AF$5&lt;&gt;"",IF(AF205="Présent",AG205,0),0),IF($AH$5&lt;&gt;"",IF(AH205="Présent",AI205,0),0),IF($AJ$5&lt;&gt;"",IF(AJ205="Présent",AK205,0),0),IF($AL$5&lt;&gt;"",IF(AL205="Présent",AM205,0),0),IF($AN$5&lt;&gt;"",IF(AN205="Présent",AO205,0),0),IF($AP$5&lt;&gt;"",IF(AP205="Présent",AQ205,0),0),IF($AR$5&lt;&gt;"",IF(AR205="Présent",AS205,0),0),IF($AT$5&lt;&gt;"",IF(AT205="Présent",AU205,0),0),IF($AV$5&lt;&gt;"",IF(AV205="Présent",AW205,0),0),IF($AX$5&lt;&gt;"",IF(AX205="Présent",AY205,0),0),IF($AZ$5&lt;&gt;"",IF(AZ205="Présent",BA205,0),0),IF($BB$5&lt;&gt;"",IF(BB205="Présent",BC205,0),0),IF($BD$5&lt;&gt;"",IF(BD205="Présent",BE205,0),0),IF($BF$5&lt;&gt;"",IF(BF205="Présent",BG205,0),0),IF($BH$5&lt;&gt;"",IF(BH205="Présent",BI205,0),0),IF($BJ$5&lt;&gt;"",IF(BJ205="Présent",BK205,0),0),IF($BL$5&lt;&gt;"",IF(BL205="Présent",BM205,0),0)))</f>
      </c>
      <c r="BS205" s="25">
        <f>IF($A205="","",$BN205*IFERROR(INDEX(Categories_Salaire,MATCH($C205,ListeCategories,0)),0)+$BR205*IF(IFERROR(INDEX(Categories_TauxHS,MATCH($C205,ListeCategories,0)),0)&gt;0,IFERROR(INDEX(Categories_TauxHS,MATCH($C205,ListeCategories,0)),0),TauxHSDefaut))</f>
      </c>
    </row>
    <row r="206">
      <c r="A206" s="20">
        <f>IF(AND(INDEX(Employes_Nom,200)&lt;&gt;"",INDEX(Employes_Statut,200)="Actif",OR(INDEX(Employes_Embauche,200)="",INDEX(Employes_Embauche,200)&lt;=EOMONTH(DATE(AnneeCourante,MoisCourant,1),0))),INDEX(Employes_ID,200),"")</f>
      </c>
      <c r="B206" s="19">
        <f>IF($A206="","",INDEX(Employes_Nom,MATCH($A206,Employes_ID,0)))</f>
      </c>
      <c r="C206" s="20">
        <f>IF($A206="","",INDEX(Employes_Categorie,MATCH($A206,Employes_ID,0)))</f>
      </c>
      <c r="D206" s="26"/>
      <c r="E206" s="27"/>
      <c r="F206" s="26"/>
      <c r="G206" s="27"/>
      <c r="H206" s="26"/>
      <c r="I206" s="27"/>
      <c r="J206" s="26"/>
      <c r="K206" s="27"/>
      <c r="L206" s="26"/>
      <c r="M206" s="27"/>
      <c r="N206" s="26"/>
      <c r="O206" s="27"/>
      <c r="P206" s="26"/>
      <c r="Q206" s="27"/>
      <c r="R206" s="26"/>
      <c r="S206" s="27"/>
      <c r="T206" s="26"/>
      <c r="U206" s="27"/>
      <c r="V206" s="26"/>
      <c r="W206" s="27"/>
      <c r="X206" s="26"/>
      <c r="Y206" s="27"/>
      <c r="Z206" s="26"/>
      <c r="AA206" s="27"/>
      <c r="AB206" s="26"/>
      <c r="AC206" s="27"/>
      <c r="AD206" s="26"/>
      <c r="AE206" s="27"/>
      <c r="AF206" s="26"/>
      <c r="AG206" s="27"/>
      <c r="AH206" s="26"/>
      <c r="AI206" s="27"/>
      <c r="AJ206" s="26"/>
      <c r="AK206" s="27"/>
      <c r="AL206" s="26"/>
      <c r="AM206" s="27"/>
      <c r="AN206" s="26"/>
      <c r="AO206" s="27"/>
      <c r="AP206" s="26"/>
      <c r="AQ206" s="27"/>
      <c r="AR206" s="26"/>
      <c r="AS206" s="27"/>
      <c r="AT206" s="26"/>
      <c r="AU206" s="27"/>
      <c r="AV206" s="26"/>
      <c r="AW206" s="27"/>
      <c r="AX206" s="26"/>
      <c r="AY206" s="27"/>
      <c r="AZ206" s="26"/>
      <c r="BA206" s="27"/>
      <c r="BB206" s="26"/>
      <c r="BC206" s="27"/>
      <c r="BD206" s="26"/>
      <c r="BE206" s="27"/>
      <c r="BF206" s="26"/>
      <c r="BG206" s="27"/>
      <c r="BH206" s="26"/>
      <c r="BI206" s="27"/>
      <c r="BJ206" s="26"/>
      <c r="BK206" s="27"/>
      <c r="BL206" s="26"/>
      <c r="BM206" s="27"/>
      <c r="BN206" s="22">
        <f>IF($A206="","",SUM(IF($D$5&lt;&gt;"",--(D206="Présent"),0),IF($F$5&lt;&gt;"",--(F206="Présent"),0),IF($H$5&lt;&gt;"",--(H206="Présent"),0),IF($J$5&lt;&gt;"",--(J206="Présent"),0),IF($L$5&lt;&gt;"",--(L206="Présent"),0),IF($N$5&lt;&gt;"",--(N206="Présent"),0),IF($P$5&lt;&gt;"",--(P206="Présent"),0),IF($R$5&lt;&gt;"",--(R206="Présent"),0),IF($T$5&lt;&gt;"",--(T206="Présent"),0),IF($V$5&lt;&gt;"",--(V206="Présent"),0),IF($X$5&lt;&gt;"",--(X206="Présent"),0),IF($Z$5&lt;&gt;"",--(Z206="Présent"),0),IF($AB$5&lt;&gt;"",--(AB206="Présent"),0),IF($AD$5&lt;&gt;"",--(AD206="Présent"),0),IF($AF$5&lt;&gt;"",--(AF206="Présent"),0),IF($AH$5&lt;&gt;"",--(AH206="Présent"),0),IF($AJ$5&lt;&gt;"",--(AJ206="Présent"),0),IF($AL$5&lt;&gt;"",--(AL206="Présent"),0),IF($AN$5&lt;&gt;"",--(AN206="Présent"),0),IF($AP$5&lt;&gt;"",--(AP206="Présent"),0),IF($AR$5&lt;&gt;"",--(AR206="Présent"),0),IF($AT$5&lt;&gt;"",--(AT206="Présent"),0),IF($AV$5&lt;&gt;"",--(AV206="Présent"),0),IF($AX$5&lt;&gt;"",--(AX206="Présent"),0),IF($AZ$5&lt;&gt;"",--(AZ206="Présent"),0),IF($BB$5&lt;&gt;"",--(BB206="Présent"),0),IF($BD$5&lt;&gt;"",--(BD206="Présent"),0),IF($BF$5&lt;&gt;"",--(BF206="Présent"),0),IF($BH$5&lt;&gt;"",--(BH206="Présent"),0),IF($BJ$5&lt;&gt;"",--(BJ206="Présent"),0),IF($BL$5&lt;&gt;"",--(BL206="Présent"),0)))</f>
      </c>
      <c r="BO206" s="22">
        <f>IF($A206="","",SUM(IF($D$5&lt;&gt;"",--(D206="Absent"),0),IF($F$5&lt;&gt;"",--(F206="Absent"),0),IF($H$5&lt;&gt;"",--(H206="Absent"),0),IF($J$5&lt;&gt;"",--(J206="Absent"),0),IF($L$5&lt;&gt;"",--(L206="Absent"),0),IF($N$5&lt;&gt;"",--(N206="Absent"),0),IF($P$5&lt;&gt;"",--(P206="Absent"),0),IF($R$5&lt;&gt;"",--(R206="Absent"),0),IF($T$5&lt;&gt;"",--(T206="Absent"),0),IF($V$5&lt;&gt;"",--(V206="Absent"),0),IF($X$5&lt;&gt;"",--(X206="Absent"),0),IF($Z$5&lt;&gt;"",--(Z206="Absent"),0),IF($AB$5&lt;&gt;"",--(AB206="Absent"),0),IF($AD$5&lt;&gt;"",--(AD206="Absent"),0),IF($AF$5&lt;&gt;"",--(AF206="Absent"),0),IF($AH$5&lt;&gt;"",--(AH206="Absent"),0),IF($AJ$5&lt;&gt;"",--(AJ206="Absent"),0),IF($AL$5&lt;&gt;"",--(AL206="Absent"),0),IF($AN$5&lt;&gt;"",--(AN206="Absent"),0),IF($AP$5&lt;&gt;"",--(AP206="Absent"),0),IF($AR$5&lt;&gt;"",--(AR206="Absent"),0),IF($AT$5&lt;&gt;"",--(AT206="Absent"),0),IF($AV$5&lt;&gt;"",--(AV206="Absent"),0),IF($AX$5&lt;&gt;"",--(AX206="Absent"),0),IF($AZ$5&lt;&gt;"",--(AZ206="Absent"),0),IF($BB$5&lt;&gt;"",--(BB206="Absent"),0),IF($BD$5&lt;&gt;"",--(BD206="Absent"),0),IF($BF$5&lt;&gt;"",--(BF206="Absent"),0),IF($BH$5&lt;&gt;"",--(BH206="Absent"),0),IF($BJ$5&lt;&gt;"",--(BJ206="Absent"),0),IF($BL$5&lt;&gt;"",--(BL206="Absent"),0)))</f>
      </c>
      <c r="BP206" s="22">
        <f>IF($A206="","",SUM(IF($D$5&lt;&gt;"",--(D206="Congé"),0),IF($F$5&lt;&gt;"",--(F206="Congé"),0),IF($H$5&lt;&gt;"",--(H206="Congé"),0),IF($J$5&lt;&gt;"",--(J206="Congé"),0),IF($L$5&lt;&gt;"",--(L206="Congé"),0),IF($N$5&lt;&gt;"",--(N206="Congé"),0),IF($P$5&lt;&gt;"",--(P206="Congé"),0),IF($R$5&lt;&gt;"",--(R206="Congé"),0),IF($T$5&lt;&gt;"",--(T206="Congé"),0),IF($V$5&lt;&gt;"",--(V206="Congé"),0),IF($X$5&lt;&gt;"",--(X206="Congé"),0),IF($Z$5&lt;&gt;"",--(Z206="Congé"),0),IF($AB$5&lt;&gt;"",--(AB206="Congé"),0),IF($AD$5&lt;&gt;"",--(AD206="Congé"),0),IF($AF$5&lt;&gt;"",--(AF206="Congé"),0),IF($AH$5&lt;&gt;"",--(AH206="Congé"),0),IF($AJ$5&lt;&gt;"",--(AJ206="Congé"),0),IF($AL$5&lt;&gt;"",--(AL206="Congé"),0),IF($AN$5&lt;&gt;"",--(AN206="Congé"),0),IF($AP$5&lt;&gt;"",--(AP206="Congé"),0),IF($AR$5&lt;&gt;"",--(AR206="Congé"),0),IF($AT$5&lt;&gt;"",--(AT206="Congé"),0),IF($AV$5&lt;&gt;"",--(AV206="Congé"),0),IF($AX$5&lt;&gt;"",--(AX206="Congé"),0),IF($AZ$5&lt;&gt;"",--(AZ206="Congé"),0),IF($BB$5&lt;&gt;"",--(BB206="Congé"),0),IF($BD$5&lt;&gt;"",--(BD206="Congé"),0),IF($BF$5&lt;&gt;"",--(BF206="Congé"),0),IF($BH$5&lt;&gt;"",--(BH206="Congé"),0),IF($BJ$5&lt;&gt;"",--(BJ206="Congé"),0),IF($BL$5&lt;&gt;"",--(BL206="Congé"),0)))</f>
      </c>
      <c r="BQ206" s="22">
        <f>IF($A206="","",SUM(IF($D$5&lt;&gt;"",--(D206="Maladie"),0),IF($F$5&lt;&gt;"",--(F206="Maladie"),0),IF($H$5&lt;&gt;"",--(H206="Maladie"),0),IF($J$5&lt;&gt;"",--(J206="Maladie"),0),IF($L$5&lt;&gt;"",--(L206="Maladie"),0),IF($N$5&lt;&gt;"",--(N206="Maladie"),0),IF($P$5&lt;&gt;"",--(P206="Maladie"),0),IF($R$5&lt;&gt;"",--(R206="Maladie"),0),IF($T$5&lt;&gt;"",--(T206="Maladie"),0),IF($V$5&lt;&gt;"",--(V206="Maladie"),0),IF($X$5&lt;&gt;"",--(X206="Maladie"),0),IF($Z$5&lt;&gt;"",--(Z206="Maladie"),0),IF($AB$5&lt;&gt;"",--(AB206="Maladie"),0),IF($AD$5&lt;&gt;"",--(AD206="Maladie"),0),IF($AF$5&lt;&gt;"",--(AF206="Maladie"),0),IF($AH$5&lt;&gt;"",--(AH206="Maladie"),0),IF($AJ$5&lt;&gt;"",--(AJ206="Maladie"),0),IF($AL$5&lt;&gt;"",--(AL206="Maladie"),0),IF($AN$5&lt;&gt;"",--(AN206="Maladie"),0),IF($AP$5&lt;&gt;"",--(AP206="Maladie"),0),IF($AR$5&lt;&gt;"",--(AR206="Maladie"),0),IF($AT$5&lt;&gt;"",--(AT206="Maladie"),0),IF($AV$5&lt;&gt;"",--(AV206="Maladie"),0),IF($AX$5&lt;&gt;"",--(AX206="Maladie"),0),IF($AZ$5&lt;&gt;"",--(AZ206="Maladie"),0),IF($BB$5&lt;&gt;"",--(BB206="Maladie"),0),IF($BD$5&lt;&gt;"",--(BD206="Maladie"),0),IF($BF$5&lt;&gt;"",--(BF206="Maladie"),0),IF($BH$5&lt;&gt;"",--(BH206="Maladie"),0),IF($BJ$5&lt;&gt;"",--(BJ206="Maladie"),0),IF($BL$5&lt;&gt;"",--(BL206="Maladie"),0)))</f>
      </c>
      <c r="BR206" s="23">
        <f>IF($A206="","",SUM(IF($D$5&lt;&gt;"",IF(D206="Présent",E206,0),0),IF($F$5&lt;&gt;"",IF(F206="Présent",G206,0),0),IF($H$5&lt;&gt;"",IF(H206="Présent",I206,0),0),IF($J$5&lt;&gt;"",IF(J206="Présent",K206,0),0),IF($L$5&lt;&gt;"",IF(L206="Présent",M206,0),0),IF($N$5&lt;&gt;"",IF(N206="Présent",O206,0),0),IF($P$5&lt;&gt;"",IF(P206="Présent",Q206,0),0),IF($R$5&lt;&gt;"",IF(R206="Présent",S206,0),0),IF($T$5&lt;&gt;"",IF(T206="Présent",U206,0),0),IF($V$5&lt;&gt;"",IF(V206="Présent",W206,0),0),IF($X$5&lt;&gt;"",IF(X206="Présent",Y206,0),0),IF($Z$5&lt;&gt;"",IF(Z206="Présent",AA206,0),0),IF($AB$5&lt;&gt;"",IF(AB206="Présent",AC206,0),0),IF($AD$5&lt;&gt;"",IF(AD206="Présent",AE206,0),0),IF($AF$5&lt;&gt;"",IF(AF206="Présent",AG206,0),0),IF($AH$5&lt;&gt;"",IF(AH206="Présent",AI206,0),0),IF($AJ$5&lt;&gt;"",IF(AJ206="Présent",AK206,0),0),IF($AL$5&lt;&gt;"",IF(AL206="Présent",AM206,0),0),IF($AN$5&lt;&gt;"",IF(AN206="Présent",AO206,0),0),IF($AP$5&lt;&gt;"",IF(AP206="Présent",AQ206,0),0),IF($AR$5&lt;&gt;"",IF(AR206="Présent",AS206,0),0),IF($AT$5&lt;&gt;"",IF(AT206="Présent",AU206,0),0),IF($AV$5&lt;&gt;"",IF(AV206="Présent",AW206,0),0),IF($AX$5&lt;&gt;"",IF(AX206="Présent",AY206,0),0),IF($AZ$5&lt;&gt;"",IF(AZ206="Présent",BA206,0),0),IF($BB$5&lt;&gt;"",IF(BB206="Présent",BC206,0),0),IF($BD$5&lt;&gt;"",IF(BD206="Présent",BE206,0),0),IF($BF$5&lt;&gt;"",IF(BF206="Présent",BG206,0),0),IF($BH$5&lt;&gt;"",IF(BH206="Présent",BI206,0),0),IF($BJ$5&lt;&gt;"",IF(BJ206="Présent",BK206,0),0),IF($BL$5&lt;&gt;"",IF(BL206="Présent",BM206,0),0)))</f>
      </c>
      <c r="BS206" s="25">
        <f>IF($A206="","",$BN206*IFERROR(INDEX(Categories_Salaire,MATCH($C206,ListeCategories,0)),0)+$BR206*IF(IFERROR(INDEX(Categories_TauxHS,MATCH($C206,ListeCategories,0)),0)&gt;0,IFERROR(INDEX(Categories_TauxHS,MATCH($C206,ListeCategories,0)),0),TauxHSDefaut))</f>
      </c>
    </row>
    <row r="207">
      <c r="A207" s="20">
        <f>IF(AND(INDEX(Employes_Nom,201)&lt;&gt;"",INDEX(Employes_Statut,201)="Actif",OR(INDEX(Employes_Embauche,201)="",INDEX(Employes_Embauche,201)&lt;=EOMONTH(DATE(AnneeCourante,MoisCourant,1),0))),INDEX(Employes_ID,201),"")</f>
      </c>
      <c r="B207" s="19">
        <f>IF($A207="","",INDEX(Employes_Nom,MATCH($A207,Employes_ID,0)))</f>
      </c>
      <c r="C207" s="20">
        <f>IF($A207="","",INDEX(Employes_Categorie,MATCH($A207,Employes_ID,0)))</f>
      </c>
      <c r="D207" s="26"/>
      <c r="E207" s="27"/>
      <c r="F207" s="26"/>
      <c r="G207" s="27"/>
      <c r="H207" s="26"/>
      <c r="I207" s="27"/>
      <c r="J207" s="26"/>
      <c r="K207" s="27"/>
      <c r="L207" s="26"/>
      <c r="M207" s="27"/>
      <c r="N207" s="26"/>
      <c r="O207" s="27"/>
      <c r="P207" s="26"/>
      <c r="Q207" s="27"/>
      <c r="R207" s="26"/>
      <c r="S207" s="27"/>
      <c r="T207" s="26"/>
      <c r="U207" s="27"/>
      <c r="V207" s="26"/>
      <c r="W207" s="27"/>
      <c r="X207" s="26"/>
      <c r="Y207" s="27"/>
      <c r="Z207" s="26"/>
      <c r="AA207" s="27"/>
      <c r="AB207" s="26"/>
      <c r="AC207" s="27"/>
      <c r="AD207" s="26"/>
      <c r="AE207" s="27"/>
      <c r="AF207" s="26"/>
      <c r="AG207" s="27"/>
      <c r="AH207" s="26"/>
      <c r="AI207" s="27"/>
      <c r="AJ207" s="26"/>
      <c r="AK207" s="27"/>
      <c r="AL207" s="26"/>
      <c r="AM207" s="27"/>
      <c r="AN207" s="26"/>
      <c r="AO207" s="27"/>
      <c r="AP207" s="26"/>
      <c r="AQ207" s="27"/>
      <c r="AR207" s="26"/>
      <c r="AS207" s="27"/>
      <c r="AT207" s="26"/>
      <c r="AU207" s="27"/>
      <c r="AV207" s="26"/>
      <c r="AW207" s="27"/>
      <c r="AX207" s="26"/>
      <c r="AY207" s="27"/>
      <c r="AZ207" s="26"/>
      <c r="BA207" s="27"/>
      <c r="BB207" s="26"/>
      <c r="BC207" s="27"/>
      <c r="BD207" s="26"/>
      <c r="BE207" s="27"/>
      <c r="BF207" s="26"/>
      <c r="BG207" s="27"/>
      <c r="BH207" s="26"/>
      <c r="BI207" s="27"/>
      <c r="BJ207" s="26"/>
      <c r="BK207" s="27"/>
      <c r="BL207" s="26"/>
      <c r="BM207" s="27"/>
      <c r="BN207" s="22">
        <f>IF($A207="","",SUM(IF($D$5&lt;&gt;"",--(D207="Présent"),0),IF($F$5&lt;&gt;"",--(F207="Présent"),0),IF($H$5&lt;&gt;"",--(H207="Présent"),0),IF($J$5&lt;&gt;"",--(J207="Présent"),0),IF($L$5&lt;&gt;"",--(L207="Présent"),0),IF($N$5&lt;&gt;"",--(N207="Présent"),0),IF($P$5&lt;&gt;"",--(P207="Présent"),0),IF($R$5&lt;&gt;"",--(R207="Présent"),0),IF($T$5&lt;&gt;"",--(T207="Présent"),0),IF($V$5&lt;&gt;"",--(V207="Présent"),0),IF($X$5&lt;&gt;"",--(X207="Présent"),0),IF($Z$5&lt;&gt;"",--(Z207="Présent"),0),IF($AB$5&lt;&gt;"",--(AB207="Présent"),0),IF($AD$5&lt;&gt;"",--(AD207="Présent"),0),IF($AF$5&lt;&gt;"",--(AF207="Présent"),0),IF($AH$5&lt;&gt;"",--(AH207="Présent"),0),IF($AJ$5&lt;&gt;"",--(AJ207="Présent"),0),IF($AL$5&lt;&gt;"",--(AL207="Présent"),0),IF($AN$5&lt;&gt;"",--(AN207="Présent"),0),IF($AP$5&lt;&gt;"",--(AP207="Présent"),0),IF($AR$5&lt;&gt;"",--(AR207="Présent"),0),IF($AT$5&lt;&gt;"",--(AT207="Présent"),0),IF($AV$5&lt;&gt;"",--(AV207="Présent"),0),IF($AX$5&lt;&gt;"",--(AX207="Présent"),0),IF($AZ$5&lt;&gt;"",--(AZ207="Présent"),0),IF($BB$5&lt;&gt;"",--(BB207="Présent"),0),IF($BD$5&lt;&gt;"",--(BD207="Présent"),0),IF($BF$5&lt;&gt;"",--(BF207="Présent"),0),IF($BH$5&lt;&gt;"",--(BH207="Présent"),0),IF($BJ$5&lt;&gt;"",--(BJ207="Présent"),0),IF($BL$5&lt;&gt;"",--(BL207="Présent"),0)))</f>
      </c>
      <c r="BO207" s="22">
        <f>IF($A207="","",SUM(IF($D$5&lt;&gt;"",--(D207="Absent"),0),IF($F$5&lt;&gt;"",--(F207="Absent"),0),IF($H$5&lt;&gt;"",--(H207="Absent"),0),IF($J$5&lt;&gt;"",--(J207="Absent"),0),IF($L$5&lt;&gt;"",--(L207="Absent"),0),IF($N$5&lt;&gt;"",--(N207="Absent"),0),IF($P$5&lt;&gt;"",--(P207="Absent"),0),IF($R$5&lt;&gt;"",--(R207="Absent"),0),IF($T$5&lt;&gt;"",--(T207="Absent"),0),IF($V$5&lt;&gt;"",--(V207="Absent"),0),IF($X$5&lt;&gt;"",--(X207="Absent"),0),IF($Z$5&lt;&gt;"",--(Z207="Absent"),0),IF($AB$5&lt;&gt;"",--(AB207="Absent"),0),IF($AD$5&lt;&gt;"",--(AD207="Absent"),0),IF($AF$5&lt;&gt;"",--(AF207="Absent"),0),IF($AH$5&lt;&gt;"",--(AH207="Absent"),0),IF($AJ$5&lt;&gt;"",--(AJ207="Absent"),0),IF($AL$5&lt;&gt;"",--(AL207="Absent"),0),IF($AN$5&lt;&gt;"",--(AN207="Absent"),0),IF($AP$5&lt;&gt;"",--(AP207="Absent"),0),IF($AR$5&lt;&gt;"",--(AR207="Absent"),0),IF($AT$5&lt;&gt;"",--(AT207="Absent"),0),IF($AV$5&lt;&gt;"",--(AV207="Absent"),0),IF($AX$5&lt;&gt;"",--(AX207="Absent"),0),IF($AZ$5&lt;&gt;"",--(AZ207="Absent"),0),IF($BB$5&lt;&gt;"",--(BB207="Absent"),0),IF($BD$5&lt;&gt;"",--(BD207="Absent"),0),IF($BF$5&lt;&gt;"",--(BF207="Absent"),0),IF($BH$5&lt;&gt;"",--(BH207="Absent"),0),IF($BJ$5&lt;&gt;"",--(BJ207="Absent"),0),IF($BL$5&lt;&gt;"",--(BL207="Absent"),0)))</f>
      </c>
      <c r="BP207" s="22">
        <f>IF($A207="","",SUM(IF($D$5&lt;&gt;"",--(D207="Congé"),0),IF($F$5&lt;&gt;"",--(F207="Congé"),0),IF($H$5&lt;&gt;"",--(H207="Congé"),0),IF($J$5&lt;&gt;"",--(J207="Congé"),0),IF($L$5&lt;&gt;"",--(L207="Congé"),0),IF($N$5&lt;&gt;"",--(N207="Congé"),0),IF($P$5&lt;&gt;"",--(P207="Congé"),0),IF($R$5&lt;&gt;"",--(R207="Congé"),0),IF($T$5&lt;&gt;"",--(T207="Congé"),0),IF($V$5&lt;&gt;"",--(V207="Congé"),0),IF($X$5&lt;&gt;"",--(X207="Congé"),0),IF($Z$5&lt;&gt;"",--(Z207="Congé"),0),IF($AB$5&lt;&gt;"",--(AB207="Congé"),0),IF($AD$5&lt;&gt;"",--(AD207="Congé"),0),IF($AF$5&lt;&gt;"",--(AF207="Congé"),0),IF($AH$5&lt;&gt;"",--(AH207="Congé"),0),IF($AJ$5&lt;&gt;"",--(AJ207="Congé"),0),IF($AL$5&lt;&gt;"",--(AL207="Congé"),0),IF($AN$5&lt;&gt;"",--(AN207="Congé"),0),IF($AP$5&lt;&gt;"",--(AP207="Congé"),0),IF($AR$5&lt;&gt;"",--(AR207="Congé"),0),IF($AT$5&lt;&gt;"",--(AT207="Congé"),0),IF($AV$5&lt;&gt;"",--(AV207="Congé"),0),IF($AX$5&lt;&gt;"",--(AX207="Congé"),0),IF($AZ$5&lt;&gt;"",--(AZ207="Congé"),0),IF($BB$5&lt;&gt;"",--(BB207="Congé"),0),IF($BD$5&lt;&gt;"",--(BD207="Congé"),0),IF($BF$5&lt;&gt;"",--(BF207="Congé"),0),IF($BH$5&lt;&gt;"",--(BH207="Congé"),0),IF($BJ$5&lt;&gt;"",--(BJ207="Congé"),0),IF($BL$5&lt;&gt;"",--(BL207="Congé"),0)))</f>
      </c>
      <c r="BQ207" s="22">
        <f>IF($A207="","",SUM(IF($D$5&lt;&gt;"",--(D207="Maladie"),0),IF($F$5&lt;&gt;"",--(F207="Maladie"),0),IF($H$5&lt;&gt;"",--(H207="Maladie"),0),IF($J$5&lt;&gt;"",--(J207="Maladie"),0),IF($L$5&lt;&gt;"",--(L207="Maladie"),0),IF($N$5&lt;&gt;"",--(N207="Maladie"),0),IF($P$5&lt;&gt;"",--(P207="Maladie"),0),IF($R$5&lt;&gt;"",--(R207="Maladie"),0),IF($T$5&lt;&gt;"",--(T207="Maladie"),0),IF($V$5&lt;&gt;"",--(V207="Maladie"),0),IF($X$5&lt;&gt;"",--(X207="Maladie"),0),IF($Z$5&lt;&gt;"",--(Z207="Maladie"),0),IF($AB$5&lt;&gt;"",--(AB207="Maladie"),0),IF($AD$5&lt;&gt;"",--(AD207="Maladie"),0),IF($AF$5&lt;&gt;"",--(AF207="Maladie"),0),IF($AH$5&lt;&gt;"",--(AH207="Maladie"),0),IF($AJ$5&lt;&gt;"",--(AJ207="Maladie"),0),IF($AL$5&lt;&gt;"",--(AL207="Maladie"),0),IF($AN$5&lt;&gt;"",--(AN207="Maladie"),0),IF($AP$5&lt;&gt;"",--(AP207="Maladie"),0),IF($AR$5&lt;&gt;"",--(AR207="Maladie"),0),IF($AT$5&lt;&gt;"",--(AT207="Maladie"),0),IF($AV$5&lt;&gt;"",--(AV207="Maladie"),0),IF($AX$5&lt;&gt;"",--(AX207="Maladie"),0),IF($AZ$5&lt;&gt;"",--(AZ207="Maladie"),0),IF($BB$5&lt;&gt;"",--(BB207="Maladie"),0),IF($BD$5&lt;&gt;"",--(BD207="Maladie"),0),IF($BF$5&lt;&gt;"",--(BF207="Maladie"),0),IF($BH$5&lt;&gt;"",--(BH207="Maladie"),0),IF($BJ$5&lt;&gt;"",--(BJ207="Maladie"),0),IF($BL$5&lt;&gt;"",--(BL207="Maladie"),0)))</f>
      </c>
      <c r="BR207" s="23">
        <f>IF($A207="","",SUM(IF($D$5&lt;&gt;"",IF(D207="Présent",E207,0),0),IF($F$5&lt;&gt;"",IF(F207="Présent",G207,0),0),IF($H$5&lt;&gt;"",IF(H207="Présent",I207,0),0),IF($J$5&lt;&gt;"",IF(J207="Présent",K207,0),0),IF($L$5&lt;&gt;"",IF(L207="Présent",M207,0),0),IF($N$5&lt;&gt;"",IF(N207="Présent",O207,0),0),IF($P$5&lt;&gt;"",IF(P207="Présent",Q207,0),0),IF($R$5&lt;&gt;"",IF(R207="Présent",S207,0),0),IF($T$5&lt;&gt;"",IF(T207="Présent",U207,0),0),IF($V$5&lt;&gt;"",IF(V207="Présent",W207,0),0),IF($X$5&lt;&gt;"",IF(X207="Présent",Y207,0),0),IF($Z$5&lt;&gt;"",IF(Z207="Présent",AA207,0),0),IF($AB$5&lt;&gt;"",IF(AB207="Présent",AC207,0),0),IF($AD$5&lt;&gt;"",IF(AD207="Présent",AE207,0),0),IF($AF$5&lt;&gt;"",IF(AF207="Présent",AG207,0),0),IF($AH$5&lt;&gt;"",IF(AH207="Présent",AI207,0),0),IF($AJ$5&lt;&gt;"",IF(AJ207="Présent",AK207,0),0),IF($AL$5&lt;&gt;"",IF(AL207="Présent",AM207,0),0),IF($AN$5&lt;&gt;"",IF(AN207="Présent",AO207,0),0),IF($AP$5&lt;&gt;"",IF(AP207="Présent",AQ207,0),0),IF($AR$5&lt;&gt;"",IF(AR207="Présent",AS207,0),0),IF($AT$5&lt;&gt;"",IF(AT207="Présent",AU207,0),0),IF($AV$5&lt;&gt;"",IF(AV207="Présent",AW207,0),0),IF($AX$5&lt;&gt;"",IF(AX207="Présent",AY207,0),0),IF($AZ$5&lt;&gt;"",IF(AZ207="Présent",BA207,0),0),IF($BB$5&lt;&gt;"",IF(BB207="Présent",BC207,0),0),IF($BD$5&lt;&gt;"",IF(BD207="Présent",BE207,0),0),IF($BF$5&lt;&gt;"",IF(BF207="Présent",BG207,0),0),IF($BH$5&lt;&gt;"",IF(BH207="Présent",BI207,0),0),IF($BJ$5&lt;&gt;"",IF(BJ207="Présent",BK207,0),0),IF($BL$5&lt;&gt;"",IF(BL207="Présent",BM207,0),0)))</f>
      </c>
      <c r="BS207" s="25">
        <f>IF($A207="","",$BN207*IFERROR(INDEX(Categories_Salaire,MATCH($C207,ListeCategories,0)),0)+$BR207*IF(IFERROR(INDEX(Categories_TauxHS,MATCH($C207,ListeCategories,0)),0)&gt;0,IFERROR(INDEX(Categories_TauxHS,MATCH($C207,ListeCategories,0)),0),TauxHSDefaut))</f>
      </c>
    </row>
    <row r="208">
      <c r="A208" s="20">
        <f>IF(AND(INDEX(Employes_Nom,202)&lt;&gt;"",INDEX(Employes_Statut,202)="Actif",OR(INDEX(Employes_Embauche,202)="",INDEX(Employes_Embauche,202)&lt;=EOMONTH(DATE(AnneeCourante,MoisCourant,1),0))),INDEX(Employes_ID,202),"")</f>
      </c>
      <c r="B208" s="19">
        <f>IF($A208="","",INDEX(Employes_Nom,MATCH($A208,Employes_ID,0)))</f>
      </c>
      <c r="C208" s="20">
        <f>IF($A208="","",INDEX(Employes_Categorie,MATCH($A208,Employes_ID,0)))</f>
      </c>
      <c r="D208" s="26"/>
      <c r="E208" s="27"/>
      <c r="F208" s="26"/>
      <c r="G208" s="27"/>
      <c r="H208" s="26"/>
      <c r="I208" s="27"/>
      <c r="J208" s="26"/>
      <c r="K208" s="27"/>
      <c r="L208" s="26"/>
      <c r="M208" s="27"/>
      <c r="N208" s="26"/>
      <c r="O208" s="27"/>
      <c r="P208" s="26"/>
      <c r="Q208" s="27"/>
      <c r="R208" s="26"/>
      <c r="S208" s="27"/>
      <c r="T208" s="26"/>
      <c r="U208" s="27"/>
      <c r="V208" s="26"/>
      <c r="W208" s="27"/>
      <c r="X208" s="26"/>
      <c r="Y208" s="27"/>
      <c r="Z208" s="26"/>
      <c r="AA208" s="27"/>
      <c r="AB208" s="26"/>
      <c r="AC208" s="27"/>
      <c r="AD208" s="26"/>
      <c r="AE208" s="27"/>
      <c r="AF208" s="26"/>
      <c r="AG208" s="27"/>
      <c r="AH208" s="26"/>
      <c r="AI208" s="27"/>
      <c r="AJ208" s="26"/>
      <c r="AK208" s="27"/>
      <c r="AL208" s="26"/>
      <c r="AM208" s="27"/>
      <c r="AN208" s="26"/>
      <c r="AO208" s="27"/>
      <c r="AP208" s="26"/>
      <c r="AQ208" s="27"/>
      <c r="AR208" s="26"/>
      <c r="AS208" s="27"/>
      <c r="AT208" s="26"/>
      <c r="AU208" s="27"/>
      <c r="AV208" s="26"/>
      <c r="AW208" s="27"/>
      <c r="AX208" s="26"/>
      <c r="AY208" s="27"/>
      <c r="AZ208" s="26"/>
      <c r="BA208" s="27"/>
      <c r="BB208" s="26"/>
      <c r="BC208" s="27"/>
      <c r="BD208" s="26"/>
      <c r="BE208" s="27"/>
      <c r="BF208" s="26"/>
      <c r="BG208" s="27"/>
      <c r="BH208" s="26"/>
      <c r="BI208" s="27"/>
      <c r="BJ208" s="26"/>
      <c r="BK208" s="27"/>
      <c r="BL208" s="26"/>
      <c r="BM208" s="27"/>
      <c r="BN208" s="22">
        <f>IF($A208="","",SUM(IF($D$5&lt;&gt;"",--(D208="Présent"),0),IF($F$5&lt;&gt;"",--(F208="Présent"),0),IF($H$5&lt;&gt;"",--(H208="Présent"),0),IF($J$5&lt;&gt;"",--(J208="Présent"),0),IF($L$5&lt;&gt;"",--(L208="Présent"),0),IF($N$5&lt;&gt;"",--(N208="Présent"),0),IF($P$5&lt;&gt;"",--(P208="Présent"),0),IF($R$5&lt;&gt;"",--(R208="Présent"),0),IF($T$5&lt;&gt;"",--(T208="Présent"),0),IF($V$5&lt;&gt;"",--(V208="Présent"),0),IF($X$5&lt;&gt;"",--(X208="Présent"),0),IF($Z$5&lt;&gt;"",--(Z208="Présent"),0),IF($AB$5&lt;&gt;"",--(AB208="Présent"),0),IF($AD$5&lt;&gt;"",--(AD208="Présent"),0),IF($AF$5&lt;&gt;"",--(AF208="Présent"),0),IF($AH$5&lt;&gt;"",--(AH208="Présent"),0),IF($AJ$5&lt;&gt;"",--(AJ208="Présent"),0),IF($AL$5&lt;&gt;"",--(AL208="Présent"),0),IF($AN$5&lt;&gt;"",--(AN208="Présent"),0),IF($AP$5&lt;&gt;"",--(AP208="Présent"),0),IF($AR$5&lt;&gt;"",--(AR208="Présent"),0),IF($AT$5&lt;&gt;"",--(AT208="Présent"),0),IF($AV$5&lt;&gt;"",--(AV208="Présent"),0),IF($AX$5&lt;&gt;"",--(AX208="Présent"),0),IF($AZ$5&lt;&gt;"",--(AZ208="Présent"),0),IF($BB$5&lt;&gt;"",--(BB208="Présent"),0),IF($BD$5&lt;&gt;"",--(BD208="Présent"),0),IF($BF$5&lt;&gt;"",--(BF208="Présent"),0),IF($BH$5&lt;&gt;"",--(BH208="Présent"),0),IF($BJ$5&lt;&gt;"",--(BJ208="Présent"),0),IF($BL$5&lt;&gt;"",--(BL208="Présent"),0)))</f>
      </c>
      <c r="BO208" s="22">
        <f>IF($A208="","",SUM(IF($D$5&lt;&gt;"",--(D208="Absent"),0),IF($F$5&lt;&gt;"",--(F208="Absent"),0),IF($H$5&lt;&gt;"",--(H208="Absent"),0),IF($J$5&lt;&gt;"",--(J208="Absent"),0),IF($L$5&lt;&gt;"",--(L208="Absent"),0),IF($N$5&lt;&gt;"",--(N208="Absent"),0),IF($P$5&lt;&gt;"",--(P208="Absent"),0),IF($R$5&lt;&gt;"",--(R208="Absent"),0),IF($T$5&lt;&gt;"",--(T208="Absent"),0),IF($V$5&lt;&gt;"",--(V208="Absent"),0),IF($X$5&lt;&gt;"",--(X208="Absent"),0),IF($Z$5&lt;&gt;"",--(Z208="Absent"),0),IF($AB$5&lt;&gt;"",--(AB208="Absent"),0),IF($AD$5&lt;&gt;"",--(AD208="Absent"),0),IF($AF$5&lt;&gt;"",--(AF208="Absent"),0),IF($AH$5&lt;&gt;"",--(AH208="Absent"),0),IF($AJ$5&lt;&gt;"",--(AJ208="Absent"),0),IF($AL$5&lt;&gt;"",--(AL208="Absent"),0),IF($AN$5&lt;&gt;"",--(AN208="Absent"),0),IF($AP$5&lt;&gt;"",--(AP208="Absent"),0),IF($AR$5&lt;&gt;"",--(AR208="Absent"),0),IF($AT$5&lt;&gt;"",--(AT208="Absent"),0),IF($AV$5&lt;&gt;"",--(AV208="Absent"),0),IF($AX$5&lt;&gt;"",--(AX208="Absent"),0),IF($AZ$5&lt;&gt;"",--(AZ208="Absent"),0),IF($BB$5&lt;&gt;"",--(BB208="Absent"),0),IF($BD$5&lt;&gt;"",--(BD208="Absent"),0),IF($BF$5&lt;&gt;"",--(BF208="Absent"),0),IF($BH$5&lt;&gt;"",--(BH208="Absent"),0),IF($BJ$5&lt;&gt;"",--(BJ208="Absent"),0),IF($BL$5&lt;&gt;"",--(BL208="Absent"),0)))</f>
      </c>
      <c r="BP208" s="22">
        <f>IF($A208="","",SUM(IF($D$5&lt;&gt;"",--(D208="Congé"),0),IF($F$5&lt;&gt;"",--(F208="Congé"),0),IF($H$5&lt;&gt;"",--(H208="Congé"),0),IF($J$5&lt;&gt;"",--(J208="Congé"),0),IF($L$5&lt;&gt;"",--(L208="Congé"),0),IF($N$5&lt;&gt;"",--(N208="Congé"),0),IF($P$5&lt;&gt;"",--(P208="Congé"),0),IF($R$5&lt;&gt;"",--(R208="Congé"),0),IF($T$5&lt;&gt;"",--(T208="Congé"),0),IF($V$5&lt;&gt;"",--(V208="Congé"),0),IF($X$5&lt;&gt;"",--(X208="Congé"),0),IF($Z$5&lt;&gt;"",--(Z208="Congé"),0),IF($AB$5&lt;&gt;"",--(AB208="Congé"),0),IF($AD$5&lt;&gt;"",--(AD208="Congé"),0),IF($AF$5&lt;&gt;"",--(AF208="Congé"),0),IF($AH$5&lt;&gt;"",--(AH208="Congé"),0),IF($AJ$5&lt;&gt;"",--(AJ208="Congé"),0),IF($AL$5&lt;&gt;"",--(AL208="Congé"),0),IF($AN$5&lt;&gt;"",--(AN208="Congé"),0),IF($AP$5&lt;&gt;"",--(AP208="Congé"),0),IF($AR$5&lt;&gt;"",--(AR208="Congé"),0),IF($AT$5&lt;&gt;"",--(AT208="Congé"),0),IF($AV$5&lt;&gt;"",--(AV208="Congé"),0),IF($AX$5&lt;&gt;"",--(AX208="Congé"),0),IF($AZ$5&lt;&gt;"",--(AZ208="Congé"),0),IF($BB$5&lt;&gt;"",--(BB208="Congé"),0),IF($BD$5&lt;&gt;"",--(BD208="Congé"),0),IF($BF$5&lt;&gt;"",--(BF208="Congé"),0),IF($BH$5&lt;&gt;"",--(BH208="Congé"),0),IF($BJ$5&lt;&gt;"",--(BJ208="Congé"),0),IF($BL$5&lt;&gt;"",--(BL208="Congé"),0)))</f>
      </c>
      <c r="BQ208" s="22">
        <f>IF($A208="","",SUM(IF($D$5&lt;&gt;"",--(D208="Maladie"),0),IF($F$5&lt;&gt;"",--(F208="Maladie"),0),IF($H$5&lt;&gt;"",--(H208="Maladie"),0),IF($J$5&lt;&gt;"",--(J208="Maladie"),0),IF($L$5&lt;&gt;"",--(L208="Maladie"),0),IF($N$5&lt;&gt;"",--(N208="Maladie"),0),IF($P$5&lt;&gt;"",--(P208="Maladie"),0),IF($R$5&lt;&gt;"",--(R208="Maladie"),0),IF($T$5&lt;&gt;"",--(T208="Maladie"),0),IF($V$5&lt;&gt;"",--(V208="Maladie"),0),IF($X$5&lt;&gt;"",--(X208="Maladie"),0),IF($Z$5&lt;&gt;"",--(Z208="Maladie"),0),IF($AB$5&lt;&gt;"",--(AB208="Maladie"),0),IF($AD$5&lt;&gt;"",--(AD208="Maladie"),0),IF($AF$5&lt;&gt;"",--(AF208="Maladie"),0),IF($AH$5&lt;&gt;"",--(AH208="Maladie"),0),IF($AJ$5&lt;&gt;"",--(AJ208="Maladie"),0),IF($AL$5&lt;&gt;"",--(AL208="Maladie"),0),IF($AN$5&lt;&gt;"",--(AN208="Maladie"),0),IF($AP$5&lt;&gt;"",--(AP208="Maladie"),0),IF($AR$5&lt;&gt;"",--(AR208="Maladie"),0),IF($AT$5&lt;&gt;"",--(AT208="Maladie"),0),IF($AV$5&lt;&gt;"",--(AV208="Maladie"),0),IF($AX$5&lt;&gt;"",--(AX208="Maladie"),0),IF($AZ$5&lt;&gt;"",--(AZ208="Maladie"),0),IF($BB$5&lt;&gt;"",--(BB208="Maladie"),0),IF($BD$5&lt;&gt;"",--(BD208="Maladie"),0),IF($BF$5&lt;&gt;"",--(BF208="Maladie"),0),IF($BH$5&lt;&gt;"",--(BH208="Maladie"),0),IF($BJ$5&lt;&gt;"",--(BJ208="Maladie"),0),IF($BL$5&lt;&gt;"",--(BL208="Maladie"),0)))</f>
      </c>
      <c r="BR208" s="23">
        <f>IF($A208="","",SUM(IF($D$5&lt;&gt;"",IF(D208="Présent",E208,0),0),IF($F$5&lt;&gt;"",IF(F208="Présent",G208,0),0),IF($H$5&lt;&gt;"",IF(H208="Présent",I208,0),0),IF($J$5&lt;&gt;"",IF(J208="Présent",K208,0),0),IF($L$5&lt;&gt;"",IF(L208="Présent",M208,0),0),IF($N$5&lt;&gt;"",IF(N208="Présent",O208,0),0),IF($P$5&lt;&gt;"",IF(P208="Présent",Q208,0),0),IF($R$5&lt;&gt;"",IF(R208="Présent",S208,0),0),IF($T$5&lt;&gt;"",IF(T208="Présent",U208,0),0),IF($V$5&lt;&gt;"",IF(V208="Présent",W208,0),0),IF($X$5&lt;&gt;"",IF(X208="Présent",Y208,0),0),IF($Z$5&lt;&gt;"",IF(Z208="Présent",AA208,0),0),IF($AB$5&lt;&gt;"",IF(AB208="Présent",AC208,0),0),IF($AD$5&lt;&gt;"",IF(AD208="Présent",AE208,0),0),IF($AF$5&lt;&gt;"",IF(AF208="Présent",AG208,0),0),IF($AH$5&lt;&gt;"",IF(AH208="Présent",AI208,0),0),IF($AJ$5&lt;&gt;"",IF(AJ208="Présent",AK208,0),0),IF($AL$5&lt;&gt;"",IF(AL208="Présent",AM208,0),0),IF($AN$5&lt;&gt;"",IF(AN208="Présent",AO208,0),0),IF($AP$5&lt;&gt;"",IF(AP208="Présent",AQ208,0),0),IF($AR$5&lt;&gt;"",IF(AR208="Présent",AS208,0),0),IF($AT$5&lt;&gt;"",IF(AT208="Présent",AU208,0),0),IF($AV$5&lt;&gt;"",IF(AV208="Présent",AW208,0),0),IF($AX$5&lt;&gt;"",IF(AX208="Présent",AY208,0),0),IF($AZ$5&lt;&gt;"",IF(AZ208="Présent",BA208,0),0),IF($BB$5&lt;&gt;"",IF(BB208="Présent",BC208,0),0),IF($BD$5&lt;&gt;"",IF(BD208="Présent",BE208,0),0),IF($BF$5&lt;&gt;"",IF(BF208="Présent",BG208,0),0),IF($BH$5&lt;&gt;"",IF(BH208="Présent",BI208,0),0),IF($BJ$5&lt;&gt;"",IF(BJ208="Présent",BK208,0),0),IF($BL$5&lt;&gt;"",IF(BL208="Présent",BM208,0),0)))</f>
      </c>
      <c r="BS208" s="25">
        <f>IF($A208="","",$BN208*IFERROR(INDEX(Categories_Salaire,MATCH($C208,ListeCategories,0)),0)+$BR208*IF(IFERROR(INDEX(Categories_TauxHS,MATCH($C208,ListeCategories,0)),0)&gt;0,IFERROR(INDEX(Categories_TauxHS,MATCH($C208,ListeCategories,0)),0),TauxHSDefaut))</f>
      </c>
    </row>
    <row r="209">
      <c r="A209" s="20">
        <f>IF(AND(INDEX(Employes_Nom,203)&lt;&gt;"",INDEX(Employes_Statut,203)="Actif",OR(INDEX(Employes_Embauche,203)="",INDEX(Employes_Embauche,203)&lt;=EOMONTH(DATE(AnneeCourante,MoisCourant,1),0))),INDEX(Employes_ID,203),"")</f>
      </c>
      <c r="B209" s="19">
        <f>IF($A209="","",INDEX(Employes_Nom,MATCH($A209,Employes_ID,0)))</f>
      </c>
      <c r="C209" s="20">
        <f>IF($A209="","",INDEX(Employes_Categorie,MATCH($A209,Employes_ID,0)))</f>
      </c>
      <c r="D209" s="26"/>
      <c r="E209" s="27"/>
      <c r="F209" s="26"/>
      <c r="G209" s="27"/>
      <c r="H209" s="26"/>
      <c r="I209" s="27"/>
      <c r="J209" s="26"/>
      <c r="K209" s="27"/>
      <c r="L209" s="26"/>
      <c r="M209" s="27"/>
      <c r="N209" s="26"/>
      <c r="O209" s="27"/>
      <c r="P209" s="26"/>
      <c r="Q209" s="27"/>
      <c r="R209" s="26"/>
      <c r="S209" s="27"/>
      <c r="T209" s="26"/>
      <c r="U209" s="27"/>
      <c r="V209" s="26"/>
      <c r="W209" s="27"/>
      <c r="X209" s="26"/>
      <c r="Y209" s="27"/>
      <c r="Z209" s="26"/>
      <c r="AA209" s="27"/>
      <c r="AB209" s="26"/>
      <c r="AC209" s="27"/>
      <c r="AD209" s="26"/>
      <c r="AE209" s="27"/>
      <c r="AF209" s="26"/>
      <c r="AG209" s="27"/>
      <c r="AH209" s="26"/>
      <c r="AI209" s="27"/>
      <c r="AJ209" s="26"/>
      <c r="AK209" s="27"/>
      <c r="AL209" s="26"/>
      <c r="AM209" s="27"/>
      <c r="AN209" s="26"/>
      <c r="AO209" s="27"/>
      <c r="AP209" s="26"/>
      <c r="AQ209" s="27"/>
      <c r="AR209" s="26"/>
      <c r="AS209" s="27"/>
      <c r="AT209" s="26"/>
      <c r="AU209" s="27"/>
      <c r="AV209" s="26"/>
      <c r="AW209" s="27"/>
      <c r="AX209" s="26"/>
      <c r="AY209" s="27"/>
      <c r="AZ209" s="26"/>
      <c r="BA209" s="27"/>
      <c r="BB209" s="26"/>
      <c r="BC209" s="27"/>
      <c r="BD209" s="26"/>
      <c r="BE209" s="27"/>
      <c r="BF209" s="26"/>
      <c r="BG209" s="27"/>
      <c r="BH209" s="26"/>
      <c r="BI209" s="27"/>
      <c r="BJ209" s="26"/>
      <c r="BK209" s="27"/>
      <c r="BL209" s="26"/>
      <c r="BM209" s="27"/>
      <c r="BN209" s="22">
        <f>IF($A209="","",SUM(IF($D$5&lt;&gt;"",--(D209="Présent"),0),IF($F$5&lt;&gt;"",--(F209="Présent"),0),IF($H$5&lt;&gt;"",--(H209="Présent"),0),IF($J$5&lt;&gt;"",--(J209="Présent"),0),IF($L$5&lt;&gt;"",--(L209="Présent"),0),IF($N$5&lt;&gt;"",--(N209="Présent"),0),IF($P$5&lt;&gt;"",--(P209="Présent"),0),IF($R$5&lt;&gt;"",--(R209="Présent"),0),IF($T$5&lt;&gt;"",--(T209="Présent"),0),IF($V$5&lt;&gt;"",--(V209="Présent"),0),IF($X$5&lt;&gt;"",--(X209="Présent"),0),IF($Z$5&lt;&gt;"",--(Z209="Présent"),0),IF($AB$5&lt;&gt;"",--(AB209="Présent"),0),IF($AD$5&lt;&gt;"",--(AD209="Présent"),0),IF($AF$5&lt;&gt;"",--(AF209="Présent"),0),IF($AH$5&lt;&gt;"",--(AH209="Présent"),0),IF($AJ$5&lt;&gt;"",--(AJ209="Présent"),0),IF($AL$5&lt;&gt;"",--(AL209="Présent"),0),IF($AN$5&lt;&gt;"",--(AN209="Présent"),0),IF($AP$5&lt;&gt;"",--(AP209="Présent"),0),IF($AR$5&lt;&gt;"",--(AR209="Présent"),0),IF($AT$5&lt;&gt;"",--(AT209="Présent"),0),IF($AV$5&lt;&gt;"",--(AV209="Présent"),0),IF($AX$5&lt;&gt;"",--(AX209="Présent"),0),IF($AZ$5&lt;&gt;"",--(AZ209="Présent"),0),IF($BB$5&lt;&gt;"",--(BB209="Présent"),0),IF($BD$5&lt;&gt;"",--(BD209="Présent"),0),IF($BF$5&lt;&gt;"",--(BF209="Présent"),0),IF($BH$5&lt;&gt;"",--(BH209="Présent"),0),IF($BJ$5&lt;&gt;"",--(BJ209="Présent"),0),IF($BL$5&lt;&gt;"",--(BL209="Présent"),0)))</f>
      </c>
      <c r="BO209" s="22">
        <f>IF($A209="","",SUM(IF($D$5&lt;&gt;"",--(D209="Absent"),0),IF($F$5&lt;&gt;"",--(F209="Absent"),0),IF($H$5&lt;&gt;"",--(H209="Absent"),0),IF($J$5&lt;&gt;"",--(J209="Absent"),0),IF($L$5&lt;&gt;"",--(L209="Absent"),0),IF($N$5&lt;&gt;"",--(N209="Absent"),0),IF($P$5&lt;&gt;"",--(P209="Absent"),0),IF($R$5&lt;&gt;"",--(R209="Absent"),0),IF($T$5&lt;&gt;"",--(T209="Absent"),0),IF($V$5&lt;&gt;"",--(V209="Absent"),0),IF($X$5&lt;&gt;"",--(X209="Absent"),0),IF($Z$5&lt;&gt;"",--(Z209="Absent"),0),IF($AB$5&lt;&gt;"",--(AB209="Absent"),0),IF($AD$5&lt;&gt;"",--(AD209="Absent"),0),IF($AF$5&lt;&gt;"",--(AF209="Absent"),0),IF($AH$5&lt;&gt;"",--(AH209="Absent"),0),IF($AJ$5&lt;&gt;"",--(AJ209="Absent"),0),IF($AL$5&lt;&gt;"",--(AL209="Absent"),0),IF($AN$5&lt;&gt;"",--(AN209="Absent"),0),IF($AP$5&lt;&gt;"",--(AP209="Absent"),0),IF($AR$5&lt;&gt;"",--(AR209="Absent"),0),IF($AT$5&lt;&gt;"",--(AT209="Absent"),0),IF($AV$5&lt;&gt;"",--(AV209="Absent"),0),IF($AX$5&lt;&gt;"",--(AX209="Absent"),0),IF($AZ$5&lt;&gt;"",--(AZ209="Absent"),0),IF($BB$5&lt;&gt;"",--(BB209="Absent"),0),IF($BD$5&lt;&gt;"",--(BD209="Absent"),0),IF($BF$5&lt;&gt;"",--(BF209="Absent"),0),IF($BH$5&lt;&gt;"",--(BH209="Absent"),0),IF($BJ$5&lt;&gt;"",--(BJ209="Absent"),0),IF($BL$5&lt;&gt;"",--(BL209="Absent"),0)))</f>
      </c>
      <c r="BP209" s="22">
        <f>IF($A209="","",SUM(IF($D$5&lt;&gt;"",--(D209="Congé"),0),IF($F$5&lt;&gt;"",--(F209="Congé"),0),IF($H$5&lt;&gt;"",--(H209="Congé"),0),IF($J$5&lt;&gt;"",--(J209="Congé"),0),IF($L$5&lt;&gt;"",--(L209="Congé"),0),IF($N$5&lt;&gt;"",--(N209="Congé"),0),IF($P$5&lt;&gt;"",--(P209="Congé"),0),IF($R$5&lt;&gt;"",--(R209="Congé"),0),IF($T$5&lt;&gt;"",--(T209="Congé"),0),IF($V$5&lt;&gt;"",--(V209="Congé"),0),IF($X$5&lt;&gt;"",--(X209="Congé"),0),IF($Z$5&lt;&gt;"",--(Z209="Congé"),0),IF($AB$5&lt;&gt;"",--(AB209="Congé"),0),IF($AD$5&lt;&gt;"",--(AD209="Congé"),0),IF($AF$5&lt;&gt;"",--(AF209="Congé"),0),IF($AH$5&lt;&gt;"",--(AH209="Congé"),0),IF($AJ$5&lt;&gt;"",--(AJ209="Congé"),0),IF($AL$5&lt;&gt;"",--(AL209="Congé"),0),IF($AN$5&lt;&gt;"",--(AN209="Congé"),0),IF($AP$5&lt;&gt;"",--(AP209="Congé"),0),IF($AR$5&lt;&gt;"",--(AR209="Congé"),0),IF($AT$5&lt;&gt;"",--(AT209="Congé"),0),IF($AV$5&lt;&gt;"",--(AV209="Congé"),0),IF($AX$5&lt;&gt;"",--(AX209="Congé"),0),IF($AZ$5&lt;&gt;"",--(AZ209="Congé"),0),IF($BB$5&lt;&gt;"",--(BB209="Congé"),0),IF($BD$5&lt;&gt;"",--(BD209="Congé"),0),IF($BF$5&lt;&gt;"",--(BF209="Congé"),0),IF($BH$5&lt;&gt;"",--(BH209="Congé"),0),IF($BJ$5&lt;&gt;"",--(BJ209="Congé"),0),IF($BL$5&lt;&gt;"",--(BL209="Congé"),0)))</f>
      </c>
      <c r="BQ209" s="22">
        <f>IF($A209="","",SUM(IF($D$5&lt;&gt;"",--(D209="Maladie"),0),IF($F$5&lt;&gt;"",--(F209="Maladie"),0),IF($H$5&lt;&gt;"",--(H209="Maladie"),0),IF($J$5&lt;&gt;"",--(J209="Maladie"),0),IF($L$5&lt;&gt;"",--(L209="Maladie"),0),IF($N$5&lt;&gt;"",--(N209="Maladie"),0),IF($P$5&lt;&gt;"",--(P209="Maladie"),0),IF($R$5&lt;&gt;"",--(R209="Maladie"),0),IF($T$5&lt;&gt;"",--(T209="Maladie"),0),IF($V$5&lt;&gt;"",--(V209="Maladie"),0),IF($X$5&lt;&gt;"",--(X209="Maladie"),0),IF($Z$5&lt;&gt;"",--(Z209="Maladie"),0),IF($AB$5&lt;&gt;"",--(AB209="Maladie"),0),IF($AD$5&lt;&gt;"",--(AD209="Maladie"),0),IF($AF$5&lt;&gt;"",--(AF209="Maladie"),0),IF($AH$5&lt;&gt;"",--(AH209="Maladie"),0),IF($AJ$5&lt;&gt;"",--(AJ209="Maladie"),0),IF($AL$5&lt;&gt;"",--(AL209="Maladie"),0),IF($AN$5&lt;&gt;"",--(AN209="Maladie"),0),IF($AP$5&lt;&gt;"",--(AP209="Maladie"),0),IF($AR$5&lt;&gt;"",--(AR209="Maladie"),0),IF($AT$5&lt;&gt;"",--(AT209="Maladie"),0),IF($AV$5&lt;&gt;"",--(AV209="Maladie"),0),IF($AX$5&lt;&gt;"",--(AX209="Maladie"),0),IF($AZ$5&lt;&gt;"",--(AZ209="Maladie"),0),IF($BB$5&lt;&gt;"",--(BB209="Maladie"),0),IF($BD$5&lt;&gt;"",--(BD209="Maladie"),0),IF($BF$5&lt;&gt;"",--(BF209="Maladie"),0),IF($BH$5&lt;&gt;"",--(BH209="Maladie"),0),IF($BJ$5&lt;&gt;"",--(BJ209="Maladie"),0),IF($BL$5&lt;&gt;"",--(BL209="Maladie"),0)))</f>
      </c>
      <c r="BR209" s="23">
        <f>IF($A209="","",SUM(IF($D$5&lt;&gt;"",IF(D209="Présent",E209,0),0),IF($F$5&lt;&gt;"",IF(F209="Présent",G209,0),0),IF($H$5&lt;&gt;"",IF(H209="Présent",I209,0),0),IF($J$5&lt;&gt;"",IF(J209="Présent",K209,0),0),IF($L$5&lt;&gt;"",IF(L209="Présent",M209,0),0),IF($N$5&lt;&gt;"",IF(N209="Présent",O209,0),0),IF($P$5&lt;&gt;"",IF(P209="Présent",Q209,0),0),IF($R$5&lt;&gt;"",IF(R209="Présent",S209,0),0),IF($T$5&lt;&gt;"",IF(T209="Présent",U209,0),0),IF($V$5&lt;&gt;"",IF(V209="Présent",W209,0),0),IF($X$5&lt;&gt;"",IF(X209="Présent",Y209,0),0),IF($Z$5&lt;&gt;"",IF(Z209="Présent",AA209,0),0),IF($AB$5&lt;&gt;"",IF(AB209="Présent",AC209,0),0),IF($AD$5&lt;&gt;"",IF(AD209="Présent",AE209,0),0),IF($AF$5&lt;&gt;"",IF(AF209="Présent",AG209,0),0),IF($AH$5&lt;&gt;"",IF(AH209="Présent",AI209,0),0),IF($AJ$5&lt;&gt;"",IF(AJ209="Présent",AK209,0),0),IF($AL$5&lt;&gt;"",IF(AL209="Présent",AM209,0),0),IF($AN$5&lt;&gt;"",IF(AN209="Présent",AO209,0),0),IF($AP$5&lt;&gt;"",IF(AP209="Présent",AQ209,0),0),IF($AR$5&lt;&gt;"",IF(AR209="Présent",AS209,0),0),IF($AT$5&lt;&gt;"",IF(AT209="Présent",AU209,0),0),IF($AV$5&lt;&gt;"",IF(AV209="Présent",AW209,0),0),IF($AX$5&lt;&gt;"",IF(AX209="Présent",AY209,0),0),IF($AZ$5&lt;&gt;"",IF(AZ209="Présent",BA209,0),0),IF($BB$5&lt;&gt;"",IF(BB209="Présent",BC209,0),0),IF($BD$5&lt;&gt;"",IF(BD209="Présent",BE209,0),0),IF($BF$5&lt;&gt;"",IF(BF209="Présent",BG209,0),0),IF($BH$5&lt;&gt;"",IF(BH209="Présent",BI209,0),0),IF($BJ$5&lt;&gt;"",IF(BJ209="Présent",BK209,0),0),IF($BL$5&lt;&gt;"",IF(BL209="Présent",BM209,0),0)))</f>
      </c>
      <c r="BS209" s="25">
        <f>IF($A209="","",$BN209*IFERROR(INDEX(Categories_Salaire,MATCH($C209,ListeCategories,0)),0)+$BR209*IF(IFERROR(INDEX(Categories_TauxHS,MATCH($C209,ListeCategories,0)),0)&gt;0,IFERROR(INDEX(Categories_TauxHS,MATCH($C209,ListeCategories,0)),0),TauxHSDefaut))</f>
      </c>
    </row>
    <row r="210">
      <c r="A210" s="20">
        <f>IF(AND(INDEX(Employes_Nom,204)&lt;&gt;"",INDEX(Employes_Statut,204)="Actif",OR(INDEX(Employes_Embauche,204)="",INDEX(Employes_Embauche,204)&lt;=EOMONTH(DATE(AnneeCourante,MoisCourant,1),0))),INDEX(Employes_ID,204),"")</f>
      </c>
      <c r="B210" s="19">
        <f>IF($A210="","",INDEX(Employes_Nom,MATCH($A210,Employes_ID,0)))</f>
      </c>
      <c r="C210" s="20">
        <f>IF($A210="","",INDEX(Employes_Categorie,MATCH($A210,Employes_ID,0)))</f>
      </c>
      <c r="D210" s="26"/>
      <c r="E210" s="27"/>
      <c r="F210" s="26"/>
      <c r="G210" s="27"/>
      <c r="H210" s="26"/>
      <c r="I210" s="27"/>
      <c r="J210" s="26"/>
      <c r="K210" s="27"/>
      <c r="L210" s="26"/>
      <c r="M210" s="27"/>
      <c r="N210" s="26"/>
      <c r="O210" s="27"/>
      <c r="P210" s="26"/>
      <c r="Q210" s="27"/>
      <c r="R210" s="26"/>
      <c r="S210" s="27"/>
      <c r="T210" s="26"/>
      <c r="U210" s="27"/>
      <c r="V210" s="26"/>
      <c r="W210" s="27"/>
      <c r="X210" s="26"/>
      <c r="Y210" s="27"/>
      <c r="Z210" s="26"/>
      <c r="AA210" s="27"/>
      <c r="AB210" s="26"/>
      <c r="AC210" s="27"/>
      <c r="AD210" s="26"/>
      <c r="AE210" s="27"/>
      <c r="AF210" s="26"/>
      <c r="AG210" s="27"/>
      <c r="AH210" s="26"/>
      <c r="AI210" s="27"/>
      <c r="AJ210" s="26"/>
      <c r="AK210" s="27"/>
      <c r="AL210" s="26"/>
      <c r="AM210" s="27"/>
      <c r="AN210" s="26"/>
      <c r="AO210" s="27"/>
      <c r="AP210" s="26"/>
      <c r="AQ210" s="27"/>
      <c r="AR210" s="26"/>
      <c r="AS210" s="27"/>
      <c r="AT210" s="26"/>
      <c r="AU210" s="27"/>
      <c r="AV210" s="26"/>
      <c r="AW210" s="27"/>
      <c r="AX210" s="26"/>
      <c r="AY210" s="27"/>
      <c r="AZ210" s="26"/>
      <c r="BA210" s="27"/>
      <c r="BB210" s="26"/>
      <c r="BC210" s="27"/>
      <c r="BD210" s="26"/>
      <c r="BE210" s="27"/>
      <c r="BF210" s="26"/>
      <c r="BG210" s="27"/>
      <c r="BH210" s="26"/>
      <c r="BI210" s="27"/>
      <c r="BJ210" s="26"/>
      <c r="BK210" s="27"/>
      <c r="BL210" s="26"/>
      <c r="BM210" s="27"/>
      <c r="BN210" s="22">
        <f>IF($A210="","",SUM(IF($D$5&lt;&gt;"",--(D210="Présent"),0),IF($F$5&lt;&gt;"",--(F210="Présent"),0),IF($H$5&lt;&gt;"",--(H210="Présent"),0),IF($J$5&lt;&gt;"",--(J210="Présent"),0),IF($L$5&lt;&gt;"",--(L210="Présent"),0),IF($N$5&lt;&gt;"",--(N210="Présent"),0),IF($P$5&lt;&gt;"",--(P210="Présent"),0),IF($R$5&lt;&gt;"",--(R210="Présent"),0),IF($T$5&lt;&gt;"",--(T210="Présent"),0),IF($V$5&lt;&gt;"",--(V210="Présent"),0),IF($X$5&lt;&gt;"",--(X210="Présent"),0),IF($Z$5&lt;&gt;"",--(Z210="Présent"),0),IF($AB$5&lt;&gt;"",--(AB210="Présent"),0),IF($AD$5&lt;&gt;"",--(AD210="Présent"),0),IF($AF$5&lt;&gt;"",--(AF210="Présent"),0),IF($AH$5&lt;&gt;"",--(AH210="Présent"),0),IF($AJ$5&lt;&gt;"",--(AJ210="Présent"),0),IF($AL$5&lt;&gt;"",--(AL210="Présent"),0),IF($AN$5&lt;&gt;"",--(AN210="Présent"),0),IF($AP$5&lt;&gt;"",--(AP210="Présent"),0),IF($AR$5&lt;&gt;"",--(AR210="Présent"),0),IF($AT$5&lt;&gt;"",--(AT210="Présent"),0),IF($AV$5&lt;&gt;"",--(AV210="Présent"),0),IF($AX$5&lt;&gt;"",--(AX210="Présent"),0),IF($AZ$5&lt;&gt;"",--(AZ210="Présent"),0),IF($BB$5&lt;&gt;"",--(BB210="Présent"),0),IF($BD$5&lt;&gt;"",--(BD210="Présent"),0),IF($BF$5&lt;&gt;"",--(BF210="Présent"),0),IF($BH$5&lt;&gt;"",--(BH210="Présent"),0),IF($BJ$5&lt;&gt;"",--(BJ210="Présent"),0),IF($BL$5&lt;&gt;"",--(BL210="Présent"),0)))</f>
      </c>
      <c r="BO210" s="22">
        <f>IF($A210="","",SUM(IF($D$5&lt;&gt;"",--(D210="Absent"),0),IF($F$5&lt;&gt;"",--(F210="Absent"),0),IF($H$5&lt;&gt;"",--(H210="Absent"),0),IF($J$5&lt;&gt;"",--(J210="Absent"),0),IF($L$5&lt;&gt;"",--(L210="Absent"),0),IF($N$5&lt;&gt;"",--(N210="Absent"),0),IF($P$5&lt;&gt;"",--(P210="Absent"),0),IF($R$5&lt;&gt;"",--(R210="Absent"),0),IF($T$5&lt;&gt;"",--(T210="Absent"),0),IF($V$5&lt;&gt;"",--(V210="Absent"),0),IF($X$5&lt;&gt;"",--(X210="Absent"),0),IF($Z$5&lt;&gt;"",--(Z210="Absent"),0),IF($AB$5&lt;&gt;"",--(AB210="Absent"),0),IF($AD$5&lt;&gt;"",--(AD210="Absent"),0),IF($AF$5&lt;&gt;"",--(AF210="Absent"),0),IF($AH$5&lt;&gt;"",--(AH210="Absent"),0),IF($AJ$5&lt;&gt;"",--(AJ210="Absent"),0),IF($AL$5&lt;&gt;"",--(AL210="Absent"),0),IF($AN$5&lt;&gt;"",--(AN210="Absent"),0),IF($AP$5&lt;&gt;"",--(AP210="Absent"),0),IF($AR$5&lt;&gt;"",--(AR210="Absent"),0),IF($AT$5&lt;&gt;"",--(AT210="Absent"),0),IF($AV$5&lt;&gt;"",--(AV210="Absent"),0),IF($AX$5&lt;&gt;"",--(AX210="Absent"),0),IF($AZ$5&lt;&gt;"",--(AZ210="Absent"),0),IF($BB$5&lt;&gt;"",--(BB210="Absent"),0),IF($BD$5&lt;&gt;"",--(BD210="Absent"),0),IF($BF$5&lt;&gt;"",--(BF210="Absent"),0),IF($BH$5&lt;&gt;"",--(BH210="Absent"),0),IF($BJ$5&lt;&gt;"",--(BJ210="Absent"),0),IF($BL$5&lt;&gt;"",--(BL210="Absent"),0)))</f>
      </c>
      <c r="BP210" s="22">
        <f>IF($A210="","",SUM(IF($D$5&lt;&gt;"",--(D210="Congé"),0),IF($F$5&lt;&gt;"",--(F210="Congé"),0),IF($H$5&lt;&gt;"",--(H210="Congé"),0),IF($J$5&lt;&gt;"",--(J210="Congé"),0),IF($L$5&lt;&gt;"",--(L210="Congé"),0),IF($N$5&lt;&gt;"",--(N210="Congé"),0),IF($P$5&lt;&gt;"",--(P210="Congé"),0),IF($R$5&lt;&gt;"",--(R210="Congé"),0),IF($T$5&lt;&gt;"",--(T210="Congé"),0),IF($V$5&lt;&gt;"",--(V210="Congé"),0),IF($X$5&lt;&gt;"",--(X210="Congé"),0),IF($Z$5&lt;&gt;"",--(Z210="Congé"),0),IF($AB$5&lt;&gt;"",--(AB210="Congé"),0),IF($AD$5&lt;&gt;"",--(AD210="Congé"),0),IF($AF$5&lt;&gt;"",--(AF210="Congé"),0),IF($AH$5&lt;&gt;"",--(AH210="Congé"),0),IF($AJ$5&lt;&gt;"",--(AJ210="Congé"),0),IF($AL$5&lt;&gt;"",--(AL210="Congé"),0),IF($AN$5&lt;&gt;"",--(AN210="Congé"),0),IF($AP$5&lt;&gt;"",--(AP210="Congé"),0),IF($AR$5&lt;&gt;"",--(AR210="Congé"),0),IF($AT$5&lt;&gt;"",--(AT210="Congé"),0),IF($AV$5&lt;&gt;"",--(AV210="Congé"),0),IF($AX$5&lt;&gt;"",--(AX210="Congé"),0),IF($AZ$5&lt;&gt;"",--(AZ210="Congé"),0),IF($BB$5&lt;&gt;"",--(BB210="Congé"),0),IF($BD$5&lt;&gt;"",--(BD210="Congé"),0),IF($BF$5&lt;&gt;"",--(BF210="Congé"),0),IF($BH$5&lt;&gt;"",--(BH210="Congé"),0),IF($BJ$5&lt;&gt;"",--(BJ210="Congé"),0),IF($BL$5&lt;&gt;"",--(BL210="Congé"),0)))</f>
      </c>
      <c r="BQ210" s="22">
        <f>IF($A210="","",SUM(IF($D$5&lt;&gt;"",--(D210="Maladie"),0),IF($F$5&lt;&gt;"",--(F210="Maladie"),0),IF($H$5&lt;&gt;"",--(H210="Maladie"),0),IF($J$5&lt;&gt;"",--(J210="Maladie"),0),IF($L$5&lt;&gt;"",--(L210="Maladie"),0),IF($N$5&lt;&gt;"",--(N210="Maladie"),0),IF($P$5&lt;&gt;"",--(P210="Maladie"),0),IF($R$5&lt;&gt;"",--(R210="Maladie"),0),IF($T$5&lt;&gt;"",--(T210="Maladie"),0),IF($V$5&lt;&gt;"",--(V210="Maladie"),0),IF($X$5&lt;&gt;"",--(X210="Maladie"),0),IF($Z$5&lt;&gt;"",--(Z210="Maladie"),0),IF($AB$5&lt;&gt;"",--(AB210="Maladie"),0),IF($AD$5&lt;&gt;"",--(AD210="Maladie"),0),IF($AF$5&lt;&gt;"",--(AF210="Maladie"),0),IF($AH$5&lt;&gt;"",--(AH210="Maladie"),0),IF($AJ$5&lt;&gt;"",--(AJ210="Maladie"),0),IF($AL$5&lt;&gt;"",--(AL210="Maladie"),0),IF($AN$5&lt;&gt;"",--(AN210="Maladie"),0),IF($AP$5&lt;&gt;"",--(AP210="Maladie"),0),IF($AR$5&lt;&gt;"",--(AR210="Maladie"),0),IF($AT$5&lt;&gt;"",--(AT210="Maladie"),0),IF($AV$5&lt;&gt;"",--(AV210="Maladie"),0),IF($AX$5&lt;&gt;"",--(AX210="Maladie"),0),IF($AZ$5&lt;&gt;"",--(AZ210="Maladie"),0),IF($BB$5&lt;&gt;"",--(BB210="Maladie"),0),IF($BD$5&lt;&gt;"",--(BD210="Maladie"),0),IF($BF$5&lt;&gt;"",--(BF210="Maladie"),0),IF($BH$5&lt;&gt;"",--(BH210="Maladie"),0),IF($BJ$5&lt;&gt;"",--(BJ210="Maladie"),0),IF($BL$5&lt;&gt;"",--(BL210="Maladie"),0)))</f>
      </c>
      <c r="BR210" s="23">
        <f>IF($A210="","",SUM(IF($D$5&lt;&gt;"",IF(D210="Présent",E210,0),0),IF($F$5&lt;&gt;"",IF(F210="Présent",G210,0),0),IF($H$5&lt;&gt;"",IF(H210="Présent",I210,0),0),IF($J$5&lt;&gt;"",IF(J210="Présent",K210,0),0),IF($L$5&lt;&gt;"",IF(L210="Présent",M210,0),0),IF($N$5&lt;&gt;"",IF(N210="Présent",O210,0),0),IF($P$5&lt;&gt;"",IF(P210="Présent",Q210,0),0),IF($R$5&lt;&gt;"",IF(R210="Présent",S210,0),0),IF($T$5&lt;&gt;"",IF(T210="Présent",U210,0),0),IF($V$5&lt;&gt;"",IF(V210="Présent",W210,0),0),IF($X$5&lt;&gt;"",IF(X210="Présent",Y210,0),0),IF($Z$5&lt;&gt;"",IF(Z210="Présent",AA210,0),0),IF($AB$5&lt;&gt;"",IF(AB210="Présent",AC210,0),0),IF($AD$5&lt;&gt;"",IF(AD210="Présent",AE210,0),0),IF($AF$5&lt;&gt;"",IF(AF210="Présent",AG210,0),0),IF($AH$5&lt;&gt;"",IF(AH210="Présent",AI210,0),0),IF($AJ$5&lt;&gt;"",IF(AJ210="Présent",AK210,0),0),IF($AL$5&lt;&gt;"",IF(AL210="Présent",AM210,0),0),IF($AN$5&lt;&gt;"",IF(AN210="Présent",AO210,0),0),IF($AP$5&lt;&gt;"",IF(AP210="Présent",AQ210,0),0),IF($AR$5&lt;&gt;"",IF(AR210="Présent",AS210,0),0),IF($AT$5&lt;&gt;"",IF(AT210="Présent",AU210,0),0),IF($AV$5&lt;&gt;"",IF(AV210="Présent",AW210,0),0),IF($AX$5&lt;&gt;"",IF(AX210="Présent",AY210,0),0),IF($AZ$5&lt;&gt;"",IF(AZ210="Présent",BA210,0),0),IF($BB$5&lt;&gt;"",IF(BB210="Présent",BC210,0),0),IF($BD$5&lt;&gt;"",IF(BD210="Présent",BE210,0),0),IF($BF$5&lt;&gt;"",IF(BF210="Présent",BG210,0),0),IF($BH$5&lt;&gt;"",IF(BH210="Présent",BI210,0),0),IF($BJ$5&lt;&gt;"",IF(BJ210="Présent",BK210,0),0),IF($BL$5&lt;&gt;"",IF(BL210="Présent",BM210,0),0)))</f>
      </c>
      <c r="BS210" s="25">
        <f>IF($A210="","",$BN210*IFERROR(INDEX(Categories_Salaire,MATCH($C210,ListeCategories,0)),0)+$BR210*IF(IFERROR(INDEX(Categories_TauxHS,MATCH($C210,ListeCategories,0)),0)&gt;0,IFERROR(INDEX(Categories_TauxHS,MATCH($C210,ListeCategories,0)),0),TauxHSDefaut))</f>
      </c>
    </row>
    <row r="211">
      <c r="A211" s="20">
        <f>IF(AND(INDEX(Employes_Nom,205)&lt;&gt;"",INDEX(Employes_Statut,205)="Actif",OR(INDEX(Employes_Embauche,205)="",INDEX(Employes_Embauche,205)&lt;=EOMONTH(DATE(AnneeCourante,MoisCourant,1),0))),INDEX(Employes_ID,205),"")</f>
      </c>
      <c r="B211" s="19">
        <f>IF($A211="","",INDEX(Employes_Nom,MATCH($A211,Employes_ID,0)))</f>
      </c>
      <c r="C211" s="20">
        <f>IF($A211="","",INDEX(Employes_Categorie,MATCH($A211,Employes_ID,0)))</f>
      </c>
      <c r="D211" s="26"/>
      <c r="E211" s="27"/>
      <c r="F211" s="26"/>
      <c r="G211" s="27"/>
      <c r="H211" s="26"/>
      <c r="I211" s="27"/>
      <c r="J211" s="26"/>
      <c r="K211" s="27"/>
      <c r="L211" s="26"/>
      <c r="M211" s="27"/>
      <c r="N211" s="26"/>
      <c r="O211" s="27"/>
      <c r="P211" s="26"/>
      <c r="Q211" s="27"/>
      <c r="R211" s="26"/>
      <c r="S211" s="27"/>
      <c r="T211" s="26"/>
      <c r="U211" s="27"/>
      <c r="V211" s="26"/>
      <c r="W211" s="27"/>
      <c r="X211" s="26"/>
      <c r="Y211" s="27"/>
      <c r="Z211" s="26"/>
      <c r="AA211" s="27"/>
      <c r="AB211" s="26"/>
      <c r="AC211" s="27"/>
      <c r="AD211" s="26"/>
      <c r="AE211" s="27"/>
      <c r="AF211" s="26"/>
      <c r="AG211" s="27"/>
      <c r="AH211" s="26"/>
      <c r="AI211" s="27"/>
      <c r="AJ211" s="26"/>
      <c r="AK211" s="27"/>
      <c r="AL211" s="26"/>
      <c r="AM211" s="27"/>
      <c r="AN211" s="26"/>
      <c r="AO211" s="27"/>
      <c r="AP211" s="26"/>
      <c r="AQ211" s="27"/>
      <c r="AR211" s="26"/>
      <c r="AS211" s="27"/>
      <c r="AT211" s="26"/>
      <c r="AU211" s="27"/>
      <c r="AV211" s="26"/>
      <c r="AW211" s="27"/>
      <c r="AX211" s="26"/>
      <c r="AY211" s="27"/>
      <c r="AZ211" s="26"/>
      <c r="BA211" s="27"/>
      <c r="BB211" s="26"/>
      <c r="BC211" s="27"/>
      <c r="BD211" s="26"/>
      <c r="BE211" s="27"/>
      <c r="BF211" s="26"/>
      <c r="BG211" s="27"/>
      <c r="BH211" s="26"/>
      <c r="BI211" s="27"/>
      <c r="BJ211" s="26"/>
      <c r="BK211" s="27"/>
      <c r="BL211" s="26"/>
      <c r="BM211" s="27"/>
      <c r="BN211" s="22">
        <f>IF($A211="","",SUM(IF($D$5&lt;&gt;"",--(D211="Présent"),0),IF($F$5&lt;&gt;"",--(F211="Présent"),0),IF($H$5&lt;&gt;"",--(H211="Présent"),0),IF($J$5&lt;&gt;"",--(J211="Présent"),0),IF($L$5&lt;&gt;"",--(L211="Présent"),0),IF($N$5&lt;&gt;"",--(N211="Présent"),0),IF($P$5&lt;&gt;"",--(P211="Présent"),0),IF($R$5&lt;&gt;"",--(R211="Présent"),0),IF($T$5&lt;&gt;"",--(T211="Présent"),0),IF($V$5&lt;&gt;"",--(V211="Présent"),0),IF($X$5&lt;&gt;"",--(X211="Présent"),0),IF($Z$5&lt;&gt;"",--(Z211="Présent"),0),IF($AB$5&lt;&gt;"",--(AB211="Présent"),0),IF($AD$5&lt;&gt;"",--(AD211="Présent"),0),IF($AF$5&lt;&gt;"",--(AF211="Présent"),0),IF($AH$5&lt;&gt;"",--(AH211="Présent"),0),IF($AJ$5&lt;&gt;"",--(AJ211="Présent"),0),IF($AL$5&lt;&gt;"",--(AL211="Présent"),0),IF($AN$5&lt;&gt;"",--(AN211="Présent"),0),IF($AP$5&lt;&gt;"",--(AP211="Présent"),0),IF($AR$5&lt;&gt;"",--(AR211="Présent"),0),IF($AT$5&lt;&gt;"",--(AT211="Présent"),0),IF($AV$5&lt;&gt;"",--(AV211="Présent"),0),IF($AX$5&lt;&gt;"",--(AX211="Présent"),0),IF($AZ$5&lt;&gt;"",--(AZ211="Présent"),0),IF($BB$5&lt;&gt;"",--(BB211="Présent"),0),IF($BD$5&lt;&gt;"",--(BD211="Présent"),0),IF($BF$5&lt;&gt;"",--(BF211="Présent"),0),IF($BH$5&lt;&gt;"",--(BH211="Présent"),0),IF($BJ$5&lt;&gt;"",--(BJ211="Présent"),0),IF($BL$5&lt;&gt;"",--(BL211="Présent"),0)))</f>
      </c>
      <c r="BO211" s="22">
        <f>IF($A211="","",SUM(IF($D$5&lt;&gt;"",--(D211="Absent"),0),IF($F$5&lt;&gt;"",--(F211="Absent"),0),IF($H$5&lt;&gt;"",--(H211="Absent"),0),IF($J$5&lt;&gt;"",--(J211="Absent"),0),IF($L$5&lt;&gt;"",--(L211="Absent"),0),IF($N$5&lt;&gt;"",--(N211="Absent"),0),IF($P$5&lt;&gt;"",--(P211="Absent"),0),IF($R$5&lt;&gt;"",--(R211="Absent"),0),IF($T$5&lt;&gt;"",--(T211="Absent"),0),IF($V$5&lt;&gt;"",--(V211="Absent"),0),IF($X$5&lt;&gt;"",--(X211="Absent"),0),IF($Z$5&lt;&gt;"",--(Z211="Absent"),0),IF($AB$5&lt;&gt;"",--(AB211="Absent"),0),IF($AD$5&lt;&gt;"",--(AD211="Absent"),0),IF($AF$5&lt;&gt;"",--(AF211="Absent"),0),IF($AH$5&lt;&gt;"",--(AH211="Absent"),0),IF($AJ$5&lt;&gt;"",--(AJ211="Absent"),0),IF($AL$5&lt;&gt;"",--(AL211="Absent"),0),IF($AN$5&lt;&gt;"",--(AN211="Absent"),0),IF($AP$5&lt;&gt;"",--(AP211="Absent"),0),IF($AR$5&lt;&gt;"",--(AR211="Absent"),0),IF($AT$5&lt;&gt;"",--(AT211="Absent"),0),IF($AV$5&lt;&gt;"",--(AV211="Absent"),0),IF($AX$5&lt;&gt;"",--(AX211="Absent"),0),IF($AZ$5&lt;&gt;"",--(AZ211="Absent"),0),IF($BB$5&lt;&gt;"",--(BB211="Absent"),0),IF($BD$5&lt;&gt;"",--(BD211="Absent"),0),IF($BF$5&lt;&gt;"",--(BF211="Absent"),0),IF($BH$5&lt;&gt;"",--(BH211="Absent"),0),IF($BJ$5&lt;&gt;"",--(BJ211="Absent"),0),IF($BL$5&lt;&gt;"",--(BL211="Absent"),0)))</f>
      </c>
      <c r="BP211" s="22">
        <f>IF($A211="","",SUM(IF($D$5&lt;&gt;"",--(D211="Congé"),0),IF($F$5&lt;&gt;"",--(F211="Congé"),0),IF($H$5&lt;&gt;"",--(H211="Congé"),0),IF($J$5&lt;&gt;"",--(J211="Congé"),0),IF($L$5&lt;&gt;"",--(L211="Congé"),0),IF($N$5&lt;&gt;"",--(N211="Congé"),0),IF($P$5&lt;&gt;"",--(P211="Congé"),0),IF($R$5&lt;&gt;"",--(R211="Congé"),0),IF($T$5&lt;&gt;"",--(T211="Congé"),0),IF($V$5&lt;&gt;"",--(V211="Congé"),0),IF($X$5&lt;&gt;"",--(X211="Congé"),0),IF($Z$5&lt;&gt;"",--(Z211="Congé"),0),IF($AB$5&lt;&gt;"",--(AB211="Congé"),0),IF($AD$5&lt;&gt;"",--(AD211="Congé"),0),IF($AF$5&lt;&gt;"",--(AF211="Congé"),0),IF($AH$5&lt;&gt;"",--(AH211="Congé"),0),IF($AJ$5&lt;&gt;"",--(AJ211="Congé"),0),IF($AL$5&lt;&gt;"",--(AL211="Congé"),0),IF($AN$5&lt;&gt;"",--(AN211="Congé"),0),IF($AP$5&lt;&gt;"",--(AP211="Congé"),0),IF($AR$5&lt;&gt;"",--(AR211="Congé"),0),IF($AT$5&lt;&gt;"",--(AT211="Congé"),0),IF($AV$5&lt;&gt;"",--(AV211="Congé"),0),IF($AX$5&lt;&gt;"",--(AX211="Congé"),0),IF($AZ$5&lt;&gt;"",--(AZ211="Congé"),0),IF($BB$5&lt;&gt;"",--(BB211="Congé"),0),IF($BD$5&lt;&gt;"",--(BD211="Congé"),0),IF($BF$5&lt;&gt;"",--(BF211="Congé"),0),IF($BH$5&lt;&gt;"",--(BH211="Congé"),0),IF($BJ$5&lt;&gt;"",--(BJ211="Congé"),0),IF($BL$5&lt;&gt;"",--(BL211="Congé"),0)))</f>
      </c>
      <c r="BQ211" s="22">
        <f>IF($A211="","",SUM(IF($D$5&lt;&gt;"",--(D211="Maladie"),0),IF($F$5&lt;&gt;"",--(F211="Maladie"),0),IF($H$5&lt;&gt;"",--(H211="Maladie"),0),IF($J$5&lt;&gt;"",--(J211="Maladie"),0),IF($L$5&lt;&gt;"",--(L211="Maladie"),0),IF($N$5&lt;&gt;"",--(N211="Maladie"),0),IF($P$5&lt;&gt;"",--(P211="Maladie"),0),IF($R$5&lt;&gt;"",--(R211="Maladie"),0),IF($T$5&lt;&gt;"",--(T211="Maladie"),0),IF($V$5&lt;&gt;"",--(V211="Maladie"),0),IF($X$5&lt;&gt;"",--(X211="Maladie"),0),IF($Z$5&lt;&gt;"",--(Z211="Maladie"),0),IF($AB$5&lt;&gt;"",--(AB211="Maladie"),0),IF($AD$5&lt;&gt;"",--(AD211="Maladie"),0),IF($AF$5&lt;&gt;"",--(AF211="Maladie"),0),IF($AH$5&lt;&gt;"",--(AH211="Maladie"),0),IF($AJ$5&lt;&gt;"",--(AJ211="Maladie"),0),IF($AL$5&lt;&gt;"",--(AL211="Maladie"),0),IF($AN$5&lt;&gt;"",--(AN211="Maladie"),0),IF($AP$5&lt;&gt;"",--(AP211="Maladie"),0),IF($AR$5&lt;&gt;"",--(AR211="Maladie"),0),IF($AT$5&lt;&gt;"",--(AT211="Maladie"),0),IF($AV$5&lt;&gt;"",--(AV211="Maladie"),0),IF($AX$5&lt;&gt;"",--(AX211="Maladie"),0),IF($AZ$5&lt;&gt;"",--(AZ211="Maladie"),0),IF($BB$5&lt;&gt;"",--(BB211="Maladie"),0),IF($BD$5&lt;&gt;"",--(BD211="Maladie"),0),IF($BF$5&lt;&gt;"",--(BF211="Maladie"),0),IF($BH$5&lt;&gt;"",--(BH211="Maladie"),0),IF($BJ$5&lt;&gt;"",--(BJ211="Maladie"),0),IF($BL$5&lt;&gt;"",--(BL211="Maladie"),0)))</f>
      </c>
      <c r="BR211" s="23">
        <f>IF($A211="","",SUM(IF($D$5&lt;&gt;"",IF(D211="Présent",E211,0),0),IF($F$5&lt;&gt;"",IF(F211="Présent",G211,0),0),IF($H$5&lt;&gt;"",IF(H211="Présent",I211,0),0),IF($J$5&lt;&gt;"",IF(J211="Présent",K211,0),0),IF($L$5&lt;&gt;"",IF(L211="Présent",M211,0),0),IF($N$5&lt;&gt;"",IF(N211="Présent",O211,0),0),IF($P$5&lt;&gt;"",IF(P211="Présent",Q211,0),0),IF($R$5&lt;&gt;"",IF(R211="Présent",S211,0),0),IF($T$5&lt;&gt;"",IF(T211="Présent",U211,0),0),IF($V$5&lt;&gt;"",IF(V211="Présent",W211,0),0),IF($X$5&lt;&gt;"",IF(X211="Présent",Y211,0),0),IF($Z$5&lt;&gt;"",IF(Z211="Présent",AA211,0),0),IF($AB$5&lt;&gt;"",IF(AB211="Présent",AC211,0),0),IF($AD$5&lt;&gt;"",IF(AD211="Présent",AE211,0),0),IF($AF$5&lt;&gt;"",IF(AF211="Présent",AG211,0),0),IF($AH$5&lt;&gt;"",IF(AH211="Présent",AI211,0),0),IF($AJ$5&lt;&gt;"",IF(AJ211="Présent",AK211,0),0),IF($AL$5&lt;&gt;"",IF(AL211="Présent",AM211,0),0),IF($AN$5&lt;&gt;"",IF(AN211="Présent",AO211,0),0),IF($AP$5&lt;&gt;"",IF(AP211="Présent",AQ211,0),0),IF($AR$5&lt;&gt;"",IF(AR211="Présent",AS211,0),0),IF($AT$5&lt;&gt;"",IF(AT211="Présent",AU211,0),0),IF($AV$5&lt;&gt;"",IF(AV211="Présent",AW211,0),0),IF($AX$5&lt;&gt;"",IF(AX211="Présent",AY211,0),0),IF($AZ$5&lt;&gt;"",IF(AZ211="Présent",BA211,0),0),IF($BB$5&lt;&gt;"",IF(BB211="Présent",BC211,0),0),IF($BD$5&lt;&gt;"",IF(BD211="Présent",BE211,0),0),IF($BF$5&lt;&gt;"",IF(BF211="Présent",BG211,0),0),IF($BH$5&lt;&gt;"",IF(BH211="Présent",BI211,0),0),IF($BJ$5&lt;&gt;"",IF(BJ211="Présent",BK211,0),0),IF($BL$5&lt;&gt;"",IF(BL211="Présent",BM211,0),0)))</f>
      </c>
      <c r="BS211" s="25">
        <f>IF($A211="","",$BN211*IFERROR(INDEX(Categories_Salaire,MATCH($C211,ListeCategories,0)),0)+$BR211*IF(IFERROR(INDEX(Categories_TauxHS,MATCH($C211,ListeCategories,0)),0)&gt;0,IFERROR(INDEX(Categories_TauxHS,MATCH($C211,ListeCategories,0)),0),TauxHSDefaut))</f>
      </c>
    </row>
    <row r="212">
      <c r="A212" s="20">
        <f>IF(AND(INDEX(Employes_Nom,206)&lt;&gt;"",INDEX(Employes_Statut,206)="Actif",OR(INDEX(Employes_Embauche,206)="",INDEX(Employes_Embauche,206)&lt;=EOMONTH(DATE(AnneeCourante,MoisCourant,1),0))),INDEX(Employes_ID,206),"")</f>
      </c>
      <c r="B212" s="19">
        <f>IF($A212="","",INDEX(Employes_Nom,MATCH($A212,Employes_ID,0)))</f>
      </c>
      <c r="C212" s="20">
        <f>IF($A212="","",INDEX(Employes_Categorie,MATCH($A212,Employes_ID,0)))</f>
      </c>
      <c r="D212" s="26"/>
      <c r="E212" s="27"/>
      <c r="F212" s="26"/>
      <c r="G212" s="27"/>
      <c r="H212" s="26"/>
      <c r="I212" s="27"/>
      <c r="J212" s="26"/>
      <c r="K212" s="27"/>
      <c r="L212" s="26"/>
      <c r="M212" s="27"/>
      <c r="N212" s="26"/>
      <c r="O212" s="27"/>
      <c r="P212" s="26"/>
      <c r="Q212" s="27"/>
      <c r="R212" s="26"/>
      <c r="S212" s="27"/>
      <c r="T212" s="26"/>
      <c r="U212" s="27"/>
      <c r="V212" s="26"/>
      <c r="W212" s="27"/>
      <c r="X212" s="26"/>
      <c r="Y212" s="27"/>
      <c r="Z212" s="26"/>
      <c r="AA212" s="27"/>
      <c r="AB212" s="26"/>
      <c r="AC212" s="27"/>
      <c r="AD212" s="26"/>
      <c r="AE212" s="27"/>
      <c r="AF212" s="26"/>
      <c r="AG212" s="27"/>
      <c r="AH212" s="26"/>
      <c r="AI212" s="27"/>
      <c r="AJ212" s="26"/>
      <c r="AK212" s="27"/>
      <c r="AL212" s="26"/>
      <c r="AM212" s="27"/>
      <c r="AN212" s="26"/>
      <c r="AO212" s="27"/>
      <c r="AP212" s="26"/>
      <c r="AQ212" s="27"/>
      <c r="AR212" s="26"/>
      <c r="AS212" s="27"/>
      <c r="AT212" s="26"/>
      <c r="AU212" s="27"/>
      <c r="AV212" s="26"/>
      <c r="AW212" s="27"/>
      <c r="AX212" s="26"/>
      <c r="AY212" s="27"/>
      <c r="AZ212" s="26"/>
      <c r="BA212" s="27"/>
      <c r="BB212" s="26"/>
      <c r="BC212" s="27"/>
      <c r="BD212" s="26"/>
      <c r="BE212" s="27"/>
      <c r="BF212" s="26"/>
      <c r="BG212" s="27"/>
      <c r="BH212" s="26"/>
      <c r="BI212" s="27"/>
      <c r="BJ212" s="26"/>
      <c r="BK212" s="27"/>
      <c r="BL212" s="26"/>
      <c r="BM212" s="27"/>
      <c r="BN212" s="22">
        <f>IF($A212="","",SUM(IF($D$5&lt;&gt;"",--(D212="Présent"),0),IF($F$5&lt;&gt;"",--(F212="Présent"),0),IF($H$5&lt;&gt;"",--(H212="Présent"),0),IF($J$5&lt;&gt;"",--(J212="Présent"),0),IF($L$5&lt;&gt;"",--(L212="Présent"),0),IF($N$5&lt;&gt;"",--(N212="Présent"),0),IF($P$5&lt;&gt;"",--(P212="Présent"),0),IF($R$5&lt;&gt;"",--(R212="Présent"),0),IF($T$5&lt;&gt;"",--(T212="Présent"),0),IF($V$5&lt;&gt;"",--(V212="Présent"),0),IF($X$5&lt;&gt;"",--(X212="Présent"),0),IF($Z$5&lt;&gt;"",--(Z212="Présent"),0),IF($AB$5&lt;&gt;"",--(AB212="Présent"),0),IF($AD$5&lt;&gt;"",--(AD212="Présent"),0),IF($AF$5&lt;&gt;"",--(AF212="Présent"),0),IF($AH$5&lt;&gt;"",--(AH212="Présent"),0),IF($AJ$5&lt;&gt;"",--(AJ212="Présent"),0),IF($AL$5&lt;&gt;"",--(AL212="Présent"),0),IF($AN$5&lt;&gt;"",--(AN212="Présent"),0),IF($AP$5&lt;&gt;"",--(AP212="Présent"),0),IF($AR$5&lt;&gt;"",--(AR212="Présent"),0),IF($AT$5&lt;&gt;"",--(AT212="Présent"),0),IF($AV$5&lt;&gt;"",--(AV212="Présent"),0),IF($AX$5&lt;&gt;"",--(AX212="Présent"),0),IF($AZ$5&lt;&gt;"",--(AZ212="Présent"),0),IF($BB$5&lt;&gt;"",--(BB212="Présent"),0),IF($BD$5&lt;&gt;"",--(BD212="Présent"),0),IF($BF$5&lt;&gt;"",--(BF212="Présent"),0),IF($BH$5&lt;&gt;"",--(BH212="Présent"),0),IF($BJ$5&lt;&gt;"",--(BJ212="Présent"),0),IF($BL$5&lt;&gt;"",--(BL212="Présent"),0)))</f>
      </c>
      <c r="BO212" s="22">
        <f>IF($A212="","",SUM(IF($D$5&lt;&gt;"",--(D212="Absent"),0),IF($F$5&lt;&gt;"",--(F212="Absent"),0),IF($H$5&lt;&gt;"",--(H212="Absent"),0),IF($J$5&lt;&gt;"",--(J212="Absent"),0),IF($L$5&lt;&gt;"",--(L212="Absent"),0),IF($N$5&lt;&gt;"",--(N212="Absent"),0),IF($P$5&lt;&gt;"",--(P212="Absent"),0),IF($R$5&lt;&gt;"",--(R212="Absent"),0),IF($T$5&lt;&gt;"",--(T212="Absent"),0),IF($V$5&lt;&gt;"",--(V212="Absent"),0),IF($X$5&lt;&gt;"",--(X212="Absent"),0),IF($Z$5&lt;&gt;"",--(Z212="Absent"),0),IF($AB$5&lt;&gt;"",--(AB212="Absent"),0),IF($AD$5&lt;&gt;"",--(AD212="Absent"),0),IF($AF$5&lt;&gt;"",--(AF212="Absent"),0),IF($AH$5&lt;&gt;"",--(AH212="Absent"),0),IF($AJ$5&lt;&gt;"",--(AJ212="Absent"),0),IF($AL$5&lt;&gt;"",--(AL212="Absent"),0),IF($AN$5&lt;&gt;"",--(AN212="Absent"),0),IF($AP$5&lt;&gt;"",--(AP212="Absent"),0),IF($AR$5&lt;&gt;"",--(AR212="Absent"),0),IF($AT$5&lt;&gt;"",--(AT212="Absent"),0),IF($AV$5&lt;&gt;"",--(AV212="Absent"),0),IF($AX$5&lt;&gt;"",--(AX212="Absent"),0),IF($AZ$5&lt;&gt;"",--(AZ212="Absent"),0),IF($BB$5&lt;&gt;"",--(BB212="Absent"),0),IF($BD$5&lt;&gt;"",--(BD212="Absent"),0),IF($BF$5&lt;&gt;"",--(BF212="Absent"),0),IF($BH$5&lt;&gt;"",--(BH212="Absent"),0),IF($BJ$5&lt;&gt;"",--(BJ212="Absent"),0),IF($BL$5&lt;&gt;"",--(BL212="Absent"),0)))</f>
      </c>
      <c r="BP212" s="22">
        <f>IF($A212="","",SUM(IF($D$5&lt;&gt;"",--(D212="Congé"),0),IF($F$5&lt;&gt;"",--(F212="Congé"),0),IF($H$5&lt;&gt;"",--(H212="Congé"),0),IF($J$5&lt;&gt;"",--(J212="Congé"),0),IF($L$5&lt;&gt;"",--(L212="Congé"),0),IF($N$5&lt;&gt;"",--(N212="Congé"),0),IF($P$5&lt;&gt;"",--(P212="Congé"),0),IF($R$5&lt;&gt;"",--(R212="Congé"),0),IF($T$5&lt;&gt;"",--(T212="Congé"),0),IF($V$5&lt;&gt;"",--(V212="Congé"),0),IF($X$5&lt;&gt;"",--(X212="Congé"),0),IF($Z$5&lt;&gt;"",--(Z212="Congé"),0),IF($AB$5&lt;&gt;"",--(AB212="Congé"),0),IF($AD$5&lt;&gt;"",--(AD212="Congé"),0),IF($AF$5&lt;&gt;"",--(AF212="Congé"),0),IF($AH$5&lt;&gt;"",--(AH212="Congé"),0),IF($AJ$5&lt;&gt;"",--(AJ212="Congé"),0),IF($AL$5&lt;&gt;"",--(AL212="Congé"),0),IF($AN$5&lt;&gt;"",--(AN212="Congé"),0),IF($AP$5&lt;&gt;"",--(AP212="Congé"),0),IF($AR$5&lt;&gt;"",--(AR212="Congé"),0),IF($AT$5&lt;&gt;"",--(AT212="Congé"),0),IF($AV$5&lt;&gt;"",--(AV212="Congé"),0),IF($AX$5&lt;&gt;"",--(AX212="Congé"),0),IF($AZ$5&lt;&gt;"",--(AZ212="Congé"),0),IF($BB$5&lt;&gt;"",--(BB212="Congé"),0),IF($BD$5&lt;&gt;"",--(BD212="Congé"),0),IF($BF$5&lt;&gt;"",--(BF212="Congé"),0),IF($BH$5&lt;&gt;"",--(BH212="Congé"),0),IF($BJ$5&lt;&gt;"",--(BJ212="Congé"),0),IF($BL$5&lt;&gt;"",--(BL212="Congé"),0)))</f>
      </c>
      <c r="BQ212" s="22">
        <f>IF($A212="","",SUM(IF($D$5&lt;&gt;"",--(D212="Maladie"),0),IF($F$5&lt;&gt;"",--(F212="Maladie"),0),IF($H$5&lt;&gt;"",--(H212="Maladie"),0),IF($J$5&lt;&gt;"",--(J212="Maladie"),0),IF($L$5&lt;&gt;"",--(L212="Maladie"),0),IF($N$5&lt;&gt;"",--(N212="Maladie"),0),IF($P$5&lt;&gt;"",--(P212="Maladie"),0),IF($R$5&lt;&gt;"",--(R212="Maladie"),0),IF($T$5&lt;&gt;"",--(T212="Maladie"),0),IF($V$5&lt;&gt;"",--(V212="Maladie"),0),IF($X$5&lt;&gt;"",--(X212="Maladie"),0),IF($Z$5&lt;&gt;"",--(Z212="Maladie"),0),IF($AB$5&lt;&gt;"",--(AB212="Maladie"),0),IF($AD$5&lt;&gt;"",--(AD212="Maladie"),0),IF($AF$5&lt;&gt;"",--(AF212="Maladie"),0),IF($AH$5&lt;&gt;"",--(AH212="Maladie"),0),IF($AJ$5&lt;&gt;"",--(AJ212="Maladie"),0),IF($AL$5&lt;&gt;"",--(AL212="Maladie"),0),IF($AN$5&lt;&gt;"",--(AN212="Maladie"),0),IF($AP$5&lt;&gt;"",--(AP212="Maladie"),0),IF($AR$5&lt;&gt;"",--(AR212="Maladie"),0),IF($AT$5&lt;&gt;"",--(AT212="Maladie"),0),IF($AV$5&lt;&gt;"",--(AV212="Maladie"),0),IF($AX$5&lt;&gt;"",--(AX212="Maladie"),0),IF($AZ$5&lt;&gt;"",--(AZ212="Maladie"),0),IF($BB$5&lt;&gt;"",--(BB212="Maladie"),0),IF($BD$5&lt;&gt;"",--(BD212="Maladie"),0),IF($BF$5&lt;&gt;"",--(BF212="Maladie"),0),IF($BH$5&lt;&gt;"",--(BH212="Maladie"),0),IF($BJ$5&lt;&gt;"",--(BJ212="Maladie"),0),IF($BL$5&lt;&gt;"",--(BL212="Maladie"),0)))</f>
      </c>
      <c r="BR212" s="23">
        <f>IF($A212="","",SUM(IF($D$5&lt;&gt;"",IF(D212="Présent",E212,0),0),IF($F$5&lt;&gt;"",IF(F212="Présent",G212,0),0),IF($H$5&lt;&gt;"",IF(H212="Présent",I212,0),0),IF($J$5&lt;&gt;"",IF(J212="Présent",K212,0),0),IF($L$5&lt;&gt;"",IF(L212="Présent",M212,0),0),IF($N$5&lt;&gt;"",IF(N212="Présent",O212,0),0),IF($P$5&lt;&gt;"",IF(P212="Présent",Q212,0),0),IF($R$5&lt;&gt;"",IF(R212="Présent",S212,0),0),IF($T$5&lt;&gt;"",IF(T212="Présent",U212,0),0),IF($V$5&lt;&gt;"",IF(V212="Présent",W212,0),0),IF($X$5&lt;&gt;"",IF(X212="Présent",Y212,0),0),IF($Z$5&lt;&gt;"",IF(Z212="Présent",AA212,0),0),IF($AB$5&lt;&gt;"",IF(AB212="Présent",AC212,0),0),IF($AD$5&lt;&gt;"",IF(AD212="Présent",AE212,0),0),IF($AF$5&lt;&gt;"",IF(AF212="Présent",AG212,0),0),IF($AH$5&lt;&gt;"",IF(AH212="Présent",AI212,0),0),IF($AJ$5&lt;&gt;"",IF(AJ212="Présent",AK212,0),0),IF($AL$5&lt;&gt;"",IF(AL212="Présent",AM212,0),0),IF($AN$5&lt;&gt;"",IF(AN212="Présent",AO212,0),0),IF($AP$5&lt;&gt;"",IF(AP212="Présent",AQ212,0),0),IF($AR$5&lt;&gt;"",IF(AR212="Présent",AS212,0),0),IF($AT$5&lt;&gt;"",IF(AT212="Présent",AU212,0),0),IF($AV$5&lt;&gt;"",IF(AV212="Présent",AW212,0),0),IF($AX$5&lt;&gt;"",IF(AX212="Présent",AY212,0),0),IF($AZ$5&lt;&gt;"",IF(AZ212="Présent",BA212,0),0),IF($BB$5&lt;&gt;"",IF(BB212="Présent",BC212,0),0),IF($BD$5&lt;&gt;"",IF(BD212="Présent",BE212,0),0),IF($BF$5&lt;&gt;"",IF(BF212="Présent",BG212,0),0),IF($BH$5&lt;&gt;"",IF(BH212="Présent",BI212,0),0),IF($BJ$5&lt;&gt;"",IF(BJ212="Présent",BK212,0),0),IF($BL$5&lt;&gt;"",IF(BL212="Présent",BM212,0),0)))</f>
      </c>
      <c r="BS212" s="25">
        <f>IF($A212="","",$BN212*IFERROR(INDEX(Categories_Salaire,MATCH($C212,ListeCategories,0)),0)+$BR212*IF(IFERROR(INDEX(Categories_TauxHS,MATCH($C212,ListeCategories,0)),0)&gt;0,IFERROR(INDEX(Categories_TauxHS,MATCH($C212,ListeCategories,0)),0),TauxHSDefaut))</f>
      </c>
    </row>
    <row r="213">
      <c r="A213" s="20">
        <f>IF(AND(INDEX(Employes_Nom,207)&lt;&gt;"",INDEX(Employes_Statut,207)="Actif",OR(INDEX(Employes_Embauche,207)="",INDEX(Employes_Embauche,207)&lt;=EOMONTH(DATE(AnneeCourante,MoisCourant,1),0))),INDEX(Employes_ID,207),"")</f>
      </c>
      <c r="B213" s="19">
        <f>IF($A213="","",INDEX(Employes_Nom,MATCH($A213,Employes_ID,0)))</f>
      </c>
      <c r="C213" s="20">
        <f>IF($A213="","",INDEX(Employes_Categorie,MATCH($A213,Employes_ID,0)))</f>
      </c>
      <c r="D213" s="26"/>
      <c r="E213" s="27"/>
      <c r="F213" s="26"/>
      <c r="G213" s="27"/>
      <c r="H213" s="26"/>
      <c r="I213" s="27"/>
      <c r="J213" s="26"/>
      <c r="K213" s="27"/>
      <c r="L213" s="26"/>
      <c r="M213" s="27"/>
      <c r="N213" s="26"/>
      <c r="O213" s="27"/>
      <c r="P213" s="26"/>
      <c r="Q213" s="27"/>
      <c r="R213" s="26"/>
      <c r="S213" s="27"/>
      <c r="T213" s="26"/>
      <c r="U213" s="27"/>
      <c r="V213" s="26"/>
      <c r="W213" s="27"/>
      <c r="X213" s="26"/>
      <c r="Y213" s="27"/>
      <c r="Z213" s="26"/>
      <c r="AA213" s="27"/>
      <c r="AB213" s="26"/>
      <c r="AC213" s="27"/>
      <c r="AD213" s="26"/>
      <c r="AE213" s="27"/>
      <c r="AF213" s="26"/>
      <c r="AG213" s="27"/>
      <c r="AH213" s="26"/>
      <c r="AI213" s="27"/>
      <c r="AJ213" s="26"/>
      <c r="AK213" s="27"/>
      <c r="AL213" s="26"/>
      <c r="AM213" s="27"/>
      <c r="AN213" s="26"/>
      <c r="AO213" s="27"/>
      <c r="AP213" s="26"/>
      <c r="AQ213" s="27"/>
      <c r="AR213" s="26"/>
      <c r="AS213" s="27"/>
      <c r="AT213" s="26"/>
      <c r="AU213" s="27"/>
      <c r="AV213" s="26"/>
      <c r="AW213" s="27"/>
      <c r="AX213" s="26"/>
      <c r="AY213" s="27"/>
      <c r="AZ213" s="26"/>
      <c r="BA213" s="27"/>
      <c r="BB213" s="26"/>
      <c r="BC213" s="27"/>
      <c r="BD213" s="26"/>
      <c r="BE213" s="27"/>
      <c r="BF213" s="26"/>
      <c r="BG213" s="27"/>
      <c r="BH213" s="26"/>
      <c r="BI213" s="27"/>
      <c r="BJ213" s="26"/>
      <c r="BK213" s="27"/>
      <c r="BL213" s="26"/>
      <c r="BM213" s="27"/>
      <c r="BN213" s="22">
        <f>IF($A213="","",SUM(IF($D$5&lt;&gt;"",--(D213="Présent"),0),IF($F$5&lt;&gt;"",--(F213="Présent"),0),IF($H$5&lt;&gt;"",--(H213="Présent"),0),IF($J$5&lt;&gt;"",--(J213="Présent"),0),IF($L$5&lt;&gt;"",--(L213="Présent"),0),IF($N$5&lt;&gt;"",--(N213="Présent"),0),IF($P$5&lt;&gt;"",--(P213="Présent"),0),IF($R$5&lt;&gt;"",--(R213="Présent"),0),IF($T$5&lt;&gt;"",--(T213="Présent"),0),IF($V$5&lt;&gt;"",--(V213="Présent"),0),IF($X$5&lt;&gt;"",--(X213="Présent"),0),IF($Z$5&lt;&gt;"",--(Z213="Présent"),0),IF($AB$5&lt;&gt;"",--(AB213="Présent"),0),IF($AD$5&lt;&gt;"",--(AD213="Présent"),0),IF($AF$5&lt;&gt;"",--(AF213="Présent"),0),IF($AH$5&lt;&gt;"",--(AH213="Présent"),0),IF($AJ$5&lt;&gt;"",--(AJ213="Présent"),0),IF($AL$5&lt;&gt;"",--(AL213="Présent"),0),IF($AN$5&lt;&gt;"",--(AN213="Présent"),0),IF($AP$5&lt;&gt;"",--(AP213="Présent"),0),IF($AR$5&lt;&gt;"",--(AR213="Présent"),0),IF($AT$5&lt;&gt;"",--(AT213="Présent"),0),IF($AV$5&lt;&gt;"",--(AV213="Présent"),0),IF($AX$5&lt;&gt;"",--(AX213="Présent"),0),IF($AZ$5&lt;&gt;"",--(AZ213="Présent"),0),IF($BB$5&lt;&gt;"",--(BB213="Présent"),0),IF($BD$5&lt;&gt;"",--(BD213="Présent"),0),IF($BF$5&lt;&gt;"",--(BF213="Présent"),0),IF($BH$5&lt;&gt;"",--(BH213="Présent"),0),IF($BJ$5&lt;&gt;"",--(BJ213="Présent"),0),IF($BL$5&lt;&gt;"",--(BL213="Présent"),0)))</f>
      </c>
      <c r="BO213" s="22">
        <f>IF($A213="","",SUM(IF($D$5&lt;&gt;"",--(D213="Absent"),0),IF($F$5&lt;&gt;"",--(F213="Absent"),0),IF($H$5&lt;&gt;"",--(H213="Absent"),0),IF($J$5&lt;&gt;"",--(J213="Absent"),0),IF($L$5&lt;&gt;"",--(L213="Absent"),0),IF($N$5&lt;&gt;"",--(N213="Absent"),0),IF($P$5&lt;&gt;"",--(P213="Absent"),0),IF($R$5&lt;&gt;"",--(R213="Absent"),0),IF($T$5&lt;&gt;"",--(T213="Absent"),0),IF($V$5&lt;&gt;"",--(V213="Absent"),0),IF($X$5&lt;&gt;"",--(X213="Absent"),0),IF($Z$5&lt;&gt;"",--(Z213="Absent"),0),IF($AB$5&lt;&gt;"",--(AB213="Absent"),0),IF($AD$5&lt;&gt;"",--(AD213="Absent"),0),IF($AF$5&lt;&gt;"",--(AF213="Absent"),0),IF($AH$5&lt;&gt;"",--(AH213="Absent"),0),IF($AJ$5&lt;&gt;"",--(AJ213="Absent"),0),IF($AL$5&lt;&gt;"",--(AL213="Absent"),0),IF($AN$5&lt;&gt;"",--(AN213="Absent"),0),IF($AP$5&lt;&gt;"",--(AP213="Absent"),0),IF($AR$5&lt;&gt;"",--(AR213="Absent"),0),IF($AT$5&lt;&gt;"",--(AT213="Absent"),0),IF($AV$5&lt;&gt;"",--(AV213="Absent"),0),IF($AX$5&lt;&gt;"",--(AX213="Absent"),0),IF($AZ$5&lt;&gt;"",--(AZ213="Absent"),0),IF($BB$5&lt;&gt;"",--(BB213="Absent"),0),IF($BD$5&lt;&gt;"",--(BD213="Absent"),0),IF($BF$5&lt;&gt;"",--(BF213="Absent"),0),IF($BH$5&lt;&gt;"",--(BH213="Absent"),0),IF($BJ$5&lt;&gt;"",--(BJ213="Absent"),0),IF($BL$5&lt;&gt;"",--(BL213="Absent"),0)))</f>
      </c>
      <c r="BP213" s="22">
        <f>IF($A213="","",SUM(IF($D$5&lt;&gt;"",--(D213="Congé"),0),IF($F$5&lt;&gt;"",--(F213="Congé"),0),IF($H$5&lt;&gt;"",--(H213="Congé"),0),IF($J$5&lt;&gt;"",--(J213="Congé"),0),IF($L$5&lt;&gt;"",--(L213="Congé"),0),IF($N$5&lt;&gt;"",--(N213="Congé"),0),IF($P$5&lt;&gt;"",--(P213="Congé"),0),IF($R$5&lt;&gt;"",--(R213="Congé"),0),IF($T$5&lt;&gt;"",--(T213="Congé"),0),IF($V$5&lt;&gt;"",--(V213="Congé"),0),IF($X$5&lt;&gt;"",--(X213="Congé"),0),IF($Z$5&lt;&gt;"",--(Z213="Congé"),0),IF($AB$5&lt;&gt;"",--(AB213="Congé"),0),IF($AD$5&lt;&gt;"",--(AD213="Congé"),0),IF($AF$5&lt;&gt;"",--(AF213="Congé"),0),IF($AH$5&lt;&gt;"",--(AH213="Congé"),0),IF($AJ$5&lt;&gt;"",--(AJ213="Congé"),0),IF($AL$5&lt;&gt;"",--(AL213="Congé"),0),IF($AN$5&lt;&gt;"",--(AN213="Congé"),0),IF($AP$5&lt;&gt;"",--(AP213="Congé"),0),IF($AR$5&lt;&gt;"",--(AR213="Congé"),0),IF($AT$5&lt;&gt;"",--(AT213="Congé"),0),IF($AV$5&lt;&gt;"",--(AV213="Congé"),0),IF($AX$5&lt;&gt;"",--(AX213="Congé"),0),IF($AZ$5&lt;&gt;"",--(AZ213="Congé"),0),IF($BB$5&lt;&gt;"",--(BB213="Congé"),0),IF($BD$5&lt;&gt;"",--(BD213="Congé"),0),IF($BF$5&lt;&gt;"",--(BF213="Congé"),0),IF($BH$5&lt;&gt;"",--(BH213="Congé"),0),IF($BJ$5&lt;&gt;"",--(BJ213="Congé"),0),IF($BL$5&lt;&gt;"",--(BL213="Congé"),0)))</f>
      </c>
      <c r="BQ213" s="22">
        <f>IF($A213="","",SUM(IF($D$5&lt;&gt;"",--(D213="Maladie"),0),IF($F$5&lt;&gt;"",--(F213="Maladie"),0),IF($H$5&lt;&gt;"",--(H213="Maladie"),0),IF($J$5&lt;&gt;"",--(J213="Maladie"),0),IF($L$5&lt;&gt;"",--(L213="Maladie"),0),IF($N$5&lt;&gt;"",--(N213="Maladie"),0),IF($P$5&lt;&gt;"",--(P213="Maladie"),0),IF($R$5&lt;&gt;"",--(R213="Maladie"),0),IF($T$5&lt;&gt;"",--(T213="Maladie"),0),IF($V$5&lt;&gt;"",--(V213="Maladie"),0),IF($X$5&lt;&gt;"",--(X213="Maladie"),0),IF($Z$5&lt;&gt;"",--(Z213="Maladie"),0),IF($AB$5&lt;&gt;"",--(AB213="Maladie"),0),IF($AD$5&lt;&gt;"",--(AD213="Maladie"),0),IF($AF$5&lt;&gt;"",--(AF213="Maladie"),0),IF($AH$5&lt;&gt;"",--(AH213="Maladie"),0),IF($AJ$5&lt;&gt;"",--(AJ213="Maladie"),0),IF($AL$5&lt;&gt;"",--(AL213="Maladie"),0),IF($AN$5&lt;&gt;"",--(AN213="Maladie"),0),IF($AP$5&lt;&gt;"",--(AP213="Maladie"),0),IF($AR$5&lt;&gt;"",--(AR213="Maladie"),0),IF($AT$5&lt;&gt;"",--(AT213="Maladie"),0),IF($AV$5&lt;&gt;"",--(AV213="Maladie"),0),IF($AX$5&lt;&gt;"",--(AX213="Maladie"),0),IF($AZ$5&lt;&gt;"",--(AZ213="Maladie"),0),IF($BB$5&lt;&gt;"",--(BB213="Maladie"),0),IF($BD$5&lt;&gt;"",--(BD213="Maladie"),0),IF($BF$5&lt;&gt;"",--(BF213="Maladie"),0),IF($BH$5&lt;&gt;"",--(BH213="Maladie"),0),IF($BJ$5&lt;&gt;"",--(BJ213="Maladie"),0),IF($BL$5&lt;&gt;"",--(BL213="Maladie"),0)))</f>
      </c>
      <c r="BR213" s="23">
        <f>IF($A213="","",SUM(IF($D$5&lt;&gt;"",IF(D213="Présent",E213,0),0),IF($F$5&lt;&gt;"",IF(F213="Présent",G213,0),0),IF($H$5&lt;&gt;"",IF(H213="Présent",I213,0),0),IF($J$5&lt;&gt;"",IF(J213="Présent",K213,0),0),IF($L$5&lt;&gt;"",IF(L213="Présent",M213,0),0),IF($N$5&lt;&gt;"",IF(N213="Présent",O213,0),0),IF($P$5&lt;&gt;"",IF(P213="Présent",Q213,0),0),IF($R$5&lt;&gt;"",IF(R213="Présent",S213,0),0),IF($T$5&lt;&gt;"",IF(T213="Présent",U213,0),0),IF($V$5&lt;&gt;"",IF(V213="Présent",W213,0),0),IF($X$5&lt;&gt;"",IF(X213="Présent",Y213,0),0),IF($Z$5&lt;&gt;"",IF(Z213="Présent",AA213,0),0),IF($AB$5&lt;&gt;"",IF(AB213="Présent",AC213,0),0),IF($AD$5&lt;&gt;"",IF(AD213="Présent",AE213,0),0),IF($AF$5&lt;&gt;"",IF(AF213="Présent",AG213,0),0),IF($AH$5&lt;&gt;"",IF(AH213="Présent",AI213,0),0),IF($AJ$5&lt;&gt;"",IF(AJ213="Présent",AK213,0),0),IF($AL$5&lt;&gt;"",IF(AL213="Présent",AM213,0),0),IF($AN$5&lt;&gt;"",IF(AN213="Présent",AO213,0),0),IF($AP$5&lt;&gt;"",IF(AP213="Présent",AQ213,0),0),IF($AR$5&lt;&gt;"",IF(AR213="Présent",AS213,0),0),IF($AT$5&lt;&gt;"",IF(AT213="Présent",AU213,0),0),IF($AV$5&lt;&gt;"",IF(AV213="Présent",AW213,0),0),IF($AX$5&lt;&gt;"",IF(AX213="Présent",AY213,0),0),IF($AZ$5&lt;&gt;"",IF(AZ213="Présent",BA213,0),0),IF($BB$5&lt;&gt;"",IF(BB213="Présent",BC213,0),0),IF($BD$5&lt;&gt;"",IF(BD213="Présent",BE213,0),0),IF($BF$5&lt;&gt;"",IF(BF213="Présent",BG213,0),0),IF($BH$5&lt;&gt;"",IF(BH213="Présent",BI213,0),0),IF($BJ$5&lt;&gt;"",IF(BJ213="Présent",BK213,0),0),IF($BL$5&lt;&gt;"",IF(BL213="Présent",BM213,0),0)))</f>
      </c>
      <c r="BS213" s="25">
        <f>IF($A213="","",$BN213*IFERROR(INDEX(Categories_Salaire,MATCH($C213,ListeCategories,0)),0)+$BR213*IF(IFERROR(INDEX(Categories_TauxHS,MATCH($C213,ListeCategories,0)),0)&gt;0,IFERROR(INDEX(Categories_TauxHS,MATCH($C213,ListeCategories,0)),0),TauxHSDefaut))</f>
      </c>
    </row>
    <row r="214">
      <c r="A214" s="20">
        <f>IF(AND(INDEX(Employes_Nom,208)&lt;&gt;"",INDEX(Employes_Statut,208)="Actif",OR(INDEX(Employes_Embauche,208)="",INDEX(Employes_Embauche,208)&lt;=EOMONTH(DATE(AnneeCourante,MoisCourant,1),0))),INDEX(Employes_ID,208),"")</f>
      </c>
      <c r="B214" s="19">
        <f>IF($A214="","",INDEX(Employes_Nom,MATCH($A214,Employes_ID,0)))</f>
      </c>
      <c r="C214" s="20">
        <f>IF($A214="","",INDEX(Employes_Categorie,MATCH($A214,Employes_ID,0)))</f>
      </c>
      <c r="D214" s="26"/>
      <c r="E214" s="27"/>
      <c r="F214" s="26"/>
      <c r="G214" s="27"/>
      <c r="H214" s="26"/>
      <c r="I214" s="27"/>
      <c r="J214" s="26"/>
      <c r="K214" s="27"/>
      <c r="L214" s="26"/>
      <c r="M214" s="27"/>
      <c r="N214" s="26"/>
      <c r="O214" s="27"/>
      <c r="P214" s="26"/>
      <c r="Q214" s="27"/>
      <c r="R214" s="26"/>
      <c r="S214" s="27"/>
      <c r="T214" s="26"/>
      <c r="U214" s="27"/>
      <c r="V214" s="26"/>
      <c r="W214" s="27"/>
      <c r="X214" s="26"/>
      <c r="Y214" s="27"/>
      <c r="Z214" s="26"/>
      <c r="AA214" s="27"/>
      <c r="AB214" s="26"/>
      <c r="AC214" s="27"/>
      <c r="AD214" s="26"/>
      <c r="AE214" s="27"/>
      <c r="AF214" s="26"/>
      <c r="AG214" s="27"/>
      <c r="AH214" s="26"/>
      <c r="AI214" s="27"/>
      <c r="AJ214" s="26"/>
      <c r="AK214" s="27"/>
      <c r="AL214" s="26"/>
      <c r="AM214" s="27"/>
      <c r="AN214" s="26"/>
      <c r="AO214" s="27"/>
      <c r="AP214" s="26"/>
      <c r="AQ214" s="27"/>
      <c r="AR214" s="26"/>
      <c r="AS214" s="27"/>
      <c r="AT214" s="26"/>
      <c r="AU214" s="27"/>
      <c r="AV214" s="26"/>
      <c r="AW214" s="27"/>
      <c r="AX214" s="26"/>
      <c r="AY214" s="27"/>
      <c r="AZ214" s="26"/>
      <c r="BA214" s="27"/>
      <c r="BB214" s="26"/>
      <c r="BC214" s="27"/>
      <c r="BD214" s="26"/>
      <c r="BE214" s="27"/>
      <c r="BF214" s="26"/>
      <c r="BG214" s="27"/>
      <c r="BH214" s="26"/>
      <c r="BI214" s="27"/>
      <c r="BJ214" s="26"/>
      <c r="BK214" s="27"/>
      <c r="BL214" s="26"/>
      <c r="BM214" s="27"/>
      <c r="BN214" s="22">
        <f>IF($A214="","",SUM(IF($D$5&lt;&gt;"",--(D214="Présent"),0),IF($F$5&lt;&gt;"",--(F214="Présent"),0),IF($H$5&lt;&gt;"",--(H214="Présent"),0),IF($J$5&lt;&gt;"",--(J214="Présent"),0),IF($L$5&lt;&gt;"",--(L214="Présent"),0),IF($N$5&lt;&gt;"",--(N214="Présent"),0),IF($P$5&lt;&gt;"",--(P214="Présent"),0),IF($R$5&lt;&gt;"",--(R214="Présent"),0),IF($T$5&lt;&gt;"",--(T214="Présent"),0),IF($V$5&lt;&gt;"",--(V214="Présent"),0),IF($X$5&lt;&gt;"",--(X214="Présent"),0),IF($Z$5&lt;&gt;"",--(Z214="Présent"),0),IF($AB$5&lt;&gt;"",--(AB214="Présent"),0),IF($AD$5&lt;&gt;"",--(AD214="Présent"),0),IF($AF$5&lt;&gt;"",--(AF214="Présent"),0),IF($AH$5&lt;&gt;"",--(AH214="Présent"),0),IF($AJ$5&lt;&gt;"",--(AJ214="Présent"),0),IF($AL$5&lt;&gt;"",--(AL214="Présent"),0),IF($AN$5&lt;&gt;"",--(AN214="Présent"),0),IF($AP$5&lt;&gt;"",--(AP214="Présent"),0),IF($AR$5&lt;&gt;"",--(AR214="Présent"),0),IF($AT$5&lt;&gt;"",--(AT214="Présent"),0),IF($AV$5&lt;&gt;"",--(AV214="Présent"),0),IF($AX$5&lt;&gt;"",--(AX214="Présent"),0),IF($AZ$5&lt;&gt;"",--(AZ214="Présent"),0),IF($BB$5&lt;&gt;"",--(BB214="Présent"),0),IF($BD$5&lt;&gt;"",--(BD214="Présent"),0),IF($BF$5&lt;&gt;"",--(BF214="Présent"),0),IF($BH$5&lt;&gt;"",--(BH214="Présent"),0),IF($BJ$5&lt;&gt;"",--(BJ214="Présent"),0),IF($BL$5&lt;&gt;"",--(BL214="Présent"),0)))</f>
      </c>
      <c r="BO214" s="22">
        <f>IF($A214="","",SUM(IF($D$5&lt;&gt;"",--(D214="Absent"),0),IF($F$5&lt;&gt;"",--(F214="Absent"),0),IF($H$5&lt;&gt;"",--(H214="Absent"),0),IF($J$5&lt;&gt;"",--(J214="Absent"),0),IF($L$5&lt;&gt;"",--(L214="Absent"),0),IF($N$5&lt;&gt;"",--(N214="Absent"),0),IF($P$5&lt;&gt;"",--(P214="Absent"),0),IF($R$5&lt;&gt;"",--(R214="Absent"),0),IF($T$5&lt;&gt;"",--(T214="Absent"),0),IF($V$5&lt;&gt;"",--(V214="Absent"),0),IF($X$5&lt;&gt;"",--(X214="Absent"),0),IF($Z$5&lt;&gt;"",--(Z214="Absent"),0),IF($AB$5&lt;&gt;"",--(AB214="Absent"),0),IF($AD$5&lt;&gt;"",--(AD214="Absent"),0),IF($AF$5&lt;&gt;"",--(AF214="Absent"),0),IF($AH$5&lt;&gt;"",--(AH214="Absent"),0),IF($AJ$5&lt;&gt;"",--(AJ214="Absent"),0),IF($AL$5&lt;&gt;"",--(AL214="Absent"),0),IF($AN$5&lt;&gt;"",--(AN214="Absent"),0),IF($AP$5&lt;&gt;"",--(AP214="Absent"),0),IF($AR$5&lt;&gt;"",--(AR214="Absent"),0),IF($AT$5&lt;&gt;"",--(AT214="Absent"),0),IF($AV$5&lt;&gt;"",--(AV214="Absent"),0),IF($AX$5&lt;&gt;"",--(AX214="Absent"),0),IF($AZ$5&lt;&gt;"",--(AZ214="Absent"),0),IF($BB$5&lt;&gt;"",--(BB214="Absent"),0),IF($BD$5&lt;&gt;"",--(BD214="Absent"),0),IF($BF$5&lt;&gt;"",--(BF214="Absent"),0),IF($BH$5&lt;&gt;"",--(BH214="Absent"),0),IF($BJ$5&lt;&gt;"",--(BJ214="Absent"),0),IF($BL$5&lt;&gt;"",--(BL214="Absent"),0)))</f>
      </c>
      <c r="BP214" s="22">
        <f>IF($A214="","",SUM(IF($D$5&lt;&gt;"",--(D214="Congé"),0),IF($F$5&lt;&gt;"",--(F214="Congé"),0),IF($H$5&lt;&gt;"",--(H214="Congé"),0),IF($J$5&lt;&gt;"",--(J214="Congé"),0),IF($L$5&lt;&gt;"",--(L214="Congé"),0),IF($N$5&lt;&gt;"",--(N214="Congé"),0),IF($P$5&lt;&gt;"",--(P214="Congé"),0),IF($R$5&lt;&gt;"",--(R214="Congé"),0),IF($T$5&lt;&gt;"",--(T214="Congé"),0),IF($V$5&lt;&gt;"",--(V214="Congé"),0),IF($X$5&lt;&gt;"",--(X214="Congé"),0),IF($Z$5&lt;&gt;"",--(Z214="Congé"),0),IF($AB$5&lt;&gt;"",--(AB214="Congé"),0),IF($AD$5&lt;&gt;"",--(AD214="Congé"),0),IF($AF$5&lt;&gt;"",--(AF214="Congé"),0),IF($AH$5&lt;&gt;"",--(AH214="Congé"),0),IF($AJ$5&lt;&gt;"",--(AJ214="Congé"),0),IF($AL$5&lt;&gt;"",--(AL214="Congé"),0),IF($AN$5&lt;&gt;"",--(AN214="Congé"),0),IF($AP$5&lt;&gt;"",--(AP214="Congé"),0),IF($AR$5&lt;&gt;"",--(AR214="Congé"),0),IF($AT$5&lt;&gt;"",--(AT214="Congé"),0),IF($AV$5&lt;&gt;"",--(AV214="Congé"),0),IF($AX$5&lt;&gt;"",--(AX214="Congé"),0),IF($AZ$5&lt;&gt;"",--(AZ214="Congé"),0),IF($BB$5&lt;&gt;"",--(BB214="Congé"),0),IF($BD$5&lt;&gt;"",--(BD214="Congé"),0),IF($BF$5&lt;&gt;"",--(BF214="Congé"),0),IF($BH$5&lt;&gt;"",--(BH214="Congé"),0),IF($BJ$5&lt;&gt;"",--(BJ214="Congé"),0),IF($BL$5&lt;&gt;"",--(BL214="Congé"),0)))</f>
      </c>
      <c r="BQ214" s="22">
        <f>IF($A214="","",SUM(IF($D$5&lt;&gt;"",--(D214="Maladie"),0),IF($F$5&lt;&gt;"",--(F214="Maladie"),0),IF($H$5&lt;&gt;"",--(H214="Maladie"),0),IF($J$5&lt;&gt;"",--(J214="Maladie"),0),IF($L$5&lt;&gt;"",--(L214="Maladie"),0),IF($N$5&lt;&gt;"",--(N214="Maladie"),0),IF($P$5&lt;&gt;"",--(P214="Maladie"),0),IF($R$5&lt;&gt;"",--(R214="Maladie"),0),IF($T$5&lt;&gt;"",--(T214="Maladie"),0),IF($V$5&lt;&gt;"",--(V214="Maladie"),0),IF($X$5&lt;&gt;"",--(X214="Maladie"),0),IF($Z$5&lt;&gt;"",--(Z214="Maladie"),0),IF($AB$5&lt;&gt;"",--(AB214="Maladie"),0),IF($AD$5&lt;&gt;"",--(AD214="Maladie"),0),IF($AF$5&lt;&gt;"",--(AF214="Maladie"),0),IF($AH$5&lt;&gt;"",--(AH214="Maladie"),0),IF($AJ$5&lt;&gt;"",--(AJ214="Maladie"),0),IF($AL$5&lt;&gt;"",--(AL214="Maladie"),0),IF($AN$5&lt;&gt;"",--(AN214="Maladie"),0),IF($AP$5&lt;&gt;"",--(AP214="Maladie"),0),IF($AR$5&lt;&gt;"",--(AR214="Maladie"),0),IF($AT$5&lt;&gt;"",--(AT214="Maladie"),0),IF($AV$5&lt;&gt;"",--(AV214="Maladie"),0),IF($AX$5&lt;&gt;"",--(AX214="Maladie"),0),IF($AZ$5&lt;&gt;"",--(AZ214="Maladie"),0),IF($BB$5&lt;&gt;"",--(BB214="Maladie"),0),IF($BD$5&lt;&gt;"",--(BD214="Maladie"),0),IF($BF$5&lt;&gt;"",--(BF214="Maladie"),0),IF($BH$5&lt;&gt;"",--(BH214="Maladie"),0),IF($BJ$5&lt;&gt;"",--(BJ214="Maladie"),0),IF($BL$5&lt;&gt;"",--(BL214="Maladie"),0)))</f>
      </c>
      <c r="BR214" s="23">
        <f>IF($A214="","",SUM(IF($D$5&lt;&gt;"",IF(D214="Présent",E214,0),0),IF($F$5&lt;&gt;"",IF(F214="Présent",G214,0),0),IF($H$5&lt;&gt;"",IF(H214="Présent",I214,0),0),IF($J$5&lt;&gt;"",IF(J214="Présent",K214,0),0),IF($L$5&lt;&gt;"",IF(L214="Présent",M214,0),0),IF($N$5&lt;&gt;"",IF(N214="Présent",O214,0),0),IF($P$5&lt;&gt;"",IF(P214="Présent",Q214,0),0),IF($R$5&lt;&gt;"",IF(R214="Présent",S214,0),0),IF($T$5&lt;&gt;"",IF(T214="Présent",U214,0),0),IF($V$5&lt;&gt;"",IF(V214="Présent",W214,0),0),IF($X$5&lt;&gt;"",IF(X214="Présent",Y214,0),0),IF($Z$5&lt;&gt;"",IF(Z214="Présent",AA214,0),0),IF($AB$5&lt;&gt;"",IF(AB214="Présent",AC214,0),0),IF($AD$5&lt;&gt;"",IF(AD214="Présent",AE214,0),0),IF($AF$5&lt;&gt;"",IF(AF214="Présent",AG214,0),0),IF($AH$5&lt;&gt;"",IF(AH214="Présent",AI214,0),0),IF($AJ$5&lt;&gt;"",IF(AJ214="Présent",AK214,0),0),IF($AL$5&lt;&gt;"",IF(AL214="Présent",AM214,0),0),IF($AN$5&lt;&gt;"",IF(AN214="Présent",AO214,0),0),IF($AP$5&lt;&gt;"",IF(AP214="Présent",AQ214,0),0),IF($AR$5&lt;&gt;"",IF(AR214="Présent",AS214,0),0),IF($AT$5&lt;&gt;"",IF(AT214="Présent",AU214,0),0),IF($AV$5&lt;&gt;"",IF(AV214="Présent",AW214,0),0),IF($AX$5&lt;&gt;"",IF(AX214="Présent",AY214,0),0),IF($AZ$5&lt;&gt;"",IF(AZ214="Présent",BA214,0),0),IF($BB$5&lt;&gt;"",IF(BB214="Présent",BC214,0),0),IF($BD$5&lt;&gt;"",IF(BD214="Présent",BE214,0),0),IF($BF$5&lt;&gt;"",IF(BF214="Présent",BG214,0),0),IF($BH$5&lt;&gt;"",IF(BH214="Présent",BI214,0),0),IF($BJ$5&lt;&gt;"",IF(BJ214="Présent",BK214,0),0),IF($BL$5&lt;&gt;"",IF(BL214="Présent",BM214,0),0)))</f>
      </c>
      <c r="BS214" s="25">
        <f>IF($A214="","",$BN214*IFERROR(INDEX(Categories_Salaire,MATCH($C214,ListeCategories,0)),0)+$BR214*IF(IFERROR(INDEX(Categories_TauxHS,MATCH($C214,ListeCategories,0)),0)&gt;0,IFERROR(INDEX(Categories_TauxHS,MATCH($C214,ListeCategories,0)),0),TauxHSDefaut))</f>
      </c>
    </row>
    <row r="215">
      <c r="A215" s="20">
        <f>IF(AND(INDEX(Employes_Nom,209)&lt;&gt;"",INDEX(Employes_Statut,209)="Actif",OR(INDEX(Employes_Embauche,209)="",INDEX(Employes_Embauche,209)&lt;=EOMONTH(DATE(AnneeCourante,MoisCourant,1),0))),INDEX(Employes_ID,209),"")</f>
      </c>
      <c r="B215" s="19">
        <f>IF($A215="","",INDEX(Employes_Nom,MATCH($A215,Employes_ID,0)))</f>
      </c>
      <c r="C215" s="20">
        <f>IF($A215="","",INDEX(Employes_Categorie,MATCH($A215,Employes_ID,0)))</f>
      </c>
      <c r="D215" s="26"/>
      <c r="E215" s="27"/>
      <c r="F215" s="26"/>
      <c r="G215" s="27"/>
      <c r="H215" s="26"/>
      <c r="I215" s="27"/>
      <c r="J215" s="26"/>
      <c r="K215" s="27"/>
      <c r="L215" s="26"/>
      <c r="M215" s="27"/>
      <c r="N215" s="26"/>
      <c r="O215" s="27"/>
      <c r="P215" s="26"/>
      <c r="Q215" s="27"/>
      <c r="R215" s="26"/>
      <c r="S215" s="27"/>
      <c r="T215" s="26"/>
      <c r="U215" s="27"/>
      <c r="V215" s="26"/>
      <c r="W215" s="27"/>
      <c r="X215" s="26"/>
      <c r="Y215" s="27"/>
      <c r="Z215" s="26"/>
      <c r="AA215" s="27"/>
      <c r="AB215" s="26"/>
      <c r="AC215" s="27"/>
      <c r="AD215" s="26"/>
      <c r="AE215" s="27"/>
      <c r="AF215" s="26"/>
      <c r="AG215" s="27"/>
      <c r="AH215" s="26"/>
      <c r="AI215" s="27"/>
      <c r="AJ215" s="26"/>
      <c r="AK215" s="27"/>
      <c r="AL215" s="26"/>
      <c r="AM215" s="27"/>
      <c r="AN215" s="26"/>
      <c r="AO215" s="27"/>
      <c r="AP215" s="26"/>
      <c r="AQ215" s="27"/>
      <c r="AR215" s="26"/>
      <c r="AS215" s="27"/>
      <c r="AT215" s="26"/>
      <c r="AU215" s="27"/>
      <c r="AV215" s="26"/>
      <c r="AW215" s="27"/>
      <c r="AX215" s="26"/>
      <c r="AY215" s="27"/>
      <c r="AZ215" s="26"/>
      <c r="BA215" s="27"/>
      <c r="BB215" s="26"/>
      <c r="BC215" s="27"/>
      <c r="BD215" s="26"/>
      <c r="BE215" s="27"/>
      <c r="BF215" s="26"/>
      <c r="BG215" s="27"/>
      <c r="BH215" s="26"/>
      <c r="BI215" s="27"/>
      <c r="BJ215" s="26"/>
      <c r="BK215" s="27"/>
      <c r="BL215" s="26"/>
      <c r="BM215" s="27"/>
      <c r="BN215" s="22">
        <f>IF($A215="","",SUM(IF($D$5&lt;&gt;"",--(D215="Présent"),0),IF($F$5&lt;&gt;"",--(F215="Présent"),0),IF($H$5&lt;&gt;"",--(H215="Présent"),0),IF($J$5&lt;&gt;"",--(J215="Présent"),0),IF($L$5&lt;&gt;"",--(L215="Présent"),0),IF($N$5&lt;&gt;"",--(N215="Présent"),0),IF($P$5&lt;&gt;"",--(P215="Présent"),0),IF($R$5&lt;&gt;"",--(R215="Présent"),0),IF($T$5&lt;&gt;"",--(T215="Présent"),0),IF($V$5&lt;&gt;"",--(V215="Présent"),0),IF($X$5&lt;&gt;"",--(X215="Présent"),0),IF($Z$5&lt;&gt;"",--(Z215="Présent"),0),IF($AB$5&lt;&gt;"",--(AB215="Présent"),0),IF($AD$5&lt;&gt;"",--(AD215="Présent"),0),IF($AF$5&lt;&gt;"",--(AF215="Présent"),0),IF($AH$5&lt;&gt;"",--(AH215="Présent"),0),IF($AJ$5&lt;&gt;"",--(AJ215="Présent"),0),IF($AL$5&lt;&gt;"",--(AL215="Présent"),0),IF($AN$5&lt;&gt;"",--(AN215="Présent"),0),IF($AP$5&lt;&gt;"",--(AP215="Présent"),0),IF($AR$5&lt;&gt;"",--(AR215="Présent"),0),IF($AT$5&lt;&gt;"",--(AT215="Présent"),0),IF($AV$5&lt;&gt;"",--(AV215="Présent"),0),IF($AX$5&lt;&gt;"",--(AX215="Présent"),0),IF($AZ$5&lt;&gt;"",--(AZ215="Présent"),0),IF($BB$5&lt;&gt;"",--(BB215="Présent"),0),IF($BD$5&lt;&gt;"",--(BD215="Présent"),0),IF($BF$5&lt;&gt;"",--(BF215="Présent"),0),IF($BH$5&lt;&gt;"",--(BH215="Présent"),0),IF($BJ$5&lt;&gt;"",--(BJ215="Présent"),0),IF($BL$5&lt;&gt;"",--(BL215="Présent"),0)))</f>
      </c>
      <c r="BO215" s="22">
        <f>IF($A215="","",SUM(IF($D$5&lt;&gt;"",--(D215="Absent"),0),IF($F$5&lt;&gt;"",--(F215="Absent"),0),IF($H$5&lt;&gt;"",--(H215="Absent"),0),IF($J$5&lt;&gt;"",--(J215="Absent"),0),IF($L$5&lt;&gt;"",--(L215="Absent"),0),IF($N$5&lt;&gt;"",--(N215="Absent"),0),IF($P$5&lt;&gt;"",--(P215="Absent"),0),IF($R$5&lt;&gt;"",--(R215="Absent"),0),IF($T$5&lt;&gt;"",--(T215="Absent"),0),IF($V$5&lt;&gt;"",--(V215="Absent"),0),IF($X$5&lt;&gt;"",--(X215="Absent"),0),IF($Z$5&lt;&gt;"",--(Z215="Absent"),0),IF($AB$5&lt;&gt;"",--(AB215="Absent"),0),IF($AD$5&lt;&gt;"",--(AD215="Absent"),0),IF($AF$5&lt;&gt;"",--(AF215="Absent"),0),IF($AH$5&lt;&gt;"",--(AH215="Absent"),0),IF($AJ$5&lt;&gt;"",--(AJ215="Absent"),0),IF($AL$5&lt;&gt;"",--(AL215="Absent"),0),IF($AN$5&lt;&gt;"",--(AN215="Absent"),0),IF($AP$5&lt;&gt;"",--(AP215="Absent"),0),IF($AR$5&lt;&gt;"",--(AR215="Absent"),0),IF($AT$5&lt;&gt;"",--(AT215="Absent"),0),IF($AV$5&lt;&gt;"",--(AV215="Absent"),0),IF($AX$5&lt;&gt;"",--(AX215="Absent"),0),IF($AZ$5&lt;&gt;"",--(AZ215="Absent"),0),IF($BB$5&lt;&gt;"",--(BB215="Absent"),0),IF($BD$5&lt;&gt;"",--(BD215="Absent"),0),IF($BF$5&lt;&gt;"",--(BF215="Absent"),0),IF($BH$5&lt;&gt;"",--(BH215="Absent"),0),IF($BJ$5&lt;&gt;"",--(BJ215="Absent"),0),IF($BL$5&lt;&gt;"",--(BL215="Absent"),0)))</f>
      </c>
      <c r="BP215" s="22">
        <f>IF($A215="","",SUM(IF($D$5&lt;&gt;"",--(D215="Congé"),0),IF($F$5&lt;&gt;"",--(F215="Congé"),0),IF($H$5&lt;&gt;"",--(H215="Congé"),0),IF($J$5&lt;&gt;"",--(J215="Congé"),0),IF($L$5&lt;&gt;"",--(L215="Congé"),0),IF($N$5&lt;&gt;"",--(N215="Congé"),0),IF($P$5&lt;&gt;"",--(P215="Congé"),0),IF($R$5&lt;&gt;"",--(R215="Congé"),0),IF($T$5&lt;&gt;"",--(T215="Congé"),0),IF($V$5&lt;&gt;"",--(V215="Congé"),0),IF($X$5&lt;&gt;"",--(X215="Congé"),0),IF($Z$5&lt;&gt;"",--(Z215="Congé"),0),IF($AB$5&lt;&gt;"",--(AB215="Congé"),0),IF($AD$5&lt;&gt;"",--(AD215="Congé"),0),IF($AF$5&lt;&gt;"",--(AF215="Congé"),0),IF($AH$5&lt;&gt;"",--(AH215="Congé"),0),IF($AJ$5&lt;&gt;"",--(AJ215="Congé"),0),IF($AL$5&lt;&gt;"",--(AL215="Congé"),0),IF($AN$5&lt;&gt;"",--(AN215="Congé"),0),IF($AP$5&lt;&gt;"",--(AP215="Congé"),0),IF($AR$5&lt;&gt;"",--(AR215="Congé"),0),IF($AT$5&lt;&gt;"",--(AT215="Congé"),0),IF($AV$5&lt;&gt;"",--(AV215="Congé"),0),IF($AX$5&lt;&gt;"",--(AX215="Congé"),0),IF($AZ$5&lt;&gt;"",--(AZ215="Congé"),0),IF($BB$5&lt;&gt;"",--(BB215="Congé"),0),IF($BD$5&lt;&gt;"",--(BD215="Congé"),0),IF($BF$5&lt;&gt;"",--(BF215="Congé"),0),IF($BH$5&lt;&gt;"",--(BH215="Congé"),0),IF($BJ$5&lt;&gt;"",--(BJ215="Congé"),0),IF($BL$5&lt;&gt;"",--(BL215="Congé"),0)))</f>
      </c>
      <c r="BQ215" s="22">
        <f>IF($A215="","",SUM(IF($D$5&lt;&gt;"",--(D215="Maladie"),0),IF($F$5&lt;&gt;"",--(F215="Maladie"),0),IF($H$5&lt;&gt;"",--(H215="Maladie"),0),IF($J$5&lt;&gt;"",--(J215="Maladie"),0),IF($L$5&lt;&gt;"",--(L215="Maladie"),0),IF($N$5&lt;&gt;"",--(N215="Maladie"),0),IF($P$5&lt;&gt;"",--(P215="Maladie"),0),IF($R$5&lt;&gt;"",--(R215="Maladie"),0),IF($T$5&lt;&gt;"",--(T215="Maladie"),0),IF($V$5&lt;&gt;"",--(V215="Maladie"),0),IF($X$5&lt;&gt;"",--(X215="Maladie"),0),IF($Z$5&lt;&gt;"",--(Z215="Maladie"),0),IF($AB$5&lt;&gt;"",--(AB215="Maladie"),0),IF($AD$5&lt;&gt;"",--(AD215="Maladie"),0),IF($AF$5&lt;&gt;"",--(AF215="Maladie"),0),IF($AH$5&lt;&gt;"",--(AH215="Maladie"),0),IF($AJ$5&lt;&gt;"",--(AJ215="Maladie"),0),IF($AL$5&lt;&gt;"",--(AL215="Maladie"),0),IF($AN$5&lt;&gt;"",--(AN215="Maladie"),0),IF($AP$5&lt;&gt;"",--(AP215="Maladie"),0),IF($AR$5&lt;&gt;"",--(AR215="Maladie"),0),IF($AT$5&lt;&gt;"",--(AT215="Maladie"),0),IF($AV$5&lt;&gt;"",--(AV215="Maladie"),0),IF($AX$5&lt;&gt;"",--(AX215="Maladie"),0),IF($AZ$5&lt;&gt;"",--(AZ215="Maladie"),0),IF($BB$5&lt;&gt;"",--(BB215="Maladie"),0),IF($BD$5&lt;&gt;"",--(BD215="Maladie"),0),IF($BF$5&lt;&gt;"",--(BF215="Maladie"),0),IF($BH$5&lt;&gt;"",--(BH215="Maladie"),0),IF($BJ$5&lt;&gt;"",--(BJ215="Maladie"),0),IF($BL$5&lt;&gt;"",--(BL215="Maladie"),0)))</f>
      </c>
      <c r="BR215" s="23">
        <f>IF($A215="","",SUM(IF($D$5&lt;&gt;"",IF(D215="Présent",E215,0),0),IF($F$5&lt;&gt;"",IF(F215="Présent",G215,0),0),IF($H$5&lt;&gt;"",IF(H215="Présent",I215,0),0),IF($J$5&lt;&gt;"",IF(J215="Présent",K215,0),0),IF($L$5&lt;&gt;"",IF(L215="Présent",M215,0),0),IF($N$5&lt;&gt;"",IF(N215="Présent",O215,0),0),IF($P$5&lt;&gt;"",IF(P215="Présent",Q215,0),0),IF($R$5&lt;&gt;"",IF(R215="Présent",S215,0),0),IF($T$5&lt;&gt;"",IF(T215="Présent",U215,0),0),IF($V$5&lt;&gt;"",IF(V215="Présent",W215,0),0),IF($X$5&lt;&gt;"",IF(X215="Présent",Y215,0),0),IF($Z$5&lt;&gt;"",IF(Z215="Présent",AA215,0),0),IF($AB$5&lt;&gt;"",IF(AB215="Présent",AC215,0),0),IF($AD$5&lt;&gt;"",IF(AD215="Présent",AE215,0),0),IF($AF$5&lt;&gt;"",IF(AF215="Présent",AG215,0),0),IF($AH$5&lt;&gt;"",IF(AH215="Présent",AI215,0),0),IF($AJ$5&lt;&gt;"",IF(AJ215="Présent",AK215,0),0),IF($AL$5&lt;&gt;"",IF(AL215="Présent",AM215,0),0),IF($AN$5&lt;&gt;"",IF(AN215="Présent",AO215,0),0),IF($AP$5&lt;&gt;"",IF(AP215="Présent",AQ215,0),0),IF($AR$5&lt;&gt;"",IF(AR215="Présent",AS215,0),0),IF($AT$5&lt;&gt;"",IF(AT215="Présent",AU215,0),0),IF($AV$5&lt;&gt;"",IF(AV215="Présent",AW215,0),0),IF($AX$5&lt;&gt;"",IF(AX215="Présent",AY215,0),0),IF($AZ$5&lt;&gt;"",IF(AZ215="Présent",BA215,0),0),IF($BB$5&lt;&gt;"",IF(BB215="Présent",BC215,0),0),IF($BD$5&lt;&gt;"",IF(BD215="Présent",BE215,0),0),IF($BF$5&lt;&gt;"",IF(BF215="Présent",BG215,0),0),IF($BH$5&lt;&gt;"",IF(BH215="Présent",BI215,0),0),IF($BJ$5&lt;&gt;"",IF(BJ215="Présent",BK215,0),0),IF($BL$5&lt;&gt;"",IF(BL215="Présent",BM215,0),0)))</f>
      </c>
      <c r="BS215" s="25">
        <f>IF($A215="","",$BN215*IFERROR(INDEX(Categories_Salaire,MATCH($C215,ListeCategories,0)),0)+$BR215*IF(IFERROR(INDEX(Categories_TauxHS,MATCH($C215,ListeCategories,0)),0)&gt;0,IFERROR(INDEX(Categories_TauxHS,MATCH($C215,ListeCategories,0)),0),TauxHSDefaut))</f>
      </c>
    </row>
    <row r="216">
      <c r="A216" s="20">
        <f>IF(AND(INDEX(Employes_Nom,210)&lt;&gt;"",INDEX(Employes_Statut,210)="Actif",OR(INDEX(Employes_Embauche,210)="",INDEX(Employes_Embauche,210)&lt;=EOMONTH(DATE(AnneeCourante,MoisCourant,1),0))),INDEX(Employes_ID,210),"")</f>
      </c>
      <c r="B216" s="19">
        <f>IF($A216="","",INDEX(Employes_Nom,MATCH($A216,Employes_ID,0)))</f>
      </c>
      <c r="C216" s="20">
        <f>IF($A216="","",INDEX(Employes_Categorie,MATCH($A216,Employes_ID,0)))</f>
      </c>
      <c r="D216" s="26"/>
      <c r="E216" s="27"/>
      <c r="F216" s="26"/>
      <c r="G216" s="27"/>
      <c r="H216" s="26"/>
      <c r="I216" s="27"/>
      <c r="J216" s="26"/>
      <c r="K216" s="27"/>
      <c r="L216" s="26"/>
      <c r="M216" s="27"/>
      <c r="N216" s="26"/>
      <c r="O216" s="27"/>
      <c r="P216" s="26"/>
      <c r="Q216" s="27"/>
      <c r="R216" s="26"/>
      <c r="S216" s="27"/>
      <c r="T216" s="26"/>
      <c r="U216" s="27"/>
      <c r="V216" s="26"/>
      <c r="W216" s="27"/>
      <c r="X216" s="26"/>
      <c r="Y216" s="27"/>
      <c r="Z216" s="26"/>
      <c r="AA216" s="27"/>
      <c r="AB216" s="26"/>
      <c r="AC216" s="27"/>
      <c r="AD216" s="26"/>
      <c r="AE216" s="27"/>
      <c r="AF216" s="26"/>
      <c r="AG216" s="27"/>
      <c r="AH216" s="26"/>
      <c r="AI216" s="27"/>
      <c r="AJ216" s="26"/>
      <c r="AK216" s="27"/>
      <c r="AL216" s="26"/>
      <c r="AM216" s="27"/>
      <c r="AN216" s="26"/>
      <c r="AO216" s="27"/>
      <c r="AP216" s="26"/>
      <c r="AQ216" s="27"/>
      <c r="AR216" s="26"/>
      <c r="AS216" s="27"/>
      <c r="AT216" s="26"/>
      <c r="AU216" s="27"/>
      <c r="AV216" s="26"/>
      <c r="AW216" s="27"/>
      <c r="AX216" s="26"/>
      <c r="AY216" s="27"/>
      <c r="AZ216" s="26"/>
      <c r="BA216" s="27"/>
      <c r="BB216" s="26"/>
      <c r="BC216" s="27"/>
      <c r="BD216" s="26"/>
      <c r="BE216" s="27"/>
      <c r="BF216" s="26"/>
      <c r="BG216" s="27"/>
      <c r="BH216" s="26"/>
      <c r="BI216" s="27"/>
      <c r="BJ216" s="26"/>
      <c r="BK216" s="27"/>
      <c r="BL216" s="26"/>
      <c r="BM216" s="27"/>
      <c r="BN216" s="22">
        <f>IF($A216="","",SUM(IF($D$5&lt;&gt;"",--(D216="Présent"),0),IF($F$5&lt;&gt;"",--(F216="Présent"),0),IF($H$5&lt;&gt;"",--(H216="Présent"),0),IF($J$5&lt;&gt;"",--(J216="Présent"),0),IF($L$5&lt;&gt;"",--(L216="Présent"),0),IF($N$5&lt;&gt;"",--(N216="Présent"),0),IF($P$5&lt;&gt;"",--(P216="Présent"),0),IF($R$5&lt;&gt;"",--(R216="Présent"),0),IF($T$5&lt;&gt;"",--(T216="Présent"),0),IF($V$5&lt;&gt;"",--(V216="Présent"),0),IF($X$5&lt;&gt;"",--(X216="Présent"),0),IF($Z$5&lt;&gt;"",--(Z216="Présent"),0),IF($AB$5&lt;&gt;"",--(AB216="Présent"),0),IF($AD$5&lt;&gt;"",--(AD216="Présent"),0),IF($AF$5&lt;&gt;"",--(AF216="Présent"),0),IF($AH$5&lt;&gt;"",--(AH216="Présent"),0),IF($AJ$5&lt;&gt;"",--(AJ216="Présent"),0),IF($AL$5&lt;&gt;"",--(AL216="Présent"),0),IF($AN$5&lt;&gt;"",--(AN216="Présent"),0),IF($AP$5&lt;&gt;"",--(AP216="Présent"),0),IF($AR$5&lt;&gt;"",--(AR216="Présent"),0),IF($AT$5&lt;&gt;"",--(AT216="Présent"),0),IF($AV$5&lt;&gt;"",--(AV216="Présent"),0),IF($AX$5&lt;&gt;"",--(AX216="Présent"),0),IF($AZ$5&lt;&gt;"",--(AZ216="Présent"),0),IF($BB$5&lt;&gt;"",--(BB216="Présent"),0),IF($BD$5&lt;&gt;"",--(BD216="Présent"),0),IF($BF$5&lt;&gt;"",--(BF216="Présent"),0),IF($BH$5&lt;&gt;"",--(BH216="Présent"),0),IF($BJ$5&lt;&gt;"",--(BJ216="Présent"),0),IF($BL$5&lt;&gt;"",--(BL216="Présent"),0)))</f>
      </c>
      <c r="BO216" s="22">
        <f>IF($A216="","",SUM(IF($D$5&lt;&gt;"",--(D216="Absent"),0),IF($F$5&lt;&gt;"",--(F216="Absent"),0),IF($H$5&lt;&gt;"",--(H216="Absent"),0),IF($J$5&lt;&gt;"",--(J216="Absent"),0),IF($L$5&lt;&gt;"",--(L216="Absent"),0),IF($N$5&lt;&gt;"",--(N216="Absent"),0),IF($P$5&lt;&gt;"",--(P216="Absent"),0),IF($R$5&lt;&gt;"",--(R216="Absent"),0),IF($T$5&lt;&gt;"",--(T216="Absent"),0),IF($V$5&lt;&gt;"",--(V216="Absent"),0),IF($X$5&lt;&gt;"",--(X216="Absent"),0),IF($Z$5&lt;&gt;"",--(Z216="Absent"),0),IF($AB$5&lt;&gt;"",--(AB216="Absent"),0),IF($AD$5&lt;&gt;"",--(AD216="Absent"),0),IF($AF$5&lt;&gt;"",--(AF216="Absent"),0),IF($AH$5&lt;&gt;"",--(AH216="Absent"),0),IF($AJ$5&lt;&gt;"",--(AJ216="Absent"),0),IF($AL$5&lt;&gt;"",--(AL216="Absent"),0),IF($AN$5&lt;&gt;"",--(AN216="Absent"),0),IF($AP$5&lt;&gt;"",--(AP216="Absent"),0),IF($AR$5&lt;&gt;"",--(AR216="Absent"),0),IF($AT$5&lt;&gt;"",--(AT216="Absent"),0),IF($AV$5&lt;&gt;"",--(AV216="Absent"),0),IF($AX$5&lt;&gt;"",--(AX216="Absent"),0),IF($AZ$5&lt;&gt;"",--(AZ216="Absent"),0),IF($BB$5&lt;&gt;"",--(BB216="Absent"),0),IF($BD$5&lt;&gt;"",--(BD216="Absent"),0),IF($BF$5&lt;&gt;"",--(BF216="Absent"),0),IF($BH$5&lt;&gt;"",--(BH216="Absent"),0),IF($BJ$5&lt;&gt;"",--(BJ216="Absent"),0),IF($BL$5&lt;&gt;"",--(BL216="Absent"),0)))</f>
      </c>
      <c r="BP216" s="22">
        <f>IF($A216="","",SUM(IF($D$5&lt;&gt;"",--(D216="Congé"),0),IF($F$5&lt;&gt;"",--(F216="Congé"),0),IF($H$5&lt;&gt;"",--(H216="Congé"),0),IF($J$5&lt;&gt;"",--(J216="Congé"),0),IF($L$5&lt;&gt;"",--(L216="Congé"),0),IF($N$5&lt;&gt;"",--(N216="Congé"),0),IF($P$5&lt;&gt;"",--(P216="Congé"),0),IF($R$5&lt;&gt;"",--(R216="Congé"),0),IF($T$5&lt;&gt;"",--(T216="Congé"),0),IF($V$5&lt;&gt;"",--(V216="Congé"),0),IF($X$5&lt;&gt;"",--(X216="Congé"),0),IF($Z$5&lt;&gt;"",--(Z216="Congé"),0),IF($AB$5&lt;&gt;"",--(AB216="Congé"),0),IF($AD$5&lt;&gt;"",--(AD216="Congé"),0),IF($AF$5&lt;&gt;"",--(AF216="Congé"),0),IF($AH$5&lt;&gt;"",--(AH216="Congé"),0),IF($AJ$5&lt;&gt;"",--(AJ216="Congé"),0),IF($AL$5&lt;&gt;"",--(AL216="Congé"),0),IF($AN$5&lt;&gt;"",--(AN216="Congé"),0),IF($AP$5&lt;&gt;"",--(AP216="Congé"),0),IF($AR$5&lt;&gt;"",--(AR216="Congé"),0),IF($AT$5&lt;&gt;"",--(AT216="Congé"),0),IF($AV$5&lt;&gt;"",--(AV216="Congé"),0),IF($AX$5&lt;&gt;"",--(AX216="Congé"),0),IF($AZ$5&lt;&gt;"",--(AZ216="Congé"),0),IF($BB$5&lt;&gt;"",--(BB216="Congé"),0),IF($BD$5&lt;&gt;"",--(BD216="Congé"),0),IF($BF$5&lt;&gt;"",--(BF216="Congé"),0),IF($BH$5&lt;&gt;"",--(BH216="Congé"),0),IF($BJ$5&lt;&gt;"",--(BJ216="Congé"),0),IF($BL$5&lt;&gt;"",--(BL216="Congé"),0)))</f>
      </c>
      <c r="BQ216" s="22">
        <f>IF($A216="","",SUM(IF($D$5&lt;&gt;"",--(D216="Maladie"),0),IF($F$5&lt;&gt;"",--(F216="Maladie"),0),IF($H$5&lt;&gt;"",--(H216="Maladie"),0),IF($J$5&lt;&gt;"",--(J216="Maladie"),0),IF($L$5&lt;&gt;"",--(L216="Maladie"),0),IF($N$5&lt;&gt;"",--(N216="Maladie"),0),IF($P$5&lt;&gt;"",--(P216="Maladie"),0),IF($R$5&lt;&gt;"",--(R216="Maladie"),0),IF($T$5&lt;&gt;"",--(T216="Maladie"),0),IF($V$5&lt;&gt;"",--(V216="Maladie"),0),IF($X$5&lt;&gt;"",--(X216="Maladie"),0),IF($Z$5&lt;&gt;"",--(Z216="Maladie"),0),IF($AB$5&lt;&gt;"",--(AB216="Maladie"),0),IF($AD$5&lt;&gt;"",--(AD216="Maladie"),0),IF($AF$5&lt;&gt;"",--(AF216="Maladie"),0),IF($AH$5&lt;&gt;"",--(AH216="Maladie"),0),IF($AJ$5&lt;&gt;"",--(AJ216="Maladie"),0),IF($AL$5&lt;&gt;"",--(AL216="Maladie"),0),IF($AN$5&lt;&gt;"",--(AN216="Maladie"),0),IF($AP$5&lt;&gt;"",--(AP216="Maladie"),0),IF($AR$5&lt;&gt;"",--(AR216="Maladie"),0),IF($AT$5&lt;&gt;"",--(AT216="Maladie"),0),IF($AV$5&lt;&gt;"",--(AV216="Maladie"),0),IF($AX$5&lt;&gt;"",--(AX216="Maladie"),0),IF($AZ$5&lt;&gt;"",--(AZ216="Maladie"),0),IF($BB$5&lt;&gt;"",--(BB216="Maladie"),0),IF($BD$5&lt;&gt;"",--(BD216="Maladie"),0),IF($BF$5&lt;&gt;"",--(BF216="Maladie"),0),IF($BH$5&lt;&gt;"",--(BH216="Maladie"),0),IF($BJ$5&lt;&gt;"",--(BJ216="Maladie"),0),IF($BL$5&lt;&gt;"",--(BL216="Maladie"),0)))</f>
      </c>
      <c r="BR216" s="23">
        <f>IF($A216="","",SUM(IF($D$5&lt;&gt;"",IF(D216="Présent",E216,0),0),IF($F$5&lt;&gt;"",IF(F216="Présent",G216,0),0),IF($H$5&lt;&gt;"",IF(H216="Présent",I216,0),0),IF($J$5&lt;&gt;"",IF(J216="Présent",K216,0),0),IF($L$5&lt;&gt;"",IF(L216="Présent",M216,0),0),IF($N$5&lt;&gt;"",IF(N216="Présent",O216,0),0),IF($P$5&lt;&gt;"",IF(P216="Présent",Q216,0),0),IF($R$5&lt;&gt;"",IF(R216="Présent",S216,0),0),IF($T$5&lt;&gt;"",IF(T216="Présent",U216,0),0),IF($V$5&lt;&gt;"",IF(V216="Présent",W216,0),0),IF($X$5&lt;&gt;"",IF(X216="Présent",Y216,0),0),IF($Z$5&lt;&gt;"",IF(Z216="Présent",AA216,0),0),IF($AB$5&lt;&gt;"",IF(AB216="Présent",AC216,0),0),IF($AD$5&lt;&gt;"",IF(AD216="Présent",AE216,0),0),IF($AF$5&lt;&gt;"",IF(AF216="Présent",AG216,0),0),IF($AH$5&lt;&gt;"",IF(AH216="Présent",AI216,0),0),IF($AJ$5&lt;&gt;"",IF(AJ216="Présent",AK216,0),0),IF($AL$5&lt;&gt;"",IF(AL216="Présent",AM216,0),0),IF($AN$5&lt;&gt;"",IF(AN216="Présent",AO216,0),0),IF($AP$5&lt;&gt;"",IF(AP216="Présent",AQ216,0),0),IF($AR$5&lt;&gt;"",IF(AR216="Présent",AS216,0),0),IF($AT$5&lt;&gt;"",IF(AT216="Présent",AU216,0),0),IF($AV$5&lt;&gt;"",IF(AV216="Présent",AW216,0),0),IF($AX$5&lt;&gt;"",IF(AX216="Présent",AY216,0),0),IF($AZ$5&lt;&gt;"",IF(AZ216="Présent",BA216,0),0),IF($BB$5&lt;&gt;"",IF(BB216="Présent",BC216,0),0),IF($BD$5&lt;&gt;"",IF(BD216="Présent",BE216,0),0),IF($BF$5&lt;&gt;"",IF(BF216="Présent",BG216,0),0),IF($BH$5&lt;&gt;"",IF(BH216="Présent",BI216,0),0),IF($BJ$5&lt;&gt;"",IF(BJ216="Présent",BK216,0),0),IF($BL$5&lt;&gt;"",IF(BL216="Présent",BM216,0),0)))</f>
      </c>
      <c r="BS216" s="25">
        <f>IF($A216="","",$BN216*IFERROR(INDEX(Categories_Salaire,MATCH($C216,ListeCategories,0)),0)+$BR216*IF(IFERROR(INDEX(Categories_TauxHS,MATCH($C216,ListeCategories,0)),0)&gt;0,IFERROR(INDEX(Categories_TauxHS,MATCH($C216,ListeCategories,0)),0),TauxHSDefaut))</f>
      </c>
    </row>
    <row r="217">
      <c r="A217" s="20">
        <f>IF(AND(INDEX(Employes_Nom,211)&lt;&gt;"",INDEX(Employes_Statut,211)="Actif",OR(INDEX(Employes_Embauche,211)="",INDEX(Employes_Embauche,211)&lt;=EOMONTH(DATE(AnneeCourante,MoisCourant,1),0))),INDEX(Employes_ID,211),"")</f>
      </c>
      <c r="B217" s="19">
        <f>IF($A217="","",INDEX(Employes_Nom,MATCH($A217,Employes_ID,0)))</f>
      </c>
      <c r="C217" s="20">
        <f>IF($A217="","",INDEX(Employes_Categorie,MATCH($A217,Employes_ID,0)))</f>
      </c>
      <c r="D217" s="26"/>
      <c r="E217" s="27"/>
      <c r="F217" s="26"/>
      <c r="G217" s="27"/>
      <c r="H217" s="26"/>
      <c r="I217" s="27"/>
      <c r="J217" s="26"/>
      <c r="K217" s="27"/>
      <c r="L217" s="26"/>
      <c r="M217" s="27"/>
      <c r="N217" s="26"/>
      <c r="O217" s="27"/>
      <c r="P217" s="26"/>
      <c r="Q217" s="27"/>
      <c r="R217" s="26"/>
      <c r="S217" s="27"/>
      <c r="T217" s="26"/>
      <c r="U217" s="27"/>
      <c r="V217" s="26"/>
      <c r="W217" s="27"/>
      <c r="X217" s="26"/>
      <c r="Y217" s="27"/>
      <c r="Z217" s="26"/>
      <c r="AA217" s="27"/>
      <c r="AB217" s="26"/>
      <c r="AC217" s="27"/>
      <c r="AD217" s="26"/>
      <c r="AE217" s="27"/>
      <c r="AF217" s="26"/>
      <c r="AG217" s="27"/>
      <c r="AH217" s="26"/>
      <c r="AI217" s="27"/>
      <c r="AJ217" s="26"/>
      <c r="AK217" s="27"/>
      <c r="AL217" s="26"/>
      <c r="AM217" s="27"/>
      <c r="AN217" s="26"/>
      <c r="AO217" s="27"/>
      <c r="AP217" s="26"/>
      <c r="AQ217" s="27"/>
      <c r="AR217" s="26"/>
      <c r="AS217" s="27"/>
      <c r="AT217" s="26"/>
      <c r="AU217" s="27"/>
      <c r="AV217" s="26"/>
      <c r="AW217" s="27"/>
      <c r="AX217" s="26"/>
      <c r="AY217" s="27"/>
      <c r="AZ217" s="26"/>
      <c r="BA217" s="27"/>
      <c r="BB217" s="26"/>
      <c r="BC217" s="27"/>
      <c r="BD217" s="26"/>
      <c r="BE217" s="27"/>
      <c r="BF217" s="26"/>
      <c r="BG217" s="27"/>
      <c r="BH217" s="26"/>
      <c r="BI217" s="27"/>
      <c r="BJ217" s="26"/>
      <c r="BK217" s="27"/>
      <c r="BL217" s="26"/>
      <c r="BM217" s="27"/>
      <c r="BN217" s="22">
        <f>IF($A217="","",SUM(IF($D$5&lt;&gt;"",--(D217="Présent"),0),IF($F$5&lt;&gt;"",--(F217="Présent"),0),IF($H$5&lt;&gt;"",--(H217="Présent"),0),IF($J$5&lt;&gt;"",--(J217="Présent"),0),IF($L$5&lt;&gt;"",--(L217="Présent"),0),IF($N$5&lt;&gt;"",--(N217="Présent"),0),IF($P$5&lt;&gt;"",--(P217="Présent"),0),IF($R$5&lt;&gt;"",--(R217="Présent"),0),IF($T$5&lt;&gt;"",--(T217="Présent"),0),IF($V$5&lt;&gt;"",--(V217="Présent"),0),IF($X$5&lt;&gt;"",--(X217="Présent"),0),IF($Z$5&lt;&gt;"",--(Z217="Présent"),0),IF($AB$5&lt;&gt;"",--(AB217="Présent"),0),IF($AD$5&lt;&gt;"",--(AD217="Présent"),0),IF($AF$5&lt;&gt;"",--(AF217="Présent"),0),IF($AH$5&lt;&gt;"",--(AH217="Présent"),0),IF($AJ$5&lt;&gt;"",--(AJ217="Présent"),0),IF($AL$5&lt;&gt;"",--(AL217="Présent"),0),IF($AN$5&lt;&gt;"",--(AN217="Présent"),0),IF($AP$5&lt;&gt;"",--(AP217="Présent"),0),IF($AR$5&lt;&gt;"",--(AR217="Présent"),0),IF($AT$5&lt;&gt;"",--(AT217="Présent"),0),IF($AV$5&lt;&gt;"",--(AV217="Présent"),0),IF($AX$5&lt;&gt;"",--(AX217="Présent"),0),IF($AZ$5&lt;&gt;"",--(AZ217="Présent"),0),IF($BB$5&lt;&gt;"",--(BB217="Présent"),0),IF($BD$5&lt;&gt;"",--(BD217="Présent"),0),IF($BF$5&lt;&gt;"",--(BF217="Présent"),0),IF($BH$5&lt;&gt;"",--(BH217="Présent"),0),IF($BJ$5&lt;&gt;"",--(BJ217="Présent"),0),IF($BL$5&lt;&gt;"",--(BL217="Présent"),0)))</f>
      </c>
      <c r="BO217" s="22">
        <f>IF($A217="","",SUM(IF($D$5&lt;&gt;"",--(D217="Absent"),0),IF($F$5&lt;&gt;"",--(F217="Absent"),0),IF($H$5&lt;&gt;"",--(H217="Absent"),0),IF($J$5&lt;&gt;"",--(J217="Absent"),0),IF($L$5&lt;&gt;"",--(L217="Absent"),0),IF($N$5&lt;&gt;"",--(N217="Absent"),0),IF($P$5&lt;&gt;"",--(P217="Absent"),0),IF($R$5&lt;&gt;"",--(R217="Absent"),0),IF($T$5&lt;&gt;"",--(T217="Absent"),0),IF($V$5&lt;&gt;"",--(V217="Absent"),0),IF($X$5&lt;&gt;"",--(X217="Absent"),0),IF($Z$5&lt;&gt;"",--(Z217="Absent"),0),IF($AB$5&lt;&gt;"",--(AB217="Absent"),0),IF($AD$5&lt;&gt;"",--(AD217="Absent"),0),IF($AF$5&lt;&gt;"",--(AF217="Absent"),0),IF($AH$5&lt;&gt;"",--(AH217="Absent"),0),IF($AJ$5&lt;&gt;"",--(AJ217="Absent"),0),IF($AL$5&lt;&gt;"",--(AL217="Absent"),0),IF($AN$5&lt;&gt;"",--(AN217="Absent"),0),IF($AP$5&lt;&gt;"",--(AP217="Absent"),0),IF($AR$5&lt;&gt;"",--(AR217="Absent"),0),IF($AT$5&lt;&gt;"",--(AT217="Absent"),0),IF($AV$5&lt;&gt;"",--(AV217="Absent"),0),IF($AX$5&lt;&gt;"",--(AX217="Absent"),0),IF($AZ$5&lt;&gt;"",--(AZ217="Absent"),0),IF($BB$5&lt;&gt;"",--(BB217="Absent"),0),IF($BD$5&lt;&gt;"",--(BD217="Absent"),0),IF($BF$5&lt;&gt;"",--(BF217="Absent"),0),IF($BH$5&lt;&gt;"",--(BH217="Absent"),0),IF($BJ$5&lt;&gt;"",--(BJ217="Absent"),0),IF($BL$5&lt;&gt;"",--(BL217="Absent"),0)))</f>
      </c>
      <c r="BP217" s="22">
        <f>IF($A217="","",SUM(IF($D$5&lt;&gt;"",--(D217="Congé"),0),IF($F$5&lt;&gt;"",--(F217="Congé"),0),IF($H$5&lt;&gt;"",--(H217="Congé"),0),IF($J$5&lt;&gt;"",--(J217="Congé"),0),IF($L$5&lt;&gt;"",--(L217="Congé"),0),IF($N$5&lt;&gt;"",--(N217="Congé"),0),IF($P$5&lt;&gt;"",--(P217="Congé"),0),IF($R$5&lt;&gt;"",--(R217="Congé"),0),IF($T$5&lt;&gt;"",--(T217="Congé"),0),IF($V$5&lt;&gt;"",--(V217="Congé"),0),IF($X$5&lt;&gt;"",--(X217="Congé"),0),IF($Z$5&lt;&gt;"",--(Z217="Congé"),0),IF($AB$5&lt;&gt;"",--(AB217="Congé"),0),IF($AD$5&lt;&gt;"",--(AD217="Congé"),0),IF($AF$5&lt;&gt;"",--(AF217="Congé"),0),IF($AH$5&lt;&gt;"",--(AH217="Congé"),0),IF($AJ$5&lt;&gt;"",--(AJ217="Congé"),0),IF($AL$5&lt;&gt;"",--(AL217="Congé"),0),IF($AN$5&lt;&gt;"",--(AN217="Congé"),0),IF($AP$5&lt;&gt;"",--(AP217="Congé"),0),IF($AR$5&lt;&gt;"",--(AR217="Congé"),0),IF($AT$5&lt;&gt;"",--(AT217="Congé"),0),IF($AV$5&lt;&gt;"",--(AV217="Congé"),0),IF($AX$5&lt;&gt;"",--(AX217="Congé"),0),IF($AZ$5&lt;&gt;"",--(AZ217="Congé"),0),IF($BB$5&lt;&gt;"",--(BB217="Congé"),0),IF($BD$5&lt;&gt;"",--(BD217="Congé"),0),IF($BF$5&lt;&gt;"",--(BF217="Congé"),0),IF($BH$5&lt;&gt;"",--(BH217="Congé"),0),IF($BJ$5&lt;&gt;"",--(BJ217="Congé"),0),IF($BL$5&lt;&gt;"",--(BL217="Congé"),0)))</f>
      </c>
      <c r="BQ217" s="22">
        <f>IF($A217="","",SUM(IF($D$5&lt;&gt;"",--(D217="Maladie"),0),IF($F$5&lt;&gt;"",--(F217="Maladie"),0),IF($H$5&lt;&gt;"",--(H217="Maladie"),0),IF($J$5&lt;&gt;"",--(J217="Maladie"),0),IF($L$5&lt;&gt;"",--(L217="Maladie"),0),IF($N$5&lt;&gt;"",--(N217="Maladie"),0),IF($P$5&lt;&gt;"",--(P217="Maladie"),0),IF($R$5&lt;&gt;"",--(R217="Maladie"),0),IF($T$5&lt;&gt;"",--(T217="Maladie"),0),IF($V$5&lt;&gt;"",--(V217="Maladie"),0),IF($X$5&lt;&gt;"",--(X217="Maladie"),0),IF($Z$5&lt;&gt;"",--(Z217="Maladie"),0),IF($AB$5&lt;&gt;"",--(AB217="Maladie"),0),IF($AD$5&lt;&gt;"",--(AD217="Maladie"),0),IF($AF$5&lt;&gt;"",--(AF217="Maladie"),0),IF($AH$5&lt;&gt;"",--(AH217="Maladie"),0),IF($AJ$5&lt;&gt;"",--(AJ217="Maladie"),0),IF($AL$5&lt;&gt;"",--(AL217="Maladie"),0),IF($AN$5&lt;&gt;"",--(AN217="Maladie"),0),IF($AP$5&lt;&gt;"",--(AP217="Maladie"),0),IF($AR$5&lt;&gt;"",--(AR217="Maladie"),0),IF($AT$5&lt;&gt;"",--(AT217="Maladie"),0),IF($AV$5&lt;&gt;"",--(AV217="Maladie"),0),IF($AX$5&lt;&gt;"",--(AX217="Maladie"),0),IF($AZ$5&lt;&gt;"",--(AZ217="Maladie"),0),IF($BB$5&lt;&gt;"",--(BB217="Maladie"),0),IF($BD$5&lt;&gt;"",--(BD217="Maladie"),0),IF($BF$5&lt;&gt;"",--(BF217="Maladie"),0),IF($BH$5&lt;&gt;"",--(BH217="Maladie"),0),IF($BJ$5&lt;&gt;"",--(BJ217="Maladie"),0),IF($BL$5&lt;&gt;"",--(BL217="Maladie"),0)))</f>
      </c>
      <c r="BR217" s="23">
        <f>IF($A217="","",SUM(IF($D$5&lt;&gt;"",IF(D217="Présent",E217,0),0),IF($F$5&lt;&gt;"",IF(F217="Présent",G217,0),0),IF($H$5&lt;&gt;"",IF(H217="Présent",I217,0),0),IF($J$5&lt;&gt;"",IF(J217="Présent",K217,0),0),IF($L$5&lt;&gt;"",IF(L217="Présent",M217,0),0),IF($N$5&lt;&gt;"",IF(N217="Présent",O217,0),0),IF($P$5&lt;&gt;"",IF(P217="Présent",Q217,0),0),IF($R$5&lt;&gt;"",IF(R217="Présent",S217,0),0),IF($T$5&lt;&gt;"",IF(T217="Présent",U217,0),0),IF($V$5&lt;&gt;"",IF(V217="Présent",W217,0),0),IF($X$5&lt;&gt;"",IF(X217="Présent",Y217,0),0),IF($Z$5&lt;&gt;"",IF(Z217="Présent",AA217,0),0),IF($AB$5&lt;&gt;"",IF(AB217="Présent",AC217,0),0),IF($AD$5&lt;&gt;"",IF(AD217="Présent",AE217,0),0),IF($AF$5&lt;&gt;"",IF(AF217="Présent",AG217,0),0),IF($AH$5&lt;&gt;"",IF(AH217="Présent",AI217,0),0),IF($AJ$5&lt;&gt;"",IF(AJ217="Présent",AK217,0),0),IF($AL$5&lt;&gt;"",IF(AL217="Présent",AM217,0),0),IF($AN$5&lt;&gt;"",IF(AN217="Présent",AO217,0),0),IF($AP$5&lt;&gt;"",IF(AP217="Présent",AQ217,0),0),IF($AR$5&lt;&gt;"",IF(AR217="Présent",AS217,0),0),IF($AT$5&lt;&gt;"",IF(AT217="Présent",AU217,0),0),IF($AV$5&lt;&gt;"",IF(AV217="Présent",AW217,0),0),IF($AX$5&lt;&gt;"",IF(AX217="Présent",AY217,0),0),IF($AZ$5&lt;&gt;"",IF(AZ217="Présent",BA217,0),0),IF($BB$5&lt;&gt;"",IF(BB217="Présent",BC217,0),0),IF($BD$5&lt;&gt;"",IF(BD217="Présent",BE217,0),0),IF($BF$5&lt;&gt;"",IF(BF217="Présent",BG217,0),0),IF($BH$5&lt;&gt;"",IF(BH217="Présent",BI217,0),0),IF($BJ$5&lt;&gt;"",IF(BJ217="Présent",BK217,0),0),IF($BL$5&lt;&gt;"",IF(BL217="Présent",BM217,0),0)))</f>
      </c>
      <c r="BS217" s="25">
        <f>IF($A217="","",$BN217*IFERROR(INDEX(Categories_Salaire,MATCH($C217,ListeCategories,0)),0)+$BR217*IF(IFERROR(INDEX(Categories_TauxHS,MATCH($C217,ListeCategories,0)),0)&gt;0,IFERROR(INDEX(Categories_TauxHS,MATCH($C217,ListeCategories,0)),0),TauxHSDefaut))</f>
      </c>
    </row>
    <row r="218">
      <c r="A218" s="20">
        <f>IF(AND(INDEX(Employes_Nom,212)&lt;&gt;"",INDEX(Employes_Statut,212)="Actif",OR(INDEX(Employes_Embauche,212)="",INDEX(Employes_Embauche,212)&lt;=EOMONTH(DATE(AnneeCourante,MoisCourant,1),0))),INDEX(Employes_ID,212),"")</f>
      </c>
      <c r="B218" s="19">
        <f>IF($A218="","",INDEX(Employes_Nom,MATCH($A218,Employes_ID,0)))</f>
      </c>
      <c r="C218" s="20">
        <f>IF($A218="","",INDEX(Employes_Categorie,MATCH($A218,Employes_ID,0)))</f>
      </c>
      <c r="D218" s="26"/>
      <c r="E218" s="27"/>
      <c r="F218" s="26"/>
      <c r="G218" s="27"/>
      <c r="H218" s="26"/>
      <c r="I218" s="27"/>
      <c r="J218" s="26"/>
      <c r="K218" s="27"/>
      <c r="L218" s="26"/>
      <c r="M218" s="27"/>
      <c r="N218" s="26"/>
      <c r="O218" s="27"/>
      <c r="P218" s="26"/>
      <c r="Q218" s="27"/>
      <c r="R218" s="26"/>
      <c r="S218" s="27"/>
      <c r="T218" s="26"/>
      <c r="U218" s="27"/>
      <c r="V218" s="26"/>
      <c r="W218" s="27"/>
      <c r="X218" s="26"/>
      <c r="Y218" s="27"/>
      <c r="Z218" s="26"/>
      <c r="AA218" s="27"/>
      <c r="AB218" s="26"/>
      <c r="AC218" s="27"/>
      <c r="AD218" s="26"/>
      <c r="AE218" s="27"/>
      <c r="AF218" s="26"/>
      <c r="AG218" s="27"/>
      <c r="AH218" s="26"/>
      <c r="AI218" s="27"/>
      <c r="AJ218" s="26"/>
      <c r="AK218" s="27"/>
      <c r="AL218" s="26"/>
      <c r="AM218" s="27"/>
      <c r="AN218" s="26"/>
      <c r="AO218" s="27"/>
      <c r="AP218" s="26"/>
      <c r="AQ218" s="27"/>
      <c r="AR218" s="26"/>
      <c r="AS218" s="27"/>
      <c r="AT218" s="26"/>
      <c r="AU218" s="27"/>
      <c r="AV218" s="26"/>
      <c r="AW218" s="27"/>
      <c r="AX218" s="26"/>
      <c r="AY218" s="27"/>
      <c r="AZ218" s="26"/>
      <c r="BA218" s="27"/>
      <c r="BB218" s="26"/>
      <c r="BC218" s="27"/>
      <c r="BD218" s="26"/>
      <c r="BE218" s="27"/>
      <c r="BF218" s="26"/>
      <c r="BG218" s="27"/>
      <c r="BH218" s="26"/>
      <c r="BI218" s="27"/>
      <c r="BJ218" s="26"/>
      <c r="BK218" s="27"/>
      <c r="BL218" s="26"/>
      <c r="BM218" s="27"/>
      <c r="BN218" s="22">
        <f>IF($A218="","",SUM(IF($D$5&lt;&gt;"",--(D218="Présent"),0),IF($F$5&lt;&gt;"",--(F218="Présent"),0),IF($H$5&lt;&gt;"",--(H218="Présent"),0),IF($J$5&lt;&gt;"",--(J218="Présent"),0),IF($L$5&lt;&gt;"",--(L218="Présent"),0),IF($N$5&lt;&gt;"",--(N218="Présent"),0),IF($P$5&lt;&gt;"",--(P218="Présent"),0),IF($R$5&lt;&gt;"",--(R218="Présent"),0),IF($T$5&lt;&gt;"",--(T218="Présent"),0),IF($V$5&lt;&gt;"",--(V218="Présent"),0),IF($X$5&lt;&gt;"",--(X218="Présent"),0),IF($Z$5&lt;&gt;"",--(Z218="Présent"),0),IF($AB$5&lt;&gt;"",--(AB218="Présent"),0),IF($AD$5&lt;&gt;"",--(AD218="Présent"),0),IF($AF$5&lt;&gt;"",--(AF218="Présent"),0),IF($AH$5&lt;&gt;"",--(AH218="Présent"),0),IF($AJ$5&lt;&gt;"",--(AJ218="Présent"),0),IF($AL$5&lt;&gt;"",--(AL218="Présent"),0),IF($AN$5&lt;&gt;"",--(AN218="Présent"),0),IF($AP$5&lt;&gt;"",--(AP218="Présent"),0),IF($AR$5&lt;&gt;"",--(AR218="Présent"),0),IF($AT$5&lt;&gt;"",--(AT218="Présent"),0),IF($AV$5&lt;&gt;"",--(AV218="Présent"),0),IF($AX$5&lt;&gt;"",--(AX218="Présent"),0),IF($AZ$5&lt;&gt;"",--(AZ218="Présent"),0),IF($BB$5&lt;&gt;"",--(BB218="Présent"),0),IF($BD$5&lt;&gt;"",--(BD218="Présent"),0),IF($BF$5&lt;&gt;"",--(BF218="Présent"),0),IF($BH$5&lt;&gt;"",--(BH218="Présent"),0),IF($BJ$5&lt;&gt;"",--(BJ218="Présent"),0),IF($BL$5&lt;&gt;"",--(BL218="Présent"),0)))</f>
      </c>
      <c r="BO218" s="22">
        <f>IF($A218="","",SUM(IF($D$5&lt;&gt;"",--(D218="Absent"),0),IF($F$5&lt;&gt;"",--(F218="Absent"),0),IF($H$5&lt;&gt;"",--(H218="Absent"),0),IF($J$5&lt;&gt;"",--(J218="Absent"),0),IF($L$5&lt;&gt;"",--(L218="Absent"),0),IF($N$5&lt;&gt;"",--(N218="Absent"),0),IF($P$5&lt;&gt;"",--(P218="Absent"),0),IF($R$5&lt;&gt;"",--(R218="Absent"),0),IF($T$5&lt;&gt;"",--(T218="Absent"),0),IF($V$5&lt;&gt;"",--(V218="Absent"),0),IF($X$5&lt;&gt;"",--(X218="Absent"),0),IF($Z$5&lt;&gt;"",--(Z218="Absent"),0),IF($AB$5&lt;&gt;"",--(AB218="Absent"),0),IF($AD$5&lt;&gt;"",--(AD218="Absent"),0),IF($AF$5&lt;&gt;"",--(AF218="Absent"),0),IF($AH$5&lt;&gt;"",--(AH218="Absent"),0),IF($AJ$5&lt;&gt;"",--(AJ218="Absent"),0),IF($AL$5&lt;&gt;"",--(AL218="Absent"),0),IF($AN$5&lt;&gt;"",--(AN218="Absent"),0),IF($AP$5&lt;&gt;"",--(AP218="Absent"),0),IF($AR$5&lt;&gt;"",--(AR218="Absent"),0),IF($AT$5&lt;&gt;"",--(AT218="Absent"),0),IF($AV$5&lt;&gt;"",--(AV218="Absent"),0),IF($AX$5&lt;&gt;"",--(AX218="Absent"),0),IF($AZ$5&lt;&gt;"",--(AZ218="Absent"),0),IF($BB$5&lt;&gt;"",--(BB218="Absent"),0),IF($BD$5&lt;&gt;"",--(BD218="Absent"),0),IF($BF$5&lt;&gt;"",--(BF218="Absent"),0),IF($BH$5&lt;&gt;"",--(BH218="Absent"),0),IF($BJ$5&lt;&gt;"",--(BJ218="Absent"),0),IF($BL$5&lt;&gt;"",--(BL218="Absent"),0)))</f>
      </c>
      <c r="BP218" s="22">
        <f>IF($A218="","",SUM(IF($D$5&lt;&gt;"",--(D218="Congé"),0),IF($F$5&lt;&gt;"",--(F218="Congé"),0),IF($H$5&lt;&gt;"",--(H218="Congé"),0),IF($J$5&lt;&gt;"",--(J218="Congé"),0),IF($L$5&lt;&gt;"",--(L218="Congé"),0),IF($N$5&lt;&gt;"",--(N218="Congé"),0),IF($P$5&lt;&gt;"",--(P218="Congé"),0),IF($R$5&lt;&gt;"",--(R218="Congé"),0),IF($T$5&lt;&gt;"",--(T218="Congé"),0),IF($V$5&lt;&gt;"",--(V218="Congé"),0),IF($X$5&lt;&gt;"",--(X218="Congé"),0),IF($Z$5&lt;&gt;"",--(Z218="Congé"),0),IF($AB$5&lt;&gt;"",--(AB218="Congé"),0),IF($AD$5&lt;&gt;"",--(AD218="Congé"),0),IF($AF$5&lt;&gt;"",--(AF218="Congé"),0),IF($AH$5&lt;&gt;"",--(AH218="Congé"),0),IF($AJ$5&lt;&gt;"",--(AJ218="Congé"),0),IF($AL$5&lt;&gt;"",--(AL218="Congé"),0),IF($AN$5&lt;&gt;"",--(AN218="Congé"),0),IF($AP$5&lt;&gt;"",--(AP218="Congé"),0),IF($AR$5&lt;&gt;"",--(AR218="Congé"),0),IF($AT$5&lt;&gt;"",--(AT218="Congé"),0),IF($AV$5&lt;&gt;"",--(AV218="Congé"),0),IF($AX$5&lt;&gt;"",--(AX218="Congé"),0),IF($AZ$5&lt;&gt;"",--(AZ218="Congé"),0),IF($BB$5&lt;&gt;"",--(BB218="Congé"),0),IF($BD$5&lt;&gt;"",--(BD218="Congé"),0),IF($BF$5&lt;&gt;"",--(BF218="Congé"),0),IF($BH$5&lt;&gt;"",--(BH218="Congé"),0),IF($BJ$5&lt;&gt;"",--(BJ218="Congé"),0),IF($BL$5&lt;&gt;"",--(BL218="Congé"),0)))</f>
      </c>
      <c r="BQ218" s="22">
        <f>IF($A218="","",SUM(IF($D$5&lt;&gt;"",--(D218="Maladie"),0),IF($F$5&lt;&gt;"",--(F218="Maladie"),0),IF($H$5&lt;&gt;"",--(H218="Maladie"),0),IF($J$5&lt;&gt;"",--(J218="Maladie"),0),IF($L$5&lt;&gt;"",--(L218="Maladie"),0),IF($N$5&lt;&gt;"",--(N218="Maladie"),0),IF($P$5&lt;&gt;"",--(P218="Maladie"),0),IF($R$5&lt;&gt;"",--(R218="Maladie"),0),IF($T$5&lt;&gt;"",--(T218="Maladie"),0),IF($V$5&lt;&gt;"",--(V218="Maladie"),0),IF($X$5&lt;&gt;"",--(X218="Maladie"),0),IF($Z$5&lt;&gt;"",--(Z218="Maladie"),0),IF($AB$5&lt;&gt;"",--(AB218="Maladie"),0),IF($AD$5&lt;&gt;"",--(AD218="Maladie"),0),IF($AF$5&lt;&gt;"",--(AF218="Maladie"),0),IF($AH$5&lt;&gt;"",--(AH218="Maladie"),0),IF($AJ$5&lt;&gt;"",--(AJ218="Maladie"),0),IF($AL$5&lt;&gt;"",--(AL218="Maladie"),0),IF($AN$5&lt;&gt;"",--(AN218="Maladie"),0),IF($AP$5&lt;&gt;"",--(AP218="Maladie"),0),IF($AR$5&lt;&gt;"",--(AR218="Maladie"),0),IF($AT$5&lt;&gt;"",--(AT218="Maladie"),0),IF($AV$5&lt;&gt;"",--(AV218="Maladie"),0),IF($AX$5&lt;&gt;"",--(AX218="Maladie"),0),IF($AZ$5&lt;&gt;"",--(AZ218="Maladie"),0),IF($BB$5&lt;&gt;"",--(BB218="Maladie"),0),IF($BD$5&lt;&gt;"",--(BD218="Maladie"),0),IF($BF$5&lt;&gt;"",--(BF218="Maladie"),0),IF($BH$5&lt;&gt;"",--(BH218="Maladie"),0),IF($BJ$5&lt;&gt;"",--(BJ218="Maladie"),0),IF($BL$5&lt;&gt;"",--(BL218="Maladie"),0)))</f>
      </c>
      <c r="BR218" s="23">
        <f>IF($A218="","",SUM(IF($D$5&lt;&gt;"",IF(D218="Présent",E218,0),0),IF($F$5&lt;&gt;"",IF(F218="Présent",G218,0),0),IF($H$5&lt;&gt;"",IF(H218="Présent",I218,0),0),IF($J$5&lt;&gt;"",IF(J218="Présent",K218,0),0),IF($L$5&lt;&gt;"",IF(L218="Présent",M218,0),0),IF($N$5&lt;&gt;"",IF(N218="Présent",O218,0),0),IF($P$5&lt;&gt;"",IF(P218="Présent",Q218,0),0),IF($R$5&lt;&gt;"",IF(R218="Présent",S218,0),0),IF($T$5&lt;&gt;"",IF(T218="Présent",U218,0),0),IF($V$5&lt;&gt;"",IF(V218="Présent",W218,0),0),IF($X$5&lt;&gt;"",IF(X218="Présent",Y218,0),0),IF($Z$5&lt;&gt;"",IF(Z218="Présent",AA218,0),0),IF($AB$5&lt;&gt;"",IF(AB218="Présent",AC218,0),0),IF($AD$5&lt;&gt;"",IF(AD218="Présent",AE218,0),0),IF($AF$5&lt;&gt;"",IF(AF218="Présent",AG218,0),0),IF($AH$5&lt;&gt;"",IF(AH218="Présent",AI218,0),0),IF($AJ$5&lt;&gt;"",IF(AJ218="Présent",AK218,0),0),IF($AL$5&lt;&gt;"",IF(AL218="Présent",AM218,0),0),IF($AN$5&lt;&gt;"",IF(AN218="Présent",AO218,0),0),IF($AP$5&lt;&gt;"",IF(AP218="Présent",AQ218,0),0),IF($AR$5&lt;&gt;"",IF(AR218="Présent",AS218,0),0),IF($AT$5&lt;&gt;"",IF(AT218="Présent",AU218,0),0),IF($AV$5&lt;&gt;"",IF(AV218="Présent",AW218,0),0),IF($AX$5&lt;&gt;"",IF(AX218="Présent",AY218,0),0),IF($AZ$5&lt;&gt;"",IF(AZ218="Présent",BA218,0),0),IF($BB$5&lt;&gt;"",IF(BB218="Présent",BC218,0),0),IF($BD$5&lt;&gt;"",IF(BD218="Présent",BE218,0),0),IF($BF$5&lt;&gt;"",IF(BF218="Présent",BG218,0),0),IF($BH$5&lt;&gt;"",IF(BH218="Présent",BI218,0),0),IF($BJ$5&lt;&gt;"",IF(BJ218="Présent",BK218,0),0),IF($BL$5&lt;&gt;"",IF(BL218="Présent",BM218,0),0)))</f>
      </c>
      <c r="BS218" s="25">
        <f>IF($A218="","",$BN218*IFERROR(INDEX(Categories_Salaire,MATCH($C218,ListeCategories,0)),0)+$BR218*IF(IFERROR(INDEX(Categories_TauxHS,MATCH($C218,ListeCategories,0)),0)&gt;0,IFERROR(INDEX(Categories_TauxHS,MATCH($C218,ListeCategories,0)),0),TauxHSDefaut))</f>
      </c>
    </row>
    <row r="219">
      <c r="A219" s="20">
        <f>IF(AND(INDEX(Employes_Nom,213)&lt;&gt;"",INDEX(Employes_Statut,213)="Actif",OR(INDEX(Employes_Embauche,213)="",INDEX(Employes_Embauche,213)&lt;=EOMONTH(DATE(AnneeCourante,MoisCourant,1),0))),INDEX(Employes_ID,213),"")</f>
      </c>
      <c r="B219" s="19">
        <f>IF($A219="","",INDEX(Employes_Nom,MATCH($A219,Employes_ID,0)))</f>
      </c>
      <c r="C219" s="20">
        <f>IF($A219="","",INDEX(Employes_Categorie,MATCH($A219,Employes_ID,0)))</f>
      </c>
      <c r="D219" s="26"/>
      <c r="E219" s="27"/>
      <c r="F219" s="26"/>
      <c r="G219" s="27"/>
      <c r="H219" s="26"/>
      <c r="I219" s="27"/>
      <c r="J219" s="26"/>
      <c r="K219" s="27"/>
      <c r="L219" s="26"/>
      <c r="M219" s="27"/>
      <c r="N219" s="26"/>
      <c r="O219" s="27"/>
      <c r="P219" s="26"/>
      <c r="Q219" s="27"/>
      <c r="R219" s="26"/>
      <c r="S219" s="27"/>
      <c r="T219" s="26"/>
      <c r="U219" s="27"/>
      <c r="V219" s="26"/>
      <c r="W219" s="27"/>
      <c r="X219" s="26"/>
      <c r="Y219" s="27"/>
      <c r="Z219" s="26"/>
      <c r="AA219" s="27"/>
      <c r="AB219" s="26"/>
      <c r="AC219" s="27"/>
      <c r="AD219" s="26"/>
      <c r="AE219" s="27"/>
      <c r="AF219" s="26"/>
      <c r="AG219" s="27"/>
      <c r="AH219" s="26"/>
      <c r="AI219" s="27"/>
      <c r="AJ219" s="26"/>
      <c r="AK219" s="27"/>
      <c r="AL219" s="26"/>
      <c r="AM219" s="27"/>
      <c r="AN219" s="26"/>
      <c r="AO219" s="27"/>
      <c r="AP219" s="26"/>
      <c r="AQ219" s="27"/>
      <c r="AR219" s="26"/>
      <c r="AS219" s="27"/>
      <c r="AT219" s="26"/>
      <c r="AU219" s="27"/>
      <c r="AV219" s="26"/>
      <c r="AW219" s="27"/>
      <c r="AX219" s="26"/>
      <c r="AY219" s="27"/>
      <c r="AZ219" s="26"/>
      <c r="BA219" s="27"/>
      <c r="BB219" s="26"/>
      <c r="BC219" s="27"/>
      <c r="BD219" s="26"/>
      <c r="BE219" s="27"/>
      <c r="BF219" s="26"/>
      <c r="BG219" s="27"/>
      <c r="BH219" s="26"/>
      <c r="BI219" s="27"/>
      <c r="BJ219" s="26"/>
      <c r="BK219" s="27"/>
      <c r="BL219" s="26"/>
      <c r="BM219" s="27"/>
      <c r="BN219" s="22">
        <f>IF($A219="","",SUM(IF($D$5&lt;&gt;"",--(D219="Présent"),0),IF($F$5&lt;&gt;"",--(F219="Présent"),0),IF($H$5&lt;&gt;"",--(H219="Présent"),0),IF($J$5&lt;&gt;"",--(J219="Présent"),0),IF($L$5&lt;&gt;"",--(L219="Présent"),0),IF($N$5&lt;&gt;"",--(N219="Présent"),0),IF($P$5&lt;&gt;"",--(P219="Présent"),0),IF($R$5&lt;&gt;"",--(R219="Présent"),0),IF($T$5&lt;&gt;"",--(T219="Présent"),0),IF($V$5&lt;&gt;"",--(V219="Présent"),0),IF($X$5&lt;&gt;"",--(X219="Présent"),0),IF($Z$5&lt;&gt;"",--(Z219="Présent"),0),IF($AB$5&lt;&gt;"",--(AB219="Présent"),0),IF($AD$5&lt;&gt;"",--(AD219="Présent"),0),IF($AF$5&lt;&gt;"",--(AF219="Présent"),0),IF($AH$5&lt;&gt;"",--(AH219="Présent"),0),IF($AJ$5&lt;&gt;"",--(AJ219="Présent"),0),IF($AL$5&lt;&gt;"",--(AL219="Présent"),0),IF($AN$5&lt;&gt;"",--(AN219="Présent"),0),IF($AP$5&lt;&gt;"",--(AP219="Présent"),0),IF($AR$5&lt;&gt;"",--(AR219="Présent"),0),IF($AT$5&lt;&gt;"",--(AT219="Présent"),0),IF($AV$5&lt;&gt;"",--(AV219="Présent"),0),IF($AX$5&lt;&gt;"",--(AX219="Présent"),0),IF($AZ$5&lt;&gt;"",--(AZ219="Présent"),0),IF($BB$5&lt;&gt;"",--(BB219="Présent"),0),IF($BD$5&lt;&gt;"",--(BD219="Présent"),0),IF($BF$5&lt;&gt;"",--(BF219="Présent"),0),IF($BH$5&lt;&gt;"",--(BH219="Présent"),0),IF($BJ$5&lt;&gt;"",--(BJ219="Présent"),0),IF($BL$5&lt;&gt;"",--(BL219="Présent"),0)))</f>
      </c>
      <c r="BO219" s="22">
        <f>IF($A219="","",SUM(IF($D$5&lt;&gt;"",--(D219="Absent"),0),IF($F$5&lt;&gt;"",--(F219="Absent"),0),IF($H$5&lt;&gt;"",--(H219="Absent"),0),IF($J$5&lt;&gt;"",--(J219="Absent"),0),IF($L$5&lt;&gt;"",--(L219="Absent"),0),IF($N$5&lt;&gt;"",--(N219="Absent"),0),IF($P$5&lt;&gt;"",--(P219="Absent"),0),IF($R$5&lt;&gt;"",--(R219="Absent"),0),IF($T$5&lt;&gt;"",--(T219="Absent"),0),IF($V$5&lt;&gt;"",--(V219="Absent"),0),IF($X$5&lt;&gt;"",--(X219="Absent"),0),IF($Z$5&lt;&gt;"",--(Z219="Absent"),0),IF($AB$5&lt;&gt;"",--(AB219="Absent"),0),IF($AD$5&lt;&gt;"",--(AD219="Absent"),0),IF($AF$5&lt;&gt;"",--(AF219="Absent"),0),IF($AH$5&lt;&gt;"",--(AH219="Absent"),0),IF($AJ$5&lt;&gt;"",--(AJ219="Absent"),0),IF($AL$5&lt;&gt;"",--(AL219="Absent"),0),IF($AN$5&lt;&gt;"",--(AN219="Absent"),0),IF($AP$5&lt;&gt;"",--(AP219="Absent"),0),IF($AR$5&lt;&gt;"",--(AR219="Absent"),0),IF($AT$5&lt;&gt;"",--(AT219="Absent"),0),IF($AV$5&lt;&gt;"",--(AV219="Absent"),0),IF($AX$5&lt;&gt;"",--(AX219="Absent"),0),IF($AZ$5&lt;&gt;"",--(AZ219="Absent"),0),IF($BB$5&lt;&gt;"",--(BB219="Absent"),0),IF($BD$5&lt;&gt;"",--(BD219="Absent"),0),IF($BF$5&lt;&gt;"",--(BF219="Absent"),0),IF($BH$5&lt;&gt;"",--(BH219="Absent"),0),IF($BJ$5&lt;&gt;"",--(BJ219="Absent"),0),IF($BL$5&lt;&gt;"",--(BL219="Absent"),0)))</f>
      </c>
      <c r="BP219" s="22">
        <f>IF($A219="","",SUM(IF($D$5&lt;&gt;"",--(D219="Congé"),0),IF($F$5&lt;&gt;"",--(F219="Congé"),0),IF($H$5&lt;&gt;"",--(H219="Congé"),0),IF($J$5&lt;&gt;"",--(J219="Congé"),0),IF($L$5&lt;&gt;"",--(L219="Congé"),0),IF($N$5&lt;&gt;"",--(N219="Congé"),0),IF($P$5&lt;&gt;"",--(P219="Congé"),0),IF($R$5&lt;&gt;"",--(R219="Congé"),0),IF($T$5&lt;&gt;"",--(T219="Congé"),0),IF($V$5&lt;&gt;"",--(V219="Congé"),0),IF($X$5&lt;&gt;"",--(X219="Congé"),0),IF($Z$5&lt;&gt;"",--(Z219="Congé"),0),IF($AB$5&lt;&gt;"",--(AB219="Congé"),0),IF($AD$5&lt;&gt;"",--(AD219="Congé"),0),IF($AF$5&lt;&gt;"",--(AF219="Congé"),0),IF($AH$5&lt;&gt;"",--(AH219="Congé"),0),IF($AJ$5&lt;&gt;"",--(AJ219="Congé"),0),IF($AL$5&lt;&gt;"",--(AL219="Congé"),0),IF($AN$5&lt;&gt;"",--(AN219="Congé"),0),IF($AP$5&lt;&gt;"",--(AP219="Congé"),0),IF($AR$5&lt;&gt;"",--(AR219="Congé"),0),IF($AT$5&lt;&gt;"",--(AT219="Congé"),0),IF($AV$5&lt;&gt;"",--(AV219="Congé"),0),IF($AX$5&lt;&gt;"",--(AX219="Congé"),0),IF($AZ$5&lt;&gt;"",--(AZ219="Congé"),0),IF($BB$5&lt;&gt;"",--(BB219="Congé"),0),IF($BD$5&lt;&gt;"",--(BD219="Congé"),0),IF($BF$5&lt;&gt;"",--(BF219="Congé"),0),IF($BH$5&lt;&gt;"",--(BH219="Congé"),0),IF($BJ$5&lt;&gt;"",--(BJ219="Congé"),0),IF($BL$5&lt;&gt;"",--(BL219="Congé"),0)))</f>
      </c>
      <c r="BQ219" s="22">
        <f>IF($A219="","",SUM(IF($D$5&lt;&gt;"",--(D219="Maladie"),0),IF($F$5&lt;&gt;"",--(F219="Maladie"),0),IF($H$5&lt;&gt;"",--(H219="Maladie"),0),IF($J$5&lt;&gt;"",--(J219="Maladie"),0),IF($L$5&lt;&gt;"",--(L219="Maladie"),0),IF($N$5&lt;&gt;"",--(N219="Maladie"),0),IF($P$5&lt;&gt;"",--(P219="Maladie"),0),IF($R$5&lt;&gt;"",--(R219="Maladie"),0),IF($T$5&lt;&gt;"",--(T219="Maladie"),0),IF($V$5&lt;&gt;"",--(V219="Maladie"),0),IF($X$5&lt;&gt;"",--(X219="Maladie"),0),IF($Z$5&lt;&gt;"",--(Z219="Maladie"),0),IF($AB$5&lt;&gt;"",--(AB219="Maladie"),0),IF($AD$5&lt;&gt;"",--(AD219="Maladie"),0),IF($AF$5&lt;&gt;"",--(AF219="Maladie"),0),IF($AH$5&lt;&gt;"",--(AH219="Maladie"),0),IF($AJ$5&lt;&gt;"",--(AJ219="Maladie"),0),IF($AL$5&lt;&gt;"",--(AL219="Maladie"),0),IF($AN$5&lt;&gt;"",--(AN219="Maladie"),0),IF($AP$5&lt;&gt;"",--(AP219="Maladie"),0),IF($AR$5&lt;&gt;"",--(AR219="Maladie"),0),IF($AT$5&lt;&gt;"",--(AT219="Maladie"),0),IF($AV$5&lt;&gt;"",--(AV219="Maladie"),0),IF($AX$5&lt;&gt;"",--(AX219="Maladie"),0),IF($AZ$5&lt;&gt;"",--(AZ219="Maladie"),0),IF($BB$5&lt;&gt;"",--(BB219="Maladie"),0),IF($BD$5&lt;&gt;"",--(BD219="Maladie"),0),IF($BF$5&lt;&gt;"",--(BF219="Maladie"),0),IF($BH$5&lt;&gt;"",--(BH219="Maladie"),0),IF($BJ$5&lt;&gt;"",--(BJ219="Maladie"),0),IF($BL$5&lt;&gt;"",--(BL219="Maladie"),0)))</f>
      </c>
      <c r="BR219" s="23">
        <f>IF($A219="","",SUM(IF($D$5&lt;&gt;"",IF(D219="Présent",E219,0),0),IF($F$5&lt;&gt;"",IF(F219="Présent",G219,0),0),IF($H$5&lt;&gt;"",IF(H219="Présent",I219,0),0),IF($J$5&lt;&gt;"",IF(J219="Présent",K219,0),0),IF($L$5&lt;&gt;"",IF(L219="Présent",M219,0),0),IF($N$5&lt;&gt;"",IF(N219="Présent",O219,0),0),IF($P$5&lt;&gt;"",IF(P219="Présent",Q219,0),0),IF($R$5&lt;&gt;"",IF(R219="Présent",S219,0),0),IF($T$5&lt;&gt;"",IF(T219="Présent",U219,0),0),IF($V$5&lt;&gt;"",IF(V219="Présent",W219,0),0),IF($X$5&lt;&gt;"",IF(X219="Présent",Y219,0),0),IF($Z$5&lt;&gt;"",IF(Z219="Présent",AA219,0),0),IF($AB$5&lt;&gt;"",IF(AB219="Présent",AC219,0),0),IF($AD$5&lt;&gt;"",IF(AD219="Présent",AE219,0),0),IF($AF$5&lt;&gt;"",IF(AF219="Présent",AG219,0),0),IF($AH$5&lt;&gt;"",IF(AH219="Présent",AI219,0),0),IF($AJ$5&lt;&gt;"",IF(AJ219="Présent",AK219,0),0),IF($AL$5&lt;&gt;"",IF(AL219="Présent",AM219,0),0),IF($AN$5&lt;&gt;"",IF(AN219="Présent",AO219,0),0),IF($AP$5&lt;&gt;"",IF(AP219="Présent",AQ219,0),0),IF($AR$5&lt;&gt;"",IF(AR219="Présent",AS219,0),0),IF($AT$5&lt;&gt;"",IF(AT219="Présent",AU219,0),0),IF($AV$5&lt;&gt;"",IF(AV219="Présent",AW219,0),0),IF($AX$5&lt;&gt;"",IF(AX219="Présent",AY219,0),0),IF($AZ$5&lt;&gt;"",IF(AZ219="Présent",BA219,0),0),IF($BB$5&lt;&gt;"",IF(BB219="Présent",BC219,0),0),IF($BD$5&lt;&gt;"",IF(BD219="Présent",BE219,0),0),IF($BF$5&lt;&gt;"",IF(BF219="Présent",BG219,0),0),IF($BH$5&lt;&gt;"",IF(BH219="Présent",BI219,0),0),IF($BJ$5&lt;&gt;"",IF(BJ219="Présent",BK219,0),0),IF($BL$5&lt;&gt;"",IF(BL219="Présent",BM219,0),0)))</f>
      </c>
      <c r="BS219" s="25">
        <f>IF($A219="","",$BN219*IFERROR(INDEX(Categories_Salaire,MATCH($C219,ListeCategories,0)),0)+$BR219*IF(IFERROR(INDEX(Categories_TauxHS,MATCH($C219,ListeCategories,0)),0)&gt;0,IFERROR(INDEX(Categories_TauxHS,MATCH($C219,ListeCategories,0)),0),TauxHSDefaut))</f>
      </c>
    </row>
    <row r="220">
      <c r="A220" s="20">
        <f>IF(AND(INDEX(Employes_Nom,214)&lt;&gt;"",INDEX(Employes_Statut,214)="Actif",OR(INDEX(Employes_Embauche,214)="",INDEX(Employes_Embauche,214)&lt;=EOMONTH(DATE(AnneeCourante,MoisCourant,1),0))),INDEX(Employes_ID,214),"")</f>
      </c>
      <c r="B220" s="19">
        <f>IF($A220="","",INDEX(Employes_Nom,MATCH($A220,Employes_ID,0)))</f>
      </c>
      <c r="C220" s="20">
        <f>IF($A220="","",INDEX(Employes_Categorie,MATCH($A220,Employes_ID,0)))</f>
      </c>
      <c r="D220" s="26"/>
      <c r="E220" s="27"/>
      <c r="F220" s="26"/>
      <c r="G220" s="27"/>
      <c r="H220" s="26"/>
      <c r="I220" s="27"/>
      <c r="J220" s="26"/>
      <c r="K220" s="27"/>
      <c r="L220" s="26"/>
      <c r="M220" s="27"/>
      <c r="N220" s="26"/>
      <c r="O220" s="27"/>
      <c r="P220" s="26"/>
      <c r="Q220" s="27"/>
      <c r="R220" s="26"/>
      <c r="S220" s="27"/>
      <c r="T220" s="26"/>
      <c r="U220" s="27"/>
      <c r="V220" s="26"/>
      <c r="W220" s="27"/>
      <c r="X220" s="26"/>
      <c r="Y220" s="27"/>
      <c r="Z220" s="26"/>
      <c r="AA220" s="27"/>
      <c r="AB220" s="26"/>
      <c r="AC220" s="27"/>
      <c r="AD220" s="26"/>
      <c r="AE220" s="27"/>
      <c r="AF220" s="26"/>
      <c r="AG220" s="27"/>
      <c r="AH220" s="26"/>
      <c r="AI220" s="27"/>
      <c r="AJ220" s="26"/>
      <c r="AK220" s="27"/>
      <c r="AL220" s="26"/>
      <c r="AM220" s="27"/>
      <c r="AN220" s="26"/>
      <c r="AO220" s="27"/>
      <c r="AP220" s="26"/>
      <c r="AQ220" s="27"/>
      <c r="AR220" s="26"/>
      <c r="AS220" s="27"/>
      <c r="AT220" s="26"/>
      <c r="AU220" s="27"/>
      <c r="AV220" s="26"/>
      <c r="AW220" s="27"/>
      <c r="AX220" s="26"/>
      <c r="AY220" s="27"/>
      <c r="AZ220" s="26"/>
      <c r="BA220" s="27"/>
      <c r="BB220" s="26"/>
      <c r="BC220" s="27"/>
      <c r="BD220" s="26"/>
      <c r="BE220" s="27"/>
      <c r="BF220" s="26"/>
      <c r="BG220" s="27"/>
      <c r="BH220" s="26"/>
      <c r="BI220" s="27"/>
      <c r="BJ220" s="26"/>
      <c r="BK220" s="27"/>
      <c r="BL220" s="26"/>
      <c r="BM220" s="27"/>
      <c r="BN220" s="22">
        <f>IF($A220="","",SUM(IF($D$5&lt;&gt;"",--(D220="Présent"),0),IF($F$5&lt;&gt;"",--(F220="Présent"),0),IF($H$5&lt;&gt;"",--(H220="Présent"),0),IF($J$5&lt;&gt;"",--(J220="Présent"),0),IF($L$5&lt;&gt;"",--(L220="Présent"),0),IF($N$5&lt;&gt;"",--(N220="Présent"),0),IF($P$5&lt;&gt;"",--(P220="Présent"),0),IF($R$5&lt;&gt;"",--(R220="Présent"),0),IF($T$5&lt;&gt;"",--(T220="Présent"),0),IF($V$5&lt;&gt;"",--(V220="Présent"),0),IF($X$5&lt;&gt;"",--(X220="Présent"),0),IF($Z$5&lt;&gt;"",--(Z220="Présent"),0),IF($AB$5&lt;&gt;"",--(AB220="Présent"),0),IF($AD$5&lt;&gt;"",--(AD220="Présent"),0),IF($AF$5&lt;&gt;"",--(AF220="Présent"),0),IF($AH$5&lt;&gt;"",--(AH220="Présent"),0),IF($AJ$5&lt;&gt;"",--(AJ220="Présent"),0),IF($AL$5&lt;&gt;"",--(AL220="Présent"),0),IF($AN$5&lt;&gt;"",--(AN220="Présent"),0),IF($AP$5&lt;&gt;"",--(AP220="Présent"),0),IF($AR$5&lt;&gt;"",--(AR220="Présent"),0),IF($AT$5&lt;&gt;"",--(AT220="Présent"),0),IF($AV$5&lt;&gt;"",--(AV220="Présent"),0),IF($AX$5&lt;&gt;"",--(AX220="Présent"),0),IF($AZ$5&lt;&gt;"",--(AZ220="Présent"),0),IF($BB$5&lt;&gt;"",--(BB220="Présent"),0),IF($BD$5&lt;&gt;"",--(BD220="Présent"),0),IF($BF$5&lt;&gt;"",--(BF220="Présent"),0),IF($BH$5&lt;&gt;"",--(BH220="Présent"),0),IF($BJ$5&lt;&gt;"",--(BJ220="Présent"),0),IF($BL$5&lt;&gt;"",--(BL220="Présent"),0)))</f>
      </c>
      <c r="BO220" s="22">
        <f>IF($A220="","",SUM(IF($D$5&lt;&gt;"",--(D220="Absent"),0),IF($F$5&lt;&gt;"",--(F220="Absent"),0),IF($H$5&lt;&gt;"",--(H220="Absent"),0),IF($J$5&lt;&gt;"",--(J220="Absent"),0),IF($L$5&lt;&gt;"",--(L220="Absent"),0),IF($N$5&lt;&gt;"",--(N220="Absent"),0),IF($P$5&lt;&gt;"",--(P220="Absent"),0),IF($R$5&lt;&gt;"",--(R220="Absent"),0),IF($T$5&lt;&gt;"",--(T220="Absent"),0),IF($V$5&lt;&gt;"",--(V220="Absent"),0),IF($X$5&lt;&gt;"",--(X220="Absent"),0),IF($Z$5&lt;&gt;"",--(Z220="Absent"),0),IF($AB$5&lt;&gt;"",--(AB220="Absent"),0),IF($AD$5&lt;&gt;"",--(AD220="Absent"),0),IF($AF$5&lt;&gt;"",--(AF220="Absent"),0),IF($AH$5&lt;&gt;"",--(AH220="Absent"),0),IF($AJ$5&lt;&gt;"",--(AJ220="Absent"),0),IF($AL$5&lt;&gt;"",--(AL220="Absent"),0),IF($AN$5&lt;&gt;"",--(AN220="Absent"),0),IF($AP$5&lt;&gt;"",--(AP220="Absent"),0),IF($AR$5&lt;&gt;"",--(AR220="Absent"),0),IF($AT$5&lt;&gt;"",--(AT220="Absent"),0),IF($AV$5&lt;&gt;"",--(AV220="Absent"),0),IF($AX$5&lt;&gt;"",--(AX220="Absent"),0),IF($AZ$5&lt;&gt;"",--(AZ220="Absent"),0),IF($BB$5&lt;&gt;"",--(BB220="Absent"),0),IF($BD$5&lt;&gt;"",--(BD220="Absent"),0),IF($BF$5&lt;&gt;"",--(BF220="Absent"),0),IF($BH$5&lt;&gt;"",--(BH220="Absent"),0),IF($BJ$5&lt;&gt;"",--(BJ220="Absent"),0),IF($BL$5&lt;&gt;"",--(BL220="Absent"),0)))</f>
      </c>
      <c r="BP220" s="22">
        <f>IF($A220="","",SUM(IF($D$5&lt;&gt;"",--(D220="Congé"),0),IF($F$5&lt;&gt;"",--(F220="Congé"),0),IF($H$5&lt;&gt;"",--(H220="Congé"),0),IF($J$5&lt;&gt;"",--(J220="Congé"),0),IF($L$5&lt;&gt;"",--(L220="Congé"),0),IF($N$5&lt;&gt;"",--(N220="Congé"),0),IF($P$5&lt;&gt;"",--(P220="Congé"),0),IF($R$5&lt;&gt;"",--(R220="Congé"),0),IF($T$5&lt;&gt;"",--(T220="Congé"),0),IF($V$5&lt;&gt;"",--(V220="Congé"),0),IF($X$5&lt;&gt;"",--(X220="Congé"),0),IF($Z$5&lt;&gt;"",--(Z220="Congé"),0),IF($AB$5&lt;&gt;"",--(AB220="Congé"),0),IF($AD$5&lt;&gt;"",--(AD220="Congé"),0),IF($AF$5&lt;&gt;"",--(AF220="Congé"),0),IF($AH$5&lt;&gt;"",--(AH220="Congé"),0),IF($AJ$5&lt;&gt;"",--(AJ220="Congé"),0),IF($AL$5&lt;&gt;"",--(AL220="Congé"),0),IF($AN$5&lt;&gt;"",--(AN220="Congé"),0),IF($AP$5&lt;&gt;"",--(AP220="Congé"),0),IF($AR$5&lt;&gt;"",--(AR220="Congé"),0),IF($AT$5&lt;&gt;"",--(AT220="Congé"),0),IF($AV$5&lt;&gt;"",--(AV220="Congé"),0),IF($AX$5&lt;&gt;"",--(AX220="Congé"),0),IF($AZ$5&lt;&gt;"",--(AZ220="Congé"),0),IF($BB$5&lt;&gt;"",--(BB220="Congé"),0),IF($BD$5&lt;&gt;"",--(BD220="Congé"),0),IF($BF$5&lt;&gt;"",--(BF220="Congé"),0),IF($BH$5&lt;&gt;"",--(BH220="Congé"),0),IF($BJ$5&lt;&gt;"",--(BJ220="Congé"),0),IF($BL$5&lt;&gt;"",--(BL220="Congé"),0)))</f>
      </c>
      <c r="BQ220" s="22">
        <f>IF($A220="","",SUM(IF($D$5&lt;&gt;"",--(D220="Maladie"),0),IF($F$5&lt;&gt;"",--(F220="Maladie"),0),IF($H$5&lt;&gt;"",--(H220="Maladie"),0),IF($J$5&lt;&gt;"",--(J220="Maladie"),0),IF($L$5&lt;&gt;"",--(L220="Maladie"),0),IF($N$5&lt;&gt;"",--(N220="Maladie"),0),IF($P$5&lt;&gt;"",--(P220="Maladie"),0),IF($R$5&lt;&gt;"",--(R220="Maladie"),0),IF($T$5&lt;&gt;"",--(T220="Maladie"),0),IF($V$5&lt;&gt;"",--(V220="Maladie"),0),IF($X$5&lt;&gt;"",--(X220="Maladie"),0),IF($Z$5&lt;&gt;"",--(Z220="Maladie"),0),IF($AB$5&lt;&gt;"",--(AB220="Maladie"),0),IF($AD$5&lt;&gt;"",--(AD220="Maladie"),0),IF($AF$5&lt;&gt;"",--(AF220="Maladie"),0),IF($AH$5&lt;&gt;"",--(AH220="Maladie"),0),IF($AJ$5&lt;&gt;"",--(AJ220="Maladie"),0),IF($AL$5&lt;&gt;"",--(AL220="Maladie"),0),IF($AN$5&lt;&gt;"",--(AN220="Maladie"),0),IF($AP$5&lt;&gt;"",--(AP220="Maladie"),0),IF($AR$5&lt;&gt;"",--(AR220="Maladie"),0),IF($AT$5&lt;&gt;"",--(AT220="Maladie"),0),IF($AV$5&lt;&gt;"",--(AV220="Maladie"),0),IF($AX$5&lt;&gt;"",--(AX220="Maladie"),0),IF($AZ$5&lt;&gt;"",--(AZ220="Maladie"),0),IF($BB$5&lt;&gt;"",--(BB220="Maladie"),0),IF($BD$5&lt;&gt;"",--(BD220="Maladie"),0),IF($BF$5&lt;&gt;"",--(BF220="Maladie"),0),IF($BH$5&lt;&gt;"",--(BH220="Maladie"),0),IF($BJ$5&lt;&gt;"",--(BJ220="Maladie"),0),IF($BL$5&lt;&gt;"",--(BL220="Maladie"),0)))</f>
      </c>
      <c r="BR220" s="23">
        <f>IF($A220="","",SUM(IF($D$5&lt;&gt;"",IF(D220="Présent",E220,0),0),IF($F$5&lt;&gt;"",IF(F220="Présent",G220,0),0),IF($H$5&lt;&gt;"",IF(H220="Présent",I220,0),0),IF($J$5&lt;&gt;"",IF(J220="Présent",K220,0),0),IF($L$5&lt;&gt;"",IF(L220="Présent",M220,0),0),IF($N$5&lt;&gt;"",IF(N220="Présent",O220,0),0),IF($P$5&lt;&gt;"",IF(P220="Présent",Q220,0),0),IF($R$5&lt;&gt;"",IF(R220="Présent",S220,0),0),IF($T$5&lt;&gt;"",IF(T220="Présent",U220,0),0),IF($V$5&lt;&gt;"",IF(V220="Présent",W220,0),0),IF($X$5&lt;&gt;"",IF(X220="Présent",Y220,0),0),IF($Z$5&lt;&gt;"",IF(Z220="Présent",AA220,0),0),IF($AB$5&lt;&gt;"",IF(AB220="Présent",AC220,0),0),IF($AD$5&lt;&gt;"",IF(AD220="Présent",AE220,0),0),IF($AF$5&lt;&gt;"",IF(AF220="Présent",AG220,0),0),IF($AH$5&lt;&gt;"",IF(AH220="Présent",AI220,0),0),IF($AJ$5&lt;&gt;"",IF(AJ220="Présent",AK220,0),0),IF($AL$5&lt;&gt;"",IF(AL220="Présent",AM220,0),0),IF($AN$5&lt;&gt;"",IF(AN220="Présent",AO220,0),0),IF($AP$5&lt;&gt;"",IF(AP220="Présent",AQ220,0),0),IF($AR$5&lt;&gt;"",IF(AR220="Présent",AS220,0),0),IF($AT$5&lt;&gt;"",IF(AT220="Présent",AU220,0),0),IF($AV$5&lt;&gt;"",IF(AV220="Présent",AW220,0),0),IF($AX$5&lt;&gt;"",IF(AX220="Présent",AY220,0),0),IF($AZ$5&lt;&gt;"",IF(AZ220="Présent",BA220,0),0),IF($BB$5&lt;&gt;"",IF(BB220="Présent",BC220,0),0),IF($BD$5&lt;&gt;"",IF(BD220="Présent",BE220,0),0),IF($BF$5&lt;&gt;"",IF(BF220="Présent",BG220,0),0),IF($BH$5&lt;&gt;"",IF(BH220="Présent",BI220,0),0),IF($BJ$5&lt;&gt;"",IF(BJ220="Présent",BK220,0),0),IF($BL$5&lt;&gt;"",IF(BL220="Présent",BM220,0),0)))</f>
      </c>
      <c r="BS220" s="25">
        <f>IF($A220="","",$BN220*IFERROR(INDEX(Categories_Salaire,MATCH($C220,ListeCategories,0)),0)+$BR220*IF(IFERROR(INDEX(Categories_TauxHS,MATCH($C220,ListeCategories,0)),0)&gt;0,IFERROR(INDEX(Categories_TauxHS,MATCH($C220,ListeCategories,0)),0),TauxHSDefaut))</f>
      </c>
    </row>
    <row r="221">
      <c r="A221" s="20">
        <f>IF(AND(INDEX(Employes_Nom,215)&lt;&gt;"",INDEX(Employes_Statut,215)="Actif",OR(INDEX(Employes_Embauche,215)="",INDEX(Employes_Embauche,215)&lt;=EOMONTH(DATE(AnneeCourante,MoisCourant,1),0))),INDEX(Employes_ID,215),"")</f>
      </c>
      <c r="B221" s="19">
        <f>IF($A221="","",INDEX(Employes_Nom,MATCH($A221,Employes_ID,0)))</f>
      </c>
      <c r="C221" s="20">
        <f>IF($A221="","",INDEX(Employes_Categorie,MATCH($A221,Employes_ID,0)))</f>
      </c>
      <c r="D221" s="26"/>
      <c r="E221" s="27"/>
      <c r="F221" s="26"/>
      <c r="G221" s="27"/>
      <c r="H221" s="26"/>
      <c r="I221" s="27"/>
      <c r="J221" s="26"/>
      <c r="K221" s="27"/>
      <c r="L221" s="26"/>
      <c r="M221" s="27"/>
      <c r="N221" s="26"/>
      <c r="O221" s="27"/>
      <c r="P221" s="26"/>
      <c r="Q221" s="27"/>
      <c r="R221" s="26"/>
      <c r="S221" s="27"/>
      <c r="T221" s="26"/>
      <c r="U221" s="27"/>
      <c r="V221" s="26"/>
      <c r="W221" s="27"/>
      <c r="X221" s="26"/>
      <c r="Y221" s="27"/>
      <c r="Z221" s="26"/>
      <c r="AA221" s="27"/>
      <c r="AB221" s="26"/>
      <c r="AC221" s="27"/>
      <c r="AD221" s="26"/>
      <c r="AE221" s="27"/>
      <c r="AF221" s="26"/>
      <c r="AG221" s="27"/>
      <c r="AH221" s="26"/>
      <c r="AI221" s="27"/>
      <c r="AJ221" s="26"/>
      <c r="AK221" s="27"/>
      <c r="AL221" s="26"/>
      <c r="AM221" s="27"/>
      <c r="AN221" s="26"/>
      <c r="AO221" s="27"/>
      <c r="AP221" s="26"/>
      <c r="AQ221" s="27"/>
      <c r="AR221" s="26"/>
      <c r="AS221" s="27"/>
      <c r="AT221" s="26"/>
      <c r="AU221" s="27"/>
      <c r="AV221" s="26"/>
      <c r="AW221" s="27"/>
      <c r="AX221" s="26"/>
      <c r="AY221" s="27"/>
      <c r="AZ221" s="26"/>
      <c r="BA221" s="27"/>
      <c r="BB221" s="26"/>
      <c r="BC221" s="27"/>
      <c r="BD221" s="26"/>
      <c r="BE221" s="27"/>
      <c r="BF221" s="26"/>
      <c r="BG221" s="27"/>
      <c r="BH221" s="26"/>
      <c r="BI221" s="27"/>
      <c r="BJ221" s="26"/>
      <c r="BK221" s="27"/>
      <c r="BL221" s="26"/>
      <c r="BM221" s="27"/>
      <c r="BN221" s="22">
        <f>IF($A221="","",SUM(IF($D$5&lt;&gt;"",--(D221="Présent"),0),IF($F$5&lt;&gt;"",--(F221="Présent"),0),IF($H$5&lt;&gt;"",--(H221="Présent"),0),IF($J$5&lt;&gt;"",--(J221="Présent"),0),IF($L$5&lt;&gt;"",--(L221="Présent"),0),IF($N$5&lt;&gt;"",--(N221="Présent"),0),IF($P$5&lt;&gt;"",--(P221="Présent"),0),IF($R$5&lt;&gt;"",--(R221="Présent"),0),IF($T$5&lt;&gt;"",--(T221="Présent"),0),IF($V$5&lt;&gt;"",--(V221="Présent"),0),IF($X$5&lt;&gt;"",--(X221="Présent"),0),IF($Z$5&lt;&gt;"",--(Z221="Présent"),0),IF($AB$5&lt;&gt;"",--(AB221="Présent"),0),IF($AD$5&lt;&gt;"",--(AD221="Présent"),0),IF($AF$5&lt;&gt;"",--(AF221="Présent"),0),IF($AH$5&lt;&gt;"",--(AH221="Présent"),0),IF($AJ$5&lt;&gt;"",--(AJ221="Présent"),0),IF($AL$5&lt;&gt;"",--(AL221="Présent"),0),IF($AN$5&lt;&gt;"",--(AN221="Présent"),0),IF($AP$5&lt;&gt;"",--(AP221="Présent"),0),IF($AR$5&lt;&gt;"",--(AR221="Présent"),0),IF($AT$5&lt;&gt;"",--(AT221="Présent"),0),IF($AV$5&lt;&gt;"",--(AV221="Présent"),0),IF($AX$5&lt;&gt;"",--(AX221="Présent"),0),IF($AZ$5&lt;&gt;"",--(AZ221="Présent"),0),IF($BB$5&lt;&gt;"",--(BB221="Présent"),0),IF($BD$5&lt;&gt;"",--(BD221="Présent"),0),IF($BF$5&lt;&gt;"",--(BF221="Présent"),0),IF($BH$5&lt;&gt;"",--(BH221="Présent"),0),IF($BJ$5&lt;&gt;"",--(BJ221="Présent"),0),IF($BL$5&lt;&gt;"",--(BL221="Présent"),0)))</f>
      </c>
      <c r="BO221" s="22">
        <f>IF($A221="","",SUM(IF($D$5&lt;&gt;"",--(D221="Absent"),0),IF($F$5&lt;&gt;"",--(F221="Absent"),0),IF($H$5&lt;&gt;"",--(H221="Absent"),0),IF($J$5&lt;&gt;"",--(J221="Absent"),0),IF($L$5&lt;&gt;"",--(L221="Absent"),0),IF($N$5&lt;&gt;"",--(N221="Absent"),0),IF($P$5&lt;&gt;"",--(P221="Absent"),0),IF($R$5&lt;&gt;"",--(R221="Absent"),0),IF($T$5&lt;&gt;"",--(T221="Absent"),0),IF($V$5&lt;&gt;"",--(V221="Absent"),0),IF($X$5&lt;&gt;"",--(X221="Absent"),0),IF($Z$5&lt;&gt;"",--(Z221="Absent"),0),IF($AB$5&lt;&gt;"",--(AB221="Absent"),0),IF($AD$5&lt;&gt;"",--(AD221="Absent"),0),IF($AF$5&lt;&gt;"",--(AF221="Absent"),0),IF($AH$5&lt;&gt;"",--(AH221="Absent"),0),IF($AJ$5&lt;&gt;"",--(AJ221="Absent"),0),IF($AL$5&lt;&gt;"",--(AL221="Absent"),0),IF($AN$5&lt;&gt;"",--(AN221="Absent"),0),IF($AP$5&lt;&gt;"",--(AP221="Absent"),0),IF($AR$5&lt;&gt;"",--(AR221="Absent"),0),IF($AT$5&lt;&gt;"",--(AT221="Absent"),0),IF($AV$5&lt;&gt;"",--(AV221="Absent"),0),IF($AX$5&lt;&gt;"",--(AX221="Absent"),0),IF($AZ$5&lt;&gt;"",--(AZ221="Absent"),0),IF($BB$5&lt;&gt;"",--(BB221="Absent"),0),IF($BD$5&lt;&gt;"",--(BD221="Absent"),0),IF($BF$5&lt;&gt;"",--(BF221="Absent"),0),IF($BH$5&lt;&gt;"",--(BH221="Absent"),0),IF($BJ$5&lt;&gt;"",--(BJ221="Absent"),0),IF($BL$5&lt;&gt;"",--(BL221="Absent"),0)))</f>
      </c>
      <c r="BP221" s="22">
        <f>IF($A221="","",SUM(IF($D$5&lt;&gt;"",--(D221="Congé"),0),IF($F$5&lt;&gt;"",--(F221="Congé"),0),IF($H$5&lt;&gt;"",--(H221="Congé"),0),IF($J$5&lt;&gt;"",--(J221="Congé"),0),IF($L$5&lt;&gt;"",--(L221="Congé"),0),IF($N$5&lt;&gt;"",--(N221="Congé"),0),IF($P$5&lt;&gt;"",--(P221="Congé"),0),IF($R$5&lt;&gt;"",--(R221="Congé"),0),IF($T$5&lt;&gt;"",--(T221="Congé"),0),IF($V$5&lt;&gt;"",--(V221="Congé"),0),IF($X$5&lt;&gt;"",--(X221="Congé"),0),IF($Z$5&lt;&gt;"",--(Z221="Congé"),0),IF($AB$5&lt;&gt;"",--(AB221="Congé"),0),IF($AD$5&lt;&gt;"",--(AD221="Congé"),0),IF($AF$5&lt;&gt;"",--(AF221="Congé"),0),IF($AH$5&lt;&gt;"",--(AH221="Congé"),0),IF($AJ$5&lt;&gt;"",--(AJ221="Congé"),0),IF($AL$5&lt;&gt;"",--(AL221="Congé"),0),IF($AN$5&lt;&gt;"",--(AN221="Congé"),0),IF($AP$5&lt;&gt;"",--(AP221="Congé"),0),IF($AR$5&lt;&gt;"",--(AR221="Congé"),0),IF($AT$5&lt;&gt;"",--(AT221="Congé"),0),IF($AV$5&lt;&gt;"",--(AV221="Congé"),0),IF($AX$5&lt;&gt;"",--(AX221="Congé"),0),IF($AZ$5&lt;&gt;"",--(AZ221="Congé"),0),IF($BB$5&lt;&gt;"",--(BB221="Congé"),0),IF($BD$5&lt;&gt;"",--(BD221="Congé"),0),IF($BF$5&lt;&gt;"",--(BF221="Congé"),0),IF($BH$5&lt;&gt;"",--(BH221="Congé"),0),IF($BJ$5&lt;&gt;"",--(BJ221="Congé"),0),IF($BL$5&lt;&gt;"",--(BL221="Congé"),0)))</f>
      </c>
      <c r="BQ221" s="22">
        <f>IF($A221="","",SUM(IF($D$5&lt;&gt;"",--(D221="Maladie"),0),IF($F$5&lt;&gt;"",--(F221="Maladie"),0),IF($H$5&lt;&gt;"",--(H221="Maladie"),0),IF($J$5&lt;&gt;"",--(J221="Maladie"),0),IF($L$5&lt;&gt;"",--(L221="Maladie"),0),IF($N$5&lt;&gt;"",--(N221="Maladie"),0),IF($P$5&lt;&gt;"",--(P221="Maladie"),0),IF($R$5&lt;&gt;"",--(R221="Maladie"),0),IF($T$5&lt;&gt;"",--(T221="Maladie"),0),IF($V$5&lt;&gt;"",--(V221="Maladie"),0),IF($X$5&lt;&gt;"",--(X221="Maladie"),0),IF($Z$5&lt;&gt;"",--(Z221="Maladie"),0),IF($AB$5&lt;&gt;"",--(AB221="Maladie"),0),IF($AD$5&lt;&gt;"",--(AD221="Maladie"),0),IF($AF$5&lt;&gt;"",--(AF221="Maladie"),0),IF($AH$5&lt;&gt;"",--(AH221="Maladie"),0),IF($AJ$5&lt;&gt;"",--(AJ221="Maladie"),0),IF($AL$5&lt;&gt;"",--(AL221="Maladie"),0),IF($AN$5&lt;&gt;"",--(AN221="Maladie"),0),IF($AP$5&lt;&gt;"",--(AP221="Maladie"),0),IF($AR$5&lt;&gt;"",--(AR221="Maladie"),0),IF($AT$5&lt;&gt;"",--(AT221="Maladie"),0),IF($AV$5&lt;&gt;"",--(AV221="Maladie"),0),IF($AX$5&lt;&gt;"",--(AX221="Maladie"),0),IF($AZ$5&lt;&gt;"",--(AZ221="Maladie"),0),IF($BB$5&lt;&gt;"",--(BB221="Maladie"),0),IF($BD$5&lt;&gt;"",--(BD221="Maladie"),0),IF($BF$5&lt;&gt;"",--(BF221="Maladie"),0),IF($BH$5&lt;&gt;"",--(BH221="Maladie"),0),IF($BJ$5&lt;&gt;"",--(BJ221="Maladie"),0),IF($BL$5&lt;&gt;"",--(BL221="Maladie"),0)))</f>
      </c>
      <c r="BR221" s="23">
        <f>IF($A221="","",SUM(IF($D$5&lt;&gt;"",IF(D221="Présent",E221,0),0),IF($F$5&lt;&gt;"",IF(F221="Présent",G221,0),0),IF($H$5&lt;&gt;"",IF(H221="Présent",I221,0),0),IF($J$5&lt;&gt;"",IF(J221="Présent",K221,0),0),IF($L$5&lt;&gt;"",IF(L221="Présent",M221,0),0),IF($N$5&lt;&gt;"",IF(N221="Présent",O221,0),0),IF($P$5&lt;&gt;"",IF(P221="Présent",Q221,0),0),IF($R$5&lt;&gt;"",IF(R221="Présent",S221,0),0),IF($T$5&lt;&gt;"",IF(T221="Présent",U221,0),0),IF($V$5&lt;&gt;"",IF(V221="Présent",W221,0),0),IF($X$5&lt;&gt;"",IF(X221="Présent",Y221,0),0),IF($Z$5&lt;&gt;"",IF(Z221="Présent",AA221,0),0),IF($AB$5&lt;&gt;"",IF(AB221="Présent",AC221,0),0),IF($AD$5&lt;&gt;"",IF(AD221="Présent",AE221,0),0),IF($AF$5&lt;&gt;"",IF(AF221="Présent",AG221,0),0),IF($AH$5&lt;&gt;"",IF(AH221="Présent",AI221,0),0),IF($AJ$5&lt;&gt;"",IF(AJ221="Présent",AK221,0),0),IF($AL$5&lt;&gt;"",IF(AL221="Présent",AM221,0),0),IF($AN$5&lt;&gt;"",IF(AN221="Présent",AO221,0),0),IF($AP$5&lt;&gt;"",IF(AP221="Présent",AQ221,0),0),IF($AR$5&lt;&gt;"",IF(AR221="Présent",AS221,0),0),IF($AT$5&lt;&gt;"",IF(AT221="Présent",AU221,0),0),IF($AV$5&lt;&gt;"",IF(AV221="Présent",AW221,0),0),IF($AX$5&lt;&gt;"",IF(AX221="Présent",AY221,0),0),IF($AZ$5&lt;&gt;"",IF(AZ221="Présent",BA221,0),0),IF($BB$5&lt;&gt;"",IF(BB221="Présent",BC221,0),0),IF($BD$5&lt;&gt;"",IF(BD221="Présent",BE221,0),0),IF($BF$5&lt;&gt;"",IF(BF221="Présent",BG221,0),0),IF($BH$5&lt;&gt;"",IF(BH221="Présent",BI221,0),0),IF($BJ$5&lt;&gt;"",IF(BJ221="Présent",BK221,0),0),IF($BL$5&lt;&gt;"",IF(BL221="Présent",BM221,0),0)))</f>
      </c>
      <c r="BS221" s="25">
        <f>IF($A221="","",$BN221*IFERROR(INDEX(Categories_Salaire,MATCH($C221,ListeCategories,0)),0)+$BR221*IF(IFERROR(INDEX(Categories_TauxHS,MATCH($C221,ListeCategories,0)),0)&gt;0,IFERROR(INDEX(Categories_TauxHS,MATCH($C221,ListeCategories,0)),0),TauxHSDefaut))</f>
      </c>
    </row>
    <row r="222">
      <c r="A222" s="20">
        <f>IF(AND(INDEX(Employes_Nom,216)&lt;&gt;"",INDEX(Employes_Statut,216)="Actif",OR(INDEX(Employes_Embauche,216)="",INDEX(Employes_Embauche,216)&lt;=EOMONTH(DATE(AnneeCourante,MoisCourant,1),0))),INDEX(Employes_ID,216),"")</f>
      </c>
      <c r="B222" s="19">
        <f>IF($A222="","",INDEX(Employes_Nom,MATCH($A222,Employes_ID,0)))</f>
      </c>
      <c r="C222" s="20">
        <f>IF($A222="","",INDEX(Employes_Categorie,MATCH($A222,Employes_ID,0)))</f>
      </c>
      <c r="D222" s="26"/>
      <c r="E222" s="27"/>
      <c r="F222" s="26"/>
      <c r="G222" s="27"/>
      <c r="H222" s="26"/>
      <c r="I222" s="27"/>
      <c r="J222" s="26"/>
      <c r="K222" s="27"/>
      <c r="L222" s="26"/>
      <c r="M222" s="27"/>
      <c r="N222" s="26"/>
      <c r="O222" s="27"/>
      <c r="P222" s="26"/>
      <c r="Q222" s="27"/>
      <c r="R222" s="26"/>
      <c r="S222" s="27"/>
      <c r="T222" s="26"/>
      <c r="U222" s="27"/>
      <c r="V222" s="26"/>
      <c r="W222" s="27"/>
      <c r="X222" s="26"/>
      <c r="Y222" s="27"/>
      <c r="Z222" s="26"/>
      <c r="AA222" s="27"/>
      <c r="AB222" s="26"/>
      <c r="AC222" s="27"/>
      <c r="AD222" s="26"/>
      <c r="AE222" s="27"/>
      <c r="AF222" s="26"/>
      <c r="AG222" s="27"/>
      <c r="AH222" s="26"/>
      <c r="AI222" s="27"/>
      <c r="AJ222" s="26"/>
      <c r="AK222" s="27"/>
      <c r="AL222" s="26"/>
      <c r="AM222" s="27"/>
      <c r="AN222" s="26"/>
      <c r="AO222" s="27"/>
      <c r="AP222" s="26"/>
      <c r="AQ222" s="27"/>
      <c r="AR222" s="26"/>
      <c r="AS222" s="27"/>
      <c r="AT222" s="26"/>
      <c r="AU222" s="27"/>
      <c r="AV222" s="26"/>
      <c r="AW222" s="27"/>
      <c r="AX222" s="26"/>
      <c r="AY222" s="27"/>
      <c r="AZ222" s="26"/>
      <c r="BA222" s="27"/>
      <c r="BB222" s="26"/>
      <c r="BC222" s="27"/>
      <c r="BD222" s="26"/>
      <c r="BE222" s="27"/>
      <c r="BF222" s="26"/>
      <c r="BG222" s="27"/>
      <c r="BH222" s="26"/>
      <c r="BI222" s="27"/>
      <c r="BJ222" s="26"/>
      <c r="BK222" s="27"/>
      <c r="BL222" s="26"/>
      <c r="BM222" s="27"/>
      <c r="BN222" s="22">
        <f>IF($A222="","",SUM(IF($D$5&lt;&gt;"",--(D222="Présent"),0),IF($F$5&lt;&gt;"",--(F222="Présent"),0),IF($H$5&lt;&gt;"",--(H222="Présent"),0),IF($J$5&lt;&gt;"",--(J222="Présent"),0),IF($L$5&lt;&gt;"",--(L222="Présent"),0),IF($N$5&lt;&gt;"",--(N222="Présent"),0),IF($P$5&lt;&gt;"",--(P222="Présent"),0),IF($R$5&lt;&gt;"",--(R222="Présent"),0),IF($T$5&lt;&gt;"",--(T222="Présent"),0),IF($V$5&lt;&gt;"",--(V222="Présent"),0),IF($X$5&lt;&gt;"",--(X222="Présent"),0),IF($Z$5&lt;&gt;"",--(Z222="Présent"),0),IF($AB$5&lt;&gt;"",--(AB222="Présent"),0),IF($AD$5&lt;&gt;"",--(AD222="Présent"),0),IF($AF$5&lt;&gt;"",--(AF222="Présent"),0),IF($AH$5&lt;&gt;"",--(AH222="Présent"),0),IF($AJ$5&lt;&gt;"",--(AJ222="Présent"),0),IF($AL$5&lt;&gt;"",--(AL222="Présent"),0),IF($AN$5&lt;&gt;"",--(AN222="Présent"),0),IF($AP$5&lt;&gt;"",--(AP222="Présent"),0),IF($AR$5&lt;&gt;"",--(AR222="Présent"),0),IF($AT$5&lt;&gt;"",--(AT222="Présent"),0),IF($AV$5&lt;&gt;"",--(AV222="Présent"),0),IF($AX$5&lt;&gt;"",--(AX222="Présent"),0),IF($AZ$5&lt;&gt;"",--(AZ222="Présent"),0),IF($BB$5&lt;&gt;"",--(BB222="Présent"),0),IF($BD$5&lt;&gt;"",--(BD222="Présent"),0),IF($BF$5&lt;&gt;"",--(BF222="Présent"),0),IF($BH$5&lt;&gt;"",--(BH222="Présent"),0),IF($BJ$5&lt;&gt;"",--(BJ222="Présent"),0),IF($BL$5&lt;&gt;"",--(BL222="Présent"),0)))</f>
      </c>
      <c r="BO222" s="22">
        <f>IF($A222="","",SUM(IF($D$5&lt;&gt;"",--(D222="Absent"),0),IF($F$5&lt;&gt;"",--(F222="Absent"),0),IF($H$5&lt;&gt;"",--(H222="Absent"),0),IF($J$5&lt;&gt;"",--(J222="Absent"),0),IF($L$5&lt;&gt;"",--(L222="Absent"),0),IF($N$5&lt;&gt;"",--(N222="Absent"),0),IF($P$5&lt;&gt;"",--(P222="Absent"),0),IF($R$5&lt;&gt;"",--(R222="Absent"),0),IF($T$5&lt;&gt;"",--(T222="Absent"),0),IF($V$5&lt;&gt;"",--(V222="Absent"),0),IF($X$5&lt;&gt;"",--(X222="Absent"),0),IF($Z$5&lt;&gt;"",--(Z222="Absent"),0),IF($AB$5&lt;&gt;"",--(AB222="Absent"),0),IF($AD$5&lt;&gt;"",--(AD222="Absent"),0),IF($AF$5&lt;&gt;"",--(AF222="Absent"),0),IF($AH$5&lt;&gt;"",--(AH222="Absent"),0),IF($AJ$5&lt;&gt;"",--(AJ222="Absent"),0),IF($AL$5&lt;&gt;"",--(AL222="Absent"),0),IF($AN$5&lt;&gt;"",--(AN222="Absent"),0),IF($AP$5&lt;&gt;"",--(AP222="Absent"),0),IF($AR$5&lt;&gt;"",--(AR222="Absent"),0),IF($AT$5&lt;&gt;"",--(AT222="Absent"),0),IF($AV$5&lt;&gt;"",--(AV222="Absent"),0),IF($AX$5&lt;&gt;"",--(AX222="Absent"),0),IF($AZ$5&lt;&gt;"",--(AZ222="Absent"),0),IF($BB$5&lt;&gt;"",--(BB222="Absent"),0),IF($BD$5&lt;&gt;"",--(BD222="Absent"),0),IF($BF$5&lt;&gt;"",--(BF222="Absent"),0),IF($BH$5&lt;&gt;"",--(BH222="Absent"),0),IF($BJ$5&lt;&gt;"",--(BJ222="Absent"),0),IF($BL$5&lt;&gt;"",--(BL222="Absent"),0)))</f>
      </c>
      <c r="BP222" s="22">
        <f>IF($A222="","",SUM(IF($D$5&lt;&gt;"",--(D222="Congé"),0),IF($F$5&lt;&gt;"",--(F222="Congé"),0),IF($H$5&lt;&gt;"",--(H222="Congé"),0),IF($J$5&lt;&gt;"",--(J222="Congé"),0),IF($L$5&lt;&gt;"",--(L222="Congé"),0),IF($N$5&lt;&gt;"",--(N222="Congé"),0),IF($P$5&lt;&gt;"",--(P222="Congé"),0),IF($R$5&lt;&gt;"",--(R222="Congé"),0),IF($T$5&lt;&gt;"",--(T222="Congé"),0),IF($V$5&lt;&gt;"",--(V222="Congé"),0),IF($X$5&lt;&gt;"",--(X222="Congé"),0),IF($Z$5&lt;&gt;"",--(Z222="Congé"),0),IF($AB$5&lt;&gt;"",--(AB222="Congé"),0),IF($AD$5&lt;&gt;"",--(AD222="Congé"),0),IF($AF$5&lt;&gt;"",--(AF222="Congé"),0),IF($AH$5&lt;&gt;"",--(AH222="Congé"),0),IF($AJ$5&lt;&gt;"",--(AJ222="Congé"),0),IF($AL$5&lt;&gt;"",--(AL222="Congé"),0),IF($AN$5&lt;&gt;"",--(AN222="Congé"),0),IF($AP$5&lt;&gt;"",--(AP222="Congé"),0),IF($AR$5&lt;&gt;"",--(AR222="Congé"),0),IF($AT$5&lt;&gt;"",--(AT222="Congé"),0),IF($AV$5&lt;&gt;"",--(AV222="Congé"),0),IF($AX$5&lt;&gt;"",--(AX222="Congé"),0),IF($AZ$5&lt;&gt;"",--(AZ222="Congé"),0),IF($BB$5&lt;&gt;"",--(BB222="Congé"),0),IF($BD$5&lt;&gt;"",--(BD222="Congé"),0),IF($BF$5&lt;&gt;"",--(BF222="Congé"),0),IF($BH$5&lt;&gt;"",--(BH222="Congé"),0),IF($BJ$5&lt;&gt;"",--(BJ222="Congé"),0),IF($BL$5&lt;&gt;"",--(BL222="Congé"),0)))</f>
      </c>
      <c r="BQ222" s="22">
        <f>IF($A222="","",SUM(IF($D$5&lt;&gt;"",--(D222="Maladie"),0),IF($F$5&lt;&gt;"",--(F222="Maladie"),0),IF($H$5&lt;&gt;"",--(H222="Maladie"),0),IF($J$5&lt;&gt;"",--(J222="Maladie"),0),IF($L$5&lt;&gt;"",--(L222="Maladie"),0),IF($N$5&lt;&gt;"",--(N222="Maladie"),0),IF($P$5&lt;&gt;"",--(P222="Maladie"),0),IF($R$5&lt;&gt;"",--(R222="Maladie"),0),IF($T$5&lt;&gt;"",--(T222="Maladie"),0),IF($V$5&lt;&gt;"",--(V222="Maladie"),0),IF($X$5&lt;&gt;"",--(X222="Maladie"),0),IF($Z$5&lt;&gt;"",--(Z222="Maladie"),0),IF($AB$5&lt;&gt;"",--(AB222="Maladie"),0),IF($AD$5&lt;&gt;"",--(AD222="Maladie"),0),IF($AF$5&lt;&gt;"",--(AF222="Maladie"),0),IF($AH$5&lt;&gt;"",--(AH222="Maladie"),0),IF($AJ$5&lt;&gt;"",--(AJ222="Maladie"),0),IF($AL$5&lt;&gt;"",--(AL222="Maladie"),0),IF($AN$5&lt;&gt;"",--(AN222="Maladie"),0),IF($AP$5&lt;&gt;"",--(AP222="Maladie"),0),IF($AR$5&lt;&gt;"",--(AR222="Maladie"),0),IF($AT$5&lt;&gt;"",--(AT222="Maladie"),0),IF($AV$5&lt;&gt;"",--(AV222="Maladie"),0),IF($AX$5&lt;&gt;"",--(AX222="Maladie"),0),IF($AZ$5&lt;&gt;"",--(AZ222="Maladie"),0),IF($BB$5&lt;&gt;"",--(BB222="Maladie"),0),IF($BD$5&lt;&gt;"",--(BD222="Maladie"),0),IF($BF$5&lt;&gt;"",--(BF222="Maladie"),0),IF($BH$5&lt;&gt;"",--(BH222="Maladie"),0),IF($BJ$5&lt;&gt;"",--(BJ222="Maladie"),0),IF($BL$5&lt;&gt;"",--(BL222="Maladie"),0)))</f>
      </c>
      <c r="BR222" s="23">
        <f>IF($A222="","",SUM(IF($D$5&lt;&gt;"",IF(D222="Présent",E222,0),0),IF($F$5&lt;&gt;"",IF(F222="Présent",G222,0),0),IF($H$5&lt;&gt;"",IF(H222="Présent",I222,0),0),IF($J$5&lt;&gt;"",IF(J222="Présent",K222,0),0),IF($L$5&lt;&gt;"",IF(L222="Présent",M222,0),0),IF($N$5&lt;&gt;"",IF(N222="Présent",O222,0),0),IF($P$5&lt;&gt;"",IF(P222="Présent",Q222,0),0),IF($R$5&lt;&gt;"",IF(R222="Présent",S222,0),0),IF($T$5&lt;&gt;"",IF(T222="Présent",U222,0),0),IF($V$5&lt;&gt;"",IF(V222="Présent",W222,0),0),IF($X$5&lt;&gt;"",IF(X222="Présent",Y222,0),0),IF($Z$5&lt;&gt;"",IF(Z222="Présent",AA222,0),0),IF($AB$5&lt;&gt;"",IF(AB222="Présent",AC222,0),0),IF($AD$5&lt;&gt;"",IF(AD222="Présent",AE222,0),0),IF($AF$5&lt;&gt;"",IF(AF222="Présent",AG222,0),0),IF($AH$5&lt;&gt;"",IF(AH222="Présent",AI222,0),0),IF($AJ$5&lt;&gt;"",IF(AJ222="Présent",AK222,0),0),IF($AL$5&lt;&gt;"",IF(AL222="Présent",AM222,0),0),IF($AN$5&lt;&gt;"",IF(AN222="Présent",AO222,0),0),IF($AP$5&lt;&gt;"",IF(AP222="Présent",AQ222,0),0),IF($AR$5&lt;&gt;"",IF(AR222="Présent",AS222,0),0),IF($AT$5&lt;&gt;"",IF(AT222="Présent",AU222,0),0),IF($AV$5&lt;&gt;"",IF(AV222="Présent",AW222,0),0),IF($AX$5&lt;&gt;"",IF(AX222="Présent",AY222,0),0),IF($AZ$5&lt;&gt;"",IF(AZ222="Présent",BA222,0),0),IF($BB$5&lt;&gt;"",IF(BB222="Présent",BC222,0),0),IF($BD$5&lt;&gt;"",IF(BD222="Présent",BE222,0),0),IF($BF$5&lt;&gt;"",IF(BF222="Présent",BG222,0),0),IF($BH$5&lt;&gt;"",IF(BH222="Présent",BI222,0),0),IF($BJ$5&lt;&gt;"",IF(BJ222="Présent",BK222,0),0),IF($BL$5&lt;&gt;"",IF(BL222="Présent",BM222,0),0)))</f>
      </c>
      <c r="BS222" s="25">
        <f>IF($A222="","",$BN222*IFERROR(INDEX(Categories_Salaire,MATCH($C222,ListeCategories,0)),0)+$BR222*IF(IFERROR(INDEX(Categories_TauxHS,MATCH($C222,ListeCategories,0)),0)&gt;0,IFERROR(INDEX(Categories_TauxHS,MATCH($C222,ListeCategories,0)),0),TauxHSDefaut))</f>
      </c>
    </row>
    <row r="223">
      <c r="A223" s="20">
        <f>IF(AND(INDEX(Employes_Nom,217)&lt;&gt;"",INDEX(Employes_Statut,217)="Actif",OR(INDEX(Employes_Embauche,217)="",INDEX(Employes_Embauche,217)&lt;=EOMONTH(DATE(AnneeCourante,MoisCourant,1),0))),INDEX(Employes_ID,217),"")</f>
      </c>
      <c r="B223" s="19">
        <f>IF($A223="","",INDEX(Employes_Nom,MATCH($A223,Employes_ID,0)))</f>
      </c>
      <c r="C223" s="20">
        <f>IF($A223="","",INDEX(Employes_Categorie,MATCH($A223,Employes_ID,0)))</f>
      </c>
      <c r="D223" s="26"/>
      <c r="E223" s="27"/>
      <c r="F223" s="26"/>
      <c r="G223" s="27"/>
      <c r="H223" s="26"/>
      <c r="I223" s="27"/>
      <c r="J223" s="26"/>
      <c r="K223" s="27"/>
      <c r="L223" s="26"/>
      <c r="M223" s="27"/>
      <c r="N223" s="26"/>
      <c r="O223" s="27"/>
      <c r="P223" s="26"/>
      <c r="Q223" s="27"/>
      <c r="R223" s="26"/>
      <c r="S223" s="27"/>
      <c r="T223" s="26"/>
      <c r="U223" s="27"/>
      <c r="V223" s="26"/>
      <c r="W223" s="27"/>
      <c r="X223" s="26"/>
      <c r="Y223" s="27"/>
      <c r="Z223" s="26"/>
      <c r="AA223" s="27"/>
      <c r="AB223" s="26"/>
      <c r="AC223" s="27"/>
      <c r="AD223" s="26"/>
      <c r="AE223" s="27"/>
      <c r="AF223" s="26"/>
      <c r="AG223" s="27"/>
      <c r="AH223" s="26"/>
      <c r="AI223" s="27"/>
      <c r="AJ223" s="26"/>
      <c r="AK223" s="27"/>
      <c r="AL223" s="26"/>
      <c r="AM223" s="27"/>
      <c r="AN223" s="26"/>
      <c r="AO223" s="27"/>
      <c r="AP223" s="26"/>
      <c r="AQ223" s="27"/>
      <c r="AR223" s="26"/>
      <c r="AS223" s="27"/>
      <c r="AT223" s="26"/>
      <c r="AU223" s="27"/>
      <c r="AV223" s="26"/>
      <c r="AW223" s="27"/>
      <c r="AX223" s="26"/>
      <c r="AY223" s="27"/>
      <c r="AZ223" s="26"/>
      <c r="BA223" s="27"/>
      <c r="BB223" s="26"/>
      <c r="BC223" s="27"/>
      <c r="BD223" s="26"/>
      <c r="BE223" s="27"/>
      <c r="BF223" s="26"/>
      <c r="BG223" s="27"/>
      <c r="BH223" s="26"/>
      <c r="BI223" s="27"/>
      <c r="BJ223" s="26"/>
      <c r="BK223" s="27"/>
      <c r="BL223" s="26"/>
      <c r="BM223" s="27"/>
      <c r="BN223" s="22">
        <f>IF($A223="","",SUM(IF($D$5&lt;&gt;"",--(D223="Présent"),0),IF($F$5&lt;&gt;"",--(F223="Présent"),0),IF($H$5&lt;&gt;"",--(H223="Présent"),0),IF($J$5&lt;&gt;"",--(J223="Présent"),0),IF($L$5&lt;&gt;"",--(L223="Présent"),0),IF($N$5&lt;&gt;"",--(N223="Présent"),0),IF($P$5&lt;&gt;"",--(P223="Présent"),0),IF($R$5&lt;&gt;"",--(R223="Présent"),0),IF($T$5&lt;&gt;"",--(T223="Présent"),0),IF($V$5&lt;&gt;"",--(V223="Présent"),0),IF($X$5&lt;&gt;"",--(X223="Présent"),0),IF($Z$5&lt;&gt;"",--(Z223="Présent"),0),IF($AB$5&lt;&gt;"",--(AB223="Présent"),0),IF($AD$5&lt;&gt;"",--(AD223="Présent"),0),IF($AF$5&lt;&gt;"",--(AF223="Présent"),0),IF($AH$5&lt;&gt;"",--(AH223="Présent"),0),IF($AJ$5&lt;&gt;"",--(AJ223="Présent"),0),IF($AL$5&lt;&gt;"",--(AL223="Présent"),0),IF($AN$5&lt;&gt;"",--(AN223="Présent"),0),IF($AP$5&lt;&gt;"",--(AP223="Présent"),0),IF($AR$5&lt;&gt;"",--(AR223="Présent"),0),IF($AT$5&lt;&gt;"",--(AT223="Présent"),0),IF($AV$5&lt;&gt;"",--(AV223="Présent"),0),IF($AX$5&lt;&gt;"",--(AX223="Présent"),0),IF($AZ$5&lt;&gt;"",--(AZ223="Présent"),0),IF($BB$5&lt;&gt;"",--(BB223="Présent"),0),IF($BD$5&lt;&gt;"",--(BD223="Présent"),0),IF($BF$5&lt;&gt;"",--(BF223="Présent"),0),IF($BH$5&lt;&gt;"",--(BH223="Présent"),0),IF($BJ$5&lt;&gt;"",--(BJ223="Présent"),0),IF($BL$5&lt;&gt;"",--(BL223="Présent"),0)))</f>
      </c>
      <c r="BO223" s="22">
        <f>IF($A223="","",SUM(IF($D$5&lt;&gt;"",--(D223="Absent"),0),IF($F$5&lt;&gt;"",--(F223="Absent"),0),IF($H$5&lt;&gt;"",--(H223="Absent"),0),IF($J$5&lt;&gt;"",--(J223="Absent"),0),IF($L$5&lt;&gt;"",--(L223="Absent"),0),IF($N$5&lt;&gt;"",--(N223="Absent"),0),IF($P$5&lt;&gt;"",--(P223="Absent"),0),IF($R$5&lt;&gt;"",--(R223="Absent"),0),IF($T$5&lt;&gt;"",--(T223="Absent"),0),IF($V$5&lt;&gt;"",--(V223="Absent"),0),IF($X$5&lt;&gt;"",--(X223="Absent"),0),IF($Z$5&lt;&gt;"",--(Z223="Absent"),0),IF($AB$5&lt;&gt;"",--(AB223="Absent"),0),IF($AD$5&lt;&gt;"",--(AD223="Absent"),0),IF($AF$5&lt;&gt;"",--(AF223="Absent"),0),IF($AH$5&lt;&gt;"",--(AH223="Absent"),0),IF($AJ$5&lt;&gt;"",--(AJ223="Absent"),0),IF($AL$5&lt;&gt;"",--(AL223="Absent"),0),IF($AN$5&lt;&gt;"",--(AN223="Absent"),0),IF($AP$5&lt;&gt;"",--(AP223="Absent"),0),IF($AR$5&lt;&gt;"",--(AR223="Absent"),0),IF($AT$5&lt;&gt;"",--(AT223="Absent"),0),IF($AV$5&lt;&gt;"",--(AV223="Absent"),0),IF($AX$5&lt;&gt;"",--(AX223="Absent"),0),IF($AZ$5&lt;&gt;"",--(AZ223="Absent"),0),IF($BB$5&lt;&gt;"",--(BB223="Absent"),0),IF($BD$5&lt;&gt;"",--(BD223="Absent"),0),IF($BF$5&lt;&gt;"",--(BF223="Absent"),0),IF($BH$5&lt;&gt;"",--(BH223="Absent"),0),IF($BJ$5&lt;&gt;"",--(BJ223="Absent"),0),IF($BL$5&lt;&gt;"",--(BL223="Absent"),0)))</f>
      </c>
      <c r="BP223" s="22">
        <f>IF($A223="","",SUM(IF($D$5&lt;&gt;"",--(D223="Congé"),0),IF($F$5&lt;&gt;"",--(F223="Congé"),0),IF($H$5&lt;&gt;"",--(H223="Congé"),0),IF($J$5&lt;&gt;"",--(J223="Congé"),0),IF($L$5&lt;&gt;"",--(L223="Congé"),0),IF($N$5&lt;&gt;"",--(N223="Congé"),0),IF($P$5&lt;&gt;"",--(P223="Congé"),0),IF($R$5&lt;&gt;"",--(R223="Congé"),0),IF($T$5&lt;&gt;"",--(T223="Congé"),0),IF($V$5&lt;&gt;"",--(V223="Congé"),0),IF($X$5&lt;&gt;"",--(X223="Congé"),0),IF($Z$5&lt;&gt;"",--(Z223="Congé"),0),IF($AB$5&lt;&gt;"",--(AB223="Congé"),0),IF($AD$5&lt;&gt;"",--(AD223="Congé"),0),IF($AF$5&lt;&gt;"",--(AF223="Congé"),0),IF($AH$5&lt;&gt;"",--(AH223="Congé"),0),IF($AJ$5&lt;&gt;"",--(AJ223="Congé"),0),IF($AL$5&lt;&gt;"",--(AL223="Congé"),0),IF($AN$5&lt;&gt;"",--(AN223="Congé"),0),IF($AP$5&lt;&gt;"",--(AP223="Congé"),0),IF($AR$5&lt;&gt;"",--(AR223="Congé"),0),IF($AT$5&lt;&gt;"",--(AT223="Congé"),0),IF($AV$5&lt;&gt;"",--(AV223="Congé"),0),IF($AX$5&lt;&gt;"",--(AX223="Congé"),0),IF($AZ$5&lt;&gt;"",--(AZ223="Congé"),0),IF($BB$5&lt;&gt;"",--(BB223="Congé"),0),IF($BD$5&lt;&gt;"",--(BD223="Congé"),0),IF($BF$5&lt;&gt;"",--(BF223="Congé"),0),IF($BH$5&lt;&gt;"",--(BH223="Congé"),0),IF($BJ$5&lt;&gt;"",--(BJ223="Congé"),0),IF($BL$5&lt;&gt;"",--(BL223="Congé"),0)))</f>
      </c>
      <c r="BQ223" s="22">
        <f>IF($A223="","",SUM(IF($D$5&lt;&gt;"",--(D223="Maladie"),0),IF($F$5&lt;&gt;"",--(F223="Maladie"),0),IF($H$5&lt;&gt;"",--(H223="Maladie"),0),IF($J$5&lt;&gt;"",--(J223="Maladie"),0),IF($L$5&lt;&gt;"",--(L223="Maladie"),0),IF($N$5&lt;&gt;"",--(N223="Maladie"),0),IF($P$5&lt;&gt;"",--(P223="Maladie"),0),IF($R$5&lt;&gt;"",--(R223="Maladie"),0),IF($T$5&lt;&gt;"",--(T223="Maladie"),0),IF($V$5&lt;&gt;"",--(V223="Maladie"),0),IF($X$5&lt;&gt;"",--(X223="Maladie"),0),IF($Z$5&lt;&gt;"",--(Z223="Maladie"),0),IF($AB$5&lt;&gt;"",--(AB223="Maladie"),0),IF($AD$5&lt;&gt;"",--(AD223="Maladie"),0),IF($AF$5&lt;&gt;"",--(AF223="Maladie"),0),IF($AH$5&lt;&gt;"",--(AH223="Maladie"),0),IF($AJ$5&lt;&gt;"",--(AJ223="Maladie"),0),IF($AL$5&lt;&gt;"",--(AL223="Maladie"),0),IF($AN$5&lt;&gt;"",--(AN223="Maladie"),0),IF($AP$5&lt;&gt;"",--(AP223="Maladie"),0),IF($AR$5&lt;&gt;"",--(AR223="Maladie"),0),IF($AT$5&lt;&gt;"",--(AT223="Maladie"),0),IF($AV$5&lt;&gt;"",--(AV223="Maladie"),0),IF($AX$5&lt;&gt;"",--(AX223="Maladie"),0),IF($AZ$5&lt;&gt;"",--(AZ223="Maladie"),0),IF($BB$5&lt;&gt;"",--(BB223="Maladie"),0),IF($BD$5&lt;&gt;"",--(BD223="Maladie"),0),IF($BF$5&lt;&gt;"",--(BF223="Maladie"),0),IF($BH$5&lt;&gt;"",--(BH223="Maladie"),0),IF($BJ$5&lt;&gt;"",--(BJ223="Maladie"),0),IF($BL$5&lt;&gt;"",--(BL223="Maladie"),0)))</f>
      </c>
      <c r="BR223" s="23">
        <f>IF($A223="","",SUM(IF($D$5&lt;&gt;"",IF(D223="Présent",E223,0),0),IF($F$5&lt;&gt;"",IF(F223="Présent",G223,0),0),IF($H$5&lt;&gt;"",IF(H223="Présent",I223,0),0),IF($J$5&lt;&gt;"",IF(J223="Présent",K223,0),0),IF($L$5&lt;&gt;"",IF(L223="Présent",M223,0),0),IF($N$5&lt;&gt;"",IF(N223="Présent",O223,0),0),IF($P$5&lt;&gt;"",IF(P223="Présent",Q223,0),0),IF($R$5&lt;&gt;"",IF(R223="Présent",S223,0),0),IF($T$5&lt;&gt;"",IF(T223="Présent",U223,0),0),IF($V$5&lt;&gt;"",IF(V223="Présent",W223,0),0),IF($X$5&lt;&gt;"",IF(X223="Présent",Y223,0),0),IF($Z$5&lt;&gt;"",IF(Z223="Présent",AA223,0),0),IF($AB$5&lt;&gt;"",IF(AB223="Présent",AC223,0),0),IF($AD$5&lt;&gt;"",IF(AD223="Présent",AE223,0),0),IF($AF$5&lt;&gt;"",IF(AF223="Présent",AG223,0),0),IF($AH$5&lt;&gt;"",IF(AH223="Présent",AI223,0),0),IF($AJ$5&lt;&gt;"",IF(AJ223="Présent",AK223,0),0),IF($AL$5&lt;&gt;"",IF(AL223="Présent",AM223,0),0),IF($AN$5&lt;&gt;"",IF(AN223="Présent",AO223,0),0),IF($AP$5&lt;&gt;"",IF(AP223="Présent",AQ223,0),0),IF($AR$5&lt;&gt;"",IF(AR223="Présent",AS223,0),0),IF($AT$5&lt;&gt;"",IF(AT223="Présent",AU223,0),0),IF($AV$5&lt;&gt;"",IF(AV223="Présent",AW223,0),0),IF($AX$5&lt;&gt;"",IF(AX223="Présent",AY223,0),0),IF($AZ$5&lt;&gt;"",IF(AZ223="Présent",BA223,0),0),IF($BB$5&lt;&gt;"",IF(BB223="Présent",BC223,0),0),IF($BD$5&lt;&gt;"",IF(BD223="Présent",BE223,0),0),IF($BF$5&lt;&gt;"",IF(BF223="Présent",BG223,0),0),IF($BH$5&lt;&gt;"",IF(BH223="Présent",BI223,0),0),IF($BJ$5&lt;&gt;"",IF(BJ223="Présent",BK223,0),0),IF($BL$5&lt;&gt;"",IF(BL223="Présent",BM223,0),0)))</f>
      </c>
      <c r="BS223" s="25">
        <f>IF($A223="","",$BN223*IFERROR(INDEX(Categories_Salaire,MATCH($C223,ListeCategories,0)),0)+$BR223*IF(IFERROR(INDEX(Categories_TauxHS,MATCH($C223,ListeCategories,0)),0)&gt;0,IFERROR(INDEX(Categories_TauxHS,MATCH($C223,ListeCategories,0)),0),TauxHSDefaut))</f>
      </c>
    </row>
    <row r="224">
      <c r="A224" s="20">
        <f>IF(AND(INDEX(Employes_Nom,218)&lt;&gt;"",INDEX(Employes_Statut,218)="Actif",OR(INDEX(Employes_Embauche,218)="",INDEX(Employes_Embauche,218)&lt;=EOMONTH(DATE(AnneeCourante,MoisCourant,1),0))),INDEX(Employes_ID,218),"")</f>
      </c>
      <c r="B224" s="19">
        <f>IF($A224="","",INDEX(Employes_Nom,MATCH($A224,Employes_ID,0)))</f>
      </c>
      <c r="C224" s="20">
        <f>IF($A224="","",INDEX(Employes_Categorie,MATCH($A224,Employes_ID,0)))</f>
      </c>
      <c r="D224" s="26"/>
      <c r="E224" s="27"/>
      <c r="F224" s="26"/>
      <c r="G224" s="27"/>
      <c r="H224" s="26"/>
      <c r="I224" s="27"/>
      <c r="J224" s="26"/>
      <c r="K224" s="27"/>
      <c r="L224" s="26"/>
      <c r="M224" s="27"/>
      <c r="N224" s="26"/>
      <c r="O224" s="27"/>
      <c r="P224" s="26"/>
      <c r="Q224" s="27"/>
      <c r="R224" s="26"/>
      <c r="S224" s="27"/>
      <c r="T224" s="26"/>
      <c r="U224" s="27"/>
      <c r="V224" s="26"/>
      <c r="W224" s="27"/>
      <c r="X224" s="26"/>
      <c r="Y224" s="27"/>
      <c r="Z224" s="26"/>
      <c r="AA224" s="27"/>
      <c r="AB224" s="26"/>
      <c r="AC224" s="27"/>
      <c r="AD224" s="26"/>
      <c r="AE224" s="27"/>
      <c r="AF224" s="26"/>
      <c r="AG224" s="27"/>
      <c r="AH224" s="26"/>
      <c r="AI224" s="27"/>
      <c r="AJ224" s="26"/>
      <c r="AK224" s="27"/>
      <c r="AL224" s="26"/>
      <c r="AM224" s="27"/>
      <c r="AN224" s="26"/>
      <c r="AO224" s="27"/>
      <c r="AP224" s="26"/>
      <c r="AQ224" s="27"/>
      <c r="AR224" s="26"/>
      <c r="AS224" s="27"/>
      <c r="AT224" s="26"/>
      <c r="AU224" s="27"/>
      <c r="AV224" s="26"/>
      <c r="AW224" s="27"/>
      <c r="AX224" s="26"/>
      <c r="AY224" s="27"/>
      <c r="AZ224" s="26"/>
      <c r="BA224" s="27"/>
      <c r="BB224" s="26"/>
      <c r="BC224" s="27"/>
      <c r="BD224" s="26"/>
      <c r="BE224" s="27"/>
      <c r="BF224" s="26"/>
      <c r="BG224" s="27"/>
      <c r="BH224" s="26"/>
      <c r="BI224" s="27"/>
      <c r="BJ224" s="26"/>
      <c r="BK224" s="27"/>
      <c r="BL224" s="26"/>
      <c r="BM224" s="27"/>
      <c r="BN224" s="22">
        <f>IF($A224="","",SUM(IF($D$5&lt;&gt;"",--(D224="Présent"),0),IF($F$5&lt;&gt;"",--(F224="Présent"),0),IF($H$5&lt;&gt;"",--(H224="Présent"),0),IF($J$5&lt;&gt;"",--(J224="Présent"),0),IF($L$5&lt;&gt;"",--(L224="Présent"),0),IF($N$5&lt;&gt;"",--(N224="Présent"),0),IF($P$5&lt;&gt;"",--(P224="Présent"),0),IF($R$5&lt;&gt;"",--(R224="Présent"),0),IF($T$5&lt;&gt;"",--(T224="Présent"),0),IF($V$5&lt;&gt;"",--(V224="Présent"),0),IF($X$5&lt;&gt;"",--(X224="Présent"),0),IF($Z$5&lt;&gt;"",--(Z224="Présent"),0),IF($AB$5&lt;&gt;"",--(AB224="Présent"),0),IF($AD$5&lt;&gt;"",--(AD224="Présent"),0),IF($AF$5&lt;&gt;"",--(AF224="Présent"),0),IF($AH$5&lt;&gt;"",--(AH224="Présent"),0),IF($AJ$5&lt;&gt;"",--(AJ224="Présent"),0),IF($AL$5&lt;&gt;"",--(AL224="Présent"),0),IF($AN$5&lt;&gt;"",--(AN224="Présent"),0),IF($AP$5&lt;&gt;"",--(AP224="Présent"),0),IF($AR$5&lt;&gt;"",--(AR224="Présent"),0),IF($AT$5&lt;&gt;"",--(AT224="Présent"),0),IF($AV$5&lt;&gt;"",--(AV224="Présent"),0),IF($AX$5&lt;&gt;"",--(AX224="Présent"),0),IF($AZ$5&lt;&gt;"",--(AZ224="Présent"),0),IF($BB$5&lt;&gt;"",--(BB224="Présent"),0),IF($BD$5&lt;&gt;"",--(BD224="Présent"),0),IF($BF$5&lt;&gt;"",--(BF224="Présent"),0),IF($BH$5&lt;&gt;"",--(BH224="Présent"),0),IF($BJ$5&lt;&gt;"",--(BJ224="Présent"),0),IF($BL$5&lt;&gt;"",--(BL224="Présent"),0)))</f>
      </c>
      <c r="BO224" s="22">
        <f>IF($A224="","",SUM(IF($D$5&lt;&gt;"",--(D224="Absent"),0),IF($F$5&lt;&gt;"",--(F224="Absent"),0),IF($H$5&lt;&gt;"",--(H224="Absent"),0),IF($J$5&lt;&gt;"",--(J224="Absent"),0),IF($L$5&lt;&gt;"",--(L224="Absent"),0),IF($N$5&lt;&gt;"",--(N224="Absent"),0),IF($P$5&lt;&gt;"",--(P224="Absent"),0),IF($R$5&lt;&gt;"",--(R224="Absent"),0),IF($T$5&lt;&gt;"",--(T224="Absent"),0),IF($V$5&lt;&gt;"",--(V224="Absent"),0),IF($X$5&lt;&gt;"",--(X224="Absent"),0),IF($Z$5&lt;&gt;"",--(Z224="Absent"),0),IF($AB$5&lt;&gt;"",--(AB224="Absent"),0),IF($AD$5&lt;&gt;"",--(AD224="Absent"),0),IF($AF$5&lt;&gt;"",--(AF224="Absent"),0),IF($AH$5&lt;&gt;"",--(AH224="Absent"),0),IF($AJ$5&lt;&gt;"",--(AJ224="Absent"),0),IF($AL$5&lt;&gt;"",--(AL224="Absent"),0),IF($AN$5&lt;&gt;"",--(AN224="Absent"),0),IF($AP$5&lt;&gt;"",--(AP224="Absent"),0),IF($AR$5&lt;&gt;"",--(AR224="Absent"),0),IF($AT$5&lt;&gt;"",--(AT224="Absent"),0),IF($AV$5&lt;&gt;"",--(AV224="Absent"),0),IF($AX$5&lt;&gt;"",--(AX224="Absent"),0),IF($AZ$5&lt;&gt;"",--(AZ224="Absent"),0),IF($BB$5&lt;&gt;"",--(BB224="Absent"),0),IF($BD$5&lt;&gt;"",--(BD224="Absent"),0),IF($BF$5&lt;&gt;"",--(BF224="Absent"),0),IF($BH$5&lt;&gt;"",--(BH224="Absent"),0),IF($BJ$5&lt;&gt;"",--(BJ224="Absent"),0),IF($BL$5&lt;&gt;"",--(BL224="Absent"),0)))</f>
      </c>
      <c r="BP224" s="22">
        <f>IF($A224="","",SUM(IF($D$5&lt;&gt;"",--(D224="Congé"),0),IF($F$5&lt;&gt;"",--(F224="Congé"),0),IF($H$5&lt;&gt;"",--(H224="Congé"),0),IF($J$5&lt;&gt;"",--(J224="Congé"),0),IF($L$5&lt;&gt;"",--(L224="Congé"),0),IF($N$5&lt;&gt;"",--(N224="Congé"),0),IF($P$5&lt;&gt;"",--(P224="Congé"),0),IF($R$5&lt;&gt;"",--(R224="Congé"),0),IF($T$5&lt;&gt;"",--(T224="Congé"),0),IF($V$5&lt;&gt;"",--(V224="Congé"),0),IF($X$5&lt;&gt;"",--(X224="Congé"),0),IF($Z$5&lt;&gt;"",--(Z224="Congé"),0),IF($AB$5&lt;&gt;"",--(AB224="Congé"),0),IF($AD$5&lt;&gt;"",--(AD224="Congé"),0),IF($AF$5&lt;&gt;"",--(AF224="Congé"),0),IF($AH$5&lt;&gt;"",--(AH224="Congé"),0),IF($AJ$5&lt;&gt;"",--(AJ224="Congé"),0),IF($AL$5&lt;&gt;"",--(AL224="Congé"),0),IF($AN$5&lt;&gt;"",--(AN224="Congé"),0),IF($AP$5&lt;&gt;"",--(AP224="Congé"),0),IF($AR$5&lt;&gt;"",--(AR224="Congé"),0),IF($AT$5&lt;&gt;"",--(AT224="Congé"),0),IF($AV$5&lt;&gt;"",--(AV224="Congé"),0),IF($AX$5&lt;&gt;"",--(AX224="Congé"),0),IF($AZ$5&lt;&gt;"",--(AZ224="Congé"),0),IF($BB$5&lt;&gt;"",--(BB224="Congé"),0),IF($BD$5&lt;&gt;"",--(BD224="Congé"),0),IF($BF$5&lt;&gt;"",--(BF224="Congé"),0),IF($BH$5&lt;&gt;"",--(BH224="Congé"),0),IF($BJ$5&lt;&gt;"",--(BJ224="Congé"),0),IF($BL$5&lt;&gt;"",--(BL224="Congé"),0)))</f>
      </c>
      <c r="BQ224" s="22">
        <f>IF($A224="","",SUM(IF($D$5&lt;&gt;"",--(D224="Maladie"),0),IF($F$5&lt;&gt;"",--(F224="Maladie"),0),IF($H$5&lt;&gt;"",--(H224="Maladie"),0),IF($J$5&lt;&gt;"",--(J224="Maladie"),0),IF($L$5&lt;&gt;"",--(L224="Maladie"),0),IF($N$5&lt;&gt;"",--(N224="Maladie"),0),IF($P$5&lt;&gt;"",--(P224="Maladie"),0),IF($R$5&lt;&gt;"",--(R224="Maladie"),0),IF($T$5&lt;&gt;"",--(T224="Maladie"),0),IF($V$5&lt;&gt;"",--(V224="Maladie"),0),IF($X$5&lt;&gt;"",--(X224="Maladie"),0),IF($Z$5&lt;&gt;"",--(Z224="Maladie"),0),IF($AB$5&lt;&gt;"",--(AB224="Maladie"),0),IF($AD$5&lt;&gt;"",--(AD224="Maladie"),0),IF($AF$5&lt;&gt;"",--(AF224="Maladie"),0),IF($AH$5&lt;&gt;"",--(AH224="Maladie"),0),IF($AJ$5&lt;&gt;"",--(AJ224="Maladie"),0),IF($AL$5&lt;&gt;"",--(AL224="Maladie"),0),IF($AN$5&lt;&gt;"",--(AN224="Maladie"),0),IF($AP$5&lt;&gt;"",--(AP224="Maladie"),0),IF($AR$5&lt;&gt;"",--(AR224="Maladie"),0),IF($AT$5&lt;&gt;"",--(AT224="Maladie"),0),IF($AV$5&lt;&gt;"",--(AV224="Maladie"),0),IF($AX$5&lt;&gt;"",--(AX224="Maladie"),0),IF($AZ$5&lt;&gt;"",--(AZ224="Maladie"),0),IF($BB$5&lt;&gt;"",--(BB224="Maladie"),0),IF($BD$5&lt;&gt;"",--(BD224="Maladie"),0),IF($BF$5&lt;&gt;"",--(BF224="Maladie"),0),IF($BH$5&lt;&gt;"",--(BH224="Maladie"),0),IF($BJ$5&lt;&gt;"",--(BJ224="Maladie"),0),IF($BL$5&lt;&gt;"",--(BL224="Maladie"),0)))</f>
      </c>
      <c r="BR224" s="23">
        <f>IF($A224="","",SUM(IF($D$5&lt;&gt;"",IF(D224="Présent",E224,0),0),IF($F$5&lt;&gt;"",IF(F224="Présent",G224,0),0),IF($H$5&lt;&gt;"",IF(H224="Présent",I224,0),0),IF($J$5&lt;&gt;"",IF(J224="Présent",K224,0),0),IF($L$5&lt;&gt;"",IF(L224="Présent",M224,0),0),IF($N$5&lt;&gt;"",IF(N224="Présent",O224,0),0),IF($P$5&lt;&gt;"",IF(P224="Présent",Q224,0),0),IF($R$5&lt;&gt;"",IF(R224="Présent",S224,0),0),IF($T$5&lt;&gt;"",IF(T224="Présent",U224,0),0),IF($V$5&lt;&gt;"",IF(V224="Présent",W224,0),0),IF($X$5&lt;&gt;"",IF(X224="Présent",Y224,0),0),IF($Z$5&lt;&gt;"",IF(Z224="Présent",AA224,0),0),IF($AB$5&lt;&gt;"",IF(AB224="Présent",AC224,0),0),IF($AD$5&lt;&gt;"",IF(AD224="Présent",AE224,0),0),IF($AF$5&lt;&gt;"",IF(AF224="Présent",AG224,0),0),IF($AH$5&lt;&gt;"",IF(AH224="Présent",AI224,0),0),IF($AJ$5&lt;&gt;"",IF(AJ224="Présent",AK224,0),0),IF($AL$5&lt;&gt;"",IF(AL224="Présent",AM224,0),0),IF($AN$5&lt;&gt;"",IF(AN224="Présent",AO224,0),0),IF($AP$5&lt;&gt;"",IF(AP224="Présent",AQ224,0),0),IF($AR$5&lt;&gt;"",IF(AR224="Présent",AS224,0),0),IF($AT$5&lt;&gt;"",IF(AT224="Présent",AU224,0),0),IF($AV$5&lt;&gt;"",IF(AV224="Présent",AW224,0),0),IF($AX$5&lt;&gt;"",IF(AX224="Présent",AY224,0),0),IF($AZ$5&lt;&gt;"",IF(AZ224="Présent",BA224,0),0),IF($BB$5&lt;&gt;"",IF(BB224="Présent",BC224,0),0),IF($BD$5&lt;&gt;"",IF(BD224="Présent",BE224,0),0),IF($BF$5&lt;&gt;"",IF(BF224="Présent",BG224,0),0),IF($BH$5&lt;&gt;"",IF(BH224="Présent",BI224,0),0),IF($BJ$5&lt;&gt;"",IF(BJ224="Présent",BK224,0),0),IF($BL$5&lt;&gt;"",IF(BL224="Présent",BM224,0),0)))</f>
      </c>
      <c r="BS224" s="25">
        <f>IF($A224="","",$BN224*IFERROR(INDEX(Categories_Salaire,MATCH($C224,ListeCategories,0)),0)+$BR224*IF(IFERROR(INDEX(Categories_TauxHS,MATCH($C224,ListeCategories,0)),0)&gt;0,IFERROR(INDEX(Categories_TauxHS,MATCH($C224,ListeCategories,0)),0),TauxHSDefaut))</f>
      </c>
    </row>
    <row r="225">
      <c r="A225" s="20">
        <f>IF(AND(INDEX(Employes_Nom,219)&lt;&gt;"",INDEX(Employes_Statut,219)="Actif",OR(INDEX(Employes_Embauche,219)="",INDEX(Employes_Embauche,219)&lt;=EOMONTH(DATE(AnneeCourante,MoisCourant,1),0))),INDEX(Employes_ID,219),"")</f>
      </c>
      <c r="B225" s="19">
        <f>IF($A225="","",INDEX(Employes_Nom,MATCH($A225,Employes_ID,0)))</f>
      </c>
      <c r="C225" s="20">
        <f>IF($A225="","",INDEX(Employes_Categorie,MATCH($A225,Employes_ID,0)))</f>
      </c>
      <c r="D225" s="26"/>
      <c r="E225" s="27"/>
      <c r="F225" s="26"/>
      <c r="G225" s="27"/>
      <c r="H225" s="26"/>
      <c r="I225" s="27"/>
      <c r="J225" s="26"/>
      <c r="K225" s="27"/>
      <c r="L225" s="26"/>
      <c r="M225" s="27"/>
      <c r="N225" s="26"/>
      <c r="O225" s="27"/>
      <c r="P225" s="26"/>
      <c r="Q225" s="27"/>
      <c r="R225" s="26"/>
      <c r="S225" s="27"/>
      <c r="T225" s="26"/>
      <c r="U225" s="27"/>
      <c r="V225" s="26"/>
      <c r="W225" s="27"/>
      <c r="X225" s="26"/>
      <c r="Y225" s="27"/>
      <c r="Z225" s="26"/>
      <c r="AA225" s="27"/>
      <c r="AB225" s="26"/>
      <c r="AC225" s="27"/>
      <c r="AD225" s="26"/>
      <c r="AE225" s="27"/>
      <c r="AF225" s="26"/>
      <c r="AG225" s="27"/>
      <c r="AH225" s="26"/>
      <c r="AI225" s="27"/>
      <c r="AJ225" s="26"/>
      <c r="AK225" s="27"/>
      <c r="AL225" s="26"/>
      <c r="AM225" s="27"/>
      <c r="AN225" s="26"/>
      <c r="AO225" s="27"/>
      <c r="AP225" s="26"/>
      <c r="AQ225" s="27"/>
      <c r="AR225" s="26"/>
      <c r="AS225" s="27"/>
      <c r="AT225" s="26"/>
      <c r="AU225" s="27"/>
      <c r="AV225" s="26"/>
      <c r="AW225" s="27"/>
      <c r="AX225" s="26"/>
      <c r="AY225" s="27"/>
      <c r="AZ225" s="26"/>
      <c r="BA225" s="27"/>
      <c r="BB225" s="26"/>
      <c r="BC225" s="27"/>
      <c r="BD225" s="26"/>
      <c r="BE225" s="27"/>
      <c r="BF225" s="26"/>
      <c r="BG225" s="27"/>
      <c r="BH225" s="26"/>
      <c r="BI225" s="27"/>
      <c r="BJ225" s="26"/>
      <c r="BK225" s="27"/>
      <c r="BL225" s="26"/>
      <c r="BM225" s="27"/>
      <c r="BN225" s="22">
        <f>IF($A225="","",SUM(IF($D$5&lt;&gt;"",--(D225="Présent"),0),IF($F$5&lt;&gt;"",--(F225="Présent"),0),IF($H$5&lt;&gt;"",--(H225="Présent"),0),IF($J$5&lt;&gt;"",--(J225="Présent"),0),IF($L$5&lt;&gt;"",--(L225="Présent"),0),IF($N$5&lt;&gt;"",--(N225="Présent"),0),IF($P$5&lt;&gt;"",--(P225="Présent"),0),IF($R$5&lt;&gt;"",--(R225="Présent"),0),IF($T$5&lt;&gt;"",--(T225="Présent"),0),IF($V$5&lt;&gt;"",--(V225="Présent"),0),IF($X$5&lt;&gt;"",--(X225="Présent"),0),IF($Z$5&lt;&gt;"",--(Z225="Présent"),0),IF($AB$5&lt;&gt;"",--(AB225="Présent"),0),IF($AD$5&lt;&gt;"",--(AD225="Présent"),0),IF($AF$5&lt;&gt;"",--(AF225="Présent"),0),IF($AH$5&lt;&gt;"",--(AH225="Présent"),0),IF($AJ$5&lt;&gt;"",--(AJ225="Présent"),0),IF($AL$5&lt;&gt;"",--(AL225="Présent"),0),IF($AN$5&lt;&gt;"",--(AN225="Présent"),0),IF($AP$5&lt;&gt;"",--(AP225="Présent"),0),IF($AR$5&lt;&gt;"",--(AR225="Présent"),0),IF($AT$5&lt;&gt;"",--(AT225="Présent"),0),IF($AV$5&lt;&gt;"",--(AV225="Présent"),0),IF($AX$5&lt;&gt;"",--(AX225="Présent"),0),IF($AZ$5&lt;&gt;"",--(AZ225="Présent"),0),IF($BB$5&lt;&gt;"",--(BB225="Présent"),0),IF($BD$5&lt;&gt;"",--(BD225="Présent"),0),IF($BF$5&lt;&gt;"",--(BF225="Présent"),0),IF($BH$5&lt;&gt;"",--(BH225="Présent"),0),IF($BJ$5&lt;&gt;"",--(BJ225="Présent"),0),IF($BL$5&lt;&gt;"",--(BL225="Présent"),0)))</f>
      </c>
      <c r="BO225" s="22">
        <f>IF($A225="","",SUM(IF($D$5&lt;&gt;"",--(D225="Absent"),0),IF($F$5&lt;&gt;"",--(F225="Absent"),0),IF($H$5&lt;&gt;"",--(H225="Absent"),0),IF($J$5&lt;&gt;"",--(J225="Absent"),0),IF($L$5&lt;&gt;"",--(L225="Absent"),0),IF($N$5&lt;&gt;"",--(N225="Absent"),0),IF($P$5&lt;&gt;"",--(P225="Absent"),0),IF($R$5&lt;&gt;"",--(R225="Absent"),0),IF($T$5&lt;&gt;"",--(T225="Absent"),0),IF($V$5&lt;&gt;"",--(V225="Absent"),0),IF($X$5&lt;&gt;"",--(X225="Absent"),0),IF($Z$5&lt;&gt;"",--(Z225="Absent"),0),IF($AB$5&lt;&gt;"",--(AB225="Absent"),0),IF($AD$5&lt;&gt;"",--(AD225="Absent"),0),IF($AF$5&lt;&gt;"",--(AF225="Absent"),0),IF($AH$5&lt;&gt;"",--(AH225="Absent"),0),IF($AJ$5&lt;&gt;"",--(AJ225="Absent"),0),IF($AL$5&lt;&gt;"",--(AL225="Absent"),0),IF($AN$5&lt;&gt;"",--(AN225="Absent"),0),IF($AP$5&lt;&gt;"",--(AP225="Absent"),0),IF($AR$5&lt;&gt;"",--(AR225="Absent"),0),IF($AT$5&lt;&gt;"",--(AT225="Absent"),0),IF($AV$5&lt;&gt;"",--(AV225="Absent"),0),IF($AX$5&lt;&gt;"",--(AX225="Absent"),0),IF($AZ$5&lt;&gt;"",--(AZ225="Absent"),0),IF($BB$5&lt;&gt;"",--(BB225="Absent"),0),IF($BD$5&lt;&gt;"",--(BD225="Absent"),0),IF($BF$5&lt;&gt;"",--(BF225="Absent"),0),IF($BH$5&lt;&gt;"",--(BH225="Absent"),0),IF($BJ$5&lt;&gt;"",--(BJ225="Absent"),0),IF($BL$5&lt;&gt;"",--(BL225="Absent"),0)))</f>
      </c>
      <c r="BP225" s="22">
        <f>IF($A225="","",SUM(IF($D$5&lt;&gt;"",--(D225="Congé"),0),IF($F$5&lt;&gt;"",--(F225="Congé"),0),IF($H$5&lt;&gt;"",--(H225="Congé"),0),IF($J$5&lt;&gt;"",--(J225="Congé"),0),IF($L$5&lt;&gt;"",--(L225="Congé"),0),IF($N$5&lt;&gt;"",--(N225="Congé"),0),IF($P$5&lt;&gt;"",--(P225="Congé"),0),IF($R$5&lt;&gt;"",--(R225="Congé"),0),IF($T$5&lt;&gt;"",--(T225="Congé"),0),IF($V$5&lt;&gt;"",--(V225="Congé"),0),IF($X$5&lt;&gt;"",--(X225="Congé"),0),IF($Z$5&lt;&gt;"",--(Z225="Congé"),0),IF($AB$5&lt;&gt;"",--(AB225="Congé"),0),IF($AD$5&lt;&gt;"",--(AD225="Congé"),0),IF($AF$5&lt;&gt;"",--(AF225="Congé"),0),IF($AH$5&lt;&gt;"",--(AH225="Congé"),0),IF($AJ$5&lt;&gt;"",--(AJ225="Congé"),0),IF($AL$5&lt;&gt;"",--(AL225="Congé"),0),IF($AN$5&lt;&gt;"",--(AN225="Congé"),0),IF($AP$5&lt;&gt;"",--(AP225="Congé"),0),IF($AR$5&lt;&gt;"",--(AR225="Congé"),0),IF($AT$5&lt;&gt;"",--(AT225="Congé"),0),IF($AV$5&lt;&gt;"",--(AV225="Congé"),0),IF($AX$5&lt;&gt;"",--(AX225="Congé"),0),IF($AZ$5&lt;&gt;"",--(AZ225="Congé"),0),IF($BB$5&lt;&gt;"",--(BB225="Congé"),0),IF($BD$5&lt;&gt;"",--(BD225="Congé"),0),IF($BF$5&lt;&gt;"",--(BF225="Congé"),0),IF($BH$5&lt;&gt;"",--(BH225="Congé"),0),IF($BJ$5&lt;&gt;"",--(BJ225="Congé"),0),IF($BL$5&lt;&gt;"",--(BL225="Congé"),0)))</f>
      </c>
      <c r="BQ225" s="22">
        <f>IF($A225="","",SUM(IF($D$5&lt;&gt;"",--(D225="Maladie"),0),IF($F$5&lt;&gt;"",--(F225="Maladie"),0),IF($H$5&lt;&gt;"",--(H225="Maladie"),0),IF($J$5&lt;&gt;"",--(J225="Maladie"),0),IF($L$5&lt;&gt;"",--(L225="Maladie"),0),IF($N$5&lt;&gt;"",--(N225="Maladie"),0),IF($P$5&lt;&gt;"",--(P225="Maladie"),0),IF($R$5&lt;&gt;"",--(R225="Maladie"),0),IF($T$5&lt;&gt;"",--(T225="Maladie"),0),IF($V$5&lt;&gt;"",--(V225="Maladie"),0),IF($X$5&lt;&gt;"",--(X225="Maladie"),0),IF($Z$5&lt;&gt;"",--(Z225="Maladie"),0),IF($AB$5&lt;&gt;"",--(AB225="Maladie"),0),IF($AD$5&lt;&gt;"",--(AD225="Maladie"),0),IF($AF$5&lt;&gt;"",--(AF225="Maladie"),0),IF($AH$5&lt;&gt;"",--(AH225="Maladie"),0),IF($AJ$5&lt;&gt;"",--(AJ225="Maladie"),0),IF($AL$5&lt;&gt;"",--(AL225="Maladie"),0),IF($AN$5&lt;&gt;"",--(AN225="Maladie"),0),IF($AP$5&lt;&gt;"",--(AP225="Maladie"),0),IF($AR$5&lt;&gt;"",--(AR225="Maladie"),0),IF($AT$5&lt;&gt;"",--(AT225="Maladie"),0),IF($AV$5&lt;&gt;"",--(AV225="Maladie"),0),IF($AX$5&lt;&gt;"",--(AX225="Maladie"),0),IF($AZ$5&lt;&gt;"",--(AZ225="Maladie"),0),IF($BB$5&lt;&gt;"",--(BB225="Maladie"),0),IF($BD$5&lt;&gt;"",--(BD225="Maladie"),0),IF($BF$5&lt;&gt;"",--(BF225="Maladie"),0),IF($BH$5&lt;&gt;"",--(BH225="Maladie"),0),IF($BJ$5&lt;&gt;"",--(BJ225="Maladie"),0),IF($BL$5&lt;&gt;"",--(BL225="Maladie"),0)))</f>
      </c>
      <c r="BR225" s="23">
        <f>IF($A225="","",SUM(IF($D$5&lt;&gt;"",IF(D225="Présent",E225,0),0),IF($F$5&lt;&gt;"",IF(F225="Présent",G225,0),0),IF($H$5&lt;&gt;"",IF(H225="Présent",I225,0),0),IF($J$5&lt;&gt;"",IF(J225="Présent",K225,0),0),IF($L$5&lt;&gt;"",IF(L225="Présent",M225,0),0),IF($N$5&lt;&gt;"",IF(N225="Présent",O225,0),0),IF($P$5&lt;&gt;"",IF(P225="Présent",Q225,0),0),IF($R$5&lt;&gt;"",IF(R225="Présent",S225,0),0),IF($T$5&lt;&gt;"",IF(T225="Présent",U225,0),0),IF($V$5&lt;&gt;"",IF(V225="Présent",W225,0),0),IF($X$5&lt;&gt;"",IF(X225="Présent",Y225,0),0),IF($Z$5&lt;&gt;"",IF(Z225="Présent",AA225,0),0),IF($AB$5&lt;&gt;"",IF(AB225="Présent",AC225,0),0),IF($AD$5&lt;&gt;"",IF(AD225="Présent",AE225,0),0),IF($AF$5&lt;&gt;"",IF(AF225="Présent",AG225,0),0),IF($AH$5&lt;&gt;"",IF(AH225="Présent",AI225,0),0),IF($AJ$5&lt;&gt;"",IF(AJ225="Présent",AK225,0),0),IF($AL$5&lt;&gt;"",IF(AL225="Présent",AM225,0),0),IF($AN$5&lt;&gt;"",IF(AN225="Présent",AO225,0),0),IF($AP$5&lt;&gt;"",IF(AP225="Présent",AQ225,0),0),IF($AR$5&lt;&gt;"",IF(AR225="Présent",AS225,0),0),IF($AT$5&lt;&gt;"",IF(AT225="Présent",AU225,0),0),IF($AV$5&lt;&gt;"",IF(AV225="Présent",AW225,0),0),IF($AX$5&lt;&gt;"",IF(AX225="Présent",AY225,0),0),IF($AZ$5&lt;&gt;"",IF(AZ225="Présent",BA225,0),0),IF($BB$5&lt;&gt;"",IF(BB225="Présent",BC225,0),0),IF($BD$5&lt;&gt;"",IF(BD225="Présent",BE225,0),0),IF($BF$5&lt;&gt;"",IF(BF225="Présent",BG225,0),0),IF($BH$5&lt;&gt;"",IF(BH225="Présent",BI225,0),0),IF($BJ$5&lt;&gt;"",IF(BJ225="Présent",BK225,0),0),IF($BL$5&lt;&gt;"",IF(BL225="Présent",BM225,0),0)))</f>
      </c>
      <c r="BS225" s="25">
        <f>IF($A225="","",$BN225*IFERROR(INDEX(Categories_Salaire,MATCH($C225,ListeCategories,0)),0)+$BR225*IF(IFERROR(INDEX(Categories_TauxHS,MATCH($C225,ListeCategories,0)),0)&gt;0,IFERROR(INDEX(Categories_TauxHS,MATCH($C225,ListeCategories,0)),0),TauxHSDefaut))</f>
      </c>
    </row>
    <row r="226">
      <c r="A226" s="20">
        <f>IF(AND(INDEX(Employes_Nom,220)&lt;&gt;"",INDEX(Employes_Statut,220)="Actif",OR(INDEX(Employes_Embauche,220)="",INDEX(Employes_Embauche,220)&lt;=EOMONTH(DATE(AnneeCourante,MoisCourant,1),0))),INDEX(Employes_ID,220),"")</f>
      </c>
      <c r="B226" s="19">
        <f>IF($A226="","",INDEX(Employes_Nom,MATCH($A226,Employes_ID,0)))</f>
      </c>
      <c r="C226" s="20">
        <f>IF($A226="","",INDEX(Employes_Categorie,MATCH($A226,Employes_ID,0)))</f>
      </c>
      <c r="D226" s="26"/>
      <c r="E226" s="27"/>
      <c r="F226" s="26"/>
      <c r="G226" s="27"/>
      <c r="H226" s="26"/>
      <c r="I226" s="27"/>
      <c r="J226" s="26"/>
      <c r="K226" s="27"/>
      <c r="L226" s="26"/>
      <c r="M226" s="27"/>
      <c r="N226" s="26"/>
      <c r="O226" s="27"/>
      <c r="P226" s="26"/>
      <c r="Q226" s="27"/>
      <c r="R226" s="26"/>
      <c r="S226" s="27"/>
      <c r="T226" s="26"/>
      <c r="U226" s="27"/>
      <c r="V226" s="26"/>
      <c r="W226" s="27"/>
      <c r="X226" s="26"/>
      <c r="Y226" s="27"/>
      <c r="Z226" s="26"/>
      <c r="AA226" s="27"/>
      <c r="AB226" s="26"/>
      <c r="AC226" s="27"/>
      <c r="AD226" s="26"/>
      <c r="AE226" s="27"/>
      <c r="AF226" s="26"/>
      <c r="AG226" s="27"/>
      <c r="AH226" s="26"/>
      <c r="AI226" s="27"/>
      <c r="AJ226" s="26"/>
      <c r="AK226" s="27"/>
      <c r="AL226" s="26"/>
      <c r="AM226" s="27"/>
      <c r="AN226" s="26"/>
      <c r="AO226" s="27"/>
      <c r="AP226" s="26"/>
      <c r="AQ226" s="27"/>
      <c r="AR226" s="26"/>
      <c r="AS226" s="27"/>
      <c r="AT226" s="26"/>
      <c r="AU226" s="27"/>
      <c r="AV226" s="26"/>
      <c r="AW226" s="27"/>
      <c r="AX226" s="26"/>
      <c r="AY226" s="27"/>
      <c r="AZ226" s="26"/>
      <c r="BA226" s="27"/>
      <c r="BB226" s="26"/>
      <c r="BC226" s="27"/>
      <c r="BD226" s="26"/>
      <c r="BE226" s="27"/>
      <c r="BF226" s="26"/>
      <c r="BG226" s="27"/>
      <c r="BH226" s="26"/>
      <c r="BI226" s="27"/>
      <c r="BJ226" s="26"/>
      <c r="BK226" s="27"/>
      <c r="BL226" s="26"/>
      <c r="BM226" s="27"/>
      <c r="BN226" s="22">
        <f>IF($A226="","",SUM(IF($D$5&lt;&gt;"",--(D226="Présent"),0),IF($F$5&lt;&gt;"",--(F226="Présent"),0),IF($H$5&lt;&gt;"",--(H226="Présent"),0),IF($J$5&lt;&gt;"",--(J226="Présent"),0),IF($L$5&lt;&gt;"",--(L226="Présent"),0),IF($N$5&lt;&gt;"",--(N226="Présent"),0),IF($P$5&lt;&gt;"",--(P226="Présent"),0),IF($R$5&lt;&gt;"",--(R226="Présent"),0),IF($T$5&lt;&gt;"",--(T226="Présent"),0),IF($V$5&lt;&gt;"",--(V226="Présent"),0),IF($X$5&lt;&gt;"",--(X226="Présent"),0),IF($Z$5&lt;&gt;"",--(Z226="Présent"),0),IF($AB$5&lt;&gt;"",--(AB226="Présent"),0),IF($AD$5&lt;&gt;"",--(AD226="Présent"),0),IF($AF$5&lt;&gt;"",--(AF226="Présent"),0),IF($AH$5&lt;&gt;"",--(AH226="Présent"),0),IF($AJ$5&lt;&gt;"",--(AJ226="Présent"),0),IF($AL$5&lt;&gt;"",--(AL226="Présent"),0),IF($AN$5&lt;&gt;"",--(AN226="Présent"),0),IF($AP$5&lt;&gt;"",--(AP226="Présent"),0),IF($AR$5&lt;&gt;"",--(AR226="Présent"),0),IF($AT$5&lt;&gt;"",--(AT226="Présent"),0),IF($AV$5&lt;&gt;"",--(AV226="Présent"),0),IF($AX$5&lt;&gt;"",--(AX226="Présent"),0),IF($AZ$5&lt;&gt;"",--(AZ226="Présent"),0),IF($BB$5&lt;&gt;"",--(BB226="Présent"),0),IF($BD$5&lt;&gt;"",--(BD226="Présent"),0),IF($BF$5&lt;&gt;"",--(BF226="Présent"),0),IF($BH$5&lt;&gt;"",--(BH226="Présent"),0),IF($BJ$5&lt;&gt;"",--(BJ226="Présent"),0),IF($BL$5&lt;&gt;"",--(BL226="Présent"),0)))</f>
      </c>
      <c r="BO226" s="22">
        <f>IF($A226="","",SUM(IF($D$5&lt;&gt;"",--(D226="Absent"),0),IF($F$5&lt;&gt;"",--(F226="Absent"),0),IF($H$5&lt;&gt;"",--(H226="Absent"),0),IF($J$5&lt;&gt;"",--(J226="Absent"),0),IF($L$5&lt;&gt;"",--(L226="Absent"),0),IF($N$5&lt;&gt;"",--(N226="Absent"),0),IF($P$5&lt;&gt;"",--(P226="Absent"),0),IF($R$5&lt;&gt;"",--(R226="Absent"),0),IF($T$5&lt;&gt;"",--(T226="Absent"),0),IF($V$5&lt;&gt;"",--(V226="Absent"),0),IF($X$5&lt;&gt;"",--(X226="Absent"),0),IF($Z$5&lt;&gt;"",--(Z226="Absent"),0),IF($AB$5&lt;&gt;"",--(AB226="Absent"),0),IF($AD$5&lt;&gt;"",--(AD226="Absent"),0),IF($AF$5&lt;&gt;"",--(AF226="Absent"),0),IF($AH$5&lt;&gt;"",--(AH226="Absent"),0),IF($AJ$5&lt;&gt;"",--(AJ226="Absent"),0),IF($AL$5&lt;&gt;"",--(AL226="Absent"),0),IF($AN$5&lt;&gt;"",--(AN226="Absent"),0),IF($AP$5&lt;&gt;"",--(AP226="Absent"),0),IF($AR$5&lt;&gt;"",--(AR226="Absent"),0),IF($AT$5&lt;&gt;"",--(AT226="Absent"),0),IF($AV$5&lt;&gt;"",--(AV226="Absent"),0),IF($AX$5&lt;&gt;"",--(AX226="Absent"),0),IF($AZ$5&lt;&gt;"",--(AZ226="Absent"),0),IF($BB$5&lt;&gt;"",--(BB226="Absent"),0),IF($BD$5&lt;&gt;"",--(BD226="Absent"),0),IF($BF$5&lt;&gt;"",--(BF226="Absent"),0),IF($BH$5&lt;&gt;"",--(BH226="Absent"),0),IF($BJ$5&lt;&gt;"",--(BJ226="Absent"),0),IF($BL$5&lt;&gt;"",--(BL226="Absent"),0)))</f>
      </c>
      <c r="BP226" s="22">
        <f>IF($A226="","",SUM(IF($D$5&lt;&gt;"",--(D226="Congé"),0),IF($F$5&lt;&gt;"",--(F226="Congé"),0),IF($H$5&lt;&gt;"",--(H226="Congé"),0),IF($J$5&lt;&gt;"",--(J226="Congé"),0),IF($L$5&lt;&gt;"",--(L226="Congé"),0),IF($N$5&lt;&gt;"",--(N226="Congé"),0),IF($P$5&lt;&gt;"",--(P226="Congé"),0),IF($R$5&lt;&gt;"",--(R226="Congé"),0),IF($T$5&lt;&gt;"",--(T226="Congé"),0),IF($V$5&lt;&gt;"",--(V226="Congé"),0),IF($X$5&lt;&gt;"",--(X226="Congé"),0),IF($Z$5&lt;&gt;"",--(Z226="Congé"),0),IF($AB$5&lt;&gt;"",--(AB226="Congé"),0),IF($AD$5&lt;&gt;"",--(AD226="Congé"),0),IF($AF$5&lt;&gt;"",--(AF226="Congé"),0),IF($AH$5&lt;&gt;"",--(AH226="Congé"),0),IF($AJ$5&lt;&gt;"",--(AJ226="Congé"),0),IF($AL$5&lt;&gt;"",--(AL226="Congé"),0),IF($AN$5&lt;&gt;"",--(AN226="Congé"),0),IF($AP$5&lt;&gt;"",--(AP226="Congé"),0),IF($AR$5&lt;&gt;"",--(AR226="Congé"),0),IF($AT$5&lt;&gt;"",--(AT226="Congé"),0),IF($AV$5&lt;&gt;"",--(AV226="Congé"),0),IF($AX$5&lt;&gt;"",--(AX226="Congé"),0),IF($AZ$5&lt;&gt;"",--(AZ226="Congé"),0),IF($BB$5&lt;&gt;"",--(BB226="Congé"),0),IF($BD$5&lt;&gt;"",--(BD226="Congé"),0),IF($BF$5&lt;&gt;"",--(BF226="Congé"),0),IF($BH$5&lt;&gt;"",--(BH226="Congé"),0),IF($BJ$5&lt;&gt;"",--(BJ226="Congé"),0),IF($BL$5&lt;&gt;"",--(BL226="Congé"),0)))</f>
      </c>
      <c r="BQ226" s="22">
        <f>IF($A226="","",SUM(IF($D$5&lt;&gt;"",--(D226="Maladie"),0),IF($F$5&lt;&gt;"",--(F226="Maladie"),0),IF($H$5&lt;&gt;"",--(H226="Maladie"),0),IF($J$5&lt;&gt;"",--(J226="Maladie"),0),IF($L$5&lt;&gt;"",--(L226="Maladie"),0),IF($N$5&lt;&gt;"",--(N226="Maladie"),0),IF($P$5&lt;&gt;"",--(P226="Maladie"),0),IF($R$5&lt;&gt;"",--(R226="Maladie"),0),IF($T$5&lt;&gt;"",--(T226="Maladie"),0),IF($V$5&lt;&gt;"",--(V226="Maladie"),0),IF($X$5&lt;&gt;"",--(X226="Maladie"),0),IF($Z$5&lt;&gt;"",--(Z226="Maladie"),0),IF($AB$5&lt;&gt;"",--(AB226="Maladie"),0),IF($AD$5&lt;&gt;"",--(AD226="Maladie"),0),IF($AF$5&lt;&gt;"",--(AF226="Maladie"),0),IF($AH$5&lt;&gt;"",--(AH226="Maladie"),0),IF($AJ$5&lt;&gt;"",--(AJ226="Maladie"),0),IF($AL$5&lt;&gt;"",--(AL226="Maladie"),0),IF($AN$5&lt;&gt;"",--(AN226="Maladie"),0),IF($AP$5&lt;&gt;"",--(AP226="Maladie"),0),IF($AR$5&lt;&gt;"",--(AR226="Maladie"),0),IF($AT$5&lt;&gt;"",--(AT226="Maladie"),0),IF($AV$5&lt;&gt;"",--(AV226="Maladie"),0),IF($AX$5&lt;&gt;"",--(AX226="Maladie"),0),IF($AZ$5&lt;&gt;"",--(AZ226="Maladie"),0),IF($BB$5&lt;&gt;"",--(BB226="Maladie"),0),IF($BD$5&lt;&gt;"",--(BD226="Maladie"),0),IF($BF$5&lt;&gt;"",--(BF226="Maladie"),0),IF($BH$5&lt;&gt;"",--(BH226="Maladie"),0),IF($BJ$5&lt;&gt;"",--(BJ226="Maladie"),0),IF($BL$5&lt;&gt;"",--(BL226="Maladie"),0)))</f>
      </c>
      <c r="BR226" s="23">
        <f>IF($A226="","",SUM(IF($D$5&lt;&gt;"",IF(D226="Présent",E226,0),0),IF($F$5&lt;&gt;"",IF(F226="Présent",G226,0),0),IF($H$5&lt;&gt;"",IF(H226="Présent",I226,0),0),IF($J$5&lt;&gt;"",IF(J226="Présent",K226,0),0),IF($L$5&lt;&gt;"",IF(L226="Présent",M226,0),0),IF($N$5&lt;&gt;"",IF(N226="Présent",O226,0),0),IF($P$5&lt;&gt;"",IF(P226="Présent",Q226,0),0),IF($R$5&lt;&gt;"",IF(R226="Présent",S226,0),0),IF($T$5&lt;&gt;"",IF(T226="Présent",U226,0),0),IF($V$5&lt;&gt;"",IF(V226="Présent",W226,0),0),IF($X$5&lt;&gt;"",IF(X226="Présent",Y226,0),0),IF($Z$5&lt;&gt;"",IF(Z226="Présent",AA226,0),0),IF($AB$5&lt;&gt;"",IF(AB226="Présent",AC226,0),0),IF($AD$5&lt;&gt;"",IF(AD226="Présent",AE226,0),0),IF($AF$5&lt;&gt;"",IF(AF226="Présent",AG226,0),0),IF($AH$5&lt;&gt;"",IF(AH226="Présent",AI226,0),0),IF($AJ$5&lt;&gt;"",IF(AJ226="Présent",AK226,0),0),IF($AL$5&lt;&gt;"",IF(AL226="Présent",AM226,0),0),IF($AN$5&lt;&gt;"",IF(AN226="Présent",AO226,0),0),IF($AP$5&lt;&gt;"",IF(AP226="Présent",AQ226,0),0),IF($AR$5&lt;&gt;"",IF(AR226="Présent",AS226,0),0),IF($AT$5&lt;&gt;"",IF(AT226="Présent",AU226,0),0),IF($AV$5&lt;&gt;"",IF(AV226="Présent",AW226,0),0),IF($AX$5&lt;&gt;"",IF(AX226="Présent",AY226,0),0),IF($AZ$5&lt;&gt;"",IF(AZ226="Présent",BA226,0),0),IF($BB$5&lt;&gt;"",IF(BB226="Présent",BC226,0),0),IF($BD$5&lt;&gt;"",IF(BD226="Présent",BE226,0),0),IF($BF$5&lt;&gt;"",IF(BF226="Présent",BG226,0),0),IF($BH$5&lt;&gt;"",IF(BH226="Présent",BI226,0),0),IF($BJ$5&lt;&gt;"",IF(BJ226="Présent",BK226,0),0),IF($BL$5&lt;&gt;"",IF(BL226="Présent",BM226,0),0)))</f>
      </c>
      <c r="BS226" s="25">
        <f>IF($A226="","",$BN226*IFERROR(INDEX(Categories_Salaire,MATCH($C226,ListeCategories,0)),0)+$BR226*IF(IFERROR(INDEX(Categories_TauxHS,MATCH($C226,ListeCategories,0)),0)&gt;0,IFERROR(INDEX(Categories_TauxHS,MATCH($C226,ListeCategories,0)),0),TauxHSDefaut))</f>
      </c>
    </row>
    <row r="227">
      <c r="A227" s="20">
        <f>IF(AND(INDEX(Employes_Nom,221)&lt;&gt;"",INDEX(Employes_Statut,221)="Actif",OR(INDEX(Employes_Embauche,221)="",INDEX(Employes_Embauche,221)&lt;=EOMONTH(DATE(AnneeCourante,MoisCourant,1),0))),INDEX(Employes_ID,221),"")</f>
      </c>
      <c r="B227" s="19">
        <f>IF($A227="","",INDEX(Employes_Nom,MATCH($A227,Employes_ID,0)))</f>
      </c>
      <c r="C227" s="20">
        <f>IF($A227="","",INDEX(Employes_Categorie,MATCH($A227,Employes_ID,0)))</f>
      </c>
      <c r="D227" s="26"/>
      <c r="E227" s="27"/>
      <c r="F227" s="26"/>
      <c r="G227" s="27"/>
      <c r="H227" s="26"/>
      <c r="I227" s="27"/>
      <c r="J227" s="26"/>
      <c r="K227" s="27"/>
      <c r="L227" s="26"/>
      <c r="M227" s="27"/>
      <c r="N227" s="26"/>
      <c r="O227" s="27"/>
      <c r="P227" s="26"/>
      <c r="Q227" s="27"/>
      <c r="R227" s="26"/>
      <c r="S227" s="27"/>
      <c r="T227" s="26"/>
      <c r="U227" s="27"/>
      <c r="V227" s="26"/>
      <c r="W227" s="27"/>
      <c r="X227" s="26"/>
      <c r="Y227" s="27"/>
      <c r="Z227" s="26"/>
      <c r="AA227" s="27"/>
      <c r="AB227" s="26"/>
      <c r="AC227" s="27"/>
      <c r="AD227" s="26"/>
      <c r="AE227" s="27"/>
      <c r="AF227" s="26"/>
      <c r="AG227" s="27"/>
      <c r="AH227" s="26"/>
      <c r="AI227" s="27"/>
      <c r="AJ227" s="26"/>
      <c r="AK227" s="27"/>
      <c r="AL227" s="26"/>
      <c r="AM227" s="27"/>
      <c r="AN227" s="26"/>
      <c r="AO227" s="27"/>
      <c r="AP227" s="26"/>
      <c r="AQ227" s="27"/>
      <c r="AR227" s="26"/>
      <c r="AS227" s="27"/>
      <c r="AT227" s="26"/>
      <c r="AU227" s="27"/>
      <c r="AV227" s="26"/>
      <c r="AW227" s="27"/>
      <c r="AX227" s="26"/>
      <c r="AY227" s="27"/>
      <c r="AZ227" s="26"/>
      <c r="BA227" s="27"/>
      <c r="BB227" s="26"/>
      <c r="BC227" s="27"/>
      <c r="BD227" s="26"/>
      <c r="BE227" s="27"/>
      <c r="BF227" s="26"/>
      <c r="BG227" s="27"/>
      <c r="BH227" s="26"/>
      <c r="BI227" s="27"/>
      <c r="BJ227" s="26"/>
      <c r="BK227" s="27"/>
      <c r="BL227" s="26"/>
      <c r="BM227" s="27"/>
      <c r="BN227" s="22">
        <f>IF($A227="","",SUM(IF($D$5&lt;&gt;"",--(D227="Présent"),0),IF($F$5&lt;&gt;"",--(F227="Présent"),0),IF($H$5&lt;&gt;"",--(H227="Présent"),0),IF($J$5&lt;&gt;"",--(J227="Présent"),0),IF($L$5&lt;&gt;"",--(L227="Présent"),0),IF($N$5&lt;&gt;"",--(N227="Présent"),0),IF($P$5&lt;&gt;"",--(P227="Présent"),0),IF($R$5&lt;&gt;"",--(R227="Présent"),0),IF($T$5&lt;&gt;"",--(T227="Présent"),0),IF($V$5&lt;&gt;"",--(V227="Présent"),0),IF($X$5&lt;&gt;"",--(X227="Présent"),0),IF($Z$5&lt;&gt;"",--(Z227="Présent"),0),IF($AB$5&lt;&gt;"",--(AB227="Présent"),0),IF($AD$5&lt;&gt;"",--(AD227="Présent"),0),IF($AF$5&lt;&gt;"",--(AF227="Présent"),0),IF($AH$5&lt;&gt;"",--(AH227="Présent"),0),IF($AJ$5&lt;&gt;"",--(AJ227="Présent"),0),IF($AL$5&lt;&gt;"",--(AL227="Présent"),0),IF($AN$5&lt;&gt;"",--(AN227="Présent"),0),IF($AP$5&lt;&gt;"",--(AP227="Présent"),0),IF($AR$5&lt;&gt;"",--(AR227="Présent"),0),IF($AT$5&lt;&gt;"",--(AT227="Présent"),0),IF($AV$5&lt;&gt;"",--(AV227="Présent"),0),IF($AX$5&lt;&gt;"",--(AX227="Présent"),0),IF($AZ$5&lt;&gt;"",--(AZ227="Présent"),0),IF($BB$5&lt;&gt;"",--(BB227="Présent"),0),IF($BD$5&lt;&gt;"",--(BD227="Présent"),0),IF($BF$5&lt;&gt;"",--(BF227="Présent"),0),IF($BH$5&lt;&gt;"",--(BH227="Présent"),0),IF($BJ$5&lt;&gt;"",--(BJ227="Présent"),0),IF($BL$5&lt;&gt;"",--(BL227="Présent"),0)))</f>
      </c>
      <c r="BO227" s="22">
        <f>IF($A227="","",SUM(IF($D$5&lt;&gt;"",--(D227="Absent"),0),IF($F$5&lt;&gt;"",--(F227="Absent"),0),IF($H$5&lt;&gt;"",--(H227="Absent"),0),IF($J$5&lt;&gt;"",--(J227="Absent"),0),IF($L$5&lt;&gt;"",--(L227="Absent"),0),IF($N$5&lt;&gt;"",--(N227="Absent"),0),IF($P$5&lt;&gt;"",--(P227="Absent"),0),IF($R$5&lt;&gt;"",--(R227="Absent"),0),IF($T$5&lt;&gt;"",--(T227="Absent"),0),IF($V$5&lt;&gt;"",--(V227="Absent"),0),IF($X$5&lt;&gt;"",--(X227="Absent"),0),IF($Z$5&lt;&gt;"",--(Z227="Absent"),0),IF($AB$5&lt;&gt;"",--(AB227="Absent"),0),IF($AD$5&lt;&gt;"",--(AD227="Absent"),0),IF($AF$5&lt;&gt;"",--(AF227="Absent"),0),IF($AH$5&lt;&gt;"",--(AH227="Absent"),0),IF($AJ$5&lt;&gt;"",--(AJ227="Absent"),0),IF($AL$5&lt;&gt;"",--(AL227="Absent"),0),IF($AN$5&lt;&gt;"",--(AN227="Absent"),0),IF($AP$5&lt;&gt;"",--(AP227="Absent"),0),IF($AR$5&lt;&gt;"",--(AR227="Absent"),0),IF($AT$5&lt;&gt;"",--(AT227="Absent"),0),IF($AV$5&lt;&gt;"",--(AV227="Absent"),0),IF($AX$5&lt;&gt;"",--(AX227="Absent"),0),IF($AZ$5&lt;&gt;"",--(AZ227="Absent"),0),IF($BB$5&lt;&gt;"",--(BB227="Absent"),0),IF($BD$5&lt;&gt;"",--(BD227="Absent"),0),IF($BF$5&lt;&gt;"",--(BF227="Absent"),0),IF($BH$5&lt;&gt;"",--(BH227="Absent"),0),IF($BJ$5&lt;&gt;"",--(BJ227="Absent"),0),IF($BL$5&lt;&gt;"",--(BL227="Absent"),0)))</f>
      </c>
      <c r="BP227" s="22">
        <f>IF($A227="","",SUM(IF($D$5&lt;&gt;"",--(D227="Congé"),0),IF($F$5&lt;&gt;"",--(F227="Congé"),0),IF($H$5&lt;&gt;"",--(H227="Congé"),0),IF($J$5&lt;&gt;"",--(J227="Congé"),0),IF($L$5&lt;&gt;"",--(L227="Congé"),0),IF($N$5&lt;&gt;"",--(N227="Congé"),0),IF($P$5&lt;&gt;"",--(P227="Congé"),0),IF($R$5&lt;&gt;"",--(R227="Congé"),0),IF($T$5&lt;&gt;"",--(T227="Congé"),0),IF($V$5&lt;&gt;"",--(V227="Congé"),0),IF($X$5&lt;&gt;"",--(X227="Congé"),0),IF($Z$5&lt;&gt;"",--(Z227="Congé"),0),IF($AB$5&lt;&gt;"",--(AB227="Congé"),0),IF($AD$5&lt;&gt;"",--(AD227="Congé"),0),IF($AF$5&lt;&gt;"",--(AF227="Congé"),0),IF($AH$5&lt;&gt;"",--(AH227="Congé"),0),IF($AJ$5&lt;&gt;"",--(AJ227="Congé"),0),IF($AL$5&lt;&gt;"",--(AL227="Congé"),0),IF($AN$5&lt;&gt;"",--(AN227="Congé"),0),IF($AP$5&lt;&gt;"",--(AP227="Congé"),0),IF($AR$5&lt;&gt;"",--(AR227="Congé"),0),IF($AT$5&lt;&gt;"",--(AT227="Congé"),0),IF($AV$5&lt;&gt;"",--(AV227="Congé"),0),IF($AX$5&lt;&gt;"",--(AX227="Congé"),0),IF($AZ$5&lt;&gt;"",--(AZ227="Congé"),0),IF($BB$5&lt;&gt;"",--(BB227="Congé"),0),IF($BD$5&lt;&gt;"",--(BD227="Congé"),0),IF($BF$5&lt;&gt;"",--(BF227="Congé"),0),IF($BH$5&lt;&gt;"",--(BH227="Congé"),0),IF($BJ$5&lt;&gt;"",--(BJ227="Congé"),0),IF($BL$5&lt;&gt;"",--(BL227="Congé"),0)))</f>
      </c>
      <c r="BQ227" s="22">
        <f>IF($A227="","",SUM(IF($D$5&lt;&gt;"",--(D227="Maladie"),0),IF($F$5&lt;&gt;"",--(F227="Maladie"),0),IF($H$5&lt;&gt;"",--(H227="Maladie"),0),IF($J$5&lt;&gt;"",--(J227="Maladie"),0),IF($L$5&lt;&gt;"",--(L227="Maladie"),0),IF($N$5&lt;&gt;"",--(N227="Maladie"),0),IF($P$5&lt;&gt;"",--(P227="Maladie"),0),IF($R$5&lt;&gt;"",--(R227="Maladie"),0),IF($T$5&lt;&gt;"",--(T227="Maladie"),0),IF($V$5&lt;&gt;"",--(V227="Maladie"),0),IF($X$5&lt;&gt;"",--(X227="Maladie"),0),IF($Z$5&lt;&gt;"",--(Z227="Maladie"),0),IF($AB$5&lt;&gt;"",--(AB227="Maladie"),0),IF($AD$5&lt;&gt;"",--(AD227="Maladie"),0),IF($AF$5&lt;&gt;"",--(AF227="Maladie"),0),IF($AH$5&lt;&gt;"",--(AH227="Maladie"),0),IF($AJ$5&lt;&gt;"",--(AJ227="Maladie"),0),IF($AL$5&lt;&gt;"",--(AL227="Maladie"),0),IF($AN$5&lt;&gt;"",--(AN227="Maladie"),0),IF($AP$5&lt;&gt;"",--(AP227="Maladie"),0),IF($AR$5&lt;&gt;"",--(AR227="Maladie"),0),IF($AT$5&lt;&gt;"",--(AT227="Maladie"),0),IF($AV$5&lt;&gt;"",--(AV227="Maladie"),0),IF($AX$5&lt;&gt;"",--(AX227="Maladie"),0),IF($AZ$5&lt;&gt;"",--(AZ227="Maladie"),0),IF($BB$5&lt;&gt;"",--(BB227="Maladie"),0),IF($BD$5&lt;&gt;"",--(BD227="Maladie"),0),IF($BF$5&lt;&gt;"",--(BF227="Maladie"),0),IF($BH$5&lt;&gt;"",--(BH227="Maladie"),0),IF($BJ$5&lt;&gt;"",--(BJ227="Maladie"),0),IF($BL$5&lt;&gt;"",--(BL227="Maladie"),0)))</f>
      </c>
      <c r="BR227" s="23">
        <f>IF($A227="","",SUM(IF($D$5&lt;&gt;"",IF(D227="Présent",E227,0),0),IF($F$5&lt;&gt;"",IF(F227="Présent",G227,0),0),IF($H$5&lt;&gt;"",IF(H227="Présent",I227,0),0),IF($J$5&lt;&gt;"",IF(J227="Présent",K227,0),0),IF($L$5&lt;&gt;"",IF(L227="Présent",M227,0),0),IF($N$5&lt;&gt;"",IF(N227="Présent",O227,0),0),IF($P$5&lt;&gt;"",IF(P227="Présent",Q227,0),0),IF($R$5&lt;&gt;"",IF(R227="Présent",S227,0),0),IF($T$5&lt;&gt;"",IF(T227="Présent",U227,0),0),IF($V$5&lt;&gt;"",IF(V227="Présent",W227,0),0),IF($X$5&lt;&gt;"",IF(X227="Présent",Y227,0),0),IF($Z$5&lt;&gt;"",IF(Z227="Présent",AA227,0),0),IF($AB$5&lt;&gt;"",IF(AB227="Présent",AC227,0),0),IF($AD$5&lt;&gt;"",IF(AD227="Présent",AE227,0),0),IF($AF$5&lt;&gt;"",IF(AF227="Présent",AG227,0),0),IF($AH$5&lt;&gt;"",IF(AH227="Présent",AI227,0),0),IF($AJ$5&lt;&gt;"",IF(AJ227="Présent",AK227,0),0),IF($AL$5&lt;&gt;"",IF(AL227="Présent",AM227,0),0),IF($AN$5&lt;&gt;"",IF(AN227="Présent",AO227,0),0),IF($AP$5&lt;&gt;"",IF(AP227="Présent",AQ227,0),0),IF($AR$5&lt;&gt;"",IF(AR227="Présent",AS227,0),0),IF($AT$5&lt;&gt;"",IF(AT227="Présent",AU227,0),0),IF($AV$5&lt;&gt;"",IF(AV227="Présent",AW227,0),0),IF($AX$5&lt;&gt;"",IF(AX227="Présent",AY227,0),0),IF($AZ$5&lt;&gt;"",IF(AZ227="Présent",BA227,0),0),IF($BB$5&lt;&gt;"",IF(BB227="Présent",BC227,0),0),IF($BD$5&lt;&gt;"",IF(BD227="Présent",BE227,0),0),IF($BF$5&lt;&gt;"",IF(BF227="Présent",BG227,0),0),IF($BH$5&lt;&gt;"",IF(BH227="Présent",BI227,0),0),IF($BJ$5&lt;&gt;"",IF(BJ227="Présent",BK227,0),0),IF($BL$5&lt;&gt;"",IF(BL227="Présent",BM227,0),0)))</f>
      </c>
      <c r="BS227" s="25">
        <f>IF($A227="","",$BN227*IFERROR(INDEX(Categories_Salaire,MATCH($C227,ListeCategories,0)),0)+$BR227*IF(IFERROR(INDEX(Categories_TauxHS,MATCH($C227,ListeCategories,0)),0)&gt;0,IFERROR(INDEX(Categories_TauxHS,MATCH($C227,ListeCategories,0)),0),TauxHSDefaut))</f>
      </c>
    </row>
    <row r="228">
      <c r="A228" s="20">
        <f>IF(AND(INDEX(Employes_Nom,222)&lt;&gt;"",INDEX(Employes_Statut,222)="Actif",OR(INDEX(Employes_Embauche,222)="",INDEX(Employes_Embauche,222)&lt;=EOMONTH(DATE(AnneeCourante,MoisCourant,1),0))),INDEX(Employes_ID,222),"")</f>
      </c>
      <c r="B228" s="19">
        <f>IF($A228="","",INDEX(Employes_Nom,MATCH($A228,Employes_ID,0)))</f>
      </c>
      <c r="C228" s="20">
        <f>IF($A228="","",INDEX(Employes_Categorie,MATCH($A228,Employes_ID,0)))</f>
      </c>
      <c r="D228" s="26"/>
      <c r="E228" s="27"/>
      <c r="F228" s="26"/>
      <c r="G228" s="27"/>
      <c r="H228" s="26"/>
      <c r="I228" s="27"/>
      <c r="J228" s="26"/>
      <c r="K228" s="27"/>
      <c r="L228" s="26"/>
      <c r="M228" s="27"/>
      <c r="N228" s="26"/>
      <c r="O228" s="27"/>
      <c r="P228" s="26"/>
      <c r="Q228" s="27"/>
      <c r="R228" s="26"/>
      <c r="S228" s="27"/>
      <c r="T228" s="26"/>
      <c r="U228" s="27"/>
      <c r="V228" s="26"/>
      <c r="W228" s="27"/>
      <c r="X228" s="26"/>
      <c r="Y228" s="27"/>
      <c r="Z228" s="26"/>
      <c r="AA228" s="27"/>
      <c r="AB228" s="26"/>
      <c r="AC228" s="27"/>
      <c r="AD228" s="26"/>
      <c r="AE228" s="27"/>
      <c r="AF228" s="26"/>
      <c r="AG228" s="27"/>
      <c r="AH228" s="26"/>
      <c r="AI228" s="27"/>
      <c r="AJ228" s="26"/>
      <c r="AK228" s="27"/>
      <c r="AL228" s="26"/>
      <c r="AM228" s="27"/>
      <c r="AN228" s="26"/>
      <c r="AO228" s="27"/>
      <c r="AP228" s="26"/>
      <c r="AQ228" s="27"/>
      <c r="AR228" s="26"/>
      <c r="AS228" s="27"/>
      <c r="AT228" s="26"/>
      <c r="AU228" s="27"/>
      <c r="AV228" s="26"/>
      <c r="AW228" s="27"/>
      <c r="AX228" s="26"/>
      <c r="AY228" s="27"/>
      <c r="AZ228" s="26"/>
      <c r="BA228" s="27"/>
      <c r="BB228" s="26"/>
      <c r="BC228" s="27"/>
      <c r="BD228" s="26"/>
      <c r="BE228" s="27"/>
      <c r="BF228" s="26"/>
      <c r="BG228" s="27"/>
      <c r="BH228" s="26"/>
      <c r="BI228" s="27"/>
      <c r="BJ228" s="26"/>
      <c r="BK228" s="27"/>
      <c r="BL228" s="26"/>
      <c r="BM228" s="27"/>
      <c r="BN228" s="22">
        <f>IF($A228="","",SUM(IF($D$5&lt;&gt;"",--(D228="Présent"),0),IF($F$5&lt;&gt;"",--(F228="Présent"),0),IF($H$5&lt;&gt;"",--(H228="Présent"),0),IF($J$5&lt;&gt;"",--(J228="Présent"),0),IF($L$5&lt;&gt;"",--(L228="Présent"),0),IF($N$5&lt;&gt;"",--(N228="Présent"),0),IF($P$5&lt;&gt;"",--(P228="Présent"),0),IF($R$5&lt;&gt;"",--(R228="Présent"),0),IF($T$5&lt;&gt;"",--(T228="Présent"),0),IF($V$5&lt;&gt;"",--(V228="Présent"),0),IF($X$5&lt;&gt;"",--(X228="Présent"),0),IF($Z$5&lt;&gt;"",--(Z228="Présent"),0),IF($AB$5&lt;&gt;"",--(AB228="Présent"),0),IF($AD$5&lt;&gt;"",--(AD228="Présent"),0),IF($AF$5&lt;&gt;"",--(AF228="Présent"),0),IF($AH$5&lt;&gt;"",--(AH228="Présent"),0),IF($AJ$5&lt;&gt;"",--(AJ228="Présent"),0),IF($AL$5&lt;&gt;"",--(AL228="Présent"),0),IF($AN$5&lt;&gt;"",--(AN228="Présent"),0),IF($AP$5&lt;&gt;"",--(AP228="Présent"),0),IF($AR$5&lt;&gt;"",--(AR228="Présent"),0),IF($AT$5&lt;&gt;"",--(AT228="Présent"),0),IF($AV$5&lt;&gt;"",--(AV228="Présent"),0),IF($AX$5&lt;&gt;"",--(AX228="Présent"),0),IF($AZ$5&lt;&gt;"",--(AZ228="Présent"),0),IF($BB$5&lt;&gt;"",--(BB228="Présent"),0),IF($BD$5&lt;&gt;"",--(BD228="Présent"),0),IF($BF$5&lt;&gt;"",--(BF228="Présent"),0),IF($BH$5&lt;&gt;"",--(BH228="Présent"),0),IF($BJ$5&lt;&gt;"",--(BJ228="Présent"),0),IF($BL$5&lt;&gt;"",--(BL228="Présent"),0)))</f>
      </c>
      <c r="BO228" s="22">
        <f>IF($A228="","",SUM(IF($D$5&lt;&gt;"",--(D228="Absent"),0),IF($F$5&lt;&gt;"",--(F228="Absent"),0),IF($H$5&lt;&gt;"",--(H228="Absent"),0),IF($J$5&lt;&gt;"",--(J228="Absent"),0),IF($L$5&lt;&gt;"",--(L228="Absent"),0),IF($N$5&lt;&gt;"",--(N228="Absent"),0),IF($P$5&lt;&gt;"",--(P228="Absent"),0),IF($R$5&lt;&gt;"",--(R228="Absent"),0),IF($T$5&lt;&gt;"",--(T228="Absent"),0),IF($V$5&lt;&gt;"",--(V228="Absent"),0),IF($X$5&lt;&gt;"",--(X228="Absent"),0),IF($Z$5&lt;&gt;"",--(Z228="Absent"),0),IF($AB$5&lt;&gt;"",--(AB228="Absent"),0),IF($AD$5&lt;&gt;"",--(AD228="Absent"),0),IF($AF$5&lt;&gt;"",--(AF228="Absent"),0),IF($AH$5&lt;&gt;"",--(AH228="Absent"),0),IF($AJ$5&lt;&gt;"",--(AJ228="Absent"),0),IF($AL$5&lt;&gt;"",--(AL228="Absent"),0),IF($AN$5&lt;&gt;"",--(AN228="Absent"),0),IF($AP$5&lt;&gt;"",--(AP228="Absent"),0),IF($AR$5&lt;&gt;"",--(AR228="Absent"),0),IF($AT$5&lt;&gt;"",--(AT228="Absent"),0),IF($AV$5&lt;&gt;"",--(AV228="Absent"),0),IF($AX$5&lt;&gt;"",--(AX228="Absent"),0),IF($AZ$5&lt;&gt;"",--(AZ228="Absent"),0),IF($BB$5&lt;&gt;"",--(BB228="Absent"),0),IF($BD$5&lt;&gt;"",--(BD228="Absent"),0),IF($BF$5&lt;&gt;"",--(BF228="Absent"),0),IF($BH$5&lt;&gt;"",--(BH228="Absent"),0),IF($BJ$5&lt;&gt;"",--(BJ228="Absent"),0),IF($BL$5&lt;&gt;"",--(BL228="Absent"),0)))</f>
      </c>
      <c r="BP228" s="22">
        <f>IF($A228="","",SUM(IF($D$5&lt;&gt;"",--(D228="Congé"),0),IF($F$5&lt;&gt;"",--(F228="Congé"),0),IF($H$5&lt;&gt;"",--(H228="Congé"),0),IF($J$5&lt;&gt;"",--(J228="Congé"),0),IF($L$5&lt;&gt;"",--(L228="Congé"),0),IF($N$5&lt;&gt;"",--(N228="Congé"),0),IF($P$5&lt;&gt;"",--(P228="Congé"),0),IF($R$5&lt;&gt;"",--(R228="Congé"),0),IF($T$5&lt;&gt;"",--(T228="Congé"),0),IF($V$5&lt;&gt;"",--(V228="Congé"),0),IF($X$5&lt;&gt;"",--(X228="Congé"),0),IF($Z$5&lt;&gt;"",--(Z228="Congé"),0),IF($AB$5&lt;&gt;"",--(AB228="Congé"),0),IF($AD$5&lt;&gt;"",--(AD228="Congé"),0),IF($AF$5&lt;&gt;"",--(AF228="Congé"),0),IF($AH$5&lt;&gt;"",--(AH228="Congé"),0),IF($AJ$5&lt;&gt;"",--(AJ228="Congé"),0),IF($AL$5&lt;&gt;"",--(AL228="Congé"),0),IF($AN$5&lt;&gt;"",--(AN228="Congé"),0),IF($AP$5&lt;&gt;"",--(AP228="Congé"),0),IF($AR$5&lt;&gt;"",--(AR228="Congé"),0),IF($AT$5&lt;&gt;"",--(AT228="Congé"),0),IF($AV$5&lt;&gt;"",--(AV228="Congé"),0),IF($AX$5&lt;&gt;"",--(AX228="Congé"),0),IF($AZ$5&lt;&gt;"",--(AZ228="Congé"),0),IF($BB$5&lt;&gt;"",--(BB228="Congé"),0),IF($BD$5&lt;&gt;"",--(BD228="Congé"),0),IF($BF$5&lt;&gt;"",--(BF228="Congé"),0),IF($BH$5&lt;&gt;"",--(BH228="Congé"),0),IF($BJ$5&lt;&gt;"",--(BJ228="Congé"),0),IF($BL$5&lt;&gt;"",--(BL228="Congé"),0)))</f>
      </c>
      <c r="BQ228" s="22">
        <f>IF($A228="","",SUM(IF($D$5&lt;&gt;"",--(D228="Maladie"),0),IF($F$5&lt;&gt;"",--(F228="Maladie"),0),IF($H$5&lt;&gt;"",--(H228="Maladie"),0),IF($J$5&lt;&gt;"",--(J228="Maladie"),0),IF($L$5&lt;&gt;"",--(L228="Maladie"),0),IF($N$5&lt;&gt;"",--(N228="Maladie"),0),IF($P$5&lt;&gt;"",--(P228="Maladie"),0),IF($R$5&lt;&gt;"",--(R228="Maladie"),0),IF($T$5&lt;&gt;"",--(T228="Maladie"),0),IF($V$5&lt;&gt;"",--(V228="Maladie"),0),IF($X$5&lt;&gt;"",--(X228="Maladie"),0),IF($Z$5&lt;&gt;"",--(Z228="Maladie"),0),IF($AB$5&lt;&gt;"",--(AB228="Maladie"),0),IF($AD$5&lt;&gt;"",--(AD228="Maladie"),0),IF($AF$5&lt;&gt;"",--(AF228="Maladie"),0),IF($AH$5&lt;&gt;"",--(AH228="Maladie"),0),IF($AJ$5&lt;&gt;"",--(AJ228="Maladie"),0),IF($AL$5&lt;&gt;"",--(AL228="Maladie"),0),IF($AN$5&lt;&gt;"",--(AN228="Maladie"),0),IF($AP$5&lt;&gt;"",--(AP228="Maladie"),0),IF($AR$5&lt;&gt;"",--(AR228="Maladie"),0),IF($AT$5&lt;&gt;"",--(AT228="Maladie"),0),IF($AV$5&lt;&gt;"",--(AV228="Maladie"),0),IF($AX$5&lt;&gt;"",--(AX228="Maladie"),0),IF($AZ$5&lt;&gt;"",--(AZ228="Maladie"),0),IF($BB$5&lt;&gt;"",--(BB228="Maladie"),0),IF($BD$5&lt;&gt;"",--(BD228="Maladie"),0),IF($BF$5&lt;&gt;"",--(BF228="Maladie"),0),IF($BH$5&lt;&gt;"",--(BH228="Maladie"),0),IF($BJ$5&lt;&gt;"",--(BJ228="Maladie"),0),IF($BL$5&lt;&gt;"",--(BL228="Maladie"),0)))</f>
      </c>
      <c r="BR228" s="23">
        <f>IF($A228="","",SUM(IF($D$5&lt;&gt;"",IF(D228="Présent",E228,0),0),IF($F$5&lt;&gt;"",IF(F228="Présent",G228,0),0),IF($H$5&lt;&gt;"",IF(H228="Présent",I228,0),0),IF($J$5&lt;&gt;"",IF(J228="Présent",K228,0),0),IF($L$5&lt;&gt;"",IF(L228="Présent",M228,0),0),IF($N$5&lt;&gt;"",IF(N228="Présent",O228,0),0),IF($P$5&lt;&gt;"",IF(P228="Présent",Q228,0),0),IF($R$5&lt;&gt;"",IF(R228="Présent",S228,0),0),IF($T$5&lt;&gt;"",IF(T228="Présent",U228,0),0),IF($V$5&lt;&gt;"",IF(V228="Présent",W228,0),0),IF($X$5&lt;&gt;"",IF(X228="Présent",Y228,0),0),IF($Z$5&lt;&gt;"",IF(Z228="Présent",AA228,0),0),IF($AB$5&lt;&gt;"",IF(AB228="Présent",AC228,0),0),IF($AD$5&lt;&gt;"",IF(AD228="Présent",AE228,0),0),IF($AF$5&lt;&gt;"",IF(AF228="Présent",AG228,0),0),IF($AH$5&lt;&gt;"",IF(AH228="Présent",AI228,0),0),IF($AJ$5&lt;&gt;"",IF(AJ228="Présent",AK228,0),0),IF($AL$5&lt;&gt;"",IF(AL228="Présent",AM228,0),0),IF($AN$5&lt;&gt;"",IF(AN228="Présent",AO228,0),0),IF($AP$5&lt;&gt;"",IF(AP228="Présent",AQ228,0),0),IF($AR$5&lt;&gt;"",IF(AR228="Présent",AS228,0),0),IF($AT$5&lt;&gt;"",IF(AT228="Présent",AU228,0),0),IF($AV$5&lt;&gt;"",IF(AV228="Présent",AW228,0),0),IF($AX$5&lt;&gt;"",IF(AX228="Présent",AY228,0),0),IF($AZ$5&lt;&gt;"",IF(AZ228="Présent",BA228,0),0),IF($BB$5&lt;&gt;"",IF(BB228="Présent",BC228,0),0),IF($BD$5&lt;&gt;"",IF(BD228="Présent",BE228,0),0),IF($BF$5&lt;&gt;"",IF(BF228="Présent",BG228,0),0),IF($BH$5&lt;&gt;"",IF(BH228="Présent",BI228,0),0),IF($BJ$5&lt;&gt;"",IF(BJ228="Présent",BK228,0),0),IF($BL$5&lt;&gt;"",IF(BL228="Présent",BM228,0),0)))</f>
      </c>
      <c r="BS228" s="25">
        <f>IF($A228="","",$BN228*IFERROR(INDEX(Categories_Salaire,MATCH($C228,ListeCategories,0)),0)+$BR228*IF(IFERROR(INDEX(Categories_TauxHS,MATCH($C228,ListeCategories,0)),0)&gt;0,IFERROR(INDEX(Categories_TauxHS,MATCH($C228,ListeCategories,0)),0),TauxHSDefaut))</f>
      </c>
    </row>
    <row r="229">
      <c r="A229" s="20">
        <f>IF(AND(INDEX(Employes_Nom,223)&lt;&gt;"",INDEX(Employes_Statut,223)="Actif",OR(INDEX(Employes_Embauche,223)="",INDEX(Employes_Embauche,223)&lt;=EOMONTH(DATE(AnneeCourante,MoisCourant,1),0))),INDEX(Employes_ID,223),"")</f>
      </c>
      <c r="B229" s="19">
        <f>IF($A229="","",INDEX(Employes_Nom,MATCH($A229,Employes_ID,0)))</f>
      </c>
      <c r="C229" s="20">
        <f>IF($A229="","",INDEX(Employes_Categorie,MATCH($A229,Employes_ID,0)))</f>
      </c>
      <c r="D229" s="26"/>
      <c r="E229" s="27"/>
      <c r="F229" s="26"/>
      <c r="G229" s="27"/>
      <c r="H229" s="26"/>
      <c r="I229" s="27"/>
      <c r="J229" s="26"/>
      <c r="K229" s="27"/>
      <c r="L229" s="26"/>
      <c r="M229" s="27"/>
      <c r="N229" s="26"/>
      <c r="O229" s="27"/>
      <c r="P229" s="26"/>
      <c r="Q229" s="27"/>
      <c r="R229" s="26"/>
      <c r="S229" s="27"/>
      <c r="T229" s="26"/>
      <c r="U229" s="27"/>
      <c r="V229" s="26"/>
      <c r="W229" s="27"/>
      <c r="X229" s="26"/>
      <c r="Y229" s="27"/>
      <c r="Z229" s="26"/>
      <c r="AA229" s="27"/>
      <c r="AB229" s="26"/>
      <c r="AC229" s="27"/>
      <c r="AD229" s="26"/>
      <c r="AE229" s="27"/>
      <c r="AF229" s="26"/>
      <c r="AG229" s="27"/>
      <c r="AH229" s="26"/>
      <c r="AI229" s="27"/>
      <c r="AJ229" s="26"/>
      <c r="AK229" s="27"/>
      <c r="AL229" s="26"/>
      <c r="AM229" s="27"/>
      <c r="AN229" s="26"/>
      <c r="AO229" s="27"/>
      <c r="AP229" s="26"/>
      <c r="AQ229" s="27"/>
      <c r="AR229" s="26"/>
      <c r="AS229" s="27"/>
      <c r="AT229" s="26"/>
      <c r="AU229" s="27"/>
      <c r="AV229" s="26"/>
      <c r="AW229" s="27"/>
      <c r="AX229" s="26"/>
      <c r="AY229" s="27"/>
      <c r="AZ229" s="26"/>
      <c r="BA229" s="27"/>
      <c r="BB229" s="26"/>
      <c r="BC229" s="27"/>
      <c r="BD229" s="26"/>
      <c r="BE229" s="27"/>
      <c r="BF229" s="26"/>
      <c r="BG229" s="27"/>
      <c r="BH229" s="26"/>
      <c r="BI229" s="27"/>
      <c r="BJ229" s="26"/>
      <c r="BK229" s="27"/>
      <c r="BL229" s="26"/>
      <c r="BM229" s="27"/>
      <c r="BN229" s="22">
        <f>IF($A229="","",SUM(IF($D$5&lt;&gt;"",--(D229="Présent"),0),IF($F$5&lt;&gt;"",--(F229="Présent"),0),IF($H$5&lt;&gt;"",--(H229="Présent"),0),IF($J$5&lt;&gt;"",--(J229="Présent"),0),IF($L$5&lt;&gt;"",--(L229="Présent"),0),IF($N$5&lt;&gt;"",--(N229="Présent"),0),IF($P$5&lt;&gt;"",--(P229="Présent"),0),IF($R$5&lt;&gt;"",--(R229="Présent"),0),IF($T$5&lt;&gt;"",--(T229="Présent"),0),IF($V$5&lt;&gt;"",--(V229="Présent"),0),IF($X$5&lt;&gt;"",--(X229="Présent"),0),IF($Z$5&lt;&gt;"",--(Z229="Présent"),0),IF($AB$5&lt;&gt;"",--(AB229="Présent"),0),IF($AD$5&lt;&gt;"",--(AD229="Présent"),0),IF($AF$5&lt;&gt;"",--(AF229="Présent"),0),IF($AH$5&lt;&gt;"",--(AH229="Présent"),0),IF($AJ$5&lt;&gt;"",--(AJ229="Présent"),0),IF($AL$5&lt;&gt;"",--(AL229="Présent"),0),IF($AN$5&lt;&gt;"",--(AN229="Présent"),0),IF($AP$5&lt;&gt;"",--(AP229="Présent"),0),IF($AR$5&lt;&gt;"",--(AR229="Présent"),0),IF($AT$5&lt;&gt;"",--(AT229="Présent"),0),IF($AV$5&lt;&gt;"",--(AV229="Présent"),0),IF($AX$5&lt;&gt;"",--(AX229="Présent"),0),IF($AZ$5&lt;&gt;"",--(AZ229="Présent"),0),IF($BB$5&lt;&gt;"",--(BB229="Présent"),0),IF($BD$5&lt;&gt;"",--(BD229="Présent"),0),IF($BF$5&lt;&gt;"",--(BF229="Présent"),0),IF($BH$5&lt;&gt;"",--(BH229="Présent"),0),IF($BJ$5&lt;&gt;"",--(BJ229="Présent"),0),IF($BL$5&lt;&gt;"",--(BL229="Présent"),0)))</f>
      </c>
      <c r="BO229" s="22">
        <f>IF($A229="","",SUM(IF($D$5&lt;&gt;"",--(D229="Absent"),0),IF($F$5&lt;&gt;"",--(F229="Absent"),0),IF($H$5&lt;&gt;"",--(H229="Absent"),0),IF($J$5&lt;&gt;"",--(J229="Absent"),0),IF($L$5&lt;&gt;"",--(L229="Absent"),0),IF($N$5&lt;&gt;"",--(N229="Absent"),0),IF($P$5&lt;&gt;"",--(P229="Absent"),0),IF($R$5&lt;&gt;"",--(R229="Absent"),0),IF($T$5&lt;&gt;"",--(T229="Absent"),0),IF($V$5&lt;&gt;"",--(V229="Absent"),0),IF($X$5&lt;&gt;"",--(X229="Absent"),0),IF($Z$5&lt;&gt;"",--(Z229="Absent"),0),IF($AB$5&lt;&gt;"",--(AB229="Absent"),0),IF($AD$5&lt;&gt;"",--(AD229="Absent"),0),IF($AF$5&lt;&gt;"",--(AF229="Absent"),0),IF($AH$5&lt;&gt;"",--(AH229="Absent"),0),IF($AJ$5&lt;&gt;"",--(AJ229="Absent"),0),IF($AL$5&lt;&gt;"",--(AL229="Absent"),0),IF($AN$5&lt;&gt;"",--(AN229="Absent"),0),IF($AP$5&lt;&gt;"",--(AP229="Absent"),0),IF($AR$5&lt;&gt;"",--(AR229="Absent"),0),IF($AT$5&lt;&gt;"",--(AT229="Absent"),0),IF($AV$5&lt;&gt;"",--(AV229="Absent"),0),IF($AX$5&lt;&gt;"",--(AX229="Absent"),0),IF($AZ$5&lt;&gt;"",--(AZ229="Absent"),0),IF($BB$5&lt;&gt;"",--(BB229="Absent"),0),IF($BD$5&lt;&gt;"",--(BD229="Absent"),0),IF($BF$5&lt;&gt;"",--(BF229="Absent"),0),IF($BH$5&lt;&gt;"",--(BH229="Absent"),0),IF($BJ$5&lt;&gt;"",--(BJ229="Absent"),0),IF($BL$5&lt;&gt;"",--(BL229="Absent"),0)))</f>
      </c>
      <c r="BP229" s="22">
        <f>IF($A229="","",SUM(IF($D$5&lt;&gt;"",--(D229="Congé"),0),IF($F$5&lt;&gt;"",--(F229="Congé"),0),IF($H$5&lt;&gt;"",--(H229="Congé"),0),IF($J$5&lt;&gt;"",--(J229="Congé"),0),IF($L$5&lt;&gt;"",--(L229="Congé"),0),IF($N$5&lt;&gt;"",--(N229="Congé"),0),IF($P$5&lt;&gt;"",--(P229="Congé"),0),IF($R$5&lt;&gt;"",--(R229="Congé"),0),IF($T$5&lt;&gt;"",--(T229="Congé"),0),IF($V$5&lt;&gt;"",--(V229="Congé"),0),IF($X$5&lt;&gt;"",--(X229="Congé"),0),IF($Z$5&lt;&gt;"",--(Z229="Congé"),0),IF($AB$5&lt;&gt;"",--(AB229="Congé"),0),IF($AD$5&lt;&gt;"",--(AD229="Congé"),0),IF($AF$5&lt;&gt;"",--(AF229="Congé"),0),IF($AH$5&lt;&gt;"",--(AH229="Congé"),0),IF($AJ$5&lt;&gt;"",--(AJ229="Congé"),0),IF($AL$5&lt;&gt;"",--(AL229="Congé"),0),IF($AN$5&lt;&gt;"",--(AN229="Congé"),0),IF($AP$5&lt;&gt;"",--(AP229="Congé"),0),IF($AR$5&lt;&gt;"",--(AR229="Congé"),0),IF($AT$5&lt;&gt;"",--(AT229="Congé"),0),IF($AV$5&lt;&gt;"",--(AV229="Congé"),0),IF($AX$5&lt;&gt;"",--(AX229="Congé"),0),IF($AZ$5&lt;&gt;"",--(AZ229="Congé"),0),IF($BB$5&lt;&gt;"",--(BB229="Congé"),0),IF($BD$5&lt;&gt;"",--(BD229="Congé"),0),IF($BF$5&lt;&gt;"",--(BF229="Congé"),0),IF($BH$5&lt;&gt;"",--(BH229="Congé"),0),IF($BJ$5&lt;&gt;"",--(BJ229="Congé"),0),IF($BL$5&lt;&gt;"",--(BL229="Congé"),0)))</f>
      </c>
      <c r="BQ229" s="22">
        <f>IF($A229="","",SUM(IF($D$5&lt;&gt;"",--(D229="Maladie"),0),IF($F$5&lt;&gt;"",--(F229="Maladie"),0),IF($H$5&lt;&gt;"",--(H229="Maladie"),0),IF($J$5&lt;&gt;"",--(J229="Maladie"),0),IF($L$5&lt;&gt;"",--(L229="Maladie"),0),IF($N$5&lt;&gt;"",--(N229="Maladie"),0),IF($P$5&lt;&gt;"",--(P229="Maladie"),0),IF($R$5&lt;&gt;"",--(R229="Maladie"),0),IF($T$5&lt;&gt;"",--(T229="Maladie"),0),IF($V$5&lt;&gt;"",--(V229="Maladie"),0),IF($X$5&lt;&gt;"",--(X229="Maladie"),0),IF($Z$5&lt;&gt;"",--(Z229="Maladie"),0),IF($AB$5&lt;&gt;"",--(AB229="Maladie"),0),IF($AD$5&lt;&gt;"",--(AD229="Maladie"),0),IF($AF$5&lt;&gt;"",--(AF229="Maladie"),0),IF($AH$5&lt;&gt;"",--(AH229="Maladie"),0),IF($AJ$5&lt;&gt;"",--(AJ229="Maladie"),0),IF($AL$5&lt;&gt;"",--(AL229="Maladie"),0),IF($AN$5&lt;&gt;"",--(AN229="Maladie"),0),IF($AP$5&lt;&gt;"",--(AP229="Maladie"),0),IF($AR$5&lt;&gt;"",--(AR229="Maladie"),0),IF($AT$5&lt;&gt;"",--(AT229="Maladie"),0),IF($AV$5&lt;&gt;"",--(AV229="Maladie"),0),IF($AX$5&lt;&gt;"",--(AX229="Maladie"),0),IF($AZ$5&lt;&gt;"",--(AZ229="Maladie"),0),IF($BB$5&lt;&gt;"",--(BB229="Maladie"),0),IF($BD$5&lt;&gt;"",--(BD229="Maladie"),0),IF($BF$5&lt;&gt;"",--(BF229="Maladie"),0),IF($BH$5&lt;&gt;"",--(BH229="Maladie"),0),IF($BJ$5&lt;&gt;"",--(BJ229="Maladie"),0),IF($BL$5&lt;&gt;"",--(BL229="Maladie"),0)))</f>
      </c>
      <c r="BR229" s="23">
        <f>IF($A229="","",SUM(IF($D$5&lt;&gt;"",IF(D229="Présent",E229,0),0),IF($F$5&lt;&gt;"",IF(F229="Présent",G229,0),0),IF($H$5&lt;&gt;"",IF(H229="Présent",I229,0),0),IF($J$5&lt;&gt;"",IF(J229="Présent",K229,0),0),IF($L$5&lt;&gt;"",IF(L229="Présent",M229,0),0),IF($N$5&lt;&gt;"",IF(N229="Présent",O229,0),0),IF($P$5&lt;&gt;"",IF(P229="Présent",Q229,0),0),IF($R$5&lt;&gt;"",IF(R229="Présent",S229,0),0),IF($T$5&lt;&gt;"",IF(T229="Présent",U229,0),0),IF($V$5&lt;&gt;"",IF(V229="Présent",W229,0),0),IF($X$5&lt;&gt;"",IF(X229="Présent",Y229,0),0),IF($Z$5&lt;&gt;"",IF(Z229="Présent",AA229,0),0),IF($AB$5&lt;&gt;"",IF(AB229="Présent",AC229,0),0),IF($AD$5&lt;&gt;"",IF(AD229="Présent",AE229,0),0),IF($AF$5&lt;&gt;"",IF(AF229="Présent",AG229,0),0),IF($AH$5&lt;&gt;"",IF(AH229="Présent",AI229,0),0),IF($AJ$5&lt;&gt;"",IF(AJ229="Présent",AK229,0),0),IF($AL$5&lt;&gt;"",IF(AL229="Présent",AM229,0),0),IF($AN$5&lt;&gt;"",IF(AN229="Présent",AO229,0),0),IF($AP$5&lt;&gt;"",IF(AP229="Présent",AQ229,0),0),IF($AR$5&lt;&gt;"",IF(AR229="Présent",AS229,0),0),IF($AT$5&lt;&gt;"",IF(AT229="Présent",AU229,0),0),IF($AV$5&lt;&gt;"",IF(AV229="Présent",AW229,0),0),IF($AX$5&lt;&gt;"",IF(AX229="Présent",AY229,0),0),IF($AZ$5&lt;&gt;"",IF(AZ229="Présent",BA229,0),0),IF($BB$5&lt;&gt;"",IF(BB229="Présent",BC229,0),0),IF($BD$5&lt;&gt;"",IF(BD229="Présent",BE229,0),0),IF($BF$5&lt;&gt;"",IF(BF229="Présent",BG229,0),0),IF($BH$5&lt;&gt;"",IF(BH229="Présent",BI229,0),0),IF($BJ$5&lt;&gt;"",IF(BJ229="Présent",BK229,0),0),IF($BL$5&lt;&gt;"",IF(BL229="Présent",BM229,0),0)))</f>
      </c>
      <c r="BS229" s="25">
        <f>IF($A229="","",$BN229*IFERROR(INDEX(Categories_Salaire,MATCH($C229,ListeCategories,0)),0)+$BR229*IF(IFERROR(INDEX(Categories_TauxHS,MATCH($C229,ListeCategories,0)),0)&gt;0,IFERROR(INDEX(Categories_TauxHS,MATCH($C229,ListeCategories,0)),0),TauxHSDefaut))</f>
      </c>
    </row>
    <row r="230">
      <c r="A230" s="20">
        <f>IF(AND(INDEX(Employes_Nom,224)&lt;&gt;"",INDEX(Employes_Statut,224)="Actif",OR(INDEX(Employes_Embauche,224)="",INDEX(Employes_Embauche,224)&lt;=EOMONTH(DATE(AnneeCourante,MoisCourant,1),0))),INDEX(Employes_ID,224),"")</f>
      </c>
      <c r="B230" s="19">
        <f>IF($A230="","",INDEX(Employes_Nom,MATCH($A230,Employes_ID,0)))</f>
      </c>
      <c r="C230" s="20">
        <f>IF($A230="","",INDEX(Employes_Categorie,MATCH($A230,Employes_ID,0)))</f>
      </c>
      <c r="D230" s="26"/>
      <c r="E230" s="27"/>
      <c r="F230" s="26"/>
      <c r="G230" s="27"/>
      <c r="H230" s="26"/>
      <c r="I230" s="27"/>
      <c r="J230" s="26"/>
      <c r="K230" s="27"/>
      <c r="L230" s="26"/>
      <c r="M230" s="27"/>
      <c r="N230" s="26"/>
      <c r="O230" s="27"/>
      <c r="P230" s="26"/>
      <c r="Q230" s="27"/>
      <c r="R230" s="26"/>
      <c r="S230" s="27"/>
      <c r="T230" s="26"/>
      <c r="U230" s="27"/>
      <c r="V230" s="26"/>
      <c r="W230" s="27"/>
      <c r="X230" s="26"/>
      <c r="Y230" s="27"/>
      <c r="Z230" s="26"/>
      <c r="AA230" s="27"/>
      <c r="AB230" s="26"/>
      <c r="AC230" s="27"/>
      <c r="AD230" s="26"/>
      <c r="AE230" s="27"/>
      <c r="AF230" s="26"/>
      <c r="AG230" s="27"/>
      <c r="AH230" s="26"/>
      <c r="AI230" s="27"/>
      <c r="AJ230" s="26"/>
      <c r="AK230" s="27"/>
      <c r="AL230" s="26"/>
      <c r="AM230" s="27"/>
      <c r="AN230" s="26"/>
      <c r="AO230" s="27"/>
      <c r="AP230" s="26"/>
      <c r="AQ230" s="27"/>
      <c r="AR230" s="26"/>
      <c r="AS230" s="27"/>
      <c r="AT230" s="26"/>
      <c r="AU230" s="27"/>
      <c r="AV230" s="26"/>
      <c r="AW230" s="27"/>
      <c r="AX230" s="26"/>
      <c r="AY230" s="27"/>
      <c r="AZ230" s="26"/>
      <c r="BA230" s="27"/>
      <c r="BB230" s="26"/>
      <c r="BC230" s="27"/>
      <c r="BD230" s="26"/>
      <c r="BE230" s="27"/>
      <c r="BF230" s="26"/>
      <c r="BG230" s="27"/>
      <c r="BH230" s="26"/>
      <c r="BI230" s="27"/>
      <c r="BJ230" s="26"/>
      <c r="BK230" s="27"/>
      <c r="BL230" s="26"/>
      <c r="BM230" s="27"/>
      <c r="BN230" s="22">
        <f>IF($A230="","",SUM(IF($D$5&lt;&gt;"",--(D230="Présent"),0),IF($F$5&lt;&gt;"",--(F230="Présent"),0),IF($H$5&lt;&gt;"",--(H230="Présent"),0),IF($J$5&lt;&gt;"",--(J230="Présent"),0),IF($L$5&lt;&gt;"",--(L230="Présent"),0),IF($N$5&lt;&gt;"",--(N230="Présent"),0),IF($P$5&lt;&gt;"",--(P230="Présent"),0),IF($R$5&lt;&gt;"",--(R230="Présent"),0),IF($T$5&lt;&gt;"",--(T230="Présent"),0),IF($V$5&lt;&gt;"",--(V230="Présent"),0),IF($X$5&lt;&gt;"",--(X230="Présent"),0),IF($Z$5&lt;&gt;"",--(Z230="Présent"),0),IF($AB$5&lt;&gt;"",--(AB230="Présent"),0),IF($AD$5&lt;&gt;"",--(AD230="Présent"),0),IF($AF$5&lt;&gt;"",--(AF230="Présent"),0),IF($AH$5&lt;&gt;"",--(AH230="Présent"),0),IF($AJ$5&lt;&gt;"",--(AJ230="Présent"),0),IF($AL$5&lt;&gt;"",--(AL230="Présent"),0),IF($AN$5&lt;&gt;"",--(AN230="Présent"),0),IF($AP$5&lt;&gt;"",--(AP230="Présent"),0),IF($AR$5&lt;&gt;"",--(AR230="Présent"),0),IF($AT$5&lt;&gt;"",--(AT230="Présent"),0),IF($AV$5&lt;&gt;"",--(AV230="Présent"),0),IF($AX$5&lt;&gt;"",--(AX230="Présent"),0),IF($AZ$5&lt;&gt;"",--(AZ230="Présent"),0),IF($BB$5&lt;&gt;"",--(BB230="Présent"),0),IF($BD$5&lt;&gt;"",--(BD230="Présent"),0),IF($BF$5&lt;&gt;"",--(BF230="Présent"),0),IF($BH$5&lt;&gt;"",--(BH230="Présent"),0),IF($BJ$5&lt;&gt;"",--(BJ230="Présent"),0),IF($BL$5&lt;&gt;"",--(BL230="Présent"),0)))</f>
      </c>
      <c r="BO230" s="22">
        <f>IF($A230="","",SUM(IF($D$5&lt;&gt;"",--(D230="Absent"),0),IF($F$5&lt;&gt;"",--(F230="Absent"),0),IF($H$5&lt;&gt;"",--(H230="Absent"),0),IF($J$5&lt;&gt;"",--(J230="Absent"),0),IF($L$5&lt;&gt;"",--(L230="Absent"),0),IF($N$5&lt;&gt;"",--(N230="Absent"),0),IF($P$5&lt;&gt;"",--(P230="Absent"),0),IF($R$5&lt;&gt;"",--(R230="Absent"),0),IF($T$5&lt;&gt;"",--(T230="Absent"),0),IF($V$5&lt;&gt;"",--(V230="Absent"),0),IF($X$5&lt;&gt;"",--(X230="Absent"),0),IF($Z$5&lt;&gt;"",--(Z230="Absent"),0),IF($AB$5&lt;&gt;"",--(AB230="Absent"),0),IF($AD$5&lt;&gt;"",--(AD230="Absent"),0),IF($AF$5&lt;&gt;"",--(AF230="Absent"),0),IF($AH$5&lt;&gt;"",--(AH230="Absent"),0),IF($AJ$5&lt;&gt;"",--(AJ230="Absent"),0),IF($AL$5&lt;&gt;"",--(AL230="Absent"),0),IF($AN$5&lt;&gt;"",--(AN230="Absent"),0),IF($AP$5&lt;&gt;"",--(AP230="Absent"),0),IF($AR$5&lt;&gt;"",--(AR230="Absent"),0),IF($AT$5&lt;&gt;"",--(AT230="Absent"),0),IF($AV$5&lt;&gt;"",--(AV230="Absent"),0),IF($AX$5&lt;&gt;"",--(AX230="Absent"),0),IF($AZ$5&lt;&gt;"",--(AZ230="Absent"),0),IF($BB$5&lt;&gt;"",--(BB230="Absent"),0),IF($BD$5&lt;&gt;"",--(BD230="Absent"),0),IF($BF$5&lt;&gt;"",--(BF230="Absent"),0),IF($BH$5&lt;&gt;"",--(BH230="Absent"),0),IF($BJ$5&lt;&gt;"",--(BJ230="Absent"),0),IF($BL$5&lt;&gt;"",--(BL230="Absent"),0)))</f>
      </c>
      <c r="BP230" s="22">
        <f>IF($A230="","",SUM(IF($D$5&lt;&gt;"",--(D230="Congé"),0),IF($F$5&lt;&gt;"",--(F230="Congé"),0),IF($H$5&lt;&gt;"",--(H230="Congé"),0),IF($J$5&lt;&gt;"",--(J230="Congé"),0),IF($L$5&lt;&gt;"",--(L230="Congé"),0),IF($N$5&lt;&gt;"",--(N230="Congé"),0),IF($P$5&lt;&gt;"",--(P230="Congé"),0),IF($R$5&lt;&gt;"",--(R230="Congé"),0),IF($T$5&lt;&gt;"",--(T230="Congé"),0),IF($V$5&lt;&gt;"",--(V230="Congé"),0),IF($X$5&lt;&gt;"",--(X230="Congé"),0),IF($Z$5&lt;&gt;"",--(Z230="Congé"),0),IF($AB$5&lt;&gt;"",--(AB230="Congé"),0),IF($AD$5&lt;&gt;"",--(AD230="Congé"),0),IF($AF$5&lt;&gt;"",--(AF230="Congé"),0),IF($AH$5&lt;&gt;"",--(AH230="Congé"),0),IF($AJ$5&lt;&gt;"",--(AJ230="Congé"),0),IF($AL$5&lt;&gt;"",--(AL230="Congé"),0),IF($AN$5&lt;&gt;"",--(AN230="Congé"),0),IF($AP$5&lt;&gt;"",--(AP230="Congé"),0),IF($AR$5&lt;&gt;"",--(AR230="Congé"),0),IF($AT$5&lt;&gt;"",--(AT230="Congé"),0),IF($AV$5&lt;&gt;"",--(AV230="Congé"),0),IF($AX$5&lt;&gt;"",--(AX230="Congé"),0),IF($AZ$5&lt;&gt;"",--(AZ230="Congé"),0),IF($BB$5&lt;&gt;"",--(BB230="Congé"),0),IF($BD$5&lt;&gt;"",--(BD230="Congé"),0),IF($BF$5&lt;&gt;"",--(BF230="Congé"),0),IF($BH$5&lt;&gt;"",--(BH230="Congé"),0),IF($BJ$5&lt;&gt;"",--(BJ230="Congé"),0),IF($BL$5&lt;&gt;"",--(BL230="Congé"),0)))</f>
      </c>
      <c r="BQ230" s="22">
        <f>IF($A230="","",SUM(IF($D$5&lt;&gt;"",--(D230="Maladie"),0),IF($F$5&lt;&gt;"",--(F230="Maladie"),0),IF($H$5&lt;&gt;"",--(H230="Maladie"),0),IF($J$5&lt;&gt;"",--(J230="Maladie"),0),IF($L$5&lt;&gt;"",--(L230="Maladie"),0),IF($N$5&lt;&gt;"",--(N230="Maladie"),0),IF($P$5&lt;&gt;"",--(P230="Maladie"),0),IF($R$5&lt;&gt;"",--(R230="Maladie"),0),IF($T$5&lt;&gt;"",--(T230="Maladie"),0),IF($V$5&lt;&gt;"",--(V230="Maladie"),0),IF($X$5&lt;&gt;"",--(X230="Maladie"),0),IF($Z$5&lt;&gt;"",--(Z230="Maladie"),0),IF($AB$5&lt;&gt;"",--(AB230="Maladie"),0),IF($AD$5&lt;&gt;"",--(AD230="Maladie"),0),IF($AF$5&lt;&gt;"",--(AF230="Maladie"),0),IF($AH$5&lt;&gt;"",--(AH230="Maladie"),0),IF($AJ$5&lt;&gt;"",--(AJ230="Maladie"),0),IF($AL$5&lt;&gt;"",--(AL230="Maladie"),0),IF($AN$5&lt;&gt;"",--(AN230="Maladie"),0),IF($AP$5&lt;&gt;"",--(AP230="Maladie"),0),IF($AR$5&lt;&gt;"",--(AR230="Maladie"),0),IF($AT$5&lt;&gt;"",--(AT230="Maladie"),0),IF($AV$5&lt;&gt;"",--(AV230="Maladie"),0),IF($AX$5&lt;&gt;"",--(AX230="Maladie"),0),IF($AZ$5&lt;&gt;"",--(AZ230="Maladie"),0),IF($BB$5&lt;&gt;"",--(BB230="Maladie"),0),IF($BD$5&lt;&gt;"",--(BD230="Maladie"),0),IF($BF$5&lt;&gt;"",--(BF230="Maladie"),0),IF($BH$5&lt;&gt;"",--(BH230="Maladie"),0),IF($BJ$5&lt;&gt;"",--(BJ230="Maladie"),0),IF($BL$5&lt;&gt;"",--(BL230="Maladie"),0)))</f>
      </c>
      <c r="BR230" s="23">
        <f>IF($A230="","",SUM(IF($D$5&lt;&gt;"",IF(D230="Présent",E230,0),0),IF($F$5&lt;&gt;"",IF(F230="Présent",G230,0),0),IF($H$5&lt;&gt;"",IF(H230="Présent",I230,0),0),IF($J$5&lt;&gt;"",IF(J230="Présent",K230,0),0),IF($L$5&lt;&gt;"",IF(L230="Présent",M230,0),0),IF($N$5&lt;&gt;"",IF(N230="Présent",O230,0),0),IF($P$5&lt;&gt;"",IF(P230="Présent",Q230,0),0),IF($R$5&lt;&gt;"",IF(R230="Présent",S230,0),0),IF($T$5&lt;&gt;"",IF(T230="Présent",U230,0),0),IF($V$5&lt;&gt;"",IF(V230="Présent",W230,0),0),IF($X$5&lt;&gt;"",IF(X230="Présent",Y230,0),0),IF($Z$5&lt;&gt;"",IF(Z230="Présent",AA230,0),0),IF($AB$5&lt;&gt;"",IF(AB230="Présent",AC230,0),0),IF($AD$5&lt;&gt;"",IF(AD230="Présent",AE230,0),0),IF($AF$5&lt;&gt;"",IF(AF230="Présent",AG230,0),0),IF($AH$5&lt;&gt;"",IF(AH230="Présent",AI230,0),0),IF($AJ$5&lt;&gt;"",IF(AJ230="Présent",AK230,0),0),IF($AL$5&lt;&gt;"",IF(AL230="Présent",AM230,0),0),IF($AN$5&lt;&gt;"",IF(AN230="Présent",AO230,0),0),IF($AP$5&lt;&gt;"",IF(AP230="Présent",AQ230,0),0),IF($AR$5&lt;&gt;"",IF(AR230="Présent",AS230,0),0),IF($AT$5&lt;&gt;"",IF(AT230="Présent",AU230,0),0),IF($AV$5&lt;&gt;"",IF(AV230="Présent",AW230,0),0),IF($AX$5&lt;&gt;"",IF(AX230="Présent",AY230,0),0),IF($AZ$5&lt;&gt;"",IF(AZ230="Présent",BA230,0),0),IF($BB$5&lt;&gt;"",IF(BB230="Présent",BC230,0),0),IF($BD$5&lt;&gt;"",IF(BD230="Présent",BE230,0),0),IF($BF$5&lt;&gt;"",IF(BF230="Présent",BG230,0),0),IF($BH$5&lt;&gt;"",IF(BH230="Présent",BI230,0),0),IF($BJ$5&lt;&gt;"",IF(BJ230="Présent",BK230,0),0),IF($BL$5&lt;&gt;"",IF(BL230="Présent",BM230,0),0)))</f>
      </c>
      <c r="BS230" s="25">
        <f>IF($A230="","",$BN230*IFERROR(INDEX(Categories_Salaire,MATCH($C230,ListeCategories,0)),0)+$BR230*IF(IFERROR(INDEX(Categories_TauxHS,MATCH($C230,ListeCategories,0)),0)&gt;0,IFERROR(INDEX(Categories_TauxHS,MATCH($C230,ListeCategories,0)),0),TauxHSDefaut))</f>
      </c>
    </row>
    <row r="231">
      <c r="A231" s="20">
        <f>IF(AND(INDEX(Employes_Nom,225)&lt;&gt;"",INDEX(Employes_Statut,225)="Actif",OR(INDEX(Employes_Embauche,225)="",INDEX(Employes_Embauche,225)&lt;=EOMONTH(DATE(AnneeCourante,MoisCourant,1),0))),INDEX(Employes_ID,225),"")</f>
      </c>
      <c r="B231" s="19">
        <f>IF($A231="","",INDEX(Employes_Nom,MATCH($A231,Employes_ID,0)))</f>
      </c>
      <c r="C231" s="20">
        <f>IF($A231="","",INDEX(Employes_Categorie,MATCH($A231,Employes_ID,0)))</f>
      </c>
      <c r="D231" s="26"/>
      <c r="E231" s="27"/>
      <c r="F231" s="26"/>
      <c r="G231" s="27"/>
      <c r="H231" s="26"/>
      <c r="I231" s="27"/>
      <c r="J231" s="26"/>
      <c r="K231" s="27"/>
      <c r="L231" s="26"/>
      <c r="M231" s="27"/>
      <c r="N231" s="26"/>
      <c r="O231" s="27"/>
      <c r="P231" s="26"/>
      <c r="Q231" s="27"/>
      <c r="R231" s="26"/>
      <c r="S231" s="27"/>
      <c r="T231" s="26"/>
      <c r="U231" s="27"/>
      <c r="V231" s="26"/>
      <c r="W231" s="27"/>
      <c r="X231" s="26"/>
      <c r="Y231" s="27"/>
      <c r="Z231" s="26"/>
      <c r="AA231" s="27"/>
      <c r="AB231" s="26"/>
      <c r="AC231" s="27"/>
      <c r="AD231" s="26"/>
      <c r="AE231" s="27"/>
      <c r="AF231" s="26"/>
      <c r="AG231" s="27"/>
      <c r="AH231" s="26"/>
      <c r="AI231" s="27"/>
      <c r="AJ231" s="26"/>
      <c r="AK231" s="27"/>
      <c r="AL231" s="26"/>
      <c r="AM231" s="27"/>
      <c r="AN231" s="26"/>
      <c r="AO231" s="27"/>
      <c r="AP231" s="26"/>
      <c r="AQ231" s="27"/>
      <c r="AR231" s="26"/>
      <c r="AS231" s="27"/>
      <c r="AT231" s="26"/>
      <c r="AU231" s="27"/>
      <c r="AV231" s="26"/>
      <c r="AW231" s="27"/>
      <c r="AX231" s="26"/>
      <c r="AY231" s="27"/>
      <c r="AZ231" s="26"/>
      <c r="BA231" s="27"/>
      <c r="BB231" s="26"/>
      <c r="BC231" s="27"/>
      <c r="BD231" s="26"/>
      <c r="BE231" s="27"/>
      <c r="BF231" s="26"/>
      <c r="BG231" s="27"/>
      <c r="BH231" s="26"/>
      <c r="BI231" s="27"/>
      <c r="BJ231" s="26"/>
      <c r="BK231" s="27"/>
      <c r="BL231" s="26"/>
      <c r="BM231" s="27"/>
      <c r="BN231" s="22">
        <f>IF($A231="","",SUM(IF($D$5&lt;&gt;"",--(D231="Présent"),0),IF($F$5&lt;&gt;"",--(F231="Présent"),0),IF($H$5&lt;&gt;"",--(H231="Présent"),0),IF($J$5&lt;&gt;"",--(J231="Présent"),0),IF($L$5&lt;&gt;"",--(L231="Présent"),0),IF($N$5&lt;&gt;"",--(N231="Présent"),0),IF($P$5&lt;&gt;"",--(P231="Présent"),0),IF($R$5&lt;&gt;"",--(R231="Présent"),0),IF($T$5&lt;&gt;"",--(T231="Présent"),0),IF($V$5&lt;&gt;"",--(V231="Présent"),0),IF($X$5&lt;&gt;"",--(X231="Présent"),0),IF($Z$5&lt;&gt;"",--(Z231="Présent"),0),IF($AB$5&lt;&gt;"",--(AB231="Présent"),0),IF($AD$5&lt;&gt;"",--(AD231="Présent"),0),IF($AF$5&lt;&gt;"",--(AF231="Présent"),0),IF($AH$5&lt;&gt;"",--(AH231="Présent"),0),IF($AJ$5&lt;&gt;"",--(AJ231="Présent"),0),IF($AL$5&lt;&gt;"",--(AL231="Présent"),0),IF($AN$5&lt;&gt;"",--(AN231="Présent"),0),IF($AP$5&lt;&gt;"",--(AP231="Présent"),0),IF($AR$5&lt;&gt;"",--(AR231="Présent"),0),IF($AT$5&lt;&gt;"",--(AT231="Présent"),0),IF($AV$5&lt;&gt;"",--(AV231="Présent"),0),IF($AX$5&lt;&gt;"",--(AX231="Présent"),0),IF($AZ$5&lt;&gt;"",--(AZ231="Présent"),0),IF($BB$5&lt;&gt;"",--(BB231="Présent"),0),IF($BD$5&lt;&gt;"",--(BD231="Présent"),0),IF($BF$5&lt;&gt;"",--(BF231="Présent"),0),IF($BH$5&lt;&gt;"",--(BH231="Présent"),0),IF($BJ$5&lt;&gt;"",--(BJ231="Présent"),0),IF($BL$5&lt;&gt;"",--(BL231="Présent"),0)))</f>
      </c>
      <c r="BO231" s="22">
        <f>IF($A231="","",SUM(IF($D$5&lt;&gt;"",--(D231="Absent"),0),IF($F$5&lt;&gt;"",--(F231="Absent"),0),IF($H$5&lt;&gt;"",--(H231="Absent"),0),IF($J$5&lt;&gt;"",--(J231="Absent"),0),IF($L$5&lt;&gt;"",--(L231="Absent"),0),IF($N$5&lt;&gt;"",--(N231="Absent"),0),IF($P$5&lt;&gt;"",--(P231="Absent"),0),IF($R$5&lt;&gt;"",--(R231="Absent"),0),IF($T$5&lt;&gt;"",--(T231="Absent"),0),IF($V$5&lt;&gt;"",--(V231="Absent"),0),IF($X$5&lt;&gt;"",--(X231="Absent"),0),IF($Z$5&lt;&gt;"",--(Z231="Absent"),0),IF($AB$5&lt;&gt;"",--(AB231="Absent"),0),IF($AD$5&lt;&gt;"",--(AD231="Absent"),0),IF($AF$5&lt;&gt;"",--(AF231="Absent"),0),IF($AH$5&lt;&gt;"",--(AH231="Absent"),0),IF($AJ$5&lt;&gt;"",--(AJ231="Absent"),0),IF($AL$5&lt;&gt;"",--(AL231="Absent"),0),IF($AN$5&lt;&gt;"",--(AN231="Absent"),0),IF($AP$5&lt;&gt;"",--(AP231="Absent"),0),IF($AR$5&lt;&gt;"",--(AR231="Absent"),0),IF($AT$5&lt;&gt;"",--(AT231="Absent"),0),IF($AV$5&lt;&gt;"",--(AV231="Absent"),0),IF($AX$5&lt;&gt;"",--(AX231="Absent"),0),IF($AZ$5&lt;&gt;"",--(AZ231="Absent"),0),IF($BB$5&lt;&gt;"",--(BB231="Absent"),0),IF($BD$5&lt;&gt;"",--(BD231="Absent"),0),IF($BF$5&lt;&gt;"",--(BF231="Absent"),0),IF($BH$5&lt;&gt;"",--(BH231="Absent"),0),IF($BJ$5&lt;&gt;"",--(BJ231="Absent"),0),IF($BL$5&lt;&gt;"",--(BL231="Absent"),0)))</f>
      </c>
      <c r="BP231" s="22">
        <f>IF($A231="","",SUM(IF($D$5&lt;&gt;"",--(D231="Congé"),0),IF($F$5&lt;&gt;"",--(F231="Congé"),0),IF($H$5&lt;&gt;"",--(H231="Congé"),0),IF($J$5&lt;&gt;"",--(J231="Congé"),0),IF($L$5&lt;&gt;"",--(L231="Congé"),0),IF($N$5&lt;&gt;"",--(N231="Congé"),0),IF($P$5&lt;&gt;"",--(P231="Congé"),0),IF($R$5&lt;&gt;"",--(R231="Congé"),0),IF($T$5&lt;&gt;"",--(T231="Congé"),0),IF($V$5&lt;&gt;"",--(V231="Congé"),0),IF($X$5&lt;&gt;"",--(X231="Congé"),0),IF($Z$5&lt;&gt;"",--(Z231="Congé"),0),IF($AB$5&lt;&gt;"",--(AB231="Congé"),0),IF($AD$5&lt;&gt;"",--(AD231="Congé"),0),IF($AF$5&lt;&gt;"",--(AF231="Congé"),0),IF($AH$5&lt;&gt;"",--(AH231="Congé"),0),IF($AJ$5&lt;&gt;"",--(AJ231="Congé"),0),IF($AL$5&lt;&gt;"",--(AL231="Congé"),0),IF($AN$5&lt;&gt;"",--(AN231="Congé"),0),IF($AP$5&lt;&gt;"",--(AP231="Congé"),0),IF($AR$5&lt;&gt;"",--(AR231="Congé"),0),IF($AT$5&lt;&gt;"",--(AT231="Congé"),0),IF($AV$5&lt;&gt;"",--(AV231="Congé"),0),IF($AX$5&lt;&gt;"",--(AX231="Congé"),0),IF($AZ$5&lt;&gt;"",--(AZ231="Congé"),0),IF($BB$5&lt;&gt;"",--(BB231="Congé"),0),IF($BD$5&lt;&gt;"",--(BD231="Congé"),0),IF($BF$5&lt;&gt;"",--(BF231="Congé"),0),IF($BH$5&lt;&gt;"",--(BH231="Congé"),0),IF($BJ$5&lt;&gt;"",--(BJ231="Congé"),0),IF($BL$5&lt;&gt;"",--(BL231="Congé"),0)))</f>
      </c>
      <c r="BQ231" s="22">
        <f>IF($A231="","",SUM(IF($D$5&lt;&gt;"",--(D231="Maladie"),0),IF($F$5&lt;&gt;"",--(F231="Maladie"),0),IF($H$5&lt;&gt;"",--(H231="Maladie"),0),IF($J$5&lt;&gt;"",--(J231="Maladie"),0),IF($L$5&lt;&gt;"",--(L231="Maladie"),0),IF($N$5&lt;&gt;"",--(N231="Maladie"),0),IF($P$5&lt;&gt;"",--(P231="Maladie"),0),IF($R$5&lt;&gt;"",--(R231="Maladie"),0),IF($T$5&lt;&gt;"",--(T231="Maladie"),0),IF($V$5&lt;&gt;"",--(V231="Maladie"),0),IF($X$5&lt;&gt;"",--(X231="Maladie"),0),IF($Z$5&lt;&gt;"",--(Z231="Maladie"),0),IF($AB$5&lt;&gt;"",--(AB231="Maladie"),0),IF($AD$5&lt;&gt;"",--(AD231="Maladie"),0),IF($AF$5&lt;&gt;"",--(AF231="Maladie"),0),IF($AH$5&lt;&gt;"",--(AH231="Maladie"),0),IF($AJ$5&lt;&gt;"",--(AJ231="Maladie"),0),IF($AL$5&lt;&gt;"",--(AL231="Maladie"),0),IF($AN$5&lt;&gt;"",--(AN231="Maladie"),0),IF($AP$5&lt;&gt;"",--(AP231="Maladie"),0),IF($AR$5&lt;&gt;"",--(AR231="Maladie"),0),IF($AT$5&lt;&gt;"",--(AT231="Maladie"),0),IF($AV$5&lt;&gt;"",--(AV231="Maladie"),0),IF($AX$5&lt;&gt;"",--(AX231="Maladie"),0),IF($AZ$5&lt;&gt;"",--(AZ231="Maladie"),0),IF($BB$5&lt;&gt;"",--(BB231="Maladie"),0),IF($BD$5&lt;&gt;"",--(BD231="Maladie"),0),IF($BF$5&lt;&gt;"",--(BF231="Maladie"),0),IF($BH$5&lt;&gt;"",--(BH231="Maladie"),0),IF($BJ$5&lt;&gt;"",--(BJ231="Maladie"),0),IF($BL$5&lt;&gt;"",--(BL231="Maladie"),0)))</f>
      </c>
      <c r="BR231" s="23">
        <f>IF($A231="","",SUM(IF($D$5&lt;&gt;"",IF(D231="Présent",E231,0),0),IF($F$5&lt;&gt;"",IF(F231="Présent",G231,0),0),IF($H$5&lt;&gt;"",IF(H231="Présent",I231,0),0),IF($J$5&lt;&gt;"",IF(J231="Présent",K231,0),0),IF($L$5&lt;&gt;"",IF(L231="Présent",M231,0),0),IF($N$5&lt;&gt;"",IF(N231="Présent",O231,0),0),IF($P$5&lt;&gt;"",IF(P231="Présent",Q231,0),0),IF($R$5&lt;&gt;"",IF(R231="Présent",S231,0),0),IF($T$5&lt;&gt;"",IF(T231="Présent",U231,0),0),IF($V$5&lt;&gt;"",IF(V231="Présent",W231,0),0),IF($X$5&lt;&gt;"",IF(X231="Présent",Y231,0),0),IF($Z$5&lt;&gt;"",IF(Z231="Présent",AA231,0),0),IF($AB$5&lt;&gt;"",IF(AB231="Présent",AC231,0),0),IF($AD$5&lt;&gt;"",IF(AD231="Présent",AE231,0),0),IF($AF$5&lt;&gt;"",IF(AF231="Présent",AG231,0),0),IF($AH$5&lt;&gt;"",IF(AH231="Présent",AI231,0),0),IF($AJ$5&lt;&gt;"",IF(AJ231="Présent",AK231,0),0),IF($AL$5&lt;&gt;"",IF(AL231="Présent",AM231,0),0),IF($AN$5&lt;&gt;"",IF(AN231="Présent",AO231,0),0),IF($AP$5&lt;&gt;"",IF(AP231="Présent",AQ231,0),0),IF($AR$5&lt;&gt;"",IF(AR231="Présent",AS231,0),0),IF($AT$5&lt;&gt;"",IF(AT231="Présent",AU231,0),0),IF($AV$5&lt;&gt;"",IF(AV231="Présent",AW231,0),0),IF($AX$5&lt;&gt;"",IF(AX231="Présent",AY231,0),0),IF($AZ$5&lt;&gt;"",IF(AZ231="Présent",BA231,0),0),IF($BB$5&lt;&gt;"",IF(BB231="Présent",BC231,0),0),IF($BD$5&lt;&gt;"",IF(BD231="Présent",BE231,0),0),IF($BF$5&lt;&gt;"",IF(BF231="Présent",BG231,0),0),IF($BH$5&lt;&gt;"",IF(BH231="Présent",BI231,0),0),IF($BJ$5&lt;&gt;"",IF(BJ231="Présent",BK231,0),0),IF($BL$5&lt;&gt;"",IF(BL231="Présent",BM231,0),0)))</f>
      </c>
      <c r="BS231" s="25">
        <f>IF($A231="","",$BN231*IFERROR(INDEX(Categories_Salaire,MATCH($C231,ListeCategories,0)),0)+$BR231*IF(IFERROR(INDEX(Categories_TauxHS,MATCH($C231,ListeCategories,0)),0)&gt;0,IFERROR(INDEX(Categories_TauxHS,MATCH($C231,ListeCategories,0)),0),TauxHSDefaut))</f>
      </c>
    </row>
    <row r="232">
      <c r="A232" s="20">
        <f>IF(AND(INDEX(Employes_Nom,226)&lt;&gt;"",INDEX(Employes_Statut,226)="Actif",OR(INDEX(Employes_Embauche,226)="",INDEX(Employes_Embauche,226)&lt;=EOMONTH(DATE(AnneeCourante,MoisCourant,1),0))),INDEX(Employes_ID,226),"")</f>
      </c>
      <c r="B232" s="19">
        <f>IF($A232="","",INDEX(Employes_Nom,MATCH($A232,Employes_ID,0)))</f>
      </c>
      <c r="C232" s="20">
        <f>IF($A232="","",INDEX(Employes_Categorie,MATCH($A232,Employes_ID,0)))</f>
      </c>
      <c r="D232" s="26"/>
      <c r="E232" s="27"/>
      <c r="F232" s="26"/>
      <c r="G232" s="27"/>
      <c r="H232" s="26"/>
      <c r="I232" s="27"/>
      <c r="J232" s="26"/>
      <c r="K232" s="27"/>
      <c r="L232" s="26"/>
      <c r="M232" s="27"/>
      <c r="N232" s="26"/>
      <c r="O232" s="27"/>
      <c r="P232" s="26"/>
      <c r="Q232" s="27"/>
      <c r="R232" s="26"/>
      <c r="S232" s="27"/>
      <c r="T232" s="26"/>
      <c r="U232" s="27"/>
      <c r="V232" s="26"/>
      <c r="W232" s="27"/>
      <c r="X232" s="26"/>
      <c r="Y232" s="27"/>
      <c r="Z232" s="26"/>
      <c r="AA232" s="27"/>
      <c r="AB232" s="26"/>
      <c r="AC232" s="27"/>
      <c r="AD232" s="26"/>
      <c r="AE232" s="27"/>
      <c r="AF232" s="26"/>
      <c r="AG232" s="27"/>
      <c r="AH232" s="26"/>
      <c r="AI232" s="27"/>
      <c r="AJ232" s="26"/>
      <c r="AK232" s="27"/>
      <c r="AL232" s="26"/>
      <c r="AM232" s="27"/>
      <c r="AN232" s="26"/>
      <c r="AO232" s="27"/>
      <c r="AP232" s="26"/>
      <c r="AQ232" s="27"/>
      <c r="AR232" s="26"/>
      <c r="AS232" s="27"/>
      <c r="AT232" s="26"/>
      <c r="AU232" s="27"/>
      <c r="AV232" s="26"/>
      <c r="AW232" s="27"/>
      <c r="AX232" s="26"/>
      <c r="AY232" s="27"/>
      <c r="AZ232" s="26"/>
      <c r="BA232" s="27"/>
      <c r="BB232" s="26"/>
      <c r="BC232" s="27"/>
      <c r="BD232" s="26"/>
      <c r="BE232" s="27"/>
      <c r="BF232" s="26"/>
      <c r="BG232" s="27"/>
      <c r="BH232" s="26"/>
      <c r="BI232" s="27"/>
      <c r="BJ232" s="26"/>
      <c r="BK232" s="27"/>
      <c r="BL232" s="26"/>
      <c r="BM232" s="27"/>
      <c r="BN232" s="22">
        <f>IF($A232="","",SUM(IF($D$5&lt;&gt;"",--(D232="Présent"),0),IF($F$5&lt;&gt;"",--(F232="Présent"),0),IF($H$5&lt;&gt;"",--(H232="Présent"),0),IF($J$5&lt;&gt;"",--(J232="Présent"),0),IF($L$5&lt;&gt;"",--(L232="Présent"),0),IF($N$5&lt;&gt;"",--(N232="Présent"),0),IF($P$5&lt;&gt;"",--(P232="Présent"),0),IF($R$5&lt;&gt;"",--(R232="Présent"),0),IF($T$5&lt;&gt;"",--(T232="Présent"),0),IF($V$5&lt;&gt;"",--(V232="Présent"),0),IF($X$5&lt;&gt;"",--(X232="Présent"),0),IF($Z$5&lt;&gt;"",--(Z232="Présent"),0),IF($AB$5&lt;&gt;"",--(AB232="Présent"),0),IF($AD$5&lt;&gt;"",--(AD232="Présent"),0),IF($AF$5&lt;&gt;"",--(AF232="Présent"),0),IF($AH$5&lt;&gt;"",--(AH232="Présent"),0),IF($AJ$5&lt;&gt;"",--(AJ232="Présent"),0),IF($AL$5&lt;&gt;"",--(AL232="Présent"),0),IF($AN$5&lt;&gt;"",--(AN232="Présent"),0),IF($AP$5&lt;&gt;"",--(AP232="Présent"),0),IF($AR$5&lt;&gt;"",--(AR232="Présent"),0),IF($AT$5&lt;&gt;"",--(AT232="Présent"),0),IF($AV$5&lt;&gt;"",--(AV232="Présent"),0),IF($AX$5&lt;&gt;"",--(AX232="Présent"),0),IF($AZ$5&lt;&gt;"",--(AZ232="Présent"),0),IF($BB$5&lt;&gt;"",--(BB232="Présent"),0),IF($BD$5&lt;&gt;"",--(BD232="Présent"),0),IF($BF$5&lt;&gt;"",--(BF232="Présent"),0),IF($BH$5&lt;&gt;"",--(BH232="Présent"),0),IF($BJ$5&lt;&gt;"",--(BJ232="Présent"),0),IF($BL$5&lt;&gt;"",--(BL232="Présent"),0)))</f>
      </c>
      <c r="BO232" s="22">
        <f>IF($A232="","",SUM(IF($D$5&lt;&gt;"",--(D232="Absent"),0),IF($F$5&lt;&gt;"",--(F232="Absent"),0),IF($H$5&lt;&gt;"",--(H232="Absent"),0),IF($J$5&lt;&gt;"",--(J232="Absent"),0),IF($L$5&lt;&gt;"",--(L232="Absent"),0),IF($N$5&lt;&gt;"",--(N232="Absent"),0),IF($P$5&lt;&gt;"",--(P232="Absent"),0),IF($R$5&lt;&gt;"",--(R232="Absent"),0),IF($T$5&lt;&gt;"",--(T232="Absent"),0),IF($V$5&lt;&gt;"",--(V232="Absent"),0),IF($X$5&lt;&gt;"",--(X232="Absent"),0),IF($Z$5&lt;&gt;"",--(Z232="Absent"),0),IF($AB$5&lt;&gt;"",--(AB232="Absent"),0),IF($AD$5&lt;&gt;"",--(AD232="Absent"),0),IF($AF$5&lt;&gt;"",--(AF232="Absent"),0),IF($AH$5&lt;&gt;"",--(AH232="Absent"),0),IF($AJ$5&lt;&gt;"",--(AJ232="Absent"),0),IF($AL$5&lt;&gt;"",--(AL232="Absent"),0),IF($AN$5&lt;&gt;"",--(AN232="Absent"),0),IF($AP$5&lt;&gt;"",--(AP232="Absent"),0),IF($AR$5&lt;&gt;"",--(AR232="Absent"),0),IF($AT$5&lt;&gt;"",--(AT232="Absent"),0),IF($AV$5&lt;&gt;"",--(AV232="Absent"),0),IF($AX$5&lt;&gt;"",--(AX232="Absent"),0),IF($AZ$5&lt;&gt;"",--(AZ232="Absent"),0),IF($BB$5&lt;&gt;"",--(BB232="Absent"),0),IF($BD$5&lt;&gt;"",--(BD232="Absent"),0),IF($BF$5&lt;&gt;"",--(BF232="Absent"),0),IF($BH$5&lt;&gt;"",--(BH232="Absent"),0),IF($BJ$5&lt;&gt;"",--(BJ232="Absent"),0),IF($BL$5&lt;&gt;"",--(BL232="Absent"),0)))</f>
      </c>
      <c r="BP232" s="22">
        <f>IF($A232="","",SUM(IF($D$5&lt;&gt;"",--(D232="Congé"),0),IF($F$5&lt;&gt;"",--(F232="Congé"),0),IF($H$5&lt;&gt;"",--(H232="Congé"),0),IF($J$5&lt;&gt;"",--(J232="Congé"),0),IF($L$5&lt;&gt;"",--(L232="Congé"),0),IF($N$5&lt;&gt;"",--(N232="Congé"),0),IF($P$5&lt;&gt;"",--(P232="Congé"),0),IF($R$5&lt;&gt;"",--(R232="Congé"),0),IF($T$5&lt;&gt;"",--(T232="Congé"),0),IF($V$5&lt;&gt;"",--(V232="Congé"),0),IF($X$5&lt;&gt;"",--(X232="Congé"),0),IF($Z$5&lt;&gt;"",--(Z232="Congé"),0),IF($AB$5&lt;&gt;"",--(AB232="Congé"),0),IF($AD$5&lt;&gt;"",--(AD232="Congé"),0),IF($AF$5&lt;&gt;"",--(AF232="Congé"),0),IF($AH$5&lt;&gt;"",--(AH232="Congé"),0),IF($AJ$5&lt;&gt;"",--(AJ232="Congé"),0),IF($AL$5&lt;&gt;"",--(AL232="Congé"),0),IF($AN$5&lt;&gt;"",--(AN232="Congé"),0),IF($AP$5&lt;&gt;"",--(AP232="Congé"),0),IF($AR$5&lt;&gt;"",--(AR232="Congé"),0),IF($AT$5&lt;&gt;"",--(AT232="Congé"),0),IF($AV$5&lt;&gt;"",--(AV232="Congé"),0),IF($AX$5&lt;&gt;"",--(AX232="Congé"),0),IF($AZ$5&lt;&gt;"",--(AZ232="Congé"),0),IF($BB$5&lt;&gt;"",--(BB232="Congé"),0),IF($BD$5&lt;&gt;"",--(BD232="Congé"),0),IF($BF$5&lt;&gt;"",--(BF232="Congé"),0),IF($BH$5&lt;&gt;"",--(BH232="Congé"),0),IF($BJ$5&lt;&gt;"",--(BJ232="Congé"),0),IF($BL$5&lt;&gt;"",--(BL232="Congé"),0)))</f>
      </c>
      <c r="BQ232" s="22">
        <f>IF($A232="","",SUM(IF($D$5&lt;&gt;"",--(D232="Maladie"),0),IF($F$5&lt;&gt;"",--(F232="Maladie"),0),IF($H$5&lt;&gt;"",--(H232="Maladie"),0),IF($J$5&lt;&gt;"",--(J232="Maladie"),0),IF($L$5&lt;&gt;"",--(L232="Maladie"),0),IF($N$5&lt;&gt;"",--(N232="Maladie"),0),IF($P$5&lt;&gt;"",--(P232="Maladie"),0),IF($R$5&lt;&gt;"",--(R232="Maladie"),0),IF($T$5&lt;&gt;"",--(T232="Maladie"),0),IF($V$5&lt;&gt;"",--(V232="Maladie"),0),IF($X$5&lt;&gt;"",--(X232="Maladie"),0),IF($Z$5&lt;&gt;"",--(Z232="Maladie"),0),IF($AB$5&lt;&gt;"",--(AB232="Maladie"),0),IF($AD$5&lt;&gt;"",--(AD232="Maladie"),0),IF($AF$5&lt;&gt;"",--(AF232="Maladie"),0),IF($AH$5&lt;&gt;"",--(AH232="Maladie"),0),IF($AJ$5&lt;&gt;"",--(AJ232="Maladie"),0),IF($AL$5&lt;&gt;"",--(AL232="Maladie"),0),IF($AN$5&lt;&gt;"",--(AN232="Maladie"),0),IF($AP$5&lt;&gt;"",--(AP232="Maladie"),0),IF($AR$5&lt;&gt;"",--(AR232="Maladie"),0),IF($AT$5&lt;&gt;"",--(AT232="Maladie"),0),IF($AV$5&lt;&gt;"",--(AV232="Maladie"),0),IF($AX$5&lt;&gt;"",--(AX232="Maladie"),0),IF($AZ$5&lt;&gt;"",--(AZ232="Maladie"),0),IF($BB$5&lt;&gt;"",--(BB232="Maladie"),0),IF($BD$5&lt;&gt;"",--(BD232="Maladie"),0),IF($BF$5&lt;&gt;"",--(BF232="Maladie"),0),IF($BH$5&lt;&gt;"",--(BH232="Maladie"),0),IF($BJ$5&lt;&gt;"",--(BJ232="Maladie"),0),IF($BL$5&lt;&gt;"",--(BL232="Maladie"),0)))</f>
      </c>
      <c r="BR232" s="23">
        <f>IF($A232="","",SUM(IF($D$5&lt;&gt;"",IF(D232="Présent",E232,0),0),IF($F$5&lt;&gt;"",IF(F232="Présent",G232,0),0),IF($H$5&lt;&gt;"",IF(H232="Présent",I232,0),0),IF($J$5&lt;&gt;"",IF(J232="Présent",K232,0),0),IF($L$5&lt;&gt;"",IF(L232="Présent",M232,0),0),IF($N$5&lt;&gt;"",IF(N232="Présent",O232,0),0),IF($P$5&lt;&gt;"",IF(P232="Présent",Q232,0),0),IF($R$5&lt;&gt;"",IF(R232="Présent",S232,0),0),IF($T$5&lt;&gt;"",IF(T232="Présent",U232,0),0),IF($V$5&lt;&gt;"",IF(V232="Présent",W232,0),0),IF($X$5&lt;&gt;"",IF(X232="Présent",Y232,0),0),IF($Z$5&lt;&gt;"",IF(Z232="Présent",AA232,0),0),IF($AB$5&lt;&gt;"",IF(AB232="Présent",AC232,0),0),IF($AD$5&lt;&gt;"",IF(AD232="Présent",AE232,0),0),IF($AF$5&lt;&gt;"",IF(AF232="Présent",AG232,0),0),IF($AH$5&lt;&gt;"",IF(AH232="Présent",AI232,0),0),IF($AJ$5&lt;&gt;"",IF(AJ232="Présent",AK232,0),0),IF($AL$5&lt;&gt;"",IF(AL232="Présent",AM232,0),0),IF($AN$5&lt;&gt;"",IF(AN232="Présent",AO232,0),0),IF($AP$5&lt;&gt;"",IF(AP232="Présent",AQ232,0),0),IF($AR$5&lt;&gt;"",IF(AR232="Présent",AS232,0),0),IF($AT$5&lt;&gt;"",IF(AT232="Présent",AU232,0),0),IF($AV$5&lt;&gt;"",IF(AV232="Présent",AW232,0),0),IF($AX$5&lt;&gt;"",IF(AX232="Présent",AY232,0),0),IF($AZ$5&lt;&gt;"",IF(AZ232="Présent",BA232,0),0),IF($BB$5&lt;&gt;"",IF(BB232="Présent",BC232,0),0),IF($BD$5&lt;&gt;"",IF(BD232="Présent",BE232,0),0),IF($BF$5&lt;&gt;"",IF(BF232="Présent",BG232,0),0),IF($BH$5&lt;&gt;"",IF(BH232="Présent",BI232,0),0),IF($BJ$5&lt;&gt;"",IF(BJ232="Présent",BK232,0),0),IF($BL$5&lt;&gt;"",IF(BL232="Présent",BM232,0),0)))</f>
      </c>
      <c r="BS232" s="25">
        <f>IF($A232="","",$BN232*IFERROR(INDEX(Categories_Salaire,MATCH($C232,ListeCategories,0)),0)+$BR232*IF(IFERROR(INDEX(Categories_TauxHS,MATCH($C232,ListeCategories,0)),0)&gt;0,IFERROR(INDEX(Categories_TauxHS,MATCH($C232,ListeCategories,0)),0),TauxHSDefaut))</f>
      </c>
    </row>
    <row r="233">
      <c r="A233" s="20">
        <f>IF(AND(INDEX(Employes_Nom,227)&lt;&gt;"",INDEX(Employes_Statut,227)="Actif",OR(INDEX(Employes_Embauche,227)="",INDEX(Employes_Embauche,227)&lt;=EOMONTH(DATE(AnneeCourante,MoisCourant,1),0))),INDEX(Employes_ID,227),"")</f>
      </c>
      <c r="B233" s="19">
        <f>IF($A233="","",INDEX(Employes_Nom,MATCH($A233,Employes_ID,0)))</f>
      </c>
      <c r="C233" s="20">
        <f>IF($A233="","",INDEX(Employes_Categorie,MATCH($A233,Employes_ID,0)))</f>
      </c>
      <c r="D233" s="26"/>
      <c r="E233" s="27"/>
      <c r="F233" s="26"/>
      <c r="G233" s="27"/>
      <c r="H233" s="26"/>
      <c r="I233" s="27"/>
      <c r="J233" s="26"/>
      <c r="K233" s="27"/>
      <c r="L233" s="26"/>
      <c r="M233" s="27"/>
      <c r="N233" s="26"/>
      <c r="O233" s="27"/>
      <c r="P233" s="26"/>
      <c r="Q233" s="27"/>
      <c r="R233" s="26"/>
      <c r="S233" s="27"/>
      <c r="T233" s="26"/>
      <c r="U233" s="27"/>
      <c r="V233" s="26"/>
      <c r="W233" s="27"/>
      <c r="X233" s="26"/>
      <c r="Y233" s="27"/>
      <c r="Z233" s="26"/>
      <c r="AA233" s="27"/>
      <c r="AB233" s="26"/>
      <c r="AC233" s="27"/>
      <c r="AD233" s="26"/>
      <c r="AE233" s="27"/>
      <c r="AF233" s="26"/>
      <c r="AG233" s="27"/>
      <c r="AH233" s="26"/>
      <c r="AI233" s="27"/>
      <c r="AJ233" s="26"/>
      <c r="AK233" s="27"/>
      <c r="AL233" s="26"/>
      <c r="AM233" s="27"/>
      <c r="AN233" s="26"/>
      <c r="AO233" s="27"/>
      <c r="AP233" s="26"/>
      <c r="AQ233" s="27"/>
      <c r="AR233" s="26"/>
      <c r="AS233" s="27"/>
      <c r="AT233" s="26"/>
      <c r="AU233" s="27"/>
      <c r="AV233" s="26"/>
      <c r="AW233" s="27"/>
      <c r="AX233" s="26"/>
      <c r="AY233" s="27"/>
      <c r="AZ233" s="26"/>
      <c r="BA233" s="27"/>
      <c r="BB233" s="26"/>
      <c r="BC233" s="27"/>
      <c r="BD233" s="26"/>
      <c r="BE233" s="27"/>
      <c r="BF233" s="26"/>
      <c r="BG233" s="27"/>
      <c r="BH233" s="26"/>
      <c r="BI233" s="27"/>
      <c r="BJ233" s="26"/>
      <c r="BK233" s="27"/>
      <c r="BL233" s="26"/>
      <c r="BM233" s="27"/>
      <c r="BN233" s="22">
        <f>IF($A233="","",SUM(IF($D$5&lt;&gt;"",--(D233="Présent"),0),IF($F$5&lt;&gt;"",--(F233="Présent"),0),IF($H$5&lt;&gt;"",--(H233="Présent"),0),IF($J$5&lt;&gt;"",--(J233="Présent"),0),IF($L$5&lt;&gt;"",--(L233="Présent"),0),IF($N$5&lt;&gt;"",--(N233="Présent"),0),IF($P$5&lt;&gt;"",--(P233="Présent"),0),IF($R$5&lt;&gt;"",--(R233="Présent"),0),IF($T$5&lt;&gt;"",--(T233="Présent"),0),IF($V$5&lt;&gt;"",--(V233="Présent"),0),IF($X$5&lt;&gt;"",--(X233="Présent"),0),IF($Z$5&lt;&gt;"",--(Z233="Présent"),0),IF($AB$5&lt;&gt;"",--(AB233="Présent"),0),IF($AD$5&lt;&gt;"",--(AD233="Présent"),0),IF($AF$5&lt;&gt;"",--(AF233="Présent"),0),IF($AH$5&lt;&gt;"",--(AH233="Présent"),0),IF($AJ$5&lt;&gt;"",--(AJ233="Présent"),0),IF($AL$5&lt;&gt;"",--(AL233="Présent"),0),IF($AN$5&lt;&gt;"",--(AN233="Présent"),0),IF($AP$5&lt;&gt;"",--(AP233="Présent"),0),IF($AR$5&lt;&gt;"",--(AR233="Présent"),0),IF($AT$5&lt;&gt;"",--(AT233="Présent"),0),IF($AV$5&lt;&gt;"",--(AV233="Présent"),0),IF($AX$5&lt;&gt;"",--(AX233="Présent"),0),IF($AZ$5&lt;&gt;"",--(AZ233="Présent"),0),IF($BB$5&lt;&gt;"",--(BB233="Présent"),0),IF($BD$5&lt;&gt;"",--(BD233="Présent"),0),IF($BF$5&lt;&gt;"",--(BF233="Présent"),0),IF($BH$5&lt;&gt;"",--(BH233="Présent"),0),IF($BJ$5&lt;&gt;"",--(BJ233="Présent"),0),IF($BL$5&lt;&gt;"",--(BL233="Présent"),0)))</f>
      </c>
      <c r="BO233" s="22">
        <f>IF($A233="","",SUM(IF($D$5&lt;&gt;"",--(D233="Absent"),0),IF($F$5&lt;&gt;"",--(F233="Absent"),0),IF($H$5&lt;&gt;"",--(H233="Absent"),0),IF($J$5&lt;&gt;"",--(J233="Absent"),0),IF($L$5&lt;&gt;"",--(L233="Absent"),0),IF($N$5&lt;&gt;"",--(N233="Absent"),0),IF($P$5&lt;&gt;"",--(P233="Absent"),0),IF($R$5&lt;&gt;"",--(R233="Absent"),0),IF($T$5&lt;&gt;"",--(T233="Absent"),0),IF($V$5&lt;&gt;"",--(V233="Absent"),0),IF($X$5&lt;&gt;"",--(X233="Absent"),0),IF($Z$5&lt;&gt;"",--(Z233="Absent"),0),IF($AB$5&lt;&gt;"",--(AB233="Absent"),0),IF($AD$5&lt;&gt;"",--(AD233="Absent"),0),IF($AF$5&lt;&gt;"",--(AF233="Absent"),0),IF($AH$5&lt;&gt;"",--(AH233="Absent"),0),IF($AJ$5&lt;&gt;"",--(AJ233="Absent"),0),IF($AL$5&lt;&gt;"",--(AL233="Absent"),0),IF($AN$5&lt;&gt;"",--(AN233="Absent"),0),IF($AP$5&lt;&gt;"",--(AP233="Absent"),0),IF($AR$5&lt;&gt;"",--(AR233="Absent"),0),IF($AT$5&lt;&gt;"",--(AT233="Absent"),0),IF($AV$5&lt;&gt;"",--(AV233="Absent"),0),IF($AX$5&lt;&gt;"",--(AX233="Absent"),0),IF($AZ$5&lt;&gt;"",--(AZ233="Absent"),0),IF($BB$5&lt;&gt;"",--(BB233="Absent"),0),IF($BD$5&lt;&gt;"",--(BD233="Absent"),0),IF($BF$5&lt;&gt;"",--(BF233="Absent"),0),IF($BH$5&lt;&gt;"",--(BH233="Absent"),0),IF($BJ$5&lt;&gt;"",--(BJ233="Absent"),0),IF($BL$5&lt;&gt;"",--(BL233="Absent"),0)))</f>
      </c>
      <c r="BP233" s="22">
        <f>IF($A233="","",SUM(IF($D$5&lt;&gt;"",--(D233="Congé"),0),IF($F$5&lt;&gt;"",--(F233="Congé"),0),IF($H$5&lt;&gt;"",--(H233="Congé"),0),IF($J$5&lt;&gt;"",--(J233="Congé"),0),IF($L$5&lt;&gt;"",--(L233="Congé"),0),IF($N$5&lt;&gt;"",--(N233="Congé"),0),IF($P$5&lt;&gt;"",--(P233="Congé"),0),IF($R$5&lt;&gt;"",--(R233="Congé"),0),IF($T$5&lt;&gt;"",--(T233="Congé"),0),IF($V$5&lt;&gt;"",--(V233="Congé"),0),IF($X$5&lt;&gt;"",--(X233="Congé"),0),IF($Z$5&lt;&gt;"",--(Z233="Congé"),0),IF($AB$5&lt;&gt;"",--(AB233="Congé"),0),IF($AD$5&lt;&gt;"",--(AD233="Congé"),0),IF($AF$5&lt;&gt;"",--(AF233="Congé"),0),IF($AH$5&lt;&gt;"",--(AH233="Congé"),0),IF($AJ$5&lt;&gt;"",--(AJ233="Congé"),0),IF($AL$5&lt;&gt;"",--(AL233="Congé"),0),IF($AN$5&lt;&gt;"",--(AN233="Congé"),0),IF($AP$5&lt;&gt;"",--(AP233="Congé"),0),IF($AR$5&lt;&gt;"",--(AR233="Congé"),0),IF($AT$5&lt;&gt;"",--(AT233="Congé"),0),IF($AV$5&lt;&gt;"",--(AV233="Congé"),0),IF($AX$5&lt;&gt;"",--(AX233="Congé"),0),IF($AZ$5&lt;&gt;"",--(AZ233="Congé"),0),IF($BB$5&lt;&gt;"",--(BB233="Congé"),0),IF($BD$5&lt;&gt;"",--(BD233="Congé"),0),IF($BF$5&lt;&gt;"",--(BF233="Congé"),0),IF($BH$5&lt;&gt;"",--(BH233="Congé"),0),IF($BJ$5&lt;&gt;"",--(BJ233="Congé"),0),IF($BL$5&lt;&gt;"",--(BL233="Congé"),0)))</f>
      </c>
      <c r="BQ233" s="22">
        <f>IF($A233="","",SUM(IF($D$5&lt;&gt;"",--(D233="Maladie"),0),IF($F$5&lt;&gt;"",--(F233="Maladie"),0),IF($H$5&lt;&gt;"",--(H233="Maladie"),0),IF($J$5&lt;&gt;"",--(J233="Maladie"),0),IF($L$5&lt;&gt;"",--(L233="Maladie"),0),IF($N$5&lt;&gt;"",--(N233="Maladie"),0),IF($P$5&lt;&gt;"",--(P233="Maladie"),0),IF($R$5&lt;&gt;"",--(R233="Maladie"),0),IF($T$5&lt;&gt;"",--(T233="Maladie"),0),IF($V$5&lt;&gt;"",--(V233="Maladie"),0),IF($X$5&lt;&gt;"",--(X233="Maladie"),0),IF($Z$5&lt;&gt;"",--(Z233="Maladie"),0),IF($AB$5&lt;&gt;"",--(AB233="Maladie"),0),IF($AD$5&lt;&gt;"",--(AD233="Maladie"),0),IF($AF$5&lt;&gt;"",--(AF233="Maladie"),0),IF($AH$5&lt;&gt;"",--(AH233="Maladie"),0),IF($AJ$5&lt;&gt;"",--(AJ233="Maladie"),0),IF($AL$5&lt;&gt;"",--(AL233="Maladie"),0),IF($AN$5&lt;&gt;"",--(AN233="Maladie"),0),IF($AP$5&lt;&gt;"",--(AP233="Maladie"),0),IF($AR$5&lt;&gt;"",--(AR233="Maladie"),0),IF($AT$5&lt;&gt;"",--(AT233="Maladie"),0),IF($AV$5&lt;&gt;"",--(AV233="Maladie"),0),IF($AX$5&lt;&gt;"",--(AX233="Maladie"),0),IF($AZ$5&lt;&gt;"",--(AZ233="Maladie"),0),IF($BB$5&lt;&gt;"",--(BB233="Maladie"),0),IF($BD$5&lt;&gt;"",--(BD233="Maladie"),0),IF($BF$5&lt;&gt;"",--(BF233="Maladie"),0),IF($BH$5&lt;&gt;"",--(BH233="Maladie"),0),IF($BJ$5&lt;&gt;"",--(BJ233="Maladie"),0),IF($BL$5&lt;&gt;"",--(BL233="Maladie"),0)))</f>
      </c>
      <c r="BR233" s="23">
        <f>IF($A233="","",SUM(IF($D$5&lt;&gt;"",IF(D233="Présent",E233,0),0),IF($F$5&lt;&gt;"",IF(F233="Présent",G233,0),0),IF($H$5&lt;&gt;"",IF(H233="Présent",I233,0),0),IF($J$5&lt;&gt;"",IF(J233="Présent",K233,0),0),IF($L$5&lt;&gt;"",IF(L233="Présent",M233,0),0),IF($N$5&lt;&gt;"",IF(N233="Présent",O233,0),0),IF($P$5&lt;&gt;"",IF(P233="Présent",Q233,0),0),IF($R$5&lt;&gt;"",IF(R233="Présent",S233,0),0),IF($T$5&lt;&gt;"",IF(T233="Présent",U233,0),0),IF($V$5&lt;&gt;"",IF(V233="Présent",W233,0),0),IF($X$5&lt;&gt;"",IF(X233="Présent",Y233,0),0),IF($Z$5&lt;&gt;"",IF(Z233="Présent",AA233,0),0),IF($AB$5&lt;&gt;"",IF(AB233="Présent",AC233,0),0),IF($AD$5&lt;&gt;"",IF(AD233="Présent",AE233,0),0),IF($AF$5&lt;&gt;"",IF(AF233="Présent",AG233,0),0),IF($AH$5&lt;&gt;"",IF(AH233="Présent",AI233,0),0),IF($AJ$5&lt;&gt;"",IF(AJ233="Présent",AK233,0),0),IF($AL$5&lt;&gt;"",IF(AL233="Présent",AM233,0),0),IF($AN$5&lt;&gt;"",IF(AN233="Présent",AO233,0),0),IF($AP$5&lt;&gt;"",IF(AP233="Présent",AQ233,0),0),IF($AR$5&lt;&gt;"",IF(AR233="Présent",AS233,0),0),IF($AT$5&lt;&gt;"",IF(AT233="Présent",AU233,0),0),IF($AV$5&lt;&gt;"",IF(AV233="Présent",AW233,0),0),IF($AX$5&lt;&gt;"",IF(AX233="Présent",AY233,0),0),IF($AZ$5&lt;&gt;"",IF(AZ233="Présent",BA233,0),0),IF($BB$5&lt;&gt;"",IF(BB233="Présent",BC233,0),0),IF($BD$5&lt;&gt;"",IF(BD233="Présent",BE233,0),0),IF($BF$5&lt;&gt;"",IF(BF233="Présent",BG233,0),0),IF($BH$5&lt;&gt;"",IF(BH233="Présent",BI233,0),0),IF($BJ$5&lt;&gt;"",IF(BJ233="Présent",BK233,0),0),IF($BL$5&lt;&gt;"",IF(BL233="Présent",BM233,0),0)))</f>
      </c>
      <c r="BS233" s="25">
        <f>IF($A233="","",$BN233*IFERROR(INDEX(Categories_Salaire,MATCH($C233,ListeCategories,0)),0)+$BR233*IF(IFERROR(INDEX(Categories_TauxHS,MATCH($C233,ListeCategories,0)),0)&gt;0,IFERROR(INDEX(Categories_TauxHS,MATCH($C233,ListeCategories,0)),0),TauxHSDefaut))</f>
      </c>
    </row>
    <row r="234">
      <c r="A234" s="20">
        <f>IF(AND(INDEX(Employes_Nom,228)&lt;&gt;"",INDEX(Employes_Statut,228)="Actif",OR(INDEX(Employes_Embauche,228)="",INDEX(Employes_Embauche,228)&lt;=EOMONTH(DATE(AnneeCourante,MoisCourant,1),0))),INDEX(Employes_ID,228),"")</f>
      </c>
      <c r="B234" s="19">
        <f>IF($A234="","",INDEX(Employes_Nom,MATCH($A234,Employes_ID,0)))</f>
      </c>
      <c r="C234" s="20">
        <f>IF($A234="","",INDEX(Employes_Categorie,MATCH($A234,Employes_ID,0)))</f>
      </c>
      <c r="D234" s="26"/>
      <c r="E234" s="27"/>
      <c r="F234" s="26"/>
      <c r="G234" s="27"/>
      <c r="H234" s="26"/>
      <c r="I234" s="27"/>
      <c r="J234" s="26"/>
      <c r="K234" s="27"/>
      <c r="L234" s="26"/>
      <c r="M234" s="27"/>
      <c r="N234" s="26"/>
      <c r="O234" s="27"/>
      <c r="P234" s="26"/>
      <c r="Q234" s="27"/>
      <c r="R234" s="26"/>
      <c r="S234" s="27"/>
      <c r="T234" s="26"/>
      <c r="U234" s="27"/>
      <c r="V234" s="26"/>
      <c r="W234" s="27"/>
      <c r="X234" s="26"/>
      <c r="Y234" s="27"/>
      <c r="Z234" s="26"/>
      <c r="AA234" s="27"/>
      <c r="AB234" s="26"/>
      <c r="AC234" s="27"/>
      <c r="AD234" s="26"/>
      <c r="AE234" s="27"/>
      <c r="AF234" s="26"/>
      <c r="AG234" s="27"/>
      <c r="AH234" s="26"/>
      <c r="AI234" s="27"/>
      <c r="AJ234" s="26"/>
      <c r="AK234" s="27"/>
      <c r="AL234" s="26"/>
      <c r="AM234" s="27"/>
      <c r="AN234" s="26"/>
      <c r="AO234" s="27"/>
      <c r="AP234" s="26"/>
      <c r="AQ234" s="27"/>
      <c r="AR234" s="26"/>
      <c r="AS234" s="27"/>
      <c r="AT234" s="26"/>
      <c r="AU234" s="27"/>
      <c r="AV234" s="26"/>
      <c r="AW234" s="27"/>
      <c r="AX234" s="26"/>
      <c r="AY234" s="27"/>
      <c r="AZ234" s="26"/>
      <c r="BA234" s="27"/>
      <c r="BB234" s="26"/>
      <c r="BC234" s="27"/>
      <c r="BD234" s="26"/>
      <c r="BE234" s="27"/>
      <c r="BF234" s="26"/>
      <c r="BG234" s="27"/>
      <c r="BH234" s="26"/>
      <c r="BI234" s="27"/>
      <c r="BJ234" s="26"/>
      <c r="BK234" s="27"/>
      <c r="BL234" s="26"/>
      <c r="BM234" s="27"/>
      <c r="BN234" s="22">
        <f>IF($A234="","",SUM(IF($D$5&lt;&gt;"",--(D234="Présent"),0),IF($F$5&lt;&gt;"",--(F234="Présent"),0),IF($H$5&lt;&gt;"",--(H234="Présent"),0),IF($J$5&lt;&gt;"",--(J234="Présent"),0),IF($L$5&lt;&gt;"",--(L234="Présent"),0),IF($N$5&lt;&gt;"",--(N234="Présent"),0),IF($P$5&lt;&gt;"",--(P234="Présent"),0),IF($R$5&lt;&gt;"",--(R234="Présent"),0),IF($T$5&lt;&gt;"",--(T234="Présent"),0),IF($V$5&lt;&gt;"",--(V234="Présent"),0),IF($X$5&lt;&gt;"",--(X234="Présent"),0),IF($Z$5&lt;&gt;"",--(Z234="Présent"),0),IF($AB$5&lt;&gt;"",--(AB234="Présent"),0),IF($AD$5&lt;&gt;"",--(AD234="Présent"),0),IF($AF$5&lt;&gt;"",--(AF234="Présent"),0),IF($AH$5&lt;&gt;"",--(AH234="Présent"),0),IF($AJ$5&lt;&gt;"",--(AJ234="Présent"),0),IF($AL$5&lt;&gt;"",--(AL234="Présent"),0),IF($AN$5&lt;&gt;"",--(AN234="Présent"),0),IF($AP$5&lt;&gt;"",--(AP234="Présent"),0),IF($AR$5&lt;&gt;"",--(AR234="Présent"),0),IF($AT$5&lt;&gt;"",--(AT234="Présent"),0),IF($AV$5&lt;&gt;"",--(AV234="Présent"),0),IF($AX$5&lt;&gt;"",--(AX234="Présent"),0),IF($AZ$5&lt;&gt;"",--(AZ234="Présent"),0),IF($BB$5&lt;&gt;"",--(BB234="Présent"),0),IF($BD$5&lt;&gt;"",--(BD234="Présent"),0),IF($BF$5&lt;&gt;"",--(BF234="Présent"),0),IF($BH$5&lt;&gt;"",--(BH234="Présent"),0),IF($BJ$5&lt;&gt;"",--(BJ234="Présent"),0),IF($BL$5&lt;&gt;"",--(BL234="Présent"),0)))</f>
      </c>
      <c r="BO234" s="22">
        <f>IF($A234="","",SUM(IF($D$5&lt;&gt;"",--(D234="Absent"),0),IF($F$5&lt;&gt;"",--(F234="Absent"),0),IF($H$5&lt;&gt;"",--(H234="Absent"),0),IF($J$5&lt;&gt;"",--(J234="Absent"),0),IF($L$5&lt;&gt;"",--(L234="Absent"),0),IF($N$5&lt;&gt;"",--(N234="Absent"),0),IF($P$5&lt;&gt;"",--(P234="Absent"),0),IF($R$5&lt;&gt;"",--(R234="Absent"),0),IF($T$5&lt;&gt;"",--(T234="Absent"),0),IF($V$5&lt;&gt;"",--(V234="Absent"),0),IF($X$5&lt;&gt;"",--(X234="Absent"),0),IF($Z$5&lt;&gt;"",--(Z234="Absent"),0),IF($AB$5&lt;&gt;"",--(AB234="Absent"),0),IF($AD$5&lt;&gt;"",--(AD234="Absent"),0),IF($AF$5&lt;&gt;"",--(AF234="Absent"),0),IF($AH$5&lt;&gt;"",--(AH234="Absent"),0),IF($AJ$5&lt;&gt;"",--(AJ234="Absent"),0),IF($AL$5&lt;&gt;"",--(AL234="Absent"),0),IF($AN$5&lt;&gt;"",--(AN234="Absent"),0),IF($AP$5&lt;&gt;"",--(AP234="Absent"),0),IF($AR$5&lt;&gt;"",--(AR234="Absent"),0),IF($AT$5&lt;&gt;"",--(AT234="Absent"),0),IF($AV$5&lt;&gt;"",--(AV234="Absent"),0),IF($AX$5&lt;&gt;"",--(AX234="Absent"),0),IF($AZ$5&lt;&gt;"",--(AZ234="Absent"),0),IF($BB$5&lt;&gt;"",--(BB234="Absent"),0),IF($BD$5&lt;&gt;"",--(BD234="Absent"),0),IF($BF$5&lt;&gt;"",--(BF234="Absent"),0),IF($BH$5&lt;&gt;"",--(BH234="Absent"),0),IF($BJ$5&lt;&gt;"",--(BJ234="Absent"),0),IF($BL$5&lt;&gt;"",--(BL234="Absent"),0)))</f>
      </c>
      <c r="BP234" s="22">
        <f>IF($A234="","",SUM(IF($D$5&lt;&gt;"",--(D234="Congé"),0),IF($F$5&lt;&gt;"",--(F234="Congé"),0),IF($H$5&lt;&gt;"",--(H234="Congé"),0),IF($J$5&lt;&gt;"",--(J234="Congé"),0),IF($L$5&lt;&gt;"",--(L234="Congé"),0),IF($N$5&lt;&gt;"",--(N234="Congé"),0),IF($P$5&lt;&gt;"",--(P234="Congé"),0),IF($R$5&lt;&gt;"",--(R234="Congé"),0),IF($T$5&lt;&gt;"",--(T234="Congé"),0),IF($V$5&lt;&gt;"",--(V234="Congé"),0),IF($X$5&lt;&gt;"",--(X234="Congé"),0),IF($Z$5&lt;&gt;"",--(Z234="Congé"),0),IF($AB$5&lt;&gt;"",--(AB234="Congé"),0),IF($AD$5&lt;&gt;"",--(AD234="Congé"),0),IF($AF$5&lt;&gt;"",--(AF234="Congé"),0),IF($AH$5&lt;&gt;"",--(AH234="Congé"),0),IF($AJ$5&lt;&gt;"",--(AJ234="Congé"),0),IF($AL$5&lt;&gt;"",--(AL234="Congé"),0),IF($AN$5&lt;&gt;"",--(AN234="Congé"),0),IF($AP$5&lt;&gt;"",--(AP234="Congé"),0),IF($AR$5&lt;&gt;"",--(AR234="Congé"),0),IF($AT$5&lt;&gt;"",--(AT234="Congé"),0),IF($AV$5&lt;&gt;"",--(AV234="Congé"),0),IF($AX$5&lt;&gt;"",--(AX234="Congé"),0),IF($AZ$5&lt;&gt;"",--(AZ234="Congé"),0),IF($BB$5&lt;&gt;"",--(BB234="Congé"),0),IF($BD$5&lt;&gt;"",--(BD234="Congé"),0),IF($BF$5&lt;&gt;"",--(BF234="Congé"),0),IF($BH$5&lt;&gt;"",--(BH234="Congé"),0),IF($BJ$5&lt;&gt;"",--(BJ234="Congé"),0),IF($BL$5&lt;&gt;"",--(BL234="Congé"),0)))</f>
      </c>
      <c r="BQ234" s="22">
        <f>IF($A234="","",SUM(IF($D$5&lt;&gt;"",--(D234="Maladie"),0),IF($F$5&lt;&gt;"",--(F234="Maladie"),0),IF($H$5&lt;&gt;"",--(H234="Maladie"),0),IF($J$5&lt;&gt;"",--(J234="Maladie"),0),IF($L$5&lt;&gt;"",--(L234="Maladie"),0),IF($N$5&lt;&gt;"",--(N234="Maladie"),0),IF($P$5&lt;&gt;"",--(P234="Maladie"),0),IF($R$5&lt;&gt;"",--(R234="Maladie"),0),IF($T$5&lt;&gt;"",--(T234="Maladie"),0),IF($V$5&lt;&gt;"",--(V234="Maladie"),0),IF($X$5&lt;&gt;"",--(X234="Maladie"),0),IF($Z$5&lt;&gt;"",--(Z234="Maladie"),0),IF($AB$5&lt;&gt;"",--(AB234="Maladie"),0),IF($AD$5&lt;&gt;"",--(AD234="Maladie"),0),IF($AF$5&lt;&gt;"",--(AF234="Maladie"),0),IF($AH$5&lt;&gt;"",--(AH234="Maladie"),0),IF($AJ$5&lt;&gt;"",--(AJ234="Maladie"),0),IF($AL$5&lt;&gt;"",--(AL234="Maladie"),0),IF($AN$5&lt;&gt;"",--(AN234="Maladie"),0),IF($AP$5&lt;&gt;"",--(AP234="Maladie"),0),IF($AR$5&lt;&gt;"",--(AR234="Maladie"),0),IF($AT$5&lt;&gt;"",--(AT234="Maladie"),0),IF($AV$5&lt;&gt;"",--(AV234="Maladie"),0),IF($AX$5&lt;&gt;"",--(AX234="Maladie"),0),IF($AZ$5&lt;&gt;"",--(AZ234="Maladie"),0),IF($BB$5&lt;&gt;"",--(BB234="Maladie"),0),IF($BD$5&lt;&gt;"",--(BD234="Maladie"),0),IF($BF$5&lt;&gt;"",--(BF234="Maladie"),0),IF($BH$5&lt;&gt;"",--(BH234="Maladie"),0),IF($BJ$5&lt;&gt;"",--(BJ234="Maladie"),0),IF($BL$5&lt;&gt;"",--(BL234="Maladie"),0)))</f>
      </c>
      <c r="BR234" s="23">
        <f>IF($A234="","",SUM(IF($D$5&lt;&gt;"",IF(D234="Présent",E234,0),0),IF($F$5&lt;&gt;"",IF(F234="Présent",G234,0),0),IF($H$5&lt;&gt;"",IF(H234="Présent",I234,0),0),IF($J$5&lt;&gt;"",IF(J234="Présent",K234,0),0),IF($L$5&lt;&gt;"",IF(L234="Présent",M234,0),0),IF($N$5&lt;&gt;"",IF(N234="Présent",O234,0),0),IF($P$5&lt;&gt;"",IF(P234="Présent",Q234,0),0),IF($R$5&lt;&gt;"",IF(R234="Présent",S234,0),0),IF($T$5&lt;&gt;"",IF(T234="Présent",U234,0),0),IF($V$5&lt;&gt;"",IF(V234="Présent",W234,0),0),IF($X$5&lt;&gt;"",IF(X234="Présent",Y234,0),0),IF($Z$5&lt;&gt;"",IF(Z234="Présent",AA234,0),0),IF($AB$5&lt;&gt;"",IF(AB234="Présent",AC234,0),0),IF($AD$5&lt;&gt;"",IF(AD234="Présent",AE234,0),0),IF($AF$5&lt;&gt;"",IF(AF234="Présent",AG234,0),0),IF($AH$5&lt;&gt;"",IF(AH234="Présent",AI234,0),0),IF($AJ$5&lt;&gt;"",IF(AJ234="Présent",AK234,0),0),IF($AL$5&lt;&gt;"",IF(AL234="Présent",AM234,0),0),IF($AN$5&lt;&gt;"",IF(AN234="Présent",AO234,0),0),IF($AP$5&lt;&gt;"",IF(AP234="Présent",AQ234,0),0),IF($AR$5&lt;&gt;"",IF(AR234="Présent",AS234,0),0),IF($AT$5&lt;&gt;"",IF(AT234="Présent",AU234,0),0),IF($AV$5&lt;&gt;"",IF(AV234="Présent",AW234,0),0),IF($AX$5&lt;&gt;"",IF(AX234="Présent",AY234,0),0),IF($AZ$5&lt;&gt;"",IF(AZ234="Présent",BA234,0),0),IF($BB$5&lt;&gt;"",IF(BB234="Présent",BC234,0),0),IF($BD$5&lt;&gt;"",IF(BD234="Présent",BE234,0),0),IF($BF$5&lt;&gt;"",IF(BF234="Présent",BG234,0),0),IF($BH$5&lt;&gt;"",IF(BH234="Présent",BI234,0),0),IF($BJ$5&lt;&gt;"",IF(BJ234="Présent",BK234,0),0),IF($BL$5&lt;&gt;"",IF(BL234="Présent",BM234,0),0)))</f>
      </c>
      <c r="BS234" s="25">
        <f>IF($A234="","",$BN234*IFERROR(INDEX(Categories_Salaire,MATCH($C234,ListeCategories,0)),0)+$BR234*IF(IFERROR(INDEX(Categories_TauxHS,MATCH($C234,ListeCategories,0)),0)&gt;0,IFERROR(INDEX(Categories_TauxHS,MATCH($C234,ListeCategories,0)),0),TauxHSDefaut))</f>
      </c>
    </row>
    <row r="235">
      <c r="A235" s="20">
        <f>IF(AND(INDEX(Employes_Nom,229)&lt;&gt;"",INDEX(Employes_Statut,229)="Actif",OR(INDEX(Employes_Embauche,229)="",INDEX(Employes_Embauche,229)&lt;=EOMONTH(DATE(AnneeCourante,MoisCourant,1),0))),INDEX(Employes_ID,229),"")</f>
      </c>
      <c r="B235" s="19">
        <f>IF($A235="","",INDEX(Employes_Nom,MATCH($A235,Employes_ID,0)))</f>
      </c>
      <c r="C235" s="20">
        <f>IF($A235="","",INDEX(Employes_Categorie,MATCH($A235,Employes_ID,0)))</f>
      </c>
      <c r="D235" s="26"/>
      <c r="E235" s="27"/>
      <c r="F235" s="26"/>
      <c r="G235" s="27"/>
      <c r="H235" s="26"/>
      <c r="I235" s="27"/>
      <c r="J235" s="26"/>
      <c r="K235" s="27"/>
      <c r="L235" s="26"/>
      <c r="M235" s="27"/>
      <c r="N235" s="26"/>
      <c r="O235" s="27"/>
      <c r="P235" s="26"/>
      <c r="Q235" s="27"/>
      <c r="R235" s="26"/>
      <c r="S235" s="27"/>
      <c r="T235" s="26"/>
      <c r="U235" s="27"/>
      <c r="V235" s="26"/>
      <c r="W235" s="27"/>
      <c r="X235" s="26"/>
      <c r="Y235" s="27"/>
      <c r="Z235" s="26"/>
      <c r="AA235" s="27"/>
      <c r="AB235" s="26"/>
      <c r="AC235" s="27"/>
      <c r="AD235" s="26"/>
      <c r="AE235" s="27"/>
      <c r="AF235" s="26"/>
      <c r="AG235" s="27"/>
      <c r="AH235" s="26"/>
      <c r="AI235" s="27"/>
      <c r="AJ235" s="26"/>
      <c r="AK235" s="27"/>
      <c r="AL235" s="26"/>
      <c r="AM235" s="27"/>
      <c r="AN235" s="26"/>
      <c r="AO235" s="27"/>
      <c r="AP235" s="26"/>
      <c r="AQ235" s="27"/>
      <c r="AR235" s="26"/>
      <c r="AS235" s="27"/>
      <c r="AT235" s="26"/>
      <c r="AU235" s="27"/>
      <c r="AV235" s="26"/>
      <c r="AW235" s="27"/>
      <c r="AX235" s="26"/>
      <c r="AY235" s="27"/>
      <c r="AZ235" s="26"/>
      <c r="BA235" s="27"/>
      <c r="BB235" s="26"/>
      <c r="BC235" s="27"/>
      <c r="BD235" s="26"/>
      <c r="BE235" s="27"/>
      <c r="BF235" s="26"/>
      <c r="BG235" s="27"/>
      <c r="BH235" s="26"/>
      <c r="BI235" s="27"/>
      <c r="BJ235" s="26"/>
      <c r="BK235" s="27"/>
      <c r="BL235" s="26"/>
      <c r="BM235" s="27"/>
      <c r="BN235" s="22">
        <f>IF($A235="","",SUM(IF($D$5&lt;&gt;"",--(D235="Présent"),0),IF($F$5&lt;&gt;"",--(F235="Présent"),0),IF($H$5&lt;&gt;"",--(H235="Présent"),0),IF($J$5&lt;&gt;"",--(J235="Présent"),0),IF($L$5&lt;&gt;"",--(L235="Présent"),0),IF($N$5&lt;&gt;"",--(N235="Présent"),0),IF($P$5&lt;&gt;"",--(P235="Présent"),0),IF($R$5&lt;&gt;"",--(R235="Présent"),0),IF($T$5&lt;&gt;"",--(T235="Présent"),0),IF($V$5&lt;&gt;"",--(V235="Présent"),0),IF($X$5&lt;&gt;"",--(X235="Présent"),0),IF($Z$5&lt;&gt;"",--(Z235="Présent"),0),IF($AB$5&lt;&gt;"",--(AB235="Présent"),0),IF($AD$5&lt;&gt;"",--(AD235="Présent"),0),IF($AF$5&lt;&gt;"",--(AF235="Présent"),0),IF($AH$5&lt;&gt;"",--(AH235="Présent"),0),IF($AJ$5&lt;&gt;"",--(AJ235="Présent"),0),IF($AL$5&lt;&gt;"",--(AL235="Présent"),0),IF($AN$5&lt;&gt;"",--(AN235="Présent"),0),IF($AP$5&lt;&gt;"",--(AP235="Présent"),0),IF($AR$5&lt;&gt;"",--(AR235="Présent"),0),IF($AT$5&lt;&gt;"",--(AT235="Présent"),0),IF($AV$5&lt;&gt;"",--(AV235="Présent"),0),IF($AX$5&lt;&gt;"",--(AX235="Présent"),0),IF($AZ$5&lt;&gt;"",--(AZ235="Présent"),0),IF($BB$5&lt;&gt;"",--(BB235="Présent"),0),IF($BD$5&lt;&gt;"",--(BD235="Présent"),0),IF($BF$5&lt;&gt;"",--(BF235="Présent"),0),IF($BH$5&lt;&gt;"",--(BH235="Présent"),0),IF($BJ$5&lt;&gt;"",--(BJ235="Présent"),0),IF($BL$5&lt;&gt;"",--(BL235="Présent"),0)))</f>
      </c>
      <c r="BO235" s="22">
        <f>IF($A235="","",SUM(IF($D$5&lt;&gt;"",--(D235="Absent"),0),IF($F$5&lt;&gt;"",--(F235="Absent"),0),IF($H$5&lt;&gt;"",--(H235="Absent"),0),IF($J$5&lt;&gt;"",--(J235="Absent"),0),IF($L$5&lt;&gt;"",--(L235="Absent"),0),IF($N$5&lt;&gt;"",--(N235="Absent"),0),IF($P$5&lt;&gt;"",--(P235="Absent"),0),IF($R$5&lt;&gt;"",--(R235="Absent"),0),IF($T$5&lt;&gt;"",--(T235="Absent"),0),IF($V$5&lt;&gt;"",--(V235="Absent"),0),IF($X$5&lt;&gt;"",--(X235="Absent"),0),IF($Z$5&lt;&gt;"",--(Z235="Absent"),0),IF($AB$5&lt;&gt;"",--(AB235="Absent"),0),IF($AD$5&lt;&gt;"",--(AD235="Absent"),0),IF($AF$5&lt;&gt;"",--(AF235="Absent"),0),IF($AH$5&lt;&gt;"",--(AH235="Absent"),0),IF($AJ$5&lt;&gt;"",--(AJ235="Absent"),0),IF($AL$5&lt;&gt;"",--(AL235="Absent"),0),IF($AN$5&lt;&gt;"",--(AN235="Absent"),0),IF($AP$5&lt;&gt;"",--(AP235="Absent"),0),IF($AR$5&lt;&gt;"",--(AR235="Absent"),0),IF($AT$5&lt;&gt;"",--(AT235="Absent"),0),IF($AV$5&lt;&gt;"",--(AV235="Absent"),0),IF($AX$5&lt;&gt;"",--(AX235="Absent"),0),IF($AZ$5&lt;&gt;"",--(AZ235="Absent"),0),IF($BB$5&lt;&gt;"",--(BB235="Absent"),0),IF($BD$5&lt;&gt;"",--(BD235="Absent"),0),IF($BF$5&lt;&gt;"",--(BF235="Absent"),0),IF($BH$5&lt;&gt;"",--(BH235="Absent"),0),IF($BJ$5&lt;&gt;"",--(BJ235="Absent"),0),IF($BL$5&lt;&gt;"",--(BL235="Absent"),0)))</f>
      </c>
      <c r="BP235" s="22">
        <f>IF($A235="","",SUM(IF($D$5&lt;&gt;"",--(D235="Congé"),0),IF($F$5&lt;&gt;"",--(F235="Congé"),0),IF($H$5&lt;&gt;"",--(H235="Congé"),0),IF($J$5&lt;&gt;"",--(J235="Congé"),0),IF($L$5&lt;&gt;"",--(L235="Congé"),0),IF($N$5&lt;&gt;"",--(N235="Congé"),0),IF($P$5&lt;&gt;"",--(P235="Congé"),0),IF($R$5&lt;&gt;"",--(R235="Congé"),0),IF($T$5&lt;&gt;"",--(T235="Congé"),0),IF($V$5&lt;&gt;"",--(V235="Congé"),0),IF($X$5&lt;&gt;"",--(X235="Congé"),0),IF($Z$5&lt;&gt;"",--(Z235="Congé"),0),IF($AB$5&lt;&gt;"",--(AB235="Congé"),0),IF($AD$5&lt;&gt;"",--(AD235="Congé"),0),IF($AF$5&lt;&gt;"",--(AF235="Congé"),0),IF($AH$5&lt;&gt;"",--(AH235="Congé"),0),IF($AJ$5&lt;&gt;"",--(AJ235="Congé"),0),IF($AL$5&lt;&gt;"",--(AL235="Congé"),0),IF($AN$5&lt;&gt;"",--(AN235="Congé"),0),IF($AP$5&lt;&gt;"",--(AP235="Congé"),0),IF($AR$5&lt;&gt;"",--(AR235="Congé"),0),IF($AT$5&lt;&gt;"",--(AT235="Congé"),0),IF($AV$5&lt;&gt;"",--(AV235="Congé"),0),IF($AX$5&lt;&gt;"",--(AX235="Congé"),0),IF($AZ$5&lt;&gt;"",--(AZ235="Congé"),0),IF($BB$5&lt;&gt;"",--(BB235="Congé"),0),IF($BD$5&lt;&gt;"",--(BD235="Congé"),0),IF($BF$5&lt;&gt;"",--(BF235="Congé"),0),IF($BH$5&lt;&gt;"",--(BH235="Congé"),0),IF($BJ$5&lt;&gt;"",--(BJ235="Congé"),0),IF($BL$5&lt;&gt;"",--(BL235="Congé"),0)))</f>
      </c>
      <c r="BQ235" s="22">
        <f>IF($A235="","",SUM(IF($D$5&lt;&gt;"",--(D235="Maladie"),0),IF($F$5&lt;&gt;"",--(F235="Maladie"),0),IF($H$5&lt;&gt;"",--(H235="Maladie"),0),IF($J$5&lt;&gt;"",--(J235="Maladie"),0),IF($L$5&lt;&gt;"",--(L235="Maladie"),0),IF($N$5&lt;&gt;"",--(N235="Maladie"),0),IF($P$5&lt;&gt;"",--(P235="Maladie"),0),IF($R$5&lt;&gt;"",--(R235="Maladie"),0),IF($T$5&lt;&gt;"",--(T235="Maladie"),0),IF($V$5&lt;&gt;"",--(V235="Maladie"),0),IF($X$5&lt;&gt;"",--(X235="Maladie"),0),IF($Z$5&lt;&gt;"",--(Z235="Maladie"),0),IF($AB$5&lt;&gt;"",--(AB235="Maladie"),0),IF($AD$5&lt;&gt;"",--(AD235="Maladie"),0),IF($AF$5&lt;&gt;"",--(AF235="Maladie"),0),IF($AH$5&lt;&gt;"",--(AH235="Maladie"),0),IF($AJ$5&lt;&gt;"",--(AJ235="Maladie"),0),IF($AL$5&lt;&gt;"",--(AL235="Maladie"),0),IF($AN$5&lt;&gt;"",--(AN235="Maladie"),0),IF($AP$5&lt;&gt;"",--(AP235="Maladie"),0),IF($AR$5&lt;&gt;"",--(AR235="Maladie"),0),IF($AT$5&lt;&gt;"",--(AT235="Maladie"),0),IF($AV$5&lt;&gt;"",--(AV235="Maladie"),0),IF($AX$5&lt;&gt;"",--(AX235="Maladie"),0),IF($AZ$5&lt;&gt;"",--(AZ235="Maladie"),0),IF($BB$5&lt;&gt;"",--(BB235="Maladie"),0),IF($BD$5&lt;&gt;"",--(BD235="Maladie"),0),IF($BF$5&lt;&gt;"",--(BF235="Maladie"),0),IF($BH$5&lt;&gt;"",--(BH235="Maladie"),0),IF($BJ$5&lt;&gt;"",--(BJ235="Maladie"),0),IF($BL$5&lt;&gt;"",--(BL235="Maladie"),0)))</f>
      </c>
      <c r="BR235" s="23">
        <f>IF($A235="","",SUM(IF($D$5&lt;&gt;"",IF(D235="Présent",E235,0),0),IF($F$5&lt;&gt;"",IF(F235="Présent",G235,0),0),IF($H$5&lt;&gt;"",IF(H235="Présent",I235,0),0),IF($J$5&lt;&gt;"",IF(J235="Présent",K235,0),0),IF($L$5&lt;&gt;"",IF(L235="Présent",M235,0),0),IF($N$5&lt;&gt;"",IF(N235="Présent",O235,0),0),IF($P$5&lt;&gt;"",IF(P235="Présent",Q235,0),0),IF($R$5&lt;&gt;"",IF(R235="Présent",S235,0),0),IF($T$5&lt;&gt;"",IF(T235="Présent",U235,0),0),IF($V$5&lt;&gt;"",IF(V235="Présent",W235,0),0),IF($X$5&lt;&gt;"",IF(X235="Présent",Y235,0),0),IF($Z$5&lt;&gt;"",IF(Z235="Présent",AA235,0),0),IF($AB$5&lt;&gt;"",IF(AB235="Présent",AC235,0),0),IF($AD$5&lt;&gt;"",IF(AD235="Présent",AE235,0),0),IF($AF$5&lt;&gt;"",IF(AF235="Présent",AG235,0),0),IF($AH$5&lt;&gt;"",IF(AH235="Présent",AI235,0),0),IF($AJ$5&lt;&gt;"",IF(AJ235="Présent",AK235,0),0),IF($AL$5&lt;&gt;"",IF(AL235="Présent",AM235,0),0),IF($AN$5&lt;&gt;"",IF(AN235="Présent",AO235,0),0),IF($AP$5&lt;&gt;"",IF(AP235="Présent",AQ235,0),0),IF($AR$5&lt;&gt;"",IF(AR235="Présent",AS235,0),0),IF($AT$5&lt;&gt;"",IF(AT235="Présent",AU235,0),0),IF($AV$5&lt;&gt;"",IF(AV235="Présent",AW235,0),0),IF($AX$5&lt;&gt;"",IF(AX235="Présent",AY235,0),0),IF($AZ$5&lt;&gt;"",IF(AZ235="Présent",BA235,0),0),IF($BB$5&lt;&gt;"",IF(BB235="Présent",BC235,0),0),IF($BD$5&lt;&gt;"",IF(BD235="Présent",BE235,0),0),IF($BF$5&lt;&gt;"",IF(BF235="Présent",BG235,0),0),IF($BH$5&lt;&gt;"",IF(BH235="Présent",BI235,0),0),IF($BJ$5&lt;&gt;"",IF(BJ235="Présent",BK235,0),0),IF($BL$5&lt;&gt;"",IF(BL235="Présent",BM235,0),0)))</f>
      </c>
      <c r="BS235" s="25">
        <f>IF($A235="","",$BN235*IFERROR(INDEX(Categories_Salaire,MATCH($C235,ListeCategories,0)),0)+$BR235*IF(IFERROR(INDEX(Categories_TauxHS,MATCH($C235,ListeCategories,0)),0)&gt;0,IFERROR(INDEX(Categories_TauxHS,MATCH($C235,ListeCategories,0)),0),TauxHSDefaut))</f>
      </c>
    </row>
    <row r="236">
      <c r="A236" s="20">
        <f>IF(AND(INDEX(Employes_Nom,230)&lt;&gt;"",INDEX(Employes_Statut,230)="Actif",OR(INDEX(Employes_Embauche,230)="",INDEX(Employes_Embauche,230)&lt;=EOMONTH(DATE(AnneeCourante,MoisCourant,1),0))),INDEX(Employes_ID,230),"")</f>
      </c>
      <c r="B236" s="19">
        <f>IF($A236="","",INDEX(Employes_Nom,MATCH($A236,Employes_ID,0)))</f>
      </c>
      <c r="C236" s="20">
        <f>IF($A236="","",INDEX(Employes_Categorie,MATCH($A236,Employes_ID,0)))</f>
      </c>
      <c r="D236" s="26"/>
      <c r="E236" s="27"/>
      <c r="F236" s="26"/>
      <c r="G236" s="27"/>
      <c r="H236" s="26"/>
      <c r="I236" s="27"/>
      <c r="J236" s="26"/>
      <c r="K236" s="27"/>
      <c r="L236" s="26"/>
      <c r="M236" s="27"/>
      <c r="N236" s="26"/>
      <c r="O236" s="27"/>
      <c r="P236" s="26"/>
      <c r="Q236" s="27"/>
      <c r="R236" s="26"/>
      <c r="S236" s="27"/>
      <c r="T236" s="26"/>
      <c r="U236" s="27"/>
      <c r="V236" s="26"/>
      <c r="W236" s="27"/>
      <c r="X236" s="26"/>
      <c r="Y236" s="27"/>
      <c r="Z236" s="26"/>
      <c r="AA236" s="27"/>
      <c r="AB236" s="26"/>
      <c r="AC236" s="27"/>
      <c r="AD236" s="26"/>
      <c r="AE236" s="27"/>
      <c r="AF236" s="26"/>
      <c r="AG236" s="27"/>
      <c r="AH236" s="26"/>
      <c r="AI236" s="27"/>
      <c r="AJ236" s="26"/>
      <c r="AK236" s="27"/>
      <c r="AL236" s="26"/>
      <c r="AM236" s="27"/>
      <c r="AN236" s="26"/>
      <c r="AO236" s="27"/>
      <c r="AP236" s="26"/>
      <c r="AQ236" s="27"/>
      <c r="AR236" s="26"/>
      <c r="AS236" s="27"/>
      <c r="AT236" s="26"/>
      <c r="AU236" s="27"/>
      <c r="AV236" s="26"/>
      <c r="AW236" s="27"/>
      <c r="AX236" s="26"/>
      <c r="AY236" s="27"/>
      <c r="AZ236" s="26"/>
      <c r="BA236" s="27"/>
      <c r="BB236" s="26"/>
      <c r="BC236" s="27"/>
      <c r="BD236" s="26"/>
      <c r="BE236" s="27"/>
      <c r="BF236" s="26"/>
      <c r="BG236" s="27"/>
      <c r="BH236" s="26"/>
      <c r="BI236" s="27"/>
      <c r="BJ236" s="26"/>
      <c r="BK236" s="27"/>
      <c r="BL236" s="26"/>
      <c r="BM236" s="27"/>
      <c r="BN236" s="22">
        <f>IF($A236="","",SUM(IF($D$5&lt;&gt;"",--(D236="Présent"),0),IF($F$5&lt;&gt;"",--(F236="Présent"),0),IF($H$5&lt;&gt;"",--(H236="Présent"),0),IF($J$5&lt;&gt;"",--(J236="Présent"),0),IF($L$5&lt;&gt;"",--(L236="Présent"),0),IF($N$5&lt;&gt;"",--(N236="Présent"),0),IF($P$5&lt;&gt;"",--(P236="Présent"),0),IF($R$5&lt;&gt;"",--(R236="Présent"),0),IF($T$5&lt;&gt;"",--(T236="Présent"),0),IF($V$5&lt;&gt;"",--(V236="Présent"),0),IF($X$5&lt;&gt;"",--(X236="Présent"),0),IF($Z$5&lt;&gt;"",--(Z236="Présent"),0),IF($AB$5&lt;&gt;"",--(AB236="Présent"),0),IF($AD$5&lt;&gt;"",--(AD236="Présent"),0),IF($AF$5&lt;&gt;"",--(AF236="Présent"),0),IF($AH$5&lt;&gt;"",--(AH236="Présent"),0),IF($AJ$5&lt;&gt;"",--(AJ236="Présent"),0),IF($AL$5&lt;&gt;"",--(AL236="Présent"),0),IF($AN$5&lt;&gt;"",--(AN236="Présent"),0),IF($AP$5&lt;&gt;"",--(AP236="Présent"),0),IF($AR$5&lt;&gt;"",--(AR236="Présent"),0),IF($AT$5&lt;&gt;"",--(AT236="Présent"),0),IF($AV$5&lt;&gt;"",--(AV236="Présent"),0),IF($AX$5&lt;&gt;"",--(AX236="Présent"),0),IF($AZ$5&lt;&gt;"",--(AZ236="Présent"),0),IF($BB$5&lt;&gt;"",--(BB236="Présent"),0),IF($BD$5&lt;&gt;"",--(BD236="Présent"),0),IF($BF$5&lt;&gt;"",--(BF236="Présent"),0),IF($BH$5&lt;&gt;"",--(BH236="Présent"),0),IF($BJ$5&lt;&gt;"",--(BJ236="Présent"),0),IF($BL$5&lt;&gt;"",--(BL236="Présent"),0)))</f>
      </c>
      <c r="BO236" s="22">
        <f>IF($A236="","",SUM(IF($D$5&lt;&gt;"",--(D236="Absent"),0),IF($F$5&lt;&gt;"",--(F236="Absent"),0),IF($H$5&lt;&gt;"",--(H236="Absent"),0),IF($J$5&lt;&gt;"",--(J236="Absent"),0),IF($L$5&lt;&gt;"",--(L236="Absent"),0),IF($N$5&lt;&gt;"",--(N236="Absent"),0),IF($P$5&lt;&gt;"",--(P236="Absent"),0),IF($R$5&lt;&gt;"",--(R236="Absent"),0),IF($T$5&lt;&gt;"",--(T236="Absent"),0),IF($V$5&lt;&gt;"",--(V236="Absent"),0),IF($X$5&lt;&gt;"",--(X236="Absent"),0),IF($Z$5&lt;&gt;"",--(Z236="Absent"),0),IF($AB$5&lt;&gt;"",--(AB236="Absent"),0),IF($AD$5&lt;&gt;"",--(AD236="Absent"),0),IF($AF$5&lt;&gt;"",--(AF236="Absent"),0),IF($AH$5&lt;&gt;"",--(AH236="Absent"),0),IF($AJ$5&lt;&gt;"",--(AJ236="Absent"),0),IF($AL$5&lt;&gt;"",--(AL236="Absent"),0),IF($AN$5&lt;&gt;"",--(AN236="Absent"),0),IF($AP$5&lt;&gt;"",--(AP236="Absent"),0),IF($AR$5&lt;&gt;"",--(AR236="Absent"),0),IF($AT$5&lt;&gt;"",--(AT236="Absent"),0),IF($AV$5&lt;&gt;"",--(AV236="Absent"),0),IF($AX$5&lt;&gt;"",--(AX236="Absent"),0),IF($AZ$5&lt;&gt;"",--(AZ236="Absent"),0),IF($BB$5&lt;&gt;"",--(BB236="Absent"),0),IF($BD$5&lt;&gt;"",--(BD236="Absent"),0),IF($BF$5&lt;&gt;"",--(BF236="Absent"),0),IF($BH$5&lt;&gt;"",--(BH236="Absent"),0),IF($BJ$5&lt;&gt;"",--(BJ236="Absent"),0),IF($BL$5&lt;&gt;"",--(BL236="Absent"),0)))</f>
      </c>
      <c r="BP236" s="22">
        <f>IF($A236="","",SUM(IF($D$5&lt;&gt;"",--(D236="Congé"),0),IF($F$5&lt;&gt;"",--(F236="Congé"),0),IF($H$5&lt;&gt;"",--(H236="Congé"),0),IF($J$5&lt;&gt;"",--(J236="Congé"),0),IF($L$5&lt;&gt;"",--(L236="Congé"),0),IF($N$5&lt;&gt;"",--(N236="Congé"),0),IF($P$5&lt;&gt;"",--(P236="Congé"),0),IF($R$5&lt;&gt;"",--(R236="Congé"),0),IF($T$5&lt;&gt;"",--(T236="Congé"),0),IF($V$5&lt;&gt;"",--(V236="Congé"),0),IF($X$5&lt;&gt;"",--(X236="Congé"),0),IF($Z$5&lt;&gt;"",--(Z236="Congé"),0),IF($AB$5&lt;&gt;"",--(AB236="Congé"),0),IF($AD$5&lt;&gt;"",--(AD236="Congé"),0),IF($AF$5&lt;&gt;"",--(AF236="Congé"),0),IF($AH$5&lt;&gt;"",--(AH236="Congé"),0),IF($AJ$5&lt;&gt;"",--(AJ236="Congé"),0),IF($AL$5&lt;&gt;"",--(AL236="Congé"),0),IF($AN$5&lt;&gt;"",--(AN236="Congé"),0),IF($AP$5&lt;&gt;"",--(AP236="Congé"),0),IF($AR$5&lt;&gt;"",--(AR236="Congé"),0),IF($AT$5&lt;&gt;"",--(AT236="Congé"),0),IF($AV$5&lt;&gt;"",--(AV236="Congé"),0),IF($AX$5&lt;&gt;"",--(AX236="Congé"),0),IF($AZ$5&lt;&gt;"",--(AZ236="Congé"),0),IF($BB$5&lt;&gt;"",--(BB236="Congé"),0),IF($BD$5&lt;&gt;"",--(BD236="Congé"),0),IF($BF$5&lt;&gt;"",--(BF236="Congé"),0),IF($BH$5&lt;&gt;"",--(BH236="Congé"),0),IF($BJ$5&lt;&gt;"",--(BJ236="Congé"),0),IF($BL$5&lt;&gt;"",--(BL236="Congé"),0)))</f>
      </c>
      <c r="BQ236" s="22">
        <f>IF($A236="","",SUM(IF($D$5&lt;&gt;"",--(D236="Maladie"),0),IF($F$5&lt;&gt;"",--(F236="Maladie"),0),IF($H$5&lt;&gt;"",--(H236="Maladie"),0),IF($J$5&lt;&gt;"",--(J236="Maladie"),0),IF($L$5&lt;&gt;"",--(L236="Maladie"),0),IF($N$5&lt;&gt;"",--(N236="Maladie"),0),IF($P$5&lt;&gt;"",--(P236="Maladie"),0),IF($R$5&lt;&gt;"",--(R236="Maladie"),0),IF($T$5&lt;&gt;"",--(T236="Maladie"),0),IF($V$5&lt;&gt;"",--(V236="Maladie"),0),IF($X$5&lt;&gt;"",--(X236="Maladie"),0),IF($Z$5&lt;&gt;"",--(Z236="Maladie"),0),IF($AB$5&lt;&gt;"",--(AB236="Maladie"),0),IF($AD$5&lt;&gt;"",--(AD236="Maladie"),0),IF($AF$5&lt;&gt;"",--(AF236="Maladie"),0),IF($AH$5&lt;&gt;"",--(AH236="Maladie"),0),IF($AJ$5&lt;&gt;"",--(AJ236="Maladie"),0),IF($AL$5&lt;&gt;"",--(AL236="Maladie"),0),IF($AN$5&lt;&gt;"",--(AN236="Maladie"),0),IF($AP$5&lt;&gt;"",--(AP236="Maladie"),0),IF($AR$5&lt;&gt;"",--(AR236="Maladie"),0),IF($AT$5&lt;&gt;"",--(AT236="Maladie"),0),IF($AV$5&lt;&gt;"",--(AV236="Maladie"),0),IF($AX$5&lt;&gt;"",--(AX236="Maladie"),0),IF($AZ$5&lt;&gt;"",--(AZ236="Maladie"),0),IF($BB$5&lt;&gt;"",--(BB236="Maladie"),0),IF($BD$5&lt;&gt;"",--(BD236="Maladie"),0),IF($BF$5&lt;&gt;"",--(BF236="Maladie"),0),IF($BH$5&lt;&gt;"",--(BH236="Maladie"),0),IF($BJ$5&lt;&gt;"",--(BJ236="Maladie"),0),IF($BL$5&lt;&gt;"",--(BL236="Maladie"),0)))</f>
      </c>
      <c r="BR236" s="23">
        <f>IF($A236="","",SUM(IF($D$5&lt;&gt;"",IF(D236="Présent",E236,0),0),IF($F$5&lt;&gt;"",IF(F236="Présent",G236,0),0),IF($H$5&lt;&gt;"",IF(H236="Présent",I236,0),0),IF($J$5&lt;&gt;"",IF(J236="Présent",K236,0),0),IF($L$5&lt;&gt;"",IF(L236="Présent",M236,0),0),IF($N$5&lt;&gt;"",IF(N236="Présent",O236,0),0),IF($P$5&lt;&gt;"",IF(P236="Présent",Q236,0),0),IF($R$5&lt;&gt;"",IF(R236="Présent",S236,0),0),IF($T$5&lt;&gt;"",IF(T236="Présent",U236,0),0),IF($V$5&lt;&gt;"",IF(V236="Présent",W236,0),0),IF($X$5&lt;&gt;"",IF(X236="Présent",Y236,0),0),IF($Z$5&lt;&gt;"",IF(Z236="Présent",AA236,0),0),IF($AB$5&lt;&gt;"",IF(AB236="Présent",AC236,0),0),IF($AD$5&lt;&gt;"",IF(AD236="Présent",AE236,0),0),IF($AF$5&lt;&gt;"",IF(AF236="Présent",AG236,0),0),IF($AH$5&lt;&gt;"",IF(AH236="Présent",AI236,0),0),IF($AJ$5&lt;&gt;"",IF(AJ236="Présent",AK236,0),0),IF($AL$5&lt;&gt;"",IF(AL236="Présent",AM236,0),0),IF($AN$5&lt;&gt;"",IF(AN236="Présent",AO236,0),0),IF($AP$5&lt;&gt;"",IF(AP236="Présent",AQ236,0),0),IF($AR$5&lt;&gt;"",IF(AR236="Présent",AS236,0),0),IF($AT$5&lt;&gt;"",IF(AT236="Présent",AU236,0),0),IF($AV$5&lt;&gt;"",IF(AV236="Présent",AW236,0),0),IF($AX$5&lt;&gt;"",IF(AX236="Présent",AY236,0),0),IF($AZ$5&lt;&gt;"",IF(AZ236="Présent",BA236,0),0),IF($BB$5&lt;&gt;"",IF(BB236="Présent",BC236,0),0),IF($BD$5&lt;&gt;"",IF(BD236="Présent",BE236,0),0),IF($BF$5&lt;&gt;"",IF(BF236="Présent",BG236,0),0),IF($BH$5&lt;&gt;"",IF(BH236="Présent",BI236,0),0),IF($BJ$5&lt;&gt;"",IF(BJ236="Présent",BK236,0),0),IF($BL$5&lt;&gt;"",IF(BL236="Présent",BM236,0),0)))</f>
      </c>
      <c r="BS236" s="25">
        <f>IF($A236="","",$BN236*IFERROR(INDEX(Categories_Salaire,MATCH($C236,ListeCategories,0)),0)+$BR236*IF(IFERROR(INDEX(Categories_TauxHS,MATCH($C236,ListeCategories,0)),0)&gt;0,IFERROR(INDEX(Categories_TauxHS,MATCH($C236,ListeCategories,0)),0),TauxHSDefaut))</f>
      </c>
    </row>
    <row r="237">
      <c r="A237" s="20">
        <f>IF(AND(INDEX(Employes_Nom,231)&lt;&gt;"",INDEX(Employes_Statut,231)="Actif",OR(INDEX(Employes_Embauche,231)="",INDEX(Employes_Embauche,231)&lt;=EOMONTH(DATE(AnneeCourante,MoisCourant,1),0))),INDEX(Employes_ID,231),"")</f>
      </c>
      <c r="B237" s="19">
        <f>IF($A237="","",INDEX(Employes_Nom,MATCH($A237,Employes_ID,0)))</f>
      </c>
      <c r="C237" s="20">
        <f>IF($A237="","",INDEX(Employes_Categorie,MATCH($A237,Employes_ID,0)))</f>
      </c>
      <c r="D237" s="26"/>
      <c r="E237" s="27"/>
      <c r="F237" s="26"/>
      <c r="G237" s="27"/>
      <c r="H237" s="26"/>
      <c r="I237" s="27"/>
      <c r="J237" s="26"/>
      <c r="K237" s="27"/>
      <c r="L237" s="26"/>
      <c r="M237" s="27"/>
      <c r="N237" s="26"/>
      <c r="O237" s="27"/>
      <c r="P237" s="26"/>
      <c r="Q237" s="27"/>
      <c r="R237" s="26"/>
      <c r="S237" s="27"/>
      <c r="T237" s="26"/>
      <c r="U237" s="27"/>
      <c r="V237" s="26"/>
      <c r="W237" s="27"/>
      <c r="X237" s="26"/>
      <c r="Y237" s="27"/>
      <c r="Z237" s="26"/>
      <c r="AA237" s="27"/>
      <c r="AB237" s="26"/>
      <c r="AC237" s="27"/>
      <c r="AD237" s="26"/>
      <c r="AE237" s="27"/>
      <c r="AF237" s="26"/>
      <c r="AG237" s="27"/>
      <c r="AH237" s="26"/>
      <c r="AI237" s="27"/>
      <c r="AJ237" s="26"/>
      <c r="AK237" s="27"/>
      <c r="AL237" s="26"/>
      <c r="AM237" s="27"/>
      <c r="AN237" s="26"/>
      <c r="AO237" s="27"/>
      <c r="AP237" s="26"/>
      <c r="AQ237" s="27"/>
      <c r="AR237" s="26"/>
      <c r="AS237" s="27"/>
      <c r="AT237" s="26"/>
      <c r="AU237" s="27"/>
      <c r="AV237" s="26"/>
      <c r="AW237" s="27"/>
      <c r="AX237" s="26"/>
      <c r="AY237" s="27"/>
      <c r="AZ237" s="26"/>
      <c r="BA237" s="27"/>
      <c r="BB237" s="26"/>
      <c r="BC237" s="27"/>
      <c r="BD237" s="26"/>
      <c r="BE237" s="27"/>
      <c r="BF237" s="26"/>
      <c r="BG237" s="27"/>
      <c r="BH237" s="26"/>
      <c r="BI237" s="27"/>
      <c r="BJ237" s="26"/>
      <c r="BK237" s="27"/>
      <c r="BL237" s="26"/>
      <c r="BM237" s="27"/>
      <c r="BN237" s="22">
        <f>IF($A237="","",SUM(IF($D$5&lt;&gt;"",--(D237="Présent"),0),IF($F$5&lt;&gt;"",--(F237="Présent"),0),IF($H$5&lt;&gt;"",--(H237="Présent"),0),IF($J$5&lt;&gt;"",--(J237="Présent"),0),IF($L$5&lt;&gt;"",--(L237="Présent"),0),IF($N$5&lt;&gt;"",--(N237="Présent"),0),IF($P$5&lt;&gt;"",--(P237="Présent"),0),IF($R$5&lt;&gt;"",--(R237="Présent"),0),IF($T$5&lt;&gt;"",--(T237="Présent"),0),IF($V$5&lt;&gt;"",--(V237="Présent"),0),IF($X$5&lt;&gt;"",--(X237="Présent"),0),IF($Z$5&lt;&gt;"",--(Z237="Présent"),0),IF($AB$5&lt;&gt;"",--(AB237="Présent"),0),IF($AD$5&lt;&gt;"",--(AD237="Présent"),0),IF($AF$5&lt;&gt;"",--(AF237="Présent"),0),IF($AH$5&lt;&gt;"",--(AH237="Présent"),0),IF($AJ$5&lt;&gt;"",--(AJ237="Présent"),0),IF($AL$5&lt;&gt;"",--(AL237="Présent"),0),IF($AN$5&lt;&gt;"",--(AN237="Présent"),0),IF($AP$5&lt;&gt;"",--(AP237="Présent"),0),IF($AR$5&lt;&gt;"",--(AR237="Présent"),0),IF($AT$5&lt;&gt;"",--(AT237="Présent"),0),IF($AV$5&lt;&gt;"",--(AV237="Présent"),0),IF($AX$5&lt;&gt;"",--(AX237="Présent"),0),IF($AZ$5&lt;&gt;"",--(AZ237="Présent"),0),IF($BB$5&lt;&gt;"",--(BB237="Présent"),0),IF($BD$5&lt;&gt;"",--(BD237="Présent"),0),IF($BF$5&lt;&gt;"",--(BF237="Présent"),0),IF($BH$5&lt;&gt;"",--(BH237="Présent"),0),IF($BJ$5&lt;&gt;"",--(BJ237="Présent"),0),IF($BL$5&lt;&gt;"",--(BL237="Présent"),0)))</f>
      </c>
      <c r="BO237" s="22">
        <f>IF($A237="","",SUM(IF($D$5&lt;&gt;"",--(D237="Absent"),0),IF($F$5&lt;&gt;"",--(F237="Absent"),0),IF($H$5&lt;&gt;"",--(H237="Absent"),0),IF($J$5&lt;&gt;"",--(J237="Absent"),0),IF($L$5&lt;&gt;"",--(L237="Absent"),0),IF($N$5&lt;&gt;"",--(N237="Absent"),0),IF($P$5&lt;&gt;"",--(P237="Absent"),0),IF($R$5&lt;&gt;"",--(R237="Absent"),0),IF($T$5&lt;&gt;"",--(T237="Absent"),0),IF($V$5&lt;&gt;"",--(V237="Absent"),0),IF($X$5&lt;&gt;"",--(X237="Absent"),0),IF($Z$5&lt;&gt;"",--(Z237="Absent"),0),IF($AB$5&lt;&gt;"",--(AB237="Absent"),0),IF($AD$5&lt;&gt;"",--(AD237="Absent"),0),IF($AF$5&lt;&gt;"",--(AF237="Absent"),0),IF($AH$5&lt;&gt;"",--(AH237="Absent"),0),IF($AJ$5&lt;&gt;"",--(AJ237="Absent"),0),IF($AL$5&lt;&gt;"",--(AL237="Absent"),0),IF($AN$5&lt;&gt;"",--(AN237="Absent"),0),IF($AP$5&lt;&gt;"",--(AP237="Absent"),0),IF($AR$5&lt;&gt;"",--(AR237="Absent"),0),IF($AT$5&lt;&gt;"",--(AT237="Absent"),0),IF($AV$5&lt;&gt;"",--(AV237="Absent"),0),IF($AX$5&lt;&gt;"",--(AX237="Absent"),0),IF($AZ$5&lt;&gt;"",--(AZ237="Absent"),0),IF($BB$5&lt;&gt;"",--(BB237="Absent"),0),IF($BD$5&lt;&gt;"",--(BD237="Absent"),0),IF($BF$5&lt;&gt;"",--(BF237="Absent"),0),IF($BH$5&lt;&gt;"",--(BH237="Absent"),0),IF($BJ$5&lt;&gt;"",--(BJ237="Absent"),0),IF($BL$5&lt;&gt;"",--(BL237="Absent"),0)))</f>
      </c>
      <c r="BP237" s="22">
        <f>IF($A237="","",SUM(IF($D$5&lt;&gt;"",--(D237="Congé"),0),IF($F$5&lt;&gt;"",--(F237="Congé"),0),IF($H$5&lt;&gt;"",--(H237="Congé"),0),IF($J$5&lt;&gt;"",--(J237="Congé"),0),IF($L$5&lt;&gt;"",--(L237="Congé"),0),IF($N$5&lt;&gt;"",--(N237="Congé"),0),IF($P$5&lt;&gt;"",--(P237="Congé"),0),IF($R$5&lt;&gt;"",--(R237="Congé"),0),IF($T$5&lt;&gt;"",--(T237="Congé"),0),IF($V$5&lt;&gt;"",--(V237="Congé"),0),IF($X$5&lt;&gt;"",--(X237="Congé"),0),IF($Z$5&lt;&gt;"",--(Z237="Congé"),0),IF($AB$5&lt;&gt;"",--(AB237="Congé"),0),IF($AD$5&lt;&gt;"",--(AD237="Congé"),0),IF($AF$5&lt;&gt;"",--(AF237="Congé"),0),IF($AH$5&lt;&gt;"",--(AH237="Congé"),0),IF($AJ$5&lt;&gt;"",--(AJ237="Congé"),0),IF($AL$5&lt;&gt;"",--(AL237="Congé"),0),IF($AN$5&lt;&gt;"",--(AN237="Congé"),0),IF($AP$5&lt;&gt;"",--(AP237="Congé"),0),IF($AR$5&lt;&gt;"",--(AR237="Congé"),0),IF($AT$5&lt;&gt;"",--(AT237="Congé"),0),IF($AV$5&lt;&gt;"",--(AV237="Congé"),0),IF($AX$5&lt;&gt;"",--(AX237="Congé"),0),IF($AZ$5&lt;&gt;"",--(AZ237="Congé"),0),IF($BB$5&lt;&gt;"",--(BB237="Congé"),0),IF($BD$5&lt;&gt;"",--(BD237="Congé"),0),IF($BF$5&lt;&gt;"",--(BF237="Congé"),0),IF($BH$5&lt;&gt;"",--(BH237="Congé"),0),IF($BJ$5&lt;&gt;"",--(BJ237="Congé"),0),IF($BL$5&lt;&gt;"",--(BL237="Congé"),0)))</f>
      </c>
      <c r="BQ237" s="22">
        <f>IF($A237="","",SUM(IF($D$5&lt;&gt;"",--(D237="Maladie"),0),IF($F$5&lt;&gt;"",--(F237="Maladie"),0),IF($H$5&lt;&gt;"",--(H237="Maladie"),0),IF($J$5&lt;&gt;"",--(J237="Maladie"),0),IF($L$5&lt;&gt;"",--(L237="Maladie"),0),IF($N$5&lt;&gt;"",--(N237="Maladie"),0),IF($P$5&lt;&gt;"",--(P237="Maladie"),0),IF($R$5&lt;&gt;"",--(R237="Maladie"),0),IF($T$5&lt;&gt;"",--(T237="Maladie"),0),IF($V$5&lt;&gt;"",--(V237="Maladie"),0),IF($X$5&lt;&gt;"",--(X237="Maladie"),0),IF($Z$5&lt;&gt;"",--(Z237="Maladie"),0),IF($AB$5&lt;&gt;"",--(AB237="Maladie"),0),IF($AD$5&lt;&gt;"",--(AD237="Maladie"),0),IF($AF$5&lt;&gt;"",--(AF237="Maladie"),0),IF($AH$5&lt;&gt;"",--(AH237="Maladie"),0),IF($AJ$5&lt;&gt;"",--(AJ237="Maladie"),0),IF($AL$5&lt;&gt;"",--(AL237="Maladie"),0),IF($AN$5&lt;&gt;"",--(AN237="Maladie"),0),IF($AP$5&lt;&gt;"",--(AP237="Maladie"),0),IF($AR$5&lt;&gt;"",--(AR237="Maladie"),0),IF($AT$5&lt;&gt;"",--(AT237="Maladie"),0),IF($AV$5&lt;&gt;"",--(AV237="Maladie"),0),IF($AX$5&lt;&gt;"",--(AX237="Maladie"),0),IF($AZ$5&lt;&gt;"",--(AZ237="Maladie"),0),IF($BB$5&lt;&gt;"",--(BB237="Maladie"),0),IF($BD$5&lt;&gt;"",--(BD237="Maladie"),0),IF($BF$5&lt;&gt;"",--(BF237="Maladie"),0),IF($BH$5&lt;&gt;"",--(BH237="Maladie"),0),IF($BJ$5&lt;&gt;"",--(BJ237="Maladie"),0),IF($BL$5&lt;&gt;"",--(BL237="Maladie"),0)))</f>
      </c>
      <c r="BR237" s="23">
        <f>IF($A237="","",SUM(IF($D$5&lt;&gt;"",IF(D237="Présent",E237,0),0),IF($F$5&lt;&gt;"",IF(F237="Présent",G237,0),0),IF($H$5&lt;&gt;"",IF(H237="Présent",I237,0),0),IF($J$5&lt;&gt;"",IF(J237="Présent",K237,0),0),IF($L$5&lt;&gt;"",IF(L237="Présent",M237,0),0),IF($N$5&lt;&gt;"",IF(N237="Présent",O237,0),0),IF($P$5&lt;&gt;"",IF(P237="Présent",Q237,0),0),IF($R$5&lt;&gt;"",IF(R237="Présent",S237,0),0),IF($T$5&lt;&gt;"",IF(T237="Présent",U237,0),0),IF($V$5&lt;&gt;"",IF(V237="Présent",W237,0),0),IF($X$5&lt;&gt;"",IF(X237="Présent",Y237,0),0),IF($Z$5&lt;&gt;"",IF(Z237="Présent",AA237,0),0),IF($AB$5&lt;&gt;"",IF(AB237="Présent",AC237,0),0),IF($AD$5&lt;&gt;"",IF(AD237="Présent",AE237,0),0),IF($AF$5&lt;&gt;"",IF(AF237="Présent",AG237,0),0),IF($AH$5&lt;&gt;"",IF(AH237="Présent",AI237,0),0),IF($AJ$5&lt;&gt;"",IF(AJ237="Présent",AK237,0),0),IF($AL$5&lt;&gt;"",IF(AL237="Présent",AM237,0),0),IF($AN$5&lt;&gt;"",IF(AN237="Présent",AO237,0),0),IF($AP$5&lt;&gt;"",IF(AP237="Présent",AQ237,0),0),IF($AR$5&lt;&gt;"",IF(AR237="Présent",AS237,0),0),IF($AT$5&lt;&gt;"",IF(AT237="Présent",AU237,0),0),IF($AV$5&lt;&gt;"",IF(AV237="Présent",AW237,0),0),IF($AX$5&lt;&gt;"",IF(AX237="Présent",AY237,0),0),IF($AZ$5&lt;&gt;"",IF(AZ237="Présent",BA237,0),0),IF($BB$5&lt;&gt;"",IF(BB237="Présent",BC237,0),0),IF($BD$5&lt;&gt;"",IF(BD237="Présent",BE237,0),0),IF($BF$5&lt;&gt;"",IF(BF237="Présent",BG237,0),0),IF($BH$5&lt;&gt;"",IF(BH237="Présent",BI237,0),0),IF($BJ$5&lt;&gt;"",IF(BJ237="Présent",BK237,0),0),IF($BL$5&lt;&gt;"",IF(BL237="Présent",BM237,0),0)))</f>
      </c>
      <c r="BS237" s="25">
        <f>IF($A237="","",$BN237*IFERROR(INDEX(Categories_Salaire,MATCH($C237,ListeCategories,0)),0)+$BR237*IF(IFERROR(INDEX(Categories_TauxHS,MATCH($C237,ListeCategories,0)),0)&gt;0,IFERROR(INDEX(Categories_TauxHS,MATCH($C237,ListeCategories,0)),0),TauxHSDefaut))</f>
      </c>
    </row>
    <row r="238">
      <c r="A238" s="20">
        <f>IF(AND(INDEX(Employes_Nom,232)&lt;&gt;"",INDEX(Employes_Statut,232)="Actif",OR(INDEX(Employes_Embauche,232)="",INDEX(Employes_Embauche,232)&lt;=EOMONTH(DATE(AnneeCourante,MoisCourant,1),0))),INDEX(Employes_ID,232),"")</f>
      </c>
      <c r="B238" s="19">
        <f>IF($A238="","",INDEX(Employes_Nom,MATCH($A238,Employes_ID,0)))</f>
      </c>
      <c r="C238" s="20">
        <f>IF($A238="","",INDEX(Employes_Categorie,MATCH($A238,Employes_ID,0)))</f>
      </c>
      <c r="D238" s="26"/>
      <c r="E238" s="27"/>
      <c r="F238" s="26"/>
      <c r="G238" s="27"/>
      <c r="H238" s="26"/>
      <c r="I238" s="27"/>
      <c r="J238" s="26"/>
      <c r="K238" s="27"/>
      <c r="L238" s="26"/>
      <c r="M238" s="27"/>
      <c r="N238" s="26"/>
      <c r="O238" s="27"/>
      <c r="P238" s="26"/>
      <c r="Q238" s="27"/>
      <c r="R238" s="26"/>
      <c r="S238" s="27"/>
      <c r="T238" s="26"/>
      <c r="U238" s="27"/>
      <c r="V238" s="26"/>
      <c r="W238" s="27"/>
      <c r="X238" s="26"/>
      <c r="Y238" s="27"/>
      <c r="Z238" s="26"/>
      <c r="AA238" s="27"/>
      <c r="AB238" s="26"/>
      <c r="AC238" s="27"/>
      <c r="AD238" s="26"/>
      <c r="AE238" s="27"/>
      <c r="AF238" s="26"/>
      <c r="AG238" s="27"/>
      <c r="AH238" s="26"/>
      <c r="AI238" s="27"/>
      <c r="AJ238" s="26"/>
      <c r="AK238" s="27"/>
      <c r="AL238" s="26"/>
      <c r="AM238" s="27"/>
      <c r="AN238" s="26"/>
      <c r="AO238" s="27"/>
      <c r="AP238" s="26"/>
      <c r="AQ238" s="27"/>
      <c r="AR238" s="26"/>
      <c r="AS238" s="27"/>
      <c r="AT238" s="26"/>
      <c r="AU238" s="27"/>
      <c r="AV238" s="26"/>
      <c r="AW238" s="27"/>
      <c r="AX238" s="26"/>
      <c r="AY238" s="27"/>
      <c r="AZ238" s="26"/>
      <c r="BA238" s="27"/>
      <c r="BB238" s="26"/>
      <c r="BC238" s="27"/>
      <c r="BD238" s="26"/>
      <c r="BE238" s="27"/>
      <c r="BF238" s="26"/>
      <c r="BG238" s="27"/>
      <c r="BH238" s="26"/>
      <c r="BI238" s="27"/>
      <c r="BJ238" s="26"/>
      <c r="BK238" s="27"/>
      <c r="BL238" s="26"/>
      <c r="BM238" s="27"/>
      <c r="BN238" s="22">
        <f>IF($A238="","",SUM(IF($D$5&lt;&gt;"",--(D238="Présent"),0),IF($F$5&lt;&gt;"",--(F238="Présent"),0),IF($H$5&lt;&gt;"",--(H238="Présent"),0),IF($J$5&lt;&gt;"",--(J238="Présent"),0),IF($L$5&lt;&gt;"",--(L238="Présent"),0),IF($N$5&lt;&gt;"",--(N238="Présent"),0),IF($P$5&lt;&gt;"",--(P238="Présent"),0),IF($R$5&lt;&gt;"",--(R238="Présent"),0),IF($T$5&lt;&gt;"",--(T238="Présent"),0),IF($V$5&lt;&gt;"",--(V238="Présent"),0),IF($X$5&lt;&gt;"",--(X238="Présent"),0),IF($Z$5&lt;&gt;"",--(Z238="Présent"),0),IF($AB$5&lt;&gt;"",--(AB238="Présent"),0),IF($AD$5&lt;&gt;"",--(AD238="Présent"),0),IF($AF$5&lt;&gt;"",--(AF238="Présent"),0),IF($AH$5&lt;&gt;"",--(AH238="Présent"),0),IF($AJ$5&lt;&gt;"",--(AJ238="Présent"),0),IF($AL$5&lt;&gt;"",--(AL238="Présent"),0),IF($AN$5&lt;&gt;"",--(AN238="Présent"),0),IF($AP$5&lt;&gt;"",--(AP238="Présent"),0),IF($AR$5&lt;&gt;"",--(AR238="Présent"),0),IF($AT$5&lt;&gt;"",--(AT238="Présent"),0),IF($AV$5&lt;&gt;"",--(AV238="Présent"),0),IF($AX$5&lt;&gt;"",--(AX238="Présent"),0),IF($AZ$5&lt;&gt;"",--(AZ238="Présent"),0),IF($BB$5&lt;&gt;"",--(BB238="Présent"),0),IF($BD$5&lt;&gt;"",--(BD238="Présent"),0),IF($BF$5&lt;&gt;"",--(BF238="Présent"),0),IF($BH$5&lt;&gt;"",--(BH238="Présent"),0),IF($BJ$5&lt;&gt;"",--(BJ238="Présent"),0),IF($BL$5&lt;&gt;"",--(BL238="Présent"),0)))</f>
      </c>
      <c r="BO238" s="22">
        <f>IF($A238="","",SUM(IF($D$5&lt;&gt;"",--(D238="Absent"),0),IF($F$5&lt;&gt;"",--(F238="Absent"),0),IF($H$5&lt;&gt;"",--(H238="Absent"),0),IF($J$5&lt;&gt;"",--(J238="Absent"),0),IF($L$5&lt;&gt;"",--(L238="Absent"),0),IF($N$5&lt;&gt;"",--(N238="Absent"),0),IF($P$5&lt;&gt;"",--(P238="Absent"),0),IF($R$5&lt;&gt;"",--(R238="Absent"),0),IF($T$5&lt;&gt;"",--(T238="Absent"),0),IF($V$5&lt;&gt;"",--(V238="Absent"),0),IF($X$5&lt;&gt;"",--(X238="Absent"),0),IF($Z$5&lt;&gt;"",--(Z238="Absent"),0),IF($AB$5&lt;&gt;"",--(AB238="Absent"),0),IF($AD$5&lt;&gt;"",--(AD238="Absent"),0),IF($AF$5&lt;&gt;"",--(AF238="Absent"),0),IF($AH$5&lt;&gt;"",--(AH238="Absent"),0),IF($AJ$5&lt;&gt;"",--(AJ238="Absent"),0),IF($AL$5&lt;&gt;"",--(AL238="Absent"),0),IF($AN$5&lt;&gt;"",--(AN238="Absent"),0),IF($AP$5&lt;&gt;"",--(AP238="Absent"),0),IF($AR$5&lt;&gt;"",--(AR238="Absent"),0),IF($AT$5&lt;&gt;"",--(AT238="Absent"),0),IF($AV$5&lt;&gt;"",--(AV238="Absent"),0),IF($AX$5&lt;&gt;"",--(AX238="Absent"),0),IF($AZ$5&lt;&gt;"",--(AZ238="Absent"),0),IF($BB$5&lt;&gt;"",--(BB238="Absent"),0),IF($BD$5&lt;&gt;"",--(BD238="Absent"),0),IF($BF$5&lt;&gt;"",--(BF238="Absent"),0),IF($BH$5&lt;&gt;"",--(BH238="Absent"),0),IF($BJ$5&lt;&gt;"",--(BJ238="Absent"),0),IF($BL$5&lt;&gt;"",--(BL238="Absent"),0)))</f>
      </c>
      <c r="BP238" s="22">
        <f>IF($A238="","",SUM(IF($D$5&lt;&gt;"",--(D238="Congé"),0),IF($F$5&lt;&gt;"",--(F238="Congé"),0),IF($H$5&lt;&gt;"",--(H238="Congé"),0),IF($J$5&lt;&gt;"",--(J238="Congé"),0),IF($L$5&lt;&gt;"",--(L238="Congé"),0),IF($N$5&lt;&gt;"",--(N238="Congé"),0),IF($P$5&lt;&gt;"",--(P238="Congé"),0),IF($R$5&lt;&gt;"",--(R238="Congé"),0),IF($T$5&lt;&gt;"",--(T238="Congé"),0),IF($V$5&lt;&gt;"",--(V238="Congé"),0),IF($X$5&lt;&gt;"",--(X238="Congé"),0),IF($Z$5&lt;&gt;"",--(Z238="Congé"),0),IF($AB$5&lt;&gt;"",--(AB238="Congé"),0),IF($AD$5&lt;&gt;"",--(AD238="Congé"),0),IF($AF$5&lt;&gt;"",--(AF238="Congé"),0),IF($AH$5&lt;&gt;"",--(AH238="Congé"),0),IF($AJ$5&lt;&gt;"",--(AJ238="Congé"),0),IF($AL$5&lt;&gt;"",--(AL238="Congé"),0),IF($AN$5&lt;&gt;"",--(AN238="Congé"),0),IF($AP$5&lt;&gt;"",--(AP238="Congé"),0),IF($AR$5&lt;&gt;"",--(AR238="Congé"),0),IF($AT$5&lt;&gt;"",--(AT238="Congé"),0),IF($AV$5&lt;&gt;"",--(AV238="Congé"),0),IF($AX$5&lt;&gt;"",--(AX238="Congé"),0),IF($AZ$5&lt;&gt;"",--(AZ238="Congé"),0),IF($BB$5&lt;&gt;"",--(BB238="Congé"),0),IF($BD$5&lt;&gt;"",--(BD238="Congé"),0),IF($BF$5&lt;&gt;"",--(BF238="Congé"),0),IF($BH$5&lt;&gt;"",--(BH238="Congé"),0),IF($BJ$5&lt;&gt;"",--(BJ238="Congé"),0),IF($BL$5&lt;&gt;"",--(BL238="Congé"),0)))</f>
      </c>
      <c r="BQ238" s="22">
        <f>IF($A238="","",SUM(IF($D$5&lt;&gt;"",--(D238="Maladie"),0),IF($F$5&lt;&gt;"",--(F238="Maladie"),0),IF($H$5&lt;&gt;"",--(H238="Maladie"),0),IF($J$5&lt;&gt;"",--(J238="Maladie"),0),IF($L$5&lt;&gt;"",--(L238="Maladie"),0),IF($N$5&lt;&gt;"",--(N238="Maladie"),0),IF($P$5&lt;&gt;"",--(P238="Maladie"),0),IF($R$5&lt;&gt;"",--(R238="Maladie"),0),IF($T$5&lt;&gt;"",--(T238="Maladie"),0),IF($V$5&lt;&gt;"",--(V238="Maladie"),0),IF($X$5&lt;&gt;"",--(X238="Maladie"),0),IF($Z$5&lt;&gt;"",--(Z238="Maladie"),0),IF($AB$5&lt;&gt;"",--(AB238="Maladie"),0),IF($AD$5&lt;&gt;"",--(AD238="Maladie"),0),IF($AF$5&lt;&gt;"",--(AF238="Maladie"),0),IF($AH$5&lt;&gt;"",--(AH238="Maladie"),0),IF($AJ$5&lt;&gt;"",--(AJ238="Maladie"),0),IF($AL$5&lt;&gt;"",--(AL238="Maladie"),0),IF($AN$5&lt;&gt;"",--(AN238="Maladie"),0),IF($AP$5&lt;&gt;"",--(AP238="Maladie"),0),IF($AR$5&lt;&gt;"",--(AR238="Maladie"),0),IF($AT$5&lt;&gt;"",--(AT238="Maladie"),0),IF($AV$5&lt;&gt;"",--(AV238="Maladie"),0),IF($AX$5&lt;&gt;"",--(AX238="Maladie"),0),IF($AZ$5&lt;&gt;"",--(AZ238="Maladie"),0),IF($BB$5&lt;&gt;"",--(BB238="Maladie"),0),IF($BD$5&lt;&gt;"",--(BD238="Maladie"),0),IF($BF$5&lt;&gt;"",--(BF238="Maladie"),0),IF($BH$5&lt;&gt;"",--(BH238="Maladie"),0),IF($BJ$5&lt;&gt;"",--(BJ238="Maladie"),0),IF($BL$5&lt;&gt;"",--(BL238="Maladie"),0)))</f>
      </c>
      <c r="BR238" s="23">
        <f>IF($A238="","",SUM(IF($D$5&lt;&gt;"",IF(D238="Présent",E238,0),0),IF($F$5&lt;&gt;"",IF(F238="Présent",G238,0),0),IF($H$5&lt;&gt;"",IF(H238="Présent",I238,0),0),IF($J$5&lt;&gt;"",IF(J238="Présent",K238,0),0),IF($L$5&lt;&gt;"",IF(L238="Présent",M238,0),0),IF($N$5&lt;&gt;"",IF(N238="Présent",O238,0),0),IF($P$5&lt;&gt;"",IF(P238="Présent",Q238,0),0),IF($R$5&lt;&gt;"",IF(R238="Présent",S238,0),0),IF($T$5&lt;&gt;"",IF(T238="Présent",U238,0),0),IF($V$5&lt;&gt;"",IF(V238="Présent",W238,0),0),IF($X$5&lt;&gt;"",IF(X238="Présent",Y238,0),0),IF($Z$5&lt;&gt;"",IF(Z238="Présent",AA238,0),0),IF($AB$5&lt;&gt;"",IF(AB238="Présent",AC238,0),0),IF($AD$5&lt;&gt;"",IF(AD238="Présent",AE238,0),0),IF($AF$5&lt;&gt;"",IF(AF238="Présent",AG238,0),0),IF($AH$5&lt;&gt;"",IF(AH238="Présent",AI238,0),0),IF($AJ$5&lt;&gt;"",IF(AJ238="Présent",AK238,0),0),IF($AL$5&lt;&gt;"",IF(AL238="Présent",AM238,0),0),IF($AN$5&lt;&gt;"",IF(AN238="Présent",AO238,0),0),IF($AP$5&lt;&gt;"",IF(AP238="Présent",AQ238,0),0),IF($AR$5&lt;&gt;"",IF(AR238="Présent",AS238,0),0),IF($AT$5&lt;&gt;"",IF(AT238="Présent",AU238,0),0),IF($AV$5&lt;&gt;"",IF(AV238="Présent",AW238,0),0),IF($AX$5&lt;&gt;"",IF(AX238="Présent",AY238,0),0),IF($AZ$5&lt;&gt;"",IF(AZ238="Présent",BA238,0),0),IF($BB$5&lt;&gt;"",IF(BB238="Présent",BC238,0),0),IF($BD$5&lt;&gt;"",IF(BD238="Présent",BE238,0),0),IF($BF$5&lt;&gt;"",IF(BF238="Présent",BG238,0),0),IF($BH$5&lt;&gt;"",IF(BH238="Présent",BI238,0),0),IF($BJ$5&lt;&gt;"",IF(BJ238="Présent",BK238,0),0),IF($BL$5&lt;&gt;"",IF(BL238="Présent",BM238,0),0)))</f>
      </c>
      <c r="BS238" s="25">
        <f>IF($A238="","",$BN238*IFERROR(INDEX(Categories_Salaire,MATCH($C238,ListeCategories,0)),0)+$BR238*IF(IFERROR(INDEX(Categories_TauxHS,MATCH($C238,ListeCategories,0)),0)&gt;0,IFERROR(INDEX(Categories_TauxHS,MATCH($C238,ListeCategories,0)),0),TauxHSDefaut))</f>
      </c>
    </row>
    <row r="239">
      <c r="A239" s="20">
        <f>IF(AND(INDEX(Employes_Nom,233)&lt;&gt;"",INDEX(Employes_Statut,233)="Actif",OR(INDEX(Employes_Embauche,233)="",INDEX(Employes_Embauche,233)&lt;=EOMONTH(DATE(AnneeCourante,MoisCourant,1),0))),INDEX(Employes_ID,233),"")</f>
      </c>
      <c r="B239" s="19">
        <f>IF($A239="","",INDEX(Employes_Nom,MATCH($A239,Employes_ID,0)))</f>
      </c>
      <c r="C239" s="20">
        <f>IF($A239="","",INDEX(Employes_Categorie,MATCH($A239,Employes_ID,0)))</f>
      </c>
      <c r="D239" s="26"/>
      <c r="E239" s="27"/>
      <c r="F239" s="26"/>
      <c r="G239" s="27"/>
      <c r="H239" s="26"/>
      <c r="I239" s="27"/>
      <c r="J239" s="26"/>
      <c r="K239" s="27"/>
      <c r="L239" s="26"/>
      <c r="M239" s="27"/>
      <c r="N239" s="26"/>
      <c r="O239" s="27"/>
      <c r="P239" s="26"/>
      <c r="Q239" s="27"/>
      <c r="R239" s="26"/>
      <c r="S239" s="27"/>
      <c r="T239" s="26"/>
      <c r="U239" s="27"/>
      <c r="V239" s="26"/>
      <c r="W239" s="27"/>
      <c r="X239" s="26"/>
      <c r="Y239" s="27"/>
      <c r="Z239" s="26"/>
      <c r="AA239" s="27"/>
      <c r="AB239" s="26"/>
      <c r="AC239" s="27"/>
      <c r="AD239" s="26"/>
      <c r="AE239" s="27"/>
      <c r="AF239" s="26"/>
      <c r="AG239" s="27"/>
      <c r="AH239" s="26"/>
      <c r="AI239" s="27"/>
      <c r="AJ239" s="26"/>
      <c r="AK239" s="27"/>
      <c r="AL239" s="26"/>
      <c r="AM239" s="27"/>
      <c r="AN239" s="26"/>
      <c r="AO239" s="27"/>
      <c r="AP239" s="26"/>
      <c r="AQ239" s="27"/>
      <c r="AR239" s="26"/>
      <c r="AS239" s="27"/>
      <c r="AT239" s="26"/>
      <c r="AU239" s="27"/>
      <c r="AV239" s="26"/>
      <c r="AW239" s="27"/>
      <c r="AX239" s="26"/>
      <c r="AY239" s="27"/>
      <c r="AZ239" s="26"/>
      <c r="BA239" s="27"/>
      <c r="BB239" s="26"/>
      <c r="BC239" s="27"/>
      <c r="BD239" s="26"/>
      <c r="BE239" s="27"/>
      <c r="BF239" s="26"/>
      <c r="BG239" s="27"/>
      <c r="BH239" s="26"/>
      <c r="BI239" s="27"/>
      <c r="BJ239" s="26"/>
      <c r="BK239" s="27"/>
      <c r="BL239" s="26"/>
      <c r="BM239" s="27"/>
      <c r="BN239" s="22">
        <f>IF($A239="","",SUM(IF($D$5&lt;&gt;"",--(D239="Présent"),0),IF($F$5&lt;&gt;"",--(F239="Présent"),0),IF($H$5&lt;&gt;"",--(H239="Présent"),0),IF($J$5&lt;&gt;"",--(J239="Présent"),0),IF($L$5&lt;&gt;"",--(L239="Présent"),0),IF($N$5&lt;&gt;"",--(N239="Présent"),0),IF($P$5&lt;&gt;"",--(P239="Présent"),0),IF($R$5&lt;&gt;"",--(R239="Présent"),0),IF($T$5&lt;&gt;"",--(T239="Présent"),0),IF($V$5&lt;&gt;"",--(V239="Présent"),0),IF($X$5&lt;&gt;"",--(X239="Présent"),0),IF($Z$5&lt;&gt;"",--(Z239="Présent"),0),IF($AB$5&lt;&gt;"",--(AB239="Présent"),0),IF($AD$5&lt;&gt;"",--(AD239="Présent"),0),IF($AF$5&lt;&gt;"",--(AF239="Présent"),0),IF($AH$5&lt;&gt;"",--(AH239="Présent"),0),IF($AJ$5&lt;&gt;"",--(AJ239="Présent"),0),IF($AL$5&lt;&gt;"",--(AL239="Présent"),0),IF($AN$5&lt;&gt;"",--(AN239="Présent"),0),IF($AP$5&lt;&gt;"",--(AP239="Présent"),0),IF($AR$5&lt;&gt;"",--(AR239="Présent"),0),IF($AT$5&lt;&gt;"",--(AT239="Présent"),0),IF($AV$5&lt;&gt;"",--(AV239="Présent"),0),IF($AX$5&lt;&gt;"",--(AX239="Présent"),0),IF($AZ$5&lt;&gt;"",--(AZ239="Présent"),0),IF($BB$5&lt;&gt;"",--(BB239="Présent"),0),IF($BD$5&lt;&gt;"",--(BD239="Présent"),0),IF($BF$5&lt;&gt;"",--(BF239="Présent"),0),IF($BH$5&lt;&gt;"",--(BH239="Présent"),0),IF($BJ$5&lt;&gt;"",--(BJ239="Présent"),0),IF($BL$5&lt;&gt;"",--(BL239="Présent"),0)))</f>
      </c>
      <c r="BO239" s="22">
        <f>IF($A239="","",SUM(IF($D$5&lt;&gt;"",--(D239="Absent"),0),IF($F$5&lt;&gt;"",--(F239="Absent"),0),IF($H$5&lt;&gt;"",--(H239="Absent"),0),IF($J$5&lt;&gt;"",--(J239="Absent"),0),IF($L$5&lt;&gt;"",--(L239="Absent"),0),IF($N$5&lt;&gt;"",--(N239="Absent"),0),IF($P$5&lt;&gt;"",--(P239="Absent"),0),IF($R$5&lt;&gt;"",--(R239="Absent"),0),IF($T$5&lt;&gt;"",--(T239="Absent"),0),IF($V$5&lt;&gt;"",--(V239="Absent"),0),IF($X$5&lt;&gt;"",--(X239="Absent"),0),IF($Z$5&lt;&gt;"",--(Z239="Absent"),0),IF($AB$5&lt;&gt;"",--(AB239="Absent"),0),IF($AD$5&lt;&gt;"",--(AD239="Absent"),0),IF($AF$5&lt;&gt;"",--(AF239="Absent"),0),IF($AH$5&lt;&gt;"",--(AH239="Absent"),0),IF($AJ$5&lt;&gt;"",--(AJ239="Absent"),0),IF($AL$5&lt;&gt;"",--(AL239="Absent"),0),IF($AN$5&lt;&gt;"",--(AN239="Absent"),0),IF($AP$5&lt;&gt;"",--(AP239="Absent"),0),IF($AR$5&lt;&gt;"",--(AR239="Absent"),0),IF($AT$5&lt;&gt;"",--(AT239="Absent"),0),IF($AV$5&lt;&gt;"",--(AV239="Absent"),0),IF($AX$5&lt;&gt;"",--(AX239="Absent"),0),IF($AZ$5&lt;&gt;"",--(AZ239="Absent"),0),IF($BB$5&lt;&gt;"",--(BB239="Absent"),0),IF($BD$5&lt;&gt;"",--(BD239="Absent"),0),IF($BF$5&lt;&gt;"",--(BF239="Absent"),0),IF($BH$5&lt;&gt;"",--(BH239="Absent"),0),IF($BJ$5&lt;&gt;"",--(BJ239="Absent"),0),IF($BL$5&lt;&gt;"",--(BL239="Absent"),0)))</f>
      </c>
      <c r="BP239" s="22">
        <f>IF($A239="","",SUM(IF($D$5&lt;&gt;"",--(D239="Congé"),0),IF($F$5&lt;&gt;"",--(F239="Congé"),0),IF($H$5&lt;&gt;"",--(H239="Congé"),0),IF($J$5&lt;&gt;"",--(J239="Congé"),0),IF($L$5&lt;&gt;"",--(L239="Congé"),0),IF($N$5&lt;&gt;"",--(N239="Congé"),0),IF($P$5&lt;&gt;"",--(P239="Congé"),0),IF($R$5&lt;&gt;"",--(R239="Congé"),0),IF($T$5&lt;&gt;"",--(T239="Congé"),0),IF($V$5&lt;&gt;"",--(V239="Congé"),0),IF($X$5&lt;&gt;"",--(X239="Congé"),0),IF($Z$5&lt;&gt;"",--(Z239="Congé"),0),IF($AB$5&lt;&gt;"",--(AB239="Congé"),0),IF($AD$5&lt;&gt;"",--(AD239="Congé"),0),IF($AF$5&lt;&gt;"",--(AF239="Congé"),0),IF($AH$5&lt;&gt;"",--(AH239="Congé"),0),IF($AJ$5&lt;&gt;"",--(AJ239="Congé"),0),IF($AL$5&lt;&gt;"",--(AL239="Congé"),0),IF($AN$5&lt;&gt;"",--(AN239="Congé"),0),IF($AP$5&lt;&gt;"",--(AP239="Congé"),0),IF($AR$5&lt;&gt;"",--(AR239="Congé"),0),IF($AT$5&lt;&gt;"",--(AT239="Congé"),0),IF($AV$5&lt;&gt;"",--(AV239="Congé"),0),IF($AX$5&lt;&gt;"",--(AX239="Congé"),0),IF($AZ$5&lt;&gt;"",--(AZ239="Congé"),0),IF($BB$5&lt;&gt;"",--(BB239="Congé"),0),IF($BD$5&lt;&gt;"",--(BD239="Congé"),0),IF($BF$5&lt;&gt;"",--(BF239="Congé"),0),IF($BH$5&lt;&gt;"",--(BH239="Congé"),0),IF($BJ$5&lt;&gt;"",--(BJ239="Congé"),0),IF($BL$5&lt;&gt;"",--(BL239="Congé"),0)))</f>
      </c>
      <c r="BQ239" s="22">
        <f>IF($A239="","",SUM(IF($D$5&lt;&gt;"",--(D239="Maladie"),0),IF($F$5&lt;&gt;"",--(F239="Maladie"),0),IF($H$5&lt;&gt;"",--(H239="Maladie"),0),IF($J$5&lt;&gt;"",--(J239="Maladie"),0),IF($L$5&lt;&gt;"",--(L239="Maladie"),0),IF($N$5&lt;&gt;"",--(N239="Maladie"),0),IF($P$5&lt;&gt;"",--(P239="Maladie"),0),IF($R$5&lt;&gt;"",--(R239="Maladie"),0),IF($T$5&lt;&gt;"",--(T239="Maladie"),0),IF($V$5&lt;&gt;"",--(V239="Maladie"),0),IF($X$5&lt;&gt;"",--(X239="Maladie"),0),IF($Z$5&lt;&gt;"",--(Z239="Maladie"),0),IF($AB$5&lt;&gt;"",--(AB239="Maladie"),0),IF($AD$5&lt;&gt;"",--(AD239="Maladie"),0),IF($AF$5&lt;&gt;"",--(AF239="Maladie"),0),IF($AH$5&lt;&gt;"",--(AH239="Maladie"),0),IF($AJ$5&lt;&gt;"",--(AJ239="Maladie"),0),IF($AL$5&lt;&gt;"",--(AL239="Maladie"),0),IF($AN$5&lt;&gt;"",--(AN239="Maladie"),0),IF($AP$5&lt;&gt;"",--(AP239="Maladie"),0),IF($AR$5&lt;&gt;"",--(AR239="Maladie"),0),IF($AT$5&lt;&gt;"",--(AT239="Maladie"),0),IF($AV$5&lt;&gt;"",--(AV239="Maladie"),0),IF($AX$5&lt;&gt;"",--(AX239="Maladie"),0),IF($AZ$5&lt;&gt;"",--(AZ239="Maladie"),0),IF($BB$5&lt;&gt;"",--(BB239="Maladie"),0),IF($BD$5&lt;&gt;"",--(BD239="Maladie"),0),IF($BF$5&lt;&gt;"",--(BF239="Maladie"),0),IF($BH$5&lt;&gt;"",--(BH239="Maladie"),0),IF($BJ$5&lt;&gt;"",--(BJ239="Maladie"),0),IF($BL$5&lt;&gt;"",--(BL239="Maladie"),0)))</f>
      </c>
      <c r="BR239" s="23">
        <f>IF($A239="","",SUM(IF($D$5&lt;&gt;"",IF(D239="Présent",E239,0),0),IF($F$5&lt;&gt;"",IF(F239="Présent",G239,0),0),IF($H$5&lt;&gt;"",IF(H239="Présent",I239,0),0),IF($J$5&lt;&gt;"",IF(J239="Présent",K239,0),0),IF($L$5&lt;&gt;"",IF(L239="Présent",M239,0),0),IF($N$5&lt;&gt;"",IF(N239="Présent",O239,0),0),IF($P$5&lt;&gt;"",IF(P239="Présent",Q239,0),0),IF($R$5&lt;&gt;"",IF(R239="Présent",S239,0),0),IF($T$5&lt;&gt;"",IF(T239="Présent",U239,0),0),IF($V$5&lt;&gt;"",IF(V239="Présent",W239,0),0),IF($X$5&lt;&gt;"",IF(X239="Présent",Y239,0),0),IF($Z$5&lt;&gt;"",IF(Z239="Présent",AA239,0),0),IF($AB$5&lt;&gt;"",IF(AB239="Présent",AC239,0),0),IF($AD$5&lt;&gt;"",IF(AD239="Présent",AE239,0),0),IF($AF$5&lt;&gt;"",IF(AF239="Présent",AG239,0),0),IF($AH$5&lt;&gt;"",IF(AH239="Présent",AI239,0),0),IF($AJ$5&lt;&gt;"",IF(AJ239="Présent",AK239,0),0),IF($AL$5&lt;&gt;"",IF(AL239="Présent",AM239,0),0),IF($AN$5&lt;&gt;"",IF(AN239="Présent",AO239,0),0),IF($AP$5&lt;&gt;"",IF(AP239="Présent",AQ239,0),0),IF($AR$5&lt;&gt;"",IF(AR239="Présent",AS239,0),0),IF($AT$5&lt;&gt;"",IF(AT239="Présent",AU239,0),0),IF($AV$5&lt;&gt;"",IF(AV239="Présent",AW239,0),0),IF($AX$5&lt;&gt;"",IF(AX239="Présent",AY239,0),0),IF($AZ$5&lt;&gt;"",IF(AZ239="Présent",BA239,0),0),IF($BB$5&lt;&gt;"",IF(BB239="Présent",BC239,0),0),IF($BD$5&lt;&gt;"",IF(BD239="Présent",BE239,0),0),IF($BF$5&lt;&gt;"",IF(BF239="Présent",BG239,0),0),IF($BH$5&lt;&gt;"",IF(BH239="Présent",BI239,0),0),IF($BJ$5&lt;&gt;"",IF(BJ239="Présent",BK239,0),0),IF($BL$5&lt;&gt;"",IF(BL239="Présent",BM239,0),0)))</f>
      </c>
      <c r="BS239" s="25">
        <f>IF($A239="","",$BN239*IFERROR(INDEX(Categories_Salaire,MATCH($C239,ListeCategories,0)),0)+$BR239*IF(IFERROR(INDEX(Categories_TauxHS,MATCH($C239,ListeCategories,0)),0)&gt;0,IFERROR(INDEX(Categories_TauxHS,MATCH($C239,ListeCategories,0)),0),TauxHSDefaut))</f>
      </c>
    </row>
    <row r="240">
      <c r="A240" s="20">
        <f>IF(AND(INDEX(Employes_Nom,234)&lt;&gt;"",INDEX(Employes_Statut,234)="Actif",OR(INDEX(Employes_Embauche,234)="",INDEX(Employes_Embauche,234)&lt;=EOMONTH(DATE(AnneeCourante,MoisCourant,1),0))),INDEX(Employes_ID,234),"")</f>
      </c>
      <c r="B240" s="19">
        <f>IF($A240="","",INDEX(Employes_Nom,MATCH($A240,Employes_ID,0)))</f>
      </c>
      <c r="C240" s="20">
        <f>IF($A240="","",INDEX(Employes_Categorie,MATCH($A240,Employes_ID,0)))</f>
      </c>
      <c r="D240" s="26"/>
      <c r="E240" s="27"/>
      <c r="F240" s="26"/>
      <c r="G240" s="27"/>
      <c r="H240" s="26"/>
      <c r="I240" s="27"/>
      <c r="J240" s="26"/>
      <c r="K240" s="27"/>
      <c r="L240" s="26"/>
      <c r="M240" s="27"/>
      <c r="N240" s="26"/>
      <c r="O240" s="27"/>
      <c r="P240" s="26"/>
      <c r="Q240" s="27"/>
      <c r="R240" s="26"/>
      <c r="S240" s="27"/>
      <c r="T240" s="26"/>
      <c r="U240" s="27"/>
      <c r="V240" s="26"/>
      <c r="W240" s="27"/>
      <c r="X240" s="26"/>
      <c r="Y240" s="27"/>
      <c r="Z240" s="26"/>
      <c r="AA240" s="27"/>
      <c r="AB240" s="26"/>
      <c r="AC240" s="27"/>
      <c r="AD240" s="26"/>
      <c r="AE240" s="27"/>
      <c r="AF240" s="26"/>
      <c r="AG240" s="27"/>
      <c r="AH240" s="26"/>
      <c r="AI240" s="27"/>
      <c r="AJ240" s="26"/>
      <c r="AK240" s="27"/>
      <c r="AL240" s="26"/>
      <c r="AM240" s="27"/>
      <c r="AN240" s="26"/>
      <c r="AO240" s="27"/>
      <c r="AP240" s="26"/>
      <c r="AQ240" s="27"/>
      <c r="AR240" s="26"/>
      <c r="AS240" s="27"/>
      <c r="AT240" s="26"/>
      <c r="AU240" s="27"/>
      <c r="AV240" s="26"/>
      <c r="AW240" s="27"/>
      <c r="AX240" s="26"/>
      <c r="AY240" s="27"/>
      <c r="AZ240" s="26"/>
      <c r="BA240" s="27"/>
      <c r="BB240" s="26"/>
      <c r="BC240" s="27"/>
      <c r="BD240" s="26"/>
      <c r="BE240" s="27"/>
      <c r="BF240" s="26"/>
      <c r="BG240" s="27"/>
      <c r="BH240" s="26"/>
      <c r="BI240" s="27"/>
      <c r="BJ240" s="26"/>
      <c r="BK240" s="27"/>
      <c r="BL240" s="26"/>
      <c r="BM240" s="27"/>
      <c r="BN240" s="22">
        <f>IF($A240="","",SUM(IF($D$5&lt;&gt;"",--(D240="Présent"),0),IF($F$5&lt;&gt;"",--(F240="Présent"),0),IF($H$5&lt;&gt;"",--(H240="Présent"),0),IF($J$5&lt;&gt;"",--(J240="Présent"),0),IF($L$5&lt;&gt;"",--(L240="Présent"),0),IF($N$5&lt;&gt;"",--(N240="Présent"),0),IF($P$5&lt;&gt;"",--(P240="Présent"),0),IF($R$5&lt;&gt;"",--(R240="Présent"),0),IF($T$5&lt;&gt;"",--(T240="Présent"),0),IF($V$5&lt;&gt;"",--(V240="Présent"),0),IF($X$5&lt;&gt;"",--(X240="Présent"),0),IF($Z$5&lt;&gt;"",--(Z240="Présent"),0),IF($AB$5&lt;&gt;"",--(AB240="Présent"),0),IF($AD$5&lt;&gt;"",--(AD240="Présent"),0),IF($AF$5&lt;&gt;"",--(AF240="Présent"),0),IF($AH$5&lt;&gt;"",--(AH240="Présent"),0),IF($AJ$5&lt;&gt;"",--(AJ240="Présent"),0),IF($AL$5&lt;&gt;"",--(AL240="Présent"),0),IF($AN$5&lt;&gt;"",--(AN240="Présent"),0),IF($AP$5&lt;&gt;"",--(AP240="Présent"),0),IF($AR$5&lt;&gt;"",--(AR240="Présent"),0),IF($AT$5&lt;&gt;"",--(AT240="Présent"),0),IF($AV$5&lt;&gt;"",--(AV240="Présent"),0),IF($AX$5&lt;&gt;"",--(AX240="Présent"),0),IF($AZ$5&lt;&gt;"",--(AZ240="Présent"),0),IF($BB$5&lt;&gt;"",--(BB240="Présent"),0),IF($BD$5&lt;&gt;"",--(BD240="Présent"),0),IF($BF$5&lt;&gt;"",--(BF240="Présent"),0),IF($BH$5&lt;&gt;"",--(BH240="Présent"),0),IF($BJ$5&lt;&gt;"",--(BJ240="Présent"),0),IF($BL$5&lt;&gt;"",--(BL240="Présent"),0)))</f>
      </c>
      <c r="BO240" s="22">
        <f>IF($A240="","",SUM(IF($D$5&lt;&gt;"",--(D240="Absent"),0),IF($F$5&lt;&gt;"",--(F240="Absent"),0),IF($H$5&lt;&gt;"",--(H240="Absent"),0),IF($J$5&lt;&gt;"",--(J240="Absent"),0),IF($L$5&lt;&gt;"",--(L240="Absent"),0),IF($N$5&lt;&gt;"",--(N240="Absent"),0),IF($P$5&lt;&gt;"",--(P240="Absent"),0),IF($R$5&lt;&gt;"",--(R240="Absent"),0),IF($T$5&lt;&gt;"",--(T240="Absent"),0),IF($V$5&lt;&gt;"",--(V240="Absent"),0),IF($X$5&lt;&gt;"",--(X240="Absent"),0),IF($Z$5&lt;&gt;"",--(Z240="Absent"),0),IF($AB$5&lt;&gt;"",--(AB240="Absent"),0),IF($AD$5&lt;&gt;"",--(AD240="Absent"),0),IF($AF$5&lt;&gt;"",--(AF240="Absent"),0),IF($AH$5&lt;&gt;"",--(AH240="Absent"),0),IF($AJ$5&lt;&gt;"",--(AJ240="Absent"),0),IF($AL$5&lt;&gt;"",--(AL240="Absent"),0),IF($AN$5&lt;&gt;"",--(AN240="Absent"),0),IF($AP$5&lt;&gt;"",--(AP240="Absent"),0),IF($AR$5&lt;&gt;"",--(AR240="Absent"),0),IF($AT$5&lt;&gt;"",--(AT240="Absent"),0),IF($AV$5&lt;&gt;"",--(AV240="Absent"),0),IF($AX$5&lt;&gt;"",--(AX240="Absent"),0),IF($AZ$5&lt;&gt;"",--(AZ240="Absent"),0),IF($BB$5&lt;&gt;"",--(BB240="Absent"),0),IF($BD$5&lt;&gt;"",--(BD240="Absent"),0),IF($BF$5&lt;&gt;"",--(BF240="Absent"),0),IF($BH$5&lt;&gt;"",--(BH240="Absent"),0),IF($BJ$5&lt;&gt;"",--(BJ240="Absent"),0),IF($BL$5&lt;&gt;"",--(BL240="Absent"),0)))</f>
      </c>
      <c r="BP240" s="22">
        <f>IF($A240="","",SUM(IF($D$5&lt;&gt;"",--(D240="Congé"),0),IF($F$5&lt;&gt;"",--(F240="Congé"),0),IF($H$5&lt;&gt;"",--(H240="Congé"),0),IF($J$5&lt;&gt;"",--(J240="Congé"),0),IF($L$5&lt;&gt;"",--(L240="Congé"),0),IF($N$5&lt;&gt;"",--(N240="Congé"),0),IF($P$5&lt;&gt;"",--(P240="Congé"),0),IF($R$5&lt;&gt;"",--(R240="Congé"),0),IF($T$5&lt;&gt;"",--(T240="Congé"),0),IF($V$5&lt;&gt;"",--(V240="Congé"),0),IF($X$5&lt;&gt;"",--(X240="Congé"),0),IF($Z$5&lt;&gt;"",--(Z240="Congé"),0),IF($AB$5&lt;&gt;"",--(AB240="Congé"),0),IF($AD$5&lt;&gt;"",--(AD240="Congé"),0),IF($AF$5&lt;&gt;"",--(AF240="Congé"),0),IF($AH$5&lt;&gt;"",--(AH240="Congé"),0),IF($AJ$5&lt;&gt;"",--(AJ240="Congé"),0),IF($AL$5&lt;&gt;"",--(AL240="Congé"),0),IF($AN$5&lt;&gt;"",--(AN240="Congé"),0),IF($AP$5&lt;&gt;"",--(AP240="Congé"),0),IF($AR$5&lt;&gt;"",--(AR240="Congé"),0),IF($AT$5&lt;&gt;"",--(AT240="Congé"),0),IF($AV$5&lt;&gt;"",--(AV240="Congé"),0),IF($AX$5&lt;&gt;"",--(AX240="Congé"),0),IF($AZ$5&lt;&gt;"",--(AZ240="Congé"),0),IF($BB$5&lt;&gt;"",--(BB240="Congé"),0),IF($BD$5&lt;&gt;"",--(BD240="Congé"),0),IF($BF$5&lt;&gt;"",--(BF240="Congé"),0),IF($BH$5&lt;&gt;"",--(BH240="Congé"),0),IF($BJ$5&lt;&gt;"",--(BJ240="Congé"),0),IF($BL$5&lt;&gt;"",--(BL240="Congé"),0)))</f>
      </c>
      <c r="BQ240" s="22">
        <f>IF($A240="","",SUM(IF($D$5&lt;&gt;"",--(D240="Maladie"),0),IF($F$5&lt;&gt;"",--(F240="Maladie"),0),IF($H$5&lt;&gt;"",--(H240="Maladie"),0),IF($J$5&lt;&gt;"",--(J240="Maladie"),0),IF($L$5&lt;&gt;"",--(L240="Maladie"),0),IF($N$5&lt;&gt;"",--(N240="Maladie"),0),IF($P$5&lt;&gt;"",--(P240="Maladie"),0),IF($R$5&lt;&gt;"",--(R240="Maladie"),0),IF($T$5&lt;&gt;"",--(T240="Maladie"),0),IF($V$5&lt;&gt;"",--(V240="Maladie"),0),IF($X$5&lt;&gt;"",--(X240="Maladie"),0),IF($Z$5&lt;&gt;"",--(Z240="Maladie"),0),IF($AB$5&lt;&gt;"",--(AB240="Maladie"),0),IF($AD$5&lt;&gt;"",--(AD240="Maladie"),0),IF($AF$5&lt;&gt;"",--(AF240="Maladie"),0),IF($AH$5&lt;&gt;"",--(AH240="Maladie"),0),IF($AJ$5&lt;&gt;"",--(AJ240="Maladie"),0),IF($AL$5&lt;&gt;"",--(AL240="Maladie"),0),IF($AN$5&lt;&gt;"",--(AN240="Maladie"),0),IF($AP$5&lt;&gt;"",--(AP240="Maladie"),0),IF($AR$5&lt;&gt;"",--(AR240="Maladie"),0),IF($AT$5&lt;&gt;"",--(AT240="Maladie"),0),IF($AV$5&lt;&gt;"",--(AV240="Maladie"),0),IF($AX$5&lt;&gt;"",--(AX240="Maladie"),0),IF($AZ$5&lt;&gt;"",--(AZ240="Maladie"),0),IF($BB$5&lt;&gt;"",--(BB240="Maladie"),0),IF($BD$5&lt;&gt;"",--(BD240="Maladie"),0),IF($BF$5&lt;&gt;"",--(BF240="Maladie"),0),IF($BH$5&lt;&gt;"",--(BH240="Maladie"),0),IF($BJ$5&lt;&gt;"",--(BJ240="Maladie"),0),IF($BL$5&lt;&gt;"",--(BL240="Maladie"),0)))</f>
      </c>
      <c r="BR240" s="23">
        <f>IF($A240="","",SUM(IF($D$5&lt;&gt;"",IF(D240="Présent",E240,0),0),IF($F$5&lt;&gt;"",IF(F240="Présent",G240,0),0),IF($H$5&lt;&gt;"",IF(H240="Présent",I240,0),0),IF($J$5&lt;&gt;"",IF(J240="Présent",K240,0),0),IF($L$5&lt;&gt;"",IF(L240="Présent",M240,0),0),IF($N$5&lt;&gt;"",IF(N240="Présent",O240,0),0),IF($P$5&lt;&gt;"",IF(P240="Présent",Q240,0),0),IF($R$5&lt;&gt;"",IF(R240="Présent",S240,0),0),IF($T$5&lt;&gt;"",IF(T240="Présent",U240,0),0),IF($V$5&lt;&gt;"",IF(V240="Présent",W240,0),0),IF($X$5&lt;&gt;"",IF(X240="Présent",Y240,0),0),IF($Z$5&lt;&gt;"",IF(Z240="Présent",AA240,0),0),IF($AB$5&lt;&gt;"",IF(AB240="Présent",AC240,0),0),IF($AD$5&lt;&gt;"",IF(AD240="Présent",AE240,0),0),IF($AF$5&lt;&gt;"",IF(AF240="Présent",AG240,0),0),IF($AH$5&lt;&gt;"",IF(AH240="Présent",AI240,0),0),IF($AJ$5&lt;&gt;"",IF(AJ240="Présent",AK240,0),0),IF($AL$5&lt;&gt;"",IF(AL240="Présent",AM240,0),0),IF($AN$5&lt;&gt;"",IF(AN240="Présent",AO240,0),0),IF($AP$5&lt;&gt;"",IF(AP240="Présent",AQ240,0),0),IF($AR$5&lt;&gt;"",IF(AR240="Présent",AS240,0),0),IF($AT$5&lt;&gt;"",IF(AT240="Présent",AU240,0),0),IF($AV$5&lt;&gt;"",IF(AV240="Présent",AW240,0),0),IF($AX$5&lt;&gt;"",IF(AX240="Présent",AY240,0),0),IF($AZ$5&lt;&gt;"",IF(AZ240="Présent",BA240,0),0),IF($BB$5&lt;&gt;"",IF(BB240="Présent",BC240,0),0),IF($BD$5&lt;&gt;"",IF(BD240="Présent",BE240,0),0),IF($BF$5&lt;&gt;"",IF(BF240="Présent",BG240,0),0),IF($BH$5&lt;&gt;"",IF(BH240="Présent",BI240,0),0),IF($BJ$5&lt;&gt;"",IF(BJ240="Présent",BK240,0),0),IF($BL$5&lt;&gt;"",IF(BL240="Présent",BM240,0),0)))</f>
      </c>
      <c r="BS240" s="25">
        <f>IF($A240="","",$BN240*IFERROR(INDEX(Categories_Salaire,MATCH($C240,ListeCategories,0)),0)+$BR240*IF(IFERROR(INDEX(Categories_TauxHS,MATCH($C240,ListeCategories,0)),0)&gt;0,IFERROR(INDEX(Categories_TauxHS,MATCH($C240,ListeCategories,0)),0),TauxHSDefaut))</f>
      </c>
    </row>
    <row r="241">
      <c r="A241" s="20">
        <f>IF(AND(INDEX(Employes_Nom,235)&lt;&gt;"",INDEX(Employes_Statut,235)="Actif",OR(INDEX(Employes_Embauche,235)="",INDEX(Employes_Embauche,235)&lt;=EOMONTH(DATE(AnneeCourante,MoisCourant,1),0))),INDEX(Employes_ID,235),"")</f>
      </c>
      <c r="B241" s="19">
        <f>IF($A241="","",INDEX(Employes_Nom,MATCH($A241,Employes_ID,0)))</f>
      </c>
      <c r="C241" s="20">
        <f>IF($A241="","",INDEX(Employes_Categorie,MATCH($A241,Employes_ID,0)))</f>
      </c>
      <c r="D241" s="26"/>
      <c r="E241" s="27"/>
      <c r="F241" s="26"/>
      <c r="G241" s="27"/>
      <c r="H241" s="26"/>
      <c r="I241" s="27"/>
      <c r="J241" s="26"/>
      <c r="K241" s="27"/>
      <c r="L241" s="26"/>
      <c r="M241" s="27"/>
      <c r="N241" s="26"/>
      <c r="O241" s="27"/>
      <c r="P241" s="26"/>
      <c r="Q241" s="27"/>
      <c r="R241" s="26"/>
      <c r="S241" s="27"/>
      <c r="T241" s="26"/>
      <c r="U241" s="27"/>
      <c r="V241" s="26"/>
      <c r="W241" s="27"/>
      <c r="X241" s="26"/>
      <c r="Y241" s="27"/>
      <c r="Z241" s="26"/>
      <c r="AA241" s="27"/>
      <c r="AB241" s="26"/>
      <c r="AC241" s="27"/>
      <c r="AD241" s="26"/>
      <c r="AE241" s="27"/>
      <c r="AF241" s="26"/>
      <c r="AG241" s="27"/>
      <c r="AH241" s="26"/>
      <c r="AI241" s="27"/>
      <c r="AJ241" s="26"/>
      <c r="AK241" s="27"/>
      <c r="AL241" s="26"/>
      <c r="AM241" s="27"/>
      <c r="AN241" s="26"/>
      <c r="AO241" s="27"/>
      <c r="AP241" s="26"/>
      <c r="AQ241" s="27"/>
      <c r="AR241" s="26"/>
      <c r="AS241" s="27"/>
      <c r="AT241" s="26"/>
      <c r="AU241" s="27"/>
      <c r="AV241" s="26"/>
      <c r="AW241" s="27"/>
      <c r="AX241" s="26"/>
      <c r="AY241" s="27"/>
      <c r="AZ241" s="26"/>
      <c r="BA241" s="27"/>
      <c r="BB241" s="26"/>
      <c r="BC241" s="27"/>
      <c r="BD241" s="26"/>
      <c r="BE241" s="27"/>
      <c r="BF241" s="26"/>
      <c r="BG241" s="27"/>
      <c r="BH241" s="26"/>
      <c r="BI241" s="27"/>
      <c r="BJ241" s="26"/>
      <c r="BK241" s="27"/>
      <c r="BL241" s="26"/>
      <c r="BM241" s="27"/>
      <c r="BN241" s="22">
        <f>IF($A241="","",SUM(IF($D$5&lt;&gt;"",--(D241="Présent"),0),IF($F$5&lt;&gt;"",--(F241="Présent"),0),IF($H$5&lt;&gt;"",--(H241="Présent"),0),IF($J$5&lt;&gt;"",--(J241="Présent"),0),IF($L$5&lt;&gt;"",--(L241="Présent"),0),IF($N$5&lt;&gt;"",--(N241="Présent"),0),IF($P$5&lt;&gt;"",--(P241="Présent"),0),IF($R$5&lt;&gt;"",--(R241="Présent"),0),IF($T$5&lt;&gt;"",--(T241="Présent"),0),IF($V$5&lt;&gt;"",--(V241="Présent"),0),IF($X$5&lt;&gt;"",--(X241="Présent"),0),IF($Z$5&lt;&gt;"",--(Z241="Présent"),0),IF($AB$5&lt;&gt;"",--(AB241="Présent"),0),IF($AD$5&lt;&gt;"",--(AD241="Présent"),0),IF($AF$5&lt;&gt;"",--(AF241="Présent"),0),IF($AH$5&lt;&gt;"",--(AH241="Présent"),0),IF($AJ$5&lt;&gt;"",--(AJ241="Présent"),0),IF($AL$5&lt;&gt;"",--(AL241="Présent"),0),IF($AN$5&lt;&gt;"",--(AN241="Présent"),0),IF($AP$5&lt;&gt;"",--(AP241="Présent"),0),IF($AR$5&lt;&gt;"",--(AR241="Présent"),0),IF($AT$5&lt;&gt;"",--(AT241="Présent"),0),IF($AV$5&lt;&gt;"",--(AV241="Présent"),0),IF($AX$5&lt;&gt;"",--(AX241="Présent"),0),IF($AZ$5&lt;&gt;"",--(AZ241="Présent"),0),IF($BB$5&lt;&gt;"",--(BB241="Présent"),0),IF($BD$5&lt;&gt;"",--(BD241="Présent"),0),IF($BF$5&lt;&gt;"",--(BF241="Présent"),0),IF($BH$5&lt;&gt;"",--(BH241="Présent"),0),IF($BJ$5&lt;&gt;"",--(BJ241="Présent"),0),IF($BL$5&lt;&gt;"",--(BL241="Présent"),0)))</f>
      </c>
      <c r="BO241" s="22">
        <f>IF($A241="","",SUM(IF($D$5&lt;&gt;"",--(D241="Absent"),0),IF($F$5&lt;&gt;"",--(F241="Absent"),0),IF($H$5&lt;&gt;"",--(H241="Absent"),0),IF($J$5&lt;&gt;"",--(J241="Absent"),0),IF($L$5&lt;&gt;"",--(L241="Absent"),0),IF($N$5&lt;&gt;"",--(N241="Absent"),0),IF($P$5&lt;&gt;"",--(P241="Absent"),0),IF($R$5&lt;&gt;"",--(R241="Absent"),0),IF($T$5&lt;&gt;"",--(T241="Absent"),0),IF($V$5&lt;&gt;"",--(V241="Absent"),0),IF($X$5&lt;&gt;"",--(X241="Absent"),0),IF($Z$5&lt;&gt;"",--(Z241="Absent"),0),IF($AB$5&lt;&gt;"",--(AB241="Absent"),0),IF($AD$5&lt;&gt;"",--(AD241="Absent"),0),IF($AF$5&lt;&gt;"",--(AF241="Absent"),0),IF($AH$5&lt;&gt;"",--(AH241="Absent"),0),IF($AJ$5&lt;&gt;"",--(AJ241="Absent"),0),IF($AL$5&lt;&gt;"",--(AL241="Absent"),0),IF($AN$5&lt;&gt;"",--(AN241="Absent"),0),IF($AP$5&lt;&gt;"",--(AP241="Absent"),0),IF($AR$5&lt;&gt;"",--(AR241="Absent"),0),IF($AT$5&lt;&gt;"",--(AT241="Absent"),0),IF($AV$5&lt;&gt;"",--(AV241="Absent"),0),IF($AX$5&lt;&gt;"",--(AX241="Absent"),0),IF($AZ$5&lt;&gt;"",--(AZ241="Absent"),0),IF($BB$5&lt;&gt;"",--(BB241="Absent"),0),IF($BD$5&lt;&gt;"",--(BD241="Absent"),0),IF($BF$5&lt;&gt;"",--(BF241="Absent"),0),IF($BH$5&lt;&gt;"",--(BH241="Absent"),0),IF($BJ$5&lt;&gt;"",--(BJ241="Absent"),0),IF($BL$5&lt;&gt;"",--(BL241="Absent"),0)))</f>
      </c>
      <c r="BP241" s="22">
        <f>IF($A241="","",SUM(IF($D$5&lt;&gt;"",--(D241="Congé"),0),IF($F$5&lt;&gt;"",--(F241="Congé"),0),IF($H$5&lt;&gt;"",--(H241="Congé"),0),IF($J$5&lt;&gt;"",--(J241="Congé"),0),IF($L$5&lt;&gt;"",--(L241="Congé"),0),IF($N$5&lt;&gt;"",--(N241="Congé"),0),IF($P$5&lt;&gt;"",--(P241="Congé"),0),IF($R$5&lt;&gt;"",--(R241="Congé"),0),IF($T$5&lt;&gt;"",--(T241="Congé"),0),IF($V$5&lt;&gt;"",--(V241="Congé"),0),IF($X$5&lt;&gt;"",--(X241="Congé"),0),IF($Z$5&lt;&gt;"",--(Z241="Congé"),0),IF($AB$5&lt;&gt;"",--(AB241="Congé"),0),IF($AD$5&lt;&gt;"",--(AD241="Congé"),0),IF($AF$5&lt;&gt;"",--(AF241="Congé"),0),IF($AH$5&lt;&gt;"",--(AH241="Congé"),0),IF($AJ$5&lt;&gt;"",--(AJ241="Congé"),0),IF($AL$5&lt;&gt;"",--(AL241="Congé"),0),IF($AN$5&lt;&gt;"",--(AN241="Congé"),0),IF($AP$5&lt;&gt;"",--(AP241="Congé"),0),IF($AR$5&lt;&gt;"",--(AR241="Congé"),0),IF($AT$5&lt;&gt;"",--(AT241="Congé"),0),IF($AV$5&lt;&gt;"",--(AV241="Congé"),0),IF($AX$5&lt;&gt;"",--(AX241="Congé"),0),IF($AZ$5&lt;&gt;"",--(AZ241="Congé"),0),IF($BB$5&lt;&gt;"",--(BB241="Congé"),0),IF($BD$5&lt;&gt;"",--(BD241="Congé"),0),IF($BF$5&lt;&gt;"",--(BF241="Congé"),0),IF($BH$5&lt;&gt;"",--(BH241="Congé"),0),IF($BJ$5&lt;&gt;"",--(BJ241="Congé"),0),IF($BL$5&lt;&gt;"",--(BL241="Congé"),0)))</f>
      </c>
      <c r="BQ241" s="22">
        <f>IF($A241="","",SUM(IF($D$5&lt;&gt;"",--(D241="Maladie"),0),IF($F$5&lt;&gt;"",--(F241="Maladie"),0),IF($H$5&lt;&gt;"",--(H241="Maladie"),0),IF($J$5&lt;&gt;"",--(J241="Maladie"),0),IF($L$5&lt;&gt;"",--(L241="Maladie"),0),IF($N$5&lt;&gt;"",--(N241="Maladie"),0),IF($P$5&lt;&gt;"",--(P241="Maladie"),0),IF($R$5&lt;&gt;"",--(R241="Maladie"),0),IF($T$5&lt;&gt;"",--(T241="Maladie"),0),IF($V$5&lt;&gt;"",--(V241="Maladie"),0),IF($X$5&lt;&gt;"",--(X241="Maladie"),0),IF($Z$5&lt;&gt;"",--(Z241="Maladie"),0),IF($AB$5&lt;&gt;"",--(AB241="Maladie"),0),IF($AD$5&lt;&gt;"",--(AD241="Maladie"),0),IF($AF$5&lt;&gt;"",--(AF241="Maladie"),0),IF($AH$5&lt;&gt;"",--(AH241="Maladie"),0),IF($AJ$5&lt;&gt;"",--(AJ241="Maladie"),0),IF($AL$5&lt;&gt;"",--(AL241="Maladie"),0),IF($AN$5&lt;&gt;"",--(AN241="Maladie"),0),IF($AP$5&lt;&gt;"",--(AP241="Maladie"),0),IF($AR$5&lt;&gt;"",--(AR241="Maladie"),0),IF($AT$5&lt;&gt;"",--(AT241="Maladie"),0),IF($AV$5&lt;&gt;"",--(AV241="Maladie"),0),IF($AX$5&lt;&gt;"",--(AX241="Maladie"),0),IF($AZ$5&lt;&gt;"",--(AZ241="Maladie"),0),IF($BB$5&lt;&gt;"",--(BB241="Maladie"),0),IF($BD$5&lt;&gt;"",--(BD241="Maladie"),0),IF($BF$5&lt;&gt;"",--(BF241="Maladie"),0),IF($BH$5&lt;&gt;"",--(BH241="Maladie"),0),IF($BJ$5&lt;&gt;"",--(BJ241="Maladie"),0),IF($BL$5&lt;&gt;"",--(BL241="Maladie"),0)))</f>
      </c>
      <c r="BR241" s="23">
        <f>IF($A241="","",SUM(IF($D$5&lt;&gt;"",IF(D241="Présent",E241,0),0),IF($F$5&lt;&gt;"",IF(F241="Présent",G241,0),0),IF($H$5&lt;&gt;"",IF(H241="Présent",I241,0),0),IF($J$5&lt;&gt;"",IF(J241="Présent",K241,0),0),IF($L$5&lt;&gt;"",IF(L241="Présent",M241,0),0),IF($N$5&lt;&gt;"",IF(N241="Présent",O241,0),0),IF($P$5&lt;&gt;"",IF(P241="Présent",Q241,0),0),IF($R$5&lt;&gt;"",IF(R241="Présent",S241,0),0),IF($T$5&lt;&gt;"",IF(T241="Présent",U241,0),0),IF($V$5&lt;&gt;"",IF(V241="Présent",W241,0),0),IF($X$5&lt;&gt;"",IF(X241="Présent",Y241,0),0),IF($Z$5&lt;&gt;"",IF(Z241="Présent",AA241,0),0),IF($AB$5&lt;&gt;"",IF(AB241="Présent",AC241,0),0),IF($AD$5&lt;&gt;"",IF(AD241="Présent",AE241,0),0),IF($AF$5&lt;&gt;"",IF(AF241="Présent",AG241,0),0),IF($AH$5&lt;&gt;"",IF(AH241="Présent",AI241,0),0),IF($AJ$5&lt;&gt;"",IF(AJ241="Présent",AK241,0),0),IF($AL$5&lt;&gt;"",IF(AL241="Présent",AM241,0),0),IF($AN$5&lt;&gt;"",IF(AN241="Présent",AO241,0),0),IF($AP$5&lt;&gt;"",IF(AP241="Présent",AQ241,0),0),IF($AR$5&lt;&gt;"",IF(AR241="Présent",AS241,0),0),IF($AT$5&lt;&gt;"",IF(AT241="Présent",AU241,0),0),IF($AV$5&lt;&gt;"",IF(AV241="Présent",AW241,0),0),IF($AX$5&lt;&gt;"",IF(AX241="Présent",AY241,0),0),IF($AZ$5&lt;&gt;"",IF(AZ241="Présent",BA241,0),0),IF($BB$5&lt;&gt;"",IF(BB241="Présent",BC241,0),0),IF($BD$5&lt;&gt;"",IF(BD241="Présent",BE241,0),0),IF($BF$5&lt;&gt;"",IF(BF241="Présent",BG241,0),0),IF($BH$5&lt;&gt;"",IF(BH241="Présent",BI241,0),0),IF($BJ$5&lt;&gt;"",IF(BJ241="Présent",BK241,0),0),IF($BL$5&lt;&gt;"",IF(BL241="Présent",BM241,0),0)))</f>
      </c>
      <c r="BS241" s="25">
        <f>IF($A241="","",$BN241*IFERROR(INDEX(Categories_Salaire,MATCH($C241,ListeCategories,0)),0)+$BR241*IF(IFERROR(INDEX(Categories_TauxHS,MATCH($C241,ListeCategories,0)),0)&gt;0,IFERROR(INDEX(Categories_TauxHS,MATCH($C241,ListeCategories,0)),0),TauxHSDefaut))</f>
      </c>
    </row>
    <row r="242">
      <c r="A242" s="20">
        <f>IF(AND(INDEX(Employes_Nom,236)&lt;&gt;"",INDEX(Employes_Statut,236)="Actif",OR(INDEX(Employes_Embauche,236)="",INDEX(Employes_Embauche,236)&lt;=EOMONTH(DATE(AnneeCourante,MoisCourant,1),0))),INDEX(Employes_ID,236),"")</f>
      </c>
      <c r="B242" s="19">
        <f>IF($A242="","",INDEX(Employes_Nom,MATCH($A242,Employes_ID,0)))</f>
      </c>
      <c r="C242" s="20">
        <f>IF($A242="","",INDEX(Employes_Categorie,MATCH($A242,Employes_ID,0)))</f>
      </c>
      <c r="D242" s="26"/>
      <c r="E242" s="27"/>
      <c r="F242" s="26"/>
      <c r="G242" s="27"/>
      <c r="H242" s="26"/>
      <c r="I242" s="27"/>
      <c r="J242" s="26"/>
      <c r="K242" s="27"/>
      <c r="L242" s="26"/>
      <c r="M242" s="27"/>
      <c r="N242" s="26"/>
      <c r="O242" s="27"/>
      <c r="P242" s="26"/>
      <c r="Q242" s="27"/>
      <c r="R242" s="26"/>
      <c r="S242" s="27"/>
      <c r="T242" s="26"/>
      <c r="U242" s="27"/>
      <c r="V242" s="26"/>
      <c r="W242" s="27"/>
      <c r="X242" s="26"/>
      <c r="Y242" s="27"/>
      <c r="Z242" s="26"/>
      <c r="AA242" s="27"/>
      <c r="AB242" s="26"/>
      <c r="AC242" s="27"/>
      <c r="AD242" s="26"/>
      <c r="AE242" s="27"/>
      <c r="AF242" s="26"/>
      <c r="AG242" s="27"/>
      <c r="AH242" s="26"/>
      <c r="AI242" s="27"/>
      <c r="AJ242" s="26"/>
      <c r="AK242" s="27"/>
      <c r="AL242" s="26"/>
      <c r="AM242" s="27"/>
      <c r="AN242" s="26"/>
      <c r="AO242" s="27"/>
      <c r="AP242" s="26"/>
      <c r="AQ242" s="27"/>
      <c r="AR242" s="26"/>
      <c r="AS242" s="27"/>
      <c r="AT242" s="26"/>
      <c r="AU242" s="27"/>
      <c r="AV242" s="26"/>
      <c r="AW242" s="27"/>
      <c r="AX242" s="26"/>
      <c r="AY242" s="27"/>
      <c r="AZ242" s="26"/>
      <c r="BA242" s="27"/>
      <c r="BB242" s="26"/>
      <c r="BC242" s="27"/>
      <c r="BD242" s="26"/>
      <c r="BE242" s="27"/>
      <c r="BF242" s="26"/>
      <c r="BG242" s="27"/>
      <c r="BH242" s="26"/>
      <c r="BI242" s="27"/>
      <c r="BJ242" s="26"/>
      <c r="BK242" s="27"/>
      <c r="BL242" s="26"/>
      <c r="BM242" s="27"/>
      <c r="BN242" s="22">
        <f>IF($A242="","",SUM(IF($D$5&lt;&gt;"",--(D242="Présent"),0),IF($F$5&lt;&gt;"",--(F242="Présent"),0),IF($H$5&lt;&gt;"",--(H242="Présent"),0),IF($J$5&lt;&gt;"",--(J242="Présent"),0),IF($L$5&lt;&gt;"",--(L242="Présent"),0),IF($N$5&lt;&gt;"",--(N242="Présent"),0),IF($P$5&lt;&gt;"",--(P242="Présent"),0),IF($R$5&lt;&gt;"",--(R242="Présent"),0),IF($T$5&lt;&gt;"",--(T242="Présent"),0),IF($V$5&lt;&gt;"",--(V242="Présent"),0),IF($X$5&lt;&gt;"",--(X242="Présent"),0),IF($Z$5&lt;&gt;"",--(Z242="Présent"),0),IF($AB$5&lt;&gt;"",--(AB242="Présent"),0),IF($AD$5&lt;&gt;"",--(AD242="Présent"),0),IF($AF$5&lt;&gt;"",--(AF242="Présent"),0),IF($AH$5&lt;&gt;"",--(AH242="Présent"),0),IF($AJ$5&lt;&gt;"",--(AJ242="Présent"),0),IF($AL$5&lt;&gt;"",--(AL242="Présent"),0),IF($AN$5&lt;&gt;"",--(AN242="Présent"),0),IF($AP$5&lt;&gt;"",--(AP242="Présent"),0),IF($AR$5&lt;&gt;"",--(AR242="Présent"),0),IF($AT$5&lt;&gt;"",--(AT242="Présent"),0),IF($AV$5&lt;&gt;"",--(AV242="Présent"),0),IF($AX$5&lt;&gt;"",--(AX242="Présent"),0),IF($AZ$5&lt;&gt;"",--(AZ242="Présent"),0),IF($BB$5&lt;&gt;"",--(BB242="Présent"),0),IF($BD$5&lt;&gt;"",--(BD242="Présent"),0),IF($BF$5&lt;&gt;"",--(BF242="Présent"),0),IF($BH$5&lt;&gt;"",--(BH242="Présent"),0),IF($BJ$5&lt;&gt;"",--(BJ242="Présent"),0),IF($BL$5&lt;&gt;"",--(BL242="Présent"),0)))</f>
      </c>
      <c r="BO242" s="22">
        <f>IF($A242="","",SUM(IF($D$5&lt;&gt;"",--(D242="Absent"),0),IF($F$5&lt;&gt;"",--(F242="Absent"),0),IF($H$5&lt;&gt;"",--(H242="Absent"),0),IF($J$5&lt;&gt;"",--(J242="Absent"),0),IF($L$5&lt;&gt;"",--(L242="Absent"),0),IF($N$5&lt;&gt;"",--(N242="Absent"),0),IF($P$5&lt;&gt;"",--(P242="Absent"),0),IF($R$5&lt;&gt;"",--(R242="Absent"),0),IF($T$5&lt;&gt;"",--(T242="Absent"),0),IF($V$5&lt;&gt;"",--(V242="Absent"),0),IF($X$5&lt;&gt;"",--(X242="Absent"),0),IF($Z$5&lt;&gt;"",--(Z242="Absent"),0),IF($AB$5&lt;&gt;"",--(AB242="Absent"),0),IF($AD$5&lt;&gt;"",--(AD242="Absent"),0),IF($AF$5&lt;&gt;"",--(AF242="Absent"),0),IF($AH$5&lt;&gt;"",--(AH242="Absent"),0),IF($AJ$5&lt;&gt;"",--(AJ242="Absent"),0),IF($AL$5&lt;&gt;"",--(AL242="Absent"),0),IF($AN$5&lt;&gt;"",--(AN242="Absent"),0),IF($AP$5&lt;&gt;"",--(AP242="Absent"),0),IF($AR$5&lt;&gt;"",--(AR242="Absent"),0),IF($AT$5&lt;&gt;"",--(AT242="Absent"),0),IF($AV$5&lt;&gt;"",--(AV242="Absent"),0),IF($AX$5&lt;&gt;"",--(AX242="Absent"),0),IF($AZ$5&lt;&gt;"",--(AZ242="Absent"),0),IF($BB$5&lt;&gt;"",--(BB242="Absent"),0),IF($BD$5&lt;&gt;"",--(BD242="Absent"),0),IF($BF$5&lt;&gt;"",--(BF242="Absent"),0),IF($BH$5&lt;&gt;"",--(BH242="Absent"),0),IF($BJ$5&lt;&gt;"",--(BJ242="Absent"),0),IF($BL$5&lt;&gt;"",--(BL242="Absent"),0)))</f>
      </c>
      <c r="BP242" s="22">
        <f>IF($A242="","",SUM(IF($D$5&lt;&gt;"",--(D242="Congé"),0),IF($F$5&lt;&gt;"",--(F242="Congé"),0),IF($H$5&lt;&gt;"",--(H242="Congé"),0),IF($J$5&lt;&gt;"",--(J242="Congé"),0),IF($L$5&lt;&gt;"",--(L242="Congé"),0),IF($N$5&lt;&gt;"",--(N242="Congé"),0),IF($P$5&lt;&gt;"",--(P242="Congé"),0),IF($R$5&lt;&gt;"",--(R242="Congé"),0),IF($T$5&lt;&gt;"",--(T242="Congé"),0),IF($V$5&lt;&gt;"",--(V242="Congé"),0),IF($X$5&lt;&gt;"",--(X242="Congé"),0),IF($Z$5&lt;&gt;"",--(Z242="Congé"),0),IF($AB$5&lt;&gt;"",--(AB242="Congé"),0),IF($AD$5&lt;&gt;"",--(AD242="Congé"),0),IF($AF$5&lt;&gt;"",--(AF242="Congé"),0),IF($AH$5&lt;&gt;"",--(AH242="Congé"),0),IF($AJ$5&lt;&gt;"",--(AJ242="Congé"),0),IF($AL$5&lt;&gt;"",--(AL242="Congé"),0),IF($AN$5&lt;&gt;"",--(AN242="Congé"),0),IF($AP$5&lt;&gt;"",--(AP242="Congé"),0),IF($AR$5&lt;&gt;"",--(AR242="Congé"),0),IF($AT$5&lt;&gt;"",--(AT242="Congé"),0),IF($AV$5&lt;&gt;"",--(AV242="Congé"),0),IF($AX$5&lt;&gt;"",--(AX242="Congé"),0),IF($AZ$5&lt;&gt;"",--(AZ242="Congé"),0),IF($BB$5&lt;&gt;"",--(BB242="Congé"),0),IF($BD$5&lt;&gt;"",--(BD242="Congé"),0),IF($BF$5&lt;&gt;"",--(BF242="Congé"),0),IF($BH$5&lt;&gt;"",--(BH242="Congé"),0),IF($BJ$5&lt;&gt;"",--(BJ242="Congé"),0),IF($BL$5&lt;&gt;"",--(BL242="Congé"),0)))</f>
      </c>
      <c r="BQ242" s="22">
        <f>IF($A242="","",SUM(IF($D$5&lt;&gt;"",--(D242="Maladie"),0),IF($F$5&lt;&gt;"",--(F242="Maladie"),0),IF($H$5&lt;&gt;"",--(H242="Maladie"),0),IF($J$5&lt;&gt;"",--(J242="Maladie"),0),IF($L$5&lt;&gt;"",--(L242="Maladie"),0),IF($N$5&lt;&gt;"",--(N242="Maladie"),0),IF($P$5&lt;&gt;"",--(P242="Maladie"),0),IF($R$5&lt;&gt;"",--(R242="Maladie"),0),IF($T$5&lt;&gt;"",--(T242="Maladie"),0),IF($V$5&lt;&gt;"",--(V242="Maladie"),0),IF($X$5&lt;&gt;"",--(X242="Maladie"),0),IF($Z$5&lt;&gt;"",--(Z242="Maladie"),0),IF($AB$5&lt;&gt;"",--(AB242="Maladie"),0),IF($AD$5&lt;&gt;"",--(AD242="Maladie"),0),IF($AF$5&lt;&gt;"",--(AF242="Maladie"),0),IF($AH$5&lt;&gt;"",--(AH242="Maladie"),0),IF($AJ$5&lt;&gt;"",--(AJ242="Maladie"),0),IF($AL$5&lt;&gt;"",--(AL242="Maladie"),0),IF($AN$5&lt;&gt;"",--(AN242="Maladie"),0),IF($AP$5&lt;&gt;"",--(AP242="Maladie"),0),IF($AR$5&lt;&gt;"",--(AR242="Maladie"),0),IF($AT$5&lt;&gt;"",--(AT242="Maladie"),0),IF($AV$5&lt;&gt;"",--(AV242="Maladie"),0),IF($AX$5&lt;&gt;"",--(AX242="Maladie"),0),IF($AZ$5&lt;&gt;"",--(AZ242="Maladie"),0),IF($BB$5&lt;&gt;"",--(BB242="Maladie"),0),IF($BD$5&lt;&gt;"",--(BD242="Maladie"),0),IF($BF$5&lt;&gt;"",--(BF242="Maladie"),0),IF($BH$5&lt;&gt;"",--(BH242="Maladie"),0),IF($BJ$5&lt;&gt;"",--(BJ242="Maladie"),0),IF($BL$5&lt;&gt;"",--(BL242="Maladie"),0)))</f>
      </c>
      <c r="BR242" s="23">
        <f>IF($A242="","",SUM(IF($D$5&lt;&gt;"",IF(D242="Présent",E242,0),0),IF($F$5&lt;&gt;"",IF(F242="Présent",G242,0),0),IF($H$5&lt;&gt;"",IF(H242="Présent",I242,0),0),IF($J$5&lt;&gt;"",IF(J242="Présent",K242,0),0),IF($L$5&lt;&gt;"",IF(L242="Présent",M242,0),0),IF($N$5&lt;&gt;"",IF(N242="Présent",O242,0),0),IF($P$5&lt;&gt;"",IF(P242="Présent",Q242,0),0),IF($R$5&lt;&gt;"",IF(R242="Présent",S242,0),0),IF($T$5&lt;&gt;"",IF(T242="Présent",U242,0),0),IF($V$5&lt;&gt;"",IF(V242="Présent",W242,0),0),IF($X$5&lt;&gt;"",IF(X242="Présent",Y242,0),0),IF($Z$5&lt;&gt;"",IF(Z242="Présent",AA242,0),0),IF($AB$5&lt;&gt;"",IF(AB242="Présent",AC242,0),0),IF($AD$5&lt;&gt;"",IF(AD242="Présent",AE242,0),0),IF($AF$5&lt;&gt;"",IF(AF242="Présent",AG242,0),0),IF($AH$5&lt;&gt;"",IF(AH242="Présent",AI242,0),0),IF($AJ$5&lt;&gt;"",IF(AJ242="Présent",AK242,0),0),IF($AL$5&lt;&gt;"",IF(AL242="Présent",AM242,0),0),IF($AN$5&lt;&gt;"",IF(AN242="Présent",AO242,0),0),IF($AP$5&lt;&gt;"",IF(AP242="Présent",AQ242,0),0),IF($AR$5&lt;&gt;"",IF(AR242="Présent",AS242,0),0),IF($AT$5&lt;&gt;"",IF(AT242="Présent",AU242,0),0),IF($AV$5&lt;&gt;"",IF(AV242="Présent",AW242,0),0),IF($AX$5&lt;&gt;"",IF(AX242="Présent",AY242,0),0),IF($AZ$5&lt;&gt;"",IF(AZ242="Présent",BA242,0),0),IF($BB$5&lt;&gt;"",IF(BB242="Présent",BC242,0),0),IF($BD$5&lt;&gt;"",IF(BD242="Présent",BE242,0),0),IF($BF$5&lt;&gt;"",IF(BF242="Présent",BG242,0),0),IF($BH$5&lt;&gt;"",IF(BH242="Présent",BI242,0),0),IF($BJ$5&lt;&gt;"",IF(BJ242="Présent",BK242,0),0),IF($BL$5&lt;&gt;"",IF(BL242="Présent",BM242,0),0)))</f>
      </c>
      <c r="BS242" s="25">
        <f>IF($A242="","",$BN242*IFERROR(INDEX(Categories_Salaire,MATCH($C242,ListeCategories,0)),0)+$BR242*IF(IFERROR(INDEX(Categories_TauxHS,MATCH($C242,ListeCategories,0)),0)&gt;0,IFERROR(INDEX(Categories_TauxHS,MATCH($C242,ListeCategories,0)),0),TauxHSDefaut))</f>
      </c>
    </row>
    <row r="243">
      <c r="A243" s="20">
        <f>IF(AND(INDEX(Employes_Nom,237)&lt;&gt;"",INDEX(Employes_Statut,237)="Actif",OR(INDEX(Employes_Embauche,237)="",INDEX(Employes_Embauche,237)&lt;=EOMONTH(DATE(AnneeCourante,MoisCourant,1),0))),INDEX(Employes_ID,237),"")</f>
      </c>
      <c r="B243" s="19">
        <f>IF($A243="","",INDEX(Employes_Nom,MATCH($A243,Employes_ID,0)))</f>
      </c>
      <c r="C243" s="20">
        <f>IF($A243="","",INDEX(Employes_Categorie,MATCH($A243,Employes_ID,0)))</f>
      </c>
      <c r="D243" s="26"/>
      <c r="E243" s="27"/>
      <c r="F243" s="26"/>
      <c r="G243" s="27"/>
      <c r="H243" s="26"/>
      <c r="I243" s="27"/>
      <c r="J243" s="26"/>
      <c r="K243" s="27"/>
      <c r="L243" s="26"/>
      <c r="M243" s="27"/>
      <c r="N243" s="26"/>
      <c r="O243" s="27"/>
      <c r="P243" s="26"/>
      <c r="Q243" s="27"/>
      <c r="R243" s="26"/>
      <c r="S243" s="27"/>
      <c r="T243" s="26"/>
      <c r="U243" s="27"/>
      <c r="V243" s="26"/>
      <c r="W243" s="27"/>
      <c r="X243" s="26"/>
      <c r="Y243" s="27"/>
      <c r="Z243" s="26"/>
      <c r="AA243" s="27"/>
      <c r="AB243" s="26"/>
      <c r="AC243" s="27"/>
      <c r="AD243" s="26"/>
      <c r="AE243" s="27"/>
      <c r="AF243" s="26"/>
      <c r="AG243" s="27"/>
      <c r="AH243" s="26"/>
      <c r="AI243" s="27"/>
      <c r="AJ243" s="26"/>
      <c r="AK243" s="27"/>
      <c r="AL243" s="26"/>
      <c r="AM243" s="27"/>
      <c r="AN243" s="26"/>
      <c r="AO243" s="27"/>
      <c r="AP243" s="26"/>
      <c r="AQ243" s="27"/>
      <c r="AR243" s="26"/>
      <c r="AS243" s="27"/>
      <c r="AT243" s="26"/>
      <c r="AU243" s="27"/>
      <c r="AV243" s="26"/>
      <c r="AW243" s="27"/>
      <c r="AX243" s="26"/>
      <c r="AY243" s="27"/>
      <c r="AZ243" s="26"/>
      <c r="BA243" s="27"/>
      <c r="BB243" s="26"/>
      <c r="BC243" s="27"/>
      <c r="BD243" s="26"/>
      <c r="BE243" s="27"/>
      <c r="BF243" s="26"/>
      <c r="BG243" s="27"/>
      <c r="BH243" s="26"/>
      <c r="BI243" s="27"/>
      <c r="BJ243" s="26"/>
      <c r="BK243" s="27"/>
      <c r="BL243" s="26"/>
      <c r="BM243" s="27"/>
      <c r="BN243" s="22">
        <f>IF($A243="","",SUM(IF($D$5&lt;&gt;"",--(D243="Présent"),0),IF($F$5&lt;&gt;"",--(F243="Présent"),0),IF($H$5&lt;&gt;"",--(H243="Présent"),0),IF($J$5&lt;&gt;"",--(J243="Présent"),0),IF($L$5&lt;&gt;"",--(L243="Présent"),0),IF($N$5&lt;&gt;"",--(N243="Présent"),0),IF($P$5&lt;&gt;"",--(P243="Présent"),0),IF($R$5&lt;&gt;"",--(R243="Présent"),0),IF($T$5&lt;&gt;"",--(T243="Présent"),0),IF($V$5&lt;&gt;"",--(V243="Présent"),0),IF($X$5&lt;&gt;"",--(X243="Présent"),0),IF($Z$5&lt;&gt;"",--(Z243="Présent"),0),IF($AB$5&lt;&gt;"",--(AB243="Présent"),0),IF($AD$5&lt;&gt;"",--(AD243="Présent"),0),IF($AF$5&lt;&gt;"",--(AF243="Présent"),0),IF($AH$5&lt;&gt;"",--(AH243="Présent"),0),IF($AJ$5&lt;&gt;"",--(AJ243="Présent"),0),IF($AL$5&lt;&gt;"",--(AL243="Présent"),0),IF($AN$5&lt;&gt;"",--(AN243="Présent"),0),IF($AP$5&lt;&gt;"",--(AP243="Présent"),0),IF($AR$5&lt;&gt;"",--(AR243="Présent"),0),IF($AT$5&lt;&gt;"",--(AT243="Présent"),0),IF($AV$5&lt;&gt;"",--(AV243="Présent"),0),IF($AX$5&lt;&gt;"",--(AX243="Présent"),0),IF($AZ$5&lt;&gt;"",--(AZ243="Présent"),0),IF($BB$5&lt;&gt;"",--(BB243="Présent"),0),IF($BD$5&lt;&gt;"",--(BD243="Présent"),0),IF($BF$5&lt;&gt;"",--(BF243="Présent"),0),IF($BH$5&lt;&gt;"",--(BH243="Présent"),0),IF($BJ$5&lt;&gt;"",--(BJ243="Présent"),0),IF($BL$5&lt;&gt;"",--(BL243="Présent"),0)))</f>
      </c>
      <c r="BO243" s="22">
        <f>IF($A243="","",SUM(IF($D$5&lt;&gt;"",--(D243="Absent"),0),IF($F$5&lt;&gt;"",--(F243="Absent"),0),IF($H$5&lt;&gt;"",--(H243="Absent"),0),IF($J$5&lt;&gt;"",--(J243="Absent"),0),IF($L$5&lt;&gt;"",--(L243="Absent"),0),IF($N$5&lt;&gt;"",--(N243="Absent"),0),IF($P$5&lt;&gt;"",--(P243="Absent"),0),IF($R$5&lt;&gt;"",--(R243="Absent"),0),IF($T$5&lt;&gt;"",--(T243="Absent"),0),IF($V$5&lt;&gt;"",--(V243="Absent"),0),IF($X$5&lt;&gt;"",--(X243="Absent"),0),IF($Z$5&lt;&gt;"",--(Z243="Absent"),0),IF($AB$5&lt;&gt;"",--(AB243="Absent"),0),IF($AD$5&lt;&gt;"",--(AD243="Absent"),0),IF($AF$5&lt;&gt;"",--(AF243="Absent"),0),IF($AH$5&lt;&gt;"",--(AH243="Absent"),0),IF($AJ$5&lt;&gt;"",--(AJ243="Absent"),0),IF($AL$5&lt;&gt;"",--(AL243="Absent"),0),IF($AN$5&lt;&gt;"",--(AN243="Absent"),0),IF($AP$5&lt;&gt;"",--(AP243="Absent"),0),IF($AR$5&lt;&gt;"",--(AR243="Absent"),0),IF($AT$5&lt;&gt;"",--(AT243="Absent"),0),IF($AV$5&lt;&gt;"",--(AV243="Absent"),0),IF($AX$5&lt;&gt;"",--(AX243="Absent"),0),IF($AZ$5&lt;&gt;"",--(AZ243="Absent"),0),IF($BB$5&lt;&gt;"",--(BB243="Absent"),0),IF($BD$5&lt;&gt;"",--(BD243="Absent"),0),IF($BF$5&lt;&gt;"",--(BF243="Absent"),0),IF($BH$5&lt;&gt;"",--(BH243="Absent"),0),IF($BJ$5&lt;&gt;"",--(BJ243="Absent"),0),IF($BL$5&lt;&gt;"",--(BL243="Absent"),0)))</f>
      </c>
      <c r="BP243" s="22">
        <f>IF($A243="","",SUM(IF($D$5&lt;&gt;"",--(D243="Congé"),0),IF($F$5&lt;&gt;"",--(F243="Congé"),0),IF($H$5&lt;&gt;"",--(H243="Congé"),0),IF($J$5&lt;&gt;"",--(J243="Congé"),0),IF($L$5&lt;&gt;"",--(L243="Congé"),0),IF($N$5&lt;&gt;"",--(N243="Congé"),0),IF($P$5&lt;&gt;"",--(P243="Congé"),0),IF($R$5&lt;&gt;"",--(R243="Congé"),0),IF($T$5&lt;&gt;"",--(T243="Congé"),0),IF($V$5&lt;&gt;"",--(V243="Congé"),0),IF($X$5&lt;&gt;"",--(X243="Congé"),0),IF($Z$5&lt;&gt;"",--(Z243="Congé"),0),IF($AB$5&lt;&gt;"",--(AB243="Congé"),0),IF($AD$5&lt;&gt;"",--(AD243="Congé"),0),IF($AF$5&lt;&gt;"",--(AF243="Congé"),0),IF($AH$5&lt;&gt;"",--(AH243="Congé"),0),IF($AJ$5&lt;&gt;"",--(AJ243="Congé"),0),IF($AL$5&lt;&gt;"",--(AL243="Congé"),0),IF($AN$5&lt;&gt;"",--(AN243="Congé"),0),IF($AP$5&lt;&gt;"",--(AP243="Congé"),0),IF($AR$5&lt;&gt;"",--(AR243="Congé"),0),IF($AT$5&lt;&gt;"",--(AT243="Congé"),0),IF($AV$5&lt;&gt;"",--(AV243="Congé"),0),IF($AX$5&lt;&gt;"",--(AX243="Congé"),0),IF($AZ$5&lt;&gt;"",--(AZ243="Congé"),0),IF($BB$5&lt;&gt;"",--(BB243="Congé"),0),IF($BD$5&lt;&gt;"",--(BD243="Congé"),0),IF($BF$5&lt;&gt;"",--(BF243="Congé"),0),IF($BH$5&lt;&gt;"",--(BH243="Congé"),0),IF($BJ$5&lt;&gt;"",--(BJ243="Congé"),0),IF($BL$5&lt;&gt;"",--(BL243="Congé"),0)))</f>
      </c>
      <c r="BQ243" s="22">
        <f>IF($A243="","",SUM(IF($D$5&lt;&gt;"",--(D243="Maladie"),0),IF($F$5&lt;&gt;"",--(F243="Maladie"),0),IF($H$5&lt;&gt;"",--(H243="Maladie"),0),IF($J$5&lt;&gt;"",--(J243="Maladie"),0),IF($L$5&lt;&gt;"",--(L243="Maladie"),0),IF($N$5&lt;&gt;"",--(N243="Maladie"),0),IF($P$5&lt;&gt;"",--(P243="Maladie"),0),IF($R$5&lt;&gt;"",--(R243="Maladie"),0),IF($T$5&lt;&gt;"",--(T243="Maladie"),0),IF($V$5&lt;&gt;"",--(V243="Maladie"),0),IF($X$5&lt;&gt;"",--(X243="Maladie"),0),IF($Z$5&lt;&gt;"",--(Z243="Maladie"),0),IF($AB$5&lt;&gt;"",--(AB243="Maladie"),0),IF($AD$5&lt;&gt;"",--(AD243="Maladie"),0),IF($AF$5&lt;&gt;"",--(AF243="Maladie"),0),IF($AH$5&lt;&gt;"",--(AH243="Maladie"),0),IF($AJ$5&lt;&gt;"",--(AJ243="Maladie"),0),IF($AL$5&lt;&gt;"",--(AL243="Maladie"),0),IF($AN$5&lt;&gt;"",--(AN243="Maladie"),0),IF($AP$5&lt;&gt;"",--(AP243="Maladie"),0),IF($AR$5&lt;&gt;"",--(AR243="Maladie"),0),IF($AT$5&lt;&gt;"",--(AT243="Maladie"),0),IF($AV$5&lt;&gt;"",--(AV243="Maladie"),0),IF($AX$5&lt;&gt;"",--(AX243="Maladie"),0),IF($AZ$5&lt;&gt;"",--(AZ243="Maladie"),0),IF($BB$5&lt;&gt;"",--(BB243="Maladie"),0),IF($BD$5&lt;&gt;"",--(BD243="Maladie"),0),IF($BF$5&lt;&gt;"",--(BF243="Maladie"),0),IF($BH$5&lt;&gt;"",--(BH243="Maladie"),0),IF($BJ$5&lt;&gt;"",--(BJ243="Maladie"),0),IF($BL$5&lt;&gt;"",--(BL243="Maladie"),0)))</f>
      </c>
      <c r="BR243" s="23">
        <f>IF($A243="","",SUM(IF($D$5&lt;&gt;"",IF(D243="Présent",E243,0),0),IF($F$5&lt;&gt;"",IF(F243="Présent",G243,0),0),IF($H$5&lt;&gt;"",IF(H243="Présent",I243,0),0),IF($J$5&lt;&gt;"",IF(J243="Présent",K243,0),0),IF($L$5&lt;&gt;"",IF(L243="Présent",M243,0),0),IF($N$5&lt;&gt;"",IF(N243="Présent",O243,0),0),IF($P$5&lt;&gt;"",IF(P243="Présent",Q243,0),0),IF($R$5&lt;&gt;"",IF(R243="Présent",S243,0),0),IF($T$5&lt;&gt;"",IF(T243="Présent",U243,0),0),IF($V$5&lt;&gt;"",IF(V243="Présent",W243,0),0),IF($X$5&lt;&gt;"",IF(X243="Présent",Y243,0),0),IF($Z$5&lt;&gt;"",IF(Z243="Présent",AA243,0),0),IF($AB$5&lt;&gt;"",IF(AB243="Présent",AC243,0),0),IF($AD$5&lt;&gt;"",IF(AD243="Présent",AE243,0),0),IF($AF$5&lt;&gt;"",IF(AF243="Présent",AG243,0),0),IF($AH$5&lt;&gt;"",IF(AH243="Présent",AI243,0),0),IF($AJ$5&lt;&gt;"",IF(AJ243="Présent",AK243,0),0),IF($AL$5&lt;&gt;"",IF(AL243="Présent",AM243,0),0),IF($AN$5&lt;&gt;"",IF(AN243="Présent",AO243,0),0),IF($AP$5&lt;&gt;"",IF(AP243="Présent",AQ243,0),0),IF($AR$5&lt;&gt;"",IF(AR243="Présent",AS243,0),0),IF($AT$5&lt;&gt;"",IF(AT243="Présent",AU243,0),0),IF($AV$5&lt;&gt;"",IF(AV243="Présent",AW243,0),0),IF($AX$5&lt;&gt;"",IF(AX243="Présent",AY243,0),0),IF($AZ$5&lt;&gt;"",IF(AZ243="Présent",BA243,0),0),IF($BB$5&lt;&gt;"",IF(BB243="Présent",BC243,0),0),IF($BD$5&lt;&gt;"",IF(BD243="Présent",BE243,0),0),IF($BF$5&lt;&gt;"",IF(BF243="Présent",BG243,0),0),IF($BH$5&lt;&gt;"",IF(BH243="Présent",BI243,0),0),IF($BJ$5&lt;&gt;"",IF(BJ243="Présent",BK243,0),0),IF($BL$5&lt;&gt;"",IF(BL243="Présent",BM243,0),0)))</f>
      </c>
      <c r="BS243" s="25">
        <f>IF($A243="","",$BN243*IFERROR(INDEX(Categories_Salaire,MATCH($C243,ListeCategories,0)),0)+$BR243*IF(IFERROR(INDEX(Categories_TauxHS,MATCH($C243,ListeCategories,0)),0)&gt;0,IFERROR(INDEX(Categories_TauxHS,MATCH($C243,ListeCategories,0)),0),TauxHSDefaut))</f>
      </c>
    </row>
    <row r="244">
      <c r="A244" s="20">
        <f>IF(AND(INDEX(Employes_Nom,238)&lt;&gt;"",INDEX(Employes_Statut,238)="Actif",OR(INDEX(Employes_Embauche,238)="",INDEX(Employes_Embauche,238)&lt;=EOMONTH(DATE(AnneeCourante,MoisCourant,1),0))),INDEX(Employes_ID,238),"")</f>
      </c>
      <c r="B244" s="19">
        <f>IF($A244="","",INDEX(Employes_Nom,MATCH($A244,Employes_ID,0)))</f>
      </c>
      <c r="C244" s="20">
        <f>IF($A244="","",INDEX(Employes_Categorie,MATCH($A244,Employes_ID,0)))</f>
      </c>
      <c r="D244" s="26"/>
      <c r="E244" s="27"/>
      <c r="F244" s="26"/>
      <c r="G244" s="27"/>
      <c r="H244" s="26"/>
      <c r="I244" s="27"/>
      <c r="J244" s="26"/>
      <c r="K244" s="27"/>
      <c r="L244" s="26"/>
      <c r="M244" s="27"/>
      <c r="N244" s="26"/>
      <c r="O244" s="27"/>
      <c r="P244" s="26"/>
      <c r="Q244" s="27"/>
      <c r="R244" s="26"/>
      <c r="S244" s="27"/>
      <c r="T244" s="26"/>
      <c r="U244" s="27"/>
      <c r="V244" s="26"/>
      <c r="W244" s="27"/>
      <c r="X244" s="26"/>
      <c r="Y244" s="27"/>
      <c r="Z244" s="26"/>
      <c r="AA244" s="27"/>
      <c r="AB244" s="26"/>
      <c r="AC244" s="27"/>
      <c r="AD244" s="26"/>
      <c r="AE244" s="27"/>
      <c r="AF244" s="26"/>
      <c r="AG244" s="27"/>
      <c r="AH244" s="26"/>
      <c r="AI244" s="27"/>
      <c r="AJ244" s="26"/>
      <c r="AK244" s="27"/>
      <c r="AL244" s="26"/>
      <c r="AM244" s="27"/>
      <c r="AN244" s="26"/>
      <c r="AO244" s="27"/>
      <c r="AP244" s="26"/>
      <c r="AQ244" s="27"/>
      <c r="AR244" s="26"/>
      <c r="AS244" s="27"/>
      <c r="AT244" s="26"/>
      <c r="AU244" s="27"/>
      <c r="AV244" s="26"/>
      <c r="AW244" s="27"/>
      <c r="AX244" s="26"/>
      <c r="AY244" s="27"/>
      <c r="AZ244" s="26"/>
      <c r="BA244" s="27"/>
      <c r="BB244" s="26"/>
      <c r="BC244" s="27"/>
      <c r="BD244" s="26"/>
      <c r="BE244" s="27"/>
      <c r="BF244" s="26"/>
      <c r="BG244" s="27"/>
      <c r="BH244" s="26"/>
      <c r="BI244" s="27"/>
      <c r="BJ244" s="26"/>
      <c r="BK244" s="27"/>
      <c r="BL244" s="26"/>
      <c r="BM244" s="27"/>
      <c r="BN244" s="22">
        <f>IF($A244="","",SUM(IF($D$5&lt;&gt;"",--(D244="Présent"),0),IF($F$5&lt;&gt;"",--(F244="Présent"),0),IF($H$5&lt;&gt;"",--(H244="Présent"),0),IF($J$5&lt;&gt;"",--(J244="Présent"),0),IF($L$5&lt;&gt;"",--(L244="Présent"),0),IF($N$5&lt;&gt;"",--(N244="Présent"),0),IF($P$5&lt;&gt;"",--(P244="Présent"),0),IF($R$5&lt;&gt;"",--(R244="Présent"),0),IF($T$5&lt;&gt;"",--(T244="Présent"),0),IF($V$5&lt;&gt;"",--(V244="Présent"),0),IF($X$5&lt;&gt;"",--(X244="Présent"),0),IF($Z$5&lt;&gt;"",--(Z244="Présent"),0),IF($AB$5&lt;&gt;"",--(AB244="Présent"),0),IF($AD$5&lt;&gt;"",--(AD244="Présent"),0),IF($AF$5&lt;&gt;"",--(AF244="Présent"),0),IF($AH$5&lt;&gt;"",--(AH244="Présent"),0),IF($AJ$5&lt;&gt;"",--(AJ244="Présent"),0),IF($AL$5&lt;&gt;"",--(AL244="Présent"),0),IF($AN$5&lt;&gt;"",--(AN244="Présent"),0),IF($AP$5&lt;&gt;"",--(AP244="Présent"),0),IF($AR$5&lt;&gt;"",--(AR244="Présent"),0),IF($AT$5&lt;&gt;"",--(AT244="Présent"),0),IF($AV$5&lt;&gt;"",--(AV244="Présent"),0),IF($AX$5&lt;&gt;"",--(AX244="Présent"),0),IF($AZ$5&lt;&gt;"",--(AZ244="Présent"),0),IF($BB$5&lt;&gt;"",--(BB244="Présent"),0),IF($BD$5&lt;&gt;"",--(BD244="Présent"),0),IF($BF$5&lt;&gt;"",--(BF244="Présent"),0),IF($BH$5&lt;&gt;"",--(BH244="Présent"),0),IF($BJ$5&lt;&gt;"",--(BJ244="Présent"),0),IF($BL$5&lt;&gt;"",--(BL244="Présent"),0)))</f>
      </c>
      <c r="BO244" s="22">
        <f>IF($A244="","",SUM(IF($D$5&lt;&gt;"",--(D244="Absent"),0),IF($F$5&lt;&gt;"",--(F244="Absent"),0),IF($H$5&lt;&gt;"",--(H244="Absent"),0),IF($J$5&lt;&gt;"",--(J244="Absent"),0),IF($L$5&lt;&gt;"",--(L244="Absent"),0),IF($N$5&lt;&gt;"",--(N244="Absent"),0),IF($P$5&lt;&gt;"",--(P244="Absent"),0),IF($R$5&lt;&gt;"",--(R244="Absent"),0),IF($T$5&lt;&gt;"",--(T244="Absent"),0),IF($V$5&lt;&gt;"",--(V244="Absent"),0),IF($X$5&lt;&gt;"",--(X244="Absent"),0),IF($Z$5&lt;&gt;"",--(Z244="Absent"),0),IF($AB$5&lt;&gt;"",--(AB244="Absent"),0),IF($AD$5&lt;&gt;"",--(AD244="Absent"),0),IF($AF$5&lt;&gt;"",--(AF244="Absent"),0),IF($AH$5&lt;&gt;"",--(AH244="Absent"),0),IF($AJ$5&lt;&gt;"",--(AJ244="Absent"),0),IF($AL$5&lt;&gt;"",--(AL244="Absent"),0),IF($AN$5&lt;&gt;"",--(AN244="Absent"),0),IF($AP$5&lt;&gt;"",--(AP244="Absent"),0),IF($AR$5&lt;&gt;"",--(AR244="Absent"),0),IF($AT$5&lt;&gt;"",--(AT244="Absent"),0),IF($AV$5&lt;&gt;"",--(AV244="Absent"),0),IF($AX$5&lt;&gt;"",--(AX244="Absent"),0),IF($AZ$5&lt;&gt;"",--(AZ244="Absent"),0),IF($BB$5&lt;&gt;"",--(BB244="Absent"),0),IF($BD$5&lt;&gt;"",--(BD244="Absent"),0),IF($BF$5&lt;&gt;"",--(BF244="Absent"),0),IF($BH$5&lt;&gt;"",--(BH244="Absent"),0),IF($BJ$5&lt;&gt;"",--(BJ244="Absent"),0),IF($BL$5&lt;&gt;"",--(BL244="Absent"),0)))</f>
      </c>
      <c r="BP244" s="22">
        <f>IF($A244="","",SUM(IF($D$5&lt;&gt;"",--(D244="Congé"),0),IF($F$5&lt;&gt;"",--(F244="Congé"),0),IF($H$5&lt;&gt;"",--(H244="Congé"),0),IF($J$5&lt;&gt;"",--(J244="Congé"),0),IF($L$5&lt;&gt;"",--(L244="Congé"),0),IF($N$5&lt;&gt;"",--(N244="Congé"),0),IF($P$5&lt;&gt;"",--(P244="Congé"),0),IF($R$5&lt;&gt;"",--(R244="Congé"),0),IF($T$5&lt;&gt;"",--(T244="Congé"),0),IF($V$5&lt;&gt;"",--(V244="Congé"),0),IF($X$5&lt;&gt;"",--(X244="Congé"),0),IF($Z$5&lt;&gt;"",--(Z244="Congé"),0),IF($AB$5&lt;&gt;"",--(AB244="Congé"),0),IF($AD$5&lt;&gt;"",--(AD244="Congé"),0),IF($AF$5&lt;&gt;"",--(AF244="Congé"),0),IF($AH$5&lt;&gt;"",--(AH244="Congé"),0),IF($AJ$5&lt;&gt;"",--(AJ244="Congé"),0),IF($AL$5&lt;&gt;"",--(AL244="Congé"),0),IF($AN$5&lt;&gt;"",--(AN244="Congé"),0),IF($AP$5&lt;&gt;"",--(AP244="Congé"),0),IF($AR$5&lt;&gt;"",--(AR244="Congé"),0),IF($AT$5&lt;&gt;"",--(AT244="Congé"),0),IF($AV$5&lt;&gt;"",--(AV244="Congé"),0),IF($AX$5&lt;&gt;"",--(AX244="Congé"),0),IF($AZ$5&lt;&gt;"",--(AZ244="Congé"),0),IF($BB$5&lt;&gt;"",--(BB244="Congé"),0),IF($BD$5&lt;&gt;"",--(BD244="Congé"),0),IF($BF$5&lt;&gt;"",--(BF244="Congé"),0),IF($BH$5&lt;&gt;"",--(BH244="Congé"),0),IF($BJ$5&lt;&gt;"",--(BJ244="Congé"),0),IF($BL$5&lt;&gt;"",--(BL244="Congé"),0)))</f>
      </c>
      <c r="BQ244" s="22">
        <f>IF($A244="","",SUM(IF($D$5&lt;&gt;"",--(D244="Maladie"),0),IF($F$5&lt;&gt;"",--(F244="Maladie"),0),IF($H$5&lt;&gt;"",--(H244="Maladie"),0),IF($J$5&lt;&gt;"",--(J244="Maladie"),0),IF($L$5&lt;&gt;"",--(L244="Maladie"),0),IF($N$5&lt;&gt;"",--(N244="Maladie"),0),IF($P$5&lt;&gt;"",--(P244="Maladie"),0),IF($R$5&lt;&gt;"",--(R244="Maladie"),0),IF($T$5&lt;&gt;"",--(T244="Maladie"),0),IF($V$5&lt;&gt;"",--(V244="Maladie"),0),IF($X$5&lt;&gt;"",--(X244="Maladie"),0),IF($Z$5&lt;&gt;"",--(Z244="Maladie"),0),IF($AB$5&lt;&gt;"",--(AB244="Maladie"),0),IF($AD$5&lt;&gt;"",--(AD244="Maladie"),0),IF($AF$5&lt;&gt;"",--(AF244="Maladie"),0),IF($AH$5&lt;&gt;"",--(AH244="Maladie"),0),IF($AJ$5&lt;&gt;"",--(AJ244="Maladie"),0),IF($AL$5&lt;&gt;"",--(AL244="Maladie"),0),IF($AN$5&lt;&gt;"",--(AN244="Maladie"),0),IF($AP$5&lt;&gt;"",--(AP244="Maladie"),0),IF($AR$5&lt;&gt;"",--(AR244="Maladie"),0),IF($AT$5&lt;&gt;"",--(AT244="Maladie"),0),IF($AV$5&lt;&gt;"",--(AV244="Maladie"),0),IF($AX$5&lt;&gt;"",--(AX244="Maladie"),0),IF($AZ$5&lt;&gt;"",--(AZ244="Maladie"),0),IF($BB$5&lt;&gt;"",--(BB244="Maladie"),0),IF($BD$5&lt;&gt;"",--(BD244="Maladie"),0),IF($BF$5&lt;&gt;"",--(BF244="Maladie"),0),IF($BH$5&lt;&gt;"",--(BH244="Maladie"),0),IF($BJ$5&lt;&gt;"",--(BJ244="Maladie"),0),IF($BL$5&lt;&gt;"",--(BL244="Maladie"),0)))</f>
      </c>
      <c r="BR244" s="23">
        <f>IF($A244="","",SUM(IF($D$5&lt;&gt;"",IF(D244="Présent",E244,0),0),IF($F$5&lt;&gt;"",IF(F244="Présent",G244,0),0),IF($H$5&lt;&gt;"",IF(H244="Présent",I244,0),0),IF($J$5&lt;&gt;"",IF(J244="Présent",K244,0),0),IF($L$5&lt;&gt;"",IF(L244="Présent",M244,0),0),IF($N$5&lt;&gt;"",IF(N244="Présent",O244,0),0),IF($P$5&lt;&gt;"",IF(P244="Présent",Q244,0),0),IF($R$5&lt;&gt;"",IF(R244="Présent",S244,0),0),IF($T$5&lt;&gt;"",IF(T244="Présent",U244,0),0),IF($V$5&lt;&gt;"",IF(V244="Présent",W244,0),0),IF($X$5&lt;&gt;"",IF(X244="Présent",Y244,0),0),IF($Z$5&lt;&gt;"",IF(Z244="Présent",AA244,0),0),IF($AB$5&lt;&gt;"",IF(AB244="Présent",AC244,0),0),IF($AD$5&lt;&gt;"",IF(AD244="Présent",AE244,0),0),IF($AF$5&lt;&gt;"",IF(AF244="Présent",AG244,0),0),IF($AH$5&lt;&gt;"",IF(AH244="Présent",AI244,0),0),IF($AJ$5&lt;&gt;"",IF(AJ244="Présent",AK244,0),0),IF($AL$5&lt;&gt;"",IF(AL244="Présent",AM244,0),0),IF($AN$5&lt;&gt;"",IF(AN244="Présent",AO244,0),0),IF($AP$5&lt;&gt;"",IF(AP244="Présent",AQ244,0),0),IF($AR$5&lt;&gt;"",IF(AR244="Présent",AS244,0),0),IF($AT$5&lt;&gt;"",IF(AT244="Présent",AU244,0),0),IF($AV$5&lt;&gt;"",IF(AV244="Présent",AW244,0),0),IF($AX$5&lt;&gt;"",IF(AX244="Présent",AY244,0),0),IF($AZ$5&lt;&gt;"",IF(AZ244="Présent",BA244,0),0),IF($BB$5&lt;&gt;"",IF(BB244="Présent",BC244,0),0),IF($BD$5&lt;&gt;"",IF(BD244="Présent",BE244,0),0),IF($BF$5&lt;&gt;"",IF(BF244="Présent",BG244,0),0),IF($BH$5&lt;&gt;"",IF(BH244="Présent",BI244,0),0),IF($BJ$5&lt;&gt;"",IF(BJ244="Présent",BK244,0),0),IF($BL$5&lt;&gt;"",IF(BL244="Présent",BM244,0),0)))</f>
      </c>
      <c r="BS244" s="25">
        <f>IF($A244="","",$BN244*IFERROR(INDEX(Categories_Salaire,MATCH($C244,ListeCategories,0)),0)+$BR244*IF(IFERROR(INDEX(Categories_TauxHS,MATCH($C244,ListeCategories,0)),0)&gt;0,IFERROR(INDEX(Categories_TauxHS,MATCH($C244,ListeCategories,0)),0),TauxHSDefaut))</f>
      </c>
    </row>
    <row r="245">
      <c r="A245" s="20">
        <f>IF(AND(INDEX(Employes_Nom,239)&lt;&gt;"",INDEX(Employes_Statut,239)="Actif",OR(INDEX(Employes_Embauche,239)="",INDEX(Employes_Embauche,239)&lt;=EOMONTH(DATE(AnneeCourante,MoisCourant,1),0))),INDEX(Employes_ID,239),"")</f>
      </c>
      <c r="B245" s="19">
        <f>IF($A245="","",INDEX(Employes_Nom,MATCH($A245,Employes_ID,0)))</f>
      </c>
      <c r="C245" s="20">
        <f>IF($A245="","",INDEX(Employes_Categorie,MATCH($A245,Employes_ID,0)))</f>
      </c>
      <c r="D245" s="26"/>
      <c r="E245" s="27"/>
      <c r="F245" s="26"/>
      <c r="G245" s="27"/>
      <c r="H245" s="26"/>
      <c r="I245" s="27"/>
      <c r="J245" s="26"/>
      <c r="K245" s="27"/>
      <c r="L245" s="26"/>
      <c r="M245" s="27"/>
      <c r="N245" s="26"/>
      <c r="O245" s="27"/>
      <c r="P245" s="26"/>
      <c r="Q245" s="27"/>
      <c r="R245" s="26"/>
      <c r="S245" s="27"/>
      <c r="T245" s="26"/>
      <c r="U245" s="27"/>
      <c r="V245" s="26"/>
      <c r="W245" s="27"/>
      <c r="X245" s="26"/>
      <c r="Y245" s="27"/>
      <c r="Z245" s="26"/>
      <c r="AA245" s="27"/>
      <c r="AB245" s="26"/>
      <c r="AC245" s="27"/>
      <c r="AD245" s="26"/>
      <c r="AE245" s="27"/>
      <c r="AF245" s="26"/>
      <c r="AG245" s="27"/>
      <c r="AH245" s="26"/>
      <c r="AI245" s="27"/>
      <c r="AJ245" s="26"/>
      <c r="AK245" s="27"/>
      <c r="AL245" s="26"/>
      <c r="AM245" s="27"/>
      <c r="AN245" s="26"/>
      <c r="AO245" s="27"/>
      <c r="AP245" s="26"/>
      <c r="AQ245" s="27"/>
      <c r="AR245" s="26"/>
      <c r="AS245" s="27"/>
      <c r="AT245" s="26"/>
      <c r="AU245" s="27"/>
      <c r="AV245" s="26"/>
      <c r="AW245" s="27"/>
      <c r="AX245" s="26"/>
      <c r="AY245" s="27"/>
      <c r="AZ245" s="26"/>
      <c r="BA245" s="27"/>
      <c r="BB245" s="26"/>
      <c r="BC245" s="27"/>
      <c r="BD245" s="26"/>
      <c r="BE245" s="27"/>
      <c r="BF245" s="26"/>
      <c r="BG245" s="27"/>
      <c r="BH245" s="26"/>
      <c r="BI245" s="27"/>
      <c r="BJ245" s="26"/>
      <c r="BK245" s="27"/>
      <c r="BL245" s="26"/>
      <c r="BM245" s="27"/>
      <c r="BN245" s="22">
        <f>IF($A245="","",SUM(IF($D$5&lt;&gt;"",--(D245="Présent"),0),IF($F$5&lt;&gt;"",--(F245="Présent"),0),IF($H$5&lt;&gt;"",--(H245="Présent"),0),IF($J$5&lt;&gt;"",--(J245="Présent"),0),IF($L$5&lt;&gt;"",--(L245="Présent"),0),IF($N$5&lt;&gt;"",--(N245="Présent"),0),IF($P$5&lt;&gt;"",--(P245="Présent"),0),IF($R$5&lt;&gt;"",--(R245="Présent"),0),IF($T$5&lt;&gt;"",--(T245="Présent"),0),IF($V$5&lt;&gt;"",--(V245="Présent"),0),IF($X$5&lt;&gt;"",--(X245="Présent"),0),IF($Z$5&lt;&gt;"",--(Z245="Présent"),0),IF($AB$5&lt;&gt;"",--(AB245="Présent"),0),IF($AD$5&lt;&gt;"",--(AD245="Présent"),0),IF($AF$5&lt;&gt;"",--(AF245="Présent"),0),IF($AH$5&lt;&gt;"",--(AH245="Présent"),0),IF($AJ$5&lt;&gt;"",--(AJ245="Présent"),0),IF($AL$5&lt;&gt;"",--(AL245="Présent"),0),IF($AN$5&lt;&gt;"",--(AN245="Présent"),0),IF($AP$5&lt;&gt;"",--(AP245="Présent"),0),IF($AR$5&lt;&gt;"",--(AR245="Présent"),0),IF($AT$5&lt;&gt;"",--(AT245="Présent"),0),IF($AV$5&lt;&gt;"",--(AV245="Présent"),0),IF($AX$5&lt;&gt;"",--(AX245="Présent"),0),IF($AZ$5&lt;&gt;"",--(AZ245="Présent"),0),IF($BB$5&lt;&gt;"",--(BB245="Présent"),0),IF($BD$5&lt;&gt;"",--(BD245="Présent"),0),IF($BF$5&lt;&gt;"",--(BF245="Présent"),0),IF($BH$5&lt;&gt;"",--(BH245="Présent"),0),IF($BJ$5&lt;&gt;"",--(BJ245="Présent"),0),IF($BL$5&lt;&gt;"",--(BL245="Présent"),0)))</f>
      </c>
      <c r="BO245" s="22">
        <f>IF($A245="","",SUM(IF($D$5&lt;&gt;"",--(D245="Absent"),0),IF($F$5&lt;&gt;"",--(F245="Absent"),0),IF($H$5&lt;&gt;"",--(H245="Absent"),0),IF($J$5&lt;&gt;"",--(J245="Absent"),0),IF($L$5&lt;&gt;"",--(L245="Absent"),0),IF($N$5&lt;&gt;"",--(N245="Absent"),0),IF($P$5&lt;&gt;"",--(P245="Absent"),0),IF($R$5&lt;&gt;"",--(R245="Absent"),0),IF($T$5&lt;&gt;"",--(T245="Absent"),0),IF($V$5&lt;&gt;"",--(V245="Absent"),0),IF($X$5&lt;&gt;"",--(X245="Absent"),0),IF($Z$5&lt;&gt;"",--(Z245="Absent"),0),IF($AB$5&lt;&gt;"",--(AB245="Absent"),0),IF($AD$5&lt;&gt;"",--(AD245="Absent"),0),IF($AF$5&lt;&gt;"",--(AF245="Absent"),0),IF($AH$5&lt;&gt;"",--(AH245="Absent"),0),IF($AJ$5&lt;&gt;"",--(AJ245="Absent"),0),IF($AL$5&lt;&gt;"",--(AL245="Absent"),0),IF($AN$5&lt;&gt;"",--(AN245="Absent"),0),IF($AP$5&lt;&gt;"",--(AP245="Absent"),0),IF($AR$5&lt;&gt;"",--(AR245="Absent"),0),IF($AT$5&lt;&gt;"",--(AT245="Absent"),0),IF($AV$5&lt;&gt;"",--(AV245="Absent"),0),IF($AX$5&lt;&gt;"",--(AX245="Absent"),0),IF($AZ$5&lt;&gt;"",--(AZ245="Absent"),0),IF($BB$5&lt;&gt;"",--(BB245="Absent"),0),IF($BD$5&lt;&gt;"",--(BD245="Absent"),0),IF($BF$5&lt;&gt;"",--(BF245="Absent"),0),IF($BH$5&lt;&gt;"",--(BH245="Absent"),0),IF($BJ$5&lt;&gt;"",--(BJ245="Absent"),0),IF($BL$5&lt;&gt;"",--(BL245="Absent"),0)))</f>
      </c>
      <c r="BP245" s="22">
        <f>IF($A245="","",SUM(IF($D$5&lt;&gt;"",--(D245="Congé"),0),IF($F$5&lt;&gt;"",--(F245="Congé"),0),IF($H$5&lt;&gt;"",--(H245="Congé"),0),IF($J$5&lt;&gt;"",--(J245="Congé"),0),IF($L$5&lt;&gt;"",--(L245="Congé"),0),IF($N$5&lt;&gt;"",--(N245="Congé"),0),IF($P$5&lt;&gt;"",--(P245="Congé"),0),IF($R$5&lt;&gt;"",--(R245="Congé"),0),IF($T$5&lt;&gt;"",--(T245="Congé"),0),IF($V$5&lt;&gt;"",--(V245="Congé"),0),IF($X$5&lt;&gt;"",--(X245="Congé"),0),IF($Z$5&lt;&gt;"",--(Z245="Congé"),0),IF($AB$5&lt;&gt;"",--(AB245="Congé"),0),IF($AD$5&lt;&gt;"",--(AD245="Congé"),0),IF($AF$5&lt;&gt;"",--(AF245="Congé"),0),IF($AH$5&lt;&gt;"",--(AH245="Congé"),0),IF($AJ$5&lt;&gt;"",--(AJ245="Congé"),0),IF($AL$5&lt;&gt;"",--(AL245="Congé"),0),IF($AN$5&lt;&gt;"",--(AN245="Congé"),0),IF($AP$5&lt;&gt;"",--(AP245="Congé"),0),IF($AR$5&lt;&gt;"",--(AR245="Congé"),0),IF($AT$5&lt;&gt;"",--(AT245="Congé"),0),IF($AV$5&lt;&gt;"",--(AV245="Congé"),0),IF($AX$5&lt;&gt;"",--(AX245="Congé"),0),IF($AZ$5&lt;&gt;"",--(AZ245="Congé"),0),IF($BB$5&lt;&gt;"",--(BB245="Congé"),0),IF($BD$5&lt;&gt;"",--(BD245="Congé"),0),IF($BF$5&lt;&gt;"",--(BF245="Congé"),0),IF($BH$5&lt;&gt;"",--(BH245="Congé"),0),IF($BJ$5&lt;&gt;"",--(BJ245="Congé"),0),IF($BL$5&lt;&gt;"",--(BL245="Congé"),0)))</f>
      </c>
      <c r="BQ245" s="22">
        <f>IF($A245="","",SUM(IF($D$5&lt;&gt;"",--(D245="Maladie"),0),IF($F$5&lt;&gt;"",--(F245="Maladie"),0),IF($H$5&lt;&gt;"",--(H245="Maladie"),0),IF($J$5&lt;&gt;"",--(J245="Maladie"),0),IF($L$5&lt;&gt;"",--(L245="Maladie"),0),IF($N$5&lt;&gt;"",--(N245="Maladie"),0),IF($P$5&lt;&gt;"",--(P245="Maladie"),0),IF($R$5&lt;&gt;"",--(R245="Maladie"),0),IF($T$5&lt;&gt;"",--(T245="Maladie"),0),IF($V$5&lt;&gt;"",--(V245="Maladie"),0),IF($X$5&lt;&gt;"",--(X245="Maladie"),0),IF($Z$5&lt;&gt;"",--(Z245="Maladie"),0),IF($AB$5&lt;&gt;"",--(AB245="Maladie"),0),IF($AD$5&lt;&gt;"",--(AD245="Maladie"),0),IF($AF$5&lt;&gt;"",--(AF245="Maladie"),0),IF($AH$5&lt;&gt;"",--(AH245="Maladie"),0),IF($AJ$5&lt;&gt;"",--(AJ245="Maladie"),0),IF($AL$5&lt;&gt;"",--(AL245="Maladie"),0),IF($AN$5&lt;&gt;"",--(AN245="Maladie"),0),IF($AP$5&lt;&gt;"",--(AP245="Maladie"),0),IF($AR$5&lt;&gt;"",--(AR245="Maladie"),0),IF($AT$5&lt;&gt;"",--(AT245="Maladie"),0),IF($AV$5&lt;&gt;"",--(AV245="Maladie"),0),IF($AX$5&lt;&gt;"",--(AX245="Maladie"),0),IF($AZ$5&lt;&gt;"",--(AZ245="Maladie"),0),IF($BB$5&lt;&gt;"",--(BB245="Maladie"),0),IF($BD$5&lt;&gt;"",--(BD245="Maladie"),0),IF($BF$5&lt;&gt;"",--(BF245="Maladie"),0),IF($BH$5&lt;&gt;"",--(BH245="Maladie"),0),IF($BJ$5&lt;&gt;"",--(BJ245="Maladie"),0),IF($BL$5&lt;&gt;"",--(BL245="Maladie"),0)))</f>
      </c>
      <c r="BR245" s="23">
        <f>IF($A245="","",SUM(IF($D$5&lt;&gt;"",IF(D245="Présent",E245,0),0),IF($F$5&lt;&gt;"",IF(F245="Présent",G245,0),0),IF($H$5&lt;&gt;"",IF(H245="Présent",I245,0),0),IF($J$5&lt;&gt;"",IF(J245="Présent",K245,0),0),IF($L$5&lt;&gt;"",IF(L245="Présent",M245,0),0),IF($N$5&lt;&gt;"",IF(N245="Présent",O245,0),0),IF($P$5&lt;&gt;"",IF(P245="Présent",Q245,0),0),IF($R$5&lt;&gt;"",IF(R245="Présent",S245,0),0),IF($T$5&lt;&gt;"",IF(T245="Présent",U245,0),0),IF($V$5&lt;&gt;"",IF(V245="Présent",W245,0),0),IF($X$5&lt;&gt;"",IF(X245="Présent",Y245,0),0),IF($Z$5&lt;&gt;"",IF(Z245="Présent",AA245,0),0),IF($AB$5&lt;&gt;"",IF(AB245="Présent",AC245,0),0),IF($AD$5&lt;&gt;"",IF(AD245="Présent",AE245,0),0),IF($AF$5&lt;&gt;"",IF(AF245="Présent",AG245,0),0),IF($AH$5&lt;&gt;"",IF(AH245="Présent",AI245,0),0),IF($AJ$5&lt;&gt;"",IF(AJ245="Présent",AK245,0),0),IF($AL$5&lt;&gt;"",IF(AL245="Présent",AM245,0),0),IF($AN$5&lt;&gt;"",IF(AN245="Présent",AO245,0),0),IF($AP$5&lt;&gt;"",IF(AP245="Présent",AQ245,0),0),IF($AR$5&lt;&gt;"",IF(AR245="Présent",AS245,0),0),IF($AT$5&lt;&gt;"",IF(AT245="Présent",AU245,0),0),IF($AV$5&lt;&gt;"",IF(AV245="Présent",AW245,0),0),IF($AX$5&lt;&gt;"",IF(AX245="Présent",AY245,0),0),IF($AZ$5&lt;&gt;"",IF(AZ245="Présent",BA245,0),0),IF($BB$5&lt;&gt;"",IF(BB245="Présent",BC245,0),0),IF($BD$5&lt;&gt;"",IF(BD245="Présent",BE245,0),0),IF($BF$5&lt;&gt;"",IF(BF245="Présent",BG245,0),0),IF($BH$5&lt;&gt;"",IF(BH245="Présent",BI245,0),0),IF($BJ$5&lt;&gt;"",IF(BJ245="Présent",BK245,0),0),IF($BL$5&lt;&gt;"",IF(BL245="Présent",BM245,0),0)))</f>
      </c>
      <c r="BS245" s="25">
        <f>IF($A245="","",$BN245*IFERROR(INDEX(Categories_Salaire,MATCH($C245,ListeCategories,0)),0)+$BR245*IF(IFERROR(INDEX(Categories_TauxHS,MATCH($C245,ListeCategories,0)),0)&gt;0,IFERROR(INDEX(Categories_TauxHS,MATCH($C245,ListeCategories,0)),0),TauxHSDefaut))</f>
      </c>
    </row>
    <row r="246">
      <c r="A246" s="20">
        <f>IF(AND(INDEX(Employes_Nom,240)&lt;&gt;"",INDEX(Employes_Statut,240)="Actif",OR(INDEX(Employes_Embauche,240)="",INDEX(Employes_Embauche,240)&lt;=EOMONTH(DATE(AnneeCourante,MoisCourant,1),0))),INDEX(Employes_ID,240),"")</f>
      </c>
      <c r="B246" s="19">
        <f>IF($A246="","",INDEX(Employes_Nom,MATCH($A246,Employes_ID,0)))</f>
      </c>
      <c r="C246" s="20">
        <f>IF($A246="","",INDEX(Employes_Categorie,MATCH($A246,Employes_ID,0)))</f>
      </c>
      <c r="D246" s="26"/>
      <c r="E246" s="27"/>
      <c r="F246" s="26"/>
      <c r="G246" s="27"/>
      <c r="H246" s="26"/>
      <c r="I246" s="27"/>
      <c r="J246" s="26"/>
      <c r="K246" s="27"/>
      <c r="L246" s="26"/>
      <c r="M246" s="27"/>
      <c r="N246" s="26"/>
      <c r="O246" s="27"/>
      <c r="P246" s="26"/>
      <c r="Q246" s="27"/>
      <c r="R246" s="26"/>
      <c r="S246" s="27"/>
      <c r="T246" s="26"/>
      <c r="U246" s="27"/>
      <c r="V246" s="26"/>
      <c r="W246" s="27"/>
      <c r="X246" s="26"/>
      <c r="Y246" s="27"/>
      <c r="Z246" s="26"/>
      <c r="AA246" s="27"/>
      <c r="AB246" s="26"/>
      <c r="AC246" s="27"/>
      <c r="AD246" s="26"/>
      <c r="AE246" s="27"/>
      <c r="AF246" s="26"/>
      <c r="AG246" s="27"/>
      <c r="AH246" s="26"/>
      <c r="AI246" s="27"/>
      <c r="AJ246" s="26"/>
      <c r="AK246" s="27"/>
      <c r="AL246" s="26"/>
      <c r="AM246" s="27"/>
      <c r="AN246" s="26"/>
      <c r="AO246" s="27"/>
      <c r="AP246" s="26"/>
      <c r="AQ246" s="27"/>
      <c r="AR246" s="26"/>
      <c r="AS246" s="27"/>
      <c r="AT246" s="26"/>
      <c r="AU246" s="27"/>
      <c r="AV246" s="26"/>
      <c r="AW246" s="27"/>
      <c r="AX246" s="26"/>
      <c r="AY246" s="27"/>
      <c r="AZ246" s="26"/>
      <c r="BA246" s="27"/>
      <c r="BB246" s="26"/>
      <c r="BC246" s="27"/>
      <c r="BD246" s="26"/>
      <c r="BE246" s="27"/>
      <c r="BF246" s="26"/>
      <c r="BG246" s="27"/>
      <c r="BH246" s="26"/>
      <c r="BI246" s="27"/>
      <c r="BJ246" s="26"/>
      <c r="BK246" s="27"/>
      <c r="BL246" s="26"/>
      <c r="BM246" s="27"/>
      <c r="BN246" s="22">
        <f>IF($A246="","",SUM(IF($D$5&lt;&gt;"",--(D246="Présent"),0),IF($F$5&lt;&gt;"",--(F246="Présent"),0),IF($H$5&lt;&gt;"",--(H246="Présent"),0),IF($J$5&lt;&gt;"",--(J246="Présent"),0),IF($L$5&lt;&gt;"",--(L246="Présent"),0),IF($N$5&lt;&gt;"",--(N246="Présent"),0),IF($P$5&lt;&gt;"",--(P246="Présent"),0),IF($R$5&lt;&gt;"",--(R246="Présent"),0),IF($T$5&lt;&gt;"",--(T246="Présent"),0),IF($V$5&lt;&gt;"",--(V246="Présent"),0),IF($X$5&lt;&gt;"",--(X246="Présent"),0),IF($Z$5&lt;&gt;"",--(Z246="Présent"),0),IF($AB$5&lt;&gt;"",--(AB246="Présent"),0),IF($AD$5&lt;&gt;"",--(AD246="Présent"),0),IF($AF$5&lt;&gt;"",--(AF246="Présent"),0),IF($AH$5&lt;&gt;"",--(AH246="Présent"),0),IF($AJ$5&lt;&gt;"",--(AJ246="Présent"),0),IF($AL$5&lt;&gt;"",--(AL246="Présent"),0),IF($AN$5&lt;&gt;"",--(AN246="Présent"),0),IF($AP$5&lt;&gt;"",--(AP246="Présent"),0),IF($AR$5&lt;&gt;"",--(AR246="Présent"),0),IF($AT$5&lt;&gt;"",--(AT246="Présent"),0),IF($AV$5&lt;&gt;"",--(AV246="Présent"),0),IF($AX$5&lt;&gt;"",--(AX246="Présent"),0),IF($AZ$5&lt;&gt;"",--(AZ246="Présent"),0),IF($BB$5&lt;&gt;"",--(BB246="Présent"),0),IF($BD$5&lt;&gt;"",--(BD246="Présent"),0),IF($BF$5&lt;&gt;"",--(BF246="Présent"),0),IF($BH$5&lt;&gt;"",--(BH246="Présent"),0),IF($BJ$5&lt;&gt;"",--(BJ246="Présent"),0),IF($BL$5&lt;&gt;"",--(BL246="Présent"),0)))</f>
      </c>
      <c r="BO246" s="22">
        <f>IF($A246="","",SUM(IF($D$5&lt;&gt;"",--(D246="Absent"),0),IF($F$5&lt;&gt;"",--(F246="Absent"),0),IF($H$5&lt;&gt;"",--(H246="Absent"),0),IF($J$5&lt;&gt;"",--(J246="Absent"),0),IF($L$5&lt;&gt;"",--(L246="Absent"),0),IF($N$5&lt;&gt;"",--(N246="Absent"),0),IF($P$5&lt;&gt;"",--(P246="Absent"),0),IF($R$5&lt;&gt;"",--(R246="Absent"),0),IF($T$5&lt;&gt;"",--(T246="Absent"),0),IF($V$5&lt;&gt;"",--(V246="Absent"),0),IF($X$5&lt;&gt;"",--(X246="Absent"),0),IF($Z$5&lt;&gt;"",--(Z246="Absent"),0),IF($AB$5&lt;&gt;"",--(AB246="Absent"),0),IF($AD$5&lt;&gt;"",--(AD246="Absent"),0),IF($AF$5&lt;&gt;"",--(AF246="Absent"),0),IF($AH$5&lt;&gt;"",--(AH246="Absent"),0),IF($AJ$5&lt;&gt;"",--(AJ246="Absent"),0),IF($AL$5&lt;&gt;"",--(AL246="Absent"),0),IF($AN$5&lt;&gt;"",--(AN246="Absent"),0),IF($AP$5&lt;&gt;"",--(AP246="Absent"),0),IF($AR$5&lt;&gt;"",--(AR246="Absent"),0),IF($AT$5&lt;&gt;"",--(AT246="Absent"),0),IF($AV$5&lt;&gt;"",--(AV246="Absent"),0),IF($AX$5&lt;&gt;"",--(AX246="Absent"),0),IF($AZ$5&lt;&gt;"",--(AZ246="Absent"),0),IF($BB$5&lt;&gt;"",--(BB246="Absent"),0),IF($BD$5&lt;&gt;"",--(BD246="Absent"),0),IF($BF$5&lt;&gt;"",--(BF246="Absent"),0),IF($BH$5&lt;&gt;"",--(BH246="Absent"),0),IF($BJ$5&lt;&gt;"",--(BJ246="Absent"),0),IF($BL$5&lt;&gt;"",--(BL246="Absent"),0)))</f>
      </c>
      <c r="BP246" s="22">
        <f>IF($A246="","",SUM(IF($D$5&lt;&gt;"",--(D246="Congé"),0),IF($F$5&lt;&gt;"",--(F246="Congé"),0),IF($H$5&lt;&gt;"",--(H246="Congé"),0),IF($J$5&lt;&gt;"",--(J246="Congé"),0),IF($L$5&lt;&gt;"",--(L246="Congé"),0),IF($N$5&lt;&gt;"",--(N246="Congé"),0),IF($P$5&lt;&gt;"",--(P246="Congé"),0),IF($R$5&lt;&gt;"",--(R246="Congé"),0),IF($T$5&lt;&gt;"",--(T246="Congé"),0),IF($V$5&lt;&gt;"",--(V246="Congé"),0),IF($X$5&lt;&gt;"",--(X246="Congé"),0),IF($Z$5&lt;&gt;"",--(Z246="Congé"),0),IF($AB$5&lt;&gt;"",--(AB246="Congé"),0),IF($AD$5&lt;&gt;"",--(AD246="Congé"),0),IF($AF$5&lt;&gt;"",--(AF246="Congé"),0),IF($AH$5&lt;&gt;"",--(AH246="Congé"),0),IF($AJ$5&lt;&gt;"",--(AJ246="Congé"),0),IF($AL$5&lt;&gt;"",--(AL246="Congé"),0),IF($AN$5&lt;&gt;"",--(AN246="Congé"),0),IF($AP$5&lt;&gt;"",--(AP246="Congé"),0),IF($AR$5&lt;&gt;"",--(AR246="Congé"),0),IF($AT$5&lt;&gt;"",--(AT246="Congé"),0),IF($AV$5&lt;&gt;"",--(AV246="Congé"),0),IF($AX$5&lt;&gt;"",--(AX246="Congé"),0),IF($AZ$5&lt;&gt;"",--(AZ246="Congé"),0),IF($BB$5&lt;&gt;"",--(BB246="Congé"),0),IF($BD$5&lt;&gt;"",--(BD246="Congé"),0),IF($BF$5&lt;&gt;"",--(BF246="Congé"),0),IF($BH$5&lt;&gt;"",--(BH246="Congé"),0),IF($BJ$5&lt;&gt;"",--(BJ246="Congé"),0),IF($BL$5&lt;&gt;"",--(BL246="Congé"),0)))</f>
      </c>
      <c r="BQ246" s="22">
        <f>IF($A246="","",SUM(IF($D$5&lt;&gt;"",--(D246="Maladie"),0),IF($F$5&lt;&gt;"",--(F246="Maladie"),0),IF($H$5&lt;&gt;"",--(H246="Maladie"),0),IF($J$5&lt;&gt;"",--(J246="Maladie"),0),IF($L$5&lt;&gt;"",--(L246="Maladie"),0),IF($N$5&lt;&gt;"",--(N246="Maladie"),0),IF($P$5&lt;&gt;"",--(P246="Maladie"),0),IF($R$5&lt;&gt;"",--(R246="Maladie"),0),IF($T$5&lt;&gt;"",--(T246="Maladie"),0),IF($V$5&lt;&gt;"",--(V246="Maladie"),0),IF($X$5&lt;&gt;"",--(X246="Maladie"),0),IF($Z$5&lt;&gt;"",--(Z246="Maladie"),0),IF($AB$5&lt;&gt;"",--(AB246="Maladie"),0),IF($AD$5&lt;&gt;"",--(AD246="Maladie"),0),IF($AF$5&lt;&gt;"",--(AF246="Maladie"),0),IF($AH$5&lt;&gt;"",--(AH246="Maladie"),0),IF($AJ$5&lt;&gt;"",--(AJ246="Maladie"),0),IF($AL$5&lt;&gt;"",--(AL246="Maladie"),0),IF($AN$5&lt;&gt;"",--(AN246="Maladie"),0),IF($AP$5&lt;&gt;"",--(AP246="Maladie"),0),IF($AR$5&lt;&gt;"",--(AR246="Maladie"),0),IF($AT$5&lt;&gt;"",--(AT246="Maladie"),0),IF($AV$5&lt;&gt;"",--(AV246="Maladie"),0),IF($AX$5&lt;&gt;"",--(AX246="Maladie"),0),IF($AZ$5&lt;&gt;"",--(AZ246="Maladie"),0),IF($BB$5&lt;&gt;"",--(BB246="Maladie"),0),IF($BD$5&lt;&gt;"",--(BD246="Maladie"),0),IF($BF$5&lt;&gt;"",--(BF246="Maladie"),0),IF($BH$5&lt;&gt;"",--(BH246="Maladie"),0),IF($BJ$5&lt;&gt;"",--(BJ246="Maladie"),0),IF($BL$5&lt;&gt;"",--(BL246="Maladie"),0)))</f>
      </c>
      <c r="BR246" s="23">
        <f>IF($A246="","",SUM(IF($D$5&lt;&gt;"",IF(D246="Présent",E246,0),0),IF($F$5&lt;&gt;"",IF(F246="Présent",G246,0),0),IF($H$5&lt;&gt;"",IF(H246="Présent",I246,0),0),IF($J$5&lt;&gt;"",IF(J246="Présent",K246,0),0),IF($L$5&lt;&gt;"",IF(L246="Présent",M246,0),0),IF($N$5&lt;&gt;"",IF(N246="Présent",O246,0),0),IF($P$5&lt;&gt;"",IF(P246="Présent",Q246,0),0),IF($R$5&lt;&gt;"",IF(R246="Présent",S246,0),0),IF($T$5&lt;&gt;"",IF(T246="Présent",U246,0),0),IF($V$5&lt;&gt;"",IF(V246="Présent",W246,0),0),IF($X$5&lt;&gt;"",IF(X246="Présent",Y246,0),0),IF($Z$5&lt;&gt;"",IF(Z246="Présent",AA246,0),0),IF($AB$5&lt;&gt;"",IF(AB246="Présent",AC246,0),0),IF($AD$5&lt;&gt;"",IF(AD246="Présent",AE246,0),0),IF($AF$5&lt;&gt;"",IF(AF246="Présent",AG246,0),0),IF($AH$5&lt;&gt;"",IF(AH246="Présent",AI246,0),0),IF($AJ$5&lt;&gt;"",IF(AJ246="Présent",AK246,0),0),IF($AL$5&lt;&gt;"",IF(AL246="Présent",AM246,0),0),IF($AN$5&lt;&gt;"",IF(AN246="Présent",AO246,0),0),IF($AP$5&lt;&gt;"",IF(AP246="Présent",AQ246,0),0),IF($AR$5&lt;&gt;"",IF(AR246="Présent",AS246,0),0),IF($AT$5&lt;&gt;"",IF(AT246="Présent",AU246,0),0),IF($AV$5&lt;&gt;"",IF(AV246="Présent",AW246,0),0),IF($AX$5&lt;&gt;"",IF(AX246="Présent",AY246,0),0),IF($AZ$5&lt;&gt;"",IF(AZ246="Présent",BA246,0),0),IF($BB$5&lt;&gt;"",IF(BB246="Présent",BC246,0),0),IF($BD$5&lt;&gt;"",IF(BD246="Présent",BE246,0),0),IF($BF$5&lt;&gt;"",IF(BF246="Présent",BG246,0),0),IF($BH$5&lt;&gt;"",IF(BH246="Présent",BI246,0),0),IF($BJ$5&lt;&gt;"",IF(BJ246="Présent",BK246,0),0),IF($BL$5&lt;&gt;"",IF(BL246="Présent",BM246,0),0)))</f>
      </c>
      <c r="BS246" s="25">
        <f>IF($A246="","",$BN246*IFERROR(INDEX(Categories_Salaire,MATCH($C246,ListeCategories,0)),0)+$BR246*IF(IFERROR(INDEX(Categories_TauxHS,MATCH($C246,ListeCategories,0)),0)&gt;0,IFERROR(INDEX(Categories_TauxHS,MATCH($C246,ListeCategories,0)),0),TauxHSDefaut))</f>
      </c>
    </row>
    <row r="247">
      <c r="A247" s="20">
        <f>IF(AND(INDEX(Employes_Nom,241)&lt;&gt;"",INDEX(Employes_Statut,241)="Actif",OR(INDEX(Employes_Embauche,241)="",INDEX(Employes_Embauche,241)&lt;=EOMONTH(DATE(AnneeCourante,MoisCourant,1),0))),INDEX(Employes_ID,241),"")</f>
      </c>
      <c r="B247" s="19">
        <f>IF($A247="","",INDEX(Employes_Nom,MATCH($A247,Employes_ID,0)))</f>
      </c>
      <c r="C247" s="20">
        <f>IF($A247="","",INDEX(Employes_Categorie,MATCH($A247,Employes_ID,0)))</f>
      </c>
      <c r="D247" s="26"/>
      <c r="E247" s="27"/>
      <c r="F247" s="26"/>
      <c r="G247" s="27"/>
      <c r="H247" s="26"/>
      <c r="I247" s="27"/>
      <c r="J247" s="26"/>
      <c r="K247" s="27"/>
      <c r="L247" s="26"/>
      <c r="M247" s="27"/>
      <c r="N247" s="26"/>
      <c r="O247" s="27"/>
      <c r="P247" s="26"/>
      <c r="Q247" s="27"/>
      <c r="R247" s="26"/>
      <c r="S247" s="27"/>
      <c r="T247" s="26"/>
      <c r="U247" s="27"/>
      <c r="V247" s="26"/>
      <c r="W247" s="27"/>
      <c r="X247" s="26"/>
      <c r="Y247" s="27"/>
      <c r="Z247" s="26"/>
      <c r="AA247" s="27"/>
      <c r="AB247" s="26"/>
      <c r="AC247" s="27"/>
      <c r="AD247" s="26"/>
      <c r="AE247" s="27"/>
      <c r="AF247" s="26"/>
      <c r="AG247" s="27"/>
      <c r="AH247" s="26"/>
      <c r="AI247" s="27"/>
      <c r="AJ247" s="26"/>
      <c r="AK247" s="27"/>
      <c r="AL247" s="26"/>
      <c r="AM247" s="27"/>
      <c r="AN247" s="26"/>
      <c r="AO247" s="27"/>
      <c r="AP247" s="26"/>
      <c r="AQ247" s="27"/>
      <c r="AR247" s="26"/>
      <c r="AS247" s="27"/>
      <c r="AT247" s="26"/>
      <c r="AU247" s="27"/>
      <c r="AV247" s="26"/>
      <c r="AW247" s="27"/>
      <c r="AX247" s="26"/>
      <c r="AY247" s="27"/>
      <c r="AZ247" s="26"/>
      <c r="BA247" s="27"/>
      <c r="BB247" s="26"/>
      <c r="BC247" s="27"/>
      <c r="BD247" s="26"/>
      <c r="BE247" s="27"/>
      <c r="BF247" s="26"/>
      <c r="BG247" s="27"/>
      <c r="BH247" s="26"/>
      <c r="BI247" s="27"/>
      <c r="BJ247" s="26"/>
      <c r="BK247" s="27"/>
      <c r="BL247" s="26"/>
      <c r="BM247" s="27"/>
      <c r="BN247" s="22">
        <f>IF($A247="","",SUM(IF($D$5&lt;&gt;"",--(D247="Présent"),0),IF($F$5&lt;&gt;"",--(F247="Présent"),0),IF($H$5&lt;&gt;"",--(H247="Présent"),0),IF($J$5&lt;&gt;"",--(J247="Présent"),0),IF($L$5&lt;&gt;"",--(L247="Présent"),0),IF($N$5&lt;&gt;"",--(N247="Présent"),0),IF($P$5&lt;&gt;"",--(P247="Présent"),0),IF($R$5&lt;&gt;"",--(R247="Présent"),0),IF($T$5&lt;&gt;"",--(T247="Présent"),0),IF($V$5&lt;&gt;"",--(V247="Présent"),0),IF($X$5&lt;&gt;"",--(X247="Présent"),0),IF($Z$5&lt;&gt;"",--(Z247="Présent"),0),IF($AB$5&lt;&gt;"",--(AB247="Présent"),0),IF($AD$5&lt;&gt;"",--(AD247="Présent"),0),IF($AF$5&lt;&gt;"",--(AF247="Présent"),0),IF($AH$5&lt;&gt;"",--(AH247="Présent"),0),IF($AJ$5&lt;&gt;"",--(AJ247="Présent"),0),IF($AL$5&lt;&gt;"",--(AL247="Présent"),0),IF($AN$5&lt;&gt;"",--(AN247="Présent"),0),IF($AP$5&lt;&gt;"",--(AP247="Présent"),0),IF($AR$5&lt;&gt;"",--(AR247="Présent"),0),IF($AT$5&lt;&gt;"",--(AT247="Présent"),0),IF($AV$5&lt;&gt;"",--(AV247="Présent"),0),IF($AX$5&lt;&gt;"",--(AX247="Présent"),0),IF($AZ$5&lt;&gt;"",--(AZ247="Présent"),0),IF($BB$5&lt;&gt;"",--(BB247="Présent"),0),IF($BD$5&lt;&gt;"",--(BD247="Présent"),0),IF($BF$5&lt;&gt;"",--(BF247="Présent"),0),IF($BH$5&lt;&gt;"",--(BH247="Présent"),0),IF($BJ$5&lt;&gt;"",--(BJ247="Présent"),0),IF($BL$5&lt;&gt;"",--(BL247="Présent"),0)))</f>
      </c>
      <c r="BO247" s="22">
        <f>IF($A247="","",SUM(IF($D$5&lt;&gt;"",--(D247="Absent"),0),IF($F$5&lt;&gt;"",--(F247="Absent"),0),IF($H$5&lt;&gt;"",--(H247="Absent"),0),IF($J$5&lt;&gt;"",--(J247="Absent"),0),IF($L$5&lt;&gt;"",--(L247="Absent"),0),IF($N$5&lt;&gt;"",--(N247="Absent"),0),IF($P$5&lt;&gt;"",--(P247="Absent"),0),IF($R$5&lt;&gt;"",--(R247="Absent"),0),IF($T$5&lt;&gt;"",--(T247="Absent"),0),IF($V$5&lt;&gt;"",--(V247="Absent"),0),IF($X$5&lt;&gt;"",--(X247="Absent"),0),IF($Z$5&lt;&gt;"",--(Z247="Absent"),0),IF($AB$5&lt;&gt;"",--(AB247="Absent"),0),IF($AD$5&lt;&gt;"",--(AD247="Absent"),0),IF($AF$5&lt;&gt;"",--(AF247="Absent"),0),IF($AH$5&lt;&gt;"",--(AH247="Absent"),0),IF($AJ$5&lt;&gt;"",--(AJ247="Absent"),0),IF($AL$5&lt;&gt;"",--(AL247="Absent"),0),IF($AN$5&lt;&gt;"",--(AN247="Absent"),0),IF($AP$5&lt;&gt;"",--(AP247="Absent"),0),IF($AR$5&lt;&gt;"",--(AR247="Absent"),0),IF($AT$5&lt;&gt;"",--(AT247="Absent"),0),IF($AV$5&lt;&gt;"",--(AV247="Absent"),0),IF($AX$5&lt;&gt;"",--(AX247="Absent"),0),IF($AZ$5&lt;&gt;"",--(AZ247="Absent"),0),IF($BB$5&lt;&gt;"",--(BB247="Absent"),0),IF($BD$5&lt;&gt;"",--(BD247="Absent"),0),IF($BF$5&lt;&gt;"",--(BF247="Absent"),0),IF($BH$5&lt;&gt;"",--(BH247="Absent"),0),IF($BJ$5&lt;&gt;"",--(BJ247="Absent"),0),IF($BL$5&lt;&gt;"",--(BL247="Absent"),0)))</f>
      </c>
      <c r="BP247" s="22">
        <f>IF($A247="","",SUM(IF($D$5&lt;&gt;"",--(D247="Congé"),0),IF($F$5&lt;&gt;"",--(F247="Congé"),0),IF($H$5&lt;&gt;"",--(H247="Congé"),0),IF($J$5&lt;&gt;"",--(J247="Congé"),0),IF($L$5&lt;&gt;"",--(L247="Congé"),0),IF($N$5&lt;&gt;"",--(N247="Congé"),0),IF($P$5&lt;&gt;"",--(P247="Congé"),0),IF($R$5&lt;&gt;"",--(R247="Congé"),0),IF($T$5&lt;&gt;"",--(T247="Congé"),0),IF($V$5&lt;&gt;"",--(V247="Congé"),0),IF($X$5&lt;&gt;"",--(X247="Congé"),0),IF($Z$5&lt;&gt;"",--(Z247="Congé"),0),IF($AB$5&lt;&gt;"",--(AB247="Congé"),0),IF($AD$5&lt;&gt;"",--(AD247="Congé"),0),IF($AF$5&lt;&gt;"",--(AF247="Congé"),0),IF($AH$5&lt;&gt;"",--(AH247="Congé"),0),IF($AJ$5&lt;&gt;"",--(AJ247="Congé"),0),IF($AL$5&lt;&gt;"",--(AL247="Congé"),0),IF($AN$5&lt;&gt;"",--(AN247="Congé"),0),IF($AP$5&lt;&gt;"",--(AP247="Congé"),0),IF($AR$5&lt;&gt;"",--(AR247="Congé"),0),IF($AT$5&lt;&gt;"",--(AT247="Congé"),0),IF($AV$5&lt;&gt;"",--(AV247="Congé"),0),IF($AX$5&lt;&gt;"",--(AX247="Congé"),0),IF($AZ$5&lt;&gt;"",--(AZ247="Congé"),0),IF($BB$5&lt;&gt;"",--(BB247="Congé"),0),IF($BD$5&lt;&gt;"",--(BD247="Congé"),0),IF($BF$5&lt;&gt;"",--(BF247="Congé"),0),IF($BH$5&lt;&gt;"",--(BH247="Congé"),0),IF($BJ$5&lt;&gt;"",--(BJ247="Congé"),0),IF($BL$5&lt;&gt;"",--(BL247="Congé"),0)))</f>
      </c>
      <c r="BQ247" s="22">
        <f>IF($A247="","",SUM(IF($D$5&lt;&gt;"",--(D247="Maladie"),0),IF($F$5&lt;&gt;"",--(F247="Maladie"),0),IF($H$5&lt;&gt;"",--(H247="Maladie"),0),IF($J$5&lt;&gt;"",--(J247="Maladie"),0),IF($L$5&lt;&gt;"",--(L247="Maladie"),0),IF($N$5&lt;&gt;"",--(N247="Maladie"),0),IF($P$5&lt;&gt;"",--(P247="Maladie"),0),IF($R$5&lt;&gt;"",--(R247="Maladie"),0),IF($T$5&lt;&gt;"",--(T247="Maladie"),0),IF($V$5&lt;&gt;"",--(V247="Maladie"),0),IF($X$5&lt;&gt;"",--(X247="Maladie"),0),IF($Z$5&lt;&gt;"",--(Z247="Maladie"),0),IF($AB$5&lt;&gt;"",--(AB247="Maladie"),0),IF($AD$5&lt;&gt;"",--(AD247="Maladie"),0),IF($AF$5&lt;&gt;"",--(AF247="Maladie"),0),IF($AH$5&lt;&gt;"",--(AH247="Maladie"),0),IF($AJ$5&lt;&gt;"",--(AJ247="Maladie"),0),IF($AL$5&lt;&gt;"",--(AL247="Maladie"),0),IF($AN$5&lt;&gt;"",--(AN247="Maladie"),0),IF($AP$5&lt;&gt;"",--(AP247="Maladie"),0),IF($AR$5&lt;&gt;"",--(AR247="Maladie"),0),IF($AT$5&lt;&gt;"",--(AT247="Maladie"),0),IF($AV$5&lt;&gt;"",--(AV247="Maladie"),0),IF($AX$5&lt;&gt;"",--(AX247="Maladie"),0),IF($AZ$5&lt;&gt;"",--(AZ247="Maladie"),0),IF($BB$5&lt;&gt;"",--(BB247="Maladie"),0),IF($BD$5&lt;&gt;"",--(BD247="Maladie"),0),IF($BF$5&lt;&gt;"",--(BF247="Maladie"),0),IF($BH$5&lt;&gt;"",--(BH247="Maladie"),0),IF($BJ$5&lt;&gt;"",--(BJ247="Maladie"),0),IF($BL$5&lt;&gt;"",--(BL247="Maladie"),0)))</f>
      </c>
      <c r="BR247" s="23">
        <f>IF($A247="","",SUM(IF($D$5&lt;&gt;"",IF(D247="Présent",E247,0),0),IF($F$5&lt;&gt;"",IF(F247="Présent",G247,0),0),IF($H$5&lt;&gt;"",IF(H247="Présent",I247,0),0),IF($J$5&lt;&gt;"",IF(J247="Présent",K247,0),0),IF($L$5&lt;&gt;"",IF(L247="Présent",M247,0),0),IF($N$5&lt;&gt;"",IF(N247="Présent",O247,0),0),IF($P$5&lt;&gt;"",IF(P247="Présent",Q247,0),0),IF($R$5&lt;&gt;"",IF(R247="Présent",S247,0),0),IF($T$5&lt;&gt;"",IF(T247="Présent",U247,0),0),IF($V$5&lt;&gt;"",IF(V247="Présent",W247,0),0),IF($X$5&lt;&gt;"",IF(X247="Présent",Y247,0),0),IF($Z$5&lt;&gt;"",IF(Z247="Présent",AA247,0),0),IF($AB$5&lt;&gt;"",IF(AB247="Présent",AC247,0),0),IF($AD$5&lt;&gt;"",IF(AD247="Présent",AE247,0),0),IF($AF$5&lt;&gt;"",IF(AF247="Présent",AG247,0),0),IF($AH$5&lt;&gt;"",IF(AH247="Présent",AI247,0),0),IF($AJ$5&lt;&gt;"",IF(AJ247="Présent",AK247,0),0),IF($AL$5&lt;&gt;"",IF(AL247="Présent",AM247,0),0),IF($AN$5&lt;&gt;"",IF(AN247="Présent",AO247,0),0),IF($AP$5&lt;&gt;"",IF(AP247="Présent",AQ247,0),0),IF($AR$5&lt;&gt;"",IF(AR247="Présent",AS247,0),0),IF($AT$5&lt;&gt;"",IF(AT247="Présent",AU247,0),0),IF($AV$5&lt;&gt;"",IF(AV247="Présent",AW247,0),0),IF($AX$5&lt;&gt;"",IF(AX247="Présent",AY247,0),0),IF($AZ$5&lt;&gt;"",IF(AZ247="Présent",BA247,0),0),IF($BB$5&lt;&gt;"",IF(BB247="Présent",BC247,0),0),IF($BD$5&lt;&gt;"",IF(BD247="Présent",BE247,0),0),IF($BF$5&lt;&gt;"",IF(BF247="Présent",BG247,0),0),IF($BH$5&lt;&gt;"",IF(BH247="Présent",BI247,0),0),IF($BJ$5&lt;&gt;"",IF(BJ247="Présent",BK247,0),0),IF($BL$5&lt;&gt;"",IF(BL247="Présent",BM247,0),0)))</f>
      </c>
      <c r="BS247" s="25">
        <f>IF($A247="","",$BN247*IFERROR(INDEX(Categories_Salaire,MATCH($C247,ListeCategories,0)),0)+$BR247*IF(IFERROR(INDEX(Categories_TauxHS,MATCH($C247,ListeCategories,0)),0)&gt;0,IFERROR(INDEX(Categories_TauxHS,MATCH($C247,ListeCategories,0)),0),TauxHSDefaut))</f>
      </c>
    </row>
    <row r="248">
      <c r="A248" s="20">
        <f>IF(AND(INDEX(Employes_Nom,242)&lt;&gt;"",INDEX(Employes_Statut,242)="Actif",OR(INDEX(Employes_Embauche,242)="",INDEX(Employes_Embauche,242)&lt;=EOMONTH(DATE(AnneeCourante,MoisCourant,1),0))),INDEX(Employes_ID,242),"")</f>
      </c>
      <c r="B248" s="19">
        <f>IF($A248="","",INDEX(Employes_Nom,MATCH($A248,Employes_ID,0)))</f>
      </c>
      <c r="C248" s="20">
        <f>IF($A248="","",INDEX(Employes_Categorie,MATCH($A248,Employes_ID,0)))</f>
      </c>
      <c r="D248" s="26"/>
      <c r="E248" s="27"/>
      <c r="F248" s="26"/>
      <c r="G248" s="27"/>
      <c r="H248" s="26"/>
      <c r="I248" s="27"/>
      <c r="J248" s="26"/>
      <c r="K248" s="27"/>
      <c r="L248" s="26"/>
      <c r="M248" s="27"/>
      <c r="N248" s="26"/>
      <c r="O248" s="27"/>
      <c r="P248" s="26"/>
      <c r="Q248" s="27"/>
      <c r="R248" s="26"/>
      <c r="S248" s="27"/>
      <c r="T248" s="26"/>
      <c r="U248" s="27"/>
      <c r="V248" s="26"/>
      <c r="W248" s="27"/>
      <c r="X248" s="26"/>
      <c r="Y248" s="27"/>
      <c r="Z248" s="26"/>
      <c r="AA248" s="27"/>
      <c r="AB248" s="26"/>
      <c r="AC248" s="27"/>
      <c r="AD248" s="26"/>
      <c r="AE248" s="27"/>
      <c r="AF248" s="26"/>
      <c r="AG248" s="27"/>
      <c r="AH248" s="26"/>
      <c r="AI248" s="27"/>
      <c r="AJ248" s="26"/>
      <c r="AK248" s="27"/>
      <c r="AL248" s="26"/>
      <c r="AM248" s="27"/>
      <c r="AN248" s="26"/>
      <c r="AO248" s="27"/>
      <c r="AP248" s="26"/>
      <c r="AQ248" s="27"/>
      <c r="AR248" s="26"/>
      <c r="AS248" s="27"/>
      <c r="AT248" s="26"/>
      <c r="AU248" s="27"/>
      <c r="AV248" s="26"/>
      <c r="AW248" s="27"/>
      <c r="AX248" s="26"/>
      <c r="AY248" s="27"/>
      <c r="AZ248" s="26"/>
      <c r="BA248" s="27"/>
      <c r="BB248" s="26"/>
      <c r="BC248" s="27"/>
      <c r="BD248" s="26"/>
      <c r="BE248" s="27"/>
      <c r="BF248" s="26"/>
      <c r="BG248" s="27"/>
      <c r="BH248" s="26"/>
      <c r="BI248" s="27"/>
      <c r="BJ248" s="26"/>
      <c r="BK248" s="27"/>
      <c r="BL248" s="26"/>
      <c r="BM248" s="27"/>
      <c r="BN248" s="22">
        <f>IF($A248="","",SUM(IF($D$5&lt;&gt;"",--(D248="Présent"),0),IF($F$5&lt;&gt;"",--(F248="Présent"),0),IF($H$5&lt;&gt;"",--(H248="Présent"),0),IF($J$5&lt;&gt;"",--(J248="Présent"),0),IF($L$5&lt;&gt;"",--(L248="Présent"),0),IF($N$5&lt;&gt;"",--(N248="Présent"),0),IF($P$5&lt;&gt;"",--(P248="Présent"),0),IF($R$5&lt;&gt;"",--(R248="Présent"),0),IF($T$5&lt;&gt;"",--(T248="Présent"),0),IF($V$5&lt;&gt;"",--(V248="Présent"),0),IF($X$5&lt;&gt;"",--(X248="Présent"),0),IF($Z$5&lt;&gt;"",--(Z248="Présent"),0),IF($AB$5&lt;&gt;"",--(AB248="Présent"),0),IF($AD$5&lt;&gt;"",--(AD248="Présent"),0),IF($AF$5&lt;&gt;"",--(AF248="Présent"),0),IF($AH$5&lt;&gt;"",--(AH248="Présent"),0),IF($AJ$5&lt;&gt;"",--(AJ248="Présent"),0),IF($AL$5&lt;&gt;"",--(AL248="Présent"),0),IF($AN$5&lt;&gt;"",--(AN248="Présent"),0),IF($AP$5&lt;&gt;"",--(AP248="Présent"),0),IF($AR$5&lt;&gt;"",--(AR248="Présent"),0),IF($AT$5&lt;&gt;"",--(AT248="Présent"),0),IF($AV$5&lt;&gt;"",--(AV248="Présent"),0),IF($AX$5&lt;&gt;"",--(AX248="Présent"),0),IF($AZ$5&lt;&gt;"",--(AZ248="Présent"),0),IF($BB$5&lt;&gt;"",--(BB248="Présent"),0),IF($BD$5&lt;&gt;"",--(BD248="Présent"),0),IF($BF$5&lt;&gt;"",--(BF248="Présent"),0),IF($BH$5&lt;&gt;"",--(BH248="Présent"),0),IF($BJ$5&lt;&gt;"",--(BJ248="Présent"),0),IF($BL$5&lt;&gt;"",--(BL248="Présent"),0)))</f>
      </c>
      <c r="BO248" s="22">
        <f>IF($A248="","",SUM(IF($D$5&lt;&gt;"",--(D248="Absent"),0),IF($F$5&lt;&gt;"",--(F248="Absent"),0),IF($H$5&lt;&gt;"",--(H248="Absent"),0),IF($J$5&lt;&gt;"",--(J248="Absent"),0),IF($L$5&lt;&gt;"",--(L248="Absent"),0),IF($N$5&lt;&gt;"",--(N248="Absent"),0),IF($P$5&lt;&gt;"",--(P248="Absent"),0),IF($R$5&lt;&gt;"",--(R248="Absent"),0),IF($T$5&lt;&gt;"",--(T248="Absent"),0),IF($V$5&lt;&gt;"",--(V248="Absent"),0),IF($X$5&lt;&gt;"",--(X248="Absent"),0),IF($Z$5&lt;&gt;"",--(Z248="Absent"),0),IF($AB$5&lt;&gt;"",--(AB248="Absent"),0),IF($AD$5&lt;&gt;"",--(AD248="Absent"),0),IF($AF$5&lt;&gt;"",--(AF248="Absent"),0),IF($AH$5&lt;&gt;"",--(AH248="Absent"),0),IF($AJ$5&lt;&gt;"",--(AJ248="Absent"),0),IF($AL$5&lt;&gt;"",--(AL248="Absent"),0),IF($AN$5&lt;&gt;"",--(AN248="Absent"),0),IF($AP$5&lt;&gt;"",--(AP248="Absent"),0),IF($AR$5&lt;&gt;"",--(AR248="Absent"),0),IF($AT$5&lt;&gt;"",--(AT248="Absent"),0),IF($AV$5&lt;&gt;"",--(AV248="Absent"),0),IF($AX$5&lt;&gt;"",--(AX248="Absent"),0),IF($AZ$5&lt;&gt;"",--(AZ248="Absent"),0),IF($BB$5&lt;&gt;"",--(BB248="Absent"),0),IF($BD$5&lt;&gt;"",--(BD248="Absent"),0),IF($BF$5&lt;&gt;"",--(BF248="Absent"),0),IF($BH$5&lt;&gt;"",--(BH248="Absent"),0),IF($BJ$5&lt;&gt;"",--(BJ248="Absent"),0),IF($BL$5&lt;&gt;"",--(BL248="Absent"),0)))</f>
      </c>
      <c r="BP248" s="22">
        <f>IF($A248="","",SUM(IF($D$5&lt;&gt;"",--(D248="Congé"),0),IF($F$5&lt;&gt;"",--(F248="Congé"),0),IF($H$5&lt;&gt;"",--(H248="Congé"),0),IF($J$5&lt;&gt;"",--(J248="Congé"),0),IF($L$5&lt;&gt;"",--(L248="Congé"),0),IF($N$5&lt;&gt;"",--(N248="Congé"),0),IF($P$5&lt;&gt;"",--(P248="Congé"),0),IF($R$5&lt;&gt;"",--(R248="Congé"),0),IF($T$5&lt;&gt;"",--(T248="Congé"),0),IF($V$5&lt;&gt;"",--(V248="Congé"),0),IF($X$5&lt;&gt;"",--(X248="Congé"),0),IF($Z$5&lt;&gt;"",--(Z248="Congé"),0),IF($AB$5&lt;&gt;"",--(AB248="Congé"),0),IF($AD$5&lt;&gt;"",--(AD248="Congé"),0),IF($AF$5&lt;&gt;"",--(AF248="Congé"),0),IF($AH$5&lt;&gt;"",--(AH248="Congé"),0),IF($AJ$5&lt;&gt;"",--(AJ248="Congé"),0),IF($AL$5&lt;&gt;"",--(AL248="Congé"),0),IF($AN$5&lt;&gt;"",--(AN248="Congé"),0),IF($AP$5&lt;&gt;"",--(AP248="Congé"),0),IF($AR$5&lt;&gt;"",--(AR248="Congé"),0),IF($AT$5&lt;&gt;"",--(AT248="Congé"),0),IF($AV$5&lt;&gt;"",--(AV248="Congé"),0),IF($AX$5&lt;&gt;"",--(AX248="Congé"),0),IF($AZ$5&lt;&gt;"",--(AZ248="Congé"),0),IF($BB$5&lt;&gt;"",--(BB248="Congé"),0),IF($BD$5&lt;&gt;"",--(BD248="Congé"),0),IF($BF$5&lt;&gt;"",--(BF248="Congé"),0),IF($BH$5&lt;&gt;"",--(BH248="Congé"),0),IF($BJ$5&lt;&gt;"",--(BJ248="Congé"),0),IF($BL$5&lt;&gt;"",--(BL248="Congé"),0)))</f>
      </c>
      <c r="BQ248" s="22">
        <f>IF($A248="","",SUM(IF($D$5&lt;&gt;"",--(D248="Maladie"),0),IF($F$5&lt;&gt;"",--(F248="Maladie"),0),IF($H$5&lt;&gt;"",--(H248="Maladie"),0),IF($J$5&lt;&gt;"",--(J248="Maladie"),0),IF($L$5&lt;&gt;"",--(L248="Maladie"),0),IF($N$5&lt;&gt;"",--(N248="Maladie"),0),IF($P$5&lt;&gt;"",--(P248="Maladie"),0),IF($R$5&lt;&gt;"",--(R248="Maladie"),0),IF($T$5&lt;&gt;"",--(T248="Maladie"),0),IF($V$5&lt;&gt;"",--(V248="Maladie"),0),IF($X$5&lt;&gt;"",--(X248="Maladie"),0),IF($Z$5&lt;&gt;"",--(Z248="Maladie"),0),IF($AB$5&lt;&gt;"",--(AB248="Maladie"),0),IF($AD$5&lt;&gt;"",--(AD248="Maladie"),0),IF($AF$5&lt;&gt;"",--(AF248="Maladie"),0),IF($AH$5&lt;&gt;"",--(AH248="Maladie"),0),IF($AJ$5&lt;&gt;"",--(AJ248="Maladie"),0),IF($AL$5&lt;&gt;"",--(AL248="Maladie"),0),IF($AN$5&lt;&gt;"",--(AN248="Maladie"),0),IF($AP$5&lt;&gt;"",--(AP248="Maladie"),0),IF($AR$5&lt;&gt;"",--(AR248="Maladie"),0),IF($AT$5&lt;&gt;"",--(AT248="Maladie"),0),IF($AV$5&lt;&gt;"",--(AV248="Maladie"),0),IF($AX$5&lt;&gt;"",--(AX248="Maladie"),0),IF($AZ$5&lt;&gt;"",--(AZ248="Maladie"),0),IF($BB$5&lt;&gt;"",--(BB248="Maladie"),0),IF($BD$5&lt;&gt;"",--(BD248="Maladie"),0),IF($BF$5&lt;&gt;"",--(BF248="Maladie"),0),IF($BH$5&lt;&gt;"",--(BH248="Maladie"),0),IF($BJ$5&lt;&gt;"",--(BJ248="Maladie"),0),IF($BL$5&lt;&gt;"",--(BL248="Maladie"),0)))</f>
      </c>
      <c r="BR248" s="23">
        <f>IF($A248="","",SUM(IF($D$5&lt;&gt;"",IF(D248="Présent",E248,0),0),IF($F$5&lt;&gt;"",IF(F248="Présent",G248,0),0),IF($H$5&lt;&gt;"",IF(H248="Présent",I248,0),0),IF($J$5&lt;&gt;"",IF(J248="Présent",K248,0),0),IF($L$5&lt;&gt;"",IF(L248="Présent",M248,0),0),IF($N$5&lt;&gt;"",IF(N248="Présent",O248,0),0),IF($P$5&lt;&gt;"",IF(P248="Présent",Q248,0),0),IF($R$5&lt;&gt;"",IF(R248="Présent",S248,0),0),IF($T$5&lt;&gt;"",IF(T248="Présent",U248,0),0),IF($V$5&lt;&gt;"",IF(V248="Présent",W248,0),0),IF($X$5&lt;&gt;"",IF(X248="Présent",Y248,0),0),IF($Z$5&lt;&gt;"",IF(Z248="Présent",AA248,0),0),IF($AB$5&lt;&gt;"",IF(AB248="Présent",AC248,0),0),IF($AD$5&lt;&gt;"",IF(AD248="Présent",AE248,0),0),IF($AF$5&lt;&gt;"",IF(AF248="Présent",AG248,0),0),IF($AH$5&lt;&gt;"",IF(AH248="Présent",AI248,0),0),IF($AJ$5&lt;&gt;"",IF(AJ248="Présent",AK248,0),0),IF($AL$5&lt;&gt;"",IF(AL248="Présent",AM248,0),0),IF($AN$5&lt;&gt;"",IF(AN248="Présent",AO248,0),0),IF($AP$5&lt;&gt;"",IF(AP248="Présent",AQ248,0),0),IF($AR$5&lt;&gt;"",IF(AR248="Présent",AS248,0),0),IF($AT$5&lt;&gt;"",IF(AT248="Présent",AU248,0),0),IF($AV$5&lt;&gt;"",IF(AV248="Présent",AW248,0),0),IF($AX$5&lt;&gt;"",IF(AX248="Présent",AY248,0),0),IF($AZ$5&lt;&gt;"",IF(AZ248="Présent",BA248,0),0),IF($BB$5&lt;&gt;"",IF(BB248="Présent",BC248,0),0),IF($BD$5&lt;&gt;"",IF(BD248="Présent",BE248,0),0),IF($BF$5&lt;&gt;"",IF(BF248="Présent",BG248,0),0),IF($BH$5&lt;&gt;"",IF(BH248="Présent",BI248,0),0),IF($BJ$5&lt;&gt;"",IF(BJ248="Présent",BK248,0),0),IF($BL$5&lt;&gt;"",IF(BL248="Présent",BM248,0),0)))</f>
      </c>
      <c r="BS248" s="25">
        <f>IF($A248="","",$BN248*IFERROR(INDEX(Categories_Salaire,MATCH($C248,ListeCategories,0)),0)+$BR248*IF(IFERROR(INDEX(Categories_TauxHS,MATCH($C248,ListeCategories,0)),0)&gt;0,IFERROR(INDEX(Categories_TauxHS,MATCH($C248,ListeCategories,0)),0),TauxHSDefaut))</f>
      </c>
    </row>
    <row r="249">
      <c r="A249" s="20">
        <f>IF(AND(INDEX(Employes_Nom,243)&lt;&gt;"",INDEX(Employes_Statut,243)="Actif",OR(INDEX(Employes_Embauche,243)="",INDEX(Employes_Embauche,243)&lt;=EOMONTH(DATE(AnneeCourante,MoisCourant,1),0))),INDEX(Employes_ID,243),"")</f>
      </c>
      <c r="B249" s="19">
        <f>IF($A249="","",INDEX(Employes_Nom,MATCH($A249,Employes_ID,0)))</f>
      </c>
      <c r="C249" s="20">
        <f>IF($A249="","",INDEX(Employes_Categorie,MATCH($A249,Employes_ID,0)))</f>
      </c>
      <c r="D249" s="26"/>
      <c r="E249" s="27"/>
      <c r="F249" s="26"/>
      <c r="G249" s="27"/>
      <c r="H249" s="26"/>
      <c r="I249" s="27"/>
      <c r="J249" s="26"/>
      <c r="K249" s="27"/>
      <c r="L249" s="26"/>
      <c r="M249" s="27"/>
      <c r="N249" s="26"/>
      <c r="O249" s="27"/>
      <c r="P249" s="26"/>
      <c r="Q249" s="27"/>
      <c r="R249" s="26"/>
      <c r="S249" s="27"/>
      <c r="T249" s="26"/>
      <c r="U249" s="27"/>
      <c r="V249" s="26"/>
      <c r="W249" s="27"/>
      <c r="X249" s="26"/>
      <c r="Y249" s="27"/>
      <c r="Z249" s="26"/>
      <c r="AA249" s="27"/>
      <c r="AB249" s="26"/>
      <c r="AC249" s="27"/>
      <c r="AD249" s="26"/>
      <c r="AE249" s="27"/>
      <c r="AF249" s="26"/>
      <c r="AG249" s="27"/>
      <c r="AH249" s="26"/>
      <c r="AI249" s="27"/>
      <c r="AJ249" s="26"/>
      <c r="AK249" s="27"/>
      <c r="AL249" s="26"/>
      <c r="AM249" s="27"/>
      <c r="AN249" s="26"/>
      <c r="AO249" s="27"/>
      <c r="AP249" s="26"/>
      <c r="AQ249" s="27"/>
      <c r="AR249" s="26"/>
      <c r="AS249" s="27"/>
      <c r="AT249" s="26"/>
      <c r="AU249" s="27"/>
      <c r="AV249" s="26"/>
      <c r="AW249" s="27"/>
      <c r="AX249" s="26"/>
      <c r="AY249" s="27"/>
      <c r="AZ249" s="26"/>
      <c r="BA249" s="27"/>
      <c r="BB249" s="26"/>
      <c r="BC249" s="27"/>
      <c r="BD249" s="26"/>
      <c r="BE249" s="27"/>
      <c r="BF249" s="26"/>
      <c r="BG249" s="27"/>
      <c r="BH249" s="26"/>
      <c r="BI249" s="27"/>
      <c r="BJ249" s="26"/>
      <c r="BK249" s="27"/>
      <c r="BL249" s="26"/>
      <c r="BM249" s="27"/>
      <c r="BN249" s="22">
        <f>IF($A249="","",SUM(IF($D$5&lt;&gt;"",--(D249="Présent"),0),IF($F$5&lt;&gt;"",--(F249="Présent"),0),IF($H$5&lt;&gt;"",--(H249="Présent"),0),IF($J$5&lt;&gt;"",--(J249="Présent"),0),IF($L$5&lt;&gt;"",--(L249="Présent"),0),IF($N$5&lt;&gt;"",--(N249="Présent"),0),IF($P$5&lt;&gt;"",--(P249="Présent"),0),IF($R$5&lt;&gt;"",--(R249="Présent"),0),IF($T$5&lt;&gt;"",--(T249="Présent"),0),IF($V$5&lt;&gt;"",--(V249="Présent"),0),IF($X$5&lt;&gt;"",--(X249="Présent"),0),IF($Z$5&lt;&gt;"",--(Z249="Présent"),0),IF($AB$5&lt;&gt;"",--(AB249="Présent"),0),IF($AD$5&lt;&gt;"",--(AD249="Présent"),0),IF($AF$5&lt;&gt;"",--(AF249="Présent"),0),IF($AH$5&lt;&gt;"",--(AH249="Présent"),0),IF($AJ$5&lt;&gt;"",--(AJ249="Présent"),0),IF($AL$5&lt;&gt;"",--(AL249="Présent"),0),IF($AN$5&lt;&gt;"",--(AN249="Présent"),0),IF($AP$5&lt;&gt;"",--(AP249="Présent"),0),IF($AR$5&lt;&gt;"",--(AR249="Présent"),0),IF($AT$5&lt;&gt;"",--(AT249="Présent"),0),IF($AV$5&lt;&gt;"",--(AV249="Présent"),0),IF($AX$5&lt;&gt;"",--(AX249="Présent"),0),IF($AZ$5&lt;&gt;"",--(AZ249="Présent"),0),IF($BB$5&lt;&gt;"",--(BB249="Présent"),0),IF($BD$5&lt;&gt;"",--(BD249="Présent"),0),IF($BF$5&lt;&gt;"",--(BF249="Présent"),0),IF($BH$5&lt;&gt;"",--(BH249="Présent"),0),IF($BJ$5&lt;&gt;"",--(BJ249="Présent"),0),IF($BL$5&lt;&gt;"",--(BL249="Présent"),0)))</f>
      </c>
      <c r="BO249" s="22">
        <f>IF($A249="","",SUM(IF($D$5&lt;&gt;"",--(D249="Absent"),0),IF($F$5&lt;&gt;"",--(F249="Absent"),0),IF($H$5&lt;&gt;"",--(H249="Absent"),0),IF($J$5&lt;&gt;"",--(J249="Absent"),0),IF($L$5&lt;&gt;"",--(L249="Absent"),0),IF($N$5&lt;&gt;"",--(N249="Absent"),0),IF($P$5&lt;&gt;"",--(P249="Absent"),0),IF($R$5&lt;&gt;"",--(R249="Absent"),0),IF($T$5&lt;&gt;"",--(T249="Absent"),0),IF($V$5&lt;&gt;"",--(V249="Absent"),0),IF($X$5&lt;&gt;"",--(X249="Absent"),0),IF($Z$5&lt;&gt;"",--(Z249="Absent"),0),IF($AB$5&lt;&gt;"",--(AB249="Absent"),0),IF($AD$5&lt;&gt;"",--(AD249="Absent"),0),IF($AF$5&lt;&gt;"",--(AF249="Absent"),0),IF($AH$5&lt;&gt;"",--(AH249="Absent"),0),IF($AJ$5&lt;&gt;"",--(AJ249="Absent"),0),IF($AL$5&lt;&gt;"",--(AL249="Absent"),0),IF($AN$5&lt;&gt;"",--(AN249="Absent"),0),IF($AP$5&lt;&gt;"",--(AP249="Absent"),0),IF($AR$5&lt;&gt;"",--(AR249="Absent"),0),IF($AT$5&lt;&gt;"",--(AT249="Absent"),0),IF($AV$5&lt;&gt;"",--(AV249="Absent"),0),IF($AX$5&lt;&gt;"",--(AX249="Absent"),0),IF($AZ$5&lt;&gt;"",--(AZ249="Absent"),0),IF($BB$5&lt;&gt;"",--(BB249="Absent"),0),IF($BD$5&lt;&gt;"",--(BD249="Absent"),0),IF($BF$5&lt;&gt;"",--(BF249="Absent"),0),IF($BH$5&lt;&gt;"",--(BH249="Absent"),0),IF($BJ$5&lt;&gt;"",--(BJ249="Absent"),0),IF($BL$5&lt;&gt;"",--(BL249="Absent"),0)))</f>
      </c>
      <c r="BP249" s="22">
        <f>IF($A249="","",SUM(IF($D$5&lt;&gt;"",--(D249="Congé"),0),IF($F$5&lt;&gt;"",--(F249="Congé"),0),IF($H$5&lt;&gt;"",--(H249="Congé"),0),IF($J$5&lt;&gt;"",--(J249="Congé"),0),IF($L$5&lt;&gt;"",--(L249="Congé"),0),IF($N$5&lt;&gt;"",--(N249="Congé"),0),IF($P$5&lt;&gt;"",--(P249="Congé"),0),IF($R$5&lt;&gt;"",--(R249="Congé"),0),IF($T$5&lt;&gt;"",--(T249="Congé"),0),IF($V$5&lt;&gt;"",--(V249="Congé"),0),IF($X$5&lt;&gt;"",--(X249="Congé"),0),IF($Z$5&lt;&gt;"",--(Z249="Congé"),0),IF($AB$5&lt;&gt;"",--(AB249="Congé"),0),IF($AD$5&lt;&gt;"",--(AD249="Congé"),0),IF($AF$5&lt;&gt;"",--(AF249="Congé"),0),IF($AH$5&lt;&gt;"",--(AH249="Congé"),0),IF($AJ$5&lt;&gt;"",--(AJ249="Congé"),0),IF($AL$5&lt;&gt;"",--(AL249="Congé"),0),IF($AN$5&lt;&gt;"",--(AN249="Congé"),0),IF($AP$5&lt;&gt;"",--(AP249="Congé"),0),IF($AR$5&lt;&gt;"",--(AR249="Congé"),0),IF($AT$5&lt;&gt;"",--(AT249="Congé"),0),IF($AV$5&lt;&gt;"",--(AV249="Congé"),0),IF($AX$5&lt;&gt;"",--(AX249="Congé"),0),IF($AZ$5&lt;&gt;"",--(AZ249="Congé"),0),IF($BB$5&lt;&gt;"",--(BB249="Congé"),0),IF($BD$5&lt;&gt;"",--(BD249="Congé"),0),IF($BF$5&lt;&gt;"",--(BF249="Congé"),0),IF($BH$5&lt;&gt;"",--(BH249="Congé"),0),IF($BJ$5&lt;&gt;"",--(BJ249="Congé"),0),IF($BL$5&lt;&gt;"",--(BL249="Congé"),0)))</f>
      </c>
      <c r="BQ249" s="22">
        <f>IF($A249="","",SUM(IF($D$5&lt;&gt;"",--(D249="Maladie"),0),IF($F$5&lt;&gt;"",--(F249="Maladie"),0),IF($H$5&lt;&gt;"",--(H249="Maladie"),0),IF($J$5&lt;&gt;"",--(J249="Maladie"),0),IF($L$5&lt;&gt;"",--(L249="Maladie"),0),IF($N$5&lt;&gt;"",--(N249="Maladie"),0),IF($P$5&lt;&gt;"",--(P249="Maladie"),0),IF($R$5&lt;&gt;"",--(R249="Maladie"),0),IF($T$5&lt;&gt;"",--(T249="Maladie"),0),IF($V$5&lt;&gt;"",--(V249="Maladie"),0),IF($X$5&lt;&gt;"",--(X249="Maladie"),0),IF($Z$5&lt;&gt;"",--(Z249="Maladie"),0),IF($AB$5&lt;&gt;"",--(AB249="Maladie"),0),IF($AD$5&lt;&gt;"",--(AD249="Maladie"),0),IF($AF$5&lt;&gt;"",--(AF249="Maladie"),0),IF($AH$5&lt;&gt;"",--(AH249="Maladie"),0),IF($AJ$5&lt;&gt;"",--(AJ249="Maladie"),0),IF($AL$5&lt;&gt;"",--(AL249="Maladie"),0),IF($AN$5&lt;&gt;"",--(AN249="Maladie"),0),IF($AP$5&lt;&gt;"",--(AP249="Maladie"),0),IF($AR$5&lt;&gt;"",--(AR249="Maladie"),0),IF($AT$5&lt;&gt;"",--(AT249="Maladie"),0),IF($AV$5&lt;&gt;"",--(AV249="Maladie"),0),IF($AX$5&lt;&gt;"",--(AX249="Maladie"),0),IF($AZ$5&lt;&gt;"",--(AZ249="Maladie"),0),IF($BB$5&lt;&gt;"",--(BB249="Maladie"),0),IF($BD$5&lt;&gt;"",--(BD249="Maladie"),0),IF($BF$5&lt;&gt;"",--(BF249="Maladie"),0),IF($BH$5&lt;&gt;"",--(BH249="Maladie"),0),IF($BJ$5&lt;&gt;"",--(BJ249="Maladie"),0),IF($BL$5&lt;&gt;"",--(BL249="Maladie"),0)))</f>
      </c>
      <c r="BR249" s="23">
        <f>IF($A249="","",SUM(IF($D$5&lt;&gt;"",IF(D249="Présent",E249,0),0),IF($F$5&lt;&gt;"",IF(F249="Présent",G249,0),0),IF($H$5&lt;&gt;"",IF(H249="Présent",I249,0),0),IF($J$5&lt;&gt;"",IF(J249="Présent",K249,0),0),IF($L$5&lt;&gt;"",IF(L249="Présent",M249,0),0),IF($N$5&lt;&gt;"",IF(N249="Présent",O249,0),0),IF($P$5&lt;&gt;"",IF(P249="Présent",Q249,0),0),IF($R$5&lt;&gt;"",IF(R249="Présent",S249,0),0),IF($T$5&lt;&gt;"",IF(T249="Présent",U249,0),0),IF($V$5&lt;&gt;"",IF(V249="Présent",W249,0),0),IF($X$5&lt;&gt;"",IF(X249="Présent",Y249,0),0),IF($Z$5&lt;&gt;"",IF(Z249="Présent",AA249,0),0),IF($AB$5&lt;&gt;"",IF(AB249="Présent",AC249,0),0),IF($AD$5&lt;&gt;"",IF(AD249="Présent",AE249,0),0),IF($AF$5&lt;&gt;"",IF(AF249="Présent",AG249,0),0),IF($AH$5&lt;&gt;"",IF(AH249="Présent",AI249,0),0),IF($AJ$5&lt;&gt;"",IF(AJ249="Présent",AK249,0),0),IF($AL$5&lt;&gt;"",IF(AL249="Présent",AM249,0),0),IF($AN$5&lt;&gt;"",IF(AN249="Présent",AO249,0),0),IF($AP$5&lt;&gt;"",IF(AP249="Présent",AQ249,0),0),IF($AR$5&lt;&gt;"",IF(AR249="Présent",AS249,0),0),IF($AT$5&lt;&gt;"",IF(AT249="Présent",AU249,0),0),IF($AV$5&lt;&gt;"",IF(AV249="Présent",AW249,0),0),IF($AX$5&lt;&gt;"",IF(AX249="Présent",AY249,0),0),IF($AZ$5&lt;&gt;"",IF(AZ249="Présent",BA249,0),0),IF($BB$5&lt;&gt;"",IF(BB249="Présent",BC249,0),0),IF($BD$5&lt;&gt;"",IF(BD249="Présent",BE249,0),0),IF($BF$5&lt;&gt;"",IF(BF249="Présent",BG249,0),0),IF($BH$5&lt;&gt;"",IF(BH249="Présent",BI249,0),0),IF($BJ$5&lt;&gt;"",IF(BJ249="Présent",BK249,0),0),IF($BL$5&lt;&gt;"",IF(BL249="Présent",BM249,0),0)))</f>
      </c>
      <c r="BS249" s="25">
        <f>IF($A249="","",$BN249*IFERROR(INDEX(Categories_Salaire,MATCH($C249,ListeCategories,0)),0)+$BR249*IF(IFERROR(INDEX(Categories_TauxHS,MATCH($C249,ListeCategories,0)),0)&gt;0,IFERROR(INDEX(Categories_TauxHS,MATCH($C249,ListeCategories,0)),0),TauxHSDefaut))</f>
      </c>
    </row>
    <row r="250">
      <c r="A250" s="20">
        <f>IF(AND(INDEX(Employes_Nom,244)&lt;&gt;"",INDEX(Employes_Statut,244)="Actif",OR(INDEX(Employes_Embauche,244)="",INDEX(Employes_Embauche,244)&lt;=EOMONTH(DATE(AnneeCourante,MoisCourant,1),0))),INDEX(Employes_ID,244),"")</f>
      </c>
      <c r="B250" s="19">
        <f>IF($A250="","",INDEX(Employes_Nom,MATCH($A250,Employes_ID,0)))</f>
      </c>
      <c r="C250" s="20">
        <f>IF($A250="","",INDEX(Employes_Categorie,MATCH($A250,Employes_ID,0)))</f>
      </c>
      <c r="D250" s="26"/>
      <c r="E250" s="27"/>
      <c r="F250" s="26"/>
      <c r="G250" s="27"/>
      <c r="H250" s="26"/>
      <c r="I250" s="27"/>
      <c r="J250" s="26"/>
      <c r="K250" s="27"/>
      <c r="L250" s="26"/>
      <c r="M250" s="27"/>
      <c r="N250" s="26"/>
      <c r="O250" s="27"/>
      <c r="P250" s="26"/>
      <c r="Q250" s="27"/>
      <c r="R250" s="26"/>
      <c r="S250" s="27"/>
      <c r="T250" s="26"/>
      <c r="U250" s="27"/>
      <c r="V250" s="26"/>
      <c r="W250" s="27"/>
      <c r="X250" s="26"/>
      <c r="Y250" s="27"/>
      <c r="Z250" s="26"/>
      <c r="AA250" s="27"/>
      <c r="AB250" s="26"/>
      <c r="AC250" s="27"/>
      <c r="AD250" s="26"/>
      <c r="AE250" s="27"/>
      <c r="AF250" s="26"/>
      <c r="AG250" s="27"/>
      <c r="AH250" s="26"/>
      <c r="AI250" s="27"/>
      <c r="AJ250" s="26"/>
      <c r="AK250" s="27"/>
      <c r="AL250" s="26"/>
      <c r="AM250" s="27"/>
      <c r="AN250" s="26"/>
      <c r="AO250" s="27"/>
      <c r="AP250" s="26"/>
      <c r="AQ250" s="27"/>
      <c r="AR250" s="26"/>
      <c r="AS250" s="27"/>
      <c r="AT250" s="26"/>
      <c r="AU250" s="27"/>
      <c r="AV250" s="26"/>
      <c r="AW250" s="27"/>
      <c r="AX250" s="26"/>
      <c r="AY250" s="27"/>
      <c r="AZ250" s="26"/>
      <c r="BA250" s="27"/>
      <c r="BB250" s="26"/>
      <c r="BC250" s="27"/>
      <c r="BD250" s="26"/>
      <c r="BE250" s="27"/>
      <c r="BF250" s="26"/>
      <c r="BG250" s="27"/>
      <c r="BH250" s="26"/>
      <c r="BI250" s="27"/>
      <c r="BJ250" s="26"/>
      <c r="BK250" s="27"/>
      <c r="BL250" s="26"/>
      <c r="BM250" s="27"/>
      <c r="BN250" s="22">
        <f>IF($A250="","",SUM(IF($D$5&lt;&gt;"",--(D250="Présent"),0),IF($F$5&lt;&gt;"",--(F250="Présent"),0),IF($H$5&lt;&gt;"",--(H250="Présent"),0),IF($J$5&lt;&gt;"",--(J250="Présent"),0),IF($L$5&lt;&gt;"",--(L250="Présent"),0),IF($N$5&lt;&gt;"",--(N250="Présent"),0),IF($P$5&lt;&gt;"",--(P250="Présent"),0),IF($R$5&lt;&gt;"",--(R250="Présent"),0),IF($T$5&lt;&gt;"",--(T250="Présent"),0),IF($V$5&lt;&gt;"",--(V250="Présent"),0),IF($X$5&lt;&gt;"",--(X250="Présent"),0),IF($Z$5&lt;&gt;"",--(Z250="Présent"),0),IF($AB$5&lt;&gt;"",--(AB250="Présent"),0),IF($AD$5&lt;&gt;"",--(AD250="Présent"),0),IF($AF$5&lt;&gt;"",--(AF250="Présent"),0),IF($AH$5&lt;&gt;"",--(AH250="Présent"),0),IF($AJ$5&lt;&gt;"",--(AJ250="Présent"),0),IF($AL$5&lt;&gt;"",--(AL250="Présent"),0),IF($AN$5&lt;&gt;"",--(AN250="Présent"),0),IF($AP$5&lt;&gt;"",--(AP250="Présent"),0),IF($AR$5&lt;&gt;"",--(AR250="Présent"),0),IF($AT$5&lt;&gt;"",--(AT250="Présent"),0),IF($AV$5&lt;&gt;"",--(AV250="Présent"),0),IF($AX$5&lt;&gt;"",--(AX250="Présent"),0),IF($AZ$5&lt;&gt;"",--(AZ250="Présent"),0),IF($BB$5&lt;&gt;"",--(BB250="Présent"),0),IF($BD$5&lt;&gt;"",--(BD250="Présent"),0),IF($BF$5&lt;&gt;"",--(BF250="Présent"),0),IF($BH$5&lt;&gt;"",--(BH250="Présent"),0),IF($BJ$5&lt;&gt;"",--(BJ250="Présent"),0),IF($BL$5&lt;&gt;"",--(BL250="Présent"),0)))</f>
      </c>
      <c r="BO250" s="22">
        <f>IF($A250="","",SUM(IF($D$5&lt;&gt;"",--(D250="Absent"),0),IF($F$5&lt;&gt;"",--(F250="Absent"),0),IF($H$5&lt;&gt;"",--(H250="Absent"),0),IF($J$5&lt;&gt;"",--(J250="Absent"),0),IF($L$5&lt;&gt;"",--(L250="Absent"),0),IF($N$5&lt;&gt;"",--(N250="Absent"),0),IF($P$5&lt;&gt;"",--(P250="Absent"),0),IF($R$5&lt;&gt;"",--(R250="Absent"),0),IF($T$5&lt;&gt;"",--(T250="Absent"),0),IF($V$5&lt;&gt;"",--(V250="Absent"),0),IF($X$5&lt;&gt;"",--(X250="Absent"),0),IF($Z$5&lt;&gt;"",--(Z250="Absent"),0),IF($AB$5&lt;&gt;"",--(AB250="Absent"),0),IF($AD$5&lt;&gt;"",--(AD250="Absent"),0),IF($AF$5&lt;&gt;"",--(AF250="Absent"),0),IF($AH$5&lt;&gt;"",--(AH250="Absent"),0),IF($AJ$5&lt;&gt;"",--(AJ250="Absent"),0),IF($AL$5&lt;&gt;"",--(AL250="Absent"),0),IF($AN$5&lt;&gt;"",--(AN250="Absent"),0),IF($AP$5&lt;&gt;"",--(AP250="Absent"),0),IF($AR$5&lt;&gt;"",--(AR250="Absent"),0),IF($AT$5&lt;&gt;"",--(AT250="Absent"),0),IF($AV$5&lt;&gt;"",--(AV250="Absent"),0),IF($AX$5&lt;&gt;"",--(AX250="Absent"),0),IF($AZ$5&lt;&gt;"",--(AZ250="Absent"),0),IF($BB$5&lt;&gt;"",--(BB250="Absent"),0),IF($BD$5&lt;&gt;"",--(BD250="Absent"),0),IF($BF$5&lt;&gt;"",--(BF250="Absent"),0),IF($BH$5&lt;&gt;"",--(BH250="Absent"),0),IF($BJ$5&lt;&gt;"",--(BJ250="Absent"),0),IF($BL$5&lt;&gt;"",--(BL250="Absent"),0)))</f>
      </c>
      <c r="BP250" s="22">
        <f>IF($A250="","",SUM(IF($D$5&lt;&gt;"",--(D250="Congé"),0),IF($F$5&lt;&gt;"",--(F250="Congé"),0),IF($H$5&lt;&gt;"",--(H250="Congé"),0),IF($J$5&lt;&gt;"",--(J250="Congé"),0),IF($L$5&lt;&gt;"",--(L250="Congé"),0),IF($N$5&lt;&gt;"",--(N250="Congé"),0),IF($P$5&lt;&gt;"",--(P250="Congé"),0),IF($R$5&lt;&gt;"",--(R250="Congé"),0),IF($T$5&lt;&gt;"",--(T250="Congé"),0),IF($V$5&lt;&gt;"",--(V250="Congé"),0),IF($X$5&lt;&gt;"",--(X250="Congé"),0),IF($Z$5&lt;&gt;"",--(Z250="Congé"),0),IF($AB$5&lt;&gt;"",--(AB250="Congé"),0),IF($AD$5&lt;&gt;"",--(AD250="Congé"),0),IF($AF$5&lt;&gt;"",--(AF250="Congé"),0),IF($AH$5&lt;&gt;"",--(AH250="Congé"),0),IF($AJ$5&lt;&gt;"",--(AJ250="Congé"),0),IF($AL$5&lt;&gt;"",--(AL250="Congé"),0),IF($AN$5&lt;&gt;"",--(AN250="Congé"),0),IF($AP$5&lt;&gt;"",--(AP250="Congé"),0),IF($AR$5&lt;&gt;"",--(AR250="Congé"),0),IF($AT$5&lt;&gt;"",--(AT250="Congé"),0),IF($AV$5&lt;&gt;"",--(AV250="Congé"),0),IF($AX$5&lt;&gt;"",--(AX250="Congé"),0),IF($AZ$5&lt;&gt;"",--(AZ250="Congé"),0),IF($BB$5&lt;&gt;"",--(BB250="Congé"),0),IF($BD$5&lt;&gt;"",--(BD250="Congé"),0),IF($BF$5&lt;&gt;"",--(BF250="Congé"),0),IF($BH$5&lt;&gt;"",--(BH250="Congé"),0),IF($BJ$5&lt;&gt;"",--(BJ250="Congé"),0),IF($BL$5&lt;&gt;"",--(BL250="Congé"),0)))</f>
      </c>
      <c r="BQ250" s="22">
        <f>IF($A250="","",SUM(IF($D$5&lt;&gt;"",--(D250="Maladie"),0),IF($F$5&lt;&gt;"",--(F250="Maladie"),0),IF($H$5&lt;&gt;"",--(H250="Maladie"),0),IF($J$5&lt;&gt;"",--(J250="Maladie"),0),IF($L$5&lt;&gt;"",--(L250="Maladie"),0),IF($N$5&lt;&gt;"",--(N250="Maladie"),0),IF($P$5&lt;&gt;"",--(P250="Maladie"),0),IF($R$5&lt;&gt;"",--(R250="Maladie"),0),IF($T$5&lt;&gt;"",--(T250="Maladie"),0),IF($V$5&lt;&gt;"",--(V250="Maladie"),0),IF($X$5&lt;&gt;"",--(X250="Maladie"),0),IF($Z$5&lt;&gt;"",--(Z250="Maladie"),0),IF($AB$5&lt;&gt;"",--(AB250="Maladie"),0),IF($AD$5&lt;&gt;"",--(AD250="Maladie"),0),IF($AF$5&lt;&gt;"",--(AF250="Maladie"),0),IF($AH$5&lt;&gt;"",--(AH250="Maladie"),0),IF($AJ$5&lt;&gt;"",--(AJ250="Maladie"),0),IF($AL$5&lt;&gt;"",--(AL250="Maladie"),0),IF($AN$5&lt;&gt;"",--(AN250="Maladie"),0),IF($AP$5&lt;&gt;"",--(AP250="Maladie"),0),IF($AR$5&lt;&gt;"",--(AR250="Maladie"),0),IF($AT$5&lt;&gt;"",--(AT250="Maladie"),0),IF($AV$5&lt;&gt;"",--(AV250="Maladie"),0),IF($AX$5&lt;&gt;"",--(AX250="Maladie"),0),IF($AZ$5&lt;&gt;"",--(AZ250="Maladie"),0),IF($BB$5&lt;&gt;"",--(BB250="Maladie"),0),IF($BD$5&lt;&gt;"",--(BD250="Maladie"),0),IF($BF$5&lt;&gt;"",--(BF250="Maladie"),0),IF($BH$5&lt;&gt;"",--(BH250="Maladie"),0),IF($BJ$5&lt;&gt;"",--(BJ250="Maladie"),0),IF($BL$5&lt;&gt;"",--(BL250="Maladie"),0)))</f>
      </c>
      <c r="BR250" s="23">
        <f>IF($A250="","",SUM(IF($D$5&lt;&gt;"",IF(D250="Présent",E250,0),0),IF($F$5&lt;&gt;"",IF(F250="Présent",G250,0),0),IF($H$5&lt;&gt;"",IF(H250="Présent",I250,0),0),IF($J$5&lt;&gt;"",IF(J250="Présent",K250,0),0),IF($L$5&lt;&gt;"",IF(L250="Présent",M250,0),0),IF($N$5&lt;&gt;"",IF(N250="Présent",O250,0),0),IF($P$5&lt;&gt;"",IF(P250="Présent",Q250,0),0),IF($R$5&lt;&gt;"",IF(R250="Présent",S250,0),0),IF($T$5&lt;&gt;"",IF(T250="Présent",U250,0),0),IF($V$5&lt;&gt;"",IF(V250="Présent",W250,0),0),IF($X$5&lt;&gt;"",IF(X250="Présent",Y250,0),0),IF($Z$5&lt;&gt;"",IF(Z250="Présent",AA250,0),0),IF($AB$5&lt;&gt;"",IF(AB250="Présent",AC250,0),0),IF($AD$5&lt;&gt;"",IF(AD250="Présent",AE250,0),0),IF($AF$5&lt;&gt;"",IF(AF250="Présent",AG250,0),0),IF($AH$5&lt;&gt;"",IF(AH250="Présent",AI250,0),0),IF($AJ$5&lt;&gt;"",IF(AJ250="Présent",AK250,0),0),IF($AL$5&lt;&gt;"",IF(AL250="Présent",AM250,0),0),IF($AN$5&lt;&gt;"",IF(AN250="Présent",AO250,0),0),IF($AP$5&lt;&gt;"",IF(AP250="Présent",AQ250,0),0),IF($AR$5&lt;&gt;"",IF(AR250="Présent",AS250,0),0),IF($AT$5&lt;&gt;"",IF(AT250="Présent",AU250,0),0),IF($AV$5&lt;&gt;"",IF(AV250="Présent",AW250,0),0),IF($AX$5&lt;&gt;"",IF(AX250="Présent",AY250,0),0),IF($AZ$5&lt;&gt;"",IF(AZ250="Présent",BA250,0),0),IF($BB$5&lt;&gt;"",IF(BB250="Présent",BC250,0),0),IF($BD$5&lt;&gt;"",IF(BD250="Présent",BE250,0),0),IF($BF$5&lt;&gt;"",IF(BF250="Présent",BG250,0),0),IF($BH$5&lt;&gt;"",IF(BH250="Présent",BI250,0),0),IF($BJ$5&lt;&gt;"",IF(BJ250="Présent",BK250,0),0),IF($BL$5&lt;&gt;"",IF(BL250="Présent",BM250,0),0)))</f>
      </c>
      <c r="BS250" s="25">
        <f>IF($A250="","",$BN250*IFERROR(INDEX(Categories_Salaire,MATCH($C250,ListeCategories,0)),0)+$BR250*IF(IFERROR(INDEX(Categories_TauxHS,MATCH($C250,ListeCategories,0)),0)&gt;0,IFERROR(INDEX(Categories_TauxHS,MATCH($C250,ListeCategories,0)),0),TauxHSDefaut))</f>
      </c>
    </row>
    <row r="251">
      <c r="A251" s="20">
        <f>IF(AND(INDEX(Employes_Nom,245)&lt;&gt;"",INDEX(Employes_Statut,245)="Actif",OR(INDEX(Employes_Embauche,245)="",INDEX(Employes_Embauche,245)&lt;=EOMONTH(DATE(AnneeCourante,MoisCourant,1),0))),INDEX(Employes_ID,245),"")</f>
      </c>
      <c r="B251" s="19">
        <f>IF($A251="","",INDEX(Employes_Nom,MATCH($A251,Employes_ID,0)))</f>
      </c>
      <c r="C251" s="20">
        <f>IF($A251="","",INDEX(Employes_Categorie,MATCH($A251,Employes_ID,0)))</f>
      </c>
      <c r="D251" s="26"/>
      <c r="E251" s="27"/>
      <c r="F251" s="26"/>
      <c r="G251" s="27"/>
      <c r="H251" s="26"/>
      <c r="I251" s="27"/>
      <c r="J251" s="26"/>
      <c r="K251" s="27"/>
      <c r="L251" s="26"/>
      <c r="M251" s="27"/>
      <c r="N251" s="26"/>
      <c r="O251" s="27"/>
      <c r="P251" s="26"/>
      <c r="Q251" s="27"/>
      <c r="R251" s="26"/>
      <c r="S251" s="27"/>
      <c r="T251" s="26"/>
      <c r="U251" s="27"/>
      <c r="V251" s="26"/>
      <c r="W251" s="27"/>
      <c r="X251" s="26"/>
      <c r="Y251" s="27"/>
      <c r="Z251" s="26"/>
      <c r="AA251" s="27"/>
      <c r="AB251" s="26"/>
      <c r="AC251" s="27"/>
      <c r="AD251" s="26"/>
      <c r="AE251" s="27"/>
      <c r="AF251" s="26"/>
      <c r="AG251" s="27"/>
      <c r="AH251" s="26"/>
      <c r="AI251" s="27"/>
      <c r="AJ251" s="26"/>
      <c r="AK251" s="27"/>
      <c r="AL251" s="26"/>
      <c r="AM251" s="27"/>
      <c r="AN251" s="26"/>
      <c r="AO251" s="27"/>
      <c r="AP251" s="26"/>
      <c r="AQ251" s="27"/>
      <c r="AR251" s="26"/>
      <c r="AS251" s="27"/>
      <c r="AT251" s="26"/>
      <c r="AU251" s="27"/>
      <c r="AV251" s="26"/>
      <c r="AW251" s="27"/>
      <c r="AX251" s="26"/>
      <c r="AY251" s="27"/>
      <c r="AZ251" s="26"/>
      <c r="BA251" s="27"/>
      <c r="BB251" s="26"/>
      <c r="BC251" s="27"/>
      <c r="BD251" s="26"/>
      <c r="BE251" s="27"/>
      <c r="BF251" s="26"/>
      <c r="BG251" s="27"/>
      <c r="BH251" s="26"/>
      <c r="BI251" s="27"/>
      <c r="BJ251" s="26"/>
      <c r="BK251" s="27"/>
      <c r="BL251" s="26"/>
      <c r="BM251" s="27"/>
      <c r="BN251" s="22">
        <f>IF($A251="","",SUM(IF($D$5&lt;&gt;"",--(D251="Présent"),0),IF($F$5&lt;&gt;"",--(F251="Présent"),0),IF($H$5&lt;&gt;"",--(H251="Présent"),0),IF($J$5&lt;&gt;"",--(J251="Présent"),0),IF($L$5&lt;&gt;"",--(L251="Présent"),0),IF($N$5&lt;&gt;"",--(N251="Présent"),0),IF($P$5&lt;&gt;"",--(P251="Présent"),0),IF($R$5&lt;&gt;"",--(R251="Présent"),0),IF($T$5&lt;&gt;"",--(T251="Présent"),0),IF($V$5&lt;&gt;"",--(V251="Présent"),0),IF($X$5&lt;&gt;"",--(X251="Présent"),0),IF($Z$5&lt;&gt;"",--(Z251="Présent"),0),IF($AB$5&lt;&gt;"",--(AB251="Présent"),0),IF($AD$5&lt;&gt;"",--(AD251="Présent"),0),IF($AF$5&lt;&gt;"",--(AF251="Présent"),0),IF($AH$5&lt;&gt;"",--(AH251="Présent"),0),IF($AJ$5&lt;&gt;"",--(AJ251="Présent"),0),IF($AL$5&lt;&gt;"",--(AL251="Présent"),0),IF($AN$5&lt;&gt;"",--(AN251="Présent"),0),IF($AP$5&lt;&gt;"",--(AP251="Présent"),0),IF($AR$5&lt;&gt;"",--(AR251="Présent"),0),IF($AT$5&lt;&gt;"",--(AT251="Présent"),0),IF($AV$5&lt;&gt;"",--(AV251="Présent"),0),IF($AX$5&lt;&gt;"",--(AX251="Présent"),0),IF($AZ$5&lt;&gt;"",--(AZ251="Présent"),0),IF($BB$5&lt;&gt;"",--(BB251="Présent"),0),IF($BD$5&lt;&gt;"",--(BD251="Présent"),0),IF($BF$5&lt;&gt;"",--(BF251="Présent"),0),IF($BH$5&lt;&gt;"",--(BH251="Présent"),0),IF($BJ$5&lt;&gt;"",--(BJ251="Présent"),0),IF($BL$5&lt;&gt;"",--(BL251="Présent"),0)))</f>
      </c>
      <c r="BO251" s="22">
        <f>IF($A251="","",SUM(IF($D$5&lt;&gt;"",--(D251="Absent"),0),IF($F$5&lt;&gt;"",--(F251="Absent"),0),IF($H$5&lt;&gt;"",--(H251="Absent"),0),IF($J$5&lt;&gt;"",--(J251="Absent"),0),IF($L$5&lt;&gt;"",--(L251="Absent"),0),IF($N$5&lt;&gt;"",--(N251="Absent"),0),IF($P$5&lt;&gt;"",--(P251="Absent"),0),IF($R$5&lt;&gt;"",--(R251="Absent"),0),IF($T$5&lt;&gt;"",--(T251="Absent"),0),IF($V$5&lt;&gt;"",--(V251="Absent"),0),IF($X$5&lt;&gt;"",--(X251="Absent"),0),IF($Z$5&lt;&gt;"",--(Z251="Absent"),0),IF($AB$5&lt;&gt;"",--(AB251="Absent"),0),IF($AD$5&lt;&gt;"",--(AD251="Absent"),0),IF($AF$5&lt;&gt;"",--(AF251="Absent"),0),IF($AH$5&lt;&gt;"",--(AH251="Absent"),0),IF($AJ$5&lt;&gt;"",--(AJ251="Absent"),0),IF($AL$5&lt;&gt;"",--(AL251="Absent"),0),IF($AN$5&lt;&gt;"",--(AN251="Absent"),0),IF($AP$5&lt;&gt;"",--(AP251="Absent"),0),IF($AR$5&lt;&gt;"",--(AR251="Absent"),0),IF($AT$5&lt;&gt;"",--(AT251="Absent"),0),IF($AV$5&lt;&gt;"",--(AV251="Absent"),0),IF($AX$5&lt;&gt;"",--(AX251="Absent"),0),IF($AZ$5&lt;&gt;"",--(AZ251="Absent"),0),IF($BB$5&lt;&gt;"",--(BB251="Absent"),0),IF($BD$5&lt;&gt;"",--(BD251="Absent"),0),IF($BF$5&lt;&gt;"",--(BF251="Absent"),0),IF($BH$5&lt;&gt;"",--(BH251="Absent"),0),IF($BJ$5&lt;&gt;"",--(BJ251="Absent"),0),IF($BL$5&lt;&gt;"",--(BL251="Absent"),0)))</f>
      </c>
      <c r="BP251" s="22">
        <f>IF($A251="","",SUM(IF($D$5&lt;&gt;"",--(D251="Congé"),0),IF($F$5&lt;&gt;"",--(F251="Congé"),0),IF($H$5&lt;&gt;"",--(H251="Congé"),0),IF($J$5&lt;&gt;"",--(J251="Congé"),0),IF($L$5&lt;&gt;"",--(L251="Congé"),0),IF($N$5&lt;&gt;"",--(N251="Congé"),0),IF($P$5&lt;&gt;"",--(P251="Congé"),0),IF($R$5&lt;&gt;"",--(R251="Congé"),0),IF($T$5&lt;&gt;"",--(T251="Congé"),0),IF($V$5&lt;&gt;"",--(V251="Congé"),0),IF($X$5&lt;&gt;"",--(X251="Congé"),0),IF($Z$5&lt;&gt;"",--(Z251="Congé"),0),IF($AB$5&lt;&gt;"",--(AB251="Congé"),0),IF($AD$5&lt;&gt;"",--(AD251="Congé"),0),IF($AF$5&lt;&gt;"",--(AF251="Congé"),0),IF($AH$5&lt;&gt;"",--(AH251="Congé"),0),IF($AJ$5&lt;&gt;"",--(AJ251="Congé"),0),IF($AL$5&lt;&gt;"",--(AL251="Congé"),0),IF($AN$5&lt;&gt;"",--(AN251="Congé"),0),IF($AP$5&lt;&gt;"",--(AP251="Congé"),0),IF($AR$5&lt;&gt;"",--(AR251="Congé"),0),IF($AT$5&lt;&gt;"",--(AT251="Congé"),0),IF($AV$5&lt;&gt;"",--(AV251="Congé"),0),IF($AX$5&lt;&gt;"",--(AX251="Congé"),0),IF($AZ$5&lt;&gt;"",--(AZ251="Congé"),0),IF($BB$5&lt;&gt;"",--(BB251="Congé"),0),IF($BD$5&lt;&gt;"",--(BD251="Congé"),0),IF($BF$5&lt;&gt;"",--(BF251="Congé"),0),IF($BH$5&lt;&gt;"",--(BH251="Congé"),0),IF($BJ$5&lt;&gt;"",--(BJ251="Congé"),0),IF($BL$5&lt;&gt;"",--(BL251="Congé"),0)))</f>
      </c>
      <c r="BQ251" s="22">
        <f>IF($A251="","",SUM(IF($D$5&lt;&gt;"",--(D251="Maladie"),0),IF($F$5&lt;&gt;"",--(F251="Maladie"),0),IF($H$5&lt;&gt;"",--(H251="Maladie"),0),IF($J$5&lt;&gt;"",--(J251="Maladie"),0),IF($L$5&lt;&gt;"",--(L251="Maladie"),0),IF($N$5&lt;&gt;"",--(N251="Maladie"),0),IF($P$5&lt;&gt;"",--(P251="Maladie"),0),IF($R$5&lt;&gt;"",--(R251="Maladie"),0),IF($T$5&lt;&gt;"",--(T251="Maladie"),0),IF($V$5&lt;&gt;"",--(V251="Maladie"),0),IF($X$5&lt;&gt;"",--(X251="Maladie"),0),IF($Z$5&lt;&gt;"",--(Z251="Maladie"),0),IF($AB$5&lt;&gt;"",--(AB251="Maladie"),0),IF($AD$5&lt;&gt;"",--(AD251="Maladie"),0),IF($AF$5&lt;&gt;"",--(AF251="Maladie"),0),IF($AH$5&lt;&gt;"",--(AH251="Maladie"),0),IF($AJ$5&lt;&gt;"",--(AJ251="Maladie"),0),IF($AL$5&lt;&gt;"",--(AL251="Maladie"),0),IF($AN$5&lt;&gt;"",--(AN251="Maladie"),0),IF($AP$5&lt;&gt;"",--(AP251="Maladie"),0),IF($AR$5&lt;&gt;"",--(AR251="Maladie"),0),IF($AT$5&lt;&gt;"",--(AT251="Maladie"),0),IF($AV$5&lt;&gt;"",--(AV251="Maladie"),0),IF($AX$5&lt;&gt;"",--(AX251="Maladie"),0),IF($AZ$5&lt;&gt;"",--(AZ251="Maladie"),0),IF($BB$5&lt;&gt;"",--(BB251="Maladie"),0),IF($BD$5&lt;&gt;"",--(BD251="Maladie"),0),IF($BF$5&lt;&gt;"",--(BF251="Maladie"),0),IF($BH$5&lt;&gt;"",--(BH251="Maladie"),0),IF($BJ$5&lt;&gt;"",--(BJ251="Maladie"),0),IF($BL$5&lt;&gt;"",--(BL251="Maladie"),0)))</f>
      </c>
      <c r="BR251" s="23">
        <f>IF($A251="","",SUM(IF($D$5&lt;&gt;"",IF(D251="Présent",E251,0),0),IF($F$5&lt;&gt;"",IF(F251="Présent",G251,0),0),IF($H$5&lt;&gt;"",IF(H251="Présent",I251,0),0),IF($J$5&lt;&gt;"",IF(J251="Présent",K251,0),0),IF($L$5&lt;&gt;"",IF(L251="Présent",M251,0),0),IF($N$5&lt;&gt;"",IF(N251="Présent",O251,0),0),IF($P$5&lt;&gt;"",IF(P251="Présent",Q251,0),0),IF($R$5&lt;&gt;"",IF(R251="Présent",S251,0),0),IF($T$5&lt;&gt;"",IF(T251="Présent",U251,0),0),IF($V$5&lt;&gt;"",IF(V251="Présent",W251,0),0),IF($X$5&lt;&gt;"",IF(X251="Présent",Y251,0),0),IF($Z$5&lt;&gt;"",IF(Z251="Présent",AA251,0),0),IF($AB$5&lt;&gt;"",IF(AB251="Présent",AC251,0),0),IF($AD$5&lt;&gt;"",IF(AD251="Présent",AE251,0),0),IF($AF$5&lt;&gt;"",IF(AF251="Présent",AG251,0),0),IF($AH$5&lt;&gt;"",IF(AH251="Présent",AI251,0),0),IF($AJ$5&lt;&gt;"",IF(AJ251="Présent",AK251,0),0),IF($AL$5&lt;&gt;"",IF(AL251="Présent",AM251,0),0),IF($AN$5&lt;&gt;"",IF(AN251="Présent",AO251,0),0),IF($AP$5&lt;&gt;"",IF(AP251="Présent",AQ251,0),0),IF($AR$5&lt;&gt;"",IF(AR251="Présent",AS251,0),0),IF($AT$5&lt;&gt;"",IF(AT251="Présent",AU251,0),0),IF($AV$5&lt;&gt;"",IF(AV251="Présent",AW251,0),0),IF($AX$5&lt;&gt;"",IF(AX251="Présent",AY251,0),0),IF($AZ$5&lt;&gt;"",IF(AZ251="Présent",BA251,0),0),IF($BB$5&lt;&gt;"",IF(BB251="Présent",BC251,0),0),IF($BD$5&lt;&gt;"",IF(BD251="Présent",BE251,0),0),IF($BF$5&lt;&gt;"",IF(BF251="Présent",BG251,0),0),IF($BH$5&lt;&gt;"",IF(BH251="Présent",BI251,0),0),IF($BJ$5&lt;&gt;"",IF(BJ251="Présent",BK251,0),0),IF($BL$5&lt;&gt;"",IF(BL251="Présent",BM251,0),0)))</f>
      </c>
      <c r="BS251" s="25">
        <f>IF($A251="","",$BN251*IFERROR(INDEX(Categories_Salaire,MATCH($C251,ListeCategories,0)),0)+$BR251*IF(IFERROR(INDEX(Categories_TauxHS,MATCH($C251,ListeCategories,0)),0)&gt;0,IFERROR(INDEX(Categories_TauxHS,MATCH($C251,ListeCategories,0)),0),TauxHSDefaut))</f>
      </c>
    </row>
    <row r="252">
      <c r="A252" s="20">
        <f>IF(AND(INDEX(Employes_Nom,246)&lt;&gt;"",INDEX(Employes_Statut,246)="Actif",OR(INDEX(Employes_Embauche,246)="",INDEX(Employes_Embauche,246)&lt;=EOMONTH(DATE(AnneeCourante,MoisCourant,1),0))),INDEX(Employes_ID,246),"")</f>
      </c>
      <c r="B252" s="19">
        <f>IF($A252="","",INDEX(Employes_Nom,MATCH($A252,Employes_ID,0)))</f>
      </c>
      <c r="C252" s="20">
        <f>IF($A252="","",INDEX(Employes_Categorie,MATCH($A252,Employes_ID,0)))</f>
      </c>
      <c r="D252" s="26"/>
      <c r="E252" s="27"/>
      <c r="F252" s="26"/>
      <c r="G252" s="27"/>
      <c r="H252" s="26"/>
      <c r="I252" s="27"/>
      <c r="J252" s="26"/>
      <c r="K252" s="27"/>
      <c r="L252" s="26"/>
      <c r="M252" s="27"/>
      <c r="N252" s="26"/>
      <c r="O252" s="27"/>
      <c r="P252" s="26"/>
      <c r="Q252" s="27"/>
      <c r="R252" s="26"/>
      <c r="S252" s="27"/>
      <c r="T252" s="26"/>
      <c r="U252" s="27"/>
      <c r="V252" s="26"/>
      <c r="W252" s="27"/>
      <c r="X252" s="26"/>
      <c r="Y252" s="27"/>
      <c r="Z252" s="26"/>
      <c r="AA252" s="27"/>
      <c r="AB252" s="26"/>
      <c r="AC252" s="27"/>
      <c r="AD252" s="26"/>
      <c r="AE252" s="27"/>
      <c r="AF252" s="26"/>
      <c r="AG252" s="27"/>
      <c r="AH252" s="26"/>
      <c r="AI252" s="27"/>
      <c r="AJ252" s="26"/>
      <c r="AK252" s="27"/>
      <c r="AL252" s="26"/>
      <c r="AM252" s="27"/>
      <c r="AN252" s="26"/>
      <c r="AO252" s="27"/>
      <c r="AP252" s="26"/>
      <c r="AQ252" s="27"/>
      <c r="AR252" s="26"/>
      <c r="AS252" s="27"/>
      <c r="AT252" s="26"/>
      <c r="AU252" s="27"/>
      <c r="AV252" s="26"/>
      <c r="AW252" s="27"/>
      <c r="AX252" s="26"/>
      <c r="AY252" s="27"/>
      <c r="AZ252" s="26"/>
      <c r="BA252" s="27"/>
      <c r="BB252" s="26"/>
      <c r="BC252" s="27"/>
      <c r="BD252" s="26"/>
      <c r="BE252" s="27"/>
      <c r="BF252" s="26"/>
      <c r="BG252" s="27"/>
      <c r="BH252" s="26"/>
      <c r="BI252" s="27"/>
      <c r="BJ252" s="26"/>
      <c r="BK252" s="27"/>
      <c r="BL252" s="26"/>
      <c r="BM252" s="27"/>
      <c r="BN252" s="22">
        <f>IF($A252="","",SUM(IF($D$5&lt;&gt;"",--(D252="Présent"),0),IF($F$5&lt;&gt;"",--(F252="Présent"),0),IF($H$5&lt;&gt;"",--(H252="Présent"),0),IF($J$5&lt;&gt;"",--(J252="Présent"),0),IF($L$5&lt;&gt;"",--(L252="Présent"),0),IF($N$5&lt;&gt;"",--(N252="Présent"),0),IF($P$5&lt;&gt;"",--(P252="Présent"),0),IF($R$5&lt;&gt;"",--(R252="Présent"),0),IF($T$5&lt;&gt;"",--(T252="Présent"),0),IF($V$5&lt;&gt;"",--(V252="Présent"),0),IF($X$5&lt;&gt;"",--(X252="Présent"),0),IF($Z$5&lt;&gt;"",--(Z252="Présent"),0),IF($AB$5&lt;&gt;"",--(AB252="Présent"),0),IF($AD$5&lt;&gt;"",--(AD252="Présent"),0),IF($AF$5&lt;&gt;"",--(AF252="Présent"),0),IF($AH$5&lt;&gt;"",--(AH252="Présent"),0),IF($AJ$5&lt;&gt;"",--(AJ252="Présent"),0),IF($AL$5&lt;&gt;"",--(AL252="Présent"),0),IF($AN$5&lt;&gt;"",--(AN252="Présent"),0),IF($AP$5&lt;&gt;"",--(AP252="Présent"),0),IF($AR$5&lt;&gt;"",--(AR252="Présent"),0),IF($AT$5&lt;&gt;"",--(AT252="Présent"),0),IF($AV$5&lt;&gt;"",--(AV252="Présent"),0),IF($AX$5&lt;&gt;"",--(AX252="Présent"),0),IF($AZ$5&lt;&gt;"",--(AZ252="Présent"),0),IF($BB$5&lt;&gt;"",--(BB252="Présent"),0),IF($BD$5&lt;&gt;"",--(BD252="Présent"),0),IF($BF$5&lt;&gt;"",--(BF252="Présent"),0),IF($BH$5&lt;&gt;"",--(BH252="Présent"),0),IF($BJ$5&lt;&gt;"",--(BJ252="Présent"),0),IF($BL$5&lt;&gt;"",--(BL252="Présent"),0)))</f>
      </c>
      <c r="BO252" s="22">
        <f>IF($A252="","",SUM(IF($D$5&lt;&gt;"",--(D252="Absent"),0),IF($F$5&lt;&gt;"",--(F252="Absent"),0),IF($H$5&lt;&gt;"",--(H252="Absent"),0),IF($J$5&lt;&gt;"",--(J252="Absent"),0),IF($L$5&lt;&gt;"",--(L252="Absent"),0),IF($N$5&lt;&gt;"",--(N252="Absent"),0),IF($P$5&lt;&gt;"",--(P252="Absent"),0),IF($R$5&lt;&gt;"",--(R252="Absent"),0),IF($T$5&lt;&gt;"",--(T252="Absent"),0),IF($V$5&lt;&gt;"",--(V252="Absent"),0),IF($X$5&lt;&gt;"",--(X252="Absent"),0),IF($Z$5&lt;&gt;"",--(Z252="Absent"),0),IF($AB$5&lt;&gt;"",--(AB252="Absent"),0),IF($AD$5&lt;&gt;"",--(AD252="Absent"),0),IF($AF$5&lt;&gt;"",--(AF252="Absent"),0),IF($AH$5&lt;&gt;"",--(AH252="Absent"),0),IF($AJ$5&lt;&gt;"",--(AJ252="Absent"),0),IF($AL$5&lt;&gt;"",--(AL252="Absent"),0),IF($AN$5&lt;&gt;"",--(AN252="Absent"),0),IF($AP$5&lt;&gt;"",--(AP252="Absent"),0),IF($AR$5&lt;&gt;"",--(AR252="Absent"),0),IF($AT$5&lt;&gt;"",--(AT252="Absent"),0),IF($AV$5&lt;&gt;"",--(AV252="Absent"),0),IF($AX$5&lt;&gt;"",--(AX252="Absent"),0),IF($AZ$5&lt;&gt;"",--(AZ252="Absent"),0),IF($BB$5&lt;&gt;"",--(BB252="Absent"),0),IF($BD$5&lt;&gt;"",--(BD252="Absent"),0),IF($BF$5&lt;&gt;"",--(BF252="Absent"),0),IF($BH$5&lt;&gt;"",--(BH252="Absent"),0),IF($BJ$5&lt;&gt;"",--(BJ252="Absent"),0),IF($BL$5&lt;&gt;"",--(BL252="Absent"),0)))</f>
      </c>
      <c r="BP252" s="22">
        <f>IF($A252="","",SUM(IF($D$5&lt;&gt;"",--(D252="Congé"),0),IF($F$5&lt;&gt;"",--(F252="Congé"),0),IF($H$5&lt;&gt;"",--(H252="Congé"),0),IF($J$5&lt;&gt;"",--(J252="Congé"),0),IF($L$5&lt;&gt;"",--(L252="Congé"),0),IF($N$5&lt;&gt;"",--(N252="Congé"),0),IF($P$5&lt;&gt;"",--(P252="Congé"),0),IF($R$5&lt;&gt;"",--(R252="Congé"),0),IF($T$5&lt;&gt;"",--(T252="Congé"),0),IF($V$5&lt;&gt;"",--(V252="Congé"),0),IF($X$5&lt;&gt;"",--(X252="Congé"),0),IF($Z$5&lt;&gt;"",--(Z252="Congé"),0),IF($AB$5&lt;&gt;"",--(AB252="Congé"),0),IF($AD$5&lt;&gt;"",--(AD252="Congé"),0),IF($AF$5&lt;&gt;"",--(AF252="Congé"),0),IF($AH$5&lt;&gt;"",--(AH252="Congé"),0),IF($AJ$5&lt;&gt;"",--(AJ252="Congé"),0),IF($AL$5&lt;&gt;"",--(AL252="Congé"),0),IF($AN$5&lt;&gt;"",--(AN252="Congé"),0),IF($AP$5&lt;&gt;"",--(AP252="Congé"),0),IF($AR$5&lt;&gt;"",--(AR252="Congé"),0),IF($AT$5&lt;&gt;"",--(AT252="Congé"),0),IF($AV$5&lt;&gt;"",--(AV252="Congé"),0),IF($AX$5&lt;&gt;"",--(AX252="Congé"),0),IF($AZ$5&lt;&gt;"",--(AZ252="Congé"),0),IF($BB$5&lt;&gt;"",--(BB252="Congé"),0),IF($BD$5&lt;&gt;"",--(BD252="Congé"),0),IF($BF$5&lt;&gt;"",--(BF252="Congé"),0),IF($BH$5&lt;&gt;"",--(BH252="Congé"),0),IF($BJ$5&lt;&gt;"",--(BJ252="Congé"),0),IF($BL$5&lt;&gt;"",--(BL252="Congé"),0)))</f>
      </c>
      <c r="BQ252" s="22">
        <f>IF($A252="","",SUM(IF($D$5&lt;&gt;"",--(D252="Maladie"),0),IF($F$5&lt;&gt;"",--(F252="Maladie"),0),IF($H$5&lt;&gt;"",--(H252="Maladie"),0),IF($J$5&lt;&gt;"",--(J252="Maladie"),0),IF($L$5&lt;&gt;"",--(L252="Maladie"),0),IF($N$5&lt;&gt;"",--(N252="Maladie"),0),IF($P$5&lt;&gt;"",--(P252="Maladie"),0),IF($R$5&lt;&gt;"",--(R252="Maladie"),0),IF($T$5&lt;&gt;"",--(T252="Maladie"),0),IF($V$5&lt;&gt;"",--(V252="Maladie"),0),IF($X$5&lt;&gt;"",--(X252="Maladie"),0),IF($Z$5&lt;&gt;"",--(Z252="Maladie"),0),IF($AB$5&lt;&gt;"",--(AB252="Maladie"),0),IF($AD$5&lt;&gt;"",--(AD252="Maladie"),0),IF($AF$5&lt;&gt;"",--(AF252="Maladie"),0),IF($AH$5&lt;&gt;"",--(AH252="Maladie"),0),IF($AJ$5&lt;&gt;"",--(AJ252="Maladie"),0),IF($AL$5&lt;&gt;"",--(AL252="Maladie"),0),IF($AN$5&lt;&gt;"",--(AN252="Maladie"),0),IF($AP$5&lt;&gt;"",--(AP252="Maladie"),0),IF($AR$5&lt;&gt;"",--(AR252="Maladie"),0),IF($AT$5&lt;&gt;"",--(AT252="Maladie"),0),IF($AV$5&lt;&gt;"",--(AV252="Maladie"),0),IF($AX$5&lt;&gt;"",--(AX252="Maladie"),0),IF($AZ$5&lt;&gt;"",--(AZ252="Maladie"),0),IF($BB$5&lt;&gt;"",--(BB252="Maladie"),0),IF($BD$5&lt;&gt;"",--(BD252="Maladie"),0),IF($BF$5&lt;&gt;"",--(BF252="Maladie"),0),IF($BH$5&lt;&gt;"",--(BH252="Maladie"),0),IF($BJ$5&lt;&gt;"",--(BJ252="Maladie"),0),IF($BL$5&lt;&gt;"",--(BL252="Maladie"),0)))</f>
      </c>
      <c r="BR252" s="23">
        <f>IF($A252="","",SUM(IF($D$5&lt;&gt;"",IF(D252="Présent",E252,0),0),IF($F$5&lt;&gt;"",IF(F252="Présent",G252,0),0),IF($H$5&lt;&gt;"",IF(H252="Présent",I252,0),0),IF($J$5&lt;&gt;"",IF(J252="Présent",K252,0),0),IF($L$5&lt;&gt;"",IF(L252="Présent",M252,0),0),IF($N$5&lt;&gt;"",IF(N252="Présent",O252,0),0),IF($P$5&lt;&gt;"",IF(P252="Présent",Q252,0),0),IF($R$5&lt;&gt;"",IF(R252="Présent",S252,0),0),IF($T$5&lt;&gt;"",IF(T252="Présent",U252,0),0),IF($V$5&lt;&gt;"",IF(V252="Présent",W252,0),0),IF($X$5&lt;&gt;"",IF(X252="Présent",Y252,0),0),IF($Z$5&lt;&gt;"",IF(Z252="Présent",AA252,0),0),IF($AB$5&lt;&gt;"",IF(AB252="Présent",AC252,0),0),IF($AD$5&lt;&gt;"",IF(AD252="Présent",AE252,0),0),IF($AF$5&lt;&gt;"",IF(AF252="Présent",AG252,0),0),IF($AH$5&lt;&gt;"",IF(AH252="Présent",AI252,0),0),IF($AJ$5&lt;&gt;"",IF(AJ252="Présent",AK252,0),0),IF($AL$5&lt;&gt;"",IF(AL252="Présent",AM252,0),0),IF($AN$5&lt;&gt;"",IF(AN252="Présent",AO252,0),0),IF($AP$5&lt;&gt;"",IF(AP252="Présent",AQ252,0),0),IF($AR$5&lt;&gt;"",IF(AR252="Présent",AS252,0),0),IF($AT$5&lt;&gt;"",IF(AT252="Présent",AU252,0),0),IF($AV$5&lt;&gt;"",IF(AV252="Présent",AW252,0),0),IF($AX$5&lt;&gt;"",IF(AX252="Présent",AY252,0),0),IF($AZ$5&lt;&gt;"",IF(AZ252="Présent",BA252,0),0),IF($BB$5&lt;&gt;"",IF(BB252="Présent",BC252,0),0),IF($BD$5&lt;&gt;"",IF(BD252="Présent",BE252,0),0),IF($BF$5&lt;&gt;"",IF(BF252="Présent",BG252,0),0),IF($BH$5&lt;&gt;"",IF(BH252="Présent",BI252,0),0),IF($BJ$5&lt;&gt;"",IF(BJ252="Présent",BK252,0),0),IF($BL$5&lt;&gt;"",IF(BL252="Présent",BM252,0),0)))</f>
      </c>
      <c r="BS252" s="25">
        <f>IF($A252="","",$BN252*IFERROR(INDEX(Categories_Salaire,MATCH($C252,ListeCategories,0)),0)+$BR252*IF(IFERROR(INDEX(Categories_TauxHS,MATCH($C252,ListeCategories,0)),0)&gt;0,IFERROR(INDEX(Categories_TauxHS,MATCH($C252,ListeCategories,0)),0),TauxHSDefaut))</f>
      </c>
    </row>
    <row r="253">
      <c r="A253" s="20">
        <f>IF(AND(INDEX(Employes_Nom,247)&lt;&gt;"",INDEX(Employes_Statut,247)="Actif",OR(INDEX(Employes_Embauche,247)="",INDEX(Employes_Embauche,247)&lt;=EOMONTH(DATE(AnneeCourante,MoisCourant,1),0))),INDEX(Employes_ID,247),"")</f>
      </c>
      <c r="B253" s="19">
        <f>IF($A253="","",INDEX(Employes_Nom,MATCH($A253,Employes_ID,0)))</f>
      </c>
      <c r="C253" s="20">
        <f>IF($A253="","",INDEX(Employes_Categorie,MATCH($A253,Employes_ID,0)))</f>
      </c>
      <c r="D253" s="26"/>
      <c r="E253" s="27"/>
      <c r="F253" s="26"/>
      <c r="G253" s="27"/>
      <c r="H253" s="26"/>
      <c r="I253" s="27"/>
      <c r="J253" s="26"/>
      <c r="K253" s="27"/>
      <c r="L253" s="26"/>
      <c r="M253" s="27"/>
      <c r="N253" s="26"/>
      <c r="O253" s="27"/>
      <c r="P253" s="26"/>
      <c r="Q253" s="27"/>
      <c r="R253" s="26"/>
      <c r="S253" s="27"/>
      <c r="T253" s="26"/>
      <c r="U253" s="27"/>
      <c r="V253" s="26"/>
      <c r="W253" s="27"/>
      <c r="X253" s="26"/>
      <c r="Y253" s="27"/>
      <c r="Z253" s="26"/>
      <c r="AA253" s="27"/>
      <c r="AB253" s="26"/>
      <c r="AC253" s="27"/>
      <c r="AD253" s="26"/>
      <c r="AE253" s="27"/>
      <c r="AF253" s="26"/>
      <c r="AG253" s="27"/>
      <c r="AH253" s="26"/>
      <c r="AI253" s="27"/>
      <c r="AJ253" s="26"/>
      <c r="AK253" s="27"/>
      <c r="AL253" s="26"/>
      <c r="AM253" s="27"/>
      <c r="AN253" s="26"/>
      <c r="AO253" s="27"/>
      <c r="AP253" s="26"/>
      <c r="AQ253" s="27"/>
      <c r="AR253" s="26"/>
      <c r="AS253" s="27"/>
      <c r="AT253" s="26"/>
      <c r="AU253" s="27"/>
      <c r="AV253" s="26"/>
      <c r="AW253" s="27"/>
      <c r="AX253" s="26"/>
      <c r="AY253" s="27"/>
      <c r="AZ253" s="26"/>
      <c r="BA253" s="27"/>
      <c r="BB253" s="26"/>
      <c r="BC253" s="27"/>
      <c r="BD253" s="26"/>
      <c r="BE253" s="27"/>
      <c r="BF253" s="26"/>
      <c r="BG253" s="27"/>
      <c r="BH253" s="26"/>
      <c r="BI253" s="27"/>
      <c r="BJ253" s="26"/>
      <c r="BK253" s="27"/>
      <c r="BL253" s="26"/>
      <c r="BM253" s="27"/>
      <c r="BN253" s="22">
        <f>IF($A253="","",SUM(IF($D$5&lt;&gt;"",--(D253="Présent"),0),IF($F$5&lt;&gt;"",--(F253="Présent"),0),IF($H$5&lt;&gt;"",--(H253="Présent"),0),IF($J$5&lt;&gt;"",--(J253="Présent"),0),IF($L$5&lt;&gt;"",--(L253="Présent"),0),IF($N$5&lt;&gt;"",--(N253="Présent"),0),IF($P$5&lt;&gt;"",--(P253="Présent"),0),IF($R$5&lt;&gt;"",--(R253="Présent"),0),IF($T$5&lt;&gt;"",--(T253="Présent"),0),IF($V$5&lt;&gt;"",--(V253="Présent"),0),IF($X$5&lt;&gt;"",--(X253="Présent"),0),IF($Z$5&lt;&gt;"",--(Z253="Présent"),0),IF($AB$5&lt;&gt;"",--(AB253="Présent"),0),IF($AD$5&lt;&gt;"",--(AD253="Présent"),0),IF($AF$5&lt;&gt;"",--(AF253="Présent"),0),IF($AH$5&lt;&gt;"",--(AH253="Présent"),0),IF($AJ$5&lt;&gt;"",--(AJ253="Présent"),0),IF($AL$5&lt;&gt;"",--(AL253="Présent"),0),IF($AN$5&lt;&gt;"",--(AN253="Présent"),0),IF($AP$5&lt;&gt;"",--(AP253="Présent"),0),IF($AR$5&lt;&gt;"",--(AR253="Présent"),0),IF($AT$5&lt;&gt;"",--(AT253="Présent"),0),IF($AV$5&lt;&gt;"",--(AV253="Présent"),0),IF($AX$5&lt;&gt;"",--(AX253="Présent"),0),IF($AZ$5&lt;&gt;"",--(AZ253="Présent"),0),IF($BB$5&lt;&gt;"",--(BB253="Présent"),0),IF($BD$5&lt;&gt;"",--(BD253="Présent"),0),IF($BF$5&lt;&gt;"",--(BF253="Présent"),0),IF($BH$5&lt;&gt;"",--(BH253="Présent"),0),IF($BJ$5&lt;&gt;"",--(BJ253="Présent"),0),IF($BL$5&lt;&gt;"",--(BL253="Présent"),0)))</f>
      </c>
      <c r="BO253" s="22">
        <f>IF($A253="","",SUM(IF($D$5&lt;&gt;"",--(D253="Absent"),0),IF($F$5&lt;&gt;"",--(F253="Absent"),0),IF($H$5&lt;&gt;"",--(H253="Absent"),0),IF($J$5&lt;&gt;"",--(J253="Absent"),0),IF($L$5&lt;&gt;"",--(L253="Absent"),0),IF($N$5&lt;&gt;"",--(N253="Absent"),0),IF($P$5&lt;&gt;"",--(P253="Absent"),0),IF($R$5&lt;&gt;"",--(R253="Absent"),0),IF($T$5&lt;&gt;"",--(T253="Absent"),0),IF($V$5&lt;&gt;"",--(V253="Absent"),0),IF($X$5&lt;&gt;"",--(X253="Absent"),0),IF($Z$5&lt;&gt;"",--(Z253="Absent"),0),IF($AB$5&lt;&gt;"",--(AB253="Absent"),0),IF($AD$5&lt;&gt;"",--(AD253="Absent"),0),IF($AF$5&lt;&gt;"",--(AF253="Absent"),0),IF($AH$5&lt;&gt;"",--(AH253="Absent"),0),IF($AJ$5&lt;&gt;"",--(AJ253="Absent"),0),IF($AL$5&lt;&gt;"",--(AL253="Absent"),0),IF($AN$5&lt;&gt;"",--(AN253="Absent"),0),IF($AP$5&lt;&gt;"",--(AP253="Absent"),0),IF($AR$5&lt;&gt;"",--(AR253="Absent"),0),IF($AT$5&lt;&gt;"",--(AT253="Absent"),0),IF($AV$5&lt;&gt;"",--(AV253="Absent"),0),IF($AX$5&lt;&gt;"",--(AX253="Absent"),0),IF($AZ$5&lt;&gt;"",--(AZ253="Absent"),0),IF($BB$5&lt;&gt;"",--(BB253="Absent"),0),IF($BD$5&lt;&gt;"",--(BD253="Absent"),0),IF($BF$5&lt;&gt;"",--(BF253="Absent"),0),IF($BH$5&lt;&gt;"",--(BH253="Absent"),0),IF($BJ$5&lt;&gt;"",--(BJ253="Absent"),0),IF($BL$5&lt;&gt;"",--(BL253="Absent"),0)))</f>
      </c>
      <c r="BP253" s="22">
        <f>IF($A253="","",SUM(IF($D$5&lt;&gt;"",--(D253="Congé"),0),IF($F$5&lt;&gt;"",--(F253="Congé"),0),IF($H$5&lt;&gt;"",--(H253="Congé"),0),IF($J$5&lt;&gt;"",--(J253="Congé"),0),IF($L$5&lt;&gt;"",--(L253="Congé"),0),IF($N$5&lt;&gt;"",--(N253="Congé"),0),IF($P$5&lt;&gt;"",--(P253="Congé"),0),IF($R$5&lt;&gt;"",--(R253="Congé"),0),IF($T$5&lt;&gt;"",--(T253="Congé"),0),IF($V$5&lt;&gt;"",--(V253="Congé"),0),IF($X$5&lt;&gt;"",--(X253="Congé"),0),IF($Z$5&lt;&gt;"",--(Z253="Congé"),0),IF($AB$5&lt;&gt;"",--(AB253="Congé"),0),IF($AD$5&lt;&gt;"",--(AD253="Congé"),0),IF($AF$5&lt;&gt;"",--(AF253="Congé"),0),IF($AH$5&lt;&gt;"",--(AH253="Congé"),0),IF($AJ$5&lt;&gt;"",--(AJ253="Congé"),0),IF($AL$5&lt;&gt;"",--(AL253="Congé"),0),IF($AN$5&lt;&gt;"",--(AN253="Congé"),0),IF($AP$5&lt;&gt;"",--(AP253="Congé"),0),IF($AR$5&lt;&gt;"",--(AR253="Congé"),0),IF($AT$5&lt;&gt;"",--(AT253="Congé"),0),IF($AV$5&lt;&gt;"",--(AV253="Congé"),0),IF($AX$5&lt;&gt;"",--(AX253="Congé"),0),IF($AZ$5&lt;&gt;"",--(AZ253="Congé"),0),IF($BB$5&lt;&gt;"",--(BB253="Congé"),0),IF($BD$5&lt;&gt;"",--(BD253="Congé"),0),IF($BF$5&lt;&gt;"",--(BF253="Congé"),0),IF($BH$5&lt;&gt;"",--(BH253="Congé"),0),IF($BJ$5&lt;&gt;"",--(BJ253="Congé"),0),IF($BL$5&lt;&gt;"",--(BL253="Congé"),0)))</f>
      </c>
      <c r="BQ253" s="22">
        <f>IF($A253="","",SUM(IF($D$5&lt;&gt;"",--(D253="Maladie"),0),IF($F$5&lt;&gt;"",--(F253="Maladie"),0),IF($H$5&lt;&gt;"",--(H253="Maladie"),0),IF($J$5&lt;&gt;"",--(J253="Maladie"),0),IF($L$5&lt;&gt;"",--(L253="Maladie"),0),IF($N$5&lt;&gt;"",--(N253="Maladie"),0),IF($P$5&lt;&gt;"",--(P253="Maladie"),0),IF($R$5&lt;&gt;"",--(R253="Maladie"),0),IF($T$5&lt;&gt;"",--(T253="Maladie"),0),IF($V$5&lt;&gt;"",--(V253="Maladie"),0),IF($X$5&lt;&gt;"",--(X253="Maladie"),0),IF($Z$5&lt;&gt;"",--(Z253="Maladie"),0),IF($AB$5&lt;&gt;"",--(AB253="Maladie"),0),IF($AD$5&lt;&gt;"",--(AD253="Maladie"),0),IF($AF$5&lt;&gt;"",--(AF253="Maladie"),0),IF($AH$5&lt;&gt;"",--(AH253="Maladie"),0),IF($AJ$5&lt;&gt;"",--(AJ253="Maladie"),0),IF($AL$5&lt;&gt;"",--(AL253="Maladie"),0),IF($AN$5&lt;&gt;"",--(AN253="Maladie"),0),IF($AP$5&lt;&gt;"",--(AP253="Maladie"),0),IF($AR$5&lt;&gt;"",--(AR253="Maladie"),0),IF($AT$5&lt;&gt;"",--(AT253="Maladie"),0),IF($AV$5&lt;&gt;"",--(AV253="Maladie"),0),IF($AX$5&lt;&gt;"",--(AX253="Maladie"),0),IF($AZ$5&lt;&gt;"",--(AZ253="Maladie"),0),IF($BB$5&lt;&gt;"",--(BB253="Maladie"),0),IF($BD$5&lt;&gt;"",--(BD253="Maladie"),0),IF($BF$5&lt;&gt;"",--(BF253="Maladie"),0),IF($BH$5&lt;&gt;"",--(BH253="Maladie"),0),IF($BJ$5&lt;&gt;"",--(BJ253="Maladie"),0),IF($BL$5&lt;&gt;"",--(BL253="Maladie"),0)))</f>
      </c>
      <c r="BR253" s="23">
        <f>IF($A253="","",SUM(IF($D$5&lt;&gt;"",IF(D253="Présent",E253,0),0),IF($F$5&lt;&gt;"",IF(F253="Présent",G253,0),0),IF($H$5&lt;&gt;"",IF(H253="Présent",I253,0),0),IF($J$5&lt;&gt;"",IF(J253="Présent",K253,0),0),IF($L$5&lt;&gt;"",IF(L253="Présent",M253,0),0),IF($N$5&lt;&gt;"",IF(N253="Présent",O253,0),0),IF($P$5&lt;&gt;"",IF(P253="Présent",Q253,0),0),IF($R$5&lt;&gt;"",IF(R253="Présent",S253,0),0),IF($T$5&lt;&gt;"",IF(T253="Présent",U253,0),0),IF($V$5&lt;&gt;"",IF(V253="Présent",W253,0),0),IF($X$5&lt;&gt;"",IF(X253="Présent",Y253,0),0),IF($Z$5&lt;&gt;"",IF(Z253="Présent",AA253,0),0),IF($AB$5&lt;&gt;"",IF(AB253="Présent",AC253,0),0),IF($AD$5&lt;&gt;"",IF(AD253="Présent",AE253,0),0),IF($AF$5&lt;&gt;"",IF(AF253="Présent",AG253,0),0),IF($AH$5&lt;&gt;"",IF(AH253="Présent",AI253,0),0),IF($AJ$5&lt;&gt;"",IF(AJ253="Présent",AK253,0),0),IF($AL$5&lt;&gt;"",IF(AL253="Présent",AM253,0),0),IF($AN$5&lt;&gt;"",IF(AN253="Présent",AO253,0),0),IF($AP$5&lt;&gt;"",IF(AP253="Présent",AQ253,0),0),IF($AR$5&lt;&gt;"",IF(AR253="Présent",AS253,0),0),IF($AT$5&lt;&gt;"",IF(AT253="Présent",AU253,0),0),IF($AV$5&lt;&gt;"",IF(AV253="Présent",AW253,0),0),IF($AX$5&lt;&gt;"",IF(AX253="Présent",AY253,0),0),IF($AZ$5&lt;&gt;"",IF(AZ253="Présent",BA253,0),0),IF($BB$5&lt;&gt;"",IF(BB253="Présent",BC253,0),0),IF($BD$5&lt;&gt;"",IF(BD253="Présent",BE253,0),0),IF($BF$5&lt;&gt;"",IF(BF253="Présent",BG253,0),0),IF($BH$5&lt;&gt;"",IF(BH253="Présent",BI253,0),0),IF($BJ$5&lt;&gt;"",IF(BJ253="Présent",BK253,0),0),IF($BL$5&lt;&gt;"",IF(BL253="Présent",BM253,0),0)))</f>
      </c>
      <c r="BS253" s="25">
        <f>IF($A253="","",$BN253*IFERROR(INDEX(Categories_Salaire,MATCH($C253,ListeCategories,0)),0)+$BR253*IF(IFERROR(INDEX(Categories_TauxHS,MATCH($C253,ListeCategories,0)),0)&gt;0,IFERROR(INDEX(Categories_TauxHS,MATCH($C253,ListeCategories,0)),0),TauxHSDefaut))</f>
      </c>
    </row>
    <row r="254">
      <c r="A254" s="20">
        <f>IF(AND(INDEX(Employes_Nom,248)&lt;&gt;"",INDEX(Employes_Statut,248)="Actif",OR(INDEX(Employes_Embauche,248)="",INDEX(Employes_Embauche,248)&lt;=EOMONTH(DATE(AnneeCourante,MoisCourant,1),0))),INDEX(Employes_ID,248),"")</f>
      </c>
      <c r="B254" s="19">
        <f>IF($A254="","",INDEX(Employes_Nom,MATCH($A254,Employes_ID,0)))</f>
      </c>
      <c r="C254" s="20">
        <f>IF($A254="","",INDEX(Employes_Categorie,MATCH($A254,Employes_ID,0)))</f>
      </c>
      <c r="D254" s="26"/>
      <c r="E254" s="27"/>
      <c r="F254" s="26"/>
      <c r="G254" s="27"/>
      <c r="H254" s="26"/>
      <c r="I254" s="27"/>
      <c r="J254" s="26"/>
      <c r="K254" s="27"/>
      <c r="L254" s="26"/>
      <c r="M254" s="27"/>
      <c r="N254" s="26"/>
      <c r="O254" s="27"/>
      <c r="P254" s="26"/>
      <c r="Q254" s="27"/>
      <c r="R254" s="26"/>
      <c r="S254" s="27"/>
      <c r="T254" s="26"/>
      <c r="U254" s="27"/>
      <c r="V254" s="26"/>
      <c r="W254" s="27"/>
      <c r="X254" s="26"/>
      <c r="Y254" s="27"/>
      <c r="Z254" s="26"/>
      <c r="AA254" s="27"/>
      <c r="AB254" s="26"/>
      <c r="AC254" s="27"/>
      <c r="AD254" s="26"/>
      <c r="AE254" s="27"/>
      <c r="AF254" s="26"/>
      <c r="AG254" s="27"/>
      <c r="AH254" s="26"/>
      <c r="AI254" s="27"/>
      <c r="AJ254" s="26"/>
      <c r="AK254" s="27"/>
      <c r="AL254" s="26"/>
      <c r="AM254" s="27"/>
      <c r="AN254" s="26"/>
      <c r="AO254" s="27"/>
      <c r="AP254" s="26"/>
      <c r="AQ254" s="27"/>
      <c r="AR254" s="26"/>
      <c r="AS254" s="27"/>
      <c r="AT254" s="26"/>
      <c r="AU254" s="27"/>
      <c r="AV254" s="26"/>
      <c r="AW254" s="27"/>
      <c r="AX254" s="26"/>
      <c r="AY254" s="27"/>
      <c r="AZ254" s="26"/>
      <c r="BA254" s="27"/>
      <c r="BB254" s="26"/>
      <c r="BC254" s="27"/>
      <c r="BD254" s="26"/>
      <c r="BE254" s="27"/>
      <c r="BF254" s="26"/>
      <c r="BG254" s="27"/>
      <c r="BH254" s="26"/>
      <c r="BI254" s="27"/>
      <c r="BJ254" s="26"/>
      <c r="BK254" s="27"/>
      <c r="BL254" s="26"/>
      <c r="BM254" s="27"/>
      <c r="BN254" s="22">
        <f>IF($A254="","",SUM(IF($D$5&lt;&gt;"",--(D254="Présent"),0),IF($F$5&lt;&gt;"",--(F254="Présent"),0),IF($H$5&lt;&gt;"",--(H254="Présent"),0),IF($J$5&lt;&gt;"",--(J254="Présent"),0),IF($L$5&lt;&gt;"",--(L254="Présent"),0),IF($N$5&lt;&gt;"",--(N254="Présent"),0),IF($P$5&lt;&gt;"",--(P254="Présent"),0),IF($R$5&lt;&gt;"",--(R254="Présent"),0),IF($T$5&lt;&gt;"",--(T254="Présent"),0),IF($V$5&lt;&gt;"",--(V254="Présent"),0),IF($X$5&lt;&gt;"",--(X254="Présent"),0),IF($Z$5&lt;&gt;"",--(Z254="Présent"),0),IF($AB$5&lt;&gt;"",--(AB254="Présent"),0),IF($AD$5&lt;&gt;"",--(AD254="Présent"),0),IF($AF$5&lt;&gt;"",--(AF254="Présent"),0),IF($AH$5&lt;&gt;"",--(AH254="Présent"),0),IF($AJ$5&lt;&gt;"",--(AJ254="Présent"),0),IF($AL$5&lt;&gt;"",--(AL254="Présent"),0),IF($AN$5&lt;&gt;"",--(AN254="Présent"),0),IF($AP$5&lt;&gt;"",--(AP254="Présent"),0),IF($AR$5&lt;&gt;"",--(AR254="Présent"),0),IF($AT$5&lt;&gt;"",--(AT254="Présent"),0),IF($AV$5&lt;&gt;"",--(AV254="Présent"),0),IF($AX$5&lt;&gt;"",--(AX254="Présent"),0),IF($AZ$5&lt;&gt;"",--(AZ254="Présent"),0),IF($BB$5&lt;&gt;"",--(BB254="Présent"),0),IF($BD$5&lt;&gt;"",--(BD254="Présent"),0),IF($BF$5&lt;&gt;"",--(BF254="Présent"),0),IF($BH$5&lt;&gt;"",--(BH254="Présent"),0),IF($BJ$5&lt;&gt;"",--(BJ254="Présent"),0),IF($BL$5&lt;&gt;"",--(BL254="Présent"),0)))</f>
      </c>
      <c r="BO254" s="22">
        <f>IF($A254="","",SUM(IF($D$5&lt;&gt;"",--(D254="Absent"),0),IF($F$5&lt;&gt;"",--(F254="Absent"),0),IF($H$5&lt;&gt;"",--(H254="Absent"),0),IF($J$5&lt;&gt;"",--(J254="Absent"),0),IF($L$5&lt;&gt;"",--(L254="Absent"),0),IF($N$5&lt;&gt;"",--(N254="Absent"),0),IF($P$5&lt;&gt;"",--(P254="Absent"),0),IF($R$5&lt;&gt;"",--(R254="Absent"),0),IF($T$5&lt;&gt;"",--(T254="Absent"),0),IF($V$5&lt;&gt;"",--(V254="Absent"),0),IF($X$5&lt;&gt;"",--(X254="Absent"),0),IF($Z$5&lt;&gt;"",--(Z254="Absent"),0),IF($AB$5&lt;&gt;"",--(AB254="Absent"),0),IF($AD$5&lt;&gt;"",--(AD254="Absent"),0),IF($AF$5&lt;&gt;"",--(AF254="Absent"),0),IF($AH$5&lt;&gt;"",--(AH254="Absent"),0),IF($AJ$5&lt;&gt;"",--(AJ254="Absent"),0),IF($AL$5&lt;&gt;"",--(AL254="Absent"),0),IF($AN$5&lt;&gt;"",--(AN254="Absent"),0),IF($AP$5&lt;&gt;"",--(AP254="Absent"),0),IF($AR$5&lt;&gt;"",--(AR254="Absent"),0),IF($AT$5&lt;&gt;"",--(AT254="Absent"),0),IF($AV$5&lt;&gt;"",--(AV254="Absent"),0),IF($AX$5&lt;&gt;"",--(AX254="Absent"),0),IF($AZ$5&lt;&gt;"",--(AZ254="Absent"),0),IF($BB$5&lt;&gt;"",--(BB254="Absent"),0),IF($BD$5&lt;&gt;"",--(BD254="Absent"),0),IF($BF$5&lt;&gt;"",--(BF254="Absent"),0),IF($BH$5&lt;&gt;"",--(BH254="Absent"),0),IF($BJ$5&lt;&gt;"",--(BJ254="Absent"),0),IF($BL$5&lt;&gt;"",--(BL254="Absent"),0)))</f>
      </c>
      <c r="BP254" s="22">
        <f>IF($A254="","",SUM(IF($D$5&lt;&gt;"",--(D254="Congé"),0),IF($F$5&lt;&gt;"",--(F254="Congé"),0),IF($H$5&lt;&gt;"",--(H254="Congé"),0),IF($J$5&lt;&gt;"",--(J254="Congé"),0),IF($L$5&lt;&gt;"",--(L254="Congé"),0),IF($N$5&lt;&gt;"",--(N254="Congé"),0),IF($P$5&lt;&gt;"",--(P254="Congé"),0),IF($R$5&lt;&gt;"",--(R254="Congé"),0),IF($T$5&lt;&gt;"",--(T254="Congé"),0),IF($V$5&lt;&gt;"",--(V254="Congé"),0),IF($X$5&lt;&gt;"",--(X254="Congé"),0),IF($Z$5&lt;&gt;"",--(Z254="Congé"),0),IF($AB$5&lt;&gt;"",--(AB254="Congé"),0),IF($AD$5&lt;&gt;"",--(AD254="Congé"),0),IF($AF$5&lt;&gt;"",--(AF254="Congé"),0),IF($AH$5&lt;&gt;"",--(AH254="Congé"),0),IF($AJ$5&lt;&gt;"",--(AJ254="Congé"),0),IF($AL$5&lt;&gt;"",--(AL254="Congé"),0),IF($AN$5&lt;&gt;"",--(AN254="Congé"),0),IF($AP$5&lt;&gt;"",--(AP254="Congé"),0),IF($AR$5&lt;&gt;"",--(AR254="Congé"),0),IF($AT$5&lt;&gt;"",--(AT254="Congé"),0),IF($AV$5&lt;&gt;"",--(AV254="Congé"),0),IF($AX$5&lt;&gt;"",--(AX254="Congé"),0),IF($AZ$5&lt;&gt;"",--(AZ254="Congé"),0),IF($BB$5&lt;&gt;"",--(BB254="Congé"),0),IF($BD$5&lt;&gt;"",--(BD254="Congé"),0),IF($BF$5&lt;&gt;"",--(BF254="Congé"),0),IF($BH$5&lt;&gt;"",--(BH254="Congé"),0),IF($BJ$5&lt;&gt;"",--(BJ254="Congé"),0),IF($BL$5&lt;&gt;"",--(BL254="Congé"),0)))</f>
      </c>
      <c r="BQ254" s="22">
        <f>IF($A254="","",SUM(IF($D$5&lt;&gt;"",--(D254="Maladie"),0),IF($F$5&lt;&gt;"",--(F254="Maladie"),0),IF($H$5&lt;&gt;"",--(H254="Maladie"),0),IF($J$5&lt;&gt;"",--(J254="Maladie"),0),IF($L$5&lt;&gt;"",--(L254="Maladie"),0),IF($N$5&lt;&gt;"",--(N254="Maladie"),0),IF($P$5&lt;&gt;"",--(P254="Maladie"),0),IF($R$5&lt;&gt;"",--(R254="Maladie"),0),IF($T$5&lt;&gt;"",--(T254="Maladie"),0),IF($V$5&lt;&gt;"",--(V254="Maladie"),0),IF($X$5&lt;&gt;"",--(X254="Maladie"),0),IF($Z$5&lt;&gt;"",--(Z254="Maladie"),0),IF($AB$5&lt;&gt;"",--(AB254="Maladie"),0),IF($AD$5&lt;&gt;"",--(AD254="Maladie"),0),IF($AF$5&lt;&gt;"",--(AF254="Maladie"),0),IF($AH$5&lt;&gt;"",--(AH254="Maladie"),0),IF($AJ$5&lt;&gt;"",--(AJ254="Maladie"),0),IF($AL$5&lt;&gt;"",--(AL254="Maladie"),0),IF($AN$5&lt;&gt;"",--(AN254="Maladie"),0),IF($AP$5&lt;&gt;"",--(AP254="Maladie"),0),IF($AR$5&lt;&gt;"",--(AR254="Maladie"),0),IF($AT$5&lt;&gt;"",--(AT254="Maladie"),0),IF($AV$5&lt;&gt;"",--(AV254="Maladie"),0),IF($AX$5&lt;&gt;"",--(AX254="Maladie"),0),IF($AZ$5&lt;&gt;"",--(AZ254="Maladie"),0),IF($BB$5&lt;&gt;"",--(BB254="Maladie"),0),IF($BD$5&lt;&gt;"",--(BD254="Maladie"),0),IF($BF$5&lt;&gt;"",--(BF254="Maladie"),0),IF($BH$5&lt;&gt;"",--(BH254="Maladie"),0),IF($BJ$5&lt;&gt;"",--(BJ254="Maladie"),0),IF($BL$5&lt;&gt;"",--(BL254="Maladie"),0)))</f>
      </c>
      <c r="BR254" s="23">
        <f>IF($A254="","",SUM(IF($D$5&lt;&gt;"",IF(D254="Présent",E254,0),0),IF($F$5&lt;&gt;"",IF(F254="Présent",G254,0),0),IF($H$5&lt;&gt;"",IF(H254="Présent",I254,0),0),IF($J$5&lt;&gt;"",IF(J254="Présent",K254,0),0),IF($L$5&lt;&gt;"",IF(L254="Présent",M254,0),0),IF($N$5&lt;&gt;"",IF(N254="Présent",O254,0),0),IF($P$5&lt;&gt;"",IF(P254="Présent",Q254,0),0),IF($R$5&lt;&gt;"",IF(R254="Présent",S254,0),0),IF($T$5&lt;&gt;"",IF(T254="Présent",U254,0),0),IF($V$5&lt;&gt;"",IF(V254="Présent",W254,0),0),IF($X$5&lt;&gt;"",IF(X254="Présent",Y254,0),0),IF($Z$5&lt;&gt;"",IF(Z254="Présent",AA254,0),0),IF($AB$5&lt;&gt;"",IF(AB254="Présent",AC254,0),0),IF($AD$5&lt;&gt;"",IF(AD254="Présent",AE254,0),0),IF($AF$5&lt;&gt;"",IF(AF254="Présent",AG254,0),0),IF($AH$5&lt;&gt;"",IF(AH254="Présent",AI254,0),0),IF($AJ$5&lt;&gt;"",IF(AJ254="Présent",AK254,0),0),IF($AL$5&lt;&gt;"",IF(AL254="Présent",AM254,0),0),IF($AN$5&lt;&gt;"",IF(AN254="Présent",AO254,0),0),IF($AP$5&lt;&gt;"",IF(AP254="Présent",AQ254,0),0),IF($AR$5&lt;&gt;"",IF(AR254="Présent",AS254,0),0),IF($AT$5&lt;&gt;"",IF(AT254="Présent",AU254,0),0),IF($AV$5&lt;&gt;"",IF(AV254="Présent",AW254,0),0),IF($AX$5&lt;&gt;"",IF(AX254="Présent",AY254,0),0),IF($AZ$5&lt;&gt;"",IF(AZ254="Présent",BA254,0),0),IF($BB$5&lt;&gt;"",IF(BB254="Présent",BC254,0),0),IF($BD$5&lt;&gt;"",IF(BD254="Présent",BE254,0),0),IF($BF$5&lt;&gt;"",IF(BF254="Présent",BG254,0),0),IF($BH$5&lt;&gt;"",IF(BH254="Présent",BI254,0),0),IF($BJ$5&lt;&gt;"",IF(BJ254="Présent",BK254,0),0),IF($BL$5&lt;&gt;"",IF(BL254="Présent",BM254,0),0)))</f>
      </c>
      <c r="BS254" s="25">
        <f>IF($A254="","",$BN254*IFERROR(INDEX(Categories_Salaire,MATCH($C254,ListeCategories,0)),0)+$BR254*IF(IFERROR(INDEX(Categories_TauxHS,MATCH($C254,ListeCategories,0)),0)&gt;0,IFERROR(INDEX(Categories_TauxHS,MATCH($C254,ListeCategories,0)),0),TauxHSDefaut))</f>
      </c>
    </row>
    <row r="255">
      <c r="A255" s="20">
        <f>IF(AND(INDEX(Employes_Nom,249)&lt;&gt;"",INDEX(Employes_Statut,249)="Actif",OR(INDEX(Employes_Embauche,249)="",INDEX(Employes_Embauche,249)&lt;=EOMONTH(DATE(AnneeCourante,MoisCourant,1),0))),INDEX(Employes_ID,249),"")</f>
      </c>
      <c r="B255" s="19">
        <f>IF($A255="","",INDEX(Employes_Nom,MATCH($A255,Employes_ID,0)))</f>
      </c>
      <c r="C255" s="20">
        <f>IF($A255="","",INDEX(Employes_Categorie,MATCH($A255,Employes_ID,0)))</f>
      </c>
      <c r="D255" s="26"/>
      <c r="E255" s="27"/>
      <c r="F255" s="26"/>
      <c r="G255" s="27"/>
      <c r="H255" s="26"/>
      <c r="I255" s="27"/>
      <c r="J255" s="26"/>
      <c r="K255" s="27"/>
      <c r="L255" s="26"/>
      <c r="M255" s="27"/>
      <c r="N255" s="26"/>
      <c r="O255" s="27"/>
      <c r="P255" s="26"/>
      <c r="Q255" s="27"/>
      <c r="R255" s="26"/>
      <c r="S255" s="27"/>
      <c r="T255" s="26"/>
      <c r="U255" s="27"/>
      <c r="V255" s="26"/>
      <c r="W255" s="27"/>
      <c r="X255" s="26"/>
      <c r="Y255" s="27"/>
      <c r="Z255" s="26"/>
      <c r="AA255" s="27"/>
      <c r="AB255" s="26"/>
      <c r="AC255" s="27"/>
      <c r="AD255" s="26"/>
      <c r="AE255" s="27"/>
      <c r="AF255" s="26"/>
      <c r="AG255" s="27"/>
      <c r="AH255" s="26"/>
      <c r="AI255" s="27"/>
      <c r="AJ255" s="26"/>
      <c r="AK255" s="27"/>
      <c r="AL255" s="26"/>
      <c r="AM255" s="27"/>
      <c r="AN255" s="26"/>
      <c r="AO255" s="27"/>
      <c r="AP255" s="26"/>
      <c r="AQ255" s="27"/>
      <c r="AR255" s="26"/>
      <c r="AS255" s="27"/>
      <c r="AT255" s="26"/>
      <c r="AU255" s="27"/>
      <c r="AV255" s="26"/>
      <c r="AW255" s="27"/>
      <c r="AX255" s="26"/>
      <c r="AY255" s="27"/>
      <c r="AZ255" s="26"/>
      <c r="BA255" s="27"/>
      <c r="BB255" s="26"/>
      <c r="BC255" s="27"/>
      <c r="BD255" s="26"/>
      <c r="BE255" s="27"/>
      <c r="BF255" s="26"/>
      <c r="BG255" s="27"/>
      <c r="BH255" s="26"/>
      <c r="BI255" s="27"/>
      <c r="BJ255" s="26"/>
      <c r="BK255" s="27"/>
      <c r="BL255" s="26"/>
      <c r="BM255" s="27"/>
      <c r="BN255" s="22">
        <f>IF($A255="","",SUM(IF($D$5&lt;&gt;"",--(D255="Présent"),0),IF($F$5&lt;&gt;"",--(F255="Présent"),0),IF($H$5&lt;&gt;"",--(H255="Présent"),0),IF($J$5&lt;&gt;"",--(J255="Présent"),0),IF($L$5&lt;&gt;"",--(L255="Présent"),0),IF($N$5&lt;&gt;"",--(N255="Présent"),0),IF($P$5&lt;&gt;"",--(P255="Présent"),0),IF($R$5&lt;&gt;"",--(R255="Présent"),0),IF($T$5&lt;&gt;"",--(T255="Présent"),0),IF($V$5&lt;&gt;"",--(V255="Présent"),0),IF($X$5&lt;&gt;"",--(X255="Présent"),0),IF($Z$5&lt;&gt;"",--(Z255="Présent"),0),IF($AB$5&lt;&gt;"",--(AB255="Présent"),0),IF($AD$5&lt;&gt;"",--(AD255="Présent"),0),IF($AF$5&lt;&gt;"",--(AF255="Présent"),0),IF($AH$5&lt;&gt;"",--(AH255="Présent"),0),IF($AJ$5&lt;&gt;"",--(AJ255="Présent"),0),IF($AL$5&lt;&gt;"",--(AL255="Présent"),0),IF($AN$5&lt;&gt;"",--(AN255="Présent"),0),IF($AP$5&lt;&gt;"",--(AP255="Présent"),0),IF($AR$5&lt;&gt;"",--(AR255="Présent"),0),IF($AT$5&lt;&gt;"",--(AT255="Présent"),0),IF($AV$5&lt;&gt;"",--(AV255="Présent"),0),IF($AX$5&lt;&gt;"",--(AX255="Présent"),0),IF($AZ$5&lt;&gt;"",--(AZ255="Présent"),0),IF($BB$5&lt;&gt;"",--(BB255="Présent"),0),IF($BD$5&lt;&gt;"",--(BD255="Présent"),0),IF($BF$5&lt;&gt;"",--(BF255="Présent"),0),IF($BH$5&lt;&gt;"",--(BH255="Présent"),0),IF($BJ$5&lt;&gt;"",--(BJ255="Présent"),0),IF($BL$5&lt;&gt;"",--(BL255="Présent"),0)))</f>
      </c>
      <c r="BO255" s="22">
        <f>IF($A255="","",SUM(IF($D$5&lt;&gt;"",--(D255="Absent"),0),IF($F$5&lt;&gt;"",--(F255="Absent"),0),IF($H$5&lt;&gt;"",--(H255="Absent"),0),IF($J$5&lt;&gt;"",--(J255="Absent"),0),IF($L$5&lt;&gt;"",--(L255="Absent"),0),IF($N$5&lt;&gt;"",--(N255="Absent"),0),IF($P$5&lt;&gt;"",--(P255="Absent"),0),IF($R$5&lt;&gt;"",--(R255="Absent"),0),IF($T$5&lt;&gt;"",--(T255="Absent"),0),IF($V$5&lt;&gt;"",--(V255="Absent"),0),IF($X$5&lt;&gt;"",--(X255="Absent"),0),IF($Z$5&lt;&gt;"",--(Z255="Absent"),0),IF($AB$5&lt;&gt;"",--(AB255="Absent"),0),IF($AD$5&lt;&gt;"",--(AD255="Absent"),0),IF($AF$5&lt;&gt;"",--(AF255="Absent"),0),IF($AH$5&lt;&gt;"",--(AH255="Absent"),0),IF($AJ$5&lt;&gt;"",--(AJ255="Absent"),0),IF($AL$5&lt;&gt;"",--(AL255="Absent"),0),IF($AN$5&lt;&gt;"",--(AN255="Absent"),0),IF($AP$5&lt;&gt;"",--(AP255="Absent"),0),IF($AR$5&lt;&gt;"",--(AR255="Absent"),0),IF($AT$5&lt;&gt;"",--(AT255="Absent"),0),IF($AV$5&lt;&gt;"",--(AV255="Absent"),0),IF($AX$5&lt;&gt;"",--(AX255="Absent"),0),IF($AZ$5&lt;&gt;"",--(AZ255="Absent"),0),IF($BB$5&lt;&gt;"",--(BB255="Absent"),0),IF($BD$5&lt;&gt;"",--(BD255="Absent"),0),IF($BF$5&lt;&gt;"",--(BF255="Absent"),0),IF($BH$5&lt;&gt;"",--(BH255="Absent"),0),IF($BJ$5&lt;&gt;"",--(BJ255="Absent"),0),IF($BL$5&lt;&gt;"",--(BL255="Absent"),0)))</f>
      </c>
      <c r="BP255" s="22">
        <f>IF($A255="","",SUM(IF($D$5&lt;&gt;"",--(D255="Congé"),0),IF($F$5&lt;&gt;"",--(F255="Congé"),0),IF($H$5&lt;&gt;"",--(H255="Congé"),0),IF($J$5&lt;&gt;"",--(J255="Congé"),0),IF($L$5&lt;&gt;"",--(L255="Congé"),0),IF($N$5&lt;&gt;"",--(N255="Congé"),0),IF($P$5&lt;&gt;"",--(P255="Congé"),0),IF($R$5&lt;&gt;"",--(R255="Congé"),0),IF($T$5&lt;&gt;"",--(T255="Congé"),0),IF($V$5&lt;&gt;"",--(V255="Congé"),0),IF($X$5&lt;&gt;"",--(X255="Congé"),0),IF($Z$5&lt;&gt;"",--(Z255="Congé"),0),IF($AB$5&lt;&gt;"",--(AB255="Congé"),0),IF($AD$5&lt;&gt;"",--(AD255="Congé"),0),IF($AF$5&lt;&gt;"",--(AF255="Congé"),0),IF($AH$5&lt;&gt;"",--(AH255="Congé"),0),IF($AJ$5&lt;&gt;"",--(AJ255="Congé"),0),IF($AL$5&lt;&gt;"",--(AL255="Congé"),0),IF($AN$5&lt;&gt;"",--(AN255="Congé"),0),IF($AP$5&lt;&gt;"",--(AP255="Congé"),0),IF($AR$5&lt;&gt;"",--(AR255="Congé"),0),IF($AT$5&lt;&gt;"",--(AT255="Congé"),0),IF($AV$5&lt;&gt;"",--(AV255="Congé"),0),IF($AX$5&lt;&gt;"",--(AX255="Congé"),0),IF($AZ$5&lt;&gt;"",--(AZ255="Congé"),0),IF($BB$5&lt;&gt;"",--(BB255="Congé"),0),IF($BD$5&lt;&gt;"",--(BD255="Congé"),0),IF($BF$5&lt;&gt;"",--(BF255="Congé"),0),IF($BH$5&lt;&gt;"",--(BH255="Congé"),0),IF($BJ$5&lt;&gt;"",--(BJ255="Congé"),0),IF($BL$5&lt;&gt;"",--(BL255="Congé"),0)))</f>
      </c>
      <c r="BQ255" s="22">
        <f>IF($A255="","",SUM(IF($D$5&lt;&gt;"",--(D255="Maladie"),0),IF($F$5&lt;&gt;"",--(F255="Maladie"),0),IF($H$5&lt;&gt;"",--(H255="Maladie"),0),IF($J$5&lt;&gt;"",--(J255="Maladie"),0),IF($L$5&lt;&gt;"",--(L255="Maladie"),0),IF($N$5&lt;&gt;"",--(N255="Maladie"),0),IF($P$5&lt;&gt;"",--(P255="Maladie"),0),IF($R$5&lt;&gt;"",--(R255="Maladie"),0),IF($T$5&lt;&gt;"",--(T255="Maladie"),0),IF($V$5&lt;&gt;"",--(V255="Maladie"),0),IF($X$5&lt;&gt;"",--(X255="Maladie"),0),IF($Z$5&lt;&gt;"",--(Z255="Maladie"),0),IF($AB$5&lt;&gt;"",--(AB255="Maladie"),0),IF($AD$5&lt;&gt;"",--(AD255="Maladie"),0),IF($AF$5&lt;&gt;"",--(AF255="Maladie"),0),IF($AH$5&lt;&gt;"",--(AH255="Maladie"),0),IF($AJ$5&lt;&gt;"",--(AJ255="Maladie"),0),IF($AL$5&lt;&gt;"",--(AL255="Maladie"),0),IF($AN$5&lt;&gt;"",--(AN255="Maladie"),0),IF($AP$5&lt;&gt;"",--(AP255="Maladie"),0),IF($AR$5&lt;&gt;"",--(AR255="Maladie"),0),IF($AT$5&lt;&gt;"",--(AT255="Maladie"),0),IF($AV$5&lt;&gt;"",--(AV255="Maladie"),0),IF($AX$5&lt;&gt;"",--(AX255="Maladie"),0),IF($AZ$5&lt;&gt;"",--(AZ255="Maladie"),0),IF($BB$5&lt;&gt;"",--(BB255="Maladie"),0),IF($BD$5&lt;&gt;"",--(BD255="Maladie"),0),IF($BF$5&lt;&gt;"",--(BF255="Maladie"),0),IF($BH$5&lt;&gt;"",--(BH255="Maladie"),0),IF($BJ$5&lt;&gt;"",--(BJ255="Maladie"),0),IF($BL$5&lt;&gt;"",--(BL255="Maladie"),0)))</f>
      </c>
      <c r="BR255" s="23">
        <f>IF($A255="","",SUM(IF($D$5&lt;&gt;"",IF(D255="Présent",E255,0),0),IF($F$5&lt;&gt;"",IF(F255="Présent",G255,0),0),IF($H$5&lt;&gt;"",IF(H255="Présent",I255,0),0),IF($J$5&lt;&gt;"",IF(J255="Présent",K255,0),0),IF($L$5&lt;&gt;"",IF(L255="Présent",M255,0),0),IF($N$5&lt;&gt;"",IF(N255="Présent",O255,0),0),IF($P$5&lt;&gt;"",IF(P255="Présent",Q255,0),0),IF($R$5&lt;&gt;"",IF(R255="Présent",S255,0),0),IF($T$5&lt;&gt;"",IF(T255="Présent",U255,0),0),IF($V$5&lt;&gt;"",IF(V255="Présent",W255,0),0),IF($X$5&lt;&gt;"",IF(X255="Présent",Y255,0),0),IF($Z$5&lt;&gt;"",IF(Z255="Présent",AA255,0),0),IF($AB$5&lt;&gt;"",IF(AB255="Présent",AC255,0),0),IF($AD$5&lt;&gt;"",IF(AD255="Présent",AE255,0),0),IF($AF$5&lt;&gt;"",IF(AF255="Présent",AG255,0),0),IF($AH$5&lt;&gt;"",IF(AH255="Présent",AI255,0),0),IF($AJ$5&lt;&gt;"",IF(AJ255="Présent",AK255,0),0),IF($AL$5&lt;&gt;"",IF(AL255="Présent",AM255,0),0),IF($AN$5&lt;&gt;"",IF(AN255="Présent",AO255,0),0),IF($AP$5&lt;&gt;"",IF(AP255="Présent",AQ255,0),0),IF($AR$5&lt;&gt;"",IF(AR255="Présent",AS255,0),0),IF($AT$5&lt;&gt;"",IF(AT255="Présent",AU255,0),0),IF($AV$5&lt;&gt;"",IF(AV255="Présent",AW255,0),0),IF($AX$5&lt;&gt;"",IF(AX255="Présent",AY255,0),0),IF($AZ$5&lt;&gt;"",IF(AZ255="Présent",BA255,0),0),IF($BB$5&lt;&gt;"",IF(BB255="Présent",BC255,0),0),IF($BD$5&lt;&gt;"",IF(BD255="Présent",BE255,0),0),IF($BF$5&lt;&gt;"",IF(BF255="Présent",BG255,0),0),IF($BH$5&lt;&gt;"",IF(BH255="Présent",BI255,0),0),IF($BJ$5&lt;&gt;"",IF(BJ255="Présent",BK255,0),0),IF($BL$5&lt;&gt;"",IF(BL255="Présent",BM255,0),0)))</f>
      </c>
      <c r="BS255" s="25">
        <f>IF($A255="","",$BN255*IFERROR(INDEX(Categories_Salaire,MATCH($C255,ListeCategories,0)),0)+$BR255*IF(IFERROR(INDEX(Categories_TauxHS,MATCH($C255,ListeCategories,0)),0)&gt;0,IFERROR(INDEX(Categories_TauxHS,MATCH($C255,ListeCategories,0)),0),TauxHSDefaut))</f>
      </c>
    </row>
    <row r="256">
      <c r="A256" s="20">
        <f>IF(AND(INDEX(Employes_Nom,250)&lt;&gt;"",INDEX(Employes_Statut,250)="Actif",OR(INDEX(Employes_Embauche,250)="",INDEX(Employes_Embauche,250)&lt;=EOMONTH(DATE(AnneeCourante,MoisCourant,1),0))),INDEX(Employes_ID,250),"")</f>
      </c>
      <c r="B256" s="19">
        <f>IF($A256="","",INDEX(Employes_Nom,MATCH($A256,Employes_ID,0)))</f>
      </c>
      <c r="C256" s="20">
        <f>IF($A256="","",INDEX(Employes_Categorie,MATCH($A256,Employes_ID,0)))</f>
      </c>
      <c r="D256" s="26"/>
      <c r="E256" s="27"/>
      <c r="F256" s="26"/>
      <c r="G256" s="27"/>
      <c r="H256" s="26"/>
      <c r="I256" s="27"/>
      <c r="J256" s="26"/>
      <c r="K256" s="27"/>
      <c r="L256" s="26"/>
      <c r="M256" s="27"/>
      <c r="N256" s="26"/>
      <c r="O256" s="27"/>
      <c r="P256" s="26"/>
      <c r="Q256" s="27"/>
      <c r="R256" s="26"/>
      <c r="S256" s="27"/>
      <c r="T256" s="26"/>
      <c r="U256" s="27"/>
      <c r="V256" s="26"/>
      <c r="W256" s="27"/>
      <c r="X256" s="26"/>
      <c r="Y256" s="27"/>
      <c r="Z256" s="26"/>
      <c r="AA256" s="27"/>
      <c r="AB256" s="26"/>
      <c r="AC256" s="27"/>
      <c r="AD256" s="26"/>
      <c r="AE256" s="27"/>
      <c r="AF256" s="26"/>
      <c r="AG256" s="27"/>
      <c r="AH256" s="26"/>
      <c r="AI256" s="27"/>
      <c r="AJ256" s="26"/>
      <c r="AK256" s="27"/>
      <c r="AL256" s="26"/>
      <c r="AM256" s="27"/>
      <c r="AN256" s="26"/>
      <c r="AO256" s="27"/>
      <c r="AP256" s="26"/>
      <c r="AQ256" s="27"/>
      <c r="AR256" s="26"/>
      <c r="AS256" s="27"/>
      <c r="AT256" s="26"/>
      <c r="AU256" s="27"/>
      <c r="AV256" s="26"/>
      <c r="AW256" s="27"/>
      <c r="AX256" s="26"/>
      <c r="AY256" s="27"/>
      <c r="AZ256" s="26"/>
      <c r="BA256" s="27"/>
      <c r="BB256" s="26"/>
      <c r="BC256" s="27"/>
      <c r="BD256" s="26"/>
      <c r="BE256" s="27"/>
      <c r="BF256" s="26"/>
      <c r="BG256" s="27"/>
      <c r="BH256" s="26"/>
      <c r="BI256" s="27"/>
      <c r="BJ256" s="26"/>
      <c r="BK256" s="27"/>
      <c r="BL256" s="26"/>
      <c r="BM256" s="27"/>
      <c r="BN256" s="22">
        <f>IF($A256="","",SUM(IF($D$5&lt;&gt;"",--(D256="Présent"),0),IF($F$5&lt;&gt;"",--(F256="Présent"),0),IF($H$5&lt;&gt;"",--(H256="Présent"),0),IF($J$5&lt;&gt;"",--(J256="Présent"),0),IF($L$5&lt;&gt;"",--(L256="Présent"),0),IF($N$5&lt;&gt;"",--(N256="Présent"),0),IF($P$5&lt;&gt;"",--(P256="Présent"),0),IF($R$5&lt;&gt;"",--(R256="Présent"),0),IF($T$5&lt;&gt;"",--(T256="Présent"),0),IF($V$5&lt;&gt;"",--(V256="Présent"),0),IF($X$5&lt;&gt;"",--(X256="Présent"),0),IF($Z$5&lt;&gt;"",--(Z256="Présent"),0),IF($AB$5&lt;&gt;"",--(AB256="Présent"),0),IF($AD$5&lt;&gt;"",--(AD256="Présent"),0),IF($AF$5&lt;&gt;"",--(AF256="Présent"),0),IF($AH$5&lt;&gt;"",--(AH256="Présent"),0),IF($AJ$5&lt;&gt;"",--(AJ256="Présent"),0),IF($AL$5&lt;&gt;"",--(AL256="Présent"),0),IF($AN$5&lt;&gt;"",--(AN256="Présent"),0),IF($AP$5&lt;&gt;"",--(AP256="Présent"),0),IF($AR$5&lt;&gt;"",--(AR256="Présent"),0),IF($AT$5&lt;&gt;"",--(AT256="Présent"),0),IF($AV$5&lt;&gt;"",--(AV256="Présent"),0),IF($AX$5&lt;&gt;"",--(AX256="Présent"),0),IF($AZ$5&lt;&gt;"",--(AZ256="Présent"),0),IF($BB$5&lt;&gt;"",--(BB256="Présent"),0),IF($BD$5&lt;&gt;"",--(BD256="Présent"),0),IF($BF$5&lt;&gt;"",--(BF256="Présent"),0),IF($BH$5&lt;&gt;"",--(BH256="Présent"),0),IF($BJ$5&lt;&gt;"",--(BJ256="Présent"),0),IF($BL$5&lt;&gt;"",--(BL256="Présent"),0)))</f>
      </c>
      <c r="BO256" s="22">
        <f>IF($A256="","",SUM(IF($D$5&lt;&gt;"",--(D256="Absent"),0),IF($F$5&lt;&gt;"",--(F256="Absent"),0),IF($H$5&lt;&gt;"",--(H256="Absent"),0),IF($J$5&lt;&gt;"",--(J256="Absent"),0),IF($L$5&lt;&gt;"",--(L256="Absent"),0),IF($N$5&lt;&gt;"",--(N256="Absent"),0),IF($P$5&lt;&gt;"",--(P256="Absent"),0),IF($R$5&lt;&gt;"",--(R256="Absent"),0),IF($T$5&lt;&gt;"",--(T256="Absent"),0),IF($V$5&lt;&gt;"",--(V256="Absent"),0),IF($X$5&lt;&gt;"",--(X256="Absent"),0),IF($Z$5&lt;&gt;"",--(Z256="Absent"),0),IF($AB$5&lt;&gt;"",--(AB256="Absent"),0),IF($AD$5&lt;&gt;"",--(AD256="Absent"),0),IF($AF$5&lt;&gt;"",--(AF256="Absent"),0),IF($AH$5&lt;&gt;"",--(AH256="Absent"),0),IF($AJ$5&lt;&gt;"",--(AJ256="Absent"),0),IF($AL$5&lt;&gt;"",--(AL256="Absent"),0),IF($AN$5&lt;&gt;"",--(AN256="Absent"),0),IF($AP$5&lt;&gt;"",--(AP256="Absent"),0),IF($AR$5&lt;&gt;"",--(AR256="Absent"),0),IF($AT$5&lt;&gt;"",--(AT256="Absent"),0),IF($AV$5&lt;&gt;"",--(AV256="Absent"),0),IF($AX$5&lt;&gt;"",--(AX256="Absent"),0),IF($AZ$5&lt;&gt;"",--(AZ256="Absent"),0),IF($BB$5&lt;&gt;"",--(BB256="Absent"),0),IF($BD$5&lt;&gt;"",--(BD256="Absent"),0),IF($BF$5&lt;&gt;"",--(BF256="Absent"),0),IF($BH$5&lt;&gt;"",--(BH256="Absent"),0),IF($BJ$5&lt;&gt;"",--(BJ256="Absent"),0),IF($BL$5&lt;&gt;"",--(BL256="Absent"),0)))</f>
      </c>
      <c r="BP256" s="22">
        <f>IF($A256="","",SUM(IF($D$5&lt;&gt;"",--(D256="Congé"),0),IF($F$5&lt;&gt;"",--(F256="Congé"),0),IF($H$5&lt;&gt;"",--(H256="Congé"),0),IF($J$5&lt;&gt;"",--(J256="Congé"),0),IF($L$5&lt;&gt;"",--(L256="Congé"),0),IF($N$5&lt;&gt;"",--(N256="Congé"),0),IF($P$5&lt;&gt;"",--(P256="Congé"),0),IF($R$5&lt;&gt;"",--(R256="Congé"),0),IF($T$5&lt;&gt;"",--(T256="Congé"),0),IF($V$5&lt;&gt;"",--(V256="Congé"),0),IF($X$5&lt;&gt;"",--(X256="Congé"),0),IF($Z$5&lt;&gt;"",--(Z256="Congé"),0),IF($AB$5&lt;&gt;"",--(AB256="Congé"),0),IF($AD$5&lt;&gt;"",--(AD256="Congé"),0),IF($AF$5&lt;&gt;"",--(AF256="Congé"),0),IF($AH$5&lt;&gt;"",--(AH256="Congé"),0),IF($AJ$5&lt;&gt;"",--(AJ256="Congé"),0),IF($AL$5&lt;&gt;"",--(AL256="Congé"),0),IF($AN$5&lt;&gt;"",--(AN256="Congé"),0),IF($AP$5&lt;&gt;"",--(AP256="Congé"),0),IF($AR$5&lt;&gt;"",--(AR256="Congé"),0),IF($AT$5&lt;&gt;"",--(AT256="Congé"),0),IF($AV$5&lt;&gt;"",--(AV256="Congé"),0),IF($AX$5&lt;&gt;"",--(AX256="Congé"),0),IF($AZ$5&lt;&gt;"",--(AZ256="Congé"),0),IF($BB$5&lt;&gt;"",--(BB256="Congé"),0),IF($BD$5&lt;&gt;"",--(BD256="Congé"),0),IF($BF$5&lt;&gt;"",--(BF256="Congé"),0),IF($BH$5&lt;&gt;"",--(BH256="Congé"),0),IF($BJ$5&lt;&gt;"",--(BJ256="Congé"),0),IF($BL$5&lt;&gt;"",--(BL256="Congé"),0)))</f>
      </c>
      <c r="BQ256" s="22">
        <f>IF($A256="","",SUM(IF($D$5&lt;&gt;"",--(D256="Maladie"),0),IF($F$5&lt;&gt;"",--(F256="Maladie"),0),IF($H$5&lt;&gt;"",--(H256="Maladie"),0),IF($J$5&lt;&gt;"",--(J256="Maladie"),0),IF($L$5&lt;&gt;"",--(L256="Maladie"),0),IF($N$5&lt;&gt;"",--(N256="Maladie"),0),IF($P$5&lt;&gt;"",--(P256="Maladie"),0),IF($R$5&lt;&gt;"",--(R256="Maladie"),0),IF($T$5&lt;&gt;"",--(T256="Maladie"),0),IF($V$5&lt;&gt;"",--(V256="Maladie"),0),IF($X$5&lt;&gt;"",--(X256="Maladie"),0),IF($Z$5&lt;&gt;"",--(Z256="Maladie"),0),IF($AB$5&lt;&gt;"",--(AB256="Maladie"),0),IF($AD$5&lt;&gt;"",--(AD256="Maladie"),0),IF($AF$5&lt;&gt;"",--(AF256="Maladie"),0),IF($AH$5&lt;&gt;"",--(AH256="Maladie"),0),IF($AJ$5&lt;&gt;"",--(AJ256="Maladie"),0),IF($AL$5&lt;&gt;"",--(AL256="Maladie"),0),IF($AN$5&lt;&gt;"",--(AN256="Maladie"),0),IF($AP$5&lt;&gt;"",--(AP256="Maladie"),0),IF($AR$5&lt;&gt;"",--(AR256="Maladie"),0),IF($AT$5&lt;&gt;"",--(AT256="Maladie"),0),IF($AV$5&lt;&gt;"",--(AV256="Maladie"),0),IF($AX$5&lt;&gt;"",--(AX256="Maladie"),0),IF($AZ$5&lt;&gt;"",--(AZ256="Maladie"),0),IF($BB$5&lt;&gt;"",--(BB256="Maladie"),0),IF($BD$5&lt;&gt;"",--(BD256="Maladie"),0),IF($BF$5&lt;&gt;"",--(BF256="Maladie"),0),IF($BH$5&lt;&gt;"",--(BH256="Maladie"),0),IF($BJ$5&lt;&gt;"",--(BJ256="Maladie"),0),IF($BL$5&lt;&gt;"",--(BL256="Maladie"),0)))</f>
      </c>
      <c r="BR256" s="23">
        <f>IF($A256="","",SUM(IF($D$5&lt;&gt;"",IF(D256="Présent",E256,0),0),IF($F$5&lt;&gt;"",IF(F256="Présent",G256,0),0),IF($H$5&lt;&gt;"",IF(H256="Présent",I256,0),0),IF($J$5&lt;&gt;"",IF(J256="Présent",K256,0),0),IF($L$5&lt;&gt;"",IF(L256="Présent",M256,0),0),IF($N$5&lt;&gt;"",IF(N256="Présent",O256,0),0),IF($P$5&lt;&gt;"",IF(P256="Présent",Q256,0),0),IF($R$5&lt;&gt;"",IF(R256="Présent",S256,0),0),IF($T$5&lt;&gt;"",IF(T256="Présent",U256,0),0),IF($V$5&lt;&gt;"",IF(V256="Présent",W256,0),0),IF($X$5&lt;&gt;"",IF(X256="Présent",Y256,0),0),IF($Z$5&lt;&gt;"",IF(Z256="Présent",AA256,0),0),IF($AB$5&lt;&gt;"",IF(AB256="Présent",AC256,0),0),IF($AD$5&lt;&gt;"",IF(AD256="Présent",AE256,0),0),IF($AF$5&lt;&gt;"",IF(AF256="Présent",AG256,0),0),IF($AH$5&lt;&gt;"",IF(AH256="Présent",AI256,0),0),IF($AJ$5&lt;&gt;"",IF(AJ256="Présent",AK256,0),0),IF($AL$5&lt;&gt;"",IF(AL256="Présent",AM256,0),0),IF($AN$5&lt;&gt;"",IF(AN256="Présent",AO256,0),0),IF($AP$5&lt;&gt;"",IF(AP256="Présent",AQ256,0),0),IF($AR$5&lt;&gt;"",IF(AR256="Présent",AS256,0),0),IF($AT$5&lt;&gt;"",IF(AT256="Présent",AU256,0),0),IF($AV$5&lt;&gt;"",IF(AV256="Présent",AW256,0),0),IF($AX$5&lt;&gt;"",IF(AX256="Présent",AY256,0),0),IF($AZ$5&lt;&gt;"",IF(AZ256="Présent",BA256,0),0),IF($BB$5&lt;&gt;"",IF(BB256="Présent",BC256,0),0),IF($BD$5&lt;&gt;"",IF(BD256="Présent",BE256,0),0),IF($BF$5&lt;&gt;"",IF(BF256="Présent",BG256,0),0),IF($BH$5&lt;&gt;"",IF(BH256="Présent",BI256,0),0),IF($BJ$5&lt;&gt;"",IF(BJ256="Présent",BK256,0),0),IF($BL$5&lt;&gt;"",IF(BL256="Présent",BM256,0),0)))</f>
      </c>
      <c r="BS256" s="25">
        <f>IF($A256="","",$BN256*IFERROR(INDEX(Categories_Salaire,MATCH($C256,ListeCategories,0)),0)+$BR256*IF(IFERROR(INDEX(Categories_TauxHS,MATCH($C256,ListeCategories,0)),0)&gt;0,IFERROR(INDEX(Categories_TauxHS,MATCH($C256,ListeCategories,0)),0),TauxHSDefaut))</f>
      </c>
    </row>
    <row r="257">
      <c r="A257" s="20">
        <f>IF(AND(INDEX(Employes_Nom,251)&lt;&gt;"",INDEX(Employes_Statut,251)="Actif",OR(INDEX(Employes_Embauche,251)="",INDEX(Employes_Embauche,251)&lt;=EOMONTH(DATE(AnneeCourante,MoisCourant,1),0))),INDEX(Employes_ID,251),"")</f>
      </c>
      <c r="B257" s="19">
        <f>IF($A257="","",INDEX(Employes_Nom,MATCH($A257,Employes_ID,0)))</f>
      </c>
      <c r="C257" s="20">
        <f>IF($A257="","",INDEX(Employes_Categorie,MATCH($A257,Employes_ID,0)))</f>
      </c>
      <c r="D257" s="26"/>
      <c r="E257" s="27"/>
      <c r="F257" s="26"/>
      <c r="G257" s="27"/>
      <c r="H257" s="26"/>
      <c r="I257" s="27"/>
      <c r="J257" s="26"/>
      <c r="K257" s="27"/>
      <c r="L257" s="26"/>
      <c r="M257" s="27"/>
      <c r="N257" s="26"/>
      <c r="O257" s="27"/>
      <c r="P257" s="26"/>
      <c r="Q257" s="27"/>
      <c r="R257" s="26"/>
      <c r="S257" s="27"/>
      <c r="T257" s="26"/>
      <c r="U257" s="27"/>
      <c r="V257" s="26"/>
      <c r="W257" s="27"/>
      <c r="X257" s="26"/>
      <c r="Y257" s="27"/>
      <c r="Z257" s="26"/>
      <c r="AA257" s="27"/>
      <c r="AB257" s="26"/>
      <c r="AC257" s="27"/>
      <c r="AD257" s="26"/>
      <c r="AE257" s="27"/>
      <c r="AF257" s="26"/>
      <c r="AG257" s="27"/>
      <c r="AH257" s="26"/>
      <c r="AI257" s="27"/>
      <c r="AJ257" s="26"/>
      <c r="AK257" s="27"/>
      <c r="AL257" s="26"/>
      <c r="AM257" s="27"/>
      <c r="AN257" s="26"/>
      <c r="AO257" s="27"/>
      <c r="AP257" s="26"/>
      <c r="AQ257" s="27"/>
      <c r="AR257" s="26"/>
      <c r="AS257" s="27"/>
      <c r="AT257" s="26"/>
      <c r="AU257" s="27"/>
      <c r="AV257" s="26"/>
      <c r="AW257" s="27"/>
      <c r="AX257" s="26"/>
      <c r="AY257" s="27"/>
      <c r="AZ257" s="26"/>
      <c r="BA257" s="27"/>
      <c r="BB257" s="26"/>
      <c r="BC257" s="27"/>
      <c r="BD257" s="26"/>
      <c r="BE257" s="27"/>
      <c r="BF257" s="26"/>
      <c r="BG257" s="27"/>
      <c r="BH257" s="26"/>
      <c r="BI257" s="27"/>
      <c r="BJ257" s="26"/>
      <c r="BK257" s="27"/>
      <c r="BL257" s="26"/>
      <c r="BM257" s="27"/>
      <c r="BN257" s="22">
        <f>IF($A257="","",SUM(IF($D$5&lt;&gt;"",--(D257="Présent"),0),IF($F$5&lt;&gt;"",--(F257="Présent"),0),IF($H$5&lt;&gt;"",--(H257="Présent"),0),IF($J$5&lt;&gt;"",--(J257="Présent"),0),IF($L$5&lt;&gt;"",--(L257="Présent"),0),IF($N$5&lt;&gt;"",--(N257="Présent"),0),IF($P$5&lt;&gt;"",--(P257="Présent"),0),IF($R$5&lt;&gt;"",--(R257="Présent"),0),IF($T$5&lt;&gt;"",--(T257="Présent"),0),IF($V$5&lt;&gt;"",--(V257="Présent"),0),IF($X$5&lt;&gt;"",--(X257="Présent"),0),IF($Z$5&lt;&gt;"",--(Z257="Présent"),0),IF($AB$5&lt;&gt;"",--(AB257="Présent"),0),IF($AD$5&lt;&gt;"",--(AD257="Présent"),0),IF($AF$5&lt;&gt;"",--(AF257="Présent"),0),IF($AH$5&lt;&gt;"",--(AH257="Présent"),0),IF($AJ$5&lt;&gt;"",--(AJ257="Présent"),0),IF($AL$5&lt;&gt;"",--(AL257="Présent"),0),IF($AN$5&lt;&gt;"",--(AN257="Présent"),0),IF($AP$5&lt;&gt;"",--(AP257="Présent"),0),IF($AR$5&lt;&gt;"",--(AR257="Présent"),0),IF($AT$5&lt;&gt;"",--(AT257="Présent"),0),IF($AV$5&lt;&gt;"",--(AV257="Présent"),0),IF($AX$5&lt;&gt;"",--(AX257="Présent"),0),IF($AZ$5&lt;&gt;"",--(AZ257="Présent"),0),IF($BB$5&lt;&gt;"",--(BB257="Présent"),0),IF($BD$5&lt;&gt;"",--(BD257="Présent"),0),IF($BF$5&lt;&gt;"",--(BF257="Présent"),0),IF($BH$5&lt;&gt;"",--(BH257="Présent"),0),IF($BJ$5&lt;&gt;"",--(BJ257="Présent"),0),IF($BL$5&lt;&gt;"",--(BL257="Présent"),0)))</f>
      </c>
      <c r="BO257" s="22">
        <f>IF($A257="","",SUM(IF($D$5&lt;&gt;"",--(D257="Absent"),0),IF($F$5&lt;&gt;"",--(F257="Absent"),0),IF($H$5&lt;&gt;"",--(H257="Absent"),0),IF($J$5&lt;&gt;"",--(J257="Absent"),0),IF($L$5&lt;&gt;"",--(L257="Absent"),0),IF($N$5&lt;&gt;"",--(N257="Absent"),0),IF($P$5&lt;&gt;"",--(P257="Absent"),0),IF($R$5&lt;&gt;"",--(R257="Absent"),0),IF($T$5&lt;&gt;"",--(T257="Absent"),0),IF($V$5&lt;&gt;"",--(V257="Absent"),0),IF($X$5&lt;&gt;"",--(X257="Absent"),0),IF($Z$5&lt;&gt;"",--(Z257="Absent"),0),IF($AB$5&lt;&gt;"",--(AB257="Absent"),0),IF($AD$5&lt;&gt;"",--(AD257="Absent"),0),IF($AF$5&lt;&gt;"",--(AF257="Absent"),0),IF($AH$5&lt;&gt;"",--(AH257="Absent"),0),IF($AJ$5&lt;&gt;"",--(AJ257="Absent"),0),IF($AL$5&lt;&gt;"",--(AL257="Absent"),0),IF($AN$5&lt;&gt;"",--(AN257="Absent"),0),IF($AP$5&lt;&gt;"",--(AP257="Absent"),0),IF($AR$5&lt;&gt;"",--(AR257="Absent"),0),IF($AT$5&lt;&gt;"",--(AT257="Absent"),0),IF($AV$5&lt;&gt;"",--(AV257="Absent"),0),IF($AX$5&lt;&gt;"",--(AX257="Absent"),0),IF($AZ$5&lt;&gt;"",--(AZ257="Absent"),0),IF($BB$5&lt;&gt;"",--(BB257="Absent"),0),IF($BD$5&lt;&gt;"",--(BD257="Absent"),0),IF($BF$5&lt;&gt;"",--(BF257="Absent"),0),IF($BH$5&lt;&gt;"",--(BH257="Absent"),0),IF($BJ$5&lt;&gt;"",--(BJ257="Absent"),0),IF($BL$5&lt;&gt;"",--(BL257="Absent"),0)))</f>
      </c>
      <c r="BP257" s="22">
        <f>IF($A257="","",SUM(IF($D$5&lt;&gt;"",--(D257="Congé"),0),IF($F$5&lt;&gt;"",--(F257="Congé"),0),IF($H$5&lt;&gt;"",--(H257="Congé"),0),IF($J$5&lt;&gt;"",--(J257="Congé"),0),IF($L$5&lt;&gt;"",--(L257="Congé"),0),IF($N$5&lt;&gt;"",--(N257="Congé"),0),IF($P$5&lt;&gt;"",--(P257="Congé"),0),IF($R$5&lt;&gt;"",--(R257="Congé"),0),IF($T$5&lt;&gt;"",--(T257="Congé"),0),IF($V$5&lt;&gt;"",--(V257="Congé"),0),IF($X$5&lt;&gt;"",--(X257="Congé"),0),IF($Z$5&lt;&gt;"",--(Z257="Congé"),0),IF($AB$5&lt;&gt;"",--(AB257="Congé"),0),IF($AD$5&lt;&gt;"",--(AD257="Congé"),0),IF($AF$5&lt;&gt;"",--(AF257="Congé"),0),IF($AH$5&lt;&gt;"",--(AH257="Congé"),0),IF($AJ$5&lt;&gt;"",--(AJ257="Congé"),0),IF($AL$5&lt;&gt;"",--(AL257="Congé"),0),IF($AN$5&lt;&gt;"",--(AN257="Congé"),0),IF($AP$5&lt;&gt;"",--(AP257="Congé"),0),IF($AR$5&lt;&gt;"",--(AR257="Congé"),0),IF($AT$5&lt;&gt;"",--(AT257="Congé"),0),IF($AV$5&lt;&gt;"",--(AV257="Congé"),0),IF($AX$5&lt;&gt;"",--(AX257="Congé"),0),IF($AZ$5&lt;&gt;"",--(AZ257="Congé"),0),IF($BB$5&lt;&gt;"",--(BB257="Congé"),0),IF($BD$5&lt;&gt;"",--(BD257="Congé"),0),IF($BF$5&lt;&gt;"",--(BF257="Congé"),0),IF($BH$5&lt;&gt;"",--(BH257="Congé"),0),IF($BJ$5&lt;&gt;"",--(BJ257="Congé"),0),IF($BL$5&lt;&gt;"",--(BL257="Congé"),0)))</f>
      </c>
      <c r="BQ257" s="22">
        <f>IF($A257="","",SUM(IF($D$5&lt;&gt;"",--(D257="Maladie"),0),IF($F$5&lt;&gt;"",--(F257="Maladie"),0),IF($H$5&lt;&gt;"",--(H257="Maladie"),0),IF($J$5&lt;&gt;"",--(J257="Maladie"),0),IF($L$5&lt;&gt;"",--(L257="Maladie"),0),IF($N$5&lt;&gt;"",--(N257="Maladie"),0),IF($P$5&lt;&gt;"",--(P257="Maladie"),0),IF($R$5&lt;&gt;"",--(R257="Maladie"),0),IF($T$5&lt;&gt;"",--(T257="Maladie"),0),IF($V$5&lt;&gt;"",--(V257="Maladie"),0),IF($X$5&lt;&gt;"",--(X257="Maladie"),0),IF($Z$5&lt;&gt;"",--(Z257="Maladie"),0),IF($AB$5&lt;&gt;"",--(AB257="Maladie"),0),IF($AD$5&lt;&gt;"",--(AD257="Maladie"),0),IF($AF$5&lt;&gt;"",--(AF257="Maladie"),0),IF($AH$5&lt;&gt;"",--(AH257="Maladie"),0),IF($AJ$5&lt;&gt;"",--(AJ257="Maladie"),0),IF($AL$5&lt;&gt;"",--(AL257="Maladie"),0),IF($AN$5&lt;&gt;"",--(AN257="Maladie"),0),IF($AP$5&lt;&gt;"",--(AP257="Maladie"),0),IF($AR$5&lt;&gt;"",--(AR257="Maladie"),0),IF($AT$5&lt;&gt;"",--(AT257="Maladie"),0),IF($AV$5&lt;&gt;"",--(AV257="Maladie"),0),IF($AX$5&lt;&gt;"",--(AX257="Maladie"),0),IF($AZ$5&lt;&gt;"",--(AZ257="Maladie"),0),IF($BB$5&lt;&gt;"",--(BB257="Maladie"),0),IF($BD$5&lt;&gt;"",--(BD257="Maladie"),0),IF($BF$5&lt;&gt;"",--(BF257="Maladie"),0),IF($BH$5&lt;&gt;"",--(BH257="Maladie"),0),IF($BJ$5&lt;&gt;"",--(BJ257="Maladie"),0),IF($BL$5&lt;&gt;"",--(BL257="Maladie"),0)))</f>
      </c>
      <c r="BR257" s="23">
        <f>IF($A257="","",SUM(IF($D$5&lt;&gt;"",IF(D257="Présent",E257,0),0),IF($F$5&lt;&gt;"",IF(F257="Présent",G257,0),0),IF($H$5&lt;&gt;"",IF(H257="Présent",I257,0),0),IF($J$5&lt;&gt;"",IF(J257="Présent",K257,0),0),IF($L$5&lt;&gt;"",IF(L257="Présent",M257,0),0),IF($N$5&lt;&gt;"",IF(N257="Présent",O257,0),0),IF($P$5&lt;&gt;"",IF(P257="Présent",Q257,0),0),IF($R$5&lt;&gt;"",IF(R257="Présent",S257,0),0),IF($T$5&lt;&gt;"",IF(T257="Présent",U257,0),0),IF($V$5&lt;&gt;"",IF(V257="Présent",W257,0),0),IF($X$5&lt;&gt;"",IF(X257="Présent",Y257,0),0),IF($Z$5&lt;&gt;"",IF(Z257="Présent",AA257,0),0),IF($AB$5&lt;&gt;"",IF(AB257="Présent",AC257,0),0),IF($AD$5&lt;&gt;"",IF(AD257="Présent",AE257,0),0),IF($AF$5&lt;&gt;"",IF(AF257="Présent",AG257,0),0),IF($AH$5&lt;&gt;"",IF(AH257="Présent",AI257,0),0),IF($AJ$5&lt;&gt;"",IF(AJ257="Présent",AK257,0),0),IF($AL$5&lt;&gt;"",IF(AL257="Présent",AM257,0),0),IF($AN$5&lt;&gt;"",IF(AN257="Présent",AO257,0),0),IF($AP$5&lt;&gt;"",IF(AP257="Présent",AQ257,0),0),IF($AR$5&lt;&gt;"",IF(AR257="Présent",AS257,0),0),IF($AT$5&lt;&gt;"",IF(AT257="Présent",AU257,0),0),IF($AV$5&lt;&gt;"",IF(AV257="Présent",AW257,0),0),IF($AX$5&lt;&gt;"",IF(AX257="Présent",AY257,0),0),IF($AZ$5&lt;&gt;"",IF(AZ257="Présent",BA257,0),0),IF($BB$5&lt;&gt;"",IF(BB257="Présent",BC257,0),0),IF($BD$5&lt;&gt;"",IF(BD257="Présent",BE257,0),0),IF($BF$5&lt;&gt;"",IF(BF257="Présent",BG257,0),0),IF($BH$5&lt;&gt;"",IF(BH257="Présent",BI257,0),0),IF($BJ$5&lt;&gt;"",IF(BJ257="Présent",BK257,0),0),IF($BL$5&lt;&gt;"",IF(BL257="Présent",BM257,0),0)))</f>
      </c>
      <c r="BS257" s="25">
        <f>IF($A257="","",$BN257*IFERROR(INDEX(Categories_Salaire,MATCH($C257,ListeCategories,0)),0)+$BR257*IF(IFERROR(INDEX(Categories_TauxHS,MATCH($C257,ListeCategories,0)),0)&gt;0,IFERROR(INDEX(Categories_TauxHS,MATCH($C257,ListeCategories,0)),0),TauxHSDefaut))</f>
      </c>
    </row>
    <row r="258">
      <c r="A258" s="20">
        <f>IF(AND(INDEX(Employes_Nom,252)&lt;&gt;"",INDEX(Employes_Statut,252)="Actif",OR(INDEX(Employes_Embauche,252)="",INDEX(Employes_Embauche,252)&lt;=EOMONTH(DATE(AnneeCourante,MoisCourant,1),0))),INDEX(Employes_ID,252),"")</f>
      </c>
      <c r="B258" s="19">
        <f>IF($A258="","",INDEX(Employes_Nom,MATCH($A258,Employes_ID,0)))</f>
      </c>
      <c r="C258" s="20">
        <f>IF($A258="","",INDEX(Employes_Categorie,MATCH($A258,Employes_ID,0)))</f>
      </c>
      <c r="D258" s="26"/>
      <c r="E258" s="27"/>
      <c r="F258" s="26"/>
      <c r="G258" s="27"/>
      <c r="H258" s="26"/>
      <c r="I258" s="27"/>
      <c r="J258" s="26"/>
      <c r="K258" s="27"/>
      <c r="L258" s="26"/>
      <c r="M258" s="27"/>
      <c r="N258" s="26"/>
      <c r="O258" s="27"/>
      <c r="P258" s="26"/>
      <c r="Q258" s="27"/>
      <c r="R258" s="26"/>
      <c r="S258" s="27"/>
      <c r="T258" s="26"/>
      <c r="U258" s="27"/>
      <c r="V258" s="26"/>
      <c r="W258" s="27"/>
      <c r="X258" s="26"/>
      <c r="Y258" s="27"/>
      <c r="Z258" s="26"/>
      <c r="AA258" s="27"/>
      <c r="AB258" s="26"/>
      <c r="AC258" s="27"/>
      <c r="AD258" s="26"/>
      <c r="AE258" s="27"/>
      <c r="AF258" s="26"/>
      <c r="AG258" s="27"/>
      <c r="AH258" s="26"/>
      <c r="AI258" s="27"/>
      <c r="AJ258" s="26"/>
      <c r="AK258" s="27"/>
      <c r="AL258" s="26"/>
      <c r="AM258" s="27"/>
      <c r="AN258" s="26"/>
      <c r="AO258" s="27"/>
      <c r="AP258" s="26"/>
      <c r="AQ258" s="27"/>
      <c r="AR258" s="26"/>
      <c r="AS258" s="27"/>
      <c r="AT258" s="26"/>
      <c r="AU258" s="27"/>
      <c r="AV258" s="26"/>
      <c r="AW258" s="27"/>
      <c r="AX258" s="26"/>
      <c r="AY258" s="27"/>
      <c r="AZ258" s="26"/>
      <c r="BA258" s="27"/>
      <c r="BB258" s="26"/>
      <c r="BC258" s="27"/>
      <c r="BD258" s="26"/>
      <c r="BE258" s="27"/>
      <c r="BF258" s="26"/>
      <c r="BG258" s="27"/>
      <c r="BH258" s="26"/>
      <c r="BI258" s="27"/>
      <c r="BJ258" s="26"/>
      <c r="BK258" s="27"/>
      <c r="BL258" s="26"/>
      <c r="BM258" s="27"/>
      <c r="BN258" s="22">
        <f>IF($A258="","",SUM(IF($D$5&lt;&gt;"",--(D258="Présent"),0),IF($F$5&lt;&gt;"",--(F258="Présent"),0),IF($H$5&lt;&gt;"",--(H258="Présent"),0),IF($J$5&lt;&gt;"",--(J258="Présent"),0),IF($L$5&lt;&gt;"",--(L258="Présent"),0),IF($N$5&lt;&gt;"",--(N258="Présent"),0),IF($P$5&lt;&gt;"",--(P258="Présent"),0),IF($R$5&lt;&gt;"",--(R258="Présent"),0),IF($T$5&lt;&gt;"",--(T258="Présent"),0),IF($V$5&lt;&gt;"",--(V258="Présent"),0),IF($X$5&lt;&gt;"",--(X258="Présent"),0),IF($Z$5&lt;&gt;"",--(Z258="Présent"),0),IF($AB$5&lt;&gt;"",--(AB258="Présent"),0),IF($AD$5&lt;&gt;"",--(AD258="Présent"),0),IF($AF$5&lt;&gt;"",--(AF258="Présent"),0),IF($AH$5&lt;&gt;"",--(AH258="Présent"),0),IF($AJ$5&lt;&gt;"",--(AJ258="Présent"),0),IF($AL$5&lt;&gt;"",--(AL258="Présent"),0),IF($AN$5&lt;&gt;"",--(AN258="Présent"),0),IF($AP$5&lt;&gt;"",--(AP258="Présent"),0),IF($AR$5&lt;&gt;"",--(AR258="Présent"),0),IF($AT$5&lt;&gt;"",--(AT258="Présent"),0),IF($AV$5&lt;&gt;"",--(AV258="Présent"),0),IF($AX$5&lt;&gt;"",--(AX258="Présent"),0),IF($AZ$5&lt;&gt;"",--(AZ258="Présent"),0),IF($BB$5&lt;&gt;"",--(BB258="Présent"),0),IF($BD$5&lt;&gt;"",--(BD258="Présent"),0),IF($BF$5&lt;&gt;"",--(BF258="Présent"),0),IF($BH$5&lt;&gt;"",--(BH258="Présent"),0),IF($BJ$5&lt;&gt;"",--(BJ258="Présent"),0),IF($BL$5&lt;&gt;"",--(BL258="Présent"),0)))</f>
      </c>
      <c r="BO258" s="22">
        <f>IF($A258="","",SUM(IF($D$5&lt;&gt;"",--(D258="Absent"),0),IF($F$5&lt;&gt;"",--(F258="Absent"),0),IF($H$5&lt;&gt;"",--(H258="Absent"),0),IF($J$5&lt;&gt;"",--(J258="Absent"),0),IF($L$5&lt;&gt;"",--(L258="Absent"),0),IF($N$5&lt;&gt;"",--(N258="Absent"),0),IF($P$5&lt;&gt;"",--(P258="Absent"),0),IF($R$5&lt;&gt;"",--(R258="Absent"),0),IF($T$5&lt;&gt;"",--(T258="Absent"),0),IF($V$5&lt;&gt;"",--(V258="Absent"),0),IF($X$5&lt;&gt;"",--(X258="Absent"),0),IF($Z$5&lt;&gt;"",--(Z258="Absent"),0),IF($AB$5&lt;&gt;"",--(AB258="Absent"),0),IF($AD$5&lt;&gt;"",--(AD258="Absent"),0),IF($AF$5&lt;&gt;"",--(AF258="Absent"),0),IF($AH$5&lt;&gt;"",--(AH258="Absent"),0),IF($AJ$5&lt;&gt;"",--(AJ258="Absent"),0),IF($AL$5&lt;&gt;"",--(AL258="Absent"),0),IF($AN$5&lt;&gt;"",--(AN258="Absent"),0),IF($AP$5&lt;&gt;"",--(AP258="Absent"),0),IF($AR$5&lt;&gt;"",--(AR258="Absent"),0),IF($AT$5&lt;&gt;"",--(AT258="Absent"),0),IF($AV$5&lt;&gt;"",--(AV258="Absent"),0),IF($AX$5&lt;&gt;"",--(AX258="Absent"),0),IF($AZ$5&lt;&gt;"",--(AZ258="Absent"),0),IF($BB$5&lt;&gt;"",--(BB258="Absent"),0),IF($BD$5&lt;&gt;"",--(BD258="Absent"),0),IF($BF$5&lt;&gt;"",--(BF258="Absent"),0),IF($BH$5&lt;&gt;"",--(BH258="Absent"),0),IF($BJ$5&lt;&gt;"",--(BJ258="Absent"),0),IF($BL$5&lt;&gt;"",--(BL258="Absent"),0)))</f>
      </c>
      <c r="BP258" s="22">
        <f>IF($A258="","",SUM(IF($D$5&lt;&gt;"",--(D258="Congé"),0),IF($F$5&lt;&gt;"",--(F258="Congé"),0),IF($H$5&lt;&gt;"",--(H258="Congé"),0),IF($J$5&lt;&gt;"",--(J258="Congé"),0),IF($L$5&lt;&gt;"",--(L258="Congé"),0),IF($N$5&lt;&gt;"",--(N258="Congé"),0),IF($P$5&lt;&gt;"",--(P258="Congé"),0),IF($R$5&lt;&gt;"",--(R258="Congé"),0),IF($T$5&lt;&gt;"",--(T258="Congé"),0),IF($V$5&lt;&gt;"",--(V258="Congé"),0),IF($X$5&lt;&gt;"",--(X258="Congé"),0),IF($Z$5&lt;&gt;"",--(Z258="Congé"),0),IF($AB$5&lt;&gt;"",--(AB258="Congé"),0),IF($AD$5&lt;&gt;"",--(AD258="Congé"),0),IF($AF$5&lt;&gt;"",--(AF258="Congé"),0),IF($AH$5&lt;&gt;"",--(AH258="Congé"),0),IF($AJ$5&lt;&gt;"",--(AJ258="Congé"),0),IF($AL$5&lt;&gt;"",--(AL258="Congé"),0),IF($AN$5&lt;&gt;"",--(AN258="Congé"),0),IF($AP$5&lt;&gt;"",--(AP258="Congé"),0),IF($AR$5&lt;&gt;"",--(AR258="Congé"),0),IF($AT$5&lt;&gt;"",--(AT258="Congé"),0),IF($AV$5&lt;&gt;"",--(AV258="Congé"),0),IF($AX$5&lt;&gt;"",--(AX258="Congé"),0),IF($AZ$5&lt;&gt;"",--(AZ258="Congé"),0),IF($BB$5&lt;&gt;"",--(BB258="Congé"),0),IF($BD$5&lt;&gt;"",--(BD258="Congé"),0),IF($BF$5&lt;&gt;"",--(BF258="Congé"),0),IF($BH$5&lt;&gt;"",--(BH258="Congé"),0),IF($BJ$5&lt;&gt;"",--(BJ258="Congé"),0),IF($BL$5&lt;&gt;"",--(BL258="Congé"),0)))</f>
      </c>
      <c r="BQ258" s="22">
        <f>IF($A258="","",SUM(IF($D$5&lt;&gt;"",--(D258="Maladie"),0),IF($F$5&lt;&gt;"",--(F258="Maladie"),0),IF($H$5&lt;&gt;"",--(H258="Maladie"),0),IF($J$5&lt;&gt;"",--(J258="Maladie"),0),IF($L$5&lt;&gt;"",--(L258="Maladie"),0),IF($N$5&lt;&gt;"",--(N258="Maladie"),0),IF($P$5&lt;&gt;"",--(P258="Maladie"),0),IF($R$5&lt;&gt;"",--(R258="Maladie"),0),IF($T$5&lt;&gt;"",--(T258="Maladie"),0),IF($V$5&lt;&gt;"",--(V258="Maladie"),0),IF($X$5&lt;&gt;"",--(X258="Maladie"),0),IF($Z$5&lt;&gt;"",--(Z258="Maladie"),0),IF($AB$5&lt;&gt;"",--(AB258="Maladie"),0),IF($AD$5&lt;&gt;"",--(AD258="Maladie"),0),IF($AF$5&lt;&gt;"",--(AF258="Maladie"),0),IF($AH$5&lt;&gt;"",--(AH258="Maladie"),0),IF($AJ$5&lt;&gt;"",--(AJ258="Maladie"),0),IF($AL$5&lt;&gt;"",--(AL258="Maladie"),0),IF($AN$5&lt;&gt;"",--(AN258="Maladie"),0),IF($AP$5&lt;&gt;"",--(AP258="Maladie"),0),IF($AR$5&lt;&gt;"",--(AR258="Maladie"),0),IF($AT$5&lt;&gt;"",--(AT258="Maladie"),0),IF($AV$5&lt;&gt;"",--(AV258="Maladie"),0),IF($AX$5&lt;&gt;"",--(AX258="Maladie"),0),IF($AZ$5&lt;&gt;"",--(AZ258="Maladie"),0),IF($BB$5&lt;&gt;"",--(BB258="Maladie"),0),IF($BD$5&lt;&gt;"",--(BD258="Maladie"),0),IF($BF$5&lt;&gt;"",--(BF258="Maladie"),0),IF($BH$5&lt;&gt;"",--(BH258="Maladie"),0),IF($BJ$5&lt;&gt;"",--(BJ258="Maladie"),0),IF($BL$5&lt;&gt;"",--(BL258="Maladie"),0)))</f>
      </c>
      <c r="BR258" s="23">
        <f>IF($A258="","",SUM(IF($D$5&lt;&gt;"",IF(D258="Présent",E258,0),0),IF($F$5&lt;&gt;"",IF(F258="Présent",G258,0),0),IF($H$5&lt;&gt;"",IF(H258="Présent",I258,0),0),IF($J$5&lt;&gt;"",IF(J258="Présent",K258,0),0),IF($L$5&lt;&gt;"",IF(L258="Présent",M258,0),0),IF($N$5&lt;&gt;"",IF(N258="Présent",O258,0),0),IF($P$5&lt;&gt;"",IF(P258="Présent",Q258,0),0),IF($R$5&lt;&gt;"",IF(R258="Présent",S258,0),0),IF($T$5&lt;&gt;"",IF(T258="Présent",U258,0),0),IF($V$5&lt;&gt;"",IF(V258="Présent",W258,0),0),IF($X$5&lt;&gt;"",IF(X258="Présent",Y258,0),0),IF($Z$5&lt;&gt;"",IF(Z258="Présent",AA258,0),0),IF($AB$5&lt;&gt;"",IF(AB258="Présent",AC258,0),0),IF($AD$5&lt;&gt;"",IF(AD258="Présent",AE258,0),0),IF($AF$5&lt;&gt;"",IF(AF258="Présent",AG258,0),0),IF($AH$5&lt;&gt;"",IF(AH258="Présent",AI258,0),0),IF($AJ$5&lt;&gt;"",IF(AJ258="Présent",AK258,0),0),IF($AL$5&lt;&gt;"",IF(AL258="Présent",AM258,0),0),IF($AN$5&lt;&gt;"",IF(AN258="Présent",AO258,0),0),IF($AP$5&lt;&gt;"",IF(AP258="Présent",AQ258,0),0),IF($AR$5&lt;&gt;"",IF(AR258="Présent",AS258,0),0),IF($AT$5&lt;&gt;"",IF(AT258="Présent",AU258,0),0),IF($AV$5&lt;&gt;"",IF(AV258="Présent",AW258,0),0),IF($AX$5&lt;&gt;"",IF(AX258="Présent",AY258,0),0),IF($AZ$5&lt;&gt;"",IF(AZ258="Présent",BA258,0),0),IF($BB$5&lt;&gt;"",IF(BB258="Présent",BC258,0),0),IF($BD$5&lt;&gt;"",IF(BD258="Présent",BE258,0),0),IF($BF$5&lt;&gt;"",IF(BF258="Présent",BG258,0),0),IF($BH$5&lt;&gt;"",IF(BH258="Présent",BI258,0),0),IF($BJ$5&lt;&gt;"",IF(BJ258="Présent",BK258,0),0),IF($BL$5&lt;&gt;"",IF(BL258="Présent",BM258,0),0)))</f>
      </c>
      <c r="BS258" s="25">
        <f>IF($A258="","",$BN258*IFERROR(INDEX(Categories_Salaire,MATCH($C258,ListeCategories,0)),0)+$BR258*IF(IFERROR(INDEX(Categories_TauxHS,MATCH($C258,ListeCategories,0)),0)&gt;0,IFERROR(INDEX(Categories_TauxHS,MATCH($C258,ListeCategories,0)),0),TauxHSDefaut))</f>
      </c>
    </row>
    <row r="259">
      <c r="A259" s="20">
        <f>IF(AND(INDEX(Employes_Nom,253)&lt;&gt;"",INDEX(Employes_Statut,253)="Actif",OR(INDEX(Employes_Embauche,253)="",INDEX(Employes_Embauche,253)&lt;=EOMONTH(DATE(AnneeCourante,MoisCourant,1),0))),INDEX(Employes_ID,253),"")</f>
      </c>
      <c r="B259" s="19">
        <f>IF($A259="","",INDEX(Employes_Nom,MATCH($A259,Employes_ID,0)))</f>
      </c>
      <c r="C259" s="20">
        <f>IF($A259="","",INDEX(Employes_Categorie,MATCH($A259,Employes_ID,0)))</f>
      </c>
      <c r="D259" s="26"/>
      <c r="E259" s="27"/>
      <c r="F259" s="26"/>
      <c r="G259" s="27"/>
      <c r="H259" s="26"/>
      <c r="I259" s="27"/>
      <c r="J259" s="26"/>
      <c r="K259" s="27"/>
      <c r="L259" s="26"/>
      <c r="M259" s="27"/>
      <c r="N259" s="26"/>
      <c r="O259" s="27"/>
      <c r="P259" s="26"/>
      <c r="Q259" s="27"/>
      <c r="R259" s="26"/>
      <c r="S259" s="27"/>
      <c r="T259" s="26"/>
      <c r="U259" s="27"/>
      <c r="V259" s="26"/>
      <c r="W259" s="27"/>
      <c r="X259" s="26"/>
      <c r="Y259" s="27"/>
      <c r="Z259" s="26"/>
      <c r="AA259" s="27"/>
      <c r="AB259" s="26"/>
      <c r="AC259" s="27"/>
      <c r="AD259" s="26"/>
      <c r="AE259" s="27"/>
      <c r="AF259" s="26"/>
      <c r="AG259" s="27"/>
      <c r="AH259" s="26"/>
      <c r="AI259" s="27"/>
      <c r="AJ259" s="26"/>
      <c r="AK259" s="27"/>
      <c r="AL259" s="26"/>
      <c r="AM259" s="27"/>
      <c r="AN259" s="26"/>
      <c r="AO259" s="27"/>
      <c r="AP259" s="26"/>
      <c r="AQ259" s="27"/>
      <c r="AR259" s="26"/>
      <c r="AS259" s="27"/>
      <c r="AT259" s="26"/>
      <c r="AU259" s="27"/>
      <c r="AV259" s="26"/>
      <c r="AW259" s="27"/>
      <c r="AX259" s="26"/>
      <c r="AY259" s="27"/>
      <c r="AZ259" s="26"/>
      <c r="BA259" s="27"/>
      <c r="BB259" s="26"/>
      <c r="BC259" s="27"/>
      <c r="BD259" s="26"/>
      <c r="BE259" s="27"/>
      <c r="BF259" s="26"/>
      <c r="BG259" s="27"/>
      <c r="BH259" s="26"/>
      <c r="BI259" s="27"/>
      <c r="BJ259" s="26"/>
      <c r="BK259" s="27"/>
      <c r="BL259" s="26"/>
      <c r="BM259" s="27"/>
      <c r="BN259" s="22">
        <f>IF($A259="","",SUM(IF($D$5&lt;&gt;"",--(D259="Présent"),0),IF($F$5&lt;&gt;"",--(F259="Présent"),0),IF($H$5&lt;&gt;"",--(H259="Présent"),0),IF($J$5&lt;&gt;"",--(J259="Présent"),0),IF($L$5&lt;&gt;"",--(L259="Présent"),0),IF($N$5&lt;&gt;"",--(N259="Présent"),0),IF($P$5&lt;&gt;"",--(P259="Présent"),0),IF($R$5&lt;&gt;"",--(R259="Présent"),0),IF($T$5&lt;&gt;"",--(T259="Présent"),0),IF($V$5&lt;&gt;"",--(V259="Présent"),0),IF($X$5&lt;&gt;"",--(X259="Présent"),0),IF($Z$5&lt;&gt;"",--(Z259="Présent"),0),IF($AB$5&lt;&gt;"",--(AB259="Présent"),0),IF($AD$5&lt;&gt;"",--(AD259="Présent"),0),IF($AF$5&lt;&gt;"",--(AF259="Présent"),0),IF($AH$5&lt;&gt;"",--(AH259="Présent"),0),IF($AJ$5&lt;&gt;"",--(AJ259="Présent"),0),IF($AL$5&lt;&gt;"",--(AL259="Présent"),0),IF($AN$5&lt;&gt;"",--(AN259="Présent"),0),IF($AP$5&lt;&gt;"",--(AP259="Présent"),0),IF($AR$5&lt;&gt;"",--(AR259="Présent"),0),IF($AT$5&lt;&gt;"",--(AT259="Présent"),0),IF($AV$5&lt;&gt;"",--(AV259="Présent"),0),IF($AX$5&lt;&gt;"",--(AX259="Présent"),0),IF($AZ$5&lt;&gt;"",--(AZ259="Présent"),0),IF($BB$5&lt;&gt;"",--(BB259="Présent"),0),IF($BD$5&lt;&gt;"",--(BD259="Présent"),0),IF($BF$5&lt;&gt;"",--(BF259="Présent"),0),IF($BH$5&lt;&gt;"",--(BH259="Présent"),0),IF($BJ$5&lt;&gt;"",--(BJ259="Présent"),0),IF($BL$5&lt;&gt;"",--(BL259="Présent"),0)))</f>
      </c>
      <c r="BO259" s="22">
        <f>IF($A259="","",SUM(IF($D$5&lt;&gt;"",--(D259="Absent"),0),IF($F$5&lt;&gt;"",--(F259="Absent"),0),IF($H$5&lt;&gt;"",--(H259="Absent"),0),IF($J$5&lt;&gt;"",--(J259="Absent"),0),IF($L$5&lt;&gt;"",--(L259="Absent"),0),IF($N$5&lt;&gt;"",--(N259="Absent"),0),IF($P$5&lt;&gt;"",--(P259="Absent"),0),IF($R$5&lt;&gt;"",--(R259="Absent"),0),IF($T$5&lt;&gt;"",--(T259="Absent"),0),IF($V$5&lt;&gt;"",--(V259="Absent"),0),IF($X$5&lt;&gt;"",--(X259="Absent"),0),IF($Z$5&lt;&gt;"",--(Z259="Absent"),0),IF($AB$5&lt;&gt;"",--(AB259="Absent"),0),IF($AD$5&lt;&gt;"",--(AD259="Absent"),0),IF($AF$5&lt;&gt;"",--(AF259="Absent"),0),IF($AH$5&lt;&gt;"",--(AH259="Absent"),0),IF($AJ$5&lt;&gt;"",--(AJ259="Absent"),0),IF($AL$5&lt;&gt;"",--(AL259="Absent"),0),IF($AN$5&lt;&gt;"",--(AN259="Absent"),0),IF($AP$5&lt;&gt;"",--(AP259="Absent"),0),IF($AR$5&lt;&gt;"",--(AR259="Absent"),0),IF($AT$5&lt;&gt;"",--(AT259="Absent"),0),IF($AV$5&lt;&gt;"",--(AV259="Absent"),0),IF($AX$5&lt;&gt;"",--(AX259="Absent"),0),IF($AZ$5&lt;&gt;"",--(AZ259="Absent"),0),IF($BB$5&lt;&gt;"",--(BB259="Absent"),0),IF($BD$5&lt;&gt;"",--(BD259="Absent"),0),IF($BF$5&lt;&gt;"",--(BF259="Absent"),0),IF($BH$5&lt;&gt;"",--(BH259="Absent"),0),IF($BJ$5&lt;&gt;"",--(BJ259="Absent"),0),IF($BL$5&lt;&gt;"",--(BL259="Absent"),0)))</f>
      </c>
      <c r="BP259" s="22">
        <f>IF($A259="","",SUM(IF($D$5&lt;&gt;"",--(D259="Congé"),0),IF($F$5&lt;&gt;"",--(F259="Congé"),0),IF($H$5&lt;&gt;"",--(H259="Congé"),0),IF($J$5&lt;&gt;"",--(J259="Congé"),0),IF($L$5&lt;&gt;"",--(L259="Congé"),0),IF($N$5&lt;&gt;"",--(N259="Congé"),0),IF($P$5&lt;&gt;"",--(P259="Congé"),0),IF($R$5&lt;&gt;"",--(R259="Congé"),0),IF($T$5&lt;&gt;"",--(T259="Congé"),0),IF($V$5&lt;&gt;"",--(V259="Congé"),0),IF($X$5&lt;&gt;"",--(X259="Congé"),0),IF($Z$5&lt;&gt;"",--(Z259="Congé"),0),IF($AB$5&lt;&gt;"",--(AB259="Congé"),0),IF($AD$5&lt;&gt;"",--(AD259="Congé"),0),IF($AF$5&lt;&gt;"",--(AF259="Congé"),0),IF($AH$5&lt;&gt;"",--(AH259="Congé"),0),IF($AJ$5&lt;&gt;"",--(AJ259="Congé"),0),IF($AL$5&lt;&gt;"",--(AL259="Congé"),0),IF($AN$5&lt;&gt;"",--(AN259="Congé"),0),IF($AP$5&lt;&gt;"",--(AP259="Congé"),0),IF($AR$5&lt;&gt;"",--(AR259="Congé"),0),IF($AT$5&lt;&gt;"",--(AT259="Congé"),0),IF($AV$5&lt;&gt;"",--(AV259="Congé"),0),IF($AX$5&lt;&gt;"",--(AX259="Congé"),0),IF($AZ$5&lt;&gt;"",--(AZ259="Congé"),0),IF($BB$5&lt;&gt;"",--(BB259="Congé"),0),IF($BD$5&lt;&gt;"",--(BD259="Congé"),0),IF($BF$5&lt;&gt;"",--(BF259="Congé"),0),IF($BH$5&lt;&gt;"",--(BH259="Congé"),0),IF($BJ$5&lt;&gt;"",--(BJ259="Congé"),0),IF($BL$5&lt;&gt;"",--(BL259="Congé"),0)))</f>
      </c>
      <c r="BQ259" s="22">
        <f>IF($A259="","",SUM(IF($D$5&lt;&gt;"",--(D259="Maladie"),0),IF($F$5&lt;&gt;"",--(F259="Maladie"),0),IF($H$5&lt;&gt;"",--(H259="Maladie"),0),IF($J$5&lt;&gt;"",--(J259="Maladie"),0),IF($L$5&lt;&gt;"",--(L259="Maladie"),0),IF($N$5&lt;&gt;"",--(N259="Maladie"),0),IF($P$5&lt;&gt;"",--(P259="Maladie"),0),IF($R$5&lt;&gt;"",--(R259="Maladie"),0),IF($T$5&lt;&gt;"",--(T259="Maladie"),0),IF($V$5&lt;&gt;"",--(V259="Maladie"),0),IF($X$5&lt;&gt;"",--(X259="Maladie"),0),IF($Z$5&lt;&gt;"",--(Z259="Maladie"),0),IF($AB$5&lt;&gt;"",--(AB259="Maladie"),0),IF($AD$5&lt;&gt;"",--(AD259="Maladie"),0),IF($AF$5&lt;&gt;"",--(AF259="Maladie"),0),IF($AH$5&lt;&gt;"",--(AH259="Maladie"),0),IF($AJ$5&lt;&gt;"",--(AJ259="Maladie"),0),IF($AL$5&lt;&gt;"",--(AL259="Maladie"),0),IF($AN$5&lt;&gt;"",--(AN259="Maladie"),0),IF($AP$5&lt;&gt;"",--(AP259="Maladie"),0),IF($AR$5&lt;&gt;"",--(AR259="Maladie"),0),IF($AT$5&lt;&gt;"",--(AT259="Maladie"),0),IF($AV$5&lt;&gt;"",--(AV259="Maladie"),0),IF($AX$5&lt;&gt;"",--(AX259="Maladie"),0),IF($AZ$5&lt;&gt;"",--(AZ259="Maladie"),0),IF($BB$5&lt;&gt;"",--(BB259="Maladie"),0),IF($BD$5&lt;&gt;"",--(BD259="Maladie"),0),IF($BF$5&lt;&gt;"",--(BF259="Maladie"),0),IF($BH$5&lt;&gt;"",--(BH259="Maladie"),0),IF($BJ$5&lt;&gt;"",--(BJ259="Maladie"),0),IF($BL$5&lt;&gt;"",--(BL259="Maladie"),0)))</f>
      </c>
      <c r="BR259" s="23">
        <f>IF($A259="","",SUM(IF($D$5&lt;&gt;"",IF(D259="Présent",E259,0),0),IF($F$5&lt;&gt;"",IF(F259="Présent",G259,0),0),IF($H$5&lt;&gt;"",IF(H259="Présent",I259,0),0),IF($J$5&lt;&gt;"",IF(J259="Présent",K259,0),0),IF($L$5&lt;&gt;"",IF(L259="Présent",M259,0),0),IF($N$5&lt;&gt;"",IF(N259="Présent",O259,0),0),IF($P$5&lt;&gt;"",IF(P259="Présent",Q259,0),0),IF($R$5&lt;&gt;"",IF(R259="Présent",S259,0),0),IF($T$5&lt;&gt;"",IF(T259="Présent",U259,0),0),IF($V$5&lt;&gt;"",IF(V259="Présent",W259,0),0),IF($X$5&lt;&gt;"",IF(X259="Présent",Y259,0),0),IF($Z$5&lt;&gt;"",IF(Z259="Présent",AA259,0),0),IF($AB$5&lt;&gt;"",IF(AB259="Présent",AC259,0),0),IF($AD$5&lt;&gt;"",IF(AD259="Présent",AE259,0),0),IF($AF$5&lt;&gt;"",IF(AF259="Présent",AG259,0),0),IF($AH$5&lt;&gt;"",IF(AH259="Présent",AI259,0),0),IF($AJ$5&lt;&gt;"",IF(AJ259="Présent",AK259,0),0),IF($AL$5&lt;&gt;"",IF(AL259="Présent",AM259,0),0),IF($AN$5&lt;&gt;"",IF(AN259="Présent",AO259,0),0),IF($AP$5&lt;&gt;"",IF(AP259="Présent",AQ259,0),0),IF($AR$5&lt;&gt;"",IF(AR259="Présent",AS259,0),0),IF($AT$5&lt;&gt;"",IF(AT259="Présent",AU259,0),0),IF($AV$5&lt;&gt;"",IF(AV259="Présent",AW259,0),0),IF($AX$5&lt;&gt;"",IF(AX259="Présent",AY259,0),0),IF($AZ$5&lt;&gt;"",IF(AZ259="Présent",BA259,0),0),IF($BB$5&lt;&gt;"",IF(BB259="Présent",BC259,0),0),IF($BD$5&lt;&gt;"",IF(BD259="Présent",BE259,0),0),IF($BF$5&lt;&gt;"",IF(BF259="Présent",BG259,0),0),IF($BH$5&lt;&gt;"",IF(BH259="Présent",BI259,0),0),IF($BJ$5&lt;&gt;"",IF(BJ259="Présent",BK259,0),0),IF($BL$5&lt;&gt;"",IF(BL259="Présent",BM259,0),0)))</f>
      </c>
      <c r="BS259" s="25">
        <f>IF($A259="","",$BN259*IFERROR(INDEX(Categories_Salaire,MATCH($C259,ListeCategories,0)),0)+$BR259*IF(IFERROR(INDEX(Categories_TauxHS,MATCH($C259,ListeCategories,0)),0)&gt;0,IFERROR(INDEX(Categories_TauxHS,MATCH($C259,ListeCategories,0)),0),TauxHSDefaut))</f>
      </c>
    </row>
    <row r="260">
      <c r="A260" s="20">
        <f>IF(AND(INDEX(Employes_Nom,254)&lt;&gt;"",INDEX(Employes_Statut,254)="Actif",OR(INDEX(Employes_Embauche,254)="",INDEX(Employes_Embauche,254)&lt;=EOMONTH(DATE(AnneeCourante,MoisCourant,1),0))),INDEX(Employes_ID,254),"")</f>
      </c>
      <c r="B260" s="19">
        <f>IF($A260="","",INDEX(Employes_Nom,MATCH($A260,Employes_ID,0)))</f>
      </c>
      <c r="C260" s="20">
        <f>IF($A260="","",INDEX(Employes_Categorie,MATCH($A260,Employes_ID,0)))</f>
      </c>
      <c r="D260" s="26"/>
      <c r="E260" s="27"/>
      <c r="F260" s="26"/>
      <c r="G260" s="27"/>
      <c r="H260" s="26"/>
      <c r="I260" s="27"/>
      <c r="J260" s="26"/>
      <c r="K260" s="27"/>
      <c r="L260" s="26"/>
      <c r="M260" s="27"/>
      <c r="N260" s="26"/>
      <c r="O260" s="27"/>
      <c r="P260" s="26"/>
      <c r="Q260" s="27"/>
      <c r="R260" s="26"/>
      <c r="S260" s="27"/>
      <c r="T260" s="26"/>
      <c r="U260" s="27"/>
      <c r="V260" s="26"/>
      <c r="W260" s="27"/>
      <c r="X260" s="26"/>
      <c r="Y260" s="27"/>
      <c r="Z260" s="26"/>
      <c r="AA260" s="27"/>
      <c r="AB260" s="26"/>
      <c r="AC260" s="27"/>
      <c r="AD260" s="26"/>
      <c r="AE260" s="27"/>
      <c r="AF260" s="26"/>
      <c r="AG260" s="27"/>
      <c r="AH260" s="26"/>
      <c r="AI260" s="27"/>
      <c r="AJ260" s="26"/>
      <c r="AK260" s="27"/>
      <c r="AL260" s="26"/>
      <c r="AM260" s="27"/>
      <c r="AN260" s="26"/>
      <c r="AO260" s="27"/>
      <c r="AP260" s="26"/>
      <c r="AQ260" s="27"/>
      <c r="AR260" s="26"/>
      <c r="AS260" s="27"/>
      <c r="AT260" s="26"/>
      <c r="AU260" s="27"/>
      <c r="AV260" s="26"/>
      <c r="AW260" s="27"/>
      <c r="AX260" s="26"/>
      <c r="AY260" s="27"/>
      <c r="AZ260" s="26"/>
      <c r="BA260" s="27"/>
      <c r="BB260" s="26"/>
      <c r="BC260" s="27"/>
      <c r="BD260" s="26"/>
      <c r="BE260" s="27"/>
      <c r="BF260" s="26"/>
      <c r="BG260" s="27"/>
      <c r="BH260" s="26"/>
      <c r="BI260" s="27"/>
      <c r="BJ260" s="26"/>
      <c r="BK260" s="27"/>
      <c r="BL260" s="26"/>
      <c r="BM260" s="27"/>
      <c r="BN260" s="22">
        <f>IF($A260="","",SUM(IF($D$5&lt;&gt;"",--(D260="Présent"),0),IF($F$5&lt;&gt;"",--(F260="Présent"),0),IF($H$5&lt;&gt;"",--(H260="Présent"),0),IF($J$5&lt;&gt;"",--(J260="Présent"),0),IF($L$5&lt;&gt;"",--(L260="Présent"),0),IF($N$5&lt;&gt;"",--(N260="Présent"),0),IF($P$5&lt;&gt;"",--(P260="Présent"),0),IF($R$5&lt;&gt;"",--(R260="Présent"),0),IF($T$5&lt;&gt;"",--(T260="Présent"),0),IF($V$5&lt;&gt;"",--(V260="Présent"),0),IF($X$5&lt;&gt;"",--(X260="Présent"),0),IF($Z$5&lt;&gt;"",--(Z260="Présent"),0),IF($AB$5&lt;&gt;"",--(AB260="Présent"),0),IF($AD$5&lt;&gt;"",--(AD260="Présent"),0),IF($AF$5&lt;&gt;"",--(AF260="Présent"),0),IF($AH$5&lt;&gt;"",--(AH260="Présent"),0),IF($AJ$5&lt;&gt;"",--(AJ260="Présent"),0),IF($AL$5&lt;&gt;"",--(AL260="Présent"),0),IF($AN$5&lt;&gt;"",--(AN260="Présent"),0),IF($AP$5&lt;&gt;"",--(AP260="Présent"),0),IF($AR$5&lt;&gt;"",--(AR260="Présent"),0),IF($AT$5&lt;&gt;"",--(AT260="Présent"),0),IF($AV$5&lt;&gt;"",--(AV260="Présent"),0),IF($AX$5&lt;&gt;"",--(AX260="Présent"),0),IF($AZ$5&lt;&gt;"",--(AZ260="Présent"),0),IF($BB$5&lt;&gt;"",--(BB260="Présent"),0),IF($BD$5&lt;&gt;"",--(BD260="Présent"),0),IF($BF$5&lt;&gt;"",--(BF260="Présent"),0),IF($BH$5&lt;&gt;"",--(BH260="Présent"),0),IF($BJ$5&lt;&gt;"",--(BJ260="Présent"),0),IF($BL$5&lt;&gt;"",--(BL260="Présent"),0)))</f>
      </c>
      <c r="BO260" s="22">
        <f>IF($A260="","",SUM(IF($D$5&lt;&gt;"",--(D260="Absent"),0),IF($F$5&lt;&gt;"",--(F260="Absent"),0),IF($H$5&lt;&gt;"",--(H260="Absent"),0),IF($J$5&lt;&gt;"",--(J260="Absent"),0),IF($L$5&lt;&gt;"",--(L260="Absent"),0),IF($N$5&lt;&gt;"",--(N260="Absent"),0),IF($P$5&lt;&gt;"",--(P260="Absent"),0),IF($R$5&lt;&gt;"",--(R260="Absent"),0),IF($T$5&lt;&gt;"",--(T260="Absent"),0),IF($V$5&lt;&gt;"",--(V260="Absent"),0),IF($X$5&lt;&gt;"",--(X260="Absent"),0),IF($Z$5&lt;&gt;"",--(Z260="Absent"),0),IF($AB$5&lt;&gt;"",--(AB260="Absent"),0),IF($AD$5&lt;&gt;"",--(AD260="Absent"),0),IF($AF$5&lt;&gt;"",--(AF260="Absent"),0),IF($AH$5&lt;&gt;"",--(AH260="Absent"),0),IF($AJ$5&lt;&gt;"",--(AJ260="Absent"),0),IF($AL$5&lt;&gt;"",--(AL260="Absent"),0),IF($AN$5&lt;&gt;"",--(AN260="Absent"),0),IF($AP$5&lt;&gt;"",--(AP260="Absent"),0),IF($AR$5&lt;&gt;"",--(AR260="Absent"),0),IF($AT$5&lt;&gt;"",--(AT260="Absent"),0),IF($AV$5&lt;&gt;"",--(AV260="Absent"),0),IF($AX$5&lt;&gt;"",--(AX260="Absent"),0),IF($AZ$5&lt;&gt;"",--(AZ260="Absent"),0),IF($BB$5&lt;&gt;"",--(BB260="Absent"),0),IF($BD$5&lt;&gt;"",--(BD260="Absent"),0),IF($BF$5&lt;&gt;"",--(BF260="Absent"),0),IF($BH$5&lt;&gt;"",--(BH260="Absent"),0),IF($BJ$5&lt;&gt;"",--(BJ260="Absent"),0),IF($BL$5&lt;&gt;"",--(BL260="Absent"),0)))</f>
      </c>
      <c r="BP260" s="22">
        <f>IF($A260="","",SUM(IF($D$5&lt;&gt;"",--(D260="Congé"),0),IF($F$5&lt;&gt;"",--(F260="Congé"),0),IF($H$5&lt;&gt;"",--(H260="Congé"),0),IF($J$5&lt;&gt;"",--(J260="Congé"),0),IF($L$5&lt;&gt;"",--(L260="Congé"),0),IF($N$5&lt;&gt;"",--(N260="Congé"),0),IF($P$5&lt;&gt;"",--(P260="Congé"),0),IF($R$5&lt;&gt;"",--(R260="Congé"),0),IF($T$5&lt;&gt;"",--(T260="Congé"),0),IF($V$5&lt;&gt;"",--(V260="Congé"),0),IF($X$5&lt;&gt;"",--(X260="Congé"),0),IF($Z$5&lt;&gt;"",--(Z260="Congé"),0),IF($AB$5&lt;&gt;"",--(AB260="Congé"),0),IF($AD$5&lt;&gt;"",--(AD260="Congé"),0),IF($AF$5&lt;&gt;"",--(AF260="Congé"),0),IF($AH$5&lt;&gt;"",--(AH260="Congé"),0),IF($AJ$5&lt;&gt;"",--(AJ260="Congé"),0),IF($AL$5&lt;&gt;"",--(AL260="Congé"),0),IF($AN$5&lt;&gt;"",--(AN260="Congé"),0),IF($AP$5&lt;&gt;"",--(AP260="Congé"),0),IF($AR$5&lt;&gt;"",--(AR260="Congé"),0),IF($AT$5&lt;&gt;"",--(AT260="Congé"),0),IF($AV$5&lt;&gt;"",--(AV260="Congé"),0),IF($AX$5&lt;&gt;"",--(AX260="Congé"),0),IF($AZ$5&lt;&gt;"",--(AZ260="Congé"),0),IF($BB$5&lt;&gt;"",--(BB260="Congé"),0),IF($BD$5&lt;&gt;"",--(BD260="Congé"),0),IF($BF$5&lt;&gt;"",--(BF260="Congé"),0),IF($BH$5&lt;&gt;"",--(BH260="Congé"),0),IF($BJ$5&lt;&gt;"",--(BJ260="Congé"),0),IF($BL$5&lt;&gt;"",--(BL260="Congé"),0)))</f>
      </c>
      <c r="BQ260" s="22">
        <f>IF($A260="","",SUM(IF($D$5&lt;&gt;"",--(D260="Maladie"),0),IF($F$5&lt;&gt;"",--(F260="Maladie"),0),IF($H$5&lt;&gt;"",--(H260="Maladie"),0),IF($J$5&lt;&gt;"",--(J260="Maladie"),0),IF($L$5&lt;&gt;"",--(L260="Maladie"),0),IF($N$5&lt;&gt;"",--(N260="Maladie"),0),IF($P$5&lt;&gt;"",--(P260="Maladie"),0),IF($R$5&lt;&gt;"",--(R260="Maladie"),0),IF($T$5&lt;&gt;"",--(T260="Maladie"),0),IF($V$5&lt;&gt;"",--(V260="Maladie"),0),IF($X$5&lt;&gt;"",--(X260="Maladie"),0),IF($Z$5&lt;&gt;"",--(Z260="Maladie"),0),IF($AB$5&lt;&gt;"",--(AB260="Maladie"),0),IF($AD$5&lt;&gt;"",--(AD260="Maladie"),0),IF($AF$5&lt;&gt;"",--(AF260="Maladie"),0),IF($AH$5&lt;&gt;"",--(AH260="Maladie"),0),IF($AJ$5&lt;&gt;"",--(AJ260="Maladie"),0),IF($AL$5&lt;&gt;"",--(AL260="Maladie"),0),IF($AN$5&lt;&gt;"",--(AN260="Maladie"),0),IF($AP$5&lt;&gt;"",--(AP260="Maladie"),0),IF($AR$5&lt;&gt;"",--(AR260="Maladie"),0),IF($AT$5&lt;&gt;"",--(AT260="Maladie"),0),IF($AV$5&lt;&gt;"",--(AV260="Maladie"),0),IF($AX$5&lt;&gt;"",--(AX260="Maladie"),0),IF($AZ$5&lt;&gt;"",--(AZ260="Maladie"),0),IF($BB$5&lt;&gt;"",--(BB260="Maladie"),0),IF($BD$5&lt;&gt;"",--(BD260="Maladie"),0),IF($BF$5&lt;&gt;"",--(BF260="Maladie"),0),IF($BH$5&lt;&gt;"",--(BH260="Maladie"),0),IF($BJ$5&lt;&gt;"",--(BJ260="Maladie"),0),IF($BL$5&lt;&gt;"",--(BL260="Maladie"),0)))</f>
      </c>
      <c r="BR260" s="23">
        <f>IF($A260="","",SUM(IF($D$5&lt;&gt;"",IF(D260="Présent",E260,0),0),IF($F$5&lt;&gt;"",IF(F260="Présent",G260,0),0),IF($H$5&lt;&gt;"",IF(H260="Présent",I260,0),0),IF($J$5&lt;&gt;"",IF(J260="Présent",K260,0),0),IF($L$5&lt;&gt;"",IF(L260="Présent",M260,0),0),IF($N$5&lt;&gt;"",IF(N260="Présent",O260,0),0),IF($P$5&lt;&gt;"",IF(P260="Présent",Q260,0),0),IF($R$5&lt;&gt;"",IF(R260="Présent",S260,0),0),IF($T$5&lt;&gt;"",IF(T260="Présent",U260,0),0),IF($V$5&lt;&gt;"",IF(V260="Présent",W260,0),0),IF($X$5&lt;&gt;"",IF(X260="Présent",Y260,0),0),IF($Z$5&lt;&gt;"",IF(Z260="Présent",AA260,0),0),IF($AB$5&lt;&gt;"",IF(AB260="Présent",AC260,0),0),IF($AD$5&lt;&gt;"",IF(AD260="Présent",AE260,0),0),IF($AF$5&lt;&gt;"",IF(AF260="Présent",AG260,0),0),IF($AH$5&lt;&gt;"",IF(AH260="Présent",AI260,0),0),IF($AJ$5&lt;&gt;"",IF(AJ260="Présent",AK260,0),0),IF($AL$5&lt;&gt;"",IF(AL260="Présent",AM260,0),0),IF($AN$5&lt;&gt;"",IF(AN260="Présent",AO260,0),0),IF($AP$5&lt;&gt;"",IF(AP260="Présent",AQ260,0),0),IF($AR$5&lt;&gt;"",IF(AR260="Présent",AS260,0),0),IF($AT$5&lt;&gt;"",IF(AT260="Présent",AU260,0),0),IF($AV$5&lt;&gt;"",IF(AV260="Présent",AW260,0),0),IF($AX$5&lt;&gt;"",IF(AX260="Présent",AY260,0),0),IF($AZ$5&lt;&gt;"",IF(AZ260="Présent",BA260,0),0),IF($BB$5&lt;&gt;"",IF(BB260="Présent",BC260,0),0),IF($BD$5&lt;&gt;"",IF(BD260="Présent",BE260,0),0),IF($BF$5&lt;&gt;"",IF(BF260="Présent",BG260,0),0),IF($BH$5&lt;&gt;"",IF(BH260="Présent",BI260,0),0),IF($BJ$5&lt;&gt;"",IF(BJ260="Présent",BK260,0),0),IF($BL$5&lt;&gt;"",IF(BL260="Présent",BM260,0),0)))</f>
      </c>
      <c r="BS260" s="25">
        <f>IF($A260="","",$BN260*IFERROR(INDEX(Categories_Salaire,MATCH($C260,ListeCategories,0)),0)+$BR260*IF(IFERROR(INDEX(Categories_TauxHS,MATCH($C260,ListeCategories,0)),0)&gt;0,IFERROR(INDEX(Categories_TauxHS,MATCH($C260,ListeCategories,0)),0),TauxHSDefaut))</f>
      </c>
    </row>
    <row r="261">
      <c r="A261" s="20">
        <f>IF(AND(INDEX(Employes_Nom,255)&lt;&gt;"",INDEX(Employes_Statut,255)="Actif",OR(INDEX(Employes_Embauche,255)="",INDEX(Employes_Embauche,255)&lt;=EOMONTH(DATE(AnneeCourante,MoisCourant,1),0))),INDEX(Employes_ID,255),"")</f>
      </c>
      <c r="B261" s="19">
        <f>IF($A261="","",INDEX(Employes_Nom,MATCH($A261,Employes_ID,0)))</f>
      </c>
      <c r="C261" s="20">
        <f>IF($A261="","",INDEX(Employes_Categorie,MATCH($A261,Employes_ID,0)))</f>
      </c>
      <c r="D261" s="26"/>
      <c r="E261" s="27"/>
      <c r="F261" s="26"/>
      <c r="G261" s="27"/>
      <c r="H261" s="26"/>
      <c r="I261" s="27"/>
      <c r="J261" s="26"/>
      <c r="K261" s="27"/>
      <c r="L261" s="26"/>
      <c r="M261" s="27"/>
      <c r="N261" s="26"/>
      <c r="O261" s="27"/>
      <c r="P261" s="26"/>
      <c r="Q261" s="27"/>
      <c r="R261" s="26"/>
      <c r="S261" s="27"/>
      <c r="T261" s="26"/>
      <c r="U261" s="27"/>
      <c r="V261" s="26"/>
      <c r="W261" s="27"/>
      <c r="X261" s="26"/>
      <c r="Y261" s="27"/>
      <c r="Z261" s="26"/>
      <c r="AA261" s="27"/>
      <c r="AB261" s="26"/>
      <c r="AC261" s="27"/>
      <c r="AD261" s="26"/>
      <c r="AE261" s="27"/>
      <c r="AF261" s="26"/>
      <c r="AG261" s="27"/>
      <c r="AH261" s="26"/>
      <c r="AI261" s="27"/>
      <c r="AJ261" s="26"/>
      <c r="AK261" s="27"/>
      <c r="AL261" s="26"/>
      <c r="AM261" s="27"/>
      <c r="AN261" s="26"/>
      <c r="AO261" s="27"/>
      <c r="AP261" s="26"/>
      <c r="AQ261" s="27"/>
      <c r="AR261" s="26"/>
      <c r="AS261" s="27"/>
      <c r="AT261" s="26"/>
      <c r="AU261" s="27"/>
      <c r="AV261" s="26"/>
      <c r="AW261" s="27"/>
      <c r="AX261" s="26"/>
      <c r="AY261" s="27"/>
      <c r="AZ261" s="26"/>
      <c r="BA261" s="27"/>
      <c r="BB261" s="26"/>
      <c r="BC261" s="27"/>
      <c r="BD261" s="26"/>
      <c r="BE261" s="27"/>
      <c r="BF261" s="26"/>
      <c r="BG261" s="27"/>
      <c r="BH261" s="26"/>
      <c r="BI261" s="27"/>
      <c r="BJ261" s="26"/>
      <c r="BK261" s="27"/>
      <c r="BL261" s="26"/>
      <c r="BM261" s="27"/>
      <c r="BN261" s="22">
        <f>IF($A261="","",SUM(IF($D$5&lt;&gt;"",--(D261="Présent"),0),IF($F$5&lt;&gt;"",--(F261="Présent"),0),IF($H$5&lt;&gt;"",--(H261="Présent"),0),IF($J$5&lt;&gt;"",--(J261="Présent"),0),IF($L$5&lt;&gt;"",--(L261="Présent"),0),IF($N$5&lt;&gt;"",--(N261="Présent"),0),IF($P$5&lt;&gt;"",--(P261="Présent"),0),IF($R$5&lt;&gt;"",--(R261="Présent"),0),IF($T$5&lt;&gt;"",--(T261="Présent"),0),IF($V$5&lt;&gt;"",--(V261="Présent"),0),IF($X$5&lt;&gt;"",--(X261="Présent"),0),IF($Z$5&lt;&gt;"",--(Z261="Présent"),0),IF($AB$5&lt;&gt;"",--(AB261="Présent"),0),IF($AD$5&lt;&gt;"",--(AD261="Présent"),0),IF($AF$5&lt;&gt;"",--(AF261="Présent"),0),IF($AH$5&lt;&gt;"",--(AH261="Présent"),0),IF($AJ$5&lt;&gt;"",--(AJ261="Présent"),0),IF($AL$5&lt;&gt;"",--(AL261="Présent"),0),IF($AN$5&lt;&gt;"",--(AN261="Présent"),0),IF($AP$5&lt;&gt;"",--(AP261="Présent"),0),IF($AR$5&lt;&gt;"",--(AR261="Présent"),0),IF($AT$5&lt;&gt;"",--(AT261="Présent"),0),IF($AV$5&lt;&gt;"",--(AV261="Présent"),0),IF($AX$5&lt;&gt;"",--(AX261="Présent"),0),IF($AZ$5&lt;&gt;"",--(AZ261="Présent"),0),IF($BB$5&lt;&gt;"",--(BB261="Présent"),0),IF($BD$5&lt;&gt;"",--(BD261="Présent"),0),IF($BF$5&lt;&gt;"",--(BF261="Présent"),0),IF($BH$5&lt;&gt;"",--(BH261="Présent"),0),IF($BJ$5&lt;&gt;"",--(BJ261="Présent"),0),IF($BL$5&lt;&gt;"",--(BL261="Présent"),0)))</f>
      </c>
      <c r="BO261" s="22">
        <f>IF($A261="","",SUM(IF($D$5&lt;&gt;"",--(D261="Absent"),0),IF($F$5&lt;&gt;"",--(F261="Absent"),0),IF($H$5&lt;&gt;"",--(H261="Absent"),0),IF($J$5&lt;&gt;"",--(J261="Absent"),0),IF($L$5&lt;&gt;"",--(L261="Absent"),0),IF($N$5&lt;&gt;"",--(N261="Absent"),0),IF($P$5&lt;&gt;"",--(P261="Absent"),0),IF($R$5&lt;&gt;"",--(R261="Absent"),0),IF($T$5&lt;&gt;"",--(T261="Absent"),0),IF($V$5&lt;&gt;"",--(V261="Absent"),0),IF($X$5&lt;&gt;"",--(X261="Absent"),0),IF($Z$5&lt;&gt;"",--(Z261="Absent"),0),IF($AB$5&lt;&gt;"",--(AB261="Absent"),0),IF($AD$5&lt;&gt;"",--(AD261="Absent"),0),IF($AF$5&lt;&gt;"",--(AF261="Absent"),0),IF($AH$5&lt;&gt;"",--(AH261="Absent"),0),IF($AJ$5&lt;&gt;"",--(AJ261="Absent"),0),IF($AL$5&lt;&gt;"",--(AL261="Absent"),0),IF($AN$5&lt;&gt;"",--(AN261="Absent"),0),IF($AP$5&lt;&gt;"",--(AP261="Absent"),0),IF($AR$5&lt;&gt;"",--(AR261="Absent"),0),IF($AT$5&lt;&gt;"",--(AT261="Absent"),0),IF($AV$5&lt;&gt;"",--(AV261="Absent"),0),IF($AX$5&lt;&gt;"",--(AX261="Absent"),0),IF($AZ$5&lt;&gt;"",--(AZ261="Absent"),0),IF($BB$5&lt;&gt;"",--(BB261="Absent"),0),IF($BD$5&lt;&gt;"",--(BD261="Absent"),0),IF($BF$5&lt;&gt;"",--(BF261="Absent"),0),IF($BH$5&lt;&gt;"",--(BH261="Absent"),0),IF($BJ$5&lt;&gt;"",--(BJ261="Absent"),0),IF($BL$5&lt;&gt;"",--(BL261="Absent"),0)))</f>
      </c>
      <c r="BP261" s="22">
        <f>IF($A261="","",SUM(IF($D$5&lt;&gt;"",--(D261="Congé"),0),IF($F$5&lt;&gt;"",--(F261="Congé"),0),IF($H$5&lt;&gt;"",--(H261="Congé"),0),IF($J$5&lt;&gt;"",--(J261="Congé"),0),IF($L$5&lt;&gt;"",--(L261="Congé"),0),IF($N$5&lt;&gt;"",--(N261="Congé"),0),IF($P$5&lt;&gt;"",--(P261="Congé"),0),IF($R$5&lt;&gt;"",--(R261="Congé"),0),IF($T$5&lt;&gt;"",--(T261="Congé"),0),IF($V$5&lt;&gt;"",--(V261="Congé"),0),IF($X$5&lt;&gt;"",--(X261="Congé"),0),IF($Z$5&lt;&gt;"",--(Z261="Congé"),0),IF($AB$5&lt;&gt;"",--(AB261="Congé"),0),IF($AD$5&lt;&gt;"",--(AD261="Congé"),0),IF($AF$5&lt;&gt;"",--(AF261="Congé"),0),IF($AH$5&lt;&gt;"",--(AH261="Congé"),0),IF($AJ$5&lt;&gt;"",--(AJ261="Congé"),0),IF($AL$5&lt;&gt;"",--(AL261="Congé"),0),IF($AN$5&lt;&gt;"",--(AN261="Congé"),0),IF($AP$5&lt;&gt;"",--(AP261="Congé"),0),IF($AR$5&lt;&gt;"",--(AR261="Congé"),0),IF($AT$5&lt;&gt;"",--(AT261="Congé"),0),IF($AV$5&lt;&gt;"",--(AV261="Congé"),0),IF($AX$5&lt;&gt;"",--(AX261="Congé"),0),IF($AZ$5&lt;&gt;"",--(AZ261="Congé"),0),IF($BB$5&lt;&gt;"",--(BB261="Congé"),0),IF($BD$5&lt;&gt;"",--(BD261="Congé"),0),IF($BF$5&lt;&gt;"",--(BF261="Congé"),0),IF($BH$5&lt;&gt;"",--(BH261="Congé"),0),IF($BJ$5&lt;&gt;"",--(BJ261="Congé"),0),IF($BL$5&lt;&gt;"",--(BL261="Congé"),0)))</f>
      </c>
      <c r="BQ261" s="22">
        <f>IF($A261="","",SUM(IF($D$5&lt;&gt;"",--(D261="Maladie"),0),IF($F$5&lt;&gt;"",--(F261="Maladie"),0),IF($H$5&lt;&gt;"",--(H261="Maladie"),0),IF($J$5&lt;&gt;"",--(J261="Maladie"),0),IF($L$5&lt;&gt;"",--(L261="Maladie"),0),IF($N$5&lt;&gt;"",--(N261="Maladie"),0),IF($P$5&lt;&gt;"",--(P261="Maladie"),0),IF($R$5&lt;&gt;"",--(R261="Maladie"),0),IF($T$5&lt;&gt;"",--(T261="Maladie"),0),IF($V$5&lt;&gt;"",--(V261="Maladie"),0),IF($X$5&lt;&gt;"",--(X261="Maladie"),0),IF($Z$5&lt;&gt;"",--(Z261="Maladie"),0),IF($AB$5&lt;&gt;"",--(AB261="Maladie"),0),IF($AD$5&lt;&gt;"",--(AD261="Maladie"),0),IF($AF$5&lt;&gt;"",--(AF261="Maladie"),0),IF($AH$5&lt;&gt;"",--(AH261="Maladie"),0),IF($AJ$5&lt;&gt;"",--(AJ261="Maladie"),0),IF($AL$5&lt;&gt;"",--(AL261="Maladie"),0),IF($AN$5&lt;&gt;"",--(AN261="Maladie"),0),IF($AP$5&lt;&gt;"",--(AP261="Maladie"),0),IF($AR$5&lt;&gt;"",--(AR261="Maladie"),0),IF($AT$5&lt;&gt;"",--(AT261="Maladie"),0),IF($AV$5&lt;&gt;"",--(AV261="Maladie"),0),IF($AX$5&lt;&gt;"",--(AX261="Maladie"),0),IF($AZ$5&lt;&gt;"",--(AZ261="Maladie"),0),IF($BB$5&lt;&gt;"",--(BB261="Maladie"),0),IF($BD$5&lt;&gt;"",--(BD261="Maladie"),0),IF($BF$5&lt;&gt;"",--(BF261="Maladie"),0),IF($BH$5&lt;&gt;"",--(BH261="Maladie"),0),IF($BJ$5&lt;&gt;"",--(BJ261="Maladie"),0),IF($BL$5&lt;&gt;"",--(BL261="Maladie"),0)))</f>
      </c>
      <c r="BR261" s="23">
        <f>IF($A261="","",SUM(IF($D$5&lt;&gt;"",IF(D261="Présent",E261,0),0),IF($F$5&lt;&gt;"",IF(F261="Présent",G261,0),0),IF($H$5&lt;&gt;"",IF(H261="Présent",I261,0),0),IF($J$5&lt;&gt;"",IF(J261="Présent",K261,0),0),IF($L$5&lt;&gt;"",IF(L261="Présent",M261,0),0),IF($N$5&lt;&gt;"",IF(N261="Présent",O261,0),0),IF($P$5&lt;&gt;"",IF(P261="Présent",Q261,0),0),IF($R$5&lt;&gt;"",IF(R261="Présent",S261,0),0),IF($T$5&lt;&gt;"",IF(T261="Présent",U261,0),0),IF($V$5&lt;&gt;"",IF(V261="Présent",W261,0),0),IF($X$5&lt;&gt;"",IF(X261="Présent",Y261,0),0),IF($Z$5&lt;&gt;"",IF(Z261="Présent",AA261,0),0),IF($AB$5&lt;&gt;"",IF(AB261="Présent",AC261,0),0),IF($AD$5&lt;&gt;"",IF(AD261="Présent",AE261,0),0),IF($AF$5&lt;&gt;"",IF(AF261="Présent",AG261,0),0),IF($AH$5&lt;&gt;"",IF(AH261="Présent",AI261,0),0),IF($AJ$5&lt;&gt;"",IF(AJ261="Présent",AK261,0),0),IF($AL$5&lt;&gt;"",IF(AL261="Présent",AM261,0),0),IF($AN$5&lt;&gt;"",IF(AN261="Présent",AO261,0),0),IF($AP$5&lt;&gt;"",IF(AP261="Présent",AQ261,0),0),IF($AR$5&lt;&gt;"",IF(AR261="Présent",AS261,0),0),IF($AT$5&lt;&gt;"",IF(AT261="Présent",AU261,0),0),IF($AV$5&lt;&gt;"",IF(AV261="Présent",AW261,0),0),IF($AX$5&lt;&gt;"",IF(AX261="Présent",AY261,0),0),IF($AZ$5&lt;&gt;"",IF(AZ261="Présent",BA261,0),0),IF($BB$5&lt;&gt;"",IF(BB261="Présent",BC261,0),0),IF($BD$5&lt;&gt;"",IF(BD261="Présent",BE261,0),0),IF($BF$5&lt;&gt;"",IF(BF261="Présent",BG261,0),0),IF($BH$5&lt;&gt;"",IF(BH261="Présent",BI261,0),0),IF($BJ$5&lt;&gt;"",IF(BJ261="Présent",BK261,0),0),IF($BL$5&lt;&gt;"",IF(BL261="Présent",BM261,0),0)))</f>
      </c>
      <c r="BS261" s="25">
        <f>IF($A261="","",$BN261*IFERROR(INDEX(Categories_Salaire,MATCH($C261,ListeCategories,0)),0)+$BR261*IF(IFERROR(INDEX(Categories_TauxHS,MATCH($C261,ListeCategories,0)),0)&gt;0,IFERROR(INDEX(Categories_TauxHS,MATCH($C261,ListeCategories,0)),0),TauxHSDefaut))</f>
      </c>
    </row>
    <row r="262">
      <c r="A262" s="20">
        <f>IF(AND(INDEX(Employes_Nom,256)&lt;&gt;"",INDEX(Employes_Statut,256)="Actif",OR(INDEX(Employes_Embauche,256)="",INDEX(Employes_Embauche,256)&lt;=EOMONTH(DATE(AnneeCourante,MoisCourant,1),0))),INDEX(Employes_ID,256),"")</f>
      </c>
      <c r="B262" s="19">
        <f>IF($A262="","",INDEX(Employes_Nom,MATCH($A262,Employes_ID,0)))</f>
      </c>
      <c r="C262" s="20">
        <f>IF($A262="","",INDEX(Employes_Categorie,MATCH($A262,Employes_ID,0)))</f>
      </c>
      <c r="D262" s="26"/>
      <c r="E262" s="27"/>
      <c r="F262" s="26"/>
      <c r="G262" s="27"/>
      <c r="H262" s="26"/>
      <c r="I262" s="27"/>
      <c r="J262" s="26"/>
      <c r="K262" s="27"/>
      <c r="L262" s="26"/>
      <c r="M262" s="27"/>
      <c r="N262" s="26"/>
      <c r="O262" s="27"/>
      <c r="P262" s="26"/>
      <c r="Q262" s="27"/>
      <c r="R262" s="26"/>
      <c r="S262" s="27"/>
      <c r="T262" s="26"/>
      <c r="U262" s="27"/>
      <c r="V262" s="26"/>
      <c r="W262" s="27"/>
      <c r="X262" s="26"/>
      <c r="Y262" s="27"/>
      <c r="Z262" s="26"/>
      <c r="AA262" s="27"/>
      <c r="AB262" s="26"/>
      <c r="AC262" s="27"/>
      <c r="AD262" s="26"/>
      <c r="AE262" s="27"/>
      <c r="AF262" s="26"/>
      <c r="AG262" s="27"/>
      <c r="AH262" s="26"/>
      <c r="AI262" s="27"/>
      <c r="AJ262" s="26"/>
      <c r="AK262" s="27"/>
      <c r="AL262" s="26"/>
      <c r="AM262" s="27"/>
      <c r="AN262" s="26"/>
      <c r="AO262" s="27"/>
      <c r="AP262" s="26"/>
      <c r="AQ262" s="27"/>
      <c r="AR262" s="26"/>
      <c r="AS262" s="27"/>
      <c r="AT262" s="26"/>
      <c r="AU262" s="27"/>
      <c r="AV262" s="26"/>
      <c r="AW262" s="27"/>
      <c r="AX262" s="26"/>
      <c r="AY262" s="27"/>
      <c r="AZ262" s="26"/>
      <c r="BA262" s="27"/>
      <c r="BB262" s="26"/>
      <c r="BC262" s="27"/>
      <c r="BD262" s="26"/>
      <c r="BE262" s="27"/>
      <c r="BF262" s="26"/>
      <c r="BG262" s="27"/>
      <c r="BH262" s="26"/>
      <c r="BI262" s="27"/>
      <c r="BJ262" s="26"/>
      <c r="BK262" s="27"/>
      <c r="BL262" s="26"/>
      <c r="BM262" s="27"/>
      <c r="BN262" s="22">
        <f>IF($A262="","",SUM(IF($D$5&lt;&gt;"",--(D262="Présent"),0),IF($F$5&lt;&gt;"",--(F262="Présent"),0),IF($H$5&lt;&gt;"",--(H262="Présent"),0),IF($J$5&lt;&gt;"",--(J262="Présent"),0),IF($L$5&lt;&gt;"",--(L262="Présent"),0),IF($N$5&lt;&gt;"",--(N262="Présent"),0),IF($P$5&lt;&gt;"",--(P262="Présent"),0),IF($R$5&lt;&gt;"",--(R262="Présent"),0),IF($T$5&lt;&gt;"",--(T262="Présent"),0),IF($V$5&lt;&gt;"",--(V262="Présent"),0),IF($X$5&lt;&gt;"",--(X262="Présent"),0),IF($Z$5&lt;&gt;"",--(Z262="Présent"),0),IF($AB$5&lt;&gt;"",--(AB262="Présent"),0),IF($AD$5&lt;&gt;"",--(AD262="Présent"),0),IF($AF$5&lt;&gt;"",--(AF262="Présent"),0),IF($AH$5&lt;&gt;"",--(AH262="Présent"),0),IF($AJ$5&lt;&gt;"",--(AJ262="Présent"),0),IF($AL$5&lt;&gt;"",--(AL262="Présent"),0),IF($AN$5&lt;&gt;"",--(AN262="Présent"),0),IF($AP$5&lt;&gt;"",--(AP262="Présent"),0),IF($AR$5&lt;&gt;"",--(AR262="Présent"),0),IF($AT$5&lt;&gt;"",--(AT262="Présent"),0),IF($AV$5&lt;&gt;"",--(AV262="Présent"),0),IF($AX$5&lt;&gt;"",--(AX262="Présent"),0),IF($AZ$5&lt;&gt;"",--(AZ262="Présent"),0),IF($BB$5&lt;&gt;"",--(BB262="Présent"),0),IF($BD$5&lt;&gt;"",--(BD262="Présent"),0),IF($BF$5&lt;&gt;"",--(BF262="Présent"),0),IF($BH$5&lt;&gt;"",--(BH262="Présent"),0),IF($BJ$5&lt;&gt;"",--(BJ262="Présent"),0),IF($BL$5&lt;&gt;"",--(BL262="Présent"),0)))</f>
      </c>
      <c r="BO262" s="22">
        <f>IF($A262="","",SUM(IF($D$5&lt;&gt;"",--(D262="Absent"),0),IF($F$5&lt;&gt;"",--(F262="Absent"),0),IF($H$5&lt;&gt;"",--(H262="Absent"),0),IF($J$5&lt;&gt;"",--(J262="Absent"),0),IF($L$5&lt;&gt;"",--(L262="Absent"),0),IF($N$5&lt;&gt;"",--(N262="Absent"),0),IF($P$5&lt;&gt;"",--(P262="Absent"),0),IF($R$5&lt;&gt;"",--(R262="Absent"),0),IF($T$5&lt;&gt;"",--(T262="Absent"),0),IF($V$5&lt;&gt;"",--(V262="Absent"),0),IF($X$5&lt;&gt;"",--(X262="Absent"),0),IF($Z$5&lt;&gt;"",--(Z262="Absent"),0),IF($AB$5&lt;&gt;"",--(AB262="Absent"),0),IF($AD$5&lt;&gt;"",--(AD262="Absent"),0),IF($AF$5&lt;&gt;"",--(AF262="Absent"),0),IF($AH$5&lt;&gt;"",--(AH262="Absent"),0),IF($AJ$5&lt;&gt;"",--(AJ262="Absent"),0),IF($AL$5&lt;&gt;"",--(AL262="Absent"),0),IF($AN$5&lt;&gt;"",--(AN262="Absent"),0),IF($AP$5&lt;&gt;"",--(AP262="Absent"),0),IF($AR$5&lt;&gt;"",--(AR262="Absent"),0),IF($AT$5&lt;&gt;"",--(AT262="Absent"),0),IF($AV$5&lt;&gt;"",--(AV262="Absent"),0),IF($AX$5&lt;&gt;"",--(AX262="Absent"),0),IF($AZ$5&lt;&gt;"",--(AZ262="Absent"),0),IF($BB$5&lt;&gt;"",--(BB262="Absent"),0),IF($BD$5&lt;&gt;"",--(BD262="Absent"),0),IF($BF$5&lt;&gt;"",--(BF262="Absent"),0),IF($BH$5&lt;&gt;"",--(BH262="Absent"),0),IF($BJ$5&lt;&gt;"",--(BJ262="Absent"),0),IF($BL$5&lt;&gt;"",--(BL262="Absent"),0)))</f>
      </c>
      <c r="BP262" s="22">
        <f>IF($A262="","",SUM(IF($D$5&lt;&gt;"",--(D262="Congé"),0),IF($F$5&lt;&gt;"",--(F262="Congé"),0),IF($H$5&lt;&gt;"",--(H262="Congé"),0),IF($J$5&lt;&gt;"",--(J262="Congé"),0),IF($L$5&lt;&gt;"",--(L262="Congé"),0),IF($N$5&lt;&gt;"",--(N262="Congé"),0),IF($P$5&lt;&gt;"",--(P262="Congé"),0),IF($R$5&lt;&gt;"",--(R262="Congé"),0),IF($T$5&lt;&gt;"",--(T262="Congé"),0),IF($V$5&lt;&gt;"",--(V262="Congé"),0),IF($X$5&lt;&gt;"",--(X262="Congé"),0),IF($Z$5&lt;&gt;"",--(Z262="Congé"),0),IF($AB$5&lt;&gt;"",--(AB262="Congé"),0),IF($AD$5&lt;&gt;"",--(AD262="Congé"),0),IF($AF$5&lt;&gt;"",--(AF262="Congé"),0),IF($AH$5&lt;&gt;"",--(AH262="Congé"),0),IF($AJ$5&lt;&gt;"",--(AJ262="Congé"),0),IF($AL$5&lt;&gt;"",--(AL262="Congé"),0),IF($AN$5&lt;&gt;"",--(AN262="Congé"),0),IF($AP$5&lt;&gt;"",--(AP262="Congé"),0),IF($AR$5&lt;&gt;"",--(AR262="Congé"),0),IF($AT$5&lt;&gt;"",--(AT262="Congé"),0),IF($AV$5&lt;&gt;"",--(AV262="Congé"),0),IF($AX$5&lt;&gt;"",--(AX262="Congé"),0),IF($AZ$5&lt;&gt;"",--(AZ262="Congé"),0),IF($BB$5&lt;&gt;"",--(BB262="Congé"),0),IF($BD$5&lt;&gt;"",--(BD262="Congé"),0),IF($BF$5&lt;&gt;"",--(BF262="Congé"),0),IF($BH$5&lt;&gt;"",--(BH262="Congé"),0),IF($BJ$5&lt;&gt;"",--(BJ262="Congé"),0),IF($BL$5&lt;&gt;"",--(BL262="Congé"),0)))</f>
      </c>
      <c r="BQ262" s="22">
        <f>IF($A262="","",SUM(IF($D$5&lt;&gt;"",--(D262="Maladie"),0),IF($F$5&lt;&gt;"",--(F262="Maladie"),0),IF($H$5&lt;&gt;"",--(H262="Maladie"),0),IF($J$5&lt;&gt;"",--(J262="Maladie"),0),IF($L$5&lt;&gt;"",--(L262="Maladie"),0),IF($N$5&lt;&gt;"",--(N262="Maladie"),0),IF($P$5&lt;&gt;"",--(P262="Maladie"),0),IF($R$5&lt;&gt;"",--(R262="Maladie"),0),IF($T$5&lt;&gt;"",--(T262="Maladie"),0),IF($V$5&lt;&gt;"",--(V262="Maladie"),0),IF($X$5&lt;&gt;"",--(X262="Maladie"),0),IF($Z$5&lt;&gt;"",--(Z262="Maladie"),0),IF($AB$5&lt;&gt;"",--(AB262="Maladie"),0),IF($AD$5&lt;&gt;"",--(AD262="Maladie"),0),IF($AF$5&lt;&gt;"",--(AF262="Maladie"),0),IF($AH$5&lt;&gt;"",--(AH262="Maladie"),0),IF($AJ$5&lt;&gt;"",--(AJ262="Maladie"),0),IF($AL$5&lt;&gt;"",--(AL262="Maladie"),0),IF($AN$5&lt;&gt;"",--(AN262="Maladie"),0),IF($AP$5&lt;&gt;"",--(AP262="Maladie"),0),IF($AR$5&lt;&gt;"",--(AR262="Maladie"),0),IF($AT$5&lt;&gt;"",--(AT262="Maladie"),0),IF($AV$5&lt;&gt;"",--(AV262="Maladie"),0),IF($AX$5&lt;&gt;"",--(AX262="Maladie"),0),IF($AZ$5&lt;&gt;"",--(AZ262="Maladie"),0),IF($BB$5&lt;&gt;"",--(BB262="Maladie"),0),IF($BD$5&lt;&gt;"",--(BD262="Maladie"),0),IF($BF$5&lt;&gt;"",--(BF262="Maladie"),0),IF($BH$5&lt;&gt;"",--(BH262="Maladie"),0),IF($BJ$5&lt;&gt;"",--(BJ262="Maladie"),0),IF($BL$5&lt;&gt;"",--(BL262="Maladie"),0)))</f>
      </c>
      <c r="BR262" s="23">
        <f>IF($A262="","",SUM(IF($D$5&lt;&gt;"",IF(D262="Présent",E262,0),0),IF($F$5&lt;&gt;"",IF(F262="Présent",G262,0),0),IF($H$5&lt;&gt;"",IF(H262="Présent",I262,0),0),IF($J$5&lt;&gt;"",IF(J262="Présent",K262,0),0),IF($L$5&lt;&gt;"",IF(L262="Présent",M262,0),0),IF($N$5&lt;&gt;"",IF(N262="Présent",O262,0),0),IF($P$5&lt;&gt;"",IF(P262="Présent",Q262,0),0),IF($R$5&lt;&gt;"",IF(R262="Présent",S262,0),0),IF($T$5&lt;&gt;"",IF(T262="Présent",U262,0),0),IF($V$5&lt;&gt;"",IF(V262="Présent",W262,0),0),IF($X$5&lt;&gt;"",IF(X262="Présent",Y262,0),0),IF($Z$5&lt;&gt;"",IF(Z262="Présent",AA262,0),0),IF($AB$5&lt;&gt;"",IF(AB262="Présent",AC262,0),0),IF($AD$5&lt;&gt;"",IF(AD262="Présent",AE262,0),0),IF($AF$5&lt;&gt;"",IF(AF262="Présent",AG262,0),0),IF($AH$5&lt;&gt;"",IF(AH262="Présent",AI262,0),0),IF($AJ$5&lt;&gt;"",IF(AJ262="Présent",AK262,0),0),IF($AL$5&lt;&gt;"",IF(AL262="Présent",AM262,0),0),IF($AN$5&lt;&gt;"",IF(AN262="Présent",AO262,0),0),IF($AP$5&lt;&gt;"",IF(AP262="Présent",AQ262,0),0),IF($AR$5&lt;&gt;"",IF(AR262="Présent",AS262,0),0),IF($AT$5&lt;&gt;"",IF(AT262="Présent",AU262,0),0),IF($AV$5&lt;&gt;"",IF(AV262="Présent",AW262,0),0),IF($AX$5&lt;&gt;"",IF(AX262="Présent",AY262,0),0),IF($AZ$5&lt;&gt;"",IF(AZ262="Présent",BA262,0),0),IF($BB$5&lt;&gt;"",IF(BB262="Présent",BC262,0),0),IF($BD$5&lt;&gt;"",IF(BD262="Présent",BE262,0),0),IF($BF$5&lt;&gt;"",IF(BF262="Présent",BG262,0),0),IF($BH$5&lt;&gt;"",IF(BH262="Présent",BI262,0),0),IF($BJ$5&lt;&gt;"",IF(BJ262="Présent",BK262,0),0),IF($BL$5&lt;&gt;"",IF(BL262="Présent",BM262,0),0)))</f>
      </c>
      <c r="BS262" s="25">
        <f>IF($A262="","",$BN262*IFERROR(INDEX(Categories_Salaire,MATCH($C262,ListeCategories,0)),0)+$BR262*IF(IFERROR(INDEX(Categories_TauxHS,MATCH($C262,ListeCategories,0)),0)&gt;0,IFERROR(INDEX(Categories_TauxHS,MATCH($C262,ListeCategories,0)),0),TauxHSDefaut))</f>
      </c>
    </row>
    <row r="263">
      <c r="A263" s="20">
        <f>IF(AND(INDEX(Employes_Nom,257)&lt;&gt;"",INDEX(Employes_Statut,257)="Actif",OR(INDEX(Employes_Embauche,257)="",INDEX(Employes_Embauche,257)&lt;=EOMONTH(DATE(AnneeCourante,MoisCourant,1),0))),INDEX(Employes_ID,257),"")</f>
      </c>
      <c r="B263" s="19">
        <f>IF($A263="","",INDEX(Employes_Nom,MATCH($A263,Employes_ID,0)))</f>
      </c>
      <c r="C263" s="20">
        <f>IF($A263="","",INDEX(Employes_Categorie,MATCH($A263,Employes_ID,0)))</f>
      </c>
      <c r="D263" s="26"/>
      <c r="E263" s="27"/>
      <c r="F263" s="26"/>
      <c r="G263" s="27"/>
      <c r="H263" s="26"/>
      <c r="I263" s="27"/>
      <c r="J263" s="26"/>
      <c r="K263" s="27"/>
      <c r="L263" s="26"/>
      <c r="M263" s="27"/>
      <c r="N263" s="26"/>
      <c r="O263" s="27"/>
      <c r="P263" s="26"/>
      <c r="Q263" s="27"/>
      <c r="R263" s="26"/>
      <c r="S263" s="27"/>
      <c r="T263" s="26"/>
      <c r="U263" s="27"/>
      <c r="V263" s="26"/>
      <c r="W263" s="27"/>
      <c r="X263" s="26"/>
      <c r="Y263" s="27"/>
      <c r="Z263" s="26"/>
      <c r="AA263" s="27"/>
      <c r="AB263" s="26"/>
      <c r="AC263" s="27"/>
      <c r="AD263" s="26"/>
      <c r="AE263" s="27"/>
      <c r="AF263" s="26"/>
      <c r="AG263" s="27"/>
      <c r="AH263" s="26"/>
      <c r="AI263" s="27"/>
      <c r="AJ263" s="26"/>
      <c r="AK263" s="27"/>
      <c r="AL263" s="26"/>
      <c r="AM263" s="27"/>
      <c r="AN263" s="26"/>
      <c r="AO263" s="27"/>
      <c r="AP263" s="26"/>
      <c r="AQ263" s="27"/>
      <c r="AR263" s="26"/>
      <c r="AS263" s="27"/>
      <c r="AT263" s="26"/>
      <c r="AU263" s="27"/>
      <c r="AV263" s="26"/>
      <c r="AW263" s="27"/>
      <c r="AX263" s="26"/>
      <c r="AY263" s="27"/>
      <c r="AZ263" s="26"/>
      <c r="BA263" s="27"/>
      <c r="BB263" s="26"/>
      <c r="BC263" s="27"/>
      <c r="BD263" s="26"/>
      <c r="BE263" s="27"/>
      <c r="BF263" s="26"/>
      <c r="BG263" s="27"/>
      <c r="BH263" s="26"/>
      <c r="BI263" s="27"/>
      <c r="BJ263" s="26"/>
      <c r="BK263" s="27"/>
      <c r="BL263" s="26"/>
      <c r="BM263" s="27"/>
      <c r="BN263" s="22">
        <f>IF($A263="","",SUM(IF($D$5&lt;&gt;"",--(D263="Présent"),0),IF($F$5&lt;&gt;"",--(F263="Présent"),0),IF($H$5&lt;&gt;"",--(H263="Présent"),0),IF($J$5&lt;&gt;"",--(J263="Présent"),0),IF($L$5&lt;&gt;"",--(L263="Présent"),0),IF($N$5&lt;&gt;"",--(N263="Présent"),0),IF($P$5&lt;&gt;"",--(P263="Présent"),0),IF($R$5&lt;&gt;"",--(R263="Présent"),0),IF($T$5&lt;&gt;"",--(T263="Présent"),0),IF($V$5&lt;&gt;"",--(V263="Présent"),0),IF($X$5&lt;&gt;"",--(X263="Présent"),0),IF($Z$5&lt;&gt;"",--(Z263="Présent"),0),IF($AB$5&lt;&gt;"",--(AB263="Présent"),0),IF($AD$5&lt;&gt;"",--(AD263="Présent"),0),IF($AF$5&lt;&gt;"",--(AF263="Présent"),0),IF($AH$5&lt;&gt;"",--(AH263="Présent"),0),IF($AJ$5&lt;&gt;"",--(AJ263="Présent"),0),IF($AL$5&lt;&gt;"",--(AL263="Présent"),0),IF($AN$5&lt;&gt;"",--(AN263="Présent"),0),IF($AP$5&lt;&gt;"",--(AP263="Présent"),0),IF($AR$5&lt;&gt;"",--(AR263="Présent"),0),IF($AT$5&lt;&gt;"",--(AT263="Présent"),0),IF($AV$5&lt;&gt;"",--(AV263="Présent"),0),IF($AX$5&lt;&gt;"",--(AX263="Présent"),0),IF($AZ$5&lt;&gt;"",--(AZ263="Présent"),0),IF($BB$5&lt;&gt;"",--(BB263="Présent"),0),IF($BD$5&lt;&gt;"",--(BD263="Présent"),0),IF($BF$5&lt;&gt;"",--(BF263="Présent"),0),IF($BH$5&lt;&gt;"",--(BH263="Présent"),0),IF($BJ$5&lt;&gt;"",--(BJ263="Présent"),0),IF($BL$5&lt;&gt;"",--(BL263="Présent"),0)))</f>
      </c>
      <c r="BO263" s="22">
        <f>IF($A263="","",SUM(IF($D$5&lt;&gt;"",--(D263="Absent"),0),IF($F$5&lt;&gt;"",--(F263="Absent"),0),IF($H$5&lt;&gt;"",--(H263="Absent"),0),IF($J$5&lt;&gt;"",--(J263="Absent"),0),IF($L$5&lt;&gt;"",--(L263="Absent"),0),IF($N$5&lt;&gt;"",--(N263="Absent"),0),IF($P$5&lt;&gt;"",--(P263="Absent"),0),IF($R$5&lt;&gt;"",--(R263="Absent"),0),IF($T$5&lt;&gt;"",--(T263="Absent"),0),IF($V$5&lt;&gt;"",--(V263="Absent"),0),IF($X$5&lt;&gt;"",--(X263="Absent"),0),IF($Z$5&lt;&gt;"",--(Z263="Absent"),0),IF($AB$5&lt;&gt;"",--(AB263="Absent"),0),IF($AD$5&lt;&gt;"",--(AD263="Absent"),0),IF($AF$5&lt;&gt;"",--(AF263="Absent"),0),IF($AH$5&lt;&gt;"",--(AH263="Absent"),0),IF($AJ$5&lt;&gt;"",--(AJ263="Absent"),0),IF($AL$5&lt;&gt;"",--(AL263="Absent"),0),IF($AN$5&lt;&gt;"",--(AN263="Absent"),0),IF($AP$5&lt;&gt;"",--(AP263="Absent"),0),IF($AR$5&lt;&gt;"",--(AR263="Absent"),0),IF($AT$5&lt;&gt;"",--(AT263="Absent"),0),IF($AV$5&lt;&gt;"",--(AV263="Absent"),0),IF($AX$5&lt;&gt;"",--(AX263="Absent"),0),IF($AZ$5&lt;&gt;"",--(AZ263="Absent"),0),IF($BB$5&lt;&gt;"",--(BB263="Absent"),0),IF($BD$5&lt;&gt;"",--(BD263="Absent"),0),IF($BF$5&lt;&gt;"",--(BF263="Absent"),0),IF($BH$5&lt;&gt;"",--(BH263="Absent"),0),IF($BJ$5&lt;&gt;"",--(BJ263="Absent"),0),IF($BL$5&lt;&gt;"",--(BL263="Absent"),0)))</f>
      </c>
      <c r="BP263" s="22">
        <f>IF($A263="","",SUM(IF($D$5&lt;&gt;"",--(D263="Congé"),0),IF($F$5&lt;&gt;"",--(F263="Congé"),0),IF($H$5&lt;&gt;"",--(H263="Congé"),0),IF($J$5&lt;&gt;"",--(J263="Congé"),0),IF($L$5&lt;&gt;"",--(L263="Congé"),0),IF($N$5&lt;&gt;"",--(N263="Congé"),0),IF($P$5&lt;&gt;"",--(P263="Congé"),0),IF($R$5&lt;&gt;"",--(R263="Congé"),0),IF($T$5&lt;&gt;"",--(T263="Congé"),0),IF($V$5&lt;&gt;"",--(V263="Congé"),0),IF($X$5&lt;&gt;"",--(X263="Congé"),0),IF($Z$5&lt;&gt;"",--(Z263="Congé"),0),IF($AB$5&lt;&gt;"",--(AB263="Congé"),0),IF($AD$5&lt;&gt;"",--(AD263="Congé"),0),IF($AF$5&lt;&gt;"",--(AF263="Congé"),0),IF($AH$5&lt;&gt;"",--(AH263="Congé"),0),IF($AJ$5&lt;&gt;"",--(AJ263="Congé"),0),IF($AL$5&lt;&gt;"",--(AL263="Congé"),0),IF($AN$5&lt;&gt;"",--(AN263="Congé"),0),IF($AP$5&lt;&gt;"",--(AP263="Congé"),0),IF($AR$5&lt;&gt;"",--(AR263="Congé"),0),IF($AT$5&lt;&gt;"",--(AT263="Congé"),0),IF($AV$5&lt;&gt;"",--(AV263="Congé"),0),IF($AX$5&lt;&gt;"",--(AX263="Congé"),0),IF($AZ$5&lt;&gt;"",--(AZ263="Congé"),0),IF($BB$5&lt;&gt;"",--(BB263="Congé"),0),IF($BD$5&lt;&gt;"",--(BD263="Congé"),0),IF($BF$5&lt;&gt;"",--(BF263="Congé"),0),IF($BH$5&lt;&gt;"",--(BH263="Congé"),0),IF($BJ$5&lt;&gt;"",--(BJ263="Congé"),0),IF($BL$5&lt;&gt;"",--(BL263="Congé"),0)))</f>
      </c>
      <c r="BQ263" s="22">
        <f>IF($A263="","",SUM(IF($D$5&lt;&gt;"",--(D263="Maladie"),0),IF($F$5&lt;&gt;"",--(F263="Maladie"),0),IF($H$5&lt;&gt;"",--(H263="Maladie"),0),IF($J$5&lt;&gt;"",--(J263="Maladie"),0),IF($L$5&lt;&gt;"",--(L263="Maladie"),0),IF($N$5&lt;&gt;"",--(N263="Maladie"),0),IF($P$5&lt;&gt;"",--(P263="Maladie"),0),IF($R$5&lt;&gt;"",--(R263="Maladie"),0),IF($T$5&lt;&gt;"",--(T263="Maladie"),0),IF($V$5&lt;&gt;"",--(V263="Maladie"),0),IF($X$5&lt;&gt;"",--(X263="Maladie"),0),IF($Z$5&lt;&gt;"",--(Z263="Maladie"),0),IF($AB$5&lt;&gt;"",--(AB263="Maladie"),0),IF($AD$5&lt;&gt;"",--(AD263="Maladie"),0),IF($AF$5&lt;&gt;"",--(AF263="Maladie"),0),IF($AH$5&lt;&gt;"",--(AH263="Maladie"),0),IF($AJ$5&lt;&gt;"",--(AJ263="Maladie"),0),IF($AL$5&lt;&gt;"",--(AL263="Maladie"),0),IF($AN$5&lt;&gt;"",--(AN263="Maladie"),0),IF($AP$5&lt;&gt;"",--(AP263="Maladie"),0),IF($AR$5&lt;&gt;"",--(AR263="Maladie"),0),IF($AT$5&lt;&gt;"",--(AT263="Maladie"),0),IF($AV$5&lt;&gt;"",--(AV263="Maladie"),0),IF($AX$5&lt;&gt;"",--(AX263="Maladie"),0),IF($AZ$5&lt;&gt;"",--(AZ263="Maladie"),0),IF($BB$5&lt;&gt;"",--(BB263="Maladie"),0),IF($BD$5&lt;&gt;"",--(BD263="Maladie"),0),IF($BF$5&lt;&gt;"",--(BF263="Maladie"),0),IF($BH$5&lt;&gt;"",--(BH263="Maladie"),0),IF($BJ$5&lt;&gt;"",--(BJ263="Maladie"),0),IF($BL$5&lt;&gt;"",--(BL263="Maladie"),0)))</f>
      </c>
      <c r="BR263" s="23">
        <f>IF($A263="","",SUM(IF($D$5&lt;&gt;"",IF(D263="Présent",E263,0),0),IF($F$5&lt;&gt;"",IF(F263="Présent",G263,0),0),IF($H$5&lt;&gt;"",IF(H263="Présent",I263,0),0),IF($J$5&lt;&gt;"",IF(J263="Présent",K263,0),0),IF($L$5&lt;&gt;"",IF(L263="Présent",M263,0),0),IF($N$5&lt;&gt;"",IF(N263="Présent",O263,0),0),IF($P$5&lt;&gt;"",IF(P263="Présent",Q263,0),0),IF($R$5&lt;&gt;"",IF(R263="Présent",S263,0),0),IF($T$5&lt;&gt;"",IF(T263="Présent",U263,0),0),IF($V$5&lt;&gt;"",IF(V263="Présent",W263,0),0),IF($X$5&lt;&gt;"",IF(X263="Présent",Y263,0),0),IF($Z$5&lt;&gt;"",IF(Z263="Présent",AA263,0),0),IF($AB$5&lt;&gt;"",IF(AB263="Présent",AC263,0),0),IF($AD$5&lt;&gt;"",IF(AD263="Présent",AE263,0),0),IF($AF$5&lt;&gt;"",IF(AF263="Présent",AG263,0),0),IF($AH$5&lt;&gt;"",IF(AH263="Présent",AI263,0),0),IF($AJ$5&lt;&gt;"",IF(AJ263="Présent",AK263,0),0),IF($AL$5&lt;&gt;"",IF(AL263="Présent",AM263,0),0),IF($AN$5&lt;&gt;"",IF(AN263="Présent",AO263,0),0),IF($AP$5&lt;&gt;"",IF(AP263="Présent",AQ263,0),0),IF($AR$5&lt;&gt;"",IF(AR263="Présent",AS263,0),0),IF($AT$5&lt;&gt;"",IF(AT263="Présent",AU263,0),0),IF($AV$5&lt;&gt;"",IF(AV263="Présent",AW263,0),0),IF($AX$5&lt;&gt;"",IF(AX263="Présent",AY263,0),0),IF($AZ$5&lt;&gt;"",IF(AZ263="Présent",BA263,0),0),IF($BB$5&lt;&gt;"",IF(BB263="Présent",BC263,0),0),IF($BD$5&lt;&gt;"",IF(BD263="Présent",BE263,0),0),IF($BF$5&lt;&gt;"",IF(BF263="Présent",BG263,0),0),IF($BH$5&lt;&gt;"",IF(BH263="Présent",BI263,0),0),IF($BJ$5&lt;&gt;"",IF(BJ263="Présent",BK263,0),0),IF($BL$5&lt;&gt;"",IF(BL263="Présent",BM263,0),0)))</f>
      </c>
      <c r="BS263" s="25">
        <f>IF($A263="","",$BN263*IFERROR(INDEX(Categories_Salaire,MATCH($C263,ListeCategories,0)),0)+$BR263*IF(IFERROR(INDEX(Categories_TauxHS,MATCH($C263,ListeCategories,0)),0)&gt;0,IFERROR(INDEX(Categories_TauxHS,MATCH($C263,ListeCategories,0)),0),TauxHSDefaut))</f>
      </c>
    </row>
    <row r="264">
      <c r="A264" s="20">
        <f>IF(AND(INDEX(Employes_Nom,258)&lt;&gt;"",INDEX(Employes_Statut,258)="Actif",OR(INDEX(Employes_Embauche,258)="",INDEX(Employes_Embauche,258)&lt;=EOMONTH(DATE(AnneeCourante,MoisCourant,1),0))),INDEX(Employes_ID,258),"")</f>
      </c>
      <c r="B264" s="19">
        <f>IF($A264="","",INDEX(Employes_Nom,MATCH($A264,Employes_ID,0)))</f>
      </c>
      <c r="C264" s="20">
        <f>IF($A264="","",INDEX(Employes_Categorie,MATCH($A264,Employes_ID,0)))</f>
      </c>
      <c r="D264" s="26"/>
      <c r="E264" s="27"/>
      <c r="F264" s="26"/>
      <c r="G264" s="27"/>
      <c r="H264" s="26"/>
      <c r="I264" s="27"/>
      <c r="J264" s="26"/>
      <c r="K264" s="27"/>
      <c r="L264" s="26"/>
      <c r="M264" s="27"/>
      <c r="N264" s="26"/>
      <c r="O264" s="27"/>
      <c r="P264" s="26"/>
      <c r="Q264" s="27"/>
      <c r="R264" s="26"/>
      <c r="S264" s="27"/>
      <c r="T264" s="26"/>
      <c r="U264" s="27"/>
      <c r="V264" s="26"/>
      <c r="W264" s="27"/>
      <c r="X264" s="26"/>
      <c r="Y264" s="27"/>
      <c r="Z264" s="26"/>
      <c r="AA264" s="27"/>
      <c r="AB264" s="26"/>
      <c r="AC264" s="27"/>
      <c r="AD264" s="26"/>
      <c r="AE264" s="27"/>
      <c r="AF264" s="26"/>
      <c r="AG264" s="27"/>
      <c r="AH264" s="26"/>
      <c r="AI264" s="27"/>
      <c r="AJ264" s="26"/>
      <c r="AK264" s="27"/>
      <c r="AL264" s="26"/>
      <c r="AM264" s="27"/>
      <c r="AN264" s="26"/>
      <c r="AO264" s="27"/>
      <c r="AP264" s="26"/>
      <c r="AQ264" s="27"/>
      <c r="AR264" s="26"/>
      <c r="AS264" s="27"/>
      <c r="AT264" s="26"/>
      <c r="AU264" s="27"/>
      <c r="AV264" s="26"/>
      <c r="AW264" s="27"/>
      <c r="AX264" s="26"/>
      <c r="AY264" s="27"/>
      <c r="AZ264" s="26"/>
      <c r="BA264" s="27"/>
      <c r="BB264" s="26"/>
      <c r="BC264" s="27"/>
      <c r="BD264" s="26"/>
      <c r="BE264" s="27"/>
      <c r="BF264" s="26"/>
      <c r="BG264" s="27"/>
      <c r="BH264" s="26"/>
      <c r="BI264" s="27"/>
      <c r="BJ264" s="26"/>
      <c r="BK264" s="27"/>
      <c r="BL264" s="26"/>
      <c r="BM264" s="27"/>
      <c r="BN264" s="22">
        <f>IF($A264="","",SUM(IF($D$5&lt;&gt;"",--(D264="Présent"),0),IF($F$5&lt;&gt;"",--(F264="Présent"),0),IF($H$5&lt;&gt;"",--(H264="Présent"),0),IF($J$5&lt;&gt;"",--(J264="Présent"),0),IF($L$5&lt;&gt;"",--(L264="Présent"),0),IF($N$5&lt;&gt;"",--(N264="Présent"),0),IF($P$5&lt;&gt;"",--(P264="Présent"),0),IF($R$5&lt;&gt;"",--(R264="Présent"),0),IF($T$5&lt;&gt;"",--(T264="Présent"),0),IF($V$5&lt;&gt;"",--(V264="Présent"),0),IF($X$5&lt;&gt;"",--(X264="Présent"),0),IF($Z$5&lt;&gt;"",--(Z264="Présent"),0),IF($AB$5&lt;&gt;"",--(AB264="Présent"),0),IF($AD$5&lt;&gt;"",--(AD264="Présent"),0),IF($AF$5&lt;&gt;"",--(AF264="Présent"),0),IF($AH$5&lt;&gt;"",--(AH264="Présent"),0),IF($AJ$5&lt;&gt;"",--(AJ264="Présent"),0),IF($AL$5&lt;&gt;"",--(AL264="Présent"),0),IF($AN$5&lt;&gt;"",--(AN264="Présent"),0),IF($AP$5&lt;&gt;"",--(AP264="Présent"),0),IF($AR$5&lt;&gt;"",--(AR264="Présent"),0),IF($AT$5&lt;&gt;"",--(AT264="Présent"),0),IF($AV$5&lt;&gt;"",--(AV264="Présent"),0),IF($AX$5&lt;&gt;"",--(AX264="Présent"),0),IF($AZ$5&lt;&gt;"",--(AZ264="Présent"),0),IF($BB$5&lt;&gt;"",--(BB264="Présent"),0),IF($BD$5&lt;&gt;"",--(BD264="Présent"),0),IF($BF$5&lt;&gt;"",--(BF264="Présent"),0),IF($BH$5&lt;&gt;"",--(BH264="Présent"),0),IF($BJ$5&lt;&gt;"",--(BJ264="Présent"),0),IF($BL$5&lt;&gt;"",--(BL264="Présent"),0)))</f>
      </c>
      <c r="BO264" s="22">
        <f>IF($A264="","",SUM(IF($D$5&lt;&gt;"",--(D264="Absent"),0),IF($F$5&lt;&gt;"",--(F264="Absent"),0),IF($H$5&lt;&gt;"",--(H264="Absent"),0),IF($J$5&lt;&gt;"",--(J264="Absent"),0),IF($L$5&lt;&gt;"",--(L264="Absent"),0),IF($N$5&lt;&gt;"",--(N264="Absent"),0),IF($P$5&lt;&gt;"",--(P264="Absent"),0),IF($R$5&lt;&gt;"",--(R264="Absent"),0),IF($T$5&lt;&gt;"",--(T264="Absent"),0),IF($V$5&lt;&gt;"",--(V264="Absent"),0),IF($X$5&lt;&gt;"",--(X264="Absent"),0),IF($Z$5&lt;&gt;"",--(Z264="Absent"),0),IF($AB$5&lt;&gt;"",--(AB264="Absent"),0),IF($AD$5&lt;&gt;"",--(AD264="Absent"),0),IF($AF$5&lt;&gt;"",--(AF264="Absent"),0),IF($AH$5&lt;&gt;"",--(AH264="Absent"),0),IF($AJ$5&lt;&gt;"",--(AJ264="Absent"),0),IF($AL$5&lt;&gt;"",--(AL264="Absent"),0),IF($AN$5&lt;&gt;"",--(AN264="Absent"),0),IF($AP$5&lt;&gt;"",--(AP264="Absent"),0),IF($AR$5&lt;&gt;"",--(AR264="Absent"),0),IF($AT$5&lt;&gt;"",--(AT264="Absent"),0),IF($AV$5&lt;&gt;"",--(AV264="Absent"),0),IF($AX$5&lt;&gt;"",--(AX264="Absent"),0),IF($AZ$5&lt;&gt;"",--(AZ264="Absent"),0),IF($BB$5&lt;&gt;"",--(BB264="Absent"),0),IF($BD$5&lt;&gt;"",--(BD264="Absent"),0),IF($BF$5&lt;&gt;"",--(BF264="Absent"),0),IF($BH$5&lt;&gt;"",--(BH264="Absent"),0),IF($BJ$5&lt;&gt;"",--(BJ264="Absent"),0),IF($BL$5&lt;&gt;"",--(BL264="Absent"),0)))</f>
      </c>
      <c r="BP264" s="22">
        <f>IF($A264="","",SUM(IF($D$5&lt;&gt;"",--(D264="Congé"),0),IF($F$5&lt;&gt;"",--(F264="Congé"),0),IF($H$5&lt;&gt;"",--(H264="Congé"),0),IF($J$5&lt;&gt;"",--(J264="Congé"),0),IF($L$5&lt;&gt;"",--(L264="Congé"),0),IF($N$5&lt;&gt;"",--(N264="Congé"),0),IF($P$5&lt;&gt;"",--(P264="Congé"),0),IF($R$5&lt;&gt;"",--(R264="Congé"),0),IF($T$5&lt;&gt;"",--(T264="Congé"),0),IF($V$5&lt;&gt;"",--(V264="Congé"),0),IF($X$5&lt;&gt;"",--(X264="Congé"),0),IF($Z$5&lt;&gt;"",--(Z264="Congé"),0),IF($AB$5&lt;&gt;"",--(AB264="Congé"),0),IF($AD$5&lt;&gt;"",--(AD264="Congé"),0),IF($AF$5&lt;&gt;"",--(AF264="Congé"),0),IF($AH$5&lt;&gt;"",--(AH264="Congé"),0),IF($AJ$5&lt;&gt;"",--(AJ264="Congé"),0),IF($AL$5&lt;&gt;"",--(AL264="Congé"),0),IF($AN$5&lt;&gt;"",--(AN264="Congé"),0),IF($AP$5&lt;&gt;"",--(AP264="Congé"),0),IF($AR$5&lt;&gt;"",--(AR264="Congé"),0),IF($AT$5&lt;&gt;"",--(AT264="Congé"),0),IF($AV$5&lt;&gt;"",--(AV264="Congé"),0),IF($AX$5&lt;&gt;"",--(AX264="Congé"),0),IF($AZ$5&lt;&gt;"",--(AZ264="Congé"),0),IF($BB$5&lt;&gt;"",--(BB264="Congé"),0),IF($BD$5&lt;&gt;"",--(BD264="Congé"),0),IF($BF$5&lt;&gt;"",--(BF264="Congé"),0),IF($BH$5&lt;&gt;"",--(BH264="Congé"),0),IF($BJ$5&lt;&gt;"",--(BJ264="Congé"),0),IF($BL$5&lt;&gt;"",--(BL264="Congé"),0)))</f>
      </c>
      <c r="BQ264" s="22">
        <f>IF($A264="","",SUM(IF($D$5&lt;&gt;"",--(D264="Maladie"),0),IF($F$5&lt;&gt;"",--(F264="Maladie"),0),IF($H$5&lt;&gt;"",--(H264="Maladie"),0),IF($J$5&lt;&gt;"",--(J264="Maladie"),0),IF($L$5&lt;&gt;"",--(L264="Maladie"),0),IF($N$5&lt;&gt;"",--(N264="Maladie"),0),IF($P$5&lt;&gt;"",--(P264="Maladie"),0),IF($R$5&lt;&gt;"",--(R264="Maladie"),0),IF($T$5&lt;&gt;"",--(T264="Maladie"),0),IF($V$5&lt;&gt;"",--(V264="Maladie"),0),IF($X$5&lt;&gt;"",--(X264="Maladie"),0),IF($Z$5&lt;&gt;"",--(Z264="Maladie"),0),IF($AB$5&lt;&gt;"",--(AB264="Maladie"),0),IF($AD$5&lt;&gt;"",--(AD264="Maladie"),0),IF($AF$5&lt;&gt;"",--(AF264="Maladie"),0),IF($AH$5&lt;&gt;"",--(AH264="Maladie"),0),IF($AJ$5&lt;&gt;"",--(AJ264="Maladie"),0),IF($AL$5&lt;&gt;"",--(AL264="Maladie"),0),IF($AN$5&lt;&gt;"",--(AN264="Maladie"),0),IF($AP$5&lt;&gt;"",--(AP264="Maladie"),0),IF($AR$5&lt;&gt;"",--(AR264="Maladie"),0),IF($AT$5&lt;&gt;"",--(AT264="Maladie"),0),IF($AV$5&lt;&gt;"",--(AV264="Maladie"),0),IF($AX$5&lt;&gt;"",--(AX264="Maladie"),0),IF($AZ$5&lt;&gt;"",--(AZ264="Maladie"),0),IF($BB$5&lt;&gt;"",--(BB264="Maladie"),0),IF($BD$5&lt;&gt;"",--(BD264="Maladie"),0),IF($BF$5&lt;&gt;"",--(BF264="Maladie"),0),IF($BH$5&lt;&gt;"",--(BH264="Maladie"),0),IF($BJ$5&lt;&gt;"",--(BJ264="Maladie"),0),IF($BL$5&lt;&gt;"",--(BL264="Maladie"),0)))</f>
      </c>
      <c r="BR264" s="23">
        <f>IF($A264="","",SUM(IF($D$5&lt;&gt;"",IF(D264="Présent",E264,0),0),IF($F$5&lt;&gt;"",IF(F264="Présent",G264,0),0),IF($H$5&lt;&gt;"",IF(H264="Présent",I264,0),0),IF($J$5&lt;&gt;"",IF(J264="Présent",K264,0),0),IF($L$5&lt;&gt;"",IF(L264="Présent",M264,0),0),IF($N$5&lt;&gt;"",IF(N264="Présent",O264,0),0),IF($P$5&lt;&gt;"",IF(P264="Présent",Q264,0),0),IF($R$5&lt;&gt;"",IF(R264="Présent",S264,0),0),IF($T$5&lt;&gt;"",IF(T264="Présent",U264,0),0),IF($V$5&lt;&gt;"",IF(V264="Présent",W264,0),0),IF($X$5&lt;&gt;"",IF(X264="Présent",Y264,0),0),IF($Z$5&lt;&gt;"",IF(Z264="Présent",AA264,0),0),IF($AB$5&lt;&gt;"",IF(AB264="Présent",AC264,0),0),IF($AD$5&lt;&gt;"",IF(AD264="Présent",AE264,0),0),IF($AF$5&lt;&gt;"",IF(AF264="Présent",AG264,0),0),IF($AH$5&lt;&gt;"",IF(AH264="Présent",AI264,0),0),IF($AJ$5&lt;&gt;"",IF(AJ264="Présent",AK264,0),0),IF($AL$5&lt;&gt;"",IF(AL264="Présent",AM264,0),0),IF($AN$5&lt;&gt;"",IF(AN264="Présent",AO264,0),0),IF($AP$5&lt;&gt;"",IF(AP264="Présent",AQ264,0),0),IF($AR$5&lt;&gt;"",IF(AR264="Présent",AS264,0),0),IF($AT$5&lt;&gt;"",IF(AT264="Présent",AU264,0),0),IF($AV$5&lt;&gt;"",IF(AV264="Présent",AW264,0),0),IF($AX$5&lt;&gt;"",IF(AX264="Présent",AY264,0),0),IF($AZ$5&lt;&gt;"",IF(AZ264="Présent",BA264,0),0),IF($BB$5&lt;&gt;"",IF(BB264="Présent",BC264,0),0),IF($BD$5&lt;&gt;"",IF(BD264="Présent",BE264,0),0),IF($BF$5&lt;&gt;"",IF(BF264="Présent",BG264,0),0),IF($BH$5&lt;&gt;"",IF(BH264="Présent",BI264,0),0),IF($BJ$5&lt;&gt;"",IF(BJ264="Présent",BK264,0),0),IF($BL$5&lt;&gt;"",IF(BL264="Présent",BM264,0),0)))</f>
      </c>
      <c r="BS264" s="25">
        <f>IF($A264="","",$BN264*IFERROR(INDEX(Categories_Salaire,MATCH($C264,ListeCategories,0)),0)+$BR264*IF(IFERROR(INDEX(Categories_TauxHS,MATCH($C264,ListeCategories,0)),0)&gt;0,IFERROR(INDEX(Categories_TauxHS,MATCH($C264,ListeCategories,0)),0),TauxHSDefaut))</f>
      </c>
    </row>
    <row r="265">
      <c r="A265" s="20">
        <f>IF(AND(INDEX(Employes_Nom,259)&lt;&gt;"",INDEX(Employes_Statut,259)="Actif",OR(INDEX(Employes_Embauche,259)="",INDEX(Employes_Embauche,259)&lt;=EOMONTH(DATE(AnneeCourante,MoisCourant,1),0))),INDEX(Employes_ID,259),"")</f>
      </c>
      <c r="B265" s="19">
        <f>IF($A265="","",INDEX(Employes_Nom,MATCH($A265,Employes_ID,0)))</f>
      </c>
      <c r="C265" s="20">
        <f>IF($A265="","",INDEX(Employes_Categorie,MATCH($A265,Employes_ID,0)))</f>
      </c>
      <c r="D265" s="26"/>
      <c r="E265" s="27"/>
      <c r="F265" s="26"/>
      <c r="G265" s="27"/>
      <c r="H265" s="26"/>
      <c r="I265" s="27"/>
      <c r="J265" s="26"/>
      <c r="K265" s="27"/>
      <c r="L265" s="26"/>
      <c r="M265" s="27"/>
      <c r="N265" s="26"/>
      <c r="O265" s="27"/>
      <c r="P265" s="26"/>
      <c r="Q265" s="27"/>
      <c r="R265" s="26"/>
      <c r="S265" s="27"/>
      <c r="T265" s="26"/>
      <c r="U265" s="27"/>
      <c r="V265" s="26"/>
      <c r="W265" s="27"/>
      <c r="X265" s="26"/>
      <c r="Y265" s="27"/>
      <c r="Z265" s="26"/>
      <c r="AA265" s="27"/>
      <c r="AB265" s="26"/>
      <c r="AC265" s="27"/>
      <c r="AD265" s="26"/>
      <c r="AE265" s="27"/>
      <c r="AF265" s="26"/>
      <c r="AG265" s="27"/>
      <c r="AH265" s="26"/>
      <c r="AI265" s="27"/>
      <c r="AJ265" s="26"/>
      <c r="AK265" s="27"/>
      <c r="AL265" s="26"/>
      <c r="AM265" s="27"/>
      <c r="AN265" s="26"/>
      <c r="AO265" s="27"/>
      <c r="AP265" s="26"/>
      <c r="AQ265" s="27"/>
      <c r="AR265" s="26"/>
      <c r="AS265" s="27"/>
      <c r="AT265" s="26"/>
      <c r="AU265" s="27"/>
      <c r="AV265" s="26"/>
      <c r="AW265" s="27"/>
      <c r="AX265" s="26"/>
      <c r="AY265" s="27"/>
      <c r="AZ265" s="26"/>
      <c r="BA265" s="27"/>
      <c r="BB265" s="26"/>
      <c r="BC265" s="27"/>
      <c r="BD265" s="26"/>
      <c r="BE265" s="27"/>
      <c r="BF265" s="26"/>
      <c r="BG265" s="27"/>
      <c r="BH265" s="26"/>
      <c r="BI265" s="27"/>
      <c r="BJ265" s="26"/>
      <c r="BK265" s="27"/>
      <c r="BL265" s="26"/>
      <c r="BM265" s="27"/>
      <c r="BN265" s="22">
        <f>IF($A265="","",SUM(IF($D$5&lt;&gt;"",--(D265="Présent"),0),IF($F$5&lt;&gt;"",--(F265="Présent"),0),IF($H$5&lt;&gt;"",--(H265="Présent"),0),IF($J$5&lt;&gt;"",--(J265="Présent"),0),IF($L$5&lt;&gt;"",--(L265="Présent"),0),IF($N$5&lt;&gt;"",--(N265="Présent"),0),IF($P$5&lt;&gt;"",--(P265="Présent"),0),IF($R$5&lt;&gt;"",--(R265="Présent"),0),IF($T$5&lt;&gt;"",--(T265="Présent"),0),IF($V$5&lt;&gt;"",--(V265="Présent"),0),IF($X$5&lt;&gt;"",--(X265="Présent"),0),IF($Z$5&lt;&gt;"",--(Z265="Présent"),0),IF($AB$5&lt;&gt;"",--(AB265="Présent"),0),IF($AD$5&lt;&gt;"",--(AD265="Présent"),0),IF($AF$5&lt;&gt;"",--(AF265="Présent"),0),IF($AH$5&lt;&gt;"",--(AH265="Présent"),0),IF($AJ$5&lt;&gt;"",--(AJ265="Présent"),0),IF($AL$5&lt;&gt;"",--(AL265="Présent"),0),IF($AN$5&lt;&gt;"",--(AN265="Présent"),0),IF($AP$5&lt;&gt;"",--(AP265="Présent"),0),IF($AR$5&lt;&gt;"",--(AR265="Présent"),0),IF($AT$5&lt;&gt;"",--(AT265="Présent"),0),IF($AV$5&lt;&gt;"",--(AV265="Présent"),0),IF($AX$5&lt;&gt;"",--(AX265="Présent"),0),IF($AZ$5&lt;&gt;"",--(AZ265="Présent"),0),IF($BB$5&lt;&gt;"",--(BB265="Présent"),0),IF($BD$5&lt;&gt;"",--(BD265="Présent"),0),IF($BF$5&lt;&gt;"",--(BF265="Présent"),0),IF($BH$5&lt;&gt;"",--(BH265="Présent"),0),IF($BJ$5&lt;&gt;"",--(BJ265="Présent"),0),IF($BL$5&lt;&gt;"",--(BL265="Présent"),0)))</f>
      </c>
      <c r="BO265" s="22">
        <f>IF($A265="","",SUM(IF($D$5&lt;&gt;"",--(D265="Absent"),0),IF($F$5&lt;&gt;"",--(F265="Absent"),0),IF($H$5&lt;&gt;"",--(H265="Absent"),0),IF($J$5&lt;&gt;"",--(J265="Absent"),0),IF($L$5&lt;&gt;"",--(L265="Absent"),0),IF($N$5&lt;&gt;"",--(N265="Absent"),0),IF($P$5&lt;&gt;"",--(P265="Absent"),0),IF($R$5&lt;&gt;"",--(R265="Absent"),0),IF($T$5&lt;&gt;"",--(T265="Absent"),0),IF($V$5&lt;&gt;"",--(V265="Absent"),0),IF($X$5&lt;&gt;"",--(X265="Absent"),0),IF($Z$5&lt;&gt;"",--(Z265="Absent"),0),IF($AB$5&lt;&gt;"",--(AB265="Absent"),0),IF($AD$5&lt;&gt;"",--(AD265="Absent"),0),IF($AF$5&lt;&gt;"",--(AF265="Absent"),0),IF($AH$5&lt;&gt;"",--(AH265="Absent"),0),IF($AJ$5&lt;&gt;"",--(AJ265="Absent"),0),IF($AL$5&lt;&gt;"",--(AL265="Absent"),0),IF($AN$5&lt;&gt;"",--(AN265="Absent"),0),IF($AP$5&lt;&gt;"",--(AP265="Absent"),0),IF($AR$5&lt;&gt;"",--(AR265="Absent"),0),IF($AT$5&lt;&gt;"",--(AT265="Absent"),0),IF($AV$5&lt;&gt;"",--(AV265="Absent"),0),IF($AX$5&lt;&gt;"",--(AX265="Absent"),0),IF($AZ$5&lt;&gt;"",--(AZ265="Absent"),0),IF($BB$5&lt;&gt;"",--(BB265="Absent"),0),IF($BD$5&lt;&gt;"",--(BD265="Absent"),0),IF($BF$5&lt;&gt;"",--(BF265="Absent"),0),IF($BH$5&lt;&gt;"",--(BH265="Absent"),0),IF($BJ$5&lt;&gt;"",--(BJ265="Absent"),0),IF($BL$5&lt;&gt;"",--(BL265="Absent"),0)))</f>
      </c>
      <c r="BP265" s="22">
        <f>IF($A265="","",SUM(IF($D$5&lt;&gt;"",--(D265="Congé"),0),IF($F$5&lt;&gt;"",--(F265="Congé"),0),IF($H$5&lt;&gt;"",--(H265="Congé"),0),IF($J$5&lt;&gt;"",--(J265="Congé"),0),IF($L$5&lt;&gt;"",--(L265="Congé"),0),IF($N$5&lt;&gt;"",--(N265="Congé"),0),IF($P$5&lt;&gt;"",--(P265="Congé"),0),IF($R$5&lt;&gt;"",--(R265="Congé"),0),IF($T$5&lt;&gt;"",--(T265="Congé"),0),IF($V$5&lt;&gt;"",--(V265="Congé"),0),IF($X$5&lt;&gt;"",--(X265="Congé"),0),IF($Z$5&lt;&gt;"",--(Z265="Congé"),0),IF($AB$5&lt;&gt;"",--(AB265="Congé"),0),IF($AD$5&lt;&gt;"",--(AD265="Congé"),0),IF($AF$5&lt;&gt;"",--(AF265="Congé"),0),IF($AH$5&lt;&gt;"",--(AH265="Congé"),0),IF($AJ$5&lt;&gt;"",--(AJ265="Congé"),0),IF($AL$5&lt;&gt;"",--(AL265="Congé"),0),IF($AN$5&lt;&gt;"",--(AN265="Congé"),0),IF($AP$5&lt;&gt;"",--(AP265="Congé"),0),IF($AR$5&lt;&gt;"",--(AR265="Congé"),0),IF($AT$5&lt;&gt;"",--(AT265="Congé"),0),IF($AV$5&lt;&gt;"",--(AV265="Congé"),0),IF($AX$5&lt;&gt;"",--(AX265="Congé"),0),IF($AZ$5&lt;&gt;"",--(AZ265="Congé"),0),IF($BB$5&lt;&gt;"",--(BB265="Congé"),0),IF($BD$5&lt;&gt;"",--(BD265="Congé"),0),IF($BF$5&lt;&gt;"",--(BF265="Congé"),0),IF($BH$5&lt;&gt;"",--(BH265="Congé"),0),IF($BJ$5&lt;&gt;"",--(BJ265="Congé"),0),IF($BL$5&lt;&gt;"",--(BL265="Congé"),0)))</f>
      </c>
      <c r="BQ265" s="22">
        <f>IF($A265="","",SUM(IF($D$5&lt;&gt;"",--(D265="Maladie"),0),IF($F$5&lt;&gt;"",--(F265="Maladie"),0),IF($H$5&lt;&gt;"",--(H265="Maladie"),0),IF($J$5&lt;&gt;"",--(J265="Maladie"),0),IF($L$5&lt;&gt;"",--(L265="Maladie"),0),IF($N$5&lt;&gt;"",--(N265="Maladie"),0),IF($P$5&lt;&gt;"",--(P265="Maladie"),0),IF($R$5&lt;&gt;"",--(R265="Maladie"),0),IF($T$5&lt;&gt;"",--(T265="Maladie"),0),IF($V$5&lt;&gt;"",--(V265="Maladie"),0),IF($X$5&lt;&gt;"",--(X265="Maladie"),0),IF($Z$5&lt;&gt;"",--(Z265="Maladie"),0),IF($AB$5&lt;&gt;"",--(AB265="Maladie"),0),IF($AD$5&lt;&gt;"",--(AD265="Maladie"),0),IF($AF$5&lt;&gt;"",--(AF265="Maladie"),0),IF($AH$5&lt;&gt;"",--(AH265="Maladie"),0),IF($AJ$5&lt;&gt;"",--(AJ265="Maladie"),0),IF($AL$5&lt;&gt;"",--(AL265="Maladie"),0),IF($AN$5&lt;&gt;"",--(AN265="Maladie"),0),IF($AP$5&lt;&gt;"",--(AP265="Maladie"),0),IF($AR$5&lt;&gt;"",--(AR265="Maladie"),0),IF($AT$5&lt;&gt;"",--(AT265="Maladie"),0),IF($AV$5&lt;&gt;"",--(AV265="Maladie"),0),IF($AX$5&lt;&gt;"",--(AX265="Maladie"),0),IF($AZ$5&lt;&gt;"",--(AZ265="Maladie"),0),IF($BB$5&lt;&gt;"",--(BB265="Maladie"),0),IF($BD$5&lt;&gt;"",--(BD265="Maladie"),0),IF($BF$5&lt;&gt;"",--(BF265="Maladie"),0),IF($BH$5&lt;&gt;"",--(BH265="Maladie"),0),IF($BJ$5&lt;&gt;"",--(BJ265="Maladie"),0),IF($BL$5&lt;&gt;"",--(BL265="Maladie"),0)))</f>
      </c>
      <c r="BR265" s="23">
        <f>IF($A265="","",SUM(IF($D$5&lt;&gt;"",IF(D265="Présent",E265,0),0),IF($F$5&lt;&gt;"",IF(F265="Présent",G265,0),0),IF($H$5&lt;&gt;"",IF(H265="Présent",I265,0),0),IF($J$5&lt;&gt;"",IF(J265="Présent",K265,0),0),IF($L$5&lt;&gt;"",IF(L265="Présent",M265,0),0),IF($N$5&lt;&gt;"",IF(N265="Présent",O265,0),0),IF($P$5&lt;&gt;"",IF(P265="Présent",Q265,0),0),IF($R$5&lt;&gt;"",IF(R265="Présent",S265,0),0),IF($T$5&lt;&gt;"",IF(T265="Présent",U265,0),0),IF($V$5&lt;&gt;"",IF(V265="Présent",W265,0),0),IF($X$5&lt;&gt;"",IF(X265="Présent",Y265,0),0),IF($Z$5&lt;&gt;"",IF(Z265="Présent",AA265,0),0),IF($AB$5&lt;&gt;"",IF(AB265="Présent",AC265,0),0),IF($AD$5&lt;&gt;"",IF(AD265="Présent",AE265,0),0),IF($AF$5&lt;&gt;"",IF(AF265="Présent",AG265,0),0),IF($AH$5&lt;&gt;"",IF(AH265="Présent",AI265,0),0),IF($AJ$5&lt;&gt;"",IF(AJ265="Présent",AK265,0),0),IF($AL$5&lt;&gt;"",IF(AL265="Présent",AM265,0),0),IF($AN$5&lt;&gt;"",IF(AN265="Présent",AO265,0),0),IF($AP$5&lt;&gt;"",IF(AP265="Présent",AQ265,0),0),IF($AR$5&lt;&gt;"",IF(AR265="Présent",AS265,0),0),IF($AT$5&lt;&gt;"",IF(AT265="Présent",AU265,0),0),IF($AV$5&lt;&gt;"",IF(AV265="Présent",AW265,0),0),IF($AX$5&lt;&gt;"",IF(AX265="Présent",AY265,0),0),IF($AZ$5&lt;&gt;"",IF(AZ265="Présent",BA265,0),0),IF($BB$5&lt;&gt;"",IF(BB265="Présent",BC265,0),0),IF($BD$5&lt;&gt;"",IF(BD265="Présent",BE265,0),0),IF($BF$5&lt;&gt;"",IF(BF265="Présent",BG265,0),0),IF($BH$5&lt;&gt;"",IF(BH265="Présent",BI265,0),0),IF($BJ$5&lt;&gt;"",IF(BJ265="Présent",BK265,0),0),IF($BL$5&lt;&gt;"",IF(BL265="Présent",BM265,0),0)))</f>
      </c>
      <c r="BS265" s="25">
        <f>IF($A265="","",$BN265*IFERROR(INDEX(Categories_Salaire,MATCH($C265,ListeCategories,0)),0)+$BR265*IF(IFERROR(INDEX(Categories_TauxHS,MATCH($C265,ListeCategories,0)),0)&gt;0,IFERROR(INDEX(Categories_TauxHS,MATCH($C265,ListeCategories,0)),0),TauxHSDefaut))</f>
      </c>
    </row>
    <row r="266">
      <c r="A266" s="20">
        <f>IF(AND(INDEX(Employes_Nom,260)&lt;&gt;"",INDEX(Employes_Statut,260)="Actif",OR(INDEX(Employes_Embauche,260)="",INDEX(Employes_Embauche,260)&lt;=EOMONTH(DATE(AnneeCourante,MoisCourant,1),0))),INDEX(Employes_ID,260),"")</f>
      </c>
      <c r="B266" s="19">
        <f>IF($A266="","",INDEX(Employes_Nom,MATCH($A266,Employes_ID,0)))</f>
      </c>
      <c r="C266" s="20">
        <f>IF($A266="","",INDEX(Employes_Categorie,MATCH($A266,Employes_ID,0)))</f>
      </c>
      <c r="D266" s="26"/>
      <c r="E266" s="27"/>
      <c r="F266" s="26"/>
      <c r="G266" s="27"/>
      <c r="H266" s="26"/>
      <c r="I266" s="27"/>
      <c r="J266" s="26"/>
      <c r="K266" s="27"/>
      <c r="L266" s="26"/>
      <c r="M266" s="27"/>
      <c r="N266" s="26"/>
      <c r="O266" s="27"/>
      <c r="P266" s="26"/>
      <c r="Q266" s="27"/>
      <c r="R266" s="26"/>
      <c r="S266" s="27"/>
      <c r="T266" s="26"/>
      <c r="U266" s="27"/>
      <c r="V266" s="26"/>
      <c r="W266" s="27"/>
      <c r="X266" s="26"/>
      <c r="Y266" s="27"/>
      <c r="Z266" s="26"/>
      <c r="AA266" s="27"/>
      <c r="AB266" s="26"/>
      <c r="AC266" s="27"/>
      <c r="AD266" s="26"/>
      <c r="AE266" s="27"/>
      <c r="AF266" s="26"/>
      <c r="AG266" s="27"/>
      <c r="AH266" s="26"/>
      <c r="AI266" s="27"/>
      <c r="AJ266" s="26"/>
      <c r="AK266" s="27"/>
      <c r="AL266" s="26"/>
      <c r="AM266" s="27"/>
      <c r="AN266" s="26"/>
      <c r="AO266" s="27"/>
      <c r="AP266" s="26"/>
      <c r="AQ266" s="27"/>
      <c r="AR266" s="26"/>
      <c r="AS266" s="27"/>
      <c r="AT266" s="26"/>
      <c r="AU266" s="27"/>
      <c r="AV266" s="26"/>
      <c r="AW266" s="27"/>
      <c r="AX266" s="26"/>
      <c r="AY266" s="27"/>
      <c r="AZ266" s="26"/>
      <c r="BA266" s="27"/>
      <c r="BB266" s="26"/>
      <c r="BC266" s="27"/>
      <c r="BD266" s="26"/>
      <c r="BE266" s="27"/>
      <c r="BF266" s="26"/>
      <c r="BG266" s="27"/>
      <c r="BH266" s="26"/>
      <c r="BI266" s="27"/>
      <c r="BJ266" s="26"/>
      <c r="BK266" s="27"/>
      <c r="BL266" s="26"/>
      <c r="BM266" s="27"/>
      <c r="BN266" s="22">
        <f>IF($A266="","",SUM(IF($D$5&lt;&gt;"",--(D266="Présent"),0),IF($F$5&lt;&gt;"",--(F266="Présent"),0),IF($H$5&lt;&gt;"",--(H266="Présent"),0),IF($J$5&lt;&gt;"",--(J266="Présent"),0),IF($L$5&lt;&gt;"",--(L266="Présent"),0),IF($N$5&lt;&gt;"",--(N266="Présent"),0),IF($P$5&lt;&gt;"",--(P266="Présent"),0),IF($R$5&lt;&gt;"",--(R266="Présent"),0),IF($T$5&lt;&gt;"",--(T266="Présent"),0),IF($V$5&lt;&gt;"",--(V266="Présent"),0),IF($X$5&lt;&gt;"",--(X266="Présent"),0),IF($Z$5&lt;&gt;"",--(Z266="Présent"),0),IF($AB$5&lt;&gt;"",--(AB266="Présent"),0),IF($AD$5&lt;&gt;"",--(AD266="Présent"),0),IF($AF$5&lt;&gt;"",--(AF266="Présent"),0),IF($AH$5&lt;&gt;"",--(AH266="Présent"),0),IF($AJ$5&lt;&gt;"",--(AJ266="Présent"),0),IF($AL$5&lt;&gt;"",--(AL266="Présent"),0),IF($AN$5&lt;&gt;"",--(AN266="Présent"),0),IF($AP$5&lt;&gt;"",--(AP266="Présent"),0),IF($AR$5&lt;&gt;"",--(AR266="Présent"),0),IF($AT$5&lt;&gt;"",--(AT266="Présent"),0),IF($AV$5&lt;&gt;"",--(AV266="Présent"),0),IF($AX$5&lt;&gt;"",--(AX266="Présent"),0),IF($AZ$5&lt;&gt;"",--(AZ266="Présent"),0),IF($BB$5&lt;&gt;"",--(BB266="Présent"),0),IF($BD$5&lt;&gt;"",--(BD266="Présent"),0),IF($BF$5&lt;&gt;"",--(BF266="Présent"),0),IF($BH$5&lt;&gt;"",--(BH266="Présent"),0),IF($BJ$5&lt;&gt;"",--(BJ266="Présent"),0),IF($BL$5&lt;&gt;"",--(BL266="Présent"),0)))</f>
      </c>
      <c r="BO266" s="22">
        <f>IF($A266="","",SUM(IF($D$5&lt;&gt;"",--(D266="Absent"),0),IF($F$5&lt;&gt;"",--(F266="Absent"),0),IF($H$5&lt;&gt;"",--(H266="Absent"),0),IF($J$5&lt;&gt;"",--(J266="Absent"),0),IF($L$5&lt;&gt;"",--(L266="Absent"),0),IF($N$5&lt;&gt;"",--(N266="Absent"),0),IF($P$5&lt;&gt;"",--(P266="Absent"),0),IF($R$5&lt;&gt;"",--(R266="Absent"),0),IF($T$5&lt;&gt;"",--(T266="Absent"),0),IF($V$5&lt;&gt;"",--(V266="Absent"),0),IF($X$5&lt;&gt;"",--(X266="Absent"),0),IF($Z$5&lt;&gt;"",--(Z266="Absent"),0),IF($AB$5&lt;&gt;"",--(AB266="Absent"),0),IF($AD$5&lt;&gt;"",--(AD266="Absent"),0),IF($AF$5&lt;&gt;"",--(AF266="Absent"),0),IF($AH$5&lt;&gt;"",--(AH266="Absent"),0),IF($AJ$5&lt;&gt;"",--(AJ266="Absent"),0),IF($AL$5&lt;&gt;"",--(AL266="Absent"),0),IF($AN$5&lt;&gt;"",--(AN266="Absent"),0),IF($AP$5&lt;&gt;"",--(AP266="Absent"),0),IF($AR$5&lt;&gt;"",--(AR266="Absent"),0),IF($AT$5&lt;&gt;"",--(AT266="Absent"),0),IF($AV$5&lt;&gt;"",--(AV266="Absent"),0),IF($AX$5&lt;&gt;"",--(AX266="Absent"),0),IF($AZ$5&lt;&gt;"",--(AZ266="Absent"),0),IF($BB$5&lt;&gt;"",--(BB266="Absent"),0),IF($BD$5&lt;&gt;"",--(BD266="Absent"),0),IF($BF$5&lt;&gt;"",--(BF266="Absent"),0),IF($BH$5&lt;&gt;"",--(BH266="Absent"),0),IF($BJ$5&lt;&gt;"",--(BJ266="Absent"),0),IF($BL$5&lt;&gt;"",--(BL266="Absent"),0)))</f>
      </c>
      <c r="BP266" s="22">
        <f>IF($A266="","",SUM(IF($D$5&lt;&gt;"",--(D266="Congé"),0),IF($F$5&lt;&gt;"",--(F266="Congé"),0),IF($H$5&lt;&gt;"",--(H266="Congé"),0),IF($J$5&lt;&gt;"",--(J266="Congé"),0),IF($L$5&lt;&gt;"",--(L266="Congé"),0),IF($N$5&lt;&gt;"",--(N266="Congé"),0),IF($P$5&lt;&gt;"",--(P266="Congé"),0),IF($R$5&lt;&gt;"",--(R266="Congé"),0),IF($T$5&lt;&gt;"",--(T266="Congé"),0),IF($V$5&lt;&gt;"",--(V266="Congé"),0),IF($X$5&lt;&gt;"",--(X266="Congé"),0),IF($Z$5&lt;&gt;"",--(Z266="Congé"),0),IF($AB$5&lt;&gt;"",--(AB266="Congé"),0),IF($AD$5&lt;&gt;"",--(AD266="Congé"),0),IF($AF$5&lt;&gt;"",--(AF266="Congé"),0),IF($AH$5&lt;&gt;"",--(AH266="Congé"),0),IF($AJ$5&lt;&gt;"",--(AJ266="Congé"),0),IF($AL$5&lt;&gt;"",--(AL266="Congé"),0),IF($AN$5&lt;&gt;"",--(AN266="Congé"),0),IF($AP$5&lt;&gt;"",--(AP266="Congé"),0),IF($AR$5&lt;&gt;"",--(AR266="Congé"),0),IF($AT$5&lt;&gt;"",--(AT266="Congé"),0),IF($AV$5&lt;&gt;"",--(AV266="Congé"),0),IF($AX$5&lt;&gt;"",--(AX266="Congé"),0),IF($AZ$5&lt;&gt;"",--(AZ266="Congé"),0),IF($BB$5&lt;&gt;"",--(BB266="Congé"),0),IF($BD$5&lt;&gt;"",--(BD266="Congé"),0),IF($BF$5&lt;&gt;"",--(BF266="Congé"),0),IF($BH$5&lt;&gt;"",--(BH266="Congé"),0),IF($BJ$5&lt;&gt;"",--(BJ266="Congé"),0),IF($BL$5&lt;&gt;"",--(BL266="Congé"),0)))</f>
      </c>
      <c r="BQ266" s="22">
        <f>IF($A266="","",SUM(IF($D$5&lt;&gt;"",--(D266="Maladie"),0),IF($F$5&lt;&gt;"",--(F266="Maladie"),0),IF($H$5&lt;&gt;"",--(H266="Maladie"),0),IF($J$5&lt;&gt;"",--(J266="Maladie"),0),IF($L$5&lt;&gt;"",--(L266="Maladie"),0),IF($N$5&lt;&gt;"",--(N266="Maladie"),0),IF($P$5&lt;&gt;"",--(P266="Maladie"),0),IF($R$5&lt;&gt;"",--(R266="Maladie"),0),IF($T$5&lt;&gt;"",--(T266="Maladie"),0),IF($V$5&lt;&gt;"",--(V266="Maladie"),0),IF($X$5&lt;&gt;"",--(X266="Maladie"),0),IF($Z$5&lt;&gt;"",--(Z266="Maladie"),0),IF($AB$5&lt;&gt;"",--(AB266="Maladie"),0),IF($AD$5&lt;&gt;"",--(AD266="Maladie"),0),IF($AF$5&lt;&gt;"",--(AF266="Maladie"),0),IF($AH$5&lt;&gt;"",--(AH266="Maladie"),0),IF($AJ$5&lt;&gt;"",--(AJ266="Maladie"),0),IF($AL$5&lt;&gt;"",--(AL266="Maladie"),0),IF($AN$5&lt;&gt;"",--(AN266="Maladie"),0),IF($AP$5&lt;&gt;"",--(AP266="Maladie"),0),IF($AR$5&lt;&gt;"",--(AR266="Maladie"),0),IF($AT$5&lt;&gt;"",--(AT266="Maladie"),0),IF($AV$5&lt;&gt;"",--(AV266="Maladie"),0),IF($AX$5&lt;&gt;"",--(AX266="Maladie"),0),IF($AZ$5&lt;&gt;"",--(AZ266="Maladie"),0),IF($BB$5&lt;&gt;"",--(BB266="Maladie"),0),IF($BD$5&lt;&gt;"",--(BD266="Maladie"),0),IF($BF$5&lt;&gt;"",--(BF266="Maladie"),0),IF($BH$5&lt;&gt;"",--(BH266="Maladie"),0),IF($BJ$5&lt;&gt;"",--(BJ266="Maladie"),0),IF($BL$5&lt;&gt;"",--(BL266="Maladie"),0)))</f>
      </c>
      <c r="BR266" s="23">
        <f>IF($A266="","",SUM(IF($D$5&lt;&gt;"",IF(D266="Présent",E266,0),0),IF($F$5&lt;&gt;"",IF(F266="Présent",G266,0),0),IF($H$5&lt;&gt;"",IF(H266="Présent",I266,0),0),IF($J$5&lt;&gt;"",IF(J266="Présent",K266,0),0),IF($L$5&lt;&gt;"",IF(L266="Présent",M266,0),0),IF($N$5&lt;&gt;"",IF(N266="Présent",O266,0),0),IF($P$5&lt;&gt;"",IF(P266="Présent",Q266,0),0),IF($R$5&lt;&gt;"",IF(R266="Présent",S266,0),0),IF($T$5&lt;&gt;"",IF(T266="Présent",U266,0),0),IF($V$5&lt;&gt;"",IF(V266="Présent",W266,0),0),IF($X$5&lt;&gt;"",IF(X266="Présent",Y266,0),0),IF($Z$5&lt;&gt;"",IF(Z266="Présent",AA266,0),0),IF($AB$5&lt;&gt;"",IF(AB266="Présent",AC266,0),0),IF($AD$5&lt;&gt;"",IF(AD266="Présent",AE266,0),0),IF($AF$5&lt;&gt;"",IF(AF266="Présent",AG266,0),0),IF($AH$5&lt;&gt;"",IF(AH266="Présent",AI266,0),0),IF($AJ$5&lt;&gt;"",IF(AJ266="Présent",AK266,0),0),IF($AL$5&lt;&gt;"",IF(AL266="Présent",AM266,0),0),IF($AN$5&lt;&gt;"",IF(AN266="Présent",AO266,0),0),IF($AP$5&lt;&gt;"",IF(AP266="Présent",AQ266,0),0),IF($AR$5&lt;&gt;"",IF(AR266="Présent",AS266,0),0),IF($AT$5&lt;&gt;"",IF(AT266="Présent",AU266,0),0),IF($AV$5&lt;&gt;"",IF(AV266="Présent",AW266,0),0),IF($AX$5&lt;&gt;"",IF(AX266="Présent",AY266,0),0),IF($AZ$5&lt;&gt;"",IF(AZ266="Présent",BA266,0),0),IF($BB$5&lt;&gt;"",IF(BB266="Présent",BC266,0),0),IF($BD$5&lt;&gt;"",IF(BD266="Présent",BE266,0),0),IF($BF$5&lt;&gt;"",IF(BF266="Présent",BG266,0),0),IF($BH$5&lt;&gt;"",IF(BH266="Présent",BI266,0),0),IF($BJ$5&lt;&gt;"",IF(BJ266="Présent",BK266,0),0),IF($BL$5&lt;&gt;"",IF(BL266="Présent",BM266,0),0)))</f>
      </c>
      <c r="BS266" s="25">
        <f>IF($A266="","",$BN266*IFERROR(INDEX(Categories_Salaire,MATCH($C266,ListeCategories,0)),0)+$BR266*IF(IFERROR(INDEX(Categories_TauxHS,MATCH($C266,ListeCategories,0)),0)&gt;0,IFERROR(INDEX(Categories_TauxHS,MATCH($C266,ListeCategories,0)),0),TauxHSDefaut))</f>
      </c>
    </row>
    <row r="267">
      <c r="A267" s="20">
        <f>IF(AND(INDEX(Employes_Nom,261)&lt;&gt;"",INDEX(Employes_Statut,261)="Actif",OR(INDEX(Employes_Embauche,261)="",INDEX(Employes_Embauche,261)&lt;=EOMONTH(DATE(AnneeCourante,MoisCourant,1),0))),INDEX(Employes_ID,261),"")</f>
      </c>
      <c r="B267" s="19">
        <f>IF($A267="","",INDEX(Employes_Nom,MATCH($A267,Employes_ID,0)))</f>
      </c>
      <c r="C267" s="20">
        <f>IF($A267="","",INDEX(Employes_Categorie,MATCH($A267,Employes_ID,0)))</f>
      </c>
      <c r="D267" s="26"/>
      <c r="E267" s="27"/>
      <c r="F267" s="26"/>
      <c r="G267" s="27"/>
      <c r="H267" s="26"/>
      <c r="I267" s="27"/>
      <c r="J267" s="26"/>
      <c r="K267" s="27"/>
      <c r="L267" s="26"/>
      <c r="M267" s="27"/>
      <c r="N267" s="26"/>
      <c r="O267" s="27"/>
      <c r="P267" s="26"/>
      <c r="Q267" s="27"/>
      <c r="R267" s="26"/>
      <c r="S267" s="27"/>
      <c r="T267" s="26"/>
      <c r="U267" s="27"/>
      <c r="V267" s="26"/>
      <c r="W267" s="27"/>
      <c r="X267" s="26"/>
      <c r="Y267" s="27"/>
      <c r="Z267" s="26"/>
      <c r="AA267" s="27"/>
      <c r="AB267" s="26"/>
      <c r="AC267" s="27"/>
      <c r="AD267" s="26"/>
      <c r="AE267" s="27"/>
      <c r="AF267" s="26"/>
      <c r="AG267" s="27"/>
      <c r="AH267" s="26"/>
      <c r="AI267" s="27"/>
      <c r="AJ267" s="26"/>
      <c r="AK267" s="27"/>
      <c r="AL267" s="26"/>
      <c r="AM267" s="27"/>
      <c r="AN267" s="26"/>
      <c r="AO267" s="27"/>
      <c r="AP267" s="26"/>
      <c r="AQ267" s="27"/>
      <c r="AR267" s="26"/>
      <c r="AS267" s="27"/>
      <c r="AT267" s="26"/>
      <c r="AU267" s="27"/>
      <c r="AV267" s="26"/>
      <c r="AW267" s="27"/>
      <c r="AX267" s="26"/>
      <c r="AY267" s="27"/>
      <c r="AZ267" s="26"/>
      <c r="BA267" s="27"/>
      <c r="BB267" s="26"/>
      <c r="BC267" s="27"/>
      <c r="BD267" s="26"/>
      <c r="BE267" s="27"/>
      <c r="BF267" s="26"/>
      <c r="BG267" s="27"/>
      <c r="BH267" s="26"/>
      <c r="BI267" s="27"/>
      <c r="BJ267" s="26"/>
      <c r="BK267" s="27"/>
      <c r="BL267" s="26"/>
      <c r="BM267" s="27"/>
      <c r="BN267" s="22">
        <f>IF($A267="","",SUM(IF($D$5&lt;&gt;"",--(D267="Présent"),0),IF($F$5&lt;&gt;"",--(F267="Présent"),0),IF($H$5&lt;&gt;"",--(H267="Présent"),0),IF($J$5&lt;&gt;"",--(J267="Présent"),0),IF($L$5&lt;&gt;"",--(L267="Présent"),0),IF($N$5&lt;&gt;"",--(N267="Présent"),0),IF($P$5&lt;&gt;"",--(P267="Présent"),0),IF($R$5&lt;&gt;"",--(R267="Présent"),0),IF($T$5&lt;&gt;"",--(T267="Présent"),0),IF($V$5&lt;&gt;"",--(V267="Présent"),0),IF($X$5&lt;&gt;"",--(X267="Présent"),0),IF($Z$5&lt;&gt;"",--(Z267="Présent"),0),IF($AB$5&lt;&gt;"",--(AB267="Présent"),0),IF($AD$5&lt;&gt;"",--(AD267="Présent"),0),IF($AF$5&lt;&gt;"",--(AF267="Présent"),0),IF($AH$5&lt;&gt;"",--(AH267="Présent"),0),IF($AJ$5&lt;&gt;"",--(AJ267="Présent"),0),IF($AL$5&lt;&gt;"",--(AL267="Présent"),0),IF($AN$5&lt;&gt;"",--(AN267="Présent"),0),IF($AP$5&lt;&gt;"",--(AP267="Présent"),0),IF($AR$5&lt;&gt;"",--(AR267="Présent"),0),IF($AT$5&lt;&gt;"",--(AT267="Présent"),0),IF($AV$5&lt;&gt;"",--(AV267="Présent"),0),IF($AX$5&lt;&gt;"",--(AX267="Présent"),0),IF($AZ$5&lt;&gt;"",--(AZ267="Présent"),0),IF($BB$5&lt;&gt;"",--(BB267="Présent"),0),IF($BD$5&lt;&gt;"",--(BD267="Présent"),0),IF($BF$5&lt;&gt;"",--(BF267="Présent"),0),IF($BH$5&lt;&gt;"",--(BH267="Présent"),0),IF($BJ$5&lt;&gt;"",--(BJ267="Présent"),0),IF($BL$5&lt;&gt;"",--(BL267="Présent"),0)))</f>
      </c>
      <c r="BO267" s="22">
        <f>IF($A267="","",SUM(IF($D$5&lt;&gt;"",--(D267="Absent"),0),IF($F$5&lt;&gt;"",--(F267="Absent"),0),IF($H$5&lt;&gt;"",--(H267="Absent"),0),IF($J$5&lt;&gt;"",--(J267="Absent"),0),IF($L$5&lt;&gt;"",--(L267="Absent"),0),IF($N$5&lt;&gt;"",--(N267="Absent"),0),IF($P$5&lt;&gt;"",--(P267="Absent"),0),IF($R$5&lt;&gt;"",--(R267="Absent"),0),IF($T$5&lt;&gt;"",--(T267="Absent"),0),IF($V$5&lt;&gt;"",--(V267="Absent"),0),IF($X$5&lt;&gt;"",--(X267="Absent"),0),IF($Z$5&lt;&gt;"",--(Z267="Absent"),0),IF($AB$5&lt;&gt;"",--(AB267="Absent"),0),IF($AD$5&lt;&gt;"",--(AD267="Absent"),0),IF($AF$5&lt;&gt;"",--(AF267="Absent"),0),IF($AH$5&lt;&gt;"",--(AH267="Absent"),0),IF($AJ$5&lt;&gt;"",--(AJ267="Absent"),0),IF($AL$5&lt;&gt;"",--(AL267="Absent"),0),IF($AN$5&lt;&gt;"",--(AN267="Absent"),0),IF($AP$5&lt;&gt;"",--(AP267="Absent"),0),IF($AR$5&lt;&gt;"",--(AR267="Absent"),0),IF($AT$5&lt;&gt;"",--(AT267="Absent"),0),IF($AV$5&lt;&gt;"",--(AV267="Absent"),0),IF($AX$5&lt;&gt;"",--(AX267="Absent"),0),IF($AZ$5&lt;&gt;"",--(AZ267="Absent"),0),IF($BB$5&lt;&gt;"",--(BB267="Absent"),0),IF($BD$5&lt;&gt;"",--(BD267="Absent"),0),IF($BF$5&lt;&gt;"",--(BF267="Absent"),0),IF($BH$5&lt;&gt;"",--(BH267="Absent"),0),IF($BJ$5&lt;&gt;"",--(BJ267="Absent"),0),IF($BL$5&lt;&gt;"",--(BL267="Absent"),0)))</f>
      </c>
      <c r="BP267" s="22">
        <f>IF($A267="","",SUM(IF($D$5&lt;&gt;"",--(D267="Congé"),0),IF($F$5&lt;&gt;"",--(F267="Congé"),0),IF($H$5&lt;&gt;"",--(H267="Congé"),0),IF($J$5&lt;&gt;"",--(J267="Congé"),0),IF($L$5&lt;&gt;"",--(L267="Congé"),0),IF($N$5&lt;&gt;"",--(N267="Congé"),0),IF($P$5&lt;&gt;"",--(P267="Congé"),0),IF($R$5&lt;&gt;"",--(R267="Congé"),0),IF($T$5&lt;&gt;"",--(T267="Congé"),0),IF($V$5&lt;&gt;"",--(V267="Congé"),0),IF($X$5&lt;&gt;"",--(X267="Congé"),0),IF($Z$5&lt;&gt;"",--(Z267="Congé"),0),IF($AB$5&lt;&gt;"",--(AB267="Congé"),0),IF($AD$5&lt;&gt;"",--(AD267="Congé"),0),IF($AF$5&lt;&gt;"",--(AF267="Congé"),0),IF($AH$5&lt;&gt;"",--(AH267="Congé"),0),IF($AJ$5&lt;&gt;"",--(AJ267="Congé"),0),IF($AL$5&lt;&gt;"",--(AL267="Congé"),0),IF($AN$5&lt;&gt;"",--(AN267="Congé"),0),IF($AP$5&lt;&gt;"",--(AP267="Congé"),0),IF($AR$5&lt;&gt;"",--(AR267="Congé"),0),IF($AT$5&lt;&gt;"",--(AT267="Congé"),0),IF($AV$5&lt;&gt;"",--(AV267="Congé"),0),IF($AX$5&lt;&gt;"",--(AX267="Congé"),0),IF($AZ$5&lt;&gt;"",--(AZ267="Congé"),0),IF($BB$5&lt;&gt;"",--(BB267="Congé"),0),IF($BD$5&lt;&gt;"",--(BD267="Congé"),0),IF($BF$5&lt;&gt;"",--(BF267="Congé"),0),IF($BH$5&lt;&gt;"",--(BH267="Congé"),0),IF($BJ$5&lt;&gt;"",--(BJ267="Congé"),0),IF($BL$5&lt;&gt;"",--(BL267="Congé"),0)))</f>
      </c>
      <c r="BQ267" s="22">
        <f>IF($A267="","",SUM(IF($D$5&lt;&gt;"",--(D267="Maladie"),0),IF($F$5&lt;&gt;"",--(F267="Maladie"),0),IF($H$5&lt;&gt;"",--(H267="Maladie"),0),IF($J$5&lt;&gt;"",--(J267="Maladie"),0),IF($L$5&lt;&gt;"",--(L267="Maladie"),0),IF($N$5&lt;&gt;"",--(N267="Maladie"),0),IF($P$5&lt;&gt;"",--(P267="Maladie"),0),IF($R$5&lt;&gt;"",--(R267="Maladie"),0),IF($T$5&lt;&gt;"",--(T267="Maladie"),0),IF($V$5&lt;&gt;"",--(V267="Maladie"),0),IF($X$5&lt;&gt;"",--(X267="Maladie"),0),IF($Z$5&lt;&gt;"",--(Z267="Maladie"),0),IF($AB$5&lt;&gt;"",--(AB267="Maladie"),0),IF($AD$5&lt;&gt;"",--(AD267="Maladie"),0),IF($AF$5&lt;&gt;"",--(AF267="Maladie"),0),IF($AH$5&lt;&gt;"",--(AH267="Maladie"),0),IF($AJ$5&lt;&gt;"",--(AJ267="Maladie"),0),IF($AL$5&lt;&gt;"",--(AL267="Maladie"),0),IF($AN$5&lt;&gt;"",--(AN267="Maladie"),0),IF($AP$5&lt;&gt;"",--(AP267="Maladie"),0),IF($AR$5&lt;&gt;"",--(AR267="Maladie"),0),IF($AT$5&lt;&gt;"",--(AT267="Maladie"),0),IF($AV$5&lt;&gt;"",--(AV267="Maladie"),0),IF($AX$5&lt;&gt;"",--(AX267="Maladie"),0),IF($AZ$5&lt;&gt;"",--(AZ267="Maladie"),0),IF($BB$5&lt;&gt;"",--(BB267="Maladie"),0),IF($BD$5&lt;&gt;"",--(BD267="Maladie"),0),IF($BF$5&lt;&gt;"",--(BF267="Maladie"),0),IF($BH$5&lt;&gt;"",--(BH267="Maladie"),0),IF($BJ$5&lt;&gt;"",--(BJ267="Maladie"),0),IF($BL$5&lt;&gt;"",--(BL267="Maladie"),0)))</f>
      </c>
      <c r="BR267" s="23">
        <f>IF($A267="","",SUM(IF($D$5&lt;&gt;"",IF(D267="Présent",E267,0),0),IF($F$5&lt;&gt;"",IF(F267="Présent",G267,0),0),IF($H$5&lt;&gt;"",IF(H267="Présent",I267,0),0),IF($J$5&lt;&gt;"",IF(J267="Présent",K267,0),0),IF($L$5&lt;&gt;"",IF(L267="Présent",M267,0),0),IF($N$5&lt;&gt;"",IF(N267="Présent",O267,0),0),IF($P$5&lt;&gt;"",IF(P267="Présent",Q267,0),0),IF($R$5&lt;&gt;"",IF(R267="Présent",S267,0),0),IF($T$5&lt;&gt;"",IF(T267="Présent",U267,0),0),IF($V$5&lt;&gt;"",IF(V267="Présent",W267,0),0),IF($X$5&lt;&gt;"",IF(X267="Présent",Y267,0),0),IF($Z$5&lt;&gt;"",IF(Z267="Présent",AA267,0),0),IF($AB$5&lt;&gt;"",IF(AB267="Présent",AC267,0),0),IF($AD$5&lt;&gt;"",IF(AD267="Présent",AE267,0),0),IF($AF$5&lt;&gt;"",IF(AF267="Présent",AG267,0),0),IF($AH$5&lt;&gt;"",IF(AH267="Présent",AI267,0),0),IF($AJ$5&lt;&gt;"",IF(AJ267="Présent",AK267,0),0),IF($AL$5&lt;&gt;"",IF(AL267="Présent",AM267,0),0),IF($AN$5&lt;&gt;"",IF(AN267="Présent",AO267,0),0),IF($AP$5&lt;&gt;"",IF(AP267="Présent",AQ267,0),0),IF($AR$5&lt;&gt;"",IF(AR267="Présent",AS267,0),0),IF($AT$5&lt;&gt;"",IF(AT267="Présent",AU267,0),0),IF($AV$5&lt;&gt;"",IF(AV267="Présent",AW267,0),0),IF($AX$5&lt;&gt;"",IF(AX267="Présent",AY267,0),0),IF($AZ$5&lt;&gt;"",IF(AZ267="Présent",BA267,0),0),IF($BB$5&lt;&gt;"",IF(BB267="Présent",BC267,0),0),IF($BD$5&lt;&gt;"",IF(BD267="Présent",BE267,0),0),IF($BF$5&lt;&gt;"",IF(BF267="Présent",BG267,0),0),IF($BH$5&lt;&gt;"",IF(BH267="Présent",BI267,0),0),IF($BJ$5&lt;&gt;"",IF(BJ267="Présent",BK267,0),0),IF($BL$5&lt;&gt;"",IF(BL267="Présent",BM267,0),0)))</f>
      </c>
      <c r="BS267" s="25">
        <f>IF($A267="","",$BN267*IFERROR(INDEX(Categories_Salaire,MATCH($C267,ListeCategories,0)),0)+$BR267*IF(IFERROR(INDEX(Categories_TauxHS,MATCH($C267,ListeCategories,0)),0)&gt;0,IFERROR(INDEX(Categories_TauxHS,MATCH($C267,ListeCategories,0)),0),TauxHSDefaut))</f>
      </c>
    </row>
    <row r="268">
      <c r="A268" s="20">
        <f>IF(AND(INDEX(Employes_Nom,262)&lt;&gt;"",INDEX(Employes_Statut,262)="Actif",OR(INDEX(Employes_Embauche,262)="",INDEX(Employes_Embauche,262)&lt;=EOMONTH(DATE(AnneeCourante,MoisCourant,1),0))),INDEX(Employes_ID,262),"")</f>
      </c>
      <c r="B268" s="19">
        <f>IF($A268="","",INDEX(Employes_Nom,MATCH($A268,Employes_ID,0)))</f>
      </c>
      <c r="C268" s="20">
        <f>IF($A268="","",INDEX(Employes_Categorie,MATCH($A268,Employes_ID,0)))</f>
      </c>
      <c r="D268" s="26"/>
      <c r="E268" s="27"/>
      <c r="F268" s="26"/>
      <c r="G268" s="27"/>
      <c r="H268" s="26"/>
      <c r="I268" s="27"/>
      <c r="J268" s="26"/>
      <c r="K268" s="27"/>
      <c r="L268" s="26"/>
      <c r="M268" s="27"/>
      <c r="N268" s="26"/>
      <c r="O268" s="27"/>
      <c r="P268" s="26"/>
      <c r="Q268" s="27"/>
      <c r="R268" s="26"/>
      <c r="S268" s="27"/>
      <c r="T268" s="26"/>
      <c r="U268" s="27"/>
      <c r="V268" s="26"/>
      <c r="W268" s="27"/>
      <c r="X268" s="26"/>
      <c r="Y268" s="27"/>
      <c r="Z268" s="26"/>
      <c r="AA268" s="27"/>
      <c r="AB268" s="26"/>
      <c r="AC268" s="27"/>
      <c r="AD268" s="26"/>
      <c r="AE268" s="27"/>
      <c r="AF268" s="26"/>
      <c r="AG268" s="27"/>
      <c r="AH268" s="26"/>
      <c r="AI268" s="27"/>
      <c r="AJ268" s="26"/>
      <c r="AK268" s="27"/>
      <c r="AL268" s="26"/>
      <c r="AM268" s="27"/>
      <c r="AN268" s="26"/>
      <c r="AO268" s="27"/>
      <c r="AP268" s="26"/>
      <c r="AQ268" s="27"/>
      <c r="AR268" s="26"/>
      <c r="AS268" s="27"/>
      <c r="AT268" s="26"/>
      <c r="AU268" s="27"/>
      <c r="AV268" s="26"/>
      <c r="AW268" s="27"/>
      <c r="AX268" s="26"/>
      <c r="AY268" s="27"/>
      <c r="AZ268" s="26"/>
      <c r="BA268" s="27"/>
      <c r="BB268" s="26"/>
      <c r="BC268" s="27"/>
      <c r="BD268" s="26"/>
      <c r="BE268" s="27"/>
      <c r="BF268" s="26"/>
      <c r="BG268" s="27"/>
      <c r="BH268" s="26"/>
      <c r="BI268" s="27"/>
      <c r="BJ268" s="26"/>
      <c r="BK268" s="27"/>
      <c r="BL268" s="26"/>
      <c r="BM268" s="27"/>
      <c r="BN268" s="22">
        <f>IF($A268="","",SUM(IF($D$5&lt;&gt;"",--(D268="Présent"),0),IF($F$5&lt;&gt;"",--(F268="Présent"),0),IF($H$5&lt;&gt;"",--(H268="Présent"),0),IF($J$5&lt;&gt;"",--(J268="Présent"),0),IF($L$5&lt;&gt;"",--(L268="Présent"),0),IF($N$5&lt;&gt;"",--(N268="Présent"),0),IF($P$5&lt;&gt;"",--(P268="Présent"),0),IF($R$5&lt;&gt;"",--(R268="Présent"),0),IF($T$5&lt;&gt;"",--(T268="Présent"),0),IF($V$5&lt;&gt;"",--(V268="Présent"),0),IF($X$5&lt;&gt;"",--(X268="Présent"),0),IF($Z$5&lt;&gt;"",--(Z268="Présent"),0),IF($AB$5&lt;&gt;"",--(AB268="Présent"),0),IF($AD$5&lt;&gt;"",--(AD268="Présent"),0),IF($AF$5&lt;&gt;"",--(AF268="Présent"),0),IF($AH$5&lt;&gt;"",--(AH268="Présent"),0),IF($AJ$5&lt;&gt;"",--(AJ268="Présent"),0),IF($AL$5&lt;&gt;"",--(AL268="Présent"),0),IF($AN$5&lt;&gt;"",--(AN268="Présent"),0),IF($AP$5&lt;&gt;"",--(AP268="Présent"),0),IF($AR$5&lt;&gt;"",--(AR268="Présent"),0),IF($AT$5&lt;&gt;"",--(AT268="Présent"),0),IF($AV$5&lt;&gt;"",--(AV268="Présent"),0),IF($AX$5&lt;&gt;"",--(AX268="Présent"),0),IF($AZ$5&lt;&gt;"",--(AZ268="Présent"),0),IF($BB$5&lt;&gt;"",--(BB268="Présent"),0),IF($BD$5&lt;&gt;"",--(BD268="Présent"),0),IF($BF$5&lt;&gt;"",--(BF268="Présent"),0),IF($BH$5&lt;&gt;"",--(BH268="Présent"),0),IF($BJ$5&lt;&gt;"",--(BJ268="Présent"),0),IF($BL$5&lt;&gt;"",--(BL268="Présent"),0)))</f>
      </c>
      <c r="BO268" s="22">
        <f>IF($A268="","",SUM(IF($D$5&lt;&gt;"",--(D268="Absent"),0),IF($F$5&lt;&gt;"",--(F268="Absent"),0),IF($H$5&lt;&gt;"",--(H268="Absent"),0),IF($J$5&lt;&gt;"",--(J268="Absent"),0),IF($L$5&lt;&gt;"",--(L268="Absent"),0),IF($N$5&lt;&gt;"",--(N268="Absent"),0),IF($P$5&lt;&gt;"",--(P268="Absent"),0),IF($R$5&lt;&gt;"",--(R268="Absent"),0),IF($T$5&lt;&gt;"",--(T268="Absent"),0),IF($V$5&lt;&gt;"",--(V268="Absent"),0),IF($X$5&lt;&gt;"",--(X268="Absent"),0),IF($Z$5&lt;&gt;"",--(Z268="Absent"),0),IF($AB$5&lt;&gt;"",--(AB268="Absent"),0),IF($AD$5&lt;&gt;"",--(AD268="Absent"),0),IF($AF$5&lt;&gt;"",--(AF268="Absent"),0),IF($AH$5&lt;&gt;"",--(AH268="Absent"),0),IF($AJ$5&lt;&gt;"",--(AJ268="Absent"),0),IF($AL$5&lt;&gt;"",--(AL268="Absent"),0),IF($AN$5&lt;&gt;"",--(AN268="Absent"),0),IF($AP$5&lt;&gt;"",--(AP268="Absent"),0),IF($AR$5&lt;&gt;"",--(AR268="Absent"),0),IF($AT$5&lt;&gt;"",--(AT268="Absent"),0),IF($AV$5&lt;&gt;"",--(AV268="Absent"),0),IF($AX$5&lt;&gt;"",--(AX268="Absent"),0),IF($AZ$5&lt;&gt;"",--(AZ268="Absent"),0),IF($BB$5&lt;&gt;"",--(BB268="Absent"),0),IF($BD$5&lt;&gt;"",--(BD268="Absent"),0),IF($BF$5&lt;&gt;"",--(BF268="Absent"),0),IF($BH$5&lt;&gt;"",--(BH268="Absent"),0),IF($BJ$5&lt;&gt;"",--(BJ268="Absent"),0),IF($BL$5&lt;&gt;"",--(BL268="Absent"),0)))</f>
      </c>
      <c r="BP268" s="22">
        <f>IF($A268="","",SUM(IF($D$5&lt;&gt;"",--(D268="Congé"),0),IF($F$5&lt;&gt;"",--(F268="Congé"),0),IF($H$5&lt;&gt;"",--(H268="Congé"),0),IF($J$5&lt;&gt;"",--(J268="Congé"),0),IF($L$5&lt;&gt;"",--(L268="Congé"),0),IF($N$5&lt;&gt;"",--(N268="Congé"),0),IF($P$5&lt;&gt;"",--(P268="Congé"),0),IF($R$5&lt;&gt;"",--(R268="Congé"),0),IF($T$5&lt;&gt;"",--(T268="Congé"),0),IF($V$5&lt;&gt;"",--(V268="Congé"),0),IF($X$5&lt;&gt;"",--(X268="Congé"),0),IF($Z$5&lt;&gt;"",--(Z268="Congé"),0),IF($AB$5&lt;&gt;"",--(AB268="Congé"),0),IF($AD$5&lt;&gt;"",--(AD268="Congé"),0),IF($AF$5&lt;&gt;"",--(AF268="Congé"),0),IF($AH$5&lt;&gt;"",--(AH268="Congé"),0),IF($AJ$5&lt;&gt;"",--(AJ268="Congé"),0),IF($AL$5&lt;&gt;"",--(AL268="Congé"),0),IF($AN$5&lt;&gt;"",--(AN268="Congé"),0),IF($AP$5&lt;&gt;"",--(AP268="Congé"),0),IF($AR$5&lt;&gt;"",--(AR268="Congé"),0),IF($AT$5&lt;&gt;"",--(AT268="Congé"),0),IF($AV$5&lt;&gt;"",--(AV268="Congé"),0),IF($AX$5&lt;&gt;"",--(AX268="Congé"),0),IF($AZ$5&lt;&gt;"",--(AZ268="Congé"),0),IF($BB$5&lt;&gt;"",--(BB268="Congé"),0),IF($BD$5&lt;&gt;"",--(BD268="Congé"),0),IF($BF$5&lt;&gt;"",--(BF268="Congé"),0),IF($BH$5&lt;&gt;"",--(BH268="Congé"),0),IF($BJ$5&lt;&gt;"",--(BJ268="Congé"),0),IF($BL$5&lt;&gt;"",--(BL268="Congé"),0)))</f>
      </c>
      <c r="BQ268" s="22">
        <f>IF($A268="","",SUM(IF($D$5&lt;&gt;"",--(D268="Maladie"),0),IF($F$5&lt;&gt;"",--(F268="Maladie"),0),IF($H$5&lt;&gt;"",--(H268="Maladie"),0),IF($J$5&lt;&gt;"",--(J268="Maladie"),0),IF($L$5&lt;&gt;"",--(L268="Maladie"),0),IF($N$5&lt;&gt;"",--(N268="Maladie"),0),IF($P$5&lt;&gt;"",--(P268="Maladie"),0),IF($R$5&lt;&gt;"",--(R268="Maladie"),0),IF($T$5&lt;&gt;"",--(T268="Maladie"),0),IF($V$5&lt;&gt;"",--(V268="Maladie"),0),IF($X$5&lt;&gt;"",--(X268="Maladie"),0),IF($Z$5&lt;&gt;"",--(Z268="Maladie"),0),IF($AB$5&lt;&gt;"",--(AB268="Maladie"),0),IF($AD$5&lt;&gt;"",--(AD268="Maladie"),0),IF($AF$5&lt;&gt;"",--(AF268="Maladie"),0),IF($AH$5&lt;&gt;"",--(AH268="Maladie"),0),IF($AJ$5&lt;&gt;"",--(AJ268="Maladie"),0),IF($AL$5&lt;&gt;"",--(AL268="Maladie"),0),IF($AN$5&lt;&gt;"",--(AN268="Maladie"),0),IF($AP$5&lt;&gt;"",--(AP268="Maladie"),0),IF($AR$5&lt;&gt;"",--(AR268="Maladie"),0),IF($AT$5&lt;&gt;"",--(AT268="Maladie"),0),IF($AV$5&lt;&gt;"",--(AV268="Maladie"),0),IF($AX$5&lt;&gt;"",--(AX268="Maladie"),0),IF($AZ$5&lt;&gt;"",--(AZ268="Maladie"),0),IF($BB$5&lt;&gt;"",--(BB268="Maladie"),0),IF($BD$5&lt;&gt;"",--(BD268="Maladie"),0),IF($BF$5&lt;&gt;"",--(BF268="Maladie"),0),IF($BH$5&lt;&gt;"",--(BH268="Maladie"),0),IF($BJ$5&lt;&gt;"",--(BJ268="Maladie"),0),IF($BL$5&lt;&gt;"",--(BL268="Maladie"),0)))</f>
      </c>
      <c r="BR268" s="23">
        <f>IF($A268="","",SUM(IF($D$5&lt;&gt;"",IF(D268="Présent",E268,0),0),IF($F$5&lt;&gt;"",IF(F268="Présent",G268,0),0),IF($H$5&lt;&gt;"",IF(H268="Présent",I268,0),0),IF($J$5&lt;&gt;"",IF(J268="Présent",K268,0),0),IF($L$5&lt;&gt;"",IF(L268="Présent",M268,0),0),IF($N$5&lt;&gt;"",IF(N268="Présent",O268,0),0),IF($P$5&lt;&gt;"",IF(P268="Présent",Q268,0),0),IF($R$5&lt;&gt;"",IF(R268="Présent",S268,0),0),IF($T$5&lt;&gt;"",IF(T268="Présent",U268,0),0),IF($V$5&lt;&gt;"",IF(V268="Présent",W268,0),0),IF($X$5&lt;&gt;"",IF(X268="Présent",Y268,0),0),IF($Z$5&lt;&gt;"",IF(Z268="Présent",AA268,0),0),IF($AB$5&lt;&gt;"",IF(AB268="Présent",AC268,0),0),IF($AD$5&lt;&gt;"",IF(AD268="Présent",AE268,0),0),IF($AF$5&lt;&gt;"",IF(AF268="Présent",AG268,0),0),IF($AH$5&lt;&gt;"",IF(AH268="Présent",AI268,0),0),IF($AJ$5&lt;&gt;"",IF(AJ268="Présent",AK268,0),0),IF($AL$5&lt;&gt;"",IF(AL268="Présent",AM268,0),0),IF($AN$5&lt;&gt;"",IF(AN268="Présent",AO268,0),0),IF($AP$5&lt;&gt;"",IF(AP268="Présent",AQ268,0),0),IF($AR$5&lt;&gt;"",IF(AR268="Présent",AS268,0),0),IF($AT$5&lt;&gt;"",IF(AT268="Présent",AU268,0),0),IF($AV$5&lt;&gt;"",IF(AV268="Présent",AW268,0),0),IF($AX$5&lt;&gt;"",IF(AX268="Présent",AY268,0),0),IF($AZ$5&lt;&gt;"",IF(AZ268="Présent",BA268,0),0),IF($BB$5&lt;&gt;"",IF(BB268="Présent",BC268,0),0),IF($BD$5&lt;&gt;"",IF(BD268="Présent",BE268,0),0),IF($BF$5&lt;&gt;"",IF(BF268="Présent",BG268,0),0),IF($BH$5&lt;&gt;"",IF(BH268="Présent",BI268,0),0),IF($BJ$5&lt;&gt;"",IF(BJ268="Présent",BK268,0),0),IF($BL$5&lt;&gt;"",IF(BL268="Présent",BM268,0),0)))</f>
      </c>
      <c r="BS268" s="25">
        <f>IF($A268="","",$BN268*IFERROR(INDEX(Categories_Salaire,MATCH($C268,ListeCategories,0)),0)+$BR268*IF(IFERROR(INDEX(Categories_TauxHS,MATCH($C268,ListeCategories,0)),0)&gt;0,IFERROR(INDEX(Categories_TauxHS,MATCH($C268,ListeCategories,0)),0),TauxHSDefaut))</f>
      </c>
    </row>
    <row r="269">
      <c r="A269" s="20">
        <f>IF(AND(INDEX(Employes_Nom,263)&lt;&gt;"",INDEX(Employes_Statut,263)="Actif",OR(INDEX(Employes_Embauche,263)="",INDEX(Employes_Embauche,263)&lt;=EOMONTH(DATE(AnneeCourante,MoisCourant,1),0))),INDEX(Employes_ID,263),"")</f>
      </c>
      <c r="B269" s="19">
        <f>IF($A269="","",INDEX(Employes_Nom,MATCH($A269,Employes_ID,0)))</f>
      </c>
      <c r="C269" s="20">
        <f>IF($A269="","",INDEX(Employes_Categorie,MATCH($A269,Employes_ID,0)))</f>
      </c>
      <c r="D269" s="26"/>
      <c r="E269" s="27"/>
      <c r="F269" s="26"/>
      <c r="G269" s="27"/>
      <c r="H269" s="26"/>
      <c r="I269" s="27"/>
      <c r="J269" s="26"/>
      <c r="K269" s="27"/>
      <c r="L269" s="26"/>
      <c r="M269" s="27"/>
      <c r="N269" s="26"/>
      <c r="O269" s="27"/>
      <c r="P269" s="26"/>
      <c r="Q269" s="27"/>
      <c r="R269" s="26"/>
      <c r="S269" s="27"/>
      <c r="T269" s="26"/>
      <c r="U269" s="27"/>
      <c r="V269" s="26"/>
      <c r="W269" s="27"/>
      <c r="X269" s="26"/>
      <c r="Y269" s="27"/>
      <c r="Z269" s="26"/>
      <c r="AA269" s="27"/>
      <c r="AB269" s="26"/>
      <c r="AC269" s="27"/>
      <c r="AD269" s="26"/>
      <c r="AE269" s="27"/>
      <c r="AF269" s="26"/>
      <c r="AG269" s="27"/>
      <c r="AH269" s="26"/>
      <c r="AI269" s="27"/>
      <c r="AJ269" s="26"/>
      <c r="AK269" s="27"/>
      <c r="AL269" s="26"/>
      <c r="AM269" s="27"/>
      <c r="AN269" s="26"/>
      <c r="AO269" s="27"/>
      <c r="AP269" s="26"/>
      <c r="AQ269" s="27"/>
      <c r="AR269" s="26"/>
      <c r="AS269" s="27"/>
      <c r="AT269" s="26"/>
      <c r="AU269" s="27"/>
      <c r="AV269" s="26"/>
      <c r="AW269" s="27"/>
      <c r="AX269" s="26"/>
      <c r="AY269" s="27"/>
      <c r="AZ269" s="26"/>
      <c r="BA269" s="27"/>
      <c r="BB269" s="26"/>
      <c r="BC269" s="27"/>
      <c r="BD269" s="26"/>
      <c r="BE269" s="27"/>
      <c r="BF269" s="26"/>
      <c r="BG269" s="27"/>
      <c r="BH269" s="26"/>
      <c r="BI269" s="27"/>
      <c r="BJ269" s="26"/>
      <c r="BK269" s="27"/>
      <c r="BL269" s="26"/>
      <c r="BM269" s="27"/>
      <c r="BN269" s="22">
        <f>IF($A269="","",SUM(IF($D$5&lt;&gt;"",--(D269="Présent"),0),IF($F$5&lt;&gt;"",--(F269="Présent"),0),IF($H$5&lt;&gt;"",--(H269="Présent"),0),IF($J$5&lt;&gt;"",--(J269="Présent"),0),IF($L$5&lt;&gt;"",--(L269="Présent"),0),IF($N$5&lt;&gt;"",--(N269="Présent"),0),IF($P$5&lt;&gt;"",--(P269="Présent"),0),IF($R$5&lt;&gt;"",--(R269="Présent"),0),IF($T$5&lt;&gt;"",--(T269="Présent"),0),IF($V$5&lt;&gt;"",--(V269="Présent"),0),IF($X$5&lt;&gt;"",--(X269="Présent"),0),IF($Z$5&lt;&gt;"",--(Z269="Présent"),0),IF($AB$5&lt;&gt;"",--(AB269="Présent"),0),IF($AD$5&lt;&gt;"",--(AD269="Présent"),0),IF($AF$5&lt;&gt;"",--(AF269="Présent"),0),IF($AH$5&lt;&gt;"",--(AH269="Présent"),0),IF($AJ$5&lt;&gt;"",--(AJ269="Présent"),0),IF($AL$5&lt;&gt;"",--(AL269="Présent"),0),IF($AN$5&lt;&gt;"",--(AN269="Présent"),0),IF($AP$5&lt;&gt;"",--(AP269="Présent"),0),IF($AR$5&lt;&gt;"",--(AR269="Présent"),0),IF($AT$5&lt;&gt;"",--(AT269="Présent"),0),IF($AV$5&lt;&gt;"",--(AV269="Présent"),0),IF($AX$5&lt;&gt;"",--(AX269="Présent"),0),IF($AZ$5&lt;&gt;"",--(AZ269="Présent"),0),IF($BB$5&lt;&gt;"",--(BB269="Présent"),0),IF($BD$5&lt;&gt;"",--(BD269="Présent"),0),IF($BF$5&lt;&gt;"",--(BF269="Présent"),0),IF($BH$5&lt;&gt;"",--(BH269="Présent"),0),IF($BJ$5&lt;&gt;"",--(BJ269="Présent"),0),IF($BL$5&lt;&gt;"",--(BL269="Présent"),0)))</f>
      </c>
      <c r="BO269" s="22">
        <f>IF($A269="","",SUM(IF($D$5&lt;&gt;"",--(D269="Absent"),0),IF($F$5&lt;&gt;"",--(F269="Absent"),0),IF($H$5&lt;&gt;"",--(H269="Absent"),0),IF($J$5&lt;&gt;"",--(J269="Absent"),0),IF($L$5&lt;&gt;"",--(L269="Absent"),0),IF($N$5&lt;&gt;"",--(N269="Absent"),0),IF($P$5&lt;&gt;"",--(P269="Absent"),0),IF($R$5&lt;&gt;"",--(R269="Absent"),0),IF($T$5&lt;&gt;"",--(T269="Absent"),0),IF($V$5&lt;&gt;"",--(V269="Absent"),0),IF($X$5&lt;&gt;"",--(X269="Absent"),0),IF($Z$5&lt;&gt;"",--(Z269="Absent"),0),IF($AB$5&lt;&gt;"",--(AB269="Absent"),0),IF($AD$5&lt;&gt;"",--(AD269="Absent"),0),IF($AF$5&lt;&gt;"",--(AF269="Absent"),0),IF($AH$5&lt;&gt;"",--(AH269="Absent"),0),IF($AJ$5&lt;&gt;"",--(AJ269="Absent"),0),IF($AL$5&lt;&gt;"",--(AL269="Absent"),0),IF($AN$5&lt;&gt;"",--(AN269="Absent"),0),IF($AP$5&lt;&gt;"",--(AP269="Absent"),0),IF($AR$5&lt;&gt;"",--(AR269="Absent"),0),IF($AT$5&lt;&gt;"",--(AT269="Absent"),0),IF($AV$5&lt;&gt;"",--(AV269="Absent"),0),IF($AX$5&lt;&gt;"",--(AX269="Absent"),0),IF($AZ$5&lt;&gt;"",--(AZ269="Absent"),0),IF($BB$5&lt;&gt;"",--(BB269="Absent"),0),IF($BD$5&lt;&gt;"",--(BD269="Absent"),0),IF($BF$5&lt;&gt;"",--(BF269="Absent"),0),IF($BH$5&lt;&gt;"",--(BH269="Absent"),0),IF($BJ$5&lt;&gt;"",--(BJ269="Absent"),0),IF($BL$5&lt;&gt;"",--(BL269="Absent"),0)))</f>
      </c>
      <c r="BP269" s="22">
        <f>IF($A269="","",SUM(IF($D$5&lt;&gt;"",--(D269="Congé"),0),IF($F$5&lt;&gt;"",--(F269="Congé"),0),IF($H$5&lt;&gt;"",--(H269="Congé"),0),IF($J$5&lt;&gt;"",--(J269="Congé"),0),IF($L$5&lt;&gt;"",--(L269="Congé"),0),IF($N$5&lt;&gt;"",--(N269="Congé"),0),IF($P$5&lt;&gt;"",--(P269="Congé"),0),IF($R$5&lt;&gt;"",--(R269="Congé"),0),IF($T$5&lt;&gt;"",--(T269="Congé"),0),IF($V$5&lt;&gt;"",--(V269="Congé"),0),IF($X$5&lt;&gt;"",--(X269="Congé"),0),IF($Z$5&lt;&gt;"",--(Z269="Congé"),0),IF($AB$5&lt;&gt;"",--(AB269="Congé"),0),IF($AD$5&lt;&gt;"",--(AD269="Congé"),0),IF($AF$5&lt;&gt;"",--(AF269="Congé"),0),IF($AH$5&lt;&gt;"",--(AH269="Congé"),0),IF($AJ$5&lt;&gt;"",--(AJ269="Congé"),0),IF($AL$5&lt;&gt;"",--(AL269="Congé"),0),IF($AN$5&lt;&gt;"",--(AN269="Congé"),0),IF($AP$5&lt;&gt;"",--(AP269="Congé"),0),IF($AR$5&lt;&gt;"",--(AR269="Congé"),0),IF($AT$5&lt;&gt;"",--(AT269="Congé"),0),IF($AV$5&lt;&gt;"",--(AV269="Congé"),0),IF($AX$5&lt;&gt;"",--(AX269="Congé"),0),IF($AZ$5&lt;&gt;"",--(AZ269="Congé"),0),IF($BB$5&lt;&gt;"",--(BB269="Congé"),0),IF($BD$5&lt;&gt;"",--(BD269="Congé"),0),IF($BF$5&lt;&gt;"",--(BF269="Congé"),0),IF($BH$5&lt;&gt;"",--(BH269="Congé"),0),IF($BJ$5&lt;&gt;"",--(BJ269="Congé"),0),IF($BL$5&lt;&gt;"",--(BL269="Congé"),0)))</f>
      </c>
      <c r="BQ269" s="22">
        <f>IF($A269="","",SUM(IF($D$5&lt;&gt;"",--(D269="Maladie"),0),IF($F$5&lt;&gt;"",--(F269="Maladie"),0),IF($H$5&lt;&gt;"",--(H269="Maladie"),0),IF($J$5&lt;&gt;"",--(J269="Maladie"),0),IF($L$5&lt;&gt;"",--(L269="Maladie"),0),IF($N$5&lt;&gt;"",--(N269="Maladie"),0),IF($P$5&lt;&gt;"",--(P269="Maladie"),0),IF($R$5&lt;&gt;"",--(R269="Maladie"),0),IF($T$5&lt;&gt;"",--(T269="Maladie"),0),IF($V$5&lt;&gt;"",--(V269="Maladie"),0),IF($X$5&lt;&gt;"",--(X269="Maladie"),0),IF($Z$5&lt;&gt;"",--(Z269="Maladie"),0),IF($AB$5&lt;&gt;"",--(AB269="Maladie"),0),IF($AD$5&lt;&gt;"",--(AD269="Maladie"),0),IF($AF$5&lt;&gt;"",--(AF269="Maladie"),0),IF($AH$5&lt;&gt;"",--(AH269="Maladie"),0),IF($AJ$5&lt;&gt;"",--(AJ269="Maladie"),0),IF($AL$5&lt;&gt;"",--(AL269="Maladie"),0),IF($AN$5&lt;&gt;"",--(AN269="Maladie"),0),IF($AP$5&lt;&gt;"",--(AP269="Maladie"),0),IF($AR$5&lt;&gt;"",--(AR269="Maladie"),0),IF($AT$5&lt;&gt;"",--(AT269="Maladie"),0),IF($AV$5&lt;&gt;"",--(AV269="Maladie"),0),IF($AX$5&lt;&gt;"",--(AX269="Maladie"),0),IF($AZ$5&lt;&gt;"",--(AZ269="Maladie"),0),IF($BB$5&lt;&gt;"",--(BB269="Maladie"),0),IF($BD$5&lt;&gt;"",--(BD269="Maladie"),0),IF($BF$5&lt;&gt;"",--(BF269="Maladie"),0),IF($BH$5&lt;&gt;"",--(BH269="Maladie"),0),IF($BJ$5&lt;&gt;"",--(BJ269="Maladie"),0),IF($BL$5&lt;&gt;"",--(BL269="Maladie"),0)))</f>
      </c>
      <c r="BR269" s="23">
        <f>IF($A269="","",SUM(IF($D$5&lt;&gt;"",IF(D269="Présent",E269,0),0),IF($F$5&lt;&gt;"",IF(F269="Présent",G269,0),0),IF($H$5&lt;&gt;"",IF(H269="Présent",I269,0),0),IF($J$5&lt;&gt;"",IF(J269="Présent",K269,0),0),IF($L$5&lt;&gt;"",IF(L269="Présent",M269,0),0),IF($N$5&lt;&gt;"",IF(N269="Présent",O269,0),0),IF($P$5&lt;&gt;"",IF(P269="Présent",Q269,0),0),IF($R$5&lt;&gt;"",IF(R269="Présent",S269,0),0),IF($T$5&lt;&gt;"",IF(T269="Présent",U269,0),0),IF($V$5&lt;&gt;"",IF(V269="Présent",W269,0),0),IF($X$5&lt;&gt;"",IF(X269="Présent",Y269,0),0),IF($Z$5&lt;&gt;"",IF(Z269="Présent",AA269,0),0),IF($AB$5&lt;&gt;"",IF(AB269="Présent",AC269,0),0),IF($AD$5&lt;&gt;"",IF(AD269="Présent",AE269,0),0),IF($AF$5&lt;&gt;"",IF(AF269="Présent",AG269,0),0),IF($AH$5&lt;&gt;"",IF(AH269="Présent",AI269,0),0),IF($AJ$5&lt;&gt;"",IF(AJ269="Présent",AK269,0),0),IF($AL$5&lt;&gt;"",IF(AL269="Présent",AM269,0),0),IF($AN$5&lt;&gt;"",IF(AN269="Présent",AO269,0),0),IF($AP$5&lt;&gt;"",IF(AP269="Présent",AQ269,0),0),IF($AR$5&lt;&gt;"",IF(AR269="Présent",AS269,0),0),IF($AT$5&lt;&gt;"",IF(AT269="Présent",AU269,0),0),IF($AV$5&lt;&gt;"",IF(AV269="Présent",AW269,0),0),IF($AX$5&lt;&gt;"",IF(AX269="Présent",AY269,0),0),IF($AZ$5&lt;&gt;"",IF(AZ269="Présent",BA269,0),0),IF($BB$5&lt;&gt;"",IF(BB269="Présent",BC269,0),0),IF($BD$5&lt;&gt;"",IF(BD269="Présent",BE269,0),0),IF($BF$5&lt;&gt;"",IF(BF269="Présent",BG269,0),0),IF($BH$5&lt;&gt;"",IF(BH269="Présent",BI269,0),0),IF($BJ$5&lt;&gt;"",IF(BJ269="Présent",BK269,0),0),IF($BL$5&lt;&gt;"",IF(BL269="Présent",BM269,0),0)))</f>
      </c>
      <c r="BS269" s="25">
        <f>IF($A269="","",$BN269*IFERROR(INDEX(Categories_Salaire,MATCH($C269,ListeCategories,0)),0)+$BR269*IF(IFERROR(INDEX(Categories_TauxHS,MATCH($C269,ListeCategories,0)),0)&gt;0,IFERROR(INDEX(Categories_TauxHS,MATCH($C269,ListeCategories,0)),0),TauxHSDefaut))</f>
      </c>
    </row>
    <row r="270">
      <c r="A270" s="20">
        <f>IF(AND(INDEX(Employes_Nom,264)&lt;&gt;"",INDEX(Employes_Statut,264)="Actif",OR(INDEX(Employes_Embauche,264)="",INDEX(Employes_Embauche,264)&lt;=EOMONTH(DATE(AnneeCourante,MoisCourant,1),0))),INDEX(Employes_ID,264),"")</f>
      </c>
      <c r="B270" s="19">
        <f>IF($A270="","",INDEX(Employes_Nom,MATCH($A270,Employes_ID,0)))</f>
      </c>
      <c r="C270" s="20">
        <f>IF($A270="","",INDEX(Employes_Categorie,MATCH($A270,Employes_ID,0)))</f>
      </c>
      <c r="D270" s="26"/>
      <c r="E270" s="27"/>
      <c r="F270" s="26"/>
      <c r="G270" s="27"/>
      <c r="H270" s="26"/>
      <c r="I270" s="27"/>
      <c r="J270" s="26"/>
      <c r="K270" s="27"/>
      <c r="L270" s="26"/>
      <c r="M270" s="27"/>
      <c r="N270" s="26"/>
      <c r="O270" s="27"/>
      <c r="P270" s="26"/>
      <c r="Q270" s="27"/>
      <c r="R270" s="26"/>
      <c r="S270" s="27"/>
      <c r="T270" s="26"/>
      <c r="U270" s="27"/>
      <c r="V270" s="26"/>
      <c r="W270" s="27"/>
      <c r="X270" s="26"/>
      <c r="Y270" s="27"/>
      <c r="Z270" s="26"/>
      <c r="AA270" s="27"/>
      <c r="AB270" s="26"/>
      <c r="AC270" s="27"/>
      <c r="AD270" s="26"/>
      <c r="AE270" s="27"/>
      <c r="AF270" s="26"/>
      <c r="AG270" s="27"/>
      <c r="AH270" s="26"/>
      <c r="AI270" s="27"/>
      <c r="AJ270" s="26"/>
      <c r="AK270" s="27"/>
      <c r="AL270" s="26"/>
      <c r="AM270" s="27"/>
      <c r="AN270" s="26"/>
      <c r="AO270" s="27"/>
      <c r="AP270" s="26"/>
      <c r="AQ270" s="27"/>
      <c r="AR270" s="26"/>
      <c r="AS270" s="27"/>
      <c r="AT270" s="26"/>
      <c r="AU270" s="27"/>
      <c r="AV270" s="26"/>
      <c r="AW270" s="27"/>
      <c r="AX270" s="26"/>
      <c r="AY270" s="27"/>
      <c r="AZ270" s="26"/>
      <c r="BA270" s="27"/>
      <c r="BB270" s="26"/>
      <c r="BC270" s="27"/>
      <c r="BD270" s="26"/>
      <c r="BE270" s="27"/>
      <c r="BF270" s="26"/>
      <c r="BG270" s="27"/>
      <c r="BH270" s="26"/>
      <c r="BI270" s="27"/>
      <c r="BJ270" s="26"/>
      <c r="BK270" s="27"/>
      <c r="BL270" s="26"/>
      <c r="BM270" s="27"/>
      <c r="BN270" s="22">
        <f>IF($A270="","",SUM(IF($D$5&lt;&gt;"",--(D270="Présent"),0),IF($F$5&lt;&gt;"",--(F270="Présent"),0),IF($H$5&lt;&gt;"",--(H270="Présent"),0),IF($J$5&lt;&gt;"",--(J270="Présent"),0),IF($L$5&lt;&gt;"",--(L270="Présent"),0),IF($N$5&lt;&gt;"",--(N270="Présent"),0),IF($P$5&lt;&gt;"",--(P270="Présent"),0),IF($R$5&lt;&gt;"",--(R270="Présent"),0),IF($T$5&lt;&gt;"",--(T270="Présent"),0),IF($V$5&lt;&gt;"",--(V270="Présent"),0),IF($X$5&lt;&gt;"",--(X270="Présent"),0),IF($Z$5&lt;&gt;"",--(Z270="Présent"),0),IF($AB$5&lt;&gt;"",--(AB270="Présent"),0),IF($AD$5&lt;&gt;"",--(AD270="Présent"),0),IF($AF$5&lt;&gt;"",--(AF270="Présent"),0),IF($AH$5&lt;&gt;"",--(AH270="Présent"),0),IF($AJ$5&lt;&gt;"",--(AJ270="Présent"),0),IF($AL$5&lt;&gt;"",--(AL270="Présent"),0),IF($AN$5&lt;&gt;"",--(AN270="Présent"),0),IF($AP$5&lt;&gt;"",--(AP270="Présent"),0),IF($AR$5&lt;&gt;"",--(AR270="Présent"),0),IF($AT$5&lt;&gt;"",--(AT270="Présent"),0),IF($AV$5&lt;&gt;"",--(AV270="Présent"),0),IF($AX$5&lt;&gt;"",--(AX270="Présent"),0),IF($AZ$5&lt;&gt;"",--(AZ270="Présent"),0),IF($BB$5&lt;&gt;"",--(BB270="Présent"),0),IF($BD$5&lt;&gt;"",--(BD270="Présent"),0),IF($BF$5&lt;&gt;"",--(BF270="Présent"),0),IF($BH$5&lt;&gt;"",--(BH270="Présent"),0),IF($BJ$5&lt;&gt;"",--(BJ270="Présent"),0),IF($BL$5&lt;&gt;"",--(BL270="Présent"),0)))</f>
      </c>
      <c r="BO270" s="22">
        <f>IF($A270="","",SUM(IF($D$5&lt;&gt;"",--(D270="Absent"),0),IF($F$5&lt;&gt;"",--(F270="Absent"),0),IF($H$5&lt;&gt;"",--(H270="Absent"),0),IF($J$5&lt;&gt;"",--(J270="Absent"),0),IF($L$5&lt;&gt;"",--(L270="Absent"),0),IF($N$5&lt;&gt;"",--(N270="Absent"),0),IF($P$5&lt;&gt;"",--(P270="Absent"),0),IF($R$5&lt;&gt;"",--(R270="Absent"),0),IF($T$5&lt;&gt;"",--(T270="Absent"),0),IF($V$5&lt;&gt;"",--(V270="Absent"),0),IF($X$5&lt;&gt;"",--(X270="Absent"),0),IF($Z$5&lt;&gt;"",--(Z270="Absent"),0),IF($AB$5&lt;&gt;"",--(AB270="Absent"),0),IF($AD$5&lt;&gt;"",--(AD270="Absent"),0),IF($AF$5&lt;&gt;"",--(AF270="Absent"),0),IF($AH$5&lt;&gt;"",--(AH270="Absent"),0),IF($AJ$5&lt;&gt;"",--(AJ270="Absent"),0),IF($AL$5&lt;&gt;"",--(AL270="Absent"),0),IF($AN$5&lt;&gt;"",--(AN270="Absent"),0),IF($AP$5&lt;&gt;"",--(AP270="Absent"),0),IF($AR$5&lt;&gt;"",--(AR270="Absent"),0),IF($AT$5&lt;&gt;"",--(AT270="Absent"),0),IF($AV$5&lt;&gt;"",--(AV270="Absent"),0),IF($AX$5&lt;&gt;"",--(AX270="Absent"),0),IF($AZ$5&lt;&gt;"",--(AZ270="Absent"),0),IF($BB$5&lt;&gt;"",--(BB270="Absent"),0),IF($BD$5&lt;&gt;"",--(BD270="Absent"),0),IF($BF$5&lt;&gt;"",--(BF270="Absent"),0),IF($BH$5&lt;&gt;"",--(BH270="Absent"),0),IF($BJ$5&lt;&gt;"",--(BJ270="Absent"),0),IF($BL$5&lt;&gt;"",--(BL270="Absent"),0)))</f>
      </c>
      <c r="BP270" s="22">
        <f>IF($A270="","",SUM(IF($D$5&lt;&gt;"",--(D270="Congé"),0),IF($F$5&lt;&gt;"",--(F270="Congé"),0),IF($H$5&lt;&gt;"",--(H270="Congé"),0),IF($J$5&lt;&gt;"",--(J270="Congé"),0),IF($L$5&lt;&gt;"",--(L270="Congé"),0),IF($N$5&lt;&gt;"",--(N270="Congé"),0),IF($P$5&lt;&gt;"",--(P270="Congé"),0),IF($R$5&lt;&gt;"",--(R270="Congé"),0),IF($T$5&lt;&gt;"",--(T270="Congé"),0),IF($V$5&lt;&gt;"",--(V270="Congé"),0),IF($X$5&lt;&gt;"",--(X270="Congé"),0),IF($Z$5&lt;&gt;"",--(Z270="Congé"),0),IF($AB$5&lt;&gt;"",--(AB270="Congé"),0),IF($AD$5&lt;&gt;"",--(AD270="Congé"),0),IF($AF$5&lt;&gt;"",--(AF270="Congé"),0),IF($AH$5&lt;&gt;"",--(AH270="Congé"),0),IF($AJ$5&lt;&gt;"",--(AJ270="Congé"),0),IF($AL$5&lt;&gt;"",--(AL270="Congé"),0),IF($AN$5&lt;&gt;"",--(AN270="Congé"),0),IF($AP$5&lt;&gt;"",--(AP270="Congé"),0),IF($AR$5&lt;&gt;"",--(AR270="Congé"),0),IF($AT$5&lt;&gt;"",--(AT270="Congé"),0),IF($AV$5&lt;&gt;"",--(AV270="Congé"),0),IF($AX$5&lt;&gt;"",--(AX270="Congé"),0),IF($AZ$5&lt;&gt;"",--(AZ270="Congé"),0),IF($BB$5&lt;&gt;"",--(BB270="Congé"),0),IF($BD$5&lt;&gt;"",--(BD270="Congé"),0),IF($BF$5&lt;&gt;"",--(BF270="Congé"),0),IF($BH$5&lt;&gt;"",--(BH270="Congé"),0),IF($BJ$5&lt;&gt;"",--(BJ270="Congé"),0),IF($BL$5&lt;&gt;"",--(BL270="Congé"),0)))</f>
      </c>
      <c r="BQ270" s="22">
        <f>IF($A270="","",SUM(IF($D$5&lt;&gt;"",--(D270="Maladie"),0),IF($F$5&lt;&gt;"",--(F270="Maladie"),0),IF($H$5&lt;&gt;"",--(H270="Maladie"),0),IF($J$5&lt;&gt;"",--(J270="Maladie"),0),IF($L$5&lt;&gt;"",--(L270="Maladie"),0),IF($N$5&lt;&gt;"",--(N270="Maladie"),0),IF($P$5&lt;&gt;"",--(P270="Maladie"),0),IF($R$5&lt;&gt;"",--(R270="Maladie"),0),IF($T$5&lt;&gt;"",--(T270="Maladie"),0),IF($V$5&lt;&gt;"",--(V270="Maladie"),0),IF($X$5&lt;&gt;"",--(X270="Maladie"),0),IF($Z$5&lt;&gt;"",--(Z270="Maladie"),0),IF($AB$5&lt;&gt;"",--(AB270="Maladie"),0),IF($AD$5&lt;&gt;"",--(AD270="Maladie"),0),IF($AF$5&lt;&gt;"",--(AF270="Maladie"),0),IF($AH$5&lt;&gt;"",--(AH270="Maladie"),0),IF($AJ$5&lt;&gt;"",--(AJ270="Maladie"),0),IF($AL$5&lt;&gt;"",--(AL270="Maladie"),0),IF($AN$5&lt;&gt;"",--(AN270="Maladie"),0),IF($AP$5&lt;&gt;"",--(AP270="Maladie"),0),IF($AR$5&lt;&gt;"",--(AR270="Maladie"),0),IF($AT$5&lt;&gt;"",--(AT270="Maladie"),0),IF($AV$5&lt;&gt;"",--(AV270="Maladie"),0),IF($AX$5&lt;&gt;"",--(AX270="Maladie"),0),IF($AZ$5&lt;&gt;"",--(AZ270="Maladie"),0),IF($BB$5&lt;&gt;"",--(BB270="Maladie"),0),IF($BD$5&lt;&gt;"",--(BD270="Maladie"),0),IF($BF$5&lt;&gt;"",--(BF270="Maladie"),0),IF($BH$5&lt;&gt;"",--(BH270="Maladie"),0),IF($BJ$5&lt;&gt;"",--(BJ270="Maladie"),0),IF($BL$5&lt;&gt;"",--(BL270="Maladie"),0)))</f>
      </c>
      <c r="BR270" s="23">
        <f>IF($A270="","",SUM(IF($D$5&lt;&gt;"",IF(D270="Présent",E270,0),0),IF($F$5&lt;&gt;"",IF(F270="Présent",G270,0),0),IF($H$5&lt;&gt;"",IF(H270="Présent",I270,0),0),IF($J$5&lt;&gt;"",IF(J270="Présent",K270,0),0),IF($L$5&lt;&gt;"",IF(L270="Présent",M270,0),0),IF($N$5&lt;&gt;"",IF(N270="Présent",O270,0),0),IF($P$5&lt;&gt;"",IF(P270="Présent",Q270,0),0),IF($R$5&lt;&gt;"",IF(R270="Présent",S270,0),0),IF($T$5&lt;&gt;"",IF(T270="Présent",U270,0),0),IF($V$5&lt;&gt;"",IF(V270="Présent",W270,0),0),IF($X$5&lt;&gt;"",IF(X270="Présent",Y270,0),0),IF($Z$5&lt;&gt;"",IF(Z270="Présent",AA270,0),0),IF($AB$5&lt;&gt;"",IF(AB270="Présent",AC270,0),0),IF($AD$5&lt;&gt;"",IF(AD270="Présent",AE270,0),0),IF($AF$5&lt;&gt;"",IF(AF270="Présent",AG270,0),0),IF($AH$5&lt;&gt;"",IF(AH270="Présent",AI270,0),0),IF($AJ$5&lt;&gt;"",IF(AJ270="Présent",AK270,0),0),IF($AL$5&lt;&gt;"",IF(AL270="Présent",AM270,0),0),IF($AN$5&lt;&gt;"",IF(AN270="Présent",AO270,0),0),IF($AP$5&lt;&gt;"",IF(AP270="Présent",AQ270,0),0),IF($AR$5&lt;&gt;"",IF(AR270="Présent",AS270,0),0),IF($AT$5&lt;&gt;"",IF(AT270="Présent",AU270,0),0),IF($AV$5&lt;&gt;"",IF(AV270="Présent",AW270,0),0),IF($AX$5&lt;&gt;"",IF(AX270="Présent",AY270,0),0),IF($AZ$5&lt;&gt;"",IF(AZ270="Présent",BA270,0),0),IF($BB$5&lt;&gt;"",IF(BB270="Présent",BC270,0),0),IF($BD$5&lt;&gt;"",IF(BD270="Présent",BE270,0),0),IF($BF$5&lt;&gt;"",IF(BF270="Présent",BG270,0),0),IF($BH$5&lt;&gt;"",IF(BH270="Présent",BI270,0),0),IF($BJ$5&lt;&gt;"",IF(BJ270="Présent",BK270,0),0),IF($BL$5&lt;&gt;"",IF(BL270="Présent",BM270,0),0)))</f>
      </c>
      <c r="BS270" s="25">
        <f>IF($A270="","",$BN270*IFERROR(INDEX(Categories_Salaire,MATCH($C270,ListeCategories,0)),0)+$BR270*IF(IFERROR(INDEX(Categories_TauxHS,MATCH($C270,ListeCategories,0)),0)&gt;0,IFERROR(INDEX(Categories_TauxHS,MATCH($C270,ListeCategories,0)),0),TauxHSDefaut))</f>
      </c>
    </row>
    <row r="271">
      <c r="A271" s="20">
        <f>IF(AND(INDEX(Employes_Nom,265)&lt;&gt;"",INDEX(Employes_Statut,265)="Actif",OR(INDEX(Employes_Embauche,265)="",INDEX(Employes_Embauche,265)&lt;=EOMONTH(DATE(AnneeCourante,MoisCourant,1),0))),INDEX(Employes_ID,265),"")</f>
      </c>
      <c r="B271" s="19">
        <f>IF($A271="","",INDEX(Employes_Nom,MATCH($A271,Employes_ID,0)))</f>
      </c>
      <c r="C271" s="20">
        <f>IF($A271="","",INDEX(Employes_Categorie,MATCH($A271,Employes_ID,0)))</f>
      </c>
      <c r="D271" s="26"/>
      <c r="E271" s="27"/>
      <c r="F271" s="26"/>
      <c r="G271" s="27"/>
      <c r="H271" s="26"/>
      <c r="I271" s="27"/>
      <c r="J271" s="26"/>
      <c r="K271" s="27"/>
      <c r="L271" s="26"/>
      <c r="M271" s="27"/>
      <c r="N271" s="26"/>
      <c r="O271" s="27"/>
      <c r="P271" s="26"/>
      <c r="Q271" s="27"/>
      <c r="R271" s="26"/>
      <c r="S271" s="27"/>
      <c r="T271" s="26"/>
      <c r="U271" s="27"/>
      <c r="V271" s="26"/>
      <c r="W271" s="27"/>
      <c r="X271" s="26"/>
      <c r="Y271" s="27"/>
      <c r="Z271" s="26"/>
      <c r="AA271" s="27"/>
      <c r="AB271" s="26"/>
      <c r="AC271" s="27"/>
      <c r="AD271" s="26"/>
      <c r="AE271" s="27"/>
      <c r="AF271" s="26"/>
      <c r="AG271" s="27"/>
      <c r="AH271" s="26"/>
      <c r="AI271" s="27"/>
      <c r="AJ271" s="26"/>
      <c r="AK271" s="27"/>
      <c r="AL271" s="26"/>
      <c r="AM271" s="27"/>
      <c r="AN271" s="26"/>
      <c r="AO271" s="27"/>
      <c r="AP271" s="26"/>
      <c r="AQ271" s="27"/>
      <c r="AR271" s="26"/>
      <c r="AS271" s="27"/>
      <c r="AT271" s="26"/>
      <c r="AU271" s="27"/>
      <c r="AV271" s="26"/>
      <c r="AW271" s="27"/>
      <c r="AX271" s="26"/>
      <c r="AY271" s="27"/>
      <c r="AZ271" s="26"/>
      <c r="BA271" s="27"/>
      <c r="BB271" s="26"/>
      <c r="BC271" s="27"/>
      <c r="BD271" s="26"/>
      <c r="BE271" s="27"/>
      <c r="BF271" s="26"/>
      <c r="BG271" s="27"/>
      <c r="BH271" s="26"/>
      <c r="BI271" s="27"/>
      <c r="BJ271" s="26"/>
      <c r="BK271" s="27"/>
      <c r="BL271" s="26"/>
      <c r="BM271" s="27"/>
      <c r="BN271" s="22">
        <f>IF($A271="","",SUM(IF($D$5&lt;&gt;"",--(D271="Présent"),0),IF($F$5&lt;&gt;"",--(F271="Présent"),0),IF($H$5&lt;&gt;"",--(H271="Présent"),0),IF($J$5&lt;&gt;"",--(J271="Présent"),0),IF($L$5&lt;&gt;"",--(L271="Présent"),0),IF($N$5&lt;&gt;"",--(N271="Présent"),0),IF($P$5&lt;&gt;"",--(P271="Présent"),0),IF($R$5&lt;&gt;"",--(R271="Présent"),0),IF($T$5&lt;&gt;"",--(T271="Présent"),0),IF($V$5&lt;&gt;"",--(V271="Présent"),0),IF($X$5&lt;&gt;"",--(X271="Présent"),0),IF($Z$5&lt;&gt;"",--(Z271="Présent"),0),IF($AB$5&lt;&gt;"",--(AB271="Présent"),0),IF($AD$5&lt;&gt;"",--(AD271="Présent"),0),IF($AF$5&lt;&gt;"",--(AF271="Présent"),0),IF($AH$5&lt;&gt;"",--(AH271="Présent"),0),IF($AJ$5&lt;&gt;"",--(AJ271="Présent"),0),IF($AL$5&lt;&gt;"",--(AL271="Présent"),0),IF($AN$5&lt;&gt;"",--(AN271="Présent"),0),IF($AP$5&lt;&gt;"",--(AP271="Présent"),0),IF($AR$5&lt;&gt;"",--(AR271="Présent"),0),IF($AT$5&lt;&gt;"",--(AT271="Présent"),0),IF($AV$5&lt;&gt;"",--(AV271="Présent"),0),IF($AX$5&lt;&gt;"",--(AX271="Présent"),0),IF($AZ$5&lt;&gt;"",--(AZ271="Présent"),0),IF($BB$5&lt;&gt;"",--(BB271="Présent"),0),IF($BD$5&lt;&gt;"",--(BD271="Présent"),0),IF($BF$5&lt;&gt;"",--(BF271="Présent"),0),IF($BH$5&lt;&gt;"",--(BH271="Présent"),0),IF($BJ$5&lt;&gt;"",--(BJ271="Présent"),0),IF($BL$5&lt;&gt;"",--(BL271="Présent"),0)))</f>
      </c>
      <c r="BO271" s="22">
        <f>IF($A271="","",SUM(IF($D$5&lt;&gt;"",--(D271="Absent"),0),IF($F$5&lt;&gt;"",--(F271="Absent"),0),IF($H$5&lt;&gt;"",--(H271="Absent"),0),IF($J$5&lt;&gt;"",--(J271="Absent"),0),IF($L$5&lt;&gt;"",--(L271="Absent"),0),IF($N$5&lt;&gt;"",--(N271="Absent"),0),IF($P$5&lt;&gt;"",--(P271="Absent"),0),IF($R$5&lt;&gt;"",--(R271="Absent"),0),IF($T$5&lt;&gt;"",--(T271="Absent"),0),IF($V$5&lt;&gt;"",--(V271="Absent"),0),IF($X$5&lt;&gt;"",--(X271="Absent"),0),IF($Z$5&lt;&gt;"",--(Z271="Absent"),0),IF($AB$5&lt;&gt;"",--(AB271="Absent"),0),IF($AD$5&lt;&gt;"",--(AD271="Absent"),0),IF($AF$5&lt;&gt;"",--(AF271="Absent"),0),IF($AH$5&lt;&gt;"",--(AH271="Absent"),0),IF($AJ$5&lt;&gt;"",--(AJ271="Absent"),0),IF($AL$5&lt;&gt;"",--(AL271="Absent"),0),IF($AN$5&lt;&gt;"",--(AN271="Absent"),0),IF($AP$5&lt;&gt;"",--(AP271="Absent"),0),IF($AR$5&lt;&gt;"",--(AR271="Absent"),0),IF($AT$5&lt;&gt;"",--(AT271="Absent"),0),IF($AV$5&lt;&gt;"",--(AV271="Absent"),0),IF($AX$5&lt;&gt;"",--(AX271="Absent"),0),IF($AZ$5&lt;&gt;"",--(AZ271="Absent"),0),IF($BB$5&lt;&gt;"",--(BB271="Absent"),0),IF($BD$5&lt;&gt;"",--(BD271="Absent"),0),IF($BF$5&lt;&gt;"",--(BF271="Absent"),0),IF($BH$5&lt;&gt;"",--(BH271="Absent"),0),IF($BJ$5&lt;&gt;"",--(BJ271="Absent"),0),IF($BL$5&lt;&gt;"",--(BL271="Absent"),0)))</f>
      </c>
      <c r="BP271" s="22">
        <f>IF($A271="","",SUM(IF($D$5&lt;&gt;"",--(D271="Congé"),0),IF($F$5&lt;&gt;"",--(F271="Congé"),0),IF($H$5&lt;&gt;"",--(H271="Congé"),0),IF($J$5&lt;&gt;"",--(J271="Congé"),0),IF($L$5&lt;&gt;"",--(L271="Congé"),0),IF($N$5&lt;&gt;"",--(N271="Congé"),0),IF($P$5&lt;&gt;"",--(P271="Congé"),0),IF($R$5&lt;&gt;"",--(R271="Congé"),0),IF($T$5&lt;&gt;"",--(T271="Congé"),0),IF($V$5&lt;&gt;"",--(V271="Congé"),0),IF($X$5&lt;&gt;"",--(X271="Congé"),0),IF($Z$5&lt;&gt;"",--(Z271="Congé"),0),IF($AB$5&lt;&gt;"",--(AB271="Congé"),0),IF($AD$5&lt;&gt;"",--(AD271="Congé"),0),IF($AF$5&lt;&gt;"",--(AF271="Congé"),0),IF($AH$5&lt;&gt;"",--(AH271="Congé"),0),IF($AJ$5&lt;&gt;"",--(AJ271="Congé"),0),IF($AL$5&lt;&gt;"",--(AL271="Congé"),0),IF($AN$5&lt;&gt;"",--(AN271="Congé"),0),IF($AP$5&lt;&gt;"",--(AP271="Congé"),0),IF($AR$5&lt;&gt;"",--(AR271="Congé"),0),IF($AT$5&lt;&gt;"",--(AT271="Congé"),0),IF($AV$5&lt;&gt;"",--(AV271="Congé"),0),IF($AX$5&lt;&gt;"",--(AX271="Congé"),0),IF($AZ$5&lt;&gt;"",--(AZ271="Congé"),0),IF($BB$5&lt;&gt;"",--(BB271="Congé"),0),IF($BD$5&lt;&gt;"",--(BD271="Congé"),0),IF($BF$5&lt;&gt;"",--(BF271="Congé"),0),IF($BH$5&lt;&gt;"",--(BH271="Congé"),0),IF($BJ$5&lt;&gt;"",--(BJ271="Congé"),0),IF($BL$5&lt;&gt;"",--(BL271="Congé"),0)))</f>
      </c>
      <c r="BQ271" s="22">
        <f>IF($A271="","",SUM(IF($D$5&lt;&gt;"",--(D271="Maladie"),0),IF($F$5&lt;&gt;"",--(F271="Maladie"),0),IF($H$5&lt;&gt;"",--(H271="Maladie"),0),IF($J$5&lt;&gt;"",--(J271="Maladie"),0),IF($L$5&lt;&gt;"",--(L271="Maladie"),0),IF($N$5&lt;&gt;"",--(N271="Maladie"),0),IF($P$5&lt;&gt;"",--(P271="Maladie"),0),IF($R$5&lt;&gt;"",--(R271="Maladie"),0),IF($T$5&lt;&gt;"",--(T271="Maladie"),0),IF($V$5&lt;&gt;"",--(V271="Maladie"),0),IF($X$5&lt;&gt;"",--(X271="Maladie"),0),IF($Z$5&lt;&gt;"",--(Z271="Maladie"),0),IF($AB$5&lt;&gt;"",--(AB271="Maladie"),0),IF($AD$5&lt;&gt;"",--(AD271="Maladie"),0),IF($AF$5&lt;&gt;"",--(AF271="Maladie"),0),IF($AH$5&lt;&gt;"",--(AH271="Maladie"),0),IF($AJ$5&lt;&gt;"",--(AJ271="Maladie"),0),IF($AL$5&lt;&gt;"",--(AL271="Maladie"),0),IF($AN$5&lt;&gt;"",--(AN271="Maladie"),0),IF($AP$5&lt;&gt;"",--(AP271="Maladie"),0),IF($AR$5&lt;&gt;"",--(AR271="Maladie"),0),IF($AT$5&lt;&gt;"",--(AT271="Maladie"),0),IF($AV$5&lt;&gt;"",--(AV271="Maladie"),0),IF($AX$5&lt;&gt;"",--(AX271="Maladie"),0),IF($AZ$5&lt;&gt;"",--(AZ271="Maladie"),0),IF($BB$5&lt;&gt;"",--(BB271="Maladie"),0),IF($BD$5&lt;&gt;"",--(BD271="Maladie"),0),IF($BF$5&lt;&gt;"",--(BF271="Maladie"),0),IF($BH$5&lt;&gt;"",--(BH271="Maladie"),0),IF($BJ$5&lt;&gt;"",--(BJ271="Maladie"),0),IF($BL$5&lt;&gt;"",--(BL271="Maladie"),0)))</f>
      </c>
      <c r="BR271" s="23">
        <f>IF($A271="","",SUM(IF($D$5&lt;&gt;"",IF(D271="Présent",E271,0),0),IF($F$5&lt;&gt;"",IF(F271="Présent",G271,0),0),IF($H$5&lt;&gt;"",IF(H271="Présent",I271,0),0),IF($J$5&lt;&gt;"",IF(J271="Présent",K271,0),0),IF($L$5&lt;&gt;"",IF(L271="Présent",M271,0),0),IF($N$5&lt;&gt;"",IF(N271="Présent",O271,0),0),IF($P$5&lt;&gt;"",IF(P271="Présent",Q271,0),0),IF($R$5&lt;&gt;"",IF(R271="Présent",S271,0),0),IF($T$5&lt;&gt;"",IF(T271="Présent",U271,0),0),IF($V$5&lt;&gt;"",IF(V271="Présent",W271,0),0),IF($X$5&lt;&gt;"",IF(X271="Présent",Y271,0),0),IF($Z$5&lt;&gt;"",IF(Z271="Présent",AA271,0),0),IF($AB$5&lt;&gt;"",IF(AB271="Présent",AC271,0),0),IF($AD$5&lt;&gt;"",IF(AD271="Présent",AE271,0),0),IF($AF$5&lt;&gt;"",IF(AF271="Présent",AG271,0),0),IF($AH$5&lt;&gt;"",IF(AH271="Présent",AI271,0),0),IF($AJ$5&lt;&gt;"",IF(AJ271="Présent",AK271,0),0),IF($AL$5&lt;&gt;"",IF(AL271="Présent",AM271,0),0),IF($AN$5&lt;&gt;"",IF(AN271="Présent",AO271,0),0),IF($AP$5&lt;&gt;"",IF(AP271="Présent",AQ271,0),0),IF($AR$5&lt;&gt;"",IF(AR271="Présent",AS271,0),0),IF($AT$5&lt;&gt;"",IF(AT271="Présent",AU271,0),0),IF($AV$5&lt;&gt;"",IF(AV271="Présent",AW271,0),0),IF($AX$5&lt;&gt;"",IF(AX271="Présent",AY271,0),0),IF($AZ$5&lt;&gt;"",IF(AZ271="Présent",BA271,0),0),IF($BB$5&lt;&gt;"",IF(BB271="Présent",BC271,0),0),IF($BD$5&lt;&gt;"",IF(BD271="Présent",BE271,0),0),IF($BF$5&lt;&gt;"",IF(BF271="Présent",BG271,0),0),IF($BH$5&lt;&gt;"",IF(BH271="Présent",BI271,0),0),IF($BJ$5&lt;&gt;"",IF(BJ271="Présent",BK271,0),0),IF($BL$5&lt;&gt;"",IF(BL271="Présent",BM271,0),0)))</f>
      </c>
      <c r="BS271" s="25">
        <f>IF($A271="","",$BN271*IFERROR(INDEX(Categories_Salaire,MATCH($C271,ListeCategories,0)),0)+$BR271*IF(IFERROR(INDEX(Categories_TauxHS,MATCH($C271,ListeCategories,0)),0)&gt;0,IFERROR(INDEX(Categories_TauxHS,MATCH($C271,ListeCategories,0)),0),TauxHSDefaut))</f>
      </c>
    </row>
    <row r="272">
      <c r="A272" s="20">
        <f>IF(AND(INDEX(Employes_Nom,266)&lt;&gt;"",INDEX(Employes_Statut,266)="Actif",OR(INDEX(Employes_Embauche,266)="",INDEX(Employes_Embauche,266)&lt;=EOMONTH(DATE(AnneeCourante,MoisCourant,1),0))),INDEX(Employes_ID,266),"")</f>
      </c>
      <c r="B272" s="19">
        <f>IF($A272="","",INDEX(Employes_Nom,MATCH($A272,Employes_ID,0)))</f>
      </c>
      <c r="C272" s="20">
        <f>IF($A272="","",INDEX(Employes_Categorie,MATCH($A272,Employes_ID,0)))</f>
      </c>
      <c r="D272" s="26"/>
      <c r="E272" s="27"/>
      <c r="F272" s="26"/>
      <c r="G272" s="27"/>
      <c r="H272" s="26"/>
      <c r="I272" s="27"/>
      <c r="J272" s="26"/>
      <c r="K272" s="27"/>
      <c r="L272" s="26"/>
      <c r="M272" s="27"/>
      <c r="N272" s="26"/>
      <c r="O272" s="27"/>
      <c r="P272" s="26"/>
      <c r="Q272" s="27"/>
      <c r="R272" s="26"/>
      <c r="S272" s="27"/>
      <c r="T272" s="26"/>
      <c r="U272" s="27"/>
      <c r="V272" s="26"/>
      <c r="W272" s="27"/>
      <c r="X272" s="26"/>
      <c r="Y272" s="27"/>
      <c r="Z272" s="26"/>
      <c r="AA272" s="27"/>
      <c r="AB272" s="26"/>
      <c r="AC272" s="27"/>
      <c r="AD272" s="26"/>
      <c r="AE272" s="27"/>
      <c r="AF272" s="26"/>
      <c r="AG272" s="27"/>
      <c r="AH272" s="26"/>
      <c r="AI272" s="27"/>
      <c r="AJ272" s="26"/>
      <c r="AK272" s="27"/>
      <c r="AL272" s="26"/>
      <c r="AM272" s="27"/>
      <c r="AN272" s="26"/>
      <c r="AO272" s="27"/>
      <c r="AP272" s="26"/>
      <c r="AQ272" s="27"/>
      <c r="AR272" s="26"/>
      <c r="AS272" s="27"/>
      <c r="AT272" s="26"/>
      <c r="AU272" s="27"/>
      <c r="AV272" s="26"/>
      <c r="AW272" s="27"/>
      <c r="AX272" s="26"/>
      <c r="AY272" s="27"/>
      <c r="AZ272" s="26"/>
      <c r="BA272" s="27"/>
      <c r="BB272" s="26"/>
      <c r="BC272" s="27"/>
      <c r="BD272" s="26"/>
      <c r="BE272" s="27"/>
      <c r="BF272" s="26"/>
      <c r="BG272" s="27"/>
      <c r="BH272" s="26"/>
      <c r="BI272" s="27"/>
      <c r="BJ272" s="26"/>
      <c r="BK272" s="27"/>
      <c r="BL272" s="26"/>
      <c r="BM272" s="27"/>
      <c r="BN272" s="22">
        <f>IF($A272="","",SUM(IF($D$5&lt;&gt;"",--(D272="Présent"),0),IF($F$5&lt;&gt;"",--(F272="Présent"),0),IF($H$5&lt;&gt;"",--(H272="Présent"),0),IF($J$5&lt;&gt;"",--(J272="Présent"),0),IF($L$5&lt;&gt;"",--(L272="Présent"),0),IF($N$5&lt;&gt;"",--(N272="Présent"),0),IF($P$5&lt;&gt;"",--(P272="Présent"),0),IF($R$5&lt;&gt;"",--(R272="Présent"),0),IF($T$5&lt;&gt;"",--(T272="Présent"),0),IF($V$5&lt;&gt;"",--(V272="Présent"),0),IF($X$5&lt;&gt;"",--(X272="Présent"),0),IF($Z$5&lt;&gt;"",--(Z272="Présent"),0),IF($AB$5&lt;&gt;"",--(AB272="Présent"),0),IF($AD$5&lt;&gt;"",--(AD272="Présent"),0),IF($AF$5&lt;&gt;"",--(AF272="Présent"),0),IF($AH$5&lt;&gt;"",--(AH272="Présent"),0),IF($AJ$5&lt;&gt;"",--(AJ272="Présent"),0),IF($AL$5&lt;&gt;"",--(AL272="Présent"),0),IF($AN$5&lt;&gt;"",--(AN272="Présent"),0),IF($AP$5&lt;&gt;"",--(AP272="Présent"),0),IF($AR$5&lt;&gt;"",--(AR272="Présent"),0),IF($AT$5&lt;&gt;"",--(AT272="Présent"),0),IF($AV$5&lt;&gt;"",--(AV272="Présent"),0),IF($AX$5&lt;&gt;"",--(AX272="Présent"),0),IF($AZ$5&lt;&gt;"",--(AZ272="Présent"),0),IF($BB$5&lt;&gt;"",--(BB272="Présent"),0),IF($BD$5&lt;&gt;"",--(BD272="Présent"),0),IF($BF$5&lt;&gt;"",--(BF272="Présent"),0),IF($BH$5&lt;&gt;"",--(BH272="Présent"),0),IF($BJ$5&lt;&gt;"",--(BJ272="Présent"),0),IF($BL$5&lt;&gt;"",--(BL272="Présent"),0)))</f>
      </c>
      <c r="BO272" s="22">
        <f>IF($A272="","",SUM(IF($D$5&lt;&gt;"",--(D272="Absent"),0),IF($F$5&lt;&gt;"",--(F272="Absent"),0),IF($H$5&lt;&gt;"",--(H272="Absent"),0),IF($J$5&lt;&gt;"",--(J272="Absent"),0),IF($L$5&lt;&gt;"",--(L272="Absent"),0),IF($N$5&lt;&gt;"",--(N272="Absent"),0),IF($P$5&lt;&gt;"",--(P272="Absent"),0),IF($R$5&lt;&gt;"",--(R272="Absent"),0),IF($T$5&lt;&gt;"",--(T272="Absent"),0),IF($V$5&lt;&gt;"",--(V272="Absent"),0),IF($X$5&lt;&gt;"",--(X272="Absent"),0),IF($Z$5&lt;&gt;"",--(Z272="Absent"),0),IF($AB$5&lt;&gt;"",--(AB272="Absent"),0),IF($AD$5&lt;&gt;"",--(AD272="Absent"),0),IF($AF$5&lt;&gt;"",--(AF272="Absent"),0),IF($AH$5&lt;&gt;"",--(AH272="Absent"),0),IF($AJ$5&lt;&gt;"",--(AJ272="Absent"),0),IF($AL$5&lt;&gt;"",--(AL272="Absent"),0),IF($AN$5&lt;&gt;"",--(AN272="Absent"),0),IF($AP$5&lt;&gt;"",--(AP272="Absent"),0),IF($AR$5&lt;&gt;"",--(AR272="Absent"),0),IF($AT$5&lt;&gt;"",--(AT272="Absent"),0),IF($AV$5&lt;&gt;"",--(AV272="Absent"),0),IF($AX$5&lt;&gt;"",--(AX272="Absent"),0),IF($AZ$5&lt;&gt;"",--(AZ272="Absent"),0),IF($BB$5&lt;&gt;"",--(BB272="Absent"),0),IF($BD$5&lt;&gt;"",--(BD272="Absent"),0),IF($BF$5&lt;&gt;"",--(BF272="Absent"),0),IF($BH$5&lt;&gt;"",--(BH272="Absent"),0),IF($BJ$5&lt;&gt;"",--(BJ272="Absent"),0),IF($BL$5&lt;&gt;"",--(BL272="Absent"),0)))</f>
      </c>
      <c r="BP272" s="22">
        <f>IF($A272="","",SUM(IF($D$5&lt;&gt;"",--(D272="Congé"),0),IF($F$5&lt;&gt;"",--(F272="Congé"),0),IF($H$5&lt;&gt;"",--(H272="Congé"),0),IF($J$5&lt;&gt;"",--(J272="Congé"),0),IF($L$5&lt;&gt;"",--(L272="Congé"),0),IF($N$5&lt;&gt;"",--(N272="Congé"),0),IF($P$5&lt;&gt;"",--(P272="Congé"),0),IF($R$5&lt;&gt;"",--(R272="Congé"),0),IF($T$5&lt;&gt;"",--(T272="Congé"),0),IF($V$5&lt;&gt;"",--(V272="Congé"),0),IF($X$5&lt;&gt;"",--(X272="Congé"),0),IF($Z$5&lt;&gt;"",--(Z272="Congé"),0),IF($AB$5&lt;&gt;"",--(AB272="Congé"),0),IF($AD$5&lt;&gt;"",--(AD272="Congé"),0),IF($AF$5&lt;&gt;"",--(AF272="Congé"),0),IF($AH$5&lt;&gt;"",--(AH272="Congé"),0),IF($AJ$5&lt;&gt;"",--(AJ272="Congé"),0),IF($AL$5&lt;&gt;"",--(AL272="Congé"),0),IF($AN$5&lt;&gt;"",--(AN272="Congé"),0),IF($AP$5&lt;&gt;"",--(AP272="Congé"),0),IF($AR$5&lt;&gt;"",--(AR272="Congé"),0),IF($AT$5&lt;&gt;"",--(AT272="Congé"),0),IF($AV$5&lt;&gt;"",--(AV272="Congé"),0),IF($AX$5&lt;&gt;"",--(AX272="Congé"),0),IF($AZ$5&lt;&gt;"",--(AZ272="Congé"),0),IF($BB$5&lt;&gt;"",--(BB272="Congé"),0),IF($BD$5&lt;&gt;"",--(BD272="Congé"),0),IF($BF$5&lt;&gt;"",--(BF272="Congé"),0),IF($BH$5&lt;&gt;"",--(BH272="Congé"),0),IF($BJ$5&lt;&gt;"",--(BJ272="Congé"),0),IF($BL$5&lt;&gt;"",--(BL272="Congé"),0)))</f>
      </c>
      <c r="BQ272" s="22">
        <f>IF($A272="","",SUM(IF($D$5&lt;&gt;"",--(D272="Maladie"),0),IF($F$5&lt;&gt;"",--(F272="Maladie"),0),IF($H$5&lt;&gt;"",--(H272="Maladie"),0),IF($J$5&lt;&gt;"",--(J272="Maladie"),0),IF($L$5&lt;&gt;"",--(L272="Maladie"),0),IF($N$5&lt;&gt;"",--(N272="Maladie"),0),IF($P$5&lt;&gt;"",--(P272="Maladie"),0),IF($R$5&lt;&gt;"",--(R272="Maladie"),0),IF($T$5&lt;&gt;"",--(T272="Maladie"),0),IF($V$5&lt;&gt;"",--(V272="Maladie"),0),IF($X$5&lt;&gt;"",--(X272="Maladie"),0),IF($Z$5&lt;&gt;"",--(Z272="Maladie"),0),IF($AB$5&lt;&gt;"",--(AB272="Maladie"),0),IF($AD$5&lt;&gt;"",--(AD272="Maladie"),0),IF($AF$5&lt;&gt;"",--(AF272="Maladie"),0),IF($AH$5&lt;&gt;"",--(AH272="Maladie"),0),IF($AJ$5&lt;&gt;"",--(AJ272="Maladie"),0),IF($AL$5&lt;&gt;"",--(AL272="Maladie"),0),IF($AN$5&lt;&gt;"",--(AN272="Maladie"),0),IF($AP$5&lt;&gt;"",--(AP272="Maladie"),0),IF($AR$5&lt;&gt;"",--(AR272="Maladie"),0),IF($AT$5&lt;&gt;"",--(AT272="Maladie"),0),IF($AV$5&lt;&gt;"",--(AV272="Maladie"),0),IF($AX$5&lt;&gt;"",--(AX272="Maladie"),0),IF($AZ$5&lt;&gt;"",--(AZ272="Maladie"),0),IF($BB$5&lt;&gt;"",--(BB272="Maladie"),0),IF($BD$5&lt;&gt;"",--(BD272="Maladie"),0),IF($BF$5&lt;&gt;"",--(BF272="Maladie"),0),IF($BH$5&lt;&gt;"",--(BH272="Maladie"),0),IF($BJ$5&lt;&gt;"",--(BJ272="Maladie"),0),IF($BL$5&lt;&gt;"",--(BL272="Maladie"),0)))</f>
      </c>
      <c r="BR272" s="23">
        <f>IF($A272="","",SUM(IF($D$5&lt;&gt;"",IF(D272="Présent",E272,0),0),IF($F$5&lt;&gt;"",IF(F272="Présent",G272,0),0),IF($H$5&lt;&gt;"",IF(H272="Présent",I272,0),0),IF($J$5&lt;&gt;"",IF(J272="Présent",K272,0),0),IF($L$5&lt;&gt;"",IF(L272="Présent",M272,0),0),IF($N$5&lt;&gt;"",IF(N272="Présent",O272,0),0),IF($P$5&lt;&gt;"",IF(P272="Présent",Q272,0),0),IF($R$5&lt;&gt;"",IF(R272="Présent",S272,0),0),IF($T$5&lt;&gt;"",IF(T272="Présent",U272,0),0),IF($V$5&lt;&gt;"",IF(V272="Présent",W272,0),0),IF($X$5&lt;&gt;"",IF(X272="Présent",Y272,0),0),IF($Z$5&lt;&gt;"",IF(Z272="Présent",AA272,0),0),IF($AB$5&lt;&gt;"",IF(AB272="Présent",AC272,0),0),IF($AD$5&lt;&gt;"",IF(AD272="Présent",AE272,0),0),IF($AF$5&lt;&gt;"",IF(AF272="Présent",AG272,0),0),IF($AH$5&lt;&gt;"",IF(AH272="Présent",AI272,0),0),IF($AJ$5&lt;&gt;"",IF(AJ272="Présent",AK272,0),0),IF($AL$5&lt;&gt;"",IF(AL272="Présent",AM272,0),0),IF($AN$5&lt;&gt;"",IF(AN272="Présent",AO272,0),0),IF($AP$5&lt;&gt;"",IF(AP272="Présent",AQ272,0),0),IF($AR$5&lt;&gt;"",IF(AR272="Présent",AS272,0),0),IF($AT$5&lt;&gt;"",IF(AT272="Présent",AU272,0),0),IF($AV$5&lt;&gt;"",IF(AV272="Présent",AW272,0),0),IF($AX$5&lt;&gt;"",IF(AX272="Présent",AY272,0),0),IF($AZ$5&lt;&gt;"",IF(AZ272="Présent",BA272,0),0),IF($BB$5&lt;&gt;"",IF(BB272="Présent",BC272,0),0),IF($BD$5&lt;&gt;"",IF(BD272="Présent",BE272,0),0),IF($BF$5&lt;&gt;"",IF(BF272="Présent",BG272,0),0),IF($BH$5&lt;&gt;"",IF(BH272="Présent",BI272,0),0),IF($BJ$5&lt;&gt;"",IF(BJ272="Présent",BK272,0),0),IF($BL$5&lt;&gt;"",IF(BL272="Présent",BM272,0),0)))</f>
      </c>
      <c r="BS272" s="25">
        <f>IF($A272="","",$BN272*IFERROR(INDEX(Categories_Salaire,MATCH($C272,ListeCategories,0)),0)+$BR272*IF(IFERROR(INDEX(Categories_TauxHS,MATCH($C272,ListeCategories,0)),0)&gt;0,IFERROR(INDEX(Categories_TauxHS,MATCH($C272,ListeCategories,0)),0),TauxHSDefaut))</f>
      </c>
    </row>
    <row r="273">
      <c r="A273" s="20">
        <f>IF(AND(INDEX(Employes_Nom,267)&lt;&gt;"",INDEX(Employes_Statut,267)="Actif",OR(INDEX(Employes_Embauche,267)="",INDEX(Employes_Embauche,267)&lt;=EOMONTH(DATE(AnneeCourante,MoisCourant,1),0))),INDEX(Employes_ID,267),"")</f>
      </c>
      <c r="B273" s="19">
        <f>IF($A273="","",INDEX(Employes_Nom,MATCH($A273,Employes_ID,0)))</f>
      </c>
      <c r="C273" s="20">
        <f>IF($A273="","",INDEX(Employes_Categorie,MATCH($A273,Employes_ID,0)))</f>
      </c>
      <c r="D273" s="26"/>
      <c r="E273" s="27"/>
      <c r="F273" s="26"/>
      <c r="G273" s="27"/>
      <c r="H273" s="26"/>
      <c r="I273" s="27"/>
      <c r="J273" s="26"/>
      <c r="K273" s="27"/>
      <c r="L273" s="26"/>
      <c r="M273" s="27"/>
      <c r="N273" s="26"/>
      <c r="O273" s="27"/>
      <c r="P273" s="26"/>
      <c r="Q273" s="27"/>
      <c r="R273" s="26"/>
      <c r="S273" s="27"/>
      <c r="T273" s="26"/>
      <c r="U273" s="27"/>
      <c r="V273" s="26"/>
      <c r="W273" s="27"/>
      <c r="X273" s="26"/>
      <c r="Y273" s="27"/>
      <c r="Z273" s="26"/>
      <c r="AA273" s="27"/>
      <c r="AB273" s="26"/>
      <c r="AC273" s="27"/>
      <c r="AD273" s="26"/>
      <c r="AE273" s="27"/>
      <c r="AF273" s="26"/>
      <c r="AG273" s="27"/>
      <c r="AH273" s="26"/>
      <c r="AI273" s="27"/>
      <c r="AJ273" s="26"/>
      <c r="AK273" s="27"/>
      <c r="AL273" s="26"/>
      <c r="AM273" s="27"/>
      <c r="AN273" s="26"/>
      <c r="AO273" s="27"/>
      <c r="AP273" s="26"/>
      <c r="AQ273" s="27"/>
      <c r="AR273" s="26"/>
      <c r="AS273" s="27"/>
      <c r="AT273" s="26"/>
      <c r="AU273" s="27"/>
      <c r="AV273" s="26"/>
      <c r="AW273" s="27"/>
      <c r="AX273" s="26"/>
      <c r="AY273" s="27"/>
      <c r="AZ273" s="26"/>
      <c r="BA273" s="27"/>
      <c r="BB273" s="26"/>
      <c r="BC273" s="27"/>
      <c r="BD273" s="26"/>
      <c r="BE273" s="27"/>
      <c r="BF273" s="26"/>
      <c r="BG273" s="27"/>
      <c r="BH273" s="26"/>
      <c r="BI273" s="27"/>
      <c r="BJ273" s="26"/>
      <c r="BK273" s="27"/>
      <c r="BL273" s="26"/>
      <c r="BM273" s="27"/>
      <c r="BN273" s="22">
        <f>IF($A273="","",SUM(IF($D$5&lt;&gt;"",--(D273="Présent"),0),IF($F$5&lt;&gt;"",--(F273="Présent"),0),IF($H$5&lt;&gt;"",--(H273="Présent"),0),IF($J$5&lt;&gt;"",--(J273="Présent"),0),IF($L$5&lt;&gt;"",--(L273="Présent"),0),IF($N$5&lt;&gt;"",--(N273="Présent"),0),IF($P$5&lt;&gt;"",--(P273="Présent"),0),IF($R$5&lt;&gt;"",--(R273="Présent"),0),IF($T$5&lt;&gt;"",--(T273="Présent"),0),IF($V$5&lt;&gt;"",--(V273="Présent"),0),IF($X$5&lt;&gt;"",--(X273="Présent"),0),IF($Z$5&lt;&gt;"",--(Z273="Présent"),0),IF($AB$5&lt;&gt;"",--(AB273="Présent"),0),IF($AD$5&lt;&gt;"",--(AD273="Présent"),0),IF($AF$5&lt;&gt;"",--(AF273="Présent"),0),IF($AH$5&lt;&gt;"",--(AH273="Présent"),0),IF($AJ$5&lt;&gt;"",--(AJ273="Présent"),0),IF($AL$5&lt;&gt;"",--(AL273="Présent"),0),IF($AN$5&lt;&gt;"",--(AN273="Présent"),0),IF($AP$5&lt;&gt;"",--(AP273="Présent"),0),IF($AR$5&lt;&gt;"",--(AR273="Présent"),0),IF($AT$5&lt;&gt;"",--(AT273="Présent"),0),IF($AV$5&lt;&gt;"",--(AV273="Présent"),0),IF($AX$5&lt;&gt;"",--(AX273="Présent"),0),IF($AZ$5&lt;&gt;"",--(AZ273="Présent"),0),IF($BB$5&lt;&gt;"",--(BB273="Présent"),0),IF($BD$5&lt;&gt;"",--(BD273="Présent"),0),IF($BF$5&lt;&gt;"",--(BF273="Présent"),0),IF($BH$5&lt;&gt;"",--(BH273="Présent"),0),IF($BJ$5&lt;&gt;"",--(BJ273="Présent"),0),IF($BL$5&lt;&gt;"",--(BL273="Présent"),0)))</f>
      </c>
      <c r="BO273" s="22">
        <f>IF($A273="","",SUM(IF($D$5&lt;&gt;"",--(D273="Absent"),0),IF($F$5&lt;&gt;"",--(F273="Absent"),0),IF($H$5&lt;&gt;"",--(H273="Absent"),0),IF($J$5&lt;&gt;"",--(J273="Absent"),0),IF($L$5&lt;&gt;"",--(L273="Absent"),0),IF($N$5&lt;&gt;"",--(N273="Absent"),0),IF($P$5&lt;&gt;"",--(P273="Absent"),0),IF($R$5&lt;&gt;"",--(R273="Absent"),0),IF($T$5&lt;&gt;"",--(T273="Absent"),0),IF($V$5&lt;&gt;"",--(V273="Absent"),0),IF($X$5&lt;&gt;"",--(X273="Absent"),0),IF($Z$5&lt;&gt;"",--(Z273="Absent"),0),IF($AB$5&lt;&gt;"",--(AB273="Absent"),0),IF($AD$5&lt;&gt;"",--(AD273="Absent"),0),IF($AF$5&lt;&gt;"",--(AF273="Absent"),0),IF($AH$5&lt;&gt;"",--(AH273="Absent"),0),IF($AJ$5&lt;&gt;"",--(AJ273="Absent"),0),IF($AL$5&lt;&gt;"",--(AL273="Absent"),0),IF($AN$5&lt;&gt;"",--(AN273="Absent"),0),IF($AP$5&lt;&gt;"",--(AP273="Absent"),0),IF($AR$5&lt;&gt;"",--(AR273="Absent"),0),IF($AT$5&lt;&gt;"",--(AT273="Absent"),0),IF($AV$5&lt;&gt;"",--(AV273="Absent"),0),IF($AX$5&lt;&gt;"",--(AX273="Absent"),0),IF($AZ$5&lt;&gt;"",--(AZ273="Absent"),0),IF($BB$5&lt;&gt;"",--(BB273="Absent"),0),IF($BD$5&lt;&gt;"",--(BD273="Absent"),0),IF($BF$5&lt;&gt;"",--(BF273="Absent"),0),IF($BH$5&lt;&gt;"",--(BH273="Absent"),0),IF($BJ$5&lt;&gt;"",--(BJ273="Absent"),0),IF($BL$5&lt;&gt;"",--(BL273="Absent"),0)))</f>
      </c>
      <c r="BP273" s="22">
        <f>IF($A273="","",SUM(IF($D$5&lt;&gt;"",--(D273="Congé"),0),IF($F$5&lt;&gt;"",--(F273="Congé"),0),IF($H$5&lt;&gt;"",--(H273="Congé"),0),IF($J$5&lt;&gt;"",--(J273="Congé"),0),IF($L$5&lt;&gt;"",--(L273="Congé"),0),IF($N$5&lt;&gt;"",--(N273="Congé"),0),IF($P$5&lt;&gt;"",--(P273="Congé"),0),IF($R$5&lt;&gt;"",--(R273="Congé"),0),IF($T$5&lt;&gt;"",--(T273="Congé"),0),IF($V$5&lt;&gt;"",--(V273="Congé"),0),IF($X$5&lt;&gt;"",--(X273="Congé"),0),IF($Z$5&lt;&gt;"",--(Z273="Congé"),0),IF($AB$5&lt;&gt;"",--(AB273="Congé"),0),IF($AD$5&lt;&gt;"",--(AD273="Congé"),0),IF($AF$5&lt;&gt;"",--(AF273="Congé"),0),IF($AH$5&lt;&gt;"",--(AH273="Congé"),0),IF($AJ$5&lt;&gt;"",--(AJ273="Congé"),0),IF($AL$5&lt;&gt;"",--(AL273="Congé"),0),IF($AN$5&lt;&gt;"",--(AN273="Congé"),0),IF($AP$5&lt;&gt;"",--(AP273="Congé"),0),IF($AR$5&lt;&gt;"",--(AR273="Congé"),0),IF($AT$5&lt;&gt;"",--(AT273="Congé"),0),IF($AV$5&lt;&gt;"",--(AV273="Congé"),0),IF($AX$5&lt;&gt;"",--(AX273="Congé"),0),IF($AZ$5&lt;&gt;"",--(AZ273="Congé"),0),IF($BB$5&lt;&gt;"",--(BB273="Congé"),0),IF($BD$5&lt;&gt;"",--(BD273="Congé"),0),IF($BF$5&lt;&gt;"",--(BF273="Congé"),0),IF($BH$5&lt;&gt;"",--(BH273="Congé"),0),IF($BJ$5&lt;&gt;"",--(BJ273="Congé"),0),IF($BL$5&lt;&gt;"",--(BL273="Congé"),0)))</f>
      </c>
      <c r="BQ273" s="22">
        <f>IF($A273="","",SUM(IF($D$5&lt;&gt;"",--(D273="Maladie"),0),IF($F$5&lt;&gt;"",--(F273="Maladie"),0),IF($H$5&lt;&gt;"",--(H273="Maladie"),0),IF($J$5&lt;&gt;"",--(J273="Maladie"),0),IF($L$5&lt;&gt;"",--(L273="Maladie"),0),IF($N$5&lt;&gt;"",--(N273="Maladie"),0),IF($P$5&lt;&gt;"",--(P273="Maladie"),0),IF($R$5&lt;&gt;"",--(R273="Maladie"),0),IF($T$5&lt;&gt;"",--(T273="Maladie"),0),IF($V$5&lt;&gt;"",--(V273="Maladie"),0),IF($X$5&lt;&gt;"",--(X273="Maladie"),0),IF($Z$5&lt;&gt;"",--(Z273="Maladie"),0),IF($AB$5&lt;&gt;"",--(AB273="Maladie"),0),IF($AD$5&lt;&gt;"",--(AD273="Maladie"),0),IF($AF$5&lt;&gt;"",--(AF273="Maladie"),0),IF($AH$5&lt;&gt;"",--(AH273="Maladie"),0),IF($AJ$5&lt;&gt;"",--(AJ273="Maladie"),0),IF($AL$5&lt;&gt;"",--(AL273="Maladie"),0),IF($AN$5&lt;&gt;"",--(AN273="Maladie"),0),IF($AP$5&lt;&gt;"",--(AP273="Maladie"),0),IF($AR$5&lt;&gt;"",--(AR273="Maladie"),0),IF($AT$5&lt;&gt;"",--(AT273="Maladie"),0),IF($AV$5&lt;&gt;"",--(AV273="Maladie"),0),IF($AX$5&lt;&gt;"",--(AX273="Maladie"),0),IF($AZ$5&lt;&gt;"",--(AZ273="Maladie"),0),IF($BB$5&lt;&gt;"",--(BB273="Maladie"),0),IF($BD$5&lt;&gt;"",--(BD273="Maladie"),0),IF($BF$5&lt;&gt;"",--(BF273="Maladie"),0),IF($BH$5&lt;&gt;"",--(BH273="Maladie"),0),IF($BJ$5&lt;&gt;"",--(BJ273="Maladie"),0),IF($BL$5&lt;&gt;"",--(BL273="Maladie"),0)))</f>
      </c>
      <c r="BR273" s="23">
        <f>IF($A273="","",SUM(IF($D$5&lt;&gt;"",IF(D273="Présent",E273,0),0),IF($F$5&lt;&gt;"",IF(F273="Présent",G273,0),0),IF($H$5&lt;&gt;"",IF(H273="Présent",I273,0),0),IF($J$5&lt;&gt;"",IF(J273="Présent",K273,0),0),IF($L$5&lt;&gt;"",IF(L273="Présent",M273,0),0),IF($N$5&lt;&gt;"",IF(N273="Présent",O273,0),0),IF($P$5&lt;&gt;"",IF(P273="Présent",Q273,0),0),IF($R$5&lt;&gt;"",IF(R273="Présent",S273,0),0),IF($T$5&lt;&gt;"",IF(T273="Présent",U273,0),0),IF($V$5&lt;&gt;"",IF(V273="Présent",W273,0),0),IF($X$5&lt;&gt;"",IF(X273="Présent",Y273,0),0),IF($Z$5&lt;&gt;"",IF(Z273="Présent",AA273,0),0),IF($AB$5&lt;&gt;"",IF(AB273="Présent",AC273,0),0),IF($AD$5&lt;&gt;"",IF(AD273="Présent",AE273,0),0),IF($AF$5&lt;&gt;"",IF(AF273="Présent",AG273,0),0),IF($AH$5&lt;&gt;"",IF(AH273="Présent",AI273,0),0),IF($AJ$5&lt;&gt;"",IF(AJ273="Présent",AK273,0),0),IF($AL$5&lt;&gt;"",IF(AL273="Présent",AM273,0),0),IF($AN$5&lt;&gt;"",IF(AN273="Présent",AO273,0),0),IF($AP$5&lt;&gt;"",IF(AP273="Présent",AQ273,0),0),IF($AR$5&lt;&gt;"",IF(AR273="Présent",AS273,0),0),IF($AT$5&lt;&gt;"",IF(AT273="Présent",AU273,0),0),IF($AV$5&lt;&gt;"",IF(AV273="Présent",AW273,0),0),IF($AX$5&lt;&gt;"",IF(AX273="Présent",AY273,0),0),IF($AZ$5&lt;&gt;"",IF(AZ273="Présent",BA273,0),0),IF($BB$5&lt;&gt;"",IF(BB273="Présent",BC273,0),0),IF($BD$5&lt;&gt;"",IF(BD273="Présent",BE273,0),0),IF($BF$5&lt;&gt;"",IF(BF273="Présent",BG273,0),0),IF($BH$5&lt;&gt;"",IF(BH273="Présent",BI273,0),0),IF($BJ$5&lt;&gt;"",IF(BJ273="Présent",BK273,0),0),IF($BL$5&lt;&gt;"",IF(BL273="Présent",BM273,0),0)))</f>
      </c>
      <c r="BS273" s="25">
        <f>IF($A273="","",$BN273*IFERROR(INDEX(Categories_Salaire,MATCH($C273,ListeCategories,0)),0)+$BR273*IF(IFERROR(INDEX(Categories_TauxHS,MATCH($C273,ListeCategories,0)),0)&gt;0,IFERROR(INDEX(Categories_TauxHS,MATCH($C273,ListeCategories,0)),0),TauxHSDefaut))</f>
      </c>
    </row>
    <row r="274">
      <c r="A274" s="20">
        <f>IF(AND(INDEX(Employes_Nom,268)&lt;&gt;"",INDEX(Employes_Statut,268)="Actif",OR(INDEX(Employes_Embauche,268)="",INDEX(Employes_Embauche,268)&lt;=EOMONTH(DATE(AnneeCourante,MoisCourant,1),0))),INDEX(Employes_ID,268),"")</f>
      </c>
      <c r="B274" s="19">
        <f>IF($A274="","",INDEX(Employes_Nom,MATCH($A274,Employes_ID,0)))</f>
      </c>
      <c r="C274" s="20">
        <f>IF($A274="","",INDEX(Employes_Categorie,MATCH($A274,Employes_ID,0)))</f>
      </c>
      <c r="D274" s="26"/>
      <c r="E274" s="27"/>
      <c r="F274" s="26"/>
      <c r="G274" s="27"/>
      <c r="H274" s="26"/>
      <c r="I274" s="27"/>
      <c r="J274" s="26"/>
      <c r="K274" s="27"/>
      <c r="L274" s="26"/>
      <c r="M274" s="27"/>
      <c r="N274" s="26"/>
      <c r="O274" s="27"/>
      <c r="P274" s="26"/>
      <c r="Q274" s="27"/>
      <c r="R274" s="26"/>
      <c r="S274" s="27"/>
      <c r="T274" s="26"/>
      <c r="U274" s="27"/>
      <c r="V274" s="26"/>
      <c r="W274" s="27"/>
      <c r="X274" s="26"/>
      <c r="Y274" s="27"/>
      <c r="Z274" s="26"/>
      <c r="AA274" s="27"/>
      <c r="AB274" s="26"/>
      <c r="AC274" s="27"/>
      <c r="AD274" s="26"/>
      <c r="AE274" s="27"/>
      <c r="AF274" s="26"/>
      <c r="AG274" s="27"/>
      <c r="AH274" s="26"/>
      <c r="AI274" s="27"/>
      <c r="AJ274" s="26"/>
      <c r="AK274" s="27"/>
      <c r="AL274" s="26"/>
      <c r="AM274" s="27"/>
      <c r="AN274" s="26"/>
      <c r="AO274" s="27"/>
      <c r="AP274" s="26"/>
      <c r="AQ274" s="27"/>
      <c r="AR274" s="26"/>
      <c r="AS274" s="27"/>
      <c r="AT274" s="26"/>
      <c r="AU274" s="27"/>
      <c r="AV274" s="26"/>
      <c r="AW274" s="27"/>
      <c r="AX274" s="26"/>
      <c r="AY274" s="27"/>
      <c r="AZ274" s="26"/>
      <c r="BA274" s="27"/>
      <c r="BB274" s="26"/>
      <c r="BC274" s="27"/>
      <c r="BD274" s="26"/>
      <c r="BE274" s="27"/>
      <c r="BF274" s="26"/>
      <c r="BG274" s="27"/>
      <c r="BH274" s="26"/>
      <c r="BI274" s="27"/>
      <c r="BJ274" s="26"/>
      <c r="BK274" s="27"/>
      <c r="BL274" s="26"/>
      <c r="BM274" s="27"/>
      <c r="BN274" s="22">
        <f>IF($A274="","",SUM(IF($D$5&lt;&gt;"",--(D274="Présent"),0),IF($F$5&lt;&gt;"",--(F274="Présent"),0),IF($H$5&lt;&gt;"",--(H274="Présent"),0),IF($J$5&lt;&gt;"",--(J274="Présent"),0),IF($L$5&lt;&gt;"",--(L274="Présent"),0),IF($N$5&lt;&gt;"",--(N274="Présent"),0),IF($P$5&lt;&gt;"",--(P274="Présent"),0),IF($R$5&lt;&gt;"",--(R274="Présent"),0),IF($T$5&lt;&gt;"",--(T274="Présent"),0),IF($V$5&lt;&gt;"",--(V274="Présent"),0),IF($X$5&lt;&gt;"",--(X274="Présent"),0),IF($Z$5&lt;&gt;"",--(Z274="Présent"),0),IF($AB$5&lt;&gt;"",--(AB274="Présent"),0),IF($AD$5&lt;&gt;"",--(AD274="Présent"),0),IF($AF$5&lt;&gt;"",--(AF274="Présent"),0),IF($AH$5&lt;&gt;"",--(AH274="Présent"),0),IF($AJ$5&lt;&gt;"",--(AJ274="Présent"),0),IF($AL$5&lt;&gt;"",--(AL274="Présent"),0),IF($AN$5&lt;&gt;"",--(AN274="Présent"),0),IF($AP$5&lt;&gt;"",--(AP274="Présent"),0),IF($AR$5&lt;&gt;"",--(AR274="Présent"),0),IF($AT$5&lt;&gt;"",--(AT274="Présent"),0),IF($AV$5&lt;&gt;"",--(AV274="Présent"),0),IF($AX$5&lt;&gt;"",--(AX274="Présent"),0),IF($AZ$5&lt;&gt;"",--(AZ274="Présent"),0),IF($BB$5&lt;&gt;"",--(BB274="Présent"),0),IF($BD$5&lt;&gt;"",--(BD274="Présent"),0),IF($BF$5&lt;&gt;"",--(BF274="Présent"),0),IF($BH$5&lt;&gt;"",--(BH274="Présent"),0),IF($BJ$5&lt;&gt;"",--(BJ274="Présent"),0),IF($BL$5&lt;&gt;"",--(BL274="Présent"),0)))</f>
      </c>
      <c r="BO274" s="22">
        <f>IF($A274="","",SUM(IF($D$5&lt;&gt;"",--(D274="Absent"),0),IF($F$5&lt;&gt;"",--(F274="Absent"),0),IF($H$5&lt;&gt;"",--(H274="Absent"),0),IF($J$5&lt;&gt;"",--(J274="Absent"),0),IF($L$5&lt;&gt;"",--(L274="Absent"),0),IF($N$5&lt;&gt;"",--(N274="Absent"),0),IF($P$5&lt;&gt;"",--(P274="Absent"),0),IF($R$5&lt;&gt;"",--(R274="Absent"),0),IF($T$5&lt;&gt;"",--(T274="Absent"),0),IF($V$5&lt;&gt;"",--(V274="Absent"),0),IF($X$5&lt;&gt;"",--(X274="Absent"),0),IF($Z$5&lt;&gt;"",--(Z274="Absent"),0),IF($AB$5&lt;&gt;"",--(AB274="Absent"),0),IF($AD$5&lt;&gt;"",--(AD274="Absent"),0),IF($AF$5&lt;&gt;"",--(AF274="Absent"),0),IF($AH$5&lt;&gt;"",--(AH274="Absent"),0),IF($AJ$5&lt;&gt;"",--(AJ274="Absent"),0),IF($AL$5&lt;&gt;"",--(AL274="Absent"),0),IF($AN$5&lt;&gt;"",--(AN274="Absent"),0),IF($AP$5&lt;&gt;"",--(AP274="Absent"),0),IF($AR$5&lt;&gt;"",--(AR274="Absent"),0),IF($AT$5&lt;&gt;"",--(AT274="Absent"),0),IF($AV$5&lt;&gt;"",--(AV274="Absent"),0),IF($AX$5&lt;&gt;"",--(AX274="Absent"),0),IF($AZ$5&lt;&gt;"",--(AZ274="Absent"),0),IF($BB$5&lt;&gt;"",--(BB274="Absent"),0),IF($BD$5&lt;&gt;"",--(BD274="Absent"),0),IF($BF$5&lt;&gt;"",--(BF274="Absent"),0),IF($BH$5&lt;&gt;"",--(BH274="Absent"),0),IF($BJ$5&lt;&gt;"",--(BJ274="Absent"),0),IF($BL$5&lt;&gt;"",--(BL274="Absent"),0)))</f>
      </c>
      <c r="BP274" s="22">
        <f>IF($A274="","",SUM(IF($D$5&lt;&gt;"",--(D274="Congé"),0),IF($F$5&lt;&gt;"",--(F274="Congé"),0),IF($H$5&lt;&gt;"",--(H274="Congé"),0),IF($J$5&lt;&gt;"",--(J274="Congé"),0),IF($L$5&lt;&gt;"",--(L274="Congé"),0),IF($N$5&lt;&gt;"",--(N274="Congé"),0),IF($P$5&lt;&gt;"",--(P274="Congé"),0),IF($R$5&lt;&gt;"",--(R274="Congé"),0),IF($T$5&lt;&gt;"",--(T274="Congé"),0),IF($V$5&lt;&gt;"",--(V274="Congé"),0),IF($X$5&lt;&gt;"",--(X274="Congé"),0),IF($Z$5&lt;&gt;"",--(Z274="Congé"),0),IF($AB$5&lt;&gt;"",--(AB274="Congé"),0),IF($AD$5&lt;&gt;"",--(AD274="Congé"),0),IF($AF$5&lt;&gt;"",--(AF274="Congé"),0),IF($AH$5&lt;&gt;"",--(AH274="Congé"),0),IF($AJ$5&lt;&gt;"",--(AJ274="Congé"),0),IF($AL$5&lt;&gt;"",--(AL274="Congé"),0),IF($AN$5&lt;&gt;"",--(AN274="Congé"),0),IF($AP$5&lt;&gt;"",--(AP274="Congé"),0),IF($AR$5&lt;&gt;"",--(AR274="Congé"),0),IF($AT$5&lt;&gt;"",--(AT274="Congé"),0),IF($AV$5&lt;&gt;"",--(AV274="Congé"),0),IF($AX$5&lt;&gt;"",--(AX274="Congé"),0),IF($AZ$5&lt;&gt;"",--(AZ274="Congé"),0),IF($BB$5&lt;&gt;"",--(BB274="Congé"),0),IF($BD$5&lt;&gt;"",--(BD274="Congé"),0),IF($BF$5&lt;&gt;"",--(BF274="Congé"),0),IF($BH$5&lt;&gt;"",--(BH274="Congé"),0),IF($BJ$5&lt;&gt;"",--(BJ274="Congé"),0),IF($BL$5&lt;&gt;"",--(BL274="Congé"),0)))</f>
      </c>
      <c r="BQ274" s="22">
        <f>IF($A274="","",SUM(IF($D$5&lt;&gt;"",--(D274="Maladie"),0),IF($F$5&lt;&gt;"",--(F274="Maladie"),0),IF($H$5&lt;&gt;"",--(H274="Maladie"),0),IF($J$5&lt;&gt;"",--(J274="Maladie"),0),IF($L$5&lt;&gt;"",--(L274="Maladie"),0),IF($N$5&lt;&gt;"",--(N274="Maladie"),0),IF($P$5&lt;&gt;"",--(P274="Maladie"),0),IF($R$5&lt;&gt;"",--(R274="Maladie"),0),IF($T$5&lt;&gt;"",--(T274="Maladie"),0),IF($V$5&lt;&gt;"",--(V274="Maladie"),0),IF($X$5&lt;&gt;"",--(X274="Maladie"),0),IF($Z$5&lt;&gt;"",--(Z274="Maladie"),0),IF($AB$5&lt;&gt;"",--(AB274="Maladie"),0),IF($AD$5&lt;&gt;"",--(AD274="Maladie"),0),IF($AF$5&lt;&gt;"",--(AF274="Maladie"),0),IF($AH$5&lt;&gt;"",--(AH274="Maladie"),0),IF($AJ$5&lt;&gt;"",--(AJ274="Maladie"),0),IF($AL$5&lt;&gt;"",--(AL274="Maladie"),0),IF($AN$5&lt;&gt;"",--(AN274="Maladie"),0),IF($AP$5&lt;&gt;"",--(AP274="Maladie"),0),IF($AR$5&lt;&gt;"",--(AR274="Maladie"),0),IF($AT$5&lt;&gt;"",--(AT274="Maladie"),0),IF($AV$5&lt;&gt;"",--(AV274="Maladie"),0),IF($AX$5&lt;&gt;"",--(AX274="Maladie"),0),IF($AZ$5&lt;&gt;"",--(AZ274="Maladie"),0),IF($BB$5&lt;&gt;"",--(BB274="Maladie"),0),IF($BD$5&lt;&gt;"",--(BD274="Maladie"),0),IF($BF$5&lt;&gt;"",--(BF274="Maladie"),0),IF($BH$5&lt;&gt;"",--(BH274="Maladie"),0),IF($BJ$5&lt;&gt;"",--(BJ274="Maladie"),0),IF($BL$5&lt;&gt;"",--(BL274="Maladie"),0)))</f>
      </c>
      <c r="BR274" s="23">
        <f>IF($A274="","",SUM(IF($D$5&lt;&gt;"",IF(D274="Présent",E274,0),0),IF($F$5&lt;&gt;"",IF(F274="Présent",G274,0),0),IF($H$5&lt;&gt;"",IF(H274="Présent",I274,0),0),IF($J$5&lt;&gt;"",IF(J274="Présent",K274,0),0),IF($L$5&lt;&gt;"",IF(L274="Présent",M274,0),0),IF($N$5&lt;&gt;"",IF(N274="Présent",O274,0),0),IF($P$5&lt;&gt;"",IF(P274="Présent",Q274,0),0),IF($R$5&lt;&gt;"",IF(R274="Présent",S274,0),0),IF($T$5&lt;&gt;"",IF(T274="Présent",U274,0),0),IF($V$5&lt;&gt;"",IF(V274="Présent",W274,0),0),IF($X$5&lt;&gt;"",IF(X274="Présent",Y274,0),0),IF($Z$5&lt;&gt;"",IF(Z274="Présent",AA274,0),0),IF($AB$5&lt;&gt;"",IF(AB274="Présent",AC274,0),0),IF($AD$5&lt;&gt;"",IF(AD274="Présent",AE274,0),0),IF($AF$5&lt;&gt;"",IF(AF274="Présent",AG274,0),0),IF($AH$5&lt;&gt;"",IF(AH274="Présent",AI274,0),0),IF($AJ$5&lt;&gt;"",IF(AJ274="Présent",AK274,0),0),IF($AL$5&lt;&gt;"",IF(AL274="Présent",AM274,0),0),IF($AN$5&lt;&gt;"",IF(AN274="Présent",AO274,0),0),IF($AP$5&lt;&gt;"",IF(AP274="Présent",AQ274,0),0),IF($AR$5&lt;&gt;"",IF(AR274="Présent",AS274,0),0),IF($AT$5&lt;&gt;"",IF(AT274="Présent",AU274,0),0),IF($AV$5&lt;&gt;"",IF(AV274="Présent",AW274,0),0),IF($AX$5&lt;&gt;"",IF(AX274="Présent",AY274,0),0),IF($AZ$5&lt;&gt;"",IF(AZ274="Présent",BA274,0),0),IF($BB$5&lt;&gt;"",IF(BB274="Présent",BC274,0),0),IF($BD$5&lt;&gt;"",IF(BD274="Présent",BE274,0),0),IF($BF$5&lt;&gt;"",IF(BF274="Présent",BG274,0),0),IF($BH$5&lt;&gt;"",IF(BH274="Présent",BI274,0),0),IF($BJ$5&lt;&gt;"",IF(BJ274="Présent",BK274,0),0),IF($BL$5&lt;&gt;"",IF(BL274="Présent",BM274,0),0)))</f>
      </c>
      <c r="BS274" s="25">
        <f>IF($A274="","",$BN274*IFERROR(INDEX(Categories_Salaire,MATCH($C274,ListeCategories,0)),0)+$BR274*IF(IFERROR(INDEX(Categories_TauxHS,MATCH($C274,ListeCategories,0)),0)&gt;0,IFERROR(INDEX(Categories_TauxHS,MATCH($C274,ListeCategories,0)),0),TauxHSDefaut))</f>
      </c>
    </row>
    <row r="275">
      <c r="A275" s="20">
        <f>IF(AND(INDEX(Employes_Nom,269)&lt;&gt;"",INDEX(Employes_Statut,269)="Actif",OR(INDEX(Employes_Embauche,269)="",INDEX(Employes_Embauche,269)&lt;=EOMONTH(DATE(AnneeCourante,MoisCourant,1),0))),INDEX(Employes_ID,269),"")</f>
      </c>
      <c r="B275" s="19">
        <f>IF($A275="","",INDEX(Employes_Nom,MATCH($A275,Employes_ID,0)))</f>
      </c>
      <c r="C275" s="20">
        <f>IF($A275="","",INDEX(Employes_Categorie,MATCH($A275,Employes_ID,0)))</f>
      </c>
      <c r="D275" s="26"/>
      <c r="E275" s="27"/>
      <c r="F275" s="26"/>
      <c r="G275" s="27"/>
      <c r="H275" s="26"/>
      <c r="I275" s="27"/>
      <c r="J275" s="26"/>
      <c r="K275" s="27"/>
      <c r="L275" s="26"/>
      <c r="M275" s="27"/>
      <c r="N275" s="26"/>
      <c r="O275" s="27"/>
      <c r="P275" s="26"/>
      <c r="Q275" s="27"/>
      <c r="R275" s="26"/>
      <c r="S275" s="27"/>
      <c r="T275" s="26"/>
      <c r="U275" s="27"/>
      <c r="V275" s="26"/>
      <c r="W275" s="27"/>
      <c r="X275" s="26"/>
      <c r="Y275" s="27"/>
      <c r="Z275" s="26"/>
      <c r="AA275" s="27"/>
      <c r="AB275" s="26"/>
      <c r="AC275" s="27"/>
      <c r="AD275" s="26"/>
      <c r="AE275" s="27"/>
      <c r="AF275" s="26"/>
      <c r="AG275" s="27"/>
      <c r="AH275" s="26"/>
      <c r="AI275" s="27"/>
      <c r="AJ275" s="26"/>
      <c r="AK275" s="27"/>
      <c r="AL275" s="26"/>
      <c r="AM275" s="27"/>
      <c r="AN275" s="26"/>
      <c r="AO275" s="27"/>
      <c r="AP275" s="26"/>
      <c r="AQ275" s="27"/>
      <c r="AR275" s="26"/>
      <c r="AS275" s="27"/>
      <c r="AT275" s="26"/>
      <c r="AU275" s="27"/>
      <c r="AV275" s="26"/>
      <c r="AW275" s="27"/>
      <c r="AX275" s="26"/>
      <c r="AY275" s="27"/>
      <c r="AZ275" s="26"/>
      <c r="BA275" s="27"/>
      <c r="BB275" s="26"/>
      <c r="BC275" s="27"/>
      <c r="BD275" s="26"/>
      <c r="BE275" s="27"/>
      <c r="BF275" s="26"/>
      <c r="BG275" s="27"/>
      <c r="BH275" s="26"/>
      <c r="BI275" s="27"/>
      <c r="BJ275" s="26"/>
      <c r="BK275" s="27"/>
      <c r="BL275" s="26"/>
      <c r="BM275" s="27"/>
      <c r="BN275" s="22">
        <f>IF($A275="","",SUM(IF($D$5&lt;&gt;"",--(D275="Présent"),0),IF($F$5&lt;&gt;"",--(F275="Présent"),0),IF($H$5&lt;&gt;"",--(H275="Présent"),0),IF($J$5&lt;&gt;"",--(J275="Présent"),0),IF($L$5&lt;&gt;"",--(L275="Présent"),0),IF($N$5&lt;&gt;"",--(N275="Présent"),0),IF($P$5&lt;&gt;"",--(P275="Présent"),0),IF($R$5&lt;&gt;"",--(R275="Présent"),0),IF($T$5&lt;&gt;"",--(T275="Présent"),0),IF($V$5&lt;&gt;"",--(V275="Présent"),0),IF($X$5&lt;&gt;"",--(X275="Présent"),0),IF($Z$5&lt;&gt;"",--(Z275="Présent"),0),IF($AB$5&lt;&gt;"",--(AB275="Présent"),0),IF($AD$5&lt;&gt;"",--(AD275="Présent"),0),IF($AF$5&lt;&gt;"",--(AF275="Présent"),0),IF($AH$5&lt;&gt;"",--(AH275="Présent"),0),IF($AJ$5&lt;&gt;"",--(AJ275="Présent"),0),IF($AL$5&lt;&gt;"",--(AL275="Présent"),0),IF($AN$5&lt;&gt;"",--(AN275="Présent"),0),IF($AP$5&lt;&gt;"",--(AP275="Présent"),0),IF($AR$5&lt;&gt;"",--(AR275="Présent"),0),IF($AT$5&lt;&gt;"",--(AT275="Présent"),0),IF($AV$5&lt;&gt;"",--(AV275="Présent"),0),IF($AX$5&lt;&gt;"",--(AX275="Présent"),0),IF($AZ$5&lt;&gt;"",--(AZ275="Présent"),0),IF($BB$5&lt;&gt;"",--(BB275="Présent"),0),IF($BD$5&lt;&gt;"",--(BD275="Présent"),0),IF($BF$5&lt;&gt;"",--(BF275="Présent"),0),IF($BH$5&lt;&gt;"",--(BH275="Présent"),0),IF($BJ$5&lt;&gt;"",--(BJ275="Présent"),0),IF($BL$5&lt;&gt;"",--(BL275="Présent"),0)))</f>
      </c>
      <c r="BO275" s="22">
        <f>IF($A275="","",SUM(IF($D$5&lt;&gt;"",--(D275="Absent"),0),IF($F$5&lt;&gt;"",--(F275="Absent"),0),IF($H$5&lt;&gt;"",--(H275="Absent"),0),IF($J$5&lt;&gt;"",--(J275="Absent"),0),IF($L$5&lt;&gt;"",--(L275="Absent"),0),IF($N$5&lt;&gt;"",--(N275="Absent"),0),IF($P$5&lt;&gt;"",--(P275="Absent"),0),IF($R$5&lt;&gt;"",--(R275="Absent"),0),IF($T$5&lt;&gt;"",--(T275="Absent"),0),IF($V$5&lt;&gt;"",--(V275="Absent"),0),IF($X$5&lt;&gt;"",--(X275="Absent"),0),IF($Z$5&lt;&gt;"",--(Z275="Absent"),0),IF($AB$5&lt;&gt;"",--(AB275="Absent"),0),IF($AD$5&lt;&gt;"",--(AD275="Absent"),0),IF($AF$5&lt;&gt;"",--(AF275="Absent"),0),IF($AH$5&lt;&gt;"",--(AH275="Absent"),0),IF($AJ$5&lt;&gt;"",--(AJ275="Absent"),0),IF($AL$5&lt;&gt;"",--(AL275="Absent"),0),IF($AN$5&lt;&gt;"",--(AN275="Absent"),0),IF($AP$5&lt;&gt;"",--(AP275="Absent"),0),IF($AR$5&lt;&gt;"",--(AR275="Absent"),0),IF($AT$5&lt;&gt;"",--(AT275="Absent"),0),IF($AV$5&lt;&gt;"",--(AV275="Absent"),0),IF($AX$5&lt;&gt;"",--(AX275="Absent"),0),IF($AZ$5&lt;&gt;"",--(AZ275="Absent"),0),IF($BB$5&lt;&gt;"",--(BB275="Absent"),0),IF($BD$5&lt;&gt;"",--(BD275="Absent"),0),IF($BF$5&lt;&gt;"",--(BF275="Absent"),0),IF($BH$5&lt;&gt;"",--(BH275="Absent"),0),IF($BJ$5&lt;&gt;"",--(BJ275="Absent"),0),IF($BL$5&lt;&gt;"",--(BL275="Absent"),0)))</f>
      </c>
      <c r="BP275" s="22">
        <f>IF($A275="","",SUM(IF($D$5&lt;&gt;"",--(D275="Congé"),0),IF($F$5&lt;&gt;"",--(F275="Congé"),0),IF($H$5&lt;&gt;"",--(H275="Congé"),0),IF($J$5&lt;&gt;"",--(J275="Congé"),0),IF($L$5&lt;&gt;"",--(L275="Congé"),0),IF($N$5&lt;&gt;"",--(N275="Congé"),0),IF($P$5&lt;&gt;"",--(P275="Congé"),0),IF($R$5&lt;&gt;"",--(R275="Congé"),0),IF($T$5&lt;&gt;"",--(T275="Congé"),0),IF($V$5&lt;&gt;"",--(V275="Congé"),0),IF($X$5&lt;&gt;"",--(X275="Congé"),0),IF($Z$5&lt;&gt;"",--(Z275="Congé"),0),IF($AB$5&lt;&gt;"",--(AB275="Congé"),0),IF($AD$5&lt;&gt;"",--(AD275="Congé"),0),IF($AF$5&lt;&gt;"",--(AF275="Congé"),0),IF($AH$5&lt;&gt;"",--(AH275="Congé"),0),IF($AJ$5&lt;&gt;"",--(AJ275="Congé"),0),IF($AL$5&lt;&gt;"",--(AL275="Congé"),0),IF($AN$5&lt;&gt;"",--(AN275="Congé"),0),IF($AP$5&lt;&gt;"",--(AP275="Congé"),0),IF($AR$5&lt;&gt;"",--(AR275="Congé"),0),IF($AT$5&lt;&gt;"",--(AT275="Congé"),0),IF($AV$5&lt;&gt;"",--(AV275="Congé"),0),IF($AX$5&lt;&gt;"",--(AX275="Congé"),0),IF($AZ$5&lt;&gt;"",--(AZ275="Congé"),0),IF($BB$5&lt;&gt;"",--(BB275="Congé"),0),IF($BD$5&lt;&gt;"",--(BD275="Congé"),0),IF($BF$5&lt;&gt;"",--(BF275="Congé"),0),IF($BH$5&lt;&gt;"",--(BH275="Congé"),0),IF($BJ$5&lt;&gt;"",--(BJ275="Congé"),0),IF($BL$5&lt;&gt;"",--(BL275="Congé"),0)))</f>
      </c>
      <c r="BQ275" s="22">
        <f>IF($A275="","",SUM(IF($D$5&lt;&gt;"",--(D275="Maladie"),0),IF($F$5&lt;&gt;"",--(F275="Maladie"),0),IF($H$5&lt;&gt;"",--(H275="Maladie"),0),IF($J$5&lt;&gt;"",--(J275="Maladie"),0),IF($L$5&lt;&gt;"",--(L275="Maladie"),0),IF($N$5&lt;&gt;"",--(N275="Maladie"),0),IF($P$5&lt;&gt;"",--(P275="Maladie"),0),IF($R$5&lt;&gt;"",--(R275="Maladie"),0),IF($T$5&lt;&gt;"",--(T275="Maladie"),0),IF($V$5&lt;&gt;"",--(V275="Maladie"),0),IF($X$5&lt;&gt;"",--(X275="Maladie"),0),IF($Z$5&lt;&gt;"",--(Z275="Maladie"),0),IF($AB$5&lt;&gt;"",--(AB275="Maladie"),0),IF($AD$5&lt;&gt;"",--(AD275="Maladie"),0),IF($AF$5&lt;&gt;"",--(AF275="Maladie"),0),IF($AH$5&lt;&gt;"",--(AH275="Maladie"),0),IF($AJ$5&lt;&gt;"",--(AJ275="Maladie"),0),IF($AL$5&lt;&gt;"",--(AL275="Maladie"),0),IF($AN$5&lt;&gt;"",--(AN275="Maladie"),0),IF($AP$5&lt;&gt;"",--(AP275="Maladie"),0),IF($AR$5&lt;&gt;"",--(AR275="Maladie"),0),IF($AT$5&lt;&gt;"",--(AT275="Maladie"),0),IF($AV$5&lt;&gt;"",--(AV275="Maladie"),0),IF($AX$5&lt;&gt;"",--(AX275="Maladie"),0),IF($AZ$5&lt;&gt;"",--(AZ275="Maladie"),0),IF($BB$5&lt;&gt;"",--(BB275="Maladie"),0),IF($BD$5&lt;&gt;"",--(BD275="Maladie"),0),IF($BF$5&lt;&gt;"",--(BF275="Maladie"),0),IF($BH$5&lt;&gt;"",--(BH275="Maladie"),0),IF($BJ$5&lt;&gt;"",--(BJ275="Maladie"),0),IF($BL$5&lt;&gt;"",--(BL275="Maladie"),0)))</f>
      </c>
      <c r="BR275" s="23">
        <f>IF($A275="","",SUM(IF($D$5&lt;&gt;"",IF(D275="Présent",E275,0),0),IF($F$5&lt;&gt;"",IF(F275="Présent",G275,0),0),IF($H$5&lt;&gt;"",IF(H275="Présent",I275,0),0),IF($J$5&lt;&gt;"",IF(J275="Présent",K275,0),0),IF($L$5&lt;&gt;"",IF(L275="Présent",M275,0),0),IF($N$5&lt;&gt;"",IF(N275="Présent",O275,0),0),IF($P$5&lt;&gt;"",IF(P275="Présent",Q275,0),0),IF($R$5&lt;&gt;"",IF(R275="Présent",S275,0),0),IF($T$5&lt;&gt;"",IF(T275="Présent",U275,0),0),IF($V$5&lt;&gt;"",IF(V275="Présent",W275,0),0),IF($X$5&lt;&gt;"",IF(X275="Présent",Y275,0),0),IF($Z$5&lt;&gt;"",IF(Z275="Présent",AA275,0),0),IF($AB$5&lt;&gt;"",IF(AB275="Présent",AC275,0),0),IF($AD$5&lt;&gt;"",IF(AD275="Présent",AE275,0),0),IF($AF$5&lt;&gt;"",IF(AF275="Présent",AG275,0),0),IF($AH$5&lt;&gt;"",IF(AH275="Présent",AI275,0),0),IF($AJ$5&lt;&gt;"",IF(AJ275="Présent",AK275,0),0),IF($AL$5&lt;&gt;"",IF(AL275="Présent",AM275,0),0),IF($AN$5&lt;&gt;"",IF(AN275="Présent",AO275,0),0),IF($AP$5&lt;&gt;"",IF(AP275="Présent",AQ275,0),0),IF($AR$5&lt;&gt;"",IF(AR275="Présent",AS275,0),0),IF($AT$5&lt;&gt;"",IF(AT275="Présent",AU275,0),0),IF($AV$5&lt;&gt;"",IF(AV275="Présent",AW275,0),0),IF($AX$5&lt;&gt;"",IF(AX275="Présent",AY275,0),0),IF($AZ$5&lt;&gt;"",IF(AZ275="Présent",BA275,0),0),IF($BB$5&lt;&gt;"",IF(BB275="Présent",BC275,0),0),IF($BD$5&lt;&gt;"",IF(BD275="Présent",BE275,0),0),IF($BF$5&lt;&gt;"",IF(BF275="Présent",BG275,0),0),IF($BH$5&lt;&gt;"",IF(BH275="Présent",BI275,0),0),IF($BJ$5&lt;&gt;"",IF(BJ275="Présent",BK275,0),0),IF($BL$5&lt;&gt;"",IF(BL275="Présent",BM275,0),0)))</f>
      </c>
      <c r="BS275" s="25">
        <f>IF($A275="","",$BN275*IFERROR(INDEX(Categories_Salaire,MATCH($C275,ListeCategories,0)),0)+$BR275*IF(IFERROR(INDEX(Categories_TauxHS,MATCH($C275,ListeCategories,0)),0)&gt;0,IFERROR(INDEX(Categories_TauxHS,MATCH($C275,ListeCategories,0)),0),TauxHSDefaut))</f>
      </c>
    </row>
    <row r="276">
      <c r="A276" s="20">
        <f>IF(AND(INDEX(Employes_Nom,270)&lt;&gt;"",INDEX(Employes_Statut,270)="Actif",OR(INDEX(Employes_Embauche,270)="",INDEX(Employes_Embauche,270)&lt;=EOMONTH(DATE(AnneeCourante,MoisCourant,1),0))),INDEX(Employes_ID,270),"")</f>
      </c>
      <c r="B276" s="19">
        <f>IF($A276="","",INDEX(Employes_Nom,MATCH($A276,Employes_ID,0)))</f>
      </c>
      <c r="C276" s="20">
        <f>IF($A276="","",INDEX(Employes_Categorie,MATCH($A276,Employes_ID,0)))</f>
      </c>
      <c r="D276" s="26"/>
      <c r="E276" s="27"/>
      <c r="F276" s="26"/>
      <c r="G276" s="27"/>
      <c r="H276" s="26"/>
      <c r="I276" s="27"/>
      <c r="J276" s="26"/>
      <c r="K276" s="27"/>
      <c r="L276" s="26"/>
      <c r="M276" s="27"/>
      <c r="N276" s="26"/>
      <c r="O276" s="27"/>
      <c r="P276" s="26"/>
      <c r="Q276" s="27"/>
      <c r="R276" s="26"/>
      <c r="S276" s="27"/>
      <c r="T276" s="26"/>
      <c r="U276" s="27"/>
      <c r="V276" s="26"/>
      <c r="W276" s="27"/>
      <c r="X276" s="26"/>
      <c r="Y276" s="27"/>
      <c r="Z276" s="26"/>
      <c r="AA276" s="27"/>
      <c r="AB276" s="26"/>
      <c r="AC276" s="27"/>
      <c r="AD276" s="26"/>
      <c r="AE276" s="27"/>
      <c r="AF276" s="26"/>
      <c r="AG276" s="27"/>
      <c r="AH276" s="26"/>
      <c r="AI276" s="27"/>
      <c r="AJ276" s="26"/>
      <c r="AK276" s="27"/>
      <c r="AL276" s="26"/>
      <c r="AM276" s="27"/>
      <c r="AN276" s="26"/>
      <c r="AO276" s="27"/>
      <c r="AP276" s="26"/>
      <c r="AQ276" s="27"/>
      <c r="AR276" s="26"/>
      <c r="AS276" s="27"/>
      <c r="AT276" s="26"/>
      <c r="AU276" s="27"/>
      <c r="AV276" s="26"/>
      <c r="AW276" s="27"/>
      <c r="AX276" s="26"/>
      <c r="AY276" s="27"/>
      <c r="AZ276" s="26"/>
      <c r="BA276" s="27"/>
      <c r="BB276" s="26"/>
      <c r="BC276" s="27"/>
      <c r="BD276" s="26"/>
      <c r="BE276" s="27"/>
      <c r="BF276" s="26"/>
      <c r="BG276" s="27"/>
      <c r="BH276" s="26"/>
      <c r="BI276" s="27"/>
      <c r="BJ276" s="26"/>
      <c r="BK276" s="27"/>
      <c r="BL276" s="26"/>
      <c r="BM276" s="27"/>
      <c r="BN276" s="22">
        <f>IF($A276="","",SUM(IF($D$5&lt;&gt;"",--(D276="Présent"),0),IF($F$5&lt;&gt;"",--(F276="Présent"),0),IF($H$5&lt;&gt;"",--(H276="Présent"),0),IF($J$5&lt;&gt;"",--(J276="Présent"),0),IF($L$5&lt;&gt;"",--(L276="Présent"),0),IF($N$5&lt;&gt;"",--(N276="Présent"),0),IF($P$5&lt;&gt;"",--(P276="Présent"),0),IF($R$5&lt;&gt;"",--(R276="Présent"),0),IF($T$5&lt;&gt;"",--(T276="Présent"),0),IF($V$5&lt;&gt;"",--(V276="Présent"),0),IF($X$5&lt;&gt;"",--(X276="Présent"),0),IF($Z$5&lt;&gt;"",--(Z276="Présent"),0),IF($AB$5&lt;&gt;"",--(AB276="Présent"),0),IF($AD$5&lt;&gt;"",--(AD276="Présent"),0),IF($AF$5&lt;&gt;"",--(AF276="Présent"),0),IF($AH$5&lt;&gt;"",--(AH276="Présent"),0),IF($AJ$5&lt;&gt;"",--(AJ276="Présent"),0),IF($AL$5&lt;&gt;"",--(AL276="Présent"),0),IF($AN$5&lt;&gt;"",--(AN276="Présent"),0),IF($AP$5&lt;&gt;"",--(AP276="Présent"),0),IF($AR$5&lt;&gt;"",--(AR276="Présent"),0),IF($AT$5&lt;&gt;"",--(AT276="Présent"),0),IF($AV$5&lt;&gt;"",--(AV276="Présent"),0),IF($AX$5&lt;&gt;"",--(AX276="Présent"),0),IF($AZ$5&lt;&gt;"",--(AZ276="Présent"),0),IF($BB$5&lt;&gt;"",--(BB276="Présent"),0),IF($BD$5&lt;&gt;"",--(BD276="Présent"),0),IF($BF$5&lt;&gt;"",--(BF276="Présent"),0),IF($BH$5&lt;&gt;"",--(BH276="Présent"),0),IF($BJ$5&lt;&gt;"",--(BJ276="Présent"),0),IF($BL$5&lt;&gt;"",--(BL276="Présent"),0)))</f>
      </c>
      <c r="BO276" s="22">
        <f>IF($A276="","",SUM(IF($D$5&lt;&gt;"",--(D276="Absent"),0),IF($F$5&lt;&gt;"",--(F276="Absent"),0),IF($H$5&lt;&gt;"",--(H276="Absent"),0),IF($J$5&lt;&gt;"",--(J276="Absent"),0),IF($L$5&lt;&gt;"",--(L276="Absent"),0),IF($N$5&lt;&gt;"",--(N276="Absent"),0),IF($P$5&lt;&gt;"",--(P276="Absent"),0),IF($R$5&lt;&gt;"",--(R276="Absent"),0),IF($T$5&lt;&gt;"",--(T276="Absent"),0),IF($V$5&lt;&gt;"",--(V276="Absent"),0),IF($X$5&lt;&gt;"",--(X276="Absent"),0),IF($Z$5&lt;&gt;"",--(Z276="Absent"),0),IF($AB$5&lt;&gt;"",--(AB276="Absent"),0),IF($AD$5&lt;&gt;"",--(AD276="Absent"),0),IF($AF$5&lt;&gt;"",--(AF276="Absent"),0),IF($AH$5&lt;&gt;"",--(AH276="Absent"),0),IF($AJ$5&lt;&gt;"",--(AJ276="Absent"),0),IF($AL$5&lt;&gt;"",--(AL276="Absent"),0),IF($AN$5&lt;&gt;"",--(AN276="Absent"),0),IF($AP$5&lt;&gt;"",--(AP276="Absent"),0),IF($AR$5&lt;&gt;"",--(AR276="Absent"),0),IF($AT$5&lt;&gt;"",--(AT276="Absent"),0),IF($AV$5&lt;&gt;"",--(AV276="Absent"),0),IF($AX$5&lt;&gt;"",--(AX276="Absent"),0),IF($AZ$5&lt;&gt;"",--(AZ276="Absent"),0),IF($BB$5&lt;&gt;"",--(BB276="Absent"),0),IF($BD$5&lt;&gt;"",--(BD276="Absent"),0),IF($BF$5&lt;&gt;"",--(BF276="Absent"),0),IF($BH$5&lt;&gt;"",--(BH276="Absent"),0),IF($BJ$5&lt;&gt;"",--(BJ276="Absent"),0),IF($BL$5&lt;&gt;"",--(BL276="Absent"),0)))</f>
      </c>
      <c r="BP276" s="22">
        <f>IF($A276="","",SUM(IF($D$5&lt;&gt;"",--(D276="Congé"),0),IF($F$5&lt;&gt;"",--(F276="Congé"),0),IF($H$5&lt;&gt;"",--(H276="Congé"),0),IF($J$5&lt;&gt;"",--(J276="Congé"),0),IF($L$5&lt;&gt;"",--(L276="Congé"),0),IF($N$5&lt;&gt;"",--(N276="Congé"),0),IF($P$5&lt;&gt;"",--(P276="Congé"),0),IF($R$5&lt;&gt;"",--(R276="Congé"),0),IF($T$5&lt;&gt;"",--(T276="Congé"),0),IF($V$5&lt;&gt;"",--(V276="Congé"),0),IF($X$5&lt;&gt;"",--(X276="Congé"),0),IF($Z$5&lt;&gt;"",--(Z276="Congé"),0),IF($AB$5&lt;&gt;"",--(AB276="Congé"),0),IF($AD$5&lt;&gt;"",--(AD276="Congé"),0),IF($AF$5&lt;&gt;"",--(AF276="Congé"),0),IF($AH$5&lt;&gt;"",--(AH276="Congé"),0),IF($AJ$5&lt;&gt;"",--(AJ276="Congé"),0),IF($AL$5&lt;&gt;"",--(AL276="Congé"),0),IF($AN$5&lt;&gt;"",--(AN276="Congé"),0),IF($AP$5&lt;&gt;"",--(AP276="Congé"),0),IF($AR$5&lt;&gt;"",--(AR276="Congé"),0),IF($AT$5&lt;&gt;"",--(AT276="Congé"),0),IF($AV$5&lt;&gt;"",--(AV276="Congé"),0),IF($AX$5&lt;&gt;"",--(AX276="Congé"),0),IF($AZ$5&lt;&gt;"",--(AZ276="Congé"),0),IF($BB$5&lt;&gt;"",--(BB276="Congé"),0),IF($BD$5&lt;&gt;"",--(BD276="Congé"),0),IF($BF$5&lt;&gt;"",--(BF276="Congé"),0),IF($BH$5&lt;&gt;"",--(BH276="Congé"),0),IF($BJ$5&lt;&gt;"",--(BJ276="Congé"),0),IF($BL$5&lt;&gt;"",--(BL276="Congé"),0)))</f>
      </c>
      <c r="BQ276" s="22">
        <f>IF($A276="","",SUM(IF($D$5&lt;&gt;"",--(D276="Maladie"),0),IF($F$5&lt;&gt;"",--(F276="Maladie"),0),IF($H$5&lt;&gt;"",--(H276="Maladie"),0),IF($J$5&lt;&gt;"",--(J276="Maladie"),0),IF($L$5&lt;&gt;"",--(L276="Maladie"),0),IF($N$5&lt;&gt;"",--(N276="Maladie"),0),IF($P$5&lt;&gt;"",--(P276="Maladie"),0),IF($R$5&lt;&gt;"",--(R276="Maladie"),0),IF($T$5&lt;&gt;"",--(T276="Maladie"),0),IF($V$5&lt;&gt;"",--(V276="Maladie"),0),IF($X$5&lt;&gt;"",--(X276="Maladie"),0),IF($Z$5&lt;&gt;"",--(Z276="Maladie"),0),IF($AB$5&lt;&gt;"",--(AB276="Maladie"),0),IF($AD$5&lt;&gt;"",--(AD276="Maladie"),0),IF($AF$5&lt;&gt;"",--(AF276="Maladie"),0),IF($AH$5&lt;&gt;"",--(AH276="Maladie"),0),IF($AJ$5&lt;&gt;"",--(AJ276="Maladie"),0),IF($AL$5&lt;&gt;"",--(AL276="Maladie"),0),IF($AN$5&lt;&gt;"",--(AN276="Maladie"),0),IF($AP$5&lt;&gt;"",--(AP276="Maladie"),0),IF($AR$5&lt;&gt;"",--(AR276="Maladie"),0),IF($AT$5&lt;&gt;"",--(AT276="Maladie"),0),IF($AV$5&lt;&gt;"",--(AV276="Maladie"),0),IF($AX$5&lt;&gt;"",--(AX276="Maladie"),0),IF($AZ$5&lt;&gt;"",--(AZ276="Maladie"),0),IF($BB$5&lt;&gt;"",--(BB276="Maladie"),0),IF($BD$5&lt;&gt;"",--(BD276="Maladie"),0),IF($BF$5&lt;&gt;"",--(BF276="Maladie"),0),IF($BH$5&lt;&gt;"",--(BH276="Maladie"),0),IF($BJ$5&lt;&gt;"",--(BJ276="Maladie"),0),IF($BL$5&lt;&gt;"",--(BL276="Maladie"),0)))</f>
      </c>
      <c r="BR276" s="23">
        <f>IF($A276="","",SUM(IF($D$5&lt;&gt;"",IF(D276="Présent",E276,0),0),IF($F$5&lt;&gt;"",IF(F276="Présent",G276,0),0),IF($H$5&lt;&gt;"",IF(H276="Présent",I276,0),0),IF($J$5&lt;&gt;"",IF(J276="Présent",K276,0),0),IF($L$5&lt;&gt;"",IF(L276="Présent",M276,0),0),IF($N$5&lt;&gt;"",IF(N276="Présent",O276,0),0),IF($P$5&lt;&gt;"",IF(P276="Présent",Q276,0),0),IF($R$5&lt;&gt;"",IF(R276="Présent",S276,0),0),IF($T$5&lt;&gt;"",IF(T276="Présent",U276,0),0),IF($V$5&lt;&gt;"",IF(V276="Présent",W276,0),0),IF($X$5&lt;&gt;"",IF(X276="Présent",Y276,0),0),IF($Z$5&lt;&gt;"",IF(Z276="Présent",AA276,0),0),IF($AB$5&lt;&gt;"",IF(AB276="Présent",AC276,0),0),IF($AD$5&lt;&gt;"",IF(AD276="Présent",AE276,0),0),IF($AF$5&lt;&gt;"",IF(AF276="Présent",AG276,0),0),IF($AH$5&lt;&gt;"",IF(AH276="Présent",AI276,0),0),IF($AJ$5&lt;&gt;"",IF(AJ276="Présent",AK276,0),0),IF($AL$5&lt;&gt;"",IF(AL276="Présent",AM276,0),0),IF($AN$5&lt;&gt;"",IF(AN276="Présent",AO276,0),0),IF($AP$5&lt;&gt;"",IF(AP276="Présent",AQ276,0),0),IF($AR$5&lt;&gt;"",IF(AR276="Présent",AS276,0),0),IF($AT$5&lt;&gt;"",IF(AT276="Présent",AU276,0),0),IF($AV$5&lt;&gt;"",IF(AV276="Présent",AW276,0),0),IF($AX$5&lt;&gt;"",IF(AX276="Présent",AY276,0),0),IF($AZ$5&lt;&gt;"",IF(AZ276="Présent",BA276,0),0),IF($BB$5&lt;&gt;"",IF(BB276="Présent",BC276,0),0),IF($BD$5&lt;&gt;"",IF(BD276="Présent",BE276,0),0),IF($BF$5&lt;&gt;"",IF(BF276="Présent",BG276,0),0),IF($BH$5&lt;&gt;"",IF(BH276="Présent",BI276,0),0),IF($BJ$5&lt;&gt;"",IF(BJ276="Présent",BK276,0),0),IF($BL$5&lt;&gt;"",IF(BL276="Présent",BM276,0),0)))</f>
      </c>
      <c r="BS276" s="25">
        <f>IF($A276="","",$BN276*IFERROR(INDEX(Categories_Salaire,MATCH($C276,ListeCategories,0)),0)+$BR276*IF(IFERROR(INDEX(Categories_TauxHS,MATCH($C276,ListeCategories,0)),0)&gt;0,IFERROR(INDEX(Categories_TauxHS,MATCH($C276,ListeCategories,0)),0),TauxHSDefaut))</f>
      </c>
    </row>
    <row r="277">
      <c r="A277" s="20">
        <f>IF(AND(INDEX(Employes_Nom,271)&lt;&gt;"",INDEX(Employes_Statut,271)="Actif",OR(INDEX(Employes_Embauche,271)="",INDEX(Employes_Embauche,271)&lt;=EOMONTH(DATE(AnneeCourante,MoisCourant,1),0))),INDEX(Employes_ID,271),"")</f>
      </c>
      <c r="B277" s="19">
        <f>IF($A277="","",INDEX(Employes_Nom,MATCH($A277,Employes_ID,0)))</f>
      </c>
      <c r="C277" s="20">
        <f>IF($A277="","",INDEX(Employes_Categorie,MATCH($A277,Employes_ID,0)))</f>
      </c>
      <c r="D277" s="26"/>
      <c r="E277" s="27"/>
      <c r="F277" s="26"/>
      <c r="G277" s="27"/>
      <c r="H277" s="26"/>
      <c r="I277" s="27"/>
      <c r="J277" s="26"/>
      <c r="K277" s="27"/>
      <c r="L277" s="26"/>
      <c r="M277" s="27"/>
      <c r="N277" s="26"/>
      <c r="O277" s="27"/>
      <c r="P277" s="26"/>
      <c r="Q277" s="27"/>
      <c r="R277" s="26"/>
      <c r="S277" s="27"/>
      <c r="T277" s="26"/>
      <c r="U277" s="27"/>
      <c r="V277" s="26"/>
      <c r="W277" s="27"/>
      <c r="X277" s="26"/>
      <c r="Y277" s="27"/>
      <c r="Z277" s="26"/>
      <c r="AA277" s="27"/>
      <c r="AB277" s="26"/>
      <c r="AC277" s="27"/>
      <c r="AD277" s="26"/>
      <c r="AE277" s="27"/>
      <c r="AF277" s="26"/>
      <c r="AG277" s="27"/>
      <c r="AH277" s="26"/>
      <c r="AI277" s="27"/>
      <c r="AJ277" s="26"/>
      <c r="AK277" s="27"/>
      <c r="AL277" s="26"/>
      <c r="AM277" s="27"/>
      <c r="AN277" s="26"/>
      <c r="AO277" s="27"/>
      <c r="AP277" s="26"/>
      <c r="AQ277" s="27"/>
      <c r="AR277" s="26"/>
      <c r="AS277" s="27"/>
      <c r="AT277" s="26"/>
      <c r="AU277" s="27"/>
      <c r="AV277" s="26"/>
      <c r="AW277" s="27"/>
      <c r="AX277" s="26"/>
      <c r="AY277" s="27"/>
      <c r="AZ277" s="26"/>
      <c r="BA277" s="27"/>
      <c r="BB277" s="26"/>
      <c r="BC277" s="27"/>
      <c r="BD277" s="26"/>
      <c r="BE277" s="27"/>
      <c r="BF277" s="26"/>
      <c r="BG277" s="27"/>
      <c r="BH277" s="26"/>
      <c r="BI277" s="27"/>
      <c r="BJ277" s="26"/>
      <c r="BK277" s="27"/>
      <c r="BL277" s="26"/>
      <c r="BM277" s="27"/>
      <c r="BN277" s="22">
        <f>IF($A277="","",SUM(IF($D$5&lt;&gt;"",--(D277="Présent"),0),IF($F$5&lt;&gt;"",--(F277="Présent"),0),IF($H$5&lt;&gt;"",--(H277="Présent"),0),IF($J$5&lt;&gt;"",--(J277="Présent"),0),IF($L$5&lt;&gt;"",--(L277="Présent"),0),IF($N$5&lt;&gt;"",--(N277="Présent"),0),IF($P$5&lt;&gt;"",--(P277="Présent"),0),IF($R$5&lt;&gt;"",--(R277="Présent"),0),IF($T$5&lt;&gt;"",--(T277="Présent"),0),IF($V$5&lt;&gt;"",--(V277="Présent"),0),IF($X$5&lt;&gt;"",--(X277="Présent"),0),IF($Z$5&lt;&gt;"",--(Z277="Présent"),0),IF($AB$5&lt;&gt;"",--(AB277="Présent"),0),IF($AD$5&lt;&gt;"",--(AD277="Présent"),0),IF($AF$5&lt;&gt;"",--(AF277="Présent"),0),IF($AH$5&lt;&gt;"",--(AH277="Présent"),0),IF($AJ$5&lt;&gt;"",--(AJ277="Présent"),0),IF($AL$5&lt;&gt;"",--(AL277="Présent"),0),IF($AN$5&lt;&gt;"",--(AN277="Présent"),0),IF($AP$5&lt;&gt;"",--(AP277="Présent"),0),IF($AR$5&lt;&gt;"",--(AR277="Présent"),0),IF($AT$5&lt;&gt;"",--(AT277="Présent"),0),IF($AV$5&lt;&gt;"",--(AV277="Présent"),0),IF($AX$5&lt;&gt;"",--(AX277="Présent"),0),IF($AZ$5&lt;&gt;"",--(AZ277="Présent"),0),IF($BB$5&lt;&gt;"",--(BB277="Présent"),0),IF($BD$5&lt;&gt;"",--(BD277="Présent"),0),IF($BF$5&lt;&gt;"",--(BF277="Présent"),0),IF($BH$5&lt;&gt;"",--(BH277="Présent"),0),IF($BJ$5&lt;&gt;"",--(BJ277="Présent"),0),IF($BL$5&lt;&gt;"",--(BL277="Présent"),0)))</f>
      </c>
      <c r="BO277" s="22">
        <f>IF($A277="","",SUM(IF($D$5&lt;&gt;"",--(D277="Absent"),0),IF($F$5&lt;&gt;"",--(F277="Absent"),0),IF($H$5&lt;&gt;"",--(H277="Absent"),0),IF($J$5&lt;&gt;"",--(J277="Absent"),0),IF($L$5&lt;&gt;"",--(L277="Absent"),0),IF($N$5&lt;&gt;"",--(N277="Absent"),0),IF($P$5&lt;&gt;"",--(P277="Absent"),0),IF($R$5&lt;&gt;"",--(R277="Absent"),0),IF($T$5&lt;&gt;"",--(T277="Absent"),0),IF($V$5&lt;&gt;"",--(V277="Absent"),0),IF($X$5&lt;&gt;"",--(X277="Absent"),0),IF($Z$5&lt;&gt;"",--(Z277="Absent"),0),IF($AB$5&lt;&gt;"",--(AB277="Absent"),0),IF($AD$5&lt;&gt;"",--(AD277="Absent"),0),IF($AF$5&lt;&gt;"",--(AF277="Absent"),0),IF($AH$5&lt;&gt;"",--(AH277="Absent"),0),IF($AJ$5&lt;&gt;"",--(AJ277="Absent"),0),IF($AL$5&lt;&gt;"",--(AL277="Absent"),0),IF($AN$5&lt;&gt;"",--(AN277="Absent"),0),IF($AP$5&lt;&gt;"",--(AP277="Absent"),0),IF($AR$5&lt;&gt;"",--(AR277="Absent"),0),IF($AT$5&lt;&gt;"",--(AT277="Absent"),0),IF($AV$5&lt;&gt;"",--(AV277="Absent"),0),IF($AX$5&lt;&gt;"",--(AX277="Absent"),0),IF($AZ$5&lt;&gt;"",--(AZ277="Absent"),0),IF($BB$5&lt;&gt;"",--(BB277="Absent"),0),IF($BD$5&lt;&gt;"",--(BD277="Absent"),0),IF($BF$5&lt;&gt;"",--(BF277="Absent"),0),IF($BH$5&lt;&gt;"",--(BH277="Absent"),0),IF($BJ$5&lt;&gt;"",--(BJ277="Absent"),0),IF($BL$5&lt;&gt;"",--(BL277="Absent"),0)))</f>
      </c>
      <c r="BP277" s="22">
        <f>IF($A277="","",SUM(IF($D$5&lt;&gt;"",--(D277="Congé"),0),IF($F$5&lt;&gt;"",--(F277="Congé"),0),IF($H$5&lt;&gt;"",--(H277="Congé"),0),IF($J$5&lt;&gt;"",--(J277="Congé"),0),IF($L$5&lt;&gt;"",--(L277="Congé"),0),IF($N$5&lt;&gt;"",--(N277="Congé"),0),IF($P$5&lt;&gt;"",--(P277="Congé"),0),IF($R$5&lt;&gt;"",--(R277="Congé"),0),IF($T$5&lt;&gt;"",--(T277="Congé"),0),IF($V$5&lt;&gt;"",--(V277="Congé"),0),IF($X$5&lt;&gt;"",--(X277="Congé"),0),IF($Z$5&lt;&gt;"",--(Z277="Congé"),0),IF($AB$5&lt;&gt;"",--(AB277="Congé"),0),IF($AD$5&lt;&gt;"",--(AD277="Congé"),0),IF($AF$5&lt;&gt;"",--(AF277="Congé"),0),IF($AH$5&lt;&gt;"",--(AH277="Congé"),0),IF($AJ$5&lt;&gt;"",--(AJ277="Congé"),0),IF($AL$5&lt;&gt;"",--(AL277="Congé"),0),IF($AN$5&lt;&gt;"",--(AN277="Congé"),0),IF($AP$5&lt;&gt;"",--(AP277="Congé"),0),IF($AR$5&lt;&gt;"",--(AR277="Congé"),0),IF($AT$5&lt;&gt;"",--(AT277="Congé"),0),IF($AV$5&lt;&gt;"",--(AV277="Congé"),0),IF($AX$5&lt;&gt;"",--(AX277="Congé"),0),IF($AZ$5&lt;&gt;"",--(AZ277="Congé"),0),IF($BB$5&lt;&gt;"",--(BB277="Congé"),0),IF($BD$5&lt;&gt;"",--(BD277="Congé"),0),IF($BF$5&lt;&gt;"",--(BF277="Congé"),0),IF($BH$5&lt;&gt;"",--(BH277="Congé"),0),IF($BJ$5&lt;&gt;"",--(BJ277="Congé"),0),IF($BL$5&lt;&gt;"",--(BL277="Congé"),0)))</f>
      </c>
      <c r="BQ277" s="22">
        <f>IF($A277="","",SUM(IF($D$5&lt;&gt;"",--(D277="Maladie"),0),IF($F$5&lt;&gt;"",--(F277="Maladie"),0),IF($H$5&lt;&gt;"",--(H277="Maladie"),0),IF($J$5&lt;&gt;"",--(J277="Maladie"),0),IF($L$5&lt;&gt;"",--(L277="Maladie"),0),IF($N$5&lt;&gt;"",--(N277="Maladie"),0),IF($P$5&lt;&gt;"",--(P277="Maladie"),0),IF($R$5&lt;&gt;"",--(R277="Maladie"),0),IF($T$5&lt;&gt;"",--(T277="Maladie"),0),IF($V$5&lt;&gt;"",--(V277="Maladie"),0),IF($X$5&lt;&gt;"",--(X277="Maladie"),0),IF($Z$5&lt;&gt;"",--(Z277="Maladie"),0),IF($AB$5&lt;&gt;"",--(AB277="Maladie"),0),IF($AD$5&lt;&gt;"",--(AD277="Maladie"),0),IF($AF$5&lt;&gt;"",--(AF277="Maladie"),0),IF($AH$5&lt;&gt;"",--(AH277="Maladie"),0),IF($AJ$5&lt;&gt;"",--(AJ277="Maladie"),0),IF($AL$5&lt;&gt;"",--(AL277="Maladie"),0),IF($AN$5&lt;&gt;"",--(AN277="Maladie"),0),IF($AP$5&lt;&gt;"",--(AP277="Maladie"),0),IF($AR$5&lt;&gt;"",--(AR277="Maladie"),0),IF($AT$5&lt;&gt;"",--(AT277="Maladie"),0),IF($AV$5&lt;&gt;"",--(AV277="Maladie"),0),IF($AX$5&lt;&gt;"",--(AX277="Maladie"),0),IF($AZ$5&lt;&gt;"",--(AZ277="Maladie"),0),IF($BB$5&lt;&gt;"",--(BB277="Maladie"),0),IF($BD$5&lt;&gt;"",--(BD277="Maladie"),0),IF($BF$5&lt;&gt;"",--(BF277="Maladie"),0),IF($BH$5&lt;&gt;"",--(BH277="Maladie"),0),IF($BJ$5&lt;&gt;"",--(BJ277="Maladie"),0),IF($BL$5&lt;&gt;"",--(BL277="Maladie"),0)))</f>
      </c>
      <c r="BR277" s="23">
        <f>IF($A277="","",SUM(IF($D$5&lt;&gt;"",IF(D277="Présent",E277,0),0),IF($F$5&lt;&gt;"",IF(F277="Présent",G277,0),0),IF($H$5&lt;&gt;"",IF(H277="Présent",I277,0),0),IF($J$5&lt;&gt;"",IF(J277="Présent",K277,0),0),IF($L$5&lt;&gt;"",IF(L277="Présent",M277,0),0),IF($N$5&lt;&gt;"",IF(N277="Présent",O277,0),0),IF($P$5&lt;&gt;"",IF(P277="Présent",Q277,0),0),IF($R$5&lt;&gt;"",IF(R277="Présent",S277,0),0),IF($T$5&lt;&gt;"",IF(T277="Présent",U277,0),0),IF($V$5&lt;&gt;"",IF(V277="Présent",W277,0),0),IF($X$5&lt;&gt;"",IF(X277="Présent",Y277,0),0),IF($Z$5&lt;&gt;"",IF(Z277="Présent",AA277,0),0),IF($AB$5&lt;&gt;"",IF(AB277="Présent",AC277,0),0),IF($AD$5&lt;&gt;"",IF(AD277="Présent",AE277,0),0),IF($AF$5&lt;&gt;"",IF(AF277="Présent",AG277,0),0),IF($AH$5&lt;&gt;"",IF(AH277="Présent",AI277,0),0),IF($AJ$5&lt;&gt;"",IF(AJ277="Présent",AK277,0),0),IF($AL$5&lt;&gt;"",IF(AL277="Présent",AM277,0),0),IF($AN$5&lt;&gt;"",IF(AN277="Présent",AO277,0),0),IF($AP$5&lt;&gt;"",IF(AP277="Présent",AQ277,0),0),IF($AR$5&lt;&gt;"",IF(AR277="Présent",AS277,0),0),IF($AT$5&lt;&gt;"",IF(AT277="Présent",AU277,0),0),IF($AV$5&lt;&gt;"",IF(AV277="Présent",AW277,0),0),IF($AX$5&lt;&gt;"",IF(AX277="Présent",AY277,0),0),IF($AZ$5&lt;&gt;"",IF(AZ277="Présent",BA277,0),0),IF($BB$5&lt;&gt;"",IF(BB277="Présent",BC277,0),0),IF($BD$5&lt;&gt;"",IF(BD277="Présent",BE277,0),0),IF($BF$5&lt;&gt;"",IF(BF277="Présent",BG277,0),0),IF($BH$5&lt;&gt;"",IF(BH277="Présent",BI277,0),0),IF($BJ$5&lt;&gt;"",IF(BJ277="Présent",BK277,0),0),IF($BL$5&lt;&gt;"",IF(BL277="Présent",BM277,0),0)))</f>
      </c>
      <c r="BS277" s="25">
        <f>IF($A277="","",$BN277*IFERROR(INDEX(Categories_Salaire,MATCH($C277,ListeCategories,0)),0)+$BR277*IF(IFERROR(INDEX(Categories_TauxHS,MATCH($C277,ListeCategories,0)),0)&gt;0,IFERROR(INDEX(Categories_TauxHS,MATCH($C277,ListeCategories,0)),0),TauxHSDefaut))</f>
      </c>
    </row>
    <row r="278">
      <c r="A278" s="20">
        <f>IF(AND(INDEX(Employes_Nom,272)&lt;&gt;"",INDEX(Employes_Statut,272)="Actif",OR(INDEX(Employes_Embauche,272)="",INDEX(Employes_Embauche,272)&lt;=EOMONTH(DATE(AnneeCourante,MoisCourant,1),0))),INDEX(Employes_ID,272),"")</f>
      </c>
      <c r="B278" s="19">
        <f>IF($A278="","",INDEX(Employes_Nom,MATCH($A278,Employes_ID,0)))</f>
      </c>
      <c r="C278" s="20">
        <f>IF($A278="","",INDEX(Employes_Categorie,MATCH($A278,Employes_ID,0)))</f>
      </c>
      <c r="D278" s="26"/>
      <c r="E278" s="27"/>
      <c r="F278" s="26"/>
      <c r="G278" s="27"/>
      <c r="H278" s="26"/>
      <c r="I278" s="27"/>
      <c r="J278" s="26"/>
      <c r="K278" s="27"/>
      <c r="L278" s="26"/>
      <c r="M278" s="27"/>
      <c r="N278" s="26"/>
      <c r="O278" s="27"/>
      <c r="P278" s="26"/>
      <c r="Q278" s="27"/>
      <c r="R278" s="26"/>
      <c r="S278" s="27"/>
      <c r="T278" s="26"/>
      <c r="U278" s="27"/>
      <c r="V278" s="26"/>
      <c r="W278" s="27"/>
      <c r="X278" s="26"/>
      <c r="Y278" s="27"/>
      <c r="Z278" s="26"/>
      <c r="AA278" s="27"/>
      <c r="AB278" s="26"/>
      <c r="AC278" s="27"/>
      <c r="AD278" s="26"/>
      <c r="AE278" s="27"/>
      <c r="AF278" s="26"/>
      <c r="AG278" s="27"/>
      <c r="AH278" s="26"/>
      <c r="AI278" s="27"/>
      <c r="AJ278" s="26"/>
      <c r="AK278" s="27"/>
      <c r="AL278" s="26"/>
      <c r="AM278" s="27"/>
      <c r="AN278" s="26"/>
      <c r="AO278" s="27"/>
      <c r="AP278" s="26"/>
      <c r="AQ278" s="27"/>
      <c r="AR278" s="26"/>
      <c r="AS278" s="27"/>
      <c r="AT278" s="26"/>
      <c r="AU278" s="27"/>
      <c r="AV278" s="26"/>
      <c r="AW278" s="27"/>
      <c r="AX278" s="26"/>
      <c r="AY278" s="27"/>
      <c r="AZ278" s="26"/>
      <c r="BA278" s="27"/>
      <c r="BB278" s="26"/>
      <c r="BC278" s="27"/>
      <c r="BD278" s="26"/>
      <c r="BE278" s="27"/>
      <c r="BF278" s="26"/>
      <c r="BG278" s="27"/>
      <c r="BH278" s="26"/>
      <c r="BI278" s="27"/>
      <c r="BJ278" s="26"/>
      <c r="BK278" s="27"/>
      <c r="BL278" s="26"/>
      <c r="BM278" s="27"/>
      <c r="BN278" s="22">
        <f>IF($A278="","",SUM(IF($D$5&lt;&gt;"",--(D278="Présent"),0),IF($F$5&lt;&gt;"",--(F278="Présent"),0),IF($H$5&lt;&gt;"",--(H278="Présent"),0),IF($J$5&lt;&gt;"",--(J278="Présent"),0),IF($L$5&lt;&gt;"",--(L278="Présent"),0),IF($N$5&lt;&gt;"",--(N278="Présent"),0),IF($P$5&lt;&gt;"",--(P278="Présent"),0),IF($R$5&lt;&gt;"",--(R278="Présent"),0),IF($T$5&lt;&gt;"",--(T278="Présent"),0),IF($V$5&lt;&gt;"",--(V278="Présent"),0),IF($X$5&lt;&gt;"",--(X278="Présent"),0),IF($Z$5&lt;&gt;"",--(Z278="Présent"),0),IF($AB$5&lt;&gt;"",--(AB278="Présent"),0),IF($AD$5&lt;&gt;"",--(AD278="Présent"),0),IF($AF$5&lt;&gt;"",--(AF278="Présent"),0),IF($AH$5&lt;&gt;"",--(AH278="Présent"),0),IF($AJ$5&lt;&gt;"",--(AJ278="Présent"),0),IF($AL$5&lt;&gt;"",--(AL278="Présent"),0),IF($AN$5&lt;&gt;"",--(AN278="Présent"),0),IF($AP$5&lt;&gt;"",--(AP278="Présent"),0),IF($AR$5&lt;&gt;"",--(AR278="Présent"),0),IF($AT$5&lt;&gt;"",--(AT278="Présent"),0),IF($AV$5&lt;&gt;"",--(AV278="Présent"),0),IF($AX$5&lt;&gt;"",--(AX278="Présent"),0),IF($AZ$5&lt;&gt;"",--(AZ278="Présent"),0),IF($BB$5&lt;&gt;"",--(BB278="Présent"),0),IF($BD$5&lt;&gt;"",--(BD278="Présent"),0),IF($BF$5&lt;&gt;"",--(BF278="Présent"),0),IF($BH$5&lt;&gt;"",--(BH278="Présent"),0),IF($BJ$5&lt;&gt;"",--(BJ278="Présent"),0),IF($BL$5&lt;&gt;"",--(BL278="Présent"),0)))</f>
      </c>
      <c r="BO278" s="22">
        <f>IF($A278="","",SUM(IF($D$5&lt;&gt;"",--(D278="Absent"),0),IF($F$5&lt;&gt;"",--(F278="Absent"),0),IF($H$5&lt;&gt;"",--(H278="Absent"),0),IF($J$5&lt;&gt;"",--(J278="Absent"),0),IF($L$5&lt;&gt;"",--(L278="Absent"),0),IF($N$5&lt;&gt;"",--(N278="Absent"),0),IF($P$5&lt;&gt;"",--(P278="Absent"),0),IF($R$5&lt;&gt;"",--(R278="Absent"),0),IF($T$5&lt;&gt;"",--(T278="Absent"),0),IF($V$5&lt;&gt;"",--(V278="Absent"),0),IF($X$5&lt;&gt;"",--(X278="Absent"),0),IF($Z$5&lt;&gt;"",--(Z278="Absent"),0),IF($AB$5&lt;&gt;"",--(AB278="Absent"),0),IF($AD$5&lt;&gt;"",--(AD278="Absent"),0),IF($AF$5&lt;&gt;"",--(AF278="Absent"),0),IF($AH$5&lt;&gt;"",--(AH278="Absent"),0),IF($AJ$5&lt;&gt;"",--(AJ278="Absent"),0),IF($AL$5&lt;&gt;"",--(AL278="Absent"),0),IF($AN$5&lt;&gt;"",--(AN278="Absent"),0),IF($AP$5&lt;&gt;"",--(AP278="Absent"),0),IF($AR$5&lt;&gt;"",--(AR278="Absent"),0),IF($AT$5&lt;&gt;"",--(AT278="Absent"),0),IF($AV$5&lt;&gt;"",--(AV278="Absent"),0),IF($AX$5&lt;&gt;"",--(AX278="Absent"),0),IF($AZ$5&lt;&gt;"",--(AZ278="Absent"),0),IF($BB$5&lt;&gt;"",--(BB278="Absent"),0),IF($BD$5&lt;&gt;"",--(BD278="Absent"),0),IF($BF$5&lt;&gt;"",--(BF278="Absent"),0),IF($BH$5&lt;&gt;"",--(BH278="Absent"),0),IF($BJ$5&lt;&gt;"",--(BJ278="Absent"),0),IF($BL$5&lt;&gt;"",--(BL278="Absent"),0)))</f>
      </c>
      <c r="BP278" s="22">
        <f>IF($A278="","",SUM(IF($D$5&lt;&gt;"",--(D278="Congé"),0),IF($F$5&lt;&gt;"",--(F278="Congé"),0),IF($H$5&lt;&gt;"",--(H278="Congé"),0),IF($J$5&lt;&gt;"",--(J278="Congé"),0),IF($L$5&lt;&gt;"",--(L278="Congé"),0),IF($N$5&lt;&gt;"",--(N278="Congé"),0),IF($P$5&lt;&gt;"",--(P278="Congé"),0),IF($R$5&lt;&gt;"",--(R278="Congé"),0),IF($T$5&lt;&gt;"",--(T278="Congé"),0),IF($V$5&lt;&gt;"",--(V278="Congé"),0),IF($X$5&lt;&gt;"",--(X278="Congé"),0),IF($Z$5&lt;&gt;"",--(Z278="Congé"),0),IF($AB$5&lt;&gt;"",--(AB278="Congé"),0),IF($AD$5&lt;&gt;"",--(AD278="Congé"),0),IF($AF$5&lt;&gt;"",--(AF278="Congé"),0),IF($AH$5&lt;&gt;"",--(AH278="Congé"),0),IF($AJ$5&lt;&gt;"",--(AJ278="Congé"),0),IF($AL$5&lt;&gt;"",--(AL278="Congé"),0),IF($AN$5&lt;&gt;"",--(AN278="Congé"),0),IF($AP$5&lt;&gt;"",--(AP278="Congé"),0),IF($AR$5&lt;&gt;"",--(AR278="Congé"),0),IF($AT$5&lt;&gt;"",--(AT278="Congé"),0),IF($AV$5&lt;&gt;"",--(AV278="Congé"),0),IF($AX$5&lt;&gt;"",--(AX278="Congé"),0),IF($AZ$5&lt;&gt;"",--(AZ278="Congé"),0),IF($BB$5&lt;&gt;"",--(BB278="Congé"),0),IF($BD$5&lt;&gt;"",--(BD278="Congé"),0),IF($BF$5&lt;&gt;"",--(BF278="Congé"),0),IF($BH$5&lt;&gt;"",--(BH278="Congé"),0),IF($BJ$5&lt;&gt;"",--(BJ278="Congé"),0),IF($BL$5&lt;&gt;"",--(BL278="Congé"),0)))</f>
      </c>
      <c r="BQ278" s="22">
        <f>IF($A278="","",SUM(IF($D$5&lt;&gt;"",--(D278="Maladie"),0),IF($F$5&lt;&gt;"",--(F278="Maladie"),0),IF($H$5&lt;&gt;"",--(H278="Maladie"),0),IF($J$5&lt;&gt;"",--(J278="Maladie"),0),IF($L$5&lt;&gt;"",--(L278="Maladie"),0),IF($N$5&lt;&gt;"",--(N278="Maladie"),0),IF($P$5&lt;&gt;"",--(P278="Maladie"),0),IF($R$5&lt;&gt;"",--(R278="Maladie"),0),IF($T$5&lt;&gt;"",--(T278="Maladie"),0),IF($V$5&lt;&gt;"",--(V278="Maladie"),0),IF($X$5&lt;&gt;"",--(X278="Maladie"),0),IF($Z$5&lt;&gt;"",--(Z278="Maladie"),0),IF($AB$5&lt;&gt;"",--(AB278="Maladie"),0),IF($AD$5&lt;&gt;"",--(AD278="Maladie"),0),IF($AF$5&lt;&gt;"",--(AF278="Maladie"),0),IF($AH$5&lt;&gt;"",--(AH278="Maladie"),0),IF($AJ$5&lt;&gt;"",--(AJ278="Maladie"),0),IF($AL$5&lt;&gt;"",--(AL278="Maladie"),0),IF($AN$5&lt;&gt;"",--(AN278="Maladie"),0),IF($AP$5&lt;&gt;"",--(AP278="Maladie"),0),IF($AR$5&lt;&gt;"",--(AR278="Maladie"),0),IF($AT$5&lt;&gt;"",--(AT278="Maladie"),0),IF($AV$5&lt;&gt;"",--(AV278="Maladie"),0),IF($AX$5&lt;&gt;"",--(AX278="Maladie"),0),IF($AZ$5&lt;&gt;"",--(AZ278="Maladie"),0),IF($BB$5&lt;&gt;"",--(BB278="Maladie"),0),IF($BD$5&lt;&gt;"",--(BD278="Maladie"),0),IF($BF$5&lt;&gt;"",--(BF278="Maladie"),0),IF($BH$5&lt;&gt;"",--(BH278="Maladie"),0),IF($BJ$5&lt;&gt;"",--(BJ278="Maladie"),0),IF($BL$5&lt;&gt;"",--(BL278="Maladie"),0)))</f>
      </c>
      <c r="BR278" s="23">
        <f>IF($A278="","",SUM(IF($D$5&lt;&gt;"",IF(D278="Présent",E278,0),0),IF($F$5&lt;&gt;"",IF(F278="Présent",G278,0),0),IF($H$5&lt;&gt;"",IF(H278="Présent",I278,0),0),IF($J$5&lt;&gt;"",IF(J278="Présent",K278,0),0),IF($L$5&lt;&gt;"",IF(L278="Présent",M278,0),0),IF($N$5&lt;&gt;"",IF(N278="Présent",O278,0),0),IF($P$5&lt;&gt;"",IF(P278="Présent",Q278,0),0),IF($R$5&lt;&gt;"",IF(R278="Présent",S278,0),0),IF($T$5&lt;&gt;"",IF(T278="Présent",U278,0),0),IF($V$5&lt;&gt;"",IF(V278="Présent",W278,0),0),IF($X$5&lt;&gt;"",IF(X278="Présent",Y278,0),0),IF($Z$5&lt;&gt;"",IF(Z278="Présent",AA278,0),0),IF($AB$5&lt;&gt;"",IF(AB278="Présent",AC278,0),0),IF($AD$5&lt;&gt;"",IF(AD278="Présent",AE278,0),0),IF($AF$5&lt;&gt;"",IF(AF278="Présent",AG278,0),0),IF($AH$5&lt;&gt;"",IF(AH278="Présent",AI278,0),0),IF($AJ$5&lt;&gt;"",IF(AJ278="Présent",AK278,0),0),IF($AL$5&lt;&gt;"",IF(AL278="Présent",AM278,0),0),IF($AN$5&lt;&gt;"",IF(AN278="Présent",AO278,0),0),IF($AP$5&lt;&gt;"",IF(AP278="Présent",AQ278,0),0),IF($AR$5&lt;&gt;"",IF(AR278="Présent",AS278,0),0),IF($AT$5&lt;&gt;"",IF(AT278="Présent",AU278,0),0),IF($AV$5&lt;&gt;"",IF(AV278="Présent",AW278,0),0),IF($AX$5&lt;&gt;"",IF(AX278="Présent",AY278,0),0),IF($AZ$5&lt;&gt;"",IF(AZ278="Présent",BA278,0),0),IF($BB$5&lt;&gt;"",IF(BB278="Présent",BC278,0),0),IF($BD$5&lt;&gt;"",IF(BD278="Présent",BE278,0),0),IF($BF$5&lt;&gt;"",IF(BF278="Présent",BG278,0),0),IF($BH$5&lt;&gt;"",IF(BH278="Présent",BI278,0),0),IF($BJ$5&lt;&gt;"",IF(BJ278="Présent",BK278,0),0),IF($BL$5&lt;&gt;"",IF(BL278="Présent",BM278,0),0)))</f>
      </c>
      <c r="BS278" s="25">
        <f>IF($A278="","",$BN278*IFERROR(INDEX(Categories_Salaire,MATCH($C278,ListeCategories,0)),0)+$BR278*IF(IFERROR(INDEX(Categories_TauxHS,MATCH($C278,ListeCategories,0)),0)&gt;0,IFERROR(INDEX(Categories_TauxHS,MATCH($C278,ListeCategories,0)),0),TauxHSDefaut))</f>
      </c>
    </row>
    <row r="279">
      <c r="A279" s="20">
        <f>IF(AND(INDEX(Employes_Nom,273)&lt;&gt;"",INDEX(Employes_Statut,273)="Actif",OR(INDEX(Employes_Embauche,273)="",INDEX(Employes_Embauche,273)&lt;=EOMONTH(DATE(AnneeCourante,MoisCourant,1),0))),INDEX(Employes_ID,273),"")</f>
      </c>
      <c r="B279" s="19">
        <f>IF($A279="","",INDEX(Employes_Nom,MATCH($A279,Employes_ID,0)))</f>
      </c>
      <c r="C279" s="20">
        <f>IF($A279="","",INDEX(Employes_Categorie,MATCH($A279,Employes_ID,0)))</f>
      </c>
      <c r="D279" s="26"/>
      <c r="E279" s="27"/>
      <c r="F279" s="26"/>
      <c r="G279" s="27"/>
      <c r="H279" s="26"/>
      <c r="I279" s="27"/>
      <c r="J279" s="26"/>
      <c r="K279" s="27"/>
      <c r="L279" s="26"/>
      <c r="M279" s="27"/>
      <c r="N279" s="26"/>
      <c r="O279" s="27"/>
      <c r="P279" s="26"/>
      <c r="Q279" s="27"/>
      <c r="R279" s="26"/>
      <c r="S279" s="27"/>
      <c r="T279" s="26"/>
      <c r="U279" s="27"/>
      <c r="V279" s="26"/>
      <c r="W279" s="27"/>
      <c r="X279" s="26"/>
      <c r="Y279" s="27"/>
      <c r="Z279" s="26"/>
      <c r="AA279" s="27"/>
      <c r="AB279" s="26"/>
      <c r="AC279" s="27"/>
      <c r="AD279" s="26"/>
      <c r="AE279" s="27"/>
      <c r="AF279" s="26"/>
      <c r="AG279" s="27"/>
      <c r="AH279" s="26"/>
      <c r="AI279" s="27"/>
      <c r="AJ279" s="26"/>
      <c r="AK279" s="27"/>
      <c r="AL279" s="26"/>
      <c r="AM279" s="27"/>
      <c r="AN279" s="26"/>
      <c r="AO279" s="27"/>
      <c r="AP279" s="26"/>
      <c r="AQ279" s="27"/>
      <c r="AR279" s="26"/>
      <c r="AS279" s="27"/>
      <c r="AT279" s="26"/>
      <c r="AU279" s="27"/>
      <c r="AV279" s="26"/>
      <c r="AW279" s="27"/>
      <c r="AX279" s="26"/>
      <c r="AY279" s="27"/>
      <c r="AZ279" s="26"/>
      <c r="BA279" s="27"/>
      <c r="BB279" s="26"/>
      <c r="BC279" s="27"/>
      <c r="BD279" s="26"/>
      <c r="BE279" s="27"/>
      <c r="BF279" s="26"/>
      <c r="BG279" s="27"/>
      <c r="BH279" s="26"/>
      <c r="BI279" s="27"/>
      <c r="BJ279" s="26"/>
      <c r="BK279" s="27"/>
      <c r="BL279" s="26"/>
      <c r="BM279" s="27"/>
      <c r="BN279" s="22">
        <f>IF($A279="","",SUM(IF($D$5&lt;&gt;"",--(D279="Présent"),0),IF($F$5&lt;&gt;"",--(F279="Présent"),0),IF($H$5&lt;&gt;"",--(H279="Présent"),0),IF($J$5&lt;&gt;"",--(J279="Présent"),0),IF($L$5&lt;&gt;"",--(L279="Présent"),0),IF($N$5&lt;&gt;"",--(N279="Présent"),0),IF($P$5&lt;&gt;"",--(P279="Présent"),0),IF($R$5&lt;&gt;"",--(R279="Présent"),0),IF($T$5&lt;&gt;"",--(T279="Présent"),0),IF($V$5&lt;&gt;"",--(V279="Présent"),0),IF($X$5&lt;&gt;"",--(X279="Présent"),0),IF($Z$5&lt;&gt;"",--(Z279="Présent"),0),IF($AB$5&lt;&gt;"",--(AB279="Présent"),0),IF($AD$5&lt;&gt;"",--(AD279="Présent"),0),IF($AF$5&lt;&gt;"",--(AF279="Présent"),0),IF($AH$5&lt;&gt;"",--(AH279="Présent"),0),IF($AJ$5&lt;&gt;"",--(AJ279="Présent"),0),IF($AL$5&lt;&gt;"",--(AL279="Présent"),0),IF($AN$5&lt;&gt;"",--(AN279="Présent"),0),IF($AP$5&lt;&gt;"",--(AP279="Présent"),0),IF($AR$5&lt;&gt;"",--(AR279="Présent"),0),IF($AT$5&lt;&gt;"",--(AT279="Présent"),0),IF($AV$5&lt;&gt;"",--(AV279="Présent"),0),IF($AX$5&lt;&gt;"",--(AX279="Présent"),0),IF($AZ$5&lt;&gt;"",--(AZ279="Présent"),0),IF($BB$5&lt;&gt;"",--(BB279="Présent"),0),IF($BD$5&lt;&gt;"",--(BD279="Présent"),0),IF($BF$5&lt;&gt;"",--(BF279="Présent"),0),IF($BH$5&lt;&gt;"",--(BH279="Présent"),0),IF($BJ$5&lt;&gt;"",--(BJ279="Présent"),0),IF($BL$5&lt;&gt;"",--(BL279="Présent"),0)))</f>
      </c>
      <c r="BO279" s="22">
        <f>IF($A279="","",SUM(IF($D$5&lt;&gt;"",--(D279="Absent"),0),IF($F$5&lt;&gt;"",--(F279="Absent"),0),IF($H$5&lt;&gt;"",--(H279="Absent"),0),IF($J$5&lt;&gt;"",--(J279="Absent"),0),IF($L$5&lt;&gt;"",--(L279="Absent"),0),IF($N$5&lt;&gt;"",--(N279="Absent"),0),IF($P$5&lt;&gt;"",--(P279="Absent"),0),IF($R$5&lt;&gt;"",--(R279="Absent"),0),IF($T$5&lt;&gt;"",--(T279="Absent"),0),IF($V$5&lt;&gt;"",--(V279="Absent"),0),IF($X$5&lt;&gt;"",--(X279="Absent"),0),IF($Z$5&lt;&gt;"",--(Z279="Absent"),0),IF($AB$5&lt;&gt;"",--(AB279="Absent"),0),IF($AD$5&lt;&gt;"",--(AD279="Absent"),0),IF($AF$5&lt;&gt;"",--(AF279="Absent"),0),IF($AH$5&lt;&gt;"",--(AH279="Absent"),0),IF($AJ$5&lt;&gt;"",--(AJ279="Absent"),0),IF($AL$5&lt;&gt;"",--(AL279="Absent"),0),IF($AN$5&lt;&gt;"",--(AN279="Absent"),0),IF($AP$5&lt;&gt;"",--(AP279="Absent"),0),IF($AR$5&lt;&gt;"",--(AR279="Absent"),0),IF($AT$5&lt;&gt;"",--(AT279="Absent"),0),IF($AV$5&lt;&gt;"",--(AV279="Absent"),0),IF($AX$5&lt;&gt;"",--(AX279="Absent"),0),IF($AZ$5&lt;&gt;"",--(AZ279="Absent"),0),IF($BB$5&lt;&gt;"",--(BB279="Absent"),0),IF($BD$5&lt;&gt;"",--(BD279="Absent"),0),IF($BF$5&lt;&gt;"",--(BF279="Absent"),0),IF($BH$5&lt;&gt;"",--(BH279="Absent"),0),IF($BJ$5&lt;&gt;"",--(BJ279="Absent"),0),IF($BL$5&lt;&gt;"",--(BL279="Absent"),0)))</f>
      </c>
      <c r="BP279" s="22">
        <f>IF($A279="","",SUM(IF($D$5&lt;&gt;"",--(D279="Congé"),0),IF($F$5&lt;&gt;"",--(F279="Congé"),0),IF($H$5&lt;&gt;"",--(H279="Congé"),0),IF($J$5&lt;&gt;"",--(J279="Congé"),0),IF($L$5&lt;&gt;"",--(L279="Congé"),0),IF($N$5&lt;&gt;"",--(N279="Congé"),0),IF($P$5&lt;&gt;"",--(P279="Congé"),0),IF($R$5&lt;&gt;"",--(R279="Congé"),0),IF($T$5&lt;&gt;"",--(T279="Congé"),0),IF($V$5&lt;&gt;"",--(V279="Congé"),0),IF($X$5&lt;&gt;"",--(X279="Congé"),0),IF($Z$5&lt;&gt;"",--(Z279="Congé"),0),IF($AB$5&lt;&gt;"",--(AB279="Congé"),0),IF($AD$5&lt;&gt;"",--(AD279="Congé"),0),IF($AF$5&lt;&gt;"",--(AF279="Congé"),0),IF($AH$5&lt;&gt;"",--(AH279="Congé"),0),IF($AJ$5&lt;&gt;"",--(AJ279="Congé"),0),IF($AL$5&lt;&gt;"",--(AL279="Congé"),0),IF($AN$5&lt;&gt;"",--(AN279="Congé"),0),IF($AP$5&lt;&gt;"",--(AP279="Congé"),0),IF($AR$5&lt;&gt;"",--(AR279="Congé"),0),IF($AT$5&lt;&gt;"",--(AT279="Congé"),0),IF($AV$5&lt;&gt;"",--(AV279="Congé"),0),IF($AX$5&lt;&gt;"",--(AX279="Congé"),0),IF($AZ$5&lt;&gt;"",--(AZ279="Congé"),0),IF($BB$5&lt;&gt;"",--(BB279="Congé"),0),IF($BD$5&lt;&gt;"",--(BD279="Congé"),0),IF($BF$5&lt;&gt;"",--(BF279="Congé"),0),IF($BH$5&lt;&gt;"",--(BH279="Congé"),0),IF($BJ$5&lt;&gt;"",--(BJ279="Congé"),0),IF($BL$5&lt;&gt;"",--(BL279="Congé"),0)))</f>
      </c>
      <c r="BQ279" s="22">
        <f>IF($A279="","",SUM(IF($D$5&lt;&gt;"",--(D279="Maladie"),0),IF($F$5&lt;&gt;"",--(F279="Maladie"),0),IF($H$5&lt;&gt;"",--(H279="Maladie"),0),IF($J$5&lt;&gt;"",--(J279="Maladie"),0),IF($L$5&lt;&gt;"",--(L279="Maladie"),0),IF($N$5&lt;&gt;"",--(N279="Maladie"),0),IF($P$5&lt;&gt;"",--(P279="Maladie"),0),IF($R$5&lt;&gt;"",--(R279="Maladie"),0),IF($T$5&lt;&gt;"",--(T279="Maladie"),0),IF($V$5&lt;&gt;"",--(V279="Maladie"),0),IF($X$5&lt;&gt;"",--(X279="Maladie"),0),IF($Z$5&lt;&gt;"",--(Z279="Maladie"),0),IF($AB$5&lt;&gt;"",--(AB279="Maladie"),0),IF($AD$5&lt;&gt;"",--(AD279="Maladie"),0),IF($AF$5&lt;&gt;"",--(AF279="Maladie"),0),IF($AH$5&lt;&gt;"",--(AH279="Maladie"),0),IF($AJ$5&lt;&gt;"",--(AJ279="Maladie"),0),IF($AL$5&lt;&gt;"",--(AL279="Maladie"),0),IF($AN$5&lt;&gt;"",--(AN279="Maladie"),0),IF($AP$5&lt;&gt;"",--(AP279="Maladie"),0),IF($AR$5&lt;&gt;"",--(AR279="Maladie"),0),IF($AT$5&lt;&gt;"",--(AT279="Maladie"),0),IF($AV$5&lt;&gt;"",--(AV279="Maladie"),0),IF($AX$5&lt;&gt;"",--(AX279="Maladie"),0),IF($AZ$5&lt;&gt;"",--(AZ279="Maladie"),0),IF($BB$5&lt;&gt;"",--(BB279="Maladie"),0),IF($BD$5&lt;&gt;"",--(BD279="Maladie"),0),IF($BF$5&lt;&gt;"",--(BF279="Maladie"),0),IF($BH$5&lt;&gt;"",--(BH279="Maladie"),0),IF($BJ$5&lt;&gt;"",--(BJ279="Maladie"),0),IF($BL$5&lt;&gt;"",--(BL279="Maladie"),0)))</f>
      </c>
      <c r="BR279" s="23">
        <f>IF($A279="","",SUM(IF($D$5&lt;&gt;"",IF(D279="Présent",E279,0),0),IF($F$5&lt;&gt;"",IF(F279="Présent",G279,0),0),IF($H$5&lt;&gt;"",IF(H279="Présent",I279,0),0),IF($J$5&lt;&gt;"",IF(J279="Présent",K279,0),0),IF($L$5&lt;&gt;"",IF(L279="Présent",M279,0),0),IF($N$5&lt;&gt;"",IF(N279="Présent",O279,0),0),IF($P$5&lt;&gt;"",IF(P279="Présent",Q279,0),0),IF($R$5&lt;&gt;"",IF(R279="Présent",S279,0),0),IF($T$5&lt;&gt;"",IF(T279="Présent",U279,0),0),IF($V$5&lt;&gt;"",IF(V279="Présent",W279,0),0),IF($X$5&lt;&gt;"",IF(X279="Présent",Y279,0),0),IF($Z$5&lt;&gt;"",IF(Z279="Présent",AA279,0),0),IF($AB$5&lt;&gt;"",IF(AB279="Présent",AC279,0),0),IF($AD$5&lt;&gt;"",IF(AD279="Présent",AE279,0),0),IF($AF$5&lt;&gt;"",IF(AF279="Présent",AG279,0),0),IF($AH$5&lt;&gt;"",IF(AH279="Présent",AI279,0),0),IF($AJ$5&lt;&gt;"",IF(AJ279="Présent",AK279,0),0),IF($AL$5&lt;&gt;"",IF(AL279="Présent",AM279,0),0),IF($AN$5&lt;&gt;"",IF(AN279="Présent",AO279,0),0),IF($AP$5&lt;&gt;"",IF(AP279="Présent",AQ279,0),0),IF($AR$5&lt;&gt;"",IF(AR279="Présent",AS279,0),0),IF($AT$5&lt;&gt;"",IF(AT279="Présent",AU279,0),0),IF($AV$5&lt;&gt;"",IF(AV279="Présent",AW279,0),0),IF($AX$5&lt;&gt;"",IF(AX279="Présent",AY279,0),0),IF($AZ$5&lt;&gt;"",IF(AZ279="Présent",BA279,0),0),IF($BB$5&lt;&gt;"",IF(BB279="Présent",BC279,0),0),IF($BD$5&lt;&gt;"",IF(BD279="Présent",BE279,0),0),IF($BF$5&lt;&gt;"",IF(BF279="Présent",BG279,0),0),IF($BH$5&lt;&gt;"",IF(BH279="Présent",BI279,0),0),IF($BJ$5&lt;&gt;"",IF(BJ279="Présent",BK279,0),0),IF($BL$5&lt;&gt;"",IF(BL279="Présent",BM279,0),0)))</f>
      </c>
      <c r="BS279" s="25">
        <f>IF($A279="","",$BN279*IFERROR(INDEX(Categories_Salaire,MATCH($C279,ListeCategories,0)),0)+$BR279*IF(IFERROR(INDEX(Categories_TauxHS,MATCH($C279,ListeCategories,0)),0)&gt;0,IFERROR(INDEX(Categories_TauxHS,MATCH($C279,ListeCategories,0)),0),TauxHSDefaut))</f>
      </c>
    </row>
    <row r="280">
      <c r="A280" s="20">
        <f>IF(AND(INDEX(Employes_Nom,274)&lt;&gt;"",INDEX(Employes_Statut,274)="Actif",OR(INDEX(Employes_Embauche,274)="",INDEX(Employes_Embauche,274)&lt;=EOMONTH(DATE(AnneeCourante,MoisCourant,1),0))),INDEX(Employes_ID,274),"")</f>
      </c>
      <c r="B280" s="19">
        <f>IF($A280="","",INDEX(Employes_Nom,MATCH($A280,Employes_ID,0)))</f>
      </c>
      <c r="C280" s="20">
        <f>IF($A280="","",INDEX(Employes_Categorie,MATCH($A280,Employes_ID,0)))</f>
      </c>
      <c r="D280" s="26"/>
      <c r="E280" s="27"/>
      <c r="F280" s="26"/>
      <c r="G280" s="27"/>
      <c r="H280" s="26"/>
      <c r="I280" s="27"/>
      <c r="J280" s="26"/>
      <c r="K280" s="27"/>
      <c r="L280" s="26"/>
      <c r="M280" s="27"/>
      <c r="N280" s="26"/>
      <c r="O280" s="27"/>
      <c r="P280" s="26"/>
      <c r="Q280" s="27"/>
      <c r="R280" s="26"/>
      <c r="S280" s="27"/>
      <c r="T280" s="26"/>
      <c r="U280" s="27"/>
      <c r="V280" s="26"/>
      <c r="W280" s="27"/>
      <c r="X280" s="26"/>
      <c r="Y280" s="27"/>
      <c r="Z280" s="26"/>
      <c r="AA280" s="27"/>
      <c r="AB280" s="26"/>
      <c r="AC280" s="27"/>
      <c r="AD280" s="26"/>
      <c r="AE280" s="27"/>
      <c r="AF280" s="26"/>
      <c r="AG280" s="27"/>
      <c r="AH280" s="26"/>
      <c r="AI280" s="27"/>
      <c r="AJ280" s="26"/>
      <c r="AK280" s="27"/>
      <c r="AL280" s="26"/>
      <c r="AM280" s="27"/>
      <c r="AN280" s="26"/>
      <c r="AO280" s="27"/>
      <c r="AP280" s="26"/>
      <c r="AQ280" s="27"/>
      <c r="AR280" s="26"/>
      <c r="AS280" s="27"/>
      <c r="AT280" s="26"/>
      <c r="AU280" s="27"/>
      <c r="AV280" s="26"/>
      <c r="AW280" s="27"/>
      <c r="AX280" s="26"/>
      <c r="AY280" s="27"/>
      <c r="AZ280" s="26"/>
      <c r="BA280" s="27"/>
      <c r="BB280" s="26"/>
      <c r="BC280" s="27"/>
      <c r="BD280" s="26"/>
      <c r="BE280" s="27"/>
      <c r="BF280" s="26"/>
      <c r="BG280" s="27"/>
      <c r="BH280" s="26"/>
      <c r="BI280" s="27"/>
      <c r="BJ280" s="26"/>
      <c r="BK280" s="27"/>
      <c r="BL280" s="26"/>
      <c r="BM280" s="27"/>
      <c r="BN280" s="22">
        <f>IF($A280="","",SUM(IF($D$5&lt;&gt;"",--(D280="Présent"),0),IF($F$5&lt;&gt;"",--(F280="Présent"),0),IF($H$5&lt;&gt;"",--(H280="Présent"),0),IF($J$5&lt;&gt;"",--(J280="Présent"),0),IF($L$5&lt;&gt;"",--(L280="Présent"),0),IF($N$5&lt;&gt;"",--(N280="Présent"),0),IF($P$5&lt;&gt;"",--(P280="Présent"),0),IF($R$5&lt;&gt;"",--(R280="Présent"),0),IF($T$5&lt;&gt;"",--(T280="Présent"),0),IF($V$5&lt;&gt;"",--(V280="Présent"),0),IF($X$5&lt;&gt;"",--(X280="Présent"),0),IF($Z$5&lt;&gt;"",--(Z280="Présent"),0),IF($AB$5&lt;&gt;"",--(AB280="Présent"),0),IF($AD$5&lt;&gt;"",--(AD280="Présent"),0),IF($AF$5&lt;&gt;"",--(AF280="Présent"),0),IF($AH$5&lt;&gt;"",--(AH280="Présent"),0),IF($AJ$5&lt;&gt;"",--(AJ280="Présent"),0),IF($AL$5&lt;&gt;"",--(AL280="Présent"),0),IF($AN$5&lt;&gt;"",--(AN280="Présent"),0),IF($AP$5&lt;&gt;"",--(AP280="Présent"),0),IF($AR$5&lt;&gt;"",--(AR280="Présent"),0),IF($AT$5&lt;&gt;"",--(AT280="Présent"),0),IF($AV$5&lt;&gt;"",--(AV280="Présent"),0),IF($AX$5&lt;&gt;"",--(AX280="Présent"),0),IF($AZ$5&lt;&gt;"",--(AZ280="Présent"),0),IF($BB$5&lt;&gt;"",--(BB280="Présent"),0),IF($BD$5&lt;&gt;"",--(BD280="Présent"),0),IF($BF$5&lt;&gt;"",--(BF280="Présent"),0),IF($BH$5&lt;&gt;"",--(BH280="Présent"),0),IF($BJ$5&lt;&gt;"",--(BJ280="Présent"),0),IF($BL$5&lt;&gt;"",--(BL280="Présent"),0)))</f>
      </c>
      <c r="BO280" s="22">
        <f>IF($A280="","",SUM(IF($D$5&lt;&gt;"",--(D280="Absent"),0),IF($F$5&lt;&gt;"",--(F280="Absent"),0),IF($H$5&lt;&gt;"",--(H280="Absent"),0),IF($J$5&lt;&gt;"",--(J280="Absent"),0),IF($L$5&lt;&gt;"",--(L280="Absent"),0),IF($N$5&lt;&gt;"",--(N280="Absent"),0),IF($P$5&lt;&gt;"",--(P280="Absent"),0),IF($R$5&lt;&gt;"",--(R280="Absent"),0),IF($T$5&lt;&gt;"",--(T280="Absent"),0),IF($V$5&lt;&gt;"",--(V280="Absent"),0),IF($X$5&lt;&gt;"",--(X280="Absent"),0),IF($Z$5&lt;&gt;"",--(Z280="Absent"),0),IF($AB$5&lt;&gt;"",--(AB280="Absent"),0),IF($AD$5&lt;&gt;"",--(AD280="Absent"),0),IF($AF$5&lt;&gt;"",--(AF280="Absent"),0),IF($AH$5&lt;&gt;"",--(AH280="Absent"),0),IF($AJ$5&lt;&gt;"",--(AJ280="Absent"),0),IF($AL$5&lt;&gt;"",--(AL280="Absent"),0),IF($AN$5&lt;&gt;"",--(AN280="Absent"),0),IF($AP$5&lt;&gt;"",--(AP280="Absent"),0),IF($AR$5&lt;&gt;"",--(AR280="Absent"),0),IF($AT$5&lt;&gt;"",--(AT280="Absent"),0),IF($AV$5&lt;&gt;"",--(AV280="Absent"),0),IF($AX$5&lt;&gt;"",--(AX280="Absent"),0),IF($AZ$5&lt;&gt;"",--(AZ280="Absent"),0),IF($BB$5&lt;&gt;"",--(BB280="Absent"),0),IF($BD$5&lt;&gt;"",--(BD280="Absent"),0),IF($BF$5&lt;&gt;"",--(BF280="Absent"),0),IF($BH$5&lt;&gt;"",--(BH280="Absent"),0),IF($BJ$5&lt;&gt;"",--(BJ280="Absent"),0),IF($BL$5&lt;&gt;"",--(BL280="Absent"),0)))</f>
      </c>
      <c r="BP280" s="22">
        <f>IF($A280="","",SUM(IF($D$5&lt;&gt;"",--(D280="Congé"),0),IF($F$5&lt;&gt;"",--(F280="Congé"),0),IF($H$5&lt;&gt;"",--(H280="Congé"),0),IF($J$5&lt;&gt;"",--(J280="Congé"),0),IF($L$5&lt;&gt;"",--(L280="Congé"),0),IF($N$5&lt;&gt;"",--(N280="Congé"),0),IF($P$5&lt;&gt;"",--(P280="Congé"),0),IF($R$5&lt;&gt;"",--(R280="Congé"),0),IF($T$5&lt;&gt;"",--(T280="Congé"),0),IF($V$5&lt;&gt;"",--(V280="Congé"),0),IF($X$5&lt;&gt;"",--(X280="Congé"),0),IF($Z$5&lt;&gt;"",--(Z280="Congé"),0),IF($AB$5&lt;&gt;"",--(AB280="Congé"),0),IF($AD$5&lt;&gt;"",--(AD280="Congé"),0),IF($AF$5&lt;&gt;"",--(AF280="Congé"),0),IF($AH$5&lt;&gt;"",--(AH280="Congé"),0),IF($AJ$5&lt;&gt;"",--(AJ280="Congé"),0),IF($AL$5&lt;&gt;"",--(AL280="Congé"),0),IF($AN$5&lt;&gt;"",--(AN280="Congé"),0),IF($AP$5&lt;&gt;"",--(AP280="Congé"),0),IF($AR$5&lt;&gt;"",--(AR280="Congé"),0),IF($AT$5&lt;&gt;"",--(AT280="Congé"),0),IF($AV$5&lt;&gt;"",--(AV280="Congé"),0),IF($AX$5&lt;&gt;"",--(AX280="Congé"),0),IF($AZ$5&lt;&gt;"",--(AZ280="Congé"),0),IF($BB$5&lt;&gt;"",--(BB280="Congé"),0),IF($BD$5&lt;&gt;"",--(BD280="Congé"),0),IF($BF$5&lt;&gt;"",--(BF280="Congé"),0),IF($BH$5&lt;&gt;"",--(BH280="Congé"),0),IF($BJ$5&lt;&gt;"",--(BJ280="Congé"),0),IF($BL$5&lt;&gt;"",--(BL280="Congé"),0)))</f>
      </c>
      <c r="BQ280" s="22">
        <f>IF($A280="","",SUM(IF($D$5&lt;&gt;"",--(D280="Maladie"),0),IF($F$5&lt;&gt;"",--(F280="Maladie"),0),IF($H$5&lt;&gt;"",--(H280="Maladie"),0),IF($J$5&lt;&gt;"",--(J280="Maladie"),0),IF($L$5&lt;&gt;"",--(L280="Maladie"),0),IF($N$5&lt;&gt;"",--(N280="Maladie"),0),IF($P$5&lt;&gt;"",--(P280="Maladie"),0),IF($R$5&lt;&gt;"",--(R280="Maladie"),0),IF($T$5&lt;&gt;"",--(T280="Maladie"),0),IF($V$5&lt;&gt;"",--(V280="Maladie"),0),IF($X$5&lt;&gt;"",--(X280="Maladie"),0),IF($Z$5&lt;&gt;"",--(Z280="Maladie"),0),IF($AB$5&lt;&gt;"",--(AB280="Maladie"),0),IF($AD$5&lt;&gt;"",--(AD280="Maladie"),0),IF($AF$5&lt;&gt;"",--(AF280="Maladie"),0),IF($AH$5&lt;&gt;"",--(AH280="Maladie"),0),IF($AJ$5&lt;&gt;"",--(AJ280="Maladie"),0),IF($AL$5&lt;&gt;"",--(AL280="Maladie"),0),IF($AN$5&lt;&gt;"",--(AN280="Maladie"),0),IF($AP$5&lt;&gt;"",--(AP280="Maladie"),0),IF($AR$5&lt;&gt;"",--(AR280="Maladie"),0),IF($AT$5&lt;&gt;"",--(AT280="Maladie"),0),IF($AV$5&lt;&gt;"",--(AV280="Maladie"),0),IF($AX$5&lt;&gt;"",--(AX280="Maladie"),0),IF($AZ$5&lt;&gt;"",--(AZ280="Maladie"),0),IF($BB$5&lt;&gt;"",--(BB280="Maladie"),0),IF($BD$5&lt;&gt;"",--(BD280="Maladie"),0),IF($BF$5&lt;&gt;"",--(BF280="Maladie"),0),IF($BH$5&lt;&gt;"",--(BH280="Maladie"),0),IF($BJ$5&lt;&gt;"",--(BJ280="Maladie"),0),IF($BL$5&lt;&gt;"",--(BL280="Maladie"),0)))</f>
      </c>
      <c r="BR280" s="23">
        <f>IF($A280="","",SUM(IF($D$5&lt;&gt;"",IF(D280="Présent",E280,0),0),IF($F$5&lt;&gt;"",IF(F280="Présent",G280,0),0),IF($H$5&lt;&gt;"",IF(H280="Présent",I280,0),0),IF($J$5&lt;&gt;"",IF(J280="Présent",K280,0),0),IF($L$5&lt;&gt;"",IF(L280="Présent",M280,0),0),IF($N$5&lt;&gt;"",IF(N280="Présent",O280,0),0),IF($P$5&lt;&gt;"",IF(P280="Présent",Q280,0),0),IF($R$5&lt;&gt;"",IF(R280="Présent",S280,0),0),IF($T$5&lt;&gt;"",IF(T280="Présent",U280,0),0),IF($V$5&lt;&gt;"",IF(V280="Présent",W280,0),0),IF($X$5&lt;&gt;"",IF(X280="Présent",Y280,0),0),IF($Z$5&lt;&gt;"",IF(Z280="Présent",AA280,0),0),IF($AB$5&lt;&gt;"",IF(AB280="Présent",AC280,0),0),IF($AD$5&lt;&gt;"",IF(AD280="Présent",AE280,0),0),IF($AF$5&lt;&gt;"",IF(AF280="Présent",AG280,0),0),IF($AH$5&lt;&gt;"",IF(AH280="Présent",AI280,0),0),IF($AJ$5&lt;&gt;"",IF(AJ280="Présent",AK280,0),0),IF($AL$5&lt;&gt;"",IF(AL280="Présent",AM280,0),0),IF($AN$5&lt;&gt;"",IF(AN280="Présent",AO280,0),0),IF($AP$5&lt;&gt;"",IF(AP280="Présent",AQ280,0),0),IF($AR$5&lt;&gt;"",IF(AR280="Présent",AS280,0),0),IF($AT$5&lt;&gt;"",IF(AT280="Présent",AU280,0),0),IF($AV$5&lt;&gt;"",IF(AV280="Présent",AW280,0),0),IF($AX$5&lt;&gt;"",IF(AX280="Présent",AY280,0),0),IF($AZ$5&lt;&gt;"",IF(AZ280="Présent",BA280,0),0),IF($BB$5&lt;&gt;"",IF(BB280="Présent",BC280,0),0),IF($BD$5&lt;&gt;"",IF(BD280="Présent",BE280,0),0),IF($BF$5&lt;&gt;"",IF(BF280="Présent",BG280,0),0),IF($BH$5&lt;&gt;"",IF(BH280="Présent",BI280,0),0),IF($BJ$5&lt;&gt;"",IF(BJ280="Présent",BK280,0),0),IF($BL$5&lt;&gt;"",IF(BL280="Présent",BM280,0),0)))</f>
      </c>
      <c r="BS280" s="25">
        <f>IF($A280="","",$BN280*IFERROR(INDEX(Categories_Salaire,MATCH($C280,ListeCategories,0)),0)+$BR280*IF(IFERROR(INDEX(Categories_TauxHS,MATCH($C280,ListeCategories,0)),0)&gt;0,IFERROR(INDEX(Categories_TauxHS,MATCH($C280,ListeCategories,0)),0),TauxHSDefaut))</f>
      </c>
    </row>
    <row r="281">
      <c r="A281" s="20">
        <f>IF(AND(INDEX(Employes_Nom,275)&lt;&gt;"",INDEX(Employes_Statut,275)="Actif",OR(INDEX(Employes_Embauche,275)="",INDEX(Employes_Embauche,275)&lt;=EOMONTH(DATE(AnneeCourante,MoisCourant,1),0))),INDEX(Employes_ID,275),"")</f>
      </c>
      <c r="B281" s="19">
        <f>IF($A281="","",INDEX(Employes_Nom,MATCH($A281,Employes_ID,0)))</f>
      </c>
      <c r="C281" s="20">
        <f>IF($A281="","",INDEX(Employes_Categorie,MATCH($A281,Employes_ID,0)))</f>
      </c>
      <c r="D281" s="26"/>
      <c r="E281" s="27"/>
      <c r="F281" s="26"/>
      <c r="G281" s="27"/>
      <c r="H281" s="26"/>
      <c r="I281" s="27"/>
      <c r="J281" s="26"/>
      <c r="K281" s="27"/>
      <c r="L281" s="26"/>
      <c r="M281" s="27"/>
      <c r="N281" s="26"/>
      <c r="O281" s="27"/>
      <c r="P281" s="26"/>
      <c r="Q281" s="27"/>
      <c r="R281" s="26"/>
      <c r="S281" s="27"/>
      <c r="T281" s="26"/>
      <c r="U281" s="27"/>
      <c r="V281" s="26"/>
      <c r="W281" s="27"/>
      <c r="X281" s="26"/>
      <c r="Y281" s="27"/>
      <c r="Z281" s="26"/>
      <c r="AA281" s="27"/>
      <c r="AB281" s="26"/>
      <c r="AC281" s="27"/>
      <c r="AD281" s="26"/>
      <c r="AE281" s="27"/>
      <c r="AF281" s="26"/>
      <c r="AG281" s="27"/>
      <c r="AH281" s="26"/>
      <c r="AI281" s="27"/>
      <c r="AJ281" s="26"/>
      <c r="AK281" s="27"/>
      <c r="AL281" s="26"/>
      <c r="AM281" s="27"/>
      <c r="AN281" s="26"/>
      <c r="AO281" s="27"/>
      <c r="AP281" s="26"/>
      <c r="AQ281" s="27"/>
      <c r="AR281" s="26"/>
      <c r="AS281" s="27"/>
      <c r="AT281" s="26"/>
      <c r="AU281" s="27"/>
      <c r="AV281" s="26"/>
      <c r="AW281" s="27"/>
      <c r="AX281" s="26"/>
      <c r="AY281" s="27"/>
      <c r="AZ281" s="26"/>
      <c r="BA281" s="27"/>
      <c r="BB281" s="26"/>
      <c r="BC281" s="27"/>
      <c r="BD281" s="26"/>
      <c r="BE281" s="27"/>
      <c r="BF281" s="26"/>
      <c r="BG281" s="27"/>
      <c r="BH281" s="26"/>
      <c r="BI281" s="27"/>
      <c r="BJ281" s="26"/>
      <c r="BK281" s="27"/>
      <c r="BL281" s="26"/>
      <c r="BM281" s="27"/>
      <c r="BN281" s="22">
        <f>IF($A281="","",SUM(IF($D$5&lt;&gt;"",--(D281="Présent"),0),IF($F$5&lt;&gt;"",--(F281="Présent"),0),IF($H$5&lt;&gt;"",--(H281="Présent"),0),IF($J$5&lt;&gt;"",--(J281="Présent"),0),IF($L$5&lt;&gt;"",--(L281="Présent"),0),IF($N$5&lt;&gt;"",--(N281="Présent"),0),IF($P$5&lt;&gt;"",--(P281="Présent"),0),IF($R$5&lt;&gt;"",--(R281="Présent"),0),IF($T$5&lt;&gt;"",--(T281="Présent"),0),IF($V$5&lt;&gt;"",--(V281="Présent"),0),IF($X$5&lt;&gt;"",--(X281="Présent"),0),IF($Z$5&lt;&gt;"",--(Z281="Présent"),0),IF($AB$5&lt;&gt;"",--(AB281="Présent"),0),IF($AD$5&lt;&gt;"",--(AD281="Présent"),0),IF($AF$5&lt;&gt;"",--(AF281="Présent"),0),IF($AH$5&lt;&gt;"",--(AH281="Présent"),0),IF($AJ$5&lt;&gt;"",--(AJ281="Présent"),0),IF($AL$5&lt;&gt;"",--(AL281="Présent"),0),IF($AN$5&lt;&gt;"",--(AN281="Présent"),0),IF($AP$5&lt;&gt;"",--(AP281="Présent"),0),IF($AR$5&lt;&gt;"",--(AR281="Présent"),0),IF($AT$5&lt;&gt;"",--(AT281="Présent"),0),IF($AV$5&lt;&gt;"",--(AV281="Présent"),0),IF($AX$5&lt;&gt;"",--(AX281="Présent"),0),IF($AZ$5&lt;&gt;"",--(AZ281="Présent"),0),IF($BB$5&lt;&gt;"",--(BB281="Présent"),0),IF($BD$5&lt;&gt;"",--(BD281="Présent"),0),IF($BF$5&lt;&gt;"",--(BF281="Présent"),0),IF($BH$5&lt;&gt;"",--(BH281="Présent"),0),IF($BJ$5&lt;&gt;"",--(BJ281="Présent"),0),IF($BL$5&lt;&gt;"",--(BL281="Présent"),0)))</f>
      </c>
      <c r="BO281" s="22">
        <f>IF($A281="","",SUM(IF($D$5&lt;&gt;"",--(D281="Absent"),0),IF($F$5&lt;&gt;"",--(F281="Absent"),0),IF($H$5&lt;&gt;"",--(H281="Absent"),0),IF($J$5&lt;&gt;"",--(J281="Absent"),0),IF($L$5&lt;&gt;"",--(L281="Absent"),0),IF($N$5&lt;&gt;"",--(N281="Absent"),0),IF($P$5&lt;&gt;"",--(P281="Absent"),0),IF($R$5&lt;&gt;"",--(R281="Absent"),0),IF($T$5&lt;&gt;"",--(T281="Absent"),0),IF($V$5&lt;&gt;"",--(V281="Absent"),0),IF($X$5&lt;&gt;"",--(X281="Absent"),0),IF($Z$5&lt;&gt;"",--(Z281="Absent"),0),IF($AB$5&lt;&gt;"",--(AB281="Absent"),0),IF($AD$5&lt;&gt;"",--(AD281="Absent"),0),IF($AF$5&lt;&gt;"",--(AF281="Absent"),0),IF($AH$5&lt;&gt;"",--(AH281="Absent"),0),IF($AJ$5&lt;&gt;"",--(AJ281="Absent"),0),IF($AL$5&lt;&gt;"",--(AL281="Absent"),0),IF($AN$5&lt;&gt;"",--(AN281="Absent"),0),IF($AP$5&lt;&gt;"",--(AP281="Absent"),0),IF($AR$5&lt;&gt;"",--(AR281="Absent"),0),IF($AT$5&lt;&gt;"",--(AT281="Absent"),0),IF($AV$5&lt;&gt;"",--(AV281="Absent"),0),IF($AX$5&lt;&gt;"",--(AX281="Absent"),0),IF($AZ$5&lt;&gt;"",--(AZ281="Absent"),0),IF($BB$5&lt;&gt;"",--(BB281="Absent"),0),IF($BD$5&lt;&gt;"",--(BD281="Absent"),0),IF($BF$5&lt;&gt;"",--(BF281="Absent"),0),IF($BH$5&lt;&gt;"",--(BH281="Absent"),0),IF($BJ$5&lt;&gt;"",--(BJ281="Absent"),0),IF($BL$5&lt;&gt;"",--(BL281="Absent"),0)))</f>
      </c>
      <c r="BP281" s="22">
        <f>IF($A281="","",SUM(IF($D$5&lt;&gt;"",--(D281="Congé"),0),IF($F$5&lt;&gt;"",--(F281="Congé"),0),IF($H$5&lt;&gt;"",--(H281="Congé"),0),IF($J$5&lt;&gt;"",--(J281="Congé"),0),IF($L$5&lt;&gt;"",--(L281="Congé"),0),IF($N$5&lt;&gt;"",--(N281="Congé"),0),IF($P$5&lt;&gt;"",--(P281="Congé"),0),IF($R$5&lt;&gt;"",--(R281="Congé"),0),IF($T$5&lt;&gt;"",--(T281="Congé"),0),IF($V$5&lt;&gt;"",--(V281="Congé"),0),IF($X$5&lt;&gt;"",--(X281="Congé"),0),IF($Z$5&lt;&gt;"",--(Z281="Congé"),0),IF($AB$5&lt;&gt;"",--(AB281="Congé"),0),IF($AD$5&lt;&gt;"",--(AD281="Congé"),0),IF($AF$5&lt;&gt;"",--(AF281="Congé"),0),IF($AH$5&lt;&gt;"",--(AH281="Congé"),0),IF($AJ$5&lt;&gt;"",--(AJ281="Congé"),0),IF($AL$5&lt;&gt;"",--(AL281="Congé"),0),IF($AN$5&lt;&gt;"",--(AN281="Congé"),0),IF($AP$5&lt;&gt;"",--(AP281="Congé"),0),IF($AR$5&lt;&gt;"",--(AR281="Congé"),0),IF($AT$5&lt;&gt;"",--(AT281="Congé"),0),IF($AV$5&lt;&gt;"",--(AV281="Congé"),0),IF($AX$5&lt;&gt;"",--(AX281="Congé"),0),IF($AZ$5&lt;&gt;"",--(AZ281="Congé"),0),IF($BB$5&lt;&gt;"",--(BB281="Congé"),0),IF($BD$5&lt;&gt;"",--(BD281="Congé"),0),IF($BF$5&lt;&gt;"",--(BF281="Congé"),0),IF($BH$5&lt;&gt;"",--(BH281="Congé"),0),IF($BJ$5&lt;&gt;"",--(BJ281="Congé"),0),IF($BL$5&lt;&gt;"",--(BL281="Congé"),0)))</f>
      </c>
      <c r="BQ281" s="22">
        <f>IF($A281="","",SUM(IF($D$5&lt;&gt;"",--(D281="Maladie"),0),IF($F$5&lt;&gt;"",--(F281="Maladie"),0),IF($H$5&lt;&gt;"",--(H281="Maladie"),0),IF($J$5&lt;&gt;"",--(J281="Maladie"),0),IF($L$5&lt;&gt;"",--(L281="Maladie"),0),IF($N$5&lt;&gt;"",--(N281="Maladie"),0),IF($P$5&lt;&gt;"",--(P281="Maladie"),0),IF($R$5&lt;&gt;"",--(R281="Maladie"),0),IF($T$5&lt;&gt;"",--(T281="Maladie"),0),IF($V$5&lt;&gt;"",--(V281="Maladie"),0),IF($X$5&lt;&gt;"",--(X281="Maladie"),0),IF($Z$5&lt;&gt;"",--(Z281="Maladie"),0),IF($AB$5&lt;&gt;"",--(AB281="Maladie"),0),IF($AD$5&lt;&gt;"",--(AD281="Maladie"),0),IF($AF$5&lt;&gt;"",--(AF281="Maladie"),0),IF($AH$5&lt;&gt;"",--(AH281="Maladie"),0),IF($AJ$5&lt;&gt;"",--(AJ281="Maladie"),0),IF($AL$5&lt;&gt;"",--(AL281="Maladie"),0),IF($AN$5&lt;&gt;"",--(AN281="Maladie"),0),IF($AP$5&lt;&gt;"",--(AP281="Maladie"),0),IF($AR$5&lt;&gt;"",--(AR281="Maladie"),0),IF($AT$5&lt;&gt;"",--(AT281="Maladie"),0),IF($AV$5&lt;&gt;"",--(AV281="Maladie"),0),IF($AX$5&lt;&gt;"",--(AX281="Maladie"),0),IF($AZ$5&lt;&gt;"",--(AZ281="Maladie"),0),IF($BB$5&lt;&gt;"",--(BB281="Maladie"),0),IF($BD$5&lt;&gt;"",--(BD281="Maladie"),0),IF($BF$5&lt;&gt;"",--(BF281="Maladie"),0),IF($BH$5&lt;&gt;"",--(BH281="Maladie"),0),IF($BJ$5&lt;&gt;"",--(BJ281="Maladie"),0),IF($BL$5&lt;&gt;"",--(BL281="Maladie"),0)))</f>
      </c>
      <c r="BR281" s="23">
        <f>IF($A281="","",SUM(IF($D$5&lt;&gt;"",IF(D281="Présent",E281,0),0),IF($F$5&lt;&gt;"",IF(F281="Présent",G281,0),0),IF($H$5&lt;&gt;"",IF(H281="Présent",I281,0),0),IF($J$5&lt;&gt;"",IF(J281="Présent",K281,0),0),IF($L$5&lt;&gt;"",IF(L281="Présent",M281,0),0),IF($N$5&lt;&gt;"",IF(N281="Présent",O281,0),0),IF($P$5&lt;&gt;"",IF(P281="Présent",Q281,0),0),IF($R$5&lt;&gt;"",IF(R281="Présent",S281,0),0),IF($T$5&lt;&gt;"",IF(T281="Présent",U281,0),0),IF($V$5&lt;&gt;"",IF(V281="Présent",W281,0),0),IF($X$5&lt;&gt;"",IF(X281="Présent",Y281,0),0),IF($Z$5&lt;&gt;"",IF(Z281="Présent",AA281,0),0),IF($AB$5&lt;&gt;"",IF(AB281="Présent",AC281,0),0),IF($AD$5&lt;&gt;"",IF(AD281="Présent",AE281,0),0),IF($AF$5&lt;&gt;"",IF(AF281="Présent",AG281,0),0),IF($AH$5&lt;&gt;"",IF(AH281="Présent",AI281,0),0),IF($AJ$5&lt;&gt;"",IF(AJ281="Présent",AK281,0),0),IF($AL$5&lt;&gt;"",IF(AL281="Présent",AM281,0),0),IF($AN$5&lt;&gt;"",IF(AN281="Présent",AO281,0),0),IF($AP$5&lt;&gt;"",IF(AP281="Présent",AQ281,0),0),IF($AR$5&lt;&gt;"",IF(AR281="Présent",AS281,0),0),IF($AT$5&lt;&gt;"",IF(AT281="Présent",AU281,0),0),IF($AV$5&lt;&gt;"",IF(AV281="Présent",AW281,0),0),IF($AX$5&lt;&gt;"",IF(AX281="Présent",AY281,0),0),IF($AZ$5&lt;&gt;"",IF(AZ281="Présent",BA281,0),0),IF($BB$5&lt;&gt;"",IF(BB281="Présent",BC281,0),0),IF($BD$5&lt;&gt;"",IF(BD281="Présent",BE281,0),0),IF($BF$5&lt;&gt;"",IF(BF281="Présent",BG281,0),0),IF($BH$5&lt;&gt;"",IF(BH281="Présent",BI281,0),0),IF($BJ$5&lt;&gt;"",IF(BJ281="Présent",BK281,0),0),IF($BL$5&lt;&gt;"",IF(BL281="Présent",BM281,0),0)))</f>
      </c>
      <c r="BS281" s="25">
        <f>IF($A281="","",$BN281*IFERROR(INDEX(Categories_Salaire,MATCH($C281,ListeCategories,0)),0)+$BR281*IF(IFERROR(INDEX(Categories_TauxHS,MATCH($C281,ListeCategories,0)),0)&gt;0,IFERROR(INDEX(Categories_TauxHS,MATCH($C281,ListeCategories,0)),0),TauxHSDefaut))</f>
      </c>
    </row>
    <row r="282">
      <c r="A282" s="20">
        <f>IF(AND(INDEX(Employes_Nom,276)&lt;&gt;"",INDEX(Employes_Statut,276)="Actif",OR(INDEX(Employes_Embauche,276)="",INDEX(Employes_Embauche,276)&lt;=EOMONTH(DATE(AnneeCourante,MoisCourant,1),0))),INDEX(Employes_ID,276),"")</f>
      </c>
      <c r="B282" s="19">
        <f>IF($A282="","",INDEX(Employes_Nom,MATCH($A282,Employes_ID,0)))</f>
      </c>
      <c r="C282" s="20">
        <f>IF($A282="","",INDEX(Employes_Categorie,MATCH($A282,Employes_ID,0)))</f>
      </c>
      <c r="D282" s="26"/>
      <c r="E282" s="27"/>
      <c r="F282" s="26"/>
      <c r="G282" s="27"/>
      <c r="H282" s="26"/>
      <c r="I282" s="27"/>
      <c r="J282" s="26"/>
      <c r="K282" s="27"/>
      <c r="L282" s="26"/>
      <c r="M282" s="27"/>
      <c r="N282" s="26"/>
      <c r="O282" s="27"/>
      <c r="P282" s="26"/>
      <c r="Q282" s="27"/>
      <c r="R282" s="26"/>
      <c r="S282" s="27"/>
      <c r="T282" s="26"/>
      <c r="U282" s="27"/>
      <c r="V282" s="26"/>
      <c r="W282" s="27"/>
      <c r="X282" s="26"/>
      <c r="Y282" s="27"/>
      <c r="Z282" s="26"/>
      <c r="AA282" s="27"/>
      <c r="AB282" s="26"/>
      <c r="AC282" s="27"/>
      <c r="AD282" s="26"/>
      <c r="AE282" s="27"/>
      <c r="AF282" s="26"/>
      <c r="AG282" s="27"/>
      <c r="AH282" s="26"/>
      <c r="AI282" s="27"/>
      <c r="AJ282" s="26"/>
      <c r="AK282" s="27"/>
      <c r="AL282" s="26"/>
      <c r="AM282" s="27"/>
      <c r="AN282" s="26"/>
      <c r="AO282" s="27"/>
      <c r="AP282" s="26"/>
      <c r="AQ282" s="27"/>
      <c r="AR282" s="26"/>
      <c r="AS282" s="27"/>
      <c r="AT282" s="26"/>
      <c r="AU282" s="27"/>
      <c r="AV282" s="26"/>
      <c r="AW282" s="27"/>
      <c r="AX282" s="26"/>
      <c r="AY282" s="27"/>
      <c r="AZ282" s="26"/>
      <c r="BA282" s="27"/>
      <c r="BB282" s="26"/>
      <c r="BC282" s="27"/>
      <c r="BD282" s="26"/>
      <c r="BE282" s="27"/>
      <c r="BF282" s="26"/>
      <c r="BG282" s="27"/>
      <c r="BH282" s="26"/>
      <c r="BI282" s="27"/>
      <c r="BJ282" s="26"/>
      <c r="BK282" s="27"/>
      <c r="BL282" s="26"/>
      <c r="BM282" s="27"/>
      <c r="BN282" s="22">
        <f>IF($A282="","",SUM(IF($D$5&lt;&gt;"",--(D282="Présent"),0),IF($F$5&lt;&gt;"",--(F282="Présent"),0),IF($H$5&lt;&gt;"",--(H282="Présent"),0),IF($J$5&lt;&gt;"",--(J282="Présent"),0),IF($L$5&lt;&gt;"",--(L282="Présent"),0),IF($N$5&lt;&gt;"",--(N282="Présent"),0),IF($P$5&lt;&gt;"",--(P282="Présent"),0),IF($R$5&lt;&gt;"",--(R282="Présent"),0),IF($T$5&lt;&gt;"",--(T282="Présent"),0),IF($V$5&lt;&gt;"",--(V282="Présent"),0),IF($X$5&lt;&gt;"",--(X282="Présent"),0),IF($Z$5&lt;&gt;"",--(Z282="Présent"),0),IF($AB$5&lt;&gt;"",--(AB282="Présent"),0),IF($AD$5&lt;&gt;"",--(AD282="Présent"),0),IF($AF$5&lt;&gt;"",--(AF282="Présent"),0),IF($AH$5&lt;&gt;"",--(AH282="Présent"),0),IF($AJ$5&lt;&gt;"",--(AJ282="Présent"),0),IF($AL$5&lt;&gt;"",--(AL282="Présent"),0),IF($AN$5&lt;&gt;"",--(AN282="Présent"),0),IF($AP$5&lt;&gt;"",--(AP282="Présent"),0),IF($AR$5&lt;&gt;"",--(AR282="Présent"),0),IF($AT$5&lt;&gt;"",--(AT282="Présent"),0),IF($AV$5&lt;&gt;"",--(AV282="Présent"),0),IF($AX$5&lt;&gt;"",--(AX282="Présent"),0),IF($AZ$5&lt;&gt;"",--(AZ282="Présent"),0),IF($BB$5&lt;&gt;"",--(BB282="Présent"),0),IF($BD$5&lt;&gt;"",--(BD282="Présent"),0),IF($BF$5&lt;&gt;"",--(BF282="Présent"),0),IF($BH$5&lt;&gt;"",--(BH282="Présent"),0),IF($BJ$5&lt;&gt;"",--(BJ282="Présent"),0),IF($BL$5&lt;&gt;"",--(BL282="Présent"),0)))</f>
      </c>
      <c r="BO282" s="22">
        <f>IF($A282="","",SUM(IF($D$5&lt;&gt;"",--(D282="Absent"),0),IF($F$5&lt;&gt;"",--(F282="Absent"),0),IF($H$5&lt;&gt;"",--(H282="Absent"),0),IF($J$5&lt;&gt;"",--(J282="Absent"),0),IF($L$5&lt;&gt;"",--(L282="Absent"),0),IF($N$5&lt;&gt;"",--(N282="Absent"),0),IF($P$5&lt;&gt;"",--(P282="Absent"),0),IF($R$5&lt;&gt;"",--(R282="Absent"),0),IF($T$5&lt;&gt;"",--(T282="Absent"),0),IF($V$5&lt;&gt;"",--(V282="Absent"),0),IF($X$5&lt;&gt;"",--(X282="Absent"),0),IF($Z$5&lt;&gt;"",--(Z282="Absent"),0),IF($AB$5&lt;&gt;"",--(AB282="Absent"),0),IF($AD$5&lt;&gt;"",--(AD282="Absent"),0),IF($AF$5&lt;&gt;"",--(AF282="Absent"),0),IF($AH$5&lt;&gt;"",--(AH282="Absent"),0),IF($AJ$5&lt;&gt;"",--(AJ282="Absent"),0),IF($AL$5&lt;&gt;"",--(AL282="Absent"),0),IF($AN$5&lt;&gt;"",--(AN282="Absent"),0),IF($AP$5&lt;&gt;"",--(AP282="Absent"),0),IF($AR$5&lt;&gt;"",--(AR282="Absent"),0),IF($AT$5&lt;&gt;"",--(AT282="Absent"),0),IF($AV$5&lt;&gt;"",--(AV282="Absent"),0),IF($AX$5&lt;&gt;"",--(AX282="Absent"),0),IF($AZ$5&lt;&gt;"",--(AZ282="Absent"),0),IF($BB$5&lt;&gt;"",--(BB282="Absent"),0),IF($BD$5&lt;&gt;"",--(BD282="Absent"),0),IF($BF$5&lt;&gt;"",--(BF282="Absent"),0),IF($BH$5&lt;&gt;"",--(BH282="Absent"),0),IF($BJ$5&lt;&gt;"",--(BJ282="Absent"),0),IF($BL$5&lt;&gt;"",--(BL282="Absent"),0)))</f>
      </c>
      <c r="BP282" s="22">
        <f>IF($A282="","",SUM(IF($D$5&lt;&gt;"",--(D282="Congé"),0),IF($F$5&lt;&gt;"",--(F282="Congé"),0),IF($H$5&lt;&gt;"",--(H282="Congé"),0),IF($J$5&lt;&gt;"",--(J282="Congé"),0),IF($L$5&lt;&gt;"",--(L282="Congé"),0),IF($N$5&lt;&gt;"",--(N282="Congé"),0),IF($P$5&lt;&gt;"",--(P282="Congé"),0),IF($R$5&lt;&gt;"",--(R282="Congé"),0),IF($T$5&lt;&gt;"",--(T282="Congé"),0),IF($V$5&lt;&gt;"",--(V282="Congé"),0),IF($X$5&lt;&gt;"",--(X282="Congé"),0),IF($Z$5&lt;&gt;"",--(Z282="Congé"),0),IF($AB$5&lt;&gt;"",--(AB282="Congé"),0),IF($AD$5&lt;&gt;"",--(AD282="Congé"),0),IF($AF$5&lt;&gt;"",--(AF282="Congé"),0),IF($AH$5&lt;&gt;"",--(AH282="Congé"),0),IF($AJ$5&lt;&gt;"",--(AJ282="Congé"),0),IF($AL$5&lt;&gt;"",--(AL282="Congé"),0),IF($AN$5&lt;&gt;"",--(AN282="Congé"),0),IF($AP$5&lt;&gt;"",--(AP282="Congé"),0),IF($AR$5&lt;&gt;"",--(AR282="Congé"),0),IF($AT$5&lt;&gt;"",--(AT282="Congé"),0),IF($AV$5&lt;&gt;"",--(AV282="Congé"),0),IF($AX$5&lt;&gt;"",--(AX282="Congé"),0),IF($AZ$5&lt;&gt;"",--(AZ282="Congé"),0),IF($BB$5&lt;&gt;"",--(BB282="Congé"),0),IF($BD$5&lt;&gt;"",--(BD282="Congé"),0),IF($BF$5&lt;&gt;"",--(BF282="Congé"),0),IF($BH$5&lt;&gt;"",--(BH282="Congé"),0),IF($BJ$5&lt;&gt;"",--(BJ282="Congé"),0),IF($BL$5&lt;&gt;"",--(BL282="Congé"),0)))</f>
      </c>
      <c r="BQ282" s="22">
        <f>IF($A282="","",SUM(IF($D$5&lt;&gt;"",--(D282="Maladie"),0),IF($F$5&lt;&gt;"",--(F282="Maladie"),0),IF($H$5&lt;&gt;"",--(H282="Maladie"),0),IF($J$5&lt;&gt;"",--(J282="Maladie"),0),IF($L$5&lt;&gt;"",--(L282="Maladie"),0),IF($N$5&lt;&gt;"",--(N282="Maladie"),0),IF($P$5&lt;&gt;"",--(P282="Maladie"),0),IF($R$5&lt;&gt;"",--(R282="Maladie"),0),IF($T$5&lt;&gt;"",--(T282="Maladie"),0),IF($V$5&lt;&gt;"",--(V282="Maladie"),0),IF($X$5&lt;&gt;"",--(X282="Maladie"),0),IF($Z$5&lt;&gt;"",--(Z282="Maladie"),0),IF($AB$5&lt;&gt;"",--(AB282="Maladie"),0),IF($AD$5&lt;&gt;"",--(AD282="Maladie"),0),IF($AF$5&lt;&gt;"",--(AF282="Maladie"),0),IF($AH$5&lt;&gt;"",--(AH282="Maladie"),0),IF($AJ$5&lt;&gt;"",--(AJ282="Maladie"),0),IF($AL$5&lt;&gt;"",--(AL282="Maladie"),0),IF($AN$5&lt;&gt;"",--(AN282="Maladie"),0),IF($AP$5&lt;&gt;"",--(AP282="Maladie"),0),IF($AR$5&lt;&gt;"",--(AR282="Maladie"),0),IF($AT$5&lt;&gt;"",--(AT282="Maladie"),0),IF($AV$5&lt;&gt;"",--(AV282="Maladie"),0),IF($AX$5&lt;&gt;"",--(AX282="Maladie"),0),IF($AZ$5&lt;&gt;"",--(AZ282="Maladie"),0),IF($BB$5&lt;&gt;"",--(BB282="Maladie"),0),IF($BD$5&lt;&gt;"",--(BD282="Maladie"),0),IF($BF$5&lt;&gt;"",--(BF282="Maladie"),0),IF($BH$5&lt;&gt;"",--(BH282="Maladie"),0),IF($BJ$5&lt;&gt;"",--(BJ282="Maladie"),0),IF($BL$5&lt;&gt;"",--(BL282="Maladie"),0)))</f>
      </c>
      <c r="BR282" s="23">
        <f>IF($A282="","",SUM(IF($D$5&lt;&gt;"",IF(D282="Présent",E282,0),0),IF($F$5&lt;&gt;"",IF(F282="Présent",G282,0),0),IF($H$5&lt;&gt;"",IF(H282="Présent",I282,0),0),IF($J$5&lt;&gt;"",IF(J282="Présent",K282,0),0),IF($L$5&lt;&gt;"",IF(L282="Présent",M282,0),0),IF($N$5&lt;&gt;"",IF(N282="Présent",O282,0),0),IF($P$5&lt;&gt;"",IF(P282="Présent",Q282,0),0),IF($R$5&lt;&gt;"",IF(R282="Présent",S282,0),0),IF($T$5&lt;&gt;"",IF(T282="Présent",U282,0),0),IF($V$5&lt;&gt;"",IF(V282="Présent",W282,0),0),IF($X$5&lt;&gt;"",IF(X282="Présent",Y282,0),0),IF($Z$5&lt;&gt;"",IF(Z282="Présent",AA282,0),0),IF($AB$5&lt;&gt;"",IF(AB282="Présent",AC282,0),0),IF($AD$5&lt;&gt;"",IF(AD282="Présent",AE282,0),0),IF($AF$5&lt;&gt;"",IF(AF282="Présent",AG282,0),0),IF($AH$5&lt;&gt;"",IF(AH282="Présent",AI282,0),0),IF($AJ$5&lt;&gt;"",IF(AJ282="Présent",AK282,0),0),IF($AL$5&lt;&gt;"",IF(AL282="Présent",AM282,0),0),IF($AN$5&lt;&gt;"",IF(AN282="Présent",AO282,0),0),IF($AP$5&lt;&gt;"",IF(AP282="Présent",AQ282,0),0),IF($AR$5&lt;&gt;"",IF(AR282="Présent",AS282,0),0),IF($AT$5&lt;&gt;"",IF(AT282="Présent",AU282,0),0),IF($AV$5&lt;&gt;"",IF(AV282="Présent",AW282,0),0),IF($AX$5&lt;&gt;"",IF(AX282="Présent",AY282,0),0),IF($AZ$5&lt;&gt;"",IF(AZ282="Présent",BA282,0),0),IF($BB$5&lt;&gt;"",IF(BB282="Présent",BC282,0),0),IF($BD$5&lt;&gt;"",IF(BD282="Présent",BE282,0),0),IF($BF$5&lt;&gt;"",IF(BF282="Présent",BG282,0),0),IF($BH$5&lt;&gt;"",IF(BH282="Présent",BI282,0),0),IF($BJ$5&lt;&gt;"",IF(BJ282="Présent",BK282,0),0),IF($BL$5&lt;&gt;"",IF(BL282="Présent",BM282,0),0)))</f>
      </c>
      <c r="BS282" s="25">
        <f>IF($A282="","",$BN282*IFERROR(INDEX(Categories_Salaire,MATCH($C282,ListeCategories,0)),0)+$BR282*IF(IFERROR(INDEX(Categories_TauxHS,MATCH($C282,ListeCategories,0)),0)&gt;0,IFERROR(INDEX(Categories_TauxHS,MATCH($C282,ListeCategories,0)),0),TauxHSDefaut))</f>
      </c>
    </row>
    <row r="283">
      <c r="A283" s="20">
        <f>IF(AND(INDEX(Employes_Nom,277)&lt;&gt;"",INDEX(Employes_Statut,277)="Actif",OR(INDEX(Employes_Embauche,277)="",INDEX(Employes_Embauche,277)&lt;=EOMONTH(DATE(AnneeCourante,MoisCourant,1),0))),INDEX(Employes_ID,277),"")</f>
      </c>
      <c r="B283" s="19">
        <f>IF($A283="","",INDEX(Employes_Nom,MATCH($A283,Employes_ID,0)))</f>
      </c>
      <c r="C283" s="20">
        <f>IF($A283="","",INDEX(Employes_Categorie,MATCH($A283,Employes_ID,0)))</f>
      </c>
      <c r="D283" s="26"/>
      <c r="E283" s="27"/>
      <c r="F283" s="26"/>
      <c r="G283" s="27"/>
      <c r="H283" s="26"/>
      <c r="I283" s="27"/>
      <c r="J283" s="26"/>
      <c r="K283" s="27"/>
      <c r="L283" s="26"/>
      <c r="M283" s="27"/>
      <c r="N283" s="26"/>
      <c r="O283" s="27"/>
      <c r="P283" s="26"/>
      <c r="Q283" s="27"/>
      <c r="R283" s="26"/>
      <c r="S283" s="27"/>
      <c r="T283" s="26"/>
      <c r="U283" s="27"/>
      <c r="V283" s="26"/>
      <c r="W283" s="27"/>
      <c r="X283" s="26"/>
      <c r="Y283" s="27"/>
      <c r="Z283" s="26"/>
      <c r="AA283" s="27"/>
      <c r="AB283" s="26"/>
      <c r="AC283" s="27"/>
      <c r="AD283" s="26"/>
      <c r="AE283" s="27"/>
      <c r="AF283" s="26"/>
      <c r="AG283" s="27"/>
      <c r="AH283" s="26"/>
      <c r="AI283" s="27"/>
      <c r="AJ283" s="26"/>
      <c r="AK283" s="27"/>
      <c r="AL283" s="26"/>
      <c r="AM283" s="27"/>
      <c r="AN283" s="26"/>
      <c r="AO283" s="27"/>
      <c r="AP283" s="26"/>
      <c r="AQ283" s="27"/>
      <c r="AR283" s="26"/>
      <c r="AS283" s="27"/>
      <c r="AT283" s="26"/>
      <c r="AU283" s="27"/>
      <c r="AV283" s="26"/>
      <c r="AW283" s="27"/>
      <c r="AX283" s="26"/>
      <c r="AY283" s="27"/>
      <c r="AZ283" s="26"/>
      <c r="BA283" s="27"/>
      <c r="BB283" s="26"/>
      <c r="BC283" s="27"/>
      <c r="BD283" s="26"/>
      <c r="BE283" s="27"/>
      <c r="BF283" s="26"/>
      <c r="BG283" s="27"/>
      <c r="BH283" s="26"/>
      <c r="BI283" s="27"/>
      <c r="BJ283" s="26"/>
      <c r="BK283" s="27"/>
      <c r="BL283" s="26"/>
      <c r="BM283" s="27"/>
      <c r="BN283" s="22">
        <f>IF($A283="","",SUM(IF($D$5&lt;&gt;"",--(D283="Présent"),0),IF($F$5&lt;&gt;"",--(F283="Présent"),0),IF($H$5&lt;&gt;"",--(H283="Présent"),0),IF($J$5&lt;&gt;"",--(J283="Présent"),0),IF($L$5&lt;&gt;"",--(L283="Présent"),0),IF($N$5&lt;&gt;"",--(N283="Présent"),0),IF($P$5&lt;&gt;"",--(P283="Présent"),0),IF($R$5&lt;&gt;"",--(R283="Présent"),0),IF($T$5&lt;&gt;"",--(T283="Présent"),0),IF($V$5&lt;&gt;"",--(V283="Présent"),0),IF($X$5&lt;&gt;"",--(X283="Présent"),0),IF($Z$5&lt;&gt;"",--(Z283="Présent"),0),IF($AB$5&lt;&gt;"",--(AB283="Présent"),0),IF($AD$5&lt;&gt;"",--(AD283="Présent"),0),IF($AF$5&lt;&gt;"",--(AF283="Présent"),0),IF($AH$5&lt;&gt;"",--(AH283="Présent"),0),IF($AJ$5&lt;&gt;"",--(AJ283="Présent"),0),IF($AL$5&lt;&gt;"",--(AL283="Présent"),0),IF($AN$5&lt;&gt;"",--(AN283="Présent"),0),IF($AP$5&lt;&gt;"",--(AP283="Présent"),0),IF($AR$5&lt;&gt;"",--(AR283="Présent"),0),IF($AT$5&lt;&gt;"",--(AT283="Présent"),0),IF($AV$5&lt;&gt;"",--(AV283="Présent"),0),IF($AX$5&lt;&gt;"",--(AX283="Présent"),0),IF($AZ$5&lt;&gt;"",--(AZ283="Présent"),0),IF($BB$5&lt;&gt;"",--(BB283="Présent"),0),IF($BD$5&lt;&gt;"",--(BD283="Présent"),0),IF($BF$5&lt;&gt;"",--(BF283="Présent"),0),IF($BH$5&lt;&gt;"",--(BH283="Présent"),0),IF($BJ$5&lt;&gt;"",--(BJ283="Présent"),0),IF($BL$5&lt;&gt;"",--(BL283="Présent"),0)))</f>
      </c>
      <c r="BO283" s="22">
        <f>IF($A283="","",SUM(IF($D$5&lt;&gt;"",--(D283="Absent"),0),IF($F$5&lt;&gt;"",--(F283="Absent"),0),IF($H$5&lt;&gt;"",--(H283="Absent"),0),IF($J$5&lt;&gt;"",--(J283="Absent"),0),IF($L$5&lt;&gt;"",--(L283="Absent"),0),IF($N$5&lt;&gt;"",--(N283="Absent"),0),IF($P$5&lt;&gt;"",--(P283="Absent"),0),IF($R$5&lt;&gt;"",--(R283="Absent"),0),IF($T$5&lt;&gt;"",--(T283="Absent"),0),IF($V$5&lt;&gt;"",--(V283="Absent"),0),IF($X$5&lt;&gt;"",--(X283="Absent"),0),IF($Z$5&lt;&gt;"",--(Z283="Absent"),0),IF($AB$5&lt;&gt;"",--(AB283="Absent"),0),IF($AD$5&lt;&gt;"",--(AD283="Absent"),0),IF($AF$5&lt;&gt;"",--(AF283="Absent"),0),IF($AH$5&lt;&gt;"",--(AH283="Absent"),0),IF($AJ$5&lt;&gt;"",--(AJ283="Absent"),0),IF($AL$5&lt;&gt;"",--(AL283="Absent"),0),IF($AN$5&lt;&gt;"",--(AN283="Absent"),0),IF($AP$5&lt;&gt;"",--(AP283="Absent"),0),IF($AR$5&lt;&gt;"",--(AR283="Absent"),0),IF($AT$5&lt;&gt;"",--(AT283="Absent"),0),IF($AV$5&lt;&gt;"",--(AV283="Absent"),0),IF($AX$5&lt;&gt;"",--(AX283="Absent"),0),IF($AZ$5&lt;&gt;"",--(AZ283="Absent"),0),IF($BB$5&lt;&gt;"",--(BB283="Absent"),0),IF($BD$5&lt;&gt;"",--(BD283="Absent"),0),IF($BF$5&lt;&gt;"",--(BF283="Absent"),0),IF($BH$5&lt;&gt;"",--(BH283="Absent"),0),IF($BJ$5&lt;&gt;"",--(BJ283="Absent"),0),IF($BL$5&lt;&gt;"",--(BL283="Absent"),0)))</f>
      </c>
      <c r="BP283" s="22">
        <f>IF($A283="","",SUM(IF($D$5&lt;&gt;"",--(D283="Congé"),0),IF($F$5&lt;&gt;"",--(F283="Congé"),0),IF($H$5&lt;&gt;"",--(H283="Congé"),0),IF($J$5&lt;&gt;"",--(J283="Congé"),0),IF($L$5&lt;&gt;"",--(L283="Congé"),0),IF($N$5&lt;&gt;"",--(N283="Congé"),0),IF($P$5&lt;&gt;"",--(P283="Congé"),0),IF($R$5&lt;&gt;"",--(R283="Congé"),0),IF($T$5&lt;&gt;"",--(T283="Congé"),0),IF($V$5&lt;&gt;"",--(V283="Congé"),0),IF($X$5&lt;&gt;"",--(X283="Congé"),0),IF($Z$5&lt;&gt;"",--(Z283="Congé"),0),IF($AB$5&lt;&gt;"",--(AB283="Congé"),0),IF($AD$5&lt;&gt;"",--(AD283="Congé"),0),IF($AF$5&lt;&gt;"",--(AF283="Congé"),0),IF($AH$5&lt;&gt;"",--(AH283="Congé"),0),IF($AJ$5&lt;&gt;"",--(AJ283="Congé"),0),IF($AL$5&lt;&gt;"",--(AL283="Congé"),0),IF($AN$5&lt;&gt;"",--(AN283="Congé"),0),IF($AP$5&lt;&gt;"",--(AP283="Congé"),0),IF($AR$5&lt;&gt;"",--(AR283="Congé"),0),IF($AT$5&lt;&gt;"",--(AT283="Congé"),0),IF($AV$5&lt;&gt;"",--(AV283="Congé"),0),IF($AX$5&lt;&gt;"",--(AX283="Congé"),0),IF($AZ$5&lt;&gt;"",--(AZ283="Congé"),0),IF($BB$5&lt;&gt;"",--(BB283="Congé"),0),IF($BD$5&lt;&gt;"",--(BD283="Congé"),0),IF($BF$5&lt;&gt;"",--(BF283="Congé"),0),IF($BH$5&lt;&gt;"",--(BH283="Congé"),0),IF($BJ$5&lt;&gt;"",--(BJ283="Congé"),0),IF($BL$5&lt;&gt;"",--(BL283="Congé"),0)))</f>
      </c>
      <c r="BQ283" s="22">
        <f>IF($A283="","",SUM(IF($D$5&lt;&gt;"",--(D283="Maladie"),0),IF($F$5&lt;&gt;"",--(F283="Maladie"),0),IF($H$5&lt;&gt;"",--(H283="Maladie"),0),IF($J$5&lt;&gt;"",--(J283="Maladie"),0),IF($L$5&lt;&gt;"",--(L283="Maladie"),0),IF($N$5&lt;&gt;"",--(N283="Maladie"),0),IF($P$5&lt;&gt;"",--(P283="Maladie"),0),IF($R$5&lt;&gt;"",--(R283="Maladie"),0),IF($T$5&lt;&gt;"",--(T283="Maladie"),0),IF($V$5&lt;&gt;"",--(V283="Maladie"),0),IF($X$5&lt;&gt;"",--(X283="Maladie"),0),IF($Z$5&lt;&gt;"",--(Z283="Maladie"),0),IF($AB$5&lt;&gt;"",--(AB283="Maladie"),0),IF($AD$5&lt;&gt;"",--(AD283="Maladie"),0),IF($AF$5&lt;&gt;"",--(AF283="Maladie"),0),IF($AH$5&lt;&gt;"",--(AH283="Maladie"),0),IF($AJ$5&lt;&gt;"",--(AJ283="Maladie"),0),IF($AL$5&lt;&gt;"",--(AL283="Maladie"),0),IF($AN$5&lt;&gt;"",--(AN283="Maladie"),0),IF($AP$5&lt;&gt;"",--(AP283="Maladie"),0),IF($AR$5&lt;&gt;"",--(AR283="Maladie"),0),IF($AT$5&lt;&gt;"",--(AT283="Maladie"),0),IF($AV$5&lt;&gt;"",--(AV283="Maladie"),0),IF($AX$5&lt;&gt;"",--(AX283="Maladie"),0),IF($AZ$5&lt;&gt;"",--(AZ283="Maladie"),0),IF($BB$5&lt;&gt;"",--(BB283="Maladie"),0),IF($BD$5&lt;&gt;"",--(BD283="Maladie"),0),IF($BF$5&lt;&gt;"",--(BF283="Maladie"),0),IF($BH$5&lt;&gt;"",--(BH283="Maladie"),0),IF($BJ$5&lt;&gt;"",--(BJ283="Maladie"),0),IF($BL$5&lt;&gt;"",--(BL283="Maladie"),0)))</f>
      </c>
      <c r="BR283" s="23">
        <f>IF($A283="","",SUM(IF($D$5&lt;&gt;"",IF(D283="Présent",E283,0),0),IF($F$5&lt;&gt;"",IF(F283="Présent",G283,0),0),IF($H$5&lt;&gt;"",IF(H283="Présent",I283,0),0),IF($J$5&lt;&gt;"",IF(J283="Présent",K283,0),0),IF($L$5&lt;&gt;"",IF(L283="Présent",M283,0),0),IF($N$5&lt;&gt;"",IF(N283="Présent",O283,0),0),IF($P$5&lt;&gt;"",IF(P283="Présent",Q283,0),0),IF($R$5&lt;&gt;"",IF(R283="Présent",S283,0),0),IF($T$5&lt;&gt;"",IF(T283="Présent",U283,0),0),IF($V$5&lt;&gt;"",IF(V283="Présent",W283,0),0),IF($X$5&lt;&gt;"",IF(X283="Présent",Y283,0),0),IF($Z$5&lt;&gt;"",IF(Z283="Présent",AA283,0),0),IF($AB$5&lt;&gt;"",IF(AB283="Présent",AC283,0),0),IF($AD$5&lt;&gt;"",IF(AD283="Présent",AE283,0),0),IF($AF$5&lt;&gt;"",IF(AF283="Présent",AG283,0),0),IF($AH$5&lt;&gt;"",IF(AH283="Présent",AI283,0),0),IF($AJ$5&lt;&gt;"",IF(AJ283="Présent",AK283,0),0),IF($AL$5&lt;&gt;"",IF(AL283="Présent",AM283,0),0),IF($AN$5&lt;&gt;"",IF(AN283="Présent",AO283,0),0),IF($AP$5&lt;&gt;"",IF(AP283="Présent",AQ283,0),0),IF($AR$5&lt;&gt;"",IF(AR283="Présent",AS283,0),0),IF($AT$5&lt;&gt;"",IF(AT283="Présent",AU283,0),0),IF($AV$5&lt;&gt;"",IF(AV283="Présent",AW283,0),0),IF($AX$5&lt;&gt;"",IF(AX283="Présent",AY283,0),0),IF($AZ$5&lt;&gt;"",IF(AZ283="Présent",BA283,0),0),IF($BB$5&lt;&gt;"",IF(BB283="Présent",BC283,0),0),IF($BD$5&lt;&gt;"",IF(BD283="Présent",BE283,0),0),IF($BF$5&lt;&gt;"",IF(BF283="Présent",BG283,0),0),IF($BH$5&lt;&gt;"",IF(BH283="Présent",BI283,0),0),IF($BJ$5&lt;&gt;"",IF(BJ283="Présent",BK283,0),0),IF($BL$5&lt;&gt;"",IF(BL283="Présent",BM283,0),0)))</f>
      </c>
      <c r="BS283" s="25">
        <f>IF($A283="","",$BN283*IFERROR(INDEX(Categories_Salaire,MATCH($C283,ListeCategories,0)),0)+$BR283*IF(IFERROR(INDEX(Categories_TauxHS,MATCH($C283,ListeCategories,0)),0)&gt;0,IFERROR(INDEX(Categories_TauxHS,MATCH($C283,ListeCategories,0)),0),TauxHSDefaut))</f>
      </c>
    </row>
    <row r="284">
      <c r="A284" s="20">
        <f>IF(AND(INDEX(Employes_Nom,278)&lt;&gt;"",INDEX(Employes_Statut,278)="Actif",OR(INDEX(Employes_Embauche,278)="",INDEX(Employes_Embauche,278)&lt;=EOMONTH(DATE(AnneeCourante,MoisCourant,1),0))),INDEX(Employes_ID,278),"")</f>
      </c>
      <c r="B284" s="19">
        <f>IF($A284="","",INDEX(Employes_Nom,MATCH($A284,Employes_ID,0)))</f>
      </c>
      <c r="C284" s="20">
        <f>IF($A284="","",INDEX(Employes_Categorie,MATCH($A284,Employes_ID,0)))</f>
      </c>
      <c r="D284" s="26"/>
      <c r="E284" s="27"/>
      <c r="F284" s="26"/>
      <c r="G284" s="27"/>
      <c r="H284" s="26"/>
      <c r="I284" s="27"/>
      <c r="J284" s="26"/>
      <c r="K284" s="27"/>
      <c r="L284" s="26"/>
      <c r="M284" s="27"/>
      <c r="N284" s="26"/>
      <c r="O284" s="27"/>
      <c r="P284" s="26"/>
      <c r="Q284" s="27"/>
      <c r="R284" s="26"/>
      <c r="S284" s="27"/>
      <c r="T284" s="26"/>
      <c r="U284" s="27"/>
      <c r="V284" s="26"/>
      <c r="W284" s="27"/>
      <c r="X284" s="26"/>
      <c r="Y284" s="27"/>
      <c r="Z284" s="26"/>
      <c r="AA284" s="27"/>
      <c r="AB284" s="26"/>
      <c r="AC284" s="27"/>
      <c r="AD284" s="26"/>
      <c r="AE284" s="27"/>
      <c r="AF284" s="26"/>
      <c r="AG284" s="27"/>
      <c r="AH284" s="26"/>
      <c r="AI284" s="27"/>
      <c r="AJ284" s="26"/>
      <c r="AK284" s="27"/>
      <c r="AL284" s="26"/>
      <c r="AM284" s="27"/>
      <c r="AN284" s="26"/>
      <c r="AO284" s="27"/>
      <c r="AP284" s="26"/>
      <c r="AQ284" s="27"/>
      <c r="AR284" s="26"/>
      <c r="AS284" s="27"/>
      <c r="AT284" s="26"/>
      <c r="AU284" s="27"/>
      <c r="AV284" s="26"/>
      <c r="AW284" s="27"/>
      <c r="AX284" s="26"/>
      <c r="AY284" s="27"/>
      <c r="AZ284" s="26"/>
      <c r="BA284" s="27"/>
      <c r="BB284" s="26"/>
      <c r="BC284" s="27"/>
      <c r="BD284" s="26"/>
      <c r="BE284" s="27"/>
      <c r="BF284" s="26"/>
      <c r="BG284" s="27"/>
      <c r="BH284" s="26"/>
      <c r="BI284" s="27"/>
      <c r="BJ284" s="26"/>
      <c r="BK284" s="27"/>
      <c r="BL284" s="26"/>
      <c r="BM284" s="27"/>
      <c r="BN284" s="22">
        <f>IF($A284="","",SUM(IF($D$5&lt;&gt;"",--(D284="Présent"),0),IF($F$5&lt;&gt;"",--(F284="Présent"),0),IF($H$5&lt;&gt;"",--(H284="Présent"),0),IF($J$5&lt;&gt;"",--(J284="Présent"),0),IF($L$5&lt;&gt;"",--(L284="Présent"),0),IF($N$5&lt;&gt;"",--(N284="Présent"),0),IF($P$5&lt;&gt;"",--(P284="Présent"),0),IF($R$5&lt;&gt;"",--(R284="Présent"),0),IF($T$5&lt;&gt;"",--(T284="Présent"),0),IF($V$5&lt;&gt;"",--(V284="Présent"),0),IF($X$5&lt;&gt;"",--(X284="Présent"),0),IF($Z$5&lt;&gt;"",--(Z284="Présent"),0),IF($AB$5&lt;&gt;"",--(AB284="Présent"),0),IF($AD$5&lt;&gt;"",--(AD284="Présent"),0),IF($AF$5&lt;&gt;"",--(AF284="Présent"),0),IF($AH$5&lt;&gt;"",--(AH284="Présent"),0),IF($AJ$5&lt;&gt;"",--(AJ284="Présent"),0),IF($AL$5&lt;&gt;"",--(AL284="Présent"),0),IF($AN$5&lt;&gt;"",--(AN284="Présent"),0),IF($AP$5&lt;&gt;"",--(AP284="Présent"),0),IF($AR$5&lt;&gt;"",--(AR284="Présent"),0),IF($AT$5&lt;&gt;"",--(AT284="Présent"),0),IF($AV$5&lt;&gt;"",--(AV284="Présent"),0),IF($AX$5&lt;&gt;"",--(AX284="Présent"),0),IF($AZ$5&lt;&gt;"",--(AZ284="Présent"),0),IF($BB$5&lt;&gt;"",--(BB284="Présent"),0),IF($BD$5&lt;&gt;"",--(BD284="Présent"),0),IF($BF$5&lt;&gt;"",--(BF284="Présent"),0),IF($BH$5&lt;&gt;"",--(BH284="Présent"),0),IF($BJ$5&lt;&gt;"",--(BJ284="Présent"),0),IF($BL$5&lt;&gt;"",--(BL284="Présent"),0)))</f>
      </c>
      <c r="BO284" s="22">
        <f>IF($A284="","",SUM(IF($D$5&lt;&gt;"",--(D284="Absent"),0),IF($F$5&lt;&gt;"",--(F284="Absent"),0),IF($H$5&lt;&gt;"",--(H284="Absent"),0),IF($J$5&lt;&gt;"",--(J284="Absent"),0),IF($L$5&lt;&gt;"",--(L284="Absent"),0),IF($N$5&lt;&gt;"",--(N284="Absent"),0),IF($P$5&lt;&gt;"",--(P284="Absent"),0),IF($R$5&lt;&gt;"",--(R284="Absent"),0),IF($T$5&lt;&gt;"",--(T284="Absent"),0),IF($V$5&lt;&gt;"",--(V284="Absent"),0),IF($X$5&lt;&gt;"",--(X284="Absent"),0),IF($Z$5&lt;&gt;"",--(Z284="Absent"),0),IF($AB$5&lt;&gt;"",--(AB284="Absent"),0),IF($AD$5&lt;&gt;"",--(AD284="Absent"),0),IF($AF$5&lt;&gt;"",--(AF284="Absent"),0),IF($AH$5&lt;&gt;"",--(AH284="Absent"),0),IF($AJ$5&lt;&gt;"",--(AJ284="Absent"),0),IF($AL$5&lt;&gt;"",--(AL284="Absent"),0),IF($AN$5&lt;&gt;"",--(AN284="Absent"),0),IF($AP$5&lt;&gt;"",--(AP284="Absent"),0),IF($AR$5&lt;&gt;"",--(AR284="Absent"),0),IF($AT$5&lt;&gt;"",--(AT284="Absent"),0),IF($AV$5&lt;&gt;"",--(AV284="Absent"),0),IF($AX$5&lt;&gt;"",--(AX284="Absent"),0),IF($AZ$5&lt;&gt;"",--(AZ284="Absent"),0),IF($BB$5&lt;&gt;"",--(BB284="Absent"),0),IF($BD$5&lt;&gt;"",--(BD284="Absent"),0),IF($BF$5&lt;&gt;"",--(BF284="Absent"),0),IF($BH$5&lt;&gt;"",--(BH284="Absent"),0),IF($BJ$5&lt;&gt;"",--(BJ284="Absent"),0),IF($BL$5&lt;&gt;"",--(BL284="Absent"),0)))</f>
      </c>
      <c r="BP284" s="22">
        <f>IF($A284="","",SUM(IF($D$5&lt;&gt;"",--(D284="Congé"),0),IF($F$5&lt;&gt;"",--(F284="Congé"),0),IF($H$5&lt;&gt;"",--(H284="Congé"),0),IF($J$5&lt;&gt;"",--(J284="Congé"),0),IF($L$5&lt;&gt;"",--(L284="Congé"),0),IF($N$5&lt;&gt;"",--(N284="Congé"),0),IF($P$5&lt;&gt;"",--(P284="Congé"),0),IF($R$5&lt;&gt;"",--(R284="Congé"),0),IF($T$5&lt;&gt;"",--(T284="Congé"),0),IF($V$5&lt;&gt;"",--(V284="Congé"),0),IF($X$5&lt;&gt;"",--(X284="Congé"),0),IF($Z$5&lt;&gt;"",--(Z284="Congé"),0),IF($AB$5&lt;&gt;"",--(AB284="Congé"),0),IF($AD$5&lt;&gt;"",--(AD284="Congé"),0),IF($AF$5&lt;&gt;"",--(AF284="Congé"),0),IF($AH$5&lt;&gt;"",--(AH284="Congé"),0),IF($AJ$5&lt;&gt;"",--(AJ284="Congé"),0),IF($AL$5&lt;&gt;"",--(AL284="Congé"),0),IF($AN$5&lt;&gt;"",--(AN284="Congé"),0),IF($AP$5&lt;&gt;"",--(AP284="Congé"),0),IF($AR$5&lt;&gt;"",--(AR284="Congé"),0),IF($AT$5&lt;&gt;"",--(AT284="Congé"),0),IF($AV$5&lt;&gt;"",--(AV284="Congé"),0),IF($AX$5&lt;&gt;"",--(AX284="Congé"),0),IF($AZ$5&lt;&gt;"",--(AZ284="Congé"),0),IF($BB$5&lt;&gt;"",--(BB284="Congé"),0),IF($BD$5&lt;&gt;"",--(BD284="Congé"),0),IF($BF$5&lt;&gt;"",--(BF284="Congé"),0),IF($BH$5&lt;&gt;"",--(BH284="Congé"),0),IF($BJ$5&lt;&gt;"",--(BJ284="Congé"),0),IF($BL$5&lt;&gt;"",--(BL284="Congé"),0)))</f>
      </c>
      <c r="BQ284" s="22">
        <f>IF($A284="","",SUM(IF($D$5&lt;&gt;"",--(D284="Maladie"),0),IF($F$5&lt;&gt;"",--(F284="Maladie"),0),IF($H$5&lt;&gt;"",--(H284="Maladie"),0),IF($J$5&lt;&gt;"",--(J284="Maladie"),0),IF($L$5&lt;&gt;"",--(L284="Maladie"),0),IF($N$5&lt;&gt;"",--(N284="Maladie"),0),IF($P$5&lt;&gt;"",--(P284="Maladie"),0),IF($R$5&lt;&gt;"",--(R284="Maladie"),0),IF($T$5&lt;&gt;"",--(T284="Maladie"),0),IF($V$5&lt;&gt;"",--(V284="Maladie"),0),IF($X$5&lt;&gt;"",--(X284="Maladie"),0),IF($Z$5&lt;&gt;"",--(Z284="Maladie"),0),IF($AB$5&lt;&gt;"",--(AB284="Maladie"),0),IF($AD$5&lt;&gt;"",--(AD284="Maladie"),0),IF($AF$5&lt;&gt;"",--(AF284="Maladie"),0),IF($AH$5&lt;&gt;"",--(AH284="Maladie"),0),IF($AJ$5&lt;&gt;"",--(AJ284="Maladie"),0),IF($AL$5&lt;&gt;"",--(AL284="Maladie"),0),IF($AN$5&lt;&gt;"",--(AN284="Maladie"),0),IF($AP$5&lt;&gt;"",--(AP284="Maladie"),0),IF($AR$5&lt;&gt;"",--(AR284="Maladie"),0),IF($AT$5&lt;&gt;"",--(AT284="Maladie"),0),IF($AV$5&lt;&gt;"",--(AV284="Maladie"),0),IF($AX$5&lt;&gt;"",--(AX284="Maladie"),0),IF($AZ$5&lt;&gt;"",--(AZ284="Maladie"),0),IF($BB$5&lt;&gt;"",--(BB284="Maladie"),0),IF($BD$5&lt;&gt;"",--(BD284="Maladie"),0),IF($BF$5&lt;&gt;"",--(BF284="Maladie"),0),IF($BH$5&lt;&gt;"",--(BH284="Maladie"),0),IF($BJ$5&lt;&gt;"",--(BJ284="Maladie"),0),IF($BL$5&lt;&gt;"",--(BL284="Maladie"),0)))</f>
      </c>
      <c r="BR284" s="23">
        <f>IF($A284="","",SUM(IF($D$5&lt;&gt;"",IF(D284="Présent",E284,0),0),IF($F$5&lt;&gt;"",IF(F284="Présent",G284,0),0),IF($H$5&lt;&gt;"",IF(H284="Présent",I284,0),0),IF($J$5&lt;&gt;"",IF(J284="Présent",K284,0),0),IF($L$5&lt;&gt;"",IF(L284="Présent",M284,0),0),IF($N$5&lt;&gt;"",IF(N284="Présent",O284,0),0),IF($P$5&lt;&gt;"",IF(P284="Présent",Q284,0),0),IF($R$5&lt;&gt;"",IF(R284="Présent",S284,0),0),IF($T$5&lt;&gt;"",IF(T284="Présent",U284,0),0),IF($V$5&lt;&gt;"",IF(V284="Présent",W284,0),0),IF($X$5&lt;&gt;"",IF(X284="Présent",Y284,0),0),IF($Z$5&lt;&gt;"",IF(Z284="Présent",AA284,0),0),IF($AB$5&lt;&gt;"",IF(AB284="Présent",AC284,0),0),IF($AD$5&lt;&gt;"",IF(AD284="Présent",AE284,0),0),IF($AF$5&lt;&gt;"",IF(AF284="Présent",AG284,0),0),IF($AH$5&lt;&gt;"",IF(AH284="Présent",AI284,0),0),IF($AJ$5&lt;&gt;"",IF(AJ284="Présent",AK284,0),0),IF($AL$5&lt;&gt;"",IF(AL284="Présent",AM284,0),0),IF($AN$5&lt;&gt;"",IF(AN284="Présent",AO284,0),0),IF($AP$5&lt;&gt;"",IF(AP284="Présent",AQ284,0),0),IF($AR$5&lt;&gt;"",IF(AR284="Présent",AS284,0),0),IF($AT$5&lt;&gt;"",IF(AT284="Présent",AU284,0),0),IF($AV$5&lt;&gt;"",IF(AV284="Présent",AW284,0),0),IF($AX$5&lt;&gt;"",IF(AX284="Présent",AY284,0),0),IF($AZ$5&lt;&gt;"",IF(AZ284="Présent",BA284,0),0),IF($BB$5&lt;&gt;"",IF(BB284="Présent",BC284,0),0),IF($BD$5&lt;&gt;"",IF(BD284="Présent",BE284,0),0),IF($BF$5&lt;&gt;"",IF(BF284="Présent",BG284,0),0),IF($BH$5&lt;&gt;"",IF(BH284="Présent",BI284,0),0),IF($BJ$5&lt;&gt;"",IF(BJ284="Présent",BK284,0),0),IF($BL$5&lt;&gt;"",IF(BL284="Présent",BM284,0),0)))</f>
      </c>
      <c r="BS284" s="25">
        <f>IF($A284="","",$BN284*IFERROR(INDEX(Categories_Salaire,MATCH($C284,ListeCategories,0)),0)+$BR284*IF(IFERROR(INDEX(Categories_TauxHS,MATCH($C284,ListeCategories,0)),0)&gt;0,IFERROR(INDEX(Categories_TauxHS,MATCH($C284,ListeCategories,0)),0),TauxHSDefaut))</f>
      </c>
    </row>
    <row r="285">
      <c r="A285" s="20">
        <f>IF(AND(INDEX(Employes_Nom,279)&lt;&gt;"",INDEX(Employes_Statut,279)="Actif",OR(INDEX(Employes_Embauche,279)="",INDEX(Employes_Embauche,279)&lt;=EOMONTH(DATE(AnneeCourante,MoisCourant,1),0))),INDEX(Employes_ID,279),"")</f>
      </c>
      <c r="B285" s="19">
        <f>IF($A285="","",INDEX(Employes_Nom,MATCH($A285,Employes_ID,0)))</f>
      </c>
      <c r="C285" s="20">
        <f>IF($A285="","",INDEX(Employes_Categorie,MATCH($A285,Employes_ID,0)))</f>
      </c>
      <c r="D285" s="26"/>
      <c r="E285" s="27"/>
      <c r="F285" s="26"/>
      <c r="G285" s="27"/>
      <c r="H285" s="26"/>
      <c r="I285" s="27"/>
      <c r="J285" s="26"/>
      <c r="K285" s="27"/>
      <c r="L285" s="26"/>
      <c r="M285" s="27"/>
      <c r="N285" s="26"/>
      <c r="O285" s="27"/>
      <c r="P285" s="26"/>
      <c r="Q285" s="27"/>
      <c r="R285" s="26"/>
      <c r="S285" s="27"/>
      <c r="T285" s="26"/>
      <c r="U285" s="27"/>
      <c r="V285" s="26"/>
      <c r="W285" s="27"/>
      <c r="X285" s="26"/>
      <c r="Y285" s="27"/>
      <c r="Z285" s="26"/>
      <c r="AA285" s="27"/>
      <c r="AB285" s="26"/>
      <c r="AC285" s="27"/>
      <c r="AD285" s="26"/>
      <c r="AE285" s="27"/>
      <c r="AF285" s="26"/>
      <c r="AG285" s="27"/>
      <c r="AH285" s="26"/>
      <c r="AI285" s="27"/>
      <c r="AJ285" s="26"/>
      <c r="AK285" s="27"/>
      <c r="AL285" s="26"/>
      <c r="AM285" s="27"/>
      <c r="AN285" s="26"/>
      <c r="AO285" s="27"/>
      <c r="AP285" s="26"/>
      <c r="AQ285" s="27"/>
      <c r="AR285" s="26"/>
      <c r="AS285" s="27"/>
      <c r="AT285" s="26"/>
      <c r="AU285" s="27"/>
      <c r="AV285" s="26"/>
      <c r="AW285" s="27"/>
      <c r="AX285" s="26"/>
      <c r="AY285" s="27"/>
      <c r="AZ285" s="26"/>
      <c r="BA285" s="27"/>
      <c r="BB285" s="26"/>
      <c r="BC285" s="27"/>
      <c r="BD285" s="26"/>
      <c r="BE285" s="27"/>
      <c r="BF285" s="26"/>
      <c r="BG285" s="27"/>
      <c r="BH285" s="26"/>
      <c r="BI285" s="27"/>
      <c r="BJ285" s="26"/>
      <c r="BK285" s="27"/>
      <c r="BL285" s="26"/>
      <c r="BM285" s="27"/>
      <c r="BN285" s="22">
        <f>IF($A285="","",SUM(IF($D$5&lt;&gt;"",--(D285="Présent"),0),IF($F$5&lt;&gt;"",--(F285="Présent"),0),IF($H$5&lt;&gt;"",--(H285="Présent"),0),IF($J$5&lt;&gt;"",--(J285="Présent"),0),IF($L$5&lt;&gt;"",--(L285="Présent"),0),IF($N$5&lt;&gt;"",--(N285="Présent"),0),IF($P$5&lt;&gt;"",--(P285="Présent"),0),IF($R$5&lt;&gt;"",--(R285="Présent"),0),IF($T$5&lt;&gt;"",--(T285="Présent"),0),IF($V$5&lt;&gt;"",--(V285="Présent"),0),IF($X$5&lt;&gt;"",--(X285="Présent"),0),IF($Z$5&lt;&gt;"",--(Z285="Présent"),0),IF($AB$5&lt;&gt;"",--(AB285="Présent"),0),IF($AD$5&lt;&gt;"",--(AD285="Présent"),0),IF($AF$5&lt;&gt;"",--(AF285="Présent"),0),IF($AH$5&lt;&gt;"",--(AH285="Présent"),0),IF($AJ$5&lt;&gt;"",--(AJ285="Présent"),0),IF($AL$5&lt;&gt;"",--(AL285="Présent"),0),IF($AN$5&lt;&gt;"",--(AN285="Présent"),0),IF($AP$5&lt;&gt;"",--(AP285="Présent"),0),IF($AR$5&lt;&gt;"",--(AR285="Présent"),0),IF($AT$5&lt;&gt;"",--(AT285="Présent"),0),IF($AV$5&lt;&gt;"",--(AV285="Présent"),0),IF($AX$5&lt;&gt;"",--(AX285="Présent"),0),IF($AZ$5&lt;&gt;"",--(AZ285="Présent"),0),IF($BB$5&lt;&gt;"",--(BB285="Présent"),0),IF($BD$5&lt;&gt;"",--(BD285="Présent"),0),IF($BF$5&lt;&gt;"",--(BF285="Présent"),0),IF($BH$5&lt;&gt;"",--(BH285="Présent"),0),IF($BJ$5&lt;&gt;"",--(BJ285="Présent"),0),IF($BL$5&lt;&gt;"",--(BL285="Présent"),0)))</f>
      </c>
      <c r="BO285" s="22">
        <f>IF($A285="","",SUM(IF($D$5&lt;&gt;"",--(D285="Absent"),0),IF($F$5&lt;&gt;"",--(F285="Absent"),0),IF($H$5&lt;&gt;"",--(H285="Absent"),0),IF($J$5&lt;&gt;"",--(J285="Absent"),0),IF($L$5&lt;&gt;"",--(L285="Absent"),0),IF($N$5&lt;&gt;"",--(N285="Absent"),0),IF($P$5&lt;&gt;"",--(P285="Absent"),0),IF($R$5&lt;&gt;"",--(R285="Absent"),0),IF($T$5&lt;&gt;"",--(T285="Absent"),0),IF($V$5&lt;&gt;"",--(V285="Absent"),0),IF($X$5&lt;&gt;"",--(X285="Absent"),0),IF($Z$5&lt;&gt;"",--(Z285="Absent"),0),IF($AB$5&lt;&gt;"",--(AB285="Absent"),0),IF($AD$5&lt;&gt;"",--(AD285="Absent"),0),IF($AF$5&lt;&gt;"",--(AF285="Absent"),0),IF($AH$5&lt;&gt;"",--(AH285="Absent"),0),IF($AJ$5&lt;&gt;"",--(AJ285="Absent"),0),IF($AL$5&lt;&gt;"",--(AL285="Absent"),0),IF($AN$5&lt;&gt;"",--(AN285="Absent"),0),IF($AP$5&lt;&gt;"",--(AP285="Absent"),0),IF($AR$5&lt;&gt;"",--(AR285="Absent"),0),IF($AT$5&lt;&gt;"",--(AT285="Absent"),0),IF($AV$5&lt;&gt;"",--(AV285="Absent"),0),IF($AX$5&lt;&gt;"",--(AX285="Absent"),0),IF($AZ$5&lt;&gt;"",--(AZ285="Absent"),0),IF($BB$5&lt;&gt;"",--(BB285="Absent"),0),IF($BD$5&lt;&gt;"",--(BD285="Absent"),0),IF($BF$5&lt;&gt;"",--(BF285="Absent"),0),IF($BH$5&lt;&gt;"",--(BH285="Absent"),0),IF($BJ$5&lt;&gt;"",--(BJ285="Absent"),0),IF($BL$5&lt;&gt;"",--(BL285="Absent"),0)))</f>
      </c>
      <c r="BP285" s="22">
        <f>IF($A285="","",SUM(IF($D$5&lt;&gt;"",--(D285="Congé"),0),IF($F$5&lt;&gt;"",--(F285="Congé"),0),IF($H$5&lt;&gt;"",--(H285="Congé"),0),IF($J$5&lt;&gt;"",--(J285="Congé"),0),IF($L$5&lt;&gt;"",--(L285="Congé"),0),IF($N$5&lt;&gt;"",--(N285="Congé"),0),IF($P$5&lt;&gt;"",--(P285="Congé"),0),IF($R$5&lt;&gt;"",--(R285="Congé"),0),IF($T$5&lt;&gt;"",--(T285="Congé"),0),IF($V$5&lt;&gt;"",--(V285="Congé"),0),IF($X$5&lt;&gt;"",--(X285="Congé"),0),IF($Z$5&lt;&gt;"",--(Z285="Congé"),0),IF($AB$5&lt;&gt;"",--(AB285="Congé"),0),IF($AD$5&lt;&gt;"",--(AD285="Congé"),0),IF($AF$5&lt;&gt;"",--(AF285="Congé"),0),IF($AH$5&lt;&gt;"",--(AH285="Congé"),0),IF($AJ$5&lt;&gt;"",--(AJ285="Congé"),0),IF($AL$5&lt;&gt;"",--(AL285="Congé"),0),IF($AN$5&lt;&gt;"",--(AN285="Congé"),0),IF($AP$5&lt;&gt;"",--(AP285="Congé"),0),IF($AR$5&lt;&gt;"",--(AR285="Congé"),0),IF($AT$5&lt;&gt;"",--(AT285="Congé"),0),IF($AV$5&lt;&gt;"",--(AV285="Congé"),0),IF($AX$5&lt;&gt;"",--(AX285="Congé"),0),IF($AZ$5&lt;&gt;"",--(AZ285="Congé"),0),IF($BB$5&lt;&gt;"",--(BB285="Congé"),0),IF($BD$5&lt;&gt;"",--(BD285="Congé"),0),IF($BF$5&lt;&gt;"",--(BF285="Congé"),0),IF($BH$5&lt;&gt;"",--(BH285="Congé"),0),IF($BJ$5&lt;&gt;"",--(BJ285="Congé"),0),IF($BL$5&lt;&gt;"",--(BL285="Congé"),0)))</f>
      </c>
      <c r="BQ285" s="22">
        <f>IF($A285="","",SUM(IF($D$5&lt;&gt;"",--(D285="Maladie"),0),IF($F$5&lt;&gt;"",--(F285="Maladie"),0),IF($H$5&lt;&gt;"",--(H285="Maladie"),0),IF($J$5&lt;&gt;"",--(J285="Maladie"),0),IF($L$5&lt;&gt;"",--(L285="Maladie"),0),IF($N$5&lt;&gt;"",--(N285="Maladie"),0),IF($P$5&lt;&gt;"",--(P285="Maladie"),0),IF($R$5&lt;&gt;"",--(R285="Maladie"),0),IF($T$5&lt;&gt;"",--(T285="Maladie"),0),IF($V$5&lt;&gt;"",--(V285="Maladie"),0),IF($X$5&lt;&gt;"",--(X285="Maladie"),0),IF($Z$5&lt;&gt;"",--(Z285="Maladie"),0),IF($AB$5&lt;&gt;"",--(AB285="Maladie"),0),IF($AD$5&lt;&gt;"",--(AD285="Maladie"),0),IF($AF$5&lt;&gt;"",--(AF285="Maladie"),0),IF($AH$5&lt;&gt;"",--(AH285="Maladie"),0),IF($AJ$5&lt;&gt;"",--(AJ285="Maladie"),0),IF($AL$5&lt;&gt;"",--(AL285="Maladie"),0),IF($AN$5&lt;&gt;"",--(AN285="Maladie"),0),IF($AP$5&lt;&gt;"",--(AP285="Maladie"),0),IF($AR$5&lt;&gt;"",--(AR285="Maladie"),0),IF($AT$5&lt;&gt;"",--(AT285="Maladie"),0),IF($AV$5&lt;&gt;"",--(AV285="Maladie"),0),IF($AX$5&lt;&gt;"",--(AX285="Maladie"),0),IF($AZ$5&lt;&gt;"",--(AZ285="Maladie"),0),IF($BB$5&lt;&gt;"",--(BB285="Maladie"),0),IF($BD$5&lt;&gt;"",--(BD285="Maladie"),0),IF($BF$5&lt;&gt;"",--(BF285="Maladie"),0),IF($BH$5&lt;&gt;"",--(BH285="Maladie"),0),IF($BJ$5&lt;&gt;"",--(BJ285="Maladie"),0),IF($BL$5&lt;&gt;"",--(BL285="Maladie"),0)))</f>
      </c>
      <c r="BR285" s="23">
        <f>IF($A285="","",SUM(IF($D$5&lt;&gt;"",IF(D285="Présent",E285,0),0),IF($F$5&lt;&gt;"",IF(F285="Présent",G285,0),0),IF($H$5&lt;&gt;"",IF(H285="Présent",I285,0),0),IF($J$5&lt;&gt;"",IF(J285="Présent",K285,0),0),IF($L$5&lt;&gt;"",IF(L285="Présent",M285,0),0),IF($N$5&lt;&gt;"",IF(N285="Présent",O285,0),0),IF($P$5&lt;&gt;"",IF(P285="Présent",Q285,0),0),IF($R$5&lt;&gt;"",IF(R285="Présent",S285,0),0),IF($T$5&lt;&gt;"",IF(T285="Présent",U285,0),0),IF($V$5&lt;&gt;"",IF(V285="Présent",W285,0),0),IF($X$5&lt;&gt;"",IF(X285="Présent",Y285,0),0),IF($Z$5&lt;&gt;"",IF(Z285="Présent",AA285,0),0),IF($AB$5&lt;&gt;"",IF(AB285="Présent",AC285,0),0),IF($AD$5&lt;&gt;"",IF(AD285="Présent",AE285,0),0),IF($AF$5&lt;&gt;"",IF(AF285="Présent",AG285,0),0),IF($AH$5&lt;&gt;"",IF(AH285="Présent",AI285,0),0),IF($AJ$5&lt;&gt;"",IF(AJ285="Présent",AK285,0),0),IF($AL$5&lt;&gt;"",IF(AL285="Présent",AM285,0),0),IF($AN$5&lt;&gt;"",IF(AN285="Présent",AO285,0),0),IF($AP$5&lt;&gt;"",IF(AP285="Présent",AQ285,0),0),IF($AR$5&lt;&gt;"",IF(AR285="Présent",AS285,0),0),IF($AT$5&lt;&gt;"",IF(AT285="Présent",AU285,0),0),IF($AV$5&lt;&gt;"",IF(AV285="Présent",AW285,0),0),IF($AX$5&lt;&gt;"",IF(AX285="Présent",AY285,0),0),IF($AZ$5&lt;&gt;"",IF(AZ285="Présent",BA285,0),0),IF($BB$5&lt;&gt;"",IF(BB285="Présent",BC285,0),0),IF($BD$5&lt;&gt;"",IF(BD285="Présent",BE285,0),0),IF($BF$5&lt;&gt;"",IF(BF285="Présent",BG285,0),0),IF($BH$5&lt;&gt;"",IF(BH285="Présent",BI285,0),0),IF($BJ$5&lt;&gt;"",IF(BJ285="Présent",BK285,0),0),IF($BL$5&lt;&gt;"",IF(BL285="Présent",BM285,0),0)))</f>
      </c>
      <c r="BS285" s="25">
        <f>IF($A285="","",$BN285*IFERROR(INDEX(Categories_Salaire,MATCH($C285,ListeCategories,0)),0)+$BR285*IF(IFERROR(INDEX(Categories_TauxHS,MATCH($C285,ListeCategories,0)),0)&gt;0,IFERROR(INDEX(Categories_TauxHS,MATCH($C285,ListeCategories,0)),0),TauxHSDefaut))</f>
      </c>
    </row>
    <row r="286">
      <c r="A286" s="20">
        <f>IF(AND(INDEX(Employes_Nom,280)&lt;&gt;"",INDEX(Employes_Statut,280)="Actif",OR(INDEX(Employes_Embauche,280)="",INDEX(Employes_Embauche,280)&lt;=EOMONTH(DATE(AnneeCourante,MoisCourant,1),0))),INDEX(Employes_ID,280),"")</f>
      </c>
      <c r="B286" s="19">
        <f>IF($A286="","",INDEX(Employes_Nom,MATCH($A286,Employes_ID,0)))</f>
      </c>
      <c r="C286" s="20">
        <f>IF($A286="","",INDEX(Employes_Categorie,MATCH($A286,Employes_ID,0)))</f>
      </c>
      <c r="D286" s="26"/>
      <c r="E286" s="27"/>
      <c r="F286" s="26"/>
      <c r="G286" s="27"/>
      <c r="H286" s="26"/>
      <c r="I286" s="27"/>
      <c r="J286" s="26"/>
      <c r="K286" s="27"/>
      <c r="L286" s="26"/>
      <c r="M286" s="27"/>
      <c r="N286" s="26"/>
      <c r="O286" s="27"/>
      <c r="P286" s="26"/>
      <c r="Q286" s="27"/>
      <c r="R286" s="26"/>
      <c r="S286" s="27"/>
      <c r="T286" s="26"/>
      <c r="U286" s="27"/>
      <c r="V286" s="26"/>
      <c r="W286" s="27"/>
      <c r="X286" s="26"/>
      <c r="Y286" s="27"/>
      <c r="Z286" s="26"/>
      <c r="AA286" s="27"/>
      <c r="AB286" s="26"/>
      <c r="AC286" s="27"/>
      <c r="AD286" s="26"/>
      <c r="AE286" s="27"/>
      <c r="AF286" s="26"/>
      <c r="AG286" s="27"/>
      <c r="AH286" s="26"/>
      <c r="AI286" s="27"/>
      <c r="AJ286" s="26"/>
      <c r="AK286" s="27"/>
      <c r="AL286" s="26"/>
      <c r="AM286" s="27"/>
      <c r="AN286" s="26"/>
      <c r="AO286" s="27"/>
      <c r="AP286" s="26"/>
      <c r="AQ286" s="27"/>
      <c r="AR286" s="26"/>
      <c r="AS286" s="27"/>
      <c r="AT286" s="26"/>
      <c r="AU286" s="27"/>
      <c r="AV286" s="26"/>
      <c r="AW286" s="27"/>
      <c r="AX286" s="26"/>
      <c r="AY286" s="27"/>
      <c r="AZ286" s="26"/>
      <c r="BA286" s="27"/>
      <c r="BB286" s="26"/>
      <c r="BC286" s="27"/>
      <c r="BD286" s="26"/>
      <c r="BE286" s="27"/>
      <c r="BF286" s="26"/>
      <c r="BG286" s="27"/>
      <c r="BH286" s="26"/>
      <c r="BI286" s="27"/>
      <c r="BJ286" s="26"/>
      <c r="BK286" s="27"/>
      <c r="BL286" s="26"/>
      <c r="BM286" s="27"/>
      <c r="BN286" s="22">
        <f>IF($A286="","",SUM(IF($D$5&lt;&gt;"",--(D286="Présent"),0),IF($F$5&lt;&gt;"",--(F286="Présent"),0),IF($H$5&lt;&gt;"",--(H286="Présent"),0),IF($J$5&lt;&gt;"",--(J286="Présent"),0),IF($L$5&lt;&gt;"",--(L286="Présent"),0),IF($N$5&lt;&gt;"",--(N286="Présent"),0),IF($P$5&lt;&gt;"",--(P286="Présent"),0),IF($R$5&lt;&gt;"",--(R286="Présent"),0),IF($T$5&lt;&gt;"",--(T286="Présent"),0),IF($V$5&lt;&gt;"",--(V286="Présent"),0),IF($X$5&lt;&gt;"",--(X286="Présent"),0),IF($Z$5&lt;&gt;"",--(Z286="Présent"),0),IF($AB$5&lt;&gt;"",--(AB286="Présent"),0),IF($AD$5&lt;&gt;"",--(AD286="Présent"),0),IF($AF$5&lt;&gt;"",--(AF286="Présent"),0),IF($AH$5&lt;&gt;"",--(AH286="Présent"),0),IF($AJ$5&lt;&gt;"",--(AJ286="Présent"),0),IF($AL$5&lt;&gt;"",--(AL286="Présent"),0),IF($AN$5&lt;&gt;"",--(AN286="Présent"),0),IF($AP$5&lt;&gt;"",--(AP286="Présent"),0),IF($AR$5&lt;&gt;"",--(AR286="Présent"),0),IF($AT$5&lt;&gt;"",--(AT286="Présent"),0),IF($AV$5&lt;&gt;"",--(AV286="Présent"),0),IF($AX$5&lt;&gt;"",--(AX286="Présent"),0),IF($AZ$5&lt;&gt;"",--(AZ286="Présent"),0),IF($BB$5&lt;&gt;"",--(BB286="Présent"),0),IF($BD$5&lt;&gt;"",--(BD286="Présent"),0),IF($BF$5&lt;&gt;"",--(BF286="Présent"),0),IF($BH$5&lt;&gt;"",--(BH286="Présent"),0),IF($BJ$5&lt;&gt;"",--(BJ286="Présent"),0),IF($BL$5&lt;&gt;"",--(BL286="Présent"),0)))</f>
      </c>
      <c r="BO286" s="22">
        <f>IF($A286="","",SUM(IF($D$5&lt;&gt;"",--(D286="Absent"),0),IF($F$5&lt;&gt;"",--(F286="Absent"),0),IF($H$5&lt;&gt;"",--(H286="Absent"),0),IF($J$5&lt;&gt;"",--(J286="Absent"),0),IF($L$5&lt;&gt;"",--(L286="Absent"),0),IF($N$5&lt;&gt;"",--(N286="Absent"),0),IF($P$5&lt;&gt;"",--(P286="Absent"),0),IF($R$5&lt;&gt;"",--(R286="Absent"),0),IF($T$5&lt;&gt;"",--(T286="Absent"),0),IF($V$5&lt;&gt;"",--(V286="Absent"),0),IF($X$5&lt;&gt;"",--(X286="Absent"),0),IF($Z$5&lt;&gt;"",--(Z286="Absent"),0),IF($AB$5&lt;&gt;"",--(AB286="Absent"),0),IF($AD$5&lt;&gt;"",--(AD286="Absent"),0),IF($AF$5&lt;&gt;"",--(AF286="Absent"),0),IF($AH$5&lt;&gt;"",--(AH286="Absent"),0),IF($AJ$5&lt;&gt;"",--(AJ286="Absent"),0),IF($AL$5&lt;&gt;"",--(AL286="Absent"),0),IF($AN$5&lt;&gt;"",--(AN286="Absent"),0),IF($AP$5&lt;&gt;"",--(AP286="Absent"),0),IF($AR$5&lt;&gt;"",--(AR286="Absent"),0),IF($AT$5&lt;&gt;"",--(AT286="Absent"),0),IF($AV$5&lt;&gt;"",--(AV286="Absent"),0),IF($AX$5&lt;&gt;"",--(AX286="Absent"),0),IF($AZ$5&lt;&gt;"",--(AZ286="Absent"),0),IF($BB$5&lt;&gt;"",--(BB286="Absent"),0),IF($BD$5&lt;&gt;"",--(BD286="Absent"),0),IF($BF$5&lt;&gt;"",--(BF286="Absent"),0),IF($BH$5&lt;&gt;"",--(BH286="Absent"),0),IF($BJ$5&lt;&gt;"",--(BJ286="Absent"),0),IF($BL$5&lt;&gt;"",--(BL286="Absent"),0)))</f>
      </c>
      <c r="BP286" s="22">
        <f>IF($A286="","",SUM(IF($D$5&lt;&gt;"",--(D286="Congé"),0),IF($F$5&lt;&gt;"",--(F286="Congé"),0),IF($H$5&lt;&gt;"",--(H286="Congé"),0),IF($J$5&lt;&gt;"",--(J286="Congé"),0),IF($L$5&lt;&gt;"",--(L286="Congé"),0),IF($N$5&lt;&gt;"",--(N286="Congé"),0),IF($P$5&lt;&gt;"",--(P286="Congé"),0),IF($R$5&lt;&gt;"",--(R286="Congé"),0),IF($T$5&lt;&gt;"",--(T286="Congé"),0),IF($V$5&lt;&gt;"",--(V286="Congé"),0),IF($X$5&lt;&gt;"",--(X286="Congé"),0),IF($Z$5&lt;&gt;"",--(Z286="Congé"),0),IF($AB$5&lt;&gt;"",--(AB286="Congé"),0),IF($AD$5&lt;&gt;"",--(AD286="Congé"),0),IF($AF$5&lt;&gt;"",--(AF286="Congé"),0),IF($AH$5&lt;&gt;"",--(AH286="Congé"),0),IF($AJ$5&lt;&gt;"",--(AJ286="Congé"),0),IF($AL$5&lt;&gt;"",--(AL286="Congé"),0),IF($AN$5&lt;&gt;"",--(AN286="Congé"),0),IF($AP$5&lt;&gt;"",--(AP286="Congé"),0),IF($AR$5&lt;&gt;"",--(AR286="Congé"),0),IF($AT$5&lt;&gt;"",--(AT286="Congé"),0),IF($AV$5&lt;&gt;"",--(AV286="Congé"),0),IF($AX$5&lt;&gt;"",--(AX286="Congé"),0),IF($AZ$5&lt;&gt;"",--(AZ286="Congé"),0),IF($BB$5&lt;&gt;"",--(BB286="Congé"),0),IF($BD$5&lt;&gt;"",--(BD286="Congé"),0),IF($BF$5&lt;&gt;"",--(BF286="Congé"),0),IF($BH$5&lt;&gt;"",--(BH286="Congé"),0),IF($BJ$5&lt;&gt;"",--(BJ286="Congé"),0),IF($BL$5&lt;&gt;"",--(BL286="Congé"),0)))</f>
      </c>
      <c r="BQ286" s="22">
        <f>IF($A286="","",SUM(IF($D$5&lt;&gt;"",--(D286="Maladie"),0),IF($F$5&lt;&gt;"",--(F286="Maladie"),0),IF($H$5&lt;&gt;"",--(H286="Maladie"),0),IF($J$5&lt;&gt;"",--(J286="Maladie"),0),IF($L$5&lt;&gt;"",--(L286="Maladie"),0),IF($N$5&lt;&gt;"",--(N286="Maladie"),0),IF($P$5&lt;&gt;"",--(P286="Maladie"),0),IF($R$5&lt;&gt;"",--(R286="Maladie"),0),IF($T$5&lt;&gt;"",--(T286="Maladie"),0),IF($V$5&lt;&gt;"",--(V286="Maladie"),0),IF($X$5&lt;&gt;"",--(X286="Maladie"),0),IF($Z$5&lt;&gt;"",--(Z286="Maladie"),0),IF($AB$5&lt;&gt;"",--(AB286="Maladie"),0),IF($AD$5&lt;&gt;"",--(AD286="Maladie"),0),IF($AF$5&lt;&gt;"",--(AF286="Maladie"),0),IF($AH$5&lt;&gt;"",--(AH286="Maladie"),0),IF($AJ$5&lt;&gt;"",--(AJ286="Maladie"),0),IF($AL$5&lt;&gt;"",--(AL286="Maladie"),0),IF($AN$5&lt;&gt;"",--(AN286="Maladie"),0),IF($AP$5&lt;&gt;"",--(AP286="Maladie"),0),IF($AR$5&lt;&gt;"",--(AR286="Maladie"),0),IF($AT$5&lt;&gt;"",--(AT286="Maladie"),0),IF($AV$5&lt;&gt;"",--(AV286="Maladie"),0),IF($AX$5&lt;&gt;"",--(AX286="Maladie"),0),IF($AZ$5&lt;&gt;"",--(AZ286="Maladie"),0),IF($BB$5&lt;&gt;"",--(BB286="Maladie"),0),IF($BD$5&lt;&gt;"",--(BD286="Maladie"),0),IF($BF$5&lt;&gt;"",--(BF286="Maladie"),0),IF($BH$5&lt;&gt;"",--(BH286="Maladie"),0),IF($BJ$5&lt;&gt;"",--(BJ286="Maladie"),0),IF($BL$5&lt;&gt;"",--(BL286="Maladie"),0)))</f>
      </c>
      <c r="BR286" s="23">
        <f>IF($A286="","",SUM(IF($D$5&lt;&gt;"",IF(D286="Présent",E286,0),0),IF($F$5&lt;&gt;"",IF(F286="Présent",G286,0),0),IF($H$5&lt;&gt;"",IF(H286="Présent",I286,0),0),IF($J$5&lt;&gt;"",IF(J286="Présent",K286,0),0),IF($L$5&lt;&gt;"",IF(L286="Présent",M286,0),0),IF($N$5&lt;&gt;"",IF(N286="Présent",O286,0),0),IF($P$5&lt;&gt;"",IF(P286="Présent",Q286,0),0),IF($R$5&lt;&gt;"",IF(R286="Présent",S286,0),0),IF($T$5&lt;&gt;"",IF(T286="Présent",U286,0),0),IF($V$5&lt;&gt;"",IF(V286="Présent",W286,0),0),IF($X$5&lt;&gt;"",IF(X286="Présent",Y286,0),0),IF($Z$5&lt;&gt;"",IF(Z286="Présent",AA286,0),0),IF($AB$5&lt;&gt;"",IF(AB286="Présent",AC286,0),0),IF($AD$5&lt;&gt;"",IF(AD286="Présent",AE286,0),0),IF($AF$5&lt;&gt;"",IF(AF286="Présent",AG286,0),0),IF($AH$5&lt;&gt;"",IF(AH286="Présent",AI286,0),0),IF($AJ$5&lt;&gt;"",IF(AJ286="Présent",AK286,0),0),IF($AL$5&lt;&gt;"",IF(AL286="Présent",AM286,0),0),IF($AN$5&lt;&gt;"",IF(AN286="Présent",AO286,0),0),IF($AP$5&lt;&gt;"",IF(AP286="Présent",AQ286,0),0),IF($AR$5&lt;&gt;"",IF(AR286="Présent",AS286,0),0),IF($AT$5&lt;&gt;"",IF(AT286="Présent",AU286,0),0),IF($AV$5&lt;&gt;"",IF(AV286="Présent",AW286,0),0),IF($AX$5&lt;&gt;"",IF(AX286="Présent",AY286,0),0),IF($AZ$5&lt;&gt;"",IF(AZ286="Présent",BA286,0),0),IF($BB$5&lt;&gt;"",IF(BB286="Présent",BC286,0),0),IF($BD$5&lt;&gt;"",IF(BD286="Présent",BE286,0),0),IF($BF$5&lt;&gt;"",IF(BF286="Présent",BG286,0),0),IF($BH$5&lt;&gt;"",IF(BH286="Présent",BI286,0),0),IF($BJ$5&lt;&gt;"",IF(BJ286="Présent",BK286,0),0),IF($BL$5&lt;&gt;"",IF(BL286="Présent",BM286,0),0)))</f>
      </c>
      <c r="BS286" s="25">
        <f>IF($A286="","",$BN286*IFERROR(INDEX(Categories_Salaire,MATCH($C286,ListeCategories,0)),0)+$BR286*IF(IFERROR(INDEX(Categories_TauxHS,MATCH($C286,ListeCategories,0)),0)&gt;0,IFERROR(INDEX(Categories_TauxHS,MATCH($C286,ListeCategories,0)),0),TauxHSDefaut))</f>
      </c>
    </row>
    <row r="287">
      <c r="A287" s="20">
        <f>IF(AND(INDEX(Employes_Nom,281)&lt;&gt;"",INDEX(Employes_Statut,281)="Actif",OR(INDEX(Employes_Embauche,281)="",INDEX(Employes_Embauche,281)&lt;=EOMONTH(DATE(AnneeCourante,MoisCourant,1),0))),INDEX(Employes_ID,281),"")</f>
      </c>
      <c r="B287" s="19">
        <f>IF($A287="","",INDEX(Employes_Nom,MATCH($A287,Employes_ID,0)))</f>
      </c>
      <c r="C287" s="20">
        <f>IF($A287="","",INDEX(Employes_Categorie,MATCH($A287,Employes_ID,0)))</f>
      </c>
      <c r="D287" s="26"/>
      <c r="E287" s="27"/>
      <c r="F287" s="26"/>
      <c r="G287" s="27"/>
      <c r="H287" s="26"/>
      <c r="I287" s="27"/>
      <c r="J287" s="26"/>
      <c r="K287" s="27"/>
      <c r="L287" s="26"/>
      <c r="M287" s="27"/>
      <c r="N287" s="26"/>
      <c r="O287" s="27"/>
      <c r="P287" s="26"/>
      <c r="Q287" s="27"/>
      <c r="R287" s="26"/>
      <c r="S287" s="27"/>
      <c r="T287" s="26"/>
      <c r="U287" s="27"/>
      <c r="V287" s="26"/>
      <c r="W287" s="27"/>
      <c r="X287" s="26"/>
      <c r="Y287" s="27"/>
      <c r="Z287" s="26"/>
      <c r="AA287" s="27"/>
      <c r="AB287" s="26"/>
      <c r="AC287" s="27"/>
      <c r="AD287" s="26"/>
      <c r="AE287" s="27"/>
      <c r="AF287" s="26"/>
      <c r="AG287" s="27"/>
      <c r="AH287" s="26"/>
      <c r="AI287" s="27"/>
      <c r="AJ287" s="26"/>
      <c r="AK287" s="27"/>
      <c r="AL287" s="26"/>
      <c r="AM287" s="27"/>
      <c r="AN287" s="26"/>
      <c r="AO287" s="27"/>
      <c r="AP287" s="26"/>
      <c r="AQ287" s="27"/>
      <c r="AR287" s="26"/>
      <c r="AS287" s="27"/>
      <c r="AT287" s="26"/>
      <c r="AU287" s="27"/>
      <c r="AV287" s="26"/>
      <c r="AW287" s="27"/>
      <c r="AX287" s="26"/>
      <c r="AY287" s="27"/>
      <c r="AZ287" s="26"/>
      <c r="BA287" s="27"/>
      <c r="BB287" s="26"/>
      <c r="BC287" s="27"/>
      <c r="BD287" s="26"/>
      <c r="BE287" s="27"/>
      <c r="BF287" s="26"/>
      <c r="BG287" s="27"/>
      <c r="BH287" s="26"/>
      <c r="BI287" s="27"/>
      <c r="BJ287" s="26"/>
      <c r="BK287" s="27"/>
      <c r="BL287" s="26"/>
      <c r="BM287" s="27"/>
      <c r="BN287" s="22">
        <f>IF($A287="","",SUM(IF($D$5&lt;&gt;"",--(D287="Présent"),0),IF($F$5&lt;&gt;"",--(F287="Présent"),0),IF($H$5&lt;&gt;"",--(H287="Présent"),0),IF($J$5&lt;&gt;"",--(J287="Présent"),0),IF($L$5&lt;&gt;"",--(L287="Présent"),0),IF($N$5&lt;&gt;"",--(N287="Présent"),0),IF($P$5&lt;&gt;"",--(P287="Présent"),0),IF($R$5&lt;&gt;"",--(R287="Présent"),0),IF($T$5&lt;&gt;"",--(T287="Présent"),0),IF($V$5&lt;&gt;"",--(V287="Présent"),0),IF($X$5&lt;&gt;"",--(X287="Présent"),0),IF($Z$5&lt;&gt;"",--(Z287="Présent"),0),IF($AB$5&lt;&gt;"",--(AB287="Présent"),0),IF($AD$5&lt;&gt;"",--(AD287="Présent"),0),IF($AF$5&lt;&gt;"",--(AF287="Présent"),0),IF($AH$5&lt;&gt;"",--(AH287="Présent"),0),IF($AJ$5&lt;&gt;"",--(AJ287="Présent"),0),IF($AL$5&lt;&gt;"",--(AL287="Présent"),0),IF($AN$5&lt;&gt;"",--(AN287="Présent"),0),IF($AP$5&lt;&gt;"",--(AP287="Présent"),0),IF($AR$5&lt;&gt;"",--(AR287="Présent"),0),IF($AT$5&lt;&gt;"",--(AT287="Présent"),0),IF($AV$5&lt;&gt;"",--(AV287="Présent"),0),IF($AX$5&lt;&gt;"",--(AX287="Présent"),0),IF($AZ$5&lt;&gt;"",--(AZ287="Présent"),0),IF($BB$5&lt;&gt;"",--(BB287="Présent"),0),IF($BD$5&lt;&gt;"",--(BD287="Présent"),0),IF($BF$5&lt;&gt;"",--(BF287="Présent"),0),IF($BH$5&lt;&gt;"",--(BH287="Présent"),0),IF($BJ$5&lt;&gt;"",--(BJ287="Présent"),0),IF($BL$5&lt;&gt;"",--(BL287="Présent"),0)))</f>
      </c>
      <c r="BO287" s="22">
        <f>IF($A287="","",SUM(IF($D$5&lt;&gt;"",--(D287="Absent"),0),IF($F$5&lt;&gt;"",--(F287="Absent"),0),IF($H$5&lt;&gt;"",--(H287="Absent"),0),IF($J$5&lt;&gt;"",--(J287="Absent"),0),IF($L$5&lt;&gt;"",--(L287="Absent"),0),IF($N$5&lt;&gt;"",--(N287="Absent"),0),IF($P$5&lt;&gt;"",--(P287="Absent"),0),IF($R$5&lt;&gt;"",--(R287="Absent"),0),IF($T$5&lt;&gt;"",--(T287="Absent"),0),IF($V$5&lt;&gt;"",--(V287="Absent"),0),IF($X$5&lt;&gt;"",--(X287="Absent"),0),IF($Z$5&lt;&gt;"",--(Z287="Absent"),0),IF($AB$5&lt;&gt;"",--(AB287="Absent"),0),IF($AD$5&lt;&gt;"",--(AD287="Absent"),0),IF($AF$5&lt;&gt;"",--(AF287="Absent"),0),IF($AH$5&lt;&gt;"",--(AH287="Absent"),0),IF($AJ$5&lt;&gt;"",--(AJ287="Absent"),0),IF($AL$5&lt;&gt;"",--(AL287="Absent"),0),IF($AN$5&lt;&gt;"",--(AN287="Absent"),0),IF($AP$5&lt;&gt;"",--(AP287="Absent"),0),IF($AR$5&lt;&gt;"",--(AR287="Absent"),0),IF($AT$5&lt;&gt;"",--(AT287="Absent"),0),IF($AV$5&lt;&gt;"",--(AV287="Absent"),0),IF($AX$5&lt;&gt;"",--(AX287="Absent"),0),IF($AZ$5&lt;&gt;"",--(AZ287="Absent"),0),IF($BB$5&lt;&gt;"",--(BB287="Absent"),0),IF($BD$5&lt;&gt;"",--(BD287="Absent"),0),IF($BF$5&lt;&gt;"",--(BF287="Absent"),0),IF($BH$5&lt;&gt;"",--(BH287="Absent"),0),IF($BJ$5&lt;&gt;"",--(BJ287="Absent"),0),IF($BL$5&lt;&gt;"",--(BL287="Absent"),0)))</f>
      </c>
      <c r="BP287" s="22">
        <f>IF($A287="","",SUM(IF($D$5&lt;&gt;"",--(D287="Congé"),0),IF($F$5&lt;&gt;"",--(F287="Congé"),0),IF($H$5&lt;&gt;"",--(H287="Congé"),0),IF($J$5&lt;&gt;"",--(J287="Congé"),0),IF($L$5&lt;&gt;"",--(L287="Congé"),0),IF($N$5&lt;&gt;"",--(N287="Congé"),0),IF($P$5&lt;&gt;"",--(P287="Congé"),0),IF($R$5&lt;&gt;"",--(R287="Congé"),0),IF($T$5&lt;&gt;"",--(T287="Congé"),0),IF($V$5&lt;&gt;"",--(V287="Congé"),0),IF($X$5&lt;&gt;"",--(X287="Congé"),0),IF($Z$5&lt;&gt;"",--(Z287="Congé"),0),IF($AB$5&lt;&gt;"",--(AB287="Congé"),0),IF($AD$5&lt;&gt;"",--(AD287="Congé"),0),IF($AF$5&lt;&gt;"",--(AF287="Congé"),0),IF($AH$5&lt;&gt;"",--(AH287="Congé"),0),IF($AJ$5&lt;&gt;"",--(AJ287="Congé"),0),IF($AL$5&lt;&gt;"",--(AL287="Congé"),0),IF($AN$5&lt;&gt;"",--(AN287="Congé"),0),IF($AP$5&lt;&gt;"",--(AP287="Congé"),0),IF($AR$5&lt;&gt;"",--(AR287="Congé"),0),IF($AT$5&lt;&gt;"",--(AT287="Congé"),0),IF($AV$5&lt;&gt;"",--(AV287="Congé"),0),IF($AX$5&lt;&gt;"",--(AX287="Congé"),0),IF($AZ$5&lt;&gt;"",--(AZ287="Congé"),0),IF($BB$5&lt;&gt;"",--(BB287="Congé"),0),IF($BD$5&lt;&gt;"",--(BD287="Congé"),0),IF($BF$5&lt;&gt;"",--(BF287="Congé"),0),IF($BH$5&lt;&gt;"",--(BH287="Congé"),0),IF($BJ$5&lt;&gt;"",--(BJ287="Congé"),0),IF($BL$5&lt;&gt;"",--(BL287="Congé"),0)))</f>
      </c>
      <c r="BQ287" s="22">
        <f>IF($A287="","",SUM(IF($D$5&lt;&gt;"",--(D287="Maladie"),0),IF($F$5&lt;&gt;"",--(F287="Maladie"),0),IF($H$5&lt;&gt;"",--(H287="Maladie"),0),IF($J$5&lt;&gt;"",--(J287="Maladie"),0),IF($L$5&lt;&gt;"",--(L287="Maladie"),0),IF($N$5&lt;&gt;"",--(N287="Maladie"),0),IF($P$5&lt;&gt;"",--(P287="Maladie"),0),IF($R$5&lt;&gt;"",--(R287="Maladie"),0),IF($T$5&lt;&gt;"",--(T287="Maladie"),0),IF($V$5&lt;&gt;"",--(V287="Maladie"),0),IF($X$5&lt;&gt;"",--(X287="Maladie"),0),IF($Z$5&lt;&gt;"",--(Z287="Maladie"),0),IF($AB$5&lt;&gt;"",--(AB287="Maladie"),0),IF($AD$5&lt;&gt;"",--(AD287="Maladie"),0),IF($AF$5&lt;&gt;"",--(AF287="Maladie"),0),IF($AH$5&lt;&gt;"",--(AH287="Maladie"),0),IF($AJ$5&lt;&gt;"",--(AJ287="Maladie"),0),IF($AL$5&lt;&gt;"",--(AL287="Maladie"),0),IF($AN$5&lt;&gt;"",--(AN287="Maladie"),0),IF($AP$5&lt;&gt;"",--(AP287="Maladie"),0),IF($AR$5&lt;&gt;"",--(AR287="Maladie"),0),IF($AT$5&lt;&gt;"",--(AT287="Maladie"),0),IF($AV$5&lt;&gt;"",--(AV287="Maladie"),0),IF($AX$5&lt;&gt;"",--(AX287="Maladie"),0),IF($AZ$5&lt;&gt;"",--(AZ287="Maladie"),0),IF($BB$5&lt;&gt;"",--(BB287="Maladie"),0),IF($BD$5&lt;&gt;"",--(BD287="Maladie"),0),IF($BF$5&lt;&gt;"",--(BF287="Maladie"),0),IF($BH$5&lt;&gt;"",--(BH287="Maladie"),0),IF($BJ$5&lt;&gt;"",--(BJ287="Maladie"),0),IF($BL$5&lt;&gt;"",--(BL287="Maladie"),0)))</f>
      </c>
      <c r="BR287" s="23">
        <f>IF($A287="","",SUM(IF($D$5&lt;&gt;"",IF(D287="Présent",E287,0),0),IF($F$5&lt;&gt;"",IF(F287="Présent",G287,0),0),IF($H$5&lt;&gt;"",IF(H287="Présent",I287,0),0),IF($J$5&lt;&gt;"",IF(J287="Présent",K287,0),0),IF($L$5&lt;&gt;"",IF(L287="Présent",M287,0),0),IF($N$5&lt;&gt;"",IF(N287="Présent",O287,0),0),IF($P$5&lt;&gt;"",IF(P287="Présent",Q287,0),0),IF($R$5&lt;&gt;"",IF(R287="Présent",S287,0),0),IF($T$5&lt;&gt;"",IF(T287="Présent",U287,0),0),IF($V$5&lt;&gt;"",IF(V287="Présent",W287,0),0),IF($X$5&lt;&gt;"",IF(X287="Présent",Y287,0),0),IF($Z$5&lt;&gt;"",IF(Z287="Présent",AA287,0),0),IF($AB$5&lt;&gt;"",IF(AB287="Présent",AC287,0),0),IF($AD$5&lt;&gt;"",IF(AD287="Présent",AE287,0),0),IF($AF$5&lt;&gt;"",IF(AF287="Présent",AG287,0),0),IF($AH$5&lt;&gt;"",IF(AH287="Présent",AI287,0),0),IF($AJ$5&lt;&gt;"",IF(AJ287="Présent",AK287,0),0),IF($AL$5&lt;&gt;"",IF(AL287="Présent",AM287,0),0),IF($AN$5&lt;&gt;"",IF(AN287="Présent",AO287,0),0),IF($AP$5&lt;&gt;"",IF(AP287="Présent",AQ287,0),0),IF($AR$5&lt;&gt;"",IF(AR287="Présent",AS287,0),0),IF($AT$5&lt;&gt;"",IF(AT287="Présent",AU287,0),0),IF($AV$5&lt;&gt;"",IF(AV287="Présent",AW287,0),0),IF($AX$5&lt;&gt;"",IF(AX287="Présent",AY287,0),0),IF($AZ$5&lt;&gt;"",IF(AZ287="Présent",BA287,0),0),IF($BB$5&lt;&gt;"",IF(BB287="Présent",BC287,0),0),IF($BD$5&lt;&gt;"",IF(BD287="Présent",BE287,0),0),IF($BF$5&lt;&gt;"",IF(BF287="Présent",BG287,0),0),IF($BH$5&lt;&gt;"",IF(BH287="Présent",BI287,0),0),IF($BJ$5&lt;&gt;"",IF(BJ287="Présent",BK287,0),0),IF($BL$5&lt;&gt;"",IF(BL287="Présent",BM287,0),0)))</f>
      </c>
      <c r="BS287" s="25">
        <f>IF($A287="","",$BN287*IFERROR(INDEX(Categories_Salaire,MATCH($C287,ListeCategories,0)),0)+$BR287*IF(IFERROR(INDEX(Categories_TauxHS,MATCH($C287,ListeCategories,0)),0)&gt;0,IFERROR(INDEX(Categories_TauxHS,MATCH($C287,ListeCategories,0)),0),TauxHSDefaut))</f>
      </c>
    </row>
    <row r="288">
      <c r="A288" s="20">
        <f>IF(AND(INDEX(Employes_Nom,282)&lt;&gt;"",INDEX(Employes_Statut,282)="Actif",OR(INDEX(Employes_Embauche,282)="",INDEX(Employes_Embauche,282)&lt;=EOMONTH(DATE(AnneeCourante,MoisCourant,1),0))),INDEX(Employes_ID,282),"")</f>
      </c>
      <c r="B288" s="19">
        <f>IF($A288="","",INDEX(Employes_Nom,MATCH($A288,Employes_ID,0)))</f>
      </c>
      <c r="C288" s="20">
        <f>IF($A288="","",INDEX(Employes_Categorie,MATCH($A288,Employes_ID,0)))</f>
      </c>
      <c r="D288" s="26"/>
      <c r="E288" s="27"/>
      <c r="F288" s="26"/>
      <c r="G288" s="27"/>
      <c r="H288" s="26"/>
      <c r="I288" s="27"/>
      <c r="J288" s="26"/>
      <c r="K288" s="27"/>
      <c r="L288" s="26"/>
      <c r="M288" s="27"/>
      <c r="N288" s="26"/>
      <c r="O288" s="27"/>
      <c r="P288" s="26"/>
      <c r="Q288" s="27"/>
      <c r="R288" s="26"/>
      <c r="S288" s="27"/>
      <c r="T288" s="26"/>
      <c r="U288" s="27"/>
      <c r="V288" s="26"/>
      <c r="W288" s="27"/>
      <c r="X288" s="26"/>
      <c r="Y288" s="27"/>
      <c r="Z288" s="26"/>
      <c r="AA288" s="27"/>
      <c r="AB288" s="26"/>
      <c r="AC288" s="27"/>
      <c r="AD288" s="26"/>
      <c r="AE288" s="27"/>
      <c r="AF288" s="26"/>
      <c r="AG288" s="27"/>
      <c r="AH288" s="26"/>
      <c r="AI288" s="27"/>
      <c r="AJ288" s="26"/>
      <c r="AK288" s="27"/>
      <c r="AL288" s="26"/>
      <c r="AM288" s="27"/>
      <c r="AN288" s="26"/>
      <c r="AO288" s="27"/>
      <c r="AP288" s="26"/>
      <c r="AQ288" s="27"/>
      <c r="AR288" s="26"/>
      <c r="AS288" s="27"/>
      <c r="AT288" s="26"/>
      <c r="AU288" s="27"/>
      <c r="AV288" s="26"/>
      <c r="AW288" s="27"/>
      <c r="AX288" s="26"/>
      <c r="AY288" s="27"/>
      <c r="AZ288" s="26"/>
      <c r="BA288" s="27"/>
      <c r="BB288" s="26"/>
      <c r="BC288" s="27"/>
      <c r="BD288" s="26"/>
      <c r="BE288" s="27"/>
      <c r="BF288" s="26"/>
      <c r="BG288" s="27"/>
      <c r="BH288" s="26"/>
      <c r="BI288" s="27"/>
      <c r="BJ288" s="26"/>
      <c r="BK288" s="27"/>
      <c r="BL288" s="26"/>
      <c r="BM288" s="27"/>
      <c r="BN288" s="22">
        <f>IF($A288="","",SUM(IF($D$5&lt;&gt;"",--(D288="Présent"),0),IF($F$5&lt;&gt;"",--(F288="Présent"),0),IF($H$5&lt;&gt;"",--(H288="Présent"),0),IF($J$5&lt;&gt;"",--(J288="Présent"),0),IF($L$5&lt;&gt;"",--(L288="Présent"),0),IF($N$5&lt;&gt;"",--(N288="Présent"),0),IF($P$5&lt;&gt;"",--(P288="Présent"),0),IF($R$5&lt;&gt;"",--(R288="Présent"),0),IF($T$5&lt;&gt;"",--(T288="Présent"),0),IF($V$5&lt;&gt;"",--(V288="Présent"),0),IF($X$5&lt;&gt;"",--(X288="Présent"),0),IF($Z$5&lt;&gt;"",--(Z288="Présent"),0),IF($AB$5&lt;&gt;"",--(AB288="Présent"),0),IF($AD$5&lt;&gt;"",--(AD288="Présent"),0),IF($AF$5&lt;&gt;"",--(AF288="Présent"),0),IF($AH$5&lt;&gt;"",--(AH288="Présent"),0),IF($AJ$5&lt;&gt;"",--(AJ288="Présent"),0),IF($AL$5&lt;&gt;"",--(AL288="Présent"),0),IF($AN$5&lt;&gt;"",--(AN288="Présent"),0),IF($AP$5&lt;&gt;"",--(AP288="Présent"),0),IF($AR$5&lt;&gt;"",--(AR288="Présent"),0),IF($AT$5&lt;&gt;"",--(AT288="Présent"),0),IF($AV$5&lt;&gt;"",--(AV288="Présent"),0),IF($AX$5&lt;&gt;"",--(AX288="Présent"),0),IF($AZ$5&lt;&gt;"",--(AZ288="Présent"),0),IF($BB$5&lt;&gt;"",--(BB288="Présent"),0),IF($BD$5&lt;&gt;"",--(BD288="Présent"),0),IF($BF$5&lt;&gt;"",--(BF288="Présent"),0),IF($BH$5&lt;&gt;"",--(BH288="Présent"),0),IF($BJ$5&lt;&gt;"",--(BJ288="Présent"),0),IF($BL$5&lt;&gt;"",--(BL288="Présent"),0)))</f>
      </c>
      <c r="BO288" s="22">
        <f>IF($A288="","",SUM(IF($D$5&lt;&gt;"",--(D288="Absent"),0),IF($F$5&lt;&gt;"",--(F288="Absent"),0),IF($H$5&lt;&gt;"",--(H288="Absent"),0),IF($J$5&lt;&gt;"",--(J288="Absent"),0),IF($L$5&lt;&gt;"",--(L288="Absent"),0),IF($N$5&lt;&gt;"",--(N288="Absent"),0),IF($P$5&lt;&gt;"",--(P288="Absent"),0),IF($R$5&lt;&gt;"",--(R288="Absent"),0),IF($T$5&lt;&gt;"",--(T288="Absent"),0),IF($V$5&lt;&gt;"",--(V288="Absent"),0),IF($X$5&lt;&gt;"",--(X288="Absent"),0),IF($Z$5&lt;&gt;"",--(Z288="Absent"),0),IF($AB$5&lt;&gt;"",--(AB288="Absent"),0),IF($AD$5&lt;&gt;"",--(AD288="Absent"),0),IF($AF$5&lt;&gt;"",--(AF288="Absent"),0),IF($AH$5&lt;&gt;"",--(AH288="Absent"),0),IF($AJ$5&lt;&gt;"",--(AJ288="Absent"),0),IF($AL$5&lt;&gt;"",--(AL288="Absent"),0),IF($AN$5&lt;&gt;"",--(AN288="Absent"),0),IF($AP$5&lt;&gt;"",--(AP288="Absent"),0),IF($AR$5&lt;&gt;"",--(AR288="Absent"),0),IF($AT$5&lt;&gt;"",--(AT288="Absent"),0),IF($AV$5&lt;&gt;"",--(AV288="Absent"),0),IF($AX$5&lt;&gt;"",--(AX288="Absent"),0),IF($AZ$5&lt;&gt;"",--(AZ288="Absent"),0),IF($BB$5&lt;&gt;"",--(BB288="Absent"),0),IF($BD$5&lt;&gt;"",--(BD288="Absent"),0),IF($BF$5&lt;&gt;"",--(BF288="Absent"),0),IF($BH$5&lt;&gt;"",--(BH288="Absent"),0),IF($BJ$5&lt;&gt;"",--(BJ288="Absent"),0),IF($BL$5&lt;&gt;"",--(BL288="Absent"),0)))</f>
      </c>
      <c r="BP288" s="22">
        <f>IF($A288="","",SUM(IF($D$5&lt;&gt;"",--(D288="Congé"),0),IF($F$5&lt;&gt;"",--(F288="Congé"),0),IF($H$5&lt;&gt;"",--(H288="Congé"),0),IF($J$5&lt;&gt;"",--(J288="Congé"),0),IF($L$5&lt;&gt;"",--(L288="Congé"),0),IF($N$5&lt;&gt;"",--(N288="Congé"),0),IF($P$5&lt;&gt;"",--(P288="Congé"),0),IF($R$5&lt;&gt;"",--(R288="Congé"),0),IF($T$5&lt;&gt;"",--(T288="Congé"),0),IF($V$5&lt;&gt;"",--(V288="Congé"),0),IF($X$5&lt;&gt;"",--(X288="Congé"),0),IF($Z$5&lt;&gt;"",--(Z288="Congé"),0),IF($AB$5&lt;&gt;"",--(AB288="Congé"),0),IF($AD$5&lt;&gt;"",--(AD288="Congé"),0),IF($AF$5&lt;&gt;"",--(AF288="Congé"),0),IF($AH$5&lt;&gt;"",--(AH288="Congé"),0),IF($AJ$5&lt;&gt;"",--(AJ288="Congé"),0),IF($AL$5&lt;&gt;"",--(AL288="Congé"),0),IF($AN$5&lt;&gt;"",--(AN288="Congé"),0),IF($AP$5&lt;&gt;"",--(AP288="Congé"),0),IF($AR$5&lt;&gt;"",--(AR288="Congé"),0),IF($AT$5&lt;&gt;"",--(AT288="Congé"),0),IF($AV$5&lt;&gt;"",--(AV288="Congé"),0),IF($AX$5&lt;&gt;"",--(AX288="Congé"),0),IF($AZ$5&lt;&gt;"",--(AZ288="Congé"),0),IF($BB$5&lt;&gt;"",--(BB288="Congé"),0),IF($BD$5&lt;&gt;"",--(BD288="Congé"),0),IF($BF$5&lt;&gt;"",--(BF288="Congé"),0),IF($BH$5&lt;&gt;"",--(BH288="Congé"),0),IF($BJ$5&lt;&gt;"",--(BJ288="Congé"),0),IF($BL$5&lt;&gt;"",--(BL288="Congé"),0)))</f>
      </c>
      <c r="BQ288" s="22">
        <f>IF($A288="","",SUM(IF($D$5&lt;&gt;"",--(D288="Maladie"),0),IF($F$5&lt;&gt;"",--(F288="Maladie"),0),IF($H$5&lt;&gt;"",--(H288="Maladie"),0),IF($J$5&lt;&gt;"",--(J288="Maladie"),0),IF($L$5&lt;&gt;"",--(L288="Maladie"),0),IF($N$5&lt;&gt;"",--(N288="Maladie"),0),IF($P$5&lt;&gt;"",--(P288="Maladie"),0),IF($R$5&lt;&gt;"",--(R288="Maladie"),0),IF($T$5&lt;&gt;"",--(T288="Maladie"),0),IF($V$5&lt;&gt;"",--(V288="Maladie"),0),IF($X$5&lt;&gt;"",--(X288="Maladie"),0),IF($Z$5&lt;&gt;"",--(Z288="Maladie"),0),IF($AB$5&lt;&gt;"",--(AB288="Maladie"),0),IF($AD$5&lt;&gt;"",--(AD288="Maladie"),0),IF($AF$5&lt;&gt;"",--(AF288="Maladie"),0),IF($AH$5&lt;&gt;"",--(AH288="Maladie"),0),IF($AJ$5&lt;&gt;"",--(AJ288="Maladie"),0),IF($AL$5&lt;&gt;"",--(AL288="Maladie"),0),IF($AN$5&lt;&gt;"",--(AN288="Maladie"),0),IF($AP$5&lt;&gt;"",--(AP288="Maladie"),0),IF($AR$5&lt;&gt;"",--(AR288="Maladie"),0),IF($AT$5&lt;&gt;"",--(AT288="Maladie"),0),IF($AV$5&lt;&gt;"",--(AV288="Maladie"),0),IF($AX$5&lt;&gt;"",--(AX288="Maladie"),0),IF($AZ$5&lt;&gt;"",--(AZ288="Maladie"),0),IF($BB$5&lt;&gt;"",--(BB288="Maladie"),0),IF($BD$5&lt;&gt;"",--(BD288="Maladie"),0),IF($BF$5&lt;&gt;"",--(BF288="Maladie"),0),IF($BH$5&lt;&gt;"",--(BH288="Maladie"),0),IF($BJ$5&lt;&gt;"",--(BJ288="Maladie"),0),IF($BL$5&lt;&gt;"",--(BL288="Maladie"),0)))</f>
      </c>
      <c r="BR288" s="23">
        <f>IF($A288="","",SUM(IF($D$5&lt;&gt;"",IF(D288="Présent",E288,0),0),IF($F$5&lt;&gt;"",IF(F288="Présent",G288,0),0),IF($H$5&lt;&gt;"",IF(H288="Présent",I288,0),0),IF($J$5&lt;&gt;"",IF(J288="Présent",K288,0),0),IF($L$5&lt;&gt;"",IF(L288="Présent",M288,0),0),IF($N$5&lt;&gt;"",IF(N288="Présent",O288,0),0),IF($P$5&lt;&gt;"",IF(P288="Présent",Q288,0),0),IF($R$5&lt;&gt;"",IF(R288="Présent",S288,0),0),IF($T$5&lt;&gt;"",IF(T288="Présent",U288,0),0),IF($V$5&lt;&gt;"",IF(V288="Présent",W288,0),0),IF($X$5&lt;&gt;"",IF(X288="Présent",Y288,0),0),IF($Z$5&lt;&gt;"",IF(Z288="Présent",AA288,0),0),IF($AB$5&lt;&gt;"",IF(AB288="Présent",AC288,0),0),IF($AD$5&lt;&gt;"",IF(AD288="Présent",AE288,0),0),IF($AF$5&lt;&gt;"",IF(AF288="Présent",AG288,0),0),IF($AH$5&lt;&gt;"",IF(AH288="Présent",AI288,0),0),IF($AJ$5&lt;&gt;"",IF(AJ288="Présent",AK288,0),0),IF($AL$5&lt;&gt;"",IF(AL288="Présent",AM288,0),0),IF($AN$5&lt;&gt;"",IF(AN288="Présent",AO288,0),0),IF($AP$5&lt;&gt;"",IF(AP288="Présent",AQ288,0),0),IF($AR$5&lt;&gt;"",IF(AR288="Présent",AS288,0),0),IF($AT$5&lt;&gt;"",IF(AT288="Présent",AU288,0),0),IF($AV$5&lt;&gt;"",IF(AV288="Présent",AW288,0),0),IF($AX$5&lt;&gt;"",IF(AX288="Présent",AY288,0),0),IF($AZ$5&lt;&gt;"",IF(AZ288="Présent",BA288,0),0),IF($BB$5&lt;&gt;"",IF(BB288="Présent",BC288,0),0),IF($BD$5&lt;&gt;"",IF(BD288="Présent",BE288,0),0),IF($BF$5&lt;&gt;"",IF(BF288="Présent",BG288,0),0),IF($BH$5&lt;&gt;"",IF(BH288="Présent",BI288,0),0),IF($BJ$5&lt;&gt;"",IF(BJ288="Présent",BK288,0),0),IF($BL$5&lt;&gt;"",IF(BL288="Présent",BM288,0),0)))</f>
      </c>
      <c r="BS288" s="25">
        <f>IF($A288="","",$BN288*IFERROR(INDEX(Categories_Salaire,MATCH($C288,ListeCategories,0)),0)+$BR288*IF(IFERROR(INDEX(Categories_TauxHS,MATCH($C288,ListeCategories,0)),0)&gt;0,IFERROR(INDEX(Categories_TauxHS,MATCH($C288,ListeCategories,0)),0),TauxHSDefaut))</f>
      </c>
    </row>
    <row r="289">
      <c r="A289" s="20">
        <f>IF(AND(INDEX(Employes_Nom,283)&lt;&gt;"",INDEX(Employes_Statut,283)="Actif",OR(INDEX(Employes_Embauche,283)="",INDEX(Employes_Embauche,283)&lt;=EOMONTH(DATE(AnneeCourante,MoisCourant,1),0))),INDEX(Employes_ID,283),"")</f>
      </c>
      <c r="B289" s="19">
        <f>IF($A289="","",INDEX(Employes_Nom,MATCH($A289,Employes_ID,0)))</f>
      </c>
      <c r="C289" s="20">
        <f>IF($A289="","",INDEX(Employes_Categorie,MATCH($A289,Employes_ID,0)))</f>
      </c>
      <c r="D289" s="26"/>
      <c r="E289" s="27"/>
      <c r="F289" s="26"/>
      <c r="G289" s="27"/>
      <c r="H289" s="26"/>
      <c r="I289" s="27"/>
      <c r="J289" s="26"/>
      <c r="K289" s="27"/>
      <c r="L289" s="26"/>
      <c r="M289" s="27"/>
      <c r="N289" s="26"/>
      <c r="O289" s="27"/>
      <c r="P289" s="26"/>
      <c r="Q289" s="27"/>
      <c r="R289" s="26"/>
      <c r="S289" s="27"/>
      <c r="T289" s="26"/>
      <c r="U289" s="27"/>
      <c r="V289" s="26"/>
      <c r="W289" s="27"/>
      <c r="X289" s="26"/>
      <c r="Y289" s="27"/>
      <c r="Z289" s="26"/>
      <c r="AA289" s="27"/>
      <c r="AB289" s="26"/>
      <c r="AC289" s="27"/>
      <c r="AD289" s="26"/>
      <c r="AE289" s="27"/>
      <c r="AF289" s="26"/>
      <c r="AG289" s="27"/>
      <c r="AH289" s="26"/>
      <c r="AI289" s="27"/>
      <c r="AJ289" s="26"/>
      <c r="AK289" s="27"/>
      <c r="AL289" s="26"/>
      <c r="AM289" s="27"/>
      <c r="AN289" s="26"/>
      <c r="AO289" s="27"/>
      <c r="AP289" s="26"/>
      <c r="AQ289" s="27"/>
      <c r="AR289" s="26"/>
      <c r="AS289" s="27"/>
      <c r="AT289" s="26"/>
      <c r="AU289" s="27"/>
      <c r="AV289" s="26"/>
      <c r="AW289" s="27"/>
      <c r="AX289" s="26"/>
      <c r="AY289" s="27"/>
      <c r="AZ289" s="26"/>
      <c r="BA289" s="27"/>
      <c r="BB289" s="26"/>
      <c r="BC289" s="27"/>
      <c r="BD289" s="26"/>
      <c r="BE289" s="27"/>
      <c r="BF289" s="26"/>
      <c r="BG289" s="27"/>
      <c r="BH289" s="26"/>
      <c r="BI289" s="27"/>
      <c r="BJ289" s="26"/>
      <c r="BK289" s="27"/>
      <c r="BL289" s="26"/>
      <c r="BM289" s="27"/>
      <c r="BN289" s="22">
        <f>IF($A289="","",SUM(IF($D$5&lt;&gt;"",--(D289="Présent"),0),IF($F$5&lt;&gt;"",--(F289="Présent"),0),IF($H$5&lt;&gt;"",--(H289="Présent"),0),IF($J$5&lt;&gt;"",--(J289="Présent"),0),IF($L$5&lt;&gt;"",--(L289="Présent"),0),IF($N$5&lt;&gt;"",--(N289="Présent"),0),IF($P$5&lt;&gt;"",--(P289="Présent"),0),IF($R$5&lt;&gt;"",--(R289="Présent"),0),IF($T$5&lt;&gt;"",--(T289="Présent"),0),IF($V$5&lt;&gt;"",--(V289="Présent"),0),IF($X$5&lt;&gt;"",--(X289="Présent"),0),IF($Z$5&lt;&gt;"",--(Z289="Présent"),0),IF($AB$5&lt;&gt;"",--(AB289="Présent"),0),IF($AD$5&lt;&gt;"",--(AD289="Présent"),0),IF($AF$5&lt;&gt;"",--(AF289="Présent"),0),IF($AH$5&lt;&gt;"",--(AH289="Présent"),0),IF($AJ$5&lt;&gt;"",--(AJ289="Présent"),0),IF($AL$5&lt;&gt;"",--(AL289="Présent"),0),IF($AN$5&lt;&gt;"",--(AN289="Présent"),0),IF($AP$5&lt;&gt;"",--(AP289="Présent"),0),IF($AR$5&lt;&gt;"",--(AR289="Présent"),0),IF($AT$5&lt;&gt;"",--(AT289="Présent"),0),IF($AV$5&lt;&gt;"",--(AV289="Présent"),0),IF($AX$5&lt;&gt;"",--(AX289="Présent"),0),IF($AZ$5&lt;&gt;"",--(AZ289="Présent"),0),IF($BB$5&lt;&gt;"",--(BB289="Présent"),0),IF($BD$5&lt;&gt;"",--(BD289="Présent"),0),IF($BF$5&lt;&gt;"",--(BF289="Présent"),0),IF($BH$5&lt;&gt;"",--(BH289="Présent"),0),IF($BJ$5&lt;&gt;"",--(BJ289="Présent"),0),IF($BL$5&lt;&gt;"",--(BL289="Présent"),0)))</f>
      </c>
      <c r="BO289" s="22">
        <f>IF($A289="","",SUM(IF($D$5&lt;&gt;"",--(D289="Absent"),0),IF($F$5&lt;&gt;"",--(F289="Absent"),0),IF($H$5&lt;&gt;"",--(H289="Absent"),0),IF($J$5&lt;&gt;"",--(J289="Absent"),0),IF($L$5&lt;&gt;"",--(L289="Absent"),0),IF($N$5&lt;&gt;"",--(N289="Absent"),0),IF($P$5&lt;&gt;"",--(P289="Absent"),0),IF($R$5&lt;&gt;"",--(R289="Absent"),0),IF($T$5&lt;&gt;"",--(T289="Absent"),0),IF($V$5&lt;&gt;"",--(V289="Absent"),0),IF($X$5&lt;&gt;"",--(X289="Absent"),0),IF($Z$5&lt;&gt;"",--(Z289="Absent"),0),IF($AB$5&lt;&gt;"",--(AB289="Absent"),0),IF($AD$5&lt;&gt;"",--(AD289="Absent"),0),IF($AF$5&lt;&gt;"",--(AF289="Absent"),0),IF($AH$5&lt;&gt;"",--(AH289="Absent"),0),IF($AJ$5&lt;&gt;"",--(AJ289="Absent"),0),IF($AL$5&lt;&gt;"",--(AL289="Absent"),0),IF($AN$5&lt;&gt;"",--(AN289="Absent"),0),IF($AP$5&lt;&gt;"",--(AP289="Absent"),0),IF($AR$5&lt;&gt;"",--(AR289="Absent"),0),IF($AT$5&lt;&gt;"",--(AT289="Absent"),0),IF($AV$5&lt;&gt;"",--(AV289="Absent"),0),IF($AX$5&lt;&gt;"",--(AX289="Absent"),0),IF($AZ$5&lt;&gt;"",--(AZ289="Absent"),0),IF($BB$5&lt;&gt;"",--(BB289="Absent"),0),IF($BD$5&lt;&gt;"",--(BD289="Absent"),0),IF($BF$5&lt;&gt;"",--(BF289="Absent"),0),IF($BH$5&lt;&gt;"",--(BH289="Absent"),0),IF($BJ$5&lt;&gt;"",--(BJ289="Absent"),0),IF($BL$5&lt;&gt;"",--(BL289="Absent"),0)))</f>
      </c>
      <c r="BP289" s="22">
        <f>IF($A289="","",SUM(IF($D$5&lt;&gt;"",--(D289="Congé"),0),IF($F$5&lt;&gt;"",--(F289="Congé"),0),IF($H$5&lt;&gt;"",--(H289="Congé"),0),IF($J$5&lt;&gt;"",--(J289="Congé"),0),IF($L$5&lt;&gt;"",--(L289="Congé"),0),IF($N$5&lt;&gt;"",--(N289="Congé"),0),IF($P$5&lt;&gt;"",--(P289="Congé"),0),IF($R$5&lt;&gt;"",--(R289="Congé"),0),IF($T$5&lt;&gt;"",--(T289="Congé"),0),IF($V$5&lt;&gt;"",--(V289="Congé"),0),IF($X$5&lt;&gt;"",--(X289="Congé"),0),IF($Z$5&lt;&gt;"",--(Z289="Congé"),0),IF($AB$5&lt;&gt;"",--(AB289="Congé"),0),IF($AD$5&lt;&gt;"",--(AD289="Congé"),0),IF($AF$5&lt;&gt;"",--(AF289="Congé"),0),IF($AH$5&lt;&gt;"",--(AH289="Congé"),0),IF($AJ$5&lt;&gt;"",--(AJ289="Congé"),0),IF($AL$5&lt;&gt;"",--(AL289="Congé"),0),IF($AN$5&lt;&gt;"",--(AN289="Congé"),0),IF($AP$5&lt;&gt;"",--(AP289="Congé"),0),IF($AR$5&lt;&gt;"",--(AR289="Congé"),0),IF($AT$5&lt;&gt;"",--(AT289="Congé"),0),IF($AV$5&lt;&gt;"",--(AV289="Congé"),0),IF($AX$5&lt;&gt;"",--(AX289="Congé"),0),IF($AZ$5&lt;&gt;"",--(AZ289="Congé"),0),IF($BB$5&lt;&gt;"",--(BB289="Congé"),0),IF($BD$5&lt;&gt;"",--(BD289="Congé"),0),IF($BF$5&lt;&gt;"",--(BF289="Congé"),0),IF($BH$5&lt;&gt;"",--(BH289="Congé"),0),IF($BJ$5&lt;&gt;"",--(BJ289="Congé"),0),IF($BL$5&lt;&gt;"",--(BL289="Congé"),0)))</f>
      </c>
      <c r="BQ289" s="22">
        <f>IF($A289="","",SUM(IF($D$5&lt;&gt;"",--(D289="Maladie"),0),IF($F$5&lt;&gt;"",--(F289="Maladie"),0),IF($H$5&lt;&gt;"",--(H289="Maladie"),0),IF($J$5&lt;&gt;"",--(J289="Maladie"),0),IF($L$5&lt;&gt;"",--(L289="Maladie"),0),IF($N$5&lt;&gt;"",--(N289="Maladie"),0),IF($P$5&lt;&gt;"",--(P289="Maladie"),0),IF($R$5&lt;&gt;"",--(R289="Maladie"),0),IF($T$5&lt;&gt;"",--(T289="Maladie"),0),IF($V$5&lt;&gt;"",--(V289="Maladie"),0),IF($X$5&lt;&gt;"",--(X289="Maladie"),0),IF($Z$5&lt;&gt;"",--(Z289="Maladie"),0),IF($AB$5&lt;&gt;"",--(AB289="Maladie"),0),IF($AD$5&lt;&gt;"",--(AD289="Maladie"),0),IF($AF$5&lt;&gt;"",--(AF289="Maladie"),0),IF($AH$5&lt;&gt;"",--(AH289="Maladie"),0),IF($AJ$5&lt;&gt;"",--(AJ289="Maladie"),0),IF($AL$5&lt;&gt;"",--(AL289="Maladie"),0),IF($AN$5&lt;&gt;"",--(AN289="Maladie"),0),IF($AP$5&lt;&gt;"",--(AP289="Maladie"),0),IF($AR$5&lt;&gt;"",--(AR289="Maladie"),0),IF($AT$5&lt;&gt;"",--(AT289="Maladie"),0),IF($AV$5&lt;&gt;"",--(AV289="Maladie"),0),IF($AX$5&lt;&gt;"",--(AX289="Maladie"),0),IF($AZ$5&lt;&gt;"",--(AZ289="Maladie"),0),IF($BB$5&lt;&gt;"",--(BB289="Maladie"),0),IF($BD$5&lt;&gt;"",--(BD289="Maladie"),0),IF($BF$5&lt;&gt;"",--(BF289="Maladie"),0),IF($BH$5&lt;&gt;"",--(BH289="Maladie"),0),IF($BJ$5&lt;&gt;"",--(BJ289="Maladie"),0),IF($BL$5&lt;&gt;"",--(BL289="Maladie"),0)))</f>
      </c>
      <c r="BR289" s="23">
        <f>IF($A289="","",SUM(IF($D$5&lt;&gt;"",IF(D289="Présent",E289,0),0),IF($F$5&lt;&gt;"",IF(F289="Présent",G289,0),0),IF($H$5&lt;&gt;"",IF(H289="Présent",I289,0),0),IF($J$5&lt;&gt;"",IF(J289="Présent",K289,0),0),IF($L$5&lt;&gt;"",IF(L289="Présent",M289,0),0),IF($N$5&lt;&gt;"",IF(N289="Présent",O289,0),0),IF($P$5&lt;&gt;"",IF(P289="Présent",Q289,0),0),IF($R$5&lt;&gt;"",IF(R289="Présent",S289,0),0),IF($T$5&lt;&gt;"",IF(T289="Présent",U289,0),0),IF($V$5&lt;&gt;"",IF(V289="Présent",W289,0),0),IF($X$5&lt;&gt;"",IF(X289="Présent",Y289,0),0),IF($Z$5&lt;&gt;"",IF(Z289="Présent",AA289,0),0),IF($AB$5&lt;&gt;"",IF(AB289="Présent",AC289,0),0),IF($AD$5&lt;&gt;"",IF(AD289="Présent",AE289,0),0),IF($AF$5&lt;&gt;"",IF(AF289="Présent",AG289,0),0),IF($AH$5&lt;&gt;"",IF(AH289="Présent",AI289,0),0),IF($AJ$5&lt;&gt;"",IF(AJ289="Présent",AK289,0),0),IF($AL$5&lt;&gt;"",IF(AL289="Présent",AM289,0),0),IF($AN$5&lt;&gt;"",IF(AN289="Présent",AO289,0),0),IF($AP$5&lt;&gt;"",IF(AP289="Présent",AQ289,0),0),IF($AR$5&lt;&gt;"",IF(AR289="Présent",AS289,0),0),IF($AT$5&lt;&gt;"",IF(AT289="Présent",AU289,0),0),IF($AV$5&lt;&gt;"",IF(AV289="Présent",AW289,0),0),IF($AX$5&lt;&gt;"",IF(AX289="Présent",AY289,0),0),IF($AZ$5&lt;&gt;"",IF(AZ289="Présent",BA289,0),0),IF($BB$5&lt;&gt;"",IF(BB289="Présent",BC289,0),0),IF($BD$5&lt;&gt;"",IF(BD289="Présent",BE289,0),0),IF($BF$5&lt;&gt;"",IF(BF289="Présent",BG289,0),0),IF($BH$5&lt;&gt;"",IF(BH289="Présent",BI289,0),0),IF($BJ$5&lt;&gt;"",IF(BJ289="Présent",BK289,0),0),IF($BL$5&lt;&gt;"",IF(BL289="Présent",BM289,0),0)))</f>
      </c>
      <c r="BS289" s="25">
        <f>IF($A289="","",$BN289*IFERROR(INDEX(Categories_Salaire,MATCH($C289,ListeCategories,0)),0)+$BR289*IF(IFERROR(INDEX(Categories_TauxHS,MATCH($C289,ListeCategories,0)),0)&gt;0,IFERROR(INDEX(Categories_TauxHS,MATCH($C289,ListeCategories,0)),0),TauxHSDefaut))</f>
      </c>
    </row>
    <row r="290">
      <c r="A290" s="20">
        <f>IF(AND(INDEX(Employes_Nom,284)&lt;&gt;"",INDEX(Employes_Statut,284)="Actif",OR(INDEX(Employes_Embauche,284)="",INDEX(Employes_Embauche,284)&lt;=EOMONTH(DATE(AnneeCourante,MoisCourant,1),0))),INDEX(Employes_ID,284),"")</f>
      </c>
      <c r="B290" s="19">
        <f>IF($A290="","",INDEX(Employes_Nom,MATCH($A290,Employes_ID,0)))</f>
      </c>
      <c r="C290" s="20">
        <f>IF($A290="","",INDEX(Employes_Categorie,MATCH($A290,Employes_ID,0)))</f>
      </c>
      <c r="D290" s="26"/>
      <c r="E290" s="27"/>
      <c r="F290" s="26"/>
      <c r="G290" s="27"/>
      <c r="H290" s="26"/>
      <c r="I290" s="27"/>
      <c r="J290" s="26"/>
      <c r="K290" s="27"/>
      <c r="L290" s="26"/>
      <c r="M290" s="27"/>
      <c r="N290" s="26"/>
      <c r="O290" s="27"/>
      <c r="P290" s="26"/>
      <c r="Q290" s="27"/>
      <c r="R290" s="26"/>
      <c r="S290" s="27"/>
      <c r="T290" s="26"/>
      <c r="U290" s="27"/>
      <c r="V290" s="26"/>
      <c r="W290" s="27"/>
      <c r="X290" s="26"/>
      <c r="Y290" s="27"/>
      <c r="Z290" s="26"/>
      <c r="AA290" s="27"/>
      <c r="AB290" s="26"/>
      <c r="AC290" s="27"/>
      <c r="AD290" s="26"/>
      <c r="AE290" s="27"/>
      <c r="AF290" s="26"/>
      <c r="AG290" s="27"/>
      <c r="AH290" s="26"/>
      <c r="AI290" s="27"/>
      <c r="AJ290" s="26"/>
      <c r="AK290" s="27"/>
      <c r="AL290" s="26"/>
      <c r="AM290" s="27"/>
      <c r="AN290" s="26"/>
      <c r="AO290" s="27"/>
      <c r="AP290" s="26"/>
      <c r="AQ290" s="27"/>
      <c r="AR290" s="26"/>
      <c r="AS290" s="27"/>
      <c r="AT290" s="26"/>
      <c r="AU290" s="27"/>
      <c r="AV290" s="26"/>
      <c r="AW290" s="27"/>
      <c r="AX290" s="26"/>
      <c r="AY290" s="27"/>
      <c r="AZ290" s="26"/>
      <c r="BA290" s="27"/>
      <c r="BB290" s="26"/>
      <c r="BC290" s="27"/>
      <c r="BD290" s="26"/>
      <c r="BE290" s="27"/>
      <c r="BF290" s="26"/>
      <c r="BG290" s="27"/>
      <c r="BH290" s="26"/>
      <c r="BI290" s="27"/>
      <c r="BJ290" s="26"/>
      <c r="BK290" s="27"/>
      <c r="BL290" s="26"/>
      <c r="BM290" s="27"/>
      <c r="BN290" s="22">
        <f>IF($A290="","",SUM(IF($D$5&lt;&gt;"",--(D290="Présent"),0),IF($F$5&lt;&gt;"",--(F290="Présent"),0),IF($H$5&lt;&gt;"",--(H290="Présent"),0),IF($J$5&lt;&gt;"",--(J290="Présent"),0),IF($L$5&lt;&gt;"",--(L290="Présent"),0),IF($N$5&lt;&gt;"",--(N290="Présent"),0),IF($P$5&lt;&gt;"",--(P290="Présent"),0),IF($R$5&lt;&gt;"",--(R290="Présent"),0),IF($T$5&lt;&gt;"",--(T290="Présent"),0),IF($V$5&lt;&gt;"",--(V290="Présent"),0),IF($X$5&lt;&gt;"",--(X290="Présent"),0),IF($Z$5&lt;&gt;"",--(Z290="Présent"),0),IF($AB$5&lt;&gt;"",--(AB290="Présent"),0),IF($AD$5&lt;&gt;"",--(AD290="Présent"),0),IF($AF$5&lt;&gt;"",--(AF290="Présent"),0),IF($AH$5&lt;&gt;"",--(AH290="Présent"),0),IF($AJ$5&lt;&gt;"",--(AJ290="Présent"),0),IF($AL$5&lt;&gt;"",--(AL290="Présent"),0),IF($AN$5&lt;&gt;"",--(AN290="Présent"),0),IF($AP$5&lt;&gt;"",--(AP290="Présent"),0),IF($AR$5&lt;&gt;"",--(AR290="Présent"),0),IF($AT$5&lt;&gt;"",--(AT290="Présent"),0),IF($AV$5&lt;&gt;"",--(AV290="Présent"),0),IF($AX$5&lt;&gt;"",--(AX290="Présent"),0),IF($AZ$5&lt;&gt;"",--(AZ290="Présent"),0),IF($BB$5&lt;&gt;"",--(BB290="Présent"),0),IF($BD$5&lt;&gt;"",--(BD290="Présent"),0),IF($BF$5&lt;&gt;"",--(BF290="Présent"),0),IF($BH$5&lt;&gt;"",--(BH290="Présent"),0),IF($BJ$5&lt;&gt;"",--(BJ290="Présent"),0),IF($BL$5&lt;&gt;"",--(BL290="Présent"),0)))</f>
      </c>
      <c r="BO290" s="22">
        <f>IF($A290="","",SUM(IF($D$5&lt;&gt;"",--(D290="Absent"),0),IF($F$5&lt;&gt;"",--(F290="Absent"),0),IF($H$5&lt;&gt;"",--(H290="Absent"),0),IF($J$5&lt;&gt;"",--(J290="Absent"),0),IF($L$5&lt;&gt;"",--(L290="Absent"),0),IF($N$5&lt;&gt;"",--(N290="Absent"),0),IF($P$5&lt;&gt;"",--(P290="Absent"),0),IF($R$5&lt;&gt;"",--(R290="Absent"),0),IF($T$5&lt;&gt;"",--(T290="Absent"),0),IF($V$5&lt;&gt;"",--(V290="Absent"),0),IF($X$5&lt;&gt;"",--(X290="Absent"),0),IF($Z$5&lt;&gt;"",--(Z290="Absent"),0),IF($AB$5&lt;&gt;"",--(AB290="Absent"),0),IF($AD$5&lt;&gt;"",--(AD290="Absent"),0),IF($AF$5&lt;&gt;"",--(AF290="Absent"),0),IF($AH$5&lt;&gt;"",--(AH290="Absent"),0),IF($AJ$5&lt;&gt;"",--(AJ290="Absent"),0),IF($AL$5&lt;&gt;"",--(AL290="Absent"),0),IF($AN$5&lt;&gt;"",--(AN290="Absent"),0),IF($AP$5&lt;&gt;"",--(AP290="Absent"),0),IF($AR$5&lt;&gt;"",--(AR290="Absent"),0),IF($AT$5&lt;&gt;"",--(AT290="Absent"),0),IF($AV$5&lt;&gt;"",--(AV290="Absent"),0),IF($AX$5&lt;&gt;"",--(AX290="Absent"),0),IF($AZ$5&lt;&gt;"",--(AZ290="Absent"),0),IF($BB$5&lt;&gt;"",--(BB290="Absent"),0),IF($BD$5&lt;&gt;"",--(BD290="Absent"),0),IF($BF$5&lt;&gt;"",--(BF290="Absent"),0),IF($BH$5&lt;&gt;"",--(BH290="Absent"),0),IF($BJ$5&lt;&gt;"",--(BJ290="Absent"),0),IF($BL$5&lt;&gt;"",--(BL290="Absent"),0)))</f>
      </c>
      <c r="BP290" s="22">
        <f>IF($A290="","",SUM(IF($D$5&lt;&gt;"",--(D290="Congé"),0),IF($F$5&lt;&gt;"",--(F290="Congé"),0),IF($H$5&lt;&gt;"",--(H290="Congé"),0),IF($J$5&lt;&gt;"",--(J290="Congé"),0),IF($L$5&lt;&gt;"",--(L290="Congé"),0),IF($N$5&lt;&gt;"",--(N290="Congé"),0),IF($P$5&lt;&gt;"",--(P290="Congé"),0),IF($R$5&lt;&gt;"",--(R290="Congé"),0),IF($T$5&lt;&gt;"",--(T290="Congé"),0),IF($V$5&lt;&gt;"",--(V290="Congé"),0),IF($X$5&lt;&gt;"",--(X290="Congé"),0),IF($Z$5&lt;&gt;"",--(Z290="Congé"),0),IF($AB$5&lt;&gt;"",--(AB290="Congé"),0),IF($AD$5&lt;&gt;"",--(AD290="Congé"),0),IF($AF$5&lt;&gt;"",--(AF290="Congé"),0),IF($AH$5&lt;&gt;"",--(AH290="Congé"),0),IF($AJ$5&lt;&gt;"",--(AJ290="Congé"),0),IF($AL$5&lt;&gt;"",--(AL290="Congé"),0),IF($AN$5&lt;&gt;"",--(AN290="Congé"),0),IF($AP$5&lt;&gt;"",--(AP290="Congé"),0),IF($AR$5&lt;&gt;"",--(AR290="Congé"),0),IF($AT$5&lt;&gt;"",--(AT290="Congé"),0),IF($AV$5&lt;&gt;"",--(AV290="Congé"),0),IF($AX$5&lt;&gt;"",--(AX290="Congé"),0),IF($AZ$5&lt;&gt;"",--(AZ290="Congé"),0),IF($BB$5&lt;&gt;"",--(BB290="Congé"),0),IF($BD$5&lt;&gt;"",--(BD290="Congé"),0),IF($BF$5&lt;&gt;"",--(BF290="Congé"),0),IF($BH$5&lt;&gt;"",--(BH290="Congé"),0),IF($BJ$5&lt;&gt;"",--(BJ290="Congé"),0),IF($BL$5&lt;&gt;"",--(BL290="Congé"),0)))</f>
      </c>
      <c r="BQ290" s="22">
        <f>IF($A290="","",SUM(IF($D$5&lt;&gt;"",--(D290="Maladie"),0),IF($F$5&lt;&gt;"",--(F290="Maladie"),0),IF($H$5&lt;&gt;"",--(H290="Maladie"),0),IF($J$5&lt;&gt;"",--(J290="Maladie"),0),IF($L$5&lt;&gt;"",--(L290="Maladie"),0),IF($N$5&lt;&gt;"",--(N290="Maladie"),0),IF($P$5&lt;&gt;"",--(P290="Maladie"),0),IF($R$5&lt;&gt;"",--(R290="Maladie"),0),IF($T$5&lt;&gt;"",--(T290="Maladie"),0),IF($V$5&lt;&gt;"",--(V290="Maladie"),0),IF($X$5&lt;&gt;"",--(X290="Maladie"),0),IF($Z$5&lt;&gt;"",--(Z290="Maladie"),0),IF($AB$5&lt;&gt;"",--(AB290="Maladie"),0),IF($AD$5&lt;&gt;"",--(AD290="Maladie"),0),IF($AF$5&lt;&gt;"",--(AF290="Maladie"),0),IF($AH$5&lt;&gt;"",--(AH290="Maladie"),0),IF($AJ$5&lt;&gt;"",--(AJ290="Maladie"),0),IF($AL$5&lt;&gt;"",--(AL290="Maladie"),0),IF($AN$5&lt;&gt;"",--(AN290="Maladie"),0),IF($AP$5&lt;&gt;"",--(AP290="Maladie"),0),IF($AR$5&lt;&gt;"",--(AR290="Maladie"),0),IF($AT$5&lt;&gt;"",--(AT290="Maladie"),0),IF($AV$5&lt;&gt;"",--(AV290="Maladie"),0),IF($AX$5&lt;&gt;"",--(AX290="Maladie"),0),IF($AZ$5&lt;&gt;"",--(AZ290="Maladie"),0),IF($BB$5&lt;&gt;"",--(BB290="Maladie"),0),IF($BD$5&lt;&gt;"",--(BD290="Maladie"),0),IF($BF$5&lt;&gt;"",--(BF290="Maladie"),0),IF($BH$5&lt;&gt;"",--(BH290="Maladie"),0),IF($BJ$5&lt;&gt;"",--(BJ290="Maladie"),0),IF($BL$5&lt;&gt;"",--(BL290="Maladie"),0)))</f>
      </c>
      <c r="BR290" s="23">
        <f>IF($A290="","",SUM(IF($D$5&lt;&gt;"",IF(D290="Présent",E290,0),0),IF($F$5&lt;&gt;"",IF(F290="Présent",G290,0),0),IF($H$5&lt;&gt;"",IF(H290="Présent",I290,0),0),IF($J$5&lt;&gt;"",IF(J290="Présent",K290,0),0),IF($L$5&lt;&gt;"",IF(L290="Présent",M290,0),0),IF($N$5&lt;&gt;"",IF(N290="Présent",O290,0),0),IF($P$5&lt;&gt;"",IF(P290="Présent",Q290,0),0),IF($R$5&lt;&gt;"",IF(R290="Présent",S290,0),0),IF($T$5&lt;&gt;"",IF(T290="Présent",U290,0),0),IF($V$5&lt;&gt;"",IF(V290="Présent",W290,0),0),IF($X$5&lt;&gt;"",IF(X290="Présent",Y290,0),0),IF($Z$5&lt;&gt;"",IF(Z290="Présent",AA290,0),0),IF($AB$5&lt;&gt;"",IF(AB290="Présent",AC290,0),0),IF($AD$5&lt;&gt;"",IF(AD290="Présent",AE290,0),0),IF($AF$5&lt;&gt;"",IF(AF290="Présent",AG290,0),0),IF($AH$5&lt;&gt;"",IF(AH290="Présent",AI290,0),0),IF($AJ$5&lt;&gt;"",IF(AJ290="Présent",AK290,0),0),IF($AL$5&lt;&gt;"",IF(AL290="Présent",AM290,0),0),IF($AN$5&lt;&gt;"",IF(AN290="Présent",AO290,0),0),IF($AP$5&lt;&gt;"",IF(AP290="Présent",AQ290,0),0),IF($AR$5&lt;&gt;"",IF(AR290="Présent",AS290,0),0),IF($AT$5&lt;&gt;"",IF(AT290="Présent",AU290,0),0),IF($AV$5&lt;&gt;"",IF(AV290="Présent",AW290,0),0),IF($AX$5&lt;&gt;"",IF(AX290="Présent",AY290,0),0),IF($AZ$5&lt;&gt;"",IF(AZ290="Présent",BA290,0),0),IF($BB$5&lt;&gt;"",IF(BB290="Présent",BC290,0),0),IF($BD$5&lt;&gt;"",IF(BD290="Présent",BE290,0),0),IF($BF$5&lt;&gt;"",IF(BF290="Présent",BG290,0),0),IF($BH$5&lt;&gt;"",IF(BH290="Présent",BI290,0),0),IF($BJ$5&lt;&gt;"",IF(BJ290="Présent",BK290,0),0),IF($BL$5&lt;&gt;"",IF(BL290="Présent",BM290,0),0)))</f>
      </c>
      <c r="BS290" s="25">
        <f>IF($A290="","",$BN290*IFERROR(INDEX(Categories_Salaire,MATCH($C290,ListeCategories,0)),0)+$BR290*IF(IFERROR(INDEX(Categories_TauxHS,MATCH($C290,ListeCategories,0)),0)&gt;0,IFERROR(INDEX(Categories_TauxHS,MATCH($C290,ListeCategories,0)),0),TauxHSDefaut))</f>
      </c>
    </row>
    <row r="291">
      <c r="A291" s="20">
        <f>IF(AND(INDEX(Employes_Nom,285)&lt;&gt;"",INDEX(Employes_Statut,285)="Actif",OR(INDEX(Employes_Embauche,285)="",INDEX(Employes_Embauche,285)&lt;=EOMONTH(DATE(AnneeCourante,MoisCourant,1),0))),INDEX(Employes_ID,285),"")</f>
      </c>
      <c r="B291" s="19">
        <f>IF($A291="","",INDEX(Employes_Nom,MATCH($A291,Employes_ID,0)))</f>
      </c>
      <c r="C291" s="20">
        <f>IF($A291="","",INDEX(Employes_Categorie,MATCH($A291,Employes_ID,0)))</f>
      </c>
      <c r="D291" s="26"/>
      <c r="E291" s="27"/>
      <c r="F291" s="26"/>
      <c r="G291" s="27"/>
      <c r="H291" s="26"/>
      <c r="I291" s="27"/>
      <c r="J291" s="26"/>
      <c r="K291" s="27"/>
      <c r="L291" s="26"/>
      <c r="M291" s="27"/>
      <c r="N291" s="26"/>
      <c r="O291" s="27"/>
      <c r="P291" s="26"/>
      <c r="Q291" s="27"/>
      <c r="R291" s="26"/>
      <c r="S291" s="27"/>
      <c r="T291" s="26"/>
      <c r="U291" s="27"/>
      <c r="V291" s="26"/>
      <c r="W291" s="27"/>
      <c r="X291" s="26"/>
      <c r="Y291" s="27"/>
      <c r="Z291" s="26"/>
      <c r="AA291" s="27"/>
      <c r="AB291" s="26"/>
      <c r="AC291" s="27"/>
      <c r="AD291" s="26"/>
      <c r="AE291" s="27"/>
      <c r="AF291" s="26"/>
      <c r="AG291" s="27"/>
      <c r="AH291" s="26"/>
      <c r="AI291" s="27"/>
      <c r="AJ291" s="26"/>
      <c r="AK291" s="27"/>
      <c r="AL291" s="26"/>
      <c r="AM291" s="27"/>
      <c r="AN291" s="26"/>
      <c r="AO291" s="27"/>
      <c r="AP291" s="26"/>
      <c r="AQ291" s="27"/>
      <c r="AR291" s="26"/>
      <c r="AS291" s="27"/>
      <c r="AT291" s="26"/>
      <c r="AU291" s="27"/>
      <c r="AV291" s="26"/>
      <c r="AW291" s="27"/>
      <c r="AX291" s="26"/>
      <c r="AY291" s="27"/>
      <c r="AZ291" s="26"/>
      <c r="BA291" s="27"/>
      <c r="BB291" s="26"/>
      <c r="BC291" s="27"/>
      <c r="BD291" s="26"/>
      <c r="BE291" s="27"/>
      <c r="BF291" s="26"/>
      <c r="BG291" s="27"/>
      <c r="BH291" s="26"/>
      <c r="BI291" s="27"/>
      <c r="BJ291" s="26"/>
      <c r="BK291" s="27"/>
      <c r="BL291" s="26"/>
      <c r="BM291" s="27"/>
      <c r="BN291" s="22">
        <f>IF($A291="","",SUM(IF($D$5&lt;&gt;"",--(D291="Présent"),0),IF($F$5&lt;&gt;"",--(F291="Présent"),0),IF($H$5&lt;&gt;"",--(H291="Présent"),0),IF($J$5&lt;&gt;"",--(J291="Présent"),0),IF($L$5&lt;&gt;"",--(L291="Présent"),0),IF($N$5&lt;&gt;"",--(N291="Présent"),0),IF($P$5&lt;&gt;"",--(P291="Présent"),0),IF($R$5&lt;&gt;"",--(R291="Présent"),0),IF($T$5&lt;&gt;"",--(T291="Présent"),0),IF($V$5&lt;&gt;"",--(V291="Présent"),0),IF($X$5&lt;&gt;"",--(X291="Présent"),0),IF($Z$5&lt;&gt;"",--(Z291="Présent"),0),IF($AB$5&lt;&gt;"",--(AB291="Présent"),0),IF($AD$5&lt;&gt;"",--(AD291="Présent"),0),IF($AF$5&lt;&gt;"",--(AF291="Présent"),0),IF($AH$5&lt;&gt;"",--(AH291="Présent"),0),IF($AJ$5&lt;&gt;"",--(AJ291="Présent"),0),IF($AL$5&lt;&gt;"",--(AL291="Présent"),0),IF($AN$5&lt;&gt;"",--(AN291="Présent"),0),IF($AP$5&lt;&gt;"",--(AP291="Présent"),0),IF($AR$5&lt;&gt;"",--(AR291="Présent"),0),IF($AT$5&lt;&gt;"",--(AT291="Présent"),0),IF($AV$5&lt;&gt;"",--(AV291="Présent"),0),IF($AX$5&lt;&gt;"",--(AX291="Présent"),0),IF($AZ$5&lt;&gt;"",--(AZ291="Présent"),0),IF($BB$5&lt;&gt;"",--(BB291="Présent"),0),IF($BD$5&lt;&gt;"",--(BD291="Présent"),0),IF($BF$5&lt;&gt;"",--(BF291="Présent"),0),IF($BH$5&lt;&gt;"",--(BH291="Présent"),0),IF($BJ$5&lt;&gt;"",--(BJ291="Présent"),0),IF($BL$5&lt;&gt;"",--(BL291="Présent"),0)))</f>
      </c>
      <c r="BO291" s="22">
        <f>IF($A291="","",SUM(IF($D$5&lt;&gt;"",--(D291="Absent"),0),IF($F$5&lt;&gt;"",--(F291="Absent"),0),IF($H$5&lt;&gt;"",--(H291="Absent"),0),IF($J$5&lt;&gt;"",--(J291="Absent"),0),IF($L$5&lt;&gt;"",--(L291="Absent"),0),IF($N$5&lt;&gt;"",--(N291="Absent"),0),IF($P$5&lt;&gt;"",--(P291="Absent"),0),IF($R$5&lt;&gt;"",--(R291="Absent"),0),IF($T$5&lt;&gt;"",--(T291="Absent"),0),IF($V$5&lt;&gt;"",--(V291="Absent"),0),IF($X$5&lt;&gt;"",--(X291="Absent"),0),IF($Z$5&lt;&gt;"",--(Z291="Absent"),0),IF($AB$5&lt;&gt;"",--(AB291="Absent"),0),IF($AD$5&lt;&gt;"",--(AD291="Absent"),0),IF($AF$5&lt;&gt;"",--(AF291="Absent"),0),IF($AH$5&lt;&gt;"",--(AH291="Absent"),0),IF($AJ$5&lt;&gt;"",--(AJ291="Absent"),0),IF($AL$5&lt;&gt;"",--(AL291="Absent"),0),IF($AN$5&lt;&gt;"",--(AN291="Absent"),0),IF($AP$5&lt;&gt;"",--(AP291="Absent"),0),IF($AR$5&lt;&gt;"",--(AR291="Absent"),0),IF($AT$5&lt;&gt;"",--(AT291="Absent"),0),IF($AV$5&lt;&gt;"",--(AV291="Absent"),0),IF($AX$5&lt;&gt;"",--(AX291="Absent"),0),IF($AZ$5&lt;&gt;"",--(AZ291="Absent"),0),IF($BB$5&lt;&gt;"",--(BB291="Absent"),0),IF($BD$5&lt;&gt;"",--(BD291="Absent"),0),IF($BF$5&lt;&gt;"",--(BF291="Absent"),0),IF($BH$5&lt;&gt;"",--(BH291="Absent"),0),IF($BJ$5&lt;&gt;"",--(BJ291="Absent"),0),IF($BL$5&lt;&gt;"",--(BL291="Absent"),0)))</f>
      </c>
      <c r="BP291" s="22">
        <f>IF($A291="","",SUM(IF($D$5&lt;&gt;"",--(D291="Congé"),0),IF($F$5&lt;&gt;"",--(F291="Congé"),0),IF($H$5&lt;&gt;"",--(H291="Congé"),0),IF($J$5&lt;&gt;"",--(J291="Congé"),0),IF($L$5&lt;&gt;"",--(L291="Congé"),0),IF($N$5&lt;&gt;"",--(N291="Congé"),0),IF($P$5&lt;&gt;"",--(P291="Congé"),0),IF($R$5&lt;&gt;"",--(R291="Congé"),0),IF($T$5&lt;&gt;"",--(T291="Congé"),0),IF($V$5&lt;&gt;"",--(V291="Congé"),0),IF($X$5&lt;&gt;"",--(X291="Congé"),0),IF($Z$5&lt;&gt;"",--(Z291="Congé"),0),IF($AB$5&lt;&gt;"",--(AB291="Congé"),0),IF($AD$5&lt;&gt;"",--(AD291="Congé"),0),IF($AF$5&lt;&gt;"",--(AF291="Congé"),0),IF($AH$5&lt;&gt;"",--(AH291="Congé"),0),IF($AJ$5&lt;&gt;"",--(AJ291="Congé"),0),IF($AL$5&lt;&gt;"",--(AL291="Congé"),0),IF($AN$5&lt;&gt;"",--(AN291="Congé"),0),IF($AP$5&lt;&gt;"",--(AP291="Congé"),0),IF($AR$5&lt;&gt;"",--(AR291="Congé"),0),IF($AT$5&lt;&gt;"",--(AT291="Congé"),0),IF($AV$5&lt;&gt;"",--(AV291="Congé"),0),IF($AX$5&lt;&gt;"",--(AX291="Congé"),0),IF($AZ$5&lt;&gt;"",--(AZ291="Congé"),0),IF($BB$5&lt;&gt;"",--(BB291="Congé"),0),IF($BD$5&lt;&gt;"",--(BD291="Congé"),0),IF($BF$5&lt;&gt;"",--(BF291="Congé"),0),IF($BH$5&lt;&gt;"",--(BH291="Congé"),0),IF($BJ$5&lt;&gt;"",--(BJ291="Congé"),0),IF($BL$5&lt;&gt;"",--(BL291="Congé"),0)))</f>
      </c>
      <c r="BQ291" s="22">
        <f>IF($A291="","",SUM(IF($D$5&lt;&gt;"",--(D291="Maladie"),0),IF($F$5&lt;&gt;"",--(F291="Maladie"),0),IF($H$5&lt;&gt;"",--(H291="Maladie"),0),IF($J$5&lt;&gt;"",--(J291="Maladie"),0),IF($L$5&lt;&gt;"",--(L291="Maladie"),0),IF($N$5&lt;&gt;"",--(N291="Maladie"),0),IF($P$5&lt;&gt;"",--(P291="Maladie"),0),IF($R$5&lt;&gt;"",--(R291="Maladie"),0),IF($T$5&lt;&gt;"",--(T291="Maladie"),0),IF($V$5&lt;&gt;"",--(V291="Maladie"),0),IF($X$5&lt;&gt;"",--(X291="Maladie"),0),IF($Z$5&lt;&gt;"",--(Z291="Maladie"),0),IF($AB$5&lt;&gt;"",--(AB291="Maladie"),0),IF($AD$5&lt;&gt;"",--(AD291="Maladie"),0),IF($AF$5&lt;&gt;"",--(AF291="Maladie"),0),IF($AH$5&lt;&gt;"",--(AH291="Maladie"),0),IF($AJ$5&lt;&gt;"",--(AJ291="Maladie"),0),IF($AL$5&lt;&gt;"",--(AL291="Maladie"),0),IF($AN$5&lt;&gt;"",--(AN291="Maladie"),0),IF($AP$5&lt;&gt;"",--(AP291="Maladie"),0),IF($AR$5&lt;&gt;"",--(AR291="Maladie"),0),IF($AT$5&lt;&gt;"",--(AT291="Maladie"),0),IF($AV$5&lt;&gt;"",--(AV291="Maladie"),0),IF($AX$5&lt;&gt;"",--(AX291="Maladie"),0),IF($AZ$5&lt;&gt;"",--(AZ291="Maladie"),0),IF($BB$5&lt;&gt;"",--(BB291="Maladie"),0),IF($BD$5&lt;&gt;"",--(BD291="Maladie"),0),IF($BF$5&lt;&gt;"",--(BF291="Maladie"),0),IF($BH$5&lt;&gt;"",--(BH291="Maladie"),0),IF($BJ$5&lt;&gt;"",--(BJ291="Maladie"),0),IF($BL$5&lt;&gt;"",--(BL291="Maladie"),0)))</f>
      </c>
      <c r="BR291" s="23">
        <f>IF($A291="","",SUM(IF($D$5&lt;&gt;"",IF(D291="Présent",E291,0),0),IF($F$5&lt;&gt;"",IF(F291="Présent",G291,0),0),IF($H$5&lt;&gt;"",IF(H291="Présent",I291,0),0),IF($J$5&lt;&gt;"",IF(J291="Présent",K291,0),0),IF($L$5&lt;&gt;"",IF(L291="Présent",M291,0),0),IF($N$5&lt;&gt;"",IF(N291="Présent",O291,0),0),IF($P$5&lt;&gt;"",IF(P291="Présent",Q291,0),0),IF($R$5&lt;&gt;"",IF(R291="Présent",S291,0),0),IF($T$5&lt;&gt;"",IF(T291="Présent",U291,0),0),IF($V$5&lt;&gt;"",IF(V291="Présent",W291,0),0),IF($X$5&lt;&gt;"",IF(X291="Présent",Y291,0),0),IF($Z$5&lt;&gt;"",IF(Z291="Présent",AA291,0),0),IF($AB$5&lt;&gt;"",IF(AB291="Présent",AC291,0),0),IF($AD$5&lt;&gt;"",IF(AD291="Présent",AE291,0),0),IF($AF$5&lt;&gt;"",IF(AF291="Présent",AG291,0),0),IF($AH$5&lt;&gt;"",IF(AH291="Présent",AI291,0),0),IF($AJ$5&lt;&gt;"",IF(AJ291="Présent",AK291,0),0),IF($AL$5&lt;&gt;"",IF(AL291="Présent",AM291,0),0),IF($AN$5&lt;&gt;"",IF(AN291="Présent",AO291,0),0),IF($AP$5&lt;&gt;"",IF(AP291="Présent",AQ291,0),0),IF($AR$5&lt;&gt;"",IF(AR291="Présent",AS291,0),0),IF($AT$5&lt;&gt;"",IF(AT291="Présent",AU291,0),0),IF($AV$5&lt;&gt;"",IF(AV291="Présent",AW291,0),0),IF($AX$5&lt;&gt;"",IF(AX291="Présent",AY291,0),0),IF($AZ$5&lt;&gt;"",IF(AZ291="Présent",BA291,0),0),IF($BB$5&lt;&gt;"",IF(BB291="Présent",BC291,0),0),IF($BD$5&lt;&gt;"",IF(BD291="Présent",BE291,0),0),IF($BF$5&lt;&gt;"",IF(BF291="Présent",BG291,0),0),IF($BH$5&lt;&gt;"",IF(BH291="Présent",BI291,0),0),IF($BJ$5&lt;&gt;"",IF(BJ291="Présent",BK291,0),0),IF($BL$5&lt;&gt;"",IF(BL291="Présent",BM291,0),0)))</f>
      </c>
      <c r="BS291" s="25">
        <f>IF($A291="","",$BN291*IFERROR(INDEX(Categories_Salaire,MATCH($C291,ListeCategories,0)),0)+$BR291*IF(IFERROR(INDEX(Categories_TauxHS,MATCH($C291,ListeCategories,0)),0)&gt;0,IFERROR(INDEX(Categories_TauxHS,MATCH($C291,ListeCategories,0)),0),TauxHSDefaut))</f>
      </c>
    </row>
    <row r="292">
      <c r="A292" s="20">
        <f>IF(AND(INDEX(Employes_Nom,286)&lt;&gt;"",INDEX(Employes_Statut,286)="Actif",OR(INDEX(Employes_Embauche,286)="",INDEX(Employes_Embauche,286)&lt;=EOMONTH(DATE(AnneeCourante,MoisCourant,1),0))),INDEX(Employes_ID,286),"")</f>
      </c>
      <c r="B292" s="19">
        <f>IF($A292="","",INDEX(Employes_Nom,MATCH($A292,Employes_ID,0)))</f>
      </c>
      <c r="C292" s="20">
        <f>IF($A292="","",INDEX(Employes_Categorie,MATCH($A292,Employes_ID,0)))</f>
      </c>
      <c r="D292" s="26"/>
      <c r="E292" s="27"/>
      <c r="F292" s="26"/>
      <c r="G292" s="27"/>
      <c r="H292" s="26"/>
      <c r="I292" s="27"/>
      <c r="J292" s="26"/>
      <c r="K292" s="27"/>
      <c r="L292" s="26"/>
      <c r="M292" s="27"/>
      <c r="N292" s="26"/>
      <c r="O292" s="27"/>
      <c r="P292" s="26"/>
      <c r="Q292" s="27"/>
      <c r="R292" s="26"/>
      <c r="S292" s="27"/>
      <c r="T292" s="26"/>
      <c r="U292" s="27"/>
      <c r="V292" s="26"/>
      <c r="W292" s="27"/>
      <c r="X292" s="26"/>
      <c r="Y292" s="27"/>
      <c r="Z292" s="26"/>
      <c r="AA292" s="27"/>
      <c r="AB292" s="26"/>
      <c r="AC292" s="27"/>
      <c r="AD292" s="26"/>
      <c r="AE292" s="27"/>
      <c r="AF292" s="26"/>
      <c r="AG292" s="27"/>
      <c r="AH292" s="26"/>
      <c r="AI292" s="27"/>
      <c r="AJ292" s="26"/>
      <c r="AK292" s="27"/>
      <c r="AL292" s="26"/>
      <c r="AM292" s="27"/>
      <c r="AN292" s="26"/>
      <c r="AO292" s="27"/>
      <c r="AP292" s="26"/>
      <c r="AQ292" s="27"/>
      <c r="AR292" s="26"/>
      <c r="AS292" s="27"/>
      <c r="AT292" s="26"/>
      <c r="AU292" s="27"/>
      <c r="AV292" s="26"/>
      <c r="AW292" s="27"/>
      <c r="AX292" s="26"/>
      <c r="AY292" s="27"/>
      <c r="AZ292" s="26"/>
      <c r="BA292" s="27"/>
      <c r="BB292" s="26"/>
      <c r="BC292" s="27"/>
      <c r="BD292" s="26"/>
      <c r="BE292" s="27"/>
      <c r="BF292" s="26"/>
      <c r="BG292" s="27"/>
      <c r="BH292" s="26"/>
      <c r="BI292" s="27"/>
      <c r="BJ292" s="26"/>
      <c r="BK292" s="27"/>
      <c r="BL292" s="26"/>
      <c r="BM292" s="27"/>
      <c r="BN292" s="22">
        <f>IF($A292="","",SUM(IF($D$5&lt;&gt;"",--(D292="Présent"),0),IF($F$5&lt;&gt;"",--(F292="Présent"),0),IF($H$5&lt;&gt;"",--(H292="Présent"),0),IF($J$5&lt;&gt;"",--(J292="Présent"),0),IF($L$5&lt;&gt;"",--(L292="Présent"),0),IF($N$5&lt;&gt;"",--(N292="Présent"),0),IF($P$5&lt;&gt;"",--(P292="Présent"),0),IF($R$5&lt;&gt;"",--(R292="Présent"),0),IF($T$5&lt;&gt;"",--(T292="Présent"),0),IF($V$5&lt;&gt;"",--(V292="Présent"),0),IF($X$5&lt;&gt;"",--(X292="Présent"),0),IF($Z$5&lt;&gt;"",--(Z292="Présent"),0),IF($AB$5&lt;&gt;"",--(AB292="Présent"),0),IF($AD$5&lt;&gt;"",--(AD292="Présent"),0),IF($AF$5&lt;&gt;"",--(AF292="Présent"),0),IF($AH$5&lt;&gt;"",--(AH292="Présent"),0),IF($AJ$5&lt;&gt;"",--(AJ292="Présent"),0),IF($AL$5&lt;&gt;"",--(AL292="Présent"),0),IF($AN$5&lt;&gt;"",--(AN292="Présent"),0),IF($AP$5&lt;&gt;"",--(AP292="Présent"),0),IF($AR$5&lt;&gt;"",--(AR292="Présent"),0),IF($AT$5&lt;&gt;"",--(AT292="Présent"),0),IF($AV$5&lt;&gt;"",--(AV292="Présent"),0),IF($AX$5&lt;&gt;"",--(AX292="Présent"),0),IF($AZ$5&lt;&gt;"",--(AZ292="Présent"),0),IF($BB$5&lt;&gt;"",--(BB292="Présent"),0),IF($BD$5&lt;&gt;"",--(BD292="Présent"),0),IF($BF$5&lt;&gt;"",--(BF292="Présent"),0),IF($BH$5&lt;&gt;"",--(BH292="Présent"),0),IF($BJ$5&lt;&gt;"",--(BJ292="Présent"),0),IF($BL$5&lt;&gt;"",--(BL292="Présent"),0)))</f>
      </c>
      <c r="BO292" s="22">
        <f>IF($A292="","",SUM(IF($D$5&lt;&gt;"",--(D292="Absent"),0),IF($F$5&lt;&gt;"",--(F292="Absent"),0),IF($H$5&lt;&gt;"",--(H292="Absent"),0),IF($J$5&lt;&gt;"",--(J292="Absent"),0),IF($L$5&lt;&gt;"",--(L292="Absent"),0),IF($N$5&lt;&gt;"",--(N292="Absent"),0),IF($P$5&lt;&gt;"",--(P292="Absent"),0),IF($R$5&lt;&gt;"",--(R292="Absent"),0),IF($T$5&lt;&gt;"",--(T292="Absent"),0),IF($V$5&lt;&gt;"",--(V292="Absent"),0),IF($X$5&lt;&gt;"",--(X292="Absent"),0),IF($Z$5&lt;&gt;"",--(Z292="Absent"),0),IF($AB$5&lt;&gt;"",--(AB292="Absent"),0),IF($AD$5&lt;&gt;"",--(AD292="Absent"),0),IF($AF$5&lt;&gt;"",--(AF292="Absent"),0),IF($AH$5&lt;&gt;"",--(AH292="Absent"),0),IF($AJ$5&lt;&gt;"",--(AJ292="Absent"),0),IF($AL$5&lt;&gt;"",--(AL292="Absent"),0),IF($AN$5&lt;&gt;"",--(AN292="Absent"),0),IF($AP$5&lt;&gt;"",--(AP292="Absent"),0),IF($AR$5&lt;&gt;"",--(AR292="Absent"),0),IF($AT$5&lt;&gt;"",--(AT292="Absent"),0),IF($AV$5&lt;&gt;"",--(AV292="Absent"),0),IF($AX$5&lt;&gt;"",--(AX292="Absent"),0),IF($AZ$5&lt;&gt;"",--(AZ292="Absent"),0),IF($BB$5&lt;&gt;"",--(BB292="Absent"),0),IF($BD$5&lt;&gt;"",--(BD292="Absent"),0),IF($BF$5&lt;&gt;"",--(BF292="Absent"),0),IF($BH$5&lt;&gt;"",--(BH292="Absent"),0),IF($BJ$5&lt;&gt;"",--(BJ292="Absent"),0),IF($BL$5&lt;&gt;"",--(BL292="Absent"),0)))</f>
      </c>
      <c r="BP292" s="22">
        <f>IF($A292="","",SUM(IF($D$5&lt;&gt;"",--(D292="Congé"),0),IF($F$5&lt;&gt;"",--(F292="Congé"),0),IF($H$5&lt;&gt;"",--(H292="Congé"),0),IF($J$5&lt;&gt;"",--(J292="Congé"),0),IF($L$5&lt;&gt;"",--(L292="Congé"),0),IF($N$5&lt;&gt;"",--(N292="Congé"),0),IF($P$5&lt;&gt;"",--(P292="Congé"),0),IF($R$5&lt;&gt;"",--(R292="Congé"),0),IF($T$5&lt;&gt;"",--(T292="Congé"),0),IF($V$5&lt;&gt;"",--(V292="Congé"),0),IF($X$5&lt;&gt;"",--(X292="Congé"),0),IF($Z$5&lt;&gt;"",--(Z292="Congé"),0),IF($AB$5&lt;&gt;"",--(AB292="Congé"),0),IF($AD$5&lt;&gt;"",--(AD292="Congé"),0),IF($AF$5&lt;&gt;"",--(AF292="Congé"),0),IF($AH$5&lt;&gt;"",--(AH292="Congé"),0),IF($AJ$5&lt;&gt;"",--(AJ292="Congé"),0),IF($AL$5&lt;&gt;"",--(AL292="Congé"),0),IF($AN$5&lt;&gt;"",--(AN292="Congé"),0),IF($AP$5&lt;&gt;"",--(AP292="Congé"),0),IF($AR$5&lt;&gt;"",--(AR292="Congé"),0),IF($AT$5&lt;&gt;"",--(AT292="Congé"),0),IF($AV$5&lt;&gt;"",--(AV292="Congé"),0),IF($AX$5&lt;&gt;"",--(AX292="Congé"),0),IF($AZ$5&lt;&gt;"",--(AZ292="Congé"),0),IF($BB$5&lt;&gt;"",--(BB292="Congé"),0),IF($BD$5&lt;&gt;"",--(BD292="Congé"),0),IF($BF$5&lt;&gt;"",--(BF292="Congé"),0),IF($BH$5&lt;&gt;"",--(BH292="Congé"),0),IF($BJ$5&lt;&gt;"",--(BJ292="Congé"),0),IF($BL$5&lt;&gt;"",--(BL292="Congé"),0)))</f>
      </c>
      <c r="BQ292" s="22">
        <f>IF($A292="","",SUM(IF($D$5&lt;&gt;"",--(D292="Maladie"),0),IF($F$5&lt;&gt;"",--(F292="Maladie"),0),IF($H$5&lt;&gt;"",--(H292="Maladie"),0),IF($J$5&lt;&gt;"",--(J292="Maladie"),0),IF($L$5&lt;&gt;"",--(L292="Maladie"),0),IF($N$5&lt;&gt;"",--(N292="Maladie"),0),IF($P$5&lt;&gt;"",--(P292="Maladie"),0),IF($R$5&lt;&gt;"",--(R292="Maladie"),0),IF($T$5&lt;&gt;"",--(T292="Maladie"),0),IF($V$5&lt;&gt;"",--(V292="Maladie"),0),IF($X$5&lt;&gt;"",--(X292="Maladie"),0),IF($Z$5&lt;&gt;"",--(Z292="Maladie"),0),IF($AB$5&lt;&gt;"",--(AB292="Maladie"),0),IF($AD$5&lt;&gt;"",--(AD292="Maladie"),0),IF($AF$5&lt;&gt;"",--(AF292="Maladie"),0),IF($AH$5&lt;&gt;"",--(AH292="Maladie"),0),IF($AJ$5&lt;&gt;"",--(AJ292="Maladie"),0),IF($AL$5&lt;&gt;"",--(AL292="Maladie"),0),IF($AN$5&lt;&gt;"",--(AN292="Maladie"),0),IF($AP$5&lt;&gt;"",--(AP292="Maladie"),0),IF($AR$5&lt;&gt;"",--(AR292="Maladie"),0),IF($AT$5&lt;&gt;"",--(AT292="Maladie"),0),IF($AV$5&lt;&gt;"",--(AV292="Maladie"),0),IF($AX$5&lt;&gt;"",--(AX292="Maladie"),0),IF($AZ$5&lt;&gt;"",--(AZ292="Maladie"),0),IF($BB$5&lt;&gt;"",--(BB292="Maladie"),0),IF($BD$5&lt;&gt;"",--(BD292="Maladie"),0),IF($BF$5&lt;&gt;"",--(BF292="Maladie"),0),IF($BH$5&lt;&gt;"",--(BH292="Maladie"),0),IF($BJ$5&lt;&gt;"",--(BJ292="Maladie"),0),IF($BL$5&lt;&gt;"",--(BL292="Maladie"),0)))</f>
      </c>
      <c r="BR292" s="23">
        <f>IF($A292="","",SUM(IF($D$5&lt;&gt;"",IF(D292="Présent",E292,0),0),IF($F$5&lt;&gt;"",IF(F292="Présent",G292,0),0),IF($H$5&lt;&gt;"",IF(H292="Présent",I292,0),0),IF($J$5&lt;&gt;"",IF(J292="Présent",K292,0),0),IF($L$5&lt;&gt;"",IF(L292="Présent",M292,0),0),IF($N$5&lt;&gt;"",IF(N292="Présent",O292,0),0),IF($P$5&lt;&gt;"",IF(P292="Présent",Q292,0),0),IF($R$5&lt;&gt;"",IF(R292="Présent",S292,0),0),IF($T$5&lt;&gt;"",IF(T292="Présent",U292,0),0),IF($V$5&lt;&gt;"",IF(V292="Présent",W292,0),0),IF($X$5&lt;&gt;"",IF(X292="Présent",Y292,0),0),IF($Z$5&lt;&gt;"",IF(Z292="Présent",AA292,0),0),IF($AB$5&lt;&gt;"",IF(AB292="Présent",AC292,0),0),IF($AD$5&lt;&gt;"",IF(AD292="Présent",AE292,0),0),IF($AF$5&lt;&gt;"",IF(AF292="Présent",AG292,0),0),IF($AH$5&lt;&gt;"",IF(AH292="Présent",AI292,0),0),IF($AJ$5&lt;&gt;"",IF(AJ292="Présent",AK292,0),0),IF($AL$5&lt;&gt;"",IF(AL292="Présent",AM292,0),0),IF($AN$5&lt;&gt;"",IF(AN292="Présent",AO292,0),0),IF($AP$5&lt;&gt;"",IF(AP292="Présent",AQ292,0),0),IF($AR$5&lt;&gt;"",IF(AR292="Présent",AS292,0),0),IF($AT$5&lt;&gt;"",IF(AT292="Présent",AU292,0),0),IF($AV$5&lt;&gt;"",IF(AV292="Présent",AW292,0),0),IF($AX$5&lt;&gt;"",IF(AX292="Présent",AY292,0),0),IF($AZ$5&lt;&gt;"",IF(AZ292="Présent",BA292,0),0),IF($BB$5&lt;&gt;"",IF(BB292="Présent",BC292,0),0),IF($BD$5&lt;&gt;"",IF(BD292="Présent",BE292,0),0),IF($BF$5&lt;&gt;"",IF(BF292="Présent",BG292,0),0),IF($BH$5&lt;&gt;"",IF(BH292="Présent",BI292,0),0),IF($BJ$5&lt;&gt;"",IF(BJ292="Présent",BK292,0),0),IF($BL$5&lt;&gt;"",IF(BL292="Présent",BM292,0),0)))</f>
      </c>
      <c r="BS292" s="25">
        <f>IF($A292="","",$BN292*IFERROR(INDEX(Categories_Salaire,MATCH($C292,ListeCategories,0)),0)+$BR292*IF(IFERROR(INDEX(Categories_TauxHS,MATCH($C292,ListeCategories,0)),0)&gt;0,IFERROR(INDEX(Categories_TauxHS,MATCH($C292,ListeCategories,0)),0),TauxHSDefaut))</f>
      </c>
    </row>
    <row r="293">
      <c r="A293" s="20">
        <f>IF(AND(INDEX(Employes_Nom,287)&lt;&gt;"",INDEX(Employes_Statut,287)="Actif",OR(INDEX(Employes_Embauche,287)="",INDEX(Employes_Embauche,287)&lt;=EOMONTH(DATE(AnneeCourante,MoisCourant,1),0))),INDEX(Employes_ID,287),"")</f>
      </c>
      <c r="B293" s="19">
        <f>IF($A293="","",INDEX(Employes_Nom,MATCH($A293,Employes_ID,0)))</f>
      </c>
      <c r="C293" s="20">
        <f>IF($A293="","",INDEX(Employes_Categorie,MATCH($A293,Employes_ID,0)))</f>
      </c>
      <c r="D293" s="26"/>
      <c r="E293" s="27"/>
      <c r="F293" s="26"/>
      <c r="G293" s="27"/>
      <c r="H293" s="26"/>
      <c r="I293" s="27"/>
      <c r="J293" s="26"/>
      <c r="K293" s="27"/>
      <c r="L293" s="26"/>
      <c r="M293" s="27"/>
      <c r="N293" s="26"/>
      <c r="O293" s="27"/>
      <c r="P293" s="26"/>
      <c r="Q293" s="27"/>
      <c r="R293" s="26"/>
      <c r="S293" s="27"/>
      <c r="T293" s="26"/>
      <c r="U293" s="27"/>
      <c r="V293" s="26"/>
      <c r="W293" s="27"/>
      <c r="X293" s="26"/>
      <c r="Y293" s="27"/>
      <c r="Z293" s="26"/>
      <c r="AA293" s="27"/>
      <c r="AB293" s="26"/>
      <c r="AC293" s="27"/>
      <c r="AD293" s="26"/>
      <c r="AE293" s="27"/>
      <c r="AF293" s="26"/>
      <c r="AG293" s="27"/>
      <c r="AH293" s="26"/>
      <c r="AI293" s="27"/>
      <c r="AJ293" s="26"/>
      <c r="AK293" s="27"/>
      <c r="AL293" s="26"/>
      <c r="AM293" s="27"/>
      <c r="AN293" s="26"/>
      <c r="AO293" s="27"/>
      <c r="AP293" s="26"/>
      <c r="AQ293" s="27"/>
      <c r="AR293" s="26"/>
      <c r="AS293" s="27"/>
      <c r="AT293" s="26"/>
      <c r="AU293" s="27"/>
      <c r="AV293" s="26"/>
      <c r="AW293" s="27"/>
      <c r="AX293" s="26"/>
      <c r="AY293" s="27"/>
      <c r="AZ293" s="26"/>
      <c r="BA293" s="27"/>
      <c r="BB293" s="26"/>
      <c r="BC293" s="27"/>
      <c r="BD293" s="26"/>
      <c r="BE293" s="27"/>
      <c r="BF293" s="26"/>
      <c r="BG293" s="27"/>
      <c r="BH293" s="26"/>
      <c r="BI293" s="27"/>
      <c r="BJ293" s="26"/>
      <c r="BK293" s="27"/>
      <c r="BL293" s="26"/>
      <c r="BM293" s="27"/>
      <c r="BN293" s="22">
        <f>IF($A293="","",SUM(IF($D$5&lt;&gt;"",--(D293="Présent"),0),IF($F$5&lt;&gt;"",--(F293="Présent"),0),IF($H$5&lt;&gt;"",--(H293="Présent"),0),IF($J$5&lt;&gt;"",--(J293="Présent"),0),IF($L$5&lt;&gt;"",--(L293="Présent"),0),IF($N$5&lt;&gt;"",--(N293="Présent"),0),IF($P$5&lt;&gt;"",--(P293="Présent"),0),IF($R$5&lt;&gt;"",--(R293="Présent"),0),IF($T$5&lt;&gt;"",--(T293="Présent"),0),IF($V$5&lt;&gt;"",--(V293="Présent"),0),IF($X$5&lt;&gt;"",--(X293="Présent"),0),IF($Z$5&lt;&gt;"",--(Z293="Présent"),0),IF($AB$5&lt;&gt;"",--(AB293="Présent"),0),IF($AD$5&lt;&gt;"",--(AD293="Présent"),0),IF($AF$5&lt;&gt;"",--(AF293="Présent"),0),IF($AH$5&lt;&gt;"",--(AH293="Présent"),0),IF($AJ$5&lt;&gt;"",--(AJ293="Présent"),0),IF($AL$5&lt;&gt;"",--(AL293="Présent"),0),IF($AN$5&lt;&gt;"",--(AN293="Présent"),0),IF($AP$5&lt;&gt;"",--(AP293="Présent"),0),IF($AR$5&lt;&gt;"",--(AR293="Présent"),0),IF($AT$5&lt;&gt;"",--(AT293="Présent"),0),IF($AV$5&lt;&gt;"",--(AV293="Présent"),0),IF($AX$5&lt;&gt;"",--(AX293="Présent"),0),IF($AZ$5&lt;&gt;"",--(AZ293="Présent"),0),IF($BB$5&lt;&gt;"",--(BB293="Présent"),0),IF($BD$5&lt;&gt;"",--(BD293="Présent"),0),IF($BF$5&lt;&gt;"",--(BF293="Présent"),0),IF($BH$5&lt;&gt;"",--(BH293="Présent"),0),IF($BJ$5&lt;&gt;"",--(BJ293="Présent"),0),IF($BL$5&lt;&gt;"",--(BL293="Présent"),0)))</f>
      </c>
      <c r="BO293" s="22">
        <f>IF($A293="","",SUM(IF($D$5&lt;&gt;"",--(D293="Absent"),0),IF($F$5&lt;&gt;"",--(F293="Absent"),0),IF($H$5&lt;&gt;"",--(H293="Absent"),0),IF($J$5&lt;&gt;"",--(J293="Absent"),0),IF($L$5&lt;&gt;"",--(L293="Absent"),0),IF($N$5&lt;&gt;"",--(N293="Absent"),0),IF($P$5&lt;&gt;"",--(P293="Absent"),0),IF($R$5&lt;&gt;"",--(R293="Absent"),0),IF($T$5&lt;&gt;"",--(T293="Absent"),0),IF($V$5&lt;&gt;"",--(V293="Absent"),0),IF($X$5&lt;&gt;"",--(X293="Absent"),0),IF($Z$5&lt;&gt;"",--(Z293="Absent"),0),IF($AB$5&lt;&gt;"",--(AB293="Absent"),0),IF($AD$5&lt;&gt;"",--(AD293="Absent"),0),IF($AF$5&lt;&gt;"",--(AF293="Absent"),0),IF($AH$5&lt;&gt;"",--(AH293="Absent"),0),IF($AJ$5&lt;&gt;"",--(AJ293="Absent"),0),IF($AL$5&lt;&gt;"",--(AL293="Absent"),0),IF($AN$5&lt;&gt;"",--(AN293="Absent"),0),IF($AP$5&lt;&gt;"",--(AP293="Absent"),0),IF($AR$5&lt;&gt;"",--(AR293="Absent"),0),IF($AT$5&lt;&gt;"",--(AT293="Absent"),0),IF($AV$5&lt;&gt;"",--(AV293="Absent"),0),IF($AX$5&lt;&gt;"",--(AX293="Absent"),0),IF($AZ$5&lt;&gt;"",--(AZ293="Absent"),0),IF($BB$5&lt;&gt;"",--(BB293="Absent"),0),IF($BD$5&lt;&gt;"",--(BD293="Absent"),0),IF($BF$5&lt;&gt;"",--(BF293="Absent"),0),IF($BH$5&lt;&gt;"",--(BH293="Absent"),0),IF($BJ$5&lt;&gt;"",--(BJ293="Absent"),0),IF($BL$5&lt;&gt;"",--(BL293="Absent"),0)))</f>
      </c>
      <c r="BP293" s="22">
        <f>IF($A293="","",SUM(IF($D$5&lt;&gt;"",--(D293="Congé"),0),IF($F$5&lt;&gt;"",--(F293="Congé"),0),IF($H$5&lt;&gt;"",--(H293="Congé"),0),IF($J$5&lt;&gt;"",--(J293="Congé"),0),IF($L$5&lt;&gt;"",--(L293="Congé"),0),IF($N$5&lt;&gt;"",--(N293="Congé"),0),IF($P$5&lt;&gt;"",--(P293="Congé"),0),IF($R$5&lt;&gt;"",--(R293="Congé"),0),IF($T$5&lt;&gt;"",--(T293="Congé"),0),IF($V$5&lt;&gt;"",--(V293="Congé"),0),IF($X$5&lt;&gt;"",--(X293="Congé"),0),IF($Z$5&lt;&gt;"",--(Z293="Congé"),0),IF($AB$5&lt;&gt;"",--(AB293="Congé"),0),IF($AD$5&lt;&gt;"",--(AD293="Congé"),0),IF($AF$5&lt;&gt;"",--(AF293="Congé"),0),IF($AH$5&lt;&gt;"",--(AH293="Congé"),0),IF($AJ$5&lt;&gt;"",--(AJ293="Congé"),0),IF($AL$5&lt;&gt;"",--(AL293="Congé"),0),IF($AN$5&lt;&gt;"",--(AN293="Congé"),0),IF($AP$5&lt;&gt;"",--(AP293="Congé"),0),IF($AR$5&lt;&gt;"",--(AR293="Congé"),0),IF($AT$5&lt;&gt;"",--(AT293="Congé"),0),IF($AV$5&lt;&gt;"",--(AV293="Congé"),0),IF($AX$5&lt;&gt;"",--(AX293="Congé"),0),IF($AZ$5&lt;&gt;"",--(AZ293="Congé"),0),IF($BB$5&lt;&gt;"",--(BB293="Congé"),0),IF($BD$5&lt;&gt;"",--(BD293="Congé"),0),IF($BF$5&lt;&gt;"",--(BF293="Congé"),0),IF($BH$5&lt;&gt;"",--(BH293="Congé"),0),IF($BJ$5&lt;&gt;"",--(BJ293="Congé"),0),IF($BL$5&lt;&gt;"",--(BL293="Congé"),0)))</f>
      </c>
      <c r="BQ293" s="22">
        <f>IF($A293="","",SUM(IF($D$5&lt;&gt;"",--(D293="Maladie"),0),IF($F$5&lt;&gt;"",--(F293="Maladie"),0),IF($H$5&lt;&gt;"",--(H293="Maladie"),0),IF($J$5&lt;&gt;"",--(J293="Maladie"),0),IF($L$5&lt;&gt;"",--(L293="Maladie"),0),IF($N$5&lt;&gt;"",--(N293="Maladie"),0),IF($P$5&lt;&gt;"",--(P293="Maladie"),0),IF($R$5&lt;&gt;"",--(R293="Maladie"),0),IF($T$5&lt;&gt;"",--(T293="Maladie"),0),IF($V$5&lt;&gt;"",--(V293="Maladie"),0),IF($X$5&lt;&gt;"",--(X293="Maladie"),0),IF($Z$5&lt;&gt;"",--(Z293="Maladie"),0),IF($AB$5&lt;&gt;"",--(AB293="Maladie"),0),IF($AD$5&lt;&gt;"",--(AD293="Maladie"),0),IF($AF$5&lt;&gt;"",--(AF293="Maladie"),0),IF($AH$5&lt;&gt;"",--(AH293="Maladie"),0),IF($AJ$5&lt;&gt;"",--(AJ293="Maladie"),0),IF($AL$5&lt;&gt;"",--(AL293="Maladie"),0),IF($AN$5&lt;&gt;"",--(AN293="Maladie"),0),IF($AP$5&lt;&gt;"",--(AP293="Maladie"),0),IF($AR$5&lt;&gt;"",--(AR293="Maladie"),0),IF($AT$5&lt;&gt;"",--(AT293="Maladie"),0),IF($AV$5&lt;&gt;"",--(AV293="Maladie"),0),IF($AX$5&lt;&gt;"",--(AX293="Maladie"),0),IF($AZ$5&lt;&gt;"",--(AZ293="Maladie"),0),IF($BB$5&lt;&gt;"",--(BB293="Maladie"),0),IF($BD$5&lt;&gt;"",--(BD293="Maladie"),0),IF($BF$5&lt;&gt;"",--(BF293="Maladie"),0),IF($BH$5&lt;&gt;"",--(BH293="Maladie"),0),IF($BJ$5&lt;&gt;"",--(BJ293="Maladie"),0),IF($BL$5&lt;&gt;"",--(BL293="Maladie"),0)))</f>
      </c>
      <c r="BR293" s="23">
        <f>IF($A293="","",SUM(IF($D$5&lt;&gt;"",IF(D293="Présent",E293,0),0),IF($F$5&lt;&gt;"",IF(F293="Présent",G293,0),0),IF($H$5&lt;&gt;"",IF(H293="Présent",I293,0),0),IF($J$5&lt;&gt;"",IF(J293="Présent",K293,0),0),IF($L$5&lt;&gt;"",IF(L293="Présent",M293,0),0),IF($N$5&lt;&gt;"",IF(N293="Présent",O293,0),0),IF($P$5&lt;&gt;"",IF(P293="Présent",Q293,0),0),IF($R$5&lt;&gt;"",IF(R293="Présent",S293,0),0),IF($T$5&lt;&gt;"",IF(T293="Présent",U293,0),0),IF($V$5&lt;&gt;"",IF(V293="Présent",W293,0),0),IF($X$5&lt;&gt;"",IF(X293="Présent",Y293,0),0),IF($Z$5&lt;&gt;"",IF(Z293="Présent",AA293,0),0),IF($AB$5&lt;&gt;"",IF(AB293="Présent",AC293,0),0),IF($AD$5&lt;&gt;"",IF(AD293="Présent",AE293,0),0),IF($AF$5&lt;&gt;"",IF(AF293="Présent",AG293,0),0),IF($AH$5&lt;&gt;"",IF(AH293="Présent",AI293,0),0),IF($AJ$5&lt;&gt;"",IF(AJ293="Présent",AK293,0),0),IF($AL$5&lt;&gt;"",IF(AL293="Présent",AM293,0),0),IF($AN$5&lt;&gt;"",IF(AN293="Présent",AO293,0),0),IF($AP$5&lt;&gt;"",IF(AP293="Présent",AQ293,0),0),IF($AR$5&lt;&gt;"",IF(AR293="Présent",AS293,0),0),IF($AT$5&lt;&gt;"",IF(AT293="Présent",AU293,0),0),IF($AV$5&lt;&gt;"",IF(AV293="Présent",AW293,0),0),IF($AX$5&lt;&gt;"",IF(AX293="Présent",AY293,0),0),IF($AZ$5&lt;&gt;"",IF(AZ293="Présent",BA293,0),0),IF($BB$5&lt;&gt;"",IF(BB293="Présent",BC293,0),0),IF($BD$5&lt;&gt;"",IF(BD293="Présent",BE293,0),0),IF($BF$5&lt;&gt;"",IF(BF293="Présent",BG293,0),0),IF($BH$5&lt;&gt;"",IF(BH293="Présent",BI293,0),0),IF($BJ$5&lt;&gt;"",IF(BJ293="Présent",BK293,0),0),IF($BL$5&lt;&gt;"",IF(BL293="Présent",BM293,0),0)))</f>
      </c>
      <c r="BS293" s="25">
        <f>IF($A293="","",$BN293*IFERROR(INDEX(Categories_Salaire,MATCH($C293,ListeCategories,0)),0)+$BR293*IF(IFERROR(INDEX(Categories_TauxHS,MATCH($C293,ListeCategories,0)),0)&gt;0,IFERROR(INDEX(Categories_TauxHS,MATCH($C293,ListeCategories,0)),0),TauxHSDefaut))</f>
      </c>
    </row>
    <row r="294">
      <c r="A294" s="20">
        <f>IF(AND(INDEX(Employes_Nom,288)&lt;&gt;"",INDEX(Employes_Statut,288)="Actif",OR(INDEX(Employes_Embauche,288)="",INDEX(Employes_Embauche,288)&lt;=EOMONTH(DATE(AnneeCourante,MoisCourant,1),0))),INDEX(Employes_ID,288),"")</f>
      </c>
      <c r="B294" s="19">
        <f>IF($A294="","",INDEX(Employes_Nom,MATCH($A294,Employes_ID,0)))</f>
      </c>
      <c r="C294" s="20">
        <f>IF($A294="","",INDEX(Employes_Categorie,MATCH($A294,Employes_ID,0)))</f>
      </c>
      <c r="D294" s="26"/>
      <c r="E294" s="27"/>
      <c r="F294" s="26"/>
      <c r="G294" s="27"/>
      <c r="H294" s="26"/>
      <c r="I294" s="27"/>
      <c r="J294" s="26"/>
      <c r="K294" s="27"/>
      <c r="L294" s="26"/>
      <c r="M294" s="27"/>
      <c r="N294" s="26"/>
      <c r="O294" s="27"/>
      <c r="P294" s="26"/>
      <c r="Q294" s="27"/>
      <c r="R294" s="26"/>
      <c r="S294" s="27"/>
      <c r="T294" s="26"/>
      <c r="U294" s="27"/>
      <c r="V294" s="26"/>
      <c r="W294" s="27"/>
      <c r="X294" s="26"/>
      <c r="Y294" s="27"/>
      <c r="Z294" s="26"/>
      <c r="AA294" s="27"/>
      <c r="AB294" s="26"/>
      <c r="AC294" s="27"/>
      <c r="AD294" s="26"/>
      <c r="AE294" s="27"/>
      <c r="AF294" s="26"/>
      <c r="AG294" s="27"/>
      <c r="AH294" s="26"/>
      <c r="AI294" s="27"/>
      <c r="AJ294" s="26"/>
      <c r="AK294" s="27"/>
      <c r="AL294" s="26"/>
      <c r="AM294" s="27"/>
      <c r="AN294" s="26"/>
      <c r="AO294" s="27"/>
      <c r="AP294" s="26"/>
      <c r="AQ294" s="27"/>
      <c r="AR294" s="26"/>
      <c r="AS294" s="27"/>
      <c r="AT294" s="26"/>
      <c r="AU294" s="27"/>
      <c r="AV294" s="26"/>
      <c r="AW294" s="27"/>
      <c r="AX294" s="26"/>
      <c r="AY294" s="27"/>
      <c r="AZ294" s="26"/>
      <c r="BA294" s="27"/>
      <c r="BB294" s="26"/>
      <c r="BC294" s="27"/>
      <c r="BD294" s="26"/>
      <c r="BE294" s="27"/>
      <c r="BF294" s="26"/>
      <c r="BG294" s="27"/>
      <c r="BH294" s="26"/>
      <c r="BI294" s="27"/>
      <c r="BJ294" s="26"/>
      <c r="BK294" s="27"/>
      <c r="BL294" s="26"/>
      <c r="BM294" s="27"/>
      <c r="BN294" s="22">
        <f>IF($A294="","",SUM(IF($D$5&lt;&gt;"",--(D294="Présent"),0),IF($F$5&lt;&gt;"",--(F294="Présent"),0),IF($H$5&lt;&gt;"",--(H294="Présent"),0),IF($J$5&lt;&gt;"",--(J294="Présent"),0),IF($L$5&lt;&gt;"",--(L294="Présent"),0),IF($N$5&lt;&gt;"",--(N294="Présent"),0),IF($P$5&lt;&gt;"",--(P294="Présent"),0),IF($R$5&lt;&gt;"",--(R294="Présent"),0),IF($T$5&lt;&gt;"",--(T294="Présent"),0),IF($V$5&lt;&gt;"",--(V294="Présent"),0),IF($X$5&lt;&gt;"",--(X294="Présent"),0),IF($Z$5&lt;&gt;"",--(Z294="Présent"),0),IF($AB$5&lt;&gt;"",--(AB294="Présent"),0),IF($AD$5&lt;&gt;"",--(AD294="Présent"),0),IF($AF$5&lt;&gt;"",--(AF294="Présent"),0),IF($AH$5&lt;&gt;"",--(AH294="Présent"),0),IF($AJ$5&lt;&gt;"",--(AJ294="Présent"),0),IF($AL$5&lt;&gt;"",--(AL294="Présent"),0),IF($AN$5&lt;&gt;"",--(AN294="Présent"),0),IF($AP$5&lt;&gt;"",--(AP294="Présent"),0),IF($AR$5&lt;&gt;"",--(AR294="Présent"),0),IF($AT$5&lt;&gt;"",--(AT294="Présent"),0),IF($AV$5&lt;&gt;"",--(AV294="Présent"),0),IF($AX$5&lt;&gt;"",--(AX294="Présent"),0),IF($AZ$5&lt;&gt;"",--(AZ294="Présent"),0),IF($BB$5&lt;&gt;"",--(BB294="Présent"),0),IF($BD$5&lt;&gt;"",--(BD294="Présent"),0),IF($BF$5&lt;&gt;"",--(BF294="Présent"),0),IF($BH$5&lt;&gt;"",--(BH294="Présent"),0),IF($BJ$5&lt;&gt;"",--(BJ294="Présent"),0),IF($BL$5&lt;&gt;"",--(BL294="Présent"),0)))</f>
      </c>
      <c r="BO294" s="22">
        <f>IF($A294="","",SUM(IF($D$5&lt;&gt;"",--(D294="Absent"),0),IF($F$5&lt;&gt;"",--(F294="Absent"),0),IF($H$5&lt;&gt;"",--(H294="Absent"),0),IF($J$5&lt;&gt;"",--(J294="Absent"),0),IF($L$5&lt;&gt;"",--(L294="Absent"),0),IF($N$5&lt;&gt;"",--(N294="Absent"),0),IF($P$5&lt;&gt;"",--(P294="Absent"),0),IF($R$5&lt;&gt;"",--(R294="Absent"),0),IF($T$5&lt;&gt;"",--(T294="Absent"),0),IF($V$5&lt;&gt;"",--(V294="Absent"),0),IF($X$5&lt;&gt;"",--(X294="Absent"),0),IF($Z$5&lt;&gt;"",--(Z294="Absent"),0),IF($AB$5&lt;&gt;"",--(AB294="Absent"),0),IF($AD$5&lt;&gt;"",--(AD294="Absent"),0),IF($AF$5&lt;&gt;"",--(AF294="Absent"),0),IF($AH$5&lt;&gt;"",--(AH294="Absent"),0),IF($AJ$5&lt;&gt;"",--(AJ294="Absent"),0),IF($AL$5&lt;&gt;"",--(AL294="Absent"),0),IF($AN$5&lt;&gt;"",--(AN294="Absent"),0),IF($AP$5&lt;&gt;"",--(AP294="Absent"),0),IF($AR$5&lt;&gt;"",--(AR294="Absent"),0),IF($AT$5&lt;&gt;"",--(AT294="Absent"),0),IF($AV$5&lt;&gt;"",--(AV294="Absent"),0),IF($AX$5&lt;&gt;"",--(AX294="Absent"),0),IF($AZ$5&lt;&gt;"",--(AZ294="Absent"),0),IF($BB$5&lt;&gt;"",--(BB294="Absent"),0),IF($BD$5&lt;&gt;"",--(BD294="Absent"),0),IF($BF$5&lt;&gt;"",--(BF294="Absent"),0),IF($BH$5&lt;&gt;"",--(BH294="Absent"),0),IF($BJ$5&lt;&gt;"",--(BJ294="Absent"),0),IF($BL$5&lt;&gt;"",--(BL294="Absent"),0)))</f>
      </c>
      <c r="BP294" s="22">
        <f>IF($A294="","",SUM(IF($D$5&lt;&gt;"",--(D294="Congé"),0),IF($F$5&lt;&gt;"",--(F294="Congé"),0),IF($H$5&lt;&gt;"",--(H294="Congé"),0),IF($J$5&lt;&gt;"",--(J294="Congé"),0),IF($L$5&lt;&gt;"",--(L294="Congé"),0),IF($N$5&lt;&gt;"",--(N294="Congé"),0),IF($P$5&lt;&gt;"",--(P294="Congé"),0),IF($R$5&lt;&gt;"",--(R294="Congé"),0),IF($T$5&lt;&gt;"",--(T294="Congé"),0),IF($V$5&lt;&gt;"",--(V294="Congé"),0),IF($X$5&lt;&gt;"",--(X294="Congé"),0),IF($Z$5&lt;&gt;"",--(Z294="Congé"),0),IF($AB$5&lt;&gt;"",--(AB294="Congé"),0),IF($AD$5&lt;&gt;"",--(AD294="Congé"),0),IF($AF$5&lt;&gt;"",--(AF294="Congé"),0),IF($AH$5&lt;&gt;"",--(AH294="Congé"),0),IF($AJ$5&lt;&gt;"",--(AJ294="Congé"),0),IF($AL$5&lt;&gt;"",--(AL294="Congé"),0),IF($AN$5&lt;&gt;"",--(AN294="Congé"),0),IF($AP$5&lt;&gt;"",--(AP294="Congé"),0),IF($AR$5&lt;&gt;"",--(AR294="Congé"),0),IF($AT$5&lt;&gt;"",--(AT294="Congé"),0),IF($AV$5&lt;&gt;"",--(AV294="Congé"),0),IF($AX$5&lt;&gt;"",--(AX294="Congé"),0),IF($AZ$5&lt;&gt;"",--(AZ294="Congé"),0),IF($BB$5&lt;&gt;"",--(BB294="Congé"),0),IF($BD$5&lt;&gt;"",--(BD294="Congé"),0),IF($BF$5&lt;&gt;"",--(BF294="Congé"),0),IF($BH$5&lt;&gt;"",--(BH294="Congé"),0),IF($BJ$5&lt;&gt;"",--(BJ294="Congé"),0),IF($BL$5&lt;&gt;"",--(BL294="Congé"),0)))</f>
      </c>
      <c r="BQ294" s="22">
        <f>IF($A294="","",SUM(IF($D$5&lt;&gt;"",--(D294="Maladie"),0),IF($F$5&lt;&gt;"",--(F294="Maladie"),0),IF($H$5&lt;&gt;"",--(H294="Maladie"),0),IF($J$5&lt;&gt;"",--(J294="Maladie"),0),IF($L$5&lt;&gt;"",--(L294="Maladie"),0),IF($N$5&lt;&gt;"",--(N294="Maladie"),0),IF($P$5&lt;&gt;"",--(P294="Maladie"),0),IF($R$5&lt;&gt;"",--(R294="Maladie"),0),IF($T$5&lt;&gt;"",--(T294="Maladie"),0),IF($V$5&lt;&gt;"",--(V294="Maladie"),0),IF($X$5&lt;&gt;"",--(X294="Maladie"),0),IF($Z$5&lt;&gt;"",--(Z294="Maladie"),0),IF($AB$5&lt;&gt;"",--(AB294="Maladie"),0),IF($AD$5&lt;&gt;"",--(AD294="Maladie"),0),IF($AF$5&lt;&gt;"",--(AF294="Maladie"),0),IF($AH$5&lt;&gt;"",--(AH294="Maladie"),0),IF($AJ$5&lt;&gt;"",--(AJ294="Maladie"),0),IF($AL$5&lt;&gt;"",--(AL294="Maladie"),0),IF($AN$5&lt;&gt;"",--(AN294="Maladie"),0),IF($AP$5&lt;&gt;"",--(AP294="Maladie"),0),IF($AR$5&lt;&gt;"",--(AR294="Maladie"),0),IF($AT$5&lt;&gt;"",--(AT294="Maladie"),0),IF($AV$5&lt;&gt;"",--(AV294="Maladie"),0),IF($AX$5&lt;&gt;"",--(AX294="Maladie"),0),IF($AZ$5&lt;&gt;"",--(AZ294="Maladie"),0),IF($BB$5&lt;&gt;"",--(BB294="Maladie"),0),IF($BD$5&lt;&gt;"",--(BD294="Maladie"),0),IF($BF$5&lt;&gt;"",--(BF294="Maladie"),0),IF($BH$5&lt;&gt;"",--(BH294="Maladie"),0),IF($BJ$5&lt;&gt;"",--(BJ294="Maladie"),0),IF($BL$5&lt;&gt;"",--(BL294="Maladie"),0)))</f>
      </c>
      <c r="BR294" s="23">
        <f>IF($A294="","",SUM(IF($D$5&lt;&gt;"",IF(D294="Présent",E294,0),0),IF($F$5&lt;&gt;"",IF(F294="Présent",G294,0),0),IF($H$5&lt;&gt;"",IF(H294="Présent",I294,0),0),IF($J$5&lt;&gt;"",IF(J294="Présent",K294,0),0),IF($L$5&lt;&gt;"",IF(L294="Présent",M294,0),0),IF($N$5&lt;&gt;"",IF(N294="Présent",O294,0),0),IF($P$5&lt;&gt;"",IF(P294="Présent",Q294,0),0),IF($R$5&lt;&gt;"",IF(R294="Présent",S294,0),0),IF($T$5&lt;&gt;"",IF(T294="Présent",U294,0),0),IF($V$5&lt;&gt;"",IF(V294="Présent",W294,0),0),IF($X$5&lt;&gt;"",IF(X294="Présent",Y294,0),0),IF($Z$5&lt;&gt;"",IF(Z294="Présent",AA294,0),0),IF($AB$5&lt;&gt;"",IF(AB294="Présent",AC294,0),0),IF($AD$5&lt;&gt;"",IF(AD294="Présent",AE294,0),0),IF($AF$5&lt;&gt;"",IF(AF294="Présent",AG294,0),0),IF($AH$5&lt;&gt;"",IF(AH294="Présent",AI294,0),0),IF($AJ$5&lt;&gt;"",IF(AJ294="Présent",AK294,0),0),IF($AL$5&lt;&gt;"",IF(AL294="Présent",AM294,0),0),IF($AN$5&lt;&gt;"",IF(AN294="Présent",AO294,0),0),IF($AP$5&lt;&gt;"",IF(AP294="Présent",AQ294,0),0),IF($AR$5&lt;&gt;"",IF(AR294="Présent",AS294,0),0),IF($AT$5&lt;&gt;"",IF(AT294="Présent",AU294,0),0),IF($AV$5&lt;&gt;"",IF(AV294="Présent",AW294,0),0),IF($AX$5&lt;&gt;"",IF(AX294="Présent",AY294,0),0),IF($AZ$5&lt;&gt;"",IF(AZ294="Présent",BA294,0),0),IF($BB$5&lt;&gt;"",IF(BB294="Présent",BC294,0),0),IF($BD$5&lt;&gt;"",IF(BD294="Présent",BE294,0),0),IF($BF$5&lt;&gt;"",IF(BF294="Présent",BG294,0),0),IF($BH$5&lt;&gt;"",IF(BH294="Présent",BI294,0),0),IF($BJ$5&lt;&gt;"",IF(BJ294="Présent",BK294,0),0),IF($BL$5&lt;&gt;"",IF(BL294="Présent",BM294,0),0)))</f>
      </c>
      <c r="BS294" s="25">
        <f>IF($A294="","",$BN294*IFERROR(INDEX(Categories_Salaire,MATCH($C294,ListeCategories,0)),0)+$BR294*IF(IFERROR(INDEX(Categories_TauxHS,MATCH($C294,ListeCategories,0)),0)&gt;0,IFERROR(INDEX(Categories_TauxHS,MATCH($C294,ListeCategories,0)),0),TauxHSDefaut))</f>
      </c>
    </row>
    <row r="295">
      <c r="A295" s="20">
        <f>IF(AND(INDEX(Employes_Nom,289)&lt;&gt;"",INDEX(Employes_Statut,289)="Actif",OR(INDEX(Employes_Embauche,289)="",INDEX(Employes_Embauche,289)&lt;=EOMONTH(DATE(AnneeCourante,MoisCourant,1),0))),INDEX(Employes_ID,289),"")</f>
      </c>
      <c r="B295" s="19">
        <f>IF($A295="","",INDEX(Employes_Nom,MATCH($A295,Employes_ID,0)))</f>
      </c>
      <c r="C295" s="20">
        <f>IF($A295="","",INDEX(Employes_Categorie,MATCH($A295,Employes_ID,0)))</f>
      </c>
      <c r="D295" s="26"/>
      <c r="E295" s="27"/>
      <c r="F295" s="26"/>
      <c r="G295" s="27"/>
      <c r="H295" s="26"/>
      <c r="I295" s="27"/>
      <c r="J295" s="26"/>
      <c r="K295" s="27"/>
      <c r="L295" s="26"/>
      <c r="M295" s="27"/>
      <c r="N295" s="26"/>
      <c r="O295" s="27"/>
      <c r="P295" s="26"/>
      <c r="Q295" s="27"/>
      <c r="R295" s="26"/>
      <c r="S295" s="27"/>
      <c r="T295" s="26"/>
      <c r="U295" s="27"/>
      <c r="V295" s="26"/>
      <c r="W295" s="27"/>
      <c r="X295" s="26"/>
      <c r="Y295" s="27"/>
      <c r="Z295" s="26"/>
      <c r="AA295" s="27"/>
      <c r="AB295" s="26"/>
      <c r="AC295" s="27"/>
      <c r="AD295" s="26"/>
      <c r="AE295" s="27"/>
      <c r="AF295" s="26"/>
      <c r="AG295" s="27"/>
      <c r="AH295" s="26"/>
      <c r="AI295" s="27"/>
      <c r="AJ295" s="26"/>
      <c r="AK295" s="27"/>
      <c r="AL295" s="26"/>
      <c r="AM295" s="27"/>
      <c r="AN295" s="26"/>
      <c r="AO295" s="27"/>
      <c r="AP295" s="26"/>
      <c r="AQ295" s="27"/>
      <c r="AR295" s="26"/>
      <c r="AS295" s="27"/>
      <c r="AT295" s="26"/>
      <c r="AU295" s="27"/>
      <c r="AV295" s="26"/>
      <c r="AW295" s="27"/>
      <c r="AX295" s="26"/>
      <c r="AY295" s="27"/>
      <c r="AZ295" s="26"/>
      <c r="BA295" s="27"/>
      <c r="BB295" s="26"/>
      <c r="BC295" s="27"/>
      <c r="BD295" s="26"/>
      <c r="BE295" s="27"/>
      <c r="BF295" s="26"/>
      <c r="BG295" s="27"/>
      <c r="BH295" s="26"/>
      <c r="BI295" s="27"/>
      <c r="BJ295" s="26"/>
      <c r="BK295" s="27"/>
      <c r="BL295" s="26"/>
      <c r="BM295" s="27"/>
      <c r="BN295" s="22">
        <f>IF($A295="","",SUM(IF($D$5&lt;&gt;"",--(D295="Présent"),0),IF($F$5&lt;&gt;"",--(F295="Présent"),0),IF($H$5&lt;&gt;"",--(H295="Présent"),0),IF($J$5&lt;&gt;"",--(J295="Présent"),0),IF($L$5&lt;&gt;"",--(L295="Présent"),0),IF($N$5&lt;&gt;"",--(N295="Présent"),0),IF($P$5&lt;&gt;"",--(P295="Présent"),0),IF($R$5&lt;&gt;"",--(R295="Présent"),0),IF($T$5&lt;&gt;"",--(T295="Présent"),0),IF($V$5&lt;&gt;"",--(V295="Présent"),0),IF($X$5&lt;&gt;"",--(X295="Présent"),0),IF($Z$5&lt;&gt;"",--(Z295="Présent"),0),IF($AB$5&lt;&gt;"",--(AB295="Présent"),0),IF($AD$5&lt;&gt;"",--(AD295="Présent"),0),IF($AF$5&lt;&gt;"",--(AF295="Présent"),0),IF($AH$5&lt;&gt;"",--(AH295="Présent"),0),IF($AJ$5&lt;&gt;"",--(AJ295="Présent"),0),IF($AL$5&lt;&gt;"",--(AL295="Présent"),0),IF($AN$5&lt;&gt;"",--(AN295="Présent"),0),IF($AP$5&lt;&gt;"",--(AP295="Présent"),0),IF($AR$5&lt;&gt;"",--(AR295="Présent"),0),IF($AT$5&lt;&gt;"",--(AT295="Présent"),0),IF($AV$5&lt;&gt;"",--(AV295="Présent"),0),IF($AX$5&lt;&gt;"",--(AX295="Présent"),0),IF($AZ$5&lt;&gt;"",--(AZ295="Présent"),0),IF($BB$5&lt;&gt;"",--(BB295="Présent"),0),IF($BD$5&lt;&gt;"",--(BD295="Présent"),0),IF($BF$5&lt;&gt;"",--(BF295="Présent"),0),IF($BH$5&lt;&gt;"",--(BH295="Présent"),0),IF($BJ$5&lt;&gt;"",--(BJ295="Présent"),0),IF($BL$5&lt;&gt;"",--(BL295="Présent"),0)))</f>
      </c>
      <c r="BO295" s="22">
        <f>IF($A295="","",SUM(IF($D$5&lt;&gt;"",--(D295="Absent"),0),IF($F$5&lt;&gt;"",--(F295="Absent"),0),IF($H$5&lt;&gt;"",--(H295="Absent"),0),IF($J$5&lt;&gt;"",--(J295="Absent"),0),IF($L$5&lt;&gt;"",--(L295="Absent"),0),IF($N$5&lt;&gt;"",--(N295="Absent"),0),IF($P$5&lt;&gt;"",--(P295="Absent"),0),IF($R$5&lt;&gt;"",--(R295="Absent"),0),IF($T$5&lt;&gt;"",--(T295="Absent"),0),IF($V$5&lt;&gt;"",--(V295="Absent"),0),IF($X$5&lt;&gt;"",--(X295="Absent"),0),IF($Z$5&lt;&gt;"",--(Z295="Absent"),0),IF($AB$5&lt;&gt;"",--(AB295="Absent"),0),IF($AD$5&lt;&gt;"",--(AD295="Absent"),0),IF($AF$5&lt;&gt;"",--(AF295="Absent"),0),IF($AH$5&lt;&gt;"",--(AH295="Absent"),0),IF($AJ$5&lt;&gt;"",--(AJ295="Absent"),0),IF($AL$5&lt;&gt;"",--(AL295="Absent"),0),IF($AN$5&lt;&gt;"",--(AN295="Absent"),0),IF($AP$5&lt;&gt;"",--(AP295="Absent"),0),IF($AR$5&lt;&gt;"",--(AR295="Absent"),0),IF($AT$5&lt;&gt;"",--(AT295="Absent"),0),IF($AV$5&lt;&gt;"",--(AV295="Absent"),0),IF($AX$5&lt;&gt;"",--(AX295="Absent"),0),IF($AZ$5&lt;&gt;"",--(AZ295="Absent"),0),IF($BB$5&lt;&gt;"",--(BB295="Absent"),0),IF($BD$5&lt;&gt;"",--(BD295="Absent"),0),IF($BF$5&lt;&gt;"",--(BF295="Absent"),0),IF($BH$5&lt;&gt;"",--(BH295="Absent"),0),IF($BJ$5&lt;&gt;"",--(BJ295="Absent"),0),IF($BL$5&lt;&gt;"",--(BL295="Absent"),0)))</f>
      </c>
      <c r="BP295" s="22">
        <f>IF($A295="","",SUM(IF($D$5&lt;&gt;"",--(D295="Congé"),0),IF($F$5&lt;&gt;"",--(F295="Congé"),0),IF($H$5&lt;&gt;"",--(H295="Congé"),0),IF($J$5&lt;&gt;"",--(J295="Congé"),0),IF($L$5&lt;&gt;"",--(L295="Congé"),0),IF($N$5&lt;&gt;"",--(N295="Congé"),0),IF($P$5&lt;&gt;"",--(P295="Congé"),0),IF($R$5&lt;&gt;"",--(R295="Congé"),0),IF($T$5&lt;&gt;"",--(T295="Congé"),0),IF($V$5&lt;&gt;"",--(V295="Congé"),0),IF($X$5&lt;&gt;"",--(X295="Congé"),0),IF($Z$5&lt;&gt;"",--(Z295="Congé"),0),IF($AB$5&lt;&gt;"",--(AB295="Congé"),0),IF($AD$5&lt;&gt;"",--(AD295="Congé"),0),IF($AF$5&lt;&gt;"",--(AF295="Congé"),0),IF($AH$5&lt;&gt;"",--(AH295="Congé"),0),IF($AJ$5&lt;&gt;"",--(AJ295="Congé"),0),IF($AL$5&lt;&gt;"",--(AL295="Congé"),0),IF($AN$5&lt;&gt;"",--(AN295="Congé"),0),IF($AP$5&lt;&gt;"",--(AP295="Congé"),0),IF($AR$5&lt;&gt;"",--(AR295="Congé"),0),IF($AT$5&lt;&gt;"",--(AT295="Congé"),0),IF($AV$5&lt;&gt;"",--(AV295="Congé"),0),IF($AX$5&lt;&gt;"",--(AX295="Congé"),0),IF($AZ$5&lt;&gt;"",--(AZ295="Congé"),0),IF($BB$5&lt;&gt;"",--(BB295="Congé"),0),IF($BD$5&lt;&gt;"",--(BD295="Congé"),0),IF($BF$5&lt;&gt;"",--(BF295="Congé"),0),IF($BH$5&lt;&gt;"",--(BH295="Congé"),0),IF($BJ$5&lt;&gt;"",--(BJ295="Congé"),0),IF($BL$5&lt;&gt;"",--(BL295="Congé"),0)))</f>
      </c>
      <c r="BQ295" s="22">
        <f>IF($A295="","",SUM(IF($D$5&lt;&gt;"",--(D295="Maladie"),0),IF($F$5&lt;&gt;"",--(F295="Maladie"),0),IF($H$5&lt;&gt;"",--(H295="Maladie"),0),IF($J$5&lt;&gt;"",--(J295="Maladie"),0),IF($L$5&lt;&gt;"",--(L295="Maladie"),0),IF($N$5&lt;&gt;"",--(N295="Maladie"),0),IF($P$5&lt;&gt;"",--(P295="Maladie"),0),IF($R$5&lt;&gt;"",--(R295="Maladie"),0),IF($T$5&lt;&gt;"",--(T295="Maladie"),0),IF($V$5&lt;&gt;"",--(V295="Maladie"),0),IF($X$5&lt;&gt;"",--(X295="Maladie"),0),IF($Z$5&lt;&gt;"",--(Z295="Maladie"),0),IF($AB$5&lt;&gt;"",--(AB295="Maladie"),0),IF($AD$5&lt;&gt;"",--(AD295="Maladie"),0),IF($AF$5&lt;&gt;"",--(AF295="Maladie"),0),IF($AH$5&lt;&gt;"",--(AH295="Maladie"),0),IF($AJ$5&lt;&gt;"",--(AJ295="Maladie"),0),IF($AL$5&lt;&gt;"",--(AL295="Maladie"),0),IF($AN$5&lt;&gt;"",--(AN295="Maladie"),0),IF($AP$5&lt;&gt;"",--(AP295="Maladie"),0),IF($AR$5&lt;&gt;"",--(AR295="Maladie"),0),IF($AT$5&lt;&gt;"",--(AT295="Maladie"),0),IF($AV$5&lt;&gt;"",--(AV295="Maladie"),0),IF($AX$5&lt;&gt;"",--(AX295="Maladie"),0),IF($AZ$5&lt;&gt;"",--(AZ295="Maladie"),0),IF($BB$5&lt;&gt;"",--(BB295="Maladie"),0),IF($BD$5&lt;&gt;"",--(BD295="Maladie"),0),IF($BF$5&lt;&gt;"",--(BF295="Maladie"),0),IF($BH$5&lt;&gt;"",--(BH295="Maladie"),0),IF($BJ$5&lt;&gt;"",--(BJ295="Maladie"),0),IF($BL$5&lt;&gt;"",--(BL295="Maladie"),0)))</f>
      </c>
      <c r="BR295" s="23">
        <f>IF($A295="","",SUM(IF($D$5&lt;&gt;"",IF(D295="Présent",E295,0),0),IF($F$5&lt;&gt;"",IF(F295="Présent",G295,0),0),IF($H$5&lt;&gt;"",IF(H295="Présent",I295,0),0),IF($J$5&lt;&gt;"",IF(J295="Présent",K295,0),0),IF($L$5&lt;&gt;"",IF(L295="Présent",M295,0),0),IF($N$5&lt;&gt;"",IF(N295="Présent",O295,0),0),IF($P$5&lt;&gt;"",IF(P295="Présent",Q295,0),0),IF($R$5&lt;&gt;"",IF(R295="Présent",S295,0),0),IF($T$5&lt;&gt;"",IF(T295="Présent",U295,0),0),IF($V$5&lt;&gt;"",IF(V295="Présent",W295,0),0),IF($X$5&lt;&gt;"",IF(X295="Présent",Y295,0),0),IF($Z$5&lt;&gt;"",IF(Z295="Présent",AA295,0),0),IF($AB$5&lt;&gt;"",IF(AB295="Présent",AC295,0),0),IF($AD$5&lt;&gt;"",IF(AD295="Présent",AE295,0),0),IF($AF$5&lt;&gt;"",IF(AF295="Présent",AG295,0),0),IF($AH$5&lt;&gt;"",IF(AH295="Présent",AI295,0),0),IF($AJ$5&lt;&gt;"",IF(AJ295="Présent",AK295,0),0),IF($AL$5&lt;&gt;"",IF(AL295="Présent",AM295,0),0),IF($AN$5&lt;&gt;"",IF(AN295="Présent",AO295,0),0),IF($AP$5&lt;&gt;"",IF(AP295="Présent",AQ295,0),0),IF($AR$5&lt;&gt;"",IF(AR295="Présent",AS295,0),0),IF($AT$5&lt;&gt;"",IF(AT295="Présent",AU295,0),0),IF($AV$5&lt;&gt;"",IF(AV295="Présent",AW295,0),0),IF($AX$5&lt;&gt;"",IF(AX295="Présent",AY295,0),0),IF($AZ$5&lt;&gt;"",IF(AZ295="Présent",BA295,0),0),IF($BB$5&lt;&gt;"",IF(BB295="Présent",BC295,0),0),IF($BD$5&lt;&gt;"",IF(BD295="Présent",BE295,0),0),IF($BF$5&lt;&gt;"",IF(BF295="Présent",BG295,0),0),IF($BH$5&lt;&gt;"",IF(BH295="Présent",BI295,0),0),IF($BJ$5&lt;&gt;"",IF(BJ295="Présent",BK295,0),0),IF($BL$5&lt;&gt;"",IF(BL295="Présent",BM295,0),0)))</f>
      </c>
      <c r="BS295" s="25">
        <f>IF($A295="","",$BN295*IFERROR(INDEX(Categories_Salaire,MATCH($C295,ListeCategories,0)),0)+$BR295*IF(IFERROR(INDEX(Categories_TauxHS,MATCH($C295,ListeCategories,0)),0)&gt;0,IFERROR(INDEX(Categories_TauxHS,MATCH($C295,ListeCategories,0)),0),TauxHSDefaut))</f>
      </c>
    </row>
    <row r="296">
      <c r="A296" s="20">
        <f>IF(AND(INDEX(Employes_Nom,290)&lt;&gt;"",INDEX(Employes_Statut,290)="Actif",OR(INDEX(Employes_Embauche,290)="",INDEX(Employes_Embauche,290)&lt;=EOMONTH(DATE(AnneeCourante,MoisCourant,1),0))),INDEX(Employes_ID,290),"")</f>
      </c>
      <c r="B296" s="19">
        <f>IF($A296="","",INDEX(Employes_Nom,MATCH($A296,Employes_ID,0)))</f>
      </c>
      <c r="C296" s="20">
        <f>IF($A296="","",INDEX(Employes_Categorie,MATCH($A296,Employes_ID,0)))</f>
      </c>
      <c r="D296" s="26"/>
      <c r="E296" s="27"/>
      <c r="F296" s="26"/>
      <c r="G296" s="27"/>
      <c r="H296" s="26"/>
      <c r="I296" s="27"/>
      <c r="J296" s="26"/>
      <c r="K296" s="27"/>
      <c r="L296" s="26"/>
      <c r="M296" s="27"/>
      <c r="N296" s="26"/>
      <c r="O296" s="27"/>
      <c r="P296" s="26"/>
      <c r="Q296" s="27"/>
      <c r="R296" s="26"/>
      <c r="S296" s="27"/>
      <c r="T296" s="26"/>
      <c r="U296" s="27"/>
      <c r="V296" s="26"/>
      <c r="W296" s="27"/>
      <c r="X296" s="26"/>
      <c r="Y296" s="27"/>
      <c r="Z296" s="26"/>
      <c r="AA296" s="27"/>
      <c r="AB296" s="26"/>
      <c r="AC296" s="27"/>
      <c r="AD296" s="26"/>
      <c r="AE296" s="27"/>
      <c r="AF296" s="26"/>
      <c r="AG296" s="27"/>
      <c r="AH296" s="26"/>
      <c r="AI296" s="27"/>
      <c r="AJ296" s="26"/>
      <c r="AK296" s="27"/>
      <c r="AL296" s="26"/>
      <c r="AM296" s="27"/>
      <c r="AN296" s="26"/>
      <c r="AO296" s="27"/>
      <c r="AP296" s="26"/>
      <c r="AQ296" s="27"/>
      <c r="AR296" s="26"/>
      <c r="AS296" s="27"/>
      <c r="AT296" s="26"/>
      <c r="AU296" s="27"/>
      <c r="AV296" s="26"/>
      <c r="AW296" s="27"/>
      <c r="AX296" s="26"/>
      <c r="AY296" s="27"/>
      <c r="AZ296" s="26"/>
      <c r="BA296" s="27"/>
      <c r="BB296" s="26"/>
      <c r="BC296" s="27"/>
      <c r="BD296" s="26"/>
      <c r="BE296" s="27"/>
      <c r="BF296" s="26"/>
      <c r="BG296" s="27"/>
      <c r="BH296" s="26"/>
      <c r="BI296" s="27"/>
      <c r="BJ296" s="26"/>
      <c r="BK296" s="27"/>
      <c r="BL296" s="26"/>
      <c r="BM296" s="27"/>
      <c r="BN296" s="22">
        <f>IF($A296="","",SUM(IF($D$5&lt;&gt;"",--(D296="Présent"),0),IF($F$5&lt;&gt;"",--(F296="Présent"),0),IF($H$5&lt;&gt;"",--(H296="Présent"),0),IF($J$5&lt;&gt;"",--(J296="Présent"),0),IF($L$5&lt;&gt;"",--(L296="Présent"),0),IF($N$5&lt;&gt;"",--(N296="Présent"),0),IF($P$5&lt;&gt;"",--(P296="Présent"),0),IF($R$5&lt;&gt;"",--(R296="Présent"),0),IF($T$5&lt;&gt;"",--(T296="Présent"),0),IF($V$5&lt;&gt;"",--(V296="Présent"),0),IF($X$5&lt;&gt;"",--(X296="Présent"),0),IF($Z$5&lt;&gt;"",--(Z296="Présent"),0),IF($AB$5&lt;&gt;"",--(AB296="Présent"),0),IF($AD$5&lt;&gt;"",--(AD296="Présent"),0),IF($AF$5&lt;&gt;"",--(AF296="Présent"),0),IF($AH$5&lt;&gt;"",--(AH296="Présent"),0),IF($AJ$5&lt;&gt;"",--(AJ296="Présent"),0),IF($AL$5&lt;&gt;"",--(AL296="Présent"),0),IF($AN$5&lt;&gt;"",--(AN296="Présent"),0),IF($AP$5&lt;&gt;"",--(AP296="Présent"),0),IF($AR$5&lt;&gt;"",--(AR296="Présent"),0),IF($AT$5&lt;&gt;"",--(AT296="Présent"),0),IF($AV$5&lt;&gt;"",--(AV296="Présent"),0),IF($AX$5&lt;&gt;"",--(AX296="Présent"),0),IF($AZ$5&lt;&gt;"",--(AZ296="Présent"),0),IF($BB$5&lt;&gt;"",--(BB296="Présent"),0),IF($BD$5&lt;&gt;"",--(BD296="Présent"),0),IF($BF$5&lt;&gt;"",--(BF296="Présent"),0),IF($BH$5&lt;&gt;"",--(BH296="Présent"),0),IF($BJ$5&lt;&gt;"",--(BJ296="Présent"),0),IF($BL$5&lt;&gt;"",--(BL296="Présent"),0)))</f>
      </c>
      <c r="BO296" s="22">
        <f>IF($A296="","",SUM(IF($D$5&lt;&gt;"",--(D296="Absent"),0),IF($F$5&lt;&gt;"",--(F296="Absent"),0),IF($H$5&lt;&gt;"",--(H296="Absent"),0),IF($J$5&lt;&gt;"",--(J296="Absent"),0),IF($L$5&lt;&gt;"",--(L296="Absent"),0),IF($N$5&lt;&gt;"",--(N296="Absent"),0),IF($P$5&lt;&gt;"",--(P296="Absent"),0),IF($R$5&lt;&gt;"",--(R296="Absent"),0),IF($T$5&lt;&gt;"",--(T296="Absent"),0),IF($V$5&lt;&gt;"",--(V296="Absent"),0),IF($X$5&lt;&gt;"",--(X296="Absent"),0),IF($Z$5&lt;&gt;"",--(Z296="Absent"),0),IF($AB$5&lt;&gt;"",--(AB296="Absent"),0),IF($AD$5&lt;&gt;"",--(AD296="Absent"),0),IF($AF$5&lt;&gt;"",--(AF296="Absent"),0),IF($AH$5&lt;&gt;"",--(AH296="Absent"),0),IF($AJ$5&lt;&gt;"",--(AJ296="Absent"),0),IF($AL$5&lt;&gt;"",--(AL296="Absent"),0),IF($AN$5&lt;&gt;"",--(AN296="Absent"),0),IF($AP$5&lt;&gt;"",--(AP296="Absent"),0),IF($AR$5&lt;&gt;"",--(AR296="Absent"),0),IF($AT$5&lt;&gt;"",--(AT296="Absent"),0),IF($AV$5&lt;&gt;"",--(AV296="Absent"),0),IF($AX$5&lt;&gt;"",--(AX296="Absent"),0),IF($AZ$5&lt;&gt;"",--(AZ296="Absent"),0),IF($BB$5&lt;&gt;"",--(BB296="Absent"),0),IF($BD$5&lt;&gt;"",--(BD296="Absent"),0),IF($BF$5&lt;&gt;"",--(BF296="Absent"),0),IF($BH$5&lt;&gt;"",--(BH296="Absent"),0),IF($BJ$5&lt;&gt;"",--(BJ296="Absent"),0),IF($BL$5&lt;&gt;"",--(BL296="Absent"),0)))</f>
      </c>
      <c r="BP296" s="22">
        <f>IF($A296="","",SUM(IF($D$5&lt;&gt;"",--(D296="Congé"),0),IF($F$5&lt;&gt;"",--(F296="Congé"),0),IF($H$5&lt;&gt;"",--(H296="Congé"),0),IF($J$5&lt;&gt;"",--(J296="Congé"),0),IF($L$5&lt;&gt;"",--(L296="Congé"),0),IF($N$5&lt;&gt;"",--(N296="Congé"),0),IF($P$5&lt;&gt;"",--(P296="Congé"),0),IF($R$5&lt;&gt;"",--(R296="Congé"),0),IF($T$5&lt;&gt;"",--(T296="Congé"),0),IF($V$5&lt;&gt;"",--(V296="Congé"),0),IF($X$5&lt;&gt;"",--(X296="Congé"),0),IF($Z$5&lt;&gt;"",--(Z296="Congé"),0),IF($AB$5&lt;&gt;"",--(AB296="Congé"),0),IF($AD$5&lt;&gt;"",--(AD296="Congé"),0),IF($AF$5&lt;&gt;"",--(AF296="Congé"),0),IF($AH$5&lt;&gt;"",--(AH296="Congé"),0),IF($AJ$5&lt;&gt;"",--(AJ296="Congé"),0),IF($AL$5&lt;&gt;"",--(AL296="Congé"),0),IF($AN$5&lt;&gt;"",--(AN296="Congé"),0),IF($AP$5&lt;&gt;"",--(AP296="Congé"),0),IF($AR$5&lt;&gt;"",--(AR296="Congé"),0),IF($AT$5&lt;&gt;"",--(AT296="Congé"),0),IF($AV$5&lt;&gt;"",--(AV296="Congé"),0),IF($AX$5&lt;&gt;"",--(AX296="Congé"),0),IF($AZ$5&lt;&gt;"",--(AZ296="Congé"),0),IF($BB$5&lt;&gt;"",--(BB296="Congé"),0),IF($BD$5&lt;&gt;"",--(BD296="Congé"),0),IF($BF$5&lt;&gt;"",--(BF296="Congé"),0),IF($BH$5&lt;&gt;"",--(BH296="Congé"),0),IF($BJ$5&lt;&gt;"",--(BJ296="Congé"),0),IF($BL$5&lt;&gt;"",--(BL296="Congé"),0)))</f>
      </c>
      <c r="BQ296" s="22">
        <f>IF($A296="","",SUM(IF($D$5&lt;&gt;"",--(D296="Maladie"),0),IF($F$5&lt;&gt;"",--(F296="Maladie"),0),IF($H$5&lt;&gt;"",--(H296="Maladie"),0),IF($J$5&lt;&gt;"",--(J296="Maladie"),0),IF($L$5&lt;&gt;"",--(L296="Maladie"),0),IF($N$5&lt;&gt;"",--(N296="Maladie"),0),IF($P$5&lt;&gt;"",--(P296="Maladie"),0),IF($R$5&lt;&gt;"",--(R296="Maladie"),0),IF($T$5&lt;&gt;"",--(T296="Maladie"),0),IF($V$5&lt;&gt;"",--(V296="Maladie"),0),IF($X$5&lt;&gt;"",--(X296="Maladie"),0),IF($Z$5&lt;&gt;"",--(Z296="Maladie"),0),IF($AB$5&lt;&gt;"",--(AB296="Maladie"),0),IF($AD$5&lt;&gt;"",--(AD296="Maladie"),0),IF($AF$5&lt;&gt;"",--(AF296="Maladie"),0),IF($AH$5&lt;&gt;"",--(AH296="Maladie"),0),IF($AJ$5&lt;&gt;"",--(AJ296="Maladie"),0),IF($AL$5&lt;&gt;"",--(AL296="Maladie"),0),IF($AN$5&lt;&gt;"",--(AN296="Maladie"),0),IF($AP$5&lt;&gt;"",--(AP296="Maladie"),0),IF($AR$5&lt;&gt;"",--(AR296="Maladie"),0),IF($AT$5&lt;&gt;"",--(AT296="Maladie"),0),IF($AV$5&lt;&gt;"",--(AV296="Maladie"),0),IF($AX$5&lt;&gt;"",--(AX296="Maladie"),0),IF($AZ$5&lt;&gt;"",--(AZ296="Maladie"),0),IF($BB$5&lt;&gt;"",--(BB296="Maladie"),0),IF($BD$5&lt;&gt;"",--(BD296="Maladie"),0),IF($BF$5&lt;&gt;"",--(BF296="Maladie"),0),IF($BH$5&lt;&gt;"",--(BH296="Maladie"),0),IF($BJ$5&lt;&gt;"",--(BJ296="Maladie"),0),IF($BL$5&lt;&gt;"",--(BL296="Maladie"),0)))</f>
      </c>
      <c r="BR296" s="23">
        <f>IF($A296="","",SUM(IF($D$5&lt;&gt;"",IF(D296="Présent",E296,0),0),IF($F$5&lt;&gt;"",IF(F296="Présent",G296,0),0),IF($H$5&lt;&gt;"",IF(H296="Présent",I296,0),0),IF($J$5&lt;&gt;"",IF(J296="Présent",K296,0),0),IF($L$5&lt;&gt;"",IF(L296="Présent",M296,0),0),IF($N$5&lt;&gt;"",IF(N296="Présent",O296,0),0),IF($P$5&lt;&gt;"",IF(P296="Présent",Q296,0),0),IF($R$5&lt;&gt;"",IF(R296="Présent",S296,0),0),IF($T$5&lt;&gt;"",IF(T296="Présent",U296,0),0),IF($V$5&lt;&gt;"",IF(V296="Présent",W296,0),0),IF($X$5&lt;&gt;"",IF(X296="Présent",Y296,0),0),IF($Z$5&lt;&gt;"",IF(Z296="Présent",AA296,0),0),IF($AB$5&lt;&gt;"",IF(AB296="Présent",AC296,0),0),IF($AD$5&lt;&gt;"",IF(AD296="Présent",AE296,0),0),IF($AF$5&lt;&gt;"",IF(AF296="Présent",AG296,0),0),IF($AH$5&lt;&gt;"",IF(AH296="Présent",AI296,0),0),IF($AJ$5&lt;&gt;"",IF(AJ296="Présent",AK296,0),0),IF($AL$5&lt;&gt;"",IF(AL296="Présent",AM296,0),0),IF($AN$5&lt;&gt;"",IF(AN296="Présent",AO296,0),0),IF($AP$5&lt;&gt;"",IF(AP296="Présent",AQ296,0),0),IF($AR$5&lt;&gt;"",IF(AR296="Présent",AS296,0),0),IF($AT$5&lt;&gt;"",IF(AT296="Présent",AU296,0),0),IF($AV$5&lt;&gt;"",IF(AV296="Présent",AW296,0),0),IF($AX$5&lt;&gt;"",IF(AX296="Présent",AY296,0),0),IF($AZ$5&lt;&gt;"",IF(AZ296="Présent",BA296,0),0),IF($BB$5&lt;&gt;"",IF(BB296="Présent",BC296,0),0),IF($BD$5&lt;&gt;"",IF(BD296="Présent",BE296,0),0),IF($BF$5&lt;&gt;"",IF(BF296="Présent",BG296,0),0),IF($BH$5&lt;&gt;"",IF(BH296="Présent",BI296,0),0),IF($BJ$5&lt;&gt;"",IF(BJ296="Présent",BK296,0),0),IF($BL$5&lt;&gt;"",IF(BL296="Présent",BM296,0),0)))</f>
      </c>
      <c r="BS296" s="25">
        <f>IF($A296="","",$BN296*IFERROR(INDEX(Categories_Salaire,MATCH($C296,ListeCategories,0)),0)+$BR296*IF(IFERROR(INDEX(Categories_TauxHS,MATCH($C296,ListeCategories,0)),0)&gt;0,IFERROR(INDEX(Categories_TauxHS,MATCH($C296,ListeCategories,0)),0),TauxHSDefaut))</f>
      </c>
    </row>
    <row r="297">
      <c r="A297" s="20">
        <f>IF(AND(INDEX(Employes_Nom,291)&lt;&gt;"",INDEX(Employes_Statut,291)="Actif",OR(INDEX(Employes_Embauche,291)="",INDEX(Employes_Embauche,291)&lt;=EOMONTH(DATE(AnneeCourante,MoisCourant,1),0))),INDEX(Employes_ID,291),"")</f>
      </c>
      <c r="B297" s="19">
        <f>IF($A297="","",INDEX(Employes_Nom,MATCH($A297,Employes_ID,0)))</f>
      </c>
      <c r="C297" s="20">
        <f>IF($A297="","",INDEX(Employes_Categorie,MATCH($A297,Employes_ID,0)))</f>
      </c>
      <c r="D297" s="26"/>
      <c r="E297" s="27"/>
      <c r="F297" s="26"/>
      <c r="G297" s="27"/>
      <c r="H297" s="26"/>
      <c r="I297" s="27"/>
      <c r="J297" s="26"/>
      <c r="K297" s="27"/>
      <c r="L297" s="26"/>
      <c r="M297" s="27"/>
      <c r="N297" s="26"/>
      <c r="O297" s="27"/>
      <c r="P297" s="26"/>
      <c r="Q297" s="27"/>
      <c r="R297" s="26"/>
      <c r="S297" s="27"/>
      <c r="T297" s="26"/>
      <c r="U297" s="27"/>
      <c r="V297" s="26"/>
      <c r="W297" s="27"/>
      <c r="X297" s="26"/>
      <c r="Y297" s="27"/>
      <c r="Z297" s="26"/>
      <c r="AA297" s="27"/>
      <c r="AB297" s="26"/>
      <c r="AC297" s="27"/>
      <c r="AD297" s="26"/>
      <c r="AE297" s="27"/>
      <c r="AF297" s="26"/>
      <c r="AG297" s="27"/>
      <c r="AH297" s="26"/>
      <c r="AI297" s="27"/>
      <c r="AJ297" s="26"/>
      <c r="AK297" s="27"/>
      <c r="AL297" s="26"/>
      <c r="AM297" s="27"/>
      <c r="AN297" s="26"/>
      <c r="AO297" s="27"/>
      <c r="AP297" s="26"/>
      <c r="AQ297" s="27"/>
      <c r="AR297" s="26"/>
      <c r="AS297" s="27"/>
      <c r="AT297" s="26"/>
      <c r="AU297" s="27"/>
      <c r="AV297" s="26"/>
      <c r="AW297" s="27"/>
      <c r="AX297" s="26"/>
      <c r="AY297" s="27"/>
      <c r="AZ297" s="26"/>
      <c r="BA297" s="27"/>
      <c r="BB297" s="26"/>
      <c r="BC297" s="27"/>
      <c r="BD297" s="26"/>
      <c r="BE297" s="27"/>
      <c r="BF297" s="26"/>
      <c r="BG297" s="27"/>
      <c r="BH297" s="26"/>
      <c r="BI297" s="27"/>
      <c r="BJ297" s="26"/>
      <c r="BK297" s="27"/>
      <c r="BL297" s="26"/>
      <c r="BM297" s="27"/>
      <c r="BN297" s="22">
        <f>IF($A297="","",SUM(IF($D$5&lt;&gt;"",--(D297="Présent"),0),IF($F$5&lt;&gt;"",--(F297="Présent"),0),IF($H$5&lt;&gt;"",--(H297="Présent"),0),IF($J$5&lt;&gt;"",--(J297="Présent"),0),IF($L$5&lt;&gt;"",--(L297="Présent"),0),IF($N$5&lt;&gt;"",--(N297="Présent"),0),IF($P$5&lt;&gt;"",--(P297="Présent"),0),IF($R$5&lt;&gt;"",--(R297="Présent"),0),IF($T$5&lt;&gt;"",--(T297="Présent"),0),IF($V$5&lt;&gt;"",--(V297="Présent"),0),IF($X$5&lt;&gt;"",--(X297="Présent"),0),IF($Z$5&lt;&gt;"",--(Z297="Présent"),0),IF($AB$5&lt;&gt;"",--(AB297="Présent"),0),IF($AD$5&lt;&gt;"",--(AD297="Présent"),0),IF($AF$5&lt;&gt;"",--(AF297="Présent"),0),IF($AH$5&lt;&gt;"",--(AH297="Présent"),0),IF($AJ$5&lt;&gt;"",--(AJ297="Présent"),0),IF($AL$5&lt;&gt;"",--(AL297="Présent"),0),IF($AN$5&lt;&gt;"",--(AN297="Présent"),0),IF($AP$5&lt;&gt;"",--(AP297="Présent"),0),IF($AR$5&lt;&gt;"",--(AR297="Présent"),0),IF($AT$5&lt;&gt;"",--(AT297="Présent"),0),IF($AV$5&lt;&gt;"",--(AV297="Présent"),0),IF($AX$5&lt;&gt;"",--(AX297="Présent"),0),IF($AZ$5&lt;&gt;"",--(AZ297="Présent"),0),IF($BB$5&lt;&gt;"",--(BB297="Présent"),0),IF($BD$5&lt;&gt;"",--(BD297="Présent"),0),IF($BF$5&lt;&gt;"",--(BF297="Présent"),0),IF($BH$5&lt;&gt;"",--(BH297="Présent"),0),IF($BJ$5&lt;&gt;"",--(BJ297="Présent"),0),IF($BL$5&lt;&gt;"",--(BL297="Présent"),0)))</f>
      </c>
      <c r="BO297" s="22">
        <f>IF($A297="","",SUM(IF($D$5&lt;&gt;"",--(D297="Absent"),0),IF($F$5&lt;&gt;"",--(F297="Absent"),0),IF($H$5&lt;&gt;"",--(H297="Absent"),0),IF($J$5&lt;&gt;"",--(J297="Absent"),0),IF($L$5&lt;&gt;"",--(L297="Absent"),0),IF($N$5&lt;&gt;"",--(N297="Absent"),0),IF($P$5&lt;&gt;"",--(P297="Absent"),0),IF($R$5&lt;&gt;"",--(R297="Absent"),0),IF($T$5&lt;&gt;"",--(T297="Absent"),0),IF($V$5&lt;&gt;"",--(V297="Absent"),0),IF($X$5&lt;&gt;"",--(X297="Absent"),0),IF($Z$5&lt;&gt;"",--(Z297="Absent"),0),IF($AB$5&lt;&gt;"",--(AB297="Absent"),0),IF($AD$5&lt;&gt;"",--(AD297="Absent"),0),IF($AF$5&lt;&gt;"",--(AF297="Absent"),0),IF($AH$5&lt;&gt;"",--(AH297="Absent"),0),IF($AJ$5&lt;&gt;"",--(AJ297="Absent"),0),IF($AL$5&lt;&gt;"",--(AL297="Absent"),0),IF($AN$5&lt;&gt;"",--(AN297="Absent"),0),IF($AP$5&lt;&gt;"",--(AP297="Absent"),0),IF($AR$5&lt;&gt;"",--(AR297="Absent"),0),IF($AT$5&lt;&gt;"",--(AT297="Absent"),0),IF($AV$5&lt;&gt;"",--(AV297="Absent"),0),IF($AX$5&lt;&gt;"",--(AX297="Absent"),0),IF($AZ$5&lt;&gt;"",--(AZ297="Absent"),0),IF($BB$5&lt;&gt;"",--(BB297="Absent"),0),IF($BD$5&lt;&gt;"",--(BD297="Absent"),0),IF($BF$5&lt;&gt;"",--(BF297="Absent"),0),IF($BH$5&lt;&gt;"",--(BH297="Absent"),0),IF($BJ$5&lt;&gt;"",--(BJ297="Absent"),0),IF($BL$5&lt;&gt;"",--(BL297="Absent"),0)))</f>
      </c>
      <c r="BP297" s="22">
        <f>IF($A297="","",SUM(IF($D$5&lt;&gt;"",--(D297="Congé"),0),IF($F$5&lt;&gt;"",--(F297="Congé"),0),IF($H$5&lt;&gt;"",--(H297="Congé"),0),IF($J$5&lt;&gt;"",--(J297="Congé"),0),IF($L$5&lt;&gt;"",--(L297="Congé"),0),IF($N$5&lt;&gt;"",--(N297="Congé"),0),IF($P$5&lt;&gt;"",--(P297="Congé"),0),IF($R$5&lt;&gt;"",--(R297="Congé"),0),IF($T$5&lt;&gt;"",--(T297="Congé"),0),IF($V$5&lt;&gt;"",--(V297="Congé"),0),IF($X$5&lt;&gt;"",--(X297="Congé"),0),IF($Z$5&lt;&gt;"",--(Z297="Congé"),0),IF($AB$5&lt;&gt;"",--(AB297="Congé"),0),IF($AD$5&lt;&gt;"",--(AD297="Congé"),0),IF($AF$5&lt;&gt;"",--(AF297="Congé"),0),IF($AH$5&lt;&gt;"",--(AH297="Congé"),0),IF($AJ$5&lt;&gt;"",--(AJ297="Congé"),0),IF($AL$5&lt;&gt;"",--(AL297="Congé"),0),IF($AN$5&lt;&gt;"",--(AN297="Congé"),0),IF($AP$5&lt;&gt;"",--(AP297="Congé"),0),IF($AR$5&lt;&gt;"",--(AR297="Congé"),0),IF($AT$5&lt;&gt;"",--(AT297="Congé"),0),IF($AV$5&lt;&gt;"",--(AV297="Congé"),0),IF($AX$5&lt;&gt;"",--(AX297="Congé"),0),IF($AZ$5&lt;&gt;"",--(AZ297="Congé"),0),IF($BB$5&lt;&gt;"",--(BB297="Congé"),0),IF($BD$5&lt;&gt;"",--(BD297="Congé"),0),IF($BF$5&lt;&gt;"",--(BF297="Congé"),0),IF($BH$5&lt;&gt;"",--(BH297="Congé"),0),IF($BJ$5&lt;&gt;"",--(BJ297="Congé"),0),IF($BL$5&lt;&gt;"",--(BL297="Congé"),0)))</f>
      </c>
      <c r="BQ297" s="22">
        <f>IF($A297="","",SUM(IF($D$5&lt;&gt;"",--(D297="Maladie"),0),IF($F$5&lt;&gt;"",--(F297="Maladie"),0),IF($H$5&lt;&gt;"",--(H297="Maladie"),0),IF($J$5&lt;&gt;"",--(J297="Maladie"),0),IF($L$5&lt;&gt;"",--(L297="Maladie"),0),IF($N$5&lt;&gt;"",--(N297="Maladie"),0),IF($P$5&lt;&gt;"",--(P297="Maladie"),0),IF($R$5&lt;&gt;"",--(R297="Maladie"),0),IF($T$5&lt;&gt;"",--(T297="Maladie"),0),IF($V$5&lt;&gt;"",--(V297="Maladie"),0),IF($X$5&lt;&gt;"",--(X297="Maladie"),0),IF($Z$5&lt;&gt;"",--(Z297="Maladie"),0),IF($AB$5&lt;&gt;"",--(AB297="Maladie"),0),IF($AD$5&lt;&gt;"",--(AD297="Maladie"),0),IF($AF$5&lt;&gt;"",--(AF297="Maladie"),0),IF($AH$5&lt;&gt;"",--(AH297="Maladie"),0),IF($AJ$5&lt;&gt;"",--(AJ297="Maladie"),0),IF($AL$5&lt;&gt;"",--(AL297="Maladie"),0),IF($AN$5&lt;&gt;"",--(AN297="Maladie"),0),IF($AP$5&lt;&gt;"",--(AP297="Maladie"),0),IF($AR$5&lt;&gt;"",--(AR297="Maladie"),0),IF($AT$5&lt;&gt;"",--(AT297="Maladie"),0),IF($AV$5&lt;&gt;"",--(AV297="Maladie"),0),IF($AX$5&lt;&gt;"",--(AX297="Maladie"),0),IF($AZ$5&lt;&gt;"",--(AZ297="Maladie"),0),IF($BB$5&lt;&gt;"",--(BB297="Maladie"),0),IF($BD$5&lt;&gt;"",--(BD297="Maladie"),0),IF($BF$5&lt;&gt;"",--(BF297="Maladie"),0),IF($BH$5&lt;&gt;"",--(BH297="Maladie"),0),IF($BJ$5&lt;&gt;"",--(BJ297="Maladie"),0),IF($BL$5&lt;&gt;"",--(BL297="Maladie"),0)))</f>
      </c>
      <c r="BR297" s="23">
        <f>IF($A297="","",SUM(IF($D$5&lt;&gt;"",IF(D297="Présent",E297,0),0),IF($F$5&lt;&gt;"",IF(F297="Présent",G297,0),0),IF($H$5&lt;&gt;"",IF(H297="Présent",I297,0),0),IF($J$5&lt;&gt;"",IF(J297="Présent",K297,0),0),IF($L$5&lt;&gt;"",IF(L297="Présent",M297,0),0),IF($N$5&lt;&gt;"",IF(N297="Présent",O297,0),0),IF($P$5&lt;&gt;"",IF(P297="Présent",Q297,0),0),IF($R$5&lt;&gt;"",IF(R297="Présent",S297,0),0),IF($T$5&lt;&gt;"",IF(T297="Présent",U297,0),0),IF($V$5&lt;&gt;"",IF(V297="Présent",W297,0),0),IF($X$5&lt;&gt;"",IF(X297="Présent",Y297,0),0),IF($Z$5&lt;&gt;"",IF(Z297="Présent",AA297,0),0),IF($AB$5&lt;&gt;"",IF(AB297="Présent",AC297,0),0),IF($AD$5&lt;&gt;"",IF(AD297="Présent",AE297,0),0),IF($AF$5&lt;&gt;"",IF(AF297="Présent",AG297,0),0),IF($AH$5&lt;&gt;"",IF(AH297="Présent",AI297,0),0),IF($AJ$5&lt;&gt;"",IF(AJ297="Présent",AK297,0),0),IF($AL$5&lt;&gt;"",IF(AL297="Présent",AM297,0),0),IF($AN$5&lt;&gt;"",IF(AN297="Présent",AO297,0),0),IF($AP$5&lt;&gt;"",IF(AP297="Présent",AQ297,0),0),IF($AR$5&lt;&gt;"",IF(AR297="Présent",AS297,0),0),IF($AT$5&lt;&gt;"",IF(AT297="Présent",AU297,0),0),IF($AV$5&lt;&gt;"",IF(AV297="Présent",AW297,0),0),IF($AX$5&lt;&gt;"",IF(AX297="Présent",AY297,0),0),IF($AZ$5&lt;&gt;"",IF(AZ297="Présent",BA297,0),0),IF($BB$5&lt;&gt;"",IF(BB297="Présent",BC297,0),0),IF($BD$5&lt;&gt;"",IF(BD297="Présent",BE297,0),0),IF($BF$5&lt;&gt;"",IF(BF297="Présent",BG297,0),0),IF($BH$5&lt;&gt;"",IF(BH297="Présent",BI297,0),0),IF($BJ$5&lt;&gt;"",IF(BJ297="Présent",BK297,0),0),IF($BL$5&lt;&gt;"",IF(BL297="Présent",BM297,0),0)))</f>
      </c>
      <c r="BS297" s="25">
        <f>IF($A297="","",$BN297*IFERROR(INDEX(Categories_Salaire,MATCH($C297,ListeCategories,0)),0)+$BR297*IF(IFERROR(INDEX(Categories_TauxHS,MATCH($C297,ListeCategories,0)),0)&gt;0,IFERROR(INDEX(Categories_TauxHS,MATCH($C297,ListeCategories,0)),0),TauxHSDefaut))</f>
      </c>
    </row>
    <row r="298">
      <c r="A298" s="20">
        <f>IF(AND(INDEX(Employes_Nom,292)&lt;&gt;"",INDEX(Employes_Statut,292)="Actif",OR(INDEX(Employes_Embauche,292)="",INDEX(Employes_Embauche,292)&lt;=EOMONTH(DATE(AnneeCourante,MoisCourant,1),0))),INDEX(Employes_ID,292),"")</f>
      </c>
      <c r="B298" s="19">
        <f>IF($A298="","",INDEX(Employes_Nom,MATCH($A298,Employes_ID,0)))</f>
      </c>
      <c r="C298" s="20">
        <f>IF($A298="","",INDEX(Employes_Categorie,MATCH($A298,Employes_ID,0)))</f>
      </c>
      <c r="D298" s="26"/>
      <c r="E298" s="27"/>
      <c r="F298" s="26"/>
      <c r="G298" s="27"/>
      <c r="H298" s="26"/>
      <c r="I298" s="27"/>
      <c r="J298" s="26"/>
      <c r="K298" s="27"/>
      <c r="L298" s="26"/>
      <c r="M298" s="27"/>
      <c r="N298" s="26"/>
      <c r="O298" s="27"/>
      <c r="P298" s="26"/>
      <c r="Q298" s="27"/>
      <c r="R298" s="26"/>
      <c r="S298" s="27"/>
      <c r="T298" s="26"/>
      <c r="U298" s="27"/>
      <c r="V298" s="26"/>
      <c r="W298" s="27"/>
      <c r="X298" s="26"/>
      <c r="Y298" s="27"/>
      <c r="Z298" s="26"/>
      <c r="AA298" s="27"/>
      <c r="AB298" s="26"/>
      <c r="AC298" s="27"/>
      <c r="AD298" s="26"/>
      <c r="AE298" s="27"/>
      <c r="AF298" s="26"/>
      <c r="AG298" s="27"/>
      <c r="AH298" s="26"/>
      <c r="AI298" s="27"/>
      <c r="AJ298" s="26"/>
      <c r="AK298" s="27"/>
      <c r="AL298" s="26"/>
      <c r="AM298" s="27"/>
      <c r="AN298" s="26"/>
      <c r="AO298" s="27"/>
      <c r="AP298" s="26"/>
      <c r="AQ298" s="27"/>
      <c r="AR298" s="26"/>
      <c r="AS298" s="27"/>
      <c r="AT298" s="26"/>
      <c r="AU298" s="27"/>
      <c r="AV298" s="26"/>
      <c r="AW298" s="27"/>
      <c r="AX298" s="26"/>
      <c r="AY298" s="27"/>
      <c r="AZ298" s="26"/>
      <c r="BA298" s="27"/>
      <c r="BB298" s="26"/>
      <c r="BC298" s="27"/>
      <c r="BD298" s="26"/>
      <c r="BE298" s="27"/>
      <c r="BF298" s="26"/>
      <c r="BG298" s="27"/>
      <c r="BH298" s="26"/>
      <c r="BI298" s="27"/>
      <c r="BJ298" s="26"/>
      <c r="BK298" s="27"/>
      <c r="BL298" s="26"/>
      <c r="BM298" s="27"/>
      <c r="BN298" s="22">
        <f>IF($A298="","",SUM(IF($D$5&lt;&gt;"",--(D298="Présent"),0),IF($F$5&lt;&gt;"",--(F298="Présent"),0),IF($H$5&lt;&gt;"",--(H298="Présent"),0),IF($J$5&lt;&gt;"",--(J298="Présent"),0),IF($L$5&lt;&gt;"",--(L298="Présent"),0),IF($N$5&lt;&gt;"",--(N298="Présent"),0),IF($P$5&lt;&gt;"",--(P298="Présent"),0),IF($R$5&lt;&gt;"",--(R298="Présent"),0),IF($T$5&lt;&gt;"",--(T298="Présent"),0),IF($V$5&lt;&gt;"",--(V298="Présent"),0),IF($X$5&lt;&gt;"",--(X298="Présent"),0),IF($Z$5&lt;&gt;"",--(Z298="Présent"),0),IF($AB$5&lt;&gt;"",--(AB298="Présent"),0),IF($AD$5&lt;&gt;"",--(AD298="Présent"),0),IF($AF$5&lt;&gt;"",--(AF298="Présent"),0),IF($AH$5&lt;&gt;"",--(AH298="Présent"),0),IF($AJ$5&lt;&gt;"",--(AJ298="Présent"),0),IF($AL$5&lt;&gt;"",--(AL298="Présent"),0),IF($AN$5&lt;&gt;"",--(AN298="Présent"),0),IF($AP$5&lt;&gt;"",--(AP298="Présent"),0),IF($AR$5&lt;&gt;"",--(AR298="Présent"),0),IF($AT$5&lt;&gt;"",--(AT298="Présent"),0),IF($AV$5&lt;&gt;"",--(AV298="Présent"),0),IF($AX$5&lt;&gt;"",--(AX298="Présent"),0),IF($AZ$5&lt;&gt;"",--(AZ298="Présent"),0),IF($BB$5&lt;&gt;"",--(BB298="Présent"),0),IF($BD$5&lt;&gt;"",--(BD298="Présent"),0),IF($BF$5&lt;&gt;"",--(BF298="Présent"),0),IF($BH$5&lt;&gt;"",--(BH298="Présent"),0),IF($BJ$5&lt;&gt;"",--(BJ298="Présent"),0),IF($BL$5&lt;&gt;"",--(BL298="Présent"),0)))</f>
      </c>
      <c r="BO298" s="22">
        <f>IF($A298="","",SUM(IF($D$5&lt;&gt;"",--(D298="Absent"),0),IF($F$5&lt;&gt;"",--(F298="Absent"),0),IF($H$5&lt;&gt;"",--(H298="Absent"),0),IF($J$5&lt;&gt;"",--(J298="Absent"),0),IF($L$5&lt;&gt;"",--(L298="Absent"),0),IF($N$5&lt;&gt;"",--(N298="Absent"),0),IF($P$5&lt;&gt;"",--(P298="Absent"),0),IF($R$5&lt;&gt;"",--(R298="Absent"),0),IF($T$5&lt;&gt;"",--(T298="Absent"),0),IF($V$5&lt;&gt;"",--(V298="Absent"),0),IF($X$5&lt;&gt;"",--(X298="Absent"),0),IF($Z$5&lt;&gt;"",--(Z298="Absent"),0),IF($AB$5&lt;&gt;"",--(AB298="Absent"),0),IF($AD$5&lt;&gt;"",--(AD298="Absent"),0),IF($AF$5&lt;&gt;"",--(AF298="Absent"),0),IF($AH$5&lt;&gt;"",--(AH298="Absent"),0),IF($AJ$5&lt;&gt;"",--(AJ298="Absent"),0),IF($AL$5&lt;&gt;"",--(AL298="Absent"),0),IF($AN$5&lt;&gt;"",--(AN298="Absent"),0),IF($AP$5&lt;&gt;"",--(AP298="Absent"),0),IF($AR$5&lt;&gt;"",--(AR298="Absent"),0),IF($AT$5&lt;&gt;"",--(AT298="Absent"),0),IF($AV$5&lt;&gt;"",--(AV298="Absent"),0),IF($AX$5&lt;&gt;"",--(AX298="Absent"),0),IF($AZ$5&lt;&gt;"",--(AZ298="Absent"),0),IF($BB$5&lt;&gt;"",--(BB298="Absent"),0),IF($BD$5&lt;&gt;"",--(BD298="Absent"),0),IF($BF$5&lt;&gt;"",--(BF298="Absent"),0),IF($BH$5&lt;&gt;"",--(BH298="Absent"),0),IF($BJ$5&lt;&gt;"",--(BJ298="Absent"),0),IF($BL$5&lt;&gt;"",--(BL298="Absent"),0)))</f>
      </c>
      <c r="BP298" s="22">
        <f>IF($A298="","",SUM(IF($D$5&lt;&gt;"",--(D298="Congé"),0),IF($F$5&lt;&gt;"",--(F298="Congé"),0),IF($H$5&lt;&gt;"",--(H298="Congé"),0),IF($J$5&lt;&gt;"",--(J298="Congé"),0),IF($L$5&lt;&gt;"",--(L298="Congé"),0),IF($N$5&lt;&gt;"",--(N298="Congé"),0),IF($P$5&lt;&gt;"",--(P298="Congé"),0),IF($R$5&lt;&gt;"",--(R298="Congé"),0),IF($T$5&lt;&gt;"",--(T298="Congé"),0),IF($V$5&lt;&gt;"",--(V298="Congé"),0),IF($X$5&lt;&gt;"",--(X298="Congé"),0),IF($Z$5&lt;&gt;"",--(Z298="Congé"),0),IF($AB$5&lt;&gt;"",--(AB298="Congé"),0),IF($AD$5&lt;&gt;"",--(AD298="Congé"),0),IF($AF$5&lt;&gt;"",--(AF298="Congé"),0),IF($AH$5&lt;&gt;"",--(AH298="Congé"),0),IF($AJ$5&lt;&gt;"",--(AJ298="Congé"),0),IF($AL$5&lt;&gt;"",--(AL298="Congé"),0),IF($AN$5&lt;&gt;"",--(AN298="Congé"),0),IF($AP$5&lt;&gt;"",--(AP298="Congé"),0),IF($AR$5&lt;&gt;"",--(AR298="Congé"),0),IF($AT$5&lt;&gt;"",--(AT298="Congé"),0),IF($AV$5&lt;&gt;"",--(AV298="Congé"),0),IF($AX$5&lt;&gt;"",--(AX298="Congé"),0),IF($AZ$5&lt;&gt;"",--(AZ298="Congé"),0),IF($BB$5&lt;&gt;"",--(BB298="Congé"),0),IF($BD$5&lt;&gt;"",--(BD298="Congé"),0),IF($BF$5&lt;&gt;"",--(BF298="Congé"),0),IF($BH$5&lt;&gt;"",--(BH298="Congé"),0),IF($BJ$5&lt;&gt;"",--(BJ298="Congé"),0),IF($BL$5&lt;&gt;"",--(BL298="Congé"),0)))</f>
      </c>
      <c r="BQ298" s="22">
        <f>IF($A298="","",SUM(IF($D$5&lt;&gt;"",--(D298="Maladie"),0),IF($F$5&lt;&gt;"",--(F298="Maladie"),0),IF($H$5&lt;&gt;"",--(H298="Maladie"),0),IF($J$5&lt;&gt;"",--(J298="Maladie"),0),IF($L$5&lt;&gt;"",--(L298="Maladie"),0),IF($N$5&lt;&gt;"",--(N298="Maladie"),0),IF($P$5&lt;&gt;"",--(P298="Maladie"),0),IF($R$5&lt;&gt;"",--(R298="Maladie"),0),IF($T$5&lt;&gt;"",--(T298="Maladie"),0),IF($V$5&lt;&gt;"",--(V298="Maladie"),0),IF($X$5&lt;&gt;"",--(X298="Maladie"),0),IF($Z$5&lt;&gt;"",--(Z298="Maladie"),0),IF($AB$5&lt;&gt;"",--(AB298="Maladie"),0),IF($AD$5&lt;&gt;"",--(AD298="Maladie"),0),IF($AF$5&lt;&gt;"",--(AF298="Maladie"),0),IF($AH$5&lt;&gt;"",--(AH298="Maladie"),0),IF($AJ$5&lt;&gt;"",--(AJ298="Maladie"),0),IF($AL$5&lt;&gt;"",--(AL298="Maladie"),0),IF($AN$5&lt;&gt;"",--(AN298="Maladie"),0),IF($AP$5&lt;&gt;"",--(AP298="Maladie"),0),IF($AR$5&lt;&gt;"",--(AR298="Maladie"),0),IF($AT$5&lt;&gt;"",--(AT298="Maladie"),0),IF($AV$5&lt;&gt;"",--(AV298="Maladie"),0),IF($AX$5&lt;&gt;"",--(AX298="Maladie"),0),IF($AZ$5&lt;&gt;"",--(AZ298="Maladie"),0),IF($BB$5&lt;&gt;"",--(BB298="Maladie"),0),IF($BD$5&lt;&gt;"",--(BD298="Maladie"),0),IF($BF$5&lt;&gt;"",--(BF298="Maladie"),0),IF($BH$5&lt;&gt;"",--(BH298="Maladie"),0),IF($BJ$5&lt;&gt;"",--(BJ298="Maladie"),0),IF($BL$5&lt;&gt;"",--(BL298="Maladie"),0)))</f>
      </c>
      <c r="BR298" s="23">
        <f>IF($A298="","",SUM(IF($D$5&lt;&gt;"",IF(D298="Présent",E298,0),0),IF($F$5&lt;&gt;"",IF(F298="Présent",G298,0),0),IF($H$5&lt;&gt;"",IF(H298="Présent",I298,0),0),IF($J$5&lt;&gt;"",IF(J298="Présent",K298,0),0),IF($L$5&lt;&gt;"",IF(L298="Présent",M298,0),0),IF($N$5&lt;&gt;"",IF(N298="Présent",O298,0),0),IF($P$5&lt;&gt;"",IF(P298="Présent",Q298,0),0),IF($R$5&lt;&gt;"",IF(R298="Présent",S298,0),0),IF($T$5&lt;&gt;"",IF(T298="Présent",U298,0),0),IF($V$5&lt;&gt;"",IF(V298="Présent",W298,0),0),IF($X$5&lt;&gt;"",IF(X298="Présent",Y298,0),0),IF($Z$5&lt;&gt;"",IF(Z298="Présent",AA298,0),0),IF($AB$5&lt;&gt;"",IF(AB298="Présent",AC298,0),0),IF($AD$5&lt;&gt;"",IF(AD298="Présent",AE298,0),0),IF($AF$5&lt;&gt;"",IF(AF298="Présent",AG298,0),0),IF($AH$5&lt;&gt;"",IF(AH298="Présent",AI298,0),0),IF($AJ$5&lt;&gt;"",IF(AJ298="Présent",AK298,0),0),IF($AL$5&lt;&gt;"",IF(AL298="Présent",AM298,0),0),IF($AN$5&lt;&gt;"",IF(AN298="Présent",AO298,0),0),IF($AP$5&lt;&gt;"",IF(AP298="Présent",AQ298,0),0),IF($AR$5&lt;&gt;"",IF(AR298="Présent",AS298,0),0),IF($AT$5&lt;&gt;"",IF(AT298="Présent",AU298,0),0),IF($AV$5&lt;&gt;"",IF(AV298="Présent",AW298,0),0),IF($AX$5&lt;&gt;"",IF(AX298="Présent",AY298,0),0),IF($AZ$5&lt;&gt;"",IF(AZ298="Présent",BA298,0),0),IF($BB$5&lt;&gt;"",IF(BB298="Présent",BC298,0),0),IF($BD$5&lt;&gt;"",IF(BD298="Présent",BE298,0),0),IF($BF$5&lt;&gt;"",IF(BF298="Présent",BG298,0),0),IF($BH$5&lt;&gt;"",IF(BH298="Présent",BI298,0),0),IF($BJ$5&lt;&gt;"",IF(BJ298="Présent",BK298,0),0),IF($BL$5&lt;&gt;"",IF(BL298="Présent",BM298,0),0)))</f>
      </c>
      <c r="BS298" s="25">
        <f>IF($A298="","",$BN298*IFERROR(INDEX(Categories_Salaire,MATCH($C298,ListeCategories,0)),0)+$BR298*IF(IFERROR(INDEX(Categories_TauxHS,MATCH($C298,ListeCategories,0)),0)&gt;0,IFERROR(INDEX(Categories_TauxHS,MATCH($C298,ListeCategories,0)),0),TauxHSDefaut))</f>
      </c>
    </row>
    <row r="299">
      <c r="A299" s="20">
        <f>IF(AND(INDEX(Employes_Nom,293)&lt;&gt;"",INDEX(Employes_Statut,293)="Actif",OR(INDEX(Employes_Embauche,293)="",INDEX(Employes_Embauche,293)&lt;=EOMONTH(DATE(AnneeCourante,MoisCourant,1),0))),INDEX(Employes_ID,293),"")</f>
      </c>
      <c r="B299" s="19">
        <f>IF($A299="","",INDEX(Employes_Nom,MATCH($A299,Employes_ID,0)))</f>
      </c>
      <c r="C299" s="20">
        <f>IF($A299="","",INDEX(Employes_Categorie,MATCH($A299,Employes_ID,0)))</f>
      </c>
      <c r="D299" s="26"/>
      <c r="E299" s="27"/>
      <c r="F299" s="26"/>
      <c r="G299" s="27"/>
      <c r="H299" s="26"/>
      <c r="I299" s="27"/>
      <c r="J299" s="26"/>
      <c r="K299" s="27"/>
      <c r="L299" s="26"/>
      <c r="M299" s="27"/>
      <c r="N299" s="26"/>
      <c r="O299" s="27"/>
      <c r="P299" s="26"/>
      <c r="Q299" s="27"/>
      <c r="R299" s="26"/>
      <c r="S299" s="27"/>
      <c r="T299" s="26"/>
      <c r="U299" s="27"/>
      <c r="V299" s="26"/>
      <c r="W299" s="27"/>
      <c r="X299" s="26"/>
      <c r="Y299" s="27"/>
      <c r="Z299" s="26"/>
      <c r="AA299" s="27"/>
      <c r="AB299" s="26"/>
      <c r="AC299" s="27"/>
      <c r="AD299" s="26"/>
      <c r="AE299" s="27"/>
      <c r="AF299" s="26"/>
      <c r="AG299" s="27"/>
      <c r="AH299" s="26"/>
      <c r="AI299" s="27"/>
      <c r="AJ299" s="26"/>
      <c r="AK299" s="27"/>
      <c r="AL299" s="26"/>
      <c r="AM299" s="27"/>
      <c r="AN299" s="26"/>
      <c r="AO299" s="27"/>
      <c r="AP299" s="26"/>
      <c r="AQ299" s="27"/>
      <c r="AR299" s="26"/>
      <c r="AS299" s="27"/>
      <c r="AT299" s="26"/>
      <c r="AU299" s="27"/>
      <c r="AV299" s="26"/>
      <c r="AW299" s="27"/>
      <c r="AX299" s="26"/>
      <c r="AY299" s="27"/>
      <c r="AZ299" s="26"/>
      <c r="BA299" s="27"/>
      <c r="BB299" s="26"/>
      <c r="BC299" s="27"/>
      <c r="BD299" s="26"/>
      <c r="BE299" s="27"/>
      <c r="BF299" s="26"/>
      <c r="BG299" s="27"/>
      <c r="BH299" s="26"/>
      <c r="BI299" s="27"/>
      <c r="BJ299" s="26"/>
      <c r="BK299" s="27"/>
      <c r="BL299" s="26"/>
      <c r="BM299" s="27"/>
      <c r="BN299" s="22">
        <f>IF($A299="","",SUM(IF($D$5&lt;&gt;"",--(D299="Présent"),0),IF($F$5&lt;&gt;"",--(F299="Présent"),0),IF($H$5&lt;&gt;"",--(H299="Présent"),0),IF($J$5&lt;&gt;"",--(J299="Présent"),0),IF($L$5&lt;&gt;"",--(L299="Présent"),0),IF($N$5&lt;&gt;"",--(N299="Présent"),0),IF($P$5&lt;&gt;"",--(P299="Présent"),0),IF($R$5&lt;&gt;"",--(R299="Présent"),0),IF($T$5&lt;&gt;"",--(T299="Présent"),0),IF($V$5&lt;&gt;"",--(V299="Présent"),0),IF($X$5&lt;&gt;"",--(X299="Présent"),0),IF($Z$5&lt;&gt;"",--(Z299="Présent"),0),IF($AB$5&lt;&gt;"",--(AB299="Présent"),0),IF($AD$5&lt;&gt;"",--(AD299="Présent"),0),IF($AF$5&lt;&gt;"",--(AF299="Présent"),0),IF($AH$5&lt;&gt;"",--(AH299="Présent"),0),IF($AJ$5&lt;&gt;"",--(AJ299="Présent"),0),IF($AL$5&lt;&gt;"",--(AL299="Présent"),0),IF($AN$5&lt;&gt;"",--(AN299="Présent"),0),IF($AP$5&lt;&gt;"",--(AP299="Présent"),0),IF($AR$5&lt;&gt;"",--(AR299="Présent"),0),IF($AT$5&lt;&gt;"",--(AT299="Présent"),0),IF($AV$5&lt;&gt;"",--(AV299="Présent"),0),IF($AX$5&lt;&gt;"",--(AX299="Présent"),0),IF($AZ$5&lt;&gt;"",--(AZ299="Présent"),0),IF($BB$5&lt;&gt;"",--(BB299="Présent"),0),IF($BD$5&lt;&gt;"",--(BD299="Présent"),0),IF($BF$5&lt;&gt;"",--(BF299="Présent"),0),IF($BH$5&lt;&gt;"",--(BH299="Présent"),0),IF($BJ$5&lt;&gt;"",--(BJ299="Présent"),0),IF($BL$5&lt;&gt;"",--(BL299="Présent"),0)))</f>
      </c>
      <c r="BO299" s="22">
        <f>IF($A299="","",SUM(IF($D$5&lt;&gt;"",--(D299="Absent"),0),IF($F$5&lt;&gt;"",--(F299="Absent"),0),IF($H$5&lt;&gt;"",--(H299="Absent"),0),IF($J$5&lt;&gt;"",--(J299="Absent"),0),IF($L$5&lt;&gt;"",--(L299="Absent"),0),IF($N$5&lt;&gt;"",--(N299="Absent"),0),IF($P$5&lt;&gt;"",--(P299="Absent"),0),IF($R$5&lt;&gt;"",--(R299="Absent"),0),IF($T$5&lt;&gt;"",--(T299="Absent"),0),IF($V$5&lt;&gt;"",--(V299="Absent"),0),IF($X$5&lt;&gt;"",--(X299="Absent"),0),IF($Z$5&lt;&gt;"",--(Z299="Absent"),0),IF($AB$5&lt;&gt;"",--(AB299="Absent"),0),IF($AD$5&lt;&gt;"",--(AD299="Absent"),0),IF($AF$5&lt;&gt;"",--(AF299="Absent"),0),IF($AH$5&lt;&gt;"",--(AH299="Absent"),0),IF($AJ$5&lt;&gt;"",--(AJ299="Absent"),0),IF($AL$5&lt;&gt;"",--(AL299="Absent"),0),IF($AN$5&lt;&gt;"",--(AN299="Absent"),0),IF($AP$5&lt;&gt;"",--(AP299="Absent"),0),IF($AR$5&lt;&gt;"",--(AR299="Absent"),0),IF($AT$5&lt;&gt;"",--(AT299="Absent"),0),IF($AV$5&lt;&gt;"",--(AV299="Absent"),0),IF($AX$5&lt;&gt;"",--(AX299="Absent"),0),IF($AZ$5&lt;&gt;"",--(AZ299="Absent"),0),IF($BB$5&lt;&gt;"",--(BB299="Absent"),0),IF($BD$5&lt;&gt;"",--(BD299="Absent"),0),IF($BF$5&lt;&gt;"",--(BF299="Absent"),0),IF($BH$5&lt;&gt;"",--(BH299="Absent"),0),IF($BJ$5&lt;&gt;"",--(BJ299="Absent"),0),IF($BL$5&lt;&gt;"",--(BL299="Absent"),0)))</f>
      </c>
      <c r="BP299" s="22">
        <f>IF($A299="","",SUM(IF($D$5&lt;&gt;"",--(D299="Congé"),0),IF($F$5&lt;&gt;"",--(F299="Congé"),0),IF($H$5&lt;&gt;"",--(H299="Congé"),0),IF($J$5&lt;&gt;"",--(J299="Congé"),0),IF($L$5&lt;&gt;"",--(L299="Congé"),0),IF($N$5&lt;&gt;"",--(N299="Congé"),0),IF($P$5&lt;&gt;"",--(P299="Congé"),0),IF($R$5&lt;&gt;"",--(R299="Congé"),0),IF($T$5&lt;&gt;"",--(T299="Congé"),0),IF($V$5&lt;&gt;"",--(V299="Congé"),0),IF($X$5&lt;&gt;"",--(X299="Congé"),0),IF($Z$5&lt;&gt;"",--(Z299="Congé"),0),IF($AB$5&lt;&gt;"",--(AB299="Congé"),0),IF($AD$5&lt;&gt;"",--(AD299="Congé"),0),IF($AF$5&lt;&gt;"",--(AF299="Congé"),0),IF($AH$5&lt;&gt;"",--(AH299="Congé"),0),IF($AJ$5&lt;&gt;"",--(AJ299="Congé"),0),IF($AL$5&lt;&gt;"",--(AL299="Congé"),0),IF($AN$5&lt;&gt;"",--(AN299="Congé"),0),IF($AP$5&lt;&gt;"",--(AP299="Congé"),0),IF($AR$5&lt;&gt;"",--(AR299="Congé"),0),IF($AT$5&lt;&gt;"",--(AT299="Congé"),0),IF($AV$5&lt;&gt;"",--(AV299="Congé"),0),IF($AX$5&lt;&gt;"",--(AX299="Congé"),0),IF($AZ$5&lt;&gt;"",--(AZ299="Congé"),0),IF($BB$5&lt;&gt;"",--(BB299="Congé"),0),IF($BD$5&lt;&gt;"",--(BD299="Congé"),0),IF($BF$5&lt;&gt;"",--(BF299="Congé"),0),IF($BH$5&lt;&gt;"",--(BH299="Congé"),0),IF($BJ$5&lt;&gt;"",--(BJ299="Congé"),0),IF($BL$5&lt;&gt;"",--(BL299="Congé"),0)))</f>
      </c>
      <c r="BQ299" s="22">
        <f>IF($A299="","",SUM(IF($D$5&lt;&gt;"",--(D299="Maladie"),0),IF($F$5&lt;&gt;"",--(F299="Maladie"),0),IF($H$5&lt;&gt;"",--(H299="Maladie"),0),IF($J$5&lt;&gt;"",--(J299="Maladie"),0),IF($L$5&lt;&gt;"",--(L299="Maladie"),0),IF($N$5&lt;&gt;"",--(N299="Maladie"),0),IF($P$5&lt;&gt;"",--(P299="Maladie"),0),IF($R$5&lt;&gt;"",--(R299="Maladie"),0),IF($T$5&lt;&gt;"",--(T299="Maladie"),0),IF($V$5&lt;&gt;"",--(V299="Maladie"),0),IF($X$5&lt;&gt;"",--(X299="Maladie"),0),IF($Z$5&lt;&gt;"",--(Z299="Maladie"),0),IF($AB$5&lt;&gt;"",--(AB299="Maladie"),0),IF($AD$5&lt;&gt;"",--(AD299="Maladie"),0),IF($AF$5&lt;&gt;"",--(AF299="Maladie"),0),IF($AH$5&lt;&gt;"",--(AH299="Maladie"),0),IF($AJ$5&lt;&gt;"",--(AJ299="Maladie"),0),IF($AL$5&lt;&gt;"",--(AL299="Maladie"),0),IF($AN$5&lt;&gt;"",--(AN299="Maladie"),0),IF($AP$5&lt;&gt;"",--(AP299="Maladie"),0),IF($AR$5&lt;&gt;"",--(AR299="Maladie"),0),IF($AT$5&lt;&gt;"",--(AT299="Maladie"),0),IF($AV$5&lt;&gt;"",--(AV299="Maladie"),0),IF($AX$5&lt;&gt;"",--(AX299="Maladie"),0),IF($AZ$5&lt;&gt;"",--(AZ299="Maladie"),0),IF($BB$5&lt;&gt;"",--(BB299="Maladie"),0),IF($BD$5&lt;&gt;"",--(BD299="Maladie"),0),IF($BF$5&lt;&gt;"",--(BF299="Maladie"),0),IF($BH$5&lt;&gt;"",--(BH299="Maladie"),0),IF($BJ$5&lt;&gt;"",--(BJ299="Maladie"),0),IF($BL$5&lt;&gt;"",--(BL299="Maladie"),0)))</f>
      </c>
      <c r="BR299" s="23">
        <f>IF($A299="","",SUM(IF($D$5&lt;&gt;"",IF(D299="Présent",E299,0),0),IF($F$5&lt;&gt;"",IF(F299="Présent",G299,0),0),IF($H$5&lt;&gt;"",IF(H299="Présent",I299,0),0),IF($J$5&lt;&gt;"",IF(J299="Présent",K299,0),0),IF($L$5&lt;&gt;"",IF(L299="Présent",M299,0),0),IF($N$5&lt;&gt;"",IF(N299="Présent",O299,0),0),IF($P$5&lt;&gt;"",IF(P299="Présent",Q299,0),0),IF($R$5&lt;&gt;"",IF(R299="Présent",S299,0),0),IF($T$5&lt;&gt;"",IF(T299="Présent",U299,0),0),IF($V$5&lt;&gt;"",IF(V299="Présent",W299,0),0),IF($X$5&lt;&gt;"",IF(X299="Présent",Y299,0),0),IF($Z$5&lt;&gt;"",IF(Z299="Présent",AA299,0),0),IF($AB$5&lt;&gt;"",IF(AB299="Présent",AC299,0),0),IF($AD$5&lt;&gt;"",IF(AD299="Présent",AE299,0),0),IF($AF$5&lt;&gt;"",IF(AF299="Présent",AG299,0),0),IF($AH$5&lt;&gt;"",IF(AH299="Présent",AI299,0),0),IF($AJ$5&lt;&gt;"",IF(AJ299="Présent",AK299,0),0),IF($AL$5&lt;&gt;"",IF(AL299="Présent",AM299,0),0),IF($AN$5&lt;&gt;"",IF(AN299="Présent",AO299,0),0),IF($AP$5&lt;&gt;"",IF(AP299="Présent",AQ299,0),0),IF($AR$5&lt;&gt;"",IF(AR299="Présent",AS299,0),0),IF($AT$5&lt;&gt;"",IF(AT299="Présent",AU299,0),0),IF($AV$5&lt;&gt;"",IF(AV299="Présent",AW299,0),0),IF($AX$5&lt;&gt;"",IF(AX299="Présent",AY299,0),0),IF($AZ$5&lt;&gt;"",IF(AZ299="Présent",BA299,0),0),IF($BB$5&lt;&gt;"",IF(BB299="Présent",BC299,0),0),IF($BD$5&lt;&gt;"",IF(BD299="Présent",BE299,0),0),IF($BF$5&lt;&gt;"",IF(BF299="Présent",BG299,0),0),IF($BH$5&lt;&gt;"",IF(BH299="Présent",BI299,0),0),IF($BJ$5&lt;&gt;"",IF(BJ299="Présent",BK299,0),0),IF($BL$5&lt;&gt;"",IF(BL299="Présent",BM299,0),0)))</f>
      </c>
      <c r="BS299" s="25">
        <f>IF($A299="","",$BN299*IFERROR(INDEX(Categories_Salaire,MATCH($C299,ListeCategories,0)),0)+$BR299*IF(IFERROR(INDEX(Categories_TauxHS,MATCH($C299,ListeCategories,0)),0)&gt;0,IFERROR(INDEX(Categories_TauxHS,MATCH($C299,ListeCategories,0)),0),TauxHSDefaut))</f>
      </c>
    </row>
    <row r="300">
      <c r="A300" s="20">
        <f>IF(AND(INDEX(Employes_Nom,294)&lt;&gt;"",INDEX(Employes_Statut,294)="Actif",OR(INDEX(Employes_Embauche,294)="",INDEX(Employes_Embauche,294)&lt;=EOMONTH(DATE(AnneeCourante,MoisCourant,1),0))),INDEX(Employes_ID,294),"")</f>
      </c>
      <c r="B300" s="19">
        <f>IF($A300="","",INDEX(Employes_Nom,MATCH($A300,Employes_ID,0)))</f>
      </c>
      <c r="C300" s="20">
        <f>IF($A300="","",INDEX(Employes_Categorie,MATCH($A300,Employes_ID,0)))</f>
      </c>
      <c r="D300" s="26"/>
      <c r="E300" s="27"/>
      <c r="F300" s="26"/>
      <c r="G300" s="27"/>
      <c r="H300" s="26"/>
      <c r="I300" s="27"/>
      <c r="J300" s="26"/>
      <c r="K300" s="27"/>
      <c r="L300" s="26"/>
      <c r="M300" s="27"/>
      <c r="N300" s="26"/>
      <c r="O300" s="27"/>
      <c r="P300" s="26"/>
      <c r="Q300" s="27"/>
      <c r="R300" s="26"/>
      <c r="S300" s="27"/>
      <c r="T300" s="26"/>
      <c r="U300" s="27"/>
      <c r="V300" s="26"/>
      <c r="W300" s="27"/>
      <c r="X300" s="26"/>
      <c r="Y300" s="27"/>
      <c r="Z300" s="26"/>
      <c r="AA300" s="27"/>
      <c r="AB300" s="26"/>
      <c r="AC300" s="27"/>
      <c r="AD300" s="26"/>
      <c r="AE300" s="27"/>
      <c r="AF300" s="26"/>
      <c r="AG300" s="27"/>
      <c r="AH300" s="26"/>
      <c r="AI300" s="27"/>
      <c r="AJ300" s="26"/>
      <c r="AK300" s="27"/>
      <c r="AL300" s="26"/>
      <c r="AM300" s="27"/>
      <c r="AN300" s="26"/>
      <c r="AO300" s="27"/>
      <c r="AP300" s="26"/>
      <c r="AQ300" s="27"/>
      <c r="AR300" s="26"/>
      <c r="AS300" s="27"/>
      <c r="AT300" s="26"/>
      <c r="AU300" s="27"/>
      <c r="AV300" s="26"/>
      <c r="AW300" s="27"/>
      <c r="AX300" s="26"/>
      <c r="AY300" s="27"/>
      <c r="AZ300" s="26"/>
      <c r="BA300" s="27"/>
      <c r="BB300" s="26"/>
      <c r="BC300" s="27"/>
      <c r="BD300" s="26"/>
      <c r="BE300" s="27"/>
      <c r="BF300" s="26"/>
      <c r="BG300" s="27"/>
      <c r="BH300" s="26"/>
      <c r="BI300" s="27"/>
      <c r="BJ300" s="26"/>
      <c r="BK300" s="27"/>
      <c r="BL300" s="26"/>
      <c r="BM300" s="27"/>
      <c r="BN300" s="22">
        <f>IF($A300="","",SUM(IF($D$5&lt;&gt;"",--(D300="Présent"),0),IF($F$5&lt;&gt;"",--(F300="Présent"),0),IF($H$5&lt;&gt;"",--(H300="Présent"),0),IF($J$5&lt;&gt;"",--(J300="Présent"),0),IF($L$5&lt;&gt;"",--(L300="Présent"),0),IF($N$5&lt;&gt;"",--(N300="Présent"),0),IF($P$5&lt;&gt;"",--(P300="Présent"),0),IF($R$5&lt;&gt;"",--(R300="Présent"),0),IF($T$5&lt;&gt;"",--(T300="Présent"),0),IF($V$5&lt;&gt;"",--(V300="Présent"),0),IF($X$5&lt;&gt;"",--(X300="Présent"),0),IF($Z$5&lt;&gt;"",--(Z300="Présent"),0),IF($AB$5&lt;&gt;"",--(AB300="Présent"),0),IF($AD$5&lt;&gt;"",--(AD300="Présent"),0),IF($AF$5&lt;&gt;"",--(AF300="Présent"),0),IF($AH$5&lt;&gt;"",--(AH300="Présent"),0),IF($AJ$5&lt;&gt;"",--(AJ300="Présent"),0),IF($AL$5&lt;&gt;"",--(AL300="Présent"),0),IF($AN$5&lt;&gt;"",--(AN300="Présent"),0),IF($AP$5&lt;&gt;"",--(AP300="Présent"),0),IF($AR$5&lt;&gt;"",--(AR300="Présent"),0),IF($AT$5&lt;&gt;"",--(AT300="Présent"),0),IF($AV$5&lt;&gt;"",--(AV300="Présent"),0),IF($AX$5&lt;&gt;"",--(AX300="Présent"),0),IF($AZ$5&lt;&gt;"",--(AZ300="Présent"),0),IF($BB$5&lt;&gt;"",--(BB300="Présent"),0),IF($BD$5&lt;&gt;"",--(BD300="Présent"),0),IF($BF$5&lt;&gt;"",--(BF300="Présent"),0),IF($BH$5&lt;&gt;"",--(BH300="Présent"),0),IF($BJ$5&lt;&gt;"",--(BJ300="Présent"),0),IF($BL$5&lt;&gt;"",--(BL300="Présent"),0)))</f>
      </c>
      <c r="BO300" s="22">
        <f>IF($A300="","",SUM(IF($D$5&lt;&gt;"",--(D300="Absent"),0),IF($F$5&lt;&gt;"",--(F300="Absent"),0),IF($H$5&lt;&gt;"",--(H300="Absent"),0),IF($J$5&lt;&gt;"",--(J300="Absent"),0),IF($L$5&lt;&gt;"",--(L300="Absent"),0),IF($N$5&lt;&gt;"",--(N300="Absent"),0),IF($P$5&lt;&gt;"",--(P300="Absent"),0),IF($R$5&lt;&gt;"",--(R300="Absent"),0),IF($T$5&lt;&gt;"",--(T300="Absent"),0),IF($V$5&lt;&gt;"",--(V300="Absent"),0),IF($X$5&lt;&gt;"",--(X300="Absent"),0),IF($Z$5&lt;&gt;"",--(Z300="Absent"),0),IF($AB$5&lt;&gt;"",--(AB300="Absent"),0),IF($AD$5&lt;&gt;"",--(AD300="Absent"),0),IF($AF$5&lt;&gt;"",--(AF300="Absent"),0),IF($AH$5&lt;&gt;"",--(AH300="Absent"),0),IF($AJ$5&lt;&gt;"",--(AJ300="Absent"),0),IF($AL$5&lt;&gt;"",--(AL300="Absent"),0),IF($AN$5&lt;&gt;"",--(AN300="Absent"),0),IF($AP$5&lt;&gt;"",--(AP300="Absent"),0),IF($AR$5&lt;&gt;"",--(AR300="Absent"),0),IF($AT$5&lt;&gt;"",--(AT300="Absent"),0),IF($AV$5&lt;&gt;"",--(AV300="Absent"),0),IF($AX$5&lt;&gt;"",--(AX300="Absent"),0),IF($AZ$5&lt;&gt;"",--(AZ300="Absent"),0),IF($BB$5&lt;&gt;"",--(BB300="Absent"),0),IF($BD$5&lt;&gt;"",--(BD300="Absent"),0),IF($BF$5&lt;&gt;"",--(BF300="Absent"),0),IF($BH$5&lt;&gt;"",--(BH300="Absent"),0),IF($BJ$5&lt;&gt;"",--(BJ300="Absent"),0),IF($BL$5&lt;&gt;"",--(BL300="Absent"),0)))</f>
      </c>
      <c r="BP300" s="22">
        <f>IF($A300="","",SUM(IF($D$5&lt;&gt;"",--(D300="Congé"),0),IF($F$5&lt;&gt;"",--(F300="Congé"),0),IF($H$5&lt;&gt;"",--(H300="Congé"),0),IF($J$5&lt;&gt;"",--(J300="Congé"),0),IF($L$5&lt;&gt;"",--(L300="Congé"),0),IF($N$5&lt;&gt;"",--(N300="Congé"),0),IF($P$5&lt;&gt;"",--(P300="Congé"),0),IF($R$5&lt;&gt;"",--(R300="Congé"),0),IF($T$5&lt;&gt;"",--(T300="Congé"),0),IF($V$5&lt;&gt;"",--(V300="Congé"),0),IF($X$5&lt;&gt;"",--(X300="Congé"),0),IF($Z$5&lt;&gt;"",--(Z300="Congé"),0),IF($AB$5&lt;&gt;"",--(AB300="Congé"),0),IF($AD$5&lt;&gt;"",--(AD300="Congé"),0),IF($AF$5&lt;&gt;"",--(AF300="Congé"),0),IF($AH$5&lt;&gt;"",--(AH300="Congé"),0),IF($AJ$5&lt;&gt;"",--(AJ300="Congé"),0),IF($AL$5&lt;&gt;"",--(AL300="Congé"),0),IF($AN$5&lt;&gt;"",--(AN300="Congé"),0),IF($AP$5&lt;&gt;"",--(AP300="Congé"),0),IF($AR$5&lt;&gt;"",--(AR300="Congé"),0),IF($AT$5&lt;&gt;"",--(AT300="Congé"),0),IF($AV$5&lt;&gt;"",--(AV300="Congé"),0),IF($AX$5&lt;&gt;"",--(AX300="Congé"),0),IF($AZ$5&lt;&gt;"",--(AZ300="Congé"),0),IF($BB$5&lt;&gt;"",--(BB300="Congé"),0),IF($BD$5&lt;&gt;"",--(BD300="Congé"),0),IF($BF$5&lt;&gt;"",--(BF300="Congé"),0),IF($BH$5&lt;&gt;"",--(BH300="Congé"),0),IF($BJ$5&lt;&gt;"",--(BJ300="Congé"),0),IF($BL$5&lt;&gt;"",--(BL300="Congé"),0)))</f>
      </c>
      <c r="BQ300" s="22">
        <f>IF($A300="","",SUM(IF($D$5&lt;&gt;"",--(D300="Maladie"),0),IF($F$5&lt;&gt;"",--(F300="Maladie"),0),IF($H$5&lt;&gt;"",--(H300="Maladie"),0),IF($J$5&lt;&gt;"",--(J300="Maladie"),0),IF($L$5&lt;&gt;"",--(L300="Maladie"),0),IF($N$5&lt;&gt;"",--(N300="Maladie"),0),IF($P$5&lt;&gt;"",--(P300="Maladie"),0),IF($R$5&lt;&gt;"",--(R300="Maladie"),0),IF($T$5&lt;&gt;"",--(T300="Maladie"),0),IF($V$5&lt;&gt;"",--(V300="Maladie"),0),IF($X$5&lt;&gt;"",--(X300="Maladie"),0),IF($Z$5&lt;&gt;"",--(Z300="Maladie"),0),IF($AB$5&lt;&gt;"",--(AB300="Maladie"),0),IF($AD$5&lt;&gt;"",--(AD300="Maladie"),0),IF($AF$5&lt;&gt;"",--(AF300="Maladie"),0),IF($AH$5&lt;&gt;"",--(AH300="Maladie"),0),IF($AJ$5&lt;&gt;"",--(AJ300="Maladie"),0),IF($AL$5&lt;&gt;"",--(AL300="Maladie"),0),IF($AN$5&lt;&gt;"",--(AN300="Maladie"),0),IF($AP$5&lt;&gt;"",--(AP300="Maladie"),0),IF($AR$5&lt;&gt;"",--(AR300="Maladie"),0),IF($AT$5&lt;&gt;"",--(AT300="Maladie"),0),IF($AV$5&lt;&gt;"",--(AV300="Maladie"),0),IF($AX$5&lt;&gt;"",--(AX300="Maladie"),0),IF($AZ$5&lt;&gt;"",--(AZ300="Maladie"),0),IF($BB$5&lt;&gt;"",--(BB300="Maladie"),0),IF($BD$5&lt;&gt;"",--(BD300="Maladie"),0),IF($BF$5&lt;&gt;"",--(BF300="Maladie"),0),IF($BH$5&lt;&gt;"",--(BH300="Maladie"),0),IF($BJ$5&lt;&gt;"",--(BJ300="Maladie"),0),IF($BL$5&lt;&gt;"",--(BL300="Maladie"),0)))</f>
      </c>
      <c r="BR300" s="23">
        <f>IF($A300="","",SUM(IF($D$5&lt;&gt;"",IF(D300="Présent",E300,0),0),IF($F$5&lt;&gt;"",IF(F300="Présent",G300,0),0),IF($H$5&lt;&gt;"",IF(H300="Présent",I300,0),0),IF($J$5&lt;&gt;"",IF(J300="Présent",K300,0),0),IF($L$5&lt;&gt;"",IF(L300="Présent",M300,0),0),IF($N$5&lt;&gt;"",IF(N300="Présent",O300,0),0),IF($P$5&lt;&gt;"",IF(P300="Présent",Q300,0),0),IF($R$5&lt;&gt;"",IF(R300="Présent",S300,0),0),IF($T$5&lt;&gt;"",IF(T300="Présent",U300,0),0),IF($V$5&lt;&gt;"",IF(V300="Présent",W300,0),0),IF($X$5&lt;&gt;"",IF(X300="Présent",Y300,0),0),IF($Z$5&lt;&gt;"",IF(Z300="Présent",AA300,0),0),IF($AB$5&lt;&gt;"",IF(AB300="Présent",AC300,0),0),IF($AD$5&lt;&gt;"",IF(AD300="Présent",AE300,0),0),IF($AF$5&lt;&gt;"",IF(AF300="Présent",AG300,0),0),IF($AH$5&lt;&gt;"",IF(AH300="Présent",AI300,0),0),IF($AJ$5&lt;&gt;"",IF(AJ300="Présent",AK300,0),0),IF($AL$5&lt;&gt;"",IF(AL300="Présent",AM300,0),0),IF($AN$5&lt;&gt;"",IF(AN300="Présent",AO300,0),0),IF($AP$5&lt;&gt;"",IF(AP300="Présent",AQ300,0),0),IF($AR$5&lt;&gt;"",IF(AR300="Présent",AS300,0),0),IF($AT$5&lt;&gt;"",IF(AT300="Présent",AU300,0),0),IF($AV$5&lt;&gt;"",IF(AV300="Présent",AW300,0),0),IF($AX$5&lt;&gt;"",IF(AX300="Présent",AY300,0),0),IF($AZ$5&lt;&gt;"",IF(AZ300="Présent",BA300,0),0),IF($BB$5&lt;&gt;"",IF(BB300="Présent",BC300,0),0),IF($BD$5&lt;&gt;"",IF(BD300="Présent",BE300,0),0),IF($BF$5&lt;&gt;"",IF(BF300="Présent",BG300,0),0),IF($BH$5&lt;&gt;"",IF(BH300="Présent",BI300,0),0),IF($BJ$5&lt;&gt;"",IF(BJ300="Présent",BK300,0),0),IF($BL$5&lt;&gt;"",IF(BL300="Présent",BM300,0),0)))</f>
      </c>
      <c r="BS300" s="25">
        <f>IF($A300="","",$BN300*IFERROR(INDEX(Categories_Salaire,MATCH($C300,ListeCategories,0)),0)+$BR300*IF(IFERROR(INDEX(Categories_TauxHS,MATCH($C300,ListeCategories,0)),0)&gt;0,IFERROR(INDEX(Categories_TauxHS,MATCH($C300,ListeCategories,0)),0),TauxHSDefaut))</f>
      </c>
    </row>
    <row r="301">
      <c r="A301" s="20">
        <f>IF(AND(INDEX(Employes_Nom,295)&lt;&gt;"",INDEX(Employes_Statut,295)="Actif",OR(INDEX(Employes_Embauche,295)="",INDEX(Employes_Embauche,295)&lt;=EOMONTH(DATE(AnneeCourante,MoisCourant,1),0))),INDEX(Employes_ID,295),"")</f>
      </c>
      <c r="B301" s="19">
        <f>IF($A301="","",INDEX(Employes_Nom,MATCH($A301,Employes_ID,0)))</f>
      </c>
      <c r="C301" s="20">
        <f>IF($A301="","",INDEX(Employes_Categorie,MATCH($A301,Employes_ID,0)))</f>
      </c>
      <c r="D301" s="26"/>
      <c r="E301" s="27"/>
      <c r="F301" s="26"/>
      <c r="G301" s="27"/>
      <c r="H301" s="26"/>
      <c r="I301" s="27"/>
      <c r="J301" s="26"/>
      <c r="K301" s="27"/>
      <c r="L301" s="26"/>
      <c r="M301" s="27"/>
      <c r="N301" s="26"/>
      <c r="O301" s="27"/>
      <c r="P301" s="26"/>
      <c r="Q301" s="27"/>
      <c r="R301" s="26"/>
      <c r="S301" s="27"/>
      <c r="T301" s="26"/>
      <c r="U301" s="27"/>
      <c r="V301" s="26"/>
      <c r="W301" s="27"/>
      <c r="X301" s="26"/>
      <c r="Y301" s="27"/>
      <c r="Z301" s="26"/>
      <c r="AA301" s="27"/>
      <c r="AB301" s="26"/>
      <c r="AC301" s="27"/>
      <c r="AD301" s="26"/>
      <c r="AE301" s="27"/>
      <c r="AF301" s="26"/>
      <c r="AG301" s="27"/>
      <c r="AH301" s="26"/>
      <c r="AI301" s="27"/>
      <c r="AJ301" s="26"/>
      <c r="AK301" s="27"/>
      <c r="AL301" s="26"/>
      <c r="AM301" s="27"/>
      <c r="AN301" s="26"/>
      <c r="AO301" s="27"/>
      <c r="AP301" s="26"/>
      <c r="AQ301" s="27"/>
      <c r="AR301" s="26"/>
      <c r="AS301" s="27"/>
      <c r="AT301" s="26"/>
      <c r="AU301" s="27"/>
      <c r="AV301" s="26"/>
      <c r="AW301" s="27"/>
      <c r="AX301" s="26"/>
      <c r="AY301" s="27"/>
      <c r="AZ301" s="26"/>
      <c r="BA301" s="27"/>
      <c r="BB301" s="26"/>
      <c r="BC301" s="27"/>
      <c r="BD301" s="26"/>
      <c r="BE301" s="27"/>
      <c r="BF301" s="26"/>
      <c r="BG301" s="27"/>
      <c r="BH301" s="26"/>
      <c r="BI301" s="27"/>
      <c r="BJ301" s="26"/>
      <c r="BK301" s="27"/>
      <c r="BL301" s="26"/>
      <c r="BM301" s="27"/>
      <c r="BN301" s="22">
        <f>IF($A301="","",SUM(IF($D$5&lt;&gt;"",--(D301="Présent"),0),IF($F$5&lt;&gt;"",--(F301="Présent"),0),IF($H$5&lt;&gt;"",--(H301="Présent"),0),IF($J$5&lt;&gt;"",--(J301="Présent"),0),IF($L$5&lt;&gt;"",--(L301="Présent"),0),IF($N$5&lt;&gt;"",--(N301="Présent"),0),IF($P$5&lt;&gt;"",--(P301="Présent"),0),IF($R$5&lt;&gt;"",--(R301="Présent"),0),IF($T$5&lt;&gt;"",--(T301="Présent"),0),IF($V$5&lt;&gt;"",--(V301="Présent"),0),IF($X$5&lt;&gt;"",--(X301="Présent"),0),IF($Z$5&lt;&gt;"",--(Z301="Présent"),0),IF($AB$5&lt;&gt;"",--(AB301="Présent"),0),IF($AD$5&lt;&gt;"",--(AD301="Présent"),0),IF($AF$5&lt;&gt;"",--(AF301="Présent"),0),IF($AH$5&lt;&gt;"",--(AH301="Présent"),0),IF($AJ$5&lt;&gt;"",--(AJ301="Présent"),0),IF($AL$5&lt;&gt;"",--(AL301="Présent"),0),IF($AN$5&lt;&gt;"",--(AN301="Présent"),0),IF($AP$5&lt;&gt;"",--(AP301="Présent"),0),IF($AR$5&lt;&gt;"",--(AR301="Présent"),0),IF($AT$5&lt;&gt;"",--(AT301="Présent"),0),IF($AV$5&lt;&gt;"",--(AV301="Présent"),0),IF($AX$5&lt;&gt;"",--(AX301="Présent"),0),IF($AZ$5&lt;&gt;"",--(AZ301="Présent"),0),IF($BB$5&lt;&gt;"",--(BB301="Présent"),0),IF($BD$5&lt;&gt;"",--(BD301="Présent"),0),IF($BF$5&lt;&gt;"",--(BF301="Présent"),0),IF($BH$5&lt;&gt;"",--(BH301="Présent"),0),IF($BJ$5&lt;&gt;"",--(BJ301="Présent"),0),IF($BL$5&lt;&gt;"",--(BL301="Présent"),0)))</f>
      </c>
      <c r="BO301" s="22">
        <f>IF($A301="","",SUM(IF($D$5&lt;&gt;"",--(D301="Absent"),0),IF($F$5&lt;&gt;"",--(F301="Absent"),0),IF($H$5&lt;&gt;"",--(H301="Absent"),0),IF($J$5&lt;&gt;"",--(J301="Absent"),0),IF($L$5&lt;&gt;"",--(L301="Absent"),0),IF($N$5&lt;&gt;"",--(N301="Absent"),0),IF($P$5&lt;&gt;"",--(P301="Absent"),0),IF($R$5&lt;&gt;"",--(R301="Absent"),0),IF($T$5&lt;&gt;"",--(T301="Absent"),0),IF($V$5&lt;&gt;"",--(V301="Absent"),0),IF($X$5&lt;&gt;"",--(X301="Absent"),0),IF($Z$5&lt;&gt;"",--(Z301="Absent"),0),IF($AB$5&lt;&gt;"",--(AB301="Absent"),0),IF($AD$5&lt;&gt;"",--(AD301="Absent"),0),IF($AF$5&lt;&gt;"",--(AF301="Absent"),0),IF($AH$5&lt;&gt;"",--(AH301="Absent"),0),IF($AJ$5&lt;&gt;"",--(AJ301="Absent"),0),IF($AL$5&lt;&gt;"",--(AL301="Absent"),0),IF($AN$5&lt;&gt;"",--(AN301="Absent"),0),IF($AP$5&lt;&gt;"",--(AP301="Absent"),0),IF($AR$5&lt;&gt;"",--(AR301="Absent"),0),IF($AT$5&lt;&gt;"",--(AT301="Absent"),0),IF($AV$5&lt;&gt;"",--(AV301="Absent"),0),IF($AX$5&lt;&gt;"",--(AX301="Absent"),0),IF($AZ$5&lt;&gt;"",--(AZ301="Absent"),0),IF($BB$5&lt;&gt;"",--(BB301="Absent"),0),IF($BD$5&lt;&gt;"",--(BD301="Absent"),0),IF($BF$5&lt;&gt;"",--(BF301="Absent"),0),IF($BH$5&lt;&gt;"",--(BH301="Absent"),0),IF($BJ$5&lt;&gt;"",--(BJ301="Absent"),0),IF($BL$5&lt;&gt;"",--(BL301="Absent"),0)))</f>
      </c>
      <c r="BP301" s="22">
        <f>IF($A301="","",SUM(IF($D$5&lt;&gt;"",--(D301="Congé"),0),IF($F$5&lt;&gt;"",--(F301="Congé"),0),IF($H$5&lt;&gt;"",--(H301="Congé"),0),IF($J$5&lt;&gt;"",--(J301="Congé"),0),IF($L$5&lt;&gt;"",--(L301="Congé"),0),IF($N$5&lt;&gt;"",--(N301="Congé"),0),IF($P$5&lt;&gt;"",--(P301="Congé"),0),IF($R$5&lt;&gt;"",--(R301="Congé"),0),IF($T$5&lt;&gt;"",--(T301="Congé"),0),IF($V$5&lt;&gt;"",--(V301="Congé"),0),IF($X$5&lt;&gt;"",--(X301="Congé"),0),IF($Z$5&lt;&gt;"",--(Z301="Congé"),0),IF($AB$5&lt;&gt;"",--(AB301="Congé"),0),IF($AD$5&lt;&gt;"",--(AD301="Congé"),0),IF($AF$5&lt;&gt;"",--(AF301="Congé"),0),IF($AH$5&lt;&gt;"",--(AH301="Congé"),0),IF($AJ$5&lt;&gt;"",--(AJ301="Congé"),0),IF($AL$5&lt;&gt;"",--(AL301="Congé"),0),IF($AN$5&lt;&gt;"",--(AN301="Congé"),0),IF($AP$5&lt;&gt;"",--(AP301="Congé"),0),IF($AR$5&lt;&gt;"",--(AR301="Congé"),0),IF($AT$5&lt;&gt;"",--(AT301="Congé"),0),IF($AV$5&lt;&gt;"",--(AV301="Congé"),0),IF($AX$5&lt;&gt;"",--(AX301="Congé"),0),IF($AZ$5&lt;&gt;"",--(AZ301="Congé"),0),IF($BB$5&lt;&gt;"",--(BB301="Congé"),0),IF($BD$5&lt;&gt;"",--(BD301="Congé"),0),IF($BF$5&lt;&gt;"",--(BF301="Congé"),0),IF($BH$5&lt;&gt;"",--(BH301="Congé"),0),IF($BJ$5&lt;&gt;"",--(BJ301="Congé"),0),IF($BL$5&lt;&gt;"",--(BL301="Congé"),0)))</f>
      </c>
      <c r="BQ301" s="22">
        <f>IF($A301="","",SUM(IF($D$5&lt;&gt;"",--(D301="Maladie"),0),IF($F$5&lt;&gt;"",--(F301="Maladie"),0),IF($H$5&lt;&gt;"",--(H301="Maladie"),0),IF($J$5&lt;&gt;"",--(J301="Maladie"),0),IF($L$5&lt;&gt;"",--(L301="Maladie"),0),IF($N$5&lt;&gt;"",--(N301="Maladie"),0),IF($P$5&lt;&gt;"",--(P301="Maladie"),0),IF($R$5&lt;&gt;"",--(R301="Maladie"),0),IF($T$5&lt;&gt;"",--(T301="Maladie"),0),IF($V$5&lt;&gt;"",--(V301="Maladie"),0),IF($X$5&lt;&gt;"",--(X301="Maladie"),0),IF($Z$5&lt;&gt;"",--(Z301="Maladie"),0),IF($AB$5&lt;&gt;"",--(AB301="Maladie"),0),IF($AD$5&lt;&gt;"",--(AD301="Maladie"),0),IF($AF$5&lt;&gt;"",--(AF301="Maladie"),0),IF($AH$5&lt;&gt;"",--(AH301="Maladie"),0),IF($AJ$5&lt;&gt;"",--(AJ301="Maladie"),0),IF($AL$5&lt;&gt;"",--(AL301="Maladie"),0),IF($AN$5&lt;&gt;"",--(AN301="Maladie"),0),IF($AP$5&lt;&gt;"",--(AP301="Maladie"),0),IF($AR$5&lt;&gt;"",--(AR301="Maladie"),0),IF($AT$5&lt;&gt;"",--(AT301="Maladie"),0),IF($AV$5&lt;&gt;"",--(AV301="Maladie"),0),IF($AX$5&lt;&gt;"",--(AX301="Maladie"),0),IF($AZ$5&lt;&gt;"",--(AZ301="Maladie"),0),IF($BB$5&lt;&gt;"",--(BB301="Maladie"),0),IF($BD$5&lt;&gt;"",--(BD301="Maladie"),0),IF($BF$5&lt;&gt;"",--(BF301="Maladie"),0),IF($BH$5&lt;&gt;"",--(BH301="Maladie"),0),IF($BJ$5&lt;&gt;"",--(BJ301="Maladie"),0),IF($BL$5&lt;&gt;"",--(BL301="Maladie"),0)))</f>
      </c>
      <c r="BR301" s="23">
        <f>IF($A301="","",SUM(IF($D$5&lt;&gt;"",IF(D301="Présent",E301,0),0),IF($F$5&lt;&gt;"",IF(F301="Présent",G301,0),0),IF($H$5&lt;&gt;"",IF(H301="Présent",I301,0),0),IF($J$5&lt;&gt;"",IF(J301="Présent",K301,0),0),IF($L$5&lt;&gt;"",IF(L301="Présent",M301,0),0),IF($N$5&lt;&gt;"",IF(N301="Présent",O301,0),0),IF($P$5&lt;&gt;"",IF(P301="Présent",Q301,0),0),IF($R$5&lt;&gt;"",IF(R301="Présent",S301,0),0),IF($T$5&lt;&gt;"",IF(T301="Présent",U301,0),0),IF($V$5&lt;&gt;"",IF(V301="Présent",W301,0),0),IF($X$5&lt;&gt;"",IF(X301="Présent",Y301,0),0),IF($Z$5&lt;&gt;"",IF(Z301="Présent",AA301,0),0),IF($AB$5&lt;&gt;"",IF(AB301="Présent",AC301,0),0),IF($AD$5&lt;&gt;"",IF(AD301="Présent",AE301,0),0),IF($AF$5&lt;&gt;"",IF(AF301="Présent",AG301,0),0),IF($AH$5&lt;&gt;"",IF(AH301="Présent",AI301,0),0),IF($AJ$5&lt;&gt;"",IF(AJ301="Présent",AK301,0),0),IF($AL$5&lt;&gt;"",IF(AL301="Présent",AM301,0),0),IF($AN$5&lt;&gt;"",IF(AN301="Présent",AO301,0),0),IF($AP$5&lt;&gt;"",IF(AP301="Présent",AQ301,0),0),IF($AR$5&lt;&gt;"",IF(AR301="Présent",AS301,0),0),IF($AT$5&lt;&gt;"",IF(AT301="Présent",AU301,0),0),IF($AV$5&lt;&gt;"",IF(AV301="Présent",AW301,0),0),IF($AX$5&lt;&gt;"",IF(AX301="Présent",AY301,0),0),IF($AZ$5&lt;&gt;"",IF(AZ301="Présent",BA301,0),0),IF($BB$5&lt;&gt;"",IF(BB301="Présent",BC301,0),0),IF($BD$5&lt;&gt;"",IF(BD301="Présent",BE301,0),0),IF($BF$5&lt;&gt;"",IF(BF301="Présent",BG301,0),0),IF($BH$5&lt;&gt;"",IF(BH301="Présent",BI301,0),0),IF($BJ$5&lt;&gt;"",IF(BJ301="Présent",BK301,0),0),IF($BL$5&lt;&gt;"",IF(BL301="Présent",BM301,0),0)))</f>
      </c>
      <c r="BS301" s="25">
        <f>IF($A301="","",$BN301*IFERROR(INDEX(Categories_Salaire,MATCH($C301,ListeCategories,0)),0)+$BR301*IF(IFERROR(INDEX(Categories_TauxHS,MATCH($C301,ListeCategories,0)),0)&gt;0,IFERROR(INDEX(Categories_TauxHS,MATCH($C301,ListeCategories,0)),0),TauxHSDefaut))</f>
      </c>
    </row>
    <row r="302">
      <c r="A302" s="20">
        <f>IF(AND(INDEX(Employes_Nom,296)&lt;&gt;"",INDEX(Employes_Statut,296)="Actif",OR(INDEX(Employes_Embauche,296)="",INDEX(Employes_Embauche,296)&lt;=EOMONTH(DATE(AnneeCourante,MoisCourant,1),0))),INDEX(Employes_ID,296),"")</f>
      </c>
      <c r="B302" s="19">
        <f>IF($A302="","",INDEX(Employes_Nom,MATCH($A302,Employes_ID,0)))</f>
      </c>
      <c r="C302" s="20">
        <f>IF($A302="","",INDEX(Employes_Categorie,MATCH($A302,Employes_ID,0)))</f>
      </c>
      <c r="D302" s="26"/>
      <c r="E302" s="27"/>
      <c r="F302" s="26"/>
      <c r="G302" s="27"/>
      <c r="H302" s="26"/>
      <c r="I302" s="27"/>
      <c r="J302" s="26"/>
      <c r="K302" s="27"/>
      <c r="L302" s="26"/>
      <c r="M302" s="27"/>
      <c r="N302" s="26"/>
      <c r="O302" s="27"/>
      <c r="P302" s="26"/>
      <c r="Q302" s="27"/>
      <c r="R302" s="26"/>
      <c r="S302" s="27"/>
      <c r="T302" s="26"/>
      <c r="U302" s="27"/>
      <c r="V302" s="26"/>
      <c r="W302" s="27"/>
      <c r="X302" s="26"/>
      <c r="Y302" s="27"/>
      <c r="Z302" s="26"/>
      <c r="AA302" s="27"/>
      <c r="AB302" s="26"/>
      <c r="AC302" s="27"/>
      <c r="AD302" s="26"/>
      <c r="AE302" s="27"/>
      <c r="AF302" s="26"/>
      <c r="AG302" s="27"/>
      <c r="AH302" s="26"/>
      <c r="AI302" s="27"/>
      <c r="AJ302" s="26"/>
      <c r="AK302" s="27"/>
      <c r="AL302" s="26"/>
      <c r="AM302" s="27"/>
      <c r="AN302" s="26"/>
      <c r="AO302" s="27"/>
      <c r="AP302" s="26"/>
      <c r="AQ302" s="27"/>
      <c r="AR302" s="26"/>
      <c r="AS302" s="27"/>
      <c r="AT302" s="26"/>
      <c r="AU302" s="27"/>
      <c r="AV302" s="26"/>
      <c r="AW302" s="27"/>
      <c r="AX302" s="26"/>
      <c r="AY302" s="27"/>
      <c r="AZ302" s="26"/>
      <c r="BA302" s="27"/>
      <c r="BB302" s="26"/>
      <c r="BC302" s="27"/>
      <c r="BD302" s="26"/>
      <c r="BE302" s="27"/>
      <c r="BF302" s="26"/>
      <c r="BG302" s="27"/>
      <c r="BH302" s="26"/>
      <c r="BI302" s="27"/>
      <c r="BJ302" s="26"/>
      <c r="BK302" s="27"/>
      <c r="BL302" s="26"/>
      <c r="BM302" s="27"/>
      <c r="BN302" s="22">
        <f>IF($A302="","",SUM(IF($D$5&lt;&gt;"",--(D302="Présent"),0),IF($F$5&lt;&gt;"",--(F302="Présent"),0),IF($H$5&lt;&gt;"",--(H302="Présent"),0),IF($J$5&lt;&gt;"",--(J302="Présent"),0),IF($L$5&lt;&gt;"",--(L302="Présent"),0),IF($N$5&lt;&gt;"",--(N302="Présent"),0),IF($P$5&lt;&gt;"",--(P302="Présent"),0),IF($R$5&lt;&gt;"",--(R302="Présent"),0),IF($T$5&lt;&gt;"",--(T302="Présent"),0),IF($V$5&lt;&gt;"",--(V302="Présent"),0),IF($X$5&lt;&gt;"",--(X302="Présent"),0),IF($Z$5&lt;&gt;"",--(Z302="Présent"),0),IF($AB$5&lt;&gt;"",--(AB302="Présent"),0),IF($AD$5&lt;&gt;"",--(AD302="Présent"),0),IF($AF$5&lt;&gt;"",--(AF302="Présent"),0),IF($AH$5&lt;&gt;"",--(AH302="Présent"),0),IF($AJ$5&lt;&gt;"",--(AJ302="Présent"),0),IF($AL$5&lt;&gt;"",--(AL302="Présent"),0),IF($AN$5&lt;&gt;"",--(AN302="Présent"),0),IF($AP$5&lt;&gt;"",--(AP302="Présent"),0),IF($AR$5&lt;&gt;"",--(AR302="Présent"),0),IF($AT$5&lt;&gt;"",--(AT302="Présent"),0),IF($AV$5&lt;&gt;"",--(AV302="Présent"),0),IF($AX$5&lt;&gt;"",--(AX302="Présent"),0),IF($AZ$5&lt;&gt;"",--(AZ302="Présent"),0),IF($BB$5&lt;&gt;"",--(BB302="Présent"),0),IF($BD$5&lt;&gt;"",--(BD302="Présent"),0),IF($BF$5&lt;&gt;"",--(BF302="Présent"),0),IF($BH$5&lt;&gt;"",--(BH302="Présent"),0),IF($BJ$5&lt;&gt;"",--(BJ302="Présent"),0),IF($BL$5&lt;&gt;"",--(BL302="Présent"),0)))</f>
      </c>
      <c r="BO302" s="22">
        <f>IF($A302="","",SUM(IF($D$5&lt;&gt;"",--(D302="Absent"),0),IF($F$5&lt;&gt;"",--(F302="Absent"),0),IF($H$5&lt;&gt;"",--(H302="Absent"),0),IF($J$5&lt;&gt;"",--(J302="Absent"),0),IF($L$5&lt;&gt;"",--(L302="Absent"),0),IF($N$5&lt;&gt;"",--(N302="Absent"),0),IF($P$5&lt;&gt;"",--(P302="Absent"),0),IF($R$5&lt;&gt;"",--(R302="Absent"),0),IF($T$5&lt;&gt;"",--(T302="Absent"),0),IF($V$5&lt;&gt;"",--(V302="Absent"),0),IF($X$5&lt;&gt;"",--(X302="Absent"),0),IF($Z$5&lt;&gt;"",--(Z302="Absent"),0),IF($AB$5&lt;&gt;"",--(AB302="Absent"),0),IF($AD$5&lt;&gt;"",--(AD302="Absent"),0),IF($AF$5&lt;&gt;"",--(AF302="Absent"),0),IF($AH$5&lt;&gt;"",--(AH302="Absent"),0),IF($AJ$5&lt;&gt;"",--(AJ302="Absent"),0),IF($AL$5&lt;&gt;"",--(AL302="Absent"),0),IF($AN$5&lt;&gt;"",--(AN302="Absent"),0),IF($AP$5&lt;&gt;"",--(AP302="Absent"),0),IF($AR$5&lt;&gt;"",--(AR302="Absent"),0),IF($AT$5&lt;&gt;"",--(AT302="Absent"),0),IF($AV$5&lt;&gt;"",--(AV302="Absent"),0),IF($AX$5&lt;&gt;"",--(AX302="Absent"),0),IF($AZ$5&lt;&gt;"",--(AZ302="Absent"),0),IF($BB$5&lt;&gt;"",--(BB302="Absent"),0),IF($BD$5&lt;&gt;"",--(BD302="Absent"),0),IF($BF$5&lt;&gt;"",--(BF302="Absent"),0),IF($BH$5&lt;&gt;"",--(BH302="Absent"),0),IF($BJ$5&lt;&gt;"",--(BJ302="Absent"),0),IF($BL$5&lt;&gt;"",--(BL302="Absent"),0)))</f>
      </c>
      <c r="BP302" s="22">
        <f>IF($A302="","",SUM(IF($D$5&lt;&gt;"",--(D302="Congé"),0),IF($F$5&lt;&gt;"",--(F302="Congé"),0),IF($H$5&lt;&gt;"",--(H302="Congé"),0),IF($J$5&lt;&gt;"",--(J302="Congé"),0),IF($L$5&lt;&gt;"",--(L302="Congé"),0),IF($N$5&lt;&gt;"",--(N302="Congé"),0),IF($P$5&lt;&gt;"",--(P302="Congé"),0),IF($R$5&lt;&gt;"",--(R302="Congé"),0),IF($T$5&lt;&gt;"",--(T302="Congé"),0),IF($V$5&lt;&gt;"",--(V302="Congé"),0),IF($X$5&lt;&gt;"",--(X302="Congé"),0),IF($Z$5&lt;&gt;"",--(Z302="Congé"),0),IF($AB$5&lt;&gt;"",--(AB302="Congé"),0),IF($AD$5&lt;&gt;"",--(AD302="Congé"),0),IF($AF$5&lt;&gt;"",--(AF302="Congé"),0),IF($AH$5&lt;&gt;"",--(AH302="Congé"),0),IF($AJ$5&lt;&gt;"",--(AJ302="Congé"),0),IF($AL$5&lt;&gt;"",--(AL302="Congé"),0),IF($AN$5&lt;&gt;"",--(AN302="Congé"),0),IF($AP$5&lt;&gt;"",--(AP302="Congé"),0),IF($AR$5&lt;&gt;"",--(AR302="Congé"),0),IF($AT$5&lt;&gt;"",--(AT302="Congé"),0),IF($AV$5&lt;&gt;"",--(AV302="Congé"),0),IF($AX$5&lt;&gt;"",--(AX302="Congé"),0),IF($AZ$5&lt;&gt;"",--(AZ302="Congé"),0),IF($BB$5&lt;&gt;"",--(BB302="Congé"),0),IF($BD$5&lt;&gt;"",--(BD302="Congé"),0),IF($BF$5&lt;&gt;"",--(BF302="Congé"),0),IF($BH$5&lt;&gt;"",--(BH302="Congé"),0),IF($BJ$5&lt;&gt;"",--(BJ302="Congé"),0),IF($BL$5&lt;&gt;"",--(BL302="Congé"),0)))</f>
      </c>
      <c r="BQ302" s="22">
        <f>IF($A302="","",SUM(IF($D$5&lt;&gt;"",--(D302="Maladie"),0),IF($F$5&lt;&gt;"",--(F302="Maladie"),0),IF($H$5&lt;&gt;"",--(H302="Maladie"),0),IF($J$5&lt;&gt;"",--(J302="Maladie"),0),IF($L$5&lt;&gt;"",--(L302="Maladie"),0),IF($N$5&lt;&gt;"",--(N302="Maladie"),0),IF($P$5&lt;&gt;"",--(P302="Maladie"),0),IF($R$5&lt;&gt;"",--(R302="Maladie"),0),IF($T$5&lt;&gt;"",--(T302="Maladie"),0),IF($V$5&lt;&gt;"",--(V302="Maladie"),0),IF($X$5&lt;&gt;"",--(X302="Maladie"),0),IF($Z$5&lt;&gt;"",--(Z302="Maladie"),0),IF($AB$5&lt;&gt;"",--(AB302="Maladie"),0),IF($AD$5&lt;&gt;"",--(AD302="Maladie"),0),IF($AF$5&lt;&gt;"",--(AF302="Maladie"),0),IF($AH$5&lt;&gt;"",--(AH302="Maladie"),0),IF($AJ$5&lt;&gt;"",--(AJ302="Maladie"),0),IF($AL$5&lt;&gt;"",--(AL302="Maladie"),0),IF($AN$5&lt;&gt;"",--(AN302="Maladie"),0),IF($AP$5&lt;&gt;"",--(AP302="Maladie"),0),IF($AR$5&lt;&gt;"",--(AR302="Maladie"),0),IF($AT$5&lt;&gt;"",--(AT302="Maladie"),0),IF($AV$5&lt;&gt;"",--(AV302="Maladie"),0),IF($AX$5&lt;&gt;"",--(AX302="Maladie"),0),IF($AZ$5&lt;&gt;"",--(AZ302="Maladie"),0),IF($BB$5&lt;&gt;"",--(BB302="Maladie"),0),IF($BD$5&lt;&gt;"",--(BD302="Maladie"),0),IF($BF$5&lt;&gt;"",--(BF302="Maladie"),0),IF($BH$5&lt;&gt;"",--(BH302="Maladie"),0),IF($BJ$5&lt;&gt;"",--(BJ302="Maladie"),0),IF($BL$5&lt;&gt;"",--(BL302="Maladie"),0)))</f>
      </c>
      <c r="BR302" s="23">
        <f>IF($A302="","",SUM(IF($D$5&lt;&gt;"",IF(D302="Présent",E302,0),0),IF($F$5&lt;&gt;"",IF(F302="Présent",G302,0),0),IF($H$5&lt;&gt;"",IF(H302="Présent",I302,0),0),IF($J$5&lt;&gt;"",IF(J302="Présent",K302,0),0),IF($L$5&lt;&gt;"",IF(L302="Présent",M302,0),0),IF($N$5&lt;&gt;"",IF(N302="Présent",O302,0),0),IF($P$5&lt;&gt;"",IF(P302="Présent",Q302,0),0),IF($R$5&lt;&gt;"",IF(R302="Présent",S302,0),0),IF($T$5&lt;&gt;"",IF(T302="Présent",U302,0),0),IF($V$5&lt;&gt;"",IF(V302="Présent",W302,0),0),IF($X$5&lt;&gt;"",IF(X302="Présent",Y302,0),0),IF($Z$5&lt;&gt;"",IF(Z302="Présent",AA302,0),0),IF($AB$5&lt;&gt;"",IF(AB302="Présent",AC302,0),0),IF($AD$5&lt;&gt;"",IF(AD302="Présent",AE302,0),0),IF($AF$5&lt;&gt;"",IF(AF302="Présent",AG302,0),0),IF($AH$5&lt;&gt;"",IF(AH302="Présent",AI302,0),0),IF($AJ$5&lt;&gt;"",IF(AJ302="Présent",AK302,0),0),IF($AL$5&lt;&gt;"",IF(AL302="Présent",AM302,0),0),IF($AN$5&lt;&gt;"",IF(AN302="Présent",AO302,0),0),IF($AP$5&lt;&gt;"",IF(AP302="Présent",AQ302,0),0),IF($AR$5&lt;&gt;"",IF(AR302="Présent",AS302,0),0),IF($AT$5&lt;&gt;"",IF(AT302="Présent",AU302,0),0),IF($AV$5&lt;&gt;"",IF(AV302="Présent",AW302,0),0),IF($AX$5&lt;&gt;"",IF(AX302="Présent",AY302,0),0),IF($AZ$5&lt;&gt;"",IF(AZ302="Présent",BA302,0),0),IF($BB$5&lt;&gt;"",IF(BB302="Présent",BC302,0),0),IF($BD$5&lt;&gt;"",IF(BD302="Présent",BE302,0),0),IF($BF$5&lt;&gt;"",IF(BF302="Présent",BG302,0),0),IF($BH$5&lt;&gt;"",IF(BH302="Présent",BI302,0),0),IF($BJ$5&lt;&gt;"",IF(BJ302="Présent",BK302,0),0),IF($BL$5&lt;&gt;"",IF(BL302="Présent",BM302,0),0)))</f>
      </c>
      <c r="BS302" s="25">
        <f>IF($A302="","",$BN302*IFERROR(INDEX(Categories_Salaire,MATCH($C302,ListeCategories,0)),0)+$BR302*IF(IFERROR(INDEX(Categories_TauxHS,MATCH($C302,ListeCategories,0)),0)&gt;0,IFERROR(INDEX(Categories_TauxHS,MATCH($C302,ListeCategories,0)),0),TauxHSDefaut))</f>
      </c>
    </row>
    <row r="303">
      <c r="A303" s="20">
        <f>IF(AND(INDEX(Employes_Nom,297)&lt;&gt;"",INDEX(Employes_Statut,297)="Actif",OR(INDEX(Employes_Embauche,297)="",INDEX(Employes_Embauche,297)&lt;=EOMONTH(DATE(AnneeCourante,MoisCourant,1),0))),INDEX(Employes_ID,297),"")</f>
      </c>
      <c r="B303" s="19">
        <f>IF($A303="","",INDEX(Employes_Nom,MATCH($A303,Employes_ID,0)))</f>
      </c>
      <c r="C303" s="20">
        <f>IF($A303="","",INDEX(Employes_Categorie,MATCH($A303,Employes_ID,0)))</f>
      </c>
      <c r="D303" s="26"/>
      <c r="E303" s="27"/>
      <c r="F303" s="26"/>
      <c r="G303" s="27"/>
      <c r="H303" s="26"/>
      <c r="I303" s="27"/>
      <c r="J303" s="26"/>
      <c r="K303" s="27"/>
      <c r="L303" s="26"/>
      <c r="M303" s="27"/>
      <c r="N303" s="26"/>
      <c r="O303" s="27"/>
      <c r="P303" s="26"/>
      <c r="Q303" s="27"/>
      <c r="R303" s="26"/>
      <c r="S303" s="27"/>
      <c r="T303" s="26"/>
      <c r="U303" s="27"/>
      <c r="V303" s="26"/>
      <c r="W303" s="27"/>
      <c r="X303" s="26"/>
      <c r="Y303" s="27"/>
      <c r="Z303" s="26"/>
      <c r="AA303" s="27"/>
      <c r="AB303" s="26"/>
      <c r="AC303" s="27"/>
      <c r="AD303" s="26"/>
      <c r="AE303" s="27"/>
      <c r="AF303" s="26"/>
      <c r="AG303" s="27"/>
      <c r="AH303" s="26"/>
      <c r="AI303" s="27"/>
      <c r="AJ303" s="26"/>
      <c r="AK303" s="27"/>
      <c r="AL303" s="26"/>
      <c r="AM303" s="27"/>
      <c r="AN303" s="26"/>
      <c r="AO303" s="27"/>
      <c r="AP303" s="26"/>
      <c r="AQ303" s="27"/>
      <c r="AR303" s="26"/>
      <c r="AS303" s="27"/>
      <c r="AT303" s="26"/>
      <c r="AU303" s="27"/>
      <c r="AV303" s="26"/>
      <c r="AW303" s="27"/>
      <c r="AX303" s="26"/>
      <c r="AY303" s="27"/>
      <c r="AZ303" s="26"/>
      <c r="BA303" s="27"/>
      <c r="BB303" s="26"/>
      <c r="BC303" s="27"/>
      <c r="BD303" s="26"/>
      <c r="BE303" s="27"/>
      <c r="BF303" s="26"/>
      <c r="BG303" s="27"/>
      <c r="BH303" s="26"/>
      <c r="BI303" s="27"/>
      <c r="BJ303" s="26"/>
      <c r="BK303" s="27"/>
      <c r="BL303" s="26"/>
      <c r="BM303" s="27"/>
      <c r="BN303" s="22">
        <f>IF($A303="","",SUM(IF($D$5&lt;&gt;"",--(D303="Présent"),0),IF($F$5&lt;&gt;"",--(F303="Présent"),0),IF($H$5&lt;&gt;"",--(H303="Présent"),0),IF($J$5&lt;&gt;"",--(J303="Présent"),0),IF($L$5&lt;&gt;"",--(L303="Présent"),0),IF($N$5&lt;&gt;"",--(N303="Présent"),0),IF($P$5&lt;&gt;"",--(P303="Présent"),0),IF($R$5&lt;&gt;"",--(R303="Présent"),0),IF($T$5&lt;&gt;"",--(T303="Présent"),0),IF($V$5&lt;&gt;"",--(V303="Présent"),0),IF($X$5&lt;&gt;"",--(X303="Présent"),0),IF($Z$5&lt;&gt;"",--(Z303="Présent"),0),IF($AB$5&lt;&gt;"",--(AB303="Présent"),0),IF($AD$5&lt;&gt;"",--(AD303="Présent"),0),IF($AF$5&lt;&gt;"",--(AF303="Présent"),0),IF($AH$5&lt;&gt;"",--(AH303="Présent"),0),IF($AJ$5&lt;&gt;"",--(AJ303="Présent"),0),IF($AL$5&lt;&gt;"",--(AL303="Présent"),0),IF($AN$5&lt;&gt;"",--(AN303="Présent"),0),IF($AP$5&lt;&gt;"",--(AP303="Présent"),0),IF($AR$5&lt;&gt;"",--(AR303="Présent"),0),IF($AT$5&lt;&gt;"",--(AT303="Présent"),0),IF($AV$5&lt;&gt;"",--(AV303="Présent"),0),IF($AX$5&lt;&gt;"",--(AX303="Présent"),0),IF($AZ$5&lt;&gt;"",--(AZ303="Présent"),0),IF($BB$5&lt;&gt;"",--(BB303="Présent"),0),IF($BD$5&lt;&gt;"",--(BD303="Présent"),0),IF($BF$5&lt;&gt;"",--(BF303="Présent"),0),IF($BH$5&lt;&gt;"",--(BH303="Présent"),0),IF($BJ$5&lt;&gt;"",--(BJ303="Présent"),0),IF($BL$5&lt;&gt;"",--(BL303="Présent"),0)))</f>
      </c>
      <c r="BO303" s="22">
        <f>IF($A303="","",SUM(IF($D$5&lt;&gt;"",--(D303="Absent"),0),IF($F$5&lt;&gt;"",--(F303="Absent"),0),IF($H$5&lt;&gt;"",--(H303="Absent"),0),IF($J$5&lt;&gt;"",--(J303="Absent"),0),IF($L$5&lt;&gt;"",--(L303="Absent"),0),IF($N$5&lt;&gt;"",--(N303="Absent"),0),IF($P$5&lt;&gt;"",--(P303="Absent"),0),IF($R$5&lt;&gt;"",--(R303="Absent"),0),IF($T$5&lt;&gt;"",--(T303="Absent"),0),IF($V$5&lt;&gt;"",--(V303="Absent"),0),IF($X$5&lt;&gt;"",--(X303="Absent"),0),IF($Z$5&lt;&gt;"",--(Z303="Absent"),0),IF($AB$5&lt;&gt;"",--(AB303="Absent"),0),IF($AD$5&lt;&gt;"",--(AD303="Absent"),0),IF($AF$5&lt;&gt;"",--(AF303="Absent"),0),IF($AH$5&lt;&gt;"",--(AH303="Absent"),0),IF($AJ$5&lt;&gt;"",--(AJ303="Absent"),0),IF($AL$5&lt;&gt;"",--(AL303="Absent"),0),IF($AN$5&lt;&gt;"",--(AN303="Absent"),0),IF($AP$5&lt;&gt;"",--(AP303="Absent"),0),IF($AR$5&lt;&gt;"",--(AR303="Absent"),0),IF($AT$5&lt;&gt;"",--(AT303="Absent"),0),IF($AV$5&lt;&gt;"",--(AV303="Absent"),0),IF($AX$5&lt;&gt;"",--(AX303="Absent"),0),IF($AZ$5&lt;&gt;"",--(AZ303="Absent"),0),IF($BB$5&lt;&gt;"",--(BB303="Absent"),0),IF($BD$5&lt;&gt;"",--(BD303="Absent"),0),IF($BF$5&lt;&gt;"",--(BF303="Absent"),0),IF($BH$5&lt;&gt;"",--(BH303="Absent"),0),IF($BJ$5&lt;&gt;"",--(BJ303="Absent"),0),IF($BL$5&lt;&gt;"",--(BL303="Absent"),0)))</f>
      </c>
      <c r="BP303" s="22">
        <f>IF($A303="","",SUM(IF($D$5&lt;&gt;"",--(D303="Congé"),0),IF($F$5&lt;&gt;"",--(F303="Congé"),0),IF($H$5&lt;&gt;"",--(H303="Congé"),0),IF($J$5&lt;&gt;"",--(J303="Congé"),0),IF($L$5&lt;&gt;"",--(L303="Congé"),0),IF($N$5&lt;&gt;"",--(N303="Congé"),0),IF($P$5&lt;&gt;"",--(P303="Congé"),0),IF($R$5&lt;&gt;"",--(R303="Congé"),0),IF($T$5&lt;&gt;"",--(T303="Congé"),0),IF($V$5&lt;&gt;"",--(V303="Congé"),0),IF($X$5&lt;&gt;"",--(X303="Congé"),0),IF($Z$5&lt;&gt;"",--(Z303="Congé"),0),IF($AB$5&lt;&gt;"",--(AB303="Congé"),0),IF($AD$5&lt;&gt;"",--(AD303="Congé"),0),IF($AF$5&lt;&gt;"",--(AF303="Congé"),0),IF($AH$5&lt;&gt;"",--(AH303="Congé"),0),IF($AJ$5&lt;&gt;"",--(AJ303="Congé"),0),IF($AL$5&lt;&gt;"",--(AL303="Congé"),0),IF($AN$5&lt;&gt;"",--(AN303="Congé"),0),IF($AP$5&lt;&gt;"",--(AP303="Congé"),0),IF($AR$5&lt;&gt;"",--(AR303="Congé"),0),IF($AT$5&lt;&gt;"",--(AT303="Congé"),0),IF($AV$5&lt;&gt;"",--(AV303="Congé"),0),IF($AX$5&lt;&gt;"",--(AX303="Congé"),0),IF($AZ$5&lt;&gt;"",--(AZ303="Congé"),0),IF($BB$5&lt;&gt;"",--(BB303="Congé"),0),IF($BD$5&lt;&gt;"",--(BD303="Congé"),0),IF($BF$5&lt;&gt;"",--(BF303="Congé"),0),IF($BH$5&lt;&gt;"",--(BH303="Congé"),0),IF($BJ$5&lt;&gt;"",--(BJ303="Congé"),0),IF($BL$5&lt;&gt;"",--(BL303="Congé"),0)))</f>
      </c>
      <c r="BQ303" s="22">
        <f>IF($A303="","",SUM(IF($D$5&lt;&gt;"",--(D303="Maladie"),0),IF($F$5&lt;&gt;"",--(F303="Maladie"),0),IF($H$5&lt;&gt;"",--(H303="Maladie"),0),IF($J$5&lt;&gt;"",--(J303="Maladie"),0),IF($L$5&lt;&gt;"",--(L303="Maladie"),0),IF($N$5&lt;&gt;"",--(N303="Maladie"),0),IF($P$5&lt;&gt;"",--(P303="Maladie"),0),IF($R$5&lt;&gt;"",--(R303="Maladie"),0),IF($T$5&lt;&gt;"",--(T303="Maladie"),0),IF($V$5&lt;&gt;"",--(V303="Maladie"),0),IF($X$5&lt;&gt;"",--(X303="Maladie"),0),IF($Z$5&lt;&gt;"",--(Z303="Maladie"),0),IF($AB$5&lt;&gt;"",--(AB303="Maladie"),0),IF($AD$5&lt;&gt;"",--(AD303="Maladie"),0),IF($AF$5&lt;&gt;"",--(AF303="Maladie"),0),IF($AH$5&lt;&gt;"",--(AH303="Maladie"),0),IF($AJ$5&lt;&gt;"",--(AJ303="Maladie"),0),IF($AL$5&lt;&gt;"",--(AL303="Maladie"),0),IF($AN$5&lt;&gt;"",--(AN303="Maladie"),0),IF($AP$5&lt;&gt;"",--(AP303="Maladie"),0),IF($AR$5&lt;&gt;"",--(AR303="Maladie"),0),IF($AT$5&lt;&gt;"",--(AT303="Maladie"),0),IF($AV$5&lt;&gt;"",--(AV303="Maladie"),0),IF($AX$5&lt;&gt;"",--(AX303="Maladie"),0),IF($AZ$5&lt;&gt;"",--(AZ303="Maladie"),0),IF($BB$5&lt;&gt;"",--(BB303="Maladie"),0),IF($BD$5&lt;&gt;"",--(BD303="Maladie"),0),IF($BF$5&lt;&gt;"",--(BF303="Maladie"),0),IF($BH$5&lt;&gt;"",--(BH303="Maladie"),0),IF($BJ$5&lt;&gt;"",--(BJ303="Maladie"),0),IF($BL$5&lt;&gt;"",--(BL303="Maladie"),0)))</f>
      </c>
      <c r="BR303" s="23">
        <f>IF($A303="","",SUM(IF($D$5&lt;&gt;"",IF(D303="Présent",E303,0),0),IF($F$5&lt;&gt;"",IF(F303="Présent",G303,0),0),IF($H$5&lt;&gt;"",IF(H303="Présent",I303,0),0),IF($J$5&lt;&gt;"",IF(J303="Présent",K303,0),0),IF($L$5&lt;&gt;"",IF(L303="Présent",M303,0),0),IF($N$5&lt;&gt;"",IF(N303="Présent",O303,0),0),IF($P$5&lt;&gt;"",IF(P303="Présent",Q303,0),0),IF($R$5&lt;&gt;"",IF(R303="Présent",S303,0),0),IF($T$5&lt;&gt;"",IF(T303="Présent",U303,0),0),IF($V$5&lt;&gt;"",IF(V303="Présent",W303,0),0),IF($X$5&lt;&gt;"",IF(X303="Présent",Y303,0),0),IF($Z$5&lt;&gt;"",IF(Z303="Présent",AA303,0),0),IF($AB$5&lt;&gt;"",IF(AB303="Présent",AC303,0),0),IF($AD$5&lt;&gt;"",IF(AD303="Présent",AE303,0),0),IF($AF$5&lt;&gt;"",IF(AF303="Présent",AG303,0),0),IF($AH$5&lt;&gt;"",IF(AH303="Présent",AI303,0),0),IF($AJ$5&lt;&gt;"",IF(AJ303="Présent",AK303,0),0),IF($AL$5&lt;&gt;"",IF(AL303="Présent",AM303,0),0),IF($AN$5&lt;&gt;"",IF(AN303="Présent",AO303,0),0),IF($AP$5&lt;&gt;"",IF(AP303="Présent",AQ303,0),0),IF($AR$5&lt;&gt;"",IF(AR303="Présent",AS303,0),0),IF($AT$5&lt;&gt;"",IF(AT303="Présent",AU303,0),0),IF($AV$5&lt;&gt;"",IF(AV303="Présent",AW303,0),0),IF($AX$5&lt;&gt;"",IF(AX303="Présent",AY303,0),0),IF($AZ$5&lt;&gt;"",IF(AZ303="Présent",BA303,0),0),IF($BB$5&lt;&gt;"",IF(BB303="Présent",BC303,0),0),IF($BD$5&lt;&gt;"",IF(BD303="Présent",BE303,0),0),IF($BF$5&lt;&gt;"",IF(BF303="Présent",BG303,0),0),IF($BH$5&lt;&gt;"",IF(BH303="Présent",BI303,0),0),IF($BJ$5&lt;&gt;"",IF(BJ303="Présent",BK303,0),0),IF($BL$5&lt;&gt;"",IF(BL303="Présent",BM303,0),0)))</f>
      </c>
      <c r="BS303" s="25">
        <f>IF($A303="","",$BN303*IFERROR(INDEX(Categories_Salaire,MATCH($C303,ListeCategories,0)),0)+$BR303*IF(IFERROR(INDEX(Categories_TauxHS,MATCH($C303,ListeCategories,0)),0)&gt;0,IFERROR(INDEX(Categories_TauxHS,MATCH($C303,ListeCategories,0)),0),TauxHSDefaut))</f>
      </c>
    </row>
    <row r="304">
      <c r="A304" s="20">
        <f>IF(AND(INDEX(Employes_Nom,298)&lt;&gt;"",INDEX(Employes_Statut,298)="Actif",OR(INDEX(Employes_Embauche,298)="",INDEX(Employes_Embauche,298)&lt;=EOMONTH(DATE(AnneeCourante,MoisCourant,1),0))),INDEX(Employes_ID,298),"")</f>
      </c>
      <c r="B304" s="19">
        <f>IF($A304="","",INDEX(Employes_Nom,MATCH($A304,Employes_ID,0)))</f>
      </c>
      <c r="C304" s="20">
        <f>IF($A304="","",INDEX(Employes_Categorie,MATCH($A304,Employes_ID,0)))</f>
      </c>
      <c r="D304" s="26"/>
      <c r="E304" s="27"/>
      <c r="F304" s="26"/>
      <c r="G304" s="27"/>
      <c r="H304" s="26"/>
      <c r="I304" s="27"/>
      <c r="J304" s="26"/>
      <c r="K304" s="27"/>
      <c r="L304" s="26"/>
      <c r="M304" s="27"/>
      <c r="N304" s="26"/>
      <c r="O304" s="27"/>
      <c r="P304" s="26"/>
      <c r="Q304" s="27"/>
      <c r="R304" s="26"/>
      <c r="S304" s="27"/>
      <c r="T304" s="26"/>
      <c r="U304" s="27"/>
      <c r="V304" s="26"/>
      <c r="W304" s="27"/>
      <c r="X304" s="26"/>
      <c r="Y304" s="27"/>
      <c r="Z304" s="26"/>
      <c r="AA304" s="27"/>
      <c r="AB304" s="26"/>
      <c r="AC304" s="27"/>
      <c r="AD304" s="26"/>
      <c r="AE304" s="27"/>
      <c r="AF304" s="26"/>
      <c r="AG304" s="27"/>
      <c r="AH304" s="26"/>
      <c r="AI304" s="27"/>
      <c r="AJ304" s="26"/>
      <c r="AK304" s="27"/>
      <c r="AL304" s="26"/>
      <c r="AM304" s="27"/>
      <c r="AN304" s="26"/>
      <c r="AO304" s="27"/>
      <c r="AP304" s="26"/>
      <c r="AQ304" s="27"/>
      <c r="AR304" s="26"/>
      <c r="AS304" s="27"/>
      <c r="AT304" s="26"/>
      <c r="AU304" s="27"/>
      <c r="AV304" s="26"/>
      <c r="AW304" s="27"/>
      <c r="AX304" s="26"/>
      <c r="AY304" s="27"/>
      <c r="AZ304" s="26"/>
      <c r="BA304" s="27"/>
      <c r="BB304" s="26"/>
      <c r="BC304" s="27"/>
      <c r="BD304" s="26"/>
      <c r="BE304" s="27"/>
      <c r="BF304" s="26"/>
      <c r="BG304" s="27"/>
      <c r="BH304" s="26"/>
      <c r="BI304" s="27"/>
      <c r="BJ304" s="26"/>
      <c r="BK304" s="27"/>
      <c r="BL304" s="26"/>
      <c r="BM304" s="27"/>
      <c r="BN304" s="22">
        <f>IF($A304="","",SUM(IF($D$5&lt;&gt;"",--(D304="Présent"),0),IF($F$5&lt;&gt;"",--(F304="Présent"),0),IF($H$5&lt;&gt;"",--(H304="Présent"),0),IF($J$5&lt;&gt;"",--(J304="Présent"),0),IF($L$5&lt;&gt;"",--(L304="Présent"),0),IF($N$5&lt;&gt;"",--(N304="Présent"),0),IF($P$5&lt;&gt;"",--(P304="Présent"),0),IF($R$5&lt;&gt;"",--(R304="Présent"),0),IF($T$5&lt;&gt;"",--(T304="Présent"),0),IF($V$5&lt;&gt;"",--(V304="Présent"),0),IF($X$5&lt;&gt;"",--(X304="Présent"),0),IF($Z$5&lt;&gt;"",--(Z304="Présent"),0),IF($AB$5&lt;&gt;"",--(AB304="Présent"),0),IF($AD$5&lt;&gt;"",--(AD304="Présent"),0),IF($AF$5&lt;&gt;"",--(AF304="Présent"),0),IF($AH$5&lt;&gt;"",--(AH304="Présent"),0),IF($AJ$5&lt;&gt;"",--(AJ304="Présent"),0),IF($AL$5&lt;&gt;"",--(AL304="Présent"),0),IF($AN$5&lt;&gt;"",--(AN304="Présent"),0),IF($AP$5&lt;&gt;"",--(AP304="Présent"),0),IF($AR$5&lt;&gt;"",--(AR304="Présent"),0),IF($AT$5&lt;&gt;"",--(AT304="Présent"),0),IF($AV$5&lt;&gt;"",--(AV304="Présent"),0),IF($AX$5&lt;&gt;"",--(AX304="Présent"),0),IF($AZ$5&lt;&gt;"",--(AZ304="Présent"),0),IF($BB$5&lt;&gt;"",--(BB304="Présent"),0),IF($BD$5&lt;&gt;"",--(BD304="Présent"),0),IF($BF$5&lt;&gt;"",--(BF304="Présent"),0),IF($BH$5&lt;&gt;"",--(BH304="Présent"),0),IF($BJ$5&lt;&gt;"",--(BJ304="Présent"),0),IF($BL$5&lt;&gt;"",--(BL304="Présent"),0)))</f>
      </c>
      <c r="BO304" s="22">
        <f>IF($A304="","",SUM(IF($D$5&lt;&gt;"",--(D304="Absent"),0),IF($F$5&lt;&gt;"",--(F304="Absent"),0),IF($H$5&lt;&gt;"",--(H304="Absent"),0),IF($J$5&lt;&gt;"",--(J304="Absent"),0),IF($L$5&lt;&gt;"",--(L304="Absent"),0),IF($N$5&lt;&gt;"",--(N304="Absent"),0),IF($P$5&lt;&gt;"",--(P304="Absent"),0),IF($R$5&lt;&gt;"",--(R304="Absent"),0),IF($T$5&lt;&gt;"",--(T304="Absent"),0),IF($V$5&lt;&gt;"",--(V304="Absent"),0),IF($X$5&lt;&gt;"",--(X304="Absent"),0),IF($Z$5&lt;&gt;"",--(Z304="Absent"),0),IF($AB$5&lt;&gt;"",--(AB304="Absent"),0),IF($AD$5&lt;&gt;"",--(AD304="Absent"),0),IF($AF$5&lt;&gt;"",--(AF304="Absent"),0),IF($AH$5&lt;&gt;"",--(AH304="Absent"),0),IF($AJ$5&lt;&gt;"",--(AJ304="Absent"),0),IF($AL$5&lt;&gt;"",--(AL304="Absent"),0),IF($AN$5&lt;&gt;"",--(AN304="Absent"),0),IF($AP$5&lt;&gt;"",--(AP304="Absent"),0),IF($AR$5&lt;&gt;"",--(AR304="Absent"),0),IF($AT$5&lt;&gt;"",--(AT304="Absent"),0),IF($AV$5&lt;&gt;"",--(AV304="Absent"),0),IF($AX$5&lt;&gt;"",--(AX304="Absent"),0),IF($AZ$5&lt;&gt;"",--(AZ304="Absent"),0),IF($BB$5&lt;&gt;"",--(BB304="Absent"),0),IF($BD$5&lt;&gt;"",--(BD304="Absent"),0),IF($BF$5&lt;&gt;"",--(BF304="Absent"),0),IF($BH$5&lt;&gt;"",--(BH304="Absent"),0),IF($BJ$5&lt;&gt;"",--(BJ304="Absent"),0),IF($BL$5&lt;&gt;"",--(BL304="Absent"),0)))</f>
      </c>
      <c r="BP304" s="22">
        <f>IF($A304="","",SUM(IF($D$5&lt;&gt;"",--(D304="Congé"),0),IF($F$5&lt;&gt;"",--(F304="Congé"),0),IF($H$5&lt;&gt;"",--(H304="Congé"),0),IF($J$5&lt;&gt;"",--(J304="Congé"),0),IF($L$5&lt;&gt;"",--(L304="Congé"),0),IF($N$5&lt;&gt;"",--(N304="Congé"),0),IF($P$5&lt;&gt;"",--(P304="Congé"),0),IF($R$5&lt;&gt;"",--(R304="Congé"),0),IF($T$5&lt;&gt;"",--(T304="Congé"),0),IF($V$5&lt;&gt;"",--(V304="Congé"),0),IF($X$5&lt;&gt;"",--(X304="Congé"),0),IF($Z$5&lt;&gt;"",--(Z304="Congé"),0),IF($AB$5&lt;&gt;"",--(AB304="Congé"),0),IF($AD$5&lt;&gt;"",--(AD304="Congé"),0),IF($AF$5&lt;&gt;"",--(AF304="Congé"),0),IF($AH$5&lt;&gt;"",--(AH304="Congé"),0),IF($AJ$5&lt;&gt;"",--(AJ304="Congé"),0),IF($AL$5&lt;&gt;"",--(AL304="Congé"),0),IF($AN$5&lt;&gt;"",--(AN304="Congé"),0),IF($AP$5&lt;&gt;"",--(AP304="Congé"),0),IF($AR$5&lt;&gt;"",--(AR304="Congé"),0),IF($AT$5&lt;&gt;"",--(AT304="Congé"),0),IF($AV$5&lt;&gt;"",--(AV304="Congé"),0),IF($AX$5&lt;&gt;"",--(AX304="Congé"),0),IF($AZ$5&lt;&gt;"",--(AZ304="Congé"),0),IF($BB$5&lt;&gt;"",--(BB304="Congé"),0),IF($BD$5&lt;&gt;"",--(BD304="Congé"),0),IF($BF$5&lt;&gt;"",--(BF304="Congé"),0),IF($BH$5&lt;&gt;"",--(BH304="Congé"),0),IF($BJ$5&lt;&gt;"",--(BJ304="Congé"),0),IF($BL$5&lt;&gt;"",--(BL304="Congé"),0)))</f>
      </c>
      <c r="BQ304" s="22">
        <f>IF($A304="","",SUM(IF($D$5&lt;&gt;"",--(D304="Maladie"),0),IF($F$5&lt;&gt;"",--(F304="Maladie"),0),IF($H$5&lt;&gt;"",--(H304="Maladie"),0),IF($J$5&lt;&gt;"",--(J304="Maladie"),0),IF($L$5&lt;&gt;"",--(L304="Maladie"),0),IF($N$5&lt;&gt;"",--(N304="Maladie"),0),IF($P$5&lt;&gt;"",--(P304="Maladie"),0),IF($R$5&lt;&gt;"",--(R304="Maladie"),0),IF($T$5&lt;&gt;"",--(T304="Maladie"),0),IF($V$5&lt;&gt;"",--(V304="Maladie"),0),IF($X$5&lt;&gt;"",--(X304="Maladie"),0),IF($Z$5&lt;&gt;"",--(Z304="Maladie"),0),IF($AB$5&lt;&gt;"",--(AB304="Maladie"),0),IF($AD$5&lt;&gt;"",--(AD304="Maladie"),0),IF($AF$5&lt;&gt;"",--(AF304="Maladie"),0),IF($AH$5&lt;&gt;"",--(AH304="Maladie"),0),IF($AJ$5&lt;&gt;"",--(AJ304="Maladie"),0),IF($AL$5&lt;&gt;"",--(AL304="Maladie"),0),IF($AN$5&lt;&gt;"",--(AN304="Maladie"),0),IF($AP$5&lt;&gt;"",--(AP304="Maladie"),0),IF($AR$5&lt;&gt;"",--(AR304="Maladie"),0),IF($AT$5&lt;&gt;"",--(AT304="Maladie"),0),IF($AV$5&lt;&gt;"",--(AV304="Maladie"),0),IF($AX$5&lt;&gt;"",--(AX304="Maladie"),0),IF($AZ$5&lt;&gt;"",--(AZ304="Maladie"),0),IF($BB$5&lt;&gt;"",--(BB304="Maladie"),0),IF($BD$5&lt;&gt;"",--(BD304="Maladie"),0),IF($BF$5&lt;&gt;"",--(BF304="Maladie"),0),IF($BH$5&lt;&gt;"",--(BH304="Maladie"),0),IF($BJ$5&lt;&gt;"",--(BJ304="Maladie"),0),IF($BL$5&lt;&gt;"",--(BL304="Maladie"),0)))</f>
      </c>
      <c r="BR304" s="23">
        <f>IF($A304="","",SUM(IF($D$5&lt;&gt;"",IF(D304="Présent",E304,0),0),IF($F$5&lt;&gt;"",IF(F304="Présent",G304,0),0),IF($H$5&lt;&gt;"",IF(H304="Présent",I304,0),0),IF($J$5&lt;&gt;"",IF(J304="Présent",K304,0),0),IF($L$5&lt;&gt;"",IF(L304="Présent",M304,0),0),IF($N$5&lt;&gt;"",IF(N304="Présent",O304,0),0),IF($P$5&lt;&gt;"",IF(P304="Présent",Q304,0),0),IF($R$5&lt;&gt;"",IF(R304="Présent",S304,0),0),IF($T$5&lt;&gt;"",IF(T304="Présent",U304,0),0),IF($V$5&lt;&gt;"",IF(V304="Présent",W304,0),0),IF($X$5&lt;&gt;"",IF(X304="Présent",Y304,0),0),IF($Z$5&lt;&gt;"",IF(Z304="Présent",AA304,0),0),IF($AB$5&lt;&gt;"",IF(AB304="Présent",AC304,0),0),IF($AD$5&lt;&gt;"",IF(AD304="Présent",AE304,0),0),IF($AF$5&lt;&gt;"",IF(AF304="Présent",AG304,0),0),IF($AH$5&lt;&gt;"",IF(AH304="Présent",AI304,0),0),IF($AJ$5&lt;&gt;"",IF(AJ304="Présent",AK304,0),0),IF($AL$5&lt;&gt;"",IF(AL304="Présent",AM304,0),0),IF($AN$5&lt;&gt;"",IF(AN304="Présent",AO304,0),0),IF($AP$5&lt;&gt;"",IF(AP304="Présent",AQ304,0),0),IF($AR$5&lt;&gt;"",IF(AR304="Présent",AS304,0),0),IF($AT$5&lt;&gt;"",IF(AT304="Présent",AU304,0),0),IF($AV$5&lt;&gt;"",IF(AV304="Présent",AW304,0),0),IF($AX$5&lt;&gt;"",IF(AX304="Présent",AY304,0),0),IF($AZ$5&lt;&gt;"",IF(AZ304="Présent",BA304,0),0),IF($BB$5&lt;&gt;"",IF(BB304="Présent",BC304,0),0),IF($BD$5&lt;&gt;"",IF(BD304="Présent",BE304,0),0),IF($BF$5&lt;&gt;"",IF(BF304="Présent",BG304,0),0),IF($BH$5&lt;&gt;"",IF(BH304="Présent",BI304,0),0),IF($BJ$5&lt;&gt;"",IF(BJ304="Présent",BK304,0),0),IF($BL$5&lt;&gt;"",IF(BL304="Présent",BM304,0),0)))</f>
      </c>
      <c r="BS304" s="25">
        <f>IF($A304="","",$BN304*IFERROR(INDEX(Categories_Salaire,MATCH($C304,ListeCategories,0)),0)+$BR304*IF(IFERROR(INDEX(Categories_TauxHS,MATCH($C304,ListeCategories,0)),0)&gt;0,IFERROR(INDEX(Categories_TauxHS,MATCH($C304,ListeCategories,0)),0),TauxHSDefaut))</f>
      </c>
    </row>
    <row r="305">
      <c r="A305" s="20">
        <f>IF(AND(INDEX(Employes_Nom,299)&lt;&gt;"",INDEX(Employes_Statut,299)="Actif",OR(INDEX(Employes_Embauche,299)="",INDEX(Employes_Embauche,299)&lt;=EOMONTH(DATE(AnneeCourante,MoisCourant,1),0))),INDEX(Employes_ID,299),"")</f>
      </c>
      <c r="B305" s="19">
        <f>IF($A305="","",INDEX(Employes_Nom,MATCH($A305,Employes_ID,0)))</f>
      </c>
      <c r="C305" s="20">
        <f>IF($A305="","",INDEX(Employes_Categorie,MATCH($A305,Employes_ID,0)))</f>
      </c>
      <c r="D305" s="26"/>
      <c r="E305" s="27"/>
      <c r="F305" s="26"/>
      <c r="G305" s="27"/>
      <c r="H305" s="26"/>
      <c r="I305" s="27"/>
      <c r="J305" s="26"/>
      <c r="K305" s="27"/>
      <c r="L305" s="26"/>
      <c r="M305" s="27"/>
      <c r="N305" s="26"/>
      <c r="O305" s="27"/>
      <c r="P305" s="26"/>
      <c r="Q305" s="27"/>
      <c r="R305" s="26"/>
      <c r="S305" s="27"/>
      <c r="T305" s="26"/>
      <c r="U305" s="27"/>
      <c r="V305" s="26"/>
      <c r="W305" s="27"/>
      <c r="X305" s="26"/>
      <c r="Y305" s="27"/>
      <c r="Z305" s="26"/>
      <c r="AA305" s="27"/>
      <c r="AB305" s="26"/>
      <c r="AC305" s="27"/>
      <c r="AD305" s="26"/>
      <c r="AE305" s="27"/>
      <c r="AF305" s="26"/>
      <c r="AG305" s="27"/>
      <c r="AH305" s="26"/>
      <c r="AI305" s="27"/>
      <c r="AJ305" s="26"/>
      <c r="AK305" s="27"/>
      <c r="AL305" s="26"/>
      <c r="AM305" s="27"/>
      <c r="AN305" s="26"/>
      <c r="AO305" s="27"/>
      <c r="AP305" s="26"/>
      <c r="AQ305" s="27"/>
      <c r="AR305" s="26"/>
      <c r="AS305" s="27"/>
      <c r="AT305" s="26"/>
      <c r="AU305" s="27"/>
      <c r="AV305" s="26"/>
      <c r="AW305" s="27"/>
      <c r="AX305" s="26"/>
      <c r="AY305" s="27"/>
      <c r="AZ305" s="26"/>
      <c r="BA305" s="27"/>
      <c r="BB305" s="26"/>
      <c r="BC305" s="27"/>
      <c r="BD305" s="26"/>
      <c r="BE305" s="27"/>
      <c r="BF305" s="26"/>
      <c r="BG305" s="27"/>
      <c r="BH305" s="26"/>
      <c r="BI305" s="27"/>
      <c r="BJ305" s="26"/>
      <c r="BK305" s="27"/>
      <c r="BL305" s="26"/>
      <c r="BM305" s="27"/>
      <c r="BN305" s="22">
        <f>IF($A305="","",SUM(IF($D$5&lt;&gt;"",--(D305="Présent"),0),IF($F$5&lt;&gt;"",--(F305="Présent"),0),IF($H$5&lt;&gt;"",--(H305="Présent"),0),IF($J$5&lt;&gt;"",--(J305="Présent"),0),IF($L$5&lt;&gt;"",--(L305="Présent"),0),IF($N$5&lt;&gt;"",--(N305="Présent"),0),IF($P$5&lt;&gt;"",--(P305="Présent"),0),IF($R$5&lt;&gt;"",--(R305="Présent"),0),IF($T$5&lt;&gt;"",--(T305="Présent"),0),IF($V$5&lt;&gt;"",--(V305="Présent"),0),IF($X$5&lt;&gt;"",--(X305="Présent"),0),IF($Z$5&lt;&gt;"",--(Z305="Présent"),0),IF($AB$5&lt;&gt;"",--(AB305="Présent"),0),IF($AD$5&lt;&gt;"",--(AD305="Présent"),0),IF($AF$5&lt;&gt;"",--(AF305="Présent"),0),IF($AH$5&lt;&gt;"",--(AH305="Présent"),0),IF($AJ$5&lt;&gt;"",--(AJ305="Présent"),0),IF($AL$5&lt;&gt;"",--(AL305="Présent"),0),IF($AN$5&lt;&gt;"",--(AN305="Présent"),0),IF($AP$5&lt;&gt;"",--(AP305="Présent"),0),IF($AR$5&lt;&gt;"",--(AR305="Présent"),0),IF($AT$5&lt;&gt;"",--(AT305="Présent"),0),IF($AV$5&lt;&gt;"",--(AV305="Présent"),0),IF($AX$5&lt;&gt;"",--(AX305="Présent"),0),IF($AZ$5&lt;&gt;"",--(AZ305="Présent"),0),IF($BB$5&lt;&gt;"",--(BB305="Présent"),0),IF($BD$5&lt;&gt;"",--(BD305="Présent"),0),IF($BF$5&lt;&gt;"",--(BF305="Présent"),0),IF($BH$5&lt;&gt;"",--(BH305="Présent"),0),IF($BJ$5&lt;&gt;"",--(BJ305="Présent"),0),IF($BL$5&lt;&gt;"",--(BL305="Présent"),0)))</f>
      </c>
      <c r="BO305" s="22">
        <f>IF($A305="","",SUM(IF($D$5&lt;&gt;"",--(D305="Absent"),0),IF($F$5&lt;&gt;"",--(F305="Absent"),0),IF($H$5&lt;&gt;"",--(H305="Absent"),0),IF($J$5&lt;&gt;"",--(J305="Absent"),0),IF($L$5&lt;&gt;"",--(L305="Absent"),0),IF($N$5&lt;&gt;"",--(N305="Absent"),0),IF($P$5&lt;&gt;"",--(P305="Absent"),0),IF($R$5&lt;&gt;"",--(R305="Absent"),0),IF($T$5&lt;&gt;"",--(T305="Absent"),0),IF($V$5&lt;&gt;"",--(V305="Absent"),0),IF($X$5&lt;&gt;"",--(X305="Absent"),0),IF($Z$5&lt;&gt;"",--(Z305="Absent"),0),IF($AB$5&lt;&gt;"",--(AB305="Absent"),0),IF($AD$5&lt;&gt;"",--(AD305="Absent"),0),IF($AF$5&lt;&gt;"",--(AF305="Absent"),0),IF($AH$5&lt;&gt;"",--(AH305="Absent"),0),IF($AJ$5&lt;&gt;"",--(AJ305="Absent"),0),IF($AL$5&lt;&gt;"",--(AL305="Absent"),0),IF($AN$5&lt;&gt;"",--(AN305="Absent"),0),IF($AP$5&lt;&gt;"",--(AP305="Absent"),0),IF($AR$5&lt;&gt;"",--(AR305="Absent"),0),IF($AT$5&lt;&gt;"",--(AT305="Absent"),0),IF($AV$5&lt;&gt;"",--(AV305="Absent"),0),IF($AX$5&lt;&gt;"",--(AX305="Absent"),0),IF($AZ$5&lt;&gt;"",--(AZ305="Absent"),0),IF($BB$5&lt;&gt;"",--(BB305="Absent"),0),IF($BD$5&lt;&gt;"",--(BD305="Absent"),0),IF($BF$5&lt;&gt;"",--(BF305="Absent"),0),IF($BH$5&lt;&gt;"",--(BH305="Absent"),0),IF($BJ$5&lt;&gt;"",--(BJ305="Absent"),0),IF($BL$5&lt;&gt;"",--(BL305="Absent"),0)))</f>
      </c>
      <c r="BP305" s="22">
        <f>IF($A305="","",SUM(IF($D$5&lt;&gt;"",--(D305="Congé"),0),IF($F$5&lt;&gt;"",--(F305="Congé"),0),IF($H$5&lt;&gt;"",--(H305="Congé"),0),IF($J$5&lt;&gt;"",--(J305="Congé"),0),IF($L$5&lt;&gt;"",--(L305="Congé"),0),IF($N$5&lt;&gt;"",--(N305="Congé"),0),IF($P$5&lt;&gt;"",--(P305="Congé"),0),IF($R$5&lt;&gt;"",--(R305="Congé"),0),IF($T$5&lt;&gt;"",--(T305="Congé"),0),IF($V$5&lt;&gt;"",--(V305="Congé"),0),IF($X$5&lt;&gt;"",--(X305="Congé"),0),IF($Z$5&lt;&gt;"",--(Z305="Congé"),0),IF($AB$5&lt;&gt;"",--(AB305="Congé"),0),IF($AD$5&lt;&gt;"",--(AD305="Congé"),0),IF($AF$5&lt;&gt;"",--(AF305="Congé"),0),IF($AH$5&lt;&gt;"",--(AH305="Congé"),0),IF($AJ$5&lt;&gt;"",--(AJ305="Congé"),0),IF($AL$5&lt;&gt;"",--(AL305="Congé"),0),IF($AN$5&lt;&gt;"",--(AN305="Congé"),0),IF($AP$5&lt;&gt;"",--(AP305="Congé"),0),IF($AR$5&lt;&gt;"",--(AR305="Congé"),0),IF($AT$5&lt;&gt;"",--(AT305="Congé"),0),IF($AV$5&lt;&gt;"",--(AV305="Congé"),0),IF($AX$5&lt;&gt;"",--(AX305="Congé"),0),IF($AZ$5&lt;&gt;"",--(AZ305="Congé"),0),IF($BB$5&lt;&gt;"",--(BB305="Congé"),0),IF($BD$5&lt;&gt;"",--(BD305="Congé"),0),IF($BF$5&lt;&gt;"",--(BF305="Congé"),0),IF($BH$5&lt;&gt;"",--(BH305="Congé"),0),IF($BJ$5&lt;&gt;"",--(BJ305="Congé"),0),IF($BL$5&lt;&gt;"",--(BL305="Congé"),0)))</f>
      </c>
      <c r="BQ305" s="22">
        <f>IF($A305="","",SUM(IF($D$5&lt;&gt;"",--(D305="Maladie"),0),IF($F$5&lt;&gt;"",--(F305="Maladie"),0),IF($H$5&lt;&gt;"",--(H305="Maladie"),0),IF($J$5&lt;&gt;"",--(J305="Maladie"),0),IF($L$5&lt;&gt;"",--(L305="Maladie"),0),IF($N$5&lt;&gt;"",--(N305="Maladie"),0),IF($P$5&lt;&gt;"",--(P305="Maladie"),0),IF($R$5&lt;&gt;"",--(R305="Maladie"),0),IF($T$5&lt;&gt;"",--(T305="Maladie"),0),IF($V$5&lt;&gt;"",--(V305="Maladie"),0),IF($X$5&lt;&gt;"",--(X305="Maladie"),0),IF($Z$5&lt;&gt;"",--(Z305="Maladie"),0),IF($AB$5&lt;&gt;"",--(AB305="Maladie"),0),IF($AD$5&lt;&gt;"",--(AD305="Maladie"),0),IF($AF$5&lt;&gt;"",--(AF305="Maladie"),0),IF($AH$5&lt;&gt;"",--(AH305="Maladie"),0),IF($AJ$5&lt;&gt;"",--(AJ305="Maladie"),0),IF($AL$5&lt;&gt;"",--(AL305="Maladie"),0),IF($AN$5&lt;&gt;"",--(AN305="Maladie"),0),IF($AP$5&lt;&gt;"",--(AP305="Maladie"),0),IF($AR$5&lt;&gt;"",--(AR305="Maladie"),0),IF($AT$5&lt;&gt;"",--(AT305="Maladie"),0),IF($AV$5&lt;&gt;"",--(AV305="Maladie"),0),IF($AX$5&lt;&gt;"",--(AX305="Maladie"),0),IF($AZ$5&lt;&gt;"",--(AZ305="Maladie"),0),IF($BB$5&lt;&gt;"",--(BB305="Maladie"),0),IF($BD$5&lt;&gt;"",--(BD305="Maladie"),0),IF($BF$5&lt;&gt;"",--(BF305="Maladie"),0),IF($BH$5&lt;&gt;"",--(BH305="Maladie"),0),IF($BJ$5&lt;&gt;"",--(BJ305="Maladie"),0),IF($BL$5&lt;&gt;"",--(BL305="Maladie"),0)))</f>
      </c>
      <c r="BR305" s="23">
        <f>IF($A305="","",SUM(IF($D$5&lt;&gt;"",IF(D305="Présent",E305,0),0),IF($F$5&lt;&gt;"",IF(F305="Présent",G305,0),0),IF($H$5&lt;&gt;"",IF(H305="Présent",I305,0),0),IF($J$5&lt;&gt;"",IF(J305="Présent",K305,0),0),IF($L$5&lt;&gt;"",IF(L305="Présent",M305,0),0),IF($N$5&lt;&gt;"",IF(N305="Présent",O305,0),0),IF($P$5&lt;&gt;"",IF(P305="Présent",Q305,0),0),IF($R$5&lt;&gt;"",IF(R305="Présent",S305,0),0),IF($T$5&lt;&gt;"",IF(T305="Présent",U305,0),0),IF($V$5&lt;&gt;"",IF(V305="Présent",W305,0),0),IF($X$5&lt;&gt;"",IF(X305="Présent",Y305,0),0),IF($Z$5&lt;&gt;"",IF(Z305="Présent",AA305,0),0),IF($AB$5&lt;&gt;"",IF(AB305="Présent",AC305,0),0),IF($AD$5&lt;&gt;"",IF(AD305="Présent",AE305,0),0),IF($AF$5&lt;&gt;"",IF(AF305="Présent",AG305,0),0),IF($AH$5&lt;&gt;"",IF(AH305="Présent",AI305,0),0),IF($AJ$5&lt;&gt;"",IF(AJ305="Présent",AK305,0),0),IF($AL$5&lt;&gt;"",IF(AL305="Présent",AM305,0),0),IF($AN$5&lt;&gt;"",IF(AN305="Présent",AO305,0),0),IF($AP$5&lt;&gt;"",IF(AP305="Présent",AQ305,0),0),IF($AR$5&lt;&gt;"",IF(AR305="Présent",AS305,0),0),IF($AT$5&lt;&gt;"",IF(AT305="Présent",AU305,0),0),IF($AV$5&lt;&gt;"",IF(AV305="Présent",AW305,0),0),IF($AX$5&lt;&gt;"",IF(AX305="Présent",AY305,0),0),IF($AZ$5&lt;&gt;"",IF(AZ305="Présent",BA305,0),0),IF($BB$5&lt;&gt;"",IF(BB305="Présent",BC305,0),0),IF($BD$5&lt;&gt;"",IF(BD305="Présent",BE305,0),0),IF($BF$5&lt;&gt;"",IF(BF305="Présent",BG305,0),0),IF($BH$5&lt;&gt;"",IF(BH305="Présent",BI305,0),0),IF($BJ$5&lt;&gt;"",IF(BJ305="Présent",BK305,0),0),IF($BL$5&lt;&gt;"",IF(BL305="Présent",BM305,0),0)))</f>
      </c>
      <c r="BS305" s="25">
        <f>IF($A305="","",$BN305*IFERROR(INDEX(Categories_Salaire,MATCH($C305,ListeCategories,0)),0)+$BR305*IF(IFERROR(INDEX(Categories_TauxHS,MATCH($C305,ListeCategories,0)),0)&gt;0,IFERROR(INDEX(Categories_TauxHS,MATCH($C305,ListeCategories,0)),0),TauxHSDefaut))</f>
      </c>
    </row>
    <row r="306">
      <c r="A306" s="20">
        <f>IF(AND(INDEX(Employes_Nom,300)&lt;&gt;"",INDEX(Employes_Statut,300)="Actif",OR(INDEX(Employes_Embauche,300)="",INDEX(Employes_Embauche,300)&lt;=EOMONTH(DATE(AnneeCourante,MoisCourant,1),0))),INDEX(Employes_ID,300),"")</f>
      </c>
      <c r="B306" s="19">
        <f>IF($A306="","",INDEX(Employes_Nom,MATCH($A306,Employes_ID,0)))</f>
      </c>
      <c r="C306" s="20">
        <f>IF($A306="","",INDEX(Employes_Categorie,MATCH($A306,Employes_ID,0)))</f>
      </c>
      <c r="D306" s="26"/>
      <c r="E306" s="27"/>
      <c r="F306" s="26"/>
      <c r="G306" s="27"/>
      <c r="H306" s="26"/>
      <c r="I306" s="27"/>
      <c r="J306" s="26"/>
      <c r="K306" s="27"/>
      <c r="L306" s="26"/>
      <c r="M306" s="27"/>
      <c r="N306" s="26"/>
      <c r="O306" s="27"/>
      <c r="P306" s="26"/>
      <c r="Q306" s="27"/>
      <c r="R306" s="26"/>
      <c r="S306" s="27"/>
      <c r="T306" s="26"/>
      <c r="U306" s="27"/>
      <c r="V306" s="26"/>
      <c r="W306" s="27"/>
      <c r="X306" s="26"/>
      <c r="Y306" s="27"/>
      <c r="Z306" s="26"/>
      <c r="AA306" s="27"/>
      <c r="AB306" s="26"/>
      <c r="AC306" s="27"/>
      <c r="AD306" s="26"/>
      <c r="AE306" s="27"/>
      <c r="AF306" s="26"/>
      <c r="AG306" s="27"/>
      <c r="AH306" s="26"/>
      <c r="AI306" s="27"/>
      <c r="AJ306" s="26"/>
      <c r="AK306" s="27"/>
      <c r="AL306" s="26"/>
      <c r="AM306" s="27"/>
      <c r="AN306" s="26"/>
      <c r="AO306" s="27"/>
      <c r="AP306" s="26"/>
      <c r="AQ306" s="27"/>
      <c r="AR306" s="26"/>
      <c r="AS306" s="27"/>
      <c r="AT306" s="26"/>
      <c r="AU306" s="27"/>
      <c r="AV306" s="26"/>
      <c r="AW306" s="27"/>
      <c r="AX306" s="26"/>
      <c r="AY306" s="27"/>
      <c r="AZ306" s="26"/>
      <c r="BA306" s="27"/>
      <c r="BB306" s="26"/>
      <c r="BC306" s="27"/>
      <c r="BD306" s="26"/>
      <c r="BE306" s="27"/>
      <c r="BF306" s="26"/>
      <c r="BG306" s="27"/>
      <c r="BH306" s="26"/>
      <c r="BI306" s="27"/>
      <c r="BJ306" s="26"/>
      <c r="BK306" s="27"/>
      <c r="BL306" s="26"/>
      <c r="BM306" s="27"/>
      <c r="BN306" s="22">
        <f>IF($A306="","",SUM(IF($D$5&lt;&gt;"",--(D306="Présent"),0),IF($F$5&lt;&gt;"",--(F306="Présent"),0),IF($H$5&lt;&gt;"",--(H306="Présent"),0),IF($J$5&lt;&gt;"",--(J306="Présent"),0),IF($L$5&lt;&gt;"",--(L306="Présent"),0),IF($N$5&lt;&gt;"",--(N306="Présent"),0),IF($P$5&lt;&gt;"",--(P306="Présent"),0),IF($R$5&lt;&gt;"",--(R306="Présent"),0),IF($T$5&lt;&gt;"",--(T306="Présent"),0),IF($V$5&lt;&gt;"",--(V306="Présent"),0),IF($X$5&lt;&gt;"",--(X306="Présent"),0),IF($Z$5&lt;&gt;"",--(Z306="Présent"),0),IF($AB$5&lt;&gt;"",--(AB306="Présent"),0),IF($AD$5&lt;&gt;"",--(AD306="Présent"),0),IF($AF$5&lt;&gt;"",--(AF306="Présent"),0),IF($AH$5&lt;&gt;"",--(AH306="Présent"),0),IF($AJ$5&lt;&gt;"",--(AJ306="Présent"),0),IF($AL$5&lt;&gt;"",--(AL306="Présent"),0),IF($AN$5&lt;&gt;"",--(AN306="Présent"),0),IF($AP$5&lt;&gt;"",--(AP306="Présent"),0),IF($AR$5&lt;&gt;"",--(AR306="Présent"),0),IF($AT$5&lt;&gt;"",--(AT306="Présent"),0),IF($AV$5&lt;&gt;"",--(AV306="Présent"),0),IF($AX$5&lt;&gt;"",--(AX306="Présent"),0),IF($AZ$5&lt;&gt;"",--(AZ306="Présent"),0),IF($BB$5&lt;&gt;"",--(BB306="Présent"),0),IF($BD$5&lt;&gt;"",--(BD306="Présent"),0),IF($BF$5&lt;&gt;"",--(BF306="Présent"),0),IF($BH$5&lt;&gt;"",--(BH306="Présent"),0),IF($BJ$5&lt;&gt;"",--(BJ306="Présent"),0),IF($BL$5&lt;&gt;"",--(BL306="Présent"),0)))</f>
      </c>
      <c r="BO306" s="22">
        <f>IF($A306="","",SUM(IF($D$5&lt;&gt;"",--(D306="Absent"),0),IF($F$5&lt;&gt;"",--(F306="Absent"),0),IF($H$5&lt;&gt;"",--(H306="Absent"),0),IF($J$5&lt;&gt;"",--(J306="Absent"),0),IF($L$5&lt;&gt;"",--(L306="Absent"),0),IF($N$5&lt;&gt;"",--(N306="Absent"),0),IF($P$5&lt;&gt;"",--(P306="Absent"),0),IF($R$5&lt;&gt;"",--(R306="Absent"),0),IF($T$5&lt;&gt;"",--(T306="Absent"),0),IF($V$5&lt;&gt;"",--(V306="Absent"),0),IF($X$5&lt;&gt;"",--(X306="Absent"),0),IF($Z$5&lt;&gt;"",--(Z306="Absent"),0),IF($AB$5&lt;&gt;"",--(AB306="Absent"),0),IF($AD$5&lt;&gt;"",--(AD306="Absent"),0),IF($AF$5&lt;&gt;"",--(AF306="Absent"),0),IF($AH$5&lt;&gt;"",--(AH306="Absent"),0),IF($AJ$5&lt;&gt;"",--(AJ306="Absent"),0),IF($AL$5&lt;&gt;"",--(AL306="Absent"),0),IF($AN$5&lt;&gt;"",--(AN306="Absent"),0),IF($AP$5&lt;&gt;"",--(AP306="Absent"),0),IF($AR$5&lt;&gt;"",--(AR306="Absent"),0),IF($AT$5&lt;&gt;"",--(AT306="Absent"),0),IF($AV$5&lt;&gt;"",--(AV306="Absent"),0),IF($AX$5&lt;&gt;"",--(AX306="Absent"),0),IF($AZ$5&lt;&gt;"",--(AZ306="Absent"),0),IF($BB$5&lt;&gt;"",--(BB306="Absent"),0),IF($BD$5&lt;&gt;"",--(BD306="Absent"),0),IF($BF$5&lt;&gt;"",--(BF306="Absent"),0),IF($BH$5&lt;&gt;"",--(BH306="Absent"),0),IF($BJ$5&lt;&gt;"",--(BJ306="Absent"),0),IF($BL$5&lt;&gt;"",--(BL306="Absent"),0)))</f>
      </c>
      <c r="BP306" s="22">
        <f>IF($A306="","",SUM(IF($D$5&lt;&gt;"",--(D306="Congé"),0),IF($F$5&lt;&gt;"",--(F306="Congé"),0),IF($H$5&lt;&gt;"",--(H306="Congé"),0),IF($J$5&lt;&gt;"",--(J306="Congé"),0),IF($L$5&lt;&gt;"",--(L306="Congé"),0),IF($N$5&lt;&gt;"",--(N306="Congé"),0),IF($P$5&lt;&gt;"",--(P306="Congé"),0),IF($R$5&lt;&gt;"",--(R306="Congé"),0),IF($T$5&lt;&gt;"",--(T306="Congé"),0),IF($V$5&lt;&gt;"",--(V306="Congé"),0),IF($X$5&lt;&gt;"",--(X306="Congé"),0),IF($Z$5&lt;&gt;"",--(Z306="Congé"),0),IF($AB$5&lt;&gt;"",--(AB306="Congé"),0),IF($AD$5&lt;&gt;"",--(AD306="Congé"),0),IF($AF$5&lt;&gt;"",--(AF306="Congé"),0),IF($AH$5&lt;&gt;"",--(AH306="Congé"),0),IF($AJ$5&lt;&gt;"",--(AJ306="Congé"),0),IF($AL$5&lt;&gt;"",--(AL306="Congé"),0),IF($AN$5&lt;&gt;"",--(AN306="Congé"),0),IF($AP$5&lt;&gt;"",--(AP306="Congé"),0),IF($AR$5&lt;&gt;"",--(AR306="Congé"),0),IF($AT$5&lt;&gt;"",--(AT306="Congé"),0),IF($AV$5&lt;&gt;"",--(AV306="Congé"),0),IF($AX$5&lt;&gt;"",--(AX306="Congé"),0),IF($AZ$5&lt;&gt;"",--(AZ306="Congé"),0),IF($BB$5&lt;&gt;"",--(BB306="Congé"),0),IF($BD$5&lt;&gt;"",--(BD306="Congé"),0),IF($BF$5&lt;&gt;"",--(BF306="Congé"),0),IF($BH$5&lt;&gt;"",--(BH306="Congé"),0),IF($BJ$5&lt;&gt;"",--(BJ306="Congé"),0),IF($BL$5&lt;&gt;"",--(BL306="Congé"),0)))</f>
      </c>
      <c r="BQ306" s="22">
        <f>IF($A306="","",SUM(IF($D$5&lt;&gt;"",--(D306="Maladie"),0),IF($F$5&lt;&gt;"",--(F306="Maladie"),0),IF($H$5&lt;&gt;"",--(H306="Maladie"),0),IF($J$5&lt;&gt;"",--(J306="Maladie"),0),IF($L$5&lt;&gt;"",--(L306="Maladie"),0),IF($N$5&lt;&gt;"",--(N306="Maladie"),0),IF($P$5&lt;&gt;"",--(P306="Maladie"),0),IF($R$5&lt;&gt;"",--(R306="Maladie"),0),IF($T$5&lt;&gt;"",--(T306="Maladie"),0),IF($V$5&lt;&gt;"",--(V306="Maladie"),0),IF($X$5&lt;&gt;"",--(X306="Maladie"),0),IF($Z$5&lt;&gt;"",--(Z306="Maladie"),0),IF($AB$5&lt;&gt;"",--(AB306="Maladie"),0),IF($AD$5&lt;&gt;"",--(AD306="Maladie"),0),IF($AF$5&lt;&gt;"",--(AF306="Maladie"),0),IF($AH$5&lt;&gt;"",--(AH306="Maladie"),0),IF($AJ$5&lt;&gt;"",--(AJ306="Maladie"),0),IF($AL$5&lt;&gt;"",--(AL306="Maladie"),0),IF($AN$5&lt;&gt;"",--(AN306="Maladie"),0),IF($AP$5&lt;&gt;"",--(AP306="Maladie"),0),IF($AR$5&lt;&gt;"",--(AR306="Maladie"),0),IF($AT$5&lt;&gt;"",--(AT306="Maladie"),0),IF($AV$5&lt;&gt;"",--(AV306="Maladie"),0),IF($AX$5&lt;&gt;"",--(AX306="Maladie"),0),IF($AZ$5&lt;&gt;"",--(AZ306="Maladie"),0),IF($BB$5&lt;&gt;"",--(BB306="Maladie"),0),IF($BD$5&lt;&gt;"",--(BD306="Maladie"),0),IF($BF$5&lt;&gt;"",--(BF306="Maladie"),0),IF($BH$5&lt;&gt;"",--(BH306="Maladie"),0),IF($BJ$5&lt;&gt;"",--(BJ306="Maladie"),0),IF($BL$5&lt;&gt;"",--(BL306="Maladie"),0)))</f>
      </c>
      <c r="BR306" s="23">
        <f>IF($A306="","",SUM(IF($D$5&lt;&gt;"",IF(D306="Présent",E306,0),0),IF($F$5&lt;&gt;"",IF(F306="Présent",G306,0),0),IF($H$5&lt;&gt;"",IF(H306="Présent",I306,0),0),IF($J$5&lt;&gt;"",IF(J306="Présent",K306,0),0),IF($L$5&lt;&gt;"",IF(L306="Présent",M306,0),0),IF($N$5&lt;&gt;"",IF(N306="Présent",O306,0),0),IF($P$5&lt;&gt;"",IF(P306="Présent",Q306,0),0),IF($R$5&lt;&gt;"",IF(R306="Présent",S306,0),0),IF($T$5&lt;&gt;"",IF(T306="Présent",U306,0),0),IF($V$5&lt;&gt;"",IF(V306="Présent",W306,0),0),IF($X$5&lt;&gt;"",IF(X306="Présent",Y306,0),0),IF($Z$5&lt;&gt;"",IF(Z306="Présent",AA306,0),0),IF($AB$5&lt;&gt;"",IF(AB306="Présent",AC306,0),0),IF($AD$5&lt;&gt;"",IF(AD306="Présent",AE306,0),0),IF($AF$5&lt;&gt;"",IF(AF306="Présent",AG306,0),0),IF($AH$5&lt;&gt;"",IF(AH306="Présent",AI306,0),0),IF($AJ$5&lt;&gt;"",IF(AJ306="Présent",AK306,0),0),IF($AL$5&lt;&gt;"",IF(AL306="Présent",AM306,0),0),IF($AN$5&lt;&gt;"",IF(AN306="Présent",AO306,0),0),IF($AP$5&lt;&gt;"",IF(AP306="Présent",AQ306,0),0),IF($AR$5&lt;&gt;"",IF(AR306="Présent",AS306,0),0),IF($AT$5&lt;&gt;"",IF(AT306="Présent",AU306,0),0),IF($AV$5&lt;&gt;"",IF(AV306="Présent",AW306,0),0),IF($AX$5&lt;&gt;"",IF(AX306="Présent",AY306,0),0),IF($AZ$5&lt;&gt;"",IF(AZ306="Présent",BA306,0),0),IF($BB$5&lt;&gt;"",IF(BB306="Présent",BC306,0),0),IF($BD$5&lt;&gt;"",IF(BD306="Présent",BE306,0),0),IF($BF$5&lt;&gt;"",IF(BF306="Présent",BG306,0),0),IF($BH$5&lt;&gt;"",IF(BH306="Présent",BI306,0),0),IF($BJ$5&lt;&gt;"",IF(BJ306="Présent",BK306,0),0),IF($BL$5&lt;&gt;"",IF(BL306="Présent",BM306,0),0)))</f>
      </c>
      <c r="BS306" s="25">
        <f>IF($A306="","",$BN306*IFERROR(INDEX(Categories_Salaire,MATCH($C306,ListeCategories,0)),0)+$BR306*IF(IFERROR(INDEX(Categories_TauxHS,MATCH($C306,ListeCategories,0)),0)&gt;0,IFERROR(INDEX(Categories_TauxHS,MATCH($C306,ListeCategories,0)),0),TauxHSDefaut))</f>
      </c>
    </row>
  </sheetData>
  <sheetProtection sheet="1" objects="1" scenarios="1" formatCells="0" formatColumns="0" formatRows="0" selectLockedCells="1" selectUnlockedCells="0"/>
  <mergeCells count="37">
    <mergeCell ref="A2:BS2"/>
    <mergeCell ref="A3:BS3"/>
    <mergeCell ref="A5:A6"/>
    <mergeCell ref="B5:B6"/>
    <mergeCell ref="C5:C6"/>
    <mergeCell ref="D5:E5"/>
    <mergeCell ref="F5:G5"/>
    <mergeCell ref="H5:I5"/>
    <mergeCell ref="J5:K5"/>
    <mergeCell ref="L5:M5"/>
    <mergeCell ref="N5:O5"/>
    <mergeCell ref="P5:Q5"/>
    <mergeCell ref="R5:S5"/>
    <mergeCell ref="T5:U5"/>
    <mergeCell ref="V5:W5"/>
    <mergeCell ref="X5:Y5"/>
    <mergeCell ref="Z5:AA5"/>
    <mergeCell ref="AB5:AC5"/>
    <mergeCell ref="AD5:AE5"/>
    <mergeCell ref="AF5:AG5"/>
    <mergeCell ref="AH5:AI5"/>
    <mergeCell ref="AJ5:AK5"/>
    <mergeCell ref="AL5:AM5"/>
    <mergeCell ref="AN5:AO5"/>
    <mergeCell ref="AP5:AQ5"/>
    <mergeCell ref="AR5:AS5"/>
    <mergeCell ref="AT5:AU5"/>
    <mergeCell ref="AV5:AW5"/>
    <mergeCell ref="AX5:AY5"/>
    <mergeCell ref="AZ5:BA5"/>
    <mergeCell ref="BB5:BC5"/>
    <mergeCell ref="BD5:BE5"/>
    <mergeCell ref="BF5:BG5"/>
    <mergeCell ref="BH5:BI5"/>
    <mergeCell ref="BJ5:BK5"/>
    <mergeCell ref="BL5:BM5"/>
    <mergeCell ref="BN5:BS5"/>
  </mergeCells>
  <conditionalFormatting sqref="D7:D306 F7:F306 H7:H306 J7:J306 L7:L306 N7:N306 P7:P306 R7:R306 T7:T306 V7:V306 X7:X306 Z7:Z306 AB7:AB306 AD7:AD306 AF7:AF306 AH7:AH306 AJ7:AJ306 AL7:AL306 AN7:AN306 AP7:AP306 AR7:AR306 AT7:AT306 AV7:AV306 AX7:AX306 AZ7:AZ306 BB7:BB306 BD7:BD306 BF7:BF306 BH7:BH306 BJ7:BJ306 BL7:BL306">
    <cfRule type="cellIs" dxfId="0" priority="2" operator="equal">
      <formula>"Présent"</formula>
    </cfRule>
  </conditionalFormatting>
  <conditionalFormatting sqref="D7:D306 F7:F306 H7:H306 J7:J306 L7:L306 N7:N306 P7:P306 R7:R306 T7:T306 V7:V306 X7:X306 Z7:Z306 AB7:AB306 AD7:AD306 AF7:AF306 AH7:AH306 AJ7:AJ306 AL7:AL306 AN7:AN306 AP7:AP306 AR7:AR306 AT7:AT306 AV7:AV306 AX7:AX306 AZ7:AZ306 BB7:BB306 BD7:BD306 BF7:BF306 BH7:BH306 BJ7:BJ306 BL7:BL306">
    <cfRule type="cellIs" dxfId="1" priority="3" operator="equal">
      <formula>"Absent"</formula>
    </cfRule>
  </conditionalFormatting>
  <conditionalFormatting sqref="D7:D306 F7:F306 H7:H306 J7:J306 L7:L306 N7:N306 P7:P306 R7:R306 T7:T306 V7:V306 X7:X306 Z7:Z306 AB7:AB306 AD7:AD306 AF7:AF306 AH7:AH306 AJ7:AJ306 AL7:AL306 AN7:AN306 AP7:AP306 AR7:AR306 AT7:AT306 AV7:AV306 AX7:AX306 AZ7:AZ306 BB7:BB306 BD7:BD306 BF7:BF306 BH7:BH306 BJ7:BJ306 BL7:BL306">
    <cfRule type="cellIs" dxfId="2" priority="4" operator="equal">
      <formula>"Congé"</formula>
    </cfRule>
  </conditionalFormatting>
  <conditionalFormatting sqref="D7:D306 F7:F306 H7:H306 J7:J306 L7:L306 N7:N306 P7:P306 R7:R306 T7:T306 V7:V306 X7:X306 Z7:Z306 AB7:AB306 AD7:AD306 AF7:AF306 AH7:AH306 AJ7:AJ306 AL7:AL306 AN7:AN306 AP7:AP306 AR7:AR306 AT7:AT306 AV7:AV306 AX7:AX306 AZ7:AZ306 BB7:BB306 BD7:BD306 BF7:BF306 BH7:BH306 BJ7:BJ306 BL7:BL306">
    <cfRule type="cellIs" dxfId="3" priority="5" operator="equal">
      <formula>"Maladie"</formula>
    </cfRule>
  </conditionalFormatting>
  <conditionalFormatting sqref="E7:E306 G7:G306 I7:I306 K7:K306 M7:M306 O7:O306 Q7:Q306 S7:S306 U7:U306 W7:W306 Y7:Y306 AA7:AA306 AC7:AC306 AE7:AE306 AG7:AG306 AI7:AI306 AK7:AK306 AM7:AM306 AO7:AO306 AQ7:AQ306 AS7:AS306 AU7:AU306 AW7:AW306 AY7:AY306 BA7:BA306 BC7:BC306 BE7:BE306 BG7:BG306 BI7:BI306 BK7:BK306 BM7:BM306">
    <cfRule type="cellIs" dxfId="4" priority="6" operator="greaterThan">
      <formula>0</formula>
    </cfRule>
  </conditionalFormatting>
  <conditionalFormatting sqref="D7:E306">
    <cfRule type="expression" dxfId="7" priority="1">
      <formula>D$5=""</formula>
    </cfRule>
  </conditionalFormatting>
  <conditionalFormatting sqref="E7:E306">
    <cfRule type="expression" dxfId="1" priority="2">
      <formula>AND(E7&gt;0,D7&lt;&gt;"Présent")</formula>
    </cfRule>
  </conditionalFormatting>
  <conditionalFormatting sqref="D5:E6">
    <cfRule type="expression" dxfId="8" priority="8">
      <formula>AND(D$5&lt;&gt;"",WEEKDAY(D$5,2)&gt;5)</formula>
    </cfRule>
  </conditionalFormatting>
  <conditionalFormatting sqref="F7:G306">
    <cfRule type="expression" dxfId="7" priority="1">
      <formula>F$5=""</formula>
    </cfRule>
  </conditionalFormatting>
  <conditionalFormatting sqref="G7:G306">
    <cfRule type="expression" dxfId="1" priority="2">
      <formula>AND(G7&gt;0,F7&lt;&gt;"Présent")</formula>
    </cfRule>
  </conditionalFormatting>
  <conditionalFormatting sqref="F5:G6">
    <cfRule type="expression" dxfId="8" priority="8">
      <formula>AND(F$5&lt;&gt;"",WEEKDAY(F$5,2)&gt;5)</formula>
    </cfRule>
  </conditionalFormatting>
  <conditionalFormatting sqref="H7:I306">
    <cfRule type="expression" dxfId="7" priority="1">
      <formula>H$5=""</formula>
    </cfRule>
  </conditionalFormatting>
  <conditionalFormatting sqref="I7:I306">
    <cfRule type="expression" dxfId="1" priority="2">
      <formula>AND(I7&gt;0,H7&lt;&gt;"Présent")</formula>
    </cfRule>
  </conditionalFormatting>
  <conditionalFormatting sqref="H5:I6">
    <cfRule type="expression" dxfId="8" priority="8">
      <formula>AND(H$5&lt;&gt;"",WEEKDAY(H$5,2)&gt;5)</formula>
    </cfRule>
  </conditionalFormatting>
  <conditionalFormatting sqref="J7:K306">
    <cfRule type="expression" dxfId="7" priority="1">
      <formula>J$5=""</formula>
    </cfRule>
  </conditionalFormatting>
  <conditionalFormatting sqref="K7:K306">
    <cfRule type="expression" dxfId="1" priority="2">
      <formula>AND(K7&gt;0,J7&lt;&gt;"Présent")</formula>
    </cfRule>
  </conditionalFormatting>
  <conditionalFormatting sqref="J5:K6">
    <cfRule type="expression" dxfId="8" priority="8">
      <formula>AND(J$5&lt;&gt;"",WEEKDAY(J$5,2)&gt;5)</formula>
    </cfRule>
  </conditionalFormatting>
  <conditionalFormatting sqref="L7:M306">
    <cfRule type="expression" dxfId="7" priority="1">
      <formula>L$5=""</formula>
    </cfRule>
  </conditionalFormatting>
  <conditionalFormatting sqref="M7:M306">
    <cfRule type="expression" dxfId="1" priority="2">
      <formula>AND(M7&gt;0,L7&lt;&gt;"Présent")</formula>
    </cfRule>
  </conditionalFormatting>
  <conditionalFormatting sqref="L5:M6">
    <cfRule type="expression" dxfId="8" priority="8">
      <formula>AND(L$5&lt;&gt;"",WEEKDAY(L$5,2)&gt;5)</formula>
    </cfRule>
  </conditionalFormatting>
  <conditionalFormatting sqref="N7:O306">
    <cfRule type="expression" dxfId="7" priority="1">
      <formula>N$5=""</formula>
    </cfRule>
  </conditionalFormatting>
  <conditionalFormatting sqref="O7:O306">
    <cfRule type="expression" dxfId="1" priority="2">
      <formula>AND(O7&gt;0,N7&lt;&gt;"Présent")</formula>
    </cfRule>
  </conditionalFormatting>
  <conditionalFormatting sqref="N5:O6">
    <cfRule type="expression" dxfId="8" priority="8">
      <formula>AND(N$5&lt;&gt;"",WEEKDAY(N$5,2)&gt;5)</formula>
    </cfRule>
  </conditionalFormatting>
  <conditionalFormatting sqref="P7:Q306">
    <cfRule type="expression" dxfId="7" priority="1">
      <formula>P$5=""</formula>
    </cfRule>
  </conditionalFormatting>
  <conditionalFormatting sqref="Q7:Q306">
    <cfRule type="expression" dxfId="1" priority="2">
      <formula>AND(Q7&gt;0,P7&lt;&gt;"Présent")</formula>
    </cfRule>
  </conditionalFormatting>
  <conditionalFormatting sqref="P5:Q6">
    <cfRule type="expression" dxfId="8" priority="8">
      <formula>AND(P$5&lt;&gt;"",WEEKDAY(P$5,2)&gt;5)</formula>
    </cfRule>
  </conditionalFormatting>
  <conditionalFormatting sqref="R7:S306">
    <cfRule type="expression" dxfId="7" priority="1">
      <formula>R$5=""</formula>
    </cfRule>
  </conditionalFormatting>
  <conditionalFormatting sqref="S7:S306">
    <cfRule type="expression" dxfId="1" priority="2">
      <formula>AND(S7&gt;0,R7&lt;&gt;"Présent")</formula>
    </cfRule>
  </conditionalFormatting>
  <conditionalFormatting sqref="R5:S6">
    <cfRule type="expression" dxfId="8" priority="8">
      <formula>AND(R$5&lt;&gt;"",WEEKDAY(R$5,2)&gt;5)</formula>
    </cfRule>
  </conditionalFormatting>
  <conditionalFormatting sqref="T7:U306">
    <cfRule type="expression" dxfId="7" priority="1">
      <formula>T$5=""</formula>
    </cfRule>
  </conditionalFormatting>
  <conditionalFormatting sqref="U7:U306">
    <cfRule type="expression" dxfId="1" priority="2">
      <formula>AND(U7&gt;0,T7&lt;&gt;"Présent")</formula>
    </cfRule>
  </conditionalFormatting>
  <conditionalFormatting sqref="T5:U6">
    <cfRule type="expression" dxfId="8" priority="8">
      <formula>AND(T$5&lt;&gt;"",WEEKDAY(T$5,2)&gt;5)</formula>
    </cfRule>
  </conditionalFormatting>
  <conditionalFormatting sqref="V7:W306">
    <cfRule type="expression" dxfId="7" priority="1">
      <formula>V$5=""</formula>
    </cfRule>
  </conditionalFormatting>
  <conditionalFormatting sqref="W7:W306">
    <cfRule type="expression" dxfId="1" priority="2">
      <formula>AND(W7&gt;0,V7&lt;&gt;"Présent")</formula>
    </cfRule>
  </conditionalFormatting>
  <conditionalFormatting sqref="V5:W6">
    <cfRule type="expression" dxfId="8" priority="8">
      <formula>AND(V$5&lt;&gt;"",WEEKDAY(V$5,2)&gt;5)</formula>
    </cfRule>
  </conditionalFormatting>
  <conditionalFormatting sqref="X7:Y306">
    <cfRule type="expression" dxfId="7" priority="1">
      <formula>X$5=""</formula>
    </cfRule>
  </conditionalFormatting>
  <conditionalFormatting sqref="Y7:Y306">
    <cfRule type="expression" dxfId="1" priority="2">
      <formula>AND(Y7&gt;0,X7&lt;&gt;"Présent")</formula>
    </cfRule>
  </conditionalFormatting>
  <conditionalFormatting sqref="X5:Y6">
    <cfRule type="expression" dxfId="8" priority="8">
      <formula>AND(X$5&lt;&gt;"",WEEKDAY(X$5,2)&gt;5)</formula>
    </cfRule>
  </conditionalFormatting>
  <conditionalFormatting sqref="Z7:AA306">
    <cfRule type="expression" dxfId="7" priority="1">
      <formula>Z$5=""</formula>
    </cfRule>
  </conditionalFormatting>
  <conditionalFormatting sqref="AA7:AA306">
    <cfRule type="expression" dxfId="1" priority="2">
      <formula>AND(AA7&gt;0,Z7&lt;&gt;"Présent")</formula>
    </cfRule>
  </conditionalFormatting>
  <conditionalFormatting sqref="Z5:AA6">
    <cfRule type="expression" dxfId="8" priority="8">
      <formula>AND(Z$5&lt;&gt;"",WEEKDAY(Z$5,2)&gt;5)</formula>
    </cfRule>
  </conditionalFormatting>
  <conditionalFormatting sqref="AB7:AC306">
    <cfRule type="expression" dxfId="7" priority="1">
      <formula>AB$5=""</formula>
    </cfRule>
  </conditionalFormatting>
  <conditionalFormatting sqref="AC7:AC306">
    <cfRule type="expression" dxfId="1" priority="2">
      <formula>AND(AC7&gt;0,AB7&lt;&gt;"Présent")</formula>
    </cfRule>
  </conditionalFormatting>
  <conditionalFormatting sqref="AB5:AC6">
    <cfRule type="expression" dxfId="8" priority="8">
      <formula>AND(AB$5&lt;&gt;"",WEEKDAY(AB$5,2)&gt;5)</formula>
    </cfRule>
  </conditionalFormatting>
  <conditionalFormatting sqref="AD7:AE306">
    <cfRule type="expression" dxfId="7" priority="1">
      <formula>AD$5=""</formula>
    </cfRule>
  </conditionalFormatting>
  <conditionalFormatting sqref="AE7:AE306">
    <cfRule type="expression" dxfId="1" priority="2">
      <formula>AND(AE7&gt;0,AD7&lt;&gt;"Présent")</formula>
    </cfRule>
  </conditionalFormatting>
  <conditionalFormatting sqref="AD5:AE6">
    <cfRule type="expression" dxfId="8" priority="8">
      <formula>AND(AD$5&lt;&gt;"",WEEKDAY(AD$5,2)&gt;5)</formula>
    </cfRule>
  </conditionalFormatting>
  <conditionalFormatting sqref="AF7:AG306">
    <cfRule type="expression" dxfId="7" priority="1">
      <formula>AF$5=""</formula>
    </cfRule>
  </conditionalFormatting>
  <conditionalFormatting sqref="AG7:AG306">
    <cfRule type="expression" dxfId="1" priority="2">
      <formula>AND(AG7&gt;0,AF7&lt;&gt;"Présent")</formula>
    </cfRule>
  </conditionalFormatting>
  <conditionalFormatting sqref="AF5:AG6">
    <cfRule type="expression" dxfId="8" priority="8">
      <formula>AND(AF$5&lt;&gt;"",WEEKDAY(AF$5,2)&gt;5)</formula>
    </cfRule>
  </conditionalFormatting>
  <conditionalFormatting sqref="AH7:AI306">
    <cfRule type="expression" dxfId="7" priority="1">
      <formula>AH$5=""</formula>
    </cfRule>
  </conditionalFormatting>
  <conditionalFormatting sqref="AI7:AI306">
    <cfRule type="expression" dxfId="1" priority="2">
      <formula>AND(AI7&gt;0,AH7&lt;&gt;"Présent")</formula>
    </cfRule>
  </conditionalFormatting>
  <conditionalFormatting sqref="AH5:AI6">
    <cfRule type="expression" dxfId="8" priority="8">
      <formula>AND(AH$5&lt;&gt;"",WEEKDAY(AH$5,2)&gt;5)</formula>
    </cfRule>
  </conditionalFormatting>
  <conditionalFormatting sqref="AJ7:AK306">
    <cfRule type="expression" dxfId="7" priority="1">
      <formula>AJ$5=""</formula>
    </cfRule>
  </conditionalFormatting>
  <conditionalFormatting sqref="AK7:AK306">
    <cfRule type="expression" dxfId="1" priority="2">
      <formula>AND(AK7&gt;0,AJ7&lt;&gt;"Présent")</formula>
    </cfRule>
  </conditionalFormatting>
  <conditionalFormatting sqref="AJ5:AK6">
    <cfRule type="expression" dxfId="8" priority="8">
      <formula>AND(AJ$5&lt;&gt;"",WEEKDAY(AJ$5,2)&gt;5)</formula>
    </cfRule>
  </conditionalFormatting>
  <conditionalFormatting sqref="AL7:AM306">
    <cfRule type="expression" dxfId="7" priority="1">
      <formula>AL$5=""</formula>
    </cfRule>
  </conditionalFormatting>
  <conditionalFormatting sqref="AM7:AM306">
    <cfRule type="expression" dxfId="1" priority="2">
      <formula>AND(AM7&gt;0,AL7&lt;&gt;"Présent")</formula>
    </cfRule>
  </conditionalFormatting>
  <conditionalFormatting sqref="AL5:AM6">
    <cfRule type="expression" dxfId="8" priority="8">
      <formula>AND(AL$5&lt;&gt;"",WEEKDAY(AL$5,2)&gt;5)</formula>
    </cfRule>
  </conditionalFormatting>
  <conditionalFormatting sqref="AN7:AO306">
    <cfRule type="expression" dxfId="7" priority="1">
      <formula>AN$5=""</formula>
    </cfRule>
  </conditionalFormatting>
  <conditionalFormatting sqref="AO7:AO306">
    <cfRule type="expression" dxfId="1" priority="2">
      <formula>AND(AO7&gt;0,AN7&lt;&gt;"Présent")</formula>
    </cfRule>
  </conditionalFormatting>
  <conditionalFormatting sqref="AN5:AO6">
    <cfRule type="expression" dxfId="8" priority="8">
      <formula>AND(AN$5&lt;&gt;"",WEEKDAY(AN$5,2)&gt;5)</formula>
    </cfRule>
  </conditionalFormatting>
  <conditionalFormatting sqref="AP7:AQ306">
    <cfRule type="expression" dxfId="7" priority="1">
      <formula>AP$5=""</formula>
    </cfRule>
  </conditionalFormatting>
  <conditionalFormatting sqref="AQ7:AQ306">
    <cfRule type="expression" dxfId="1" priority="2">
      <formula>AND(AQ7&gt;0,AP7&lt;&gt;"Présent")</formula>
    </cfRule>
  </conditionalFormatting>
  <conditionalFormatting sqref="AP5:AQ6">
    <cfRule type="expression" dxfId="8" priority="8">
      <formula>AND(AP$5&lt;&gt;"",WEEKDAY(AP$5,2)&gt;5)</formula>
    </cfRule>
  </conditionalFormatting>
  <conditionalFormatting sqref="AR7:AS306">
    <cfRule type="expression" dxfId="7" priority="1">
      <formula>AR$5=""</formula>
    </cfRule>
  </conditionalFormatting>
  <conditionalFormatting sqref="AS7:AS306">
    <cfRule type="expression" dxfId="1" priority="2">
      <formula>AND(AS7&gt;0,AR7&lt;&gt;"Présent")</formula>
    </cfRule>
  </conditionalFormatting>
  <conditionalFormatting sqref="AR5:AS6">
    <cfRule type="expression" dxfId="8" priority="8">
      <formula>AND(AR$5&lt;&gt;"",WEEKDAY(AR$5,2)&gt;5)</formula>
    </cfRule>
  </conditionalFormatting>
  <conditionalFormatting sqref="AT7:AU306">
    <cfRule type="expression" dxfId="7" priority="1">
      <formula>AT$5=""</formula>
    </cfRule>
  </conditionalFormatting>
  <conditionalFormatting sqref="AU7:AU306">
    <cfRule type="expression" dxfId="1" priority="2">
      <formula>AND(AU7&gt;0,AT7&lt;&gt;"Présent")</formula>
    </cfRule>
  </conditionalFormatting>
  <conditionalFormatting sqref="AT5:AU6">
    <cfRule type="expression" dxfId="8" priority="8">
      <formula>AND(AT$5&lt;&gt;"",WEEKDAY(AT$5,2)&gt;5)</formula>
    </cfRule>
  </conditionalFormatting>
  <conditionalFormatting sqref="AV7:AW306">
    <cfRule type="expression" dxfId="7" priority="1">
      <formula>AV$5=""</formula>
    </cfRule>
  </conditionalFormatting>
  <conditionalFormatting sqref="AW7:AW306">
    <cfRule type="expression" dxfId="1" priority="2">
      <formula>AND(AW7&gt;0,AV7&lt;&gt;"Présent")</formula>
    </cfRule>
  </conditionalFormatting>
  <conditionalFormatting sqref="AV5:AW6">
    <cfRule type="expression" dxfId="8" priority="8">
      <formula>AND(AV$5&lt;&gt;"",WEEKDAY(AV$5,2)&gt;5)</formula>
    </cfRule>
  </conditionalFormatting>
  <conditionalFormatting sqref="AX7:AY306">
    <cfRule type="expression" dxfId="7" priority="1">
      <formula>AX$5=""</formula>
    </cfRule>
  </conditionalFormatting>
  <conditionalFormatting sqref="AY7:AY306">
    <cfRule type="expression" dxfId="1" priority="2">
      <formula>AND(AY7&gt;0,AX7&lt;&gt;"Présent")</formula>
    </cfRule>
  </conditionalFormatting>
  <conditionalFormatting sqref="AX5:AY6">
    <cfRule type="expression" dxfId="8" priority="8">
      <formula>AND(AX$5&lt;&gt;"",WEEKDAY(AX$5,2)&gt;5)</formula>
    </cfRule>
  </conditionalFormatting>
  <conditionalFormatting sqref="AZ7:BA306">
    <cfRule type="expression" dxfId="7" priority="1">
      <formula>AZ$5=""</formula>
    </cfRule>
  </conditionalFormatting>
  <conditionalFormatting sqref="BA7:BA306">
    <cfRule type="expression" dxfId="1" priority="2">
      <formula>AND(BA7&gt;0,AZ7&lt;&gt;"Présent")</formula>
    </cfRule>
  </conditionalFormatting>
  <conditionalFormatting sqref="AZ5:BA6">
    <cfRule type="expression" dxfId="8" priority="8">
      <formula>AND(AZ$5&lt;&gt;"",WEEKDAY(AZ$5,2)&gt;5)</formula>
    </cfRule>
  </conditionalFormatting>
  <conditionalFormatting sqref="BB7:BC306">
    <cfRule type="expression" dxfId="7" priority="1">
      <formula>BB$5=""</formula>
    </cfRule>
  </conditionalFormatting>
  <conditionalFormatting sqref="BC7:BC306">
    <cfRule type="expression" dxfId="1" priority="2">
      <formula>AND(BC7&gt;0,BB7&lt;&gt;"Présent")</formula>
    </cfRule>
  </conditionalFormatting>
  <conditionalFormatting sqref="BB5:BC6">
    <cfRule type="expression" dxfId="8" priority="8">
      <formula>AND(BB$5&lt;&gt;"",WEEKDAY(BB$5,2)&gt;5)</formula>
    </cfRule>
  </conditionalFormatting>
  <conditionalFormatting sqref="BD7:BE306">
    <cfRule type="expression" dxfId="7" priority="1">
      <formula>BD$5=""</formula>
    </cfRule>
  </conditionalFormatting>
  <conditionalFormatting sqref="BE7:BE306">
    <cfRule type="expression" dxfId="1" priority="2">
      <formula>AND(BE7&gt;0,BD7&lt;&gt;"Présent")</formula>
    </cfRule>
  </conditionalFormatting>
  <conditionalFormatting sqref="BD5:BE6">
    <cfRule type="expression" dxfId="8" priority="8">
      <formula>AND(BD$5&lt;&gt;"",WEEKDAY(BD$5,2)&gt;5)</formula>
    </cfRule>
  </conditionalFormatting>
  <conditionalFormatting sqref="BF7:BG306">
    <cfRule type="expression" dxfId="7" priority="1">
      <formula>BF$5=""</formula>
    </cfRule>
  </conditionalFormatting>
  <conditionalFormatting sqref="BG7:BG306">
    <cfRule type="expression" dxfId="1" priority="2">
      <formula>AND(BG7&gt;0,BF7&lt;&gt;"Présent")</formula>
    </cfRule>
  </conditionalFormatting>
  <conditionalFormatting sqref="BF5:BG6">
    <cfRule type="expression" dxfId="8" priority="8">
      <formula>AND(BF$5&lt;&gt;"",WEEKDAY(BF$5,2)&gt;5)</formula>
    </cfRule>
  </conditionalFormatting>
  <conditionalFormatting sqref="BH7:BI306">
    <cfRule type="expression" dxfId="7" priority="1">
      <formula>BH$5=""</formula>
    </cfRule>
  </conditionalFormatting>
  <conditionalFormatting sqref="BI7:BI306">
    <cfRule type="expression" dxfId="1" priority="2">
      <formula>AND(BI7&gt;0,BH7&lt;&gt;"Présent")</formula>
    </cfRule>
  </conditionalFormatting>
  <conditionalFormatting sqref="BH5:BI6">
    <cfRule type="expression" dxfId="8" priority="8">
      <formula>AND(BH$5&lt;&gt;"",WEEKDAY(BH$5,2)&gt;5)</formula>
    </cfRule>
  </conditionalFormatting>
  <conditionalFormatting sqref="BJ7:BK306">
    <cfRule type="expression" dxfId="7" priority="1">
      <formula>BJ$5=""</formula>
    </cfRule>
  </conditionalFormatting>
  <conditionalFormatting sqref="BK7:BK306">
    <cfRule type="expression" dxfId="1" priority="2">
      <formula>AND(BK7&gt;0,BJ7&lt;&gt;"Présent")</formula>
    </cfRule>
  </conditionalFormatting>
  <conditionalFormatting sqref="BJ5:BK6">
    <cfRule type="expression" dxfId="8" priority="8">
      <formula>AND(BJ$5&lt;&gt;"",WEEKDAY(BJ$5,2)&gt;5)</formula>
    </cfRule>
  </conditionalFormatting>
  <conditionalFormatting sqref="BL7:BM306">
    <cfRule type="expression" dxfId="7" priority="1">
      <formula>BL$5=""</formula>
    </cfRule>
  </conditionalFormatting>
  <conditionalFormatting sqref="BM7:BM306">
    <cfRule type="expression" dxfId="1" priority="2">
      <formula>AND(BM7&gt;0,BL7&lt;&gt;"Présent")</formula>
    </cfRule>
  </conditionalFormatting>
  <conditionalFormatting sqref="BL5:BM6">
    <cfRule type="expression" dxfId="8" priority="8">
      <formula>AND(BL$5&lt;&gt;"",WEEKDAY(BL$5,2)&gt;5)</formula>
    </cfRule>
  </conditionalFormatting>
  <conditionalFormatting sqref="A7:C306">
    <cfRule type="expression" dxfId="10" priority="10">
      <formula>MOD(ROW(),2)=0</formula>
    </cfRule>
  </conditionalFormatting>
  <dataValidations count="2">
    <dataValidation type="list" allowBlank="1" showInputMessage="1" showErrorMessage="1" sqref="D7:D306 F7:F306 H7:H306 J7:J306 L7:L306 N7:N306 P7:P306 R7:R306 T7:T306 V7:V306 X7:X306 Z7:Z306 AB7:AB306 AD7:AD306 AF7:AF306 AH7:AH306 AJ7:AJ306 AL7:AL306 AN7:AN306 AP7:AP306 AR7:AR306 AT7:AT306 AV7:AV306 AX7:AX306 AZ7:AZ306 BB7:BB306 BD7:BD306 BF7:BF306 BH7:BH306 BJ7:BJ306 BL7:BL306">
      <formula1>"Présent,Absent,Congé,Maladie"</formula1>
    </dataValidation>
    <dataValidation type="decimal" operator="greaterThanOrEqual" allowBlank="1" showInputMessage="1" showErrorMessage="1" sqref="E7:E306 G7:G306 I7:I306 K7:K306 M7:M306 O7:O306 Q7:Q306 S7:S306 U7:U306 W7:W306 Y7:Y306 AA7:AA306 AC7:AC306 AE7:AE306 AG7:AG306 AI7:AI306 AK7:AK306 AM7:AM306 AO7:AO306 AQ7:AQ306 AS7:AS306 AU7:AU306 AW7:AW306 AY7:AY306 BA7:BA306 BC7:BC306 BE7:BE306 BG7:BG306 BI7:BI306 BK7:BK306 BM7:BM306">
      <formula1>0</formula1>
    </dataValidation>
  </dataValidations>
  <hyperlinks>
    <hyperlink ref="A1" location="'PARAMÈTRES'!A1" display="⚙ PARAMÈTRES"/>
    <hyperlink ref="B1" location="'EMPLOYÉS'!A1" display="👥 EMPLOYÉS"/>
    <hyperlink ref="C1" location="'POINTAGE'!A1" display="✓ POINTAGE"/>
    <hyperlink ref="D1" location="'TABLEAU DE BORD'!A1" display="▦ TABLEAU DE BORD"/>
    <hyperlink ref="E1" location="'RECHERCHE'!A1" display="⌕"/>
    <hyperlink ref="F1" location="'PAIE (15 Jours)'!A1" display="MAD PAIE"/>
    <hyperlink ref="G1" location="'IMPRESSION'!A1" display="▤"/>
  </hyperlinks>
  <printOptions horizontalCentered="1"/>
  <pageMargins left="0.4" right="0.4" top="0.5" bottom="0.5" header="0.2" footer="0.2"/>
  <pageSetup paperSize="9" orientation="landscape" fitToWidth="1" fitToHeight="0"/>
</worksheet>
</file>

<file path=xl/worksheets/sheet4.xml><?xml version="1.0" encoding="utf-8"?>
<worksheet xmlns="http://schemas.openxmlformats.org/spreadsheetml/2006/main" xmlns:r="http://schemas.openxmlformats.org/officeDocument/2006/relationships">
  <sheetPr>
    <tabColor rgb="FF17365D"/>
    <pageSetUpPr fitToPage="1"/>
  </sheetPr>
  <dimension ref="A1:W59"/>
  <sheetViews>
    <sheetView showGridLines="0" workbookViewId="0"/>
  </sheetViews>
  <sheetFormatPr defaultRowHeight="15"/>
  <cols>
    <col min="1" max="1" width="13" customWidth="1"/>
    <col min="2" max="2" width="13" customWidth="1"/>
    <col min="3" max="3" width="13" customWidth="1"/>
    <col min="4" max="4" width="13" customWidth="1"/>
    <col min="5" max="5" width="13" customWidth="1"/>
    <col min="6" max="6" width="13" customWidth="1"/>
    <col min="7" max="7" width="13" customWidth="1"/>
    <col min="8" max="8" width="13" customWidth="1"/>
    <col min="9" max="9" width="13" customWidth="1"/>
    <col min="10" max="10" width="13" customWidth="1"/>
    <col min="11" max="11" width="13" customWidth="1"/>
    <col min="12" max="12" width="13" customWidth="1"/>
    <col min="13" max="13" width="13" customWidth="1"/>
  </cols>
  <sheetData>
    <row r="1" ht="23" customHeight="1">
      <c r="A1" s="1" t="inlineStr">
        <is>
          <t xml:space="preserve">⚙ PARAMÈTRES</t>
        </is>
      </c>
      <c r="B1" s="1" t="inlineStr">
        <is>
          <t xml:space="preserve">👥 EMPLOYÉS</t>
        </is>
      </c>
      <c r="C1" s="1" t="inlineStr">
        <is>
          <t xml:space="preserve">✓ POINTAGE</t>
        </is>
      </c>
      <c r="D1" s="2" t="inlineStr">
        <is>
          <t xml:space="preserve">▦ TABLEAU DE BORD</t>
        </is>
      </c>
      <c r="E1" s="1" t="inlineStr">
        <is>
          <t xml:space="preserve">⌕ RECHERCHE</t>
        </is>
      </c>
      <c r="F1" s="1" t="inlineStr">
        <is>
          <t xml:space="preserve">MAD PAIE</t>
        </is>
      </c>
      <c r="G1" s="1" t="inlineStr">
        <is>
          <t xml:space="preserve">▤ IMPRESSION</t>
        </is>
      </c>
      <c r="P1" s="45" t="inlineStr">
        <is>
          <t xml:space="preserve">Statut</t>
        </is>
      </c>
      <c r="Q1" s="45" t="inlineStr">
        <is>
          <t xml:space="preserve">Nombre</t>
        </is>
      </c>
      <c r="S1" s="45" t="inlineStr">
        <is>
          <t xml:space="preserve">Catégorie</t>
        </is>
      </c>
      <c r="T1" s="45" t="inlineStr">
        <is>
          <t xml:space="preserve">Employés</t>
        </is>
      </c>
      <c r="V1" s="45" t="inlineStr">
        <is>
          <t xml:space="preserve">Jour</t>
        </is>
      </c>
      <c r="W1" s="45" t="inlineStr">
        <is>
          <t xml:space="preserve">Paie brute cumulée</t>
        </is>
      </c>
    </row>
    <row r="2" ht="34" customHeight="1">
      <c r="A2" s="3" t="inlineStr">
        <is>
          <t xml:space="preserve">  TABLEAU DE BORD RH &amp; PAIE</t>
        </is>
      </c>
      <c r="P2" s="19" t="inlineStr">
        <is>
          <t xml:space="preserve">Présent</t>
        </is>
      </c>
      <c r="Q2" s="46">
        <f>SUM(Pointage_Travailles)</f>
      </c>
      <c r="S2" s="19">
        <f>IFERROR(INDEX(ListeCategories,1),"")</f>
      </c>
      <c r="T2" s="46">
        <f>IF(S2="",0,COUNTIFS(Employes_Categorie,S2,Employes_Statut,"Actif"))</f>
      </c>
      <c r="V2" s="46">
        <v>1</v>
      </c>
      <c r="W2" s="47">
        <f>IF(V2&gt;DAY(EOMONTH(DATE(AnneeCourante,MoisCourant,1),0)),"",SUMPRODUCT(--('POINTAGE'!$D$7:$D$306="Présent"),'PAIE (15 Jours)'!$D$7:$D$306)+SUMPRODUCT(--('POINTAGE'!$D$7:$D$306="Présent"),'POINTAGE'!$E$7:$E$306,'PAIE (15 Jours)'!$E$7:$E$306))</f>
      </c>
    </row>
    <row r="3" ht="18" customHeight="1">
      <c r="A3" s="5" t="inlineStr">
        <is>
          <t xml:space="preserve">  Indicateurs en temps réel pour la période sélectionnée dans PARAMÈTRES.</t>
        </is>
      </c>
      <c r="P3" s="19" t="inlineStr">
        <is>
          <t xml:space="preserve">Absent</t>
        </is>
      </c>
      <c r="Q3" s="46">
        <f>SUM(Pointage_Absences)</f>
      </c>
      <c r="S3" s="19">
        <f>IFERROR(INDEX(ListeCategories,2),"")</f>
      </c>
      <c r="T3" s="46">
        <f>IF(S3="",0,COUNTIFS(Employes_Categorie,S3,Employes_Statut,"Actif"))</f>
      </c>
      <c r="V3" s="46">
        <v>2</v>
      </c>
      <c r="W3" s="47">
        <f>IF(V3&gt;DAY(EOMONTH(DATE(AnneeCourante,MoisCourant,1),0)),"",W2+SUMPRODUCT(--('POINTAGE'!$F$7:$F$306="Présent"),'PAIE (15 Jours)'!$D$7:$D$306)+SUMPRODUCT(--('POINTAGE'!$F$7:$F$306="Présent"),'POINTAGE'!$G$7:$G$306,'PAIE (15 Jours)'!$E$7:$E$306))</f>
      </c>
    </row>
    <row r="4">
      <c r="P4" s="19" t="inlineStr">
        <is>
          <t xml:space="preserve">Congé</t>
        </is>
      </c>
      <c r="Q4" s="46">
        <f>SUM(Pointage_Conges)</f>
      </c>
      <c r="S4" s="19">
        <f>IFERROR(INDEX(ListeCategories,3),"")</f>
      </c>
      <c r="T4" s="46">
        <f>IF(S4="",0,COUNTIFS(Employes_Categorie,S4,Employes_Statut,"Actif"))</f>
      </c>
      <c r="V4" s="46">
        <v>3</v>
      </c>
      <c r="W4" s="47">
        <f>IF(V4&gt;DAY(EOMONTH(DATE(AnneeCourante,MoisCourant,1),0)),"",W3+SUMPRODUCT(--('POINTAGE'!$H$7:$H$306="Présent"),'PAIE (15 Jours)'!$D$7:$D$306)+SUMPRODUCT(--('POINTAGE'!$H$7:$H$306="Présent"),'POINTAGE'!$I$7:$I$306,'PAIE (15 Jours)'!$E$7:$E$306))</f>
      </c>
    </row>
    <row r="5" ht="21" customHeight="1">
      <c r="B5" s="31" t="inlineStr">
        <is>
          <t xml:space="preserve">TOTAL EMPLOYÉS ACTIFS</t>
        </is>
      </c>
      <c r="E5" s="40" t="inlineStr">
        <is>
          <t xml:space="preserve">PRÉSENTS AUJOURD’HUI</t>
        </is>
      </c>
      <c r="H5" s="41" t="inlineStr">
        <is>
          <t xml:space="preserve">ABSENTS AUJOURD’HUI</t>
        </is>
      </c>
      <c r="P5" s="19" t="inlineStr">
        <is>
          <t xml:space="preserve">Maladie</t>
        </is>
      </c>
      <c r="Q5" s="46">
        <f>SUM(Pointage_Maladies)</f>
      </c>
      <c r="S5" s="19">
        <f>IFERROR(INDEX(ListeCategories,4),"")</f>
      </c>
      <c r="T5" s="46">
        <f>IF(S5="",0,COUNTIFS(Employes_Categorie,S5,Employes_Statut,"Actif"))</f>
      </c>
      <c r="V5" s="46">
        <v>4</v>
      </c>
      <c r="W5" s="47">
        <f>IF(V5&gt;DAY(EOMONTH(DATE(AnneeCourante,MoisCourant,1),0)),"",W4+SUMPRODUCT(--('POINTAGE'!$J$7:$J$306="Présent"),'PAIE (15 Jours)'!$D$7:$D$306)+SUMPRODUCT(--('POINTAGE'!$J$7:$J$306="Présent"),'POINTAGE'!$K$7:$K$306,'PAIE (15 Jours)'!$E$7:$E$306))</f>
      </c>
    </row>
    <row r="6" ht="24" customHeight="1">
      <c r="B6" s="32">
        <f>COUNTIF(Employes_Statut,"Actif")</f>
      </c>
      <c r="E6" s="32">
        <f>IF(AND(AnneeCourante=YEAR(TODAY()),MoisCourant=MONTH(TODAY())),SUMPRODUCT(--(INDEX('POINTAGE'!$D$7:$BM$306,0,2*DAY(TODAY())-1)="Présent")),0)</f>
      </c>
      <c r="H6" s="32">
        <f>IF(AND(AnneeCourante=YEAR(TODAY()),MoisCourant=MONTH(TODAY())),SUMPRODUCT(--(INDEX('POINTAGE'!$D$7:$BM$306,0,2*DAY(TODAY())-1)="Absent")),0)</f>
      </c>
      <c r="S6" s="19">
        <f>IFERROR(INDEX(ListeCategories,5),"")</f>
      </c>
      <c r="T6" s="46">
        <f>IF(S6="",0,COUNTIFS(Employes_Categorie,S6,Employes_Statut,"Actif"))</f>
      </c>
      <c r="V6" s="46">
        <v>5</v>
      </c>
      <c r="W6" s="47">
        <f>IF(V6&gt;DAY(EOMONTH(DATE(AnneeCourante,MoisCourant,1),0)),"",W5+SUMPRODUCT(--('POINTAGE'!$L$7:$L$306="Présent"),'PAIE (15 Jours)'!$D$7:$D$306)+SUMPRODUCT(--('POINTAGE'!$L$7:$L$306="Présent"),'POINTAGE'!$M$7:$M$306,'PAIE (15 Jours)'!$E$7:$E$306))</f>
      </c>
    </row>
    <row r="7" ht="24" customHeight="1">
      <c r="S7" s="19">
        <f>IFERROR(INDEX(ListeCategories,6),"")</f>
      </c>
      <c r="T7" s="46">
        <f>IF(S7="",0,COUNTIFS(Employes_Categorie,S7,Employes_Statut,"Actif"))</f>
      </c>
      <c r="V7" s="46">
        <v>6</v>
      </c>
      <c r="W7" s="47">
        <f>IF(V7&gt;DAY(EOMONTH(DATE(AnneeCourante,MoisCourant,1),0)),"",W6+SUMPRODUCT(--('POINTAGE'!$N$7:$N$306="Présent"),'PAIE (15 Jours)'!$D$7:$D$306)+SUMPRODUCT(--('POINTAGE'!$N$7:$N$306="Présent"),'POINTAGE'!$O$7:$O$306,'PAIE (15 Jours)'!$E$7:$E$306))</f>
      </c>
    </row>
    <row r="8">
      <c r="S8" s="19">
        <f>IFERROR(INDEX(ListeCategories,7),"")</f>
      </c>
      <c r="T8" s="46">
        <f>IF(S8="",0,COUNTIFS(Employes_Categorie,S8,Employes_Statut,"Actif"))</f>
      </c>
      <c r="V8" s="46">
        <v>7</v>
      </c>
      <c r="W8" s="47">
        <f>IF(V8&gt;DAY(EOMONTH(DATE(AnneeCourante,MoisCourant,1),0)),"",W7+SUMPRODUCT(--('POINTAGE'!$P$7:$P$306="Présent"),'PAIE (15 Jours)'!$D$7:$D$306)+SUMPRODUCT(--('POINTAGE'!$P$7:$P$306="Présent"),'POINTAGE'!$Q$7:$Q$306,'PAIE (15 Jours)'!$E$7:$E$306))</f>
      </c>
    </row>
    <row r="9" ht="21" customHeight="1">
      <c r="B9" s="42" t="inlineStr">
        <is>
          <t xml:space="preserve">TOTAL HEURES HS</t>
        </is>
      </c>
      <c r="E9" s="43" t="inlineStr">
        <is>
          <t xml:space="preserve">PAIE ESTIMÉE</t>
        </is>
      </c>
      <c r="H9" s="44" t="inlineStr">
        <is>
          <t xml:space="preserve">PAIE RESTANTE</t>
        </is>
      </c>
      <c r="P9" s="45" t="inlineStr">
        <is>
          <t xml:space="preserve">Catégorie</t>
        </is>
      </c>
      <c r="Q9" s="45" t="inlineStr">
        <is>
          <t xml:space="preserve">Heures HS</t>
        </is>
      </c>
      <c r="S9" s="19">
        <f>IFERROR(INDEX(ListeCategories,8),"")</f>
      </c>
      <c r="T9" s="46">
        <f>IF(S9="",0,COUNTIFS(Employes_Categorie,S9,Employes_Statut,"Actif"))</f>
      </c>
      <c r="V9" s="46">
        <v>8</v>
      </c>
      <c r="W9" s="47">
        <f>IF(V9&gt;DAY(EOMONTH(DATE(AnneeCourante,MoisCourant,1),0)),"",W8+SUMPRODUCT(--('POINTAGE'!$R$7:$R$306="Présent"),'PAIE (15 Jours)'!$D$7:$D$306)+SUMPRODUCT(--('POINTAGE'!$R$7:$R$306="Présent"),'POINTAGE'!$S$7:$S$306,'PAIE (15 Jours)'!$E$7:$E$306))</f>
      </c>
    </row>
    <row r="10" ht="24" customHeight="1">
      <c r="B10" s="33">
        <f>SUM(Pointage_HS)</f>
      </c>
      <c r="E10" s="34">
        <f>SUM(Paie_NetMensuel)</f>
      </c>
      <c r="H10" s="34">
        <f>BudgetPaie-SUM(Paie_NetMensuel)</f>
      </c>
      <c r="P10" s="19">
        <f>IFERROR(INDEX(ListeCategories,1),"")</f>
      </c>
      <c r="Q10" s="46">
        <f>IF(P10="",0,SUMIF(Pointage_Categorie,P10,Pointage_HS))</f>
      </c>
      <c r="S10" s="19">
        <f>IFERROR(INDEX(ListeCategories,9),"")</f>
      </c>
      <c r="T10" s="46">
        <f>IF(S10="",0,COUNTIFS(Employes_Categorie,S10,Employes_Statut,"Actif"))</f>
      </c>
      <c r="V10" s="46">
        <v>9</v>
      </c>
      <c r="W10" s="47">
        <f>IF(V10&gt;DAY(EOMONTH(DATE(AnneeCourante,MoisCourant,1),0)),"",W9+SUMPRODUCT(--('POINTAGE'!$T$7:$T$306="Présent"),'PAIE (15 Jours)'!$D$7:$D$306)+SUMPRODUCT(--('POINTAGE'!$T$7:$T$306="Présent"),'POINTAGE'!$U$7:$U$306,'PAIE (15 Jours)'!$E$7:$E$306))</f>
      </c>
    </row>
    <row r="11" ht="24" customHeight="1">
      <c r="P11" s="19">
        <f>IFERROR(INDEX(ListeCategories,2),"")</f>
      </c>
      <c r="Q11" s="46">
        <f>IF(P11="",0,SUMIF(Pointage_Categorie,P11,Pointage_HS))</f>
      </c>
      <c r="S11" s="19">
        <f>IFERROR(INDEX(ListeCategories,10),"")</f>
      </c>
      <c r="T11" s="46">
        <f>IF(S11="",0,COUNTIFS(Employes_Categorie,S11,Employes_Statut,"Actif"))</f>
      </c>
      <c r="V11" s="46">
        <v>10</v>
      </c>
      <c r="W11" s="47">
        <f>IF(V11&gt;DAY(EOMONTH(DATE(AnneeCourante,MoisCourant,1),0)),"",W10+SUMPRODUCT(--('POINTAGE'!$V$7:$V$306="Présent"),'PAIE (15 Jours)'!$D$7:$D$306)+SUMPRODUCT(--('POINTAGE'!$V$7:$V$306="Présent"),'POINTAGE'!$W$7:$W$306,'PAIE (15 Jours)'!$E$7:$E$306))</f>
      </c>
    </row>
    <row r="12">
      <c r="P12" s="19">
        <f>IFERROR(INDEX(ListeCategories,3),"")</f>
      </c>
      <c r="Q12" s="46">
        <f>IF(P12="",0,SUMIF(Pointage_Categorie,P12,Pointage_HS))</f>
      </c>
      <c r="S12" s="19">
        <f>IFERROR(INDEX(ListeCategories,11),"")</f>
      </c>
      <c r="T12" s="46">
        <f>IF(S12="",0,COUNTIFS(Employes_Categorie,S12,Employes_Statut,"Actif"))</f>
      </c>
      <c r="V12" s="46">
        <v>11</v>
      </c>
      <c r="W12" s="47">
        <f>IF(V12&gt;DAY(EOMONTH(DATE(AnneeCourante,MoisCourant,1),0)),"",W11+SUMPRODUCT(--('POINTAGE'!$X$7:$X$306="Présent"),'PAIE (15 Jours)'!$D$7:$D$306)+SUMPRODUCT(--('POINTAGE'!$X$7:$X$306="Présent"),'POINTAGE'!$Y$7:$Y$306,'PAIE (15 Jours)'!$E$7:$E$306))</f>
      </c>
    </row>
    <row r="13">
      <c r="P13" s="19">
        <f>IFERROR(INDEX(ListeCategories,4),"")</f>
      </c>
      <c r="Q13" s="46">
        <f>IF(P13="",0,SUMIF(Pointage_Categorie,P13,Pointage_HS))</f>
      </c>
      <c r="S13" s="19">
        <f>IFERROR(INDEX(ListeCategories,12),"")</f>
      </c>
      <c r="T13" s="46">
        <f>IF(S13="",0,COUNTIFS(Employes_Categorie,S13,Employes_Statut,"Actif"))</f>
      </c>
      <c r="V13" s="46">
        <v>12</v>
      </c>
      <c r="W13" s="47">
        <f>IF(V13&gt;DAY(EOMONTH(DATE(AnneeCourante,MoisCourant,1),0)),"",W12+SUMPRODUCT(--('POINTAGE'!$Z$7:$Z$306="Présent"),'PAIE (15 Jours)'!$D$7:$D$306)+SUMPRODUCT(--('POINTAGE'!$Z$7:$Z$306="Présent"),'POINTAGE'!$AA$7:$AA$306,'PAIE (15 Jours)'!$E$7:$E$306))</f>
      </c>
    </row>
    <row r="14">
      <c r="P14" s="19">
        <f>IFERROR(INDEX(ListeCategories,5),"")</f>
      </c>
      <c r="Q14" s="46">
        <f>IF(P14="",0,SUMIF(Pointage_Categorie,P14,Pointage_HS))</f>
      </c>
      <c r="S14" s="19">
        <f>IFERROR(INDEX(ListeCategories,13),"")</f>
      </c>
      <c r="T14" s="46">
        <f>IF(S14="",0,COUNTIFS(Employes_Categorie,S14,Employes_Statut,"Actif"))</f>
      </c>
      <c r="V14" s="46">
        <v>13</v>
      </c>
      <c r="W14" s="47">
        <f>IF(V14&gt;DAY(EOMONTH(DATE(AnneeCourante,MoisCourant,1),0)),"",W13+SUMPRODUCT(--('POINTAGE'!$AB$7:$AB$306="Présent"),'PAIE (15 Jours)'!$D$7:$D$306)+SUMPRODUCT(--('POINTAGE'!$AB$7:$AB$306="Présent"),'POINTAGE'!$AC$7:$AC$306,'PAIE (15 Jours)'!$E$7:$E$306))</f>
      </c>
    </row>
    <row r="15">
      <c r="P15" s="19">
        <f>IFERROR(INDEX(ListeCategories,6),"")</f>
      </c>
      <c r="Q15" s="46">
        <f>IF(P15="",0,SUMIF(Pointage_Categorie,P15,Pointage_HS))</f>
      </c>
      <c r="S15" s="19">
        <f>IFERROR(INDEX(ListeCategories,14),"")</f>
      </c>
      <c r="T15" s="46">
        <f>IF(S15="",0,COUNTIFS(Employes_Categorie,S15,Employes_Statut,"Actif"))</f>
      </c>
      <c r="V15" s="46">
        <v>14</v>
      </c>
      <c r="W15" s="47">
        <f>IF(V15&gt;DAY(EOMONTH(DATE(AnneeCourante,MoisCourant,1),0)),"",W14+SUMPRODUCT(--('POINTAGE'!$AD$7:$AD$306="Présent"),'PAIE (15 Jours)'!$D$7:$D$306)+SUMPRODUCT(--('POINTAGE'!$AD$7:$AD$306="Présent"),'POINTAGE'!$AE$7:$AE$306,'PAIE (15 Jours)'!$E$7:$E$306))</f>
      </c>
    </row>
    <row r="16">
      <c r="P16" s="19">
        <f>IFERROR(INDEX(ListeCategories,7),"")</f>
      </c>
      <c r="Q16" s="46">
        <f>IF(P16="",0,SUMIF(Pointage_Categorie,P16,Pointage_HS))</f>
      </c>
      <c r="S16" s="19">
        <f>IFERROR(INDEX(ListeCategories,15),"")</f>
      </c>
      <c r="T16" s="46">
        <f>IF(S16="",0,COUNTIFS(Employes_Categorie,S16,Employes_Statut,"Actif"))</f>
      </c>
      <c r="V16" s="46">
        <v>15</v>
      </c>
      <c r="W16" s="47">
        <f>IF(V16&gt;DAY(EOMONTH(DATE(AnneeCourante,MoisCourant,1),0)),"",W15+SUMPRODUCT(--('POINTAGE'!$AF$7:$AF$306="Présent"),'PAIE (15 Jours)'!$D$7:$D$306)+SUMPRODUCT(--('POINTAGE'!$AF$7:$AF$306="Présent"),'POINTAGE'!$AG$7:$AG$306,'PAIE (15 Jours)'!$E$7:$E$306))</f>
      </c>
    </row>
    <row r="17">
      <c r="P17" s="19">
        <f>IFERROR(INDEX(ListeCategories,8),"")</f>
      </c>
      <c r="Q17" s="46">
        <f>IF(P17="",0,SUMIF(Pointage_Categorie,P17,Pointage_HS))</f>
      </c>
      <c r="S17" s="19">
        <f>IFERROR(INDEX(ListeCategories,16),"")</f>
      </c>
      <c r="T17" s="46">
        <f>IF(S17="",0,COUNTIFS(Employes_Categorie,S17,Employes_Statut,"Actif"))</f>
      </c>
      <c r="V17" s="46">
        <v>16</v>
      </c>
      <c r="W17" s="47">
        <f>IF(V17&gt;DAY(EOMONTH(DATE(AnneeCourante,MoisCourant,1),0)),"",W16+SUMPRODUCT(--('POINTAGE'!$AH$7:$AH$306="Présent"),'PAIE (15 Jours)'!$D$7:$D$306)+SUMPRODUCT(--('POINTAGE'!$AH$7:$AH$306="Présent"),'POINTAGE'!$AI$7:$AI$306,'PAIE (15 Jours)'!$E$7:$E$306))</f>
      </c>
    </row>
    <row r="18">
      <c r="P18" s="19">
        <f>IFERROR(INDEX(ListeCategories,9),"")</f>
      </c>
      <c r="Q18" s="46">
        <f>IF(P18="",0,SUMIF(Pointage_Categorie,P18,Pointage_HS))</f>
      </c>
      <c r="S18" s="19">
        <f>IFERROR(INDEX(ListeCategories,17),"")</f>
      </c>
      <c r="T18" s="46">
        <f>IF(S18="",0,COUNTIFS(Employes_Categorie,S18,Employes_Statut,"Actif"))</f>
      </c>
      <c r="V18" s="46">
        <v>17</v>
      </c>
      <c r="W18" s="47">
        <f>IF(V18&gt;DAY(EOMONTH(DATE(AnneeCourante,MoisCourant,1),0)),"",W17+SUMPRODUCT(--('POINTAGE'!$AJ$7:$AJ$306="Présent"),'PAIE (15 Jours)'!$D$7:$D$306)+SUMPRODUCT(--('POINTAGE'!$AJ$7:$AJ$306="Présent"),'POINTAGE'!$AK$7:$AK$306,'PAIE (15 Jours)'!$E$7:$E$306))</f>
      </c>
    </row>
    <row r="19">
      <c r="P19" s="19">
        <f>IFERROR(INDEX(ListeCategories,10),"")</f>
      </c>
      <c r="Q19" s="46">
        <f>IF(P19="",0,SUMIF(Pointage_Categorie,P19,Pointage_HS))</f>
      </c>
      <c r="S19" s="19">
        <f>IFERROR(INDEX(ListeCategories,18),"")</f>
      </c>
      <c r="T19" s="46">
        <f>IF(S19="",0,COUNTIFS(Employes_Categorie,S19,Employes_Statut,"Actif"))</f>
      </c>
      <c r="V19" s="46">
        <v>18</v>
      </c>
      <c r="W19" s="47">
        <f>IF(V19&gt;DAY(EOMONTH(DATE(AnneeCourante,MoisCourant,1),0)),"",W18+SUMPRODUCT(--('POINTAGE'!$AL$7:$AL$306="Présent"),'PAIE (15 Jours)'!$D$7:$D$306)+SUMPRODUCT(--('POINTAGE'!$AL$7:$AL$306="Présent"),'POINTAGE'!$AM$7:$AM$306,'PAIE (15 Jours)'!$E$7:$E$306))</f>
      </c>
    </row>
    <row r="20">
      <c r="P20" s="19">
        <f>IFERROR(INDEX(ListeCategories,11),"")</f>
      </c>
      <c r="Q20" s="46">
        <f>IF(P20="",0,SUMIF(Pointage_Categorie,P20,Pointage_HS))</f>
      </c>
      <c r="S20" s="19">
        <f>IFERROR(INDEX(ListeCategories,19),"")</f>
      </c>
      <c r="T20" s="46">
        <f>IF(S20="",0,COUNTIFS(Employes_Categorie,S20,Employes_Statut,"Actif"))</f>
      </c>
      <c r="V20" s="46">
        <v>19</v>
      </c>
      <c r="W20" s="47">
        <f>IF(V20&gt;DAY(EOMONTH(DATE(AnneeCourante,MoisCourant,1),0)),"",W19+SUMPRODUCT(--('POINTAGE'!$AN$7:$AN$306="Présent"),'PAIE (15 Jours)'!$D$7:$D$306)+SUMPRODUCT(--('POINTAGE'!$AN$7:$AN$306="Présent"),'POINTAGE'!$AO$7:$AO$306,'PAIE (15 Jours)'!$E$7:$E$306))</f>
      </c>
    </row>
    <row r="21">
      <c r="P21" s="19">
        <f>IFERROR(INDEX(ListeCategories,12),"")</f>
      </c>
      <c r="Q21" s="46">
        <f>IF(P21="",0,SUMIF(Pointage_Categorie,P21,Pointage_HS))</f>
      </c>
      <c r="S21" s="19">
        <f>IFERROR(INDEX(ListeCategories,20),"")</f>
      </c>
      <c r="T21" s="46">
        <f>IF(S21="",0,COUNTIFS(Employes_Categorie,S21,Employes_Statut,"Actif"))</f>
      </c>
      <c r="V21" s="46">
        <v>20</v>
      </c>
      <c r="W21" s="47">
        <f>IF(V21&gt;DAY(EOMONTH(DATE(AnneeCourante,MoisCourant,1),0)),"",W20+SUMPRODUCT(--('POINTAGE'!$AP$7:$AP$306="Présent"),'PAIE (15 Jours)'!$D$7:$D$306)+SUMPRODUCT(--('POINTAGE'!$AP$7:$AP$306="Présent"),'POINTAGE'!$AQ$7:$AQ$306,'PAIE (15 Jours)'!$E$7:$E$306))</f>
      </c>
    </row>
    <row r="22">
      <c r="P22" s="19">
        <f>IFERROR(INDEX(ListeCategories,13),"")</f>
      </c>
      <c r="Q22" s="46">
        <f>IF(P22="",0,SUMIF(Pointage_Categorie,P22,Pointage_HS))</f>
      </c>
      <c r="S22" s="19">
        <f>IFERROR(INDEX(ListeCategories,21),"")</f>
      </c>
      <c r="T22" s="46">
        <f>IF(S22="",0,COUNTIFS(Employes_Categorie,S22,Employes_Statut,"Actif"))</f>
      </c>
      <c r="V22" s="46">
        <v>21</v>
      </c>
      <c r="W22" s="47">
        <f>IF(V22&gt;DAY(EOMONTH(DATE(AnneeCourante,MoisCourant,1),0)),"",W21+SUMPRODUCT(--('POINTAGE'!$AR$7:$AR$306="Présent"),'PAIE (15 Jours)'!$D$7:$D$306)+SUMPRODUCT(--('POINTAGE'!$AR$7:$AR$306="Présent"),'POINTAGE'!$AS$7:$AS$306,'PAIE (15 Jours)'!$E$7:$E$306))</f>
      </c>
    </row>
    <row r="23">
      <c r="P23" s="19">
        <f>IFERROR(INDEX(ListeCategories,14),"")</f>
      </c>
      <c r="Q23" s="46">
        <f>IF(P23="",0,SUMIF(Pointage_Categorie,P23,Pointage_HS))</f>
      </c>
      <c r="S23" s="19">
        <f>IFERROR(INDEX(ListeCategories,22),"")</f>
      </c>
      <c r="T23" s="46">
        <f>IF(S23="",0,COUNTIFS(Employes_Categorie,S23,Employes_Statut,"Actif"))</f>
      </c>
      <c r="V23" s="46">
        <v>22</v>
      </c>
      <c r="W23" s="47">
        <f>IF(V23&gt;DAY(EOMONTH(DATE(AnneeCourante,MoisCourant,1),0)),"",W22+SUMPRODUCT(--('POINTAGE'!$AT$7:$AT$306="Présent"),'PAIE (15 Jours)'!$D$7:$D$306)+SUMPRODUCT(--('POINTAGE'!$AT$7:$AT$306="Présent"),'POINTAGE'!$AU$7:$AU$306,'PAIE (15 Jours)'!$E$7:$E$306))</f>
      </c>
    </row>
    <row r="24">
      <c r="P24" s="19">
        <f>IFERROR(INDEX(ListeCategories,15),"")</f>
      </c>
      <c r="Q24" s="46">
        <f>IF(P24="",0,SUMIF(Pointage_Categorie,P24,Pointage_HS))</f>
      </c>
      <c r="S24" s="19">
        <f>IFERROR(INDEX(ListeCategories,23),"")</f>
      </c>
      <c r="T24" s="46">
        <f>IF(S24="",0,COUNTIFS(Employes_Categorie,S24,Employes_Statut,"Actif"))</f>
      </c>
      <c r="V24" s="46">
        <v>23</v>
      </c>
      <c r="W24" s="47">
        <f>IF(V24&gt;DAY(EOMONTH(DATE(AnneeCourante,MoisCourant,1),0)),"",W23+SUMPRODUCT(--('POINTAGE'!$AV$7:$AV$306="Présent"),'PAIE (15 Jours)'!$D$7:$D$306)+SUMPRODUCT(--('POINTAGE'!$AV$7:$AV$306="Présent"),'POINTAGE'!$AW$7:$AW$306,'PAIE (15 Jours)'!$E$7:$E$306))</f>
      </c>
    </row>
    <row r="25">
      <c r="P25" s="19">
        <f>IFERROR(INDEX(ListeCategories,16),"")</f>
      </c>
      <c r="Q25" s="46">
        <f>IF(P25="",0,SUMIF(Pointage_Categorie,P25,Pointage_HS))</f>
      </c>
      <c r="S25" s="19">
        <f>IFERROR(INDEX(ListeCategories,24),"")</f>
      </c>
      <c r="T25" s="46">
        <f>IF(S25="",0,COUNTIFS(Employes_Categorie,S25,Employes_Statut,"Actif"))</f>
      </c>
      <c r="V25" s="46">
        <v>24</v>
      </c>
      <c r="W25" s="47">
        <f>IF(V25&gt;DAY(EOMONTH(DATE(AnneeCourante,MoisCourant,1),0)),"",W24+SUMPRODUCT(--('POINTAGE'!$AX$7:$AX$306="Présent"),'PAIE (15 Jours)'!$D$7:$D$306)+SUMPRODUCT(--('POINTAGE'!$AX$7:$AX$306="Présent"),'POINTAGE'!$AY$7:$AY$306,'PAIE (15 Jours)'!$E$7:$E$306))</f>
      </c>
    </row>
    <row r="26">
      <c r="P26" s="19">
        <f>IFERROR(INDEX(ListeCategories,17),"")</f>
      </c>
      <c r="Q26" s="46">
        <f>IF(P26="",0,SUMIF(Pointage_Categorie,P26,Pointage_HS))</f>
      </c>
      <c r="S26" s="19">
        <f>IFERROR(INDEX(ListeCategories,25),"")</f>
      </c>
      <c r="T26" s="46">
        <f>IF(S26="",0,COUNTIFS(Employes_Categorie,S26,Employes_Statut,"Actif"))</f>
      </c>
      <c r="V26" s="46">
        <v>25</v>
      </c>
      <c r="W26" s="47">
        <f>IF(V26&gt;DAY(EOMONTH(DATE(AnneeCourante,MoisCourant,1),0)),"",W25+SUMPRODUCT(--('POINTAGE'!$AZ$7:$AZ$306="Présent"),'PAIE (15 Jours)'!$D$7:$D$306)+SUMPRODUCT(--('POINTAGE'!$AZ$7:$AZ$306="Présent"),'POINTAGE'!$BA$7:$BA$306,'PAIE (15 Jours)'!$E$7:$E$306))</f>
      </c>
    </row>
    <row r="27">
      <c r="P27" s="19">
        <f>IFERROR(INDEX(ListeCategories,18),"")</f>
      </c>
      <c r="Q27" s="46">
        <f>IF(P27="",0,SUMIF(Pointage_Categorie,P27,Pointage_HS))</f>
      </c>
      <c r="S27" s="19">
        <f>IFERROR(INDEX(ListeCategories,26),"")</f>
      </c>
      <c r="T27" s="46">
        <f>IF(S27="",0,COUNTIFS(Employes_Categorie,S27,Employes_Statut,"Actif"))</f>
      </c>
      <c r="V27" s="46">
        <v>26</v>
      </c>
      <c r="W27" s="47">
        <f>IF(V27&gt;DAY(EOMONTH(DATE(AnneeCourante,MoisCourant,1),0)),"",W26+SUMPRODUCT(--('POINTAGE'!$BB$7:$BB$306="Présent"),'PAIE (15 Jours)'!$D$7:$D$306)+SUMPRODUCT(--('POINTAGE'!$BB$7:$BB$306="Présent"),'POINTAGE'!$BC$7:$BC$306,'PAIE (15 Jours)'!$E$7:$E$306))</f>
      </c>
    </row>
    <row r="28">
      <c r="P28" s="19">
        <f>IFERROR(INDEX(ListeCategories,19),"")</f>
      </c>
      <c r="Q28" s="46">
        <f>IF(P28="",0,SUMIF(Pointage_Categorie,P28,Pointage_HS))</f>
      </c>
      <c r="S28" s="19">
        <f>IFERROR(INDEX(ListeCategories,27),"")</f>
      </c>
      <c r="T28" s="46">
        <f>IF(S28="",0,COUNTIFS(Employes_Categorie,S28,Employes_Statut,"Actif"))</f>
      </c>
      <c r="V28" s="46">
        <v>27</v>
      </c>
      <c r="W28" s="47">
        <f>IF(V28&gt;DAY(EOMONTH(DATE(AnneeCourante,MoisCourant,1),0)),"",W27+SUMPRODUCT(--('POINTAGE'!$BD$7:$BD$306="Présent"),'PAIE (15 Jours)'!$D$7:$D$306)+SUMPRODUCT(--('POINTAGE'!$BD$7:$BD$306="Présent"),'POINTAGE'!$BE$7:$BE$306,'PAIE (15 Jours)'!$E$7:$E$306))</f>
      </c>
    </row>
    <row r="29">
      <c r="P29" s="19">
        <f>IFERROR(INDEX(ListeCategories,20),"")</f>
      </c>
      <c r="Q29" s="46">
        <f>IF(P29="",0,SUMIF(Pointage_Categorie,P29,Pointage_HS))</f>
      </c>
      <c r="S29" s="19">
        <f>IFERROR(INDEX(ListeCategories,28),"")</f>
      </c>
      <c r="T29" s="46">
        <f>IF(S29="",0,COUNTIFS(Employes_Categorie,S29,Employes_Statut,"Actif"))</f>
      </c>
      <c r="V29" s="46">
        <v>28</v>
      </c>
      <c r="W29" s="47">
        <f>IF(V29&gt;DAY(EOMONTH(DATE(AnneeCourante,MoisCourant,1),0)),"",W28+SUMPRODUCT(--('POINTAGE'!$BF$7:$BF$306="Présent"),'PAIE (15 Jours)'!$D$7:$D$306)+SUMPRODUCT(--('POINTAGE'!$BF$7:$BF$306="Présent"),'POINTAGE'!$BG$7:$BG$306,'PAIE (15 Jours)'!$E$7:$E$306))</f>
      </c>
    </row>
    <row r="30">
      <c r="P30" s="19">
        <f>IFERROR(INDEX(ListeCategories,21),"")</f>
      </c>
      <c r="Q30" s="46">
        <f>IF(P30="",0,SUMIF(Pointage_Categorie,P30,Pointage_HS))</f>
      </c>
      <c r="S30" s="19">
        <f>IFERROR(INDEX(ListeCategories,29),"")</f>
      </c>
      <c r="T30" s="46">
        <f>IF(S30="",0,COUNTIFS(Employes_Categorie,S30,Employes_Statut,"Actif"))</f>
      </c>
      <c r="V30" s="46">
        <v>29</v>
      </c>
      <c r="W30" s="47">
        <f>IF(V30&gt;DAY(EOMONTH(DATE(AnneeCourante,MoisCourant,1),0)),"",W29+SUMPRODUCT(--('POINTAGE'!$BH$7:$BH$306="Présent"),'PAIE (15 Jours)'!$D$7:$D$306)+SUMPRODUCT(--('POINTAGE'!$BH$7:$BH$306="Présent"),'POINTAGE'!$BI$7:$BI$306,'PAIE (15 Jours)'!$E$7:$E$306))</f>
      </c>
    </row>
    <row r="31">
      <c r="P31" s="19">
        <f>IFERROR(INDEX(ListeCategories,22),"")</f>
      </c>
      <c r="Q31" s="46">
        <f>IF(P31="",0,SUMIF(Pointage_Categorie,P31,Pointage_HS))</f>
      </c>
      <c r="S31" s="19">
        <f>IFERROR(INDEX(ListeCategories,30),"")</f>
      </c>
      <c r="T31" s="46">
        <f>IF(S31="",0,COUNTIFS(Employes_Categorie,S31,Employes_Statut,"Actif"))</f>
      </c>
      <c r="V31" s="46">
        <v>30</v>
      </c>
      <c r="W31" s="47">
        <f>IF(V31&gt;DAY(EOMONTH(DATE(AnneeCourante,MoisCourant,1),0)),"",W30+SUMPRODUCT(--('POINTAGE'!$BJ$7:$BJ$306="Présent"),'PAIE (15 Jours)'!$D$7:$D$306)+SUMPRODUCT(--('POINTAGE'!$BJ$7:$BJ$306="Présent"),'POINTAGE'!$BK$7:$BK$306,'PAIE (15 Jours)'!$E$7:$E$306))</f>
      </c>
    </row>
    <row r="32">
      <c r="P32" s="19">
        <f>IFERROR(INDEX(ListeCategories,23),"")</f>
      </c>
      <c r="Q32" s="46">
        <f>IF(P32="",0,SUMIF(Pointage_Categorie,P32,Pointage_HS))</f>
      </c>
      <c r="S32" s="19">
        <f>IFERROR(INDEX(ListeCategories,31),"")</f>
      </c>
      <c r="T32" s="46">
        <f>IF(S32="",0,COUNTIFS(Employes_Categorie,S32,Employes_Statut,"Actif"))</f>
      </c>
      <c r="V32" s="46">
        <v>31</v>
      </c>
      <c r="W32" s="47">
        <f>IF(V32&gt;DAY(EOMONTH(DATE(AnneeCourante,MoisCourant,1),0)),"",W31+SUMPRODUCT(--('POINTAGE'!$BL$7:$BL$306="Présent"),'PAIE (15 Jours)'!$D$7:$D$306)+SUMPRODUCT(--('POINTAGE'!$BL$7:$BL$306="Présent"),'POINTAGE'!$BM$7:$BM$306,'PAIE (15 Jours)'!$E$7:$E$306))</f>
      </c>
    </row>
    <row r="33">
      <c r="P33" s="19">
        <f>IFERROR(INDEX(ListeCategories,24),"")</f>
      </c>
      <c r="Q33" s="46">
        <f>IF(P33="",0,SUMIF(Pointage_Categorie,P33,Pointage_HS))</f>
      </c>
      <c r="S33" s="19">
        <f>IFERROR(INDEX(ListeCategories,32),"")</f>
      </c>
      <c r="T33" s="46">
        <f>IF(S33="",0,COUNTIFS(Employes_Categorie,S33,Employes_Statut,"Actif"))</f>
      </c>
    </row>
    <row r="34">
      <c r="P34" s="19">
        <f>IFERROR(INDEX(ListeCategories,25),"")</f>
      </c>
      <c r="Q34" s="46">
        <f>IF(P34="",0,SUMIF(Pointage_Categorie,P34,Pointage_HS))</f>
      </c>
      <c r="S34" s="19">
        <f>IFERROR(INDEX(ListeCategories,33),"")</f>
      </c>
      <c r="T34" s="46">
        <f>IF(S34="",0,COUNTIFS(Employes_Categorie,S34,Employes_Statut,"Actif"))</f>
      </c>
    </row>
    <row r="35">
      <c r="P35" s="19">
        <f>IFERROR(INDEX(ListeCategories,26),"")</f>
      </c>
      <c r="Q35" s="46">
        <f>IF(P35="",0,SUMIF(Pointage_Categorie,P35,Pointage_HS))</f>
      </c>
      <c r="S35" s="19">
        <f>IFERROR(INDEX(ListeCategories,34),"")</f>
      </c>
      <c r="T35" s="46">
        <f>IF(S35="",0,COUNTIFS(Employes_Categorie,S35,Employes_Statut,"Actif"))</f>
      </c>
    </row>
    <row r="36">
      <c r="P36" s="19">
        <f>IFERROR(INDEX(ListeCategories,27),"")</f>
      </c>
      <c r="Q36" s="46">
        <f>IF(P36="",0,SUMIF(Pointage_Categorie,P36,Pointage_HS))</f>
      </c>
      <c r="S36" s="19">
        <f>IFERROR(INDEX(ListeCategories,35),"")</f>
      </c>
      <c r="T36" s="46">
        <f>IF(S36="",0,COUNTIFS(Employes_Categorie,S36,Employes_Statut,"Actif"))</f>
      </c>
    </row>
    <row r="37">
      <c r="P37" s="19">
        <f>IFERROR(INDEX(ListeCategories,28),"")</f>
      </c>
      <c r="Q37" s="46">
        <f>IF(P37="",0,SUMIF(Pointage_Categorie,P37,Pointage_HS))</f>
      </c>
      <c r="S37" s="19">
        <f>IFERROR(INDEX(ListeCategories,36),"")</f>
      </c>
      <c r="T37" s="46">
        <f>IF(S37="",0,COUNTIFS(Employes_Categorie,S37,Employes_Statut,"Actif"))</f>
      </c>
    </row>
    <row r="38">
      <c r="P38" s="19">
        <f>IFERROR(INDEX(ListeCategories,29),"")</f>
      </c>
      <c r="Q38" s="46">
        <f>IF(P38="",0,SUMIF(Pointage_Categorie,P38,Pointage_HS))</f>
      </c>
      <c r="S38" s="19">
        <f>IFERROR(INDEX(ListeCategories,37),"")</f>
      </c>
      <c r="T38" s="46">
        <f>IF(S38="",0,COUNTIFS(Employes_Categorie,S38,Employes_Statut,"Actif"))</f>
      </c>
    </row>
    <row r="39">
      <c r="P39" s="19">
        <f>IFERROR(INDEX(ListeCategories,30),"")</f>
      </c>
      <c r="Q39" s="46">
        <f>IF(P39="",0,SUMIF(Pointage_Categorie,P39,Pointage_HS))</f>
      </c>
      <c r="S39" s="19">
        <f>IFERROR(INDEX(ListeCategories,38),"")</f>
      </c>
      <c r="T39" s="46">
        <f>IF(S39="",0,COUNTIFS(Employes_Categorie,S39,Employes_Statut,"Actif"))</f>
      </c>
    </row>
    <row r="40">
      <c r="P40" s="19">
        <f>IFERROR(INDEX(ListeCategories,31),"")</f>
      </c>
      <c r="Q40" s="46">
        <f>IF(P40="",0,SUMIF(Pointage_Categorie,P40,Pointage_HS))</f>
      </c>
      <c r="S40" s="19">
        <f>IFERROR(INDEX(ListeCategories,39),"")</f>
      </c>
      <c r="T40" s="46">
        <f>IF(S40="",0,COUNTIFS(Employes_Categorie,S40,Employes_Statut,"Actif"))</f>
      </c>
    </row>
    <row r="41">
      <c r="P41" s="19">
        <f>IFERROR(INDEX(ListeCategories,32),"")</f>
      </c>
      <c r="Q41" s="46">
        <f>IF(P41="",0,SUMIF(Pointage_Categorie,P41,Pointage_HS))</f>
      </c>
      <c r="S41" s="19">
        <f>IFERROR(INDEX(ListeCategories,40),"")</f>
      </c>
      <c r="T41" s="46">
        <f>IF(S41="",0,COUNTIFS(Employes_Categorie,S41,Employes_Statut,"Actif"))</f>
      </c>
    </row>
    <row r="42">
      <c r="P42" s="19">
        <f>IFERROR(INDEX(ListeCategories,33),"")</f>
      </c>
      <c r="Q42" s="46">
        <f>IF(P42="",0,SUMIF(Pointage_Categorie,P42,Pointage_HS))</f>
      </c>
      <c r="S42" s="19">
        <f>IFERROR(INDEX(ListeCategories,41),"")</f>
      </c>
      <c r="T42" s="46">
        <f>IF(S42="",0,COUNTIFS(Employes_Categorie,S42,Employes_Statut,"Actif"))</f>
      </c>
    </row>
    <row r="43">
      <c r="P43" s="19">
        <f>IFERROR(INDEX(ListeCategories,34),"")</f>
      </c>
      <c r="Q43" s="46">
        <f>IF(P43="",0,SUMIF(Pointage_Categorie,P43,Pointage_HS))</f>
      </c>
      <c r="S43" s="19">
        <f>IFERROR(INDEX(ListeCategories,42),"")</f>
      </c>
      <c r="T43" s="46">
        <f>IF(S43="",0,COUNTIFS(Employes_Categorie,S43,Employes_Statut,"Actif"))</f>
      </c>
    </row>
    <row r="44">
      <c r="P44" s="19">
        <f>IFERROR(INDEX(ListeCategories,35),"")</f>
      </c>
      <c r="Q44" s="46">
        <f>IF(P44="",0,SUMIF(Pointage_Categorie,P44,Pointage_HS))</f>
      </c>
      <c r="S44" s="19">
        <f>IFERROR(INDEX(ListeCategories,43),"")</f>
      </c>
      <c r="T44" s="46">
        <f>IF(S44="",0,COUNTIFS(Employes_Categorie,S44,Employes_Statut,"Actif"))</f>
      </c>
    </row>
    <row r="45">
      <c r="P45" s="19">
        <f>IFERROR(INDEX(ListeCategories,36),"")</f>
      </c>
      <c r="Q45" s="46">
        <f>IF(P45="",0,SUMIF(Pointage_Categorie,P45,Pointage_HS))</f>
      </c>
      <c r="S45" s="19">
        <f>IFERROR(INDEX(ListeCategories,44),"")</f>
      </c>
      <c r="T45" s="46">
        <f>IF(S45="",0,COUNTIFS(Employes_Categorie,S45,Employes_Statut,"Actif"))</f>
      </c>
    </row>
    <row r="46">
      <c r="P46" s="19">
        <f>IFERROR(INDEX(ListeCategories,37),"")</f>
      </c>
      <c r="Q46" s="46">
        <f>IF(P46="",0,SUMIF(Pointage_Categorie,P46,Pointage_HS))</f>
      </c>
      <c r="S46" s="19">
        <f>IFERROR(INDEX(ListeCategories,45),"")</f>
      </c>
      <c r="T46" s="46">
        <f>IF(S46="",0,COUNTIFS(Employes_Categorie,S46,Employes_Statut,"Actif"))</f>
      </c>
    </row>
    <row r="47">
      <c r="P47" s="19">
        <f>IFERROR(INDEX(ListeCategories,38),"")</f>
      </c>
      <c r="Q47" s="46">
        <f>IF(P47="",0,SUMIF(Pointage_Categorie,P47,Pointage_HS))</f>
      </c>
      <c r="S47" s="19">
        <f>IFERROR(INDEX(ListeCategories,46),"")</f>
      </c>
      <c r="T47" s="46">
        <f>IF(S47="",0,COUNTIFS(Employes_Categorie,S47,Employes_Statut,"Actif"))</f>
      </c>
    </row>
    <row r="48">
      <c r="P48" s="19">
        <f>IFERROR(INDEX(ListeCategories,39),"")</f>
      </c>
      <c r="Q48" s="46">
        <f>IF(P48="",0,SUMIF(Pointage_Categorie,P48,Pointage_HS))</f>
      </c>
      <c r="S48" s="19">
        <f>IFERROR(INDEX(ListeCategories,47),"")</f>
      </c>
      <c r="T48" s="46">
        <f>IF(S48="",0,COUNTIFS(Employes_Categorie,S48,Employes_Statut,"Actif"))</f>
      </c>
    </row>
    <row r="49">
      <c r="P49" s="19">
        <f>IFERROR(INDEX(ListeCategories,40),"")</f>
      </c>
      <c r="Q49" s="46">
        <f>IF(P49="",0,SUMIF(Pointage_Categorie,P49,Pointage_HS))</f>
      </c>
      <c r="S49" s="19">
        <f>IFERROR(INDEX(ListeCategories,48),"")</f>
      </c>
      <c r="T49" s="46">
        <f>IF(S49="",0,COUNTIFS(Employes_Categorie,S49,Employes_Statut,"Actif"))</f>
      </c>
    </row>
    <row r="50">
      <c r="P50" s="19">
        <f>IFERROR(INDEX(ListeCategories,41),"")</f>
      </c>
      <c r="Q50" s="46">
        <f>IF(P50="",0,SUMIF(Pointage_Categorie,P50,Pointage_HS))</f>
      </c>
      <c r="S50" s="19">
        <f>IFERROR(INDEX(ListeCategories,49),"")</f>
      </c>
      <c r="T50" s="46">
        <f>IF(S50="",0,COUNTIFS(Employes_Categorie,S50,Employes_Statut,"Actif"))</f>
      </c>
    </row>
    <row r="51">
      <c r="P51" s="19">
        <f>IFERROR(INDEX(ListeCategories,42),"")</f>
      </c>
      <c r="Q51" s="46">
        <f>IF(P51="",0,SUMIF(Pointage_Categorie,P51,Pointage_HS))</f>
      </c>
      <c r="S51" s="19">
        <f>IFERROR(INDEX(ListeCategories,50),"")</f>
      </c>
      <c r="T51" s="46">
        <f>IF(S51="",0,COUNTIFS(Employes_Categorie,S51,Employes_Statut,"Actif"))</f>
      </c>
    </row>
    <row r="52">
      <c r="P52" s="19">
        <f>IFERROR(INDEX(ListeCategories,43),"")</f>
      </c>
      <c r="Q52" s="46">
        <f>IF(P52="",0,SUMIF(Pointage_Categorie,P52,Pointage_HS))</f>
      </c>
    </row>
    <row r="53">
      <c r="P53" s="19">
        <f>IFERROR(INDEX(ListeCategories,44),"")</f>
      </c>
      <c r="Q53" s="46">
        <f>IF(P53="",0,SUMIF(Pointage_Categorie,P53,Pointage_HS))</f>
      </c>
    </row>
    <row r="54">
      <c r="P54" s="19">
        <f>IFERROR(INDEX(ListeCategories,45),"")</f>
      </c>
      <c r="Q54" s="46">
        <f>IF(P54="",0,SUMIF(Pointage_Categorie,P54,Pointage_HS))</f>
      </c>
    </row>
    <row r="55">
      <c r="P55" s="19">
        <f>IFERROR(INDEX(ListeCategories,46),"")</f>
      </c>
      <c r="Q55" s="46">
        <f>IF(P55="",0,SUMIF(Pointage_Categorie,P55,Pointage_HS))</f>
      </c>
    </row>
    <row r="56">
      <c r="P56" s="19">
        <f>IFERROR(INDEX(ListeCategories,47),"")</f>
      </c>
      <c r="Q56" s="46">
        <f>IF(P56="",0,SUMIF(Pointage_Categorie,P56,Pointage_HS))</f>
      </c>
    </row>
    <row r="57">
      <c r="P57" s="19">
        <f>IFERROR(INDEX(ListeCategories,48),"")</f>
      </c>
      <c r="Q57" s="46">
        <f>IF(P57="",0,SUMIF(Pointage_Categorie,P57,Pointage_HS))</f>
      </c>
    </row>
    <row r="58">
      <c r="P58" s="19">
        <f>IFERROR(INDEX(ListeCategories,49),"")</f>
      </c>
      <c r="Q58" s="46">
        <f>IF(P58="",0,SUMIF(Pointage_Categorie,P58,Pointage_HS))</f>
      </c>
    </row>
    <row r="59">
      <c r="P59" s="19">
        <f>IFERROR(INDEX(ListeCategories,50),"")</f>
      </c>
      <c r="Q59" s="46">
        <f>IF(P59="",0,SUMIF(Pointage_Categorie,P59,Pointage_HS))</f>
      </c>
    </row>
  </sheetData>
  <sheetProtection sheet="1" objects="1" scenarios="1" formatCells="0" formatColumns="0" formatRows="0" selectLockedCells="1" selectUnlockedCells="0"/>
  <mergeCells count="14">
    <mergeCell ref="A2:M2"/>
    <mergeCell ref="A3:M3"/>
    <mergeCell ref="B5:D5"/>
    <mergeCell ref="B6:D7"/>
    <mergeCell ref="E5:G5"/>
    <mergeCell ref="E6:G7"/>
    <mergeCell ref="H5:J5"/>
    <mergeCell ref="H6:J7"/>
    <mergeCell ref="B9:D9"/>
    <mergeCell ref="B10:D11"/>
    <mergeCell ref="E9:G9"/>
    <mergeCell ref="E10:G11"/>
    <mergeCell ref="H9:J9"/>
    <mergeCell ref="H10:J11"/>
  </mergeCells>
  <conditionalFormatting sqref="H10:J11">
    <cfRule type="cellIs" dxfId="9" priority="1" operator="lessThan">
      <formula>0</formula>
    </cfRule>
  </conditionalFormatting>
  <hyperlinks>
    <hyperlink ref="A1" location="'PARAMÈTRES'!A1" display="⚙ PARAMÈTRES"/>
    <hyperlink ref="B1" location="'EMPLOYÉS'!A1" display="👥 EMPLOYÉS"/>
    <hyperlink ref="C1" location="'POINTAGE'!A1" display="✓ POINTAGE"/>
    <hyperlink ref="D1" location="'TABLEAU DE BORD'!A1" display="▦ TABLEAU DE BORD"/>
    <hyperlink ref="E1" location="'RECHERCHE'!A1" display="⌕ RECHERCHE"/>
    <hyperlink ref="F1" location="'PAIE (15 Jours)'!A1" display="MAD PAIE"/>
    <hyperlink ref="G1" location="'IMPRESSION'!A1" display="▤ IMPRESSION"/>
  </hyperlinks>
  <printOptions horizontalCentered="1"/>
  <pageMargins left="0.4" right="0.4" top="0.5" bottom="0.5" header="0.2" footer="0.2"/>
  <pageSetup paperSize="9" orientation="landscape" fitToWidth="1" fitToHeight="1"/>
  <drawing r:id="rId1"/>
</worksheet>
</file>

<file path=xl/worksheets/sheet5.xml><?xml version="1.0" encoding="utf-8"?>
<worksheet xmlns="http://schemas.openxmlformats.org/spreadsheetml/2006/main" xmlns:r="http://schemas.openxmlformats.org/officeDocument/2006/relationships">
  <sheetPr>
    <tabColor rgb="FF548235"/>
    <pageSetUpPr fitToPage="1"/>
  </sheetPr>
  <dimension ref="A1:J20"/>
  <sheetViews>
    <sheetView showGridLines="0" workbookViewId="0"/>
  </sheetViews>
  <sheetFormatPr defaultRowHeight="15"/>
  <cols>
    <col min="1" max="1" width="3" customWidth="1"/>
    <col min="2" max="2" width="21" customWidth="1"/>
    <col min="3" max="3" width="21" customWidth="1"/>
    <col min="4" max="4" width="21" customWidth="1"/>
    <col min="5" max="5" width="21" customWidth="1"/>
    <col min="6" max="6" width="21" customWidth="1"/>
    <col min="7" max="7" width="8" customWidth="1"/>
  </cols>
  <sheetData>
    <row r="1" ht="23" customHeight="1">
      <c r="A1" s="1" t="inlineStr">
        <is>
          <t xml:space="preserve">⚙</t>
        </is>
      </c>
      <c r="B1" s="1" t="inlineStr">
        <is>
          <t xml:space="preserve">👥 EMPLOYÉS</t>
        </is>
      </c>
      <c r="C1" s="1" t="inlineStr">
        <is>
          <t xml:space="preserve">✓ POINTAGE</t>
        </is>
      </c>
      <c r="D1" s="1" t="inlineStr">
        <is>
          <t xml:space="preserve">▦ TABLEAU DE BORD</t>
        </is>
      </c>
      <c r="E1" s="2" t="inlineStr">
        <is>
          <t xml:space="preserve">⌕ RECHERCHE</t>
        </is>
      </c>
      <c r="F1" s="1" t="inlineStr">
        <is>
          <t xml:space="preserve">MAD PAIE</t>
        </is>
      </c>
      <c r="G1" s="1" t="inlineStr">
        <is>
          <t xml:space="preserve">▤</t>
        </is>
      </c>
      <c r="J1" s="29">
        <f>IF($C$5="",0,IFERROR(MATCH($C$5,Employes_ID,0),IFERROR(MATCH($C$5,Employes_Nom,0),0)))</f>
      </c>
    </row>
    <row r="2" ht="34" customHeight="1">
      <c r="A2" s="3" t="inlineStr">
        <is>
          <t xml:space="preserve">  RECHERCHE D’UN EMPLOYÉ</t>
        </is>
      </c>
      <c r="J2" s="29">
        <f>IF($J$1=0,"",INDEX(Employes_ID,$J$1))</f>
      </c>
    </row>
    <row r="3" ht="18" customHeight="1">
      <c r="A3" s="5" t="inlineStr">
        <is>
          <t xml:space="preserve">  Saisissez exactement un nom ou un ID employé ; la fiche se complète instantanément.</t>
        </is>
      </c>
      <c r="J3" s="29">
        <f>IFERROR(MATCH($J$2,Pointage_ID,0),0)</f>
      </c>
    </row>
    <row r="5">
      <c r="B5" s="14" t="inlineStr">
        <is>
          <t xml:space="preserve">Nom ou ID</t>
        </is>
      </c>
      <c r="C5" s="15"/>
    </row>
    <row r="6">
      <c r="B6" s="30" t="inlineStr">
        <is>
          <t xml:space="preserve">Astuce : les ID suivent le format EMP-0001.</t>
        </is>
      </c>
    </row>
    <row r="8">
      <c r="B8" s="6" t="inlineStr">
        <is>
          <t xml:space="preserve">  INFORMATIONS EMPLOYÉ</t>
        </is>
      </c>
    </row>
    <row r="9">
      <c r="B9" s="14" t="inlineStr">
        <is>
          <t xml:space="preserve">Nom complet</t>
        </is>
      </c>
      <c r="C9" s="35">
        <f>IF(RechercheEmployePos=0,"-",INDEX(Employes_Nom,RechercheEmployePos))</f>
      </c>
      <c r="E9" s="14" t="inlineStr">
        <is>
          <t xml:space="preserve">ID employé</t>
        </is>
      </c>
      <c r="F9" s="35">
        <f>IF(RechercheEmployePos=0,"-",INDEX(Employes_ID,RechercheEmployePos))</f>
      </c>
    </row>
    <row r="10">
      <c r="B10" s="14" t="inlineStr">
        <is>
          <t xml:space="preserve">Catégorie</t>
        </is>
      </c>
      <c r="C10" s="35">
        <f>IF(RechercheEmployePos=0,"-",INDEX(Employes_Categorie,RechercheEmployePos))</f>
      </c>
      <c r="E10" s="14" t="inlineStr">
        <is>
          <t xml:space="preserve">Statut</t>
        </is>
      </c>
      <c r="F10" s="35">
        <f>IF(RechercheEmployePos=0,"-",INDEX(Employes_Statut,RechercheEmployePos))</f>
      </c>
    </row>
    <row r="11">
      <c r="B11" s="14" t="inlineStr">
        <is>
          <t xml:space="preserve">Date d'embauche</t>
        </is>
      </c>
      <c r="C11" s="21">
        <f>IF(RechercheEmployePos=0,"-",INDEX(Employes_Embauche,RechercheEmployePos))</f>
      </c>
      <c r="E11" s="14" t="inlineStr">
        <is>
          <t xml:space="preserve">Téléphone</t>
        </is>
      </c>
      <c r="F11" s="35">
        <f>IF(RechercheEmployePos=0,"-",INDEX(Employes_Telephone,RechercheEmployePos))</f>
      </c>
    </row>
    <row r="12">
      <c r="B12" s="14" t="inlineStr">
        <is>
          <t xml:space="preserve">Notes</t>
        </is>
      </c>
      <c r="C12" s="35">
        <f>IF(RechercheEmployePos=0,"-",INDEX(Employes_Notes,RechercheEmployePos))</f>
      </c>
    </row>
    <row r="14">
      <c r="B14" s="7" t="inlineStr">
        <is>
          <t xml:space="preserve">  POINTAGE ET PAIE</t>
        </is>
      </c>
    </row>
    <row r="15">
      <c r="B15" s="14" t="inlineStr">
        <is>
          <t xml:space="preserve">Jours travaillés</t>
        </is>
      </c>
      <c r="C15" s="20">
        <f>IF(RecherchePointagePos=0,"-",INDEX(Pointage_Travailles,RecherchePointagePos))</f>
      </c>
      <c r="D15" s="14" t="inlineStr">
        <is>
          <t xml:space="preserve">Jours absents</t>
        </is>
      </c>
      <c r="E15" s="20">
        <f>IF(RecherchePointagePos=0,"-",INDEX(Pointage_Absences,RecherchePointagePos))</f>
      </c>
    </row>
    <row r="16">
      <c r="B16" s="14" t="inlineStr">
        <is>
          <t xml:space="preserve">Heures supplémentaires</t>
        </is>
      </c>
      <c r="C16" s="36">
        <f>IF(RecherchePointagePos=0,"-",INDEX(Pointage_HS,RecherchePointagePos))</f>
      </c>
      <c r="D16" s="14" t="inlineStr">
        <is>
          <t xml:space="preserve">Salaire journalier</t>
        </is>
      </c>
      <c r="E16" s="36">
        <f>IF(RecherchePointagePos=0,"-",INDEX(Paie_SalaireJour,RecherchePointagePos))</f>
      </c>
    </row>
    <row r="17">
      <c r="B17" s="14" t="inlineStr">
        <is>
          <t xml:space="preserve">Salaire des HS</t>
        </is>
      </c>
      <c r="C17" s="36">
        <f>IF(RecherchePointagePos=0,"-",INDEX(Paie_MontantHS,RecherchePointagePos))</f>
      </c>
      <c r="D17" s="14" t="inlineStr">
        <is>
          <t xml:space="preserve">Salaire brut</t>
        </is>
      </c>
      <c r="E17" s="36">
        <f>IF(RecherchePointagePos=0,"-",INDEX(Paie_BrutMensuel,RecherchePointagePos))</f>
      </c>
    </row>
    <row r="18">
      <c r="B18" s="14" t="inlineStr">
        <is>
          <t xml:space="preserve">Retenues</t>
        </is>
      </c>
      <c r="C18" s="36">
        <f>IF(RecherchePointagePos=0,"-",INDEX(Paie_Retenues,RecherchePointagePos))</f>
      </c>
      <c r="D18" s="14" t="inlineStr">
        <is>
          <t xml:space="preserve">Salaire net</t>
        </is>
      </c>
      <c r="E18" s="36">
        <f>IF(RecherchePointagePos=0,"-",INDEX(Paie_NetMensuel,RecherchePointagePos))</f>
      </c>
    </row>
    <row r="20" ht="36" customHeight="1">
      <c r="B20" s="37" t="inlineStr">
        <is>
          <t xml:space="preserve">NET À PAYER</t>
        </is>
      </c>
      <c r="D20" s="38">
        <f>IF(RecherchePointagePos=0,0,INDEX(Paie_NetMensuel,RecherchePointagePos))</f>
      </c>
    </row>
  </sheetData>
  <sheetProtection sheet="1" objects="1" scenarios="1" formatCells="0" formatColumns="0" formatRows="0" selectLockedCells="1" selectUnlockedCells="0"/>
  <mergeCells count="16">
    <mergeCell ref="A2:G2"/>
    <mergeCell ref="A3:G3"/>
    <mergeCell ref="C5:F5"/>
    <mergeCell ref="B6:F6"/>
    <mergeCell ref="B8:F8"/>
    <mergeCell ref="C9:D9"/>
    <mergeCell ref="C10:D10"/>
    <mergeCell ref="C11:D11"/>
    <mergeCell ref="C12:D12"/>
    <mergeCell ref="B14:F14"/>
    <mergeCell ref="E15:F15"/>
    <mergeCell ref="E16:F16"/>
    <mergeCell ref="E17:F17"/>
    <mergeCell ref="E18:F18"/>
    <mergeCell ref="B20:C20"/>
    <mergeCell ref="D20:F20"/>
  </mergeCells>
  <hyperlinks>
    <hyperlink ref="A1" location="'PARAMÈTRES'!A1" display="⚙"/>
    <hyperlink ref="B1" location="'EMPLOYÉS'!A1" display="👥 EMPLOYÉS"/>
    <hyperlink ref="C1" location="'POINTAGE'!A1" display="✓ POINTAGE"/>
    <hyperlink ref="D1" location="'TABLEAU DE BORD'!A1" display="▦ TABLEAU DE BORD"/>
    <hyperlink ref="E1" location="'RECHERCHE'!A1" display="⌕ RECHERCHE"/>
    <hyperlink ref="F1" location="'PAIE (15 Jours)'!A1" display="MAD PAIE"/>
    <hyperlink ref="G1" location="'IMPRESSION'!A1" display="▤"/>
  </hyperlinks>
  <printOptions horizontalCentered="1"/>
  <pageMargins left="0.4" right="0.4" top="0.5" bottom="0.5" header="0.2" footer="0.2"/>
  <pageSetup paperSize="9" orientation="portrait" fitToWidth="1" fitToHeight="1"/>
</worksheet>
</file>

<file path=xl/worksheets/sheet6.xml><?xml version="1.0" encoding="utf-8"?>
<worksheet xmlns="http://schemas.openxmlformats.org/spreadsheetml/2006/main" xmlns:r="http://schemas.openxmlformats.org/officeDocument/2006/relationships">
  <sheetPr>
    <tabColor rgb="FFD6A100"/>
    <pageSetUpPr fitToPage="1"/>
  </sheetPr>
  <dimension ref="A1:Y306"/>
  <sheetViews>
    <sheetView showGridLines="0" workbookViewId="0">
      <pane xSplit="3" ySplit="6" topLeftCell="D7" activePane="bottomRight" state="frozen"/>
      <selection pane="bottomRight" activeCell="D7" sqref="D7"/>
    </sheetView>
  </sheetViews>
  <sheetFormatPr defaultRowHeight="15"/>
  <cols>
    <col min="1" max="1" width="15" customWidth="1"/>
    <col min="2" max="2" width="25" customWidth="1"/>
    <col min="3" max="3" width="21" customWidth="1"/>
    <col min="4" max="4" width="12" customWidth="1"/>
    <col min="5" max="5" width="11" customWidth="1"/>
    <col min="6" max="6" width="9" customWidth="1"/>
    <col min="7" max="7" width="9" customWidth="1"/>
    <col min="8" max="8" width="9" customWidth="1"/>
    <col min="9" max="9" width="13" customWidth="1"/>
    <col min="10" max="10" width="12" customWidth="1"/>
    <col min="11" max="11" width="13" customWidth="1"/>
    <col min="12" max="12" width="12" customWidth="1"/>
    <col min="13" max="13" width="13" customWidth="1"/>
    <col min="14" max="14" width="9" customWidth="1"/>
    <col min="15" max="15" width="9" customWidth="1"/>
    <col min="16" max="16" width="9" customWidth="1"/>
    <col min="17" max="17" width="13" customWidth="1"/>
    <col min="18" max="18" width="12" customWidth="1"/>
    <col min="19" max="19" width="13" customWidth="1"/>
    <col min="20" max="20" width="12" customWidth="1"/>
    <col min="21" max="21" width="13" customWidth="1"/>
    <col min="22" max="22" width="14" customWidth="1"/>
    <col min="23" max="23" width="14" customWidth="1"/>
    <col min="24" max="24" width="14" customWidth="1"/>
    <col min="25" max="25" width="2" customWidth="1"/>
  </cols>
  <sheetData>
    <row r="1" ht="23" customHeight="1">
      <c r="A1" s="1" t="inlineStr">
        <is>
          <t xml:space="preserve">⚙ PARAMÈTRES</t>
        </is>
      </c>
      <c r="B1" s="1" t="inlineStr">
        <is>
          <t xml:space="preserve">👥 EMPLOYÉS</t>
        </is>
      </c>
      <c r="C1" s="1" t="inlineStr">
        <is>
          <t xml:space="preserve">✓ POINTAGE</t>
        </is>
      </c>
      <c r="D1" s="1" t="inlineStr">
        <is>
          <t xml:space="preserve">▦ TABLEAU DE BORD</t>
        </is>
      </c>
      <c r="E1" s="1" t="inlineStr">
        <is>
          <t xml:space="preserve">⌕ RECHERCHE</t>
        </is>
      </c>
      <c r="F1" s="2" t="inlineStr">
        <is>
          <t xml:space="preserve">MAD PAIE</t>
        </is>
      </c>
      <c r="G1" s="1" t="inlineStr">
        <is>
          <t xml:space="preserve">▤ IMPRESSION</t>
        </is>
      </c>
    </row>
    <row r="2" ht="34" customHeight="1">
      <c r="A2" s="3" t="inlineStr">
        <is>
          <t xml:space="preserve">  PAIE PAR QUINZAINE ET TOTAL MENSUEL</t>
        </is>
      </c>
    </row>
    <row r="3" ht="18" customHeight="1">
      <c r="A3" s="5" t="inlineStr">
        <is>
          <t xml:space="preserve">  Les retenues sont les seules cellules jaunes à saisir ; tous les autres montants proviennent du pointage et des paramètres.</t>
        </is>
      </c>
    </row>
    <row r="5">
      <c r="A5" s="9" t="inlineStr">
        <is>
          <t xml:space="preserve">EMPLOYÉ ET TARIFS</t>
        </is>
      </c>
      <c r="F5" s="11" t="inlineStr">
        <is>
          <t xml:space="preserve">1ÈRE QUINZAINE — JOURS 1 À 15</t>
        </is>
      </c>
      <c r="N5" s="10" t="inlineStr">
        <is>
          <t xml:space="preserve">2ÈME QUINZAINE — JOURS 16 À FIN DU MOIS</t>
        </is>
      </c>
      <c r="V5" s="12" t="inlineStr">
        <is>
          <t xml:space="preserve">TOTAL MENSUEL</t>
        </is>
      </c>
    </row>
    <row r="6" ht="34" customHeight="1">
      <c r="A6" s="9" t="inlineStr">
        <is>
          <t xml:space="preserve">ID employé</t>
        </is>
      </c>
      <c r="B6" s="9" t="inlineStr">
        <is>
          <t xml:space="preserve">Nom complet</t>
        </is>
      </c>
      <c r="C6" s="9" t="inlineStr">
        <is>
          <t xml:space="preserve">Catégorie</t>
        </is>
      </c>
      <c r="D6" s="9" t="inlineStr">
        <is>
          <t xml:space="preserve">Salaire / jour</t>
        </is>
      </c>
      <c r="E6" s="9" t="inlineStr">
        <is>
          <t xml:space="preserve">Taux horaire HS</t>
        </is>
      </c>
      <c r="F6" s="11" t="inlineStr">
        <is>
          <t xml:space="preserve">Jours Q1</t>
        </is>
      </c>
      <c r="G6" s="11" t="inlineStr">
        <is>
          <t xml:space="preserve">Abs. Q1</t>
        </is>
      </c>
      <c r="H6" s="11" t="inlineStr">
        <is>
          <t xml:space="preserve">HS Q1</t>
        </is>
      </c>
      <c r="I6" s="11" t="inlineStr">
        <is>
          <t xml:space="preserve">Salaire base Q1</t>
        </is>
      </c>
      <c r="J6" s="11" t="inlineStr">
        <is>
          <t xml:space="preserve">Montant HS Q1</t>
        </is>
      </c>
      <c r="K6" s="11" t="inlineStr">
        <is>
          <t xml:space="preserve">Brut Q1</t>
        </is>
      </c>
      <c r="L6" s="11" t="inlineStr">
        <is>
          <t xml:space="preserve">Retenues Q1</t>
        </is>
      </c>
      <c r="M6" s="11" t="inlineStr">
        <is>
          <t xml:space="preserve">Net Q1</t>
        </is>
      </c>
      <c r="N6" s="10" t="inlineStr">
        <is>
          <t xml:space="preserve">Jours Q2</t>
        </is>
      </c>
      <c r="O6" s="10" t="inlineStr">
        <is>
          <t xml:space="preserve">Abs. Q2</t>
        </is>
      </c>
      <c r="P6" s="10" t="inlineStr">
        <is>
          <t xml:space="preserve">HS Q2</t>
        </is>
      </c>
      <c r="Q6" s="10" t="inlineStr">
        <is>
          <t xml:space="preserve">Salaire base Q2</t>
        </is>
      </c>
      <c r="R6" s="10" t="inlineStr">
        <is>
          <t xml:space="preserve">Montant HS Q2</t>
        </is>
      </c>
      <c r="S6" s="10" t="inlineStr">
        <is>
          <t xml:space="preserve">Brut Q2</t>
        </is>
      </c>
      <c r="T6" s="10" t="inlineStr">
        <is>
          <t xml:space="preserve">Retenues Q2</t>
        </is>
      </c>
      <c r="U6" s="10" t="inlineStr">
        <is>
          <t xml:space="preserve">Net Q2</t>
        </is>
      </c>
      <c r="V6" s="12" t="inlineStr">
        <is>
          <t xml:space="preserve">Brut mensuel</t>
        </is>
      </c>
      <c r="W6" s="12" t="inlineStr">
        <is>
          <t xml:space="preserve">Retenues mensuelles</t>
        </is>
      </c>
      <c r="X6" s="12" t="inlineStr">
        <is>
          <t xml:space="preserve">Net mensuel</t>
        </is>
      </c>
    </row>
    <row r="7">
      <c r="A7" s="20">
        <f>IF('POINTAGE'!A7="","",'POINTAGE'!A7)</f>
      </c>
      <c r="B7" s="19">
        <f>IF($A7="","",'POINTAGE'!B7)</f>
      </c>
      <c r="C7" s="20">
        <f>IF($A7="","",'POINTAGE'!C7)</f>
      </c>
      <c r="D7" s="24">
        <f>IF($A7="","",IFERROR(INDEX(Categories_Salaire,MATCH($C7,ListeCategories,0)),0))</f>
      </c>
      <c r="E7" s="24">
        <f>IF($A7="","",IF(IFERROR(INDEX(Categories_TauxHS,MATCH($C7,ListeCategories,0)),0)&gt;0,IFERROR(INDEX(Categories_TauxHS,MATCH($C7,ListeCategories,0)),0),TauxHSDefaut))</f>
      </c>
      <c r="F7" s="22">
        <f>IF($A7="","",SUM(IF('POINTAGE'!$D$5&lt;&gt;"",--('POINTAGE'!D7="Présent"),0),IF('POINTAGE'!$F$5&lt;&gt;"",--('POINTAGE'!F7="Présent"),0),IF('POINTAGE'!$H$5&lt;&gt;"",--('POINTAGE'!H7="Présent"),0),IF('POINTAGE'!$J$5&lt;&gt;"",--('POINTAGE'!J7="Présent"),0),IF('POINTAGE'!$L$5&lt;&gt;"",--('POINTAGE'!L7="Présent"),0),IF('POINTAGE'!$N$5&lt;&gt;"",--('POINTAGE'!N7="Présent"),0),IF('POINTAGE'!$P$5&lt;&gt;"",--('POINTAGE'!P7="Présent"),0),IF('POINTAGE'!$R$5&lt;&gt;"",--('POINTAGE'!R7="Présent"),0),IF('POINTAGE'!$T$5&lt;&gt;"",--('POINTAGE'!T7="Présent"),0),IF('POINTAGE'!$V$5&lt;&gt;"",--('POINTAGE'!V7="Présent"),0),IF('POINTAGE'!$X$5&lt;&gt;"",--('POINTAGE'!X7="Présent"),0),IF('POINTAGE'!$Z$5&lt;&gt;"",--('POINTAGE'!Z7="Présent"),0),IF('POINTAGE'!$AB$5&lt;&gt;"",--('POINTAGE'!AB7="Présent"),0),IF('POINTAGE'!$AD$5&lt;&gt;"",--('POINTAGE'!AD7="Présent"),0),IF('POINTAGE'!$AF$5&lt;&gt;"",--('POINTAGE'!AF7="Présent"),0)))</f>
      </c>
      <c r="G7" s="22">
        <f>IF($A7="","",SUM(IF('POINTAGE'!$D$5&lt;&gt;"",--('POINTAGE'!D7="Absent"),0),IF('POINTAGE'!$F$5&lt;&gt;"",--('POINTAGE'!F7="Absent"),0),IF('POINTAGE'!$H$5&lt;&gt;"",--('POINTAGE'!H7="Absent"),0),IF('POINTAGE'!$J$5&lt;&gt;"",--('POINTAGE'!J7="Absent"),0),IF('POINTAGE'!$L$5&lt;&gt;"",--('POINTAGE'!L7="Absent"),0),IF('POINTAGE'!$N$5&lt;&gt;"",--('POINTAGE'!N7="Absent"),0),IF('POINTAGE'!$P$5&lt;&gt;"",--('POINTAGE'!P7="Absent"),0),IF('POINTAGE'!$R$5&lt;&gt;"",--('POINTAGE'!R7="Absent"),0),IF('POINTAGE'!$T$5&lt;&gt;"",--('POINTAGE'!T7="Absent"),0),IF('POINTAGE'!$V$5&lt;&gt;"",--('POINTAGE'!V7="Absent"),0),IF('POINTAGE'!$X$5&lt;&gt;"",--('POINTAGE'!X7="Absent"),0),IF('POINTAGE'!$Z$5&lt;&gt;"",--('POINTAGE'!Z7="Absent"),0),IF('POINTAGE'!$AB$5&lt;&gt;"",--('POINTAGE'!AB7="Absent"),0),IF('POINTAGE'!$AD$5&lt;&gt;"",--('POINTAGE'!AD7="Absent"),0),IF('POINTAGE'!$AF$5&lt;&gt;"",--('POINTAGE'!AF7="Absent"),0)))</f>
      </c>
      <c r="H7" s="23">
        <f>IF($A7="","",SUM(IF('POINTAGE'!$D$5&lt;&gt;"",IF('POINTAGE'!D7="Présent",'POINTAGE'!E7,0),0),IF('POINTAGE'!$F$5&lt;&gt;"",IF('POINTAGE'!F7="Présent",'POINTAGE'!G7,0),0),IF('POINTAGE'!$H$5&lt;&gt;"",IF('POINTAGE'!H7="Présent",'POINTAGE'!I7,0),0),IF('POINTAGE'!$J$5&lt;&gt;"",IF('POINTAGE'!J7="Présent",'POINTAGE'!K7,0),0),IF('POINTAGE'!$L$5&lt;&gt;"",IF('POINTAGE'!L7="Présent",'POINTAGE'!M7,0),0),IF('POINTAGE'!$N$5&lt;&gt;"",IF('POINTAGE'!N7="Présent",'POINTAGE'!O7,0),0),IF('POINTAGE'!$P$5&lt;&gt;"",IF('POINTAGE'!P7="Présent",'POINTAGE'!Q7,0),0),IF('POINTAGE'!$R$5&lt;&gt;"",IF('POINTAGE'!R7="Présent",'POINTAGE'!S7,0),0),IF('POINTAGE'!$T$5&lt;&gt;"",IF('POINTAGE'!T7="Présent",'POINTAGE'!U7,0),0),IF('POINTAGE'!$V$5&lt;&gt;"",IF('POINTAGE'!V7="Présent",'POINTAGE'!W7,0),0),IF('POINTAGE'!$X$5&lt;&gt;"",IF('POINTAGE'!X7="Présent",'POINTAGE'!Y7,0),0),IF('POINTAGE'!$Z$5&lt;&gt;"",IF('POINTAGE'!Z7="Présent",'POINTAGE'!AA7,0),0),IF('POINTAGE'!$AB$5&lt;&gt;"",IF('POINTAGE'!AB7="Présent",'POINTAGE'!AC7,0),0),IF('POINTAGE'!$AD$5&lt;&gt;"",IF('POINTAGE'!AD7="Présent",'POINTAGE'!AE7,0),0),IF('POINTAGE'!$AF$5&lt;&gt;"",IF('POINTAGE'!AF7="Présent",'POINTAGE'!AG7,0),0)))</f>
      </c>
      <c r="I7" s="24">
        <f>IF($A7="","",$F7*$D7)</f>
      </c>
      <c r="J7" s="24">
        <f>IF($A7="","",$H7*$E7)</f>
      </c>
      <c r="K7" s="25">
        <f>IF($A7="","",$I7+$J7)</f>
      </c>
      <c r="L7" s="18"/>
      <c r="M7" s="25">
        <f>IF($A7="","",MAX(0,$K7-$L7))</f>
      </c>
      <c r="N7" s="22">
        <f>IF($A7="","",SUM(IF('POINTAGE'!$AH$5&lt;&gt;"",--('POINTAGE'!AH7="Présent"),0),IF('POINTAGE'!$AJ$5&lt;&gt;"",--('POINTAGE'!AJ7="Présent"),0),IF('POINTAGE'!$AL$5&lt;&gt;"",--('POINTAGE'!AL7="Présent"),0),IF('POINTAGE'!$AN$5&lt;&gt;"",--('POINTAGE'!AN7="Présent"),0),IF('POINTAGE'!$AP$5&lt;&gt;"",--('POINTAGE'!AP7="Présent"),0),IF('POINTAGE'!$AR$5&lt;&gt;"",--('POINTAGE'!AR7="Présent"),0),IF('POINTAGE'!$AT$5&lt;&gt;"",--('POINTAGE'!AT7="Présent"),0),IF('POINTAGE'!$AV$5&lt;&gt;"",--('POINTAGE'!AV7="Présent"),0),IF('POINTAGE'!$AX$5&lt;&gt;"",--('POINTAGE'!AX7="Présent"),0),IF('POINTAGE'!$AZ$5&lt;&gt;"",--('POINTAGE'!AZ7="Présent"),0),IF('POINTAGE'!$BB$5&lt;&gt;"",--('POINTAGE'!BB7="Présent"),0),IF('POINTAGE'!$BD$5&lt;&gt;"",--('POINTAGE'!BD7="Présent"),0),IF('POINTAGE'!$BF$5&lt;&gt;"",--('POINTAGE'!BF7="Présent"),0),IF('POINTAGE'!$BH$5&lt;&gt;"",--('POINTAGE'!BH7="Présent"),0),IF('POINTAGE'!$BJ$5&lt;&gt;"",--('POINTAGE'!BJ7="Présent"),0),IF('POINTAGE'!$BL$5&lt;&gt;"",--('POINTAGE'!BL7="Présent"),0)))</f>
      </c>
      <c r="O7" s="22">
        <f>IF($A7="","",SUM(IF('POINTAGE'!$AH$5&lt;&gt;"",--('POINTAGE'!AH7="Absent"),0),IF('POINTAGE'!$AJ$5&lt;&gt;"",--('POINTAGE'!AJ7="Absent"),0),IF('POINTAGE'!$AL$5&lt;&gt;"",--('POINTAGE'!AL7="Absent"),0),IF('POINTAGE'!$AN$5&lt;&gt;"",--('POINTAGE'!AN7="Absent"),0),IF('POINTAGE'!$AP$5&lt;&gt;"",--('POINTAGE'!AP7="Absent"),0),IF('POINTAGE'!$AR$5&lt;&gt;"",--('POINTAGE'!AR7="Absent"),0),IF('POINTAGE'!$AT$5&lt;&gt;"",--('POINTAGE'!AT7="Absent"),0),IF('POINTAGE'!$AV$5&lt;&gt;"",--('POINTAGE'!AV7="Absent"),0),IF('POINTAGE'!$AX$5&lt;&gt;"",--('POINTAGE'!AX7="Absent"),0),IF('POINTAGE'!$AZ$5&lt;&gt;"",--('POINTAGE'!AZ7="Absent"),0),IF('POINTAGE'!$BB$5&lt;&gt;"",--('POINTAGE'!BB7="Absent"),0),IF('POINTAGE'!$BD$5&lt;&gt;"",--('POINTAGE'!BD7="Absent"),0),IF('POINTAGE'!$BF$5&lt;&gt;"",--('POINTAGE'!BF7="Absent"),0),IF('POINTAGE'!$BH$5&lt;&gt;"",--('POINTAGE'!BH7="Absent"),0),IF('POINTAGE'!$BJ$5&lt;&gt;"",--('POINTAGE'!BJ7="Absent"),0),IF('POINTAGE'!$BL$5&lt;&gt;"",--('POINTAGE'!BL7="Absent"),0)))</f>
      </c>
      <c r="P7" s="23">
        <f>IF($A7="","",SUM(IF('POINTAGE'!$AH$5&lt;&gt;"",IF('POINTAGE'!AH7="Présent",'POINTAGE'!AI7,0),0),IF('POINTAGE'!$AJ$5&lt;&gt;"",IF('POINTAGE'!AJ7="Présent",'POINTAGE'!AK7,0),0),IF('POINTAGE'!$AL$5&lt;&gt;"",IF('POINTAGE'!AL7="Présent",'POINTAGE'!AM7,0),0),IF('POINTAGE'!$AN$5&lt;&gt;"",IF('POINTAGE'!AN7="Présent",'POINTAGE'!AO7,0),0),IF('POINTAGE'!$AP$5&lt;&gt;"",IF('POINTAGE'!AP7="Présent",'POINTAGE'!AQ7,0),0),IF('POINTAGE'!$AR$5&lt;&gt;"",IF('POINTAGE'!AR7="Présent",'POINTAGE'!AS7,0),0),IF('POINTAGE'!$AT$5&lt;&gt;"",IF('POINTAGE'!AT7="Présent",'POINTAGE'!AU7,0),0),IF('POINTAGE'!$AV$5&lt;&gt;"",IF('POINTAGE'!AV7="Présent",'POINTAGE'!AW7,0),0),IF('POINTAGE'!$AX$5&lt;&gt;"",IF('POINTAGE'!AX7="Présent",'POINTAGE'!AY7,0),0),IF('POINTAGE'!$AZ$5&lt;&gt;"",IF('POINTAGE'!AZ7="Présent",'POINTAGE'!BA7,0),0),IF('POINTAGE'!$BB$5&lt;&gt;"",IF('POINTAGE'!BB7="Présent",'POINTAGE'!BC7,0),0),IF('POINTAGE'!$BD$5&lt;&gt;"",IF('POINTAGE'!BD7="Présent",'POINTAGE'!BE7,0),0),IF('POINTAGE'!$BF$5&lt;&gt;"",IF('POINTAGE'!BF7="Présent",'POINTAGE'!BG7,0),0),IF('POINTAGE'!$BH$5&lt;&gt;"",IF('POINTAGE'!BH7="Présent",'POINTAGE'!BI7,0),0),IF('POINTAGE'!$BJ$5&lt;&gt;"",IF('POINTAGE'!BJ7="Présent",'POINTAGE'!BK7,0),0),IF('POINTAGE'!$BL$5&lt;&gt;"",IF('POINTAGE'!BL7="Présent",'POINTAGE'!BM7,0),0)))</f>
      </c>
      <c r="Q7" s="24">
        <f>IF($A7="","",$N7*$D7)</f>
      </c>
      <c r="R7" s="24">
        <f>IF($A7="","",$P7*$E7)</f>
      </c>
      <c r="S7" s="25">
        <f>IF($A7="","",$Q7+$R7)</f>
      </c>
      <c r="T7" s="18"/>
      <c r="U7" s="25">
        <f>IF($A7="","",MAX(0,$S7-$T7))</f>
      </c>
      <c r="V7" s="25">
        <f>IF($A7="","",$K7+$S7)</f>
      </c>
      <c r="W7" s="24">
        <f>IF($A7="","",$L7+$T7)</f>
      </c>
      <c r="X7" s="25">
        <f>IF($A7="","",$M7+$U7)</f>
      </c>
      <c r="Y7" s="29">
        <f>IF($A7="","",$J7+$R7)</f>
      </c>
    </row>
    <row r="8">
      <c r="A8" s="20">
        <f>IF('POINTAGE'!A8="","",'POINTAGE'!A8)</f>
      </c>
      <c r="B8" s="19">
        <f>IF($A8="","",'POINTAGE'!B8)</f>
      </c>
      <c r="C8" s="20">
        <f>IF($A8="","",'POINTAGE'!C8)</f>
      </c>
      <c r="D8" s="24">
        <f>IF($A8="","",IFERROR(INDEX(Categories_Salaire,MATCH($C8,ListeCategories,0)),0))</f>
      </c>
      <c r="E8" s="24">
        <f>IF($A8="","",IF(IFERROR(INDEX(Categories_TauxHS,MATCH($C8,ListeCategories,0)),0)&gt;0,IFERROR(INDEX(Categories_TauxHS,MATCH($C8,ListeCategories,0)),0),TauxHSDefaut))</f>
      </c>
      <c r="F8" s="22">
        <f>IF($A8="","",SUM(IF('POINTAGE'!$D$5&lt;&gt;"",--('POINTAGE'!D8="Présent"),0),IF('POINTAGE'!$F$5&lt;&gt;"",--('POINTAGE'!F8="Présent"),0),IF('POINTAGE'!$H$5&lt;&gt;"",--('POINTAGE'!H8="Présent"),0),IF('POINTAGE'!$J$5&lt;&gt;"",--('POINTAGE'!J8="Présent"),0),IF('POINTAGE'!$L$5&lt;&gt;"",--('POINTAGE'!L8="Présent"),0),IF('POINTAGE'!$N$5&lt;&gt;"",--('POINTAGE'!N8="Présent"),0),IF('POINTAGE'!$P$5&lt;&gt;"",--('POINTAGE'!P8="Présent"),0),IF('POINTAGE'!$R$5&lt;&gt;"",--('POINTAGE'!R8="Présent"),0),IF('POINTAGE'!$T$5&lt;&gt;"",--('POINTAGE'!T8="Présent"),0),IF('POINTAGE'!$V$5&lt;&gt;"",--('POINTAGE'!V8="Présent"),0),IF('POINTAGE'!$X$5&lt;&gt;"",--('POINTAGE'!X8="Présent"),0),IF('POINTAGE'!$Z$5&lt;&gt;"",--('POINTAGE'!Z8="Présent"),0),IF('POINTAGE'!$AB$5&lt;&gt;"",--('POINTAGE'!AB8="Présent"),0),IF('POINTAGE'!$AD$5&lt;&gt;"",--('POINTAGE'!AD8="Présent"),0),IF('POINTAGE'!$AF$5&lt;&gt;"",--('POINTAGE'!AF8="Présent"),0)))</f>
      </c>
      <c r="G8" s="22">
        <f>IF($A8="","",SUM(IF('POINTAGE'!$D$5&lt;&gt;"",--('POINTAGE'!D8="Absent"),0),IF('POINTAGE'!$F$5&lt;&gt;"",--('POINTAGE'!F8="Absent"),0),IF('POINTAGE'!$H$5&lt;&gt;"",--('POINTAGE'!H8="Absent"),0),IF('POINTAGE'!$J$5&lt;&gt;"",--('POINTAGE'!J8="Absent"),0),IF('POINTAGE'!$L$5&lt;&gt;"",--('POINTAGE'!L8="Absent"),0),IF('POINTAGE'!$N$5&lt;&gt;"",--('POINTAGE'!N8="Absent"),0),IF('POINTAGE'!$P$5&lt;&gt;"",--('POINTAGE'!P8="Absent"),0),IF('POINTAGE'!$R$5&lt;&gt;"",--('POINTAGE'!R8="Absent"),0),IF('POINTAGE'!$T$5&lt;&gt;"",--('POINTAGE'!T8="Absent"),0),IF('POINTAGE'!$V$5&lt;&gt;"",--('POINTAGE'!V8="Absent"),0),IF('POINTAGE'!$X$5&lt;&gt;"",--('POINTAGE'!X8="Absent"),0),IF('POINTAGE'!$Z$5&lt;&gt;"",--('POINTAGE'!Z8="Absent"),0),IF('POINTAGE'!$AB$5&lt;&gt;"",--('POINTAGE'!AB8="Absent"),0),IF('POINTAGE'!$AD$5&lt;&gt;"",--('POINTAGE'!AD8="Absent"),0),IF('POINTAGE'!$AF$5&lt;&gt;"",--('POINTAGE'!AF8="Absent"),0)))</f>
      </c>
      <c r="H8" s="23">
        <f>IF($A8="","",SUM(IF('POINTAGE'!$D$5&lt;&gt;"",IF('POINTAGE'!D8="Présent",'POINTAGE'!E8,0),0),IF('POINTAGE'!$F$5&lt;&gt;"",IF('POINTAGE'!F8="Présent",'POINTAGE'!G8,0),0),IF('POINTAGE'!$H$5&lt;&gt;"",IF('POINTAGE'!H8="Présent",'POINTAGE'!I8,0),0),IF('POINTAGE'!$J$5&lt;&gt;"",IF('POINTAGE'!J8="Présent",'POINTAGE'!K8,0),0),IF('POINTAGE'!$L$5&lt;&gt;"",IF('POINTAGE'!L8="Présent",'POINTAGE'!M8,0),0),IF('POINTAGE'!$N$5&lt;&gt;"",IF('POINTAGE'!N8="Présent",'POINTAGE'!O8,0),0),IF('POINTAGE'!$P$5&lt;&gt;"",IF('POINTAGE'!P8="Présent",'POINTAGE'!Q8,0),0),IF('POINTAGE'!$R$5&lt;&gt;"",IF('POINTAGE'!R8="Présent",'POINTAGE'!S8,0),0),IF('POINTAGE'!$T$5&lt;&gt;"",IF('POINTAGE'!T8="Présent",'POINTAGE'!U8,0),0),IF('POINTAGE'!$V$5&lt;&gt;"",IF('POINTAGE'!V8="Présent",'POINTAGE'!W8,0),0),IF('POINTAGE'!$X$5&lt;&gt;"",IF('POINTAGE'!X8="Présent",'POINTAGE'!Y8,0),0),IF('POINTAGE'!$Z$5&lt;&gt;"",IF('POINTAGE'!Z8="Présent",'POINTAGE'!AA8,0),0),IF('POINTAGE'!$AB$5&lt;&gt;"",IF('POINTAGE'!AB8="Présent",'POINTAGE'!AC8,0),0),IF('POINTAGE'!$AD$5&lt;&gt;"",IF('POINTAGE'!AD8="Présent",'POINTAGE'!AE8,0),0),IF('POINTAGE'!$AF$5&lt;&gt;"",IF('POINTAGE'!AF8="Présent",'POINTAGE'!AG8,0),0)))</f>
      </c>
      <c r="I8" s="24">
        <f>IF($A8="","",$F8*$D8)</f>
      </c>
      <c r="J8" s="24">
        <f>IF($A8="","",$H8*$E8)</f>
      </c>
      <c r="K8" s="25">
        <f>IF($A8="","",$I8+$J8)</f>
      </c>
      <c r="L8" s="18"/>
      <c r="M8" s="25">
        <f>IF($A8="","",MAX(0,$K8-$L8))</f>
      </c>
      <c r="N8" s="22">
        <f>IF($A8="","",SUM(IF('POINTAGE'!$AH$5&lt;&gt;"",--('POINTAGE'!AH8="Présent"),0),IF('POINTAGE'!$AJ$5&lt;&gt;"",--('POINTAGE'!AJ8="Présent"),0),IF('POINTAGE'!$AL$5&lt;&gt;"",--('POINTAGE'!AL8="Présent"),0),IF('POINTAGE'!$AN$5&lt;&gt;"",--('POINTAGE'!AN8="Présent"),0),IF('POINTAGE'!$AP$5&lt;&gt;"",--('POINTAGE'!AP8="Présent"),0),IF('POINTAGE'!$AR$5&lt;&gt;"",--('POINTAGE'!AR8="Présent"),0),IF('POINTAGE'!$AT$5&lt;&gt;"",--('POINTAGE'!AT8="Présent"),0),IF('POINTAGE'!$AV$5&lt;&gt;"",--('POINTAGE'!AV8="Présent"),0),IF('POINTAGE'!$AX$5&lt;&gt;"",--('POINTAGE'!AX8="Présent"),0),IF('POINTAGE'!$AZ$5&lt;&gt;"",--('POINTAGE'!AZ8="Présent"),0),IF('POINTAGE'!$BB$5&lt;&gt;"",--('POINTAGE'!BB8="Présent"),0),IF('POINTAGE'!$BD$5&lt;&gt;"",--('POINTAGE'!BD8="Présent"),0),IF('POINTAGE'!$BF$5&lt;&gt;"",--('POINTAGE'!BF8="Présent"),0),IF('POINTAGE'!$BH$5&lt;&gt;"",--('POINTAGE'!BH8="Présent"),0),IF('POINTAGE'!$BJ$5&lt;&gt;"",--('POINTAGE'!BJ8="Présent"),0),IF('POINTAGE'!$BL$5&lt;&gt;"",--('POINTAGE'!BL8="Présent"),0)))</f>
      </c>
      <c r="O8" s="22">
        <f>IF($A8="","",SUM(IF('POINTAGE'!$AH$5&lt;&gt;"",--('POINTAGE'!AH8="Absent"),0),IF('POINTAGE'!$AJ$5&lt;&gt;"",--('POINTAGE'!AJ8="Absent"),0),IF('POINTAGE'!$AL$5&lt;&gt;"",--('POINTAGE'!AL8="Absent"),0),IF('POINTAGE'!$AN$5&lt;&gt;"",--('POINTAGE'!AN8="Absent"),0),IF('POINTAGE'!$AP$5&lt;&gt;"",--('POINTAGE'!AP8="Absent"),0),IF('POINTAGE'!$AR$5&lt;&gt;"",--('POINTAGE'!AR8="Absent"),0),IF('POINTAGE'!$AT$5&lt;&gt;"",--('POINTAGE'!AT8="Absent"),0),IF('POINTAGE'!$AV$5&lt;&gt;"",--('POINTAGE'!AV8="Absent"),0),IF('POINTAGE'!$AX$5&lt;&gt;"",--('POINTAGE'!AX8="Absent"),0),IF('POINTAGE'!$AZ$5&lt;&gt;"",--('POINTAGE'!AZ8="Absent"),0),IF('POINTAGE'!$BB$5&lt;&gt;"",--('POINTAGE'!BB8="Absent"),0),IF('POINTAGE'!$BD$5&lt;&gt;"",--('POINTAGE'!BD8="Absent"),0),IF('POINTAGE'!$BF$5&lt;&gt;"",--('POINTAGE'!BF8="Absent"),0),IF('POINTAGE'!$BH$5&lt;&gt;"",--('POINTAGE'!BH8="Absent"),0),IF('POINTAGE'!$BJ$5&lt;&gt;"",--('POINTAGE'!BJ8="Absent"),0),IF('POINTAGE'!$BL$5&lt;&gt;"",--('POINTAGE'!BL8="Absent"),0)))</f>
      </c>
      <c r="P8" s="23">
        <f>IF($A8="","",SUM(IF('POINTAGE'!$AH$5&lt;&gt;"",IF('POINTAGE'!AH8="Présent",'POINTAGE'!AI8,0),0),IF('POINTAGE'!$AJ$5&lt;&gt;"",IF('POINTAGE'!AJ8="Présent",'POINTAGE'!AK8,0),0),IF('POINTAGE'!$AL$5&lt;&gt;"",IF('POINTAGE'!AL8="Présent",'POINTAGE'!AM8,0),0),IF('POINTAGE'!$AN$5&lt;&gt;"",IF('POINTAGE'!AN8="Présent",'POINTAGE'!AO8,0),0),IF('POINTAGE'!$AP$5&lt;&gt;"",IF('POINTAGE'!AP8="Présent",'POINTAGE'!AQ8,0),0),IF('POINTAGE'!$AR$5&lt;&gt;"",IF('POINTAGE'!AR8="Présent",'POINTAGE'!AS8,0),0),IF('POINTAGE'!$AT$5&lt;&gt;"",IF('POINTAGE'!AT8="Présent",'POINTAGE'!AU8,0),0),IF('POINTAGE'!$AV$5&lt;&gt;"",IF('POINTAGE'!AV8="Présent",'POINTAGE'!AW8,0),0),IF('POINTAGE'!$AX$5&lt;&gt;"",IF('POINTAGE'!AX8="Présent",'POINTAGE'!AY8,0),0),IF('POINTAGE'!$AZ$5&lt;&gt;"",IF('POINTAGE'!AZ8="Présent",'POINTAGE'!BA8,0),0),IF('POINTAGE'!$BB$5&lt;&gt;"",IF('POINTAGE'!BB8="Présent",'POINTAGE'!BC8,0),0),IF('POINTAGE'!$BD$5&lt;&gt;"",IF('POINTAGE'!BD8="Présent",'POINTAGE'!BE8,0),0),IF('POINTAGE'!$BF$5&lt;&gt;"",IF('POINTAGE'!BF8="Présent",'POINTAGE'!BG8,0),0),IF('POINTAGE'!$BH$5&lt;&gt;"",IF('POINTAGE'!BH8="Présent",'POINTAGE'!BI8,0),0),IF('POINTAGE'!$BJ$5&lt;&gt;"",IF('POINTAGE'!BJ8="Présent",'POINTAGE'!BK8,0),0),IF('POINTAGE'!$BL$5&lt;&gt;"",IF('POINTAGE'!BL8="Présent",'POINTAGE'!BM8,0),0)))</f>
      </c>
      <c r="Q8" s="24">
        <f>IF($A8="","",$N8*$D8)</f>
      </c>
      <c r="R8" s="24">
        <f>IF($A8="","",$P8*$E8)</f>
      </c>
      <c r="S8" s="25">
        <f>IF($A8="","",$Q8+$R8)</f>
      </c>
      <c r="T8" s="18"/>
      <c r="U8" s="25">
        <f>IF($A8="","",MAX(0,$S8-$T8))</f>
      </c>
      <c r="V8" s="25">
        <f>IF($A8="","",$K8+$S8)</f>
      </c>
      <c r="W8" s="24">
        <f>IF($A8="","",$L8+$T8)</f>
      </c>
      <c r="X8" s="25">
        <f>IF($A8="","",$M8+$U8)</f>
      </c>
      <c r="Y8" s="29">
        <f>IF($A8="","",$J8+$R8)</f>
      </c>
    </row>
    <row r="9">
      <c r="A9" s="20">
        <f>IF('POINTAGE'!A9="","",'POINTAGE'!A9)</f>
      </c>
      <c r="B9" s="19">
        <f>IF($A9="","",'POINTAGE'!B9)</f>
      </c>
      <c r="C9" s="20">
        <f>IF($A9="","",'POINTAGE'!C9)</f>
      </c>
      <c r="D9" s="24">
        <f>IF($A9="","",IFERROR(INDEX(Categories_Salaire,MATCH($C9,ListeCategories,0)),0))</f>
      </c>
      <c r="E9" s="24">
        <f>IF($A9="","",IF(IFERROR(INDEX(Categories_TauxHS,MATCH($C9,ListeCategories,0)),0)&gt;0,IFERROR(INDEX(Categories_TauxHS,MATCH($C9,ListeCategories,0)),0),TauxHSDefaut))</f>
      </c>
      <c r="F9" s="22">
        <f>IF($A9="","",SUM(IF('POINTAGE'!$D$5&lt;&gt;"",--('POINTAGE'!D9="Présent"),0),IF('POINTAGE'!$F$5&lt;&gt;"",--('POINTAGE'!F9="Présent"),0),IF('POINTAGE'!$H$5&lt;&gt;"",--('POINTAGE'!H9="Présent"),0),IF('POINTAGE'!$J$5&lt;&gt;"",--('POINTAGE'!J9="Présent"),0),IF('POINTAGE'!$L$5&lt;&gt;"",--('POINTAGE'!L9="Présent"),0),IF('POINTAGE'!$N$5&lt;&gt;"",--('POINTAGE'!N9="Présent"),0),IF('POINTAGE'!$P$5&lt;&gt;"",--('POINTAGE'!P9="Présent"),0),IF('POINTAGE'!$R$5&lt;&gt;"",--('POINTAGE'!R9="Présent"),0),IF('POINTAGE'!$T$5&lt;&gt;"",--('POINTAGE'!T9="Présent"),0),IF('POINTAGE'!$V$5&lt;&gt;"",--('POINTAGE'!V9="Présent"),0),IF('POINTAGE'!$X$5&lt;&gt;"",--('POINTAGE'!X9="Présent"),0),IF('POINTAGE'!$Z$5&lt;&gt;"",--('POINTAGE'!Z9="Présent"),0),IF('POINTAGE'!$AB$5&lt;&gt;"",--('POINTAGE'!AB9="Présent"),0),IF('POINTAGE'!$AD$5&lt;&gt;"",--('POINTAGE'!AD9="Présent"),0),IF('POINTAGE'!$AF$5&lt;&gt;"",--('POINTAGE'!AF9="Présent"),0)))</f>
      </c>
      <c r="G9" s="22">
        <f>IF($A9="","",SUM(IF('POINTAGE'!$D$5&lt;&gt;"",--('POINTAGE'!D9="Absent"),0),IF('POINTAGE'!$F$5&lt;&gt;"",--('POINTAGE'!F9="Absent"),0),IF('POINTAGE'!$H$5&lt;&gt;"",--('POINTAGE'!H9="Absent"),0),IF('POINTAGE'!$J$5&lt;&gt;"",--('POINTAGE'!J9="Absent"),0),IF('POINTAGE'!$L$5&lt;&gt;"",--('POINTAGE'!L9="Absent"),0),IF('POINTAGE'!$N$5&lt;&gt;"",--('POINTAGE'!N9="Absent"),0),IF('POINTAGE'!$P$5&lt;&gt;"",--('POINTAGE'!P9="Absent"),0),IF('POINTAGE'!$R$5&lt;&gt;"",--('POINTAGE'!R9="Absent"),0),IF('POINTAGE'!$T$5&lt;&gt;"",--('POINTAGE'!T9="Absent"),0),IF('POINTAGE'!$V$5&lt;&gt;"",--('POINTAGE'!V9="Absent"),0),IF('POINTAGE'!$X$5&lt;&gt;"",--('POINTAGE'!X9="Absent"),0),IF('POINTAGE'!$Z$5&lt;&gt;"",--('POINTAGE'!Z9="Absent"),0),IF('POINTAGE'!$AB$5&lt;&gt;"",--('POINTAGE'!AB9="Absent"),0),IF('POINTAGE'!$AD$5&lt;&gt;"",--('POINTAGE'!AD9="Absent"),0),IF('POINTAGE'!$AF$5&lt;&gt;"",--('POINTAGE'!AF9="Absent"),0)))</f>
      </c>
      <c r="H9" s="23">
        <f>IF($A9="","",SUM(IF('POINTAGE'!$D$5&lt;&gt;"",IF('POINTAGE'!D9="Présent",'POINTAGE'!E9,0),0),IF('POINTAGE'!$F$5&lt;&gt;"",IF('POINTAGE'!F9="Présent",'POINTAGE'!G9,0),0),IF('POINTAGE'!$H$5&lt;&gt;"",IF('POINTAGE'!H9="Présent",'POINTAGE'!I9,0),0),IF('POINTAGE'!$J$5&lt;&gt;"",IF('POINTAGE'!J9="Présent",'POINTAGE'!K9,0),0),IF('POINTAGE'!$L$5&lt;&gt;"",IF('POINTAGE'!L9="Présent",'POINTAGE'!M9,0),0),IF('POINTAGE'!$N$5&lt;&gt;"",IF('POINTAGE'!N9="Présent",'POINTAGE'!O9,0),0),IF('POINTAGE'!$P$5&lt;&gt;"",IF('POINTAGE'!P9="Présent",'POINTAGE'!Q9,0),0),IF('POINTAGE'!$R$5&lt;&gt;"",IF('POINTAGE'!R9="Présent",'POINTAGE'!S9,0),0),IF('POINTAGE'!$T$5&lt;&gt;"",IF('POINTAGE'!T9="Présent",'POINTAGE'!U9,0),0),IF('POINTAGE'!$V$5&lt;&gt;"",IF('POINTAGE'!V9="Présent",'POINTAGE'!W9,0),0),IF('POINTAGE'!$X$5&lt;&gt;"",IF('POINTAGE'!X9="Présent",'POINTAGE'!Y9,0),0),IF('POINTAGE'!$Z$5&lt;&gt;"",IF('POINTAGE'!Z9="Présent",'POINTAGE'!AA9,0),0),IF('POINTAGE'!$AB$5&lt;&gt;"",IF('POINTAGE'!AB9="Présent",'POINTAGE'!AC9,0),0),IF('POINTAGE'!$AD$5&lt;&gt;"",IF('POINTAGE'!AD9="Présent",'POINTAGE'!AE9,0),0),IF('POINTAGE'!$AF$5&lt;&gt;"",IF('POINTAGE'!AF9="Présent",'POINTAGE'!AG9,0),0)))</f>
      </c>
      <c r="I9" s="24">
        <f>IF($A9="","",$F9*$D9)</f>
      </c>
      <c r="J9" s="24">
        <f>IF($A9="","",$H9*$E9)</f>
      </c>
      <c r="K9" s="25">
        <f>IF($A9="","",$I9+$J9)</f>
      </c>
      <c r="L9" s="18"/>
      <c r="M9" s="25">
        <f>IF($A9="","",MAX(0,$K9-$L9))</f>
      </c>
      <c r="N9" s="22">
        <f>IF($A9="","",SUM(IF('POINTAGE'!$AH$5&lt;&gt;"",--('POINTAGE'!AH9="Présent"),0),IF('POINTAGE'!$AJ$5&lt;&gt;"",--('POINTAGE'!AJ9="Présent"),0),IF('POINTAGE'!$AL$5&lt;&gt;"",--('POINTAGE'!AL9="Présent"),0),IF('POINTAGE'!$AN$5&lt;&gt;"",--('POINTAGE'!AN9="Présent"),0),IF('POINTAGE'!$AP$5&lt;&gt;"",--('POINTAGE'!AP9="Présent"),0),IF('POINTAGE'!$AR$5&lt;&gt;"",--('POINTAGE'!AR9="Présent"),0),IF('POINTAGE'!$AT$5&lt;&gt;"",--('POINTAGE'!AT9="Présent"),0),IF('POINTAGE'!$AV$5&lt;&gt;"",--('POINTAGE'!AV9="Présent"),0),IF('POINTAGE'!$AX$5&lt;&gt;"",--('POINTAGE'!AX9="Présent"),0),IF('POINTAGE'!$AZ$5&lt;&gt;"",--('POINTAGE'!AZ9="Présent"),0),IF('POINTAGE'!$BB$5&lt;&gt;"",--('POINTAGE'!BB9="Présent"),0),IF('POINTAGE'!$BD$5&lt;&gt;"",--('POINTAGE'!BD9="Présent"),0),IF('POINTAGE'!$BF$5&lt;&gt;"",--('POINTAGE'!BF9="Présent"),0),IF('POINTAGE'!$BH$5&lt;&gt;"",--('POINTAGE'!BH9="Présent"),0),IF('POINTAGE'!$BJ$5&lt;&gt;"",--('POINTAGE'!BJ9="Présent"),0),IF('POINTAGE'!$BL$5&lt;&gt;"",--('POINTAGE'!BL9="Présent"),0)))</f>
      </c>
      <c r="O9" s="22">
        <f>IF($A9="","",SUM(IF('POINTAGE'!$AH$5&lt;&gt;"",--('POINTAGE'!AH9="Absent"),0),IF('POINTAGE'!$AJ$5&lt;&gt;"",--('POINTAGE'!AJ9="Absent"),0),IF('POINTAGE'!$AL$5&lt;&gt;"",--('POINTAGE'!AL9="Absent"),0),IF('POINTAGE'!$AN$5&lt;&gt;"",--('POINTAGE'!AN9="Absent"),0),IF('POINTAGE'!$AP$5&lt;&gt;"",--('POINTAGE'!AP9="Absent"),0),IF('POINTAGE'!$AR$5&lt;&gt;"",--('POINTAGE'!AR9="Absent"),0),IF('POINTAGE'!$AT$5&lt;&gt;"",--('POINTAGE'!AT9="Absent"),0),IF('POINTAGE'!$AV$5&lt;&gt;"",--('POINTAGE'!AV9="Absent"),0),IF('POINTAGE'!$AX$5&lt;&gt;"",--('POINTAGE'!AX9="Absent"),0),IF('POINTAGE'!$AZ$5&lt;&gt;"",--('POINTAGE'!AZ9="Absent"),0),IF('POINTAGE'!$BB$5&lt;&gt;"",--('POINTAGE'!BB9="Absent"),0),IF('POINTAGE'!$BD$5&lt;&gt;"",--('POINTAGE'!BD9="Absent"),0),IF('POINTAGE'!$BF$5&lt;&gt;"",--('POINTAGE'!BF9="Absent"),0),IF('POINTAGE'!$BH$5&lt;&gt;"",--('POINTAGE'!BH9="Absent"),0),IF('POINTAGE'!$BJ$5&lt;&gt;"",--('POINTAGE'!BJ9="Absent"),0),IF('POINTAGE'!$BL$5&lt;&gt;"",--('POINTAGE'!BL9="Absent"),0)))</f>
      </c>
      <c r="P9" s="23">
        <f>IF($A9="","",SUM(IF('POINTAGE'!$AH$5&lt;&gt;"",IF('POINTAGE'!AH9="Présent",'POINTAGE'!AI9,0),0),IF('POINTAGE'!$AJ$5&lt;&gt;"",IF('POINTAGE'!AJ9="Présent",'POINTAGE'!AK9,0),0),IF('POINTAGE'!$AL$5&lt;&gt;"",IF('POINTAGE'!AL9="Présent",'POINTAGE'!AM9,0),0),IF('POINTAGE'!$AN$5&lt;&gt;"",IF('POINTAGE'!AN9="Présent",'POINTAGE'!AO9,0),0),IF('POINTAGE'!$AP$5&lt;&gt;"",IF('POINTAGE'!AP9="Présent",'POINTAGE'!AQ9,0),0),IF('POINTAGE'!$AR$5&lt;&gt;"",IF('POINTAGE'!AR9="Présent",'POINTAGE'!AS9,0),0),IF('POINTAGE'!$AT$5&lt;&gt;"",IF('POINTAGE'!AT9="Présent",'POINTAGE'!AU9,0),0),IF('POINTAGE'!$AV$5&lt;&gt;"",IF('POINTAGE'!AV9="Présent",'POINTAGE'!AW9,0),0),IF('POINTAGE'!$AX$5&lt;&gt;"",IF('POINTAGE'!AX9="Présent",'POINTAGE'!AY9,0),0),IF('POINTAGE'!$AZ$5&lt;&gt;"",IF('POINTAGE'!AZ9="Présent",'POINTAGE'!BA9,0),0),IF('POINTAGE'!$BB$5&lt;&gt;"",IF('POINTAGE'!BB9="Présent",'POINTAGE'!BC9,0),0),IF('POINTAGE'!$BD$5&lt;&gt;"",IF('POINTAGE'!BD9="Présent",'POINTAGE'!BE9,0),0),IF('POINTAGE'!$BF$5&lt;&gt;"",IF('POINTAGE'!BF9="Présent",'POINTAGE'!BG9,0),0),IF('POINTAGE'!$BH$5&lt;&gt;"",IF('POINTAGE'!BH9="Présent",'POINTAGE'!BI9,0),0),IF('POINTAGE'!$BJ$5&lt;&gt;"",IF('POINTAGE'!BJ9="Présent",'POINTAGE'!BK9,0),0),IF('POINTAGE'!$BL$5&lt;&gt;"",IF('POINTAGE'!BL9="Présent",'POINTAGE'!BM9,0),0)))</f>
      </c>
      <c r="Q9" s="24">
        <f>IF($A9="","",$N9*$D9)</f>
      </c>
      <c r="R9" s="24">
        <f>IF($A9="","",$P9*$E9)</f>
      </c>
      <c r="S9" s="25">
        <f>IF($A9="","",$Q9+$R9)</f>
      </c>
      <c r="T9" s="18"/>
      <c r="U9" s="25">
        <f>IF($A9="","",MAX(0,$S9-$T9))</f>
      </c>
      <c r="V9" s="25">
        <f>IF($A9="","",$K9+$S9)</f>
      </c>
      <c r="W9" s="24">
        <f>IF($A9="","",$L9+$T9)</f>
      </c>
      <c r="X9" s="25">
        <f>IF($A9="","",$M9+$U9)</f>
      </c>
      <c r="Y9" s="29">
        <f>IF($A9="","",$J9+$R9)</f>
      </c>
    </row>
    <row r="10">
      <c r="A10" s="20">
        <f>IF('POINTAGE'!A10="","",'POINTAGE'!A10)</f>
      </c>
      <c r="B10" s="19">
        <f>IF($A10="","",'POINTAGE'!B10)</f>
      </c>
      <c r="C10" s="20">
        <f>IF($A10="","",'POINTAGE'!C10)</f>
      </c>
      <c r="D10" s="24">
        <f>IF($A10="","",IFERROR(INDEX(Categories_Salaire,MATCH($C10,ListeCategories,0)),0))</f>
      </c>
      <c r="E10" s="24">
        <f>IF($A10="","",IF(IFERROR(INDEX(Categories_TauxHS,MATCH($C10,ListeCategories,0)),0)&gt;0,IFERROR(INDEX(Categories_TauxHS,MATCH($C10,ListeCategories,0)),0),TauxHSDefaut))</f>
      </c>
      <c r="F10" s="22">
        <f>IF($A10="","",SUM(IF('POINTAGE'!$D$5&lt;&gt;"",--('POINTAGE'!D10="Présent"),0),IF('POINTAGE'!$F$5&lt;&gt;"",--('POINTAGE'!F10="Présent"),0),IF('POINTAGE'!$H$5&lt;&gt;"",--('POINTAGE'!H10="Présent"),0),IF('POINTAGE'!$J$5&lt;&gt;"",--('POINTAGE'!J10="Présent"),0),IF('POINTAGE'!$L$5&lt;&gt;"",--('POINTAGE'!L10="Présent"),0),IF('POINTAGE'!$N$5&lt;&gt;"",--('POINTAGE'!N10="Présent"),0),IF('POINTAGE'!$P$5&lt;&gt;"",--('POINTAGE'!P10="Présent"),0),IF('POINTAGE'!$R$5&lt;&gt;"",--('POINTAGE'!R10="Présent"),0),IF('POINTAGE'!$T$5&lt;&gt;"",--('POINTAGE'!T10="Présent"),0),IF('POINTAGE'!$V$5&lt;&gt;"",--('POINTAGE'!V10="Présent"),0),IF('POINTAGE'!$X$5&lt;&gt;"",--('POINTAGE'!X10="Présent"),0),IF('POINTAGE'!$Z$5&lt;&gt;"",--('POINTAGE'!Z10="Présent"),0),IF('POINTAGE'!$AB$5&lt;&gt;"",--('POINTAGE'!AB10="Présent"),0),IF('POINTAGE'!$AD$5&lt;&gt;"",--('POINTAGE'!AD10="Présent"),0),IF('POINTAGE'!$AF$5&lt;&gt;"",--('POINTAGE'!AF10="Présent"),0)))</f>
      </c>
      <c r="G10" s="22">
        <f>IF($A10="","",SUM(IF('POINTAGE'!$D$5&lt;&gt;"",--('POINTAGE'!D10="Absent"),0),IF('POINTAGE'!$F$5&lt;&gt;"",--('POINTAGE'!F10="Absent"),0),IF('POINTAGE'!$H$5&lt;&gt;"",--('POINTAGE'!H10="Absent"),0),IF('POINTAGE'!$J$5&lt;&gt;"",--('POINTAGE'!J10="Absent"),0),IF('POINTAGE'!$L$5&lt;&gt;"",--('POINTAGE'!L10="Absent"),0),IF('POINTAGE'!$N$5&lt;&gt;"",--('POINTAGE'!N10="Absent"),0),IF('POINTAGE'!$P$5&lt;&gt;"",--('POINTAGE'!P10="Absent"),0),IF('POINTAGE'!$R$5&lt;&gt;"",--('POINTAGE'!R10="Absent"),0),IF('POINTAGE'!$T$5&lt;&gt;"",--('POINTAGE'!T10="Absent"),0),IF('POINTAGE'!$V$5&lt;&gt;"",--('POINTAGE'!V10="Absent"),0),IF('POINTAGE'!$X$5&lt;&gt;"",--('POINTAGE'!X10="Absent"),0),IF('POINTAGE'!$Z$5&lt;&gt;"",--('POINTAGE'!Z10="Absent"),0),IF('POINTAGE'!$AB$5&lt;&gt;"",--('POINTAGE'!AB10="Absent"),0),IF('POINTAGE'!$AD$5&lt;&gt;"",--('POINTAGE'!AD10="Absent"),0),IF('POINTAGE'!$AF$5&lt;&gt;"",--('POINTAGE'!AF10="Absent"),0)))</f>
      </c>
      <c r="H10" s="23">
        <f>IF($A10="","",SUM(IF('POINTAGE'!$D$5&lt;&gt;"",IF('POINTAGE'!D10="Présent",'POINTAGE'!E10,0),0),IF('POINTAGE'!$F$5&lt;&gt;"",IF('POINTAGE'!F10="Présent",'POINTAGE'!G10,0),0),IF('POINTAGE'!$H$5&lt;&gt;"",IF('POINTAGE'!H10="Présent",'POINTAGE'!I10,0),0),IF('POINTAGE'!$J$5&lt;&gt;"",IF('POINTAGE'!J10="Présent",'POINTAGE'!K10,0),0),IF('POINTAGE'!$L$5&lt;&gt;"",IF('POINTAGE'!L10="Présent",'POINTAGE'!M10,0),0),IF('POINTAGE'!$N$5&lt;&gt;"",IF('POINTAGE'!N10="Présent",'POINTAGE'!O10,0),0),IF('POINTAGE'!$P$5&lt;&gt;"",IF('POINTAGE'!P10="Présent",'POINTAGE'!Q10,0),0),IF('POINTAGE'!$R$5&lt;&gt;"",IF('POINTAGE'!R10="Présent",'POINTAGE'!S10,0),0),IF('POINTAGE'!$T$5&lt;&gt;"",IF('POINTAGE'!T10="Présent",'POINTAGE'!U10,0),0),IF('POINTAGE'!$V$5&lt;&gt;"",IF('POINTAGE'!V10="Présent",'POINTAGE'!W10,0),0),IF('POINTAGE'!$X$5&lt;&gt;"",IF('POINTAGE'!X10="Présent",'POINTAGE'!Y10,0),0),IF('POINTAGE'!$Z$5&lt;&gt;"",IF('POINTAGE'!Z10="Présent",'POINTAGE'!AA10,0),0),IF('POINTAGE'!$AB$5&lt;&gt;"",IF('POINTAGE'!AB10="Présent",'POINTAGE'!AC10,0),0),IF('POINTAGE'!$AD$5&lt;&gt;"",IF('POINTAGE'!AD10="Présent",'POINTAGE'!AE10,0),0),IF('POINTAGE'!$AF$5&lt;&gt;"",IF('POINTAGE'!AF10="Présent",'POINTAGE'!AG10,0),0)))</f>
      </c>
      <c r="I10" s="24">
        <f>IF($A10="","",$F10*$D10)</f>
      </c>
      <c r="J10" s="24">
        <f>IF($A10="","",$H10*$E10)</f>
      </c>
      <c r="K10" s="25">
        <f>IF($A10="","",$I10+$J10)</f>
      </c>
      <c r="L10" s="18"/>
      <c r="M10" s="25">
        <f>IF($A10="","",MAX(0,$K10-$L10))</f>
      </c>
      <c r="N10" s="22">
        <f>IF($A10="","",SUM(IF('POINTAGE'!$AH$5&lt;&gt;"",--('POINTAGE'!AH10="Présent"),0),IF('POINTAGE'!$AJ$5&lt;&gt;"",--('POINTAGE'!AJ10="Présent"),0),IF('POINTAGE'!$AL$5&lt;&gt;"",--('POINTAGE'!AL10="Présent"),0),IF('POINTAGE'!$AN$5&lt;&gt;"",--('POINTAGE'!AN10="Présent"),0),IF('POINTAGE'!$AP$5&lt;&gt;"",--('POINTAGE'!AP10="Présent"),0),IF('POINTAGE'!$AR$5&lt;&gt;"",--('POINTAGE'!AR10="Présent"),0),IF('POINTAGE'!$AT$5&lt;&gt;"",--('POINTAGE'!AT10="Présent"),0),IF('POINTAGE'!$AV$5&lt;&gt;"",--('POINTAGE'!AV10="Présent"),0),IF('POINTAGE'!$AX$5&lt;&gt;"",--('POINTAGE'!AX10="Présent"),0),IF('POINTAGE'!$AZ$5&lt;&gt;"",--('POINTAGE'!AZ10="Présent"),0),IF('POINTAGE'!$BB$5&lt;&gt;"",--('POINTAGE'!BB10="Présent"),0),IF('POINTAGE'!$BD$5&lt;&gt;"",--('POINTAGE'!BD10="Présent"),0),IF('POINTAGE'!$BF$5&lt;&gt;"",--('POINTAGE'!BF10="Présent"),0),IF('POINTAGE'!$BH$5&lt;&gt;"",--('POINTAGE'!BH10="Présent"),0),IF('POINTAGE'!$BJ$5&lt;&gt;"",--('POINTAGE'!BJ10="Présent"),0),IF('POINTAGE'!$BL$5&lt;&gt;"",--('POINTAGE'!BL10="Présent"),0)))</f>
      </c>
      <c r="O10" s="22">
        <f>IF($A10="","",SUM(IF('POINTAGE'!$AH$5&lt;&gt;"",--('POINTAGE'!AH10="Absent"),0),IF('POINTAGE'!$AJ$5&lt;&gt;"",--('POINTAGE'!AJ10="Absent"),0),IF('POINTAGE'!$AL$5&lt;&gt;"",--('POINTAGE'!AL10="Absent"),0),IF('POINTAGE'!$AN$5&lt;&gt;"",--('POINTAGE'!AN10="Absent"),0),IF('POINTAGE'!$AP$5&lt;&gt;"",--('POINTAGE'!AP10="Absent"),0),IF('POINTAGE'!$AR$5&lt;&gt;"",--('POINTAGE'!AR10="Absent"),0),IF('POINTAGE'!$AT$5&lt;&gt;"",--('POINTAGE'!AT10="Absent"),0),IF('POINTAGE'!$AV$5&lt;&gt;"",--('POINTAGE'!AV10="Absent"),0),IF('POINTAGE'!$AX$5&lt;&gt;"",--('POINTAGE'!AX10="Absent"),0),IF('POINTAGE'!$AZ$5&lt;&gt;"",--('POINTAGE'!AZ10="Absent"),0),IF('POINTAGE'!$BB$5&lt;&gt;"",--('POINTAGE'!BB10="Absent"),0),IF('POINTAGE'!$BD$5&lt;&gt;"",--('POINTAGE'!BD10="Absent"),0),IF('POINTAGE'!$BF$5&lt;&gt;"",--('POINTAGE'!BF10="Absent"),0),IF('POINTAGE'!$BH$5&lt;&gt;"",--('POINTAGE'!BH10="Absent"),0),IF('POINTAGE'!$BJ$5&lt;&gt;"",--('POINTAGE'!BJ10="Absent"),0),IF('POINTAGE'!$BL$5&lt;&gt;"",--('POINTAGE'!BL10="Absent"),0)))</f>
      </c>
      <c r="P10" s="23">
        <f>IF($A10="","",SUM(IF('POINTAGE'!$AH$5&lt;&gt;"",IF('POINTAGE'!AH10="Présent",'POINTAGE'!AI10,0),0),IF('POINTAGE'!$AJ$5&lt;&gt;"",IF('POINTAGE'!AJ10="Présent",'POINTAGE'!AK10,0),0),IF('POINTAGE'!$AL$5&lt;&gt;"",IF('POINTAGE'!AL10="Présent",'POINTAGE'!AM10,0),0),IF('POINTAGE'!$AN$5&lt;&gt;"",IF('POINTAGE'!AN10="Présent",'POINTAGE'!AO10,0),0),IF('POINTAGE'!$AP$5&lt;&gt;"",IF('POINTAGE'!AP10="Présent",'POINTAGE'!AQ10,0),0),IF('POINTAGE'!$AR$5&lt;&gt;"",IF('POINTAGE'!AR10="Présent",'POINTAGE'!AS10,0),0),IF('POINTAGE'!$AT$5&lt;&gt;"",IF('POINTAGE'!AT10="Présent",'POINTAGE'!AU10,0),0),IF('POINTAGE'!$AV$5&lt;&gt;"",IF('POINTAGE'!AV10="Présent",'POINTAGE'!AW10,0),0),IF('POINTAGE'!$AX$5&lt;&gt;"",IF('POINTAGE'!AX10="Présent",'POINTAGE'!AY10,0),0),IF('POINTAGE'!$AZ$5&lt;&gt;"",IF('POINTAGE'!AZ10="Présent",'POINTAGE'!BA10,0),0),IF('POINTAGE'!$BB$5&lt;&gt;"",IF('POINTAGE'!BB10="Présent",'POINTAGE'!BC10,0),0),IF('POINTAGE'!$BD$5&lt;&gt;"",IF('POINTAGE'!BD10="Présent",'POINTAGE'!BE10,0),0),IF('POINTAGE'!$BF$5&lt;&gt;"",IF('POINTAGE'!BF10="Présent",'POINTAGE'!BG10,0),0),IF('POINTAGE'!$BH$5&lt;&gt;"",IF('POINTAGE'!BH10="Présent",'POINTAGE'!BI10,0),0),IF('POINTAGE'!$BJ$5&lt;&gt;"",IF('POINTAGE'!BJ10="Présent",'POINTAGE'!BK10,0),0),IF('POINTAGE'!$BL$5&lt;&gt;"",IF('POINTAGE'!BL10="Présent",'POINTAGE'!BM10,0),0)))</f>
      </c>
      <c r="Q10" s="24">
        <f>IF($A10="","",$N10*$D10)</f>
      </c>
      <c r="R10" s="24">
        <f>IF($A10="","",$P10*$E10)</f>
      </c>
      <c r="S10" s="25">
        <f>IF($A10="","",$Q10+$R10)</f>
      </c>
      <c r="T10" s="18"/>
      <c r="U10" s="25">
        <f>IF($A10="","",MAX(0,$S10-$T10))</f>
      </c>
      <c r="V10" s="25">
        <f>IF($A10="","",$K10+$S10)</f>
      </c>
      <c r="W10" s="24">
        <f>IF($A10="","",$L10+$T10)</f>
      </c>
      <c r="X10" s="25">
        <f>IF($A10="","",$M10+$U10)</f>
      </c>
      <c r="Y10" s="29">
        <f>IF($A10="","",$J10+$R10)</f>
      </c>
    </row>
    <row r="11">
      <c r="A11" s="20">
        <f>IF('POINTAGE'!A11="","",'POINTAGE'!A11)</f>
      </c>
      <c r="B11" s="19">
        <f>IF($A11="","",'POINTAGE'!B11)</f>
      </c>
      <c r="C11" s="20">
        <f>IF($A11="","",'POINTAGE'!C11)</f>
      </c>
      <c r="D11" s="24">
        <f>IF($A11="","",IFERROR(INDEX(Categories_Salaire,MATCH($C11,ListeCategories,0)),0))</f>
      </c>
      <c r="E11" s="24">
        <f>IF($A11="","",IF(IFERROR(INDEX(Categories_TauxHS,MATCH($C11,ListeCategories,0)),0)&gt;0,IFERROR(INDEX(Categories_TauxHS,MATCH($C11,ListeCategories,0)),0),TauxHSDefaut))</f>
      </c>
      <c r="F11" s="22">
        <f>IF($A11="","",SUM(IF('POINTAGE'!$D$5&lt;&gt;"",--('POINTAGE'!D11="Présent"),0),IF('POINTAGE'!$F$5&lt;&gt;"",--('POINTAGE'!F11="Présent"),0),IF('POINTAGE'!$H$5&lt;&gt;"",--('POINTAGE'!H11="Présent"),0),IF('POINTAGE'!$J$5&lt;&gt;"",--('POINTAGE'!J11="Présent"),0),IF('POINTAGE'!$L$5&lt;&gt;"",--('POINTAGE'!L11="Présent"),0),IF('POINTAGE'!$N$5&lt;&gt;"",--('POINTAGE'!N11="Présent"),0),IF('POINTAGE'!$P$5&lt;&gt;"",--('POINTAGE'!P11="Présent"),0),IF('POINTAGE'!$R$5&lt;&gt;"",--('POINTAGE'!R11="Présent"),0),IF('POINTAGE'!$T$5&lt;&gt;"",--('POINTAGE'!T11="Présent"),0),IF('POINTAGE'!$V$5&lt;&gt;"",--('POINTAGE'!V11="Présent"),0),IF('POINTAGE'!$X$5&lt;&gt;"",--('POINTAGE'!X11="Présent"),0),IF('POINTAGE'!$Z$5&lt;&gt;"",--('POINTAGE'!Z11="Présent"),0),IF('POINTAGE'!$AB$5&lt;&gt;"",--('POINTAGE'!AB11="Présent"),0),IF('POINTAGE'!$AD$5&lt;&gt;"",--('POINTAGE'!AD11="Présent"),0),IF('POINTAGE'!$AF$5&lt;&gt;"",--('POINTAGE'!AF11="Présent"),0)))</f>
      </c>
      <c r="G11" s="22">
        <f>IF($A11="","",SUM(IF('POINTAGE'!$D$5&lt;&gt;"",--('POINTAGE'!D11="Absent"),0),IF('POINTAGE'!$F$5&lt;&gt;"",--('POINTAGE'!F11="Absent"),0),IF('POINTAGE'!$H$5&lt;&gt;"",--('POINTAGE'!H11="Absent"),0),IF('POINTAGE'!$J$5&lt;&gt;"",--('POINTAGE'!J11="Absent"),0),IF('POINTAGE'!$L$5&lt;&gt;"",--('POINTAGE'!L11="Absent"),0),IF('POINTAGE'!$N$5&lt;&gt;"",--('POINTAGE'!N11="Absent"),0),IF('POINTAGE'!$P$5&lt;&gt;"",--('POINTAGE'!P11="Absent"),0),IF('POINTAGE'!$R$5&lt;&gt;"",--('POINTAGE'!R11="Absent"),0),IF('POINTAGE'!$T$5&lt;&gt;"",--('POINTAGE'!T11="Absent"),0),IF('POINTAGE'!$V$5&lt;&gt;"",--('POINTAGE'!V11="Absent"),0),IF('POINTAGE'!$X$5&lt;&gt;"",--('POINTAGE'!X11="Absent"),0),IF('POINTAGE'!$Z$5&lt;&gt;"",--('POINTAGE'!Z11="Absent"),0),IF('POINTAGE'!$AB$5&lt;&gt;"",--('POINTAGE'!AB11="Absent"),0),IF('POINTAGE'!$AD$5&lt;&gt;"",--('POINTAGE'!AD11="Absent"),0),IF('POINTAGE'!$AF$5&lt;&gt;"",--('POINTAGE'!AF11="Absent"),0)))</f>
      </c>
      <c r="H11" s="23">
        <f>IF($A11="","",SUM(IF('POINTAGE'!$D$5&lt;&gt;"",IF('POINTAGE'!D11="Présent",'POINTAGE'!E11,0),0),IF('POINTAGE'!$F$5&lt;&gt;"",IF('POINTAGE'!F11="Présent",'POINTAGE'!G11,0),0),IF('POINTAGE'!$H$5&lt;&gt;"",IF('POINTAGE'!H11="Présent",'POINTAGE'!I11,0),0),IF('POINTAGE'!$J$5&lt;&gt;"",IF('POINTAGE'!J11="Présent",'POINTAGE'!K11,0),0),IF('POINTAGE'!$L$5&lt;&gt;"",IF('POINTAGE'!L11="Présent",'POINTAGE'!M11,0),0),IF('POINTAGE'!$N$5&lt;&gt;"",IF('POINTAGE'!N11="Présent",'POINTAGE'!O11,0),0),IF('POINTAGE'!$P$5&lt;&gt;"",IF('POINTAGE'!P11="Présent",'POINTAGE'!Q11,0),0),IF('POINTAGE'!$R$5&lt;&gt;"",IF('POINTAGE'!R11="Présent",'POINTAGE'!S11,0),0),IF('POINTAGE'!$T$5&lt;&gt;"",IF('POINTAGE'!T11="Présent",'POINTAGE'!U11,0),0),IF('POINTAGE'!$V$5&lt;&gt;"",IF('POINTAGE'!V11="Présent",'POINTAGE'!W11,0),0),IF('POINTAGE'!$X$5&lt;&gt;"",IF('POINTAGE'!X11="Présent",'POINTAGE'!Y11,0),0),IF('POINTAGE'!$Z$5&lt;&gt;"",IF('POINTAGE'!Z11="Présent",'POINTAGE'!AA11,0),0),IF('POINTAGE'!$AB$5&lt;&gt;"",IF('POINTAGE'!AB11="Présent",'POINTAGE'!AC11,0),0),IF('POINTAGE'!$AD$5&lt;&gt;"",IF('POINTAGE'!AD11="Présent",'POINTAGE'!AE11,0),0),IF('POINTAGE'!$AF$5&lt;&gt;"",IF('POINTAGE'!AF11="Présent",'POINTAGE'!AG11,0),0)))</f>
      </c>
      <c r="I11" s="24">
        <f>IF($A11="","",$F11*$D11)</f>
      </c>
      <c r="J11" s="24">
        <f>IF($A11="","",$H11*$E11)</f>
      </c>
      <c r="K11" s="25">
        <f>IF($A11="","",$I11+$J11)</f>
      </c>
      <c r="L11" s="18"/>
      <c r="M11" s="25">
        <f>IF($A11="","",MAX(0,$K11-$L11))</f>
      </c>
      <c r="N11" s="22">
        <f>IF($A11="","",SUM(IF('POINTAGE'!$AH$5&lt;&gt;"",--('POINTAGE'!AH11="Présent"),0),IF('POINTAGE'!$AJ$5&lt;&gt;"",--('POINTAGE'!AJ11="Présent"),0),IF('POINTAGE'!$AL$5&lt;&gt;"",--('POINTAGE'!AL11="Présent"),0),IF('POINTAGE'!$AN$5&lt;&gt;"",--('POINTAGE'!AN11="Présent"),0),IF('POINTAGE'!$AP$5&lt;&gt;"",--('POINTAGE'!AP11="Présent"),0),IF('POINTAGE'!$AR$5&lt;&gt;"",--('POINTAGE'!AR11="Présent"),0),IF('POINTAGE'!$AT$5&lt;&gt;"",--('POINTAGE'!AT11="Présent"),0),IF('POINTAGE'!$AV$5&lt;&gt;"",--('POINTAGE'!AV11="Présent"),0),IF('POINTAGE'!$AX$5&lt;&gt;"",--('POINTAGE'!AX11="Présent"),0),IF('POINTAGE'!$AZ$5&lt;&gt;"",--('POINTAGE'!AZ11="Présent"),0),IF('POINTAGE'!$BB$5&lt;&gt;"",--('POINTAGE'!BB11="Présent"),0),IF('POINTAGE'!$BD$5&lt;&gt;"",--('POINTAGE'!BD11="Présent"),0),IF('POINTAGE'!$BF$5&lt;&gt;"",--('POINTAGE'!BF11="Présent"),0),IF('POINTAGE'!$BH$5&lt;&gt;"",--('POINTAGE'!BH11="Présent"),0),IF('POINTAGE'!$BJ$5&lt;&gt;"",--('POINTAGE'!BJ11="Présent"),0),IF('POINTAGE'!$BL$5&lt;&gt;"",--('POINTAGE'!BL11="Présent"),0)))</f>
      </c>
      <c r="O11" s="22">
        <f>IF($A11="","",SUM(IF('POINTAGE'!$AH$5&lt;&gt;"",--('POINTAGE'!AH11="Absent"),0),IF('POINTAGE'!$AJ$5&lt;&gt;"",--('POINTAGE'!AJ11="Absent"),0),IF('POINTAGE'!$AL$5&lt;&gt;"",--('POINTAGE'!AL11="Absent"),0),IF('POINTAGE'!$AN$5&lt;&gt;"",--('POINTAGE'!AN11="Absent"),0),IF('POINTAGE'!$AP$5&lt;&gt;"",--('POINTAGE'!AP11="Absent"),0),IF('POINTAGE'!$AR$5&lt;&gt;"",--('POINTAGE'!AR11="Absent"),0),IF('POINTAGE'!$AT$5&lt;&gt;"",--('POINTAGE'!AT11="Absent"),0),IF('POINTAGE'!$AV$5&lt;&gt;"",--('POINTAGE'!AV11="Absent"),0),IF('POINTAGE'!$AX$5&lt;&gt;"",--('POINTAGE'!AX11="Absent"),0),IF('POINTAGE'!$AZ$5&lt;&gt;"",--('POINTAGE'!AZ11="Absent"),0),IF('POINTAGE'!$BB$5&lt;&gt;"",--('POINTAGE'!BB11="Absent"),0),IF('POINTAGE'!$BD$5&lt;&gt;"",--('POINTAGE'!BD11="Absent"),0),IF('POINTAGE'!$BF$5&lt;&gt;"",--('POINTAGE'!BF11="Absent"),0),IF('POINTAGE'!$BH$5&lt;&gt;"",--('POINTAGE'!BH11="Absent"),0),IF('POINTAGE'!$BJ$5&lt;&gt;"",--('POINTAGE'!BJ11="Absent"),0),IF('POINTAGE'!$BL$5&lt;&gt;"",--('POINTAGE'!BL11="Absent"),0)))</f>
      </c>
      <c r="P11" s="23">
        <f>IF($A11="","",SUM(IF('POINTAGE'!$AH$5&lt;&gt;"",IF('POINTAGE'!AH11="Présent",'POINTAGE'!AI11,0),0),IF('POINTAGE'!$AJ$5&lt;&gt;"",IF('POINTAGE'!AJ11="Présent",'POINTAGE'!AK11,0),0),IF('POINTAGE'!$AL$5&lt;&gt;"",IF('POINTAGE'!AL11="Présent",'POINTAGE'!AM11,0),0),IF('POINTAGE'!$AN$5&lt;&gt;"",IF('POINTAGE'!AN11="Présent",'POINTAGE'!AO11,0),0),IF('POINTAGE'!$AP$5&lt;&gt;"",IF('POINTAGE'!AP11="Présent",'POINTAGE'!AQ11,0),0),IF('POINTAGE'!$AR$5&lt;&gt;"",IF('POINTAGE'!AR11="Présent",'POINTAGE'!AS11,0),0),IF('POINTAGE'!$AT$5&lt;&gt;"",IF('POINTAGE'!AT11="Présent",'POINTAGE'!AU11,0),0),IF('POINTAGE'!$AV$5&lt;&gt;"",IF('POINTAGE'!AV11="Présent",'POINTAGE'!AW11,0),0),IF('POINTAGE'!$AX$5&lt;&gt;"",IF('POINTAGE'!AX11="Présent",'POINTAGE'!AY11,0),0),IF('POINTAGE'!$AZ$5&lt;&gt;"",IF('POINTAGE'!AZ11="Présent",'POINTAGE'!BA11,0),0),IF('POINTAGE'!$BB$5&lt;&gt;"",IF('POINTAGE'!BB11="Présent",'POINTAGE'!BC11,0),0),IF('POINTAGE'!$BD$5&lt;&gt;"",IF('POINTAGE'!BD11="Présent",'POINTAGE'!BE11,0),0),IF('POINTAGE'!$BF$5&lt;&gt;"",IF('POINTAGE'!BF11="Présent",'POINTAGE'!BG11,0),0),IF('POINTAGE'!$BH$5&lt;&gt;"",IF('POINTAGE'!BH11="Présent",'POINTAGE'!BI11,0),0),IF('POINTAGE'!$BJ$5&lt;&gt;"",IF('POINTAGE'!BJ11="Présent",'POINTAGE'!BK11,0),0),IF('POINTAGE'!$BL$5&lt;&gt;"",IF('POINTAGE'!BL11="Présent",'POINTAGE'!BM11,0),0)))</f>
      </c>
      <c r="Q11" s="24">
        <f>IF($A11="","",$N11*$D11)</f>
      </c>
      <c r="R11" s="24">
        <f>IF($A11="","",$P11*$E11)</f>
      </c>
      <c r="S11" s="25">
        <f>IF($A11="","",$Q11+$R11)</f>
      </c>
      <c r="T11" s="18"/>
      <c r="U11" s="25">
        <f>IF($A11="","",MAX(0,$S11-$T11))</f>
      </c>
      <c r="V11" s="25">
        <f>IF($A11="","",$K11+$S11)</f>
      </c>
      <c r="W11" s="24">
        <f>IF($A11="","",$L11+$T11)</f>
      </c>
      <c r="X11" s="25">
        <f>IF($A11="","",$M11+$U11)</f>
      </c>
      <c r="Y11" s="29">
        <f>IF($A11="","",$J11+$R11)</f>
      </c>
    </row>
    <row r="12">
      <c r="A12" s="20">
        <f>IF('POINTAGE'!A12="","",'POINTAGE'!A12)</f>
      </c>
      <c r="B12" s="19">
        <f>IF($A12="","",'POINTAGE'!B12)</f>
      </c>
      <c r="C12" s="20">
        <f>IF($A12="","",'POINTAGE'!C12)</f>
      </c>
      <c r="D12" s="24">
        <f>IF($A12="","",IFERROR(INDEX(Categories_Salaire,MATCH($C12,ListeCategories,0)),0))</f>
      </c>
      <c r="E12" s="24">
        <f>IF($A12="","",IF(IFERROR(INDEX(Categories_TauxHS,MATCH($C12,ListeCategories,0)),0)&gt;0,IFERROR(INDEX(Categories_TauxHS,MATCH($C12,ListeCategories,0)),0),TauxHSDefaut))</f>
      </c>
      <c r="F12" s="22">
        <f>IF($A12="","",SUM(IF('POINTAGE'!$D$5&lt;&gt;"",--('POINTAGE'!D12="Présent"),0),IF('POINTAGE'!$F$5&lt;&gt;"",--('POINTAGE'!F12="Présent"),0),IF('POINTAGE'!$H$5&lt;&gt;"",--('POINTAGE'!H12="Présent"),0),IF('POINTAGE'!$J$5&lt;&gt;"",--('POINTAGE'!J12="Présent"),0),IF('POINTAGE'!$L$5&lt;&gt;"",--('POINTAGE'!L12="Présent"),0),IF('POINTAGE'!$N$5&lt;&gt;"",--('POINTAGE'!N12="Présent"),0),IF('POINTAGE'!$P$5&lt;&gt;"",--('POINTAGE'!P12="Présent"),0),IF('POINTAGE'!$R$5&lt;&gt;"",--('POINTAGE'!R12="Présent"),0),IF('POINTAGE'!$T$5&lt;&gt;"",--('POINTAGE'!T12="Présent"),0),IF('POINTAGE'!$V$5&lt;&gt;"",--('POINTAGE'!V12="Présent"),0),IF('POINTAGE'!$X$5&lt;&gt;"",--('POINTAGE'!X12="Présent"),0),IF('POINTAGE'!$Z$5&lt;&gt;"",--('POINTAGE'!Z12="Présent"),0),IF('POINTAGE'!$AB$5&lt;&gt;"",--('POINTAGE'!AB12="Présent"),0),IF('POINTAGE'!$AD$5&lt;&gt;"",--('POINTAGE'!AD12="Présent"),0),IF('POINTAGE'!$AF$5&lt;&gt;"",--('POINTAGE'!AF12="Présent"),0)))</f>
      </c>
      <c r="G12" s="22">
        <f>IF($A12="","",SUM(IF('POINTAGE'!$D$5&lt;&gt;"",--('POINTAGE'!D12="Absent"),0),IF('POINTAGE'!$F$5&lt;&gt;"",--('POINTAGE'!F12="Absent"),0),IF('POINTAGE'!$H$5&lt;&gt;"",--('POINTAGE'!H12="Absent"),0),IF('POINTAGE'!$J$5&lt;&gt;"",--('POINTAGE'!J12="Absent"),0),IF('POINTAGE'!$L$5&lt;&gt;"",--('POINTAGE'!L12="Absent"),0),IF('POINTAGE'!$N$5&lt;&gt;"",--('POINTAGE'!N12="Absent"),0),IF('POINTAGE'!$P$5&lt;&gt;"",--('POINTAGE'!P12="Absent"),0),IF('POINTAGE'!$R$5&lt;&gt;"",--('POINTAGE'!R12="Absent"),0),IF('POINTAGE'!$T$5&lt;&gt;"",--('POINTAGE'!T12="Absent"),0),IF('POINTAGE'!$V$5&lt;&gt;"",--('POINTAGE'!V12="Absent"),0),IF('POINTAGE'!$X$5&lt;&gt;"",--('POINTAGE'!X12="Absent"),0),IF('POINTAGE'!$Z$5&lt;&gt;"",--('POINTAGE'!Z12="Absent"),0),IF('POINTAGE'!$AB$5&lt;&gt;"",--('POINTAGE'!AB12="Absent"),0),IF('POINTAGE'!$AD$5&lt;&gt;"",--('POINTAGE'!AD12="Absent"),0),IF('POINTAGE'!$AF$5&lt;&gt;"",--('POINTAGE'!AF12="Absent"),0)))</f>
      </c>
      <c r="H12" s="23">
        <f>IF($A12="","",SUM(IF('POINTAGE'!$D$5&lt;&gt;"",IF('POINTAGE'!D12="Présent",'POINTAGE'!E12,0),0),IF('POINTAGE'!$F$5&lt;&gt;"",IF('POINTAGE'!F12="Présent",'POINTAGE'!G12,0),0),IF('POINTAGE'!$H$5&lt;&gt;"",IF('POINTAGE'!H12="Présent",'POINTAGE'!I12,0),0),IF('POINTAGE'!$J$5&lt;&gt;"",IF('POINTAGE'!J12="Présent",'POINTAGE'!K12,0),0),IF('POINTAGE'!$L$5&lt;&gt;"",IF('POINTAGE'!L12="Présent",'POINTAGE'!M12,0),0),IF('POINTAGE'!$N$5&lt;&gt;"",IF('POINTAGE'!N12="Présent",'POINTAGE'!O12,0),0),IF('POINTAGE'!$P$5&lt;&gt;"",IF('POINTAGE'!P12="Présent",'POINTAGE'!Q12,0),0),IF('POINTAGE'!$R$5&lt;&gt;"",IF('POINTAGE'!R12="Présent",'POINTAGE'!S12,0),0),IF('POINTAGE'!$T$5&lt;&gt;"",IF('POINTAGE'!T12="Présent",'POINTAGE'!U12,0),0),IF('POINTAGE'!$V$5&lt;&gt;"",IF('POINTAGE'!V12="Présent",'POINTAGE'!W12,0),0),IF('POINTAGE'!$X$5&lt;&gt;"",IF('POINTAGE'!X12="Présent",'POINTAGE'!Y12,0),0),IF('POINTAGE'!$Z$5&lt;&gt;"",IF('POINTAGE'!Z12="Présent",'POINTAGE'!AA12,0),0),IF('POINTAGE'!$AB$5&lt;&gt;"",IF('POINTAGE'!AB12="Présent",'POINTAGE'!AC12,0),0),IF('POINTAGE'!$AD$5&lt;&gt;"",IF('POINTAGE'!AD12="Présent",'POINTAGE'!AE12,0),0),IF('POINTAGE'!$AF$5&lt;&gt;"",IF('POINTAGE'!AF12="Présent",'POINTAGE'!AG12,0),0)))</f>
      </c>
      <c r="I12" s="24">
        <f>IF($A12="","",$F12*$D12)</f>
      </c>
      <c r="J12" s="24">
        <f>IF($A12="","",$H12*$E12)</f>
      </c>
      <c r="K12" s="25">
        <f>IF($A12="","",$I12+$J12)</f>
      </c>
      <c r="L12" s="18"/>
      <c r="M12" s="25">
        <f>IF($A12="","",MAX(0,$K12-$L12))</f>
      </c>
      <c r="N12" s="22">
        <f>IF($A12="","",SUM(IF('POINTAGE'!$AH$5&lt;&gt;"",--('POINTAGE'!AH12="Présent"),0),IF('POINTAGE'!$AJ$5&lt;&gt;"",--('POINTAGE'!AJ12="Présent"),0),IF('POINTAGE'!$AL$5&lt;&gt;"",--('POINTAGE'!AL12="Présent"),0),IF('POINTAGE'!$AN$5&lt;&gt;"",--('POINTAGE'!AN12="Présent"),0),IF('POINTAGE'!$AP$5&lt;&gt;"",--('POINTAGE'!AP12="Présent"),0),IF('POINTAGE'!$AR$5&lt;&gt;"",--('POINTAGE'!AR12="Présent"),0),IF('POINTAGE'!$AT$5&lt;&gt;"",--('POINTAGE'!AT12="Présent"),0),IF('POINTAGE'!$AV$5&lt;&gt;"",--('POINTAGE'!AV12="Présent"),0),IF('POINTAGE'!$AX$5&lt;&gt;"",--('POINTAGE'!AX12="Présent"),0),IF('POINTAGE'!$AZ$5&lt;&gt;"",--('POINTAGE'!AZ12="Présent"),0),IF('POINTAGE'!$BB$5&lt;&gt;"",--('POINTAGE'!BB12="Présent"),0),IF('POINTAGE'!$BD$5&lt;&gt;"",--('POINTAGE'!BD12="Présent"),0),IF('POINTAGE'!$BF$5&lt;&gt;"",--('POINTAGE'!BF12="Présent"),0),IF('POINTAGE'!$BH$5&lt;&gt;"",--('POINTAGE'!BH12="Présent"),0),IF('POINTAGE'!$BJ$5&lt;&gt;"",--('POINTAGE'!BJ12="Présent"),0),IF('POINTAGE'!$BL$5&lt;&gt;"",--('POINTAGE'!BL12="Présent"),0)))</f>
      </c>
      <c r="O12" s="22">
        <f>IF($A12="","",SUM(IF('POINTAGE'!$AH$5&lt;&gt;"",--('POINTAGE'!AH12="Absent"),0),IF('POINTAGE'!$AJ$5&lt;&gt;"",--('POINTAGE'!AJ12="Absent"),0),IF('POINTAGE'!$AL$5&lt;&gt;"",--('POINTAGE'!AL12="Absent"),0),IF('POINTAGE'!$AN$5&lt;&gt;"",--('POINTAGE'!AN12="Absent"),0),IF('POINTAGE'!$AP$5&lt;&gt;"",--('POINTAGE'!AP12="Absent"),0),IF('POINTAGE'!$AR$5&lt;&gt;"",--('POINTAGE'!AR12="Absent"),0),IF('POINTAGE'!$AT$5&lt;&gt;"",--('POINTAGE'!AT12="Absent"),0),IF('POINTAGE'!$AV$5&lt;&gt;"",--('POINTAGE'!AV12="Absent"),0),IF('POINTAGE'!$AX$5&lt;&gt;"",--('POINTAGE'!AX12="Absent"),0),IF('POINTAGE'!$AZ$5&lt;&gt;"",--('POINTAGE'!AZ12="Absent"),0),IF('POINTAGE'!$BB$5&lt;&gt;"",--('POINTAGE'!BB12="Absent"),0),IF('POINTAGE'!$BD$5&lt;&gt;"",--('POINTAGE'!BD12="Absent"),0),IF('POINTAGE'!$BF$5&lt;&gt;"",--('POINTAGE'!BF12="Absent"),0),IF('POINTAGE'!$BH$5&lt;&gt;"",--('POINTAGE'!BH12="Absent"),0),IF('POINTAGE'!$BJ$5&lt;&gt;"",--('POINTAGE'!BJ12="Absent"),0),IF('POINTAGE'!$BL$5&lt;&gt;"",--('POINTAGE'!BL12="Absent"),0)))</f>
      </c>
      <c r="P12" s="23">
        <f>IF($A12="","",SUM(IF('POINTAGE'!$AH$5&lt;&gt;"",IF('POINTAGE'!AH12="Présent",'POINTAGE'!AI12,0),0),IF('POINTAGE'!$AJ$5&lt;&gt;"",IF('POINTAGE'!AJ12="Présent",'POINTAGE'!AK12,0),0),IF('POINTAGE'!$AL$5&lt;&gt;"",IF('POINTAGE'!AL12="Présent",'POINTAGE'!AM12,0),0),IF('POINTAGE'!$AN$5&lt;&gt;"",IF('POINTAGE'!AN12="Présent",'POINTAGE'!AO12,0),0),IF('POINTAGE'!$AP$5&lt;&gt;"",IF('POINTAGE'!AP12="Présent",'POINTAGE'!AQ12,0),0),IF('POINTAGE'!$AR$5&lt;&gt;"",IF('POINTAGE'!AR12="Présent",'POINTAGE'!AS12,0),0),IF('POINTAGE'!$AT$5&lt;&gt;"",IF('POINTAGE'!AT12="Présent",'POINTAGE'!AU12,0),0),IF('POINTAGE'!$AV$5&lt;&gt;"",IF('POINTAGE'!AV12="Présent",'POINTAGE'!AW12,0),0),IF('POINTAGE'!$AX$5&lt;&gt;"",IF('POINTAGE'!AX12="Présent",'POINTAGE'!AY12,0),0),IF('POINTAGE'!$AZ$5&lt;&gt;"",IF('POINTAGE'!AZ12="Présent",'POINTAGE'!BA12,0),0),IF('POINTAGE'!$BB$5&lt;&gt;"",IF('POINTAGE'!BB12="Présent",'POINTAGE'!BC12,0),0),IF('POINTAGE'!$BD$5&lt;&gt;"",IF('POINTAGE'!BD12="Présent",'POINTAGE'!BE12,0),0),IF('POINTAGE'!$BF$5&lt;&gt;"",IF('POINTAGE'!BF12="Présent",'POINTAGE'!BG12,0),0),IF('POINTAGE'!$BH$5&lt;&gt;"",IF('POINTAGE'!BH12="Présent",'POINTAGE'!BI12,0),0),IF('POINTAGE'!$BJ$5&lt;&gt;"",IF('POINTAGE'!BJ12="Présent",'POINTAGE'!BK12,0),0),IF('POINTAGE'!$BL$5&lt;&gt;"",IF('POINTAGE'!BL12="Présent",'POINTAGE'!BM12,0),0)))</f>
      </c>
      <c r="Q12" s="24">
        <f>IF($A12="","",$N12*$D12)</f>
      </c>
      <c r="R12" s="24">
        <f>IF($A12="","",$P12*$E12)</f>
      </c>
      <c r="S12" s="25">
        <f>IF($A12="","",$Q12+$R12)</f>
      </c>
      <c r="T12" s="18"/>
      <c r="U12" s="25">
        <f>IF($A12="","",MAX(0,$S12-$T12))</f>
      </c>
      <c r="V12" s="25">
        <f>IF($A12="","",$K12+$S12)</f>
      </c>
      <c r="W12" s="24">
        <f>IF($A12="","",$L12+$T12)</f>
      </c>
      <c r="X12" s="25">
        <f>IF($A12="","",$M12+$U12)</f>
      </c>
      <c r="Y12" s="29">
        <f>IF($A12="","",$J12+$R12)</f>
      </c>
    </row>
    <row r="13">
      <c r="A13" s="20">
        <f>IF('POINTAGE'!A13="","",'POINTAGE'!A13)</f>
      </c>
      <c r="B13" s="19">
        <f>IF($A13="","",'POINTAGE'!B13)</f>
      </c>
      <c r="C13" s="20">
        <f>IF($A13="","",'POINTAGE'!C13)</f>
      </c>
      <c r="D13" s="24">
        <f>IF($A13="","",IFERROR(INDEX(Categories_Salaire,MATCH($C13,ListeCategories,0)),0))</f>
      </c>
      <c r="E13" s="24">
        <f>IF($A13="","",IF(IFERROR(INDEX(Categories_TauxHS,MATCH($C13,ListeCategories,0)),0)&gt;0,IFERROR(INDEX(Categories_TauxHS,MATCH($C13,ListeCategories,0)),0),TauxHSDefaut))</f>
      </c>
      <c r="F13" s="22">
        <f>IF($A13="","",SUM(IF('POINTAGE'!$D$5&lt;&gt;"",--('POINTAGE'!D13="Présent"),0),IF('POINTAGE'!$F$5&lt;&gt;"",--('POINTAGE'!F13="Présent"),0),IF('POINTAGE'!$H$5&lt;&gt;"",--('POINTAGE'!H13="Présent"),0),IF('POINTAGE'!$J$5&lt;&gt;"",--('POINTAGE'!J13="Présent"),0),IF('POINTAGE'!$L$5&lt;&gt;"",--('POINTAGE'!L13="Présent"),0),IF('POINTAGE'!$N$5&lt;&gt;"",--('POINTAGE'!N13="Présent"),0),IF('POINTAGE'!$P$5&lt;&gt;"",--('POINTAGE'!P13="Présent"),0),IF('POINTAGE'!$R$5&lt;&gt;"",--('POINTAGE'!R13="Présent"),0),IF('POINTAGE'!$T$5&lt;&gt;"",--('POINTAGE'!T13="Présent"),0),IF('POINTAGE'!$V$5&lt;&gt;"",--('POINTAGE'!V13="Présent"),0),IF('POINTAGE'!$X$5&lt;&gt;"",--('POINTAGE'!X13="Présent"),0),IF('POINTAGE'!$Z$5&lt;&gt;"",--('POINTAGE'!Z13="Présent"),0),IF('POINTAGE'!$AB$5&lt;&gt;"",--('POINTAGE'!AB13="Présent"),0),IF('POINTAGE'!$AD$5&lt;&gt;"",--('POINTAGE'!AD13="Présent"),0),IF('POINTAGE'!$AF$5&lt;&gt;"",--('POINTAGE'!AF13="Présent"),0)))</f>
      </c>
      <c r="G13" s="22">
        <f>IF($A13="","",SUM(IF('POINTAGE'!$D$5&lt;&gt;"",--('POINTAGE'!D13="Absent"),0),IF('POINTAGE'!$F$5&lt;&gt;"",--('POINTAGE'!F13="Absent"),0),IF('POINTAGE'!$H$5&lt;&gt;"",--('POINTAGE'!H13="Absent"),0),IF('POINTAGE'!$J$5&lt;&gt;"",--('POINTAGE'!J13="Absent"),0),IF('POINTAGE'!$L$5&lt;&gt;"",--('POINTAGE'!L13="Absent"),0),IF('POINTAGE'!$N$5&lt;&gt;"",--('POINTAGE'!N13="Absent"),0),IF('POINTAGE'!$P$5&lt;&gt;"",--('POINTAGE'!P13="Absent"),0),IF('POINTAGE'!$R$5&lt;&gt;"",--('POINTAGE'!R13="Absent"),0),IF('POINTAGE'!$T$5&lt;&gt;"",--('POINTAGE'!T13="Absent"),0),IF('POINTAGE'!$V$5&lt;&gt;"",--('POINTAGE'!V13="Absent"),0),IF('POINTAGE'!$X$5&lt;&gt;"",--('POINTAGE'!X13="Absent"),0),IF('POINTAGE'!$Z$5&lt;&gt;"",--('POINTAGE'!Z13="Absent"),0),IF('POINTAGE'!$AB$5&lt;&gt;"",--('POINTAGE'!AB13="Absent"),0),IF('POINTAGE'!$AD$5&lt;&gt;"",--('POINTAGE'!AD13="Absent"),0),IF('POINTAGE'!$AF$5&lt;&gt;"",--('POINTAGE'!AF13="Absent"),0)))</f>
      </c>
      <c r="H13" s="23">
        <f>IF($A13="","",SUM(IF('POINTAGE'!$D$5&lt;&gt;"",IF('POINTAGE'!D13="Présent",'POINTAGE'!E13,0),0),IF('POINTAGE'!$F$5&lt;&gt;"",IF('POINTAGE'!F13="Présent",'POINTAGE'!G13,0),0),IF('POINTAGE'!$H$5&lt;&gt;"",IF('POINTAGE'!H13="Présent",'POINTAGE'!I13,0),0),IF('POINTAGE'!$J$5&lt;&gt;"",IF('POINTAGE'!J13="Présent",'POINTAGE'!K13,0),0),IF('POINTAGE'!$L$5&lt;&gt;"",IF('POINTAGE'!L13="Présent",'POINTAGE'!M13,0),0),IF('POINTAGE'!$N$5&lt;&gt;"",IF('POINTAGE'!N13="Présent",'POINTAGE'!O13,0),0),IF('POINTAGE'!$P$5&lt;&gt;"",IF('POINTAGE'!P13="Présent",'POINTAGE'!Q13,0),0),IF('POINTAGE'!$R$5&lt;&gt;"",IF('POINTAGE'!R13="Présent",'POINTAGE'!S13,0),0),IF('POINTAGE'!$T$5&lt;&gt;"",IF('POINTAGE'!T13="Présent",'POINTAGE'!U13,0),0),IF('POINTAGE'!$V$5&lt;&gt;"",IF('POINTAGE'!V13="Présent",'POINTAGE'!W13,0),0),IF('POINTAGE'!$X$5&lt;&gt;"",IF('POINTAGE'!X13="Présent",'POINTAGE'!Y13,0),0),IF('POINTAGE'!$Z$5&lt;&gt;"",IF('POINTAGE'!Z13="Présent",'POINTAGE'!AA13,0),0),IF('POINTAGE'!$AB$5&lt;&gt;"",IF('POINTAGE'!AB13="Présent",'POINTAGE'!AC13,0),0),IF('POINTAGE'!$AD$5&lt;&gt;"",IF('POINTAGE'!AD13="Présent",'POINTAGE'!AE13,0),0),IF('POINTAGE'!$AF$5&lt;&gt;"",IF('POINTAGE'!AF13="Présent",'POINTAGE'!AG13,0),0)))</f>
      </c>
      <c r="I13" s="24">
        <f>IF($A13="","",$F13*$D13)</f>
      </c>
      <c r="J13" s="24">
        <f>IF($A13="","",$H13*$E13)</f>
      </c>
      <c r="K13" s="25">
        <f>IF($A13="","",$I13+$J13)</f>
      </c>
      <c r="L13" s="18"/>
      <c r="M13" s="25">
        <f>IF($A13="","",MAX(0,$K13-$L13))</f>
      </c>
      <c r="N13" s="22">
        <f>IF($A13="","",SUM(IF('POINTAGE'!$AH$5&lt;&gt;"",--('POINTAGE'!AH13="Présent"),0),IF('POINTAGE'!$AJ$5&lt;&gt;"",--('POINTAGE'!AJ13="Présent"),0),IF('POINTAGE'!$AL$5&lt;&gt;"",--('POINTAGE'!AL13="Présent"),0),IF('POINTAGE'!$AN$5&lt;&gt;"",--('POINTAGE'!AN13="Présent"),0),IF('POINTAGE'!$AP$5&lt;&gt;"",--('POINTAGE'!AP13="Présent"),0),IF('POINTAGE'!$AR$5&lt;&gt;"",--('POINTAGE'!AR13="Présent"),0),IF('POINTAGE'!$AT$5&lt;&gt;"",--('POINTAGE'!AT13="Présent"),0),IF('POINTAGE'!$AV$5&lt;&gt;"",--('POINTAGE'!AV13="Présent"),0),IF('POINTAGE'!$AX$5&lt;&gt;"",--('POINTAGE'!AX13="Présent"),0),IF('POINTAGE'!$AZ$5&lt;&gt;"",--('POINTAGE'!AZ13="Présent"),0),IF('POINTAGE'!$BB$5&lt;&gt;"",--('POINTAGE'!BB13="Présent"),0),IF('POINTAGE'!$BD$5&lt;&gt;"",--('POINTAGE'!BD13="Présent"),0),IF('POINTAGE'!$BF$5&lt;&gt;"",--('POINTAGE'!BF13="Présent"),0),IF('POINTAGE'!$BH$5&lt;&gt;"",--('POINTAGE'!BH13="Présent"),0),IF('POINTAGE'!$BJ$5&lt;&gt;"",--('POINTAGE'!BJ13="Présent"),0),IF('POINTAGE'!$BL$5&lt;&gt;"",--('POINTAGE'!BL13="Présent"),0)))</f>
      </c>
      <c r="O13" s="22">
        <f>IF($A13="","",SUM(IF('POINTAGE'!$AH$5&lt;&gt;"",--('POINTAGE'!AH13="Absent"),0),IF('POINTAGE'!$AJ$5&lt;&gt;"",--('POINTAGE'!AJ13="Absent"),0),IF('POINTAGE'!$AL$5&lt;&gt;"",--('POINTAGE'!AL13="Absent"),0),IF('POINTAGE'!$AN$5&lt;&gt;"",--('POINTAGE'!AN13="Absent"),0),IF('POINTAGE'!$AP$5&lt;&gt;"",--('POINTAGE'!AP13="Absent"),0),IF('POINTAGE'!$AR$5&lt;&gt;"",--('POINTAGE'!AR13="Absent"),0),IF('POINTAGE'!$AT$5&lt;&gt;"",--('POINTAGE'!AT13="Absent"),0),IF('POINTAGE'!$AV$5&lt;&gt;"",--('POINTAGE'!AV13="Absent"),0),IF('POINTAGE'!$AX$5&lt;&gt;"",--('POINTAGE'!AX13="Absent"),0),IF('POINTAGE'!$AZ$5&lt;&gt;"",--('POINTAGE'!AZ13="Absent"),0),IF('POINTAGE'!$BB$5&lt;&gt;"",--('POINTAGE'!BB13="Absent"),0),IF('POINTAGE'!$BD$5&lt;&gt;"",--('POINTAGE'!BD13="Absent"),0),IF('POINTAGE'!$BF$5&lt;&gt;"",--('POINTAGE'!BF13="Absent"),0),IF('POINTAGE'!$BH$5&lt;&gt;"",--('POINTAGE'!BH13="Absent"),0),IF('POINTAGE'!$BJ$5&lt;&gt;"",--('POINTAGE'!BJ13="Absent"),0),IF('POINTAGE'!$BL$5&lt;&gt;"",--('POINTAGE'!BL13="Absent"),0)))</f>
      </c>
      <c r="P13" s="23">
        <f>IF($A13="","",SUM(IF('POINTAGE'!$AH$5&lt;&gt;"",IF('POINTAGE'!AH13="Présent",'POINTAGE'!AI13,0),0),IF('POINTAGE'!$AJ$5&lt;&gt;"",IF('POINTAGE'!AJ13="Présent",'POINTAGE'!AK13,0),0),IF('POINTAGE'!$AL$5&lt;&gt;"",IF('POINTAGE'!AL13="Présent",'POINTAGE'!AM13,0),0),IF('POINTAGE'!$AN$5&lt;&gt;"",IF('POINTAGE'!AN13="Présent",'POINTAGE'!AO13,0),0),IF('POINTAGE'!$AP$5&lt;&gt;"",IF('POINTAGE'!AP13="Présent",'POINTAGE'!AQ13,0),0),IF('POINTAGE'!$AR$5&lt;&gt;"",IF('POINTAGE'!AR13="Présent",'POINTAGE'!AS13,0),0),IF('POINTAGE'!$AT$5&lt;&gt;"",IF('POINTAGE'!AT13="Présent",'POINTAGE'!AU13,0),0),IF('POINTAGE'!$AV$5&lt;&gt;"",IF('POINTAGE'!AV13="Présent",'POINTAGE'!AW13,0),0),IF('POINTAGE'!$AX$5&lt;&gt;"",IF('POINTAGE'!AX13="Présent",'POINTAGE'!AY13,0),0),IF('POINTAGE'!$AZ$5&lt;&gt;"",IF('POINTAGE'!AZ13="Présent",'POINTAGE'!BA13,0),0),IF('POINTAGE'!$BB$5&lt;&gt;"",IF('POINTAGE'!BB13="Présent",'POINTAGE'!BC13,0),0),IF('POINTAGE'!$BD$5&lt;&gt;"",IF('POINTAGE'!BD13="Présent",'POINTAGE'!BE13,0),0),IF('POINTAGE'!$BF$5&lt;&gt;"",IF('POINTAGE'!BF13="Présent",'POINTAGE'!BG13,0),0),IF('POINTAGE'!$BH$5&lt;&gt;"",IF('POINTAGE'!BH13="Présent",'POINTAGE'!BI13,0),0),IF('POINTAGE'!$BJ$5&lt;&gt;"",IF('POINTAGE'!BJ13="Présent",'POINTAGE'!BK13,0),0),IF('POINTAGE'!$BL$5&lt;&gt;"",IF('POINTAGE'!BL13="Présent",'POINTAGE'!BM13,0),0)))</f>
      </c>
      <c r="Q13" s="24">
        <f>IF($A13="","",$N13*$D13)</f>
      </c>
      <c r="R13" s="24">
        <f>IF($A13="","",$P13*$E13)</f>
      </c>
      <c r="S13" s="25">
        <f>IF($A13="","",$Q13+$R13)</f>
      </c>
      <c r="T13" s="18"/>
      <c r="U13" s="25">
        <f>IF($A13="","",MAX(0,$S13-$T13))</f>
      </c>
      <c r="V13" s="25">
        <f>IF($A13="","",$K13+$S13)</f>
      </c>
      <c r="W13" s="24">
        <f>IF($A13="","",$L13+$T13)</f>
      </c>
      <c r="X13" s="25">
        <f>IF($A13="","",$M13+$U13)</f>
      </c>
      <c r="Y13" s="29">
        <f>IF($A13="","",$J13+$R13)</f>
      </c>
    </row>
    <row r="14">
      <c r="A14" s="20">
        <f>IF('POINTAGE'!A14="","",'POINTAGE'!A14)</f>
      </c>
      <c r="B14" s="19">
        <f>IF($A14="","",'POINTAGE'!B14)</f>
      </c>
      <c r="C14" s="20">
        <f>IF($A14="","",'POINTAGE'!C14)</f>
      </c>
      <c r="D14" s="24">
        <f>IF($A14="","",IFERROR(INDEX(Categories_Salaire,MATCH($C14,ListeCategories,0)),0))</f>
      </c>
      <c r="E14" s="24">
        <f>IF($A14="","",IF(IFERROR(INDEX(Categories_TauxHS,MATCH($C14,ListeCategories,0)),0)&gt;0,IFERROR(INDEX(Categories_TauxHS,MATCH($C14,ListeCategories,0)),0),TauxHSDefaut))</f>
      </c>
      <c r="F14" s="22">
        <f>IF($A14="","",SUM(IF('POINTAGE'!$D$5&lt;&gt;"",--('POINTAGE'!D14="Présent"),0),IF('POINTAGE'!$F$5&lt;&gt;"",--('POINTAGE'!F14="Présent"),0),IF('POINTAGE'!$H$5&lt;&gt;"",--('POINTAGE'!H14="Présent"),0),IF('POINTAGE'!$J$5&lt;&gt;"",--('POINTAGE'!J14="Présent"),0),IF('POINTAGE'!$L$5&lt;&gt;"",--('POINTAGE'!L14="Présent"),0),IF('POINTAGE'!$N$5&lt;&gt;"",--('POINTAGE'!N14="Présent"),0),IF('POINTAGE'!$P$5&lt;&gt;"",--('POINTAGE'!P14="Présent"),0),IF('POINTAGE'!$R$5&lt;&gt;"",--('POINTAGE'!R14="Présent"),0),IF('POINTAGE'!$T$5&lt;&gt;"",--('POINTAGE'!T14="Présent"),0),IF('POINTAGE'!$V$5&lt;&gt;"",--('POINTAGE'!V14="Présent"),0),IF('POINTAGE'!$X$5&lt;&gt;"",--('POINTAGE'!X14="Présent"),0),IF('POINTAGE'!$Z$5&lt;&gt;"",--('POINTAGE'!Z14="Présent"),0),IF('POINTAGE'!$AB$5&lt;&gt;"",--('POINTAGE'!AB14="Présent"),0),IF('POINTAGE'!$AD$5&lt;&gt;"",--('POINTAGE'!AD14="Présent"),0),IF('POINTAGE'!$AF$5&lt;&gt;"",--('POINTAGE'!AF14="Présent"),0)))</f>
      </c>
      <c r="G14" s="22">
        <f>IF($A14="","",SUM(IF('POINTAGE'!$D$5&lt;&gt;"",--('POINTAGE'!D14="Absent"),0),IF('POINTAGE'!$F$5&lt;&gt;"",--('POINTAGE'!F14="Absent"),0),IF('POINTAGE'!$H$5&lt;&gt;"",--('POINTAGE'!H14="Absent"),0),IF('POINTAGE'!$J$5&lt;&gt;"",--('POINTAGE'!J14="Absent"),0),IF('POINTAGE'!$L$5&lt;&gt;"",--('POINTAGE'!L14="Absent"),0),IF('POINTAGE'!$N$5&lt;&gt;"",--('POINTAGE'!N14="Absent"),0),IF('POINTAGE'!$P$5&lt;&gt;"",--('POINTAGE'!P14="Absent"),0),IF('POINTAGE'!$R$5&lt;&gt;"",--('POINTAGE'!R14="Absent"),0),IF('POINTAGE'!$T$5&lt;&gt;"",--('POINTAGE'!T14="Absent"),0),IF('POINTAGE'!$V$5&lt;&gt;"",--('POINTAGE'!V14="Absent"),0),IF('POINTAGE'!$X$5&lt;&gt;"",--('POINTAGE'!X14="Absent"),0),IF('POINTAGE'!$Z$5&lt;&gt;"",--('POINTAGE'!Z14="Absent"),0),IF('POINTAGE'!$AB$5&lt;&gt;"",--('POINTAGE'!AB14="Absent"),0),IF('POINTAGE'!$AD$5&lt;&gt;"",--('POINTAGE'!AD14="Absent"),0),IF('POINTAGE'!$AF$5&lt;&gt;"",--('POINTAGE'!AF14="Absent"),0)))</f>
      </c>
      <c r="H14" s="23">
        <f>IF($A14="","",SUM(IF('POINTAGE'!$D$5&lt;&gt;"",IF('POINTAGE'!D14="Présent",'POINTAGE'!E14,0),0),IF('POINTAGE'!$F$5&lt;&gt;"",IF('POINTAGE'!F14="Présent",'POINTAGE'!G14,0),0),IF('POINTAGE'!$H$5&lt;&gt;"",IF('POINTAGE'!H14="Présent",'POINTAGE'!I14,0),0),IF('POINTAGE'!$J$5&lt;&gt;"",IF('POINTAGE'!J14="Présent",'POINTAGE'!K14,0),0),IF('POINTAGE'!$L$5&lt;&gt;"",IF('POINTAGE'!L14="Présent",'POINTAGE'!M14,0),0),IF('POINTAGE'!$N$5&lt;&gt;"",IF('POINTAGE'!N14="Présent",'POINTAGE'!O14,0),0),IF('POINTAGE'!$P$5&lt;&gt;"",IF('POINTAGE'!P14="Présent",'POINTAGE'!Q14,0),0),IF('POINTAGE'!$R$5&lt;&gt;"",IF('POINTAGE'!R14="Présent",'POINTAGE'!S14,0),0),IF('POINTAGE'!$T$5&lt;&gt;"",IF('POINTAGE'!T14="Présent",'POINTAGE'!U14,0),0),IF('POINTAGE'!$V$5&lt;&gt;"",IF('POINTAGE'!V14="Présent",'POINTAGE'!W14,0),0),IF('POINTAGE'!$X$5&lt;&gt;"",IF('POINTAGE'!X14="Présent",'POINTAGE'!Y14,0),0),IF('POINTAGE'!$Z$5&lt;&gt;"",IF('POINTAGE'!Z14="Présent",'POINTAGE'!AA14,0),0),IF('POINTAGE'!$AB$5&lt;&gt;"",IF('POINTAGE'!AB14="Présent",'POINTAGE'!AC14,0),0),IF('POINTAGE'!$AD$5&lt;&gt;"",IF('POINTAGE'!AD14="Présent",'POINTAGE'!AE14,0),0),IF('POINTAGE'!$AF$5&lt;&gt;"",IF('POINTAGE'!AF14="Présent",'POINTAGE'!AG14,0),0)))</f>
      </c>
      <c r="I14" s="24">
        <f>IF($A14="","",$F14*$D14)</f>
      </c>
      <c r="J14" s="24">
        <f>IF($A14="","",$H14*$E14)</f>
      </c>
      <c r="K14" s="25">
        <f>IF($A14="","",$I14+$J14)</f>
      </c>
      <c r="L14" s="18"/>
      <c r="M14" s="25">
        <f>IF($A14="","",MAX(0,$K14-$L14))</f>
      </c>
      <c r="N14" s="22">
        <f>IF($A14="","",SUM(IF('POINTAGE'!$AH$5&lt;&gt;"",--('POINTAGE'!AH14="Présent"),0),IF('POINTAGE'!$AJ$5&lt;&gt;"",--('POINTAGE'!AJ14="Présent"),0),IF('POINTAGE'!$AL$5&lt;&gt;"",--('POINTAGE'!AL14="Présent"),0),IF('POINTAGE'!$AN$5&lt;&gt;"",--('POINTAGE'!AN14="Présent"),0),IF('POINTAGE'!$AP$5&lt;&gt;"",--('POINTAGE'!AP14="Présent"),0),IF('POINTAGE'!$AR$5&lt;&gt;"",--('POINTAGE'!AR14="Présent"),0),IF('POINTAGE'!$AT$5&lt;&gt;"",--('POINTAGE'!AT14="Présent"),0),IF('POINTAGE'!$AV$5&lt;&gt;"",--('POINTAGE'!AV14="Présent"),0),IF('POINTAGE'!$AX$5&lt;&gt;"",--('POINTAGE'!AX14="Présent"),0),IF('POINTAGE'!$AZ$5&lt;&gt;"",--('POINTAGE'!AZ14="Présent"),0),IF('POINTAGE'!$BB$5&lt;&gt;"",--('POINTAGE'!BB14="Présent"),0),IF('POINTAGE'!$BD$5&lt;&gt;"",--('POINTAGE'!BD14="Présent"),0),IF('POINTAGE'!$BF$5&lt;&gt;"",--('POINTAGE'!BF14="Présent"),0),IF('POINTAGE'!$BH$5&lt;&gt;"",--('POINTAGE'!BH14="Présent"),0),IF('POINTAGE'!$BJ$5&lt;&gt;"",--('POINTAGE'!BJ14="Présent"),0),IF('POINTAGE'!$BL$5&lt;&gt;"",--('POINTAGE'!BL14="Présent"),0)))</f>
      </c>
      <c r="O14" s="22">
        <f>IF($A14="","",SUM(IF('POINTAGE'!$AH$5&lt;&gt;"",--('POINTAGE'!AH14="Absent"),0),IF('POINTAGE'!$AJ$5&lt;&gt;"",--('POINTAGE'!AJ14="Absent"),0),IF('POINTAGE'!$AL$5&lt;&gt;"",--('POINTAGE'!AL14="Absent"),0),IF('POINTAGE'!$AN$5&lt;&gt;"",--('POINTAGE'!AN14="Absent"),0),IF('POINTAGE'!$AP$5&lt;&gt;"",--('POINTAGE'!AP14="Absent"),0),IF('POINTAGE'!$AR$5&lt;&gt;"",--('POINTAGE'!AR14="Absent"),0),IF('POINTAGE'!$AT$5&lt;&gt;"",--('POINTAGE'!AT14="Absent"),0),IF('POINTAGE'!$AV$5&lt;&gt;"",--('POINTAGE'!AV14="Absent"),0),IF('POINTAGE'!$AX$5&lt;&gt;"",--('POINTAGE'!AX14="Absent"),0),IF('POINTAGE'!$AZ$5&lt;&gt;"",--('POINTAGE'!AZ14="Absent"),0),IF('POINTAGE'!$BB$5&lt;&gt;"",--('POINTAGE'!BB14="Absent"),0),IF('POINTAGE'!$BD$5&lt;&gt;"",--('POINTAGE'!BD14="Absent"),0),IF('POINTAGE'!$BF$5&lt;&gt;"",--('POINTAGE'!BF14="Absent"),0),IF('POINTAGE'!$BH$5&lt;&gt;"",--('POINTAGE'!BH14="Absent"),0),IF('POINTAGE'!$BJ$5&lt;&gt;"",--('POINTAGE'!BJ14="Absent"),0),IF('POINTAGE'!$BL$5&lt;&gt;"",--('POINTAGE'!BL14="Absent"),0)))</f>
      </c>
      <c r="P14" s="23">
        <f>IF($A14="","",SUM(IF('POINTAGE'!$AH$5&lt;&gt;"",IF('POINTAGE'!AH14="Présent",'POINTAGE'!AI14,0),0),IF('POINTAGE'!$AJ$5&lt;&gt;"",IF('POINTAGE'!AJ14="Présent",'POINTAGE'!AK14,0),0),IF('POINTAGE'!$AL$5&lt;&gt;"",IF('POINTAGE'!AL14="Présent",'POINTAGE'!AM14,0),0),IF('POINTAGE'!$AN$5&lt;&gt;"",IF('POINTAGE'!AN14="Présent",'POINTAGE'!AO14,0),0),IF('POINTAGE'!$AP$5&lt;&gt;"",IF('POINTAGE'!AP14="Présent",'POINTAGE'!AQ14,0),0),IF('POINTAGE'!$AR$5&lt;&gt;"",IF('POINTAGE'!AR14="Présent",'POINTAGE'!AS14,0),0),IF('POINTAGE'!$AT$5&lt;&gt;"",IF('POINTAGE'!AT14="Présent",'POINTAGE'!AU14,0),0),IF('POINTAGE'!$AV$5&lt;&gt;"",IF('POINTAGE'!AV14="Présent",'POINTAGE'!AW14,0),0),IF('POINTAGE'!$AX$5&lt;&gt;"",IF('POINTAGE'!AX14="Présent",'POINTAGE'!AY14,0),0),IF('POINTAGE'!$AZ$5&lt;&gt;"",IF('POINTAGE'!AZ14="Présent",'POINTAGE'!BA14,0),0),IF('POINTAGE'!$BB$5&lt;&gt;"",IF('POINTAGE'!BB14="Présent",'POINTAGE'!BC14,0),0),IF('POINTAGE'!$BD$5&lt;&gt;"",IF('POINTAGE'!BD14="Présent",'POINTAGE'!BE14,0),0),IF('POINTAGE'!$BF$5&lt;&gt;"",IF('POINTAGE'!BF14="Présent",'POINTAGE'!BG14,0),0),IF('POINTAGE'!$BH$5&lt;&gt;"",IF('POINTAGE'!BH14="Présent",'POINTAGE'!BI14,0),0),IF('POINTAGE'!$BJ$5&lt;&gt;"",IF('POINTAGE'!BJ14="Présent",'POINTAGE'!BK14,0),0),IF('POINTAGE'!$BL$5&lt;&gt;"",IF('POINTAGE'!BL14="Présent",'POINTAGE'!BM14,0),0)))</f>
      </c>
      <c r="Q14" s="24">
        <f>IF($A14="","",$N14*$D14)</f>
      </c>
      <c r="R14" s="24">
        <f>IF($A14="","",$P14*$E14)</f>
      </c>
      <c r="S14" s="25">
        <f>IF($A14="","",$Q14+$R14)</f>
      </c>
      <c r="T14" s="18"/>
      <c r="U14" s="25">
        <f>IF($A14="","",MAX(0,$S14-$T14))</f>
      </c>
      <c r="V14" s="25">
        <f>IF($A14="","",$K14+$S14)</f>
      </c>
      <c r="W14" s="24">
        <f>IF($A14="","",$L14+$T14)</f>
      </c>
      <c r="X14" s="25">
        <f>IF($A14="","",$M14+$U14)</f>
      </c>
      <c r="Y14" s="29">
        <f>IF($A14="","",$J14+$R14)</f>
      </c>
    </row>
    <row r="15">
      <c r="A15" s="20">
        <f>IF('POINTAGE'!A15="","",'POINTAGE'!A15)</f>
      </c>
      <c r="B15" s="19">
        <f>IF($A15="","",'POINTAGE'!B15)</f>
      </c>
      <c r="C15" s="20">
        <f>IF($A15="","",'POINTAGE'!C15)</f>
      </c>
      <c r="D15" s="24">
        <f>IF($A15="","",IFERROR(INDEX(Categories_Salaire,MATCH($C15,ListeCategories,0)),0))</f>
      </c>
      <c r="E15" s="24">
        <f>IF($A15="","",IF(IFERROR(INDEX(Categories_TauxHS,MATCH($C15,ListeCategories,0)),0)&gt;0,IFERROR(INDEX(Categories_TauxHS,MATCH($C15,ListeCategories,0)),0),TauxHSDefaut))</f>
      </c>
      <c r="F15" s="22">
        <f>IF($A15="","",SUM(IF('POINTAGE'!$D$5&lt;&gt;"",--('POINTAGE'!D15="Présent"),0),IF('POINTAGE'!$F$5&lt;&gt;"",--('POINTAGE'!F15="Présent"),0),IF('POINTAGE'!$H$5&lt;&gt;"",--('POINTAGE'!H15="Présent"),0),IF('POINTAGE'!$J$5&lt;&gt;"",--('POINTAGE'!J15="Présent"),0),IF('POINTAGE'!$L$5&lt;&gt;"",--('POINTAGE'!L15="Présent"),0),IF('POINTAGE'!$N$5&lt;&gt;"",--('POINTAGE'!N15="Présent"),0),IF('POINTAGE'!$P$5&lt;&gt;"",--('POINTAGE'!P15="Présent"),0),IF('POINTAGE'!$R$5&lt;&gt;"",--('POINTAGE'!R15="Présent"),0),IF('POINTAGE'!$T$5&lt;&gt;"",--('POINTAGE'!T15="Présent"),0),IF('POINTAGE'!$V$5&lt;&gt;"",--('POINTAGE'!V15="Présent"),0),IF('POINTAGE'!$X$5&lt;&gt;"",--('POINTAGE'!X15="Présent"),0),IF('POINTAGE'!$Z$5&lt;&gt;"",--('POINTAGE'!Z15="Présent"),0),IF('POINTAGE'!$AB$5&lt;&gt;"",--('POINTAGE'!AB15="Présent"),0),IF('POINTAGE'!$AD$5&lt;&gt;"",--('POINTAGE'!AD15="Présent"),0),IF('POINTAGE'!$AF$5&lt;&gt;"",--('POINTAGE'!AF15="Présent"),0)))</f>
      </c>
      <c r="G15" s="22">
        <f>IF($A15="","",SUM(IF('POINTAGE'!$D$5&lt;&gt;"",--('POINTAGE'!D15="Absent"),0),IF('POINTAGE'!$F$5&lt;&gt;"",--('POINTAGE'!F15="Absent"),0),IF('POINTAGE'!$H$5&lt;&gt;"",--('POINTAGE'!H15="Absent"),0),IF('POINTAGE'!$J$5&lt;&gt;"",--('POINTAGE'!J15="Absent"),0),IF('POINTAGE'!$L$5&lt;&gt;"",--('POINTAGE'!L15="Absent"),0),IF('POINTAGE'!$N$5&lt;&gt;"",--('POINTAGE'!N15="Absent"),0),IF('POINTAGE'!$P$5&lt;&gt;"",--('POINTAGE'!P15="Absent"),0),IF('POINTAGE'!$R$5&lt;&gt;"",--('POINTAGE'!R15="Absent"),0),IF('POINTAGE'!$T$5&lt;&gt;"",--('POINTAGE'!T15="Absent"),0),IF('POINTAGE'!$V$5&lt;&gt;"",--('POINTAGE'!V15="Absent"),0),IF('POINTAGE'!$X$5&lt;&gt;"",--('POINTAGE'!X15="Absent"),0),IF('POINTAGE'!$Z$5&lt;&gt;"",--('POINTAGE'!Z15="Absent"),0),IF('POINTAGE'!$AB$5&lt;&gt;"",--('POINTAGE'!AB15="Absent"),0),IF('POINTAGE'!$AD$5&lt;&gt;"",--('POINTAGE'!AD15="Absent"),0),IF('POINTAGE'!$AF$5&lt;&gt;"",--('POINTAGE'!AF15="Absent"),0)))</f>
      </c>
      <c r="H15" s="23">
        <f>IF($A15="","",SUM(IF('POINTAGE'!$D$5&lt;&gt;"",IF('POINTAGE'!D15="Présent",'POINTAGE'!E15,0),0),IF('POINTAGE'!$F$5&lt;&gt;"",IF('POINTAGE'!F15="Présent",'POINTAGE'!G15,0),0),IF('POINTAGE'!$H$5&lt;&gt;"",IF('POINTAGE'!H15="Présent",'POINTAGE'!I15,0),0),IF('POINTAGE'!$J$5&lt;&gt;"",IF('POINTAGE'!J15="Présent",'POINTAGE'!K15,0),0),IF('POINTAGE'!$L$5&lt;&gt;"",IF('POINTAGE'!L15="Présent",'POINTAGE'!M15,0),0),IF('POINTAGE'!$N$5&lt;&gt;"",IF('POINTAGE'!N15="Présent",'POINTAGE'!O15,0),0),IF('POINTAGE'!$P$5&lt;&gt;"",IF('POINTAGE'!P15="Présent",'POINTAGE'!Q15,0),0),IF('POINTAGE'!$R$5&lt;&gt;"",IF('POINTAGE'!R15="Présent",'POINTAGE'!S15,0),0),IF('POINTAGE'!$T$5&lt;&gt;"",IF('POINTAGE'!T15="Présent",'POINTAGE'!U15,0),0),IF('POINTAGE'!$V$5&lt;&gt;"",IF('POINTAGE'!V15="Présent",'POINTAGE'!W15,0),0),IF('POINTAGE'!$X$5&lt;&gt;"",IF('POINTAGE'!X15="Présent",'POINTAGE'!Y15,0),0),IF('POINTAGE'!$Z$5&lt;&gt;"",IF('POINTAGE'!Z15="Présent",'POINTAGE'!AA15,0),0),IF('POINTAGE'!$AB$5&lt;&gt;"",IF('POINTAGE'!AB15="Présent",'POINTAGE'!AC15,0),0),IF('POINTAGE'!$AD$5&lt;&gt;"",IF('POINTAGE'!AD15="Présent",'POINTAGE'!AE15,0),0),IF('POINTAGE'!$AF$5&lt;&gt;"",IF('POINTAGE'!AF15="Présent",'POINTAGE'!AG15,0),0)))</f>
      </c>
      <c r="I15" s="24">
        <f>IF($A15="","",$F15*$D15)</f>
      </c>
      <c r="J15" s="24">
        <f>IF($A15="","",$H15*$E15)</f>
      </c>
      <c r="K15" s="25">
        <f>IF($A15="","",$I15+$J15)</f>
      </c>
      <c r="L15" s="18"/>
      <c r="M15" s="25">
        <f>IF($A15="","",MAX(0,$K15-$L15))</f>
      </c>
      <c r="N15" s="22">
        <f>IF($A15="","",SUM(IF('POINTAGE'!$AH$5&lt;&gt;"",--('POINTAGE'!AH15="Présent"),0),IF('POINTAGE'!$AJ$5&lt;&gt;"",--('POINTAGE'!AJ15="Présent"),0),IF('POINTAGE'!$AL$5&lt;&gt;"",--('POINTAGE'!AL15="Présent"),0),IF('POINTAGE'!$AN$5&lt;&gt;"",--('POINTAGE'!AN15="Présent"),0),IF('POINTAGE'!$AP$5&lt;&gt;"",--('POINTAGE'!AP15="Présent"),0),IF('POINTAGE'!$AR$5&lt;&gt;"",--('POINTAGE'!AR15="Présent"),0),IF('POINTAGE'!$AT$5&lt;&gt;"",--('POINTAGE'!AT15="Présent"),0),IF('POINTAGE'!$AV$5&lt;&gt;"",--('POINTAGE'!AV15="Présent"),0),IF('POINTAGE'!$AX$5&lt;&gt;"",--('POINTAGE'!AX15="Présent"),0),IF('POINTAGE'!$AZ$5&lt;&gt;"",--('POINTAGE'!AZ15="Présent"),0),IF('POINTAGE'!$BB$5&lt;&gt;"",--('POINTAGE'!BB15="Présent"),0),IF('POINTAGE'!$BD$5&lt;&gt;"",--('POINTAGE'!BD15="Présent"),0),IF('POINTAGE'!$BF$5&lt;&gt;"",--('POINTAGE'!BF15="Présent"),0),IF('POINTAGE'!$BH$5&lt;&gt;"",--('POINTAGE'!BH15="Présent"),0),IF('POINTAGE'!$BJ$5&lt;&gt;"",--('POINTAGE'!BJ15="Présent"),0),IF('POINTAGE'!$BL$5&lt;&gt;"",--('POINTAGE'!BL15="Présent"),0)))</f>
      </c>
      <c r="O15" s="22">
        <f>IF($A15="","",SUM(IF('POINTAGE'!$AH$5&lt;&gt;"",--('POINTAGE'!AH15="Absent"),0),IF('POINTAGE'!$AJ$5&lt;&gt;"",--('POINTAGE'!AJ15="Absent"),0),IF('POINTAGE'!$AL$5&lt;&gt;"",--('POINTAGE'!AL15="Absent"),0),IF('POINTAGE'!$AN$5&lt;&gt;"",--('POINTAGE'!AN15="Absent"),0),IF('POINTAGE'!$AP$5&lt;&gt;"",--('POINTAGE'!AP15="Absent"),0),IF('POINTAGE'!$AR$5&lt;&gt;"",--('POINTAGE'!AR15="Absent"),0),IF('POINTAGE'!$AT$5&lt;&gt;"",--('POINTAGE'!AT15="Absent"),0),IF('POINTAGE'!$AV$5&lt;&gt;"",--('POINTAGE'!AV15="Absent"),0),IF('POINTAGE'!$AX$5&lt;&gt;"",--('POINTAGE'!AX15="Absent"),0),IF('POINTAGE'!$AZ$5&lt;&gt;"",--('POINTAGE'!AZ15="Absent"),0),IF('POINTAGE'!$BB$5&lt;&gt;"",--('POINTAGE'!BB15="Absent"),0),IF('POINTAGE'!$BD$5&lt;&gt;"",--('POINTAGE'!BD15="Absent"),0),IF('POINTAGE'!$BF$5&lt;&gt;"",--('POINTAGE'!BF15="Absent"),0),IF('POINTAGE'!$BH$5&lt;&gt;"",--('POINTAGE'!BH15="Absent"),0),IF('POINTAGE'!$BJ$5&lt;&gt;"",--('POINTAGE'!BJ15="Absent"),0),IF('POINTAGE'!$BL$5&lt;&gt;"",--('POINTAGE'!BL15="Absent"),0)))</f>
      </c>
      <c r="P15" s="23">
        <f>IF($A15="","",SUM(IF('POINTAGE'!$AH$5&lt;&gt;"",IF('POINTAGE'!AH15="Présent",'POINTAGE'!AI15,0),0),IF('POINTAGE'!$AJ$5&lt;&gt;"",IF('POINTAGE'!AJ15="Présent",'POINTAGE'!AK15,0),0),IF('POINTAGE'!$AL$5&lt;&gt;"",IF('POINTAGE'!AL15="Présent",'POINTAGE'!AM15,0),0),IF('POINTAGE'!$AN$5&lt;&gt;"",IF('POINTAGE'!AN15="Présent",'POINTAGE'!AO15,0),0),IF('POINTAGE'!$AP$5&lt;&gt;"",IF('POINTAGE'!AP15="Présent",'POINTAGE'!AQ15,0),0),IF('POINTAGE'!$AR$5&lt;&gt;"",IF('POINTAGE'!AR15="Présent",'POINTAGE'!AS15,0),0),IF('POINTAGE'!$AT$5&lt;&gt;"",IF('POINTAGE'!AT15="Présent",'POINTAGE'!AU15,0),0),IF('POINTAGE'!$AV$5&lt;&gt;"",IF('POINTAGE'!AV15="Présent",'POINTAGE'!AW15,0),0),IF('POINTAGE'!$AX$5&lt;&gt;"",IF('POINTAGE'!AX15="Présent",'POINTAGE'!AY15,0),0),IF('POINTAGE'!$AZ$5&lt;&gt;"",IF('POINTAGE'!AZ15="Présent",'POINTAGE'!BA15,0),0),IF('POINTAGE'!$BB$5&lt;&gt;"",IF('POINTAGE'!BB15="Présent",'POINTAGE'!BC15,0),0),IF('POINTAGE'!$BD$5&lt;&gt;"",IF('POINTAGE'!BD15="Présent",'POINTAGE'!BE15,0),0),IF('POINTAGE'!$BF$5&lt;&gt;"",IF('POINTAGE'!BF15="Présent",'POINTAGE'!BG15,0),0),IF('POINTAGE'!$BH$5&lt;&gt;"",IF('POINTAGE'!BH15="Présent",'POINTAGE'!BI15,0),0),IF('POINTAGE'!$BJ$5&lt;&gt;"",IF('POINTAGE'!BJ15="Présent",'POINTAGE'!BK15,0),0),IF('POINTAGE'!$BL$5&lt;&gt;"",IF('POINTAGE'!BL15="Présent",'POINTAGE'!BM15,0),0)))</f>
      </c>
      <c r="Q15" s="24">
        <f>IF($A15="","",$N15*$D15)</f>
      </c>
      <c r="R15" s="24">
        <f>IF($A15="","",$P15*$E15)</f>
      </c>
      <c r="S15" s="25">
        <f>IF($A15="","",$Q15+$R15)</f>
      </c>
      <c r="T15" s="18"/>
      <c r="U15" s="25">
        <f>IF($A15="","",MAX(0,$S15-$T15))</f>
      </c>
      <c r="V15" s="25">
        <f>IF($A15="","",$K15+$S15)</f>
      </c>
      <c r="W15" s="24">
        <f>IF($A15="","",$L15+$T15)</f>
      </c>
      <c r="X15" s="25">
        <f>IF($A15="","",$M15+$U15)</f>
      </c>
      <c r="Y15" s="29">
        <f>IF($A15="","",$J15+$R15)</f>
      </c>
    </row>
    <row r="16">
      <c r="A16" s="20">
        <f>IF('POINTAGE'!A16="","",'POINTAGE'!A16)</f>
      </c>
      <c r="B16" s="19">
        <f>IF($A16="","",'POINTAGE'!B16)</f>
      </c>
      <c r="C16" s="20">
        <f>IF($A16="","",'POINTAGE'!C16)</f>
      </c>
      <c r="D16" s="24">
        <f>IF($A16="","",IFERROR(INDEX(Categories_Salaire,MATCH($C16,ListeCategories,0)),0))</f>
      </c>
      <c r="E16" s="24">
        <f>IF($A16="","",IF(IFERROR(INDEX(Categories_TauxHS,MATCH($C16,ListeCategories,0)),0)&gt;0,IFERROR(INDEX(Categories_TauxHS,MATCH($C16,ListeCategories,0)),0),TauxHSDefaut))</f>
      </c>
      <c r="F16" s="22">
        <f>IF($A16="","",SUM(IF('POINTAGE'!$D$5&lt;&gt;"",--('POINTAGE'!D16="Présent"),0),IF('POINTAGE'!$F$5&lt;&gt;"",--('POINTAGE'!F16="Présent"),0),IF('POINTAGE'!$H$5&lt;&gt;"",--('POINTAGE'!H16="Présent"),0),IF('POINTAGE'!$J$5&lt;&gt;"",--('POINTAGE'!J16="Présent"),0),IF('POINTAGE'!$L$5&lt;&gt;"",--('POINTAGE'!L16="Présent"),0),IF('POINTAGE'!$N$5&lt;&gt;"",--('POINTAGE'!N16="Présent"),0),IF('POINTAGE'!$P$5&lt;&gt;"",--('POINTAGE'!P16="Présent"),0),IF('POINTAGE'!$R$5&lt;&gt;"",--('POINTAGE'!R16="Présent"),0),IF('POINTAGE'!$T$5&lt;&gt;"",--('POINTAGE'!T16="Présent"),0),IF('POINTAGE'!$V$5&lt;&gt;"",--('POINTAGE'!V16="Présent"),0),IF('POINTAGE'!$X$5&lt;&gt;"",--('POINTAGE'!X16="Présent"),0),IF('POINTAGE'!$Z$5&lt;&gt;"",--('POINTAGE'!Z16="Présent"),0),IF('POINTAGE'!$AB$5&lt;&gt;"",--('POINTAGE'!AB16="Présent"),0),IF('POINTAGE'!$AD$5&lt;&gt;"",--('POINTAGE'!AD16="Présent"),0),IF('POINTAGE'!$AF$5&lt;&gt;"",--('POINTAGE'!AF16="Présent"),0)))</f>
      </c>
      <c r="G16" s="22">
        <f>IF($A16="","",SUM(IF('POINTAGE'!$D$5&lt;&gt;"",--('POINTAGE'!D16="Absent"),0),IF('POINTAGE'!$F$5&lt;&gt;"",--('POINTAGE'!F16="Absent"),0),IF('POINTAGE'!$H$5&lt;&gt;"",--('POINTAGE'!H16="Absent"),0),IF('POINTAGE'!$J$5&lt;&gt;"",--('POINTAGE'!J16="Absent"),0),IF('POINTAGE'!$L$5&lt;&gt;"",--('POINTAGE'!L16="Absent"),0),IF('POINTAGE'!$N$5&lt;&gt;"",--('POINTAGE'!N16="Absent"),0),IF('POINTAGE'!$P$5&lt;&gt;"",--('POINTAGE'!P16="Absent"),0),IF('POINTAGE'!$R$5&lt;&gt;"",--('POINTAGE'!R16="Absent"),0),IF('POINTAGE'!$T$5&lt;&gt;"",--('POINTAGE'!T16="Absent"),0),IF('POINTAGE'!$V$5&lt;&gt;"",--('POINTAGE'!V16="Absent"),0),IF('POINTAGE'!$X$5&lt;&gt;"",--('POINTAGE'!X16="Absent"),0),IF('POINTAGE'!$Z$5&lt;&gt;"",--('POINTAGE'!Z16="Absent"),0),IF('POINTAGE'!$AB$5&lt;&gt;"",--('POINTAGE'!AB16="Absent"),0),IF('POINTAGE'!$AD$5&lt;&gt;"",--('POINTAGE'!AD16="Absent"),0),IF('POINTAGE'!$AF$5&lt;&gt;"",--('POINTAGE'!AF16="Absent"),0)))</f>
      </c>
      <c r="H16" s="23">
        <f>IF($A16="","",SUM(IF('POINTAGE'!$D$5&lt;&gt;"",IF('POINTAGE'!D16="Présent",'POINTAGE'!E16,0),0),IF('POINTAGE'!$F$5&lt;&gt;"",IF('POINTAGE'!F16="Présent",'POINTAGE'!G16,0),0),IF('POINTAGE'!$H$5&lt;&gt;"",IF('POINTAGE'!H16="Présent",'POINTAGE'!I16,0),0),IF('POINTAGE'!$J$5&lt;&gt;"",IF('POINTAGE'!J16="Présent",'POINTAGE'!K16,0),0),IF('POINTAGE'!$L$5&lt;&gt;"",IF('POINTAGE'!L16="Présent",'POINTAGE'!M16,0),0),IF('POINTAGE'!$N$5&lt;&gt;"",IF('POINTAGE'!N16="Présent",'POINTAGE'!O16,0),0),IF('POINTAGE'!$P$5&lt;&gt;"",IF('POINTAGE'!P16="Présent",'POINTAGE'!Q16,0),0),IF('POINTAGE'!$R$5&lt;&gt;"",IF('POINTAGE'!R16="Présent",'POINTAGE'!S16,0),0),IF('POINTAGE'!$T$5&lt;&gt;"",IF('POINTAGE'!T16="Présent",'POINTAGE'!U16,0),0),IF('POINTAGE'!$V$5&lt;&gt;"",IF('POINTAGE'!V16="Présent",'POINTAGE'!W16,0),0),IF('POINTAGE'!$X$5&lt;&gt;"",IF('POINTAGE'!X16="Présent",'POINTAGE'!Y16,0),0),IF('POINTAGE'!$Z$5&lt;&gt;"",IF('POINTAGE'!Z16="Présent",'POINTAGE'!AA16,0),0),IF('POINTAGE'!$AB$5&lt;&gt;"",IF('POINTAGE'!AB16="Présent",'POINTAGE'!AC16,0),0),IF('POINTAGE'!$AD$5&lt;&gt;"",IF('POINTAGE'!AD16="Présent",'POINTAGE'!AE16,0),0),IF('POINTAGE'!$AF$5&lt;&gt;"",IF('POINTAGE'!AF16="Présent",'POINTAGE'!AG16,0),0)))</f>
      </c>
      <c r="I16" s="24">
        <f>IF($A16="","",$F16*$D16)</f>
      </c>
      <c r="J16" s="24">
        <f>IF($A16="","",$H16*$E16)</f>
      </c>
      <c r="K16" s="25">
        <f>IF($A16="","",$I16+$J16)</f>
      </c>
      <c r="L16" s="18"/>
      <c r="M16" s="25">
        <f>IF($A16="","",MAX(0,$K16-$L16))</f>
      </c>
      <c r="N16" s="22">
        <f>IF($A16="","",SUM(IF('POINTAGE'!$AH$5&lt;&gt;"",--('POINTAGE'!AH16="Présent"),0),IF('POINTAGE'!$AJ$5&lt;&gt;"",--('POINTAGE'!AJ16="Présent"),0),IF('POINTAGE'!$AL$5&lt;&gt;"",--('POINTAGE'!AL16="Présent"),0),IF('POINTAGE'!$AN$5&lt;&gt;"",--('POINTAGE'!AN16="Présent"),0),IF('POINTAGE'!$AP$5&lt;&gt;"",--('POINTAGE'!AP16="Présent"),0),IF('POINTAGE'!$AR$5&lt;&gt;"",--('POINTAGE'!AR16="Présent"),0),IF('POINTAGE'!$AT$5&lt;&gt;"",--('POINTAGE'!AT16="Présent"),0),IF('POINTAGE'!$AV$5&lt;&gt;"",--('POINTAGE'!AV16="Présent"),0),IF('POINTAGE'!$AX$5&lt;&gt;"",--('POINTAGE'!AX16="Présent"),0),IF('POINTAGE'!$AZ$5&lt;&gt;"",--('POINTAGE'!AZ16="Présent"),0),IF('POINTAGE'!$BB$5&lt;&gt;"",--('POINTAGE'!BB16="Présent"),0),IF('POINTAGE'!$BD$5&lt;&gt;"",--('POINTAGE'!BD16="Présent"),0),IF('POINTAGE'!$BF$5&lt;&gt;"",--('POINTAGE'!BF16="Présent"),0),IF('POINTAGE'!$BH$5&lt;&gt;"",--('POINTAGE'!BH16="Présent"),0),IF('POINTAGE'!$BJ$5&lt;&gt;"",--('POINTAGE'!BJ16="Présent"),0),IF('POINTAGE'!$BL$5&lt;&gt;"",--('POINTAGE'!BL16="Présent"),0)))</f>
      </c>
      <c r="O16" s="22">
        <f>IF($A16="","",SUM(IF('POINTAGE'!$AH$5&lt;&gt;"",--('POINTAGE'!AH16="Absent"),0),IF('POINTAGE'!$AJ$5&lt;&gt;"",--('POINTAGE'!AJ16="Absent"),0),IF('POINTAGE'!$AL$5&lt;&gt;"",--('POINTAGE'!AL16="Absent"),0),IF('POINTAGE'!$AN$5&lt;&gt;"",--('POINTAGE'!AN16="Absent"),0),IF('POINTAGE'!$AP$5&lt;&gt;"",--('POINTAGE'!AP16="Absent"),0),IF('POINTAGE'!$AR$5&lt;&gt;"",--('POINTAGE'!AR16="Absent"),0),IF('POINTAGE'!$AT$5&lt;&gt;"",--('POINTAGE'!AT16="Absent"),0),IF('POINTAGE'!$AV$5&lt;&gt;"",--('POINTAGE'!AV16="Absent"),0),IF('POINTAGE'!$AX$5&lt;&gt;"",--('POINTAGE'!AX16="Absent"),0),IF('POINTAGE'!$AZ$5&lt;&gt;"",--('POINTAGE'!AZ16="Absent"),0),IF('POINTAGE'!$BB$5&lt;&gt;"",--('POINTAGE'!BB16="Absent"),0),IF('POINTAGE'!$BD$5&lt;&gt;"",--('POINTAGE'!BD16="Absent"),0),IF('POINTAGE'!$BF$5&lt;&gt;"",--('POINTAGE'!BF16="Absent"),0),IF('POINTAGE'!$BH$5&lt;&gt;"",--('POINTAGE'!BH16="Absent"),0),IF('POINTAGE'!$BJ$5&lt;&gt;"",--('POINTAGE'!BJ16="Absent"),0),IF('POINTAGE'!$BL$5&lt;&gt;"",--('POINTAGE'!BL16="Absent"),0)))</f>
      </c>
      <c r="P16" s="23">
        <f>IF($A16="","",SUM(IF('POINTAGE'!$AH$5&lt;&gt;"",IF('POINTAGE'!AH16="Présent",'POINTAGE'!AI16,0),0),IF('POINTAGE'!$AJ$5&lt;&gt;"",IF('POINTAGE'!AJ16="Présent",'POINTAGE'!AK16,0),0),IF('POINTAGE'!$AL$5&lt;&gt;"",IF('POINTAGE'!AL16="Présent",'POINTAGE'!AM16,0),0),IF('POINTAGE'!$AN$5&lt;&gt;"",IF('POINTAGE'!AN16="Présent",'POINTAGE'!AO16,0),0),IF('POINTAGE'!$AP$5&lt;&gt;"",IF('POINTAGE'!AP16="Présent",'POINTAGE'!AQ16,0),0),IF('POINTAGE'!$AR$5&lt;&gt;"",IF('POINTAGE'!AR16="Présent",'POINTAGE'!AS16,0),0),IF('POINTAGE'!$AT$5&lt;&gt;"",IF('POINTAGE'!AT16="Présent",'POINTAGE'!AU16,0),0),IF('POINTAGE'!$AV$5&lt;&gt;"",IF('POINTAGE'!AV16="Présent",'POINTAGE'!AW16,0),0),IF('POINTAGE'!$AX$5&lt;&gt;"",IF('POINTAGE'!AX16="Présent",'POINTAGE'!AY16,0),0),IF('POINTAGE'!$AZ$5&lt;&gt;"",IF('POINTAGE'!AZ16="Présent",'POINTAGE'!BA16,0),0),IF('POINTAGE'!$BB$5&lt;&gt;"",IF('POINTAGE'!BB16="Présent",'POINTAGE'!BC16,0),0),IF('POINTAGE'!$BD$5&lt;&gt;"",IF('POINTAGE'!BD16="Présent",'POINTAGE'!BE16,0),0),IF('POINTAGE'!$BF$5&lt;&gt;"",IF('POINTAGE'!BF16="Présent",'POINTAGE'!BG16,0),0),IF('POINTAGE'!$BH$5&lt;&gt;"",IF('POINTAGE'!BH16="Présent",'POINTAGE'!BI16,0),0),IF('POINTAGE'!$BJ$5&lt;&gt;"",IF('POINTAGE'!BJ16="Présent",'POINTAGE'!BK16,0),0),IF('POINTAGE'!$BL$5&lt;&gt;"",IF('POINTAGE'!BL16="Présent",'POINTAGE'!BM16,0),0)))</f>
      </c>
      <c r="Q16" s="24">
        <f>IF($A16="","",$N16*$D16)</f>
      </c>
      <c r="R16" s="24">
        <f>IF($A16="","",$P16*$E16)</f>
      </c>
      <c r="S16" s="25">
        <f>IF($A16="","",$Q16+$R16)</f>
      </c>
      <c r="T16" s="18"/>
      <c r="U16" s="25">
        <f>IF($A16="","",MAX(0,$S16-$T16))</f>
      </c>
      <c r="V16" s="25">
        <f>IF($A16="","",$K16+$S16)</f>
      </c>
      <c r="W16" s="24">
        <f>IF($A16="","",$L16+$T16)</f>
      </c>
      <c r="X16" s="25">
        <f>IF($A16="","",$M16+$U16)</f>
      </c>
      <c r="Y16" s="29">
        <f>IF($A16="","",$J16+$R16)</f>
      </c>
    </row>
    <row r="17">
      <c r="A17" s="20">
        <f>IF('POINTAGE'!A17="","",'POINTAGE'!A17)</f>
      </c>
      <c r="B17" s="19">
        <f>IF($A17="","",'POINTAGE'!B17)</f>
      </c>
      <c r="C17" s="20">
        <f>IF($A17="","",'POINTAGE'!C17)</f>
      </c>
      <c r="D17" s="24">
        <f>IF($A17="","",IFERROR(INDEX(Categories_Salaire,MATCH($C17,ListeCategories,0)),0))</f>
      </c>
      <c r="E17" s="24">
        <f>IF($A17="","",IF(IFERROR(INDEX(Categories_TauxHS,MATCH($C17,ListeCategories,0)),0)&gt;0,IFERROR(INDEX(Categories_TauxHS,MATCH($C17,ListeCategories,0)),0),TauxHSDefaut))</f>
      </c>
      <c r="F17" s="22">
        <f>IF($A17="","",SUM(IF('POINTAGE'!$D$5&lt;&gt;"",--('POINTAGE'!D17="Présent"),0),IF('POINTAGE'!$F$5&lt;&gt;"",--('POINTAGE'!F17="Présent"),0),IF('POINTAGE'!$H$5&lt;&gt;"",--('POINTAGE'!H17="Présent"),0),IF('POINTAGE'!$J$5&lt;&gt;"",--('POINTAGE'!J17="Présent"),0),IF('POINTAGE'!$L$5&lt;&gt;"",--('POINTAGE'!L17="Présent"),0),IF('POINTAGE'!$N$5&lt;&gt;"",--('POINTAGE'!N17="Présent"),0),IF('POINTAGE'!$P$5&lt;&gt;"",--('POINTAGE'!P17="Présent"),0),IF('POINTAGE'!$R$5&lt;&gt;"",--('POINTAGE'!R17="Présent"),0),IF('POINTAGE'!$T$5&lt;&gt;"",--('POINTAGE'!T17="Présent"),0),IF('POINTAGE'!$V$5&lt;&gt;"",--('POINTAGE'!V17="Présent"),0),IF('POINTAGE'!$X$5&lt;&gt;"",--('POINTAGE'!X17="Présent"),0),IF('POINTAGE'!$Z$5&lt;&gt;"",--('POINTAGE'!Z17="Présent"),0),IF('POINTAGE'!$AB$5&lt;&gt;"",--('POINTAGE'!AB17="Présent"),0),IF('POINTAGE'!$AD$5&lt;&gt;"",--('POINTAGE'!AD17="Présent"),0),IF('POINTAGE'!$AF$5&lt;&gt;"",--('POINTAGE'!AF17="Présent"),0)))</f>
      </c>
      <c r="G17" s="22">
        <f>IF($A17="","",SUM(IF('POINTAGE'!$D$5&lt;&gt;"",--('POINTAGE'!D17="Absent"),0),IF('POINTAGE'!$F$5&lt;&gt;"",--('POINTAGE'!F17="Absent"),0),IF('POINTAGE'!$H$5&lt;&gt;"",--('POINTAGE'!H17="Absent"),0),IF('POINTAGE'!$J$5&lt;&gt;"",--('POINTAGE'!J17="Absent"),0),IF('POINTAGE'!$L$5&lt;&gt;"",--('POINTAGE'!L17="Absent"),0),IF('POINTAGE'!$N$5&lt;&gt;"",--('POINTAGE'!N17="Absent"),0),IF('POINTAGE'!$P$5&lt;&gt;"",--('POINTAGE'!P17="Absent"),0),IF('POINTAGE'!$R$5&lt;&gt;"",--('POINTAGE'!R17="Absent"),0),IF('POINTAGE'!$T$5&lt;&gt;"",--('POINTAGE'!T17="Absent"),0),IF('POINTAGE'!$V$5&lt;&gt;"",--('POINTAGE'!V17="Absent"),0),IF('POINTAGE'!$X$5&lt;&gt;"",--('POINTAGE'!X17="Absent"),0),IF('POINTAGE'!$Z$5&lt;&gt;"",--('POINTAGE'!Z17="Absent"),0),IF('POINTAGE'!$AB$5&lt;&gt;"",--('POINTAGE'!AB17="Absent"),0),IF('POINTAGE'!$AD$5&lt;&gt;"",--('POINTAGE'!AD17="Absent"),0),IF('POINTAGE'!$AF$5&lt;&gt;"",--('POINTAGE'!AF17="Absent"),0)))</f>
      </c>
      <c r="H17" s="23">
        <f>IF($A17="","",SUM(IF('POINTAGE'!$D$5&lt;&gt;"",IF('POINTAGE'!D17="Présent",'POINTAGE'!E17,0),0),IF('POINTAGE'!$F$5&lt;&gt;"",IF('POINTAGE'!F17="Présent",'POINTAGE'!G17,0),0),IF('POINTAGE'!$H$5&lt;&gt;"",IF('POINTAGE'!H17="Présent",'POINTAGE'!I17,0),0),IF('POINTAGE'!$J$5&lt;&gt;"",IF('POINTAGE'!J17="Présent",'POINTAGE'!K17,0),0),IF('POINTAGE'!$L$5&lt;&gt;"",IF('POINTAGE'!L17="Présent",'POINTAGE'!M17,0),0),IF('POINTAGE'!$N$5&lt;&gt;"",IF('POINTAGE'!N17="Présent",'POINTAGE'!O17,0),0),IF('POINTAGE'!$P$5&lt;&gt;"",IF('POINTAGE'!P17="Présent",'POINTAGE'!Q17,0),0),IF('POINTAGE'!$R$5&lt;&gt;"",IF('POINTAGE'!R17="Présent",'POINTAGE'!S17,0),0),IF('POINTAGE'!$T$5&lt;&gt;"",IF('POINTAGE'!T17="Présent",'POINTAGE'!U17,0),0),IF('POINTAGE'!$V$5&lt;&gt;"",IF('POINTAGE'!V17="Présent",'POINTAGE'!W17,0),0),IF('POINTAGE'!$X$5&lt;&gt;"",IF('POINTAGE'!X17="Présent",'POINTAGE'!Y17,0),0),IF('POINTAGE'!$Z$5&lt;&gt;"",IF('POINTAGE'!Z17="Présent",'POINTAGE'!AA17,0),0),IF('POINTAGE'!$AB$5&lt;&gt;"",IF('POINTAGE'!AB17="Présent",'POINTAGE'!AC17,0),0),IF('POINTAGE'!$AD$5&lt;&gt;"",IF('POINTAGE'!AD17="Présent",'POINTAGE'!AE17,0),0),IF('POINTAGE'!$AF$5&lt;&gt;"",IF('POINTAGE'!AF17="Présent",'POINTAGE'!AG17,0),0)))</f>
      </c>
      <c r="I17" s="24">
        <f>IF($A17="","",$F17*$D17)</f>
      </c>
      <c r="J17" s="24">
        <f>IF($A17="","",$H17*$E17)</f>
      </c>
      <c r="K17" s="25">
        <f>IF($A17="","",$I17+$J17)</f>
      </c>
      <c r="L17" s="18"/>
      <c r="M17" s="25">
        <f>IF($A17="","",MAX(0,$K17-$L17))</f>
      </c>
      <c r="N17" s="22">
        <f>IF($A17="","",SUM(IF('POINTAGE'!$AH$5&lt;&gt;"",--('POINTAGE'!AH17="Présent"),0),IF('POINTAGE'!$AJ$5&lt;&gt;"",--('POINTAGE'!AJ17="Présent"),0),IF('POINTAGE'!$AL$5&lt;&gt;"",--('POINTAGE'!AL17="Présent"),0),IF('POINTAGE'!$AN$5&lt;&gt;"",--('POINTAGE'!AN17="Présent"),0),IF('POINTAGE'!$AP$5&lt;&gt;"",--('POINTAGE'!AP17="Présent"),0),IF('POINTAGE'!$AR$5&lt;&gt;"",--('POINTAGE'!AR17="Présent"),0),IF('POINTAGE'!$AT$5&lt;&gt;"",--('POINTAGE'!AT17="Présent"),0),IF('POINTAGE'!$AV$5&lt;&gt;"",--('POINTAGE'!AV17="Présent"),0),IF('POINTAGE'!$AX$5&lt;&gt;"",--('POINTAGE'!AX17="Présent"),0),IF('POINTAGE'!$AZ$5&lt;&gt;"",--('POINTAGE'!AZ17="Présent"),0),IF('POINTAGE'!$BB$5&lt;&gt;"",--('POINTAGE'!BB17="Présent"),0),IF('POINTAGE'!$BD$5&lt;&gt;"",--('POINTAGE'!BD17="Présent"),0),IF('POINTAGE'!$BF$5&lt;&gt;"",--('POINTAGE'!BF17="Présent"),0),IF('POINTAGE'!$BH$5&lt;&gt;"",--('POINTAGE'!BH17="Présent"),0),IF('POINTAGE'!$BJ$5&lt;&gt;"",--('POINTAGE'!BJ17="Présent"),0),IF('POINTAGE'!$BL$5&lt;&gt;"",--('POINTAGE'!BL17="Présent"),0)))</f>
      </c>
      <c r="O17" s="22">
        <f>IF($A17="","",SUM(IF('POINTAGE'!$AH$5&lt;&gt;"",--('POINTAGE'!AH17="Absent"),0),IF('POINTAGE'!$AJ$5&lt;&gt;"",--('POINTAGE'!AJ17="Absent"),0),IF('POINTAGE'!$AL$5&lt;&gt;"",--('POINTAGE'!AL17="Absent"),0),IF('POINTAGE'!$AN$5&lt;&gt;"",--('POINTAGE'!AN17="Absent"),0),IF('POINTAGE'!$AP$5&lt;&gt;"",--('POINTAGE'!AP17="Absent"),0),IF('POINTAGE'!$AR$5&lt;&gt;"",--('POINTAGE'!AR17="Absent"),0),IF('POINTAGE'!$AT$5&lt;&gt;"",--('POINTAGE'!AT17="Absent"),0),IF('POINTAGE'!$AV$5&lt;&gt;"",--('POINTAGE'!AV17="Absent"),0),IF('POINTAGE'!$AX$5&lt;&gt;"",--('POINTAGE'!AX17="Absent"),0),IF('POINTAGE'!$AZ$5&lt;&gt;"",--('POINTAGE'!AZ17="Absent"),0),IF('POINTAGE'!$BB$5&lt;&gt;"",--('POINTAGE'!BB17="Absent"),0),IF('POINTAGE'!$BD$5&lt;&gt;"",--('POINTAGE'!BD17="Absent"),0),IF('POINTAGE'!$BF$5&lt;&gt;"",--('POINTAGE'!BF17="Absent"),0),IF('POINTAGE'!$BH$5&lt;&gt;"",--('POINTAGE'!BH17="Absent"),0),IF('POINTAGE'!$BJ$5&lt;&gt;"",--('POINTAGE'!BJ17="Absent"),0),IF('POINTAGE'!$BL$5&lt;&gt;"",--('POINTAGE'!BL17="Absent"),0)))</f>
      </c>
      <c r="P17" s="23">
        <f>IF($A17="","",SUM(IF('POINTAGE'!$AH$5&lt;&gt;"",IF('POINTAGE'!AH17="Présent",'POINTAGE'!AI17,0),0),IF('POINTAGE'!$AJ$5&lt;&gt;"",IF('POINTAGE'!AJ17="Présent",'POINTAGE'!AK17,0),0),IF('POINTAGE'!$AL$5&lt;&gt;"",IF('POINTAGE'!AL17="Présent",'POINTAGE'!AM17,0),0),IF('POINTAGE'!$AN$5&lt;&gt;"",IF('POINTAGE'!AN17="Présent",'POINTAGE'!AO17,0),0),IF('POINTAGE'!$AP$5&lt;&gt;"",IF('POINTAGE'!AP17="Présent",'POINTAGE'!AQ17,0),0),IF('POINTAGE'!$AR$5&lt;&gt;"",IF('POINTAGE'!AR17="Présent",'POINTAGE'!AS17,0),0),IF('POINTAGE'!$AT$5&lt;&gt;"",IF('POINTAGE'!AT17="Présent",'POINTAGE'!AU17,0),0),IF('POINTAGE'!$AV$5&lt;&gt;"",IF('POINTAGE'!AV17="Présent",'POINTAGE'!AW17,0),0),IF('POINTAGE'!$AX$5&lt;&gt;"",IF('POINTAGE'!AX17="Présent",'POINTAGE'!AY17,0),0),IF('POINTAGE'!$AZ$5&lt;&gt;"",IF('POINTAGE'!AZ17="Présent",'POINTAGE'!BA17,0),0),IF('POINTAGE'!$BB$5&lt;&gt;"",IF('POINTAGE'!BB17="Présent",'POINTAGE'!BC17,0),0),IF('POINTAGE'!$BD$5&lt;&gt;"",IF('POINTAGE'!BD17="Présent",'POINTAGE'!BE17,0),0),IF('POINTAGE'!$BF$5&lt;&gt;"",IF('POINTAGE'!BF17="Présent",'POINTAGE'!BG17,0),0),IF('POINTAGE'!$BH$5&lt;&gt;"",IF('POINTAGE'!BH17="Présent",'POINTAGE'!BI17,0),0),IF('POINTAGE'!$BJ$5&lt;&gt;"",IF('POINTAGE'!BJ17="Présent",'POINTAGE'!BK17,0),0),IF('POINTAGE'!$BL$5&lt;&gt;"",IF('POINTAGE'!BL17="Présent",'POINTAGE'!BM17,0),0)))</f>
      </c>
      <c r="Q17" s="24">
        <f>IF($A17="","",$N17*$D17)</f>
      </c>
      <c r="R17" s="24">
        <f>IF($A17="","",$P17*$E17)</f>
      </c>
      <c r="S17" s="25">
        <f>IF($A17="","",$Q17+$R17)</f>
      </c>
      <c r="T17" s="18"/>
      <c r="U17" s="25">
        <f>IF($A17="","",MAX(0,$S17-$T17))</f>
      </c>
      <c r="V17" s="25">
        <f>IF($A17="","",$K17+$S17)</f>
      </c>
      <c r="W17" s="24">
        <f>IF($A17="","",$L17+$T17)</f>
      </c>
      <c r="X17" s="25">
        <f>IF($A17="","",$M17+$U17)</f>
      </c>
      <c r="Y17" s="29">
        <f>IF($A17="","",$J17+$R17)</f>
      </c>
    </row>
    <row r="18">
      <c r="A18" s="20">
        <f>IF('POINTAGE'!A18="","",'POINTAGE'!A18)</f>
      </c>
      <c r="B18" s="19">
        <f>IF($A18="","",'POINTAGE'!B18)</f>
      </c>
      <c r="C18" s="20">
        <f>IF($A18="","",'POINTAGE'!C18)</f>
      </c>
      <c r="D18" s="24">
        <f>IF($A18="","",IFERROR(INDEX(Categories_Salaire,MATCH($C18,ListeCategories,0)),0))</f>
      </c>
      <c r="E18" s="24">
        <f>IF($A18="","",IF(IFERROR(INDEX(Categories_TauxHS,MATCH($C18,ListeCategories,0)),0)&gt;0,IFERROR(INDEX(Categories_TauxHS,MATCH($C18,ListeCategories,0)),0),TauxHSDefaut))</f>
      </c>
      <c r="F18" s="22">
        <f>IF($A18="","",SUM(IF('POINTAGE'!$D$5&lt;&gt;"",--('POINTAGE'!D18="Présent"),0),IF('POINTAGE'!$F$5&lt;&gt;"",--('POINTAGE'!F18="Présent"),0),IF('POINTAGE'!$H$5&lt;&gt;"",--('POINTAGE'!H18="Présent"),0),IF('POINTAGE'!$J$5&lt;&gt;"",--('POINTAGE'!J18="Présent"),0),IF('POINTAGE'!$L$5&lt;&gt;"",--('POINTAGE'!L18="Présent"),0),IF('POINTAGE'!$N$5&lt;&gt;"",--('POINTAGE'!N18="Présent"),0),IF('POINTAGE'!$P$5&lt;&gt;"",--('POINTAGE'!P18="Présent"),0),IF('POINTAGE'!$R$5&lt;&gt;"",--('POINTAGE'!R18="Présent"),0),IF('POINTAGE'!$T$5&lt;&gt;"",--('POINTAGE'!T18="Présent"),0),IF('POINTAGE'!$V$5&lt;&gt;"",--('POINTAGE'!V18="Présent"),0),IF('POINTAGE'!$X$5&lt;&gt;"",--('POINTAGE'!X18="Présent"),0),IF('POINTAGE'!$Z$5&lt;&gt;"",--('POINTAGE'!Z18="Présent"),0),IF('POINTAGE'!$AB$5&lt;&gt;"",--('POINTAGE'!AB18="Présent"),0),IF('POINTAGE'!$AD$5&lt;&gt;"",--('POINTAGE'!AD18="Présent"),0),IF('POINTAGE'!$AF$5&lt;&gt;"",--('POINTAGE'!AF18="Présent"),0)))</f>
      </c>
      <c r="G18" s="22">
        <f>IF($A18="","",SUM(IF('POINTAGE'!$D$5&lt;&gt;"",--('POINTAGE'!D18="Absent"),0),IF('POINTAGE'!$F$5&lt;&gt;"",--('POINTAGE'!F18="Absent"),0),IF('POINTAGE'!$H$5&lt;&gt;"",--('POINTAGE'!H18="Absent"),0),IF('POINTAGE'!$J$5&lt;&gt;"",--('POINTAGE'!J18="Absent"),0),IF('POINTAGE'!$L$5&lt;&gt;"",--('POINTAGE'!L18="Absent"),0),IF('POINTAGE'!$N$5&lt;&gt;"",--('POINTAGE'!N18="Absent"),0),IF('POINTAGE'!$P$5&lt;&gt;"",--('POINTAGE'!P18="Absent"),0),IF('POINTAGE'!$R$5&lt;&gt;"",--('POINTAGE'!R18="Absent"),0),IF('POINTAGE'!$T$5&lt;&gt;"",--('POINTAGE'!T18="Absent"),0),IF('POINTAGE'!$V$5&lt;&gt;"",--('POINTAGE'!V18="Absent"),0),IF('POINTAGE'!$X$5&lt;&gt;"",--('POINTAGE'!X18="Absent"),0),IF('POINTAGE'!$Z$5&lt;&gt;"",--('POINTAGE'!Z18="Absent"),0),IF('POINTAGE'!$AB$5&lt;&gt;"",--('POINTAGE'!AB18="Absent"),0),IF('POINTAGE'!$AD$5&lt;&gt;"",--('POINTAGE'!AD18="Absent"),0),IF('POINTAGE'!$AF$5&lt;&gt;"",--('POINTAGE'!AF18="Absent"),0)))</f>
      </c>
      <c r="H18" s="23">
        <f>IF($A18="","",SUM(IF('POINTAGE'!$D$5&lt;&gt;"",IF('POINTAGE'!D18="Présent",'POINTAGE'!E18,0),0),IF('POINTAGE'!$F$5&lt;&gt;"",IF('POINTAGE'!F18="Présent",'POINTAGE'!G18,0),0),IF('POINTAGE'!$H$5&lt;&gt;"",IF('POINTAGE'!H18="Présent",'POINTAGE'!I18,0),0),IF('POINTAGE'!$J$5&lt;&gt;"",IF('POINTAGE'!J18="Présent",'POINTAGE'!K18,0),0),IF('POINTAGE'!$L$5&lt;&gt;"",IF('POINTAGE'!L18="Présent",'POINTAGE'!M18,0),0),IF('POINTAGE'!$N$5&lt;&gt;"",IF('POINTAGE'!N18="Présent",'POINTAGE'!O18,0),0),IF('POINTAGE'!$P$5&lt;&gt;"",IF('POINTAGE'!P18="Présent",'POINTAGE'!Q18,0),0),IF('POINTAGE'!$R$5&lt;&gt;"",IF('POINTAGE'!R18="Présent",'POINTAGE'!S18,0),0),IF('POINTAGE'!$T$5&lt;&gt;"",IF('POINTAGE'!T18="Présent",'POINTAGE'!U18,0),0),IF('POINTAGE'!$V$5&lt;&gt;"",IF('POINTAGE'!V18="Présent",'POINTAGE'!W18,0),0),IF('POINTAGE'!$X$5&lt;&gt;"",IF('POINTAGE'!X18="Présent",'POINTAGE'!Y18,0),0),IF('POINTAGE'!$Z$5&lt;&gt;"",IF('POINTAGE'!Z18="Présent",'POINTAGE'!AA18,0),0),IF('POINTAGE'!$AB$5&lt;&gt;"",IF('POINTAGE'!AB18="Présent",'POINTAGE'!AC18,0),0),IF('POINTAGE'!$AD$5&lt;&gt;"",IF('POINTAGE'!AD18="Présent",'POINTAGE'!AE18,0),0),IF('POINTAGE'!$AF$5&lt;&gt;"",IF('POINTAGE'!AF18="Présent",'POINTAGE'!AG18,0),0)))</f>
      </c>
      <c r="I18" s="24">
        <f>IF($A18="","",$F18*$D18)</f>
      </c>
      <c r="J18" s="24">
        <f>IF($A18="","",$H18*$E18)</f>
      </c>
      <c r="K18" s="25">
        <f>IF($A18="","",$I18+$J18)</f>
      </c>
      <c r="L18" s="18"/>
      <c r="M18" s="25">
        <f>IF($A18="","",MAX(0,$K18-$L18))</f>
      </c>
      <c r="N18" s="22">
        <f>IF($A18="","",SUM(IF('POINTAGE'!$AH$5&lt;&gt;"",--('POINTAGE'!AH18="Présent"),0),IF('POINTAGE'!$AJ$5&lt;&gt;"",--('POINTAGE'!AJ18="Présent"),0),IF('POINTAGE'!$AL$5&lt;&gt;"",--('POINTAGE'!AL18="Présent"),0),IF('POINTAGE'!$AN$5&lt;&gt;"",--('POINTAGE'!AN18="Présent"),0),IF('POINTAGE'!$AP$5&lt;&gt;"",--('POINTAGE'!AP18="Présent"),0),IF('POINTAGE'!$AR$5&lt;&gt;"",--('POINTAGE'!AR18="Présent"),0),IF('POINTAGE'!$AT$5&lt;&gt;"",--('POINTAGE'!AT18="Présent"),0),IF('POINTAGE'!$AV$5&lt;&gt;"",--('POINTAGE'!AV18="Présent"),0),IF('POINTAGE'!$AX$5&lt;&gt;"",--('POINTAGE'!AX18="Présent"),0),IF('POINTAGE'!$AZ$5&lt;&gt;"",--('POINTAGE'!AZ18="Présent"),0),IF('POINTAGE'!$BB$5&lt;&gt;"",--('POINTAGE'!BB18="Présent"),0),IF('POINTAGE'!$BD$5&lt;&gt;"",--('POINTAGE'!BD18="Présent"),0),IF('POINTAGE'!$BF$5&lt;&gt;"",--('POINTAGE'!BF18="Présent"),0),IF('POINTAGE'!$BH$5&lt;&gt;"",--('POINTAGE'!BH18="Présent"),0),IF('POINTAGE'!$BJ$5&lt;&gt;"",--('POINTAGE'!BJ18="Présent"),0),IF('POINTAGE'!$BL$5&lt;&gt;"",--('POINTAGE'!BL18="Présent"),0)))</f>
      </c>
      <c r="O18" s="22">
        <f>IF($A18="","",SUM(IF('POINTAGE'!$AH$5&lt;&gt;"",--('POINTAGE'!AH18="Absent"),0),IF('POINTAGE'!$AJ$5&lt;&gt;"",--('POINTAGE'!AJ18="Absent"),0),IF('POINTAGE'!$AL$5&lt;&gt;"",--('POINTAGE'!AL18="Absent"),0),IF('POINTAGE'!$AN$5&lt;&gt;"",--('POINTAGE'!AN18="Absent"),0),IF('POINTAGE'!$AP$5&lt;&gt;"",--('POINTAGE'!AP18="Absent"),0),IF('POINTAGE'!$AR$5&lt;&gt;"",--('POINTAGE'!AR18="Absent"),0),IF('POINTAGE'!$AT$5&lt;&gt;"",--('POINTAGE'!AT18="Absent"),0),IF('POINTAGE'!$AV$5&lt;&gt;"",--('POINTAGE'!AV18="Absent"),0),IF('POINTAGE'!$AX$5&lt;&gt;"",--('POINTAGE'!AX18="Absent"),0),IF('POINTAGE'!$AZ$5&lt;&gt;"",--('POINTAGE'!AZ18="Absent"),0),IF('POINTAGE'!$BB$5&lt;&gt;"",--('POINTAGE'!BB18="Absent"),0),IF('POINTAGE'!$BD$5&lt;&gt;"",--('POINTAGE'!BD18="Absent"),0),IF('POINTAGE'!$BF$5&lt;&gt;"",--('POINTAGE'!BF18="Absent"),0),IF('POINTAGE'!$BH$5&lt;&gt;"",--('POINTAGE'!BH18="Absent"),0),IF('POINTAGE'!$BJ$5&lt;&gt;"",--('POINTAGE'!BJ18="Absent"),0),IF('POINTAGE'!$BL$5&lt;&gt;"",--('POINTAGE'!BL18="Absent"),0)))</f>
      </c>
      <c r="P18" s="23">
        <f>IF($A18="","",SUM(IF('POINTAGE'!$AH$5&lt;&gt;"",IF('POINTAGE'!AH18="Présent",'POINTAGE'!AI18,0),0),IF('POINTAGE'!$AJ$5&lt;&gt;"",IF('POINTAGE'!AJ18="Présent",'POINTAGE'!AK18,0),0),IF('POINTAGE'!$AL$5&lt;&gt;"",IF('POINTAGE'!AL18="Présent",'POINTAGE'!AM18,0),0),IF('POINTAGE'!$AN$5&lt;&gt;"",IF('POINTAGE'!AN18="Présent",'POINTAGE'!AO18,0),0),IF('POINTAGE'!$AP$5&lt;&gt;"",IF('POINTAGE'!AP18="Présent",'POINTAGE'!AQ18,0),0),IF('POINTAGE'!$AR$5&lt;&gt;"",IF('POINTAGE'!AR18="Présent",'POINTAGE'!AS18,0),0),IF('POINTAGE'!$AT$5&lt;&gt;"",IF('POINTAGE'!AT18="Présent",'POINTAGE'!AU18,0),0),IF('POINTAGE'!$AV$5&lt;&gt;"",IF('POINTAGE'!AV18="Présent",'POINTAGE'!AW18,0),0),IF('POINTAGE'!$AX$5&lt;&gt;"",IF('POINTAGE'!AX18="Présent",'POINTAGE'!AY18,0),0),IF('POINTAGE'!$AZ$5&lt;&gt;"",IF('POINTAGE'!AZ18="Présent",'POINTAGE'!BA18,0),0),IF('POINTAGE'!$BB$5&lt;&gt;"",IF('POINTAGE'!BB18="Présent",'POINTAGE'!BC18,0),0),IF('POINTAGE'!$BD$5&lt;&gt;"",IF('POINTAGE'!BD18="Présent",'POINTAGE'!BE18,0),0),IF('POINTAGE'!$BF$5&lt;&gt;"",IF('POINTAGE'!BF18="Présent",'POINTAGE'!BG18,0),0),IF('POINTAGE'!$BH$5&lt;&gt;"",IF('POINTAGE'!BH18="Présent",'POINTAGE'!BI18,0),0),IF('POINTAGE'!$BJ$5&lt;&gt;"",IF('POINTAGE'!BJ18="Présent",'POINTAGE'!BK18,0),0),IF('POINTAGE'!$BL$5&lt;&gt;"",IF('POINTAGE'!BL18="Présent",'POINTAGE'!BM18,0),0)))</f>
      </c>
      <c r="Q18" s="24">
        <f>IF($A18="","",$N18*$D18)</f>
      </c>
      <c r="R18" s="24">
        <f>IF($A18="","",$P18*$E18)</f>
      </c>
      <c r="S18" s="25">
        <f>IF($A18="","",$Q18+$R18)</f>
      </c>
      <c r="T18" s="18"/>
      <c r="U18" s="25">
        <f>IF($A18="","",MAX(0,$S18-$T18))</f>
      </c>
      <c r="V18" s="25">
        <f>IF($A18="","",$K18+$S18)</f>
      </c>
      <c r="W18" s="24">
        <f>IF($A18="","",$L18+$T18)</f>
      </c>
      <c r="X18" s="25">
        <f>IF($A18="","",$M18+$U18)</f>
      </c>
      <c r="Y18" s="29">
        <f>IF($A18="","",$J18+$R18)</f>
      </c>
    </row>
    <row r="19">
      <c r="A19" s="20">
        <f>IF('POINTAGE'!A19="","",'POINTAGE'!A19)</f>
      </c>
      <c r="B19" s="19">
        <f>IF($A19="","",'POINTAGE'!B19)</f>
      </c>
      <c r="C19" s="20">
        <f>IF($A19="","",'POINTAGE'!C19)</f>
      </c>
      <c r="D19" s="24">
        <f>IF($A19="","",IFERROR(INDEX(Categories_Salaire,MATCH($C19,ListeCategories,0)),0))</f>
      </c>
      <c r="E19" s="24">
        <f>IF($A19="","",IF(IFERROR(INDEX(Categories_TauxHS,MATCH($C19,ListeCategories,0)),0)&gt;0,IFERROR(INDEX(Categories_TauxHS,MATCH($C19,ListeCategories,0)),0),TauxHSDefaut))</f>
      </c>
      <c r="F19" s="22">
        <f>IF($A19="","",SUM(IF('POINTAGE'!$D$5&lt;&gt;"",--('POINTAGE'!D19="Présent"),0),IF('POINTAGE'!$F$5&lt;&gt;"",--('POINTAGE'!F19="Présent"),0),IF('POINTAGE'!$H$5&lt;&gt;"",--('POINTAGE'!H19="Présent"),0),IF('POINTAGE'!$J$5&lt;&gt;"",--('POINTAGE'!J19="Présent"),0),IF('POINTAGE'!$L$5&lt;&gt;"",--('POINTAGE'!L19="Présent"),0),IF('POINTAGE'!$N$5&lt;&gt;"",--('POINTAGE'!N19="Présent"),0),IF('POINTAGE'!$P$5&lt;&gt;"",--('POINTAGE'!P19="Présent"),0),IF('POINTAGE'!$R$5&lt;&gt;"",--('POINTAGE'!R19="Présent"),0),IF('POINTAGE'!$T$5&lt;&gt;"",--('POINTAGE'!T19="Présent"),0),IF('POINTAGE'!$V$5&lt;&gt;"",--('POINTAGE'!V19="Présent"),0),IF('POINTAGE'!$X$5&lt;&gt;"",--('POINTAGE'!X19="Présent"),0),IF('POINTAGE'!$Z$5&lt;&gt;"",--('POINTAGE'!Z19="Présent"),0),IF('POINTAGE'!$AB$5&lt;&gt;"",--('POINTAGE'!AB19="Présent"),0),IF('POINTAGE'!$AD$5&lt;&gt;"",--('POINTAGE'!AD19="Présent"),0),IF('POINTAGE'!$AF$5&lt;&gt;"",--('POINTAGE'!AF19="Présent"),0)))</f>
      </c>
      <c r="G19" s="22">
        <f>IF($A19="","",SUM(IF('POINTAGE'!$D$5&lt;&gt;"",--('POINTAGE'!D19="Absent"),0),IF('POINTAGE'!$F$5&lt;&gt;"",--('POINTAGE'!F19="Absent"),0),IF('POINTAGE'!$H$5&lt;&gt;"",--('POINTAGE'!H19="Absent"),0),IF('POINTAGE'!$J$5&lt;&gt;"",--('POINTAGE'!J19="Absent"),0),IF('POINTAGE'!$L$5&lt;&gt;"",--('POINTAGE'!L19="Absent"),0),IF('POINTAGE'!$N$5&lt;&gt;"",--('POINTAGE'!N19="Absent"),0),IF('POINTAGE'!$P$5&lt;&gt;"",--('POINTAGE'!P19="Absent"),0),IF('POINTAGE'!$R$5&lt;&gt;"",--('POINTAGE'!R19="Absent"),0),IF('POINTAGE'!$T$5&lt;&gt;"",--('POINTAGE'!T19="Absent"),0),IF('POINTAGE'!$V$5&lt;&gt;"",--('POINTAGE'!V19="Absent"),0),IF('POINTAGE'!$X$5&lt;&gt;"",--('POINTAGE'!X19="Absent"),0),IF('POINTAGE'!$Z$5&lt;&gt;"",--('POINTAGE'!Z19="Absent"),0),IF('POINTAGE'!$AB$5&lt;&gt;"",--('POINTAGE'!AB19="Absent"),0),IF('POINTAGE'!$AD$5&lt;&gt;"",--('POINTAGE'!AD19="Absent"),0),IF('POINTAGE'!$AF$5&lt;&gt;"",--('POINTAGE'!AF19="Absent"),0)))</f>
      </c>
      <c r="H19" s="23">
        <f>IF($A19="","",SUM(IF('POINTAGE'!$D$5&lt;&gt;"",IF('POINTAGE'!D19="Présent",'POINTAGE'!E19,0),0),IF('POINTAGE'!$F$5&lt;&gt;"",IF('POINTAGE'!F19="Présent",'POINTAGE'!G19,0),0),IF('POINTAGE'!$H$5&lt;&gt;"",IF('POINTAGE'!H19="Présent",'POINTAGE'!I19,0),0),IF('POINTAGE'!$J$5&lt;&gt;"",IF('POINTAGE'!J19="Présent",'POINTAGE'!K19,0),0),IF('POINTAGE'!$L$5&lt;&gt;"",IF('POINTAGE'!L19="Présent",'POINTAGE'!M19,0),0),IF('POINTAGE'!$N$5&lt;&gt;"",IF('POINTAGE'!N19="Présent",'POINTAGE'!O19,0),0),IF('POINTAGE'!$P$5&lt;&gt;"",IF('POINTAGE'!P19="Présent",'POINTAGE'!Q19,0),0),IF('POINTAGE'!$R$5&lt;&gt;"",IF('POINTAGE'!R19="Présent",'POINTAGE'!S19,0),0),IF('POINTAGE'!$T$5&lt;&gt;"",IF('POINTAGE'!T19="Présent",'POINTAGE'!U19,0),0),IF('POINTAGE'!$V$5&lt;&gt;"",IF('POINTAGE'!V19="Présent",'POINTAGE'!W19,0),0),IF('POINTAGE'!$X$5&lt;&gt;"",IF('POINTAGE'!X19="Présent",'POINTAGE'!Y19,0),0),IF('POINTAGE'!$Z$5&lt;&gt;"",IF('POINTAGE'!Z19="Présent",'POINTAGE'!AA19,0),0),IF('POINTAGE'!$AB$5&lt;&gt;"",IF('POINTAGE'!AB19="Présent",'POINTAGE'!AC19,0),0),IF('POINTAGE'!$AD$5&lt;&gt;"",IF('POINTAGE'!AD19="Présent",'POINTAGE'!AE19,0),0),IF('POINTAGE'!$AF$5&lt;&gt;"",IF('POINTAGE'!AF19="Présent",'POINTAGE'!AG19,0),0)))</f>
      </c>
      <c r="I19" s="24">
        <f>IF($A19="","",$F19*$D19)</f>
      </c>
      <c r="J19" s="24">
        <f>IF($A19="","",$H19*$E19)</f>
      </c>
      <c r="K19" s="25">
        <f>IF($A19="","",$I19+$J19)</f>
      </c>
      <c r="L19" s="18"/>
      <c r="M19" s="25">
        <f>IF($A19="","",MAX(0,$K19-$L19))</f>
      </c>
      <c r="N19" s="22">
        <f>IF($A19="","",SUM(IF('POINTAGE'!$AH$5&lt;&gt;"",--('POINTAGE'!AH19="Présent"),0),IF('POINTAGE'!$AJ$5&lt;&gt;"",--('POINTAGE'!AJ19="Présent"),0),IF('POINTAGE'!$AL$5&lt;&gt;"",--('POINTAGE'!AL19="Présent"),0),IF('POINTAGE'!$AN$5&lt;&gt;"",--('POINTAGE'!AN19="Présent"),0),IF('POINTAGE'!$AP$5&lt;&gt;"",--('POINTAGE'!AP19="Présent"),0),IF('POINTAGE'!$AR$5&lt;&gt;"",--('POINTAGE'!AR19="Présent"),0),IF('POINTAGE'!$AT$5&lt;&gt;"",--('POINTAGE'!AT19="Présent"),0),IF('POINTAGE'!$AV$5&lt;&gt;"",--('POINTAGE'!AV19="Présent"),0),IF('POINTAGE'!$AX$5&lt;&gt;"",--('POINTAGE'!AX19="Présent"),0),IF('POINTAGE'!$AZ$5&lt;&gt;"",--('POINTAGE'!AZ19="Présent"),0),IF('POINTAGE'!$BB$5&lt;&gt;"",--('POINTAGE'!BB19="Présent"),0),IF('POINTAGE'!$BD$5&lt;&gt;"",--('POINTAGE'!BD19="Présent"),0),IF('POINTAGE'!$BF$5&lt;&gt;"",--('POINTAGE'!BF19="Présent"),0),IF('POINTAGE'!$BH$5&lt;&gt;"",--('POINTAGE'!BH19="Présent"),0),IF('POINTAGE'!$BJ$5&lt;&gt;"",--('POINTAGE'!BJ19="Présent"),0),IF('POINTAGE'!$BL$5&lt;&gt;"",--('POINTAGE'!BL19="Présent"),0)))</f>
      </c>
      <c r="O19" s="22">
        <f>IF($A19="","",SUM(IF('POINTAGE'!$AH$5&lt;&gt;"",--('POINTAGE'!AH19="Absent"),0),IF('POINTAGE'!$AJ$5&lt;&gt;"",--('POINTAGE'!AJ19="Absent"),0),IF('POINTAGE'!$AL$5&lt;&gt;"",--('POINTAGE'!AL19="Absent"),0),IF('POINTAGE'!$AN$5&lt;&gt;"",--('POINTAGE'!AN19="Absent"),0),IF('POINTAGE'!$AP$5&lt;&gt;"",--('POINTAGE'!AP19="Absent"),0),IF('POINTAGE'!$AR$5&lt;&gt;"",--('POINTAGE'!AR19="Absent"),0),IF('POINTAGE'!$AT$5&lt;&gt;"",--('POINTAGE'!AT19="Absent"),0),IF('POINTAGE'!$AV$5&lt;&gt;"",--('POINTAGE'!AV19="Absent"),0),IF('POINTAGE'!$AX$5&lt;&gt;"",--('POINTAGE'!AX19="Absent"),0),IF('POINTAGE'!$AZ$5&lt;&gt;"",--('POINTAGE'!AZ19="Absent"),0),IF('POINTAGE'!$BB$5&lt;&gt;"",--('POINTAGE'!BB19="Absent"),0),IF('POINTAGE'!$BD$5&lt;&gt;"",--('POINTAGE'!BD19="Absent"),0),IF('POINTAGE'!$BF$5&lt;&gt;"",--('POINTAGE'!BF19="Absent"),0),IF('POINTAGE'!$BH$5&lt;&gt;"",--('POINTAGE'!BH19="Absent"),0),IF('POINTAGE'!$BJ$5&lt;&gt;"",--('POINTAGE'!BJ19="Absent"),0),IF('POINTAGE'!$BL$5&lt;&gt;"",--('POINTAGE'!BL19="Absent"),0)))</f>
      </c>
      <c r="P19" s="23">
        <f>IF($A19="","",SUM(IF('POINTAGE'!$AH$5&lt;&gt;"",IF('POINTAGE'!AH19="Présent",'POINTAGE'!AI19,0),0),IF('POINTAGE'!$AJ$5&lt;&gt;"",IF('POINTAGE'!AJ19="Présent",'POINTAGE'!AK19,0),0),IF('POINTAGE'!$AL$5&lt;&gt;"",IF('POINTAGE'!AL19="Présent",'POINTAGE'!AM19,0),0),IF('POINTAGE'!$AN$5&lt;&gt;"",IF('POINTAGE'!AN19="Présent",'POINTAGE'!AO19,0),0),IF('POINTAGE'!$AP$5&lt;&gt;"",IF('POINTAGE'!AP19="Présent",'POINTAGE'!AQ19,0),0),IF('POINTAGE'!$AR$5&lt;&gt;"",IF('POINTAGE'!AR19="Présent",'POINTAGE'!AS19,0),0),IF('POINTAGE'!$AT$5&lt;&gt;"",IF('POINTAGE'!AT19="Présent",'POINTAGE'!AU19,0),0),IF('POINTAGE'!$AV$5&lt;&gt;"",IF('POINTAGE'!AV19="Présent",'POINTAGE'!AW19,0),0),IF('POINTAGE'!$AX$5&lt;&gt;"",IF('POINTAGE'!AX19="Présent",'POINTAGE'!AY19,0),0),IF('POINTAGE'!$AZ$5&lt;&gt;"",IF('POINTAGE'!AZ19="Présent",'POINTAGE'!BA19,0),0),IF('POINTAGE'!$BB$5&lt;&gt;"",IF('POINTAGE'!BB19="Présent",'POINTAGE'!BC19,0),0),IF('POINTAGE'!$BD$5&lt;&gt;"",IF('POINTAGE'!BD19="Présent",'POINTAGE'!BE19,0),0),IF('POINTAGE'!$BF$5&lt;&gt;"",IF('POINTAGE'!BF19="Présent",'POINTAGE'!BG19,0),0),IF('POINTAGE'!$BH$5&lt;&gt;"",IF('POINTAGE'!BH19="Présent",'POINTAGE'!BI19,0),0),IF('POINTAGE'!$BJ$5&lt;&gt;"",IF('POINTAGE'!BJ19="Présent",'POINTAGE'!BK19,0),0),IF('POINTAGE'!$BL$5&lt;&gt;"",IF('POINTAGE'!BL19="Présent",'POINTAGE'!BM19,0),0)))</f>
      </c>
      <c r="Q19" s="24">
        <f>IF($A19="","",$N19*$D19)</f>
      </c>
      <c r="R19" s="24">
        <f>IF($A19="","",$P19*$E19)</f>
      </c>
      <c r="S19" s="25">
        <f>IF($A19="","",$Q19+$R19)</f>
      </c>
      <c r="T19" s="18"/>
      <c r="U19" s="25">
        <f>IF($A19="","",MAX(0,$S19-$T19))</f>
      </c>
      <c r="V19" s="25">
        <f>IF($A19="","",$K19+$S19)</f>
      </c>
      <c r="W19" s="24">
        <f>IF($A19="","",$L19+$T19)</f>
      </c>
      <c r="X19" s="25">
        <f>IF($A19="","",$M19+$U19)</f>
      </c>
      <c r="Y19" s="29">
        <f>IF($A19="","",$J19+$R19)</f>
      </c>
    </row>
    <row r="20">
      <c r="A20" s="20">
        <f>IF('POINTAGE'!A20="","",'POINTAGE'!A20)</f>
      </c>
      <c r="B20" s="19">
        <f>IF($A20="","",'POINTAGE'!B20)</f>
      </c>
      <c r="C20" s="20">
        <f>IF($A20="","",'POINTAGE'!C20)</f>
      </c>
      <c r="D20" s="24">
        <f>IF($A20="","",IFERROR(INDEX(Categories_Salaire,MATCH($C20,ListeCategories,0)),0))</f>
      </c>
      <c r="E20" s="24">
        <f>IF($A20="","",IF(IFERROR(INDEX(Categories_TauxHS,MATCH($C20,ListeCategories,0)),0)&gt;0,IFERROR(INDEX(Categories_TauxHS,MATCH($C20,ListeCategories,0)),0),TauxHSDefaut))</f>
      </c>
      <c r="F20" s="22">
        <f>IF($A20="","",SUM(IF('POINTAGE'!$D$5&lt;&gt;"",--('POINTAGE'!D20="Présent"),0),IF('POINTAGE'!$F$5&lt;&gt;"",--('POINTAGE'!F20="Présent"),0),IF('POINTAGE'!$H$5&lt;&gt;"",--('POINTAGE'!H20="Présent"),0),IF('POINTAGE'!$J$5&lt;&gt;"",--('POINTAGE'!J20="Présent"),0),IF('POINTAGE'!$L$5&lt;&gt;"",--('POINTAGE'!L20="Présent"),0),IF('POINTAGE'!$N$5&lt;&gt;"",--('POINTAGE'!N20="Présent"),0),IF('POINTAGE'!$P$5&lt;&gt;"",--('POINTAGE'!P20="Présent"),0),IF('POINTAGE'!$R$5&lt;&gt;"",--('POINTAGE'!R20="Présent"),0),IF('POINTAGE'!$T$5&lt;&gt;"",--('POINTAGE'!T20="Présent"),0),IF('POINTAGE'!$V$5&lt;&gt;"",--('POINTAGE'!V20="Présent"),0),IF('POINTAGE'!$X$5&lt;&gt;"",--('POINTAGE'!X20="Présent"),0),IF('POINTAGE'!$Z$5&lt;&gt;"",--('POINTAGE'!Z20="Présent"),0),IF('POINTAGE'!$AB$5&lt;&gt;"",--('POINTAGE'!AB20="Présent"),0),IF('POINTAGE'!$AD$5&lt;&gt;"",--('POINTAGE'!AD20="Présent"),0),IF('POINTAGE'!$AF$5&lt;&gt;"",--('POINTAGE'!AF20="Présent"),0)))</f>
      </c>
      <c r="G20" s="22">
        <f>IF($A20="","",SUM(IF('POINTAGE'!$D$5&lt;&gt;"",--('POINTAGE'!D20="Absent"),0),IF('POINTAGE'!$F$5&lt;&gt;"",--('POINTAGE'!F20="Absent"),0),IF('POINTAGE'!$H$5&lt;&gt;"",--('POINTAGE'!H20="Absent"),0),IF('POINTAGE'!$J$5&lt;&gt;"",--('POINTAGE'!J20="Absent"),0),IF('POINTAGE'!$L$5&lt;&gt;"",--('POINTAGE'!L20="Absent"),0),IF('POINTAGE'!$N$5&lt;&gt;"",--('POINTAGE'!N20="Absent"),0),IF('POINTAGE'!$P$5&lt;&gt;"",--('POINTAGE'!P20="Absent"),0),IF('POINTAGE'!$R$5&lt;&gt;"",--('POINTAGE'!R20="Absent"),0),IF('POINTAGE'!$T$5&lt;&gt;"",--('POINTAGE'!T20="Absent"),0),IF('POINTAGE'!$V$5&lt;&gt;"",--('POINTAGE'!V20="Absent"),0),IF('POINTAGE'!$X$5&lt;&gt;"",--('POINTAGE'!X20="Absent"),0),IF('POINTAGE'!$Z$5&lt;&gt;"",--('POINTAGE'!Z20="Absent"),0),IF('POINTAGE'!$AB$5&lt;&gt;"",--('POINTAGE'!AB20="Absent"),0),IF('POINTAGE'!$AD$5&lt;&gt;"",--('POINTAGE'!AD20="Absent"),0),IF('POINTAGE'!$AF$5&lt;&gt;"",--('POINTAGE'!AF20="Absent"),0)))</f>
      </c>
      <c r="H20" s="23">
        <f>IF($A20="","",SUM(IF('POINTAGE'!$D$5&lt;&gt;"",IF('POINTAGE'!D20="Présent",'POINTAGE'!E20,0),0),IF('POINTAGE'!$F$5&lt;&gt;"",IF('POINTAGE'!F20="Présent",'POINTAGE'!G20,0),0),IF('POINTAGE'!$H$5&lt;&gt;"",IF('POINTAGE'!H20="Présent",'POINTAGE'!I20,0),0),IF('POINTAGE'!$J$5&lt;&gt;"",IF('POINTAGE'!J20="Présent",'POINTAGE'!K20,0),0),IF('POINTAGE'!$L$5&lt;&gt;"",IF('POINTAGE'!L20="Présent",'POINTAGE'!M20,0),0),IF('POINTAGE'!$N$5&lt;&gt;"",IF('POINTAGE'!N20="Présent",'POINTAGE'!O20,0),0),IF('POINTAGE'!$P$5&lt;&gt;"",IF('POINTAGE'!P20="Présent",'POINTAGE'!Q20,0),0),IF('POINTAGE'!$R$5&lt;&gt;"",IF('POINTAGE'!R20="Présent",'POINTAGE'!S20,0),0),IF('POINTAGE'!$T$5&lt;&gt;"",IF('POINTAGE'!T20="Présent",'POINTAGE'!U20,0),0),IF('POINTAGE'!$V$5&lt;&gt;"",IF('POINTAGE'!V20="Présent",'POINTAGE'!W20,0),0),IF('POINTAGE'!$X$5&lt;&gt;"",IF('POINTAGE'!X20="Présent",'POINTAGE'!Y20,0),0),IF('POINTAGE'!$Z$5&lt;&gt;"",IF('POINTAGE'!Z20="Présent",'POINTAGE'!AA20,0),0),IF('POINTAGE'!$AB$5&lt;&gt;"",IF('POINTAGE'!AB20="Présent",'POINTAGE'!AC20,0),0),IF('POINTAGE'!$AD$5&lt;&gt;"",IF('POINTAGE'!AD20="Présent",'POINTAGE'!AE20,0),0),IF('POINTAGE'!$AF$5&lt;&gt;"",IF('POINTAGE'!AF20="Présent",'POINTAGE'!AG20,0),0)))</f>
      </c>
      <c r="I20" s="24">
        <f>IF($A20="","",$F20*$D20)</f>
      </c>
      <c r="J20" s="24">
        <f>IF($A20="","",$H20*$E20)</f>
      </c>
      <c r="K20" s="25">
        <f>IF($A20="","",$I20+$J20)</f>
      </c>
      <c r="L20" s="18"/>
      <c r="M20" s="25">
        <f>IF($A20="","",MAX(0,$K20-$L20))</f>
      </c>
      <c r="N20" s="22">
        <f>IF($A20="","",SUM(IF('POINTAGE'!$AH$5&lt;&gt;"",--('POINTAGE'!AH20="Présent"),0),IF('POINTAGE'!$AJ$5&lt;&gt;"",--('POINTAGE'!AJ20="Présent"),0),IF('POINTAGE'!$AL$5&lt;&gt;"",--('POINTAGE'!AL20="Présent"),0),IF('POINTAGE'!$AN$5&lt;&gt;"",--('POINTAGE'!AN20="Présent"),0),IF('POINTAGE'!$AP$5&lt;&gt;"",--('POINTAGE'!AP20="Présent"),0),IF('POINTAGE'!$AR$5&lt;&gt;"",--('POINTAGE'!AR20="Présent"),0),IF('POINTAGE'!$AT$5&lt;&gt;"",--('POINTAGE'!AT20="Présent"),0),IF('POINTAGE'!$AV$5&lt;&gt;"",--('POINTAGE'!AV20="Présent"),0),IF('POINTAGE'!$AX$5&lt;&gt;"",--('POINTAGE'!AX20="Présent"),0),IF('POINTAGE'!$AZ$5&lt;&gt;"",--('POINTAGE'!AZ20="Présent"),0),IF('POINTAGE'!$BB$5&lt;&gt;"",--('POINTAGE'!BB20="Présent"),0),IF('POINTAGE'!$BD$5&lt;&gt;"",--('POINTAGE'!BD20="Présent"),0),IF('POINTAGE'!$BF$5&lt;&gt;"",--('POINTAGE'!BF20="Présent"),0),IF('POINTAGE'!$BH$5&lt;&gt;"",--('POINTAGE'!BH20="Présent"),0),IF('POINTAGE'!$BJ$5&lt;&gt;"",--('POINTAGE'!BJ20="Présent"),0),IF('POINTAGE'!$BL$5&lt;&gt;"",--('POINTAGE'!BL20="Présent"),0)))</f>
      </c>
      <c r="O20" s="22">
        <f>IF($A20="","",SUM(IF('POINTAGE'!$AH$5&lt;&gt;"",--('POINTAGE'!AH20="Absent"),0),IF('POINTAGE'!$AJ$5&lt;&gt;"",--('POINTAGE'!AJ20="Absent"),0),IF('POINTAGE'!$AL$5&lt;&gt;"",--('POINTAGE'!AL20="Absent"),0),IF('POINTAGE'!$AN$5&lt;&gt;"",--('POINTAGE'!AN20="Absent"),0),IF('POINTAGE'!$AP$5&lt;&gt;"",--('POINTAGE'!AP20="Absent"),0),IF('POINTAGE'!$AR$5&lt;&gt;"",--('POINTAGE'!AR20="Absent"),0),IF('POINTAGE'!$AT$5&lt;&gt;"",--('POINTAGE'!AT20="Absent"),0),IF('POINTAGE'!$AV$5&lt;&gt;"",--('POINTAGE'!AV20="Absent"),0),IF('POINTAGE'!$AX$5&lt;&gt;"",--('POINTAGE'!AX20="Absent"),0),IF('POINTAGE'!$AZ$5&lt;&gt;"",--('POINTAGE'!AZ20="Absent"),0),IF('POINTAGE'!$BB$5&lt;&gt;"",--('POINTAGE'!BB20="Absent"),0),IF('POINTAGE'!$BD$5&lt;&gt;"",--('POINTAGE'!BD20="Absent"),0),IF('POINTAGE'!$BF$5&lt;&gt;"",--('POINTAGE'!BF20="Absent"),0),IF('POINTAGE'!$BH$5&lt;&gt;"",--('POINTAGE'!BH20="Absent"),0),IF('POINTAGE'!$BJ$5&lt;&gt;"",--('POINTAGE'!BJ20="Absent"),0),IF('POINTAGE'!$BL$5&lt;&gt;"",--('POINTAGE'!BL20="Absent"),0)))</f>
      </c>
      <c r="P20" s="23">
        <f>IF($A20="","",SUM(IF('POINTAGE'!$AH$5&lt;&gt;"",IF('POINTAGE'!AH20="Présent",'POINTAGE'!AI20,0),0),IF('POINTAGE'!$AJ$5&lt;&gt;"",IF('POINTAGE'!AJ20="Présent",'POINTAGE'!AK20,0),0),IF('POINTAGE'!$AL$5&lt;&gt;"",IF('POINTAGE'!AL20="Présent",'POINTAGE'!AM20,0),0),IF('POINTAGE'!$AN$5&lt;&gt;"",IF('POINTAGE'!AN20="Présent",'POINTAGE'!AO20,0),0),IF('POINTAGE'!$AP$5&lt;&gt;"",IF('POINTAGE'!AP20="Présent",'POINTAGE'!AQ20,0),0),IF('POINTAGE'!$AR$5&lt;&gt;"",IF('POINTAGE'!AR20="Présent",'POINTAGE'!AS20,0),0),IF('POINTAGE'!$AT$5&lt;&gt;"",IF('POINTAGE'!AT20="Présent",'POINTAGE'!AU20,0),0),IF('POINTAGE'!$AV$5&lt;&gt;"",IF('POINTAGE'!AV20="Présent",'POINTAGE'!AW20,0),0),IF('POINTAGE'!$AX$5&lt;&gt;"",IF('POINTAGE'!AX20="Présent",'POINTAGE'!AY20,0),0),IF('POINTAGE'!$AZ$5&lt;&gt;"",IF('POINTAGE'!AZ20="Présent",'POINTAGE'!BA20,0),0),IF('POINTAGE'!$BB$5&lt;&gt;"",IF('POINTAGE'!BB20="Présent",'POINTAGE'!BC20,0),0),IF('POINTAGE'!$BD$5&lt;&gt;"",IF('POINTAGE'!BD20="Présent",'POINTAGE'!BE20,0),0),IF('POINTAGE'!$BF$5&lt;&gt;"",IF('POINTAGE'!BF20="Présent",'POINTAGE'!BG20,0),0),IF('POINTAGE'!$BH$5&lt;&gt;"",IF('POINTAGE'!BH20="Présent",'POINTAGE'!BI20,0),0),IF('POINTAGE'!$BJ$5&lt;&gt;"",IF('POINTAGE'!BJ20="Présent",'POINTAGE'!BK20,0),0),IF('POINTAGE'!$BL$5&lt;&gt;"",IF('POINTAGE'!BL20="Présent",'POINTAGE'!BM20,0),0)))</f>
      </c>
      <c r="Q20" s="24">
        <f>IF($A20="","",$N20*$D20)</f>
      </c>
      <c r="R20" s="24">
        <f>IF($A20="","",$P20*$E20)</f>
      </c>
      <c r="S20" s="25">
        <f>IF($A20="","",$Q20+$R20)</f>
      </c>
      <c r="T20" s="18"/>
      <c r="U20" s="25">
        <f>IF($A20="","",MAX(0,$S20-$T20))</f>
      </c>
      <c r="V20" s="25">
        <f>IF($A20="","",$K20+$S20)</f>
      </c>
      <c r="W20" s="24">
        <f>IF($A20="","",$L20+$T20)</f>
      </c>
      <c r="X20" s="25">
        <f>IF($A20="","",$M20+$U20)</f>
      </c>
      <c r="Y20" s="29">
        <f>IF($A20="","",$J20+$R20)</f>
      </c>
    </row>
    <row r="21">
      <c r="A21" s="20">
        <f>IF('POINTAGE'!A21="","",'POINTAGE'!A21)</f>
      </c>
      <c r="B21" s="19">
        <f>IF($A21="","",'POINTAGE'!B21)</f>
      </c>
      <c r="C21" s="20">
        <f>IF($A21="","",'POINTAGE'!C21)</f>
      </c>
      <c r="D21" s="24">
        <f>IF($A21="","",IFERROR(INDEX(Categories_Salaire,MATCH($C21,ListeCategories,0)),0))</f>
      </c>
      <c r="E21" s="24">
        <f>IF($A21="","",IF(IFERROR(INDEX(Categories_TauxHS,MATCH($C21,ListeCategories,0)),0)&gt;0,IFERROR(INDEX(Categories_TauxHS,MATCH($C21,ListeCategories,0)),0),TauxHSDefaut))</f>
      </c>
      <c r="F21" s="22">
        <f>IF($A21="","",SUM(IF('POINTAGE'!$D$5&lt;&gt;"",--('POINTAGE'!D21="Présent"),0),IF('POINTAGE'!$F$5&lt;&gt;"",--('POINTAGE'!F21="Présent"),0),IF('POINTAGE'!$H$5&lt;&gt;"",--('POINTAGE'!H21="Présent"),0),IF('POINTAGE'!$J$5&lt;&gt;"",--('POINTAGE'!J21="Présent"),0),IF('POINTAGE'!$L$5&lt;&gt;"",--('POINTAGE'!L21="Présent"),0),IF('POINTAGE'!$N$5&lt;&gt;"",--('POINTAGE'!N21="Présent"),0),IF('POINTAGE'!$P$5&lt;&gt;"",--('POINTAGE'!P21="Présent"),0),IF('POINTAGE'!$R$5&lt;&gt;"",--('POINTAGE'!R21="Présent"),0),IF('POINTAGE'!$T$5&lt;&gt;"",--('POINTAGE'!T21="Présent"),0),IF('POINTAGE'!$V$5&lt;&gt;"",--('POINTAGE'!V21="Présent"),0),IF('POINTAGE'!$X$5&lt;&gt;"",--('POINTAGE'!X21="Présent"),0),IF('POINTAGE'!$Z$5&lt;&gt;"",--('POINTAGE'!Z21="Présent"),0),IF('POINTAGE'!$AB$5&lt;&gt;"",--('POINTAGE'!AB21="Présent"),0),IF('POINTAGE'!$AD$5&lt;&gt;"",--('POINTAGE'!AD21="Présent"),0),IF('POINTAGE'!$AF$5&lt;&gt;"",--('POINTAGE'!AF21="Présent"),0)))</f>
      </c>
      <c r="G21" s="22">
        <f>IF($A21="","",SUM(IF('POINTAGE'!$D$5&lt;&gt;"",--('POINTAGE'!D21="Absent"),0),IF('POINTAGE'!$F$5&lt;&gt;"",--('POINTAGE'!F21="Absent"),0),IF('POINTAGE'!$H$5&lt;&gt;"",--('POINTAGE'!H21="Absent"),0),IF('POINTAGE'!$J$5&lt;&gt;"",--('POINTAGE'!J21="Absent"),0),IF('POINTAGE'!$L$5&lt;&gt;"",--('POINTAGE'!L21="Absent"),0),IF('POINTAGE'!$N$5&lt;&gt;"",--('POINTAGE'!N21="Absent"),0),IF('POINTAGE'!$P$5&lt;&gt;"",--('POINTAGE'!P21="Absent"),0),IF('POINTAGE'!$R$5&lt;&gt;"",--('POINTAGE'!R21="Absent"),0),IF('POINTAGE'!$T$5&lt;&gt;"",--('POINTAGE'!T21="Absent"),0),IF('POINTAGE'!$V$5&lt;&gt;"",--('POINTAGE'!V21="Absent"),0),IF('POINTAGE'!$X$5&lt;&gt;"",--('POINTAGE'!X21="Absent"),0),IF('POINTAGE'!$Z$5&lt;&gt;"",--('POINTAGE'!Z21="Absent"),0),IF('POINTAGE'!$AB$5&lt;&gt;"",--('POINTAGE'!AB21="Absent"),0),IF('POINTAGE'!$AD$5&lt;&gt;"",--('POINTAGE'!AD21="Absent"),0),IF('POINTAGE'!$AF$5&lt;&gt;"",--('POINTAGE'!AF21="Absent"),0)))</f>
      </c>
      <c r="H21" s="23">
        <f>IF($A21="","",SUM(IF('POINTAGE'!$D$5&lt;&gt;"",IF('POINTAGE'!D21="Présent",'POINTAGE'!E21,0),0),IF('POINTAGE'!$F$5&lt;&gt;"",IF('POINTAGE'!F21="Présent",'POINTAGE'!G21,0),0),IF('POINTAGE'!$H$5&lt;&gt;"",IF('POINTAGE'!H21="Présent",'POINTAGE'!I21,0),0),IF('POINTAGE'!$J$5&lt;&gt;"",IF('POINTAGE'!J21="Présent",'POINTAGE'!K21,0),0),IF('POINTAGE'!$L$5&lt;&gt;"",IF('POINTAGE'!L21="Présent",'POINTAGE'!M21,0),0),IF('POINTAGE'!$N$5&lt;&gt;"",IF('POINTAGE'!N21="Présent",'POINTAGE'!O21,0),0),IF('POINTAGE'!$P$5&lt;&gt;"",IF('POINTAGE'!P21="Présent",'POINTAGE'!Q21,0),0),IF('POINTAGE'!$R$5&lt;&gt;"",IF('POINTAGE'!R21="Présent",'POINTAGE'!S21,0),0),IF('POINTAGE'!$T$5&lt;&gt;"",IF('POINTAGE'!T21="Présent",'POINTAGE'!U21,0),0),IF('POINTAGE'!$V$5&lt;&gt;"",IF('POINTAGE'!V21="Présent",'POINTAGE'!W21,0),0),IF('POINTAGE'!$X$5&lt;&gt;"",IF('POINTAGE'!X21="Présent",'POINTAGE'!Y21,0),0),IF('POINTAGE'!$Z$5&lt;&gt;"",IF('POINTAGE'!Z21="Présent",'POINTAGE'!AA21,0),0),IF('POINTAGE'!$AB$5&lt;&gt;"",IF('POINTAGE'!AB21="Présent",'POINTAGE'!AC21,0),0),IF('POINTAGE'!$AD$5&lt;&gt;"",IF('POINTAGE'!AD21="Présent",'POINTAGE'!AE21,0),0),IF('POINTAGE'!$AF$5&lt;&gt;"",IF('POINTAGE'!AF21="Présent",'POINTAGE'!AG21,0),0)))</f>
      </c>
      <c r="I21" s="24">
        <f>IF($A21="","",$F21*$D21)</f>
      </c>
      <c r="J21" s="24">
        <f>IF($A21="","",$H21*$E21)</f>
      </c>
      <c r="K21" s="25">
        <f>IF($A21="","",$I21+$J21)</f>
      </c>
      <c r="L21" s="18"/>
      <c r="M21" s="25">
        <f>IF($A21="","",MAX(0,$K21-$L21))</f>
      </c>
      <c r="N21" s="22">
        <f>IF($A21="","",SUM(IF('POINTAGE'!$AH$5&lt;&gt;"",--('POINTAGE'!AH21="Présent"),0),IF('POINTAGE'!$AJ$5&lt;&gt;"",--('POINTAGE'!AJ21="Présent"),0),IF('POINTAGE'!$AL$5&lt;&gt;"",--('POINTAGE'!AL21="Présent"),0),IF('POINTAGE'!$AN$5&lt;&gt;"",--('POINTAGE'!AN21="Présent"),0),IF('POINTAGE'!$AP$5&lt;&gt;"",--('POINTAGE'!AP21="Présent"),0),IF('POINTAGE'!$AR$5&lt;&gt;"",--('POINTAGE'!AR21="Présent"),0),IF('POINTAGE'!$AT$5&lt;&gt;"",--('POINTAGE'!AT21="Présent"),0),IF('POINTAGE'!$AV$5&lt;&gt;"",--('POINTAGE'!AV21="Présent"),0),IF('POINTAGE'!$AX$5&lt;&gt;"",--('POINTAGE'!AX21="Présent"),0),IF('POINTAGE'!$AZ$5&lt;&gt;"",--('POINTAGE'!AZ21="Présent"),0),IF('POINTAGE'!$BB$5&lt;&gt;"",--('POINTAGE'!BB21="Présent"),0),IF('POINTAGE'!$BD$5&lt;&gt;"",--('POINTAGE'!BD21="Présent"),0),IF('POINTAGE'!$BF$5&lt;&gt;"",--('POINTAGE'!BF21="Présent"),0),IF('POINTAGE'!$BH$5&lt;&gt;"",--('POINTAGE'!BH21="Présent"),0),IF('POINTAGE'!$BJ$5&lt;&gt;"",--('POINTAGE'!BJ21="Présent"),0),IF('POINTAGE'!$BL$5&lt;&gt;"",--('POINTAGE'!BL21="Présent"),0)))</f>
      </c>
      <c r="O21" s="22">
        <f>IF($A21="","",SUM(IF('POINTAGE'!$AH$5&lt;&gt;"",--('POINTAGE'!AH21="Absent"),0),IF('POINTAGE'!$AJ$5&lt;&gt;"",--('POINTAGE'!AJ21="Absent"),0),IF('POINTAGE'!$AL$5&lt;&gt;"",--('POINTAGE'!AL21="Absent"),0),IF('POINTAGE'!$AN$5&lt;&gt;"",--('POINTAGE'!AN21="Absent"),0),IF('POINTAGE'!$AP$5&lt;&gt;"",--('POINTAGE'!AP21="Absent"),0),IF('POINTAGE'!$AR$5&lt;&gt;"",--('POINTAGE'!AR21="Absent"),0),IF('POINTAGE'!$AT$5&lt;&gt;"",--('POINTAGE'!AT21="Absent"),0),IF('POINTAGE'!$AV$5&lt;&gt;"",--('POINTAGE'!AV21="Absent"),0),IF('POINTAGE'!$AX$5&lt;&gt;"",--('POINTAGE'!AX21="Absent"),0),IF('POINTAGE'!$AZ$5&lt;&gt;"",--('POINTAGE'!AZ21="Absent"),0),IF('POINTAGE'!$BB$5&lt;&gt;"",--('POINTAGE'!BB21="Absent"),0),IF('POINTAGE'!$BD$5&lt;&gt;"",--('POINTAGE'!BD21="Absent"),0),IF('POINTAGE'!$BF$5&lt;&gt;"",--('POINTAGE'!BF21="Absent"),0),IF('POINTAGE'!$BH$5&lt;&gt;"",--('POINTAGE'!BH21="Absent"),0),IF('POINTAGE'!$BJ$5&lt;&gt;"",--('POINTAGE'!BJ21="Absent"),0),IF('POINTAGE'!$BL$5&lt;&gt;"",--('POINTAGE'!BL21="Absent"),0)))</f>
      </c>
      <c r="P21" s="23">
        <f>IF($A21="","",SUM(IF('POINTAGE'!$AH$5&lt;&gt;"",IF('POINTAGE'!AH21="Présent",'POINTAGE'!AI21,0),0),IF('POINTAGE'!$AJ$5&lt;&gt;"",IF('POINTAGE'!AJ21="Présent",'POINTAGE'!AK21,0),0),IF('POINTAGE'!$AL$5&lt;&gt;"",IF('POINTAGE'!AL21="Présent",'POINTAGE'!AM21,0),0),IF('POINTAGE'!$AN$5&lt;&gt;"",IF('POINTAGE'!AN21="Présent",'POINTAGE'!AO21,0),0),IF('POINTAGE'!$AP$5&lt;&gt;"",IF('POINTAGE'!AP21="Présent",'POINTAGE'!AQ21,0),0),IF('POINTAGE'!$AR$5&lt;&gt;"",IF('POINTAGE'!AR21="Présent",'POINTAGE'!AS21,0),0),IF('POINTAGE'!$AT$5&lt;&gt;"",IF('POINTAGE'!AT21="Présent",'POINTAGE'!AU21,0),0),IF('POINTAGE'!$AV$5&lt;&gt;"",IF('POINTAGE'!AV21="Présent",'POINTAGE'!AW21,0),0),IF('POINTAGE'!$AX$5&lt;&gt;"",IF('POINTAGE'!AX21="Présent",'POINTAGE'!AY21,0),0),IF('POINTAGE'!$AZ$5&lt;&gt;"",IF('POINTAGE'!AZ21="Présent",'POINTAGE'!BA21,0),0),IF('POINTAGE'!$BB$5&lt;&gt;"",IF('POINTAGE'!BB21="Présent",'POINTAGE'!BC21,0),0),IF('POINTAGE'!$BD$5&lt;&gt;"",IF('POINTAGE'!BD21="Présent",'POINTAGE'!BE21,0),0),IF('POINTAGE'!$BF$5&lt;&gt;"",IF('POINTAGE'!BF21="Présent",'POINTAGE'!BG21,0),0),IF('POINTAGE'!$BH$5&lt;&gt;"",IF('POINTAGE'!BH21="Présent",'POINTAGE'!BI21,0),0),IF('POINTAGE'!$BJ$5&lt;&gt;"",IF('POINTAGE'!BJ21="Présent",'POINTAGE'!BK21,0),0),IF('POINTAGE'!$BL$5&lt;&gt;"",IF('POINTAGE'!BL21="Présent",'POINTAGE'!BM21,0),0)))</f>
      </c>
      <c r="Q21" s="24">
        <f>IF($A21="","",$N21*$D21)</f>
      </c>
      <c r="R21" s="24">
        <f>IF($A21="","",$P21*$E21)</f>
      </c>
      <c r="S21" s="25">
        <f>IF($A21="","",$Q21+$R21)</f>
      </c>
      <c r="T21" s="18"/>
      <c r="U21" s="25">
        <f>IF($A21="","",MAX(0,$S21-$T21))</f>
      </c>
      <c r="V21" s="25">
        <f>IF($A21="","",$K21+$S21)</f>
      </c>
      <c r="W21" s="24">
        <f>IF($A21="","",$L21+$T21)</f>
      </c>
      <c r="X21" s="25">
        <f>IF($A21="","",$M21+$U21)</f>
      </c>
      <c r="Y21" s="29">
        <f>IF($A21="","",$J21+$R21)</f>
      </c>
    </row>
    <row r="22">
      <c r="A22" s="20">
        <f>IF('POINTAGE'!A22="","",'POINTAGE'!A22)</f>
      </c>
      <c r="B22" s="19">
        <f>IF($A22="","",'POINTAGE'!B22)</f>
      </c>
      <c r="C22" s="20">
        <f>IF($A22="","",'POINTAGE'!C22)</f>
      </c>
      <c r="D22" s="24">
        <f>IF($A22="","",IFERROR(INDEX(Categories_Salaire,MATCH($C22,ListeCategories,0)),0))</f>
      </c>
      <c r="E22" s="24">
        <f>IF($A22="","",IF(IFERROR(INDEX(Categories_TauxHS,MATCH($C22,ListeCategories,0)),0)&gt;0,IFERROR(INDEX(Categories_TauxHS,MATCH($C22,ListeCategories,0)),0),TauxHSDefaut))</f>
      </c>
      <c r="F22" s="22">
        <f>IF($A22="","",SUM(IF('POINTAGE'!$D$5&lt;&gt;"",--('POINTAGE'!D22="Présent"),0),IF('POINTAGE'!$F$5&lt;&gt;"",--('POINTAGE'!F22="Présent"),0),IF('POINTAGE'!$H$5&lt;&gt;"",--('POINTAGE'!H22="Présent"),0),IF('POINTAGE'!$J$5&lt;&gt;"",--('POINTAGE'!J22="Présent"),0),IF('POINTAGE'!$L$5&lt;&gt;"",--('POINTAGE'!L22="Présent"),0),IF('POINTAGE'!$N$5&lt;&gt;"",--('POINTAGE'!N22="Présent"),0),IF('POINTAGE'!$P$5&lt;&gt;"",--('POINTAGE'!P22="Présent"),0),IF('POINTAGE'!$R$5&lt;&gt;"",--('POINTAGE'!R22="Présent"),0),IF('POINTAGE'!$T$5&lt;&gt;"",--('POINTAGE'!T22="Présent"),0),IF('POINTAGE'!$V$5&lt;&gt;"",--('POINTAGE'!V22="Présent"),0),IF('POINTAGE'!$X$5&lt;&gt;"",--('POINTAGE'!X22="Présent"),0),IF('POINTAGE'!$Z$5&lt;&gt;"",--('POINTAGE'!Z22="Présent"),0),IF('POINTAGE'!$AB$5&lt;&gt;"",--('POINTAGE'!AB22="Présent"),0),IF('POINTAGE'!$AD$5&lt;&gt;"",--('POINTAGE'!AD22="Présent"),0),IF('POINTAGE'!$AF$5&lt;&gt;"",--('POINTAGE'!AF22="Présent"),0)))</f>
      </c>
      <c r="G22" s="22">
        <f>IF($A22="","",SUM(IF('POINTAGE'!$D$5&lt;&gt;"",--('POINTAGE'!D22="Absent"),0),IF('POINTAGE'!$F$5&lt;&gt;"",--('POINTAGE'!F22="Absent"),0),IF('POINTAGE'!$H$5&lt;&gt;"",--('POINTAGE'!H22="Absent"),0),IF('POINTAGE'!$J$5&lt;&gt;"",--('POINTAGE'!J22="Absent"),0),IF('POINTAGE'!$L$5&lt;&gt;"",--('POINTAGE'!L22="Absent"),0),IF('POINTAGE'!$N$5&lt;&gt;"",--('POINTAGE'!N22="Absent"),0),IF('POINTAGE'!$P$5&lt;&gt;"",--('POINTAGE'!P22="Absent"),0),IF('POINTAGE'!$R$5&lt;&gt;"",--('POINTAGE'!R22="Absent"),0),IF('POINTAGE'!$T$5&lt;&gt;"",--('POINTAGE'!T22="Absent"),0),IF('POINTAGE'!$V$5&lt;&gt;"",--('POINTAGE'!V22="Absent"),0),IF('POINTAGE'!$X$5&lt;&gt;"",--('POINTAGE'!X22="Absent"),0),IF('POINTAGE'!$Z$5&lt;&gt;"",--('POINTAGE'!Z22="Absent"),0),IF('POINTAGE'!$AB$5&lt;&gt;"",--('POINTAGE'!AB22="Absent"),0),IF('POINTAGE'!$AD$5&lt;&gt;"",--('POINTAGE'!AD22="Absent"),0),IF('POINTAGE'!$AF$5&lt;&gt;"",--('POINTAGE'!AF22="Absent"),0)))</f>
      </c>
      <c r="H22" s="23">
        <f>IF($A22="","",SUM(IF('POINTAGE'!$D$5&lt;&gt;"",IF('POINTAGE'!D22="Présent",'POINTAGE'!E22,0),0),IF('POINTAGE'!$F$5&lt;&gt;"",IF('POINTAGE'!F22="Présent",'POINTAGE'!G22,0),0),IF('POINTAGE'!$H$5&lt;&gt;"",IF('POINTAGE'!H22="Présent",'POINTAGE'!I22,0),0),IF('POINTAGE'!$J$5&lt;&gt;"",IF('POINTAGE'!J22="Présent",'POINTAGE'!K22,0),0),IF('POINTAGE'!$L$5&lt;&gt;"",IF('POINTAGE'!L22="Présent",'POINTAGE'!M22,0),0),IF('POINTAGE'!$N$5&lt;&gt;"",IF('POINTAGE'!N22="Présent",'POINTAGE'!O22,0),0),IF('POINTAGE'!$P$5&lt;&gt;"",IF('POINTAGE'!P22="Présent",'POINTAGE'!Q22,0),0),IF('POINTAGE'!$R$5&lt;&gt;"",IF('POINTAGE'!R22="Présent",'POINTAGE'!S22,0),0),IF('POINTAGE'!$T$5&lt;&gt;"",IF('POINTAGE'!T22="Présent",'POINTAGE'!U22,0),0),IF('POINTAGE'!$V$5&lt;&gt;"",IF('POINTAGE'!V22="Présent",'POINTAGE'!W22,0),0),IF('POINTAGE'!$X$5&lt;&gt;"",IF('POINTAGE'!X22="Présent",'POINTAGE'!Y22,0),0),IF('POINTAGE'!$Z$5&lt;&gt;"",IF('POINTAGE'!Z22="Présent",'POINTAGE'!AA22,0),0),IF('POINTAGE'!$AB$5&lt;&gt;"",IF('POINTAGE'!AB22="Présent",'POINTAGE'!AC22,0),0),IF('POINTAGE'!$AD$5&lt;&gt;"",IF('POINTAGE'!AD22="Présent",'POINTAGE'!AE22,0),0),IF('POINTAGE'!$AF$5&lt;&gt;"",IF('POINTAGE'!AF22="Présent",'POINTAGE'!AG22,0),0)))</f>
      </c>
      <c r="I22" s="24">
        <f>IF($A22="","",$F22*$D22)</f>
      </c>
      <c r="J22" s="24">
        <f>IF($A22="","",$H22*$E22)</f>
      </c>
      <c r="K22" s="25">
        <f>IF($A22="","",$I22+$J22)</f>
      </c>
      <c r="L22" s="18"/>
      <c r="M22" s="25">
        <f>IF($A22="","",MAX(0,$K22-$L22))</f>
      </c>
      <c r="N22" s="22">
        <f>IF($A22="","",SUM(IF('POINTAGE'!$AH$5&lt;&gt;"",--('POINTAGE'!AH22="Présent"),0),IF('POINTAGE'!$AJ$5&lt;&gt;"",--('POINTAGE'!AJ22="Présent"),0),IF('POINTAGE'!$AL$5&lt;&gt;"",--('POINTAGE'!AL22="Présent"),0),IF('POINTAGE'!$AN$5&lt;&gt;"",--('POINTAGE'!AN22="Présent"),0),IF('POINTAGE'!$AP$5&lt;&gt;"",--('POINTAGE'!AP22="Présent"),0),IF('POINTAGE'!$AR$5&lt;&gt;"",--('POINTAGE'!AR22="Présent"),0),IF('POINTAGE'!$AT$5&lt;&gt;"",--('POINTAGE'!AT22="Présent"),0),IF('POINTAGE'!$AV$5&lt;&gt;"",--('POINTAGE'!AV22="Présent"),0),IF('POINTAGE'!$AX$5&lt;&gt;"",--('POINTAGE'!AX22="Présent"),0),IF('POINTAGE'!$AZ$5&lt;&gt;"",--('POINTAGE'!AZ22="Présent"),0),IF('POINTAGE'!$BB$5&lt;&gt;"",--('POINTAGE'!BB22="Présent"),0),IF('POINTAGE'!$BD$5&lt;&gt;"",--('POINTAGE'!BD22="Présent"),0),IF('POINTAGE'!$BF$5&lt;&gt;"",--('POINTAGE'!BF22="Présent"),0),IF('POINTAGE'!$BH$5&lt;&gt;"",--('POINTAGE'!BH22="Présent"),0),IF('POINTAGE'!$BJ$5&lt;&gt;"",--('POINTAGE'!BJ22="Présent"),0),IF('POINTAGE'!$BL$5&lt;&gt;"",--('POINTAGE'!BL22="Présent"),0)))</f>
      </c>
      <c r="O22" s="22">
        <f>IF($A22="","",SUM(IF('POINTAGE'!$AH$5&lt;&gt;"",--('POINTAGE'!AH22="Absent"),0),IF('POINTAGE'!$AJ$5&lt;&gt;"",--('POINTAGE'!AJ22="Absent"),0),IF('POINTAGE'!$AL$5&lt;&gt;"",--('POINTAGE'!AL22="Absent"),0),IF('POINTAGE'!$AN$5&lt;&gt;"",--('POINTAGE'!AN22="Absent"),0),IF('POINTAGE'!$AP$5&lt;&gt;"",--('POINTAGE'!AP22="Absent"),0),IF('POINTAGE'!$AR$5&lt;&gt;"",--('POINTAGE'!AR22="Absent"),0),IF('POINTAGE'!$AT$5&lt;&gt;"",--('POINTAGE'!AT22="Absent"),0),IF('POINTAGE'!$AV$5&lt;&gt;"",--('POINTAGE'!AV22="Absent"),0),IF('POINTAGE'!$AX$5&lt;&gt;"",--('POINTAGE'!AX22="Absent"),0),IF('POINTAGE'!$AZ$5&lt;&gt;"",--('POINTAGE'!AZ22="Absent"),0),IF('POINTAGE'!$BB$5&lt;&gt;"",--('POINTAGE'!BB22="Absent"),0),IF('POINTAGE'!$BD$5&lt;&gt;"",--('POINTAGE'!BD22="Absent"),0),IF('POINTAGE'!$BF$5&lt;&gt;"",--('POINTAGE'!BF22="Absent"),0),IF('POINTAGE'!$BH$5&lt;&gt;"",--('POINTAGE'!BH22="Absent"),0),IF('POINTAGE'!$BJ$5&lt;&gt;"",--('POINTAGE'!BJ22="Absent"),0),IF('POINTAGE'!$BL$5&lt;&gt;"",--('POINTAGE'!BL22="Absent"),0)))</f>
      </c>
      <c r="P22" s="23">
        <f>IF($A22="","",SUM(IF('POINTAGE'!$AH$5&lt;&gt;"",IF('POINTAGE'!AH22="Présent",'POINTAGE'!AI22,0),0),IF('POINTAGE'!$AJ$5&lt;&gt;"",IF('POINTAGE'!AJ22="Présent",'POINTAGE'!AK22,0),0),IF('POINTAGE'!$AL$5&lt;&gt;"",IF('POINTAGE'!AL22="Présent",'POINTAGE'!AM22,0),0),IF('POINTAGE'!$AN$5&lt;&gt;"",IF('POINTAGE'!AN22="Présent",'POINTAGE'!AO22,0),0),IF('POINTAGE'!$AP$5&lt;&gt;"",IF('POINTAGE'!AP22="Présent",'POINTAGE'!AQ22,0),0),IF('POINTAGE'!$AR$5&lt;&gt;"",IF('POINTAGE'!AR22="Présent",'POINTAGE'!AS22,0),0),IF('POINTAGE'!$AT$5&lt;&gt;"",IF('POINTAGE'!AT22="Présent",'POINTAGE'!AU22,0),0),IF('POINTAGE'!$AV$5&lt;&gt;"",IF('POINTAGE'!AV22="Présent",'POINTAGE'!AW22,0),0),IF('POINTAGE'!$AX$5&lt;&gt;"",IF('POINTAGE'!AX22="Présent",'POINTAGE'!AY22,0),0),IF('POINTAGE'!$AZ$5&lt;&gt;"",IF('POINTAGE'!AZ22="Présent",'POINTAGE'!BA22,0),0),IF('POINTAGE'!$BB$5&lt;&gt;"",IF('POINTAGE'!BB22="Présent",'POINTAGE'!BC22,0),0),IF('POINTAGE'!$BD$5&lt;&gt;"",IF('POINTAGE'!BD22="Présent",'POINTAGE'!BE22,0),0),IF('POINTAGE'!$BF$5&lt;&gt;"",IF('POINTAGE'!BF22="Présent",'POINTAGE'!BG22,0),0),IF('POINTAGE'!$BH$5&lt;&gt;"",IF('POINTAGE'!BH22="Présent",'POINTAGE'!BI22,0),0),IF('POINTAGE'!$BJ$5&lt;&gt;"",IF('POINTAGE'!BJ22="Présent",'POINTAGE'!BK22,0),0),IF('POINTAGE'!$BL$5&lt;&gt;"",IF('POINTAGE'!BL22="Présent",'POINTAGE'!BM22,0),0)))</f>
      </c>
      <c r="Q22" s="24">
        <f>IF($A22="","",$N22*$D22)</f>
      </c>
      <c r="R22" s="24">
        <f>IF($A22="","",$P22*$E22)</f>
      </c>
      <c r="S22" s="25">
        <f>IF($A22="","",$Q22+$R22)</f>
      </c>
      <c r="T22" s="18"/>
      <c r="U22" s="25">
        <f>IF($A22="","",MAX(0,$S22-$T22))</f>
      </c>
      <c r="V22" s="25">
        <f>IF($A22="","",$K22+$S22)</f>
      </c>
      <c r="W22" s="24">
        <f>IF($A22="","",$L22+$T22)</f>
      </c>
      <c r="X22" s="25">
        <f>IF($A22="","",$M22+$U22)</f>
      </c>
      <c r="Y22" s="29">
        <f>IF($A22="","",$J22+$R22)</f>
      </c>
    </row>
    <row r="23">
      <c r="A23" s="20">
        <f>IF('POINTAGE'!A23="","",'POINTAGE'!A23)</f>
      </c>
      <c r="B23" s="19">
        <f>IF($A23="","",'POINTAGE'!B23)</f>
      </c>
      <c r="C23" s="20">
        <f>IF($A23="","",'POINTAGE'!C23)</f>
      </c>
      <c r="D23" s="24">
        <f>IF($A23="","",IFERROR(INDEX(Categories_Salaire,MATCH($C23,ListeCategories,0)),0))</f>
      </c>
      <c r="E23" s="24">
        <f>IF($A23="","",IF(IFERROR(INDEX(Categories_TauxHS,MATCH($C23,ListeCategories,0)),0)&gt;0,IFERROR(INDEX(Categories_TauxHS,MATCH($C23,ListeCategories,0)),0),TauxHSDefaut))</f>
      </c>
      <c r="F23" s="22">
        <f>IF($A23="","",SUM(IF('POINTAGE'!$D$5&lt;&gt;"",--('POINTAGE'!D23="Présent"),0),IF('POINTAGE'!$F$5&lt;&gt;"",--('POINTAGE'!F23="Présent"),0),IF('POINTAGE'!$H$5&lt;&gt;"",--('POINTAGE'!H23="Présent"),0),IF('POINTAGE'!$J$5&lt;&gt;"",--('POINTAGE'!J23="Présent"),0),IF('POINTAGE'!$L$5&lt;&gt;"",--('POINTAGE'!L23="Présent"),0),IF('POINTAGE'!$N$5&lt;&gt;"",--('POINTAGE'!N23="Présent"),0),IF('POINTAGE'!$P$5&lt;&gt;"",--('POINTAGE'!P23="Présent"),0),IF('POINTAGE'!$R$5&lt;&gt;"",--('POINTAGE'!R23="Présent"),0),IF('POINTAGE'!$T$5&lt;&gt;"",--('POINTAGE'!T23="Présent"),0),IF('POINTAGE'!$V$5&lt;&gt;"",--('POINTAGE'!V23="Présent"),0),IF('POINTAGE'!$X$5&lt;&gt;"",--('POINTAGE'!X23="Présent"),0),IF('POINTAGE'!$Z$5&lt;&gt;"",--('POINTAGE'!Z23="Présent"),0),IF('POINTAGE'!$AB$5&lt;&gt;"",--('POINTAGE'!AB23="Présent"),0),IF('POINTAGE'!$AD$5&lt;&gt;"",--('POINTAGE'!AD23="Présent"),0),IF('POINTAGE'!$AF$5&lt;&gt;"",--('POINTAGE'!AF23="Présent"),0)))</f>
      </c>
      <c r="G23" s="22">
        <f>IF($A23="","",SUM(IF('POINTAGE'!$D$5&lt;&gt;"",--('POINTAGE'!D23="Absent"),0),IF('POINTAGE'!$F$5&lt;&gt;"",--('POINTAGE'!F23="Absent"),0),IF('POINTAGE'!$H$5&lt;&gt;"",--('POINTAGE'!H23="Absent"),0),IF('POINTAGE'!$J$5&lt;&gt;"",--('POINTAGE'!J23="Absent"),0),IF('POINTAGE'!$L$5&lt;&gt;"",--('POINTAGE'!L23="Absent"),0),IF('POINTAGE'!$N$5&lt;&gt;"",--('POINTAGE'!N23="Absent"),0),IF('POINTAGE'!$P$5&lt;&gt;"",--('POINTAGE'!P23="Absent"),0),IF('POINTAGE'!$R$5&lt;&gt;"",--('POINTAGE'!R23="Absent"),0),IF('POINTAGE'!$T$5&lt;&gt;"",--('POINTAGE'!T23="Absent"),0),IF('POINTAGE'!$V$5&lt;&gt;"",--('POINTAGE'!V23="Absent"),0),IF('POINTAGE'!$X$5&lt;&gt;"",--('POINTAGE'!X23="Absent"),0),IF('POINTAGE'!$Z$5&lt;&gt;"",--('POINTAGE'!Z23="Absent"),0),IF('POINTAGE'!$AB$5&lt;&gt;"",--('POINTAGE'!AB23="Absent"),0),IF('POINTAGE'!$AD$5&lt;&gt;"",--('POINTAGE'!AD23="Absent"),0),IF('POINTAGE'!$AF$5&lt;&gt;"",--('POINTAGE'!AF23="Absent"),0)))</f>
      </c>
      <c r="H23" s="23">
        <f>IF($A23="","",SUM(IF('POINTAGE'!$D$5&lt;&gt;"",IF('POINTAGE'!D23="Présent",'POINTAGE'!E23,0),0),IF('POINTAGE'!$F$5&lt;&gt;"",IF('POINTAGE'!F23="Présent",'POINTAGE'!G23,0),0),IF('POINTAGE'!$H$5&lt;&gt;"",IF('POINTAGE'!H23="Présent",'POINTAGE'!I23,0),0),IF('POINTAGE'!$J$5&lt;&gt;"",IF('POINTAGE'!J23="Présent",'POINTAGE'!K23,0),0),IF('POINTAGE'!$L$5&lt;&gt;"",IF('POINTAGE'!L23="Présent",'POINTAGE'!M23,0),0),IF('POINTAGE'!$N$5&lt;&gt;"",IF('POINTAGE'!N23="Présent",'POINTAGE'!O23,0),0),IF('POINTAGE'!$P$5&lt;&gt;"",IF('POINTAGE'!P23="Présent",'POINTAGE'!Q23,0),0),IF('POINTAGE'!$R$5&lt;&gt;"",IF('POINTAGE'!R23="Présent",'POINTAGE'!S23,0),0),IF('POINTAGE'!$T$5&lt;&gt;"",IF('POINTAGE'!T23="Présent",'POINTAGE'!U23,0),0),IF('POINTAGE'!$V$5&lt;&gt;"",IF('POINTAGE'!V23="Présent",'POINTAGE'!W23,0),0),IF('POINTAGE'!$X$5&lt;&gt;"",IF('POINTAGE'!X23="Présent",'POINTAGE'!Y23,0),0),IF('POINTAGE'!$Z$5&lt;&gt;"",IF('POINTAGE'!Z23="Présent",'POINTAGE'!AA23,0),0),IF('POINTAGE'!$AB$5&lt;&gt;"",IF('POINTAGE'!AB23="Présent",'POINTAGE'!AC23,0),0),IF('POINTAGE'!$AD$5&lt;&gt;"",IF('POINTAGE'!AD23="Présent",'POINTAGE'!AE23,0),0),IF('POINTAGE'!$AF$5&lt;&gt;"",IF('POINTAGE'!AF23="Présent",'POINTAGE'!AG23,0),0)))</f>
      </c>
      <c r="I23" s="24">
        <f>IF($A23="","",$F23*$D23)</f>
      </c>
      <c r="J23" s="24">
        <f>IF($A23="","",$H23*$E23)</f>
      </c>
      <c r="K23" s="25">
        <f>IF($A23="","",$I23+$J23)</f>
      </c>
      <c r="L23" s="18"/>
      <c r="M23" s="25">
        <f>IF($A23="","",MAX(0,$K23-$L23))</f>
      </c>
      <c r="N23" s="22">
        <f>IF($A23="","",SUM(IF('POINTAGE'!$AH$5&lt;&gt;"",--('POINTAGE'!AH23="Présent"),0),IF('POINTAGE'!$AJ$5&lt;&gt;"",--('POINTAGE'!AJ23="Présent"),0),IF('POINTAGE'!$AL$5&lt;&gt;"",--('POINTAGE'!AL23="Présent"),0),IF('POINTAGE'!$AN$5&lt;&gt;"",--('POINTAGE'!AN23="Présent"),0),IF('POINTAGE'!$AP$5&lt;&gt;"",--('POINTAGE'!AP23="Présent"),0),IF('POINTAGE'!$AR$5&lt;&gt;"",--('POINTAGE'!AR23="Présent"),0),IF('POINTAGE'!$AT$5&lt;&gt;"",--('POINTAGE'!AT23="Présent"),0),IF('POINTAGE'!$AV$5&lt;&gt;"",--('POINTAGE'!AV23="Présent"),0),IF('POINTAGE'!$AX$5&lt;&gt;"",--('POINTAGE'!AX23="Présent"),0),IF('POINTAGE'!$AZ$5&lt;&gt;"",--('POINTAGE'!AZ23="Présent"),0),IF('POINTAGE'!$BB$5&lt;&gt;"",--('POINTAGE'!BB23="Présent"),0),IF('POINTAGE'!$BD$5&lt;&gt;"",--('POINTAGE'!BD23="Présent"),0),IF('POINTAGE'!$BF$5&lt;&gt;"",--('POINTAGE'!BF23="Présent"),0),IF('POINTAGE'!$BH$5&lt;&gt;"",--('POINTAGE'!BH23="Présent"),0),IF('POINTAGE'!$BJ$5&lt;&gt;"",--('POINTAGE'!BJ23="Présent"),0),IF('POINTAGE'!$BL$5&lt;&gt;"",--('POINTAGE'!BL23="Présent"),0)))</f>
      </c>
      <c r="O23" s="22">
        <f>IF($A23="","",SUM(IF('POINTAGE'!$AH$5&lt;&gt;"",--('POINTAGE'!AH23="Absent"),0),IF('POINTAGE'!$AJ$5&lt;&gt;"",--('POINTAGE'!AJ23="Absent"),0),IF('POINTAGE'!$AL$5&lt;&gt;"",--('POINTAGE'!AL23="Absent"),0),IF('POINTAGE'!$AN$5&lt;&gt;"",--('POINTAGE'!AN23="Absent"),0),IF('POINTAGE'!$AP$5&lt;&gt;"",--('POINTAGE'!AP23="Absent"),0),IF('POINTAGE'!$AR$5&lt;&gt;"",--('POINTAGE'!AR23="Absent"),0),IF('POINTAGE'!$AT$5&lt;&gt;"",--('POINTAGE'!AT23="Absent"),0),IF('POINTAGE'!$AV$5&lt;&gt;"",--('POINTAGE'!AV23="Absent"),0),IF('POINTAGE'!$AX$5&lt;&gt;"",--('POINTAGE'!AX23="Absent"),0),IF('POINTAGE'!$AZ$5&lt;&gt;"",--('POINTAGE'!AZ23="Absent"),0),IF('POINTAGE'!$BB$5&lt;&gt;"",--('POINTAGE'!BB23="Absent"),0),IF('POINTAGE'!$BD$5&lt;&gt;"",--('POINTAGE'!BD23="Absent"),0),IF('POINTAGE'!$BF$5&lt;&gt;"",--('POINTAGE'!BF23="Absent"),0),IF('POINTAGE'!$BH$5&lt;&gt;"",--('POINTAGE'!BH23="Absent"),0),IF('POINTAGE'!$BJ$5&lt;&gt;"",--('POINTAGE'!BJ23="Absent"),0),IF('POINTAGE'!$BL$5&lt;&gt;"",--('POINTAGE'!BL23="Absent"),0)))</f>
      </c>
      <c r="P23" s="23">
        <f>IF($A23="","",SUM(IF('POINTAGE'!$AH$5&lt;&gt;"",IF('POINTAGE'!AH23="Présent",'POINTAGE'!AI23,0),0),IF('POINTAGE'!$AJ$5&lt;&gt;"",IF('POINTAGE'!AJ23="Présent",'POINTAGE'!AK23,0),0),IF('POINTAGE'!$AL$5&lt;&gt;"",IF('POINTAGE'!AL23="Présent",'POINTAGE'!AM23,0),0),IF('POINTAGE'!$AN$5&lt;&gt;"",IF('POINTAGE'!AN23="Présent",'POINTAGE'!AO23,0),0),IF('POINTAGE'!$AP$5&lt;&gt;"",IF('POINTAGE'!AP23="Présent",'POINTAGE'!AQ23,0),0),IF('POINTAGE'!$AR$5&lt;&gt;"",IF('POINTAGE'!AR23="Présent",'POINTAGE'!AS23,0),0),IF('POINTAGE'!$AT$5&lt;&gt;"",IF('POINTAGE'!AT23="Présent",'POINTAGE'!AU23,0),0),IF('POINTAGE'!$AV$5&lt;&gt;"",IF('POINTAGE'!AV23="Présent",'POINTAGE'!AW23,0),0),IF('POINTAGE'!$AX$5&lt;&gt;"",IF('POINTAGE'!AX23="Présent",'POINTAGE'!AY23,0),0),IF('POINTAGE'!$AZ$5&lt;&gt;"",IF('POINTAGE'!AZ23="Présent",'POINTAGE'!BA23,0),0),IF('POINTAGE'!$BB$5&lt;&gt;"",IF('POINTAGE'!BB23="Présent",'POINTAGE'!BC23,0),0),IF('POINTAGE'!$BD$5&lt;&gt;"",IF('POINTAGE'!BD23="Présent",'POINTAGE'!BE23,0),0),IF('POINTAGE'!$BF$5&lt;&gt;"",IF('POINTAGE'!BF23="Présent",'POINTAGE'!BG23,0),0),IF('POINTAGE'!$BH$5&lt;&gt;"",IF('POINTAGE'!BH23="Présent",'POINTAGE'!BI23,0),0),IF('POINTAGE'!$BJ$5&lt;&gt;"",IF('POINTAGE'!BJ23="Présent",'POINTAGE'!BK23,0),0),IF('POINTAGE'!$BL$5&lt;&gt;"",IF('POINTAGE'!BL23="Présent",'POINTAGE'!BM23,0),0)))</f>
      </c>
      <c r="Q23" s="24">
        <f>IF($A23="","",$N23*$D23)</f>
      </c>
      <c r="R23" s="24">
        <f>IF($A23="","",$P23*$E23)</f>
      </c>
      <c r="S23" s="25">
        <f>IF($A23="","",$Q23+$R23)</f>
      </c>
      <c r="T23" s="18"/>
      <c r="U23" s="25">
        <f>IF($A23="","",MAX(0,$S23-$T23))</f>
      </c>
      <c r="V23" s="25">
        <f>IF($A23="","",$K23+$S23)</f>
      </c>
      <c r="W23" s="24">
        <f>IF($A23="","",$L23+$T23)</f>
      </c>
      <c r="X23" s="25">
        <f>IF($A23="","",$M23+$U23)</f>
      </c>
      <c r="Y23" s="29">
        <f>IF($A23="","",$J23+$R23)</f>
      </c>
    </row>
    <row r="24">
      <c r="A24" s="20">
        <f>IF('POINTAGE'!A24="","",'POINTAGE'!A24)</f>
      </c>
      <c r="B24" s="19">
        <f>IF($A24="","",'POINTAGE'!B24)</f>
      </c>
      <c r="C24" s="20">
        <f>IF($A24="","",'POINTAGE'!C24)</f>
      </c>
      <c r="D24" s="24">
        <f>IF($A24="","",IFERROR(INDEX(Categories_Salaire,MATCH($C24,ListeCategories,0)),0))</f>
      </c>
      <c r="E24" s="24">
        <f>IF($A24="","",IF(IFERROR(INDEX(Categories_TauxHS,MATCH($C24,ListeCategories,0)),0)&gt;0,IFERROR(INDEX(Categories_TauxHS,MATCH($C24,ListeCategories,0)),0),TauxHSDefaut))</f>
      </c>
      <c r="F24" s="22">
        <f>IF($A24="","",SUM(IF('POINTAGE'!$D$5&lt;&gt;"",--('POINTAGE'!D24="Présent"),0),IF('POINTAGE'!$F$5&lt;&gt;"",--('POINTAGE'!F24="Présent"),0),IF('POINTAGE'!$H$5&lt;&gt;"",--('POINTAGE'!H24="Présent"),0),IF('POINTAGE'!$J$5&lt;&gt;"",--('POINTAGE'!J24="Présent"),0),IF('POINTAGE'!$L$5&lt;&gt;"",--('POINTAGE'!L24="Présent"),0),IF('POINTAGE'!$N$5&lt;&gt;"",--('POINTAGE'!N24="Présent"),0),IF('POINTAGE'!$P$5&lt;&gt;"",--('POINTAGE'!P24="Présent"),0),IF('POINTAGE'!$R$5&lt;&gt;"",--('POINTAGE'!R24="Présent"),0),IF('POINTAGE'!$T$5&lt;&gt;"",--('POINTAGE'!T24="Présent"),0),IF('POINTAGE'!$V$5&lt;&gt;"",--('POINTAGE'!V24="Présent"),0),IF('POINTAGE'!$X$5&lt;&gt;"",--('POINTAGE'!X24="Présent"),0),IF('POINTAGE'!$Z$5&lt;&gt;"",--('POINTAGE'!Z24="Présent"),0),IF('POINTAGE'!$AB$5&lt;&gt;"",--('POINTAGE'!AB24="Présent"),0),IF('POINTAGE'!$AD$5&lt;&gt;"",--('POINTAGE'!AD24="Présent"),0),IF('POINTAGE'!$AF$5&lt;&gt;"",--('POINTAGE'!AF24="Présent"),0)))</f>
      </c>
      <c r="G24" s="22">
        <f>IF($A24="","",SUM(IF('POINTAGE'!$D$5&lt;&gt;"",--('POINTAGE'!D24="Absent"),0),IF('POINTAGE'!$F$5&lt;&gt;"",--('POINTAGE'!F24="Absent"),0),IF('POINTAGE'!$H$5&lt;&gt;"",--('POINTAGE'!H24="Absent"),0),IF('POINTAGE'!$J$5&lt;&gt;"",--('POINTAGE'!J24="Absent"),0),IF('POINTAGE'!$L$5&lt;&gt;"",--('POINTAGE'!L24="Absent"),0),IF('POINTAGE'!$N$5&lt;&gt;"",--('POINTAGE'!N24="Absent"),0),IF('POINTAGE'!$P$5&lt;&gt;"",--('POINTAGE'!P24="Absent"),0),IF('POINTAGE'!$R$5&lt;&gt;"",--('POINTAGE'!R24="Absent"),0),IF('POINTAGE'!$T$5&lt;&gt;"",--('POINTAGE'!T24="Absent"),0),IF('POINTAGE'!$V$5&lt;&gt;"",--('POINTAGE'!V24="Absent"),0),IF('POINTAGE'!$X$5&lt;&gt;"",--('POINTAGE'!X24="Absent"),0),IF('POINTAGE'!$Z$5&lt;&gt;"",--('POINTAGE'!Z24="Absent"),0),IF('POINTAGE'!$AB$5&lt;&gt;"",--('POINTAGE'!AB24="Absent"),0),IF('POINTAGE'!$AD$5&lt;&gt;"",--('POINTAGE'!AD24="Absent"),0),IF('POINTAGE'!$AF$5&lt;&gt;"",--('POINTAGE'!AF24="Absent"),0)))</f>
      </c>
      <c r="H24" s="23">
        <f>IF($A24="","",SUM(IF('POINTAGE'!$D$5&lt;&gt;"",IF('POINTAGE'!D24="Présent",'POINTAGE'!E24,0),0),IF('POINTAGE'!$F$5&lt;&gt;"",IF('POINTAGE'!F24="Présent",'POINTAGE'!G24,0),0),IF('POINTAGE'!$H$5&lt;&gt;"",IF('POINTAGE'!H24="Présent",'POINTAGE'!I24,0),0),IF('POINTAGE'!$J$5&lt;&gt;"",IF('POINTAGE'!J24="Présent",'POINTAGE'!K24,0),0),IF('POINTAGE'!$L$5&lt;&gt;"",IF('POINTAGE'!L24="Présent",'POINTAGE'!M24,0),0),IF('POINTAGE'!$N$5&lt;&gt;"",IF('POINTAGE'!N24="Présent",'POINTAGE'!O24,0),0),IF('POINTAGE'!$P$5&lt;&gt;"",IF('POINTAGE'!P24="Présent",'POINTAGE'!Q24,0),0),IF('POINTAGE'!$R$5&lt;&gt;"",IF('POINTAGE'!R24="Présent",'POINTAGE'!S24,0),0),IF('POINTAGE'!$T$5&lt;&gt;"",IF('POINTAGE'!T24="Présent",'POINTAGE'!U24,0),0),IF('POINTAGE'!$V$5&lt;&gt;"",IF('POINTAGE'!V24="Présent",'POINTAGE'!W24,0),0),IF('POINTAGE'!$X$5&lt;&gt;"",IF('POINTAGE'!X24="Présent",'POINTAGE'!Y24,0),0),IF('POINTAGE'!$Z$5&lt;&gt;"",IF('POINTAGE'!Z24="Présent",'POINTAGE'!AA24,0),0),IF('POINTAGE'!$AB$5&lt;&gt;"",IF('POINTAGE'!AB24="Présent",'POINTAGE'!AC24,0),0),IF('POINTAGE'!$AD$5&lt;&gt;"",IF('POINTAGE'!AD24="Présent",'POINTAGE'!AE24,0),0),IF('POINTAGE'!$AF$5&lt;&gt;"",IF('POINTAGE'!AF24="Présent",'POINTAGE'!AG24,0),0)))</f>
      </c>
      <c r="I24" s="24">
        <f>IF($A24="","",$F24*$D24)</f>
      </c>
      <c r="J24" s="24">
        <f>IF($A24="","",$H24*$E24)</f>
      </c>
      <c r="K24" s="25">
        <f>IF($A24="","",$I24+$J24)</f>
      </c>
      <c r="L24" s="18"/>
      <c r="M24" s="25">
        <f>IF($A24="","",MAX(0,$K24-$L24))</f>
      </c>
      <c r="N24" s="22">
        <f>IF($A24="","",SUM(IF('POINTAGE'!$AH$5&lt;&gt;"",--('POINTAGE'!AH24="Présent"),0),IF('POINTAGE'!$AJ$5&lt;&gt;"",--('POINTAGE'!AJ24="Présent"),0),IF('POINTAGE'!$AL$5&lt;&gt;"",--('POINTAGE'!AL24="Présent"),0),IF('POINTAGE'!$AN$5&lt;&gt;"",--('POINTAGE'!AN24="Présent"),0),IF('POINTAGE'!$AP$5&lt;&gt;"",--('POINTAGE'!AP24="Présent"),0),IF('POINTAGE'!$AR$5&lt;&gt;"",--('POINTAGE'!AR24="Présent"),0),IF('POINTAGE'!$AT$5&lt;&gt;"",--('POINTAGE'!AT24="Présent"),0),IF('POINTAGE'!$AV$5&lt;&gt;"",--('POINTAGE'!AV24="Présent"),0),IF('POINTAGE'!$AX$5&lt;&gt;"",--('POINTAGE'!AX24="Présent"),0),IF('POINTAGE'!$AZ$5&lt;&gt;"",--('POINTAGE'!AZ24="Présent"),0),IF('POINTAGE'!$BB$5&lt;&gt;"",--('POINTAGE'!BB24="Présent"),0),IF('POINTAGE'!$BD$5&lt;&gt;"",--('POINTAGE'!BD24="Présent"),0),IF('POINTAGE'!$BF$5&lt;&gt;"",--('POINTAGE'!BF24="Présent"),0),IF('POINTAGE'!$BH$5&lt;&gt;"",--('POINTAGE'!BH24="Présent"),0),IF('POINTAGE'!$BJ$5&lt;&gt;"",--('POINTAGE'!BJ24="Présent"),0),IF('POINTAGE'!$BL$5&lt;&gt;"",--('POINTAGE'!BL24="Présent"),0)))</f>
      </c>
      <c r="O24" s="22">
        <f>IF($A24="","",SUM(IF('POINTAGE'!$AH$5&lt;&gt;"",--('POINTAGE'!AH24="Absent"),0),IF('POINTAGE'!$AJ$5&lt;&gt;"",--('POINTAGE'!AJ24="Absent"),0),IF('POINTAGE'!$AL$5&lt;&gt;"",--('POINTAGE'!AL24="Absent"),0),IF('POINTAGE'!$AN$5&lt;&gt;"",--('POINTAGE'!AN24="Absent"),0),IF('POINTAGE'!$AP$5&lt;&gt;"",--('POINTAGE'!AP24="Absent"),0),IF('POINTAGE'!$AR$5&lt;&gt;"",--('POINTAGE'!AR24="Absent"),0),IF('POINTAGE'!$AT$5&lt;&gt;"",--('POINTAGE'!AT24="Absent"),0),IF('POINTAGE'!$AV$5&lt;&gt;"",--('POINTAGE'!AV24="Absent"),0),IF('POINTAGE'!$AX$5&lt;&gt;"",--('POINTAGE'!AX24="Absent"),0),IF('POINTAGE'!$AZ$5&lt;&gt;"",--('POINTAGE'!AZ24="Absent"),0),IF('POINTAGE'!$BB$5&lt;&gt;"",--('POINTAGE'!BB24="Absent"),0),IF('POINTAGE'!$BD$5&lt;&gt;"",--('POINTAGE'!BD24="Absent"),0),IF('POINTAGE'!$BF$5&lt;&gt;"",--('POINTAGE'!BF24="Absent"),0),IF('POINTAGE'!$BH$5&lt;&gt;"",--('POINTAGE'!BH24="Absent"),0),IF('POINTAGE'!$BJ$5&lt;&gt;"",--('POINTAGE'!BJ24="Absent"),0),IF('POINTAGE'!$BL$5&lt;&gt;"",--('POINTAGE'!BL24="Absent"),0)))</f>
      </c>
      <c r="P24" s="23">
        <f>IF($A24="","",SUM(IF('POINTAGE'!$AH$5&lt;&gt;"",IF('POINTAGE'!AH24="Présent",'POINTAGE'!AI24,0),0),IF('POINTAGE'!$AJ$5&lt;&gt;"",IF('POINTAGE'!AJ24="Présent",'POINTAGE'!AK24,0),0),IF('POINTAGE'!$AL$5&lt;&gt;"",IF('POINTAGE'!AL24="Présent",'POINTAGE'!AM24,0),0),IF('POINTAGE'!$AN$5&lt;&gt;"",IF('POINTAGE'!AN24="Présent",'POINTAGE'!AO24,0),0),IF('POINTAGE'!$AP$5&lt;&gt;"",IF('POINTAGE'!AP24="Présent",'POINTAGE'!AQ24,0),0),IF('POINTAGE'!$AR$5&lt;&gt;"",IF('POINTAGE'!AR24="Présent",'POINTAGE'!AS24,0),0),IF('POINTAGE'!$AT$5&lt;&gt;"",IF('POINTAGE'!AT24="Présent",'POINTAGE'!AU24,0),0),IF('POINTAGE'!$AV$5&lt;&gt;"",IF('POINTAGE'!AV24="Présent",'POINTAGE'!AW24,0),0),IF('POINTAGE'!$AX$5&lt;&gt;"",IF('POINTAGE'!AX24="Présent",'POINTAGE'!AY24,0),0),IF('POINTAGE'!$AZ$5&lt;&gt;"",IF('POINTAGE'!AZ24="Présent",'POINTAGE'!BA24,0),0),IF('POINTAGE'!$BB$5&lt;&gt;"",IF('POINTAGE'!BB24="Présent",'POINTAGE'!BC24,0),0),IF('POINTAGE'!$BD$5&lt;&gt;"",IF('POINTAGE'!BD24="Présent",'POINTAGE'!BE24,0),0),IF('POINTAGE'!$BF$5&lt;&gt;"",IF('POINTAGE'!BF24="Présent",'POINTAGE'!BG24,0),0),IF('POINTAGE'!$BH$5&lt;&gt;"",IF('POINTAGE'!BH24="Présent",'POINTAGE'!BI24,0),0),IF('POINTAGE'!$BJ$5&lt;&gt;"",IF('POINTAGE'!BJ24="Présent",'POINTAGE'!BK24,0),0),IF('POINTAGE'!$BL$5&lt;&gt;"",IF('POINTAGE'!BL24="Présent",'POINTAGE'!BM24,0),0)))</f>
      </c>
      <c r="Q24" s="24">
        <f>IF($A24="","",$N24*$D24)</f>
      </c>
      <c r="R24" s="24">
        <f>IF($A24="","",$P24*$E24)</f>
      </c>
      <c r="S24" s="25">
        <f>IF($A24="","",$Q24+$R24)</f>
      </c>
      <c r="T24" s="18"/>
      <c r="U24" s="25">
        <f>IF($A24="","",MAX(0,$S24-$T24))</f>
      </c>
      <c r="V24" s="25">
        <f>IF($A24="","",$K24+$S24)</f>
      </c>
      <c r="W24" s="24">
        <f>IF($A24="","",$L24+$T24)</f>
      </c>
      <c r="X24" s="25">
        <f>IF($A24="","",$M24+$U24)</f>
      </c>
      <c r="Y24" s="29">
        <f>IF($A24="","",$J24+$R24)</f>
      </c>
    </row>
    <row r="25">
      <c r="A25" s="20">
        <f>IF('POINTAGE'!A25="","",'POINTAGE'!A25)</f>
      </c>
      <c r="B25" s="19">
        <f>IF($A25="","",'POINTAGE'!B25)</f>
      </c>
      <c r="C25" s="20">
        <f>IF($A25="","",'POINTAGE'!C25)</f>
      </c>
      <c r="D25" s="24">
        <f>IF($A25="","",IFERROR(INDEX(Categories_Salaire,MATCH($C25,ListeCategories,0)),0))</f>
      </c>
      <c r="E25" s="24">
        <f>IF($A25="","",IF(IFERROR(INDEX(Categories_TauxHS,MATCH($C25,ListeCategories,0)),0)&gt;0,IFERROR(INDEX(Categories_TauxHS,MATCH($C25,ListeCategories,0)),0),TauxHSDefaut))</f>
      </c>
      <c r="F25" s="22">
        <f>IF($A25="","",SUM(IF('POINTAGE'!$D$5&lt;&gt;"",--('POINTAGE'!D25="Présent"),0),IF('POINTAGE'!$F$5&lt;&gt;"",--('POINTAGE'!F25="Présent"),0),IF('POINTAGE'!$H$5&lt;&gt;"",--('POINTAGE'!H25="Présent"),0),IF('POINTAGE'!$J$5&lt;&gt;"",--('POINTAGE'!J25="Présent"),0),IF('POINTAGE'!$L$5&lt;&gt;"",--('POINTAGE'!L25="Présent"),0),IF('POINTAGE'!$N$5&lt;&gt;"",--('POINTAGE'!N25="Présent"),0),IF('POINTAGE'!$P$5&lt;&gt;"",--('POINTAGE'!P25="Présent"),0),IF('POINTAGE'!$R$5&lt;&gt;"",--('POINTAGE'!R25="Présent"),0),IF('POINTAGE'!$T$5&lt;&gt;"",--('POINTAGE'!T25="Présent"),0),IF('POINTAGE'!$V$5&lt;&gt;"",--('POINTAGE'!V25="Présent"),0),IF('POINTAGE'!$X$5&lt;&gt;"",--('POINTAGE'!X25="Présent"),0),IF('POINTAGE'!$Z$5&lt;&gt;"",--('POINTAGE'!Z25="Présent"),0),IF('POINTAGE'!$AB$5&lt;&gt;"",--('POINTAGE'!AB25="Présent"),0),IF('POINTAGE'!$AD$5&lt;&gt;"",--('POINTAGE'!AD25="Présent"),0),IF('POINTAGE'!$AF$5&lt;&gt;"",--('POINTAGE'!AF25="Présent"),0)))</f>
      </c>
      <c r="G25" s="22">
        <f>IF($A25="","",SUM(IF('POINTAGE'!$D$5&lt;&gt;"",--('POINTAGE'!D25="Absent"),0),IF('POINTAGE'!$F$5&lt;&gt;"",--('POINTAGE'!F25="Absent"),0),IF('POINTAGE'!$H$5&lt;&gt;"",--('POINTAGE'!H25="Absent"),0),IF('POINTAGE'!$J$5&lt;&gt;"",--('POINTAGE'!J25="Absent"),0),IF('POINTAGE'!$L$5&lt;&gt;"",--('POINTAGE'!L25="Absent"),0),IF('POINTAGE'!$N$5&lt;&gt;"",--('POINTAGE'!N25="Absent"),0),IF('POINTAGE'!$P$5&lt;&gt;"",--('POINTAGE'!P25="Absent"),0),IF('POINTAGE'!$R$5&lt;&gt;"",--('POINTAGE'!R25="Absent"),0),IF('POINTAGE'!$T$5&lt;&gt;"",--('POINTAGE'!T25="Absent"),0),IF('POINTAGE'!$V$5&lt;&gt;"",--('POINTAGE'!V25="Absent"),0),IF('POINTAGE'!$X$5&lt;&gt;"",--('POINTAGE'!X25="Absent"),0),IF('POINTAGE'!$Z$5&lt;&gt;"",--('POINTAGE'!Z25="Absent"),0),IF('POINTAGE'!$AB$5&lt;&gt;"",--('POINTAGE'!AB25="Absent"),0),IF('POINTAGE'!$AD$5&lt;&gt;"",--('POINTAGE'!AD25="Absent"),0),IF('POINTAGE'!$AF$5&lt;&gt;"",--('POINTAGE'!AF25="Absent"),0)))</f>
      </c>
      <c r="H25" s="23">
        <f>IF($A25="","",SUM(IF('POINTAGE'!$D$5&lt;&gt;"",IF('POINTAGE'!D25="Présent",'POINTAGE'!E25,0),0),IF('POINTAGE'!$F$5&lt;&gt;"",IF('POINTAGE'!F25="Présent",'POINTAGE'!G25,0),0),IF('POINTAGE'!$H$5&lt;&gt;"",IF('POINTAGE'!H25="Présent",'POINTAGE'!I25,0),0),IF('POINTAGE'!$J$5&lt;&gt;"",IF('POINTAGE'!J25="Présent",'POINTAGE'!K25,0),0),IF('POINTAGE'!$L$5&lt;&gt;"",IF('POINTAGE'!L25="Présent",'POINTAGE'!M25,0),0),IF('POINTAGE'!$N$5&lt;&gt;"",IF('POINTAGE'!N25="Présent",'POINTAGE'!O25,0),0),IF('POINTAGE'!$P$5&lt;&gt;"",IF('POINTAGE'!P25="Présent",'POINTAGE'!Q25,0),0),IF('POINTAGE'!$R$5&lt;&gt;"",IF('POINTAGE'!R25="Présent",'POINTAGE'!S25,0),0),IF('POINTAGE'!$T$5&lt;&gt;"",IF('POINTAGE'!T25="Présent",'POINTAGE'!U25,0),0),IF('POINTAGE'!$V$5&lt;&gt;"",IF('POINTAGE'!V25="Présent",'POINTAGE'!W25,0),0),IF('POINTAGE'!$X$5&lt;&gt;"",IF('POINTAGE'!X25="Présent",'POINTAGE'!Y25,0),0),IF('POINTAGE'!$Z$5&lt;&gt;"",IF('POINTAGE'!Z25="Présent",'POINTAGE'!AA25,0),0),IF('POINTAGE'!$AB$5&lt;&gt;"",IF('POINTAGE'!AB25="Présent",'POINTAGE'!AC25,0),0),IF('POINTAGE'!$AD$5&lt;&gt;"",IF('POINTAGE'!AD25="Présent",'POINTAGE'!AE25,0),0),IF('POINTAGE'!$AF$5&lt;&gt;"",IF('POINTAGE'!AF25="Présent",'POINTAGE'!AG25,0),0)))</f>
      </c>
      <c r="I25" s="24">
        <f>IF($A25="","",$F25*$D25)</f>
      </c>
      <c r="J25" s="24">
        <f>IF($A25="","",$H25*$E25)</f>
      </c>
      <c r="K25" s="25">
        <f>IF($A25="","",$I25+$J25)</f>
      </c>
      <c r="L25" s="18"/>
      <c r="M25" s="25">
        <f>IF($A25="","",MAX(0,$K25-$L25))</f>
      </c>
      <c r="N25" s="22">
        <f>IF($A25="","",SUM(IF('POINTAGE'!$AH$5&lt;&gt;"",--('POINTAGE'!AH25="Présent"),0),IF('POINTAGE'!$AJ$5&lt;&gt;"",--('POINTAGE'!AJ25="Présent"),0),IF('POINTAGE'!$AL$5&lt;&gt;"",--('POINTAGE'!AL25="Présent"),0),IF('POINTAGE'!$AN$5&lt;&gt;"",--('POINTAGE'!AN25="Présent"),0),IF('POINTAGE'!$AP$5&lt;&gt;"",--('POINTAGE'!AP25="Présent"),0),IF('POINTAGE'!$AR$5&lt;&gt;"",--('POINTAGE'!AR25="Présent"),0),IF('POINTAGE'!$AT$5&lt;&gt;"",--('POINTAGE'!AT25="Présent"),0),IF('POINTAGE'!$AV$5&lt;&gt;"",--('POINTAGE'!AV25="Présent"),0),IF('POINTAGE'!$AX$5&lt;&gt;"",--('POINTAGE'!AX25="Présent"),0),IF('POINTAGE'!$AZ$5&lt;&gt;"",--('POINTAGE'!AZ25="Présent"),0),IF('POINTAGE'!$BB$5&lt;&gt;"",--('POINTAGE'!BB25="Présent"),0),IF('POINTAGE'!$BD$5&lt;&gt;"",--('POINTAGE'!BD25="Présent"),0),IF('POINTAGE'!$BF$5&lt;&gt;"",--('POINTAGE'!BF25="Présent"),0),IF('POINTAGE'!$BH$5&lt;&gt;"",--('POINTAGE'!BH25="Présent"),0),IF('POINTAGE'!$BJ$5&lt;&gt;"",--('POINTAGE'!BJ25="Présent"),0),IF('POINTAGE'!$BL$5&lt;&gt;"",--('POINTAGE'!BL25="Présent"),0)))</f>
      </c>
      <c r="O25" s="22">
        <f>IF($A25="","",SUM(IF('POINTAGE'!$AH$5&lt;&gt;"",--('POINTAGE'!AH25="Absent"),0),IF('POINTAGE'!$AJ$5&lt;&gt;"",--('POINTAGE'!AJ25="Absent"),0),IF('POINTAGE'!$AL$5&lt;&gt;"",--('POINTAGE'!AL25="Absent"),0),IF('POINTAGE'!$AN$5&lt;&gt;"",--('POINTAGE'!AN25="Absent"),0),IF('POINTAGE'!$AP$5&lt;&gt;"",--('POINTAGE'!AP25="Absent"),0),IF('POINTAGE'!$AR$5&lt;&gt;"",--('POINTAGE'!AR25="Absent"),0),IF('POINTAGE'!$AT$5&lt;&gt;"",--('POINTAGE'!AT25="Absent"),0),IF('POINTAGE'!$AV$5&lt;&gt;"",--('POINTAGE'!AV25="Absent"),0),IF('POINTAGE'!$AX$5&lt;&gt;"",--('POINTAGE'!AX25="Absent"),0),IF('POINTAGE'!$AZ$5&lt;&gt;"",--('POINTAGE'!AZ25="Absent"),0),IF('POINTAGE'!$BB$5&lt;&gt;"",--('POINTAGE'!BB25="Absent"),0),IF('POINTAGE'!$BD$5&lt;&gt;"",--('POINTAGE'!BD25="Absent"),0),IF('POINTAGE'!$BF$5&lt;&gt;"",--('POINTAGE'!BF25="Absent"),0),IF('POINTAGE'!$BH$5&lt;&gt;"",--('POINTAGE'!BH25="Absent"),0),IF('POINTAGE'!$BJ$5&lt;&gt;"",--('POINTAGE'!BJ25="Absent"),0),IF('POINTAGE'!$BL$5&lt;&gt;"",--('POINTAGE'!BL25="Absent"),0)))</f>
      </c>
      <c r="P25" s="23">
        <f>IF($A25="","",SUM(IF('POINTAGE'!$AH$5&lt;&gt;"",IF('POINTAGE'!AH25="Présent",'POINTAGE'!AI25,0),0),IF('POINTAGE'!$AJ$5&lt;&gt;"",IF('POINTAGE'!AJ25="Présent",'POINTAGE'!AK25,0),0),IF('POINTAGE'!$AL$5&lt;&gt;"",IF('POINTAGE'!AL25="Présent",'POINTAGE'!AM25,0),0),IF('POINTAGE'!$AN$5&lt;&gt;"",IF('POINTAGE'!AN25="Présent",'POINTAGE'!AO25,0),0),IF('POINTAGE'!$AP$5&lt;&gt;"",IF('POINTAGE'!AP25="Présent",'POINTAGE'!AQ25,0),0),IF('POINTAGE'!$AR$5&lt;&gt;"",IF('POINTAGE'!AR25="Présent",'POINTAGE'!AS25,0),0),IF('POINTAGE'!$AT$5&lt;&gt;"",IF('POINTAGE'!AT25="Présent",'POINTAGE'!AU25,0),0),IF('POINTAGE'!$AV$5&lt;&gt;"",IF('POINTAGE'!AV25="Présent",'POINTAGE'!AW25,0),0),IF('POINTAGE'!$AX$5&lt;&gt;"",IF('POINTAGE'!AX25="Présent",'POINTAGE'!AY25,0),0),IF('POINTAGE'!$AZ$5&lt;&gt;"",IF('POINTAGE'!AZ25="Présent",'POINTAGE'!BA25,0),0),IF('POINTAGE'!$BB$5&lt;&gt;"",IF('POINTAGE'!BB25="Présent",'POINTAGE'!BC25,0),0),IF('POINTAGE'!$BD$5&lt;&gt;"",IF('POINTAGE'!BD25="Présent",'POINTAGE'!BE25,0),0),IF('POINTAGE'!$BF$5&lt;&gt;"",IF('POINTAGE'!BF25="Présent",'POINTAGE'!BG25,0),0),IF('POINTAGE'!$BH$5&lt;&gt;"",IF('POINTAGE'!BH25="Présent",'POINTAGE'!BI25,0),0),IF('POINTAGE'!$BJ$5&lt;&gt;"",IF('POINTAGE'!BJ25="Présent",'POINTAGE'!BK25,0),0),IF('POINTAGE'!$BL$5&lt;&gt;"",IF('POINTAGE'!BL25="Présent",'POINTAGE'!BM25,0),0)))</f>
      </c>
      <c r="Q25" s="24">
        <f>IF($A25="","",$N25*$D25)</f>
      </c>
      <c r="R25" s="24">
        <f>IF($A25="","",$P25*$E25)</f>
      </c>
      <c r="S25" s="25">
        <f>IF($A25="","",$Q25+$R25)</f>
      </c>
      <c r="T25" s="18"/>
      <c r="U25" s="25">
        <f>IF($A25="","",MAX(0,$S25-$T25))</f>
      </c>
      <c r="V25" s="25">
        <f>IF($A25="","",$K25+$S25)</f>
      </c>
      <c r="W25" s="24">
        <f>IF($A25="","",$L25+$T25)</f>
      </c>
      <c r="X25" s="25">
        <f>IF($A25="","",$M25+$U25)</f>
      </c>
      <c r="Y25" s="29">
        <f>IF($A25="","",$J25+$R25)</f>
      </c>
    </row>
    <row r="26">
      <c r="A26" s="20">
        <f>IF('POINTAGE'!A26="","",'POINTAGE'!A26)</f>
      </c>
      <c r="B26" s="19">
        <f>IF($A26="","",'POINTAGE'!B26)</f>
      </c>
      <c r="C26" s="20">
        <f>IF($A26="","",'POINTAGE'!C26)</f>
      </c>
      <c r="D26" s="24">
        <f>IF($A26="","",IFERROR(INDEX(Categories_Salaire,MATCH($C26,ListeCategories,0)),0))</f>
      </c>
      <c r="E26" s="24">
        <f>IF($A26="","",IF(IFERROR(INDEX(Categories_TauxHS,MATCH($C26,ListeCategories,0)),0)&gt;0,IFERROR(INDEX(Categories_TauxHS,MATCH($C26,ListeCategories,0)),0),TauxHSDefaut))</f>
      </c>
      <c r="F26" s="22">
        <f>IF($A26="","",SUM(IF('POINTAGE'!$D$5&lt;&gt;"",--('POINTAGE'!D26="Présent"),0),IF('POINTAGE'!$F$5&lt;&gt;"",--('POINTAGE'!F26="Présent"),0),IF('POINTAGE'!$H$5&lt;&gt;"",--('POINTAGE'!H26="Présent"),0),IF('POINTAGE'!$J$5&lt;&gt;"",--('POINTAGE'!J26="Présent"),0),IF('POINTAGE'!$L$5&lt;&gt;"",--('POINTAGE'!L26="Présent"),0),IF('POINTAGE'!$N$5&lt;&gt;"",--('POINTAGE'!N26="Présent"),0),IF('POINTAGE'!$P$5&lt;&gt;"",--('POINTAGE'!P26="Présent"),0),IF('POINTAGE'!$R$5&lt;&gt;"",--('POINTAGE'!R26="Présent"),0),IF('POINTAGE'!$T$5&lt;&gt;"",--('POINTAGE'!T26="Présent"),0),IF('POINTAGE'!$V$5&lt;&gt;"",--('POINTAGE'!V26="Présent"),0),IF('POINTAGE'!$X$5&lt;&gt;"",--('POINTAGE'!X26="Présent"),0),IF('POINTAGE'!$Z$5&lt;&gt;"",--('POINTAGE'!Z26="Présent"),0),IF('POINTAGE'!$AB$5&lt;&gt;"",--('POINTAGE'!AB26="Présent"),0),IF('POINTAGE'!$AD$5&lt;&gt;"",--('POINTAGE'!AD26="Présent"),0),IF('POINTAGE'!$AF$5&lt;&gt;"",--('POINTAGE'!AF26="Présent"),0)))</f>
      </c>
      <c r="G26" s="22">
        <f>IF($A26="","",SUM(IF('POINTAGE'!$D$5&lt;&gt;"",--('POINTAGE'!D26="Absent"),0),IF('POINTAGE'!$F$5&lt;&gt;"",--('POINTAGE'!F26="Absent"),0),IF('POINTAGE'!$H$5&lt;&gt;"",--('POINTAGE'!H26="Absent"),0),IF('POINTAGE'!$J$5&lt;&gt;"",--('POINTAGE'!J26="Absent"),0),IF('POINTAGE'!$L$5&lt;&gt;"",--('POINTAGE'!L26="Absent"),0),IF('POINTAGE'!$N$5&lt;&gt;"",--('POINTAGE'!N26="Absent"),0),IF('POINTAGE'!$P$5&lt;&gt;"",--('POINTAGE'!P26="Absent"),0),IF('POINTAGE'!$R$5&lt;&gt;"",--('POINTAGE'!R26="Absent"),0),IF('POINTAGE'!$T$5&lt;&gt;"",--('POINTAGE'!T26="Absent"),0),IF('POINTAGE'!$V$5&lt;&gt;"",--('POINTAGE'!V26="Absent"),0),IF('POINTAGE'!$X$5&lt;&gt;"",--('POINTAGE'!X26="Absent"),0),IF('POINTAGE'!$Z$5&lt;&gt;"",--('POINTAGE'!Z26="Absent"),0),IF('POINTAGE'!$AB$5&lt;&gt;"",--('POINTAGE'!AB26="Absent"),0),IF('POINTAGE'!$AD$5&lt;&gt;"",--('POINTAGE'!AD26="Absent"),0),IF('POINTAGE'!$AF$5&lt;&gt;"",--('POINTAGE'!AF26="Absent"),0)))</f>
      </c>
      <c r="H26" s="23">
        <f>IF($A26="","",SUM(IF('POINTAGE'!$D$5&lt;&gt;"",IF('POINTAGE'!D26="Présent",'POINTAGE'!E26,0),0),IF('POINTAGE'!$F$5&lt;&gt;"",IF('POINTAGE'!F26="Présent",'POINTAGE'!G26,0),0),IF('POINTAGE'!$H$5&lt;&gt;"",IF('POINTAGE'!H26="Présent",'POINTAGE'!I26,0),0),IF('POINTAGE'!$J$5&lt;&gt;"",IF('POINTAGE'!J26="Présent",'POINTAGE'!K26,0),0),IF('POINTAGE'!$L$5&lt;&gt;"",IF('POINTAGE'!L26="Présent",'POINTAGE'!M26,0),0),IF('POINTAGE'!$N$5&lt;&gt;"",IF('POINTAGE'!N26="Présent",'POINTAGE'!O26,0),0),IF('POINTAGE'!$P$5&lt;&gt;"",IF('POINTAGE'!P26="Présent",'POINTAGE'!Q26,0),0),IF('POINTAGE'!$R$5&lt;&gt;"",IF('POINTAGE'!R26="Présent",'POINTAGE'!S26,0),0),IF('POINTAGE'!$T$5&lt;&gt;"",IF('POINTAGE'!T26="Présent",'POINTAGE'!U26,0),0),IF('POINTAGE'!$V$5&lt;&gt;"",IF('POINTAGE'!V26="Présent",'POINTAGE'!W26,0),0),IF('POINTAGE'!$X$5&lt;&gt;"",IF('POINTAGE'!X26="Présent",'POINTAGE'!Y26,0),0),IF('POINTAGE'!$Z$5&lt;&gt;"",IF('POINTAGE'!Z26="Présent",'POINTAGE'!AA26,0),0),IF('POINTAGE'!$AB$5&lt;&gt;"",IF('POINTAGE'!AB26="Présent",'POINTAGE'!AC26,0),0),IF('POINTAGE'!$AD$5&lt;&gt;"",IF('POINTAGE'!AD26="Présent",'POINTAGE'!AE26,0),0),IF('POINTAGE'!$AF$5&lt;&gt;"",IF('POINTAGE'!AF26="Présent",'POINTAGE'!AG26,0),0)))</f>
      </c>
      <c r="I26" s="24">
        <f>IF($A26="","",$F26*$D26)</f>
      </c>
      <c r="J26" s="24">
        <f>IF($A26="","",$H26*$E26)</f>
      </c>
      <c r="K26" s="25">
        <f>IF($A26="","",$I26+$J26)</f>
      </c>
      <c r="L26" s="18"/>
      <c r="M26" s="25">
        <f>IF($A26="","",MAX(0,$K26-$L26))</f>
      </c>
      <c r="N26" s="22">
        <f>IF($A26="","",SUM(IF('POINTAGE'!$AH$5&lt;&gt;"",--('POINTAGE'!AH26="Présent"),0),IF('POINTAGE'!$AJ$5&lt;&gt;"",--('POINTAGE'!AJ26="Présent"),0),IF('POINTAGE'!$AL$5&lt;&gt;"",--('POINTAGE'!AL26="Présent"),0),IF('POINTAGE'!$AN$5&lt;&gt;"",--('POINTAGE'!AN26="Présent"),0),IF('POINTAGE'!$AP$5&lt;&gt;"",--('POINTAGE'!AP26="Présent"),0),IF('POINTAGE'!$AR$5&lt;&gt;"",--('POINTAGE'!AR26="Présent"),0),IF('POINTAGE'!$AT$5&lt;&gt;"",--('POINTAGE'!AT26="Présent"),0),IF('POINTAGE'!$AV$5&lt;&gt;"",--('POINTAGE'!AV26="Présent"),0),IF('POINTAGE'!$AX$5&lt;&gt;"",--('POINTAGE'!AX26="Présent"),0),IF('POINTAGE'!$AZ$5&lt;&gt;"",--('POINTAGE'!AZ26="Présent"),0),IF('POINTAGE'!$BB$5&lt;&gt;"",--('POINTAGE'!BB26="Présent"),0),IF('POINTAGE'!$BD$5&lt;&gt;"",--('POINTAGE'!BD26="Présent"),0),IF('POINTAGE'!$BF$5&lt;&gt;"",--('POINTAGE'!BF26="Présent"),0),IF('POINTAGE'!$BH$5&lt;&gt;"",--('POINTAGE'!BH26="Présent"),0),IF('POINTAGE'!$BJ$5&lt;&gt;"",--('POINTAGE'!BJ26="Présent"),0),IF('POINTAGE'!$BL$5&lt;&gt;"",--('POINTAGE'!BL26="Présent"),0)))</f>
      </c>
      <c r="O26" s="22">
        <f>IF($A26="","",SUM(IF('POINTAGE'!$AH$5&lt;&gt;"",--('POINTAGE'!AH26="Absent"),0),IF('POINTAGE'!$AJ$5&lt;&gt;"",--('POINTAGE'!AJ26="Absent"),0),IF('POINTAGE'!$AL$5&lt;&gt;"",--('POINTAGE'!AL26="Absent"),0),IF('POINTAGE'!$AN$5&lt;&gt;"",--('POINTAGE'!AN26="Absent"),0),IF('POINTAGE'!$AP$5&lt;&gt;"",--('POINTAGE'!AP26="Absent"),0),IF('POINTAGE'!$AR$5&lt;&gt;"",--('POINTAGE'!AR26="Absent"),0),IF('POINTAGE'!$AT$5&lt;&gt;"",--('POINTAGE'!AT26="Absent"),0),IF('POINTAGE'!$AV$5&lt;&gt;"",--('POINTAGE'!AV26="Absent"),0),IF('POINTAGE'!$AX$5&lt;&gt;"",--('POINTAGE'!AX26="Absent"),0),IF('POINTAGE'!$AZ$5&lt;&gt;"",--('POINTAGE'!AZ26="Absent"),0),IF('POINTAGE'!$BB$5&lt;&gt;"",--('POINTAGE'!BB26="Absent"),0),IF('POINTAGE'!$BD$5&lt;&gt;"",--('POINTAGE'!BD26="Absent"),0),IF('POINTAGE'!$BF$5&lt;&gt;"",--('POINTAGE'!BF26="Absent"),0),IF('POINTAGE'!$BH$5&lt;&gt;"",--('POINTAGE'!BH26="Absent"),0),IF('POINTAGE'!$BJ$5&lt;&gt;"",--('POINTAGE'!BJ26="Absent"),0),IF('POINTAGE'!$BL$5&lt;&gt;"",--('POINTAGE'!BL26="Absent"),0)))</f>
      </c>
      <c r="P26" s="23">
        <f>IF($A26="","",SUM(IF('POINTAGE'!$AH$5&lt;&gt;"",IF('POINTAGE'!AH26="Présent",'POINTAGE'!AI26,0),0),IF('POINTAGE'!$AJ$5&lt;&gt;"",IF('POINTAGE'!AJ26="Présent",'POINTAGE'!AK26,0),0),IF('POINTAGE'!$AL$5&lt;&gt;"",IF('POINTAGE'!AL26="Présent",'POINTAGE'!AM26,0),0),IF('POINTAGE'!$AN$5&lt;&gt;"",IF('POINTAGE'!AN26="Présent",'POINTAGE'!AO26,0),0),IF('POINTAGE'!$AP$5&lt;&gt;"",IF('POINTAGE'!AP26="Présent",'POINTAGE'!AQ26,0),0),IF('POINTAGE'!$AR$5&lt;&gt;"",IF('POINTAGE'!AR26="Présent",'POINTAGE'!AS26,0),0),IF('POINTAGE'!$AT$5&lt;&gt;"",IF('POINTAGE'!AT26="Présent",'POINTAGE'!AU26,0),0),IF('POINTAGE'!$AV$5&lt;&gt;"",IF('POINTAGE'!AV26="Présent",'POINTAGE'!AW26,0),0),IF('POINTAGE'!$AX$5&lt;&gt;"",IF('POINTAGE'!AX26="Présent",'POINTAGE'!AY26,0),0),IF('POINTAGE'!$AZ$5&lt;&gt;"",IF('POINTAGE'!AZ26="Présent",'POINTAGE'!BA26,0),0),IF('POINTAGE'!$BB$5&lt;&gt;"",IF('POINTAGE'!BB26="Présent",'POINTAGE'!BC26,0),0),IF('POINTAGE'!$BD$5&lt;&gt;"",IF('POINTAGE'!BD26="Présent",'POINTAGE'!BE26,0),0),IF('POINTAGE'!$BF$5&lt;&gt;"",IF('POINTAGE'!BF26="Présent",'POINTAGE'!BG26,0),0),IF('POINTAGE'!$BH$5&lt;&gt;"",IF('POINTAGE'!BH26="Présent",'POINTAGE'!BI26,0),0),IF('POINTAGE'!$BJ$5&lt;&gt;"",IF('POINTAGE'!BJ26="Présent",'POINTAGE'!BK26,0),0),IF('POINTAGE'!$BL$5&lt;&gt;"",IF('POINTAGE'!BL26="Présent",'POINTAGE'!BM26,0),0)))</f>
      </c>
      <c r="Q26" s="24">
        <f>IF($A26="","",$N26*$D26)</f>
      </c>
      <c r="R26" s="24">
        <f>IF($A26="","",$P26*$E26)</f>
      </c>
      <c r="S26" s="25">
        <f>IF($A26="","",$Q26+$R26)</f>
      </c>
      <c r="T26" s="18"/>
      <c r="U26" s="25">
        <f>IF($A26="","",MAX(0,$S26-$T26))</f>
      </c>
      <c r="V26" s="25">
        <f>IF($A26="","",$K26+$S26)</f>
      </c>
      <c r="W26" s="24">
        <f>IF($A26="","",$L26+$T26)</f>
      </c>
      <c r="X26" s="25">
        <f>IF($A26="","",$M26+$U26)</f>
      </c>
      <c r="Y26" s="29">
        <f>IF($A26="","",$J26+$R26)</f>
      </c>
    </row>
    <row r="27">
      <c r="A27" s="20">
        <f>IF('POINTAGE'!A27="","",'POINTAGE'!A27)</f>
      </c>
      <c r="B27" s="19">
        <f>IF($A27="","",'POINTAGE'!B27)</f>
      </c>
      <c r="C27" s="20">
        <f>IF($A27="","",'POINTAGE'!C27)</f>
      </c>
      <c r="D27" s="24">
        <f>IF($A27="","",IFERROR(INDEX(Categories_Salaire,MATCH($C27,ListeCategories,0)),0))</f>
      </c>
      <c r="E27" s="24">
        <f>IF($A27="","",IF(IFERROR(INDEX(Categories_TauxHS,MATCH($C27,ListeCategories,0)),0)&gt;0,IFERROR(INDEX(Categories_TauxHS,MATCH($C27,ListeCategories,0)),0),TauxHSDefaut))</f>
      </c>
      <c r="F27" s="22">
        <f>IF($A27="","",SUM(IF('POINTAGE'!$D$5&lt;&gt;"",--('POINTAGE'!D27="Présent"),0),IF('POINTAGE'!$F$5&lt;&gt;"",--('POINTAGE'!F27="Présent"),0),IF('POINTAGE'!$H$5&lt;&gt;"",--('POINTAGE'!H27="Présent"),0),IF('POINTAGE'!$J$5&lt;&gt;"",--('POINTAGE'!J27="Présent"),0),IF('POINTAGE'!$L$5&lt;&gt;"",--('POINTAGE'!L27="Présent"),0),IF('POINTAGE'!$N$5&lt;&gt;"",--('POINTAGE'!N27="Présent"),0),IF('POINTAGE'!$P$5&lt;&gt;"",--('POINTAGE'!P27="Présent"),0),IF('POINTAGE'!$R$5&lt;&gt;"",--('POINTAGE'!R27="Présent"),0),IF('POINTAGE'!$T$5&lt;&gt;"",--('POINTAGE'!T27="Présent"),0),IF('POINTAGE'!$V$5&lt;&gt;"",--('POINTAGE'!V27="Présent"),0),IF('POINTAGE'!$X$5&lt;&gt;"",--('POINTAGE'!X27="Présent"),0),IF('POINTAGE'!$Z$5&lt;&gt;"",--('POINTAGE'!Z27="Présent"),0),IF('POINTAGE'!$AB$5&lt;&gt;"",--('POINTAGE'!AB27="Présent"),0),IF('POINTAGE'!$AD$5&lt;&gt;"",--('POINTAGE'!AD27="Présent"),0),IF('POINTAGE'!$AF$5&lt;&gt;"",--('POINTAGE'!AF27="Présent"),0)))</f>
      </c>
      <c r="G27" s="22">
        <f>IF($A27="","",SUM(IF('POINTAGE'!$D$5&lt;&gt;"",--('POINTAGE'!D27="Absent"),0),IF('POINTAGE'!$F$5&lt;&gt;"",--('POINTAGE'!F27="Absent"),0),IF('POINTAGE'!$H$5&lt;&gt;"",--('POINTAGE'!H27="Absent"),0),IF('POINTAGE'!$J$5&lt;&gt;"",--('POINTAGE'!J27="Absent"),0),IF('POINTAGE'!$L$5&lt;&gt;"",--('POINTAGE'!L27="Absent"),0),IF('POINTAGE'!$N$5&lt;&gt;"",--('POINTAGE'!N27="Absent"),0),IF('POINTAGE'!$P$5&lt;&gt;"",--('POINTAGE'!P27="Absent"),0),IF('POINTAGE'!$R$5&lt;&gt;"",--('POINTAGE'!R27="Absent"),0),IF('POINTAGE'!$T$5&lt;&gt;"",--('POINTAGE'!T27="Absent"),0),IF('POINTAGE'!$V$5&lt;&gt;"",--('POINTAGE'!V27="Absent"),0),IF('POINTAGE'!$X$5&lt;&gt;"",--('POINTAGE'!X27="Absent"),0),IF('POINTAGE'!$Z$5&lt;&gt;"",--('POINTAGE'!Z27="Absent"),0),IF('POINTAGE'!$AB$5&lt;&gt;"",--('POINTAGE'!AB27="Absent"),0),IF('POINTAGE'!$AD$5&lt;&gt;"",--('POINTAGE'!AD27="Absent"),0),IF('POINTAGE'!$AF$5&lt;&gt;"",--('POINTAGE'!AF27="Absent"),0)))</f>
      </c>
      <c r="H27" s="23">
        <f>IF($A27="","",SUM(IF('POINTAGE'!$D$5&lt;&gt;"",IF('POINTAGE'!D27="Présent",'POINTAGE'!E27,0),0),IF('POINTAGE'!$F$5&lt;&gt;"",IF('POINTAGE'!F27="Présent",'POINTAGE'!G27,0),0),IF('POINTAGE'!$H$5&lt;&gt;"",IF('POINTAGE'!H27="Présent",'POINTAGE'!I27,0),0),IF('POINTAGE'!$J$5&lt;&gt;"",IF('POINTAGE'!J27="Présent",'POINTAGE'!K27,0),0),IF('POINTAGE'!$L$5&lt;&gt;"",IF('POINTAGE'!L27="Présent",'POINTAGE'!M27,0),0),IF('POINTAGE'!$N$5&lt;&gt;"",IF('POINTAGE'!N27="Présent",'POINTAGE'!O27,0),0),IF('POINTAGE'!$P$5&lt;&gt;"",IF('POINTAGE'!P27="Présent",'POINTAGE'!Q27,0),0),IF('POINTAGE'!$R$5&lt;&gt;"",IF('POINTAGE'!R27="Présent",'POINTAGE'!S27,0),0),IF('POINTAGE'!$T$5&lt;&gt;"",IF('POINTAGE'!T27="Présent",'POINTAGE'!U27,0),0),IF('POINTAGE'!$V$5&lt;&gt;"",IF('POINTAGE'!V27="Présent",'POINTAGE'!W27,0),0),IF('POINTAGE'!$X$5&lt;&gt;"",IF('POINTAGE'!X27="Présent",'POINTAGE'!Y27,0),0),IF('POINTAGE'!$Z$5&lt;&gt;"",IF('POINTAGE'!Z27="Présent",'POINTAGE'!AA27,0),0),IF('POINTAGE'!$AB$5&lt;&gt;"",IF('POINTAGE'!AB27="Présent",'POINTAGE'!AC27,0),0),IF('POINTAGE'!$AD$5&lt;&gt;"",IF('POINTAGE'!AD27="Présent",'POINTAGE'!AE27,0),0),IF('POINTAGE'!$AF$5&lt;&gt;"",IF('POINTAGE'!AF27="Présent",'POINTAGE'!AG27,0),0)))</f>
      </c>
      <c r="I27" s="24">
        <f>IF($A27="","",$F27*$D27)</f>
      </c>
      <c r="J27" s="24">
        <f>IF($A27="","",$H27*$E27)</f>
      </c>
      <c r="K27" s="25">
        <f>IF($A27="","",$I27+$J27)</f>
      </c>
      <c r="L27" s="18"/>
      <c r="M27" s="25">
        <f>IF($A27="","",MAX(0,$K27-$L27))</f>
      </c>
      <c r="N27" s="22">
        <f>IF($A27="","",SUM(IF('POINTAGE'!$AH$5&lt;&gt;"",--('POINTAGE'!AH27="Présent"),0),IF('POINTAGE'!$AJ$5&lt;&gt;"",--('POINTAGE'!AJ27="Présent"),0),IF('POINTAGE'!$AL$5&lt;&gt;"",--('POINTAGE'!AL27="Présent"),0),IF('POINTAGE'!$AN$5&lt;&gt;"",--('POINTAGE'!AN27="Présent"),0),IF('POINTAGE'!$AP$5&lt;&gt;"",--('POINTAGE'!AP27="Présent"),0),IF('POINTAGE'!$AR$5&lt;&gt;"",--('POINTAGE'!AR27="Présent"),0),IF('POINTAGE'!$AT$5&lt;&gt;"",--('POINTAGE'!AT27="Présent"),0),IF('POINTAGE'!$AV$5&lt;&gt;"",--('POINTAGE'!AV27="Présent"),0),IF('POINTAGE'!$AX$5&lt;&gt;"",--('POINTAGE'!AX27="Présent"),0),IF('POINTAGE'!$AZ$5&lt;&gt;"",--('POINTAGE'!AZ27="Présent"),0),IF('POINTAGE'!$BB$5&lt;&gt;"",--('POINTAGE'!BB27="Présent"),0),IF('POINTAGE'!$BD$5&lt;&gt;"",--('POINTAGE'!BD27="Présent"),0),IF('POINTAGE'!$BF$5&lt;&gt;"",--('POINTAGE'!BF27="Présent"),0),IF('POINTAGE'!$BH$5&lt;&gt;"",--('POINTAGE'!BH27="Présent"),0),IF('POINTAGE'!$BJ$5&lt;&gt;"",--('POINTAGE'!BJ27="Présent"),0),IF('POINTAGE'!$BL$5&lt;&gt;"",--('POINTAGE'!BL27="Présent"),0)))</f>
      </c>
      <c r="O27" s="22">
        <f>IF($A27="","",SUM(IF('POINTAGE'!$AH$5&lt;&gt;"",--('POINTAGE'!AH27="Absent"),0),IF('POINTAGE'!$AJ$5&lt;&gt;"",--('POINTAGE'!AJ27="Absent"),0),IF('POINTAGE'!$AL$5&lt;&gt;"",--('POINTAGE'!AL27="Absent"),0),IF('POINTAGE'!$AN$5&lt;&gt;"",--('POINTAGE'!AN27="Absent"),0),IF('POINTAGE'!$AP$5&lt;&gt;"",--('POINTAGE'!AP27="Absent"),0),IF('POINTAGE'!$AR$5&lt;&gt;"",--('POINTAGE'!AR27="Absent"),0),IF('POINTAGE'!$AT$5&lt;&gt;"",--('POINTAGE'!AT27="Absent"),0),IF('POINTAGE'!$AV$5&lt;&gt;"",--('POINTAGE'!AV27="Absent"),0),IF('POINTAGE'!$AX$5&lt;&gt;"",--('POINTAGE'!AX27="Absent"),0),IF('POINTAGE'!$AZ$5&lt;&gt;"",--('POINTAGE'!AZ27="Absent"),0),IF('POINTAGE'!$BB$5&lt;&gt;"",--('POINTAGE'!BB27="Absent"),0),IF('POINTAGE'!$BD$5&lt;&gt;"",--('POINTAGE'!BD27="Absent"),0),IF('POINTAGE'!$BF$5&lt;&gt;"",--('POINTAGE'!BF27="Absent"),0),IF('POINTAGE'!$BH$5&lt;&gt;"",--('POINTAGE'!BH27="Absent"),0),IF('POINTAGE'!$BJ$5&lt;&gt;"",--('POINTAGE'!BJ27="Absent"),0),IF('POINTAGE'!$BL$5&lt;&gt;"",--('POINTAGE'!BL27="Absent"),0)))</f>
      </c>
      <c r="P27" s="23">
        <f>IF($A27="","",SUM(IF('POINTAGE'!$AH$5&lt;&gt;"",IF('POINTAGE'!AH27="Présent",'POINTAGE'!AI27,0),0),IF('POINTAGE'!$AJ$5&lt;&gt;"",IF('POINTAGE'!AJ27="Présent",'POINTAGE'!AK27,0),0),IF('POINTAGE'!$AL$5&lt;&gt;"",IF('POINTAGE'!AL27="Présent",'POINTAGE'!AM27,0),0),IF('POINTAGE'!$AN$5&lt;&gt;"",IF('POINTAGE'!AN27="Présent",'POINTAGE'!AO27,0),0),IF('POINTAGE'!$AP$5&lt;&gt;"",IF('POINTAGE'!AP27="Présent",'POINTAGE'!AQ27,0),0),IF('POINTAGE'!$AR$5&lt;&gt;"",IF('POINTAGE'!AR27="Présent",'POINTAGE'!AS27,0),0),IF('POINTAGE'!$AT$5&lt;&gt;"",IF('POINTAGE'!AT27="Présent",'POINTAGE'!AU27,0),0),IF('POINTAGE'!$AV$5&lt;&gt;"",IF('POINTAGE'!AV27="Présent",'POINTAGE'!AW27,0),0),IF('POINTAGE'!$AX$5&lt;&gt;"",IF('POINTAGE'!AX27="Présent",'POINTAGE'!AY27,0),0),IF('POINTAGE'!$AZ$5&lt;&gt;"",IF('POINTAGE'!AZ27="Présent",'POINTAGE'!BA27,0),0),IF('POINTAGE'!$BB$5&lt;&gt;"",IF('POINTAGE'!BB27="Présent",'POINTAGE'!BC27,0),0),IF('POINTAGE'!$BD$5&lt;&gt;"",IF('POINTAGE'!BD27="Présent",'POINTAGE'!BE27,0),0),IF('POINTAGE'!$BF$5&lt;&gt;"",IF('POINTAGE'!BF27="Présent",'POINTAGE'!BG27,0),0),IF('POINTAGE'!$BH$5&lt;&gt;"",IF('POINTAGE'!BH27="Présent",'POINTAGE'!BI27,0),0),IF('POINTAGE'!$BJ$5&lt;&gt;"",IF('POINTAGE'!BJ27="Présent",'POINTAGE'!BK27,0),0),IF('POINTAGE'!$BL$5&lt;&gt;"",IF('POINTAGE'!BL27="Présent",'POINTAGE'!BM27,0),0)))</f>
      </c>
      <c r="Q27" s="24">
        <f>IF($A27="","",$N27*$D27)</f>
      </c>
      <c r="R27" s="24">
        <f>IF($A27="","",$P27*$E27)</f>
      </c>
      <c r="S27" s="25">
        <f>IF($A27="","",$Q27+$R27)</f>
      </c>
      <c r="T27" s="18"/>
      <c r="U27" s="25">
        <f>IF($A27="","",MAX(0,$S27-$T27))</f>
      </c>
      <c r="V27" s="25">
        <f>IF($A27="","",$K27+$S27)</f>
      </c>
      <c r="W27" s="24">
        <f>IF($A27="","",$L27+$T27)</f>
      </c>
      <c r="X27" s="25">
        <f>IF($A27="","",$M27+$U27)</f>
      </c>
      <c r="Y27" s="29">
        <f>IF($A27="","",$J27+$R27)</f>
      </c>
    </row>
    <row r="28">
      <c r="A28" s="20">
        <f>IF('POINTAGE'!A28="","",'POINTAGE'!A28)</f>
      </c>
      <c r="B28" s="19">
        <f>IF($A28="","",'POINTAGE'!B28)</f>
      </c>
      <c r="C28" s="20">
        <f>IF($A28="","",'POINTAGE'!C28)</f>
      </c>
      <c r="D28" s="24">
        <f>IF($A28="","",IFERROR(INDEX(Categories_Salaire,MATCH($C28,ListeCategories,0)),0))</f>
      </c>
      <c r="E28" s="24">
        <f>IF($A28="","",IF(IFERROR(INDEX(Categories_TauxHS,MATCH($C28,ListeCategories,0)),0)&gt;0,IFERROR(INDEX(Categories_TauxHS,MATCH($C28,ListeCategories,0)),0),TauxHSDefaut))</f>
      </c>
      <c r="F28" s="22">
        <f>IF($A28="","",SUM(IF('POINTAGE'!$D$5&lt;&gt;"",--('POINTAGE'!D28="Présent"),0),IF('POINTAGE'!$F$5&lt;&gt;"",--('POINTAGE'!F28="Présent"),0),IF('POINTAGE'!$H$5&lt;&gt;"",--('POINTAGE'!H28="Présent"),0),IF('POINTAGE'!$J$5&lt;&gt;"",--('POINTAGE'!J28="Présent"),0),IF('POINTAGE'!$L$5&lt;&gt;"",--('POINTAGE'!L28="Présent"),0),IF('POINTAGE'!$N$5&lt;&gt;"",--('POINTAGE'!N28="Présent"),0),IF('POINTAGE'!$P$5&lt;&gt;"",--('POINTAGE'!P28="Présent"),0),IF('POINTAGE'!$R$5&lt;&gt;"",--('POINTAGE'!R28="Présent"),0),IF('POINTAGE'!$T$5&lt;&gt;"",--('POINTAGE'!T28="Présent"),0),IF('POINTAGE'!$V$5&lt;&gt;"",--('POINTAGE'!V28="Présent"),0),IF('POINTAGE'!$X$5&lt;&gt;"",--('POINTAGE'!X28="Présent"),0),IF('POINTAGE'!$Z$5&lt;&gt;"",--('POINTAGE'!Z28="Présent"),0),IF('POINTAGE'!$AB$5&lt;&gt;"",--('POINTAGE'!AB28="Présent"),0),IF('POINTAGE'!$AD$5&lt;&gt;"",--('POINTAGE'!AD28="Présent"),0),IF('POINTAGE'!$AF$5&lt;&gt;"",--('POINTAGE'!AF28="Présent"),0)))</f>
      </c>
      <c r="G28" s="22">
        <f>IF($A28="","",SUM(IF('POINTAGE'!$D$5&lt;&gt;"",--('POINTAGE'!D28="Absent"),0),IF('POINTAGE'!$F$5&lt;&gt;"",--('POINTAGE'!F28="Absent"),0),IF('POINTAGE'!$H$5&lt;&gt;"",--('POINTAGE'!H28="Absent"),0),IF('POINTAGE'!$J$5&lt;&gt;"",--('POINTAGE'!J28="Absent"),0),IF('POINTAGE'!$L$5&lt;&gt;"",--('POINTAGE'!L28="Absent"),0),IF('POINTAGE'!$N$5&lt;&gt;"",--('POINTAGE'!N28="Absent"),0),IF('POINTAGE'!$P$5&lt;&gt;"",--('POINTAGE'!P28="Absent"),0),IF('POINTAGE'!$R$5&lt;&gt;"",--('POINTAGE'!R28="Absent"),0),IF('POINTAGE'!$T$5&lt;&gt;"",--('POINTAGE'!T28="Absent"),0),IF('POINTAGE'!$V$5&lt;&gt;"",--('POINTAGE'!V28="Absent"),0),IF('POINTAGE'!$X$5&lt;&gt;"",--('POINTAGE'!X28="Absent"),0),IF('POINTAGE'!$Z$5&lt;&gt;"",--('POINTAGE'!Z28="Absent"),0),IF('POINTAGE'!$AB$5&lt;&gt;"",--('POINTAGE'!AB28="Absent"),0),IF('POINTAGE'!$AD$5&lt;&gt;"",--('POINTAGE'!AD28="Absent"),0),IF('POINTAGE'!$AF$5&lt;&gt;"",--('POINTAGE'!AF28="Absent"),0)))</f>
      </c>
      <c r="H28" s="23">
        <f>IF($A28="","",SUM(IF('POINTAGE'!$D$5&lt;&gt;"",IF('POINTAGE'!D28="Présent",'POINTAGE'!E28,0),0),IF('POINTAGE'!$F$5&lt;&gt;"",IF('POINTAGE'!F28="Présent",'POINTAGE'!G28,0),0),IF('POINTAGE'!$H$5&lt;&gt;"",IF('POINTAGE'!H28="Présent",'POINTAGE'!I28,0),0),IF('POINTAGE'!$J$5&lt;&gt;"",IF('POINTAGE'!J28="Présent",'POINTAGE'!K28,0),0),IF('POINTAGE'!$L$5&lt;&gt;"",IF('POINTAGE'!L28="Présent",'POINTAGE'!M28,0),0),IF('POINTAGE'!$N$5&lt;&gt;"",IF('POINTAGE'!N28="Présent",'POINTAGE'!O28,0),0),IF('POINTAGE'!$P$5&lt;&gt;"",IF('POINTAGE'!P28="Présent",'POINTAGE'!Q28,0),0),IF('POINTAGE'!$R$5&lt;&gt;"",IF('POINTAGE'!R28="Présent",'POINTAGE'!S28,0),0),IF('POINTAGE'!$T$5&lt;&gt;"",IF('POINTAGE'!T28="Présent",'POINTAGE'!U28,0),0),IF('POINTAGE'!$V$5&lt;&gt;"",IF('POINTAGE'!V28="Présent",'POINTAGE'!W28,0),0),IF('POINTAGE'!$X$5&lt;&gt;"",IF('POINTAGE'!X28="Présent",'POINTAGE'!Y28,0),0),IF('POINTAGE'!$Z$5&lt;&gt;"",IF('POINTAGE'!Z28="Présent",'POINTAGE'!AA28,0),0),IF('POINTAGE'!$AB$5&lt;&gt;"",IF('POINTAGE'!AB28="Présent",'POINTAGE'!AC28,0),0),IF('POINTAGE'!$AD$5&lt;&gt;"",IF('POINTAGE'!AD28="Présent",'POINTAGE'!AE28,0),0),IF('POINTAGE'!$AF$5&lt;&gt;"",IF('POINTAGE'!AF28="Présent",'POINTAGE'!AG28,0),0)))</f>
      </c>
      <c r="I28" s="24">
        <f>IF($A28="","",$F28*$D28)</f>
      </c>
      <c r="J28" s="24">
        <f>IF($A28="","",$H28*$E28)</f>
      </c>
      <c r="K28" s="25">
        <f>IF($A28="","",$I28+$J28)</f>
      </c>
      <c r="L28" s="18"/>
      <c r="M28" s="25">
        <f>IF($A28="","",MAX(0,$K28-$L28))</f>
      </c>
      <c r="N28" s="22">
        <f>IF($A28="","",SUM(IF('POINTAGE'!$AH$5&lt;&gt;"",--('POINTAGE'!AH28="Présent"),0),IF('POINTAGE'!$AJ$5&lt;&gt;"",--('POINTAGE'!AJ28="Présent"),0),IF('POINTAGE'!$AL$5&lt;&gt;"",--('POINTAGE'!AL28="Présent"),0),IF('POINTAGE'!$AN$5&lt;&gt;"",--('POINTAGE'!AN28="Présent"),0),IF('POINTAGE'!$AP$5&lt;&gt;"",--('POINTAGE'!AP28="Présent"),0),IF('POINTAGE'!$AR$5&lt;&gt;"",--('POINTAGE'!AR28="Présent"),0),IF('POINTAGE'!$AT$5&lt;&gt;"",--('POINTAGE'!AT28="Présent"),0),IF('POINTAGE'!$AV$5&lt;&gt;"",--('POINTAGE'!AV28="Présent"),0),IF('POINTAGE'!$AX$5&lt;&gt;"",--('POINTAGE'!AX28="Présent"),0),IF('POINTAGE'!$AZ$5&lt;&gt;"",--('POINTAGE'!AZ28="Présent"),0),IF('POINTAGE'!$BB$5&lt;&gt;"",--('POINTAGE'!BB28="Présent"),0),IF('POINTAGE'!$BD$5&lt;&gt;"",--('POINTAGE'!BD28="Présent"),0),IF('POINTAGE'!$BF$5&lt;&gt;"",--('POINTAGE'!BF28="Présent"),0),IF('POINTAGE'!$BH$5&lt;&gt;"",--('POINTAGE'!BH28="Présent"),0),IF('POINTAGE'!$BJ$5&lt;&gt;"",--('POINTAGE'!BJ28="Présent"),0),IF('POINTAGE'!$BL$5&lt;&gt;"",--('POINTAGE'!BL28="Présent"),0)))</f>
      </c>
      <c r="O28" s="22">
        <f>IF($A28="","",SUM(IF('POINTAGE'!$AH$5&lt;&gt;"",--('POINTAGE'!AH28="Absent"),0),IF('POINTAGE'!$AJ$5&lt;&gt;"",--('POINTAGE'!AJ28="Absent"),0),IF('POINTAGE'!$AL$5&lt;&gt;"",--('POINTAGE'!AL28="Absent"),0),IF('POINTAGE'!$AN$5&lt;&gt;"",--('POINTAGE'!AN28="Absent"),0),IF('POINTAGE'!$AP$5&lt;&gt;"",--('POINTAGE'!AP28="Absent"),0),IF('POINTAGE'!$AR$5&lt;&gt;"",--('POINTAGE'!AR28="Absent"),0),IF('POINTAGE'!$AT$5&lt;&gt;"",--('POINTAGE'!AT28="Absent"),0),IF('POINTAGE'!$AV$5&lt;&gt;"",--('POINTAGE'!AV28="Absent"),0),IF('POINTAGE'!$AX$5&lt;&gt;"",--('POINTAGE'!AX28="Absent"),0),IF('POINTAGE'!$AZ$5&lt;&gt;"",--('POINTAGE'!AZ28="Absent"),0),IF('POINTAGE'!$BB$5&lt;&gt;"",--('POINTAGE'!BB28="Absent"),0),IF('POINTAGE'!$BD$5&lt;&gt;"",--('POINTAGE'!BD28="Absent"),0),IF('POINTAGE'!$BF$5&lt;&gt;"",--('POINTAGE'!BF28="Absent"),0),IF('POINTAGE'!$BH$5&lt;&gt;"",--('POINTAGE'!BH28="Absent"),0),IF('POINTAGE'!$BJ$5&lt;&gt;"",--('POINTAGE'!BJ28="Absent"),0),IF('POINTAGE'!$BL$5&lt;&gt;"",--('POINTAGE'!BL28="Absent"),0)))</f>
      </c>
      <c r="P28" s="23">
        <f>IF($A28="","",SUM(IF('POINTAGE'!$AH$5&lt;&gt;"",IF('POINTAGE'!AH28="Présent",'POINTAGE'!AI28,0),0),IF('POINTAGE'!$AJ$5&lt;&gt;"",IF('POINTAGE'!AJ28="Présent",'POINTAGE'!AK28,0),0),IF('POINTAGE'!$AL$5&lt;&gt;"",IF('POINTAGE'!AL28="Présent",'POINTAGE'!AM28,0),0),IF('POINTAGE'!$AN$5&lt;&gt;"",IF('POINTAGE'!AN28="Présent",'POINTAGE'!AO28,0),0),IF('POINTAGE'!$AP$5&lt;&gt;"",IF('POINTAGE'!AP28="Présent",'POINTAGE'!AQ28,0),0),IF('POINTAGE'!$AR$5&lt;&gt;"",IF('POINTAGE'!AR28="Présent",'POINTAGE'!AS28,0),0),IF('POINTAGE'!$AT$5&lt;&gt;"",IF('POINTAGE'!AT28="Présent",'POINTAGE'!AU28,0),0),IF('POINTAGE'!$AV$5&lt;&gt;"",IF('POINTAGE'!AV28="Présent",'POINTAGE'!AW28,0),0),IF('POINTAGE'!$AX$5&lt;&gt;"",IF('POINTAGE'!AX28="Présent",'POINTAGE'!AY28,0),0),IF('POINTAGE'!$AZ$5&lt;&gt;"",IF('POINTAGE'!AZ28="Présent",'POINTAGE'!BA28,0),0),IF('POINTAGE'!$BB$5&lt;&gt;"",IF('POINTAGE'!BB28="Présent",'POINTAGE'!BC28,0),0),IF('POINTAGE'!$BD$5&lt;&gt;"",IF('POINTAGE'!BD28="Présent",'POINTAGE'!BE28,0),0),IF('POINTAGE'!$BF$5&lt;&gt;"",IF('POINTAGE'!BF28="Présent",'POINTAGE'!BG28,0),0),IF('POINTAGE'!$BH$5&lt;&gt;"",IF('POINTAGE'!BH28="Présent",'POINTAGE'!BI28,0),0),IF('POINTAGE'!$BJ$5&lt;&gt;"",IF('POINTAGE'!BJ28="Présent",'POINTAGE'!BK28,0),0),IF('POINTAGE'!$BL$5&lt;&gt;"",IF('POINTAGE'!BL28="Présent",'POINTAGE'!BM28,0),0)))</f>
      </c>
      <c r="Q28" s="24">
        <f>IF($A28="","",$N28*$D28)</f>
      </c>
      <c r="R28" s="24">
        <f>IF($A28="","",$P28*$E28)</f>
      </c>
      <c r="S28" s="25">
        <f>IF($A28="","",$Q28+$R28)</f>
      </c>
      <c r="T28" s="18"/>
      <c r="U28" s="25">
        <f>IF($A28="","",MAX(0,$S28-$T28))</f>
      </c>
      <c r="V28" s="25">
        <f>IF($A28="","",$K28+$S28)</f>
      </c>
      <c r="W28" s="24">
        <f>IF($A28="","",$L28+$T28)</f>
      </c>
      <c r="X28" s="25">
        <f>IF($A28="","",$M28+$U28)</f>
      </c>
      <c r="Y28" s="29">
        <f>IF($A28="","",$J28+$R28)</f>
      </c>
    </row>
    <row r="29">
      <c r="A29" s="20">
        <f>IF('POINTAGE'!A29="","",'POINTAGE'!A29)</f>
      </c>
      <c r="B29" s="19">
        <f>IF($A29="","",'POINTAGE'!B29)</f>
      </c>
      <c r="C29" s="20">
        <f>IF($A29="","",'POINTAGE'!C29)</f>
      </c>
      <c r="D29" s="24">
        <f>IF($A29="","",IFERROR(INDEX(Categories_Salaire,MATCH($C29,ListeCategories,0)),0))</f>
      </c>
      <c r="E29" s="24">
        <f>IF($A29="","",IF(IFERROR(INDEX(Categories_TauxHS,MATCH($C29,ListeCategories,0)),0)&gt;0,IFERROR(INDEX(Categories_TauxHS,MATCH($C29,ListeCategories,0)),0),TauxHSDefaut))</f>
      </c>
      <c r="F29" s="22">
        <f>IF($A29="","",SUM(IF('POINTAGE'!$D$5&lt;&gt;"",--('POINTAGE'!D29="Présent"),0),IF('POINTAGE'!$F$5&lt;&gt;"",--('POINTAGE'!F29="Présent"),0),IF('POINTAGE'!$H$5&lt;&gt;"",--('POINTAGE'!H29="Présent"),0),IF('POINTAGE'!$J$5&lt;&gt;"",--('POINTAGE'!J29="Présent"),0),IF('POINTAGE'!$L$5&lt;&gt;"",--('POINTAGE'!L29="Présent"),0),IF('POINTAGE'!$N$5&lt;&gt;"",--('POINTAGE'!N29="Présent"),0),IF('POINTAGE'!$P$5&lt;&gt;"",--('POINTAGE'!P29="Présent"),0),IF('POINTAGE'!$R$5&lt;&gt;"",--('POINTAGE'!R29="Présent"),0),IF('POINTAGE'!$T$5&lt;&gt;"",--('POINTAGE'!T29="Présent"),0),IF('POINTAGE'!$V$5&lt;&gt;"",--('POINTAGE'!V29="Présent"),0),IF('POINTAGE'!$X$5&lt;&gt;"",--('POINTAGE'!X29="Présent"),0),IF('POINTAGE'!$Z$5&lt;&gt;"",--('POINTAGE'!Z29="Présent"),0),IF('POINTAGE'!$AB$5&lt;&gt;"",--('POINTAGE'!AB29="Présent"),0),IF('POINTAGE'!$AD$5&lt;&gt;"",--('POINTAGE'!AD29="Présent"),0),IF('POINTAGE'!$AF$5&lt;&gt;"",--('POINTAGE'!AF29="Présent"),0)))</f>
      </c>
      <c r="G29" s="22">
        <f>IF($A29="","",SUM(IF('POINTAGE'!$D$5&lt;&gt;"",--('POINTAGE'!D29="Absent"),0),IF('POINTAGE'!$F$5&lt;&gt;"",--('POINTAGE'!F29="Absent"),0),IF('POINTAGE'!$H$5&lt;&gt;"",--('POINTAGE'!H29="Absent"),0),IF('POINTAGE'!$J$5&lt;&gt;"",--('POINTAGE'!J29="Absent"),0),IF('POINTAGE'!$L$5&lt;&gt;"",--('POINTAGE'!L29="Absent"),0),IF('POINTAGE'!$N$5&lt;&gt;"",--('POINTAGE'!N29="Absent"),0),IF('POINTAGE'!$P$5&lt;&gt;"",--('POINTAGE'!P29="Absent"),0),IF('POINTAGE'!$R$5&lt;&gt;"",--('POINTAGE'!R29="Absent"),0),IF('POINTAGE'!$T$5&lt;&gt;"",--('POINTAGE'!T29="Absent"),0),IF('POINTAGE'!$V$5&lt;&gt;"",--('POINTAGE'!V29="Absent"),0),IF('POINTAGE'!$X$5&lt;&gt;"",--('POINTAGE'!X29="Absent"),0),IF('POINTAGE'!$Z$5&lt;&gt;"",--('POINTAGE'!Z29="Absent"),0),IF('POINTAGE'!$AB$5&lt;&gt;"",--('POINTAGE'!AB29="Absent"),0),IF('POINTAGE'!$AD$5&lt;&gt;"",--('POINTAGE'!AD29="Absent"),0),IF('POINTAGE'!$AF$5&lt;&gt;"",--('POINTAGE'!AF29="Absent"),0)))</f>
      </c>
      <c r="H29" s="23">
        <f>IF($A29="","",SUM(IF('POINTAGE'!$D$5&lt;&gt;"",IF('POINTAGE'!D29="Présent",'POINTAGE'!E29,0),0),IF('POINTAGE'!$F$5&lt;&gt;"",IF('POINTAGE'!F29="Présent",'POINTAGE'!G29,0),0),IF('POINTAGE'!$H$5&lt;&gt;"",IF('POINTAGE'!H29="Présent",'POINTAGE'!I29,0),0),IF('POINTAGE'!$J$5&lt;&gt;"",IF('POINTAGE'!J29="Présent",'POINTAGE'!K29,0),0),IF('POINTAGE'!$L$5&lt;&gt;"",IF('POINTAGE'!L29="Présent",'POINTAGE'!M29,0),0),IF('POINTAGE'!$N$5&lt;&gt;"",IF('POINTAGE'!N29="Présent",'POINTAGE'!O29,0),0),IF('POINTAGE'!$P$5&lt;&gt;"",IF('POINTAGE'!P29="Présent",'POINTAGE'!Q29,0),0),IF('POINTAGE'!$R$5&lt;&gt;"",IF('POINTAGE'!R29="Présent",'POINTAGE'!S29,0),0),IF('POINTAGE'!$T$5&lt;&gt;"",IF('POINTAGE'!T29="Présent",'POINTAGE'!U29,0),0),IF('POINTAGE'!$V$5&lt;&gt;"",IF('POINTAGE'!V29="Présent",'POINTAGE'!W29,0),0),IF('POINTAGE'!$X$5&lt;&gt;"",IF('POINTAGE'!X29="Présent",'POINTAGE'!Y29,0),0),IF('POINTAGE'!$Z$5&lt;&gt;"",IF('POINTAGE'!Z29="Présent",'POINTAGE'!AA29,0),0),IF('POINTAGE'!$AB$5&lt;&gt;"",IF('POINTAGE'!AB29="Présent",'POINTAGE'!AC29,0),0),IF('POINTAGE'!$AD$5&lt;&gt;"",IF('POINTAGE'!AD29="Présent",'POINTAGE'!AE29,0),0),IF('POINTAGE'!$AF$5&lt;&gt;"",IF('POINTAGE'!AF29="Présent",'POINTAGE'!AG29,0),0)))</f>
      </c>
      <c r="I29" s="24">
        <f>IF($A29="","",$F29*$D29)</f>
      </c>
      <c r="J29" s="24">
        <f>IF($A29="","",$H29*$E29)</f>
      </c>
      <c r="K29" s="25">
        <f>IF($A29="","",$I29+$J29)</f>
      </c>
      <c r="L29" s="18"/>
      <c r="M29" s="25">
        <f>IF($A29="","",MAX(0,$K29-$L29))</f>
      </c>
      <c r="N29" s="22">
        <f>IF($A29="","",SUM(IF('POINTAGE'!$AH$5&lt;&gt;"",--('POINTAGE'!AH29="Présent"),0),IF('POINTAGE'!$AJ$5&lt;&gt;"",--('POINTAGE'!AJ29="Présent"),0),IF('POINTAGE'!$AL$5&lt;&gt;"",--('POINTAGE'!AL29="Présent"),0),IF('POINTAGE'!$AN$5&lt;&gt;"",--('POINTAGE'!AN29="Présent"),0),IF('POINTAGE'!$AP$5&lt;&gt;"",--('POINTAGE'!AP29="Présent"),0),IF('POINTAGE'!$AR$5&lt;&gt;"",--('POINTAGE'!AR29="Présent"),0),IF('POINTAGE'!$AT$5&lt;&gt;"",--('POINTAGE'!AT29="Présent"),0),IF('POINTAGE'!$AV$5&lt;&gt;"",--('POINTAGE'!AV29="Présent"),0),IF('POINTAGE'!$AX$5&lt;&gt;"",--('POINTAGE'!AX29="Présent"),0),IF('POINTAGE'!$AZ$5&lt;&gt;"",--('POINTAGE'!AZ29="Présent"),0),IF('POINTAGE'!$BB$5&lt;&gt;"",--('POINTAGE'!BB29="Présent"),0),IF('POINTAGE'!$BD$5&lt;&gt;"",--('POINTAGE'!BD29="Présent"),0),IF('POINTAGE'!$BF$5&lt;&gt;"",--('POINTAGE'!BF29="Présent"),0),IF('POINTAGE'!$BH$5&lt;&gt;"",--('POINTAGE'!BH29="Présent"),0),IF('POINTAGE'!$BJ$5&lt;&gt;"",--('POINTAGE'!BJ29="Présent"),0),IF('POINTAGE'!$BL$5&lt;&gt;"",--('POINTAGE'!BL29="Présent"),0)))</f>
      </c>
      <c r="O29" s="22">
        <f>IF($A29="","",SUM(IF('POINTAGE'!$AH$5&lt;&gt;"",--('POINTAGE'!AH29="Absent"),0),IF('POINTAGE'!$AJ$5&lt;&gt;"",--('POINTAGE'!AJ29="Absent"),0),IF('POINTAGE'!$AL$5&lt;&gt;"",--('POINTAGE'!AL29="Absent"),0),IF('POINTAGE'!$AN$5&lt;&gt;"",--('POINTAGE'!AN29="Absent"),0),IF('POINTAGE'!$AP$5&lt;&gt;"",--('POINTAGE'!AP29="Absent"),0),IF('POINTAGE'!$AR$5&lt;&gt;"",--('POINTAGE'!AR29="Absent"),0),IF('POINTAGE'!$AT$5&lt;&gt;"",--('POINTAGE'!AT29="Absent"),0),IF('POINTAGE'!$AV$5&lt;&gt;"",--('POINTAGE'!AV29="Absent"),0),IF('POINTAGE'!$AX$5&lt;&gt;"",--('POINTAGE'!AX29="Absent"),0),IF('POINTAGE'!$AZ$5&lt;&gt;"",--('POINTAGE'!AZ29="Absent"),0),IF('POINTAGE'!$BB$5&lt;&gt;"",--('POINTAGE'!BB29="Absent"),0),IF('POINTAGE'!$BD$5&lt;&gt;"",--('POINTAGE'!BD29="Absent"),0),IF('POINTAGE'!$BF$5&lt;&gt;"",--('POINTAGE'!BF29="Absent"),0),IF('POINTAGE'!$BH$5&lt;&gt;"",--('POINTAGE'!BH29="Absent"),0),IF('POINTAGE'!$BJ$5&lt;&gt;"",--('POINTAGE'!BJ29="Absent"),0),IF('POINTAGE'!$BL$5&lt;&gt;"",--('POINTAGE'!BL29="Absent"),0)))</f>
      </c>
      <c r="P29" s="23">
        <f>IF($A29="","",SUM(IF('POINTAGE'!$AH$5&lt;&gt;"",IF('POINTAGE'!AH29="Présent",'POINTAGE'!AI29,0),0),IF('POINTAGE'!$AJ$5&lt;&gt;"",IF('POINTAGE'!AJ29="Présent",'POINTAGE'!AK29,0),0),IF('POINTAGE'!$AL$5&lt;&gt;"",IF('POINTAGE'!AL29="Présent",'POINTAGE'!AM29,0),0),IF('POINTAGE'!$AN$5&lt;&gt;"",IF('POINTAGE'!AN29="Présent",'POINTAGE'!AO29,0),0),IF('POINTAGE'!$AP$5&lt;&gt;"",IF('POINTAGE'!AP29="Présent",'POINTAGE'!AQ29,0),0),IF('POINTAGE'!$AR$5&lt;&gt;"",IF('POINTAGE'!AR29="Présent",'POINTAGE'!AS29,0),0),IF('POINTAGE'!$AT$5&lt;&gt;"",IF('POINTAGE'!AT29="Présent",'POINTAGE'!AU29,0),0),IF('POINTAGE'!$AV$5&lt;&gt;"",IF('POINTAGE'!AV29="Présent",'POINTAGE'!AW29,0),0),IF('POINTAGE'!$AX$5&lt;&gt;"",IF('POINTAGE'!AX29="Présent",'POINTAGE'!AY29,0),0),IF('POINTAGE'!$AZ$5&lt;&gt;"",IF('POINTAGE'!AZ29="Présent",'POINTAGE'!BA29,0),0),IF('POINTAGE'!$BB$5&lt;&gt;"",IF('POINTAGE'!BB29="Présent",'POINTAGE'!BC29,0),0),IF('POINTAGE'!$BD$5&lt;&gt;"",IF('POINTAGE'!BD29="Présent",'POINTAGE'!BE29,0),0),IF('POINTAGE'!$BF$5&lt;&gt;"",IF('POINTAGE'!BF29="Présent",'POINTAGE'!BG29,0),0),IF('POINTAGE'!$BH$5&lt;&gt;"",IF('POINTAGE'!BH29="Présent",'POINTAGE'!BI29,0),0),IF('POINTAGE'!$BJ$5&lt;&gt;"",IF('POINTAGE'!BJ29="Présent",'POINTAGE'!BK29,0),0),IF('POINTAGE'!$BL$5&lt;&gt;"",IF('POINTAGE'!BL29="Présent",'POINTAGE'!BM29,0),0)))</f>
      </c>
      <c r="Q29" s="24">
        <f>IF($A29="","",$N29*$D29)</f>
      </c>
      <c r="R29" s="24">
        <f>IF($A29="","",$P29*$E29)</f>
      </c>
      <c r="S29" s="25">
        <f>IF($A29="","",$Q29+$R29)</f>
      </c>
      <c r="T29" s="18"/>
      <c r="U29" s="25">
        <f>IF($A29="","",MAX(0,$S29-$T29))</f>
      </c>
      <c r="V29" s="25">
        <f>IF($A29="","",$K29+$S29)</f>
      </c>
      <c r="W29" s="24">
        <f>IF($A29="","",$L29+$T29)</f>
      </c>
      <c r="X29" s="25">
        <f>IF($A29="","",$M29+$U29)</f>
      </c>
      <c r="Y29" s="29">
        <f>IF($A29="","",$J29+$R29)</f>
      </c>
    </row>
    <row r="30">
      <c r="A30" s="20">
        <f>IF('POINTAGE'!A30="","",'POINTAGE'!A30)</f>
      </c>
      <c r="B30" s="19">
        <f>IF($A30="","",'POINTAGE'!B30)</f>
      </c>
      <c r="C30" s="20">
        <f>IF($A30="","",'POINTAGE'!C30)</f>
      </c>
      <c r="D30" s="24">
        <f>IF($A30="","",IFERROR(INDEX(Categories_Salaire,MATCH($C30,ListeCategories,0)),0))</f>
      </c>
      <c r="E30" s="24">
        <f>IF($A30="","",IF(IFERROR(INDEX(Categories_TauxHS,MATCH($C30,ListeCategories,0)),0)&gt;0,IFERROR(INDEX(Categories_TauxHS,MATCH($C30,ListeCategories,0)),0),TauxHSDefaut))</f>
      </c>
      <c r="F30" s="22">
        <f>IF($A30="","",SUM(IF('POINTAGE'!$D$5&lt;&gt;"",--('POINTAGE'!D30="Présent"),0),IF('POINTAGE'!$F$5&lt;&gt;"",--('POINTAGE'!F30="Présent"),0),IF('POINTAGE'!$H$5&lt;&gt;"",--('POINTAGE'!H30="Présent"),0),IF('POINTAGE'!$J$5&lt;&gt;"",--('POINTAGE'!J30="Présent"),0),IF('POINTAGE'!$L$5&lt;&gt;"",--('POINTAGE'!L30="Présent"),0),IF('POINTAGE'!$N$5&lt;&gt;"",--('POINTAGE'!N30="Présent"),0),IF('POINTAGE'!$P$5&lt;&gt;"",--('POINTAGE'!P30="Présent"),0),IF('POINTAGE'!$R$5&lt;&gt;"",--('POINTAGE'!R30="Présent"),0),IF('POINTAGE'!$T$5&lt;&gt;"",--('POINTAGE'!T30="Présent"),0),IF('POINTAGE'!$V$5&lt;&gt;"",--('POINTAGE'!V30="Présent"),0),IF('POINTAGE'!$X$5&lt;&gt;"",--('POINTAGE'!X30="Présent"),0),IF('POINTAGE'!$Z$5&lt;&gt;"",--('POINTAGE'!Z30="Présent"),0),IF('POINTAGE'!$AB$5&lt;&gt;"",--('POINTAGE'!AB30="Présent"),0),IF('POINTAGE'!$AD$5&lt;&gt;"",--('POINTAGE'!AD30="Présent"),0),IF('POINTAGE'!$AF$5&lt;&gt;"",--('POINTAGE'!AF30="Présent"),0)))</f>
      </c>
      <c r="G30" s="22">
        <f>IF($A30="","",SUM(IF('POINTAGE'!$D$5&lt;&gt;"",--('POINTAGE'!D30="Absent"),0),IF('POINTAGE'!$F$5&lt;&gt;"",--('POINTAGE'!F30="Absent"),0),IF('POINTAGE'!$H$5&lt;&gt;"",--('POINTAGE'!H30="Absent"),0),IF('POINTAGE'!$J$5&lt;&gt;"",--('POINTAGE'!J30="Absent"),0),IF('POINTAGE'!$L$5&lt;&gt;"",--('POINTAGE'!L30="Absent"),0),IF('POINTAGE'!$N$5&lt;&gt;"",--('POINTAGE'!N30="Absent"),0),IF('POINTAGE'!$P$5&lt;&gt;"",--('POINTAGE'!P30="Absent"),0),IF('POINTAGE'!$R$5&lt;&gt;"",--('POINTAGE'!R30="Absent"),0),IF('POINTAGE'!$T$5&lt;&gt;"",--('POINTAGE'!T30="Absent"),0),IF('POINTAGE'!$V$5&lt;&gt;"",--('POINTAGE'!V30="Absent"),0),IF('POINTAGE'!$X$5&lt;&gt;"",--('POINTAGE'!X30="Absent"),0),IF('POINTAGE'!$Z$5&lt;&gt;"",--('POINTAGE'!Z30="Absent"),0),IF('POINTAGE'!$AB$5&lt;&gt;"",--('POINTAGE'!AB30="Absent"),0),IF('POINTAGE'!$AD$5&lt;&gt;"",--('POINTAGE'!AD30="Absent"),0),IF('POINTAGE'!$AF$5&lt;&gt;"",--('POINTAGE'!AF30="Absent"),0)))</f>
      </c>
      <c r="H30" s="23">
        <f>IF($A30="","",SUM(IF('POINTAGE'!$D$5&lt;&gt;"",IF('POINTAGE'!D30="Présent",'POINTAGE'!E30,0),0),IF('POINTAGE'!$F$5&lt;&gt;"",IF('POINTAGE'!F30="Présent",'POINTAGE'!G30,0),0),IF('POINTAGE'!$H$5&lt;&gt;"",IF('POINTAGE'!H30="Présent",'POINTAGE'!I30,0),0),IF('POINTAGE'!$J$5&lt;&gt;"",IF('POINTAGE'!J30="Présent",'POINTAGE'!K30,0),0),IF('POINTAGE'!$L$5&lt;&gt;"",IF('POINTAGE'!L30="Présent",'POINTAGE'!M30,0),0),IF('POINTAGE'!$N$5&lt;&gt;"",IF('POINTAGE'!N30="Présent",'POINTAGE'!O30,0),0),IF('POINTAGE'!$P$5&lt;&gt;"",IF('POINTAGE'!P30="Présent",'POINTAGE'!Q30,0),0),IF('POINTAGE'!$R$5&lt;&gt;"",IF('POINTAGE'!R30="Présent",'POINTAGE'!S30,0),0),IF('POINTAGE'!$T$5&lt;&gt;"",IF('POINTAGE'!T30="Présent",'POINTAGE'!U30,0),0),IF('POINTAGE'!$V$5&lt;&gt;"",IF('POINTAGE'!V30="Présent",'POINTAGE'!W30,0),0),IF('POINTAGE'!$X$5&lt;&gt;"",IF('POINTAGE'!X30="Présent",'POINTAGE'!Y30,0),0),IF('POINTAGE'!$Z$5&lt;&gt;"",IF('POINTAGE'!Z30="Présent",'POINTAGE'!AA30,0),0),IF('POINTAGE'!$AB$5&lt;&gt;"",IF('POINTAGE'!AB30="Présent",'POINTAGE'!AC30,0),0),IF('POINTAGE'!$AD$5&lt;&gt;"",IF('POINTAGE'!AD30="Présent",'POINTAGE'!AE30,0),0),IF('POINTAGE'!$AF$5&lt;&gt;"",IF('POINTAGE'!AF30="Présent",'POINTAGE'!AG30,0),0)))</f>
      </c>
      <c r="I30" s="24">
        <f>IF($A30="","",$F30*$D30)</f>
      </c>
      <c r="J30" s="24">
        <f>IF($A30="","",$H30*$E30)</f>
      </c>
      <c r="K30" s="25">
        <f>IF($A30="","",$I30+$J30)</f>
      </c>
      <c r="L30" s="18"/>
      <c r="M30" s="25">
        <f>IF($A30="","",MAX(0,$K30-$L30))</f>
      </c>
      <c r="N30" s="22">
        <f>IF($A30="","",SUM(IF('POINTAGE'!$AH$5&lt;&gt;"",--('POINTAGE'!AH30="Présent"),0),IF('POINTAGE'!$AJ$5&lt;&gt;"",--('POINTAGE'!AJ30="Présent"),0),IF('POINTAGE'!$AL$5&lt;&gt;"",--('POINTAGE'!AL30="Présent"),0),IF('POINTAGE'!$AN$5&lt;&gt;"",--('POINTAGE'!AN30="Présent"),0),IF('POINTAGE'!$AP$5&lt;&gt;"",--('POINTAGE'!AP30="Présent"),0),IF('POINTAGE'!$AR$5&lt;&gt;"",--('POINTAGE'!AR30="Présent"),0),IF('POINTAGE'!$AT$5&lt;&gt;"",--('POINTAGE'!AT30="Présent"),0),IF('POINTAGE'!$AV$5&lt;&gt;"",--('POINTAGE'!AV30="Présent"),0),IF('POINTAGE'!$AX$5&lt;&gt;"",--('POINTAGE'!AX30="Présent"),0),IF('POINTAGE'!$AZ$5&lt;&gt;"",--('POINTAGE'!AZ30="Présent"),0),IF('POINTAGE'!$BB$5&lt;&gt;"",--('POINTAGE'!BB30="Présent"),0),IF('POINTAGE'!$BD$5&lt;&gt;"",--('POINTAGE'!BD30="Présent"),0),IF('POINTAGE'!$BF$5&lt;&gt;"",--('POINTAGE'!BF30="Présent"),0),IF('POINTAGE'!$BH$5&lt;&gt;"",--('POINTAGE'!BH30="Présent"),0),IF('POINTAGE'!$BJ$5&lt;&gt;"",--('POINTAGE'!BJ30="Présent"),0),IF('POINTAGE'!$BL$5&lt;&gt;"",--('POINTAGE'!BL30="Présent"),0)))</f>
      </c>
      <c r="O30" s="22">
        <f>IF($A30="","",SUM(IF('POINTAGE'!$AH$5&lt;&gt;"",--('POINTAGE'!AH30="Absent"),0),IF('POINTAGE'!$AJ$5&lt;&gt;"",--('POINTAGE'!AJ30="Absent"),0),IF('POINTAGE'!$AL$5&lt;&gt;"",--('POINTAGE'!AL30="Absent"),0),IF('POINTAGE'!$AN$5&lt;&gt;"",--('POINTAGE'!AN30="Absent"),0),IF('POINTAGE'!$AP$5&lt;&gt;"",--('POINTAGE'!AP30="Absent"),0),IF('POINTAGE'!$AR$5&lt;&gt;"",--('POINTAGE'!AR30="Absent"),0),IF('POINTAGE'!$AT$5&lt;&gt;"",--('POINTAGE'!AT30="Absent"),0),IF('POINTAGE'!$AV$5&lt;&gt;"",--('POINTAGE'!AV30="Absent"),0),IF('POINTAGE'!$AX$5&lt;&gt;"",--('POINTAGE'!AX30="Absent"),0),IF('POINTAGE'!$AZ$5&lt;&gt;"",--('POINTAGE'!AZ30="Absent"),0),IF('POINTAGE'!$BB$5&lt;&gt;"",--('POINTAGE'!BB30="Absent"),0),IF('POINTAGE'!$BD$5&lt;&gt;"",--('POINTAGE'!BD30="Absent"),0),IF('POINTAGE'!$BF$5&lt;&gt;"",--('POINTAGE'!BF30="Absent"),0),IF('POINTAGE'!$BH$5&lt;&gt;"",--('POINTAGE'!BH30="Absent"),0),IF('POINTAGE'!$BJ$5&lt;&gt;"",--('POINTAGE'!BJ30="Absent"),0),IF('POINTAGE'!$BL$5&lt;&gt;"",--('POINTAGE'!BL30="Absent"),0)))</f>
      </c>
      <c r="P30" s="23">
        <f>IF($A30="","",SUM(IF('POINTAGE'!$AH$5&lt;&gt;"",IF('POINTAGE'!AH30="Présent",'POINTAGE'!AI30,0),0),IF('POINTAGE'!$AJ$5&lt;&gt;"",IF('POINTAGE'!AJ30="Présent",'POINTAGE'!AK30,0),0),IF('POINTAGE'!$AL$5&lt;&gt;"",IF('POINTAGE'!AL30="Présent",'POINTAGE'!AM30,0),0),IF('POINTAGE'!$AN$5&lt;&gt;"",IF('POINTAGE'!AN30="Présent",'POINTAGE'!AO30,0),0),IF('POINTAGE'!$AP$5&lt;&gt;"",IF('POINTAGE'!AP30="Présent",'POINTAGE'!AQ30,0),0),IF('POINTAGE'!$AR$5&lt;&gt;"",IF('POINTAGE'!AR30="Présent",'POINTAGE'!AS30,0),0),IF('POINTAGE'!$AT$5&lt;&gt;"",IF('POINTAGE'!AT30="Présent",'POINTAGE'!AU30,0),0),IF('POINTAGE'!$AV$5&lt;&gt;"",IF('POINTAGE'!AV30="Présent",'POINTAGE'!AW30,0),0),IF('POINTAGE'!$AX$5&lt;&gt;"",IF('POINTAGE'!AX30="Présent",'POINTAGE'!AY30,0),0),IF('POINTAGE'!$AZ$5&lt;&gt;"",IF('POINTAGE'!AZ30="Présent",'POINTAGE'!BA30,0),0),IF('POINTAGE'!$BB$5&lt;&gt;"",IF('POINTAGE'!BB30="Présent",'POINTAGE'!BC30,0),0),IF('POINTAGE'!$BD$5&lt;&gt;"",IF('POINTAGE'!BD30="Présent",'POINTAGE'!BE30,0),0),IF('POINTAGE'!$BF$5&lt;&gt;"",IF('POINTAGE'!BF30="Présent",'POINTAGE'!BG30,0),0),IF('POINTAGE'!$BH$5&lt;&gt;"",IF('POINTAGE'!BH30="Présent",'POINTAGE'!BI30,0),0),IF('POINTAGE'!$BJ$5&lt;&gt;"",IF('POINTAGE'!BJ30="Présent",'POINTAGE'!BK30,0),0),IF('POINTAGE'!$BL$5&lt;&gt;"",IF('POINTAGE'!BL30="Présent",'POINTAGE'!BM30,0),0)))</f>
      </c>
      <c r="Q30" s="24">
        <f>IF($A30="","",$N30*$D30)</f>
      </c>
      <c r="R30" s="24">
        <f>IF($A30="","",$P30*$E30)</f>
      </c>
      <c r="S30" s="25">
        <f>IF($A30="","",$Q30+$R30)</f>
      </c>
      <c r="T30" s="18"/>
      <c r="U30" s="25">
        <f>IF($A30="","",MAX(0,$S30-$T30))</f>
      </c>
      <c r="V30" s="25">
        <f>IF($A30="","",$K30+$S30)</f>
      </c>
      <c r="W30" s="24">
        <f>IF($A30="","",$L30+$T30)</f>
      </c>
      <c r="X30" s="25">
        <f>IF($A30="","",$M30+$U30)</f>
      </c>
      <c r="Y30" s="29">
        <f>IF($A30="","",$J30+$R30)</f>
      </c>
    </row>
    <row r="31">
      <c r="A31" s="20">
        <f>IF('POINTAGE'!A31="","",'POINTAGE'!A31)</f>
      </c>
      <c r="B31" s="19">
        <f>IF($A31="","",'POINTAGE'!B31)</f>
      </c>
      <c r="C31" s="20">
        <f>IF($A31="","",'POINTAGE'!C31)</f>
      </c>
      <c r="D31" s="24">
        <f>IF($A31="","",IFERROR(INDEX(Categories_Salaire,MATCH($C31,ListeCategories,0)),0))</f>
      </c>
      <c r="E31" s="24">
        <f>IF($A31="","",IF(IFERROR(INDEX(Categories_TauxHS,MATCH($C31,ListeCategories,0)),0)&gt;0,IFERROR(INDEX(Categories_TauxHS,MATCH($C31,ListeCategories,0)),0),TauxHSDefaut))</f>
      </c>
      <c r="F31" s="22">
        <f>IF($A31="","",SUM(IF('POINTAGE'!$D$5&lt;&gt;"",--('POINTAGE'!D31="Présent"),0),IF('POINTAGE'!$F$5&lt;&gt;"",--('POINTAGE'!F31="Présent"),0),IF('POINTAGE'!$H$5&lt;&gt;"",--('POINTAGE'!H31="Présent"),0),IF('POINTAGE'!$J$5&lt;&gt;"",--('POINTAGE'!J31="Présent"),0),IF('POINTAGE'!$L$5&lt;&gt;"",--('POINTAGE'!L31="Présent"),0),IF('POINTAGE'!$N$5&lt;&gt;"",--('POINTAGE'!N31="Présent"),0),IF('POINTAGE'!$P$5&lt;&gt;"",--('POINTAGE'!P31="Présent"),0),IF('POINTAGE'!$R$5&lt;&gt;"",--('POINTAGE'!R31="Présent"),0),IF('POINTAGE'!$T$5&lt;&gt;"",--('POINTAGE'!T31="Présent"),0),IF('POINTAGE'!$V$5&lt;&gt;"",--('POINTAGE'!V31="Présent"),0),IF('POINTAGE'!$X$5&lt;&gt;"",--('POINTAGE'!X31="Présent"),0),IF('POINTAGE'!$Z$5&lt;&gt;"",--('POINTAGE'!Z31="Présent"),0),IF('POINTAGE'!$AB$5&lt;&gt;"",--('POINTAGE'!AB31="Présent"),0),IF('POINTAGE'!$AD$5&lt;&gt;"",--('POINTAGE'!AD31="Présent"),0),IF('POINTAGE'!$AF$5&lt;&gt;"",--('POINTAGE'!AF31="Présent"),0)))</f>
      </c>
      <c r="G31" s="22">
        <f>IF($A31="","",SUM(IF('POINTAGE'!$D$5&lt;&gt;"",--('POINTAGE'!D31="Absent"),0),IF('POINTAGE'!$F$5&lt;&gt;"",--('POINTAGE'!F31="Absent"),0),IF('POINTAGE'!$H$5&lt;&gt;"",--('POINTAGE'!H31="Absent"),0),IF('POINTAGE'!$J$5&lt;&gt;"",--('POINTAGE'!J31="Absent"),0),IF('POINTAGE'!$L$5&lt;&gt;"",--('POINTAGE'!L31="Absent"),0),IF('POINTAGE'!$N$5&lt;&gt;"",--('POINTAGE'!N31="Absent"),0),IF('POINTAGE'!$P$5&lt;&gt;"",--('POINTAGE'!P31="Absent"),0),IF('POINTAGE'!$R$5&lt;&gt;"",--('POINTAGE'!R31="Absent"),0),IF('POINTAGE'!$T$5&lt;&gt;"",--('POINTAGE'!T31="Absent"),0),IF('POINTAGE'!$V$5&lt;&gt;"",--('POINTAGE'!V31="Absent"),0),IF('POINTAGE'!$X$5&lt;&gt;"",--('POINTAGE'!X31="Absent"),0),IF('POINTAGE'!$Z$5&lt;&gt;"",--('POINTAGE'!Z31="Absent"),0),IF('POINTAGE'!$AB$5&lt;&gt;"",--('POINTAGE'!AB31="Absent"),0),IF('POINTAGE'!$AD$5&lt;&gt;"",--('POINTAGE'!AD31="Absent"),0),IF('POINTAGE'!$AF$5&lt;&gt;"",--('POINTAGE'!AF31="Absent"),0)))</f>
      </c>
      <c r="H31" s="23">
        <f>IF($A31="","",SUM(IF('POINTAGE'!$D$5&lt;&gt;"",IF('POINTAGE'!D31="Présent",'POINTAGE'!E31,0),0),IF('POINTAGE'!$F$5&lt;&gt;"",IF('POINTAGE'!F31="Présent",'POINTAGE'!G31,0),0),IF('POINTAGE'!$H$5&lt;&gt;"",IF('POINTAGE'!H31="Présent",'POINTAGE'!I31,0),0),IF('POINTAGE'!$J$5&lt;&gt;"",IF('POINTAGE'!J31="Présent",'POINTAGE'!K31,0),0),IF('POINTAGE'!$L$5&lt;&gt;"",IF('POINTAGE'!L31="Présent",'POINTAGE'!M31,0),0),IF('POINTAGE'!$N$5&lt;&gt;"",IF('POINTAGE'!N31="Présent",'POINTAGE'!O31,0),0),IF('POINTAGE'!$P$5&lt;&gt;"",IF('POINTAGE'!P31="Présent",'POINTAGE'!Q31,0),0),IF('POINTAGE'!$R$5&lt;&gt;"",IF('POINTAGE'!R31="Présent",'POINTAGE'!S31,0),0),IF('POINTAGE'!$T$5&lt;&gt;"",IF('POINTAGE'!T31="Présent",'POINTAGE'!U31,0),0),IF('POINTAGE'!$V$5&lt;&gt;"",IF('POINTAGE'!V31="Présent",'POINTAGE'!W31,0),0),IF('POINTAGE'!$X$5&lt;&gt;"",IF('POINTAGE'!X31="Présent",'POINTAGE'!Y31,0),0),IF('POINTAGE'!$Z$5&lt;&gt;"",IF('POINTAGE'!Z31="Présent",'POINTAGE'!AA31,0),0),IF('POINTAGE'!$AB$5&lt;&gt;"",IF('POINTAGE'!AB31="Présent",'POINTAGE'!AC31,0),0),IF('POINTAGE'!$AD$5&lt;&gt;"",IF('POINTAGE'!AD31="Présent",'POINTAGE'!AE31,0),0),IF('POINTAGE'!$AF$5&lt;&gt;"",IF('POINTAGE'!AF31="Présent",'POINTAGE'!AG31,0),0)))</f>
      </c>
      <c r="I31" s="24">
        <f>IF($A31="","",$F31*$D31)</f>
      </c>
      <c r="J31" s="24">
        <f>IF($A31="","",$H31*$E31)</f>
      </c>
      <c r="K31" s="25">
        <f>IF($A31="","",$I31+$J31)</f>
      </c>
      <c r="L31" s="18"/>
      <c r="M31" s="25">
        <f>IF($A31="","",MAX(0,$K31-$L31))</f>
      </c>
      <c r="N31" s="22">
        <f>IF($A31="","",SUM(IF('POINTAGE'!$AH$5&lt;&gt;"",--('POINTAGE'!AH31="Présent"),0),IF('POINTAGE'!$AJ$5&lt;&gt;"",--('POINTAGE'!AJ31="Présent"),0),IF('POINTAGE'!$AL$5&lt;&gt;"",--('POINTAGE'!AL31="Présent"),0),IF('POINTAGE'!$AN$5&lt;&gt;"",--('POINTAGE'!AN31="Présent"),0),IF('POINTAGE'!$AP$5&lt;&gt;"",--('POINTAGE'!AP31="Présent"),0),IF('POINTAGE'!$AR$5&lt;&gt;"",--('POINTAGE'!AR31="Présent"),0),IF('POINTAGE'!$AT$5&lt;&gt;"",--('POINTAGE'!AT31="Présent"),0),IF('POINTAGE'!$AV$5&lt;&gt;"",--('POINTAGE'!AV31="Présent"),0),IF('POINTAGE'!$AX$5&lt;&gt;"",--('POINTAGE'!AX31="Présent"),0),IF('POINTAGE'!$AZ$5&lt;&gt;"",--('POINTAGE'!AZ31="Présent"),0),IF('POINTAGE'!$BB$5&lt;&gt;"",--('POINTAGE'!BB31="Présent"),0),IF('POINTAGE'!$BD$5&lt;&gt;"",--('POINTAGE'!BD31="Présent"),0),IF('POINTAGE'!$BF$5&lt;&gt;"",--('POINTAGE'!BF31="Présent"),0),IF('POINTAGE'!$BH$5&lt;&gt;"",--('POINTAGE'!BH31="Présent"),0),IF('POINTAGE'!$BJ$5&lt;&gt;"",--('POINTAGE'!BJ31="Présent"),0),IF('POINTAGE'!$BL$5&lt;&gt;"",--('POINTAGE'!BL31="Présent"),0)))</f>
      </c>
      <c r="O31" s="22">
        <f>IF($A31="","",SUM(IF('POINTAGE'!$AH$5&lt;&gt;"",--('POINTAGE'!AH31="Absent"),0),IF('POINTAGE'!$AJ$5&lt;&gt;"",--('POINTAGE'!AJ31="Absent"),0),IF('POINTAGE'!$AL$5&lt;&gt;"",--('POINTAGE'!AL31="Absent"),0),IF('POINTAGE'!$AN$5&lt;&gt;"",--('POINTAGE'!AN31="Absent"),0),IF('POINTAGE'!$AP$5&lt;&gt;"",--('POINTAGE'!AP31="Absent"),0),IF('POINTAGE'!$AR$5&lt;&gt;"",--('POINTAGE'!AR31="Absent"),0),IF('POINTAGE'!$AT$5&lt;&gt;"",--('POINTAGE'!AT31="Absent"),0),IF('POINTAGE'!$AV$5&lt;&gt;"",--('POINTAGE'!AV31="Absent"),0),IF('POINTAGE'!$AX$5&lt;&gt;"",--('POINTAGE'!AX31="Absent"),0),IF('POINTAGE'!$AZ$5&lt;&gt;"",--('POINTAGE'!AZ31="Absent"),0),IF('POINTAGE'!$BB$5&lt;&gt;"",--('POINTAGE'!BB31="Absent"),0),IF('POINTAGE'!$BD$5&lt;&gt;"",--('POINTAGE'!BD31="Absent"),0),IF('POINTAGE'!$BF$5&lt;&gt;"",--('POINTAGE'!BF31="Absent"),0),IF('POINTAGE'!$BH$5&lt;&gt;"",--('POINTAGE'!BH31="Absent"),0),IF('POINTAGE'!$BJ$5&lt;&gt;"",--('POINTAGE'!BJ31="Absent"),0),IF('POINTAGE'!$BL$5&lt;&gt;"",--('POINTAGE'!BL31="Absent"),0)))</f>
      </c>
      <c r="P31" s="23">
        <f>IF($A31="","",SUM(IF('POINTAGE'!$AH$5&lt;&gt;"",IF('POINTAGE'!AH31="Présent",'POINTAGE'!AI31,0),0),IF('POINTAGE'!$AJ$5&lt;&gt;"",IF('POINTAGE'!AJ31="Présent",'POINTAGE'!AK31,0),0),IF('POINTAGE'!$AL$5&lt;&gt;"",IF('POINTAGE'!AL31="Présent",'POINTAGE'!AM31,0),0),IF('POINTAGE'!$AN$5&lt;&gt;"",IF('POINTAGE'!AN31="Présent",'POINTAGE'!AO31,0),0),IF('POINTAGE'!$AP$5&lt;&gt;"",IF('POINTAGE'!AP31="Présent",'POINTAGE'!AQ31,0),0),IF('POINTAGE'!$AR$5&lt;&gt;"",IF('POINTAGE'!AR31="Présent",'POINTAGE'!AS31,0),0),IF('POINTAGE'!$AT$5&lt;&gt;"",IF('POINTAGE'!AT31="Présent",'POINTAGE'!AU31,0),0),IF('POINTAGE'!$AV$5&lt;&gt;"",IF('POINTAGE'!AV31="Présent",'POINTAGE'!AW31,0),0),IF('POINTAGE'!$AX$5&lt;&gt;"",IF('POINTAGE'!AX31="Présent",'POINTAGE'!AY31,0),0),IF('POINTAGE'!$AZ$5&lt;&gt;"",IF('POINTAGE'!AZ31="Présent",'POINTAGE'!BA31,0),0),IF('POINTAGE'!$BB$5&lt;&gt;"",IF('POINTAGE'!BB31="Présent",'POINTAGE'!BC31,0),0),IF('POINTAGE'!$BD$5&lt;&gt;"",IF('POINTAGE'!BD31="Présent",'POINTAGE'!BE31,0),0),IF('POINTAGE'!$BF$5&lt;&gt;"",IF('POINTAGE'!BF31="Présent",'POINTAGE'!BG31,0),0),IF('POINTAGE'!$BH$5&lt;&gt;"",IF('POINTAGE'!BH31="Présent",'POINTAGE'!BI31,0),0),IF('POINTAGE'!$BJ$5&lt;&gt;"",IF('POINTAGE'!BJ31="Présent",'POINTAGE'!BK31,0),0),IF('POINTAGE'!$BL$5&lt;&gt;"",IF('POINTAGE'!BL31="Présent",'POINTAGE'!BM31,0),0)))</f>
      </c>
      <c r="Q31" s="24">
        <f>IF($A31="","",$N31*$D31)</f>
      </c>
      <c r="R31" s="24">
        <f>IF($A31="","",$P31*$E31)</f>
      </c>
      <c r="S31" s="25">
        <f>IF($A31="","",$Q31+$R31)</f>
      </c>
      <c r="T31" s="18"/>
      <c r="U31" s="25">
        <f>IF($A31="","",MAX(0,$S31-$T31))</f>
      </c>
      <c r="V31" s="25">
        <f>IF($A31="","",$K31+$S31)</f>
      </c>
      <c r="W31" s="24">
        <f>IF($A31="","",$L31+$T31)</f>
      </c>
      <c r="X31" s="25">
        <f>IF($A31="","",$M31+$U31)</f>
      </c>
      <c r="Y31" s="29">
        <f>IF($A31="","",$J31+$R31)</f>
      </c>
    </row>
    <row r="32">
      <c r="A32" s="20">
        <f>IF('POINTAGE'!A32="","",'POINTAGE'!A32)</f>
      </c>
      <c r="B32" s="19">
        <f>IF($A32="","",'POINTAGE'!B32)</f>
      </c>
      <c r="C32" s="20">
        <f>IF($A32="","",'POINTAGE'!C32)</f>
      </c>
      <c r="D32" s="24">
        <f>IF($A32="","",IFERROR(INDEX(Categories_Salaire,MATCH($C32,ListeCategories,0)),0))</f>
      </c>
      <c r="E32" s="24">
        <f>IF($A32="","",IF(IFERROR(INDEX(Categories_TauxHS,MATCH($C32,ListeCategories,0)),0)&gt;0,IFERROR(INDEX(Categories_TauxHS,MATCH($C32,ListeCategories,0)),0),TauxHSDefaut))</f>
      </c>
      <c r="F32" s="22">
        <f>IF($A32="","",SUM(IF('POINTAGE'!$D$5&lt;&gt;"",--('POINTAGE'!D32="Présent"),0),IF('POINTAGE'!$F$5&lt;&gt;"",--('POINTAGE'!F32="Présent"),0),IF('POINTAGE'!$H$5&lt;&gt;"",--('POINTAGE'!H32="Présent"),0),IF('POINTAGE'!$J$5&lt;&gt;"",--('POINTAGE'!J32="Présent"),0),IF('POINTAGE'!$L$5&lt;&gt;"",--('POINTAGE'!L32="Présent"),0),IF('POINTAGE'!$N$5&lt;&gt;"",--('POINTAGE'!N32="Présent"),0),IF('POINTAGE'!$P$5&lt;&gt;"",--('POINTAGE'!P32="Présent"),0),IF('POINTAGE'!$R$5&lt;&gt;"",--('POINTAGE'!R32="Présent"),0),IF('POINTAGE'!$T$5&lt;&gt;"",--('POINTAGE'!T32="Présent"),0),IF('POINTAGE'!$V$5&lt;&gt;"",--('POINTAGE'!V32="Présent"),0),IF('POINTAGE'!$X$5&lt;&gt;"",--('POINTAGE'!X32="Présent"),0),IF('POINTAGE'!$Z$5&lt;&gt;"",--('POINTAGE'!Z32="Présent"),0),IF('POINTAGE'!$AB$5&lt;&gt;"",--('POINTAGE'!AB32="Présent"),0),IF('POINTAGE'!$AD$5&lt;&gt;"",--('POINTAGE'!AD32="Présent"),0),IF('POINTAGE'!$AF$5&lt;&gt;"",--('POINTAGE'!AF32="Présent"),0)))</f>
      </c>
      <c r="G32" s="22">
        <f>IF($A32="","",SUM(IF('POINTAGE'!$D$5&lt;&gt;"",--('POINTAGE'!D32="Absent"),0),IF('POINTAGE'!$F$5&lt;&gt;"",--('POINTAGE'!F32="Absent"),0),IF('POINTAGE'!$H$5&lt;&gt;"",--('POINTAGE'!H32="Absent"),0),IF('POINTAGE'!$J$5&lt;&gt;"",--('POINTAGE'!J32="Absent"),0),IF('POINTAGE'!$L$5&lt;&gt;"",--('POINTAGE'!L32="Absent"),0),IF('POINTAGE'!$N$5&lt;&gt;"",--('POINTAGE'!N32="Absent"),0),IF('POINTAGE'!$P$5&lt;&gt;"",--('POINTAGE'!P32="Absent"),0),IF('POINTAGE'!$R$5&lt;&gt;"",--('POINTAGE'!R32="Absent"),0),IF('POINTAGE'!$T$5&lt;&gt;"",--('POINTAGE'!T32="Absent"),0),IF('POINTAGE'!$V$5&lt;&gt;"",--('POINTAGE'!V32="Absent"),0),IF('POINTAGE'!$X$5&lt;&gt;"",--('POINTAGE'!X32="Absent"),0),IF('POINTAGE'!$Z$5&lt;&gt;"",--('POINTAGE'!Z32="Absent"),0),IF('POINTAGE'!$AB$5&lt;&gt;"",--('POINTAGE'!AB32="Absent"),0),IF('POINTAGE'!$AD$5&lt;&gt;"",--('POINTAGE'!AD32="Absent"),0),IF('POINTAGE'!$AF$5&lt;&gt;"",--('POINTAGE'!AF32="Absent"),0)))</f>
      </c>
      <c r="H32" s="23">
        <f>IF($A32="","",SUM(IF('POINTAGE'!$D$5&lt;&gt;"",IF('POINTAGE'!D32="Présent",'POINTAGE'!E32,0),0),IF('POINTAGE'!$F$5&lt;&gt;"",IF('POINTAGE'!F32="Présent",'POINTAGE'!G32,0),0),IF('POINTAGE'!$H$5&lt;&gt;"",IF('POINTAGE'!H32="Présent",'POINTAGE'!I32,0),0),IF('POINTAGE'!$J$5&lt;&gt;"",IF('POINTAGE'!J32="Présent",'POINTAGE'!K32,0),0),IF('POINTAGE'!$L$5&lt;&gt;"",IF('POINTAGE'!L32="Présent",'POINTAGE'!M32,0),0),IF('POINTAGE'!$N$5&lt;&gt;"",IF('POINTAGE'!N32="Présent",'POINTAGE'!O32,0),0),IF('POINTAGE'!$P$5&lt;&gt;"",IF('POINTAGE'!P32="Présent",'POINTAGE'!Q32,0),0),IF('POINTAGE'!$R$5&lt;&gt;"",IF('POINTAGE'!R32="Présent",'POINTAGE'!S32,0),0),IF('POINTAGE'!$T$5&lt;&gt;"",IF('POINTAGE'!T32="Présent",'POINTAGE'!U32,0),0),IF('POINTAGE'!$V$5&lt;&gt;"",IF('POINTAGE'!V32="Présent",'POINTAGE'!W32,0),0),IF('POINTAGE'!$X$5&lt;&gt;"",IF('POINTAGE'!X32="Présent",'POINTAGE'!Y32,0),0),IF('POINTAGE'!$Z$5&lt;&gt;"",IF('POINTAGE'!Z32="Présent",'POINTAGE'!AA32,0),0),IF('POINTAGE'!$AB$5&lt;&gt;"",IF('POINTAGE'!AB32="Présent",'POINTAGE'!AC32,0),0),IF('POINTAGE'!$AD$5&lt;&gt;"",IF('POINTAGE'!AD32="Présent",'POINTAGE'!AE32,0),0),IF('POINTAGE'!$AF$5&lt;&gt;"",IF('POINTAGE'!AF32="Présent",'POINTAGE'!AG32,0),0)))</f>
      </c>
      <c r="I32" s="24">
        <f>IF($A32="","",$F32*$D32)</f>
      </c>
      <c r="J32" s="24">
        <f>IF($A32="","",$H32*$E32)</f>
      </c>
      <c r="K32" s="25">
        <f>IF($A32="","",$I32+$J32)</f>
      </c>
      <c r="L32" s="18"/>
      <c r="M32" s="25">
        <f>IF($A32="","",MAX(0,$K32-$L32))</f>
      </c>
      <c r="N32" s="22">
        <f>IF($A32="","",SUM(IF('POINTAGE'!$AH$5&lt;&gt;"",--('POINTAGE'!AH32="Présent"),0),IF('POINTAGE'!$AJ$5&lt;&gt;"",--('POINTAGE'!AJ32="Présent"),0),IF('POINTAGE'!$AL$5&lt;&gt;"",--('POINTAGE'!AL32="Présent"),0),IF('POINTAGE'!$AN$5&lt;&gt;"",--('POINTAGE'!AN32="Présent"),0),IF('POINTAGE'!$AP$5&lt;&gt;"",--('POINTAGE'!AP32="Présent"),0),IF('POINTAGE'!$AR$5&lt;&gt;"",--('POINTAGE'!AR32="Présent"),0),IF('POINTAGE'!$AT$5&lt;&gt;"",--('POINTAGE'!AT32="Présent"),0),IF('POINTAGE'!$AV$5&lt;&gt;"",--('POINTAGE'!AV32="Présent"),0),IF('POINTAGE'!$AX$5&lt;&gt;"",--('POINTAGE'!AX32="Présent"),0),IF('POINTAGE'!$AZ$5&lt;&gt;"",--('POINTAGE'!AZ32="Présent"),0),IF('POINTAGE'!$BB$5&lt;&gt;"",--('POINTAGE'!BB32="Présent"),0),IF('POINTAGE'!$BD$5&lt;&gt;"",--('POINTAGE'!BD32="Présent"),0),IF('POINTAGE'!$BF$5&lt;&gt;"",--('POINTAGE'!BF32="Présent"),0),IF('POINTAGE'!$BH$5&lt;&gt;"",--('POINTAGE'!BH32="Présent"),0),IF('POINTAGE'!$BJ$5&lt;&gt;"",--('POINTAGE'!BJ32="Présent"),0),IF('POINTAGE'!$BL$5&lt;&gt;"",--('POINTAGE'!BL32="Présent"),0)))</f>
      </c>
      <c r="O32" s="22">
        <f>IF($A32="","",SUM(IF('POINTAGE'!$AH$5&lt;&gt;"",--('POINTAGE'!AH32="Absent"),0),IF('POINTAGE'!$AJ$5&lt;&gt;"",--('POINTAGE'!AJ32="Absent"),0),IF('POINTAGE'!$AL$5&lt;&gt;"",--('POINTAGE'!AL32="Absent"),0),IF('POINTAGE'!$AN$5&lt;&gt;"",--('POINTAGE'!AN32="Absent"),0),IF('POINTAGE'!$AP$5&lt;&gt;"",--('POINTAGE'!AP32="Absent"),0),IF('POINTAGE'!$AR$5&lt;&gt;"",--('POINTAGE'!AR32="Absent"),0),IF('POINTAGE'!$AT$5&lt;&gt;"",--('POINTAGE'!AT32="Absent"),0),IF('POINTAGE'!$AV$5&lt;&gt;"",--('POINTAGE'!AV32="Absent"),0),IF('POINTAGE'!$AX$5&lt;&gt;"",--('POINTAGE'!AX32="Absent"),0),IF('POINTAGE'!$AZ$5&lt;&gt;"",--('POINTAGE'!AZ32="Absent"),0),IF('POINTAGE'!$BB$5&lt;&gt;"",--('POINTAGE'!BB32="Absent"),0),IF('POINTAGE'!$BD$5&lt;&gt;"",--('POINTAGE'!BD32="Absent"),0),IF('POINTAGE'!$BF$5&lt;&gt;"",--('POINTAGE'!BF32="Absent"),0),IF('POINTAGE'!$BH$5&lt;&gt;"",--('POINTAGE'!BH32="Absent"),0),IF('POINTAGE'!$BJ$5&lt;&gt;"",--('POINTAGE'!BJ32="Absent"),0),IF('POINTAGE'!$BL$5&lt;&gt;"",--('POINTAGE'!BL32="Absent"),0)))</f>
      </c>
      <c r="P32" s="23">
        <f>IF($A32="","",SUM(IF('POINTAGE'!$AH$5&lt;&gt;"",IF('POINTAGE'!AH32="Présent",'POINTAGE'!AI32,0),0),IF('POINTAGE'!$AJ$5&lt;&gt;"",IF('POINTAGE'!AJ32="Présent",'POINTAGE'!AK32,0),0),IF('POINTAGE'!$AL$5&lt;&gt;"",IF('POINTAGE'!AL32="Présent",'POINTAGE'!AM32,0),0),IF('POINTAGE'!$AN$5&lt;&gt;"",IF('POINTAGE'!AN32="Présent",'POINTAGE'!AO32,0),0),IF('POINTAGE'!$AP$5&lt;&gt;"",IF('POINTAGE'!AP32="Présent",'POINTAGE'!AQ32,0),0),IF('POINTAGE'!$AR$5&lt;&gt;"",IF('POINTAGE'!AR32="Présent",'POINTAGE'!AS32,0),0),IF('POINTAGE'!$AT$5&lt;&gt;"",IF('POINTAGE'!AT32="Présent",'POINTAGE'!AU32,0),0),IF('POINTAGE'!$AV$5&lt;&gt;"",IF('POINTAGE'!AV32="Présent",'POINTAGE'!AW32,0),0),IF('POINTAGE'!$AX$5&lt;&gt;"",IF('POINTAGE'!AX32="Présent",'POINTAGE'!AY32,0),0),IF('POINTAGE'!$AZ$5&lt;&gt;"",IF('POINTAGE'!AZ32="Présent",'POINTAGE'!BA32,0),0),IF('POINTAGE'!$BB$5&lt;&gt;"",IF('POINTAGE'!BB32="Présent",'POINTAGE'!BC32,0),0),IF('POINTAGE'!$BD$5&lt;&gt;"",IF('POINTAGE'!BD32="Présent",'POINTAGE'!BE32,0),0),IF('POINTAGE'!$BF$5&lt;&gt;"",IF('POINTAGE'!BF32="Présent",'POINTAGE'!BG32,0),0),IF('POINTAGE'!$BH$5&lt;&gt;"",IF('POINTAGE'!BH32="Présent",'POINTAGE'!BI32,0),0),IF('POINTAGE'!$BJ$5&lt;&gt;"",IF('POINTAGE'!BJ32="Présent",'POINTAGE'!BK32,0),0),IF('POINTAGE'!$BL$5&lt;&gt;"",IF('POINTAGE'!BL32="Présent",'POINTAGE'!BM32,0),0)))</f>
      </c>
      <c r="Q32" s="24">
        <f>IF($A32="","",$N32*$D32)</f>
      </c>
      <c r="R32" s="24">
        <f>IF($A32="","",$P32*$E32)</f>
      </c>
      <c r="S32" s="25">
        <f>IF($A32="","",$Q32+$R32)</f>
      </c>
      <c r="T32" s="18"/>
      <c r="U32" s="25">
        <f>IF($A32="","",MAX(0,$S32-$T32))</f>
      </c>
      <c r="V32" s="25">
        <f>IF($A32="","",$K32+$S32)</f>
      </c>
      <c r="W32" s="24">
        <f>IF($A32="","",$L32+$T32)</f>
      </c>
      <c r="X32" s="25">
        <f>IF($A32="","",$M32+$U32)</f>
      </c>
      <c r="Y32" s="29">
        <f>IF($A32="","",$J32+$R32)</f>
      </c>
    </row>
    <row r="33">
      <c r="A33" s="20">
        <f>IF('POINTAGE'!A33="","",'POINTAGE'!A33)</f>
      </c>
      <c r="B33" s="19">
        <f>IF($A33="","",'POINTAGE'!B33)</f>
      </c>
      <c r="C33" s="20">
        <f>IF($A33="","",'POINTAGE'!C33)</f>
      </c>
      <c r="D33" s="24">
        <f>IF($A33="","",IFERROR(INDEX(Categories_Salaire,MATCH($C33,ListeCategories,0)),0))</f>
      </c>
      <c r="E33" s="24">
        <f>IF($A33="","",IF(IFERROR(INDEX(Categories_TauxHS,MATCH($C33,ListeCategories,0)),0)&gt;0,IFERROR(INDEX(Categories_TauxHS,MATCH($C33,ListeCategories,0)),0),TauxHSDefaut))</f>
      </c>
      <c r="F33" s="22">
        <f>IF($A33="","",SUM(IF('POINTAGE'!$D$5&lt;&gt;"",--('POINTAGE'!D33="Présent"),0),IF('POINTAGE'!$F$5&lt;&gt;"",--('POINTAGE'!F33="Présent"),0),IF('POINTAGE'!$H$5&lt;&gt;"",--('POINTAGE'!H33="Présent"),0),IF('POINTAGE'!$J$5&lt;&gt;"",--('POINTAGE'!J33="Présent"),0),IF('POINTAGE'!$L$5&lt;&gt;"",--('POINTAGE'!L33="Présent"),0),IF('POINTAGE'!$N$5&lt;&gt;"",--('POINTAGE'!N33="Présent"),0),IF('POINTAGE'!$P$5&lt;&gt;"",--('POINTAGE'!P33="Présent"),0),IF('POINTAGE'!$R$5&lt;&gt;"",--('POINTAGE'!R33="Présent"),0),IF('POINTAGE'!$T$5&lt;&gt;"",--('POINTAGE'!T33="Présent"),0),IF('POINTAGE'!$V$5&lt;&gt;"",--('POINTAGE'!V33="Présent"),0),IF('POINTAGE'!$X$5&lt;&gt;"",--('POINTAGE'!X33="Présent"),0),IF('POINTAGE'!$Z$5&lt;&gt;"",--('POINTAGE'!Z33="Présent"),0),IF('POINTAGE'!$AB$5&lt;&gt;"",--('POINTAGE'!AB33="Présent"),0),IF('POINTAGE'!$AD$5&lt;&gt;"",--('POINTAGE'!AD33="Présent"),0),IF('POINTAGE'!$AF$5&lt;&gt;"",--('POINTAGE'!AF33="Présent"),0)))</f>
      </c>
      <c r="G33" s="22">
        <f>IF($A33="","",SUM(IF('POINTAGE'!$D$5&lt;&gt;"",--('POINTAGE'!D33="Absent"),0),IF('POINTAGE'!$F$5&lt;&gt;"",--('POINTAGE'!F33="Absent"),0),IF('POINTAGE'!$H$5&lt;&gt;"",--('POINTAGE'!H33="Absent"),0),IF('POINTAGE'!$J$5&lt;&gt;"",--('POINTAGE'!J33="Absent"),0),IF('POINTAGE'!$L$5&lt;&gt;"",--('POINTAGE'!L33="Absent"),0),IF('POINTAGE'!$N$5&lt;&gt;"",--('POINTAGE'!N33="Absent"),0),IF('POINTAGE'!$P$5&lt;&gt;"",--('POINTAGE'!P33="Absent"),0),IF('POINTAGE'!$R$5&lt;&gt;"",--('POINTAGE'!R33="Absent"),0),IF('POINTAGE'!$T$5&lt;&gt;"",--('POINTAGE'!T33="Absent"),0),IF('POINTAGE'!$V$5&lt;&gt;"",--('POINTAGE'!V33="Absent"),0),IF('POINTAGE'!$X$5&lt;&gt;"",--('POINTAGE'!X33="Absent"),0),IF('POINTAGE'!$Z$5&lt;&gt;"",--('POINTAGE'!Z33="Absent"),0),IF('POINTAGE'!$AB$5&lt;&gt;"",--('POINTAGE'!AB33="Absent"),0),IF('POINTAGE'!$AD$5&lt;&gt;"",--('POINTAGE'!AD33="Absent"),0),IF('POINTAGE'!$AF$5&lt;&gt;"",--('POINTAGE'!AF33="Absent"),0)))</f>
      </c>
      <c r="H33" s="23">
        <f>IF($A33="","",SUM(IF('POINTAGE'!$D$5&lt;&gt;"",IF('POINTAGE'!D33="Présent",'POINTAGE'!E33,0),0),IF('POINTAGE'!$F$5&lt;&gt;"",IF('POINTAGE'!F33="Présent",'POINTAGE'!G33,0),0),IF('POINTAGE'!$H$5&lt;&gt;"",IF('POINTAGE'!H33="Présent",'POINTAGE'!I33,0),0),IF('POINTAGE'!$J$5&lt;&gt;"",IF('POINTAGE'!J33="Présent",'POINTAGE'!K33,0),0),IF('POINTAGE'!$L$5&lt;&gt;"",IF('POINTAGE'!L33="Présent",'POINTAGE'!M33,0),0),IF('POINTAGE'!$N$5&lt;&gt;"",IF('POINTAGE'!N33="Présent",'POINTAGE'!O33,0),0),IF('POINTAGE'!$P$5&lt;&gt;"",IF('POINTAGE'!P33="Présent",'POINTAGE'!Q33,0),0),IF('POINTAGE'!$R$5&lt;&gt;"",IF('POINTAGE'!R33="Présent",'POINTAGE'!S33,0),0),IF('POINTAGE'!$T$5&lt;&gt;"",IF('POINTAGE'!T33="Présent",'POINTAGE'!U33,0),0),IF('POINTAGE'!$V$5&lt;&gt;"",IF('POINTAGE'!V33="Présent",'POINTAGE'!W33,0),0),IF('POINTAGE'!$X$5&lt;&gt;"",IF('POINTAGE'!X33="Présent",'POINTAGE'!Y33,0),0),IF('POINTAGE'!$Z$5&lt;&gt;"",IF('POINTAGE'!Z33="Présent",'POINTAGE'!AA33,0),0),IF('POINTAGE'!$AB$5&lt;&gt;"",IF('POINTAGE'!AB33="Présent",'POINTAGE'!AC33,0),0),IF('POINTAGE'!$AD$5&lt;&gt;"",IF('POINTAGE'!AD33="Présent",'POINTAGE'!AE33,0),0),IF('POINTAGE'!$AF$5&lt;&gt;"",IF('POINTAGE'!AF33="Présent",'POINTAGE'!AG33,0),0)))</f>
      </c>
      <c r="I33" s="24">
        <f>IF($A33="","",$F33*$D33)</f>
      </c>
      <c r="J33" s="24">
        <f>IF($A33="","",$H33*$E33)</f>
      </c>
      <c r="K33" s="25">
        <f>IF($A33="","",$I33+$J33)</f>
      </c>
      <c r="L33" s="18"/>
      <c r="M33" s="25">
        <f>IF($A33="","",MAX(0,$K33-$L33))</f>
      </c>
      <c r="N33" s="22">
        <f>IF($A33="","",SUM(IF('POINTAGE'!$AH$5&lt;&gt;"",--('POINTAGE'!AH33="Présent"),0),IF('POINTAGE'!$AJ$5&lt;&gt;"",--('POINTAGE'!AJ33="Présent"),0),IF('POINTAGE'!$AL$5&lt;&gt;"",--('POINTAGE'!AL33="Présent"),0),IF('POINTAGE'!$AN$5&lt;&gt;"",--('POINTAGE'!AN33="Présent"),0),IF('POINTAGE'!$AP$5&lt;&gt;"",--('POINTAGE'!AP33="Présent"),0),IF('POINTAGE'!$AR$5&lt;&gt;"",--('POINTAGE'!AR33="Présent"),0),IF('POINTAGE'!$AT$5&lt;&gt;"",--('POINTAGE'!AT33="Présent"),0),IF('POINTAGE'!$AV$5&lt;&gt;"",--('POINTAGE'!AV33="Présent"),0),IF('POINTAGE'!$AX$5&lt;&gt;"",--('POINTAGE'!AX33="Présent"),0),IF('POINTAGE'!$AZ$5&lt;&gt;"",--('POINTAGE'!AZ33="Présent"),0),IF('POINTAGE'!$BB$5&lt;&gt;"",--('POINTAGE'!BB33="Présent"),0),IF('POINTAGE'!$BD$5&lt;&gt;"",--('POINTAGE'!BD33="Présent"),0),IF('POINTAGE'!$BF$5&lt;&gt;"",--('POINTAGE'!BF33="Présent"),0),IF('POINTAGE'!$BH$5&lt;&gt;"",--('POINTAGE'!BH33="Présent"),0),IF('POINTAGE'!$BJ$5&lt;&gt;"",--('POINTAGE'!BJ33="Présent"),0),IF('POINTAGE'!$BL$5&lt;&gt;"",--('POINTAGE'!BL33="Présent"),0)))</f>
      </c>
      <c r="O33" s="22">
        <f>IF($A33="","",SUM(IF('POINTAGE'!$AH$5&lt;&gt;"",--('POINTAGE'!AH33="Absent"),0),IF('POINTAGE'!$AJ$5&lt;&gt;"",--('POINTAGE'!AJ33="Absent"),0),IF('POINTAGE'!$AL$5&lt;&gt;"",--('POINTAGE'!AL33="Absent"),0),IF('POINTAGE'!$AN$5&lt;&gt;"",--('POINTAGE'!AN33="Absent"),0),IF('POINTAGE'!$AP$5&lt;&gt;"",--('POINTAGE'!AP33="Absent"),0),IF('POINTAGE'!$AR$5&lt;&gt;"",--('POINTAGE'!AR33="Absent"),0),IF('POINTAGE'!$AT$5&lt;&gt;"",--('POINTAGE'!AT33="Absent"),0),IF('POINTAGE'!$AV$5&lt;&gt;"",--('POINTAGE'!AV33="Absent"),0),IF('POINTAGE'!$AX$5&lt;&gt;"",--('POINTAGE'!AX33="Absent"),0),IF('POINTAGE'!$AZ$5&lt;&gt;"",--('POINTAGE'!AZ33="Absent"),0),IF('POINTAGE'!$BB$5&lt;&gt;"",--('POINTAGE'!BB33="Absent"),0),IF('POINTAGE'!$BD$5&lt;&gt;"",--('POINTAGE'!BD33="Absent"),0),IF('POINTAGE'!$BF$5&lt;&gt;"",--('POINTAGE'!BF33="Absent"),0),IF('POINTAGE'!$BH$5&lt;&gt;"",--('POINTAGE'!BH33="Absent"),0),IF('POINTAGE'!$BJ$5&lt;&gt;"",--('POINTAGE'!BJ33="Absent"),0),IF('POINTAGE'!$BL$5&lt;&gt;"",--('POINTAGE'!BL33="Absent"),0)))</f>
      </c>
      <c r="P33" s="23">
        <f>IF($A33="","",SUM(IF('POINTAGE'!$AH$5&lt;&gt;"",IF('POINTAGE'!AH33="Présent",'POINTAGE'!AI33,0),0),IF('POINTAGE'!$AJ$5&lt;&gt;"",IF('POINTAGE'!AJ33="Présent",'POINTAGE'!AK33,0),0),IF('POINTAGE'!$AL$5&lt;&gt;"",IF('POINTAGE'!AL33="Présent",'POINTAGE'!AM33,0),0),IF('POINTAGE'!$AN$5&lt;&gt;"",IF('POINTAGE'!AN33="Présent",'POINTAGE'!AO33,0),0),IF('POINTAGE'!$AP$5&lt;&gt;"",IF('POINTAGE'!AP33="Présent",'POINTAGE'!AQ33,0),0),IF('POINTAGE'!$AR$5&lt;&gt;"",IF('POINTAGE'!AR33="Présent",'POINTAGE'!AS33,0),0),IF('POINTAGE'!$AT$5&lt;&gt;"",IF('POINTAGE'!AT33="Présent",'POINTAGE'!AU33,0),0),IF('POINTAGE'!$AV$5&lt;&gt;"",IF('POINTAGE'!AV33="Présent",'POINTAGE'!AW33,0),0),IF('POINTAGE'!$AX$5&lt;&gt;"",IF('POINTAGE'!AX33="Présent",'POINTAGE'!AY33,0),0),IF('POINTAGE'!$AZ$5&lt;&gt;"",IF('POINTAGE'!AZ33="Présent",'POINTAGE'!BA33,0),0),IF('POINTAGE'!$BB$5&lt;&gt;"",IF('POINTAGE'!BB33="Présent",'POINTAGE'!BC33,0),0),IF('POINTAGE'!$BD$5&lt;&gt;"",IF('POINTAGE'!BD33="Présent",'POINTAGE'!BE33,0),0),IF('POINTAGE'!$BF$5&lt;&gt;"",IF('POINTAGE'!BF33="Présent",'POINTAGE'!BG33,0),0),IF('POINTAGE'!$BH$5&lt;&gt;"",IF('POINTAGE'!BH33="Présent",'POINTAGE'!BI33,0),0),IF('POINTAGE'!$BJ$5&lt;&gt;"",IF('POINTAGE'!BJ33="Présent",'POINTAGE'!BK33,0),0),IF('POINTAGE'!$BL$5&lt;&gt;"",IF('POINTAGE'!BL33="Présent",'POINTAGE'!BM33,0),0)))</f>
      </c>
      <c r="Q33" s="24">
        <f>IF($A33="","",$N33*$D33)</f>
      </c>
      <c r="R33" s="24">
        <f>IF($A33="","",$P33*$E33)</f>
      </c>
      <c r="S33" s="25">
        <f>IF($A33="","",$Q33+$R33)</f>
      </c>
      <c r="T33" s="18"/>
      <c r="U33" s="25">
        <f>IF($A33="","",MAX(0,$S33-$T33))</f>
      </c>
      <c r="V33" s="25">
        <f>IF($A33="","",$K33+$S33)</f>
      </c>
      <c r="W33" s="24">
        <f>IF($A33="","",$L33+$T33)</f>
      </c>
      <c r="X33" s="25">
        <f>IF($A33="","",$M33+$U33)</f>
      </c>
      <c r="Y33" s="29">
        <f>IF($A33="","",$J33+$R33)</f>
      </c>
    </row>
    <row r="34">
      <c r="A34" s="20">
        <f>IF('POINTAGE'!A34="","",'POINTAGE'!A34)</f>
      </c>
      <c r="B34" s="19">
        <f>IF($A34="","",'POINTAGE'!B34)</f>
      </c>
      <c r="C34" s="20">
        <f>IF($A34="","",'POINTAGE'!C34)</f>
      </c>
      <c r="D34" s="24">
        <f>IF($A34="","",IFERROR(INDEX(Categories_Salaire,MATCH($C34,ListeCategories,0)),0))</f>
      </c>
      <c r="E34" s="24">
        <f>IF($A34="","",IF(IFERROR(INDEX(Categories_TauxHS,MATCH($C34,ListeCategories,0)),0)&gt;0,IFERROR(INDEX(Categories_TauxHS,MATCH($C34,ListeCategories,0)),0),TauxHSDefaut))</f>
      </c>
      <c r="F34" s="22">
        <f>IF($A34="","",SUM(IF('POINTAGE'!$D$5&lt;&gt;"",--('POINTAGE'!D34="Présent"),0),IF('POINTAGE'!$F$5&lt;&gt;"",--('POINTAGE'!F34="Présent"),0),IF('POINTAGE'!$H$5&lt;&gt;"",--('POINTAGE'!H34="Présent"),0),IF('POINTAGE'!$J$5&lt;&gt;"",--('POINTAGE'!J34="Présent"),0),IF('POINTAGE'!$L$5&lt;&gt;"",--('POINTAGE'!L34="Présent"),0),IF('POINTAGE'!$N$5&lt;&gt;"",--('POINTAGE'!N34="Présent"),0),IF('POINTAGE'!$P$5&lt;&gt;"",--('POINTAGE'!P34="Présent"),0),IF('POINTAGE'!$R$5&lt;&gt;"",--('POINTAGE'!R34="Présent"),0),IF('POINTAGE'!$T$5&lt;&gt;"",--('POINTAGE'!T34="Présent"),0),IF('POINTAGE'!$V$5&lt;&gt;"",--('POINTAGE'!V34="Présent"),0),IF('POINTAGE'!$X$5&lt;&gt;"",--('POINTAGE'!X34="Présent"),0),IF('POINTAGE'!$Z$5&lt;&gt;"",--('POINTAGE'!Z34="Présent"),0),IF('POINTAGE'!$AB$5&lt;&gt;"",--('POINTAGE'!AB34="Présent"),0),IF('POINTAGE'!$AD$5&lt;&gt;"",--('POINTAGE'!AD34="Présent"),0),IF('POINTAGE'!$AF$5&lt;&gt;"",--('POINTAGE'!AF34="Présent"),0)))</f>
      </c>
      <c r="G34" s="22">
        <f>IF($A34="","",SUM(IF('POINTAGE'!$D$5&lt;&gt;"",--('POINTAGE'!D34="Absent"),0),IF('POINTAGE'!$F$5&lt;&gt;"",--('POINTAGE'!F34="Absent"),0),IF('POINTAGE'!$H$5&lt;&gt;"",--('POINTAGE'!H34="Absent"),0),IF('POINTAGE'!$J$5&lt;&gt;"",--('POINTAGE'!J34="Absent"),0),IF('POINTAGE'!$L$5&lt;&gt;"",--('POINTAGE'!L34="Absent"),0),IF('POINTAGE'!$N$5&lt;&gt;"",--('POINTAGE'!N34="Absent"),0),IF('POINTAGE'!$P$5&lt;&gt;"",--('POINTAGE'!P34="Absent"),0),IF('POINTAGE'!$R$5&lt;&gt;"",--('POINTAGE'!R34="Absent"),0),IF('POINTAGE'!$T$5&lt;&gt;"",--('POINTAGE'!T34="Absent"),0),IF('POINTAGE'!$V$5&lt;&gt;"",--('POINTAGE'!V34="Absent"),0),IF('POINTAGE'!$X$5&lt;&gt;"",--('POINTAGE'!X34="Absent"),0),IF('POINTAGE'!$Z$5&lt;&gt;"",--('POINTAGE'!Z34="Absent"),0),IF('POINTAGE'!$AB$5&lt;&gt;"",--('POINTAGE'!AB34="Absent"),0),IF('POINTAGE'!$AD$5&lt;&gt;"",--('POINTAGE'!AD34="Absent"),0),IF('POINTAGE'!$AF$5&lt;&gt;"",--('POINTAGE'!AF34="Absent"),0)))</f>
      </c>
      <c r="H34" s="23">
        <f>IF($A34="","",SUM(IF('POINTAGE'!$D$5&lt;&gt;"",IF('POINTAGE'!D34="Présent",'POINTAGE'!E34,0),0),IF('POINTAGE'!$F$5&lt;&gt;"",IF('POINTAGE'!F34="Présent",'POINTAGE'!G34,0),0),IF('POINTAGE'!$H$5&lt;&gt;"",IF('POINTAGE'!H34="Présent",'POINTAGE'!I34,0),0),IF('POINTAGE'!$J$5&lt;&gt;"",IF('POINTAGE'!J34="Présent",'POINTAGE'!K34,0),0),IF('POINTAGE'!$L$5&lt;&gt;"",IF('POINTAGE'!L34="Présent",'POINTAGE'!M34,0),0),IF('POINTAGE'!$N$5&lt;&gt;"",IF('POINTAGE'!N34="Présent",'POINTAGE'!O34,0),0),IF('POINTAGE'!$P$5&lt;&gt;"",IF('POINTAGE'!P34="Présent",'POINTAGE'!Q34,0),0),IF('POINTAGE'!$R$5&lt;&gt;"",IF('POINTAGE'!R34="Présent",'POINTAGE'!S34,0),0),IF('POINTAGE'!$T$5&lt;&gt;"",IF('POINTAGE'!T34="Présent",'POINTAGE'!U34,0),0),IF('POINTAGE'!$V$5&lt;&gt;"",IF('POINTAGE'!V34="Présent",'POINTAGE'!W34,0),0),IF('POINTAGE'!$X$5&lt;&gt;"",IF('POINTAGE'!X34="Présent",'POINTAGE'!Y34,0),0),IF('POINTAGE'!$Z$5&lt;&gt;"",IF('POINTAGE'!Z34="Présent",'POINTAGE'!AA34,0),0),IF('POINTAGE'!$AB$5&lt;&gt;"",IF('POINTAGE'!AB34="Présent",'POINTAGE'!AC34,0),0),IF('POINTAGE'!$AD$5&lt;&gt;"",IF('POINTAGE'!AD34="Présent",'POINTAGE'!AE34,0),0),IF('POINTAGE'!$AF$5&lt;&gt;"",IF('POINTAGE'!AF34="Présent",'POINTAGE'!AG34,0),0)))</f>
      </c>
      <c r="I34" s="24">
        <f>IF($A34="","",$F34*$D34)</f>
      </c>
      <c r="J34" s="24">
        <f>IF($A34="","",$H34*$E34)</f>
      </c>
      <c r="K34" s="25">
        <f>IF($A34="","",$I34+$J34)</f>
      </c>
      <c r="L34" s="18"/>
      <c r="M34" s="25">
        <f>IF($A34="","",MAX(0,$K34-$L34))</f>
      </c>
      <c r="N34" s="22">
        <f>IF($A34="","",SUM(IF('POINTAGE'!$AH$5&lt;&gt;"",--('POINTAGE'!AH34="Présent"),0),IF('POINTAGE'!$AJ$5&lt;&gt;"",--('POINTAGE'!AJ34="Présent"),0),IF('POINTAGE'!$AL$5&lt;&gt;"",--('POINTAGE'!AL34="Présent"),0),IF('POINTAGE'!$AN$5&lt;&gt;"",--('POINTAGE'!AN34="Présent"),0),IF('POINTAGE'!$AP$5&lt;&gt;"",--('POINTAGE'!AP34="Présent"),0),IF('POINTAGE'!$AR$5&lt;&gt;"",--('POINTAGE'!AR34="Présent"),0),IF('POINTAGE'!$AT$5&lt;&gt;"",--('POINTAGE'!AT34="Présent"),0),IF('POINTAGE'!$AV$5&lt;&gt;"",--('POINTAGE'!AV34="Présent"),0),IF('POINTAGE'!$AX$5&lt;&gt;"",--('POINTAGE'!AX34="Présent"),0),IF('POINTAGE'!$AZ$5&lt;&gt;"",--('POINTAGE'!AZ34="Présent"),0),IF('POINTAGE'!$BB$5&lt;&gt;"",--('POINTAGE'!BB34="Présent"),0),IF('POINTAGE'!$BD$5&lt;&gt;"",--('POINTAGE'!BD34="Présent"),0),IF('POINTAGE'!$BF$5&lt;&gt;"",--('POINTAGE'!BF34="Présent"),0),IF('POINTAGE'!$BH$5&lt;&gt;"",--('POINTAGE'!BH34="Présent"),0),IF('POINTAGE'!$BJ$5&lt;&gt;"",--('POINTAGE'!BJ34="Présent"),0),IF('POINTAGE'!$BL$5&lt;&gt;"",--('POINTAGE'!BL34="Présent"),0)))</f>
      </c>
      <c r="O34" s="22">
        <f>IF($A34="","",SUM(IF('POINTAGE'!$AH$5&lt;&gt;"",--('POINTAGE'!AH34="Absent"),0),IF('POINTAGE'!$AJ$5&lt;&gt;"",--('POINTAGE'!AJ34="Absent"),0),IF('POINTAGE'!$AL$5&lt;&gt;"",--('POINTAGE'!AL34="Absent"),0),IF('POINTAGE'!$AN$5&lt;&gt;"",--('POINTAGE'!AN34="Absent"),0),IF('POINTAGE'!$AP$5&lt;&gt;"",--('POINTAGE'!AP34="Absent"),0),IF('POINTAGE'!$AR$5&lt;&gt;"",--('POINTAGE'!AR34="Absent"),0),IF('POINTAGE'!$AT$5&lt;&gt;"",--('POINTAGE'!AT34="Absent"),0),IF('POINTAGE'!$AV$5&lt;&gt;"",--('POINTAGE'!AV34="Absent"),0),IF('POINTAGE'!$AX$5&lt;&gt;"",--('POINTAGE'!AX34="Absent"),0),IF('POINTAGE'!$AZ$5&lt;&gt;"",--('POINTAGE'!AZ34="Absent"),0),IF('POINTAGE'!$BB$5&lt;&gt;"",--('POINTAGE'!BB34="Absent"),0),IF('POINTAGE'!$BD$5&lt;&gt;"",--('POINTAGE'!BD34="Absent"),0),IF('POINTAGE'!$BF$5&lt;&gt;"",--('POINTAGE'!BF34="Absent"),0),IF('POINTAGE'!$BH$5&lt;&gt;"",--('POINTAGE'!BH34="Absent"),0),IF('POINTAGE'!$BJ$5&lt;&gt;"",--('POINTAGE'!BJ34="Absent"),0),IF('POINTAGE'!$BL$5&lt;&gt;"",--('POINTAGE'!BL34="Absent"),0)))</f>
      </c>
      <c r="P34" s="23">
        <f>IF($A34="","",SUM(IF('POINTAGE'!$AH$5&lt;&gt;"",IF('POINTAGE'!AH34="Présent",'POINTAGE'!AI34,0),0),IF('POINTAGE'!$AJ$5&lt;&gt;"",IF('POINTAGE'!AJ34="Présent",'POINTAGE'!AK34,0),0),IF('POINTAGE'!$AL$5&lt;&gt;"",IF('POINTAGE'!AL34="Présent",'POINTAGE'!AM34,0),0),IF('POINTAGE'!$AN$5&lt;&gt;"",IF('POINTAGE'!AN34="Présent",'POINTAGE'!AO34,0),0),IF('POINTAGE'!$AP$5&lt;&gt;"",IF('POINTAGE'!AP34="Présent",'POINTAGE'!AQ34,0),0),IF('POINTAGE'!$AR$5&lt;&gt;"",IF('POINTAGE'!AR34="Présent",'POINTAGE'!AS34,0),0),IF('POINTAGE'!$AT$5&lt;&gt;"",IF('POINTAGE'!AT34="Présent",'POINTAGE'!AU34,0),0),IF('POINTAGE'!$AV$5&lt;&gt;"",IF('POINTAGE'!AV34="Présent",'POINTAGE'!AW34,0),0),IF('POINTAGE'!$AX$5&lt;&gt;"",IF('POINTAGE'!AX34="Présent",'POINTAGE'!AY34,0),0),IF('POINTAGE'!$AZ$5&lt;&gt;"",IF('POINTAGE'!AZ34="Présent",'POINTAGE'!BA34,0),0),IF('POINTAGE'!$BB$5&lt;&gt;"",IF('POINTAGE'!BB34="Présent",'POINTAGE'!BC34,0),0),IF('POINTAGE'!$BD$5&lt;&gt;"",IF('POINTAGE'!BD34="Présent",'POINTAGE'!BE34,0),0),IF('POINTAGE'!$BF$5&lt;&gt;"",IF('POINTAGE'!BF34="Présent",'POINTAGE'!BG34,0),0),IF('POINTAGE'!$BH$5&lt;&gt;"",IF('POINTAGE'!BH34="Présent",'POINTAGE'!BI34,0),0),IF('POINTAGE'!$BJ$5&lt;&gt;"",IF('POINTAGE'!BJ34="Présent",'POINTAGE'!BK34,0),0),IF('POINTAGE'!$BL$5&lt;&gt;"",IF('POINTAGE'!BL34="Présent",'POINTAGE'!BM34,0),0)))</f>
      </c>
      <c r="Q34" s="24">
        <f>IF($A34="","",$N34*$D34)</f>
      </c>
      <c r="R34" s="24">
        <f>IF($A34="","",$P34*$E34)</f>
      </c>
      <c r="S34" s="25">
        <f>IF($A34="","",$Q34+$R34)</f>
      </c>
      <c r="T34" s="18"/>
      <c r="U34" s="25">
        <f>IF($A34="","",MAX(0,$S34-$T34))</f>
      </c>
      <c r="V34" s="25">
        <f>IF($A34="","",$K34+$S34)</f>
      </c>
      <c r="W34" s="24">
        <f>IF($A34="","",$L34+$T34)</f>
      </c>
      <c r="X34" s="25">
        <f>IF($A34="","",$M34+$U34)</f>
      </c>
      <c r="Y34" s="29">
        <f>IF($A34="","",$J34+$R34)</f>
      </c>
    </row>
    <row r="35">
      <c r="A35" s="20">
        <f>IF('POINTAGE'!A35="","",'POINTAGE'!A35)</f>
      </c>
      <c r="B35" s="19">
        <f>IF($A35="","",'POINTAGE'!B35)</f>
      </c>
      <c r="C35" s="20">
        <f>IF($A35="","",'POINTAGE'!C35)</f>
      </c>
      <c r="D35" s="24">
        <f>IF($A35="","",IFERROR(INDEX(Categories_Salaire,MATCH($C35,ListeCategories,0)),0))</f>
      </c>
      <c r="E35" s="24">
        <f>IF($A35="","",IF(IFERROR(INDEX(Categories_TauxHS,MATCH($C35,ListeCategories,0)),0)&gt;0,IFERROR(INDEX(Categories_TauxHS,MATCH($C35,ListeCategories,0)),0),TauxHSDefaut))</f>
      </c>
      <c r="F35" s="22">
        <f>IF($A35="","",SUM(IF('POINTAGE'!$D$5&lt;&gt;"",--('POINTAGE'!D35="Présent"),0),IF('POINTAGE'!$F$5&lt;&gt;"",--('POINTAGE'!F35="Présent"),0),IF('POINTAGE'!$H$5&lt;&gt;"",--('POINTAGE'!H35="Présent"),0),IF('POINTAGE'!$J$5&lt;&gt;"",--('POINTAGE'!J35="Présent"),0),IF('POINTAGE'!$L$5&lt;&gt;"",--('POINTAGE'!L35="Présent"),0),IF('POINTAGE'!$N$5&lt;&gt;"",--('POINTAGE'!N35="Présent"),0),IF('POINTAGE'!$P$5&lt;&gt;"",--('POINTAGE'!P35="Présent"),0),IF('POINTAGE'!$R$5&lt;&gt;"",--('POINTAGE'!R35="Présent"),0),IF('POINTAGE'!$T$5&lt;&gt;"",--('POINTAGE'!T35="Présent"),0),IF('POINTAGE'!$V$5&lt;&gt;"",--('POINTAGE'!V35="Présent"),0),IF('POINTAGE'!$X$5&lt;&gt;"",--('POINTAGE'!X35="Présent"),0),IF('POINTAGE'!$Z$5&lt;&gt;"",--('POINTAGE'!Z35="Présent"),0),IF('POINTAGE'!$AB$5&lt;&gt;"",--('POINTAGE'!AB35="Présent"),0),IF('POINTAGE'!$AD$5&lt;&gt;"",--('POINTAGE'!AD35="Présent"),0),IF('POINTAGE'!$AF$5&lt;&gt;"",--('POINTAGE'!AF35="Présent"),0)))</f>
      </c>
      <c r="G35" s="22">
        <f>IF($A35="","",SUM(IF('POINTAGE'!$D$5&lt;&gt;"",--('POINTAGE'!D35="Absent"),0),IF('POINTAGE'!$F$5&lt;&gt;"",--('POINTAGE'!F35="Absent"),0),IF('POINTAGE'!$H$5&lt;&gt;"",--('POINTAGE'!H35="Absent"),0),IF('POINTAGE'!$J$5&lt;&gt;"",--('POINTAGE'!J35="Absent"),0),IF('POINTAGE'!$L$5&lt;&gt;"",--('POINTAGE'!L35="Absent"),0),IF('POINTAGE'!$N$5&lt;&gt;"",--('POINTAGE'!N35="Absent"),0),IF('POINTAGE'!$P$5&lt;&gt;"",--('POINTAGE'!P35="Absent"),0),IF('POINTAGE'!$R$5&lt;&gt;"",--('POINTAGE'!R35="Absent"),0),IF('POINTAGE'!$T$5&lt;&gt;"",--('POINTAGE'!T35="Absent"),0),IF('POINTAGE'!$V$5&lt;&gt;"",--('POINTAGE'!V35="Absent"),0),IF('POINTAGE'!$X$5&lt;&gt;"",--('POINTAGE'!X35="Absent"),0),IF('POINTAGE'!$Z$5&lt;&gt;"",--('POINTAGE'!Z35="Absent"),0),IF('POINTAGE'!$AB$5&lt;&gt;"",--('POINTAGE'!AB35="Absent"),0),IF('POINTAGE'!$AD$5&lt;&gt;"",--('POINTAGE'!AD35="Absent"),0),IF('POINTAGE'!$AF$5&lt;&gt;"",--('POINTAGE'!AF35="Absent"),0)))</f>
      </c>
      <c r="H35" s="23">
        <f>IF($A35="","",SUM(IF('POINTAGE'!$D$5&lt;&gt;"",IF('POINTAGE'!D35="Présent",'POINTAGE'!E35,0),0),IF('POINTAGE'!$F$5&lt;&gt;"",IF('POINTAGE'!F35="Présent",'POINTAGE'!G35,0),0),IF('POINTAGE'!$H$5&lt;&gt;"",IF('POINTAGE'!H35="Présent",'POINTAGE'!I35,0),0),IF('POINTAGE'!$J$5&lt;&gt;"",IF('POINTAGE'!J35="Présent",'POINTAGE'!K35,0),0),IF('POINTAGE'!$L$5&lt;&gt;"",IF('POINTAGE'!L35="Présent",'POINTAGE'!M35,0),0),IF('POINTAGE'!$N$5&lt;&gt;"",IF('POINTAGE'!N35="Présent",'POINTAGE'!O35,0),0),IF('POINTAGE'!$P$5&lt;&gt;"",IF('POINTAGE'!P35="Présent",'POINTAGE'!Q35,0),0),IF('POINTAGE'!$R$5&lt;&gt;"",IF('POINTAGE'!R35="Présent",'POINTAGE'!S35,0),0),IF('POINTAGE'!$T$5&lt;&gt;"",IF('POINTAGE'!T35="Présent",'POINTAGE'!U35,0),0),IF('POINTAGE'!$V$5&lt;&gt;"",IF('POINTAGE'!V35="Présent",'POINTAGE'!W35,0),0),IF('POINTAGE'!$X$5&lt;&gt;"",IF('POINTAGE'!X35="Présent",'POINTAGE'!Y35,0),0),IF('POINTAGE'!$Z$5&lt;&gt;"",IF('POINTAGE'!Z35="Présent",'POINTAGE'!AA35,0),0),IF('POINTAGE'!$AB$5&lt;&gt;"",IF('POINTAGE'!AB35="Présent",'POINTAGE'!AC35,0),0),IF('POINTAGE'!$AD$5&lt;&gt;"",IF('POINTAGE'!AD35="Présent",'POINTAGE'!AE35,0),0),IF('POINTAGE'!$AF$5&lt;&gt;"",IF('POINTAGE'!AF35="Présent",'POINTAGE'!AG35,0),0)))</f>
      </c>
      <c r="I35" s="24">
        <f>IF($A35="","",$F35*$D35)</f>
      </c>
      <c r="J35" s="24">
        <f>IF($A35="","",$H35*$E35)</f>
      </c>
      <c r="K35" s="25">
        <f>IF($A35="","",$I35+$J35)</f>
      </c>
      <c r="L35" s="18"/>
      <c r="M35" s="25">
        <f>IF($A35="","",MAX(0,$K35-$L35))</f>
      </c>
      <c r="N35" s="22">
        <f>IF($A35="","",SUM(IF('POINTAGE'!$AH$5&lt;&gt;"",--('POINTAGE'!AH35="Présent"),0),IF('POINTAGE'!$AJ$5&lt;&gt;"",--('POINTAGE'!AJ35="Présent"),0),IF('POINTAGE'!$AL$5&lt;&gt;"",--('POINTAGE'!AL35="Présent"),0),IF('POINTAGE'!$AN$5&lt;&gt;"",--('POINTAGE'!AN35="Présent"),0),IF('POINTAGE'!$AP$5&lt;&gt;"",--('POINTAGE'!AP35="Présent"),0),IF('POINTAGE'!$AR$5&lt;&gt;"",--('POINTAGE'!AR35="Présent"),0),IF('POINTAGE'!$AT$5&lt;&gt;"",--('POINTAGE'!AT35="Présent"),0),IF('POINTAGE'!$AV$5&lt;&gt;"",--('POINTAGE'!AV35="Présent"),0),IF('POINTAGE'!$AX$5&lt;&gt;"",--('POINTAGE'!AX35="Présent"),0),IF('POINTAGE'!$AZ$5&lt;&gt;"",--('POINTAGE'!AZ35="Présent"),0),IF('POINTAGE'!$BB$5&lt;&gt;"",--('POINTAGE'!BB35="Présent"),0),IF('POINTAGE'!$BD$5&lt;&gt;"",--('POINTAGE'!BD35="Présent"),0),IF('POINTAGE'!$BF$5&lt;&gt;"",--('POINTAGE'!BF35="Présent"),0),IF('POINTAGE'!$BH$5&lt;&gt;"",--('POINTAGE'!BH35="Présent"),0),IF('POINTAGE'!$BJ$5&lt;&gt;"",--('POINTAGE'!BJ35="Présent"),0),IF('POINTAGE'!$BL$5&lt;&gt;"",--('POINTAGE'!BL35="Présent"),0)))</f>
      </c>
      <c r="O35" s="22">
        <f>IF($A35="","",SUM(IF('POINTAGE'!$AH$5&lt;&gt;"",--('POINTAGE'!AH35="Absent"),0),IF('POINTAGE'!$AJ$5&lt;&gt;"",--('POINTAGE'!AJ35="Absent"),0),IF('POINTAGE'!$AL$5&lt;&gt;"",--('POINTAGE'!AL35="Absent"),0),IF('POINTAGE'!$AN$5&lt;&gt;"",--('POINTAGE'!AN35="Absent"),0),IF('POINTAGE'!$AP$5&lt;&gt;"",--('POINTAGE'!AP35="Absent"),0),IF('POINTAGE'!$AR$5&lt;&gt;"",--('POINTAGE'!AR35="Absent"),0),IF('POINTAGE'!$AT$5&lt;&gt;"",--('POINTAGE'!AT35="Absent"),0),IF('POINTAGE'!$AV$5&lt;&gt;"",--('POINTAGE'!AV35="Absent"),0),IF('POINTAGE'!$AX$5&lt;&gt;"",--('POINTAGE'!AX35="Absent"),0),IF('POINTAGE'!$AZ$5&lt;&gt;"",--('POINTAGE'!AZ35="Absent"),0),IF('POINTAGE'!$BB$5&lt;&gt;"",--('POINTAGE'!BB35="Absent"),0),IF('POINTAGE'!$BD$5&lt;&gt;"",--('POINTAGE'!BD35="Absent"),0),IF('POINTAGE'!$BF$5&lt;&gt;"",--('POINTAGE'!BF35="Absent"),0),IF('POINTAGE'!$BH$5&lt;&gt;"",--('POINTAGE'!BH35="Absent"),0),IF('POINTAGE'!$BJ$5&lt;&gt;"",--('POINTAGE'!BJ35="Absent"),0),IF('POINTAGE'!$BL$5&lt;&gt;"",--('POINTAGE'!BL35="Absent"),0)))</f>
      </c>
      <c r="P35" s="23">
        <f>IF($A35="","",SUM(IF('POINTAGE'!$AH$5&lt;&gt;"",IF('POINTAGE'!AH35="Présent",'POINTAGE'!AI35,0),0),IF('POINTAGE'!$AJ$5&lt;&gt;"",IF('POINTAGE'!AJ35="Présent",'POINTAGE'!AK35,0),0),IF('POINTAGE'!$AL$5&lt;&gt;"",IF('POINTAGE'!AL35="Présent",'POINTAGE'!AM35,0),0),IF('POINTAGE'!$AN$5&lt;&gt;"",IF('POINTAGE'!AN35="Présent",'POINTAGE'!AO35,0),0),IF('POINTAGE'!$AP$5&lt;&gt;"",IF('POINTAGE'!AP35="Présent",'POINTAGE'!AQ35,0),0),IF('POINTAGE'!$AR$5&lt;&gt;"",IF('POINTAGE'!AR35="Présent",'POINTAGE'!AS35,0),0),IF('POINTAGE'!$AT$5&lt;&gt;"",IF('POINTAGE'!AT35="Présent",'POINTAGE'!AU35,0),0),IF('POINTAGE'!$AV$5&lt;&gt;"",IF('POINTAGE'!AV35="Présent",'POINTAGE'!AW35,0),0),IF('POINTAGE'!$AX$5&lt;&gt;"",IF('POINTAGE'!AX35="Présent",'POINTAGE'!AY35,0),0),IF('POINTAGE'!$AZ$5&lt;&gt;"",IF('POINTAGE'!AZ35="Présent",'POINTAGE'!BA35,0),0),IF('POINTAGE'!$BB$5&lt;&gt;"",IF('POINTAGE'!BB35="Présent",'POINTAGE'!BC35,0),0),IF('POINTAGE'!$BD$5&lt;&gt;"",IF('POINTAGE'!BD35="Présent",'POINTAGE'!BE35,0),0),IF('POINTAGE'!$BF$5&lt;&gt;"",IF('POINTAGE'!BF35="Présent",'POINTAGE'!BG35,0),0),IF('POINTAGE'!$BH$5&lt;&gt;"",IF('POINTAGE'!BH35="Présent",'POINTAGE'!BI35,0),0),IF('POINTAGE'!$BJ$5&lt;&gt;"",IF('POINTAGE'!BJ35="Présent",'POINTAGE'!BK35,0),0),IF('POINTAGE'!$BL$5&lt;&gt;"",IF('POINTAGE'!BL35="Présent",'POINTAGE'!BM35,0),0)))</f>
      </c>
      <c r="Q35" s="24">
        <f>IF($A35="","",$N35*$D35)</f>
      </c>
      <c r="R35" s="24">
        <f>IF($A35="","",$P35*$E35)</f>
      </c>
      <c r="S35" s="25">
        <f>IF($A35="","",$Q35+$R35)</f>
      </c>
      <c r="T35" s="18"/>
      <c r="U35" s="25">
        <f>IF($A35="","",MAX(0,$S35-$T35))</f>
      </c>
      <c r="V35" s="25">
        <f>IF($A35="","",$K35+$S35)</f>
      </c>
      <c r="W35" s="24">
        <f>IF($A35="","",$L35+$T35)</f>
      </c>
      <c r="X35" s="25">
        <f>IF($A35="","",$M35+$U35)</f>
      </c>
      <c r="Y35" s="29">
        <f>IF($A35="","",$J35+$R35)</f>
      </c>
    </row>
    <row r="36">
      <c r="A36" s="20">
        <f>IF('POINTAGE'!A36="","",'POINTAGE'!A36)</f>
      </c>
      <c r="B36" s="19">
        <f>IF($A36="","",'POINTAGE'!B36)</f>
      </c>
      <c r="C36" s="20">
        <f>IF($A36="","",'POINTAGE'!C36)</f>
      </c>
      <c r="D36" s="24">
        <f>IF($A36="","",IFERROR(INDEX(Categories_Salaire,MATCH($C36,ListeCategories,0)),0))</f>
      </c>
      <c r="E36" s="24">
        <f>IF($A36="","",IF(IFERROR(INDEX(Categories_TauxHS,MATCH($C36,ListeCategories,0)),0)&gt;0,IFERROR(INDEX(Categories_TauxHS,MATCH($C36,ListeCategories,0)),0),TauxHSDefaut))</f>
      </c>
      <c r="F36" s="22">
        <f>IF($A36="","",SUM(IF('POINTAGE'!$D$5&lt;&gt;"",--('POINTAGE'!D36="Présent"),0),IF('POINTAGE'!$F$5&lt;&gt;"",--('POINTAGE'!F36="Présent"),0),IF('POINTAGE'!$H$5&lt;&gt;"",--('POINTAGE'!H36="Présent"),0),IF('POINTAGE'!$J$5&lt;&gt;"",--('POINTAGE'!J36="Présent"),0),IF('POINTAGE'!$L$5&lt;&gt;"",--('POINTAGE'!L36="Présent"),0),IF('POINTAGE'!$N$5&lt;&gt;"",--('POINTAGE'!N36="Présent"),0),IF('POINTAGE'!$P$5&lt;&gt;"",--('POINTAGE'!P36="Présent"),0),IF('POINTAGE'!$R$5&lt;&gt;"",--('POINTAGE'!R36="Présent"),0),IF('POINTAGE'!$T$5&lt;&gt;"",--('POINTAGE'!T36="Présent"),0),IF('POINTAGE'!$V$5&lt;&gt;"",--('POINTAGE'!V36="Présent"),0),IF('POINTAGE'!$X$5&lt;&gt;"",--('POINTAGE'!X36="Présent"),0),IF('POINTAGE'!$Z$5&lt;&gt;"",--('POINTAGE'!Z36="Présent"),0),IF('POINTAGE'!$AB$5&lt;&gt;"",--('POINTAGE'!AB36="Présent"),0),IF('POINTAGE'!$AD$5&lt;&gt;"",--('POINTAGE'!AD36="Présent"),0),IF('POINTAGE'!$AF$5&lt;&gt;"",--('POINTAGE'!AF36="Présent"),0)))</f>
      </c>
      <c r="G36" s="22">
        <f>IF($A36="","",SUM(IF('POINTAGE'!$D$5&lt;&gt;"",--('POINTAGE'!D36="Absent"),0),IF('POINTAGE'!$F$5&lt;&gt;"",--('POINTAGE'!F36="Absent"),0),IF('POINTAGE'!$H$5&lt;&gt;"",--('POINTAGE'!H36="Absent"),0),IF('POINTAGE'!$J$5&lt;&gt;"",--('POINTAGE'!J36="Absent"),0),IF('POINTAGE'!$L$5&lt;&gt;"",--('POINTAGE'!L36="Absent"),0),IF('POINTAGE'!$N$5&lt;&gt;"",--('POINTAGE'!N36="Absent"),0),IF('POINTAGE'!$P$5&lt;&gt;"",--('POINTAGE'!P36="Absent"),0),IF('POINTAGE'!$R$5&lt;&gt;"",--('POINTAGE'!R36="Absent"),0),IF('POINTAGE'!$T$5&lt;&gt;"",--('POINTAGE'!T36="Absent"),0),IF('POINTAGE'!$V$5&lt;&gt;"",--('POINTAGE'!V36="Absent"),0),IF('POINTAGE'!$X$5&lt;&gt;"",--('POINTAGE'!X36="Absent"),0),IF('POINTAGE'!$Z$5&lt;&gt;"",--('POINTAGE'!Z36="Absent"),0),IF('POINTAGE'!$AB$5&lt;&gt;"",--('POINTAGE'!AB36="Absent"),0),IF('POINTAGE'!$AD$5&lt;&gt;"",--('POINTAGE'!AD36="Absent"),0),IF('POINTAGE'!$AF$5&lt;&gt;"",--('POINTAGE'!AF36="Absent"),0)))</f>
      </c>
      <c r="H36" s="23">
        <f>IF($A36="","",SUM(IF('POINTAGE'!$D$5&lt;&gt;"",IF('POINTAGE'!D36="Présent",'POINTAGE'!E36,0),0),IF('POINTAGE'!$F$5&lt;&gt;"",IF('POINTAGE'!F36="Présent",'POINTAGE'!G36,0),0),IF('POINTAGE'!$H$5&lt;&gt;"",IF('POINTAGE'!H36="Présent",'POINTAGE'!I36,0),0),IF('POINTAGE'!$J$5&lt;&gt;"",IF('POINTAGE'!J36="Présent",'POINTAGE'!K36,0),0),IF('POINTAGE'!$L$5&lt;&gt;"",IF('POINTAGE'!L36="Présent",'POINTAGE'!M36,0),0),IF('POINTAGE'!$N$5&lt;&gt;"",IF('POINTAGE'!N36="Présent",'POINTAGE'!O36,0),0),IF('POINTAGE'!$P$5&lt;&gt;"",IF('POINTAGE'!P36="Présent",'POINTAGE'!Q36,0),0),IF('POINTAGE'!$R$5&lt;&gt;"",IF('POINTAGE'!R36="Présent",'POINTAGE'!S36,0),0),IF('POINTAGE'!$T$5&lt;&gt;"",IF('POINTAGE'!T36="Présent",'POINTAGE'!U36,0),0),IF('POINTAGE'!$V$5&lt;&gt;"",IF('POINTAGE'!V36="Présent",'POINTAGE'!W36,0),0),IF('POINTAGE'!$X$5&lt;&gt;"",IF('POINTAGE'!X36="Présent",'POINTAGE'!Y36,0),0),IF('POINTAGE'!$Z$5&lt;&gt;"",IF('POINTAGE'!Z36="Présent",'POINTAGE'!AA36,0),0),IF('POINTAGE'!$AB$5&lt;&gt;"",IF('POINTAGE'!AB36="Présent",'POINTAGE'!AC36,0),0),IF('POINTAGE'!$AD$5&lt;&gt;"",IF('POINTAGE'!AD36="Présent",'POINTAGE'!AE36,0),0),IF('POINTAGE'!$AF$5&lt;&gt;"",IF('POINTAGE'!AF36="Présent",'POINTAGE'!AG36,0),0)))</f>
      </c>
      <c r="I36" s="24">
        <f>IF($A36="","",$F36*$D36)</f>
      </c>
      <c r="J36" s="24">
        <f>IF($A36="","",$H36*$E36)</f>
      </c>
      <c r="K36" s="25">
        <f>IF($A36="","",$I36+$J36)</f>
      </c>
      <c r="L36" s="18"/>
      <c r="M36" s="25">
        <f>IF($A36="","",MAX(0,$K36-$L36))</f>
      </c>
      <c r="N36" s="22">
        <f>IF($A36="","",SUM(IF('POINTAGE'!$AH$5&lt;&gt;"",--('POINTAGE'!AH36="Présent"),0),IF('POINTAGE'!$AJ$5&lt;&gt;"",--('POINTAGE'!AJ36="Présent"),0),IF('POINTAGE'!$AL$5&lt;&gt;"",--('POINTAGE'!AL36="Présent"),0),IF('POINTAGE'!$AN$5&lt;&gt;"",--('POINTAGE'!AN36="Présent"),0),IF('POINTAGE'!$AP$5&lt;&gt;"",--('POINTAGE'!AP36="Présent"),0),IF('POINTAGE'!$AR$5&lt;&gt;"",--('POINTAGE'!AR36="Présent"),0),IF('POINTAGE'!$AT$5&lt;&gt;"",--('POINTAGE'!AT36="Présent"),0),IF('POINTAGE'!$AV$5&lt;&gt;"",--('POINTAGE'!AV36="Présent"),0),IF('POINTAGE'!$AX$5&lt;&gt;"",--('POINTAGE'!AX36="Présent"),0),IF('POINTAGE'!$AZ$5&lt;&gt;"",--('POINTAGE'!AZ36="Présent"),0),IF('POINTAGE'!$BB$5&lt;&gt;"",--('POINTAGE'!BB36="Présent"),0),IF('POINTAGE'!$BD$5&lt;&gt;"",--('POINTAGE'!BD36="Présent"),0),IF('POINTAGE'!$BF$5&lt;&gt;"",--('POINTAGE'!BF36="Présent"),0),IF('POINTAGE'!$BH$5&lt;&gt;"",--('POINTAGE'!BH36="Présent"),0),IF('POINTAGE'!$BJ$5&lt;&gt;"",--('POINTAGE'!BJ36="Présent"),0),IF('POINTAGE'!$BL$5&lt;&gt;"",--('POINTAGE'!BL36="Présent"),0)))</f>
      </c>
      <c r="O36" s="22">
        <f>IF($A36="","",SUM(IF('POINTAGE'!$AH$5&lt;&gt;"",--('POINTAGE'!AH36="Absent"),0),IF('POINTAGE'!$AJ$5&lt;&gt;"",--('POINTAGE'!AJ36="Absent"),0),IF('POINTAGE'!$AL$5&lt;&gt;"",--('POINTAGE'!AL36="Absent"),0),IF('POINTAGE'!$AN$5&lt;&gt;"",--('POINTAGE'!AN36="Absent"),0),IF('POINTAGE'!$AP$5&lt;&gt;"",--('POINTAGE'!AP36="Absent"),0),IF('POINTAGE'!$AR$5&lt;&gt;"",--('POINTAGE'!AR36="Absent"),0),IF('POINTAGE'!$AT$5&lt;&gt;"",--('POINTAGE'!AT36="Absent"),0),IF('POINTAGE'!$AV$5&lt;&gt;"",--('POINTAGE'!AV36="Absent"),0),IF('POINTAGE'!$AX$5&lt;&gt;"",--('POINTAGE'!AX36="Absent"),0),IF('POINTAGE'!$AZ$5&lt;&gt;"",--('POINTAGE'!AZ36="Absent"),0),IF('POINTAGE'!$BB$5&lt;&gt;"",--('POINTAGE'!BB36="Absent"),0),IF('POINTAGE'!$BD$5&lt;&gt;"",--('POINTAGE'!BD36="Absent"),0),IF('POINTAGE'!$BF$5&lt;&gt;"",--('POINTAGE'!BF36="Absent"),0),IF('POINTAGE'!$BH$5&lt;&gt;"",--('POINTAGE'!BH36="Absent"),0),IF('POINTAGE'!$BJ$5&lt;&gt;"",--('POINTAGE'!BJ36="Absent"),0),IF('POINTAGE'!$BL$5&lt;&gt;"",--('POINTAGE'!BL36="Absent"),0)))</f>
      </c>
      <c r="P36" s="23">
        <f>IF($A36="","",SUM(IF('POINTAGE'!$AH$5&lt;&gt;"",IF('POINTAGE'!AH36="Présent",'POINTAGE'!AI36,0),0),IF('POINTAGE'!$AJ$5&lt;&gt;"",IF('POINTAGE'!AJ36="Présent",'POINTAGE'!AK36,0),0),IF('POINTAGE'!$AL$5&lt;&gt;"",IF('POINTAGE'!AL36="Présent",'POINTAGE'!AM36,0),0),IF('POINTAGE'!$AN$5&lt;&gt;"",IF('POINTAGE'!AN36="Présent",'POINTAGE'!AO36,0),0),IF('POINTAGE'!$AP$5&lt;&gt;"",IF('POINTAGE'!AP36="Présent",'POINTAGE'!AQ36,0),0),IF('POINTAGE'!$AR$5&lt;&gt;"",IF('POINTAGE'!AR36="Présent",'POINTAGE'!AS36,0),0),IF('POINTAGE'!$AT$5&lt;&gt;"",IF('POINTAGE'!AT36="Présent",'POINTAGE'!AU36,0),0),IF('POINTAGE'!$AV$5&lt;&gt;"",IF('POINTAGE'!AV36="Présent",'POINTAGE'!AW36,0),0),IF('POINTAGE'!$AX$5&lt;&gt;"",IF('POINTAGE'!AX36="Présent",'POINTAGE'!AY36,0),0),IF('POINTAGE'!$AZ$5&lt;&gt;"",IF('POINTAGE'!AZ36="Présent",'POINTAGE'!BA36,0),0),IF('POINTAGE'!$BB$5&lt;&gt;"",IF('POINTAGE'!BB36="Présent",'POINTAGE'!BC36,0),0),IF('POINTAGE'!$BD$5&lt;&gt;"",IF('POINTAGE'!BD36="Présent",'POINTAGE'!BE36,0),0),IF('POINTAGE'!$BF$5&lt;&gt;"",IF('POINTAGE'!BF36="Présent",'POINTAGE'!BG36,0),0),IF('POINTAGE'!$BH$5&lt;&gt;"",IF('POINTAGE'!BH36="Présent",'POINTAGE'!BI36,0),0),IF('POINTAGE'!$BJ$5&lt;&gt;"",IF('POINTAGE'!BJ36="Présent",'POINTAGE'!BK36,0),0),IF('POINTAGE'!$BL$5&lt;&gt;"",IF('POINTAGE'!BL36="Présent",'POINTAGE'!BM36,0),0)))</f>
      </c>
      <c r="Q36" s="24">
        <f>IF($A36="","",$N36*$D36)</f>
      </c>
      <c r="R36" s="24">
        <f>IF($A36="","",$P36*$E36)</f>
      </c>
      <c r="S36" s="25">
        <f>IF($A36="","",$Q36+$R36)</f>
      </c>
      <c r="T36" s="18"/>
      <c r="U36" s="25">
        <f>IF($A36="","",MAX(0,$S36-$T36))</f>
      </c>
      <c r="V36" s="25">
        <f>IF($A36="","",$K36+$S36)</f>
      </c>
      <c r="W36" s="24">
        <f>IF($A36="","",$L36+$T36)</f>
      </c>
      <c r="X36" s="25">
        <f>IF($A36="","",$M36+$U36)</f>
      </c>
      <c r="Y36" s="29">
        <f>IF($A36="","",$J36+$R36)</f>
      </c>
    </row>
    <row r="37">
      <c r="A37" s="20">
        <f>IF('POINTAGE'!A37="","",'POINTAGE'!A37)</f>
      </c>
      <c r="B37" s="19">
        <f>IF($A37="","",'POINTAGE'!B37)</f>
      </c>
      <c r="C37" s="20">
        <f>IF($A37="","",'POINTAGE'!C37)</f>
      </c>
      <c r="D37" s="24">
        <f>IF($A37="","",IFERROR(INDEX(Categories_Salaire,MATCH($C37,ListeCategories,0)),0))</f>
      </c>
      <c r="E37" s="24">
        <f>IF($A37="","",IF(IFERROR(INDEX(Categories_TauxHS,MATCH($C37,ListeCategories,0)),0)&gt;0,IFERROR(INDEX(Categories_TauxHS,MATCH($C37,ListeCategories,0)),0),TauxHSDefaut))</f>
      </c>
      <c r="F37" s="22">
        <f>IF($A37="","",SUM(IF('POINTAGE'!$D$5&lt;&gt;"",--('POINTAGE'!D37="Présent"),0),IF('POINTAGE'!$F$5&lt;&gt;"",--('POINTAGE'!F37="Présent"),0),IF('POINTAGE'!$H$5&lt;&gt;"",--('POINTAGE'!H37="Présent"),0),IF('POINTAGE'!$J$5&lt;&gt;"",--('POINTAGE'!J37="Présent"),0),IF('POINTAGE'!$L$5&lt;&gt;"",--('POINTAGE'!L37="Présent"),0),IF('POINTAGE'!$N$5&lt;&gt;"",--('POINTAGE'!N37="Présent"),0),IF('POINTAGE'!$P$5&lt;&gt;"",--('POINTAGE'!P37="Présent"),0),IF('POINTAGE'!$R$5&lt;&gt;"",--('POINTAGE'!R37="Présent"),0),IF('POINTAGE'!$T$5&lt;&gt;"",--('POINTAGE'!T37="Présent"),0),IF('POINTAGE'!$V$5&lt;&gt;"",--('POINTAGE'!V37="Présent"),0),IF('POINTAGE'!$X$5&lt;&gt;"",--('POINTAGE'!X37="Présent"),0),IF('POINTAGE'!$Z$5&lt;&gt;"",--('POINTAGE'!Z37="Présent"),0),IF('POINTAGE'!$AB$5&lt;&gt;"",--('POINTAGE'!AB37="Présent"),0),IF('POINTAGE'!$AD$5&lt;&gt;"",--('POINTAGE'!AD37="Présent"),0),IF('POINTAGE'!$AF$5&lt;&gt;"",--('POINTAGE'!AF37="Présent"),0)))</f>
      </c>
      <c r="G37" s="22">
        <f>IF($A37="","",SUM(IF('POINTAGE'!$D$5&lt;&gt;"",--('POINTAGE'!D37="Absent"),0),IF('POINTAGE'!$F$5&lt;&gt;"",--('POINTAGE'!F37="Absent"),0),IF('POINTAGE'!$H$5&lt;&gt;"",--('POINTAGE'!H37="Absent"),0),IF('POINTAGE'!$J$5&lt;&gt;"",--('POINTAGE'!J37="Absent"),0),IF('POINTAGE'!$L$5&lt;&gt;"",--('POINTAGE'!L37="Absent"),0),IF('POINTAGE'!$N$5&lt;&gt;"",--('POINTAGE'!N37="Absent"),0),IF('POINTAGE'!$P$5&lt;&gt;"",--('POINTAGE'!P37="Absent"),0),IF('POINTAGE'!$R$5&lt;&gt;"",--('POINTAGE'!R37="Absent"),0),IF('POINTAGE'!$T$5&lt;&gt;"",--('POINTAGE'!T37="Absent"),0),IF('POINTAGE'!$V$5&lt;&gt;"",--('POINTAGE'!V37="Absent"),0),IF('POINTAGE'!$X$5&lt;&gt;"",--('POINTAGE'!X37="Absent"),0),IF('POINTAGE'!$Z$5&lt;&gt;"",--('POINTAGE'!Z37="Absent"),0),IF('POINTAGE'!$AB$5&lt;&gt;"",--('POINTAGE'!AB37="Absent"),0),IF('POINTAGE'!$AD$5&lt;&gt;"",--('POINTAGE'!AD37="Absent"),0),IF('POINTAGE'!$AF$5&lt;&gt;"",--('POINTAGE'!AF37="Absent"),0)))</f>
      </c>
      <c r="H37" s="23">
        <f>IF($A37="","",SUM(IF('POINTAGE'!$D$5&lt;&gt;"",IF('POINTAGE'!D37="Présent",'POINTAGE'!E37,0),0),IF('POINTAGE'!$F$5&lt;&gt;"",IF('POINTAGE'!F37="Présent",'POINTAGE'!G37,0),0),IF('POINTAGE'!$H$5&lt;&gt;"",IF('POINTAGE'!H37="Présent",'POINTAGE'!I37,0),0),IF('POINTAGE'!$J$5&lt;&gt;"",IF('POINTAGE'!J37="Présent",'POINTAGE'!K37,0),0),IF('POINTAGE'!$L$5&lt;&gt;"",IF('POINTAGE'!L37="Présent",'POINTAGE'!M37,0),0),IF('POINTAGE'!$N$5&lt;&gt;"",IF('POINTAGE'!N37="Présent",'POINTAGE'!O37,0),0),IF('POINTAGE'!$P$5&lt;&gt;"",IF('POINTAGE'!P37="Présent",'POINTAGE'!Q37,0),0),IF('POINTAGE'!$R$5&lt;&gt;"",IF('POINTAGE'!R37="Présent",'POINTAGE'!S37,0),0),IF('POINTAGE'!$T$5&lt;&gt;"",IF('POINTAGE'!T37="Présent",'POINTAGE'!U37,0),0),IF('POINTAGE'!$V$5&lt;&gt;"",IF('POINTAGE'!V37="Présent",'POINTAGE'!W37,0),0),IF('POINTAGE'!$X$5&lt;&gt;"",IF('POINTAGE'!X37="Présent",'POINTAGE'!Y37,0),0),IF('POINTAGE'!$Z$5&lt;&gt;"",IF('POINTAGE'!Z37="Présent",'POINTAGE'!AA37,0),0),IF('POINTAGE'!$AB$5&lt;&gt;"",IF('POINTAGE'!AB37="Présent",'POINTAGE'!AC37,0),0),IF('POINTAGE'!$AD$5&lt;&gt;"",IF('POINTAGE'!AD37="Présent",'POINTAGE'!AE37,0),0),IF('POINTAGE'!$AF$5&lt;&gt;"",IF('POINTAGE'!AF37="Présent",'POINTAGE'!AG37,0),0)))</f>
      </c>
      <c r="I37" s="24">
        <f>IF($A37="","",$F37*$D37)</f>
      </c>
      <c r="J37" s="24">
        <f>IF($A37="","",$H37*$E37)</f>
      </c>
      <c r="K37" s="25">
        <f>IF($A37="","",$I37+$J37)</f>
      </c>
      <c r="L37" s="18"/>
      <c r="M37" s="25">
        <f>IF($A37="","",MAX(0,$K37-$L37))</f>
      </c>
      <c r="N37" s="22">
        <f>IF($A37="","",SUM(IF('POINTAGE'!$AH$5&lt;&gt;"",--('POINTAGE'!AH37="Présent"),0),IF('POINTAGE'!$AJ$5&lt;&gt;"",--('POINTAGE'!AJ37="Présent"),0),IF('POINTAGE'!$AL$5&lt;&gt;"",--('POINTAGE'!AL37="Présent"),0),IF('POINTAGE'!$AN$5&lt;&gt;"",--('POINTAGE'!AN37="Présent"),0),IF('POINTAGE'!$AP$5&lt;&gt;"",--('POINTAGE'!AP37="Présent"),0),IF('POINTAGE'!$AR$5&lt;&gt;"",--('POINTAGE'!AR37="Présent"),0),IF('POINTAGE'!$AT$5&lt;&gt;"",--('POINTAGE'!AT37="Présent"),0),IF('POINTAGE'!$AV$5&lt;&gt;"",--('POINTAGE'!AV37="Présent"),0),IF('POINTAGE'!$AX$5&lt;&gt;"",--('POINTAGE'!AX37="Présent"),0),IF('POINTAGE'!$AZ$5&lt;&gt;"",--('POINTAGE'!AZ37="Présent"),0),IF('POINTAGE'!$BB$5&lt;&gt;"",--('POINTAGE'!BB37="Présent"),0),IF('POINTAGE'!$BD$5&lt;&gt;"",--('POINTAGE'!BD37="Présent"),0),IF('POINTAGE'!$BF$5&lt;&gt;"",--('POINTAGE'!BF37="Présent"),0),IF('POINTAGE'!$BH$5&lt;&gt;"",--('POINTAGE'!BH37="Présent"),0),IF('POINTAGE'!$BJ$5&lt;&gt;"",--('POINTAGE'!BJ37="Présent"),0),IF('POINTAGE'!$BL$5&lt;&gt;"",--('POINTAGE'!BL37="Présent"),0)))</f>
      </c>
      <c r="O37" s="22">
        <f>IF($A37="","",SUM(IF('POINTAGE'!$AH$5&lt;&gt;"",--('POINTAGE'!AH37="Absent"),0),IF('POINTAGE'!$AJ$5&lt;&gt;"",--('POINTAGE'!AJ37="Absent"),0),IF('POINTAGE'!$AL$5&lt;&gt;"",--('POINTAGE'!AL37="Absent"),0),IF('POINTAGE'!$AN$5&lt;&gt;"",--('POINTAGE'!AN37="Absent"),0),IF('POINTAGE'!$AP$5&lt;&gt;"",--('POINTAGE'!AP37="Absent"),0),IF('POINTAGE'!$AR$5&lt;&gt;"",--('POINTAGE'!AR37="Absent"),0),IF('POINTAGE'!$AT$5&lt;&gt;"",--('POINTAGE'!AT37="Absent"),0),IF('POINTAGE'!$AV$5&lt;&gt;"",--('POINTAGE'!AV37="Absent"),0),IF('POINTAGE'!$AX$5&lt;&gt;"",--('POINTAGE'!AX37="Absent"),0),IF('POINTAGE'!$AZ$5&lt;&gt;"",--('POINTAGE'!AZ37="Absent"),0),IF('POINTAGE'!$BB$5&lt;&gt;"",--('POINTAGE'!BB37="Absent"),0),IF('POINTAGE'!$BD$5&lt;&gt;"",--('POINTAGE'!BD37="Absent"),0),IF('POINTAGE'!$BF$5&lt;&gt;"",--('POINTAGE'!BF37="Absent"),0),IF('POINTAGE'!$BH$5&lt;&gt;"",--('POINTAGE'!BH37="Absent"),0),IF('POINTAGE'!$BJ$5&lt;&gt;"",--('POINTAGE'!BJ37="Absent"),0),IF('POINTAGE'!$BL$5&lt;&gt;"",--('POINTAGE'!BL37="Absent"),0)))</f>
      </c>
      <c r="P37" s="23">
        <f>IF($A37="","",SUM(IF('POINTAGE'!$AH$5&lt;&gt;"",IF('POINTAGE'!AH37="Présent",'POINTAGE'!AI37,0),0),IF('POINTAGE'!$AJ$5&lt;&gt;"",IF('POINTAGE'!AJ37="Présent",'POINTAGE'!AK37,0),0),IF('POINTAGE'!$AL$5&lt;&gt;"",IF('POINTAGE'!AL37="Présent",'POINTAGE'!AM37,0),0),IF('POINTAGE'!$AN$5&lt;&gt;"",IF('POINTAGE'!AN37="Présent",'POINTAGE'!AO37,0),0),IF('POINTAGE'!$AP$5&lt;&gt;"",IF('POINTAGE'!AP37="Présent",'POINTAGE'!AQ37,0),0),IF('POINTAGE'!$AR$5&lt;&gt;"",IF('POINTAGE'!AR37="Présent",'POINTAGE'!AS37,0),0),IF('POINTAGE'!$AT$5&lt;&gt;"",IF('POINTAGE'!AT37="Présent",'POINTAGE'!AU37,0),0),IF('POINTAGE'!$AV$5&lt;&gt;"",IF('POINTAGE'!AV37="Présent",'POINTAGE'!AW37,0),0),IF('POINTAGE'!$AX$5&lt;&gt;"",IF('POINTAGE'!AX37="Présent",'POINTAGE'!AY37,0),0),IF('POINTAGE'!$AZ$5&lt;&gt;"",IF('POINTAGE'!AZ37="Présent",'POINTAGE'!BA37,0),0),IF('POINTAGE'!$BB$5&lt;&gt;"",IF('POINTAGE'!BB37="Présent",'POINTAGE'!BC37,0),0),IF('POINTAGE'!$BD$5&lt;&gt;"",IF('POINTAGE'!BD37="Présent",'POINTAGE'!BE37,0),0),IF('POINTAGE'!$BF$5&lt;&gt;"",IF('POINTAGE'!BF37="Présent",'POINTAGE'!BG37,0),0),IF('POINTAGE'!$BH$5&lt;&gt;"",IF('POINTAGE'!BH37="Présent",'POINTAGE'!BI37,0),0),IF('POINTAGE'!$BJ$5&lt;&gt;"",IF('POINTAGE'!BJ37="Présent",'POINTAGE'!BK37,0),0),IF('POINTAGE'!$BL$5&lt;&gt;"",IF('POINTAGE'!BL37="Présent",'POINTAGE'!BM37,0),0)))</f>
      </c>
      <c r="Q37" s="24">
        <f>IF($A37="","",$N37*$D37)</f>
      </c>
      <c r="R37" s="24">
        <f>IF($A37="","",$P37*$E37)</f>
      </c>
      <c r="S37" s="25">
        <f>IF($A37="","",$Q37+$R37)</f>
      </c>
      <c r="T37" s="18"/>
      <c r="U37" s="25">
        <f>IF($A37="","",MAX(0,$S37-$T37))</f>
      </c>
      <c r="V37" s="25">
        <f>IF($A37="","",$K37+$S37)</f>
      </c>
      <c r="W37" s="24">
        <f>IF($A37="","",$L37+$T37)</f>
      </c>
      <c r="X37" s="25">
        <f>IF($A37="","",$M37+$U37)</f>
      </c>
      <c r="Y37" s="29">
        <f>IF($A37="","",$J37+$R37)</f>
      </c>
    </row>
    <row r="38">
      <c r="A38" s="20">
        <f>IF('POINTAGE'!A38="","",'POINTAGE'!A38)</f>
      </c>
      <c r="B38" s="19">
        <f>IF($A38="","",'POINTAGE'!B38)</f>
      </c>
      <c r="C38" s="20">
        <f>IF($A38="","",'POINTAGE'!C38)</f>
      </c>
      <c r="D38" s="24">
        <f>IF($A38="","",IFERROR(INDEX(Categories_Salaire,MATCH($C38,ListeCategories,0)),0))</f>
      </c>
      <c r="E38" s="24">
        <f>IF($A38="","",IF(IFERROR(INDEX(Categories_TauxHS,MATCH($C38,ListeCategories,0)),0)&gt;0,IFERROR(INDEX(Categories_TauxHS,MATCH($C38,ListeCategories,0)),0),TauxHSDefaut))</f>
      </c>
      <c r="F38" s="22">
        <f>IF($A38="","",SUM(IF('POINTAGE'!$D$5&lt;&gt;"",--('POINTAGE'!D38="Présent"),0),IF('POINTAGE'!$F$5&lt;&gt;"",--('POINTAGE'!F38="Présent"),0),IF('POINTAGE'!$H$5&lt;&gt;"",--('POINTAGE'!H38="Présent"),0),IF('POINTAGE'!$J$5&lt;&gt;"",--('POINTAGE'!J38="Présent"),0),IF('POINTAGE'!$L$5&lt;&gt;"",--('POINTAGE'!L38="Présent"),0),IF('POINTAGE'!$N$5&lt;&gt;"",--('POINTAGE'!N38="Présent"),0),IF('POINTAGE'!$P$5&lt;&gt;"",--('POINTAGE'!P38="Présent"),0),IF('POINTAGE'!$R$5&lt;&gt;"",--('POINTAGE'!R38="Présent"),0),IF('POINTAGE'!$T$5&lt;&gt;"",--('POINTAGE'!T38="Présent"),0),IF('POINTAGE'!$V$5&lt;&gt;"",--('POINTAGE'!V38="Présent"),0),IF('POINTAGE'!$X$5&lt;&gt;"",--('POINTAGE'!X38="Présent"),0),IF('POINTAGE'!$Z$5&lt;&gt;"",--('POINTAGE'!Z38="Présent"),0),IF('POINTAGE'!$AB$5&lt;&gt;"",--('POINTAGE'!AB38="Présent"),0),IF('POINTAGE'!$AD$5&lt;&gt;"",--('POINTAGE'!AD38="Présent"),0),IF('POINTAGE'!$AF$5&lt;&gt;"",--('POINTAGE'!AF38="Présent"),0)))</f>
      </c>
      <c r="G38" s="22">
        <f>IF($A38="","",SUM(IF('POINTAGE'!$D$5&lt;&gt;"",--('POINTAGE'!D38="Absent"),0),IF('POINTAGE'!$F$5&lt;&gt;"",--('POINTAGE'!F38="Absent"),0),IF('POINTAGE'!$H$5&lt;&gt;"",--('POINTAGE'!H38="Absent"),0),IF('POINTAGE'!$J$5&lt;&gt;"",--('POINTAGE'!J38="Absent"),0),IF('POINTAGE'!$L$5&lt;&gt;"",--('POINTAGE'!L38="Absent"),0),IF('POINTAGE'!$N$5&lt;&gt;"",--('POINTAGE'!N38="Absent"),0),IF('POINTAGE'!$P$5&lt;&gt;"",--('POINTAGE'!P38="Absent"),0),IF('POINTAGE'!$R$5&lt;&gt;"",--('POINTAGE'!R38="Absent"),0),IF('POINTAGE'!$T$5&lt;&gt;"",--('POINTAGE'!T38="Absent"),0),IF('POINTAGE'!$V$5&lt;&gt;"",--('POINTAGE'!V38="Absent"),0),IF('POINTAGE'!$X$5&lt;&gt;"",--('POINTAGE'!X38="Absent"),0),IF('POINTAGE'!$Z$5&lt;&gt;"",--('POINTAGE'!Z38="Absent"),0),IF('POINTAGE'!$AB$5&lt;&gt;"",--('POINTAGE'!AB38="Absent"),0),IF('POINTAGE'!$AD$5&lt;&gt;"",--('POINTAGE'!AD38="Absent"),0),IF('POINTAGE'!$AF$5&lt;&gt;"",--('POINTAGE'!AF38="Absent"),0)))</f>
      </c>
      <c r="H38" s="23">
        <f>IF($A38="","",SUM(IF('POINTAGE'!$D$5&lt;&gt;"",IF('POINTAGE'!D38="Présent",'POINTAGE'!E38,0),0),IF('POINTAGE'!$F$5&lt;&gt;"",IF('POINTAGE'!F38="Présent",'POINTAGE'!G38,0),0),IF('POINTAGE'!$H$5&lt;&gt;"",IF('POINTAGE'!H38="Présent",'POINTAGE'!I38,0),0),IF('POINTAGE'!$J$5&lt;&gt;"",IF('POINTAGE'!J38="Présent",'POINTAGE'!K38,0),0),IF('POINTAGE'!$L$5&lt;&gt;"",IF('POINTAGE'!L38="Présent",'POINTAGE'!M38,0),0),IF('POINTAGE'!$N$5&lt;&gt;"",IF('POINTAGE'!N38="Présent",'POINTAGE'!O38,0),0),IF('POINTAGE'!$P$5&lt;&gt;"",IF('POINTAGE'!P38="Présent",'POINTAGE'!Q38,0),0),IF('POINTAGE'!$R$5&lt;&gt;"",IF('POINTAGE'!R38="Présent",'POINTAGE'!S38,0),0),IF('POINTAGE'!$T$5&lt;&gt;"",IF('POINTAGE'!T38="Présent",'POINTAGE'!U38,0),0),IF('POINTAGE'!$V$5&lt;&gt;"",IF('POINTAGE'!V38="Présent",'POINTAGE'!W38,0),0),IF('POINTAGE'!$X$5&lt;&gt;"",IF('POINTAGE'!X38="Présent",'POINTAGE'!Y38,0),0),IF('POINTAGE'!$Z$5&lt;&gt;"",IF('POINTAGE'!Z38="Présent",'POINTAGE'!AA38,0),0),IF('POINTAGE'!$AB$5&lt;&gt;"",IF('POINTAGE'!AB38="Présent",'POINTAGE'!AC38,0),0),IF('POINTAGE'!$AD$5&lt;&gt;"",IF('POINTAGE'!AD38="Présent",'POINTAGE'!AE38,0),0),IF('POINTAGE'!$AF$5&lt;&gt;"",IF('POINTAGE'!AF38="Présent",'POINTAGE'!AG38,0),0)))</f>
      </c>
      <c r="I38" s="24">
        <f>IF($A38="","",$F38*$D38)</f>
      </c>
      <c r="J38" s="24">
        <f>IF($A38="","",$H38*$E38)</f>
      </c>
      <c r="K38" s="25">
        <f>IF($A38="","",$I38+$J38)</f>
      </c>
      <c r="L38" s="18"/>
      <c r="M38" s="25">
        <f>IF($A38="","",MAX(0,$K38-$L38))</f>
      </c>
      <c r="N38" s="22">
        <f>IF($A38="","",SUM(IF('POINTAGE'!$AH$5&lt;&gt;"",--('POINTAGE'!AH38="Présent"),0),IF('POINTAGE'!$AJ$5&lt;&gt;"",--('POINTAGE'!AJ38="Présent"),0),IF('POINTAGE'!$AL$5&lt;&gt;"",--('POINTAGE'!AL38="Présent"),0),IF('POINTAGE'!$AN$5&lt;&gt;"",--('POINTAGE'!AN38="Présent"),0),IF('POINTAGE'!$AP$5&lt;&gt;"",--('POINTAGE'!AP38="Présent"),0),IF('POINTAGE'!$AR$5&lt;&gt;"",--('POINTAGE'!AR38="Présent"),0),IF('POINTAGE'!$AT$5&lt;&gt;"",--('POINTAGE'!AT38="Présent"),0),IF('POINTAGE'!$AV$5&lt;&gt;"",--('POINTAGE'!AV38="Présent"),0),IF('POINTAGE'!$AX$5&lt;&gt;"",--('POINTAGE'!AX38="Présent"),0),IF('POINTAGE'!$AZ$5&lt;&gt;"",--('POINTAGE'!AZ38="Présent"),0),IF('POINTAGE'!$BB$5&lt;&gt;"",--('POINTAGE'!BB38="Présent"),0),IF('POINTAGE'!$BD$5&lt;&gt;"",--('POINTAGE'!BD38="Présent"),0),IF('POINTAGE'!$BF$5&lt;&gt;"",--('POINTAGE'!BF38="Présent"),0),IF('POINTAGE'!$BH$5&lt;&gt;"",--('POINTAGE'!BH38="Présent"),0),IF('POINTAGE'!$BJ$5&lt;&gt;"",--('POINTAGE'!BJ38="Présent"),0),IF('POINTAGE'!$BL$5&lt;&gt;"",--('POINTAGE'!BL38="Présent"),0)))</f>
      </c>
      <c r="O38" s="22">
        <f>IF($A38="","",SUM(IF('POINTAGE'!$AH$5&lt;&gt;"",--('POINTAGE'!AH38="Absent"),0),IF('POINTAGE'!$AJ$5&lt;&gt;"",--('POINTAGE'!AJ38="Absent"),0),IF('POINTAGE'!$AL$5&lt;&gt;"",--('POINTAGE'!AL38="Absent"),0),IF('POINTAGE'!$AN$5&lt;&gt;"",--('POINTAGE'!AN38="Absent"),0),IF('POINTAGE'!$AP$5&lt;&gt;"",--('POINTAGE'!AP38="Absent"),0),IF('POINTAGE'!$AR$5&lt;&gt;"",--('POINTAGE'!AR38="Absent"),0),IF('POINTAGE'!$AT$5&lt;&gt;"",--('POINTAGE'!AT38="Absent"),0),IF('POINTAGE'!$AV$5&lt;&gt;"",--('POINTAGE'!AV38="Absent"),0),IF('POINTAGE'!$AX$5&lt;&gt;"",--('POINTAGE'!AX38="Absent"),0),IF('POINTAGE'!$AZ$5&lt;&gt;"",--('POINTAGE'!AZ38="Absent"),0),IF('POINTAGE'!$BB$5&lt;&gt;"",--('POINTAGE'!BB38="Absent"),0),IF('POINTAGE'!$BD$5&lt;&gt;"",--('POINTAGE'!BD38="Absent"),0),IF('POINTAGE'!$BF$5&lt;&gt;"",--('POINTAGE'!BF38="Absent"),0),IF('POINTAGE'!$BH$5&lt;&gt;"",--('POINTAGE'!BH38="Absent"),0),IF('POINTAGE'!$BJ$5&lt;&gt;"",--('POINTAGE'!BJ38="Absent"),0),IF('POINTAGE'!$BL$5&lt;&gt;"",--('POINTAGE'!BL38="Absent"),0)))</f>
      </c>
      <c r="P38" s="23">
        <f>IF($A38="","",SUM(IF('POINTAGE'!$AH$5&lt;&gt;"",IF('POINTAGE'!AH38="Présent",'POINTAGE'!AI38,0),0),IF('POINTAGE'!$AJ$5&lt;&gt;"",IF('POINTAGE'!AJ38="Présent",'POINTAGE'!AK38,0),0),IF('POINTAGE'!$AL$5&lt;&gt;"",IF('POINTAGE'!AL38="Présent",'POINTAGE'!AM38,0),0),IF('POINTAGE'!$AN$5&lt;&gt;"",IF('POINTAGE'!AN38="Présent",'POINTAGE'!AO38,0),0),IF('POINTAGE'!$AP$5&lt;&gt;"",IF('POINTAGE'!AP38="Présent",'POINTAGE'!AQ38,0),0),IF('POINTAGE'!$AR$5&lt;&gt;"",IF('POINTAGE'!AR38="Présent",'POINTAGE'!AS38,0),0),IF('POINTAGE'!$AT$5&lt;&gt;"",IF('POINTAGE'!AT38="Présent",'POINTAGE'!AU38,0),0),IF('POINTAGE'!$AV$5&lt;&gt;"",IF('POINTAGE'!AV38="Présent",'POINTAGE'!AW38,0),0),IF('POINTAGE'!$AX$5&lt;&gt;"",IF('POINTAGE'!AX38="Présent",'POINTAGE'!AY38,0),0),IF('POINTAGE'!$AZ$5&lt;&gt;"",IF('POINTAGE'!AZ38="Présent",'POINTAGE'!BA38,0),0),IF('POINTAGE'!$BB$5&lt;&gt;"",IF('POINTAGE'!BB38="Présent",'POINTAGE'!BC38,0),0),IF('POINTAGE'!$BD$5&lt;&gt;"",IF('POINTAGE'!BD38="Présent",'POINTAGE'!BE38,0),0),IF('POINTAGE'!$BF$5&lt;&gt;"",IF('POINTAGE'!BF38="Présent",'POINTAGE'!BG38,0),0),IF('POINTAGE'!$BH$5&lt;&gt;"",IF('POINTAGE'!BH38="Présent",'POINTAGE'!BI38,0),0),IF('POINTAGE'!$BJ$5&lt;&gt;"",IF('POINTAGE'!BJ38="Présent",'POINTAGE'!BK38,0),0),IF('POINTAGE'!$BL$5&lt;&gt;"",IF('POINTAGE'!BL38="Présent",'POINTAGE'!BM38,0),0)))</f>
      </c>
      <c r="Q38" s="24">
        <f>IF($A38="","",$N38*$D38)</f>
      </c>
      <c r="R38" s="24">
        <f>IF($A38="","",$P38*$E38)</f>
      </c>
      <c r="S38" s="25">
        <f>IF($A38="","",$Q38+$R38)</f>
      </c>
      <c r="T38" s="18"/>
      <c r="U38" s="25">
        <f>IF($A38="","",MAX(0,$S38-$T38))</f>
      </c>
      <c r="V38" s="25">
        <f>IF($A38="","",$K38+$S38)</f>
      </c>
      <c r="W38" s="24">
        <f>IF($A38="","",$L38+$T38)</f>
      </c>
      <c r="X38" s="25">
        <f>IF($A38="","",$M38+$U38)</f>
      </c>
      <c r="Y38" s="29">
        <f>IF($A38="","",$J38+$R38)</f>
      </c>
    </row>
    <row r="39">
      <c r="A39" s="20">
        <f>IF('POINTAGE'!A39="","",'POINTAGE'!A39)</f>
      </c>
      <c r="B39" s="19">
        <f>IF($A39="","",'POINTAGE'!B39)</f>
      </c>
      <c r="C39" s="20">
        <f>IF($A39="","",'POINTAGE'!C39)</f>
      </c>
      <c r="D39" s="24">
        <f>IF($A39="","",IFERROR(INDEX(Categories_Salaire,MATCH($C39,ListeCategories,0)),0))</f>
      </c>
      <c r="E39" s="24">
        <f>IF($A39="","",IF(IFERROR(INDEX(Categories_TauxHS,MATCH($C39,ListeCategories,0)),0)&gt;0,IFERROR(INDEX(Categories_TauxHS,MATCH($C39,ListeCategories,0)),0),TauxHSDefaut))</f>
      </c>
      <c r="F39" s="22">
        <f>IF($A39="","",SUM(IF('POINTAGE'!$D$5&lt;&gt;"",--('POINTAGE'!D39="Présent"),0),IF('POINTAGE'!$F$5&lt;&gt;"",--('POINTAGE'!F39="Présent"),0),IF('POINTAGE'!$H$5&lt;&gt;"",--('POINTAGE'!H39="Présent"),0),IF('POINTAGE'!$J$5&lt;&gt;"",--('POINTAGE'!J39="Présent"),0),IF('POINTAGE'!$L$5&lt;&gt;"",--('POINTAGE'!L39="Présent"),0),IF('POINTAGE'!$N$5&lt;&gt;"",--('POINTAGE'!N39="Présent"),0),IF('POINTAGE'!$P$5&lt;&gt;"",--('POINTAGE'!P39="Présent"),0),IF('POINTAGE'!$R$5&lt;&gt;"",--('POINTAGE'!R39="Présent"),0),IF('POINTAGE'!$T$5&lt;&gt;"",--('POINTAGE'!T39="Présent"),0),IF('POINTAGE'!$V$5&lt;&gt;"",--('POINTAGE'!V39="Présent"),0),IF('POINTAGE'!$X$5&lt;&gt;"",--('POINTAGE'!X39="Présent"),0),IF('POINTAGE'!$Z$5&lt;&gt;"",--('POINTAGE'!Z39="Présent"),0),IF('POINTAGE'!$AB$5&lt;&gt;"",--('POINTAGE'!AB39="Présent"),0),IF('POINTAGE'!$AD$5&lt;&gt;"",--('POINTAGE'!AD39="Présent"),0),IF('POINTAGE'!$AF$5&lt;&gt;"",--('POINTAGE'!AF39="Présent"),0)))</f>
      </c>
      <c r="G39" s="22">
        <f>IF($A39="","",SUM(IF('POINTAGE'!$D$5&lt;&gt;"",--('POINTAGE'!D39="Absent"),0),IF('POINTAGE'!$F$5&lt;&gt;"",--('POINTAGE'!F39="Absent"),0),IF('POINTAGE'!$H$5&lt;&gt;"",--('POINTAGE'!H39="Absent"),0),IF('POINTAGE'!$J$5&lt;&gt;"",--('POINTAGE'!J39="Absent"),0),IF('POINTAGE'!$L$5&lt;&gt;"",--('POINTAGE'!L39="Absent"),0),IF('POINTAGE'!$N$5&lt;&gt;"",--('POINTAGE'!N39="Absent"),0),IF('POINTAGE'!$P$5&lt;&gt;"",--('POINTAGE'!P39="Absent"),0),IF('POINTAGE'!$R$5&lt;&gt;"",--('POINTAGE'!R39="Absent"),0),IF('POINTAGE'!$T$5&lt;&gt;"",--('POINTAGE'!T39="Absent"),0),IF('POINTAGE'!$V$5&lt;&gt;"",--('POINTAGE'!V39="Absent"),0),IF('POINTAGE'!$X$5&lt;&gt;"",--('POINTAGE'!X39="Absent"),0),IF('POINTAGE'!$Z$5&lt;&gt;"",--('POINTAGE'!Z39="Absent"),0),IF('POINTAGE'!$AB$5&lt;&gt;"",--('POINTAGE'!AB39="Absent"),0),IF('POINTAGE'!$AD$5&lt;&gt;"",--('POINTAGE'!AD39="Absent"),0),IF('POINTAGE'!$AF$5&lt;&gt;"",--('POINTAGE'!AF39="Absent"),0)))</f>
      </c>
      <c r="H39" s="23">
        <f>IF($A39="","",SUM(IF('POINTAGE'!$D$5&lt;&gt;"",IF('POINTAGE'!D39="Présent",'POINTAGE'!E39,0),0),IF('POINTAGE'!$F$5&lt;&gt;"",IF('POINTAGE'!F39="Présent",'POINTAGE'!G39,0),0),IF('POINTAGE'!$H$5&lt;&gt;"",IF('POINTAGE'!H39="Présent",'POINTAGE'!I39,0),0),IF('POINTAGE'!$J$5&lt;&gt;"",IF('POINTAGE'!J39="Présent",'POINTAGE'!K39,0),0),IF('POINTAGE'!$L$5&lt;&gt;"",IF('POINTAGE'!L39="Présent",'POINTAGE'!M39,0),0),IF('POINTAGE'!$N$5&lt;&gt;"",IF('POINTAGE'!N39="Présent",'POINTAGE'!O39,0),0),IF('POINTAGE'!$P$5&lt;&gt;"",IF('POINTAGE'!P39="Présent",'POINTAGE'!Q39,0),0),IF('POINTAGE'!$R$5&lt;&gt;"",IF('POINTAGE'!R39="Présent",'POINTAGE'!S39,0),0),IF('POINTAGE'!$T$5&lt;&gt;"",IF('POINTAGE'!T39="Présent",'POINTAGE'!U39,0),0),IF('POINTAGE'!$V$5&lt;&gt;"",IF('POINTAGE'!V39="Présent",'POINTAGE'!W39,0),0),IF('POINTAGE'!$X$5&lt;&gt;"",IF('POINTAGE'!X39="Présent",'POINTAGE'!Y39,0),0),IF('POINTAGE'!$Z$5&lt;&gt;"",IF('POINTAGE'!Z39="Présent",'POINTAGE'!AA39,0),0),IF('POINTAGE'!$AB$5&lt;&gt;"",IF('POINTAGE'!AB39="Présent",'POINTAGE'!AC39,0),0),IF('POINTAGE'!$AD$5&lt;&gt;"",IF('POINTAGE'!AD39="Présent",'POINTAGE'!AE39,0),0),IF('POINTAGE'!$AF$5&lt;&gt;"",IF('POINTAGE'!AF39="Présent",'POINTAGE'!AG39,0),0)))</f>
      </c>
      <c r="I39" s="24">
        <f>IF($A39="","",$F39*$D39)</f>
      </c>
      <c r="J39" s="24">
        <f>IF($A39="","",$H39*$E39)</f>
      </c>
      <c r="K39" s="25">
        <f>IF($A39="","",$I39+$J39)</f>
      </c>
      <c r="L39" s="18"/>
      <c r="M39" s="25">
        <f>IF($A39="","",MAX(0,$K39-$L39))</f>
      </c>
      <c r="N39" s="22">
        <f>IF($A39="","",SUM(IF('POINTAGE'!$AH$5&lt;&gt;"",--('POINTAGE'!AH39="Présent"),0),IF('POINTAGE'!$AJ$5&lt;&gt;"",--('POINTAGE'!AJ39="Présent"),0),IF('POINTAGE'!$AL$5&lt;&gt;"",--('POINTAGE'!AL39="Présent"),0),IF('POINTAGE'!$AN$5&lt;&gt;"",--('POINTAGE'!AN39="Présent"),0),IF('POINTAGE'!$AP$5&lt;&gt;"",--('POINTAGE'!AP39="Présent"),0),IF('POINTAGE'!$AR$5&lt;&gt;"",--('POINTAGE'!AR39="Présent"),0),IF('POINTAGE'!$AT$5&lt;&gt;"",--('POINTAGE'!AT39="Présent"),0),IF('POINTAGE'!$AV$5&lt;&gt;"",--('POINTAGE'!AV39="Présent"),0),IF('POINTAGE'!$AX$5&lt;&gt;"",--('POINTAGE'!AX39="Présent"),0),IF('POINTAGE'!$AZ$5&lt;&gt;"",--('POINTAGE'!AZ39="Présent"),0),IF('POINTAGE'!$BB$5&lt;&gt;"",--('POINTAGE'!BB39="Présent"),0),IF('POINTAGE'!$BD$5&lt;&gt;"",--('POINTAGE'!BD39="Présent"),0),IF('POINTAGE'!$BF$5&lt;&gt;"",--('POINTAGE'!BF39="Présent"),0),IF('POINTAGE'!$BH$5&lt;&gt;"",--('POINTAGE'!BH39="Présent"),0),IF('POINTAGE'!$BJ$5&lt;&gt;"",--('POINTAGE'!BJ39="Présent"),0),IF('POINTAGE'!$BL$5&lt;&gt;"",--('POINTAGE'!BL39="Présent"),0)))</f>
      </c>
      <c r="O39" s="22">
        <f>IF($A39="","",SUM(IF('POINTAGE'!$AH$5&lt;&gt;"",--('POINTAGE'!AH39="Absent"),0),IF('POINTAGE'!$AJ$5&lt;&gt;"",--('POINTAGE'!AJ39="Absent"),0),IF('POINTAGE'!$AL$5&lt;&gt;"",--('POINTAGE'!AL39="Absent"),0),IF('POINTAGE'!$AN$5&lt;&gt;"",--('POINTAGE'!AN39="Absent"),0),IF('POINTAGE'!$AP$5&lt;&gt;"",--('POINTAGE'!AP39="Absent"),0),IF('POINTAGE'!$AR$5&lt;&gt;"",--('POINTAGE'!AR39="Absent"),0),IF('POINTAGE'!$AT$5&lt;&gt;"",--('POINTAGE'!AT39="Absent"),0),IF('POINTAGE'!$AV$5&lt;&gt;"",--('POINTAGE'!AV39="Absent"),0),IF('POINTAGE'!$AX$5&lt;&gt;"",--('POINTAGE'!AX39="Absent"),0),IF('POINTAGE'!$AZ$5&lt;&gt;"",--('POINTAGE'!AZ39="Absent"),0),IF('POINTAGE'!$BB$5&lt;&gt;"",--('POINTAGE'!BB39="Absent"),0),IF('POINTAGE'!$BD$5&lt;&gt;"",--('POINTAGE'!BD39="Absent"),0),IF('POINTAGE'!$BF$5&lt;&gt;"",--('POINTAGE'!BF39="Absent"),0),IF('POINTAGE'!$BH$5&lt;&gt;"",--('POINTAGE'!BH39="Absent"),0),IF('POINTAGE'!$BJ$5&lt;&gt;"",--('POINTAGE'!BJ39="Absent"),0),IF('POINTAGE'!$BL$5&lt;&gt;"",--('POINTAGE'!BL39="Absent"),0)))</f>
      </c>
      <c r="P39" s="23">
        <f>IF($A39="","",SUM(IF('POINTAGE'!$AH$5&lt;&gt;"",IF('POINTAGE'!AH39="Présent",'POINTAGE'!AI39,0),0),IF('POINTAGE'!$AJ$5&lt;&gt;"",IF('POINTAGE'!AJ39="Présent",'POINTAGE'!AK39,0),0),IF('POINTAGE'!$AL$5&lt;&gt;"",IF('POINTAGE'!AL39="Présent",'POINTAGE'!AM39,0),0),IF('POINTAGE'!$AN$5&lt;&gt;"",IF('POINTAGE'!AN39="Présent",'POINTAGE'!AO39,0),0),IF('POINTAGE'!$AP$5&lt;&gt;"",IF('POINTAGE'!AP39="Présent",'POINTAGE'!AQ39,0),0),IF('POINTAGE'!$AR$5&lt;&gt;"",IF('POINTAGE'!AR39="Présent",'POINTAGE'!AS39,0),0),IF('POINTAGE'!$AT$5&lt;&gt;"",IF('POINTAGE'!AT39="Présent",'POINTAGE'!AU39,0),0),IF('POINTAGE'!$AV$5&lt;&gt;"",IF('POINTAGE'!AV39="Présent",'POINTAGE'!AW39,0),0),IF('POINTAGE'!$AX$5&lt;&gt;"",IF('POINTAGE'!AX39="Présent",'POINTAGE'!AY39,0),0),IF('POINTAGE'!$AZ$5&lt;&gt;"",IF('POINTAGE'!AZ39="Présent",'POINTAGE'!BA39,0),0),IF('POINTAGE'!$BB$5&lt;&gt;"",IF('POINTAGE'!BB39="Présent",'POINTAGE'!BC39,0),0),IF('POINTAGE'!$BD$5&lt;&gt;"",IF('POINTAGE'!BD39="Présent",'POINTAGE'!BE39,0),0),IF('POINTAGE'!$BF$5&lt;&gt;"",IF('POINTAGE'!BF39="Présent",'POINTAGE'!BG39,0),0),IF('POINTAGE'!$BH$5&lt;&gt;"",IF('POINTAGE'!BH39="Présent",'POINTAGE'!BI39,0),0),IF('POINTAGE'!$BJ$5&lt;&gt;"",IF('POINTAGE'!BJ39="Présent",'POINTAGE'!BK39,0),0),IF('POINTAGE'!$BL$5&lt;&gt;"",IF('POINTAGE'!BL39="Présent",'POINTAGE'!BM39,0),0)))</f>
      </c>
      <c r="Q39" s="24">
        <f>IF($A39="","",$N39*$D39)</f>
      </c>
      <c r="R39" s="24">
        <f>IF($A39="","",$P39*$E39)</f>
      </c>
      <c r="S39" s="25">
        <f>IF($A39="","",$Q39+$R39)</f>
      </c>
      <c r="T39" s="18"/>
      <c r="U39" s="25">
        <f>IF($A39="","",MAX(0,$S39-$T39))</f>
      </c>
      <c r="V39" s="25">
        <f>IF($A39="","",$K39+$S39)</f>
      </c>
      <c r="W39" s="24">
        <f>IF($A39="","",$L39+$T39)</f>
      </c>
      <c r="X39" s="25">
        <f>IF($A39="","",$M39+$U39)</f>
      </c>
      <c r="Y39" s="29">
        <f>IF($A39="","",$J39+$R39)</f>
      </c>
    </row>
    <row r="40">
      <c r="A40" s="20">
        <f>IF('POINTAGE'!A40="","",'POINTAGE'!A40)</f>
      </c>
      <c r="B40" s="19">
        <f>IF($A40="","",'POINTAGE'!B40)</f>
      </c>
      <c r="C40" s="20">
        <f>IF($A40="","",'POINTAGE'!C40)</f>
      </c>
      <c r="D40" s="24">
        <f>IF($A40="","",IFERROR(INDEX(Categories_Salaire,MATCH($C40,ListeCategories,0)),0))</f>
      </c>
      <c r="E40" s="24">
        <f>IF($A40="","",IF(IFERROR(INDEX(Categories_TauxHS,MATCH($C40,ListeCategories,0)),0)&gt;0,IFERROR(INDEX(Categories_TauxHS,MATCH($C40,ListeCategories,0)),0),TauxHSDefaut))</f>
      </c>
      <c r="F40" s="22">
        <f>IF($A40="","",SUM(IF('POINTAGE'!$D$5&lt;&gt;"",--('POINTAGE'!D40="Présent"),0),IF('POINTAGE'!$F$5&lt;&gt;"",--('POINTAGE'!F40="Présent"),0),IF('POINTAGE'!$H$5&lt;&gt;"",--('POINTAGE'!H40="Présent"),0),IF('POINTAGE'!$J$5&lt;&gt;"",--('POINTAGE'!J40="Présent"),0),IF('POINTAGE'!$L$5&lt;&gt;"",--('POINTAGE'!L40="Présent"),0),IF('POINTAGE'!$N$5&lt;&gt;"",--('POINTAGE'!N40="Présent"),0),IF('POINTAGE'!$P$5&lt;&gt;"",--('POINTAGE'!P40="Présent"),0),IF('POINTAGE'!$R$5&lt;&gt;"",--('POINTAGE'!R40="Présent"),0),IF('POINTAGE'!$T$5&lt;&gt;"",--('POINTAGE'!T40="Présent"),0),IF('POINTAGE'!$V$5&lt;&gt;"",--('POINTAGE'!V40="Présent"),0),IF('POINTAGE'!$X$5&lt;&gt;"",--('POINTAGE'!X40="Présent"),0),IF('POINTAGE'!$Z$5&lt;&gt;"",--('POINTAGE'!Z40="Présent"),0),IF('POINTAGE'!$AB$5&lt;&gt;"",--('POINTAGE'!AB40="Présent"),0),IF('POINTAGE'!$AD$5&lt;&gt;"",--('POINTAGE'!AD40="Présent"),0),IF('POINTAGE'!$AF$5&lt;&gt;"",--('POINTAGE'!AF40="Présent"),0)))</f>
      </c>
      <c r="G40" s="22">
        <f>IF($A40="","",SUM(IF('POINTAGE'!$D$5&lt;&gt;"",--('POINTAGE'!D40="Absent"),0),IF('POINTAGE'!$F$5&lt;&gt;"",--('POINTAGE'!F40="Absent"),0),IF('POINTAGE'!$H$5&lt;&gt;"",--('POINTAGE'!H40="Absent"),0),IF('POINTAGE'!$J$5&lt;&gt;"",--('POINTAGE'!J40="Absent"),0),IF('POINTAGE'!$L$5&lt;&gt;"",--('POINTAGE'!L40="Absent"),0),IF('POINTAGE'!$N$5&lt;&gt;"",--('POINTAGE'!N40="Absent"),0),IF('POINTAGE'!$P$5&lt;&gt;"",--('POINTAGE'!P40="Absent"),0),IF('POINTAGE'!$R$5&lt;&gt;"",--('POINTAGE'!R40="Absent"),0),IF('POINTAGE'!$T$5&lt;&gt;"",--('POINTAGE'!T40="Absent"),0),IF('POINTAGE'!$V$5&lt;&gt;"",--('POINTAGE'!V40="Absent"),0),IF('POINTAGE'!$X$5&lt;&gt;"",--('POINTAGE'!X40="Absent"),0),IF('POINTAGE'!$Z$5&lt;&gt;"",--('POINTAGE'!Z40="Absent"),0),IF('POINTAGE'!$AB$5&lt;&gt;"",--('POINTAGE'!AB40="Absent"),0),IF('POINTAGE'!$AD$5&lt;&gt;"",--('POINTAGE'!AD40="Absent"),0),IF('POINTAGE'!$AF$5&lt;&gt;"",--('POINTAGE'!AF40="Absent"),0)))</f>
      </c>
      <c r="H40" s="23">
        <f>IF($A40="","",SUM(IF('POINTAGE'!$D$5&lt;&gt;"",IF('POINTAGE'!D40="Présent",'POINTAGE'!E40,0),0),IF('POINTAGE'!$F$5&lt;&gt;"",IF('POINTAGE'!F40="Présent",'POINTAGE'!G40,0),0),IF('POINTAGE'!$H$5&lt;&gt;"",IF('POINTAGE'!H40="Présent",'POINTAGE'!I40,0),0),IF('POINTAGE'!$J$5&lt;&gt;"",IF('POINTAGE'!J40="Présent",'POINTAGE'!K40,0),0),IF('POINTAGE'!$L$5&lt;&gt;"",IF('POINTAGE'!L40="Présent",'POINTAGE'!M40,0),0),IF('POINTAGE'!$N$5&lt;&gt;"",IF('POINTAGE'!N40="Présent",'POINTAGE'!O40,0),0),IF('POINTAGE'!$P$5&lt;&gt;"",IF('POINTAGE'!P40="Présent",'POINTAGE'!Q40,0),0),IF('POINTAGE'!$R$5&lt;&gt;"",IF('POINTAGE'!R40="Présent",'POINTAGE'!S40,0),0),IF('POINTAGE'!$T$5&lt;&gt;"",IF('POINTAGE'!T40="Présent",'POINTAGE'!U40,0),0),IF('POINTAGE'!$V$5&lt;&gt;"",IF('POINTAGE'!V40="Présent",'POINTAGE'!W40,0),0),IF('POINTAGE'!$X$5&lt;&gt;"",IF('POINTAGE'!X40="Présent",'POINTAGE'!Y40,0),0),IF('POINTAGE'!$Z$5&lt;&gt;"",IF('POINTAGE'!Z40="Présent",'POINTAGE'!AA40,0),0),IF('POINTAGE'!$AB$5&lt;&gt;"",IF('POINTAGE'!AB40="Présent",'POINTAGE'!AC40,0),0),IF('POINTAGE'!$AD$5&lt;&gt;"",IF('POINTAGE'!AD40="Présent",'POINTAGE'!AE40,0),0),IF('POINTAGE'!$AF$5&lt;&gt;"",IF('POINTAGE'!AF40="Présent",'POINTAGE'!AG40,0),0)))</f>
      </c>
      <c r="I40" s="24">
        <f>IF($A40="","",$F40*$D40)</f>
      </c>
      <c r="J40" s="24">
        <f>IF($A40="","",$H40*$E40)</f>
      </c>
      <c r="K40" s="25">
        <f>IF($A40="","",$I40+$J40)</f>
      </c>
      <c r="L40" s="18"/>
      <c r="M40" s="25">
        <f>IF($A40="","",MAX(0,$K40-$L40))</f>
      </c>
      <c r="N40" s="22">
        <f>IF($A40="","",SUM(IF('POINTAGE'!$AH$5&lt;&gt;"",--('POINTAGE'!AH40="Présent"),0),IF('POINTAGE'!$AJ$5&lt;&gt;"",--('POINTAGE'!AJ40="Présent"),0),IF('POINTAGE'!$AL$5&lt;&gt;"",--('POINTAGE'!AL40="Présent"),0),IF('POINTAGE'!$AN$5&lt;&gt;"",--('POINTAGE'!AN40="Présent"),0),IF('POINTAGE'!$AP$5&lt;&gt;"",--('POINTAGE'!AP40="Présent"),0),IF('POINTAGE'!$AR$5&lt;&gt;"",--('POINTAGE'!AR40="Présent"),0),IF('POINTAGE'!$AT$5&lt;&gt;"",--('POINTAGE'!AT40="Présent"),0),IF('POINTAGE'!$AV$5&lt;&gt;"",--('POINTAGE'!AV40="Présent"),0),IF('POINTAGE'!$AX$5&lt;&gt;"",--('POINTAGE'!AX40="Présent"),0),IF('POINTAGE'!$AZ$5&lt;&gt;"",--('POINTAGE'!AZ40="Présent"),0),IF('POINTAGE'!$BB$5&lt;&gt;"",--('POINTAGE'!BB40="Présent"),0),IF('POINTAGE'!$BD$5&lt;&gt;"",--('POINTAGE'!BD40="Présent"),0),IF('POINTAGE'!$BF$5&lt;&gt;"",--('POINTAGE'!BF40="Présent"),0),IF('POINTAGE'!$BH$5&lt;&gt;"",--('POINTAGE'!BH40="Présent"),0),IF('POINTAGE'!$BJ$5&lt;&gt;"",--('POINTAGE'!BJ40="Présent"),0),IF('POINTAGE'!$BL$5&lt;&gt;"",--('POINTAGE'!BL40="Présent"),0)))</f>
      </c>
      <c r="O40" s="22">
        <f>IF($A40="","",SUM(IF('POINTAGE'!$AH$5&lt;&gt;"",--('POINTAGE'!AH40="Absent"),0),IF('POINTAGE'!$AJ$5&lt;&gt;"",--('POINTAGE'!AJ40="Absent"),0),IF('POINTAGE'!$AL$5&lt;&gt;"",--('POINTAGE'!AL40="Absent"),0),IF('POINTAGE'!$AN$5&lt;&gt;"",--('POINTAGE'!AN40="Absent"),0),IF('POINTAGE'!$AP$5&lt;&gt;"",--('POINTAGE'!AP40="Absent"),0),IF('POINTAGE'!$AR$5&lt;&gt;"",--('POINTAGE'!AR40="Absent"),0),IF('POINTAGE'!$AT$5&lt;&gt;"",--('POINTAGE'!AT40="Absent"),0),IF('POINTAGE'!$AV$5&lt;&gt;"",--('POINTAGE'!AV40="Absent"),0),IF('POINTAGE'!$AX$5&lt;&gt;"",--('POINTAGE'!AX40="Absent"),0),IF('POINTAGE'!$AZ$5&lt;&gt;"",--('POINTAGE'!AZ40="Absent"),0),IF('POINTAGE'!$BB$5&lt;&gt;"",--('POINTAGE'!BB40="Absent"),0),IF('POINTAGE'!$BD$5&lt;&gt;"",--('POINTAGE'!BD40="Absent"),0),IF('POINTAGE'!$BF$5&lt;&gt;"",--('POINTAGE'!BF40="Absent"),0),IF('POINTAGE'!$BH$5&lt;&gt;"",--('POINTAGE'!BH40="Absent"),0),IF('POINTAGE'!$BJ$5&lt;&gt;"",--('POINTAGE'!BJ40="Absent"),0),IF('POINTAGE'!$BL$5&lt;&gt;"",--('POINTAGE'!BL40="Absent"),0)))</f>
      </c>
      <c r="P40" s="23">
        <f>IF($A40="","",SUM(IF('POINTAGE'!$AH$5&lt;&gt;"",IF('POINTAGE'!AH40="Présent",'POINTAGE'!AI40,0),0),IF('POINTAGE'!$AJ$5&lt;&gt;"",IF('POINTAGE'!AJ40="Présent",'POINTAGE'!AK40,0),0),IF('POINTAGE'!$AL$5&lt;&gt;"",IF('POINTAGE'!AL40="Présent",'POINTAGE'!AM40,0),0),IF('POINTAGE'!$AN$5&lt;&gt;"",IF('POINTAGE'!AN40="Présent",'POINTAGE'!AO40,0),0),IF('POINTAGE'!$AP$5&lt;&gt;"",IF('POINTAGE'!AP40="Présent",'POINTAGE'!AQ40,0),0),IF('POINTAGE'!$AR$5&lt;&gt;"",IF('POINTAGE'!AR40="Présent",'POINTAGE'!AS40,0),0),IF('POINTAGE'!$AT$5&lt;&gt;"",IF('POINTAGE'!AT40="Présent",'POINTAGE'!AU40,0),0),IF('POINTAGE'!$AV$5&lt;&gt;"",IF('POINTAGE'!AV40="Présent",'POINTAGE'!AW40,0),0),IF('POINTAGE'!$AX$5&lt;&gt;"",IF('POINTAGE'!AX40="Présent",'POINTAGE'!AY40,0),0),IF('POINTAGE'!$AZ$5&lt;&gt;"",IF('POINTAGE'!AZ40="Présent",'POINTAGE'!BA40,0),0),IF('POINTAGE'!$BB$5&lt;&gt;"",IF('POINTAGE'!BB40="Présent",'POINTAGE'!BC40,0),0),IF('POINTAGE'!$BD$5&lt;&gt;"",IF('POINTAGE'!BD40="Présent",'POINTAGE'!BE40,0),0),IF('POINTAGE'!$BF$5&lt;&gt;"",IF('POINTAGE'!BF40="Présent",'POINTAGE'!BG40,0),0),IF('POINTAGE'!$BH$5&lt;&gt;"",IF('POINTAGE'!BH40="Présent",'POINTAGE'!BI40,0),0),IF('POINTAGE'!$BJ$5&lt;&gt;"",IF('POINTAGE'!BJ40="Présent",'POINTAGE'!BK40,0),0),IF('POINTAGE'!$BL$5&lt;&gt;"",IF('POINTAGE'!BL40="Présent",'POINTAGE'!BM40,0),0)))</f>
      </c>
      <c r="Q40" s="24">
        <f>IF($A40="","",$N40*$D40)</f>
      </c>
      <c r="R40" s="24">
        <f>IF($A40="","",$P40*$E40)</f>
      </c>
      <c r="S40" s="25">
        <f>IF($A40="","",$Q40+$R40)</f>
      </c>
      <c r="T40" s="18"/>
      <c r="U40" s="25">
        <f>IF($A40="","",MAX(0,$S40-$T40))</f>
      </c>
      <c r="V40" s="25">
        <f>IF($A40="","",$K40+$S40)</f>
      </c>
      <c r="W40" s="24">
        <f>IF($A40="","",$L40+$T40)</f>
      </c>
      <c r="X40" s="25">
        <f>IF($A40="","",$M40+$U40)</f>
      </c>
      <c r="Y40" s="29">
        <f>IF($A40="","",$J40+$R40)</f>
      </c>
    </row>
    <row r="41">
      <c r="A41" s="20">
        <f>IF('POINTAGE'!A41="","",'POINTAGE'!A41)</f>
      </c>
      <c r="B41" s="19">
        <f>IF($A41="","",'POINTAGE'!B41)</f>
      </c>
      <c r="C41" s="20">
        <f>IF($A41="","",'POINTAGE'!C41)</f>
      </c>
      <c r="D41" s="24">
        <f>IF($A41="","",IFERROR(INDEX(Categories_Salaire,MATCH($C41,ListeCategories,0)),0))</f>
      </c>
      <c r="E41" s="24">
        <f>IF($A41="","",IF(IFERROR(INDEX(Categories_TauxHS,MATCH($C41,ListeCategories,0)),0)&gt;0,IFERROR(INDEX(Categories_TauxHS,MATCH($C41,ListeCategories,0)),0),TauxHSDefaut))</f>
      </c>
      <c r="F41" s="22">
        <f>IF($A41="","",SUM(IF('POINTAGE'!$D$5&lt;&gt;"",--('POINTAGE'!D41="Présent"),0),IF('POINTAGE'!$F$5&lt;&gt;"",--('POINTAGE'!F41="Présent"),0),IF('POINTAGE'!$H$5&lt;&gt;"",--('POINTAGE'!H41="Présent"),0),IF('POINTAGE'!$J$5&lt;&gt;"",--('POINTAGE'!J41="Présent"),0),IF('POINTAGE'!$L$5&lt;&gt;"",--('POINTAGE'!L41="Présent"),0),IF('POINTAGE'!$N$5&lt;&gt;"",--('POINTAGE'!N41="Présent"),0),IF('POINTAGE'!$P$5&lt;&gt;"",--('POINTAGE'!P41="Présent"),0),IF('POINTAGE'!$R$5&lt;&gt;"",--('POINTAGE'!R41="Présent"),0),IF('POINTAGE'!$T$5&lt;&gt;"",--('POINTAGE'!T41="Présent"),0),IF('POINTAGE'!$V$5&lt;&gt;"",--('POINTAGE'!V41="Présent"),0),IF('POINTAGE'!$X$5&lt;&gt;"",--('POINTAGE'!X41="Présent"),0),IF('POINTAGE'!$Z$5&lt;&gt;"",--('POINTAGE'!Z41="Présent"),0),IF('POINTAGE'!$AB$5&lt;&gt;"",--('POINTAGE'!AB41="Présent"),0),IF('POINTAGE'!$AD$5&lt;&gt;"",--('POINTAGE'!AD41="Présent"),0),IF('POINTAGE'!$AF$5&lt;&gt;"",--('POINTAGE'!AF41="Présent"),0)))</f>
      </c>
      <c r="G41" s="22">
        <f>IF($A41="","",SUM(IF('POINTAGE'!$D$5&lt;&gt;"",--('POINTAGE'!D41="Absent"),0),IF('POINTAGE'!$F$5&lt;&gt;"",--('POINTAGE'!F41="Absent"),0),IF('POINTAGE'!$H$5&lt;&gt;"",--('POINTAGE'!H41="Absent"),0),IF('POINTAGE'!$J$5&lt;&gt;"",--('POINTAGE'!J41="Absent"),0),IF('POINTAGE'!$L$5&lt;&gt;"",--('POINTAGE'!L41="Absent"),0),IF('POINTAGE'!$N$5&lt;&gt;"",--('POINTAGE'!N41="Absent"),0),IF('POINTAGE'!$P$5&lt;&gt;"",--('POINTAGE'!P41="Absent"),0),IF('POINTAGE'!$R$5&lt;&gt;"",--('POINTAGE'!R41="Absent"),0),IF('POINTAGE'!$T$5&lt;&gt;"",--('POINTAGE'!T41="Absent"),0),IF('POINTAGE'!$V$5&lt;&gt;"",--('POINTAGE'!V41="Absent"),0),IF('POINTAGE'!$X$5&lt;&gt;"",--('POINTAGE'!X41="Absent"),0),IF('POINTAGE'!$Z$5&lt;&gt;"",--('POINTAGE'!Z41="Absent"),0),IF('POINTAGE'!$AB$5&lt;&gt;"",--('POINTAGE'!AB41="Absent"),0),IF('POINTAGE'!$AD$5&lt;&gt;"",--('POINTAGE'!AD41="Absent"),0),IF('POINTAGE'!$AF$5&lt;&gt;"",--('POINTAGE'!AF41="Absent"),0)))</f>
      </c>
      <c r="H41" s="23">
        <f>IF($A41="","",SUM(IF('POINTAGE'!$D$5&lt;&gt;"",IF('POINTAGE'!D41="Présent",'POINTAGE'!E41,0),0),IF('POINTAGE'!$F$5&lt;&gt;"",IF('POINTAGE'!F41="Présent",'POINTAGE'!G41,0),0),IF('POINTAGE'!$H$5&lt;&gt;"",IF('POINTAGE'!H41="Présent",'POINTAGE'!I41,0),0),IF('POINTAGE'!$J$5&lt;&gt;"",IF('POINTAGE'!J41="Présent",'POINTAGE'!K41,0),0),IF('POINTAGE'!$L$5&lt;&gt;"",IF('POINTAGE'!L41="Présent",'POINTAGE'!M41,0),0),IF('POINTAGE'!$N$5&lt;&gt;"",IF('POINTAGE'!N41="Présent",'POINTAGE'!O41,0),0),IF('POINTAGE'!$P$5&lt;&gt;"",IF('POINTAGE'!P41="Présent",'POINTAGE'!Q41,0),0),IF('POINTAGE'!$R$5&lt;&gt;"",IF('POINTAGE'!R41="Présent",'POINTAGE'!S41,0),0),IF('POINTAGE'!$T$5&lt;&gt;"",IF('POINTAGE'!T41="Présent",'POINTAGE'!U41,0),0),IF('POINTAGE'!$V$5&lt;&gt;"",IF('POINTAGE'!V41="Présent",'POINTAGE'!W41,0),0),IF('POINTAGE'!$X$5&lt;&gt;"",IF('POINTAGE'!X41="Présent",'POINTAGE'!Y41,0),0),IF('POINTAGE'!$Z$5&lt;&gt;"",IF('POINTAGE'!Z41="Présent",'POINTAGE'!AA41,0),0),IF('POINTAGE'!$AB$5&lt;&gt;"",IF('POINTAGE'!AB41="Présent",'POINTAGE'!AC41,0),0),IF('POINTAGE'!$AD$5&lt;&gt;"",IF('POINTAGE'!AD41="Présent",'POINTAGE'!AE41,0),0),IF('POINTAGE'!$AF$5&lt;&gt;"",IF('POINTAGE'!AF41="Présent",'POINTAGE'!AG41,0),0)))</f>
      </c>
      <c r="I41" s="24">
        <f>IF($A41="","",$F41*$D41)</f>
      </c>
      <c r="J41" s="24">
        <f>IF($A41="","",$H41*$E41)</f>
      </c>
      <c r="K41" s="25">
        <f>IF($A41="","",$I41+$J41)</f>
      </c>
      <c r="L41" s="18"/>
      <c r="M41" s="25">
        <f>IF($A41="","",MAX(0,$K41-$L41))</f>
      </c>
      <c r="N41" s="22">
        <f>IF($A41="","",SUM(IF('POINTAGE'!$AH$5&lt;&gt;"",--('POINTAGE'!AH41="Présent"),0),IF('POINTAGE'!$AJ$5&lt;&gt;"",--('POINTAGE'!AJ41="Présent"),0),IF('POINTAGE'!$AL$5&lt;&gt;"",--('POINTAGE'!AL41="Présent"),0),IF('POINTAGE'!$AN$5&lt;&gt;"",--('POINTAGE'!AN41="Présent"),0),IF('POINTAGE'!$AP$5&lt;&gt;"",--('POINTAGE'!AP41="Présent"),0),IF('POINTAGE'!$AR$5&lt;&gt;"",--('POINTAGE'!AR41="Présent"),0),IF('POINTAGE'!$AT$5&lt;&gt;"",--('POINTAGE'!AT41="Présent"),0),IF('POINTAGE'!$AV$5&lt;&gt;"",--('POINTAGE'!AV41="Présent"),0),IF('POINTAGE'!$AX$5&lt;&gt;"",--('POINTAGE'!AX41="Présent"),0),IF('POINTAGE'!$AZ$5&lt;&gt;"",--('POINTAGE'!AZ41="Présent"),0),IF('POINTAGE'!$BB$5&lt;&gt;"",--('POINTAGE'!BB41="Présent"),0),IF('POINTAGE'!$BD$5&lt;&gt;"",--('POINTAGE'!BD41="Présent"),0),IF('POINTAGE'!$BF$5&lt;&gt;"",--('POINTAGE'!BF41="Présent"),0),IF('POINTAGE'!$BH$5&lt;&gt;"",--('POINTAGE'!BH41="Présent"),0),IF('POINTAGE'!$BJ$5&lt;&gt;"",--('POINTAGE'!BJ41="Présent"),0),IF('POINTAGE'!$BL$5&lt;&gt;"",--('POINTAGE'!BL41="Présent"),0)))</f>
      </c>
      <c r="O41" s="22">
        <f>IF($A41="","",SUM(IF('POINTAGE'!$AH$5&lt;&gt;"",--('POINTAGE'!AH41="Absent"),0),IF('POINTAGE'!$AJ$5&lt;&gt;"",--('POINTAGE'!AJ41="Absent"),0),IF('POINTAGE'!$AL$5&lt;&gt;"",--('POINTAGE'!AL41="Absent"),0),IF('POINTAGE'!$AN$5&lt;&gt;"",--('POINTAGE'!AN41="Absent"),0),IF('POINTAGE'!$AP$5&lt;&gt;"",--('POINTAGE'!AP41="Absent"),0),IF('POINTAGE'!$AR$5&lt;&gt;"",--('POINTAGE'!AR41="Absent"),0),IF('POINTAGE'!$AT$5&lt;&gt;"",--('POINTAGE'!AT41="Absent"),0),IF('POINTAGE'!$AV$5&lt;&gt;"",--('POINTAGE'!AV41="Absent"),0),IF('POINTAGE'!$AX$5&lt;&gt;"",--('POINTAGE'!AX41="Absent"),0),IF('POINTAGE'!$AZ$5&lt;&gt;"",--('POINTAGE'!AZ41="Absent"),0),IF('POINTAGE'!$BB$5&lt;&gt;"",--('POINTAGE'!BB41="Absent"),0),IF('POINTAGE'!$BD$5&lt;&gt;"",--('POINTAGE'!BD41="Absent"),0),IF('POINTAGE'!$BF$5&lt;&gt;"",--('POINTAGE'!BF41="Absent"),0),IF('POINTAGE'!$BH$5&lt;&gt;"",--('POINTAGE'!BH41="Absent"),0),IF('POINTAGE'!$BJ$5&lt;&gt;"",--('POINTAGE'!BJ41="Absent"),0),IF('POINTAGE'!$BL$5&lt;&gt;"",--('POINTAGE'!BL41="Absent"),0)))</f>
      </c>
      <c r="P41" s="23">
        <f>IF($A41="","",SUM(IF('POINTAGE'!$AH$5&lt;&gt;"",IF('POINTAGE'!AH41="Présent",'POINTAGE'!AI41,0),0),IF('POINTAGE'!$AJ$5&lt;&gt;"",IF('POINTAGE'!AJ41="Présent",'POINTAGE'!AK41,0),0),IF('POINTAGE'!$AL$5&lt;&gt;"",IF('POINTAGE'!AL41="Présent",'POINTAGE'!AM41,0),0),IF('POINTAGE'!$AN$5&lt;&gt;"",IF('POINTAGE'!AN41="Présent",'POINTAGE'!AO41,0),0),IF('POINTAGE'!$AP$5&lt;&gt;"",IF('POINTAGE'!AP41="Présent",'POINTAGE'!AQ41,0),0),IF('POINTAGE'!$AR$5&lt;&gt;"",IF('POINTAGE'!AR41="Présent",'POINTAGE'!AS41,0),0),IF('POINTAGE'!$AT$5&lt;&gt;"",IF('POINTAGE'!AT41="Présent",'POINTAGE'!AU41,0),0),IF('POINTAGE'!$AV$5&lt;&gt;"",IF('POINTAGE'!AV41="Présent",'POINTAGE'!AW41,0),0),IF('POINTAGE'!$AX$5&lt;&gt;"",IF('POINTAGE'!AX41="Présent",'POINTAGE'!AY41,0),0),IF('POINTAGE'!$AZ$5&lt;&gt;"",IF('POINTAGE'!AZ41="Présent",'POINTAGE'!BA41,0),0),IF('POINTAGE'!$BB$5&lt;&gt;"",IF('POINTAGE'!BB41="Présent",'POINTAGE'!BC41,0),0),IF('POINTAGE'!$BD$5&lt;&gt;"",IF('POINTAGE'!BD41="Présent",'POINTAGE'!BE41,0),0),IF('POINTAGE'!$BF$5&lt;&gt;"",IF('POINTAGE'!BF41="Présent",'POINTAGE'!BG41,0),0),IF('POINTAGE'!$BH$5&lt;&gt;"",IF('POINTAGE'!BH41="Présent",'POINTAGE'!BI41,0),0),IF('POINTAGE'!$BJ$5&lt;&gt;"",IF('POINTAGE'!BJ41="Présent",'POINTAGE'!BK41,0),0),IF('POINTAGE'!$BL$5&lt;&gt;"",IF('POINTAGE'!BL41="Présent",'POINTAGE'!BM41,0),0)))</f>
      </c>
      <c r="Q41" s="24">
        <f>IF($A41="","",$N41*$D41)</f>
      </c>
      <c r="R41" s="24">
        <f>IF($A41="","",$P41*$E41)</f>
      </c>
      <c r="S41" s="25">
        <f>IF($A41="","",$Q41+$R41)</f>
      </c>
      <c r="T41" s="18"/>
      <c r="U41" s="25">
        <f>IF($A41="","",MAX(0,$S41-$T41))</f>
      </c>
      <c r="V41" s="25">
        <f>IF($A41="","",$K41+$S41)</f>
      </c>
      <c r="W41" s="24">
        <f>IF($A41="","",$L41+$T41)</f>
      </c>
      <c r="X41" s="25">
        <f>IF($A41="","",$M41+$U41)</f>
      </c>
      <c r="Y41" s="29">
        <f>IF($A41="","",$J41+$R41)</f>
      </c>
    </row>
    <row r="42">
      <c r="A42" s="20">
        <f>IF('POINTAGE'!A42="","",'POINTAGE'!A42)</f>
      </c>
      <c r="B42" s="19">
        <f>IF($A42="","",'POINTAGE'!B42)</f>
      </c>
      <c r="C42" s="20">
        <f>IF($A42="","",'POINTAGE'!C42)</f>
      </c>
      <c r="D42" s="24">
        <f>IF($A42="","",IFERROR(INDEX(Categories_Salaire,MATCH($C42,ListeCategories,0)),0))</f>
      </c>
      <c r="E42" s="24">
        <f>IF($A42="","",IF(IFERROR(INDEX(Categories_TauxHS,MATCH($C42,ListeCategories,0)),0)&gt;0,IFERROR(INDEX(Categories_TauxHS,MATCH($C42,ListeCategories,0)),0),TauxHSDefaut))</f>
      </c>
      <c r="F42" s="22">
        <f>IF($A42="","",SUM(IF('POINTAGE'!$D$5&lt;&gt;"",--('POINTAGE'!D42="Présent"),0),IF('POINTAGE'!$F$5&lt;&gt;"",--('POINTAGE'!F42="Présent"),0),IF('POINTAGE'!$H$5&lt;&gt;"",--('POINTAGE'!H42="Présent"),0),IF('POINTAGE'!$J$5&lt;&gt;"",--('POINTAGE'!J42="Présent"),0),IF('POINTAGE'!$L$5&lt;&gt;"",--('POINTAGE'!L42="Présent"),0),IF('POINTAGE'!$N$5&lt;&gt;"",--('POINTAGE'!N42="Présent"),0),IF('POINTAGE'!$P$5&lt;&gt;"",--('POINTAGE'!P42="Présent"),0),IF('POINTAGE'!$R$5&lt;&gt;"",--('POINTAGE'!R42="Présent"),0),IF('POINTAGE'!$T$5&lt;&gt;"",--('POINTAGE'!T42="Présent"),0),IF('POINTAGE'!$V$5&lt;&gt;"",--('POINTAGE'!V42="Présent"),0),IF('POINTAGE'!$X$5&lt;&gt;"",--('POINTAGE'!X42="Présent"),0),IF('POINTAGE'!$Z$5&lt;&gt;"",--('POINTAGE'!Z42="Présent"),0),IF('POINTAGE'!$AB$5&lt;&gt;"",--('POINTAGE'!AB42="Présent"),0),IF('POINTAGE'!$AD$5&lt;&gt;"",--('POINTAGE'!AD42="Présent"),0),IF('POINTAGE'!$AF$5&lt;&gt;"",--('POINTAGE'!AF42="Présent"),0)))</f>
      </c>
      <c r="G42" s="22">
        <f>IF($A42="","",SUM(IF('POINTAGE'!$D$5&lt;&gt;"",--('POINTAGE'!D42="Absent"),0),IF('POINTAGE'!$F$5&lt;&gt;"",--('POINTAGE'!F42="Absent"),0),IF('POINTAGE'!$H$5&lt;&gt;"",--('POINTAGE'!H42="Absent"),0),IF('POINTAGE'!$J$5&lt;&gt;"",--('POINTAGE'!J42="Absent"),0),IF('POINTAGE'!$L$5&lt;&gt;"",--('POINTAGE'!L42="Absent"),0),IF('POINTAGE'!$N$5&lt;&gt;"",--('POINTAGE'!N42="Absent"),0),IF('POINTAGE'!$P$5&lt;&gt;"",--('POINTAGE'!P42="Absent"),0),IF('POINTAGE'!$R$5&lt;&gt;"",--('POINTAGE'!R42="Absent"),0),IF('POINTAGE'!$T$5&lt;&gt;"",--('POINTAGE'!T42="Absent"),0),IF('POINTAGE'!$V$5&lt;&gt;"",--('POINTAGE'!V42="Absent"),0),IF('POINTAGE'!$X$5&lt;&gt;"",--('POINTAGE'!X42="Absent"),0),IF('POINTAGE'!$Z$5&lt;&gt;"",--('POINTAGE'!Z42="Absent"),0),IF('POINTAGE'!$AB$5&lt;&gt;"",--('POINTAGE'!AB42="Absent"),0),IF('POINTAGE'!$AD$5&lt;&gt;"",--('POINTAGE'!AD42="Absent"),0),IF('POINTAGE'!$AF$5&lt;&gt;"",--('POINTAGE'!AF42="Absent"),0)))</f>
      </c>
      <c r="H42" s="23">
        <f>IF($A42="","",SUM(IF('POINTAGE'!$D$5&lt;&gt;"",IF('POINTAGE'!D42="Présent",'POINTAGE'!E42,0),0),IF('POINTAGE'!$F$5&lt;&gt;"",IF('POINTAGE'!F42="Présent",'POINTAGE'!G42,0),0),IF('POINTAGE'!$H$5&lt;&gt;"",IF('POINTAGE'!H42="Présent",'POINTAGE'!I42,0),0),IF('POINTAGE'!$J$5&lt;&gt;"",IF('POINTAGE'!J42="Présent",'POINTAGE'!K42,0),0),IF('POINTAGE'!$L$5&lt;&gt;"",IF('POINTAGE'!L42="Présent",'POINTAGE'!M42,0),0),IF('POINTAGE'!$N$5&lt;&gt;"",IF('POINTAGE'!N42="Présent",'POINTAGE'!O42,0),0),IF('POINTAGE'!$P$5&lt;&gt;"",IF('POINTAGE'!P42="Présent",'POINTAGE'!Q42,0),0),IF('POINTAGE'!$R$5&lt;&gt;"",IF('POINTAGE'!R42="Présent",'POINTAGE'!S42,0),0),IF('POINTAGE'!$T$5&lt;&gt;"",IF('POINTAGE'!T42="Présent",'POINTAGE'!U42,0),0),IF('POINTAGE'!$V$5&lt;&gt;"",IF('POINTAGE'!V42="Présent",'POINTAGE'!W42,0),0),IF('POINTAGE'!$X$5&lt;&gt;"",IF('POINTAGE'!X42="Présent",'POINTAGE'!Y42,0),0),IF('POINTAGE'!$Z$5&lt;&gt;"",IF('POINTAGE'!Z42="Présent",'POINTAGE'!AA42,0),0),IF('POINTAGE'!$AB$5&lt;&gt;"",IF('POINTAGE'!AB42="Présent",'POINTAGE'!AC42,0),0),IF('POINTAGE'!$AD$5&lt;&gt;"",IF('POINTAGE'!AD42="Présent",'POINTAGE'!AE42,0),0),IF('POINTAGE'!$AF$5&lt;&gt;"",IF('POINTAGE'!AF42="Présent",'POINTAGE'!AG42,0),0)))</f>
      </c>
      <c r="I42" s="24">
        <f>IF($A42="","",$F42*$D42)</f>
      </c>
      <c r="J42" s="24">
        <f>IF($A42="","",$H42*$E42)</f>
      </c>
      <c r="K42" s="25">
        <f>IF($A42="","",$I42+$J42)</f>
      </c>
      <c r="L42" s="18"/>
      <c r="M42" s="25">
        <f>IF($A42="","",MAX(0,$K42-$L42))</f>
      </c>
      <c r="N42" s="22">
        <f>IF($A42="","",SUM(IF('POINTAGE'!$AH$5&lt;&gt;"",--('POINTAGE'!AH42="Présent"),0),IF('POINTAGE'!$AJ$5&lt;&gt;"",--('POINTAGE'!AJ42="Présent"),0),IF('POINTAGE'!$AL$5&lt;&gt;"",--('POINTAGE'!AL42="Présent"),0),IF('POINTAGE'!$AN$5&lt;&gt;"",--('POINTAGE'!AN42="Présent"),0),IF('POINTAGE'!$AP$5&lt;&gt;"",--('POINTAGE'!AP42="Présent"),0),IF('POINTAGE'!$AR$5&lt;&gt;"",--('POINTAGE'!AR42="Présent"),0),IF('POINTAGE'!$AT$5&lt;&gt;"",--('POINTAGE'!AT42="Présent"),0),IF('POINTAGE'!$AV$5&lt;&gt;"",--('POINTAGE'!AV42="Présent"),0),IF('POINTAGE'!$AX$5&lt;&gt;"",--('POINTAGE'!AX42="Présent"),0),IF('POINTAGE'!$AZ$5&lt;&gt;"",--('POINTAGE'!AZ42="Présent"),0),IF('POINTAGE'!$BB$5&lt;&gt;"",--('POINTAGE'!BB42="Présent"),0),IF('POINTAGE'!$BD$5&lt;&gt;"",--('POINTAGE'!BD42="Présent"),0),IF('POINTAGE'!$BF$5&lt;&gt;"",--('POINTAGE'!BF42="Présent"),0),IF('POINTAGE'!$BH$5&lt;&gt;"",--('POINTAGE'!BH42="Présent"),0),IF('POINTAGE'!$BJ$5&lt;&gt;"",--('POINTAGE'!BJ42="Présent"),0),IF('POINTAGE'!$BL$5&lt;&gt;"",--('POINTAGE'!BL42="Présent"),0)))</f>
      </c>
      <c r="O42" s="22">
        <f>IF($A42="","",SUM(IF('POINTAGE'!$AH$5&lt;&gt;"",--('POINTAGE'!AH42="Absent"),0),IF('POINTAGE'!$AJ$5&lt;&gt;"",--('POINTAGE'!AJ42="Absent"),0),IF('POINTAGE'!$AL$5&lt;&gt;"",--('POINTAGE'!AL42="Absent"),0),IF('POINTAGE'!$AN$5&lt;&gt;"",--('POINTAGE'!AN42="Absent"),0),IF('POINTAGE'!$AP$5&lt;&gt;"",--('POINTAGE'!AP42="Absent"),0),IF('POINTAGE'!$AR$5&lt;&gt;"",--('POINTAGE'!AR42="Absent"),0),IF('POINTAGE'!$AT$5&lt;&gt;"",--('POINTAGE'!AT42="Absent"),0),IF('POINTAGE'!$AV$5&lt;&gt;"",--('POINTAGE'!AV42="Absent"),0),IF('POINTAGE'!$AX$5&lt;&gt;"",--('POINTAGE'!AX42="Absent"),0),IF('POINTAGE'!$AZ$5&lt;&gt;"",--('POINTAGE'!AZ42="Absent"),0),IF('POINTAGE'!$BB$5&lt;&gt;"",--('POINTAGE'!BB42="Absent"),0),IF('POINTAGE'!$BD$5&lt;&gt;"",--('POINTAGE'!BD42="Absent"),0),IF('POINTAGE'!$BF$5&lt;&gt;"",--('POINTAGE'!BF42="Absent"),0),IF('POINTAGE'!$BH$5&lt;&gt;"",--('POINTAGE'!BH42="Absent"),0),IF('POINTAGE'!$BJ$5&lt;&gt;"",--('POINTAGE'!BJ42="Absent"),0),IF('POINTAGE'!$BL$5&lt;&gt;"",--('POINTAGE'!BL42="Absent"),0)))</f>
      </c>
      <c r="P42" s="23">
        <f>IF($A42="","",SUM(IF('POINTAGE'!$AH$5&lt;&gt;"",IF('POINTAGE'!AH42="Présent",'POINTAGE'!AI42,0),0),IF('POINTAGE'!$AJ$5&lt;&gt;"",IF('POINTAGE'!AJ42="Présent",'POINTAGE'!AK42,0),0),IF('POINTAGE'!$AL$5&lt;&gt;"",IF('POINTAGE'!AL42="Présent",'POINTAGE'!AM42,0),0),IF('POINTAGE'!$AN$5&lt;&gt;"",IF('POINTAGE'!AN42="Présent",'POINTAGE'!AO42,0),0),IF('POINTAGE'!$AP$5&lt;&gt;"",IF('POINTAGE'!AP42="Présent",'POINTAGE'!AQ42,0),0),IF('POINTAGE'!$AR$5&lt;&gt;"",IF('POINTAGE'!AR42="Présent",'POINTAGE'!AS42,0),0),IF('POINTAGE'!$AT$5&lt;&gt;"",IF('POINTAGE'!AT42="Présent",'POINTAGE'!AU42,0),0),IF('POINTAGE'!$AV$5&lt;&gt;"",IF('POINTAGE'!AV42="Présent",'POINTAGE'!AW42,0),0),IF('POINTAGE'!$AX$5&lt;&gt;"",IF('POINTAGE'!AX42="Présent",'POINTAGE'!AY42,0),0),IF('POINTAGE'!$AZ$5&lt;&gt;"",IF('POINTAGE'!AZ42="Présent",'POINTAGE'!BA42,0),0),IF('POINTAGE'!$BB$5&lt;&gt;"",IF('POINTAGE'!BB42="Présent",'POINTAGE'!BC42,0),0),IF('POINTAGE'!$BD$5&lt;&gt;"",IF('POINTAGE'!BD42="Présent",'POINTAGE'!BE42,0),0),IF('POINTAGE'!$BF$5&lt;&gt;"",IF('POINTAGE'!BF42="Présent",'POINTAGE'!BG42,0),0),IF('POINTAGE'!$BH$5&lt;&gt;"",IF('POINTAGE'!BH42="Présent",'POINTAGE'!BI42,0),0),IF('POINTAGE'!$BJ$5&lt;&gt;"",IF('POINTAGE'!BJ42="Présent",'POINTAGE'!BK42,0),0),IF('POINTAGE'!$BL$5&lt;&gt;"",IF('POINTAGE'!BL42="Présent",'POINTAGE'!BM42,0),0)))</f>
      </c>
      <c r="Q42" s="24">
        <f>IF($A42="","",$N42*$D42)</f>
      </c>
      <c r="R42" s="24">
        <f>IF($A42="","",$P42*$E42)</f>
      </c>
      <c r="S42" s="25">
        <f>IF($A42="","",$Q42+$R42)</f>
      </c>
      <c r="T42" s="18"/>
      <c r="U42" s="25">
        <f>IF($A42="","",MAX(0,$S42-$T42))</f>
      </c>
      <c r="V42" s="25">
        <f>IF($A42="","",$K42+$S42)</f>
      </c>
      <c r="W42" s="24">
        <f>IF($A42="","",$L42+$T42)</f>
      </c>
      <c r="X42" s="25">
        <f>IF($A42="","",$M42+$U42)</f>
      </c>
      <c r="Y42" s="29">
        <f>IF($A42="","",$J42+$R42)</f>
      </c>
    </row>
    <row r="43">
      <c r="A43" s="20">
        <f>IF('POINTAGE'!A43="","",'POINTAGE'!A43)</f>
      </c>
      <c r="B43" s="19">
        <f>IF($A43="","",'POINTAGE'!B43)</f>
      </c>
      <c r="C43" s="20">
        <f>IF($A43="","",'POINTAGE'!C43)</f>
      </c>
      <c r="D43" s="24">
        <f>IF($A43="","",IFERROR(INDEX(Categories_Salaire,MATCH($C43,ListeCategories,0)),0))</f>
      </c>
      <c r="E43" s="24">
        <f>IF($A43="","",IF(IFERROR(INDEX(Categories_TauxHS,MATCH($C43,ListeCategories,0)),0)&gt;0,IFERROR(INDEX(Categories_TauxHS,MATCH($C43,ListeCategories,0)),0),TauxHSDefaut))</f>
      </c>
      <c r="F43" s="22">
        <f>IF($A43="","",SUM(IF('POINTAGE'!$D$5&lt;&gt;"",--('POINTAGE'!D43="Présent"),0),IF('POINTAGE'!$F$5&lt;&gt;"",--('POINTAGE'!F43="Présent"),0),IF('POINTAGE'!$H$5&lt;&gt;"",--('POINTAGE'!H43="Présent"),0),IF('POINTAGE'!$J$5&lt;&gt;"",--('POINTAGE'!J43="Présent"),0),IF('POINTAGE'!$L$5&lt;&gt;"",--('POINTAGE'!L43="Présent"),0),IF('POINTAGE'!$N$5&lt;&gt;"",--('POINTAGE'!N43="Présent"),0),IF('POINTAGE'!$P$5&lt;&gt;"",--('POINTAGE'!P43="Présent"),0),IF('POINTAGE'!$R$5&lt;&gt;"",--('POINTAGE'!R43="Présent"),0),IF('POINTAGE'!$T$5&lt;&gt;"",--('POINTAGE'!T43="Présent"),0),IF('POINTAGE'!$V$5&lt;&gt;"",--('POINTAGE'!V43="Présent"),0),IF('POINTAGE'!$X$5&lt;&gt;"",--('POINTAGE'!X43="Présent"),0),IF('POINTAGE'!$Z$5&lt;&gt;"",--('POINTAGE'!Z43="Présent"),0),IF('POINTAGE'!$AB$5&lt;&gt;"",--('POINTAGE'!AB43="Présent"),0),IF('POINTAGE'!$AD$5&lt;&gt;"",--('POINTAGE'!AD43="Présent"),0),IF('POINTAGE'!$AF$5&lt;&gt;"",--('POINTAGE'!AF43="Présent"),0)))</f>
      </c>
      <c r="G43" s="22">
        <f>IF($A43="","",SUM(IF('POINTAGE'!$D$5&lt;&gt;"",--('POINTAGE'!D43="Absent"),0),IF('POINTAGE'!$F$5&lt;&gt;"",--('POINTAGE'!F43="Absent"),0),IF('POINTAGE'!$H$5&lt;&gt;"",--('POINTAGE'!H43="Absent"),0),IF('POINTAGE'!$J$5&lt;&gt;"",--('POINTAGE'!J43="Absent"),0),IF('POINTAGE'!$L$5&lt;&gt;"",--('POINTAGE'!L43="Absent"),0),IF('POINTAGE'!$N$5&lt;&gt;"",--('POINTAGE'!N43="Absent"),0),IF('POINTAGE'!$P$5&lt;&gt;"",--('POINTAGE'!P43="Absent"),0),IF('POINTAGE'!$R$5&lt;&gt;"",--('POINTAGE'!R43="Absent"),0),IF('POINTAGE'!$T$5&lt;&gt;"",--('POINTAGE'!T43="Absent"),0),IF('POINTAGE'!$V$5&lt;&gt;"",--('POINTAGE'!V43="Absent"),0),IF('POINTAGE'!$X$5&lt;&gt;"",--('POINTAGE'!X43="Absent"),0),IF('POINTAGE'!$Z$5&lt;&gt;"",--('POINTAGE'!Z43="Absent"),0),IF('POINTAGE'!$AB$5&lt;&gt;"",--('POINTAGE'!AB43="Absent"),0),IF('POINTAGE'!$AD$5&lt;&gt;"",--('POINTAGE'!AD43="Absent"),0),IF('POINTAGE'!$AF$5&lt;&gt;"",--('POINTAGE'!AF43="Absent"),0)))</f>
      </c>
      <c r="H43" s="23">
        <f>IF($A43="","",SUM(IF('POINTAGE'!$D$5&lt;&gt;"",IF('POINTAGE'!D43="Présent",'POINTAGE'!E43,0),0),IF('POINTAGE'!$F$5&lt;&gt;"",IF('POINTAGE'!F43="Présent",'POINTAGE'!G43,0),0),IF('POINTAGE'!$H$5&lt;&gt;"",IF('POINTAGE'!H43="Présent",'POINTAGE'!I43,0),0),IF('POINTAGE'!$J$5&lt;&gt;"",IF('POINTAGE'!J43="Présent",'POINTAGE'!K43,0),0),IF('POINTAGE'!$L$5&lt;&gt;"",IF('POINTAGE'!L43="Présent",'POINTAGE'!M43,0),0),IF('POINTAGE'!$N$5&lt;&gt;"",IF('POINTAGE'!N43="Présent",'POINTAGE'!O43,0),0),IF('POINTAGE'!$P$5&lt;&gt;"",IF('POINTAGE'!P43="Présent",'POINTAGE'!Q43,0),0),IF('POINTAGE'!$R$5&lt;&gt;"",IF('POINTAGE'!R43="Présent",'POINTAGE'!S43,0),0),IF('POINTAGE'!$T$5&lt;&gt;"",IF('POINTAGE'!T43="Présent",'POINTAGE'!U43,0),0),IF('POINTAGE'!$V$5&lt;&gt;"",IF('POINTAGE'!V43="Présent",'POINTAGE'!W43,0),0),IF('POINTAGE'!$X$5&lt;&gt;"",IF('POINTAGE'!X43="Présent",'POINTAGE'!Y43,0),0),IF('POINTAGE'!$Z$5&lt;&gt;"",IF('POINTAGE'!Z43="Présent",'POINTAGE'!AA43,0),0),IF('POINTAGE'!$AB$5&lt;&gt;"",IF('POINTAGE'!AB43="Présent",'POINTAGE'!AC43,0),0),IF('POINTAGE'!$AD$5&lt;&gt;"",IF('POINTAGE'!AD43="Présent",'POINTAGE'!AE43,0),0),IF('POINTAGE'!$AF$5&lt;&gt;"",IF('POINTAGE'!AF43="Présent",'POINTAGE'!AG43,0),0)))</f>
      </c>
      <c r="I43" s="24">
        <f>IF($A43="","",$F43*$D43)</f>
      </c>
      <c r="J43" s="24">
        <f>IF($A43="","",$H43*$E43)</f>
      </c>
      <c r="K43" s="25">
        <f>IF($A43="","",$I43+$J43)</f>
      </c>
      <c r="L43" s="18"/>
      <c r="M43" s="25">
        <f>IF($A43="","",MAX(0,$K43-$L43))</f>
      </c>
      <c r="N43" s="22">
        <f>IF($A43="","",SUM(IF('POINTAGE'!$AH$5&lt;&gt;"",--('POINTAGE'!AH43="Présent"),0),IF('POINTAGE'!$AJ$5&lt;&gt;"",--('POINTAGE'!AJ43="Présent"),0),IF('POINTAGE'!$AL$5&lt;&gt;"",--('POINTAGE'!AL43="Présent"),0),IF('POINTAGE'!$AN$5&lt;&gt;"",--('POINTAGE'!AN43="Présent"),0),IF('POINTAGE'!$AP$5&lt;&gt;"",--('POINTAGE'!AP43="Présent"),0),IF('POINTAGE'!$AR$5&lt;&gt;"",--('POINTAGE'!AR43="Présent"),0),IF('POINTAGE'!$AT$5&lt;&gt;"",--('POINTAGE'!AT43="Présent"),0),IF('POINTAGE'!$AV$5&lt;&gt;"",--('POINTAGE'!AV43="Présent"),0),IF('POINTAGE'!$AX$5&lt;&gt;"",--('POINTAGE'!AX43="Présent"),0),IF('POINTAGE'!$AZ$5&lt;&gt;"",--('POINTAGE'!AZ43="Présent"),0),IF('POINTAGE'!$BB$5&lt;&gt;"",--('POINTAGE'!BB43="Présent"),0),IF('POINTAGE'!$BD$5&lt;&gt;"",--('POINTAGE'!BD43="Présent"),0),IF('POINTAGE'!$BF$5&lt;&gt;"",--('POINTAGE'!BF43="Présent"),0),IF('POINTAGE'!$BH$5&lt;&gt;"",--('POINTAGE'!BH43="Présent"),0),IF('POINTAGE'!$BJ$5&lt;&gt;"",--('POINTAGE'!BJ43="Présent"),0),IF('POINTAGE'!$BL$5&lt;&gt;"",--('POINTAGE'!BL43="Présent"),0)))</f>
      </c>
      <c r="O43" s="22">
        <f>IF($A43="","",SUM(IF('POINTAGE'!$AH$5&lt;&gt;"",--('POINTAGE'!AH43="Absent"),0),IF('POINTAGE'!$AJ$5&lt;&gt;"",--('POINTAGE'!AJ43="Absent"),0),IF('POINTAGE'!$AL$5&lt;&gt;"",--('POINTAGE'!AL43="Absent"),0),IF('POINTAGE'!$AN$5&lt;&gt;"",--('POINTAGE'!AN43="Absent"),0),IF('POINTAGE'!$AP$5&lt;&gt;"",--('POINTAGE'!AP43="Absent"),0),IF('POINTAGE'!$AR$5&lt;&gt;"",--('POINTAGE'!AR43="Absent"),0),IF('POINTAGE'!$AT$5&lt;&gt;"",--('POINTAGE'!AT43="Absent"),0),IF('POINTAGE'!$AV$5&lt;&gt;"",--('POINTAGE'!AV43="Absent"),0),IF('POINTAGE'!$AX$5&lt;&gt;"",--('POINTAGE'!AX43="Absent"),0),IF('POINTAGE'!$AZ$5&lt;&gt;"",--('POINTAGE'!AZ43="Absent"),0),IF('POINTAGE'!$BB$5&lt;&gt;"",--('POINTAGE'!BB43="Absent"),0),IF('POINTAGE'!$BD$5&lt;&gt;"",--('POINTAGE'!BD43="Absent"),0),IF('POINTAGE'!$BF$5&lt;&gt;"",--('POINTAGE'!BF43="Absent"),0),IF('POINTAGE'!$BH$5&lt;&gt;"",--('POINTAGE'!BH43="Absent"),0),IF('POINTAGE'!$BJ$5&lt;&gt;"",--('POINTAGE'!BJ43="Absent"),0),IF('POINTAGE'!$BL$5&lt;&gt;"",--('POINTAGE'!BL43="Absent"),0)))</f>
      </c>
      <c r="P43" s="23">
        <f>IF($A43="","",SUM(IF('POINTAGE'!$AH$5&lt;&gt;"",IF('POINTAGE'!AH43="Présent",'POINTAGE'!AI43,0),0),IF('POINTAGE'!$AJ$5&lt;&gt;"",IF('POINTAGE'!AJ43="Présent",'POINTAGE'!AK43,0),0),IF('POINTAGE'!$AL$5&lt;&gt;"",IF('POINTAGE'!AL43="Présent",'POINTAGE'!AM43,0),0),IF('POINTAGE'!$AN$5&lt;&gt;"",IF('POINTAGE'!AN43="Présent",'POINTAGE'!AO43,0),0),IF('POINTAGE'!$AP$5&lt;&gt;"",IF('POINTAGE'!AP43="Présent",'POINTAGE'!AQ43,0),0),IF('POINTAGE'!$AR$5&lt;&gt;"",IF('POINTAGE'!AR43="Présent",'POINTAGE'!AS43,0),0),IF('POINTAGE'!$AT$5&lt;&gt;"",IF('POINTAGE'!AT43="Présent",'POINTAGE'!AU43,0),0),IF('POINTAGE'!$AV$5&lt;&gt;"",IF('POINTAGE'!AV43="Présent",'POINTAGE'!AW43,0),0),IF('POINTAGE'!$AX$5&lt;&gt;"",IF('POINTAGE'!AX43="Présent",'POINTAGE'!AY43,0),0),IF('POINTAGE'!$AZ$5&lt;&gt;"",IF('POINTAGE'!AZ43="Présent",'POINTAGE'!BA43,0),0),IF('POINTAGE'!$BB$5&lt;&gt;"",IF('POINTAGE'!BB43="Présent",'POINTAGE'!BC43,0),0),IF('POINTAGE'!$BD$5&lt;&gt;"",IF('POINTAGE'!BD43="Présent",'POINTAGE'!BE43,0),0),IF('POINTAGE'!$BF$5&lt;&gt;"",IF('POINTAGE'!BF43="Présent",'POINTAGE'!BG43,0),0),IF('POINTAGE'!$BH$5&lt;&gt;"",IF('POINTAGE'!BH43="Présent",'POINTAGE'!BI43,0),0),IF('POINTAGE'!$BJ$5&lt;&gt;"",IF('POINTAGE'!BJ43="Présent",'POINTAGE'!BK43,0),0),IF('POINTAGE'!$BL$5&lt;&gt;"",IF('POINTAGE'!BL43="Présent",'POINTAGE'!BM43,0),0)))</f>
      </c>
      <c r="Q43" s="24">
        <f>IF($A43="","",$N43*$D43)</f>
      </c>
      <c r="R43" s="24">
        <f>IF($A43="","",$P43*$E43)</f>
      </c>
      <c r="S43" s="25">
        <f>IF($A43="","",$Q43+$R43)</f>
      </c>
      <c r="T43" s="18"/>
      <c r="U43" s="25">
        <f>IF($A43="","",MAX(0,$S43-$T43))</f>
      </c>
      <c r="V43" s="25">
        <f>IF($A43="","",$K43+$S43)</f>
      </c>
      <c r="W43" s="24">
        <f>IF($A43="","",$L43+$T43)</f>
      </c>
      <c r="X43" s="25">
        <f>IF($A43="","",$M43+$U43)</f>
      </c>
      <c r="Y43" s="29">
        <f>IF($A43="","",$J43+$R43)</f>
      </c>
    </row>
    <row r="44">
      <c r="A44" s="20">
        <f>IF('POINTAGE'!A44="","",'POINTAGE'!A44)</f>
      </c>
      <c r="B44" s="19">
        <f>IF($A44="","",'POINTAGE'!B44)</f>
      </c>
      <c r="C44" s="20">
        <f>IF($A44="","",'POINTAGE'!C44)</f>
      </c>
      <c r="D44" s="24">
        <f>IF($A44="","",IFERROR(INDEX(Categories_Salaire,MATCH($C44,ListeCategories,0)),0))</f>
      </c>
      <c r="E44" s="24">
        <f>IF($A44="","",IF(IFERROR(INDEX(Categories_TauxHS,MATCH($C44,ListeCategories,0)),0)&gt;0,IFERROR(INDEX(Categories_TauxHS,MATCH($C44,ListeCategories,0)),0),TauxHSDefaut))</f>
      </c>
      <c r="F44" s="22">
        <f>IF($A44="","",SUM(IF('POINTAGE'!$D$5&lt;&gt;"",--('POINTAGE'!D44="Présent"),0),IF('POINTAGE'!$F$5&lt;&gt;"",--('POINTAGE'!F44="Présent"),0),IF('POINTAGE'!$H$5&lt;&gt;"",--('POINTAGE'!H44="Présent"),0),IF('POINTAGE'!$J$5&lt;&gt;"",--('POINTAGE'!J44="Présent"),0),IF('POINTAGE'!$L$5&lt;&gt;"",--('POINTAGE'!L44="Présent"),0),IF('POINTAGE'!$N$5&lt;&gt;"",--('POINTAGE'!N44="Présent"),0),IF('POINTAGE'!$P$5&lt;&gt;"",--('POINTAGE'!P44="Présent"),0),IF('POINTAGE'!$R$5&lt;&gt;"",--('POINTAGE'!R44="Présent"),0),IF('POINTAGE'!$T$5&lt;&gt;"",--('POINTAGE'!T44="Présent"),0),IF('POINTAGE'!$V$5&lt;&gt;"",--('POINTAGE'!V44="Présent"),0),IF('POINTAGE'!$X$5&lt;&gt;"",--('POINTAGE'!X44="Présent"),0),IF('POINTAGE'!$Z$5&lt;&gt;"",--('POINTAGE'!Z44="Présent"),0),IF('POINTAGE'!$AB$5&lt;&gt;"",--('POINTAGE'!AB44="Présent"),0),IF('POINTAGE'!$AD$5&lt;&gt;"",--('POINTAGE'!AD44="Présent"),0),IF('POINTAGE'!$AF$5&lt;&gt;"",--('POINTAGE'!AF44="Présent"),0)))</f>
      </c>
      <c r="G44" s="22">
        <f>IF($A44="","",SUM(IF('POINTAGE'!$D$5&lt;&gt;"",--('POINTAGE'!D44="Absent"),0),IF('POINTAGE'!$F$5&lt;&gt;"",--('POINTAGE'!F44="Absent"),0),IF('POINTAGE'!$H$5&lt;&gt;"",--('POINTAGE'!H44="Absent"),0),IF('POINTAGE'!$J$5&lt;&gt;"",--('POINTAGE'!J44="Absent"),0),IF('POINTAGE'!$L$5&lt;&gt;"",--('POINTAGE'!L44="Absent"),0),IF('POINTAGE'!$N$5&lt;&gt;"",--('POINTAGE'!N44="Absent"),0),IF('POINTAGE'!$P$5&lt;&gt;"",--('POINTAGE'!P44="Absent"),0),IF('POINTAGE'!$R$5&lt;&gt;"",--('POINTAGE'!R44="Absent"),0),IF('POINTAGE'!$T$5&lt;&gt;"",--('POINTAGE'!T44="Absent"),0),IF('POINTAGE'!$V$5&lt;&gt;"",--('POINTAGE'!V44="Absent"),0),IF('POINTAGE'!$X$5&lt;&gt;"",--('POINTAGE'!X44="Absent"),0),IF('POINTAGE'!$Z$5&lt;&gt;"",--('POINTAGE'!Z44="Absent"),0),IF('POINTAGE'!$AB$5&lt;&gt;"",--('POINTAGE'!AB44="Absent"),0),IF('POINTAGE'!$AD$5&lt;&gt;"",--('POINTAGE'!AD44="Absent"),0),IF('POINTAGE'!$AF$5&lt;&gt;"",--('POINTAGE'!AF44="Absent"),0)))</f>
      </c>
      <c r="H44" s="23">
        <f>IF($A44="","",SUM(IF('POINTAGE'!$D$5&lt;&gt;"",IF('POINTAGE'!D44="Présent",'POINTAGE'!E44,0),0),IF('POINTAGE'!$F$5&lt;&gt;"",IF('POINTAGE'!F44="Présent",'POINTAGE'!G44,0),0),IF('POINTAGE'!$H$5&lt;&gt;"",IF('POINTAGE'!H44="Présent",'POINTAGE'!I44,0),0),IF('POINTAGE'!$J$5&lt;&gt;"",IF('POINTAGE'!J44="Présent",'POINTAGE'!K44,0),0),IF('POINTAGE'!$L$5&lt;&gt;"",IF('POINTAGE'!L44="Présent",'POINTAGE'!M44,0),0),IF('POINTAGE'!$N$5&lt;&gt;"",IF('POINTAGE'!N44="Présent",'POINTAGE'!O44,0),0),IF('POINTAGE'!$P$5&lt;&gt;"",IF('POINTAGE'!P44="Présent",'POINTAGE'!Q44,0),0),IF('POINTAGE'!$R$5&lt;&gt;"",IF('POINTAGE'!R44="Présent",'POINTAGE'!S44,0),0),IF('POINTAGE'!$T$5&lt;&gt;"",IF('POINTAGE'!T44="Présent",'POINTAGE'!U44,0),0),IF('POINTAGE'!$V$5&lt;&gt;"",IF('POINTAGE'!V44="Présent",'POINTAGE'!W44,0),0),IF('POINTAGE'!$X$5&lt;&gt;"",IF('POINTAGE'!X44="Présent",'POINTAGE'!Y44,0),0),IF('POINTAGE'!$Z$5&lt;&gt;"",IF('POINTAGE'!Z44="Présent",'POINTAGE'!AA44,0),0),IF('POINTAGE'!$AB$5&lt;&gt;"",IF('POINTAGE'!AB44="Présent",'POINTAGE'!AC44,0),0),IF('POINTAGE'!$AD$5&lt;&gt;"",IF('POINTAGE'!AD44="Présent",'POINTAGE'!AE44,0),0),IF('POINTAGE'!$AF$5&lt;&gt;"",IF('POINTAGE'!AF44="Présent",'POINTAGE'!AG44,0),0)))</f>
      </c>
      <c r="I44" s="24">
        <f>IF($A44="","",$F44*$D44)</f>
      </c>
      <c r="J44" s="24">
        <f>IF($A44="","",$H44*$E44)</f>
      </c>
      <c r="K44" s="25">
        <f>IF($A44="","",$I44+$J44)</f>
      </c>
      <c r="L44" s="18"/>
      <c r="M44" s="25">
        <f>IF($A44="","",MAX(0,$K44-$L44))</f>
      </c>
      <c r="N44" s="22">
        <f>IF($A44="","",SUM(IF('POINTAGE'!$AH$5&lt;&gt;"",--('POINTAGE'!AH44="Présent"),0),IF('POINTAGE'!$AJ$5&lt;&gt;"",--('POINTAGE'!AJ44="Présent"),0),IF('POINTAGE'!$AL$5&lt;&gt;"",--('POINTAGE'!AL44="Présent"),0),IF('POINTAGE'!$AN$5&lt;&gt;"",--('POINTAGE'!AN44="Présent"),0),IF('POINTAGE'!$AP$5&lt;&gt;"",--('POINTAGE'!AP44="Présent"),0),IF('POINTAGE'!$AR$5&lt;&gt;"",--('POINTAGE'!AR44="Présent"),0),IF('POINTAGE'!$AT$5&lt;&gt;"",--('POINTAGE'!AT44="Présent"),0),IF('POINTAGE'!$AV$5&lt;&gt;"",--('POINTAGE'!AV44="Présent"),0),IF('POINTAGE'!$AX$5&lt;&gt;"",--('POINTAGE'!AX44="Présent"),0),IF('POINTAGE'!$AZ$5&lt;&gt;"",--('POINTAGE'!AZ44="Présent"),0),IF('POINTAGE'!$BB$5&lt;&gt;"",--('POINTAGE'!BB44="Présent"),0),IF('POINTAGE'!$BD$5&lt;&gt;"",--('POINTAGE'!BD44="Présent"),0),IF('POINTAGE'!$BF$5&lt;&gt;"",--('POINTAGE'!BF44="Présent"),0),IF('POINTAGE'!$BH$5&lt;&gt;"",--('POINTAGE'!BH44="Présent"),0),IF('POINTAGE'!$BJ$5&lt;&gt;"",--('POINTAGE'!BJ44="Présent"),0),IF('POINTAGE'!$BL$5&lt;&gt;"",--('POINTAGE'!BL44="Présent"),0)))</f>
      </c>
      <c r="O44" s="22">
        <f>IF($A44="","",SUM(IF('POINTAGE'!$AH$5&lt;&gt;"",--('POINTAGE'!AH44="Absent"),0),IF('POINTAGE'!$AJ$5&lt;&gt;"",--('POINTAGE'!AJ44="Absent"),0),IF('POINTAGE'!$AL$5&lt;&gt;"",--('POINTAGE'!AL44="Absent"),0),IF('POINTAGE'!$AN$5&lt;&gt;"",--('POINTAGE'!AN44="Absent"),0),IF('POINTAGE'!$AP$5&lt;&gt;"",--('POINTAGE'!AP44="Absent"),0),IF('POINTAGE'!$AR$5&lt;&gt;"",--('POINTAGE'!AR44="Absent"),0),IF('POINTAGE'!$AT$5&lt;&gt;"",--('POINTAGE'!AT44="Absent"),0),IF('POINTAGE'!$AV$5&lt;&gt;"",--('POINTAGE'!AV44="Absent"),0),IF('POINTAGE'!$AX$5&lt;&gt;"",--('POINTAGE'!AX44="Absent"),0),IF('POINTAGE'!$AZ$5&lt;&gt;"",--('POINTAGE'!AZ44="Absent"),0),IF('POINTAGE'!$BB$5&lt;&gt;"",--('POINTAGE'!BB44="Absent"),0),IF('POINTAGE'!$BD$5&lt;&gt;"",--('POINTAGE'!BD44="Absent"),0),IF('POINTAGE'!$BF$5&lt;&gt;"",--('POINTAGE'!BF44="Absent"),0),IF('POINTAGE'!$BH$5&lt;&gt;"",--('POINTAGE'!BH44="Absent"),0),IF('POINTAGE'!$BJ$5&lt;&gt;"",--('POINTAGE'!BJ44="Absent"),0),IF('POINTAGE'!$BL$5&lt;&gt;"",--('POINTAGE'!BL44="Absent"),0)))</f>
      </c>
      <c r="P44" s="23">
        <f>IF($A44="","",SUM(IF('POINTAGE'!$AH$5&lt;&gt;"",IF('POINTAGE'!AH44="Présent",'POINTAGE'!AI44,0),0),IF('POINTAGE'!$AJ$5&lt;&gt;"",IF('POINTAGE'!AJ44="Présent",'POINTAGE'!AK44,0),0),IF('POINTAGE'!$AL$5&lt;&gt;"",IF('POINTAGE'!AL44="Présent",'POINTAGE'!AM44,0),0),IF('POINTAGE'!$AN$5&lt;&gt;"",IF('POINTAGE'!AN44="Présent",'POINTAGE'!AO44,0),0),IF('POINTAGE'!$AP$5&lt;&gt;"",IF('POINTAGE'!AP44="Présent",'POINTAGE'!AQ44,0),0),IF('POINTAGE'!$AR$5&lt;&gt;"",IF('POINTAGE'!AR44="Présent",'POINTAGE'!AS44,0),0),IF('POINTAGE'!$AT$5&lt;&gt;"",IF('POINTAGE'!AT44="Présent",'POINTAGE'!AU44,0),0),IF('POINTAGE'!$AV$5&lt;&gt;"",IF('POINTAGE'!AV44="Présent",'POINTAGE'!AW44,0),0),IF('POINTAGE'!$AX$5&lt;&gt;"",IF('POINTAGE'!AX44="Présent",'POINTAGE'!AY44,0),0),IF('POINTAGE'!$AZ$5&lt;&gt;"",IF('POINTAGE'!AZ44="Présent",'POINTAGE'!BA44,0),0),IF('POINTAGE'!$BB$5&lt;&gt;"",IF('POINTAGE'!BB44="Présent",'POINTAGE'!BC44,0),0),IF('POINTAGE'!$BD$5&lt;&gt;"",IF('POINTAGE'!BD44="Présent",'POINTAGE'!BE44,0),0),IF('POINTAGE'!$BF$5&lt;&gt;"",IF('POINTAGE'!BF44="Présent",'POINTAGE'!BG44,0),0),IF('POINTAGE'!$BH$5&lt;&gt;"",IF('POINTAGE'!BH44="Présent",'POINTAGE'!BI44,0),0),IF('POINTAGE'!$BJ$5&lt;&gt;"",IF('POINTAGE'!BJ44="Présent",'POINTAGE'!BK44,0),0),IF('POINTAGE'!$BL$5&lt;&gt;"",IF('POINTAGE'!BL44="Présent",'POINTAGE'!BM44,0),0)))</f>
      </c>
      <c r="Q44" s="24">
        <f>IF($A44="","",$N44*$D44)</f>
      </c>
      <c r="R44" s="24">
        <f>IF($A44="","",$P44*$E44)</f>
      </c>
      <c r="S44" s="25">
        <f>IF($A44="","",$Q44+$R44)</f>
      </c>
      <c r="T44" s="18"/>
      <c r="U44" s="25">
        <f>IF($A44="","",MAX(0,$S44-$T44))</f>
      </c>
      <c r="V44" s="25">
        <f>IF($A44="","",$K44+$S44)</f>
      </c>
      <c r="W44" s="24">
        <f>IF($A44="","",$L44+$T44)</f>
      </c>
      <c r="X44" s="25">
        <f>IF($A44="","",$M44+$U44)</f>
      </c>
      <c r="Y44" s="29">
        <f>IF($A44="","",$J44+$R44)</f>
      </c>
    </row>
    <row r="45">
      <c r="A45" s="20">
        <f>IF('POINTAGE'!A45="","",'POINTAGE'!A45)</f>
      </c>
      <c r="B45" s="19">
        <f>IF($A45="","",'POINTAGE'!B45)</f>
      </c>
      <c r="C45" s="20">
        <f>IF($A45="","",'POINTAGE'!C45)</f>
      </c>
      <c r="D45" s="24">
        <f>IF($A45="","",IFERROR(INDEX(Categories_Salaire,MATCH($C45,ListeCategories,0)),0))</f>
      </c>
      <c r="E45" s="24">
        <f>IF($A45="","",IF(IFERROR(INDEX(Categories_TauxHS,MATCH($C45,ListeCategories,0)),0)&gt;0,IFERROR(INDEX(Categories_TauxHS,MATCH($C45,ListeCategories,0)),0),TauxHSDefaut))</f>
      </c>
      <c r="F45" s="22">
        <f>IF($A45="","",SUM(IF('POINTAGE'!$D$5&lt;&gt;"",--('POINTAGE'!D45="Présent"),0),IF('POINTAGE'!$F$5&lt;&gt;"",--('POINTAGE'!F45="Présent"),0),IF('POINTAGE'!$H$5&lt;&gt;"",--('POINTAGE'!H45="Présent"),0),IF('POINTAGE'!$J$5&lt;&gt;"",--('POINTAGE'!J45="Présent"),0),IF('POINTAGE'!$L$5&lt;&gt;"",--('POINTAGE'!L45="Présent"),0),IF('POINTAGE'!$N$5&lt;&gt;"",--('POINTAGE'!N45="Présent"),0),IF('POINTAGE'!$P$5&lt;&gt;"",--('POINTAGE'!P45="Présent"),0),IF('POINTAGE'!$R$5&lt;&gt;"",--('POINTAGE'!R45="Présent"),0),IF('POINTAGE'!$T$5&lt;&gt;"",--('POINTAGE'!T45="Présent"),0),IF('POINTAGE'!$V$5&lt;&gt;"",--('POINTAGE'!V45="Présent"),0),IF('POINTAGE'!$X$5&lt;&gt;"",--('POINTAGE'!X45="Présent"),0),IF('POINTAGE'!$Z$5&lt;&gt;"",--('POINTAGE'!Z45="Présent"),0),IF('POINTAGE'!$AB$5&lt;&gt;"",--('POINTAGE'!AB45="Présent"),0),IF('POINTAGE'!$AD$5&lt;&gt;"",--('POINTAGE'!AD45="Présent"),0),IF('POINTAGE'!$AF$5&lt;&gt;"",--('POINTAGE'!AF45="Présent"),0)))</f>
      </c>
      <c r="G45" s="22">
        <f>IF($A45="","",SUM(IF('POINTAGE'!$D$5&lt;&gt;"",--('POINTAGE'!D45="Absent"),0),IF('POINTAGE'!$F$5&lt;&gt;"",--('POINTAGE'!F45="Absent"),0),IF('POINTAGE'!$H$5&lt;&gt;"",--('POINTAGE'!H45="Absent"),0),IF('POINTAGE'!$J$5&lt;&gt;"",--('POINTAGE'!J45="Absent"),0),IF('POINTAGE'!$L$5&lt;&gt;"",--('POINTAGE'!L45="Absent"),0),IF('POINTAGE'!$N$5&lt;&gt;"",--('POINTAGE'!N45="Absent"),0),IF('POINTAGE'!$P$5&lt;&gt;"",--('POINTAGE'!P45="Absent"),0),IF('POINTAGE'!$R$5&lt;&gt;"",--('POINTAGE'!R45="Absent"),0),IF('POINTAGE'!$T$5&lt;&gt;"",--('POINTAGE'!T45="Absent"),0),IF('POINTAGE'!$V$5&lt;&gt;"",--('POINTAGE'!V45="Absent"),0),IF('POINTAGE'!$X$5&lt;&gt;"",--('POINTAGE'!X45="Absent"),0),IF('POINTAGE'!$Z$5&lt;&gt;"",--('POINTAGE'!Z45="Absent"),0),IF('POINTAGE'!$AB$5&lt;&gt;"",--('POINTAGE'!AB45="Absent"),0),IF('POINTAGE'!$AD$5&lt;&gt;"",--('POINTAGE'!AD45="Absent"),0),IF('POINTAGE'!$AF$5&lt;&gt;"",--('POINTAGE'!AF45="Absent"),0)))</f>
      </c>
      <c r="H45" s="23">
        <f>IF($A45="","",SUM(IF('POINTAGE'!$D$5&lt;&gt;"",IF('POINTAGE'!D45="Présent",'POINTAGE'!E45,0),0),IF('POINTAGE'!$F$5&lt;&gt;"",IF('POINTAGE'!F45="Présent",'POINTAGE'!G45,0),0),IF('POINTAGE'!$H$5&lt;&gt;"",IF('POINTAGE'!H45="Présent",'POINTAGE'!I45,0),0),IF('POINTAGE'!$J$5&lt;&gt;"",IF('POINTAGE'!J45="Présent",'POINTAGE'!K45,0),0),IF('POINTAGE'!$L$5&lt;&gt;"",IF('POINTAGE'!L45="Présent",'POINTAGE'!M45,0),0),IF('POINTAGE'!$N$5&lt;&gt;"",IF('POINTAGE'!N45="Présent",'POINTAGE'!O45,0),0),IF('POINTAGE'!$P$5&lt;&gt;"",IF('POINTAGE'!P45="Présent",'POINTAGE'!Q45,0),0),IF('POINTAGE'!$R$5&lt;&gt;"",IF('POINTAGE'!R45="Présent",'POINTAGE'!S45,0),0),IF('POINTAGE'!$T$5&lt;&gt;"",IF('POINTAGE'!T45="Présent",'POINTAGE'!U45,0),0),IF('POINTAGE'!$V$5&lt;&gt;"",IF('POINTAGE'!V45="Présent",'POINTAGE'!W45,0),0),IF('POINTAGE'!$X$5&lt;&gt;"",IF('POINTAGE'!X45="Présent",'POINTAGE'!Y45,0),0),IF('POINTAGE'!$Z$5&lt;&gt;"",IF('POINTAGE'!Z45="Présent",'POINTAGE'!AA45,0),0),IF('POINTAGE'!$AB$5&lt;&gt;"",IF('POINTAGE'!AB45="Présent",'POINTAGE'!AC45,0),0),IF('POINTAGE'!$AD$5&lt;&gt;"",IF('POINTAGE'!AD45="Présent",'POINTAGE'!AE45,0),0),IF('POINTAGE'!$AF$5&lt;&gt;"",IF('POINTAGE'!AF45="Présent",'POINTAGE'!AG45,0),0)))</f>
      </c>
      <c r="I45" s="24">
        <f>IF($A45="","",$F45*$D45)</f>
      </c>
      <c r="J45" s="24">
        <f>IF($A45="","",$H45*$E45)</f>
      </c>
      <c r="K45" s="25">
        <f>IF($A45="","",$I45+$J45)</f>
      </c>
      <c r="L45" s="18"/>
      <c r="M45" s="25">
        <f>IF($A45="","",MAX(0,$K45-$L45))</f>
      </c>
      <c r="N45" s="22">
        <f>IF($A45="","",SUM(IF('POINTAGE'!$AH$5&lt;&gt;"",--('POINTAGE'!AH45="Présent"),0),IF('POINTAGE'!$AJ$5&lt;&gt;"",--('POINTAGE'!AJ45="Présent"),0),IF('POINTAGE'!$AL$5&lt;&gt;"",--('POINTAGE'!AL45="Présent"),0),IF('POINTAGE'!$AN$5&lt;&gt;"",--('POINTAGE'!AN45="Présent"),0),IF('POINTAGE'!$AP$5&lt;&gt;"",--('POINTAGE'!AP45="Présent"),0),IF('POINTAGE'!$AR$5&lt;&gt;"",--('POINTAGE'!AR45="Présent"),0),IF('POINTAGE'!$AT$5&lt;&gt;"",--('POINTAGE'!AT45="Présent"),0),IF('POINTAGE'!$AV$5&lt;&gt;"",--('POINTAGE'!AV45="Présent"),0),IF('POINTAGE'!$AX$5&lt;&gt;"",--('POINTAGE'!AX45="Présent"),0),IF('POINTAGE'!$AZ$5&lt;&gt;"",--('POINTAGE'!AZ45="Présent"),0),IF('POINTAGE'!$BB$5&lt;&gt;"",--('POINTAGE'!BB45="Présent"),0),IF('POINTAGE'!$BD$5&lt;&gt;"",--('POINTAGE'!BD45="Présent"),0),IF('POINTAGE'!$BF$5&lt;&gt;"",--('POINTAGE'!BF45="Présent"),0),IF('POINTAGE'!$BH$5&lt;&gt;"",--('POINTAGE'!BH45="Présent"),0),IF('POINTAGE'!$BJ$5&lt;&gt;"",--('POINTAGE'!BJ45="Présent"),0),IF('POINTAGE'!$BL$5&lt;&gt;"",--('POINTAGE'!BL45="Présent"),0)))</f>
      </c>
      <c r="O45" s="22">
        <f>IF($A45="","",SUM(IF('POINTAGE'!$AH$5&lt;&gt;"",--('POINTAGE'!AH45="Absent"),0),IF('POINTAGE'!$AJ$5&lt;&gt;"",--('POINTAGE'!AJ45="Absent"),0),IF('POINTAGE'!$AL$5&lt;&gt;"",--('POINTAGE'!AL45="Absent"),0),IF('POINTAGE'!$AN$5&lt;&gt;"",--('POINTAGE'!AN45="Absent"),0),IF('POINTAGE'!$AP$5&lt;&gt;"",--('POINTAGE'!AP45="Absent"),0),IF('POINTAGE'!$AR$5&lt;&gt;"",--('POINTAGE'!AR45="Absent"),0),IF('POINTAGE'!$AT$5&lt;&gt;"",--('POINTAGE'!AT45="Absent"),0),IF('POINTAGE'!$AV$5&lt;&gt;"",--('POINTAGE'!AV45="Absent"),0),IF('POINTAGE'!$AX$5&lt;&gt;"",--('POINTAGE'!AX45="Absent"),0),IF('POINTAGE'!$AZ$5&lt;&gt;"",--('POINTAGE'!AZ45="Absent"),0),IF('POINTAGE'!$BB$5&lt;&gt;"",--('POINTAGE'!BB45="Absent"),0),IF('POINTAGE'!$BD$5&lt;&gt;"",--('POINTAGE'!BD45="Absent"),0),IF('POINTAGE'!$BF$5&lt;&gt;"",--('POINTAGE'!BF45="Absent"),0),IF('POINTAGE'!$BH$5&lt;&gt;"",--('POINTAGE'!BH45="Absent"),0),IF('POINTAGE'!$BJ$5&lt;&gt;"",--('POINTAGE'!BJ45="Absent"),0),IF('POINTAGE'!$BL$5&lt;&gt;"",--('POINTAGE'!BL45="Absent"),0)))</f>
      </c>
      <c r="P45" s="23">
        <f>IF($A45="","",SUM(IF('POINTAGE'!$AH$5&lt;&gt;"",IF('POINTAGE'!AH45="Présent",'POINTAGE'!AI45,0),0),IF('POINTAGE'!$AJ$5&lt;&gt;"",IF('POINTAGE'!AJ45="Présent",'POINTAGE'!AK45,0),0),IF('POINTAGE'!$AL$5&lt;&gt;"",IF('POINTAGE'!AL45="Présent",'POINTAGE'!AM45,0),0),IF('POINTAGE'!$AN$5&lt;&gt;"",IF('POINTAGE'!AN45="Présent",'POINTAGE'!AO45,0),0),IF('POINTAGE'!$AP$5&lt;&gt;"",IF('POINTAGE'!AP45="Présent",'POINTAGE'!AQ45,0),0),IF('POINTAGE'!$AR$5&lt;&gt;"",IF('POINTAGE'!AR45="Présent",'POINTAGE'!AS45,0),0),IF('POINTAGE'!$AT$5&lt;&gt;"",IF('POINTAGE'!AT45="Présent",'POINTAGE'!AU45,0),0),IF('POINTAGE'!$AV$5&lt;&gt;"",IF('POINTAGE'!AV45="Présent",'POINTAGE'!AW45,0),0),IF('POINTAGE'!$AX$5&lt;&gt;"",IF('POINTAGE'!AX45="Présent",'POINTAGE'!AY45,0),0),IF('POINTAGE'!$AZ$5&lt;&gt;"",IF('POINTAGE'!AZ45="Présent",'POINTAGE'!BA45,0),0),IF('POINTAGE'!$BB$5&lt;&gt;"",IF('POINTAGE'!BB45="Présent",'POINTAGE'!BC45,0),0),IF('POINTAGE'!$BD$5&lt;&gt;"",IF('POINTAGE'!BD45="Présent",'POINTAGE'!BE45,0),0),IF('POINTAGE'!$BF$5&lt;&gt;"",IF('POINTAGE'!BF45="Présent",'POINTAGE'!BG45,0),0),IF('POINTAGE'!$BH$5&lt;&gt;"",IF('POINTAGE'!BH45="Présent",'POINTAGE'!BI45,0),0),IF('POINTAGE'!$BJ$5&lt;&gt;"",IF('POINTAGE'!BJ45="Présent",'POINTAGE'!BK45,0),0),IF('POINTAGE'!$BL$5&lt;&gt;"",IF('POINTAGE'!BL45="Présent",'POINTAGE'!BM45,0),0)))</f>
      </c>
      <c r="Q45" s="24">
        <f>IF($A45="","",$N45*$D45)</f>
      </c>
      <c r="R45" s="24">
        <f>IF($A45="","",$P45*$E45)</f>
      </c>
      <c r="S45" s="25">
        <f>IF($A45="","",$Q45+$R45)</f>
      </c>
      <c r="T45" s="18"/>
      <c r="U45" s="25">
        <f>IF($A45="","",MAX(0,$S45-$T45))</f>
      </c>
      <c r="V45" s="25">
        <f>IF($A45="","",$K45+$S45)</f>
      </c>
      <c r="W45" s="24">
        <f>IF($A45="","",$L45+$T45)</f>
      </c>
      <c r="X45" s="25">
        <f>IF($A45="","",$M45+$U45)</f>
      </c>
      <c r="Y45" s="29">
        <f>IF($A45="","",$J45+$R45)</f>
      </c>
    </row>
    <row r="46">
      <c r="A46" s="20">
        <f>IF('POINTAGE'!A46="","",'POINTAGE'!A46)</f>
      </c>
      <c r="B46" s="19">
        <f>IF($A46="","",'POINTAGE'!B46)</f>
      </c>
      <c r="C46" s="20">
        <f>IF($A46="","",'POINTAGE'!C46)</f>
      </c>
      <c r="D46" s="24">
        <f>IF($A46="","",IFERROR(INDEX(Categories_Salaire,MATCH($C46,ListeCategories,0)),0))</f>
      </c>
      <c r="E46" s="24">
        <f>IF($A46="","",IF(IFERROR(INDEX(Categories_TauxHS,MATCH($C46,ListeCategories,0)),0)&gt;0,IFERROR(INDEX(Categories_TauxHS,MATCH($C46,ListeCategories,0)),0),TauxHSDefaut))</f>
      </c>
      <c r="F46" s="22">
        <f>IF($A46="","",SUM(IF('POINTAGE'!$D$5&lt;&gt;"",--('POINTAGE'!D46="Présent"),0),IF('POINTAGE'!$F$5&lt;&gt;"",--('POINTAGE'!F46="Présent"),0),IF('POINTAGE'!$H$5&lt;&gt;"",--('POINTAGE'!H46="Présent"),0),IF('POINTAGE'!$J$5&lt;&gt;"",--('POINTAGE'!J46="Présent"),0),IF('POINTAGE'!$L$5&lt;&gt;"",--('POINTAGE'!L46="Présent"),0),IF('POINTAGE'!$N$5&lt;&gt;"",--('POINTAGE'!N46="Présent"),0),IF('POINTAGE'!$P$5&lt;&gt;"",--('POINTAGE'!P46="Présent"),0),IF('POINTAGE'!$R$5&lt;&gt;"",--('POINTAGE'!R46="Présent"),0),IF('POINTAGE'!$T$5&lt;&gt;"",--('POINTAGE'!T46="Présent"),0),IF('POINTAGE'!$V$5&lt;&gt;"",--('POINTAGE'!V46="Présent"),0),IF('POINTAGE'!$X$5&lt;&gt;"",--('POINTAGE'!X46="Présent"),0),IF('POINTAGE'!$Z$5&lt;&gt;"",--('POINTAGE'!Z46="Présent"),0),IF('POINTAGE'!$AB$5&lt;&gt;"",--('POINTAGE'!AB46="Présent"),0),IF('POINTAGE'!$AD$5&lt;&gt;"",--('POINTAGE'!AD46="Présent"),0),IF('POINTAGE'!$AF$5&lt;&gt;"",--('POINTAGE'!AF46="Présent"),0)))</f>
      </c>
      <c r="G46" s="22">
        <f>IF($A46="","",SUM(IF('POINTAGE'!$D$5&lt;&gt;"",--('POINTAGE'!D46="Absent"),0),IF('POINTAGE'!$F$5&lt;&gt;"",--('POINTAGE'!F46="Absent"),0),IF('POINTAGE'!$H$5&lt;&gt;"",--('POINTAGE'!H46="Absent"),0),IF('POINTAGE'!$J$5&lt;&gt;"",--('POINTAGE'!J46="Absent"),0),IF('POINTAGE'!$L$5&lt;&gt;"",--('POINTAGE'!L46="Absent"),0),IF('POINTAGE'!$N$5&lt;&gt;"",--('POINTAGE'!N46="Absent"),0),IF('POINTAGE'!$P$5&lt;&gt;"",--('POINTAGE'!P46="Absent"),0),IF('POINTAGE'!$R$5&lt;&gt;"",--('POINTAGE'!R46="Absent"),0),IF('POINTAGE'!$T$5&lt;&gt;"",--('POINTAGE'!T46="Absent"),0),IF('POINTAGE'!$V$5&lt;&gt;"",--('POINTAGE'!V46="Absent"),0),IF('POINTAGE'!$X$5&lt;&gt;"",--('POINTAGE'!X46="Absent"),0),IF('POINTAGE'!$Z$5&lt;&gt;"",--('POINTAGE'!Z46="Absent"),0),IF('POINTAGE'!$AB$5&lt;&gt;"",--('POINTAGE'!AB46="Absent"),0),IF('POINTAGE'!$AD$5&lt;&gt;"",--('POINTAGE'!AD46="Absent"),0),IF('POINTAGE'!$AF$5&lt;&gt;"",--('POINTAGE'!AF46="Absent"),0)))</f>
      </c>
      <c r="H46" s="23">
        <f>IF($A46="","",SUM(IF('POINTAGE'!$D$5&lt;&gt;"",IF('POINTAGE'!D46="Présent",'POINTAGE'!E46,0),0),IF('POINTAGE'!$F$5&lt;&gt;"",IF('POINTAGE'!F46="Présent",'POINTAGE'!G46,0),0),IF('POINTAGE'!$H$5&lt;&gt;"",IF('POINTAGE'!H46="Présent",'POINTAGE'!I46,0),0),IF('POINTAGE'!$J$5&lt;&gt;"",IF('POINTAGE'!J46="Présent",'POINTAGE'!K46,0),0),IF('POINTAGE'!$L$5&lt;&gt;"",IF('POINTAGE'!L46="Présent",'POINTAGE'!M46,0),0),IF('POINTAGE'!$N$5&lt;&gt;"",IF('POINTAGE'!N46="Présent",'POINTAGE'!O46,0),0),IF('POINTAGE'!$P$5&lt;&gt;"",IF('POINTAGE'!P46="Présent",'POINTAGE'!Q46,0),0),IF('POINTAGE'!$R$5&lt;&gt;"",IF('POINTAGE'!R46="Présent",'POINTAGE'!S46,0),0),IF('POINTAGE'!$T$5&lt;&gt;"",IF('POINTAGE'!T46="Présent",'POINTAGE'!U46,0),0),IF('POINTAGE'!$V$5&lt;&gt;"",IF('POINTAGE'!V46="Présent",'POINTAGE'!W46,0),0),IF('POINTAGE'!$X$5&lt;&gt;"",IF('POINTAGE'!X46="Présent",'POINTAGE'!Y46,0),0),IF('POINTAGE'!$Z$5&lt;&gt;"",IF('POINTAGE'!Z46="Présent",'POINTAGE'!AA46,0),0),IF('POINTAGE'!$AB$5&lt;&gt;"",IF('POINTAGE'!AB46="Présent",'POINTAGE'!AC46,0),0),IF('POINTAGE'!$AD$5&lt;&gt;"",IF('POINTAGE'!AD46="Présent",'POINTAGE'!AE46,0),0),IF('POINTAGE'!$AF$5&lt;&gt;"",IF('POINTAGE'!AF46="Présent",'POINTAGE'!AG46,0),0)))</f>
      </c>
      <c r="I46" s="24">
        <f>IF($A46="","",$F46*$D46)</f>
      </c>
      <c r="J46" s="24">
        <f>IF($A46="","",$H46*$E46)</f>
      </c>
      <c r="K46" s="25">
        <f>IF($A46="","",$I46+$J46)</f>
      </c>
      <c r="L46" s="18"/>
      <c r="M46" s="25">
        <f>IF($A46="","",MAX(0,$K46-$L46))</f>
      </c>
      <c r="N46" s="22">
        <f>IF($A46="","",SUM(IF('POINTAGE'!$AH$5&lt;&gt;"",--('POINTAGE'!AH46="Présent"),0),IF('POINTAGE'!$AJ$5&lt;&gt;"",--('POINTAGE'!AJ46="Présent"),0),IF('POINTAGE'!$AL$5&lt;&gt;"",--('POINTAGE'!AL46="Présent"),0),IF('POINTAGE'!$AN$5&lt;&gt;"",--('POINTAGE'!AN46="Présent"),0),IF('POINTAGE'!$AP$5&lt;&gt;"",--('POINTAGE'!AP46="Présent"),0),IF('POINTAGE'!$AR$5&lt;&gt;"",--('POINTAGE'!AR46="Présent"),0),IF('POINTAGE'!$AT$5&lt;&gt;"",--('POINTAGE'!AT46="Présent"),0),IF('POINTAGE'!$AV$5&lt;&gt;"",--('POINTAGE'!AV46="Présent"),0),IF('POINTAGE'!$AX$5&lt;&gt;"",--('POINTAGE'!AX46="Présent"),0),IF('POINTAGE'!$AZ$5&lt;&gt;"",--('POINTAGE'!AZ46="Présent"),0),IF('POINTAGE'!$BB$5&lt;&gt;"",--('POINTAGE'!BB46="Présent"),0),IF('POINTAGE'!$BD$5&lt;&gt;"",--('POINTAGE'!BD46="Présent"),0),IF('POINTAGE'!$BF$5&lt;&gt;"",--('POINTAGE'!BF46="Présent"),0),IF('POINTAGE'!$BH$5&lt;&gt;"",--('POINTAGE'!BH46="Présent"),0),IF('POINTAGE'!$BJ$5&lt;&gt;"",--('POINTAGE'!BJ46="Présent"),0),IF('POINTAGE'!$BL$5&lt;&gt;"",--('POINTAGE'!BL46="Présent"),0)))</f>
      </c>
      <c r="O46" s="22">
        <f>IF($A46="","",SUM(IF('POINTAGE'!$AH$5&lt;&gt;"",--('POINTAGE'!AH46="Absent"),0),IF('POINTAGE'!$AJ$5&lt;&gt;"",--('POINTAGE'!AJ46="Absent"),0),IF('POINTAGE'!$AL$5&lt;&gt;"",--('POINTAGE'!AL46="Absent"),0),IF('POINTAGE'!$AN$5&lt;&gt;"",--('POINTAGE'!AN46="Absent"),0),IF('POINTAGE'!$AP$5&lt;&gt;"",--('POINTAGE'!AP46="Absent"),0),IF('POINTAGE'!$AR$5&lt;&gt;"",--('POINTAGE'!AR46="Absent"),0),IF('POINTAGE'!$AT$5&lt;&gt;"",--('POINTAGE'!AT46="Absent"),0),IF('POINTAGE'!$AV$5&lt;&gt;"",--('POINTAGE'!AV46="Absent"),0),IF('POINTAGE'!$AX$5&lt;&gt;"",--('POINTAGE'!AX46="Absent"),0),IF('POINTAGE'!$AZ$5&lt;&gt;"",--('POINTAGE'!AZ46="Absent"),0),IF('POINTAGE'!$BB$5&lt;&gt;"",--('POINTAGE'!BB46="Absent"),0),IF('POINTAGE'!$BD$5&lt;&gt;"",--('POINTAGE'!BD46="Absent"),0),IF('POINTAGE'!$BF$5&lt;&gt;"",--('POINTAGE'!BF46="Absent"),0),IF('POINTAGE'!$BH$5&lt;&gt;"",--('POINTAGE'!BH46="Absent"),0),IF('POINTAGE'!$BJ$5&lt;&gt;"",--('POINTAGE'!BJ46="Absent"),0),IF('POINTAGE'!$BL$5&lt;&gt;"",--('POINTAGE'!BL46="Absent"),0)))</f>
      </c>
      <c r="P46" s="23">
        <f>IF($A46="","",SUM(IF('POINTAGE'!$AH$5&lt;&gt;"",IF('POINTAGE'!AH46="Présent",'POINTAGE'!AI46,0),0),IF('POINTAGE'!$AJ$5&lt;&gt;"",IF('POINTAGE'!AJ46="Présent",'POINTAGE'!AK46,0),0),IF('POINTAGE'!$AL$5&lt;&gt;"",IF('POINTAGE'!AL46="Présent",'POINTAGE'!AM46,0),0),IF('POINTAGE'!$AN$5&lt;&gt;"",IF('POINTAGE'!AN46="Présent",'POINTAGE'!AO46,0),0),IF('POINTAGE'!$AP$5&lt;&gt;"",IF('POINTAGE'!AP46="Présent",'POINTAGE'!AQ46,0),0),IF('POINTAGE'!$AR$5&lt;&gt;"",IF('POINTAGE'!AR46="Présent",'POINTAGE'!AS46,0),0),IF('POINTAGE'!$AT$5&lt;&gt;"",IF('POINTAGE'!AT46="Présent",'POINTAGE'!AU46,0),0),IF('POINTAGE'!$AV$5&lt;&gt;"",IF('POINTAGE'!AV46="Présent",'POINTAGE'!AW46,0),0),IF('POINTAGE'!$AX$5&lt;&gt;"",IF('POINTAGE'!AX46="Présent",'POINTAGE'!AY46,0),0),IF('POINTAGE'!$AZ$5&lt;&gt;"",IF('POINTAGE'!AZ46="Présent",'POINTAGE'!BA46,0),0),IF('POINTAGE'!$BB$5&lt;&gt;"",IF('POINTAGE'!BB46="Présent",'POINTAGE'!BC46,0),0),IF('POINTAGE'!$BD$5&lt;&gt;"",IF('POINTAGE'!BD46="Présent",'POINTAGE'!BE46,0),0),IF('POINTAGE'!$BF$5&lt;&gt;"",IF('POINTAGE'!BF46="Présent",'POINTAGE'!BG46,0),0),IF('POINTAGE'!$BH$5&lt;&gt;"",IF('POINTAGE'!BH46="Présent",'POINTAGE'!BI46,0),0),IF('POINTAGE'!$BJ$5&lt;&gt;"",IF('POINTAGE'!BJ46="Présent",'POINTAGE'!BK46,0),0),IF('POINTAGE'!$BL$5&lt;&gt;"",IF('POINTAGE'!BL46="Présent",'POINTAGE'!BM46,0),0)))</f>
      </c>
      <c r="Q46" s="24">
        <f>IF($A46="","",$N46*$D46)</f>
      </c>
      <c r="R46" s="24">
        <f>IF($A46="","",$P46*$E46)</f>
      </c>
      <c r="S46" s="25">
        <f>IF($A46="","",$Q46+$R46)</f>
      </c>
      <c r="T46" s="18"/>
      <c r="U46" s="25">
        <f>IF($A46="","",MAX(0,$S46-$T46))</f>
      </c>
      <c r="V46" s="25">
        <f>IF($A46="","",$K46+$S46)</f>
      </c>
      <c r="W46" s="24">
        <f>IF($A46="","",$L46+$T46)</f>
      </c>
      <c r="X46" s="25">
        <f>IF($A46="","",$M46+$U46)</f>
      </c>
      <c r="Y46" s="29">
        <f>IF($A46="","",$J46+$R46)</f>
      </c>
    </row>
    <row r="47">
      <c r="A47" s="20">
        <f>IF('POINTAGE'!A47="","",'POINTAGE'!A47)</f>
      </c>
      <c r="B47" s="19">
        <f>IF($A47="","",'POINTAGE'!B47)</f>
      </c>
      <c r="C47" s="20">
        <f>IF($A47="","",'POINTAGE'!C47)</f>
      </c>
      <c r="D47" s="24">
        <f>IF($A47="","",IFERROR(INDEX(Categories_Salaire,MATCH($C47,ListeCategories,0)),0))</f>
      </c>
      <c r="E47" s="24">
        <f>IF($A47="","",IF(IFERROR(INDEX(Categories_TauxHS,MATCH($C47,ListeCategories,0)),0)&gt;0,IFERROR(INDEX(Categories_TauxHS,MATCH($C47,ListeCategories,0)),0),TauxHSDefaut))</f>
      </c>
      <c r="F47" s="22">
        <f>IF($A47="","",SUM(IF('POINTAGE'!$D$5&lt;&gt;"",--('POINTAGE'!D47="Présent"),0),IF('POINTAGE'!$F$5&lt;&gt;"",--('POINTAGE'!F47="Présent"),0),IF('POINTAGE'!$H$5&lt;&gt;"",--('POINTAGE'!H47="Présent"),0),IF('POINTAGE'!$J$5&lt;&gt;"",--('POINTAGE'!J47="Présent"),0),IF('POINTAGE'!$L$5&lt;&gt;"",--('POINTAGE'!L47="Présent"),0),IF('POINTAGE'!$N$5&lt;&gt;"",--('POINTAGE'!N47="Présent"),0),IF('POINTAGE'!$P$5&lt;&gt;"",--('POINTAGE'!P47="Présent"),0),IF('POINTAGE'!$R$5&lt;&gt;"",--('POINTAGE'!R47="Présent"),0),IF('POINTAGE'!$T$5&lt;&gt;"",--('POINTAGE'!T47="Présent"),0),IF('POINTAGE'!$V$5&lt;&gt;"",--('POINTAGE'!V47="Présent"),0),IF('POINTAGE'!$X$5&lt;&gt;"",--('POINTAGE'!X47="Présent"),0),IF('POINTAGE'!$Z$5&lt;&gt;"",--('POINTAGE'!Z47="Présent"),0),IF('POINTAGE'!$AB$5&lt;&gt;"",--('POINTAGE'!AB47="Présent"),0),IF('POINTAGE'!$AD$5&lt;&gt;"",--('POINTAGE'!AD47="Présent"),0),IF('POINTAGE'!$AF$5&lt;&gt;"",--('POINTAGE'!AF47="Présent"),0)))</f>
      </c>
      <c r="G47" s="22">
        <f>IF($A47="","",SUM(IF('POINTAGE'!$D$5&lt;&gt;"",--('POINTAGE'!D47="Absent"),0),IF('POINTAGE'!$F$5&lt;&gt;"",--('POINTAGE'!F47="Absent"),0),IF('POINTAGE'!$H$5&lt;&gt;"",--('POINTAGE'!H47="Absent"),0),IF('POINTAGE'!$J$5&lt;&gt;"",--('POINTAGE'!J47="Absent"),0),IF('POINTAGE'!$L$5&lt;&gt;"",--('POINTAGE'!L47="Absent"),0),IF('POINTAGE'!$N$5&lt;&gt;"",--('POINTAGE'!N47="Absent"),0),IF('POINTAGE'!$P$5&lt;&gt;"",--('POINTAGE'!P47="Absent"),0),IF('POINTAGE'!$R$5&lt;&gt;"",--('POINTAGE'!R47="Absent"),0),IF('POINTAGE'!$T$5&lt;&gt;"",--('POINTAGE'!T47="Absent"),0),IF('POINTAGE'!$V$5&lt;&gt;"",--('POINTAGE'!V47="Absent"),0),IF('POINTAGE'!$X$5&lt;&gt;"",--('POINTAGE'!X47="Absent"),0),IF('POINTAGE'!$Z$5&lt;&gt;"",--('POINTAGE'!Z47="Absent"),0),IF('POINTAGE'!$AB$5&lt;&gt;"",--('POINTAGE'!AB47="Absent"),0),IF('POINTAGE'!$AD$5&lt;&gt;"",--('POINTAGE'!AD47="Absent"),0),IF('POINTAGE'!$AF$5&lt;&gt;"",--('POINTAGE'!AF47="Absent"),0)))</f>
      </c>
      <c r="H47" s="23">
        <f>IF($A47="","",SUM(IF('POINTAGE'!$D$5&lt;&gt;"",IF('POINTAGE'!D47="Présent",'POINTAGE'!E47,0),0),IF('POINTAGE'!$F$5&lt;&gt;"",IF('POINTAGE'!F47="Présent",'POINTAGE'!G47,0),0),IF('POINTAGE'!$H$5&lt;&gt;"",IF('POINTAGE'!H47="Présent",'POINTAGE'!I47,0),0),IF('POINTAGE'!$J$5&lt;&gt;"",IF('POINTAGE'!J47="Présent",'POINTAGE'!K47,0),0),IF('POINTAGE'!$L$5&lt;&gt;"",IF('POINTAGE'!L47="Présent",'POINTAGE'!M47,0),0),IF('POINTAGE'!$N$5&lt;&gt;"",IF('POINTAGE'!N47="Présent",'POINTAGE'!O47,0),0),IF('POINTAGE'!$P$5&lt;&gt;"",IF('POINTAGE'!P47="Présent",'POINTAGE'!Q47,0),0),IF('POINTAGE'!$R$5&lt;&gt;"",IF('POINTAGE'!R47="Présent",'POINTAGE'!S47,0),0),IF('POINTAGE'!$T$5&lt;&gt;"",IF('POINTAGE'!T47="Présent",'POINTAGE'!U47,0),0),IF('POINTAGE'!$V$5&lt;&gt;"",IF('POINTAGE'!V47="Présent",'POINTAGE'!W47,0),0),IF('POINTAGE'!$X$5&lt;&gt;"",IF('POINTAGE'!X47="Présent",'POINTAGE'!Y47,0),0),IF('POINTAGE'!$Z$5&lt;&gt;"",IF('POINTAGE'!Z47="Présent",'POINTAGE'!AA47,0),0),IF('POINTAGE'!$AB$5&lt;&gt;"",IF('POINTAGE'!AB47="Présent",'POINTAGE'!AC47,0),0),IF('POINTAGE'!$AD$5&lt;&gt;"",IF('POINTAGE'!AD47="Présent",'POINTAGE'!AE47,0),0),IF('POINTAGE'!$AF$5&lt;&gt;"",IF('POINTAGE'!AF47="Présent",'POINTAGE'!AG47,0),0)))</f>
      </c>
      <c r="I47" s="24">
        <f>IF($A47="","",$F47*$D47)</f>
      </c>
      <c r="J47" s="24">
        <f>IF($A47="","",$H47*$E47)</f>
      </c>
      <c r="K47" s="25">
        <f>IF($A47="","",$I47+$J47)</f>
      </c>
      <c r="L47" s="18"/>
      <c r="M47" s="25">
        <f>IF($A47="","",MAX(0,$K47-$L47))</f>
      </c>
      <c r="N47" s="22">
        <f>IF($A47="","",SUM(IF('POINTAGE'!$AH$5&lt;&gt;"",--('POINTAGE'!AH47="Présent"),0),IF('POINTAGE'!$AJ$5&lt;&gt;"",--('POINTAGE'!AJ47="Présent"),0),IF('POINTAGE'!$AL$5&lt;&gt;"",--('POINTAGE'!AL47="Présent"),0),IF('POINTAGE'!$AN$5&lt;&gt;"",--('POINTAGE'!AN47="Présent"),0),IF('POINTAGE'!$AP$5&lt;&gt;"",--('POINTAGE'!AP47="Présent"),0),IF('POINTAGE'!$AR$5&lt;&gt;"",--('POINTAGE'!AR47="Présent"),0),IF('POINTAGE'!$AT$5&lt;&gt;"",--('POINTAGE'!AT47="Présent"),0),IF('POINTAGE'!$AV$5&lt;&gt;"",--('POINTAGE'!AV47="Présent"),0),IF('POINTAGE'!$AX$5&lt;&gt;"",--('POINTAGE'!AX47="Présent"),0),IF('POINTAGE'!$AZ$5&lt;&gt;"",--('POINTAGE'!AZ47="Présent"),0),IF('POINTAGE'!$BB$5&lt;&gt;"",--('POINTAGE'!BB47="Présent"),0),IF('POINTAGE'!$BD$5&lt;&gt;"",--('POINTAGE'!BD47="Présent"),0),IF('POINTAGE'!$BF$5&lt;&gt;"",--('POINTAGE'!BF47="Présent"),0),IF('POINTAGE'!$BH$5&lt;&gt;"",--('POINTAGE'!BH47="Présent"),0),IF('POINTAGE'!$BJ$5&lt;&gt;"",--('POINTAGE'!BJ47="Présent"),0),IF('POINTAGE'!$BL$5&lt;&gt;"",--('POINTAGE'!BL47="Présent"),0)))</f>
      </c>
      <c r="O47" s="22">
        <f>IF($A47="","",SUM(IF('POINTAGE'!$AH$5&lt;&gt;"",--('POINTAGE'!AH47="Absent"),0),IF('POINTAGE'!$AJ$5&lt;&gt;"",--('POINTAGE'!AJ47="Absent"),0),IF('POINTAGE'!$AL$5&lt;&gt;"",--('POINTAGE'!AL47="Absent"),0),IF('POINTAGE'!$AN$5&lt;&gt;"",--('POINTAGE'!AN47="Absent"),0),IF('POINTAGE'!$AP$5&lt;&gt;"",--('POINTAGE'!AP47="Absent"),0),IF('POINTAGE'!$AR$5&lt;&gt;"",--('POINTAGE'!AR47="Absent"),0),IF('POINTAGE'!$AT$5&lt;&gt;"",--('POINTAGE'!AT47="Absent"),0),IF('POINTAGE'!$AV$5&lt;&gt;"",--('POINTAGE'!AV47="Absent"),0),IF('POINTAGE'!$AX$5&lt;&gt;"",--('POINTAGE'!AX47="Absent"),0),IF('POINTAGE'!$AZ$5&lt;&gt;"",--('POINTAGE'!AZ47="Absent"),0),IF('POINTAGE'!$BB$5&lt;&gt;"",--('POINTAGE'!BB47="Absent"),0),IF('POINTAGE'!$BD$5&lt;&gt;"",--('POINTAGE'!BD47="Absent"),0),IF('POINTAGE'!$BF$5&lt;&gt;"",--('POINTAGE'!BF47="Absent"),0),IF('POINTAGE'!$BH$5&lt;&gt;"",--('POINTAGE'!BH47="Absent"),0),IF('POINTAGE'!$BJ$5&lt;&gt;"",--('POINTAGE'!BJ47="Absent"),0),IF('POINTAGE'!$BL$5&lt;&gt;"",--('POINTAGE'!BL47="Absent"),0)))</f>
      </c>
      <c r="P47" s="23">
        <f>IF($A47="","",SUM(IF('POINTAGE'!$AH$5&lt;&gt;"",IF('POINTAGE'!AH47="Présent",'POINTAGE'!AI47,0),0),IF('POINTAGE'!$AJ$5&lt;&gt;"",IF('POINTAGE'!AJ47="Présent",'POINTAGE'!AK47,0),0),IF('POINTAGE'!$AL$5&lt;&gt;"",IF('POINTAGE'!AL47="Présent",'POINTAGE'!AM47,0),0),IF('POINTAGE'!$AN$5&lt;&gt;"",IF('POINTAGE'!AN47="Présent",'POINTAGE'!AO47,0),0),IF('POINTAGE'!$AP$5&lt;&gt;"",IF('POINTAGE'!AP47="Présent",'POINTAGE'!AQ47,0),0),IF('POINTAGE'!$AR$5&lt;&gt;"",IF('POINTAGE'!AR47="Présent",'POINTAGE'!AS47,0),0),IF('POINTAGE'!$AT$5&lt;&gt;"",IF('POINTAGE'!AT47="Présent",'POINTAGE'!AU47,0),0),IF('POINTAGE'!$AV$5&lt;&gt;"",IF('POINTAGE'!AV47="Présent",'POINTAGE'!AW47,0),0),IF('POINTAGE'!$AX$5&lt;&gt;"",IF('POINTAGE'!AX47="Présent",'POINTAGE'!AY47,0),0),IF('POINTAGE'!$AZ$5&lt;&gt;"",IF('POINTAGE'!AZ47="Présent",'POINTAGE'!BA47,0),0),IF('POINTAGE'!$BB$5&lt;&gt;"",IF('POINTAGE'!BB47="Présent",'POINTAGE'!BC47,0),0),IF('POINTAGE'!$BD$5&lt;&gt;"",IF('POINTAGE'!BD47="Présent",'POINTAGE'!BE47,0),0),IF('POINTAGE'!$BF$5&lt;&gt;"",IF('POINTAGE'!BF47="Présent",'POINTAGE'!BG47,0),0),IF('POINTAGE'!$BH$5&lt;&gt;"",IF('POINTAGE'!BH47="Présent",'POINTAGE'!BI47,0),0),IF('POINTAGE'!$BJ$5&lt;&gt;"",IF('POINTAGE'!BJ47="Présent",'POINTAGE'!BK47,0),0),IF('POINTAGE'!$BL$5&lt;&gt;"",IF('POINTAGE'!BL47="Présent",'POINTAGE'!BM47,0),0)))</f>
      </c>
      <c r="Q47" s="24">
        <f>IF($A47="","",$N47*$D47)</f>
      </c>
      <c r="R47" s="24">
        <f>IF($A47="","",$P47*$E47)</f>
      </c>
      <c r="S47" s="25">
        <f>IF($A47="","",$Q47+$R47)</f>
      </c>
      <c r="T47" s="18"/>
      <c r="U47" s="25">
        <f>IF($A47="","",MAX(0,$S47-$T47))</f>
      </c>
      <c r="V47" s="25">
        <f>IF($A47="","",$K47+$S47)</f>
      </c>
      <c r="W47" s="24">
        <f>IF($A47="","",$L47+$T47)</f>
      </c>
      <c r="X47" s="25">
        <f>IF($A47="","",$M47+$U47)</f>
      </c>
      <c r="Y47" s="29">
        <f>IF($A47="","",$J47+$R47)</f>
      </c>
    </row>
    <row r="48">
      <c r="A48" s="20">
        <f>IF('POINTAGE'!A48="","",'POINTAGE'!A48)</f>
      </c>
      <c r="B48" s="19">
        <f>IF($A48="","",'POINTAGE'!B48)</f>
      </c>
      <c r="C48" s="20">
        <f>IF($A48="","",'POINTAGE'!C48)</f>
      </c>
      <c r="D48" s="24">
        <f>IF($A48="","",IFERROR(INDEX(Categories_Salaire,MATCH($C48,ListeCategories,0)),0))</f>
      </c>
      <c r="E48" s="24">
        <f>IF($A48="","",IF(IFERROR(INDEX(Categories_TauxHS,MATCH($C48,ListeCategories,0)),0)&gt;0,IFERROR(INDEX(Categories_TauxHS,MATCH($C48,ListeCategories,0)),0),TauxHSDefaut))</f>
      </c>
      <c r="F48" s="22">
        <f>IF($A48="","",SUM(IF('POINTAGE'!$D$5&lt;&gt;"",--('POINTAGE'!D48="Présent"),0),IF('POINTAGE'!$F$5&lt;&gt;"",--('POINTAGE'!F48="Présent"),0),IF('POINTAGE'!$H$5&lt;&gt;"",--('POINTAGE'!H48="Présent"),0),IF('POINTAGE'!$J$5&lt;&gt;"",--('POINTAGE'!J48="Présent"),0),IF('POINTAGE'!$L$5&lt;&gt;"",--('POINTAGE'!L48="Présent"),0),IF('POINTAGE'!$N$5&lt;&gt;"",--('POINTAGE'!N48="Présent"),0),IF('POINTAGE'!$P$5&lt;&gt;"",--('POINTAGE'!P48="Présent"),0),IF('POINTAGE'!$R$5&lt;&gt;"",--('POINTAGE'!R48="Présent"),0),IF('POINTAGE'!$T$5&lt;&gt;"",--('POINTAGE'!T48="Présent"),0),IF('POINTAGE'!$V$5&lt;&gt;"",--('POINTAGE'!V48="Présent"),0),IF('POINTAGE'!$X$5&lt;&gt;"",--('POINTAGE'!X48="Présent"),0),IF('POINTAGE'!$Z$5&lt;&gt;"",--('POINTAGE'!Z48="Présent"),0),IF('POINTAGE'!$AB$5&lt;&gt;"",--('POINTAGE'!AB48="Présent"),0),IF('POINTAGE'!$AD$5&lt;&gt;"",--('POINTAGE'!AD48="Présent"),0),IF('POINTAGE'!$AF$5&lt;&gt;"",--('POINTAGE'!AF48="Présent"),0)))</f>
      </c>
      <c r="G48" s="22">
        <f>IF($A48="","",SUM(IF('POINTAGE'!$D$5&lt;&gt;"",--('POINTAGE'!D48="Absent"),0),IF('POINTAGE'!$F$5&lt;&gt;"",--('POINTAGE'!F48="Absent"),0),IF('POINTAGE'!$H$5&lt;&gt;"",--('POINTAGE'!H48="Absent"),0),IF('POINTAGE'!$J$5&lt;&gt;"",--('POINTAGE'!J48="Absent"),0),IF('POINTAGE'!$L$5&lt;&gt;"",--('POINTAGE'!L48="Absent"),0),IF('POINTAGE'!$N$5&lt;&gt;"",--('POINTAGE'!N48="Absent"),0),IF('POINTAGE'!$P$5&lt;&gt;"",--('POINTAGE'!P48="Absent"),0),IF('POINTAGE'!$R$5&lt;&gt;"",--('POINTAGE'!R48="Absent"),0),IF('POINTAGE'!$T$5&lt;&gt;"",--('POINTAGE'!T48="Absent"),0),IF('POINTAGE'!$V$5&lt;&gt;"",--('POINTAGE'!V48="Absent"),0),IF('POINTAGE'!$X$5&lt;&gt;"",--('POINTAGE'!X48="Absent"),0),IF('POINTAGE'!$Z$5&lt;&gt;"",--('POINTAGE'!Z48="Absent"),0),IF('POINTAGE'!$AB$5&lt;&gt;"",--('POINTAGE'!AB48="Absent"),0),IF('POINTAGE'!$AD$5&lt;&gt;"",--('POINTAGE'!AD48="Absent"),0),IF('POINTAGE'!$AF$5&lt;&gt;"",--('POINTAGE'!AF48="Absent"),0)))</f>
      </c>
      <c r="H48" s="23">
        <f>IF($A48="","",SUM(IF('POINTAGE'!$D$5&lt;&gt;"",IF('POINTAGE'!D48="Présent",'POINTAGE'!E48,0),0),IF('POINTAGE'!$F$5&lt;&gt;"",IF('POINTAGE'!F48="Présent",'POINTAGE'!G48,0),0),IF('POINTAGE'!$H$5&lt;&gt;"",IF('POINTAGE'!H48="Présent",'POINTAGE'!I48,0),0),IF('POINTAGE'!$J$5&lt;&gt;"",IF('POINTAGE'!J48="Présent",'POINTAGE'!K48,0),0),IF('POINTAGE'!$L$5&lt;&gt;"",IF('POINTAGE'!L48="Présent",'POINTAGE'!M48,0),0),IF('POINTAGE'!$N$5&lt;&gt;"",IF('POINTAGE'!N48="Présent",'POINTAGE'!O48,0),0),IF('POINTAGE'!$P$5&lt;&gt;"",IF('POINTAGE'!P48="Présent",'POINTAGE'!Q48,0),0),IF('POINTAGE'!$R$5&lt;&gt;"",IF('POINTAGE'!R48="Présent",'POINTAGE'!S48,0),0),IF('POINTAGE'!$T$5&lt;&gt;"",IF('POINTAGE'!T48="Présent",'POINTAGE'!U48,0),0),IF('POINTAGE'!$V$5&lt;&gt;"",IF('POINTAGE'!V48="Présent",'POINTAGE'!W48,0),0),IF('POINTAGE'!$X$5&lt;&gt;"",IF('POINTAGE'!X48="Présent",'POINTAGE'!Y48,0),0),IF('POINTAGE'!$Z$5&lt;&gt;"",IF('POINTAGE'!Z48="Présent",'POINTAGE'!AA48,0),0),IF('POINTAGE'!$AB$5&lt;&gt;"",IF('POINTAGE'!AB48="Présent",'POINTAGE'!AC48,0),0),IF('POINTAGE'!$AD$5&lt;&gt;"",IF('POINTAGE'!AD48="Présent",'POINTAGE'!AE48,0),0),IF('POINTAGE'!$AF$5&lt;&gt;"",IF('POINTAGE'!AF48="Présent",'POINTAGE'!AG48,0),0)))</f>
      </c>
      <c r="I48" s="24">
        <f>IF($A48="","",$F48*$D48)</f>
      </c>
      <c r="J48" s="24">
        <f>IF($A48="","",$H48*$E48)</f>
      </c>
      <c r="K48" s="25">
        <f>IF($A48="","",$I48+$J48)</f>
      </c>
      <c r="L48" s="18"/>
      <c r="M48" s="25">
        <f>IF($A48="","",MAX(0,$K48-$L48))</f>
      </c>
      <c r="N48" s="22">
        <f>IF($A48="","",SUM(IF('POINTAGE'!$AH$5&lt;&gt;"",--('POINTAGE'!AH48="Présent"),0),IF('POINTAGE'!$AJ$5&lt;&gt;"",--('POINTAGE'!AJ48="Présent"),0),IF('POINTAGE'!$AL$5&lt;&gt;"",--('POINTAGE'!AL48="Présent"),0),IF('POINTAGE'!$AN$5&lt;&gt;"",--('POINTAGE'!AN48="Présent"),0),IF('POINTAGE'!$AP$5&lt;&gt;"",--('POINTAGE'!AP48="Présent"),0),IF('POINTAGE'!$AR$5&lt;&gt;"",--('POINTAGE'!AR48="Présent"),0),IF('POINTAGE'!$AT$5&lt;&gt;"",--('POINTAGE'!AT48="Présent"),0),IF('POINTAGE'!$AV$5&lt;&gt;"",--('POINTAGE'!AV48="Présent"),0),IF('POINTAGE'!$AX$5&lt;&gt;"",--('POINTAGE'!AX48="Présent"),0),IF('POINTAGE'!$AZ$5&lt;&gt;"",--('POINTAGE'!AZ48="Présent"),0),IF('POINTAGE'!$BB$5&lt;&gt;"",--('POINTAGE'!BB48="Présent"),0),IF('POINTAGE'!$BD$5&lt;&gt;"",--('POINTAGE'!BD48="Présent"),0),IF('POINTAGE'!$BF$5&lt;&gt;"",--('POINTAGE'!BF48="Présent"),0),IF('POINTAGE'!$BH$5&lt;&gt;"",--('POINTAGE'!BH48="Présent"),0),IF('POINTAGE'!$BJ$5&lt;&gt;"",--('POINTAGE'!BJ48="Présent"),0),IF('POINTAGE'!$BL$5&lt;&gt;"",--('POINTAGE'!BL48="Présent"),0)))</f>
      </c>
      <c r="O48" s="22">
        <f>IF($A48="","",SUM(IF('POINTAGE'!$AH$5&lt;&gt;"",--('POINTAGE'!AH48="Absent"),0),IF('POINTAGE'!$AJ$5&lt;&gt;"",--('POINTAGE'!AJ48="Absent"),0),IF('POINTAGE'!$AL$5&lt;&gt;"",--('POINTAGE'!AL48="Absent"),0),IF('POINTAGE'!$AN$5&lt;&gt;"",--('POINTAGE'!AN48="Absent"),0),IF('POINTAGE'!$AP$5&lt;&gt;"",--('POINTAGE'!AP48="Absent"),0),IF('POINTAGE'!$AR$5&lt;&gt;"",--('POINTAGE'!AR48="Absent"),0),IF('POINTAGE'!$AT$5&lt;&gt;"",--('POINTAGE'!AT48="Absent"),0),IF('POINTAGE'!$AV$5&lt;&gt;"",--('POINTAGE'!AV48="Absent"),0),IF('POINTAGE'!$AX$5&lt;&gt;"",--('POINTAGE'!AX48="Absent"),0),IF('POINTAGE'!$AZ$5&lt;&gt;"",--('POINTAGE'!AZ48="Absent"),0),IF('POINTAGE'!$BB$5&lt;&gt;"",--('POINTAGE'!BB48="Absent"),0),IF('POINTAGE'!$BD$5&lt;&gt;"",--('POINTAGE'!BD48="Absent"),0),IF('POINTAGE'!$BF$5&lt;&gt;"",--('POINTAGE'!BF48="Absent"),0),IF('POINTAGE'!$BH$5&lt;&gt;"",--('POINTAGE'!BH48="Absent"),0),IF('POINTAGE'!$BJ$5&lt;&gt;"",--('POINTAGE'!BJ48="Absent"),0),IF('POINTAGE'!$BL$5&lt;&gt;"",--('POINTAGE'!BL48="Absent"),0)))</f>
      </c>
      <c r="P48" s="23">
        <f>IF($A48="","",SUM(IF('POINTAGE'!$AH$5&lt;&gt;"",IF('POINTAGE'!AH48="Présent",'POINTAGE'!AI48,0),0),IF('POINTAGE'!$AJ$5&lt;&gt;"",IF('POINTAGE'!AJ48="Présent",'POINTAGE'!AK48,0),0),IF('POINTAGE'!$AL$5&lt;&gt;"",IF('POINTAGE'!AL48="Présent",'POINTAGE'!AM48,0),0),IF('POINTAGE'!$AN$5&lt;&gt;"",IF('POINTAGE'!AN48="Présent",'POINTAGE'!AO48,0),0),IF('POINTAGE'!$AP$5&lt;&gt;"",IF('POINTAGE'!AP48="Présent",'POINTAGE'!AQ48,0),0),IF('POINTAGE'!$AR$5&lt;&gt;"",IF('POINTAGE'!AR48="Présent",'POINTAGE'!AS48,0),0),IF('POINTAGE'!$AT$5&lt;&gt;"",IF('POINTAGE'!AT48="Présent",'POINTAGE'!AU48,0),0),IF('POINTAGE'!$AV$5&lt;&gt;"",IF('POINTAGE'!AV48="Présent",'POINTAGE'!AW48,0),0),IF('POINTAGE'!$AX$5&lt;&gt;"",IF('POINTAGE'!AX48="Présent",'POINTAGE'!AY48,0),0),IF('POINTAGE'!$AZ$5&lt;&gt;"",IF('POINTAGE'!AZ48="Présent",'POINTAGE'!BA48,0),0),IF('POINTAGE'!$BB$5&lt;&gt;"",IF('POINTAGE'!BB48="Présent",'POINTAGE'!BC48,0),0),IF('POINTAGE'!$BD$5&lt;&gt;"",IF('POINTAGE'!BD48="Présent",'POINTAGE'!BE48,0),0),IF('POINTAGE'!$BF$5&lt;&gt;"",IF('POINTAGE'!BF48="Présent",'POINTAGE'!BG48,0),0),IF('POINTAGE'!$BH$5&lt;&gt;"",IF('POINTAGE'!BH48="Présent",'POINTAGE'!BI48,0),0),IF('POINTAGE'!$BJ$5&lt;&gt;"",IF('POINTAGE'!BJ48="Présent",'POINTAGE'!BK48,0),0),IF('POINTAGE'!$BL$5&lt;&gt;"",IF('POINTAGE'!BL48="Présent",'POINTAGE'!BM48,0),0)))</f>
      </c>
      <c r="Q48" s="24">
        <f>IF($A48="","",$N48*$D48)</f>
      </c>
      <c r="R48" s="24">
        <f>IF($A48="","",$P48*$E48)</f>
      </c>
      <c r="S48" s="25">
        <f>IF($A48="","",$Q48+$R48)</f>
      </c>
      <c r="T48" s="18"/>
      <c r="U48" s="25">
        <f>IF($A48="","",MAX(0,$S48-$T48))</f>
      </c>
      <c r="V48" s="25">
        <f>IF($A48="","",$K48+$S48)</f>
      </c>
      <c r="W48" s="24">
        <f>IF($A48="","",$L48+$T48)</f>
      </c>
      <c r="X48" s="25">
        <f>IF($A48="","",$M48+$U48)</f>
      </c>
      <c r="Y48" s="29">
        <f>IF($A48="","",$J48+$R48)</f>
      </c>
    </row>
    <row r="49">
      <c r="A49" s="20">
        <f>IF('POINTAGE'!A49="","",'POINTAGE'!A49)</f>
      </c>
      <c r="B49" s="19">
        <f>IF($A49="","",'POINTAGE'!B49)</f>
      </c>
      <c r="C49" s="20">
        <f>IF($A49="","",'POINTAGE'!C49)</f>
      </c>
      <c r="D49" s="24">
        <f>IF($A49="","",IFERROR(INDEX(Categories_Salaire,MATCH($C49,ListeCategories,0)),0))</f>
      </c>
      <c r="E49" s="24">
        <f>IF($A49="","",IF(IFERROR(INDEX(Categories_TauxHS,MATCH($C49,ListeCategories,0)),0)&gt;0,IFERROR(INDEX(Categories_TauxHS,MATCH($C49,ListeCategories,0)),0),TauxHSDefaut))</f>
      </c>
      <c r="F49" s="22">
        <f>IF($A49="","",SUM(IF('POINTAGE'!$D$5&lt;&gt;"",--('POINTAGE'!D49="Présent"),0),IF('POINTAGE'!$F$5&lt;&gt;"",--('POINTAGE'!F49="Présent"),0),IF('POINTAGE'!$H$5&lt;&gt;"",--('POINTAGE'!H49="Présent"),0),IF('POINTAGE'!$J$5&lt;&gt;"",--('POINTAGE'!J49="Présent"),0),IF('POINTAGE'!$L$5&lt;&gt;"",--('POINTAGE'!L49="Présent"),0),IF('POINTAGE'!$N$5&lt;&gt;"",--('POINTAGE'!N49="Présent"),0),IF('POINTAGE'!$P$5&lt;&gt;"",--('POINTAGE'!P49="Présent"),0),IF('POINTAGE'!$R$5&lt;&gt;"",--('POINTAGE'!R49="Présent"),0),IF('POINTAGE'!$T$5&lt;&gt;"",--('POINTAGE'!T49="Présent"),0),IF('POINTAGE'!$V$5&lt;&gt;"",--('POINTAGE'!V49="Présent"),0),IF('POINTAGE'!$X$5&lt;&gt;"",--('POINTAGE'!X49="Présent"),0),IF('POINTAGE'!$Z$5&lt;&gt;"",--('POINTAGE'!Z49="Présent"),0),IF('POINTAGE'!$AB$5&lt;&gt;"",--('POINTAGE'!AB49="Présent"),0),IF('POINTAGE'!$AD$5&lt;&gt;"",--('POINTAGE'!AD49="Présent"),0),IF('POINTAGE'!$AF$5&lt;&gt;"",--('POINTAGE'!AF49="Présent"),0)))</f>
      </c>
      <c r="G49" s="22">
        <f>IF($A49="","",SUM(IF('POINTAGE'!$D$5&lt;&gt;"",--('POINTAGE'!D49="Absent"),0),IF('POINTAGE'!$F$5&lt;&gt;"",--('POINTAGE'!F49="Absent"),0),IF('POINTAGE'!$H$5&lt;&gt;"",--('POINTAGE'!H49="Absent"),0),IF('POINTAGE'!$J$5&lt;&gt;"",--('POINTAGE'!J49="Absent"),0),IF('POINTAGE'!$L$5&lt;&gt;"",--('POINTAGE'!L49="Absent"),0),IF('POINTAGE'!$N$5&lt;&gt;"",--('POINTAGE'!N49="Absent"),0),IF('POINTAGE'!$P$5&lt;&gt;"",--('POINTAGE'!P49="Absent"),0),IF('POINTAGE'!$R$5&lt;&gt;"",--('POINTAGE'!R49="Absent"),0),IF('POINTAGE'!$T$5&lt;&gt;"",--('POINTAGE'!T49="Absent"),0),IF('POINTAGE'!$V$5&lt;&gt;"",--('POINTAGE'!V49="Absent"),0),IF('POINTAGE'!$X$5&lt;&gt;"",--('POINTAGE'!X49="Absent"),0),IF('POINTAGE'!$Z$5&lt;&gt;"",--('POINTAGE'!Z49="Absent"),0),IF('POINTAGE'!$AB$5&lt;&gt;"",--('POINTAGE'!AB49="Absent"),0),IF('POINTAGE'!$AD$5&lt;&gt;"",--('POINTAGE'!AD49="Absent"),0),IF('POINTAGE'!$AF$5&lt;&gt;"",--('POINTAGE'!AF49="Absent"),0)))</f>
      </c>
      <c r="H49" s="23">
        <f>IF($A49="","",SUM(IF('POINTAGE'!$D$5&lt;&gt;"",IF('POINTAGE'!D49="Présent",'POINTAGE'!E49,0),0),IF('POINTAGE'!$F$5&lt;&gt;"",IF('POINTAGE'!F49="Présent",'POINTAGE'!G49,0),0),IF('POINTAGE'!$H$5&lt;&gt;"",IF('POINTAGE'!H49="Présent",'POINTAGE'!I49,0),0),IF('POINTAGE'!$J$5&lt;&gt;"",IF('POINTAGE'!J49="Présent",'POINTAGE'!K49,0),0),IF('POINTAGE'!$L$5&lt;&gt;"",IF('POINTAGE'!L49="Présent",'POINTAGE'!M49,0),0),IF('POINTAGE'!$N$5&lt;&gt;"",IF('POINTAGE'!N49="Présent",'POINTAGE'!O49,0),0),IF('POINTAGE'!$P$5&lt;&gt;"",IF('POINTAGE'!P49="Présent",'POINTAGE'!Q49,0),0),IF('POINTAGE'!$R$5&lt;&gt;"",IF('POINTAGE'!R49="Présent",'POINTAGE'!S49,0),0),IF('POINTAGE'!$T$5&lt;&gt;"",IF('POINTAGE'!T49="Présent",'POINTAGE'!U49,0),0),IF('POINTAGE'!$V$5&lt;&gt;"",IF('POINTAGE'!V49="Présent",'POINTAGE'!W49,0),0),IF('POINTAGE'!$X$5&lt;&gt;"",IF('POINTAGE'!X49="Présent",'POINTAGE'!Y49,0),0),IF('POINTAGE'!$Z$5&lt;&gt;"",IF('POINTAGE'!Z49="Présent",'POINTAGE'!AA49,0),0),IF('POINTAGE'!$AB$5&lt;&gt;"",IF('POINTAGE'!AB49="Présent",'POINTAGE'!AC49,0),0),IF('POINTAGE'!$AD$5&lt;&gt;"",IF('POINTAGE'!AD49="Présent",'POINTAGE'!AE49,0),0),IF('POINTAGE'!$AF$5&lt;&gt;"",IF('POINTAGE'!AF49="Présent",'POINTAGE'!AG49,0),0)))</f>
      </c>
      <c r="I49" s="24">
        <f>IF($A49="","",$F49*$D49)</f>
      </c>
      <c r="J49" s="24">
        <f>IF($A49="","",$H49*$E49)</f>
      </c>
      <c r="K49" s="25">
        <f>IF($A49="","",$I49+$J49)</f>
      </c>
      <c r="L49" s="18"/>
      <c r="M49" s="25">
        <f>IF($A49="","",MAX(0,$K49-$L49))</f>
      </c>
      <c r="N49" s="22">
        <f>IF($A49="","",SUM(IF('POINTAGE'!$AH$5&lt;&gt;"",--('POINTAGE'!AH49="Présent"),0),IF('POINTAGE'!$AJ$5&lt;&gt;"",--('POINTAGE'!AJ49="Présent"),0),IF('POINTAGE'!$AL$5&lt;&gt;"",--('POINTAGE'!AL49="Présent"),0),IF('POINTAGE'!$AN$5&lt;&gt;"",--('POINTAGE'!AN49="Présent"),0),IF('POINTAGE'!$AP$5&lt;&gt;"",--('POINTAGE'!AP49="Présent"),0),IF('POINTAGE'!$AR$5&lt;&gt;"",--('POINTAGE'!AR49="Présent"),0),IF('POINTAGE'!$AT$5&lt;&gt;"",--('POINTAGE'!AT49="Présent"),0),IF('POINTAGE'!$AV$5&lt;&gt;"",--('POINTAGE'!AV49="Présent"),0),IF('POINTAGE'!$AX$5&lt;&gt;"",--('POINTAGE'!AX49="Présent"),0),IF('POINTAGE'!$AZ$5&lt;&gt;"",--('POINTAGE'!AZ49="Présent"),0),IF('POINTAGE'!$BB$5&lt;&gt;"",--('POINTAGE'!BB49="Présent"),0),IF('POINTAGE'!$BD$5&lt;&gt;"",--('POINTAGE'!BD49="Présent"),0),IF('POINTAGE'!$BF$5&lt;&gt;"",--('POINTAGE'!BF49="Présent"),0),IF('POINTAGE'!$BH$5&lt;&gt;"",--('POINTAGE'!BH49="Présent"),0),IF('POINTAGE'!$BJ$5&lt;&gt;"",--('POINTAGE'!BJ49="Présent"),0),IF('POINTAGE'!$BL$5&lt;&gt;"",--('POINTAGE'!BL49="Présent"),0)))</f>
      </c>
      <c r="O49" s="22">
        <f>IF($A49="","",SUM(IF('POINTAGE'!$AH$5&lt;&gt;"",--('POINTAGE'!AH49="Absent"),0),IF('POINTAGE'!$AJ$5&lt;&gt;"",--('POINTAGE'!AJ49="Absent"),0),IF('POINTAGE'!$AL$5&lt;&gt;"",--('POINTAGE'!AL49="Absent"),0),IF('POINTAGE'!$AN$5&lt;&gt;"",--('POINTAGE'!AN49="Absent"),0),IF('POINTAGE'!$AP$5&lt;&gt;"",--('POINTAGE'!AP49="Absent"),0),IF('POINTAGE'!$AR$5&lt;&gt;"",--('POINTAGE'!AR49="Absent"),0),IF('POINTAGE'!$AT$5&lt;&gt;"",--('POINTAGE'!AT49="Absent"),0),IF('POINTAGE'!$AV$5&lt;&gt;"",--('POINTAGE'!AV49="Absent"),0),IF('POINTAGE'!$AX$5&lt;&gt;"",--('POINTAGE'!AX49="Absent"),0),IF('POINTAGE'!$AZ$5&lt;&gt;"",--('POINTAGE'!AZ49="Absent"),0),IF('POINTAGE'!$BB$5&lt;&gt;"",--('POINTAGE'!BB49="Absent"),0),IF('POINTAGE'!$BD$5&lt;&gt;"",--('POINTAGE'!BD49="Absent"),0),IF('POINTAGE'!$BF$5&lt;&gt;"",--('POINTAGE'!BF49="Absent"),0),IF('POINTAGE'!$BH$5&lt;&gt;"",--('POINTAGE'!BH49="Absent"),0),IF('POINTAGE'!$BJ$5&lt;&gt;"",--('POINTAGE'!BJ49="Absent"),0),IF('POINTAGE'!$BL$5&lt;&gt;"",--('POINTAGE'!BL49="Absent"),0)))</f>
      </c>
      <c r="P49" s="23">
        <f>IF($A49="","",SUM(IF('POINTAGE'!$AH$5&lt;&gt;"",IF('POINTAGE'!AH49="Présent",'POINTAGE'!AI49,0),0),IF('POINTAGE'!$AJ$5&lt;&gt;"",IF('POINTAGE'!AJ49="Présent",'POINTAGE'!AK49,0),0),IF('POINTAGE'!$AL$5&lt;&gt;"",IF('POINTAGE'!AL49="Présent",'POINTAGE'!AM49,0),0),IF('POINTAGE'!$AN$5&lt;&gt;"",IF('POINTAGE'!AN49="Présent",'POINTAGE'!AO49,0),0),IF('POINTAGE'!$AP$5&lt;&gt;"",IF('POINTAGE'!AP49="Présent",'POINTAGE'!AQ49,0),0),IF('POINTAGE'!$AR$5&lt;&gt;"",IF('POINTAGE'!AR49="Présent",'POINTAGE'!AS49,0),0),IF('POINTAGE'!$AT$5&lt;&gt;"",IF('POINTAGE'!AT49="Présent",'POINTAGE'!AU49,0),0),IF('POINTAGE'!$AV$5&lt;&gt;"",IF('POINTAGE'!AV49="Présent",'POINTAGE'!AW49,0),0),IF('POINTAGE'!$AX$5&lt;&gt;"",IF('POINTAGE'!AX49="Présent",'POINTAGE'!AY49,0),0),IF('POINTAGE'!$AZ$5&lt;&gt;"",IF('POINTAGE'!AZ49="Présent",'POINTAGE'!BA49,0),0),IF('POINTAGE'!$BB$5&lt;&gt;"",IF('POINTAGE'!BB49="Présent",'POINTAGE'!BC49,0),0),IF('POINTAGE'!$BD$5&lt;&gt;"",IF('POINTAGE'!BD49="Présent",'POINTAGE'!BE49,0),0),IF('POINTAGE'!$BF$5&lt;&gt;"",IF('POINTAGE'!BF49="Présent",'POINTAGE'!BG49,0),0),IF('POINTAGE'!$BH$5&lt;&gt;"",IF('POINTAGE'!BH49="Présent",'POINTAGE'!BI49,0),0),IF('POINTAGE'!$BJ$5&lt;&gt;"",IF('POINTAGE'!BJ49="Présent",'POINTAGE'!BK49,0),0),IF('POINTAGE'!$BL$5&lt;&gt;"",IF('POINTAGE'!BL49="Présent",'POINTAGE'!BM49,0),0)))</f>
      </c>
      <c r="Q49" s="24">
        <f>IF($A49="","",$N49*$D49)</f>
      </c>
      <c r="R49" s="24">
        <f>IF($A49="","",$P49*$E49)</f>
      </c>
      <c r="S49" s="25">
        <f>IF($A49="","",$Q49+$R49)</f>
      </c>
      <c r="T49" s="18"/>
      <c r="U49" s="25">
        <f>IF($A49="","",MAX(0,$S49-$T49))</f>
      </c>
      <c r="V49" s="25">
        <f>IF($A49="","",$K49+$S49)</f>
      </c>
      <c r="W49" s="24">
        <f>IF($A49="","",$L49+$T49)</f>
      </c>
      <c r="X49" s="25">
        <f>IF($A49="","",$M49+$U49)</f>
      </c>
      <c r="Y49" s="29">
        <f>IF($A49="","",$J49+$R49)</f>
      </c>
    </row>
    <row r="50">
      <c r="A50" s="20">
        <f>IF('POINTAGE'!A50="","",'POINTAGE'!A50)</f>
      </c>
      <c r="B50" s="19">
        <f>IF($A50="","",'POINTAGE'!B50)</f>
      </c>
      <c r="C50" s="20">
        <f>IF($A50="","",'POINTAGE'!C50)</f>
      </c>
      <c r="D50" s="24">
        <f>IF($A50="","",IFERROR(INDEX(Categories_Salaire,MATCH($C50,ListeCategories,0)),0))</f>
      </c>
      <c r="E50" s="24">
        <f>IF($A50="","",IF(IFERROR(INDEX(Categories_TauxHS,MATCH($C50,ListeCategories,0)),0)&gt;0,IFERROR(INDEX(Categories_TauxHS,MATCH($C50,ListeCategories,0)),0),TauxHSDefaut))</f>
      </c>
      <c r="F50" s="22">
        <f>IF($A50="","",SUM(IF('POINTAGE'!$D$5&lt;&gt;"",--('POINTAGE'!D50="Présent"),0),IF('POINTAGE'!$F$5&lt;&gt;"",--('POINTAGE'!F50="Présent"),0),IF('POINTAGE'!$H$5&lt;&gt;"",--('POINTAGE'!H50="Présent"),0),IF('POINTAGE'!$J$5&lt;&gt;"",--('POINTAGE'!J50="Présent"),0),IF('POINTAGE'!$L$5&lt;&gt;"",--('POINTAGE'!L50="Présent"),0),IF('POINTAGE'!$N$5&lt;&gt;"",--('POINTAGE'!N50="Présent"),0),IF('POINTAGE'!$P$5&lt;&gt;"",--('POINTAGE'!P50="Présent"),0),IF('POINTAGE'!$R$5&lt;&gt;"",--('POINTAGE'!R50="Présent"),0),IF('POINTAGE'!$T$5&lt;&gt;"",--('POINTAGE'!T50="Présent"),0),IF('POINTAGE'!$V$5&lt;&gt;"",--('POINTAGE'!V50="Présent"),0),IF('POINTAGE'!$X$5&lt;&gt;"",--('POINTAGE'!X50="Présent"),0),IF('POINTAGE'!$Z$5&lt;&gt;"",--('POINTAGE'!Z50="Présent"),0),IF('POINTAGE'!$AB$5&lt;&gt;"",--('POINTAGE'!AB50="Présent"),0),IF('POINTAGE'!$AD$5&lt;&gt;"",--('POINTAGE'!AD50="Présent"),0),IF('POINTAGE'!$AF$5&lt;&gt;"",--('POINTAGE'!AF50="Présent"),0)))</f>
      </c>
      <c r="G50" s="22">
        <f>IF($A50="","",SUM(IF('POINTAGE'!$D$5&lt;&gt;"",--('POINTAGE'!D50="Absent"),0),IF('POINTAGE'!$F$5&lt;&gt;"",--('POINTAGE'!F50="Absent"),0),IF('POINTAGE'!$H$5&lt;&gt;"",--('POINTAGE'!H50="Absent"),0),IF('POINTAGE'!$J$5&lt;&gt;"",--('POINTAGE'!J50="Absent"),0),IF('POINTAGE'!$L$5&lt;&gt;"",--('POINTAGE'!L50="Absent"),0),IF('POINTAGE'!$N$5&lt;&gt;"",--('POINTAGE'!N50="Absent"),0),IF('POINTAGE'!$P$5&lt;&gt;"",--('POINTAGE'!P50="Absent"),0),IF('POINTAGE'!$R$5&lt;&gt;"",--('POINTAGE'!R50="Absent"),0),IF('POINTAGE'!$T$5&lt;&gt;"",--('POINTAGE'!T50="Absent"),0),IF('POINTAGE'!$V$5&lt;&gt;"",--('POINTAGE'!V50="Absent"),0),IF('POINTAGE'!$X$5&lt;&gt;"",--('POINTAGE'!X50="Absent"),0),IF('POINTAGE'!$Z$5&lt;&gt;"",--('POINTAGE'!Z50="Absent"),0),IF('POINTAGE'!$AB$5&lt;&gt;"",--('POINTAGE'!AB50="Absent"),0),IF('POINTAGE'!$AD$5&lt;&gt;"",--('POINTAGE'!AD50="Absent"),0),IF('POINTAGE'!$AF$5&lt;&gt;"",--('POINTAGE'!AF50="Absent"),0)))</f>
      </c>
      <c r="H50" s="23">
        <f>IF($A50="","",SUM(IF('POINTAGE'!$D$5&lt;&gt;"",IF('POINTAGE'!D50="Présent",'POINTAGE'!E50,0),0),IF('POINTAGE'!$F$5&lt;&gt;"",IF('POINTAGE'!F50="Présent",'POINTAGE'!G50,0),0),IF('POINTAGE'!$H$5&lt;&gt;"",IF('POINTAGE'!H50="Présent",'POINTAGE'!I50,0),0),IF('POINTAGE'!$J$5&lt;&gt;"",IF('POINTAGE'!J50="Présent",'POINTAGE'!K50,0),0),IF('POINTAGE'!$L$5&lt;&gt;"",IF('POINTAGE'!L50="Présent",'POINTAGE'!M50,0),0),IF('POINTAGE'!$N$5&lt;&gt;"",IF('POINTAGE'!N50="Présent",'POINTAGE'!O50,0),0),IF('POINTAGE'!$P$5&lt;&gt;"",IF('POINTAGE'!P50="Présent",'POINTAGE'!Q50,0),0),IF('POINTAGE'!$R$5&lt;&gt;"",IF('POINTAGE'!R50="Présent",'POINTAGE'!S50,0),0),IF('POINTAGE'!$T$5&lt;&gt;"",IF('POINTAGE'!T50="Présent",'POINTAGE'!U50,0),0),IF('POINTAGE'!$V$5&lt;&gt;"",IF('POINTAGE'!V50="Présent",'POINTAGE'!W50,0),0),IF('POINTAGE'!$X$5&lt;&gt;"",IF('POINTAGE'!X50="Présent",'POINTAGE'!Y50,0),0),IF('POINTAGE'!$Z$5&lt;&gt;"",IF('POINTAGE'!Z50="Présent",'POINTAGE'!AA50,0),0),IF('POINTAGE'!$AB$5&lt;&gt;"",IF('POINTAGE'!AB50="Présent",'POINTAGE'!AC50,0),0),IF('POINTAGE'!$AD$5&lt;&gt;"",IF('POINTAGE'!AD50="Présent",'POINTAGE'!AE50,0),0),IF('POINTAGE'!$AF$5&lt;&gt;"",IF('POINTAGE'!AF50="Présent",'POINTAGE'!AG50,0),0)))</f>
      </c>
      <c r="I50" s="24">
        <f>IF($A50="","",$F50*$D50)</f>
      </c>
      <c r="J50" s="24">
        <f>IF($A50="","",$H50*$E50)</f>
      </c>
      <c r="K50" s="25">
        <f>IF($A50="","",$I50+$J50)</f>
      </c>
      <c r="L50" s="18"/>
      <c r="M50" s="25">
        <f>IF($A50="","",MAX(0,$K50-$L50))</f>
      </c>
      <c r="N50" s="22">
        <f>IF($A50="","",SUM(IF('POINTAGE'!$AH$5&lt;&gt;"",--('POINTAGE'!AH50="Présent"),0),IF('POINTAGE'!$AJ$5&lt;&gt;"",--('POINTAGE'!AJ50="Présent"),0),IF('POINTAGE'!$AL$5&lt;&gt;"",--('POINTAGE'!AL50="Présent"),0),IF('POINTAGE'!$AN$5&lt;&gt;"",--('POINTAGE'!AN50="Présent"),0),IF('POINTAGE'!$AP$5&lt;&gt;"",--('POINTAGE'!AP50="Présent"),0),IF('POINTAGE'!$AR$5&lt;&gt;"",--('POINTAGE'!AR50="Présent"),0),IF('POINTAGE'!$AT$5&lt;&gt;"",--('POINTAGE'!AT50="Présent"),0),IF('POINTAGE'!$AV$5&lt;&gt;"",--('POINTAGE'!AV50="Présent"),0),IF('POINTAGE'!$AX$5&lt;&gt;"",--('POINTAGE'!AX50="Présent"),0),IF('POINTAGE'!$AZ$5&lt;&gt;"",--('POINTAGE'!AZ50="Présent"),0),IF('POINTAGE'!$BB$5&lt;&gt;"",--('POINTAGE'!BB50="Présent"),0),IF('POINTAGE'!$BD$5&lt;&gt;"",--('POINTAGE'!BD50="Présent"),0),IF('POINTAGE'!$BF$5&lt;&gt;"",--('POINTAGE'!BF50="Présent"),0),IF('POINTAGE'!$BH$5&lt;&gt;"",--('POINTAGE'!BH50="Présent"),0),IF('POINTAGE'!$BJ$5&lt;&gt;"",--('POINTAGE'!BJ50="Présent"),0),IF('POINTAGE'!$BL$5&lt;&gt;"",--('POINTAGE'!BL50="Présent"),0)))</f>
      </c>
      <c r="O50" s="22">
        <f>IF($A50="","",SUM(IF('POINTAGE'!$AH$5&lt;&gt;"",--('POINTAGE'!AH50="Absent"),0),IF('POINTAGE'!$AJ$5&lt;&gt;"",--('POINTAGE'!AJ50="Absent"),0),IF('POINTAGE'!$AL$5&lt;&gt;"",--('POINTAGE'!AL50="Absent"),0),IF('POINTAGE'!$AN$5&lt;&gt;"",--('POINTAGE'!AN50="Absent"),0),IF('POINTAGE'!$AP$5&lt;&gt;"",--('POINTAGE'!AP50="Absent"),0),IF('POINTAGE'!$AR$5&lt;&gt;"",--('POINTAGE'!AR50="Absent"),0),IF('POINTAGE'!$AT$5&lt;&gt;"",--('POINTAGE'!AT50="Absent"),0),IF('POINTAGE'!$AV$5&lt;&gt;"",--('POINTAGE'!AV50="Absent"),0),IF('POINTAGE'!$AX$5&lt;&gt;"",--('POINTAGE'!AX50="Absent"),0),IF('POINTAGE'!$AZ$5&lt;&gt;"",--('POINTAGE'!AZ50="Absent"),0),IF('POINTAGE'!$BB$5&lt;&gt;"",--('POINTAGE'!BB50="Absent"),0),IF('POINTAGE'!$BD$5&lt;&gt;"",--('POINTAGE'!BD50="Absent"),0),IF('POINTAGE'!$BF$5&lt;&gt;"",--('POINTAGE'!BF50="Absent"),0),IF('POINTAGE'!$BH$5&lt;&gt;"",--('POINTAGE'!BH50="Absent"),0),IF('POINTAGE'!$BJ$5&lt;&gt;"",--('POINTAGE'!BJ50="Absent"),0),IF('POINTAGE'!$BL$5&lt;&gt;"",--('POINTAGE'!BL50="Absent"),0)))</f>
      </c>
      <c r="P50" s="23">
        <f>IF($A50="","",SUM(IF('POINTAGE'!$AH$5&lt;&gt;"",IF('POINTAGE'!AH50="Présent",'POINTAGE'!AI50,0),0),IF('POINTAGE'!$AJ$5&lt;&gt;"",IF('POINTAGE'!AJ50="Présent",'POINTAGE'!AK50,0),0),IF('POINTAGE'!$AL$5&lt;&gt;"",IF('POINTAGE'!AL50="Présent",'POINTAGE'!AM50,0),0),IF('POINTAGE'!$AN$5&lt;&gt;"",IF('POINTAGE'!AN50="Présent",'POINTAGE'!AO50,0),0),IF('POINTAGE'!$AP$5&lt;&gt;"",IF('POINTAGE'!AP50="Présent",'POINTAGE'!AQ50,0),0),IF('POINTAGE'!$AR$5&lt;&gt;"",IF('POINTAGE'!AR50="Présent",'POINTAGE'!AS50,0),0),IF('POINTAGE'!$AT$5&lt;&gt;"",IF('POINTAGE'!AT50="Présent",'POINTAGE'!AU50,0),0),IF('POINTAGE'!$AV$5&lt;&gt;"",IF('POINTAGE'!AV50="Présent",'POINTAGE'!AW50,0),0),IF('POINTAGE'!$AX$5&lt;&gt;"",IF('POINTAGE'!AX50="Présent",'POINTAGE'!AY50,0),0),IF('POINTAGE'!$AZ$5&lt;&gt;"",IF('POINTAGE'!AZ50="Présent",'POINTAGE'!BA50,0),0),IF('POINTAGE'!$BB$5&lt;&gt;"",IF('POINTAGE'!BB50="Présent",'POINTAGE'!BC50,0),0),IF('POINTAGE'!$BD$5&lt;&gt;"",IF('POINTAGE'!BD50="Présent",'POINTAGE'!BE50,0),0),IF('POINTAGE'!$BF$5&lt;&gt;"",IF('POINTAGE'!BF50="Présent",'POINTAGE'!BG50,0),0),IF('POINTAGE'!$BH$5&lt;&gt;"",IF('POINTAGE'!BH50="Présent",'POINTAGE'!BI50,0),0),IF('POINTAGE'!$BJ$5&lt;&gt;"",IF('POINTAGE'!BJ50="Présent",'POINTAGE'!BK50,0),0),IF('POINTAGE'!$BL$5&lt;&gt;"",IF('POINTAGE'!BL50="Présent",'POINTAGE'!BM50,0),0)))</f>
      </c>
      <c r="Q50" s="24">
        <f>IF($A50="","",$N50*$D50)</f>
      </c>
      <c r="R50" s="24">
        <f>IF($A50="","",$P50*$E50)</f>
      </c>
      <c r="S50" s="25">
        <f>IF($A50="","",$Q50+$R50)</f>
      </c>
      <c r="T50" s="18"/>
      <c r="U50" s="25">
        <f>IF($A50="","",MAX(0,$S50-$T50))</f>
      </c>
      <c r="V50" s="25">
        <f>IF($A50="","",$K50+$S50)</f>
      </c>
      <c r="W50" s="24">
        <f>IF($A50="","",$L50+$T50)</f>
      </c>
      <c r="X50" s="25">
        <f>IF($A50="","",$M50+$U50)</f>
      </c>
      <c r="Y50" s="29">
        <f>IF($A50="","",$J50+$R50)</f>
      </c>
    </row>
    <row r="51">
      <c r="A51" s="20">
        <f>IF('POINTAGE'!A51="","",'POINTAGE'!A51)</f>
      </c>
      <c r="B51" s="19">
        <f>IF($A51="","",'POINTAGE'!B51)</f>
      </c>
      <c r="C51" s="20">
        <f>IF($A51="","",'POINTAGE'!C51)</f>
      </c>
      <c r="D51" s="24">
        <f>IF($A51="","",IFERROR(INDEX(Categories_Salaire,MATCH($C51,ListeCategories,0)),0))</f>
      </c>
      <c r="E51" s="24">
        <f>IF($A51="","",IF(IFERROR(INDEX(Categories_TauxHS,MATCH($C51,ListeCategories,0)),0)&gt;0,IFERROR(INDEX(Categories_TauxHS,MATCH($C51,ListeCategories,0)),0),TauxHSDefaut))</f>
      </c>
      <c r="F51" s="22">
        <f>IF($A51="","",SUM(IF('POINTAGE'!$D$5&lt;&gt;"",--('POINTAGE'!D51="Présent"),0),IF('POINTAGE'!$F$5&lt;&gt;"",--('POINTAGE'!F51="Présent"),0),IF('POINTAGE'!$H$5&lt;&gt;"",--('POINTAGE'!H51="Présent"),0),IF('POINTAGE'!$J$5&lt;&gt;"",--('POINTAGE'!J51="Présent"),0),IF('POINTAGE'!$L$5&lt;&gt;"",--('POINTAGE'!L51="Présent"),0),IF('POINTAGE'!$N$5&lt;&gt;"",--('POINTAGE'!N51="Présent"),0),IF('POINTAGE'!$P$5&lt;&gt;"",--('POINTAGE'!P51="Présent"),0),IF('POINTAGE'!$R$5&lt;&gt;"",--('POINTAGE'!R51="Présent"),0),IF('POINTAGE'!$T$5&lt;&gt;"",--('POINTAGE'!T51="Présent"),0),IF('POINTAGE'!$V$5&lt;&gt;"",--('POINTAGE'!V51="Présent"),0),IF('POINTAGE'!$X$5&lt;&gt;"",--('POINTAGE'!X51="Présent"),0),IF('POINTAGE'!$Z$5&lt;&gt;"",--('POINTAGE'!Z51="Présent"),0),IF('POINTAGE'!$AB$5&lt;&gt;"",--('POINTAGE'!AB51="Présent"),0),IF('POINTAGE'!$AD$5&lt;&gt;"",--('POINTAGE'!AD51="Présent"),0),IF('POINTAGE'!$AF$5&lt;&gt;"",--('POINTAGE'!AF51="Présent"),0)))</f>
      </c>
      <c r="G51" s="22">
        <f>IF($A51="","",SUM(IF('POINTAGE'!$D$5&lt;&gt;"",--('POINTAGE'!D51="Absent"),0),IF('POINTAGE'!$F$5&lt;&gt;"",--('POINTAGE'!F51="Absent"),0),IF('POINTAGE'!$H$5&lt;&gt;"",--('POINTAGE'!H51="Absent"),0),IF('POINTAGE'!$J$5&lt;&gt;"",--('POINTAGE'!J51="Absent"),0),IF('POINTAGE'!$L$5&lt;&gt;"",--('POINTAGE'!L51="Absent"),0),IF('POINTAGE'!$N$5&lt;&gt;"",--('POINTAGE'!N51="Absent"),0),IF('POINTAGE'!$P$5&lt;&gt;"",--('POINTAGE'!P51="Absent"),0),IF('POINTAGE'!$R$5&lt;&gt;"",--('POINTAGE'!R51="Absent"),0),IF('POINTAGE'!$T$5&lt;&gt;"",--('POINTAGE'!T51="Absent"),0),IF('POINTAGE'!$V$5&lt;&gt;"",--('POINTAGE'!V51="Absent"),0),IF('POINTAGE'!$X$5&lt;&gt;"",--('POINTAGE'!X51="Absent"),0),IF('POINTAGE'!$Z$5&lt;&gt;"",--('POINTAGE'!Z51="Absent"),0),IF('POINTAGE'!$AB$5&lt;&gt;"",--('POINTAGE'!AB51="Absent"),0),IF('POINTAGE'!$AD$5&lt;&gt;"",--('POINTAGE'!AD51="Absent"),0),IF('POINTAGE'!$AF$5&lt;&gt;"",--('POINTAGE'!AF51="Absent"),0)))</f>
      </c>
      <c r="H51" s="23">
        <f>IF($A51="","",SUM(IF('POINTAGE'!$D$5&lt;&gt;"",IF('POINTAGE'!D51="Présent",'POINTAGE'!E51,0),0),IF('POINTAGE'!$F$5&lt;&gt;"",IF('POINTAGE'!F51="Présent",'POINTAGE'!G51,0),0),IF('POINTAGE'!$H$5&lt;&gt;"",IF('POINTAGE'!H51="Présent",'POINTAGE'!I51,0),0),IF('POINTAGE'!$J$5&lt;&gt;"",IF('POINTAGE'!J51="Présent",'POINTAGE'!K51,0),0),IF('POINTAGE'!$L$5&lt;&gt;"",IF('POINTAGE'!L51="Présent",'POINTAGE'!M51,0),0),IF('POINTAGE'!$N$5&lt;&gt;"",IF('POINTAGE'!N51="Présent",'POINTAGE'!O51,0),0),IF('POINTAGE'!$P$5&lt;&gt;"",IF('POINTAGE'!P51="Présent",'POINTAGE'!Q51,0),0),IF('POINTAGE'!$R$5&lt;&gt;"",IF('POINTAGE'!R51="Présent",'POINTAGE'!S51,0),0),IF('POINTAGE'!$T$5&lt;&gt;"",IF('POINTAGE'!T51="Présent",'POINTAGE'!U51,0),0),IF('POINTAGE'!$V$5&lt;&gt;"",IF('POINTAGE'!V51="Présent",'POINTAGE'!W51,0),0),IF('POINTAGE'!$X$5&lt;&gt;"",IF('POINTAGE'!X51="Présent",'POINTAGE'!Y51,0),0),IF('POINTAGE'!$Z$5&lt;&gt;"",IF('POINTAGE'!Z51="Présent",'POINTAGE'!AA51,0),0),IF('POINTAGE'!$AB$5&lt;&gt;"",IF('POINTAGE'!AB51="Présent",'POINTAGE'!AC51,0),0),IF('POINTAGE'!$AD$5&lt;&gt;"",IF('POINTAGE'!AD51="Présent",'POINTAGE'!AE51,0),0),IF('POINTAGE'!$AF$5&lt;&gt;"",IF('POINTAGE'!AF51="Présent",'POINTAGE'!AG51,0),0)))</f>
      </c>
      <c r="I51" s="24">
        <f>IF($A51="","",$F51*$D51)</f>
      </c>
      <c r="J51" s="24">
        <f>IF($A51="","",$H51*$E51)</f>
      </c>
      <c r="K51" s="25">
        <f>IF($A51="","",$I51+$J51)</f>
      </c>
      <c r="L51" s="18"/>
      <c r="M51" s="25">
        <f>IF($A51="","",MAX(0,$K51-$L51))</f>
      </c>
      <c r="N51" s="22">
        <f>IF($A51="","",SUM(IF('POINTAGE'!$AH$5&lt;&gt;"",--('POINTAGE'!AH51="Présent"),0),IF('POINTAGE'!$AJ$5&lt;&gt;"",--('POINTAGE'!AJ51="Présent"),0),IF('POINTAGE'!$AL$5&lt;&gt;"",--('POINTAGE'!AL51="Présent"),0),IF('POINTAGE'!$AN$5&lt;&gt;"",--('POINTAGE'!AN51="Présent"),0),IF('POINTAGE'!$AP$5&lt;&gt;"",--('POINTAGE'!AP51="Présent"),0),IF('POINTAGE'!$AR$5&lt;&gt;"",--('POINTAGE'!AR51="Présent"),0),IF('POINTAGE'!$AT$5&lt;&gt;"",--('POINTAGE'!AT51="Présent"),0),IF('POINTAGE'!$AV$5&lt;&gt;"",--('POINTAGE'!AV51="Présent"),0),IF('POINTAGE'!$AX$5&lt;&gt;"",--('POINTAGE'!AX51="Présent"),0),IF('POINTAGE'!$AZ$5&lt;&gt;"",--('POINTAGE'!AZ51="Présent"),0),IF('POINTAGE'!$BB$5&lt;&gt;"",--('POINTAGE'!BB51="Présent"),0),IF('POINTAGE'!$BD$5&lt;&gt;"",--('POINTAGE'!BD51="Présent"),0),IF('POINTAGE'!$BF$5&lt;&gt;"",--('POINTAGE'!BF51="Présent"),0),IF('POINTAGE'!$BH$5&lt;&gt;"",--('POINTAGE'!BH51="Présent"),0),IF('POINTAGE'!$BJ$5&lt;&gt;"",--('POINTAGE'!BJ51="Présent"),0),IF('POINTAGE'!$BL$5&lt;&gt;"",--('POINTAGE'!BL51="Présent"),0)))</f>
      </c>
      <c r="O51" s="22">
        <f>IF($A51="","",SUM(IF('POINTAGE'!$AH$5&lt;&gt;"",--('POINTAGE'!AH51="Absent"),0),IF('POINTAGE'!$AJ$5&lt;&gt;"",--('POINTAGE'!AJ51="Absent"),0),IF('POINTAGE'!$AL$5&lt;&gt;"",--('POINTAGE'!AL51="Absent"),0),IF('POINTAGE'!$AN$5&lt;&gt;"",--('POINTAGE'!AN51="Absent"),0),IF('POINTAGE'!$AP$5&lt;&gt;"",--('POINTAGE'!AP51="Absent"),0),IF('POINTAGE'!$AR$5&lt;&gt;"",--('POINTAGE'!AR51="Absent"),0),IF('POINTAGE'!$AT$5&lt;&gt;"",--('POINTAGE'!AT51="Absent"),0),IF('POINTAGE'!$AV$5&lt;&gt;"",--('POINTAGE'!AV51="Absent"),0),IF('POINTAGE'!$AX$5&lt;&gt;"",--('POINTAGE'!AX51="Absent"),0),IF('POINTAGE'!$AZ$5&lt;&gt;"",--('POINTAGE'!AZ51="Absent"),0),IF('POINTAGE'!$BB$5&lt;&gt;"",--('POINTAGE'!BB51="Absent"),0),IF('POINTAGE'!$BD$5&lt;&gt;"",--('POINTAGE'!BD51="Absent"),0),IF('POINTAGE'!$BF$5&lt;&gt;"",--('POINTAGE'!BF51="Absent"),0),IF('POINTAGE'!$BH$5&lt;&gt;"",--('POINTAGE'!BH51="Absent"),0),IF('POINTAGE'!$BJ$5&lt;&gt;"",--('POINTAGE'!BJ51="Absent"),0),IF('POINTAGE'!$BL$5&lt;&gt;"",--('POINTAGE'!BL51="Absent"),0)))</f>
      </c>
      <c r="P51" s="23">
        <f>IF($A51="","",SUM(IF('POINTAGE'!$AH$5&lt;&gt;"",IF('POINTAGE'!AH51="Présent",'POINTAGE'!AI51,0),0),IF('POINTAGE'!$AJ$5&lt;&gt;"",IF('POINTAGE'!AJ51="Présent",'POINTAGE'!AK51,0),0),IF('POINTAGE'!$AL$5&lt;&gt;"",IF('POINTAGE'!AL51="Présent",'POINTAGE'!AM51,0),0),IF('POINTAGE'!$AN$5&lt;&gt;"",IF('POINTAGE'!AN51="Présent",'POINTAGE'!AO51,0),0),IF('POINTAGE'!$AP$5&lt;&gt;"",IF('POINTAGE'!AP51="Présent",'POINTAGE'!AQ51,0),0),IF('POINTAGE'!$AR$5&lt;&gt;"",IF('POINTAGE'!AR51="Présent",'POINTAGE'!AS51,0),0),IF('POINTAGE'!$AT$5&lt;&gt;"",IF('POINTAGE'!AT51="Présent",'POINTAGE'!AU51,0),0),IF('POINTAGE'!$AV$5&lt;&gt;"",IF('POINTAGE'!AV51="Présent",'POINTAGE'!AW51,0),0),IF('POINTAGE'!$AX$5&lt;&gt;"",IF('POINTAGE'!AX51="Présent",'POINTAGE'!AY51,0),0),IF('POINTAGE'!$AZ$5&lt;&gt;"",IF('POINTAGE'!AZ51="Présent",'POINTAGE'!BA51,0),0),IF('POINTAGE'!$BB$5&lt;&gt;"",IF('POINTAGE'!BB51="Présent",'POINTAGE'!BC51,0),0),IF('POINTAGE'!$BD$5&lt;&gt;"",IF('POINTAGE'!BD51="Présent",'POINTAGE'!BE51,0),0),IF('POINTAGE'!$BF$5&lt;&gt;"",IF('POINTAGE'!BF51="Présent",'POINTAGE'!BG51,0),0),IF('POINTAGE'!$BH$5&lt;&gt;"",IF('POINTAGE'!BH51="Présent",'POINTAGE'!BI51,0),0),IF('POINTAGE'!$BJ$5&lt;&gt;"",IF('POINTAGE'!BJ51="Présent",'POINTAGE'!BK51,0),0),IF('POINTAGE'!$BL$5&lt;&gt;"",IF('POINTAGE'!BL51="Présent",'POINTAGE'!BM51,0),0)))</f>
      </c>
      <c r="Q51" s="24">
        <f>IF($A51="","",$N51*$D51)</f>
      </c>
      <c r="R51" s="24">
        <f>IF($A51="","",$P51*$E51)</f>
      </c>
      <c r="S51" s="25">
        <f>IF($A51="","",$Q51+$R51)</f>
      </c>
      <c r="T51" s="18"/>
      <c r="U51" s="25">
        <f>IF($A51="","",MAX(0,$S51-$T51))</f>
      </c>
      <c r="V51" s="25">
        <f>IF($A51="","",$K51+$S51)</f>
      </c>
      <c r="W51" s="24">
        <f>IF($A51="","",$L51+$T51)</f>
      </c>
      <c r="X51" s="25">
        <f>IF($A51="","",$M51+$U51)</f>
      </c>
      <c r="Y51" s="29">
        <f>IF($A51="","",$J51+$R51)</f>
      </c>
    </row>
    <row r="52">
      <c r="A52" s="20">
        <f>IF('POINTAGE'!A52="","",'POINTAGE'!A52)</f>
      </c>
      <c r="B52" s="19">
        <f>IF($A52="","",'POINTAGE'!B52)</f>
      </c>
      <c r="C52" s="20">
        <f>IF($A52="","",'POINTAGE'!C52)</f>
      </c>
      <c r="D52" s="24">
        <f>IF($A52="","",IFERROR(INDEX(Categories_Salaire,MATCH($C52,ListeCategories,0)),0))</f>
      </c>
      <c r="E52" s="24">
        <f>IF($A52="","",IF(IFERROR(INDEX(Categories_TauxHS,MATCH($C52,ListeCategories,0)),0)&gt;0,IFERROR(INDEX(Categories_TauxHS,MATCH($C52,ListeCategories,0)),0),TauxHSDefaut))</f>
      </c>
      <c r="F52" s="22">
        <f>IF($A52="","",SUM(IF('POINTAGE'!$D$5&lt;&gt;"",--('POINTAGE'!D52="Présent"),0),IF('POINTAGE'!$F$5&lt;&gt;"",--('POINTAGE'!F52="Présent"),0),IF('POINTAGE'!$H$5&lt;&gt;"",--('POINTAGE'!H52="Présent"),0),IF('POINTAGE'!$J$5&lt;&gt;"",--('POINTAGE'!J52="Présent"),0),IF('POINTAGE'!$L$5&lt;&gt;"",--('POINTAGE'!L52="Présent"),0),IF('POINTAGE'!$N$5&lt;&gt;"",--('POINTAGE'!N52="Présent"),0),IF('POINTAGE'!$P$5&lt;&gt;"",--('POINTAGE'!P52="Présent"),0),IF('POINTAGE'!$R$5&lt;&gt;"",--('POINTAGE'!R52="Présent"),0),IF('POINTAGE'!$T$5&lt;&gt;"",--('POINTAGE'!T52="Présent"),0),IF('POINTAGE'!$V$5&lt;&gt;"",--('POINTAGE'!V52="Présent"),0),IF('POINTAGE'!$X$5&lt;&gt;"",--('POINTAGE'!X52="Présent"),0),IF('POINTAGE'!$Z$5&lt;&gt;"",--('POINTAGE'!Z52="Présent"),0),IF('POINTAGE'!$AB$5&lt;&gt;"",--('POINTAGE'!AB52="Présent"),0),IF('POINTAGE'!$AD$5&lt;&gt;"",--('POINTAGE'!AD52="Présent"),0),IF('POINTAGE'!$AF$5&lt;&gt;"",--('POINTAGE'!AF52="Présent"),0)))</f>
      </c>
      <c r="G52" s="22">
        <f>IF($A52="","",SUM(IF('POINTAGE'!$D$5&lt;&gt;"",--('POINTAGE'!D52="Absent"),0),IF('POINTAGE'!$F$5&lt;&gt;"",--('POINTAGE'!F52="Absent"),0),IF('POINTAGE'!$H$5&lt;&gt;"",--('POINTAGE'!H52="Absent"),0),IF('POINTAGE'!$J$5&lt;&gt;"",--('POINTAGE'!J52="Absent"),0),IF('POINTAGE'!$L$5&lt;&gt;"",--('POINTAGE'!L52="Absent"),0),IF('POINTAGE'!$N$5&lt;&gt;"",--('POINTAGE'!N52="Absent"),0),IF('POINTAGE'!$P$5&lt;&gt;"",--('POINTAGE'!P52="Absent"),0),IF('POINTAGE'!$R$5&lt;&gt;"",--('POINTAGE'!R52="Absent"),0),IF('POINTAGE'!$T$5&lt;&gt;"",--('POINTAGE'!T52="Absent"),0),IF('POINTAGE'!$V$5&lt;&gt;"",--('POINTAGE'!V52="Absent"),0),IF('POINTAGE'!$X$5&lt;&gt;"",--('POINTAGE'!X52="Absent"),0),IF('POINTAGE'!$Z$5&lt;&gt;"",--('POINTAGE'!Z52="Absent"),0),IF('POINTAGE'!$AB$5&lt;&gt;"",--('POINTAGE'!AB52="Absent"),0),IF('POINTAGE'!$AD$5&lt;&gt;"",--('POINTAGE'!AD52="Absent"),0),IF('POINTAGE'!$AF$5&lt;&gt;"",--('POINTAGE'!AF52="Absent"),0)))</f>
      </c>
      <c r="H52" s="23">
        <f>IF($A52="","",SUM(IF('POINTAGE'!$D$5&lt;&gt;"",IF('POINTAGE'!D52="Présent",'POINTAGE'!E52,0),0),IF('POINTAGE'!$F$5&lt;&gt;"",IF('POINTAGE'!F52="Présent",'POINTAGE'!G52,0),0),IF('POINTAGE'!$H$5&lt;&gt;"",IF('POINTAGE'!H52="Présent",'POINTAGE'!I52,0),0),IF('POINTAGE'!$J$5&lt;&gt;"",IF('POINTAGE'!J52="Présent",'POINTAGE'!K52,0),0),IF('POINTAGE'!$L$5&lt;&gt;"",IF('POINTAGE'!L52="Présent",'POINTAGE'!M52,0),0),IF('POINTAGE'!$N$5&lt;&gt;"",IF('POINTAGE'!N52="Présent",'POINTAGE'!O52,0),0),IF('POINTAGE'!$P$5&lt;&gt;"",IF('POINTAGE'!P52="Présent",'POINTAGE'!Q52,0),0),IF('POINTAGE'!$R$5&lt;&gt;"",IF('POINTAGE'!R52="Présent",'POINTAGE'!S52,0),0),IF('POINTAGE'!$T$5&lt;&gt;"",IF('POINTAGE'!T52="Présent",'POINTAGE'!U52,0),0),IF('POINTAGE'!$V$5&lt;&gt;"",IF('POINTAGE'!V52="Présent",'POINTAGE'!W52,0),0),IF('POINTAGE'!$X$5&lt;&gt;"",IF('POINTAGE'!X52="Présent",'POINTAGE'!Y52,0),0),IF('POINTAGE'!$Z$5&lt;&gt;"",IF('POINTAGE'!Z52="Présent",'POINTAGE'!AA52,0),0),IF('POINTAGE'!$AB$5&lt;&gt;"",IF('POINTAGE'!AB52="Présent",'POINTAGE'!AC52,0),0),IF('POINTAGE'!$AD$5&lt;&gt;"",IF('POINTAGE'!AD52="Présent",'POINTAGE'!AE52,0),0),IF('POINTAGE'!$AF$5&lt;&gt;"",IF('POINTAGE'!AF52="Présent",'POINTAGE'!AG52,0),0)))</f>
      </c>
      <c r="I52" s="24">
        <f>IF($A52="","",$F52*$D52)</f>
      </c>
      <c r="J52" s="24">
        <f>IF($A52="","",$H52*$E52)</f>
      </c>
      <c r="K52" s="25">
        <f>IF($A52="","",$I52+$J52)</f>
      </c>
      <c r="L52" s="18"/>
      <c r="M52" s="25">
        <f>IF($A52="","",MAX(0,$K52-$L52))</f>
      </c>
      <c r="N52" s="22">
        <f>IF($A52="","",SUM(IF('POINTAGE'!$AH$5&lt;&gt;"",--('POINTAGE'!AH52="Présent"),0),IF('POINTAGE'!$AJ$5&lt;&gt;"",--('POINTAGE'!AJ52="Présent"),0),IF('POINTAGE'!$AL$5&lt;&gt;"",--('POINTAGE'!AL52="Présent"),0),IF('POINTAGE'!$AN$5&lt;&gt;"",--('POINTAGE'!AN52="Présent"),0),IF('POINTAGE'!$AP$5&lt;&gt;"",--('POINTAGE'!AP52="Présent"),0),IF('POINTAGE'!$AR$5&lt;&gt;"",--('POINTAGE'!AR52="Présent"),0),IF('POINTAGE'!$AT$5&lt;&gt;"",--('POINTAGE'!AT52="Présent"),0),IF('POINTAGE'!$AV$5&lt;&gt;"",--('POINTAGE'!AV52="Présent"),0),IF('POINTAGE'!$AX$5&lt;&gt;"",--('POINTAGE'!AX52="Présent"),0),IF('POINTAGE'!$AZ$5&lt;&gt;"",--('POINTAGE'!AZ52="Présent"),0),IF('POINTAGE'!$BB$5&lt;&gt;"",--('POINTAGE'!BB52="Présent"),0),IF('POINTAGE'!$BD$5&lt;&gt;"",--('POINTAGE'!BD52="Présent"),0),IF('POINTAGE'!$BF$5&lt;&gt;"",--('POINTAGE'!BF52="Présent"),0),IF('POINTAGE'!$BH$5&lt;&gt;"",--('POINTAGE'!BH52="Présent"),0),IF('POINTAGE'!$BJ$5&lt;&gt;"",--('POINTAGE'!BJ52="Présent"),0),IF('POINTAGE'!$BL$5&lt;&gt;"",--('POINTAGE'!BL52="Présent"),0)))</f>
      </c>
      <c r="O52" s="22">
        <f>IF($A52="","",SUM(IF('POINTAGE'!$AH$5&lt;&gt;"",--('POINTAGE'!AH52="Absent"),0),IF('POINTAGE'!$AJ$5&lt;&gt;"",--('POINTAGE'!AJ52="Absent"),0),IF('POINTAGE'!$AL$5&lt;&gt;"",--('POINTAGE'!AL52="Absent"),0),IF('POINTAGE'!$AN$5&lt;&gt;"",--('POINTAGE'!AN52="Absent"),0),IF('POINTAGE'!$AP$5&lt;&gt;"",--('POINTAGE'!AP52="Absent"),0),IF('POINTAGE'!$AR$5&lt;&gt;"",--('POINTAGE'!AR52="Absent"),0),IF('POINTAGE'!$AT$5&lt;&gt;"",--('POINTAGE'!AT52="Absent"),0),IF('POINTAGE'!$AV$5&lt;&gt;"",--('POINTAGE'!AV52="Absent"),0),IF('POINTAGE'!$AX$5&lt;&gt;"",--('POINTAGE'!AX52="Absent"),0),IF('POINTAGE'!$AZ$5&lt;&gt;"",--('POINTAGE'!AZ52="Absent"),0),IF('POINTAGE'!$BB$5&lt;&gt;"",--('POINTAGE'!BB52="Absent"),0),IF('POINTAGE'!$BD$5&lt;&gt;"",--('POINTAGE'!BD52="Absent"),0),IF('POINTAGE'!$BF$5&lt;&gt;"",--('POINTAGE'!BF52="Absent"),0),IF('POINTAGE'!$BH$5&lt;&gt;"",--('POINTAGE'!BH52="Absent"),0),IF('POINTAGE'!$BJ$5&lt;&gt;"",--('POINTAGE'!BJ52="Absent"),0),IF('POINTAGE'!$BL$5&lt;&gt;"",--('POINTAGE'!BL52="Absent"),0)))</f>
      </c>
      <c r="P52" s="23">
        <f>IF($A52="","",SUM(IF('POINTAGE'!$AH$5&lt;&gt;"",IF('POINTAGE'!AH52="Présent",'POINTAGE'!AI52,0),0),IF('POINTAGE'!$AJ$5&lt;&gt;"",IF('POINTAGE'!AJ52="Présent",'POINTAGE'!AK52,0),0),IF('POINTAGE'!$AL$5&lt;&gt;"",IF('POINTAGE'!AL52="Présent",'POINTAGE'!AM52,0),0),IF('POINTAGE'!$AN$5&lt;&gt;"",IF('POINTAGE'!AN52="Présent",'POINTAGE'!AO52,0),0),IF('POINTAGE'!$AP$5&lt;&gt;"",IF('POINTAGE'!AP52="Présent",'POINTAGE'!AQ52,0),0),IF('POINTAGE'!$AR$5&lt;&gt;"",IF('POINTAGE'!AR52="Présent",'POINTAGE'!AS52,0),0),IF('POINTAGE'!$AT$5&lt;&gt;"",IF('POINTAGE'!AT52="Présent",'POINTAGE'!AU52,0),0),IF('POINTAGE'!$AV$5&lt;&gt;"",IF('POINTAGE'!AV52="Présent",'POINTAGE'!AW52,0),0),IF('POINTAGE'!$AX$5&lt;&gt;"",IF('POINTAGE'!AX52="Présent",'POINTAGE'!AY52,0),0),IF('POINTAGE'!$AZ$5&lt;&gt;"",IF('POINTAGE'!AZ52="Présent",'POINTAGE'!BA52,0),0),IF('POINTAGE'!$BB$5&lt;&gt;"",IF('POINTAGE'!BB52="Présent",'POINTAGE'!BC52,0),0),IF('POINTAGE'!$BD$5&lt;&gt;"",IF('POINTAGE'!BD52="Présent",'POINTAGE'!BE52,0),0),IF('POINTAGE'!$BF$5&lt;&gt;"",IF('POINTAGE'!BF52="Présent",'POINTAGE'!BG52,0),0),IF('POINTAGE'!$BH$5&lt;&gt;"",IF('POINTAGE'!BH52="Présent",'POINTAGE'!BI52,0),0),IF('POINTAGE'!$BJ$5&lt;&gt;"",IF('POINTAGE'!BJ52="Présent",'POINTAGE'!BK52,0),0),IF('POINTAGE'!$BL$5&lt;&gt;"",IF('POINTAGE'!BL52="Présent",'POINTAGE'!BM52,0),0)))</f>
      </c>
      <c r="Q52" s="24">
        <f>IF($A52="","",$N52*$D52)</f>
      </c>
      <c r="R52" s="24">
        <f>IF($A52="","",$P52*$E52)</f>
      </c>
      <c r="S52" s="25">
        <f>IF($A52="","",$Q52+$R52)</f>
      </c>
      <c r="T52" s="18"/>
      <c r="U52" s="25">
        <f>IF($A52="","",MAX(0,$S52-$T52))</f>
      </c>
      <c r="V52" s="25">
        <f>IF($A52="","",$K52+$S52)</f>
      </c>
      <c r="W52" s="24">
        <f>IF($A52="","",$L52+$T52)</f>
      </c>
      <c r="X52" s="25">
        <f>IF($A52="","",$M52+$U52)</f>
      </c>
      <c r="Y52" s="29">
        <f>IF($A52="","",$J52+$R52)</f>
      </c>
    </row>
    <row r="53">
      <c r="A53" s="20">
        <f>IF('POINTAGE'!A53="","",'POINTAGE'!A53)</f>
      </c>
      <c r="B53" s="19">
        <f>IF($A53="","",'POINTAGE'!B53)</f>
      </c>
      <c r="C53" s="20">
        <f>IF($A53="","",'POINTAGE'!C53)</f>
      </c>
      <c r="D53" s="24">
        <f>IF($A53="","",IFERROR(INDEX(Categories_Salaire,MATCH($C53,ListeCategories,0)),0))</f>
      </c>
      <c r="E53" s="24">
        <f>IF($A53="","",IF(IFERROR(INDEX(Categories_TauxHS,MATCH($C53,ListeCategories,0)),0)&gt;0,IFERROR(INDEX(Categories_TauxHS,MATCH($C53,ListeCategories,0)),0),TauxHSDefaut))</f>
      </c>
      <c r="F53" s="22">
        <f>IF($A53="","",SUM(IF('POINTAGE'!$D$5&lt;&gt;"",--('POINTAGE'!D53="Présent"),0),IF('POINTAGE'!$F$5&lt;&gt;"",--('POINTAGE'!F53="Présent"),0),IF('POINTAGE'!$H$5&lt;&gt;"",--('POINTAGE'!H53="Présent"),0),IF('POINTAGE'!$J$5&lt;&gt;"",--('POINTAGE'!J53="Présent"),0),IF('POINTAGE'!$L$5&lt;&gt;"",--('POINTAGE'!L53="Présent"),0),IF('POINTAGE'!$N$5&lt;&gt;"",--('POINTAGE'!N53="Présent"),0),IF('POINTAGE'!$P$5&lt;&gt;"",--('POINTAGE'!P53="Présent"),0),IF('POINTAGE'!$R$5&lt;&gt;"",--('POINTAGE'!R53="Présent"),0),IF('POINTAGE'!$T$5&lt;&gt;"",--('POINTAGE'!T53="Présent"),0),IF('POINTAGE'!$V$5&lt;&gt;"",--('POINTAGE'!V53="Présent"),0),IF('POINTAGE'!$X$5&lt;&gt;"",--('POINTAGE'!X53="Présent"),0),IF('POINTAGE'!$Z$5&lt;&gt;"",--('POINTAGE'!Z53="Présent"),0),IF('POINTAGE'!$AB$5&lt;&gt;"",--('POINTAGE'!AB53="Présent"),0),IF('POINTAGE'!$AD$5&lt;&gt;"",--('POINTAGE'!AD53="Présent"),0),IF('POINTAGE'!$AF$5&lt;&gt;"",--('POINTAGE'!AF53="Présent"),0)))</f>
      </c>
      <c r="G53" s="22">
        <f>IF($A53="","",SUM(IF('POINTAGE'!$D$5&lt;&gt;"",--('POINTAGE'!D53="Absent"),0),IF('POINTAGE'!$F$5&lt;&gt;"",--('POINTAGE'!F53="Absent"),0),IF('POINTAGE'!$H$5&lt;&gt;"",--('POINTAGE'!H53="Absent"),0),IF('POINTAGE'!$J$5&lt;&gt;"",--('POINTAGE'!J53="Absent"),0),IF('POINTAGE'!$L$5&lt;&gt;"",--('POINTAGE'!L53="Absent"),0),IF('POINTAGE'!$N$5&lt;&gt;"",--('POINTAGE'!N53="Absent"),0),IF('POINTAGE'!$P$5&lt;&gt;"",--('POINTAGE'!P53="Absent"),0),IF('POINTAGE'!$R$5&lt;&gt;"",--('POINTAGE'!R53="Absent"),0),IF('POINTAGE'!$T$5&lt;&gt;"",--('POINTAGE'!T53="Absent"),0),IF('POINTAGE'!$V$5&lt;&gt;"",--('POINTAGE'!V53="Absent"),0),IF('POINTAGE'!$X$5&lt;&gt;"",--('POINTAGE'!X53="Absent"),0),IF('POINTAGE'!$Z$5&lt;&gt;"",--('POINTAGE'!Z53="Absent"),0),IF('POINTAGE'!$AB$5&lt;&gt;"",--('POINTAGE'!AB53="Absent"),0),IF('POINTAGE'!$AD$5&lt;&gt;"",--('POINTAGE'!AD53="Absent"),0),IF('POINTAGE'!$AF$5&lt;&gt;"",--('POINTAGE'!AF53="Absent"),0)))</f>
      </c>
      <c r="H53" s="23">
        <f>IF($A53="","",SUM(IF('POINTAGE'!$D$5&lt;&gt;"",IF('POINTAGE'!D53="Présent",'POINTAGE'!E53,0),0),IF('POINTAGE'!$F$5&lt;&gt;"",IF('POINTAGE'!F53="Présent",'POINTAGE'!G53,0),0),IF('POINTAGE'!$H$5&lt;&gt;"",IF('POINTAGE'!H53="Présent",'POINTAGE'!I53,0),0),IF('POINTAGE'!$J$5&lt;&gt;"",IF('POINTAGE'!J53="Présent",'POINTAGE'!K53,0),0),IF('POINTAGE'!$L$5&lt;&gt;"",IF('POINTAGE'!L53="Présent",'POINTAGE'!M53,0),0),IF('POINTAGE'!$N$5&lt;&gt;"",IF('POINTAGE'!N53="Présent",'POINTAGE'!O53,0),0),IF('POINTAGE'!$P$5&lt;&gt;"",IF('POINTAGE'!P53="Présent",'POINTAGE'!Q53,0),0),IF('POINTAGE'!$R$5&lt;&gt;"",IF('POINTAGE'!R53="Présent",'POINTAGE'!S53,0),0),IF('POINTAGE'!$T$5&lt;&gt;"",IF('POINTAGE'!T53="Présent",'POINTAGE'!U53,0),0),IF('POINTAGE'!$V$5&lt;&gt;"",IF('POINTAGE'!V53="Présent",'POINTAGE'!W53,0),0),IF('POINTAGE'!$X$5&lt;&gt;"",IF('POINTAGE'!X53="Présent",'POINTAGE'!Y53,0),0),IF('POINTAGE'!$Z$5&lt;&gt;"",IF('POINTAGE'!Z53="Présent",'POINTAGE'!AA53,0),0),IF('POINTAGE'!$AB$5&lt;&gt;"",IF('POINTAGE'!AB53="Présent",'POINTAGE'!AC53,0),0),IF('POINTAGE'!$AD$5&lt;&gt;"",IF('POINTAGE'!AD53="Présent",'POINTAGE'!AE53,0),0),IF('POINTAGE'!$AF$5&lt;&gt;"",IF('POINTAGE'!AF53="Présent",'POINTAGE'!AG53,0),0)))</f>
      </c>
      <c r="I53" s="24">
        <f>IF($A53="","",$F53*$D53)</f>
      </c>
      <c r="J53" s="24">
        <f>IF($A53="","",$H53*$E53)</f>
      </c>
      <c r="K53" s="25">
        <f>IF($A53="","",$I53+$J53)</f>
      </c>
      <c r="L53" s="18"/>
      <c r="M53" s="25">
        <f>IF($A53="","",MAX(0,$K53-$L53))</f>
      </c>
      <c r="N53" s="22">
        <f>IF($A53="","",SUM(IF('POINTAGE'!$AH$5&lt;&gt;"",--('POINTAGE'!AH53="Présent"),0),IF('POINTAGE'!$AJ$5&lt;&gt;"",--('POINTAGE'!AJ53="Présent"),0),IF('POINTAGE'!$AL$5&lt;&gt;"",--('POINTAGE'!AL53="Présent"),0),IF('POINTAGE'!$AN$5&lt;&gt;"",--('POINTAGE'!AN53="Présent"),0),IF('POINTAGE'!$AP$5&lt;&gt;"",--('POINTAGE'!AP53="Présent"),0),IF('POINTAGE'!$AR$5&lt;&gt;"",--('POINTAGE'!AR53="Présent"),0),IF('POINTAGE'!$AT$5&lt;&gt;"",--('POINTAGE'!AT53="Présent"),0),IF('POINTAGE'!$AV$5&lt;&gt;"",--('POINTAGE'!AV53="Présent"),0),IF('POINTAGE'!$AX$5&lt;&gt;"",--('POINTAGE'!AX53="Présent"),0),IF('POINTAGE'!$AZ$5&lt;&gt;"",--('POINTAGE'!AZ53="Présent"),0),IF('POINTAGE'!$BB$5&lt;&gt;"",--('POINTAGE'!BB53="Présent"),0),IF('POINTAGE'!$BD$5&lt;&gt;"",--('POINTAGE'!BD53="Présent"),0),IF('POINTAGE'!$BF$5&lt;&gt;"",--('POINTAGE'!BF53="Présent"),0),IF('POINTAGE'!$BH$5&lt;&gt;"",--('POINTAGE'!BH53="Présent"),0),IF('POINTAGE'!$BJ$5&lt;&gt;"",--('POINTAGE'!BJ53="Présent"),0),IF('POINTAGE'!$BL$5&lt;&gt;"",--('POINTAGE'!BL53="Présent"),0)))</f>
      </c>
      <c r="O53" s="22">
        <f>IF($A53="","",SUM(IF('POINTAGE'!$AH$5&lt;&gt;"",--('POINTAGE'!AH53="Absent"),0),IF('POINTAGE'!$AJ$5&lt;&gt;"",--('POINTAGE'!AJ53="Absent"),0),IF('POINTAGE'!$AL$5&lt;&gt;"",--('POINTAGE'!AL53="Absent"),0),IF('POINTAGE'!$AN$5&lt;&gt;"",--('POINTAGE'!AN53="Absent"),0),IF('POINTAGE'!$AP$5&lt;&gt;"",--('POINTAGE'!AP53="Absent"),0),IF('POINTAGE'!$AR$5&lt;&gt;"",--('POINTAGE'!AR53="Absent"),0),IF('POINTAGE'!$AT$5&lt;&gt;"",--('POINTAGE'!AT53="Absent"),0),IF('POINTAGE'!$AV$5&lt;&gt;"",--('POINTAGE'!AV53="Absent"),0),IF('POINTAGE'!$AX$5&lt;&gt;"",--('POINTAGE'!AX53="Absent"),0),IF('POINTAGE'!$AZ$5&lt;&gt;"",--('POINTAGE'!AZ53="Absent"),0),IF('POINTAGE'!$BB$5&lt;&gt;"",--('POINTAGE'!BB53="Absent"),0),IF('POINTAGE'!$BD$5&lt;&gt;"",--('POINTAGE'!BD53="Absent"),0),IF('POINTAGE'!$BF$5&lt;&gt;"",--('POINTAGE'!BF53="Absent"),0),IF('POINTAGE'!$BH$5&lt;&gt;"",--('POINTAGE'!BH53="Absent"),0),IF('POINTAGE'!$BJ$5&lt;&gt;"",--('POINTAGE'!BJ53="Absent"),0),IF('POINTAGE'!$BL$5&lt;&gt;"",--('POINTAGE'!BL53="Absent"),0)))</f>
      </c>
      <c r="P53" s="23">
        <f>IF($A53="","",SUM(IF('POINTAGE'!$AH$5&lt;&gt;"",IF('POINTAGE'!AH53="Présent",'POINTAGE'!AI53,0),0),IF('POINTAGE'!$AJ$5&lt;&gt;"",IF('POINTAGE'!AJ53="Présent",'POINTAGE'!AK53,0),0),IF('POINTAGE'!$AL$5&lt;&gt;"",IF('POINTAGE'!AL53="Présent",'POINTAGE'!AM53,0),0),IF('POINTAGE'!$AN$5&lt;&gt;"",IF('POINTAGE'!AN53="Présent",'POINTAGE'!AO53,0),0),IF('POINTAGE'!$AP$5&lt;&gt;"",IF('POINTAGE'!AP53="Présent",'POINTAGE'!AQ53,0),0),IF('POINTAGE'!$AR$5&lt;&gt;"",IF('POINTAGE'!AR53="Présent",'POINTAGE'!AS53,0),0),IF('POINTAGE'!$AT$5&lt;&gt;"",IF('POINTAGE'!AT53="Présent",'POINTAGE'!AU53,0),0),IF('POINTAGE'!$AV$5&lt;&gt;"",IF('POINTAGE'!AV53="Présent",'POINTAGE'!AW53,0),0),IF('POINTAGE'!$AX$5&lt;&gt;"",IF('POINTAGE'!AX53="Présent",'POINTAGE'!AY53,0),0),IF('POINTAGE'!$AZ$5&lt;&gt;"",IF('POINTAGE'!AZ53="Présent",'POINTAGE'!BA53,0),0),IF('POINTAGE'!$BB$5&lt;&gt;"",IF('POINTAGE'!BB53="Présent",'POINTAGE'!BC53,0),0),IF('POINTAGE'!$BD$5&lt;&gt;"",IF('POINTAGE'!BD53="Présent",'POINTAGE'!BE53,0),0),IF('POINTAGE'!$BF$5&lt;&gt;"",IF('POINTAGE'!BF53="Présent",'POINTAGE'!BG53,0),0),IF('POINTAGE'!$BH$5&lt;&gt;"",IF('POINTAGE'!BH53="Présent",'POINTAGE'!BI53,0),0),IF('POINTAGE'!$BJ$5&lt;&gt;"",IF('POINTAGE'!BJ53="Présent",'POINTAGE'!BK53,0),0),IF('POINTAGE'!$BL$5&lt;&gt;"",IF('POINTAGE'!BL53="Présent",'POINTAGE'!BM53,0),0)))</f>
      </c>
      <c r="Q53" s="24">
        <f>IF($A53="","",$N53*$D53)</f>
      </c>
      <c r="R53" s="24">
        <f>IF($A53="","",$P53*$E53)</f>
      </c>
      <c r="S53" s="25">
        <f>IF($A53="","",$Q53+$R53)</f>
      </c>
      <c r="T53" s="18"/>
      <c r="U53" s="25">
        <f>IF($A53="","",MAX(0,$S53-$T53))</f>
      </c>
      <c r="V53" s="25">
        <f>IF($A53="","",$K53+$S53)</f>
      </c>
      <c r="W53" s="24">
        <f>IF($A53="","",$L53+$T53)</f>
      </c>
      <c r="X53" s="25">
        <f>IF($A53="","",$M53+$U53)</f>
      </c>
      <c r="Y53" s="29">
        <f>IF($A53="","",$J53+$R53)</f>
      </c>
    </row>
    <row r="54">
      <c r="A54" s="20">
        <f>IF('POINTAGE'!A54="","",'POINTAGE'!A54)</f>
      </c>
      <c r="B54" s="19">
        <f>IF($A54="","",'POINTAGE'!B54)</f>
      </c>
      <c r="C54" s="20">
        <f>IF($A54="","",'POINTAGE'!C54)</f>
      </c>
      <c r="D54" s="24">
        <f>IF($A54="","",IFERROR(INDEX(Categories_Salaire,MATCH($C54,ListeCategories,0)),0))</f>
      </c>
      <c r="E54" s="24">
        <f>IF($A54="","",IF(IFERROR(INDEX(Categories_TauxHS,MATCH($C54,ListeCategories,0)),0)&gt;0,IFERROR(INDEX(Categories_TauxHS,MATCH($C54,ListeCategories,0)),0),TauxHSDefaut))</f>
      </c>
      <c r="F54" s="22">
        <f>IF($A54="","",SUM(IF('POINTAGE'!$D$5&lt;&gt;"",--('POINTAGE'!D54="Présent"),0),IF('POINTAGE'!$F$5&lt;&gt;"",--('POINTAGE'!F54="Présent"),0),IF('POINTAGE'!$H$5&lt;&gt;"",--('POINTAGE'!H54="Présent"),0),IF('POINTAGE'!$J$5&lt;&gt;"",--('POINTAGE'!J54="Présent"),0),IF('POINTAGE'!$L$5&lt;&gt;"",--('POINTAGE'!L54="Présent"),0),IF('POINTAGE'!$N$5&lt;&gt;"",--('POINTAGE'!N54="Présent"),0),IF('POINTAGE'!$P$5&lt;&gt;"",--('POINTAGE'!P54="Présent"),0),IF('POINTAGE'!$R$5&lt;&gt;"",--('POINTAGE'!R54="Présent"),0),IF('POINTAGE'!$T$5&lt;&gt;"",--('POINTAGE'!T54="Présent"),0),IF('POINTAGE'!$V$5&lt;&gt;"",--('POINTAGE'!V54="Présent"),0),IF('POINTAGE'!$X$5&lt;&gt;"",--('POINTAGE'!X54="Présent"),0),IF('POINTAGE'!$Z$5&lt;&gt;"",--('POINTAGE'!Z54="Présent"),0),IF('POINTAGE'!$AB$5&lt;&gt;"",--('POINTAGE'!AB54="Présent"),0),IF('POINTAGE'!$AD$5&lt;&gt;"",--('POINTAGE'!AD54="Présent"),0),IF('POINTAGE'!$AF$5&lt;&gt;"",--('POINTAGE'!AF54="Présent"),0)))</f>
      </c>
      <c r="G54" s="22">
        <f>IF($A54="","",SUM(IF('POINTAGE'!$D$5&lt;&gt;"",--('POINTAGE'!D54="Absent"),0),IF('POINTAGE'!$F$5&lt;&gt;"",--('POINTAGE'!F54="Absent"),0),IF('POINTAGE'!$H$5&lt;&gt;"",--('POINTAGE'!H54="Absent"),0),IF('POINTAGE'!$J$5&lt;&gt;"",--('POINTAGE'!J54="Absent"),0),IF('POINTAGE'!$L$5&lt;&gt;"",--('POINTAGE'!L54="Absent"),0),IF('POINTAGE'!$N$5&lt;&gt;"",--('POINTAGE'!N54="Absent"),0),IF('POINTAGE'!$P$5&lt;&gt;"",--('POINTAGE'!P54="Absent"),0),IF('POINTAGE'!$R$5&lt;&gt;"",--('POINTAGE'!R54="Absent"),0),IF('POINTAGE'!$T$5&lt;&gt;"",--('POINTAGE'!T54="Absent"),0),IF('POINTAGE'!$V$5&lt;&gt;"",--('POINTAGE'!V54="Absent"),0),IF('POINTAGE'!$X$5&lt;&gt;"",--('POINTAGE'!X54="Absent"),0),IF('POINTAGE'!$Z$5&lt;&gt;"",--('POINTAGE'!Z54="Absent"),0),IF('POINTAGE'!$AB$5&lt;&gt;"",--('POINTAGE'!AB54="Absent"),0),IF('POINTAGE'!$AD$5&lt;&gt;"",--('POINTAGE'!AD54="Absent"),0),IF('POINTAGE'!$AF$5&lt;&gt;"",--('POINTAGE'!AF54="Absent"),0)))</f>
      </c>
      <c r="H54" s="23">
        <f>IF($A54="","",SUM(IF('POINTAGE'!$D$5&lt;&gt;"",IF('POINTAGE'!D54="Présent",'POINTAGE'!E54,0),0),IF('POINTAGE'!$F$5&lt;&gt;"",IF('POINTAGE'!F54="Présent",'POINTAGE'!G54,0),0),IF('POINTAGE'!$H$5&lt;&gt;"",IF('POINTAGE'!H54="Présent",'POINTAGE'!I54,0),0),IF('POINTAGE'!$J$5&lt;&gt;"",IF('POINTAGE'!J54="Présent",'POINTAGE'!K54,0),0),IF('POINTAGE'!$L$5&lt;&gt;"",IF('POINTAGE'!L54="Présent",'POINTAGE'!M54,0),0),IF('POINTAGE'!$N$5&lt;&gt;"",IF('POINTAGE'!N54="Présent",'POINTAGE'!O54,0),0),IF('POINTAGE'!$P$5&lt;&gt;"",IF('POINTAGE'!P54="Présent",'POINTAGE'!Q54,0),0),IF('POINTAGE'!$R$5&lt;&gt;"",IF('POINTAGE'!R54="Présent",'POINTAGE'!S54,0),0),IF('POINTAGE'!$T$5&lt;&gt;"",IF('POINTAGE'!T54="Présent",'POINTAGE'!U54,0),0),IF('POINTAGE'!$V$5&lt;&gt;"",IF('POINTAGE'!V54="Présent",'POINTAGE'!W54,0),0),IF('POINTAGE'!$X$5&lt;&gt;"",IF('POINTAGE'!X54="Présent",'POINTAGE'!Y54,0),0),IF('POINTAGE'!$Z$5&lt;&gt;"",IF('POINTAGE'!Z54="Présent",'POINTAGE'!AA54,0),0),IF('POINTAGE'!$AB$5&lt;&gt;"",IF('POINTAGE'!AB54="Présent",'POINTAGE'!AC54,0),0),IF('POINTAGE'!$AD$5&lt;&gt;"",IF('POINTAGE'!AD54="Présent",'POINTAGE'!AE54,0),0),IF('POINTAGE'!$AF$5&lt;&gt;"",IF('POINTAGE'!AF54="Présent",'POINTAGE'!AG54,0),0)))</f>
      </c>
      <c r="I54" s="24">
        <f>IF($A54="","",$F54*$D54)</f>
      </c>
      <c r="J54" s="24">
        <f>IF($A54="","",$H54*$E54)</f>
      </c>
      <c r="K54" s="25">
        <f>IF($A54="","",$I54+$J54)</f>
      </c>
      <c r="L54" s="18"/>
      <c r="M54" s="25">
        <f>IF($A54="","",MAX(0,$K54-$L54))</f>
      </c>
      <c r="N54" s="22">
        <f>IF($A54="","",SUM(IF('POINTAGE'!$AH$5&lt;&gt;"",--('POINTAGE'!AH54="Présent"),0),IF('POINTAGE'!$AJ$5&lt;&gt;"",--('POINTAGE'!AJ54="Présent"),0),IF('POINTAGE'!$AL$5&lt;&gt;"",--('POINTAGE'!AL54="Présent"),0),IF('POINTAGE'!$AN$5&lt;&gt;"",--('POINTAGE'!AN54="Présent"),0),IF('POINTAGE'!$AP$5&lt;&gt;"",--('POINTAGE'!AP54="Présent"),0),IF('POINTAGE'!$AR$5&lt;&gt;"",--('POINTAGE'!AR54="Présent"),0),IF('POINTAGE'!$AT$5&lt;&gt;"",--('POINTAGE'!AT54="Présent"),0),IF('POINTAGE'!$AV$5&lt;&gt;"",--('POINTAGE'!AV54="Présent"),0),IF('POINTAGE'!$AX$5&lt;&gt;"",--('POINTAGE'!AX54="Présent"),0),IF('POINTAGE'!$AZ$5&lt;&gt;"",--('POINTAGE'!AZ54="Présent"),0),IF('POINTAGE'!$BB$5&lt;&gt;"",--('POINTAGE'!BB54="Présent"),0),IF('POINTAGE'!$BD$5&lt;&gt;"",--('POINTAGE'!BD54="Présent"),0),IF('POINTAGE'!$BF$5&lt;&gt;"",--('POINTAGE'!BF54="Présent"),0),IF('POINTAGE'!$BH$5&lt;&gt;"",--('POINTAGE'!BH54="Présent"),0),IF('POINTAGE'!$BJ$5&lt;&gt;"",--('POINTAGE'!BJ54="Présent"),0),IF('POINTAGE'!$BL$5&lt;&gt;"",--('POINTAGE'!BL54="Présent"),0)))</f>
      </c>
      <c r="O54" s="22">
        <f>IF($A54="","",SUM(IF('POINTAGE'!$AH$5&lt;&gt;"",--('POINTAGE'!AH54="Absent"),0),IF('POINTAGE'!$AJ$5&lt;&gt;"",--('POINTAGE'!AJ54="Absent"),0),IF('POINTAGE'!$AL$5&lt;&gt;"",--('POINTAGE'!AL54="Absent"),0),IF('POINTAGE'!$AN$5&lt;&gt;"",--('POINTAGE'!AN54="Absent"),0),IF('POINTAGE'!$AP$5&lt;&gt;"",--('POINTAGE'!AP54="Absent"),0),IF('POINTAGE'!$AR$5&lt;&gt;"",--('POINTAGE'!AR54="Absent"),0),IF('POINTAGE'!$AT$5&lt;&gt;"",--('POINTAGE'!AT54="Absent"),0),IF('POINTAGE'!$AV$5&lt;&gt;"",--('POINTAGE'!AV54="Absent"),0),IF('POINTAGE'!$AX$5&lt;&gt;"",--('POINTAGE'!AX54="Absent"),0),IF('POINTAGE'!$AZ$5&lt;&gt;"",--('POINTAGE'!AZ54="Absent"),0),IF('POINTAGE'!$BB$5&lt;&gt;"",--('POINTAGE'!BB54="Absent"),0),IF('POINTAGE'!$BD$5&lt;&gt;"",--('POINTAGE'!BD54="Absent"),0),IF('POINTAGE'!$BF$5&lt;&gt;"",--('POINTAGE'!BF54="Absent"),0),IF('POINTAGE'!$BH$5&lt;&gt;"",--('POINTAGE'!BH54="Absent"),0),IF('POINTAGE'!$BJ$5&lt;&gt;"",--('POINTAGE'!BJ54="Absent"),0),IF('POINTAGE'!$BL$5&lt;&gt;"",--('POINTAGE'!BL54="Absent"),0)))</f>
      </c>
      <c r="P54" s="23">
        <f>IF($A54="","",SUM(IF('POINTAGE'!$AH$5&lt;&gt;"",IF('POINTAGE'!AH54="Présent",'POINTAGE'!AI54,0),0),IF('POINTAGE'!$AJ$5&lt;&gt;"",IF('POINTAGE'!AJ54="Présent",'POINTAGE'!AK54,0),0),IF('POINTAGE'!$AL$5&lt;&gt;"",IF('POINTAGE'!AL54="Présent",'POINTAGE'!AM54,0),0),IF('POINTAGE'!$AN$5&lt;&gt;"",IF('POINTAGE'!AN54="Présent",'POINTAGE'!AO54,0),0),IF('POINTAGE'!$AP$5&lt;&gt;"",IF('POINTAGE'!AP54="Présent",'POINTAGE'!AQ54,0),0),IF('POINTAGE'!$AR$5&lt;&gt;"",IF('POINTAGE'!AR54="Présent",'POINTAGE'!AS54,0),0),IF('POINTAGE'!$AT$5&lt;&gt;"",IF('POINTAGE'!AT54="Présent",'POINTAGE'!AU54,0),0),IF('POINTAGE'!$AV$5&lt;&gt;"",IF('POINTAGE'!AV54="Présent",'POINTAGE'!AW54,0),0),IF('POINTAGE'!$AX$5&lt;&gt;"",IF('POINTAGE'!AX54="Présent",'POINTAGE'!AY54,0),0),IF('POINTAGE'!$AZ$5&lt;&gt;"",IF('POINTAGE'!AZ54="Présent",'POINTAGE'!BA54,0),0),IF('POINTAGE'!$BB$5&lt;&gt;"",IF('POINTAGE'!BB54="Présent",'POINTAGE'!BC54,0),0),IF('POINTAGE'!$BD$5&lt;&gt;"",IF('POINTAGE'!BD54="Présent",'POINTAGE'!BE54,0),0),IF('POINTAGE'!$BF$5&lt;&gt;"",IF('POINTAGE'!BF54="Présent",'POINTAGE'!BG54,0),0),IF('POINTAGE'!$BH$5&lt;&gt;"",IF('POINTAGE'!BH54="Présent",'POINTAGE'!BI54,0),0),IF('POINTAGE'!$BJ$5&lt;&gt;"",IF('POINTAGE'!BJ54="Présent",'POINTAGE'!BK54,0),0),IF('POINTAGE'!$BL$5&lt;&gt;"",IF('POINTAGE'!BL54="Présent",'POINTAGE'!BM54,0),0)))</f>
      </c>
      <c r="Q54" s="24">
        <f>IF($A54="","",$N54*$D54)</f>
      </c>
      <c r="R54" s="24">
        <f>IF($A54="","",$P54*$E54)</f>
      </c>
      <c r="S54" s="25">
        <f>IF($A54="","",$Q54+$R54)</f>
      </c>
      <c r="T54" s="18"/>
      <c r="U54" s="25">
        <f>IF($A54="","",MAX(0,$S54-$T54))</f>
      </c>
      <c r="V54" s="25">
        <f>IF($A54="","",$K54+$S54)</f>
      </c>
      <c r="W54" s="24">
        <f>IF($A54="","",$L54+$T54)</f>
      </c>
      <c r="X54" s="25">
        <f>IF($A54="","",$M54+$U54)</f>
      </c>
      <c r="Y54" s="29">
        <f>IF($A54="","",$J54+$R54)</f>
      </c>
    </row>
    <row r="55">
      <c r="A55" s="20">
        <f>IF('POINTAGE'!A55="","",'POINTAGE'!A55)</f>
      </c>
      <c r="B55" s="19">
        <f>IF($A55="","",'POINTAGE'!B55)</f>
      </c>
      <c r="C55" s="20">
        <f>IF($A55="","",'POINTAGE'!C55)</f>
      </c>
      <c r="D55" s="24">
        <f>IF($A55="","",IFERROR(INDEX(Categories_Salaire,MATCH($C55,ListeCategories,0)),0))</f>
      </c>
      <c r="E55" s="24">
        <f>IF($A55="","",IF(IFERROR(INDEX(Categories_TauxHS,MATCH($C55,ListeCategories,0)),0)&gt;0,IFERROR(INDEX(Categories_TauxHS,MATCH($C55,ListeCategories,0)),0),TauxHSDefaut))</f>
      </c>
      <c r="F55" s="22">
        <f>IF($A55="","",SUM(IF('POINTAGE'!$D$5&lt;&gt;"",--('POINTAGE'!D55="Présent"),0),IF('POINTAGE'!$F$5&lt;&gt;"",--('POINTAGE'!F55="Présent"),0),IF('POINTAGE'!$H$5&lt;&gt;"",--('POINTAGE'!H55="Présent"),0),IF('POINTAGE'!$J$5&lt;&gt;"",--('POINTAGE'!J55="Présent"),0),IF('POINTAGE'!$L$5&lt;&gt;"",--('POINTAGE'!L55="Présent"),0),IF('POINTAGE'!$N$5&lt;&gt;"",--('POINTAGE'!N55="Présent"),0),IF('POINTAGE'!$P$5&lt;&gt;"",--('POINTAGE'!P55="Présent"),0),IF('POINTAGE'!$R$5&lt;&gt;"",--('POINTAGE'!R55="Présent"),0),IF('POINTAGE'!$T$5&lt;&gt;"",--('POINTAGE'!T55="Présent"),0),IF('POINTAGE'!$V$5&lt;&gt;"",--('POINTAGE'!V55="Présent"),0),IF('POINTAGE'!$X$5&lt;&gt;"",--('POINTAGE'!X55="Présent"),0),IF('POINTAGE'!$Z$5&lt;&gt;"",--('POINTAGE'!Z55="Présent"),0),IF('POINTAGE'!$AB$5&lt;&gt;"",--('POINTAGE'!AB55="Présent"),0),IF('POINTAGE'!$AD$5&lt;&gt;"",--('POINTAGE'!AD55="Présent"),0),IF('POINTAGE'!$AF$5&lt;&gt;"",--('POINTAGE'!AF55="Présent"),0)))</f>
      </c>
      <c r="G55" s="22">
        <f>IF($A55="","",SUM(IF('POINTAGE'!$D$5&lt;&gt;"",--('POINTAGE'!D55="Absent"),0),IF('POINTAGE'!$F$5&lt;&gt;"",--('POINTAGE'!F55="Absent"),0),IF('POINTAGE'!$H$5&lt;&gt;"",--('POINTAGE'!H55="Absent"),0),IF('POINTAGE'!$J$5&lt;&gt;"",--('POINTAGE'!J55="Absent"),0),IF('POINTAGE'!$L$5&lt;&gt;"",--('POINTAGE'!L55="Absent"),0),IF('POINTAGE'!$N$5&lt;&gt;"",--('POINTAGE'!N55="Absent"),0),IF('POINTAGE'!$P$5&lt;&gt;"",--('POINTAGE'!P55="Absent"),0),IF('POINTAGE'!$R$5&lt;&gt;"",--('POINTAGE'!R55="Absent"),0),IF('POINTAGE'!$T$5&lt;&gt;"",--('POINTAGE'!T55="Absent"),0),IF('POINTAGE'!$V$5&lt;&gt;"",--('POINTAGE'!V55="Absent"),0),IF('POINTAGE'!$X$5&lt;&gt;"",--('POINTAGE'!X55="Absent"),0),IF('POINTAGE'!$Z$5&lt;&gt;"",--('POINTAGE'!Z55="Absent"),0),IF('POINTAGE'!$AB$5&lt;&gt;"",--('POINTAGE'!AB55="Absent"),0),IF('POINTAGE'!$AD$5&lt;&gt;"",--('POINTAGE'!AD55="Absent"),0),IF('POINTAGE'!$AF$5&lt;&gt;"",--('POINTAGE'!AF55="Absent"),0)))</f>
      </c>
      <c r="H55" s="23">
        <f>IF($A55="","",SUM(IF('POINTAGE'!$D$5&lt;&gt;"",IF('POINTAGE'!D55="Présent",'POINTAGE'!E55,0),0),IF('POINTAGE'!$F$5&lt;&gt;"",IF('POINTAGE'!F55="Présent",'POINTAGE'!G55,0),0),IF('POINTAGE'!$H$5&lt;&gt;"",IF('POINTAGE'!H55="Présent",'POINTAGE'!I55,0),0),IF('POINTAGE'!$J$5&lt;&gt;"",IF('POINTAGE'!J55="Présent",'POINTAGE'!K55,0),0),IF('POINTAGE'!$L$5&lt;&gt;"",IF('POINTAGE'!L55="Présent",'POINTAGE'!M55,0),0),IF('POINTAGE'!$N$5&lt;&gt;"",IF('POINTAGE'!N55="Présent",'POINTAGE'!O55,0),0),IF('POINTAGE'!$P$5&lt;&gt;"",IF('POINTAGE'!P55="Présent",'POINTAGE'!Q55,0),0),IF('POINTAGE'!$R$5&lt;&gt;"",IF('POINTAGE'!R55="Présent",'POINTAGE'!S55,0),0),IF('POINTAGE'!$T$5&lt;&gt;"",IF('POINTAGE'!T55="Présent",'POINTAGE'!U55,0),0),IF('POINTAGE'!$V$5&lt;&gt;"",IF('POINTAGE'!V55="Présent",'POINTAGE'!W55,0),0),IF('POINTAGE'!$X$5&lt;&gt;"",IF('POINTAGE'!X55="Présent",'POINTAGE'!Y55,0),0),IF('POINTAGE'!$Z$5&lt;&gt;"",IF('POINTAGE'!Z55="Présent",'POINTAGE'!AA55,0),0),IF('POINTAGE'!$AB$5&lt;&gt;"",IF('POINTAGE'!AB55="Présent",'POINTAGE'!AC55,0),0),IF('POINTAGE'!$AD$5&lt;&gt;"",IF('POINTAGE'!AD55="Présent",'POINTAGE'!AE55,0),0),IF('POINTAGE'!$AF$5&lt;&gt;"",IF('POINTAGE'!AF55="Présent",'POINTAGE'!AG55,0),0)))</f>
      </c>
      <c r="I55" s="24">
        <f>IF($A55="","",$F55*$D55)</f>
      </c>
      <c r="J55" s="24">
        <f>IF($A55="","",$H55*$E55)</f>
      </c>
      <c r="K55" s="25">
        <f>IF($A55="","",$I55+$J55)</f>
      </c>
      <c r="L55" s="18"/>
      <c r="M55" s="25">
        <f>IF($A55="","",MAX(0,$K55-$L55))</f>
      </c>
      <c r="N55" s="22">
        <f>IF($A55="","",SUM(IF('POINTAGE'!$AH$5&lt;&gt;"",--('POINTAGE'!AH55="Présent"),0),IF('POINTAGE'!$AJ$5&lt;&gt;"",--('POINTAGE'!AJ55="Présent"),0),IF('POINTAGE'!$AL$5&lt;&gt;"",--('POINTAGE'!AL55="Présent"),0),IF('POINTAGE'!$AN$5&lt;&gt;"",--('POINTAGE'!AN55="Présent"),0),IF('POINTAGE'!$AP$5&lt;&gt;"",--('POINTAGE'!AP55="Présent"),0),IF('POINTAGE'!$AR$5&lt;&gt;"",--('POINTAGE'!AR55="Présent"),0),IF('POINTAGE'!$AT$5&lt;&gt;"",--('POINTAGE'!AT55="Présent"),0),IF('POINTAGE'!$AV$5&lt;&gt;"",--('POINTAGE'!AV55="Présent"),0),IF('POINTAGE'!$AX$5&lt;&gt;"",--('POINTAGE'!AX55="Présent"),0),IF('POINTAGE'!$AZ$5&lt;&gt;"",--('POINTAGE'!AZ55="Présent"),0),IF('POINTAGE'!$BB$5&lt;&gt;"",--('POINTAGE'!BB55="Présent"),0),IF('POINTAGE'!$BD$5&lt;&gt;"",--('POINTAGE'!BD55="Présent"),0),IF('POINTAGE'!$BF$5&lt;&gt;"",--('POINTAGE'!BF55="Présent"),0),IF('POINTAGE'!$BH$5&lt;&gt;"",--('POINTAGE'!BH55="Présent"),0),IF('POINTAGE'!$BJ$5&lt;&gt;"",--('POINTAGE'!BJ55="Présent"),0),IF('POINTAGE'!$BL$5&lt;&gt;"",--('POINTAGE'!BL55="Présent"),0)))</f>
      </c>
      <c r="O55" s="22">
        <f>IF($A55="","",SUM(IF('POINTAGE'!$AH$5&lt;&gt;"",--('POINTAGE'!AH55="Absent"),0),IF('POINTAGE'!$AJ$5&lt;&gt;"",--('POINTAGE'!AJ55="Absent"),0),IF('POINTAGE'!$AL$5&lt;&gt;"",--('POINTAGE'!AL55="Absent"),0),IF('POINTAGE'!$AN$5&lt;&gt;"",--('POINTAGE'!AN55="Absent"),0),IF('POINTAGE'!$AP$5&lt;&gt;"",--('POINTAGE'!AP55="Absent"),0),IF('POINTAGE'!$AR$5&lt;&gt;"",--('POINTAGE'!AR55="Absent"),0),IF('POINTAGE'!$AT$5&lt;&gt;"",--('POINTAGE'!AT55="Absent"),0),IF('POINTAGE'!$AV$5&lt;&gt;"",--('POINTAGE'!AV55="Absent"),0),IF('POINTAGE'!$AX$5&lt;&gt;"",--('POINTAGE'!AX55="Absent"),0),IF('POINTAGE'!$AZ$5&lt;&gt;"",--('POINTAGE'!AZ55="Absent"),0),IF('POINTAGE'!$BB$5&lt;&gt;"",--('POINTAGE'!BB55="Absent"),0),IF('POINTAGE'!$BD$5&lt;&gt;"",--('POINTAGE'!BD55="Absent"),0),IF('POINTAGE'!$BF$5&lt;&gt;"",--('POINTAGE'!BF55="Absent"),0),IF('POINTAGE'!$BH$5&lt;&gt;"",--('POINTAGE'!BH55="Absent"),0),IF('POINTAGE'!$BJ$5&lt;&gt;"",--('POINTAGE'!BJ55="Absent"),0),IF('POINTAGE'!$BL$5&lt;&gt;"",--('POINTAGE'!BL55="Absent"),0)))</f>
      </c>
      <c r="P55" s="23">
        <f>IF($A55="","",SUM(IF('POINTAGE'!$AH$5&lt;&gt;"",IF('POINTAGE'!AH55="Présent",'POINTAGE'!AI55,0),0),IF('POINTAGE'!$AJ$5&lt;&gt;"",IF('POINTAGE'!AJ55="Présent",'POINTAGE'!AK55,0),0),IF('POINTAGE'!$AL$5&lt;&gt;"",IF('POINTAGE'!AL55="Présent",'POINTAGE'!AM55,0),0),IF('POINTAGE'!$AN$5&lt;&gt;"",IF('POINTAGE'!AN55="Présent",'POINTAGE'!AO55,0),0),IF('POINTAGE'!$AP$5&lt;&gt;"",IF('POINTAGE'!AP55="Présent",'POINTAGE'!AQ55,0),0),IF('POINTAGE'!$AR$5&lt;&gt;"",IF('POINTAGE'!AR55="Présent",'POINTAGE'!AS55,0),0),IF('POINTAGE'!$AT$5&lt;&gt;"",IF('POINTAGE'!AT55="Présent",'POINTAGE'!AU55,0),0),IF('POINTAGE'!$AV$5&lt;&gt;"",IF('POINTAGE'!AV55="Présent",'POINTAGE'!AW55,0),0),IF('POINTAGE'!$AX$5&lt;&gt;"",IF('POINTAGE'!AX55="Présent",'POINTAGE'!AY55,0),0),IF('POINTAGE'!$AZ$5&lt;&gt;"",IF('POINTAGE'!AZ55="Présent",'POINTAGE'!BA55,0),0),IF('POINTAGE'!$BB$5&lt;&gt;"",IF('POINTAGE'!BB55="Présent",'POINTAGE'!BC55,0),0),IF('POINTAGE'!$BD$5&lt;&gt;"",IF('POINTAGE'!BD55="Présent",'POINTAGE'!BE55,0),0),IF('POINTAGE'!$BF$5&lt;&gt;"",IF('POINTAGE'!BF55="Présent",'POINTAGE'!BG55,0),0),IF('POINTAGE'!$BH$5&lt;&gt;"",IF('POINTAGE'!BH55="Présent",'POINTAGE'!BI55,0),0),IF('POINTAGE'!$BJ$5&lt;&gt;"",IF('POINTAGE'!BJ55="Présent",'POINTAGE'!BK55,0),0),IF('POINTAGE'!$BL$5&lt;&gt;"",IF('POINTAGE'!BL55="Présent",'POINTAGE'!BM55,0),0)))</f>
      </c>
      <c r="Q55" s="24">
        <f>IF($A55="","",$N55*$D55)</f>
      </c>
      <c r="R55" s="24">
        <f>IF($A55="","",$P55*$E55)</f>
      </c>
      <c r="S55" s="25">
        <f>IF($A55="","",$Q55+$R55)</f>
      </c>
      <c r="T55" s="18"/>
      <c r="U55" s="25">
        <f>IF($A55="","",MAX(0,$S55-$T55))</f>
      </c>
      <c r="V55" s="25">
        <f>IF($A55="","",$K55+$S55)</f>
      </c>
      <c r="W55" s="24">
        <f>IF($A55="","",$L55+$T55)</f>
      </c>
      <c r="X55" s="25">
        <f>IF($A55="","",$M55+$U55)</f>
      </c>
      <c r="Y55" s="29">
        <f>IF($A55="","",$J55+$R55)</f>
      </c>
    </row>
    <row r="56">
      <c r="A56" s="20">
        <f>IF('POINTAGE'!A56="","",'POINTAGE'!A56)</f>
      </c>
      <c r="B56" s="19">
        <f>IF($A56="","",'POINTAGE'!B56)</f>
      </c>
      <c r="C56" s="20">
        <f>IF($A56="","",'POINTAGE'!C56)</f>
      </c>
      <c r="D56" s="24">
        <f>IF($A56="","",IFERROR(INDEX(Categories_Salaire,MATCH($C56,ListeCategories,0)),0))</f>
      </c>
      <c r="E56" s="24">
        <f>IF($A56="","",IF(IFERROR(INDEX(Categories_TauxHS,MATCH($C56,ListeCategories,0)),0)&gt;0,IFERROR(INDEX(Categories_TauxHS,MATCH($C56,ListeCategories,0)),0),TauxHSDefaut))</f>
      </c>
      <c r="F56" s="22">
        <f>IF($A56="","",SUM(IF('POINTAGE'!$D$5&lt;&gt;"",--('POINTAGE'!D56="Présent"),0),IF('POINTAGE'!$F$5&lt;&gt;"",--('POINTAGE'!F56="Présent"),0),IF('POINTAGE'!$H$5&lt;&gt;"",--('POINTAGE'!H56="Présent"),0),IF('POINTAGE'!$J$5&lt;&gt;"",--('POINTAGE'!J56="Présent"),0),IF('POINTAGE'!$L$5&lt;&gt;"",--('POINTAGE'!L56="Présent"),0),IF('POINTAGE'!$N$5&lt;&gt;"",--('POINTAGE'!N56="Présent"),0),IF('POINTAGE'!$P$5&lt;&gt;"",--('POINTAGE'!P56="Présent"),0),IF('POINTAGE'!$R$5&lt;&gt;"",--('POINTAGE'!R56="Présent"),0),IF('POINTAGE'!$T$5&lt;&gt;"",--('POINTAGE'!T56="Présent"),0),IF('POINTAGE'!$V$5&lt;&gt;"",--('POINTAGE'!V56="Présent"),0),IF('POINTAGE'!$X$5&lt;&gt;"",--('POINTAGE'!X56="Présent"),0),IF('POINTAGE'!$Z$5&lt;&gt;"",--('POINTAGE'!Z56="Présent"),0),IF('POINTAGE'!$AB$5&lt;&gt;"",--('POINTAGE'!AB56="Présent"),0),IF('POINTAGE'!$AD$5&lt;&gt;"",--('POINTAGE'!AD56="Présent"),0),IF('POINTAGE'!$AF$5&lt;&gt;"",--('POINTAGE'!AF56="Présent"),0)))</f>
      </c>
      <c r="G56" s="22">
        <f>IF($A56="","",SUM(IF('POINTAGE'!$D$5&lt;&gt;"",--('POINTAGE'!D56="Absent"),0),IF('POINTAGE'!$F$5&lt;&gt;"",--('POINTAGE'!F56="Absent"),0),IF('POINTAGE'!$H$5&lt;&gt;"",--('POINTAGE'!H56="Absent"),0),IF('POINTAGE'!$J$5&lt;&gt;"",--('POINTAGE'!J56="Absent"),0),IF('POINTAGE'!$L$5&lt;&gt;"",--('POINTAGE'!L56="Absent"),0),IF('POINTAGE'!$N$5&lt;&gt;"",--('POINTAGE'!N56="Absent"),0),IF('POINTAGE'!$P$5&lt;&gt;"",--('POINTAGE'!P56="Absent"),0),IF('POINTAGE'!$R$5&lt;&gt;"",--('POINTAGE'!R56="Absent"),0),IF('POINTAGE'!$T$5&lt;&gt;"",--('POINTAGE'!T56="Absent"),0),IF('POINTAGE'!$V$5&lt;&gt;"",--('POINTAGE'!V56="Absent"),0),IF('POINTAGE'!$X$5&lt;&gt;"",--('POINTAGE'!X56="Absent"),0),IF('POINTAGE'!$Z$5&lt;&gt;"",--('POINTAGE'!Z56="Absent"),0),IF('POINTAGE'!$AB$5&lt;&gt;"",--('POINTAGE'!AB56="Absent"),0),IF('POINTAGE'!$AD$5&lt;&gt;"",--('POINTAGE'!AD56="Absent"),0),IF('POINTAGE'!$AF$5&lt;&gt;"",--('POINTAGE'!AF56="Absent"),0)))</f>
      </c>
      <c r="H56" s="23">
        <f>IF($A56="","",SUM(IF('POINTAGE'!$D$5&lt;&gt;"",IF('POINTAGE'!D56="Présent",'POINTAGE'!E56,0),0),IF('POINTAGE'!$F$5&lt;&gt;"",IF('POINTAGE'!F56="Présent",'POINTAGE'!G56,0),0),IF('POINTAGE'!$H$5&lt;&gt;"",IF('POINTAGE'!H56="Présent",'POINTAGE'!I56,0),0),IF('POINTAGE'!$J$5&lt;&gt;"",IF('POINTAGE'!J56="Présent",'POINTAGE'!K56,0),0),IF('POINTAGE'!$L$5&lt;&gt;"",IF('POINTAGE'!L56="Présent",'POINTAGE'!M56,0),0),IF('POINTAGE'!$N$5&lt;&gt;"",IF('POINTAGE'!N56="Présent",'POINTAGE'!O56,0),0),IF('POINTAGE'!$P$5&lt;&gt;"",IF('POINTAGE'!P56="Présent",'POINTAGE'!Q56,0),0),IF('POINTAGE'!$R$5&lt;&gt;"",IF('POINTAGE'!R56="Présent",'POINTAGE'!S56,0),0),IF('POINTAGE'!$T$5&lt;&gt;"",IF('POINTAGE'!T56="Présent",'POINTAGE'!U56,0),0),IF('POINTAGE'!$V$5&lt;&gt;"",IF('POINTAGE'!V56="Présent",'POINTAGE'!W56,0),0),IF('POINTAGE'!$X$5&lt;&gt;"",IF('POINTAGE'!X56="Présent",'POINTAGE'!Y56,0),0),IF('POINTAGE'!$Z$5&lt;&gt;"",IF('POINTAGE'!Z56="Présent",'POINTAGE'!AA56,0),0),IF('POINTAGE'!$AB$5&lt;&gt;"",IF('POINTAGE'!AB56="Présent",'POINTAGE'!AC56,0),0),IF('POINTAGE'!$AD$5&lt;&gt;"",IF('POINTAGE'!AD56="Présent",'POINTAGE'!AE56,0),0),IF('POINTAGE'!$AF$5&lt;&gt;"",IF('POINTAGE'!AF56="Présent",'POINTAGE'!AG56,0),0)))</f>
      </c>
      <c r="I56" s="24">
        <f>IF($A56="","",$F56*$D56)</f>
      </c>
      <c r="J56" s="24">
        <f>IF($A56="","",$H56*$E56)</f>
      </c>
      <c r="K56" s="25">
        <f>IF($A56="","",$I56+$J56)</f>
      </c>
      <c r="L56" s="18"/>
      <c r="M56" s="25">
        <f>IF($A56="","",MAX(0,$K56-$L56))</f>
      </c>
      <c r="N56" s="22">
        <f>IF($A56="","",SUM(IF('POINTAGE'!$AH$5&lt;&gt;"",--('POINTAGE'!AH56="Présent"),0),IF('POINTAGE'!$AJ$5&lt;&gt;"",--('POINTAGE'!AJ56="Présent"),0),IF('POINTAGE'!$AL$5&lt;&gt;"",--('POINTAGE'!AL56="Présent"),0),IF('POINTAGE'!$AN$5&lt;&gt;"",--('POINTAGE'!AN56="Présent"),0),IF('POINTAGE'!$AP$5&lt;&gt;"",--('POINTAGE'!AP56="Présent"),0),IF('POINTAGE'!$AR$5&lt;&gt;"",--('POINTAGE'!AR56="Présent"),0),IF('POINTAGE'!$AT$5&lt;&gt;"",--('POINTAGE'!AT56="Présent"),0),IF('POINTAGE'!$AV$5&lt;&gt;"",--('POINTAGE'!AV56="Présent"),0),IF('POINTAGE'!$AX$5&lt;&gt;"",--('POINTAGE'!AX56="Présent"),0),IF('POINTAGE'!$AZ$5&lt;&gt;"",--('POINTAGE'!AZ56="Présent"),0),IF('POINTAGE'!$BB$5&lt;&gt;"",--('POINTAGE'!BB56="Présent"),0),IF('POINTAGE'!$BD$5&lt;&gt;"",--('POINTAGE'!BD56="Présent"),0),IF('POINTAGE'!$BF$5&lt;&gt;"",--('POINTAGE'!BF56="Présent"),0),IF('POINTAGE'!$BH$5&lt;&gt;"",--('POINTAGE'!BH56="Présent"),0),IF('POINTAGE'!$BJ$5&lt;&gt;"",--('POINTAGE'!BJ56="Présent"),0),IF('POINTAGE'!$BL$5&lt;&gt;"",--('POINTAGE'!BL56="Présent"),0)))</f>
      </c>
      <c r="O56" s="22">
        <f>IF($A56="","",SUM(IF('POINTAGE'!$AH$5&lt;&gt;"",--('POINTAGE'!AH56="Absent"),0),IF('POINTAGE'!$AJ$5&lt;&gt;"",--('POINTAGE'!AJ56="Absent"),0),IF('POINTAGE'!$AL$5&lt;&gt;"",--('POINTAGE'!AL56="Absent"),0),IF('POINTAGE'!$AN$5&lt;&gt;"",--('POINTAGE'!AN56="Absent"),0),IF('POINTAGE'!$AP$5&lt;&gt;"",--('POINTAGE'!AP56="Absent"),0),IF('POINTAGE'!$AR$5&lt;&gt;"",--('POINTAGE'!AR56="Absent"),0),IF('POINTAGE'!$AT$5&lt;&gt;"",--('POINTAGE'!AT56="Absent"),0),IF('POINTAGE'!$AV$5&lt;&gt;"",--('POINTAGE'!AV56="Absent"),0),IF('POINTAGE'!$AX$5&lt;&gt;"",--('POINTAGE'!AX56="Absent"),0),IF('POINTAGE'!$AZ$5&lt;&gt;"",--('POINTAGE'!AZ56="Absent"),0),IF('POINTAGE'!$BB$5&lt;&gt;"",--('POINTAGE'!BB56="Absent"),0),IF('POINTAGE'!$BD$5&lt;&gt;"",--('POINTAGE'!BD56="Absent"),0),IF('POINTAGE'!$BF$5&lt;&gt;"",--('POINTAGE'!BF56="Absent"),0),IF('POINTAGE'!$BH$5&lt;&gt;"",--('POINTAGE'!BH56="Absent"),0),IF('POINTAGE'!$BJ$5&lt;&gt;"",--('POINTAGE'!BJ56="Absent"),0),IF('POINTAGE'!$BL$5&lt;&gt;"",--('POINTAGE'!BL56="Absent"),0)))</f>
      </c>
      <c r="P56" s="23">
        <f>IF($A56="","",SUM(IF('POINTAGE'!$AH$5&lt;&gt;"",IF('POINTAGE'!AH56="Présent",'POINTAGE'!AI56,0),0),IF('POINTAGE'!$AJ$5&lt;&gt;"",IF('POINTAGE'!AJ56="Présent",'POINTAGE'!AK56,0),0),IF('POINTAGE'!$AL$5&lt;&gt;"",IF('POINTAGE'!AL56="Présent",'POINTAGE'!AM56,0),0),IF('POINTAGE'!$AN$5&lt;&gt;"",IF('POINTAGE'!AN56="Présent",'POINTAGE'!AO56,0),0),IF('POINTAGE'!$AP$5&lt;&gt;"",IF('POINTAGE'!AP56="Présent",'POINTAGE'!AQ56,0),0),IF('POINTAGE'!$AR$5&lt;&gt;"",IF('POINTAGE'!AR56="Présent",'POINTAGE'!AS56,0),0),IF('POINTAGE'!$AT$5&lt;&gt;"",IF('POINTAGE'!AT56="Présent",'POINTAGE'!AU56,0),0),IF('POINTAGE'!$AV$5&lt;&gt;"",IF('POINTAGE'!AV56="Présent",'POINTAGE'!AW56,0),0),IF('POINTAGE'!$AX$5&lt;&gt;"",IF('POINTAGE'!AX56="Présent",'POINTAGE'!AY56,0),0),IF('POINTAGE'!$AZ$5&lt;&gt;"",IF('POINTAGE'!AZ56="Présent",'POINTAGE'!BA56,0),0),IF('POINTAGE'!$BB$5&lt;&gt;"",IF('POINTAGE'!BB56="Présent",'POINTAGE'!BC56,0),0),IF('POINTAGE'!$BD$5&lt;&gt;"",IF('POINTAGE'!BD56="Présent",'POINTAGE'!BE56,0),0),IF('POINTAGE'!$BF$5&lt;&gt;"",IF('POINTAGE'!BF56="Présent",'POINTAGE'!BG56,0),0),IF('POINTAGE'!$BH$5&lt;&gt;"",IF('POINTAGE'!BH56="Présent",'POINTAGE'!BI56,0),0),IF('POINTAGE'!$BJ$5&lt;&gt;"",IF('POINTAGE'!BJ56="Présent",'POINTAGE'!BK56,0),0),IF('POINTAGE'!$BL$5&lt;&gt;"",IF('POINTAGE'!BL56="Présent",'POINTAGE'!BM56,0),0)))</f>
      </c>
      <c r="Q56" s="24">
        <f>IF($A56="","",$N56*$D56)</f>
      </c>
      <c r="R56" s="24">
        <f>IF($A56="","",$P56*$E56)</f>
      </c>
      <c r="S56" s="25">
        <f>IF($A56="","",$Q56+$R56)</f>
      </c>
      <c r="T56" s="18"/>
      <c r="U56" s="25">
        <f>IF($A56="","",MAX(0,$S56-$T56))</f>
      </c>
      <c r="V56" s="25">
        <f>IF($A56="","",$K56+$S56)</f>
      </c>
      <c r="W56" s="24">
        <f>IF($A56="","",$L56+$T56)</f>
      </c>
      <c r="X56" s="25">
        <f>IF($A56="","",$M56+$U56)</f>
      </c>
      <c r="Y56" s="29">
        <f>IF($A56="","",$J56+$R56)</f>
      </c>
    </row>
    <row r="57">
      <c r="A57" s="20">
        <f>IF('POINTAGE'!A57="","",'POINTAGE'!A57)</f>
      </c>
      <c r="B57" s="19">
        <f>IF($A57="","",'POINTAGE'!B57)</f>
      </c>
      <c r="C57" s="20">
        <f>IF($A57="","",'POINTAGE'!C57)</f>
      </c>
      <c r="D57" s="24">
        <f>IF($A57="","",IFERROR(INDEX(Categories_Salaire,MATCH($C57,ListeCategories,0)),0))</f>
      </c>
      <c r="E57" s="24">
        <f>IF($A57="","",IF(IFERROR(INDEX(Categories_TauxHS,MATCH($C57,ListeCategories,0)),0)&gt;0,IFERROR(INDEX(Categories_TauxHS,MATCH($C57,ListeCategories,0)),0),TauxHSDefaut))</f>
      </c>
      <c r="F57" s="22">
        <f>IF($A57="","",SUM(IF('POINTAGE'!$D$5&lt;&gt;"",--('POINTAGE'!D57="Présent"),0),IF('POINTAGE'!$F$5&lt;&gt;"",--('POINTAGE'!F57="Présent"),0),IF('POINTAGE'!$H$5&lt;&gt;"",--('POINTAGE'!H57="Présent"),0),IF('POINTAGE'!$J$5&lt;&gt;"",--('POINTAGE'!J57="Présent"),0),IF('POINTAGE'!$L$5&lt;&gt;"",--('POINTAGE'!L57="Présent"),0),IF('POINTAGE'!$N$5&lt;&gt;"",--('POINTAGE'!N57="Présent"),0),IF('POINTAGE'!$P$5&lt;&gt;"",--('POINTAGE'!P57="Présent"),0),IF('POINTAGE'!$R$5&lt;&gt;"",--('POINTAGE'!R57="Présent"),0),IF('POINTAGE'!$T$5&lt;&gt;"",--('POINTAGE'!T57="Présent"),0),IF('POINTAGE'!$V$5&lt;&gt;"",--('POINTAGE'!V57="Présent"),0),IF('POINTAGE'!$X$5&lt;&gt;"",--('POINTAGE'!X57="Présent"),0),IF('POINTAGE'!$Z$5&lt;&gt;"",--('POINTAGE'!Z57="Présent"),0),IF('POINTAGE'!$AB$5&lt;&gt;"",--('POINTAGE'!AB57="Présent"),0),IF('POINTAGE'!$AD$5&lt;&gt;"",--('POINTAGE'!AD57="Présent"),0),IF('POINTAGE'!$AF$5&lt;&gt;"",--('POINTAGE'!AF57="Présent"),0)))</f>
      </c>
      <c r="G57" s="22">
        <f>IF($A57="","",SUM(IF('POINTAGE'!$D$5&lt;&gt;"",--('POINTAGE'!D57="Absent"),0),IF('POINTAGE'!$F$5&lt;&gt;"",--('POINTAGE'!F57="Absent"),0),IF('POINTAGE'!$H$5&lt;&gt;"",--('POINTAGE'!H57="Absent"),0),IF('POINTAGE'!$J$5&lt;&gt;"",--('POINTAGE'!J57="Absent"),0),IF('POINTAGE'!$L$5&lt;&gt;"",--('POINTAGE'!L57="Absent"),0),IF('POINTAGE'!$N$5&lt;&gt;"",--('POINTAGE'!N57="Absent"),0),IF('POINTAGE'!$P$5&lt;&gt;"",--('POINTAGE'!P57="Absent"),0),IF('POINTAGE'!$R$5&lt;&gt;"",--('POINTAGE'!R57="Absent"),0),IF('POINTAGE'!$T$5&lt;&gt;"",--('POINTAGE'!T57="Absent"),0),IF('POINTAGE'!$V$5&lt;&gt;"",--('POINTAGE'!V57="Absent"),0),IF('POINTAGE'!$X$5&lt;&gt;"",--('POINTAGE'!X57="Absent"),0),IF('POINTAGE'!$Z$5&lt;&gt;"",--('POINTAGE'!Z57="Absent"),0),IF('POINTAGE'!$AB$5&lt;&gt;"",--('POINTAGE'!AB57="Absent"),0),IF('POINTAGE'!$AD$5&lt;&gt;"",--('POINTAGE'!AD57="Absent"),0),IF('POINTAGE'!$AF$5&lt;&gt;"",--('POINTAGE'!AF57="Absent"),0)))</f>
      </c>
      <c r="H57" s="23">
        <f>IF($A57="","",SUM(IF('POINTAGE'!$D$5&lt;&gt;"",IF('POINTAGE'!D57="Présent",'POINTAGE'!E57,0),0),IF('POINTAGE'!$F$5&lt;&gt;"",IF('POINTAGE'!F57="Présent",'POINTAGE'!G57,0),0),IF('POINTAGE'!$H$5&lt;&gt;"",IF('POINTAGE'!H57="Présent",'POINTAGE'!I57,0),0),IF('POINTAGE'!$J$5&lt;&gt;"",IF('POINTAGE'!J57="Présent",'POINTAGE'!K57,0),0),IF('POINTAGE'!$L$5&lt;&gt;"",IF('POINTAGE'!L57="Présent",'POINTAGE'!M57,0),0),IF('POINTAGE'!$N$5&lt;&gt;"",IF('POINTAGE'!N57="Présent",'POINTAGE'!O57,0),0),IF('POINTAGE'!$P$5&lt;&gt;"",IF('POINTAGE'!P57="Présent",'POINTAGE'!Q57,0),0),IF('POINTAGE'!$R$5&lt;&gt;"",IF('POINTAGE'!R57="Présent",'POINTAGE'!S57,0),0),IF('POINTAGE'!$T$5&lt;&gt;"",IF('POINTAGE'!T57="Présent",'POINTAGE'!U57,0),0),IF('POINTAGE'!$V$5&lt;&gt;"",IF('POINTAGE'!V57="Présent",'POINTAGE'!W57,0),0),IF('POINTAGE'!$X$5&lt;&gt;"",IF('POINTAGE'!X57="Présent",'POINTAGE'!Y57,0),0),IF('POINTAGE'!$Z$5&lt;&gt;"",IF('POINTAGE'!Z57="Présent",'POINTAGE'!AA57,0),0),IF('POINTAGE'!$AB$5&lt;&gt;"",IF('POINTAGE'!AB57="Présent",'POINTAGE'!AC57,0),0),IF('POINTAGE'!$AD$5&lt;&gt;"",IF('POINTAGE'!AD57="Présent",'POINTAGE'!AE57,0),0),IF('POINTAGE'!$AF$5&lt;&gt;"",IF('POINTAGE'!AF57="Présent",'POINTAGE'!AG57,0),0)))</f>
      </c>
      <c r="I57" s="24">
        <f>IF($A57="","",$F57*$D57)</f>
      </c>
      <c r="J57" s="24">
        <f>IF($A57="","",$H57*$E57)</f>
      </c>
      <c r="K57" s="25">
        <f>IF($A57="","",$I57+$J57)</f>
      </c>
      <c r="L57" s="18"/>
      <c r="M57" s="25">
        <f>IF($A57="","",MAX(0,$K57-$L57))</f>
      </c>
      <c r="N57" s="22">
        <f>IF($A57="","",SUM(IF('POINTAGE'!$AH$5&lt;&gt;"",--('POINTAGE'!AH57="Présent"),0),IF('POINTAGE'!$AJ$5&lt;&gt;"",--('POINTAGE'!AJ57="Présent"),0),IF('POINTAGE'!$AL$5&lt;&gt;"",--('POINTAGE'!AL57="Présent"),0),IF('POINTAGE'!$AN$5&lt;&gt;"",--('POINTAGE'!AN57="Présent"),0),IF('POINTAGE'!$AP$5&lt;&gt;"",--('POINTAGE'!AP57="Présent"),0),IF('POINTAGE'!$AR$5&lt;&gt;"",--('POINTAGE'!AR57="Présent"),0),IF('POINTAGE'!$AT$5&lt;&gt;"",--('POINTAGE'!AT57="Présent"),0),IF('POINTAGE'!$AV$5&lt;&gt;"",--('POINTAGE'!AV57="Présent"),0),IF('POINTAGE'!$AX$5&lt;&gt;"",--('POINTAGE'!AX57="Présent"),0),IF('POINTAGE'!$AZ$5&lt;&gt;"",--('POINTAGE'!AZ57="Présent"),0),IF('POINTAGE'!$BB$5&lt;&gt;"",--('POINTAGE'!BB57="Présent"),0),IF('POINTAGE'!$BD$5&lt;&gt;"",--('POINTAGE'!BD57="Présent"),0),IF('POINTAGE'!$BF$5&lt;&gt;"",--('POINTAGE'!BF57="Présent"),0),IF('POINTAGE'!$BH$5&lt;&gt;"",--('POINTAGE'!BH57="Présent"),0),IF('POINTAGE'!$BJ$5&lt;&gt;"",--('POINTAGE'!BJ57="Présent"),0),IF('POINTAGE'!$BL$5&lt;&gt;"",--('POINTAGE'!BL57="Présent"),0)))</f>
      </c>
      <c r="O57" s="22">
        <f>IF($A57="","",SUM(IF('POINTAGE'!$AH$5&lt;&gt;"",--('POINTAGE'!AH57="Absent"),0),IF('POINTAGE'!$AJ$5&lt;&gt;"",--('POINTAGE'!AJ57="Absent"),0),IF('POINTAGE'!$AL$5&lt;&gt;"",--('POINTAGE'!AL57="Absent"),0),IF('POINTAGE'!$AN$5&lt;&gt;"",--('POINTAGE'!AN57="Absent"),0),IF('POINTAGE'!$AP$5&lt;&gt;"",--('POINTAGE'!AP57="Absent"),0),IF('POINTAGE'!$AR$5&lt;&gt;"",--('POINTAGE'!AR57="Absent"),0),IF('POINTAGE'!$AT$5&lt;&gt;"",--('POINTAGE'!AT57="Absent"),0),IF('POINTAGE'!$AV$5&lt;&gt;"",--('POINTAGE'!AV57="Absent"),0),IF('POINTAGE'!$AX$5&lt;&gt;"",--('POINTAGE'!AX57="Absent"),0),IF('POINTAGE'!$AZ$5&lt;&gt;"",--('POINTAGE'!AZ57="Absent"),0),IF('POINTAGE'!$BB$5&lt;&gt;"",--('POINTAGE'!BB57="Absent"),0),IF('POINTAGE'!$BD$5&lt;&gt;"",--('POINTAGE'!BD57="Absent"),0),IF('POINTAGE'!$BF$5&lt;&gt;"",--('POINTAGE'!BF57="Absent"),0),IF('POINTAGE'!$BH$5&lt;&gt;"",--('POINTAGE'!BH57="Absent"),0),IF('POINTAGE'!$BJ$5&lt;&gt;"",--('POINTAGE'!BJ57="Absent"),0),IF('POINTAGE'!$BL$5&lt;&gt;"",--('POINTAGE'!BL57="Absent"),0)))</f>
      </c>
      <c r="P57" s="23">
        <f>IF($A57="","",SUM(IF('POINTAGE'!$AH$5&lt;&gt;"",IF('POINTAGE'!AH57="Présent",'POINTAGE'!AI57,0),0),IF('POINTAGE'!$AJ$5&lt;&gt;"",IF('POINTAGE'!AJ57="Présent",'POINTAGE'!AK57,0),0),IF('POINTAGE'!$AL$5&lt;&gt;"",IF('POINTAGE'!AL57="Présent",'POINTAGE'!AM57,0),0),IF('POINTAGE'!$AN$5&lt;&gt;"",IF('POINTAGE'!AN57="Présent",'POINTAGE'!AO57,0),0),IF('POINTAGE'!$AP$5&lt;&gt;"",IF('POINTAGE'!AP57="Présent",'POINTAGE'!AQ57,0),0),IF('POINTAGE'!$AR$5&lt;&gt;"",IF('POINTAGE'!AR57="Présent",'POINTAGE'!AS57,0),0),IF('POINTAGE'!$AT$5&lt;&gt;"",IF('POINTAGE'!AT57="Présent",'POINTAGE'!AU57,0),0),IF('POINTAGE'!$AV$5&lt;&gt;"",IF('POINTAGE'!AV57="Présent",'POINTAGE'!AW57,0),0),IF('POINTAGE'!$AX$5&lt;&gt;"",IF('POINTAGE'!AX57="Présent",'POINTAGE'!AY57,0),0),IF('POINTAGE'!$AZ$5&lt;&gt;"",IF('POINTAGE'!AZ57="Présent",'POINTAGE'!BA57,0),0),IF('POINTAGE'!$BB$5&lt;&gt;"",IF('POINTAGE'!BB57="Présent",'POINTAGE'!BC57,0),0),IF('POINTAGE'!$BD$5&lt;&gt;"",IF('POINTAGE'!BD57="Présent",'POINTAGE'!BE57,0),0),IF('POINTAGE'!$BF$5&lt;&gt;"",IF('POINTAGE'!BF57="Présent",'POINTAGE'!BG57,0),0),IF('POINTAGE'!$BH$5&lt;&gt;"",IF('POINTAGE'!BH57="Présent",'POINTAGE'!BI57,0),0),IF('POINTAGE'!$BJ$5&lt;&gt;"",IF('POINTAGE'!BJ57="Présent",'POINTAGE'!BK57,0),0),IF('POINTAGE'!$BL$5&lt;&gt;"",IF('POINTAGE'!BL57="Présent",'POINTAGE'!BM57,0),0)))</f>
      </c>
      <c r="Q57" s="24">
        <f>IF($A57="","",$N57*$D57)</f>
      </c>
      <c r="R57" s="24">
        <f>IF($A57="","",$P57*$E57)</f>
      </c>
      <c r="S57" s="25">
        <f>IF($A57="","",$Q57+$R57)</f>
      </c>
      <c r="T57" s="18"/>
      <c r="U57" s="25">
        <f>IF($A57="","",MAX(0,$S57-$T57))</f>
      </c>
      <c r="V57" s="25">
        <f>IF($A57="","",$K57+$S57)</f>
      </c>
      <c r="W57" s="24">
        <f>IF($A57="","",$L57+$T57)</f>
      </c>
      <c r="X57" s="25">
        <f>IF($A57="","",$M57+$U57)</f>
      </c>
      <c r="Y57" s="29">
        <f>IF($A57="","",$J57+$R57)</f>
      </c>
    </row>
    <row r="58">
      <c r="A58" s="20">
        <f>IF('POINTAGE'!A58="","",'POINTAGE'!A58)</f>
      </c>
      <c r="B58" s="19">
        <f>IF($A58="","",'POINTAGE'!B58)</f>
      </c>
      <c r="C58" s="20">
        <f>IF($A58="","",'POINTAGE'!C58)</f>
      </c>
      <c r="D58" s="24">
        <f>IF($A58="","",IFERROR(INDEX(Categories_Salaire,MATCH($C58,ListeCategories,0)),0))</f>
      </c>
      <c r="E58" s="24">
        <f>IF($A58="","",IF(IFERROR(INDEX(Categories_TauxHS,MATCH($C58,ListeCategories,0)),0)&gt;0,IFERROR(INDEX(Categories_TauxHS,MATCH($C58,ListeCategories,0)),0),TauxHSDefaut))</f>
      </c>
      <c r="F58" s="22">
        <f>IF($A58="","",SUM(IF('POINTAGE'!$D$5&lt;&gt;"",--('POINTAGE'!D58="Présent"),0),IF('POINTAGE'!$F$5&lt;&gt;"",--('POINTAGE'!F58="Présent"),0),IF('POINTAGE'!$H$5&lt;&gt;"",--('POINTAGE'!H58="Présent"),0),IF('POINTAGE'!$J$5&lt;&gt;"",--('POINTAGE'!J58="Présent"),0),IF('POINTAGE'!$L$5&lt;&gt;"",--('POINTAGE'!L58="Présent"),0),IF('POINTAGE'!$N$5&lt;&gt;"",--('POINTAGE'!N58="Présent"),0),IF('POINTAGE'!$P$5&lt;&gt;"",--('POINTAGE'!P58="Présent"),0),IF('POINTAGE'!$R$5&lt;&gt;"",--('POINTAGE'!R58="Présent"),0),IF('POINTAGE'!$T$5&lt;&gt;"",--('POINTAGE'!T58="Présent"),0),IF('POINTAGE'!$V$5&lt;&gt;"",--('POINTAGE'!V58="Présent"),0),IF('POINTAGE'!$X$5&lt;&gt;"",--('POINTAGE'!X58="Présent"),0),IF('POINTAGE'!$Z$5&lt;&gt;"",--('POINTAGE'!Z58="Présent"),0),IF('POINTAGE'!$AB$5&lt;&gt;"",--('POINTAGE'!AB58="Présent"),0),IF('POINTAGE'!$AD$5&lt;&gt;"",--('POINTAGE'!AD58="Présent"),0),IF('POINTAGE'!$AF$5&lt;&gt;"",--('POINTAGE'!AF58="Présent"),0)))</f>
      </c>
      <c r="G58" s="22">
        <f>IF($A58="","",SUM(IF('POINTAGE'!$D$5&lt;&gt;"",--('POINTAGE'!D58="Absent"),0),IF('POINTAGE'!$F$5&lt;&gt;"",--('POINTAGE'!F58="Absent"),0),IF('POINTAGE'!$H$5&lt;&gt;"",--('POINTAGE'!H58="Absent"),0),IF('POINTAGE'!$J$5&lt;&gt;"",--('POINTAGE'!J58="Absent"),0),IF('POINTAGE'!$L$5&lt;&gt;"",--('POINTAGE'!L58="Absent"),0),IF('POINTAGE'!$N$5&lt;&gt;"",--('POINTAGE'!N58="Absent"),0),IF('POINTAGE'!$P$5&lt;&gt;"",--('POINTAGE'!P58="Absent"),0),IF('POINTAGE'!$R$5&lt;&gt;"",--('POINTAGE'!R58="Absent"),0),IF('POINTAGE'!$T$5&lt;&gt;"",--('POINTAGE'!T58="Absent"),0),IF('POINTAGE'!$V$5&lt;&gt;"",--('POINTAGE'!V58="Absent"),0),IF('POINTAGE'!$X$5&lt;&gt;"",--('POINTAGE'!X58="Absent"),0),IF('POINTAGE'!$Z$5&lt;&gt;"",--('POINTAGE'!Z58="Absent"),0),IF('POINTAGE'!$AB$5&lt;&gt;"",--('POINTAGE'!AB58="Absent"),0),IF('POINTAGE'!$AD$5&lt;&gt;"",--('POINTAGE'!AD58="Absent"),0),IF('POINTAGE'!$AF$5&lt;&gt;"",--('POINTAGE'!AF58="Absent"),0)))</f>
      </c>
      <c r="H58" s="23">
        <f>IF($A58="","",SUM(IF('POINTAGE'!$D$5&lt;&gt;"",IF('POINTAGE'!D58="Présent",'POINTAGE'!E58,0),0),IF('POINTAGE'!$F$5&lt;&gt;"",IF('POINTAGE'!F58="Présent",'POINTAGE'!G58,0),0),IF('POINTAGE'!$H$5&lt;&gt;"",IF('POINTAGE'!H58="Présent",'POINTAGE'!I58,0),0),IF('POINTAGE'!$J$5&lt;&gt;"",IF('POINTAGE'!J58="Présent",'POINTAGE'!K58,0),0),IF('POINTAGE'!$L$5&lt;&gt;"",IF('POINTAGE'!L58="Présent",'POINTAGE'!M58,0),0),IF('POINTAGE'!$N$5&lt;&gt;"",IF('POINTAGE'!N58="Présent",'POINTAGE'!O58,0),0),IF('POINTAGE'!$P$5&lt;&gt;"",IF('POINTAGE'!P58="Présent",'POINTAGE'!Q58,0),0),IF('POINTAGE'!$R$5&lt;&gt;"",IF('POINTAGE'!R58="Présent",'POINTAGE'!S58,0),0),IF('POINTAGE'!$T$5&lt;&gt;"",IF('POINTAGE'!T58="Présent",'POINTAGE'!U58,0),0),IF('POINTAGE'!$V$5&lt;&gt;"",IF('POINTAGE'!V58="Présent",'POINTAGE'!W58,0),0),IF('POINTAGE'!$X$5&lt;&gt;"",IF('POINTAGE'!X58="Présent",'POINTAGE'!Y58,0),0),IF('POINTAGE'!$Z$5&lt;&gt;"",IF('POINTAGE'!Z58="Présent",'POINTAGE'!AA58,0),0),IF('POINTAGE'!$AB$5&lt;&gt;"",IF('POINTAGE'!AB58="Présent",'POINTAGE'!AC58,0),0),IF('POINTAGE'!$AD$5&lt;&gt;"",IF('POINTAGE'!AD58="Présent",'POINTAGE'!AE58,0),0),IF('POINTAGE'!$AF$5&lt;&gt;"",IF('POINTAGE'!AF58="Présent",'POINTAGE'!AG58,0),0)))</f>
      </c>
      <c r="I58" s="24">
        <f>IF($A58="","",$F58*$D58)</f>
      </c>
      <c r="J58" s="24">
        <f>IF($A58="","",$H58*$E58)</f>
      </c>
      <c r="K58" s="25">
        <f>IF($A58="","",$I58+$J58)</f>
      </c>
      <c r="L58" s="18"/>
      <c r="M58" s="25">
        <f>IF($A58="","",MAX(0,$K58-$L58))</f>
      </c>
      <c r="N58" s="22">
        <f>IF($A58="","",SUM(IF('POINTAGE'!$AH$5&lt;&gt;"",--('POINTAGE'!AH58="Présent"),0),IF('POINTAGE'!$AJ$5&lt;&gt;"",--('POINTAGE'!AJ58="Présent"),0),IF('POINTAGE'!$AL$5&lt;&gt;"",--('POINTAGE'!AL58="Présent"),0),IF('POINTAGE'!$AN$5&lt;&gt;"",--('POINTAGE'!AN58="Présent"),0),IF('POINTAGE'!$AP$5&lt;&gt;"",--('POINTAGE'!AP58="Présent"),0),IF('POINTAGE'!$AR$5&lt;&gt;"",--('POINTAGE'!AR58="Présent"),0),IF('POINTAGE'!$AT$5&lt;&gt;"",--('POINTAGE'!AT58="Présent"),0),IF('POINTAGE'!$AV$5&lt;&gt;"",--('POINTAGE'!AV58="Présent"),0),IF('POINTAGE'!$AX$5&lt;&gt;"",--('POINTAGE'!AX58="Présent"),0),IF('POINTAGE'!$AZ$5&lt;&gt;"",--('POINTAGE'!AZ58="Présent"),0),IF('POINTAGE'!$BB$5&lt;&gt;"",--('POINTAGE'!BB58="Présent"),0),IF('POINTAGE'!$BD$5&lt;&gt;"",--('POINTAGE'!BD58="Présent"),0),IF('POINTAGE'!$BF$5&lt;&gt;"",--('POINTAGE'!BF58="Présent"),0),IF('POINTAGE'!$BH$5&lt;&gt;"",--('POINTAGE'!BH58="Présent"),0),IF('POINTAGE'!$BJ$5&lt;&gt;"",--('POINTAGE'!BJ58="Présent"),0),IF('POINTAGE'!$BL$5&lt;&gt;"",--('POINTAGE'!BL58="Présent"),0)))</f>
      </c>
      <c r="O58" s="22">
        <f>IF($A58="","",SUM(IF('POINTAGE'!$AH$5&lt;&gt;"",--('POINTAGE'!AH58="Absent"),0),IF('POINTAGE'!$AJ$5&lt;&gt;"",--('POINTAGE'!AJ58="Absent"),0),IF('POINTAGE'!$AL$5&lt;&gt;"",--('POINTAGE'!AL58="Absent"),0),IF('POINTAGE'!$AN$5&lt;&gt;"",--('POINTAGE'!AN58="Absent"),0),IF('POINTAGE'!$AP$5&lt;&gt;"",--('POINTAGE'!AP58="Absent"),0),IF('POINTAGE'!$AR$5&lt;&gt;"",--('POINTAGE'!AR58="Absent"),0),IF('POINTAGE'!$AT$5&lt;&gt;"",--('POINTAGE'!AT58="Absent"),0),IF('POINTAGE'!$AV$5&lt;&gt;"",--('POINTAGE'!AV58="Absent"),0),IF('POINTAGE'!$AX$5&lt;&gt;"",--('POINTAGE'!AX58="Absent"),0),IF('POINTAGE'!$AZ$5&lt;&gt;"",--('POINTAGE'!AZ58="Absent"),0),IF('POINTAGE'!$BB$5&lt;&gt;"",--('POINTAGE'!BB58="Absent"),0),IF('POINTAGE'!$BD$5&lt;&gt;"",--('POINTAGE'!BD58="Absent"),0),IF('POINTAGE'!$BF$5&lt;&gt;"",--('POINTAGE'!BF58="Absent"),0),IF('POINTAGE'!$BH$5&lt;&gt;"",--('POINTAGE'!BH58="Absent"),0),IF('POINTAGE'!$BJ$5&lt;&gt;"",--('POINTAGE'!BJ58="Absent"),0),IF('POINTAGE'!$BL$5&lt;&gt;"",--('POINTAGE'!BL58="Absent"),0)))</f>
      </c>
      <c r="P58" s="23">
        <f>IF($A58="","",SUM(IF('POINTAGE'!$AH$5&lt;&gt;"",IF('POINTAGE'!AH58="Présent",'POINTAGE'!AI58,0),0),IF('POINTAGE'!$AJ$5&lt;&gt;"",IF('POINTAGE'!AJ58="Présent",'POINTAGE'!AK58,0),0),IF('POINTAGE'!$AL$5&lt;&gt;"",IF('POINTAGE'!AL58="Présent",'POINTAGE'!AM58,0),0),IF('POINTAGE'!$AN$5&lt;&gt;"",IF('POINTAGE'!AN58="Présent",'POINTAGE'!AO58,0),0),IF('POINTAGE'!$AP$5&lt;&gt;"",IF('POINTAGE'!AP58="Présent",'POINTAGE'!AQ58,0),0),IF('POINTAGE'!$AR$5&lt;&gt;"",IF('POINTAGE'!AR58="Présent",'POINTAGE'!AS58,0),0),IF('POINTAGE'!$AT$5&lt;&gt;"",IF('POINTAGE'!AT58="Présent",'POINTAGE'!AU58,0),0),IF('POINTAGE'!$AV$5&lt;&gt;"",IF('POINTAGE'!AV58="Présent",'POINTAGE'!AW58,0),0),IF('POINTAGE'!$AX$5&lt;&gt;"",IF('POINTAGE'!AX58="Présent",'POINTAGE'!AY58,0),0),IF('POINTAGE'!$AZ$5&lt;&gt;"",IF('POINTAGE'!AZ58="Présent",'POINTAGE'!BA58,0),0),IF('POINTAGE'!$BB$5&lt;&gt;"",IF('POINTAGE'!BB58="Présent",'POINTAGE'!BC58,0),0),IF('POINTAGE'!$BD$5&lt;&gt;"",IF('POINTAGE'!BD58="Présent",'POINTAGE'!BE58,0),0),IF('POINTAGE'!$BF$5&lt;&gt;"",IF('POINTAGE'!BF58="Présent",'POINTAGE'!BG58,0),0),IF('POINTAGE'!$BH$5&lt;&gt;"",IF('POINTAGE'!BH58="Présent",'POINTAGE'!BI58,0),0),IF('POINTAGE'!$BJ$5&lt;&gt;"",IF('POINTAGE'!BJ58="Présent",'POINTAGE'!BK58,0),0),IF('POINTAGE'!$BL$5&lt;&gt;"",IF('POINTAGE'!BL58="Présent",'POINTAGE'!BM58,0),0)))</f>
      </c>
      <c r="Q58" s="24">
        <f>IF($A58="","",$N58*$D58)</f>
      </c>
      <c r="R58" s="24">
        <f>IF($A58="","",$P58*$E58)</f>
      </c>
      <c r="S58" s="25">
        <f>IF($A58="","",$Q58+$R58)</f>
      </c>
      <c r="T58" s="18"/>
      <c r="U58" s="25">
        <f>IF($A58="","",MAX(0,$S58-$T58))</f>
      </c>
      <c r="V58" s="25">
        <f>IF($A58="","",$K58+$S58)</f>
      </c>
      <c r="W58" s="24">
        <f>IF($A58="","",$L58+$T58)</f>
      </c>
      <c r="X58" s="25">
        <f>IF($A58="","",$M58+$U58)</f>
      </c>
      <c r="Y58" s="29">
        <f>IF($A58="","",$J58+$R58)</f>
      </c>
    </row>
    <row r="59">
      <c r="A59" s="20">
        <f>IF('POINTAGE'!A59="","",'POINTAGE'!A59)</f>
      </c>
      <c r="B59" s="19">
        <f>IF($A59="","",'POINTAGE'!B59)</f>
      </c>
      <c r="C59" s="20">
        <f>IF($A59="","",'POINTAGE'!C59)</f>
      </c>
      <c r="D59" s="24">
        <f>IF($A59="","",IFERROR(INDEX(Categories_Salaire,MATCH($C59,ListeCategories,0)),0))</f>
      </c>
      <c r="E59" s="24">
        <f>IF($A59="","",IF(IFERROR(INDEX(Categories_TauxHS,MATCH($C59,ListeCategories,0)),0)&gt;0,IFERROR(INDEX(Categories_TauxHS,MATCH($C59,ListeCategories,0)),0),TauxHSDefaut))</f>
      </c>
      <c r="F59" s="22">
        <f>IF($A59="","",SUM(IF('POINTAGE'!$D$5&lt;&gt;"",--('POINTAGE'!D59="Présent"),0),IF('POINTAGE'!$F$5&lt;&gt;"",--('POINTAGE'!F59="Présent"),0),IF('POINTAGE'!$H$5&lt;&gt;"",--('POINTAGE'!H59="Présent"),0),IF('POINTAGE'!$J$5&lt;&gt;"",--('POINTAGE'!J59="Présent"),0),IF('POINTAGE'!$L$5&lt;&gt;"",--('POINTAGE'!L59="Présent"),0),IF('POINTAGE'!$N$5&lt;&gt;"",--('POINTAGE'!N59="Présent"),0),IF('POINTAGE'!$P$5&lt;&gt;"",--('POINTAGE'!P59="Présent"),0),IF('POINTAGE'!$R$5&lt;&gt;"",--('POINTAGE'!R59="Présent"),0),IF('POINTAGE'!$T$5&lt;&gt;"",--('POINTAGE'!T59="Présent"),0),IF('POINTAGE'!$V$5&lt;&gt;"",--('POINTAGE'!V59="Présent"),0),IF('POINTAGE'!$X$5&lt;&gt;"",--('POINTAGE'!X59="Présent"),0),IF('POINTAGE'!$Z$5&lt;&gt;"",--('POINTAGE'!Z59="Présent"),0),IF('POINTAGE'!$AB$5&lt;&gt;"",--('POINTAGE'!AB59="Présent"),0),IF('POINTAGE'!$AD$5&lt;&gt;"",--('POINTAGE'!AD59="Présent"),0),IF('POINTAGE'!$AF$5&lt;&gt;"",--('POINTAGE'!AF59="Présent"),0)))</f>
      </c>
      <c r="G59" s="22">
        <f>IF($A59="","",SUM(IF('POINTAGE'!$D$5&lt;&gt;"",--('POINTAGE'!D59="Absent"),0),IF('POINTAGE'!$F$5&lt;&gt;"",--('POINTAGE'!F59="Absent"),0),IF('POINTAGE'!$H$5&lt;&gt;"",--('POINTAGE'!H59="Absent"),0),IF('POINTAGE'!$J$5&lt;&gt;"",--('POINTAGE'!J59="Absent"),0),IF('POINTAGE'!$L$5&lt;&gt;"",--('POINTAGE'!L59="Absent"),0),IF('POINTAGE'!$N$5&lt;&gt;"",--('POINTAGE'!N59="Absent"),0),IF('POINTAGE'!$P$5&lt;&gt;"",--('POINTAGE'!P59="Absent"),0),IF('POINTAGE'!$R$5&lt;&gt;"",--('POINTAGE'!R59="Absent"),0),IF('POINTAGE'!$T$5&lt;&gt;"",--('POINTAGE'!T59="Absent"),0),IF('POINTAGE'!$V$5&lt;&gt;"",--('POINTAGE'!V59="Absent"),0),IF('POINTAGE'!$X$5&lt;&gt;"",--('POINTAGE'!X59="Absent"),0),IF('POINTAGE'!$Z$5&lt;&gt;"",--('POINTAGE'!Z59="Absent"),0),IF('POINTAGE'!$AB$5&lt;&gt;"",--('POINTAGE'!AB59="Absent"),0),IF('POINTAGE'!$AD$5&lt;&gt;"",--('POINTAGE'!AD59="Absent"),0),IF('POINTAGE'!$AF$5&lt;&gt;"",--('POINTAGE'!AF59="Absent"),0)))</f>
      </c>
      <c r="H59" s="23">
        <f>IF($A59="","",SUM(IF('POINTAGE'!$D$5&lt;&gt;"",IF('POINTAGE'!D59="Présent",'POINTAGE'!E59,0),0),IF('POINTAGE'!$F$5&lt;&gt;"",IF('POINTAGE'!F59="Présent",'POINTAGE'!G59,0),0),IF('POINTAGE'!$H$5&lt;&gt;"",IF('POINTAGE'!H59="Présent",'POINTAGE'!I59,0),0),IF('POINTAGE'!$J$5&lt;&gt;"",IF('POINTAGE'!J59="Présent",'POINTAGE'!K59,0),0),IF('POINTAGE'!$L$5&lt;&gt;"",IF('POINTAGE'!L59="Présent",'POINTAGE'!M59,0),0),IF('POINTAGE'!$N$5&lt;&gt;"",IF('POINTAGE'!N59="Présent",'POINTAGE'!O59,0),0),IF('POINTAGE'!$P$5&lt;&gt;"",IF('POINTAGE'!P59="Présent",'POINTAGE'!Q59,0),0),IF('POINTAGE'!$R$5&lt;&gt;"",IF('POINTAGE'!R59="Présent",'POINTAGE'!S59,0),0),IF('POINTAGE'!$T$5&lt;&gt;"",IF('POINTAGE'!T59="Présent",'POINTAGE'!U59,0),0),IF('POINTAGE'!$V$5&lt;&gt;"",IF('POINTAGE'!V59="Présent",'POINTAGE'!W59,0),0),IF('POINTAGE'!$X$5&lt;&gt;"",IF('POINTAGE'!X59="Présent",'POINTAGE'!Y59,0),0),IF('POINTAGE'!$Z$5&lt;&gt;"",IF('POINTAGE'!Z59="Présent",'POINTAGE'!AA59,0),0),IF('POINTAGE'!$AB$5&lt;&gt;"",IF('POINTAGE'!AB59="Présent",'POINTAGE'!AC59,0),0),IF('POINTAGE'!$AD$5&lt;&gt;"",IF('POINTAGE'!AD59="Présent",'POINTAGE'!AE59,0),0),IF('POINTAGE'!$AF$5&lt;&gt;"",IF('POINTAGE'!AF59="Présent",'POINTAGE'!AG59,0),0)))</f>
      </c>
      <c r="I59" s="24">
        <f>IF($A59="","",$F59*$D59)</f>
      </c>
      <c r="J59" s="24">
        <f>IF($A59="","",$H59*$E59)</f>
      </c>
      <c r="K59" s="25">
        <f>IF($A59="","",$I59+$J59)</f>
      </c>
      <c r="L59" s="18"/>
      <c r="M59" s="25">
        <f>IF($A59="","",MAX(0,$K59-$L59))</f>
      </c>
      <c r="N59" s="22">
        <f>IF($A59="","",SUM(IF('POINTAGE'!$AH$5&lt;&gt;"",--('POINTAGE'!AH59="Présent"),0),IF('POINTAGE'!$AJ$5&lt;&gt;"",--('POINTAGE'!AJ59="Présent"),0),IF('POINTAGE'!$AL$5&lt;&gt;"",--('POINTAGE'!AL59="Présent"),0),IF('POINTAGE'!$AN$5&lt;&gt;"",--('POINTAGE'!AN59="Présent"),0),IF('POINTAGE'!$AP$5&lt;&gt;"",--('POINTAGE'!AP59="Présent"),0),IF('POINTAGE'!$AR$5&lt;&gt;"",--('POINTAGE'!AR59="Présent"),0),IF('POINTAGE'!$AT$5&lt;&gt;"",--('POINTAGE'!AT59="Présent"),0),IF('POINTAGE'!$AV$5&lt;&gt;"",--('POINTAGE'!AV59="Présent"),0),IF('POINTAGE'!$AX$5&lt;&gt;"",--('POINTAGE'!AX59="Présent"),0),IF('POINTAGE'!$AZ$5&lt;&gt;"",--('POINTAGE'!AZ59="Présent"),0),IF('POINTAGE'!$BB$5&lt;&gt;"",--('POINTAGE'!BB59="Présent"),0),IF('POINTAGE'!$BD$5&lt;&gt;"",--('POINTAGE'!BD59="Présent"),0),IF('POINTAGE'!$BF$5&lt;&gt;"",--('POINTAGE'!BF59="Présent"),0),IF('POINTAGE'!$BH$5&lt;&gt;"",--('POINTAGE'!BH59="Présent"),0),IF('POINTAGE'!$BJ$5&lt;&gt;"",--('POINTAGE'!BJ59="Présent"),0),IF('POINTAGE'!$BL$5&lt;&gt;"",--('POINTAGE'!BL59="Présent"),0)))</f>
      </c>
      <c r="O59" s="22">
        <f>IF($A59="","",SUM(IF('POINTAGE'!$AH$5&lt;&gt;"",--('POINTAGE'!AH59="Absent"),0),IF('POINTAGE'!$AJ$5&lt;&gt;"",--('POINTAGE'!AJ59="Absent"),0),IF('POINTAGE'!$AL$5&lt;&gt;"",--('POINTAGE'!AL59="Absent"),0),IF('POINTAGE'!$AN$5&lt;&gt;"",--('POINTAGE'!AN59="Absent"),0),IF('POINTAGE'!$AP$5&lt;&gt;"",--('POINTAGE'!AP59="Absent"),0),IF('POINTAGE'!$AR$5&lt;&gt;"",--('POINTAGE'!AR59="Absent"),0),IF('POINTAGE'!$AT$5&lt;&gt;"",--('POINTAGE'!AT59="Absent"),0),IF('POINTAGE'!$AV$5&lt;&gt;"",--('POINTAGE'!AV59="Absent"),0),IF('POINTAGE'!$AX$5&lt;&gt;"",--('POINTAGE'!AX59="Absent"),0),IF('POINTAGE'!$AZ$5&lt;&gt;"",--('POINTAGE'!AZ59="Absent"),0),IF('POINTAGE'!$BB$5&lt;&gt;"",--('POINTAGE'!BB59="Absent"),0),IF('POINTAGE'!$BD$5&lt;&gt;"",--('POINTAGE'!BD59="Absent"),0),IF('POINTAGE'!$BF$5&lt;&gt;"",--('POINTAGE'!BF59="Absent"),0),IF('POINTAGE'!$BH$5&lt;&gt;"",--('POINTAGE'!BH59="Absent"),0),IF('POINTAGE'!$BJ$5&lt;&gt;"",--('POINTAGE'!BJ59="Absent"),0),IF('POINTAGE'!$BL$5&lt;&gt;"",--('POINTAGE'!BL59="Absent"),0)))</f>
      </c>
      <c r="P59" s="23">
        <f>IF($A59="","",SUM(IF('POINTAGE'!$AH$5&lt;&gt;"",IF('POINTAGE'!AH59="Présent",'POINTAGE'!AI59,0),0),IF('POINTAGE'!$AJ$5&lt;&gt;"",IF('POINTAGE'!AJ59="Présent",'POINTAGE'!AK59,0),0),IF('POINTAGE'!$AL$5&lt;&gt;"",IF('POINTAGE'!AL59="Présent",'POINTAGE'!AM59,0),0),IF('POINTAGE'!$AN$5&lt;&gt;"",IF('POINTAGE'!AN59="Présent",'POINTAGE'!AO59,0),0),IF('POINTAGE'!$AP$5&lt;&gt;"",IF('POINTAGE'!AP59="Présent",'POINTAGE'!AQ59,0),0),IF('POINTAGE'!$AR$5&lt;&gt;"",IF('POINTAGE'!AR59="Présent",'POINTAGE'!AS59,0),0),IF('POINTAGE'!$AT$5&lt;&gt;"",IF('POINTAGE'!AT59="Présent",'POINTAGE'!AU59,0),0),IF('POINTAGE'!$AV$5&lt;&gt;"",IF('POINTAGE'!AV59="Présent",'POINTAGE'!AW59,0),0),IF('POINTAGE'!$AX$5&lt;&gt;"",IF('POINTAGE'!AX59="Présent",'POINTAGE'!AY59,0),0),IF('POINTAGE'!$AZ$5&lt;&gt;"",IF('POINTAGE'!AZ59="Présent",'POINTAGE'!BA59,0),0),IF('POINTAGE'!$BB$5&lt;&gt;"",IF('POINTAGE'!BB59="Présent",'POINTAGE'!BC59,0),0),IF('POINTAGE'!$BD$5&lt;&gt;"",IF('POINTAGE'!BD59="Présent",'POINTAGE'!BE59,0),0),IF('POINTAGE'!$BF$5&lt;&gt;"",IF('POINTAGE'!BF59="Présent",'POINTAGE'!BG59,0),0),IF('POINTAGE'!$BH$5&lt;&gt;"",IF('POINTAGE'!BH59="Présent",'POINTAGE'!BI59,0),0),IF('POINTAGE'!$BJ$5&lt;&gt;"",IF('POINTAGE'!BJ59="Présent",'POINTAGE'!BK59,0),0),IF('POINTAGE'!$BL$5&lt;&gt;"",IF('POINTAGE'!BL59="Présent",'POINTAGE'!BM59,0),0)))</f>
      </c>
      <c r="Q59" s="24">
        <f>IF($A59="","",$N59*$D59)</f>
      </c>
      <c r="R59" s="24">
        <f>IF($A59="","",$P59*$E59)</f>
      </c>
      <c r="S59" s="25">
        <f>IF($A59="","",$Q59+$R59)</f>
      </c>
      <c r="T59" s="18"/>
      <c r="U59" s="25">
        <f>IF($A59="","",MAX(0,$S59-$T59))</f>
      </c>
      <c r="V59" s="25">
        <f>IF($A59="","",$K59+$S59)</f>
      </c>
      <c r="W59" s="24">
        <f>IF($A59="","",$L59+$T59)</f>
      </c>
      <c r="X59" s="25">
        <f>IF($A59="","",$M59+$U59)</f>
      </c>
      <c r="Y59" s="29">
        <f>IF($A59="","",$J59+$R59)</f>
      </c>
    </row>
    <row r="60">
      <c r="A60" s="20">
        <f>IF('POINTAGE'!A60="","",'POINTAGE'!A60)</f>
      </c>
      <c r="B60" s="19">
        <f>IF($A60="","",'POINTAGE'!B60)</f>
      </c>
      <c r="C60" s="20">
        <f>IF($A60="","",'POINTAGE'!C60)</f>
      </c>
      <c r="D60" s="24">
        <f>IF($A60="","",IFERROR(INDEX(Categories_Salaire,MATCH($C60,ListeCategories,0)),0))</f>
      </c>
      <c r="E60" s="24">
        <f>IF($A60="","",IF(IFERROR(INDEX(Categories_TauxHS,MATCH($C60,ListeCategories,0)),0)&gt;0,IFERROR(INDEX(Categories_TauxHS,MATCH($C60,ListeCategories,0)),0),TauxHSDefaut))</f>
      </c>
      <c r="F60" s="22">
        <f>IF($A60="","",SUM(IF('POINTAGE'!$D$5&lt;&gt;"",--('POINTAGE'!D60="Présent"),0),IF('POINTAGE'!$F$5&lt;&gt;"",--('POINTAGE'!F60="Présent"),0),IF('POINTAGE'!$H$5&lt;&gt;"",--('POINTAGE'!H60="Présent"),0),IF('POINTAGE'!$J$5&lt;&gt;"",--('POINTAGE'!J60="Présent"),0),IF('POINTAGE'!$L$5&lt;&gt;"",--('POINTAGE'!L60="Présent"),0),IF('POINTAGE'!$N$5&lt;&gt;"",--('POINTAGE'!N60="Présent"),0),IF('POINTAGE'!$P$5&lt;&gt;"",--('POINTAGE'!P60="Présent"),0),IF('POINTAGE'!$R$5&lt;&gt;"",--('POINTAGE'!R60="Présent"),0),IF('POINTAGE'!$T$5&lt;&gt;"",--('POINTAGE'!T60="Présent"),0),IF('POINTAGE'!$V$5&lt;&gt;"",--('POINTAGE'!V60="Présent"),0),IF('POINTAGE'!$X$5&lt;&gt;"",--('POINTAGE'!X60="Présent"),0),IF('POINTAGE'!$Z$5&lt;&gt;"",--('POINTAGE'!Z60="Présent"),0),IF('POINTAGE'!$AB$5&lt;&gt;"",--('POINTAGE'!AB60="Présent"),0),IF('POINTAGE'!$AD$5&lt;&gt;"",--('POINTAGE'!AD60="Présent"),0),IF('POINTAGE'!$AF$5&lt;&gt;"",--('POINTAGE'!AF60="Présent"),0)))</f>
      </c>
      <c r="G60" s="22">
        <f>IF($A60="","",SUM(IF('POINTAGE'!$D$5&lt;&gt;"",--('POINTAGE'!D60="Absent"),0),IF('POINTAGE'!$F$5&lt;&gt;"",--('POINTAGE'!F60="Absent"),0),IF('POINTAGE'!$H$5&lt;&gt;"",--('POINTAGE'!H60="Absent"),0),IF('POINTAGE'!$J$5&lt;&gt;"",--('POINTAGE'!J60="Absent"),0),IF('POINTAGE'!$L$5&lt;&gt;"",--('POINTAGE'!L60="Absent"),0),IF('POINTAGE'!$N$5&lt;&gt;"",--('POINTAGE'!N60="Absent"),0),IF('POINTAGE'!$P$5&lt;&gt;"",--('POINTAGE'!P60="Absent"),0),IF('POINTAGE'!$R$5&lt;&gt;"",--('POINTAGE'!R60="Absent"),0),IF('POINTAGE'!$T$5&lt;&gt;"",--('POINTAGE'!T60="Absent"),0),IF('POINTAGE'!$V$5&lt;&gt;"",--('POINTAGE'!V60="Absent"),0),IF('POINTAGE'!$X$5&lt;&gt;"",--('POINTAGE'!X60="Absent"),0),IF('POINTAGE'!$Z$5&lt;&gt;"",--('POINTAGE'!Z60="Absent"),0),IF('POINTAGE'!$AB$5&lt;&gt;"",--('POINTAGE'!AB60="Absent"),0),IF('POINTAGE'!$AD$5&lt;&gt;"",--('POINTAGE'!AD60="Absent"),0),IF('POINTAGE'!$AF$5&lt;&gt;"",--('POINTAGE'!AF60="Absent"),0)))</f>
      </c>
      <c r="H60" s="23">
        <f>IF($A60="","",SUM(IF('POINTAGE'!$D$5&lt;&gt;"",IF('POINTAGE'!D60="Présent",'POINTAGE'!E60,0),0),IF('POINTAGE'!$F$5&lt;&gt;"",IF('POINTAGE'!F60="Présent",'POINTAGE'!G60,0),0),IF('POINTAGE'!$H$5&lt;&gt;"",IF('POINTAGE'!H60="Présent",'POINTAGE'!I60,0),0),IF('POINTAGE'!$J$5&lt;&gt;"",IF('POINTAGE'!J60="Présent",'POINTAGE'!K60,0),0),IF('POINTAGE'!$L$5&lt;&gt;"",IF('POINTAGE'!L60="Présent",'POINTAGE'!M60,0),0),IF('POINTAGE'!$N$5&lt;&gt;"",IF('POINTAGE'!N60="Présent",'POINTAGE'!O60,0),0),IF('POINTAGE'!$P$5&lt;&gt;"",IF('POINTAGE'!P60="Présent",'POINTAGE'!Q60,0),0),IF('POINTAGE'!$R$5&lt;&gt;"",IF('POINTAGE'!R60="Présent",'POINTAGE'!S60,0),0),IF('POINTAGE'!$T$5&lt;&gt;"",IF('POINTAGE'!T60="Présent",'POINTAGE'!U60,0),0),IF('POINTAGE'!$V$5&lt;&gt;"",IF('POINTAGE'!V60="Présent",'POINTAGE'!W60,0),0),IF('POINTAGE'!$X$5&lt;&gt;"",IF('POINTAGE'!X60="Présent",'POINTAGE'!Y60,0),0),IF('POINTAGE'!$Z$5&lt;&gt;"",IF('POINTAGE'!Z60="Présent",'POINTAGE'!AA60,0),0),IF('POINTAGE'!$AB$5&lt;&gt;"",IF('POINTAGE'!AB60="Présent",'POINTAGE'!AC60,0),0),IF('POINTAGE'!$AD$5&lt;&gt;"",IF('POINTAGE'!AD60="Présent",'POINTAGE'!AE60,0),0),IF('POINTAGE'!$AF$5&lt;&gt;"",IF('POINTAGE'!AF60="Présent",'POINTAGE'!AG60,0),0)))</f>
      </c>
      <c r="I60" s="24">
        <f>IF($A60="","",$F60*$D60)</f>
      </c>
      <c r="J60" s="24">
        <f>IF($A60="","",$H60*$E60)</f>
      </c>
      <c r="K60" s="25">
        <f>IF($A60="","",$I60+$J60)</f>
      </c>
      <c r="L60" s="18"/>
      <c r="M60" s="25">
        <f>IF($A60="","",MAX(0,$K60-$L60))</f>
      </c>
      <c r="N60" s="22">
        <f>IF($A60="","",SUM(IF('POINTAGE'!$AH$5&lt;&gt;"",--('POINTAGE'!AH60="Présent"),0),IF('POINTAGE'!$AJ$5&lt;&gt;"",--('POINTAGE'!AJ60="Présent"),0),IF('POINTAGE'!$AL$5&lt;&gt;"",--('POINTAGE'!AL60="Présent"),0),IF('POINTAGE'!$AN$5&lt;&gt;"",--('POINTAGE'!AN60="Présent"),0),IF('POINTAGE'!$AP$5&lt;&gt;"",--('POINTAGE'!AP60="Présent"),0),IF('POINTAGE'!$AR$5&lt;&gt;"",--('POINTAGE'!AR60="Présent"),0),IF('POINTAGE'!$AT$5&lt;&gt;"",--('POINTAGE'!AT60="Présent"),0),IF('POINTAGE'!$AV$5&lt;&gt;"",--('POINTAGE'!AV60="Présent"),0),IF('POINTAGE'!$AX$5&lt;&gt;"",--('POINTAGE'!AX60="Présent"),0),IF('POINTAGE'!$AZ$5&lt;&gt;"",--('POINTAGE'!AZ60="Présent"),0),IF('POINTAGE'!$BB$5&lt;&gt;"",--('POINTAGE'!BB60="Présent"),0),IF('POINTAGE'!$BD$5&lt;&gt;"",--('POINTAGE'!BD60="Présent"),0),IF('POINTAGE'!$BF$5&lt;&gt;"",--('POINTAGE'!BF60="Présent"),0),IF('POINTAGE'!$BH$5&lt;&gt;"",--('POINTAGE'!BH60="Présent"),0),IF('POINTAGE'!$BJ$5&lt;&gt;"",--('POINTAGE'!BJ60="Présent"),0),IF('POINTAGE'!$BL$5&lt;&gt;"",--('POINTAGE'!BL60="Présent"),0)))</f>
      </c>
      <c r="O60" s="22">
        <f>IF($A60="","",SUM(IF('POINTAGE'!$AH$5&lt;&gt;"",--('POINTAGE'!AH60="Absent"),0),IF('POINTAGE'!$AJ$5&lt;&gt;"",--('POINTAGE'!AJ60="Absent"),0),IF('POINTAGE'!$AL$5&lt;&gt;"",--('POINTAGE'!AL60="Absent"),0),IF('POINTAGE'!$AN$5&lt;&gt;"",--('POINTAGE'!AN60="Absent"),0),IF('POINTAGE'!$AP$5&lt;&gt;"",--('POINTAGE'!AP60="Absent"),0),IF('POINTAGE'!$AR$5&lt;&gt;"",--('POINTAGE'!AR60="Absent"),0),IF('POINTAGE'!$AT$5&lt;&gt;"",--('POINTAGE'!AT60="Absent"),0),IF('POINTAGE'!$AV$5&lt;&gt;"",--('POINTAGE'!AV60="Absent"),0),IF('POINTAGE'!$AX$5&lt;&gt;"",--('POINTAGE'!AX60="Absent"),0),IF('POINTAGE'!$AZ$5&lt;&gt;"",--('POINTAGE'!AZ60="Absent"),0),IF('POINTAGE'!$BB$5&lt;&gt;"",--('POINTAGE'!BB60="Absent"),0),IF('POINTAGE'!$BD$5&lt;&gt;"",--('POINTAGE'!BD60="Absent"),0),IF('POINTAGE'!$BF$5&lt;&gt;"",--('POINTAGE'!BF60="Absent"),0),IF('POINTAGE'!$BH$5&lt;&gt;"",--('POINTAGE'!BH60="Absent"),0),IF('POINTAGE'!$BJ$5&lt;&gt;"",--('POINTAGE'!BJ60="Absent"),0),IF('POINTAGE'!$BL$5&lt;&gt;"",--('POINTAGE'!BL60="Absent"),0)))</f>
      </c>
      <c r="P60" s="23">
        <f>IF($A60="","",SUM(IF('POINTAGE'!$AH$5&lt;&gt;"",IF('POINTAGE'!AH60="Présent",'POINTAGE'!AI60,0),0),IF('POINTAGE'!$AJ$5&lt;&gt;"",IF('POINTAGE'!AJ60="Présent",'POINTAGE'!AK60,0),0),IF('POINTAGE'!$AL$5&lt;&gt;"",IF('POINTAGE'!AL60="Présent",'POINTAGE'!AM60,0),0),IF('POINTAGE'!$AN$5&lt;&gt;"",IF('POINTAGE'!AN60="Présent",'POINTAGE'!AO60,0),0),IF('POINTAGE'!$AP$5&lt;&gt;"",IF('POINTAGE'!AP60="Présent",'POINTAGE'!AQ60,0),0),IF('POINTAGE'!$AR$5&lt;&gt;"",IF('POINTAGE'!AR60="Présent",'POINTAGE'!AS60,0),0),IF('POINTAGE'!$AT$5&lt;&gt;"",IF('POINTAGE'!AT60="Présent",'POINTAGE'!AU60,0),0),IF('POINTAGE'!$AV$5&lt;&gt;"",IF('POINTAGE'!AV60="Présent",'POINTAGE'!AW60,0),0),IF('POINTAGE'!$AX$5&lt;&gt;"",IF('POINTAGE'!AX60="Présent",'POINTAGE'!AY60,0),0),IF('POINTAGE'!$AZ$5&lt;&gt;"",IF('POINTAGE'!AZ60="Présent",'POINTAGE'!BA60,0),0),IF('POINTAGE'!$BB$5&lt;&gt;"",IF('POINTAGE'!BB60="Présent",'POINTAGE'!BC60,0),0),IF('POINTAGE'!$BD$5&lt;&gt;"",IF('POINTAGE'!BD60="Présent",'POINTAGE'!BE60,0),0),IF('POINTAGE'!$BF$5&lt;&gt;"",IF('POINTAGE'!BF60="Présent",'POINTAGE'!BG60,0),0),IF('POINTAGE'!$BH$5&lt;&gt;"",IF('POINTAGE'!BH60="Présent",'POINTAGE'!BI60,0),0),IF('POINTAGE'!$BJ$5&lt;&gt;"",IF('POINTAGE'!BJ60="Présent",'POINTAGE'!BK60,0),0),IF('POINTAGE'!$BL$5&lt;&gt;"",IF('POINTAGE'!BL60="Présent",'POINTAGE'!BM60,0),0)))</f>
      </c>
      <c r="Q60" s="24">
        <f>IF($A60="","",$N60*$D60)</f>
      </c>
      <c r="R60" s="24">
        <f>IF($A60="","",$P60*$E60)</f>
      </c>
      <c r="S60" s="25">
        <f>IF($A60="","",$Q60+$R60)</f>
      </c>
      <c r="T60" s="18"/>
      <c r="U60" s="25">
        <f>IF($A60="","",MAX(0,$S60-$T60))</f>
      </c>
      <c r="V60" s="25">
        <f>IF($A60="","",$K60+$S60)</f>
      </c>
      <c r="W60" s="24">
        <f>IF($A60="","",$L60+$T60)</f>
      </c>
      <c r="X60" s="25">
        <f>IF($A60="","",$M60+$U60)</f>
      </c>
      <c r="Y60" s="29">
        <f>IF($A60="","",$J60+$R60)</f>
      </c>
    </row>
    <row r="61">
      <c r="A61" s="20">
        <f>IF('POINTAGE'!A61="","",'POINTAGE'!A61)</f>
      </c>
      <c r="B61" s="19">
        <f>IF($A61="","",'POINTAGE'!B61)</f>
      </c>
      <c r="C61" s="20">
        <f>IF($A61="","",'POINTAGE'!C61)</f>
      </c>
      <c r="D61" s="24">
        <f>IF($A61="","",IFERROR(INDEX(Categories_Salaire,MATCH($C61,ListeCategories,0)),0))</f>
      </c>
      <c r="E61" s="24">
        <f>IF($A61="","",IF(IFERROR(INDEX(Categories_TauxHS,MATCH($C61,ListeCategories,0)),0)&gt;0,IFERROR(INDEX(Categories_TauxHS,MATCH($C61,ListeCategories,0)),0),TauxHSDefaut))</f>
      </c>
      <c r="F61" s="22">
        <f>IF($A61="","",SUM(IF('POINTAGE'!$D$5&lt;&gt;"",--('POINTAGE'!D61="Présent"),0),IF('POINTAGE'!$F$5&lt;&gt;"",--('POINTAGE'!F61="Présent"),0),IF('POINTAGE'!$H$5&lt;&gt;"",--('POINTAGE'!H61="Présent"),0),IF('POINTAGE'!$J$5&lt;&gt;"",--('POINTAGE'!J61="Présent"),0),IF('POINTAGE'!$L$5&lt;&gt;"",--('POINTAGE'!L61="Présent"),0),IF('POINTAGE'!$N$5&lt;&gt;"",--('POINTAGE'!N61="Présent"),0),IF('POINTAGE'!$P$5&lt;&gt;"",--('POINTAGE'!P61="Présent"),0),IF('POINTAGE'!$R$5&lt;&gt;"",--('POINTAGE'!R61="Présent"),0),IF('POINTAGE'!$T$5&lt;&gt;"",--('POINTAGE'!T61="Présent"),0),IF('POINTAGE'!$V$5&lt;&gt;"",--('POINTAGE'!V61="Présent"),0),IF('POINTAGE'!$X$5&lt;&gt;"",--('POINTAGE'!X61="Présent"),0),IF('POINTAGE'!$Z$5&lt;&gt;"",--('POINTAGE'!Z61="Présent"),0),IF('POINTAGE'!$AB$5&lt;&gt;"",--('POINTAGE'!AB61="Présent"),0),IF('POINTAGE'!$AD$5&lt;&gt;"",--('POINTAGE'!AD61="Présent"),0),IF('POINTAGE'!$AF$5&lt;&gt;"",--('POINTAGE'!AF61="Présent"),0)))</f>
      </c>
      <c r="G61" s="22">
        <f>IF($A61="","",SUM(IF('POINTAGE'!$D$5&lt;&gt;"",--('POINTAGE'!D61="Absent"),0),IF('POINTAGE'!$F$5&lt;&gt;"",--('POINTAGE'!F61="Absent"),0),IF('POINTAGE'!$H$5&lt;&gt;"",--('POINTAGE'!H61="Absent"),0),IF('POINTAGE'!$J$5&lt;&gt;"",--('POINTAGE'!J61="Absent"),0),IF('POINTAGE'!$L$5&lt;&gt;"",--('POINTAGE'!L61="Absent"),0),IF('POINTAGE'!$N$5&lt;&gt;"",--('POINTAGE'!N61="Absent"),0),IF('POINTAGE'!$P$5&lt;&gt;"",--('POINTAGE'!P61="Absent"),0),IF('POINTAGE'!$R$5&lt;&gt;"",--('POINTAGE'!R61="Absent"),0),IF('POINTAGE'!$T$5&lt;&gt;"",--('POINTAGE'!T61="Absent"),0),IF('POINTAGE'!$V$5&lt;&gt;"",--('POINTAGE'!V61="Absent"),0),IF('POINTAGE'!$X$5&lt;&gt;"",--('POINTAGE'!X61="Absent"),0),IF('POINTAGE'!$Z$5&lt;&gt;"",--('POINTAGE'!Z61="Absent"),0),IF('POINTAGE'!$AB$5&lt;&gt;"",--('POINTAGE'!AB61="Absent"),0),IF('POINTAGE'!$AD$5&lt;&gt;"",--('POINTAGE'!AD61="Absent"),0),IF('POINTAGE'!$AF$5&lt;&gt;"",--('POINTAGE'!AF61="Absent"),0)))</f>
      </c>
      <c r="H61" s="23">
        <f>IF($A61="","",SUM(IF('POINTAGE'!$D$5&lt;&gt;"",IF('POINTAGE'!D61="Présent",'POINTAGE'!E61,0),0),IF('POINTAGE'!$F$5&lt;&gt;"",IF('POINTAGE'!F61="Présent",'POINTAGE'!G61,0),0),IF('POINTAGE'!$H$5&lt;&gt;"",IF('POINTAGE'!H61="Présent",'POINTAGE'!I61,0),0),IF('POINTAGE'!$J$5&lt;&gt;"",IF('POINTAGE'!J61="Présent",'POINTAGE'!K61,0),0),IF('POINTAGE'!$L$5&lt;&gt;"",IF('POINTAGE'!L61="Présent",'POINTAGE'!M61,0),0),IF('POINTAGE'!$N$5&lt;&gt;"",IF('POINTAGE'!N61="Présent",'POINTAGE'!O61,0),0),IF('POINTAGE'!$P$5&lt;&gt;"",IF('POINTAGE'!P61="Présent",'POINTAGE'!Q61,0),0),IF('POINTAGE'!$R$5&lt;&gt;"",IF('POINTAGE'!R61="Présent",'POINTAGE'!S61,0),0),IF('POINTAGE'!$T$5&lt;&gt;"",IF('POINTAGE'!T61="Présent",'POINTAGE'!U61,0),0),IF('POINTAGE'!$V$5&lt;&gt;"",IF('POINTAGE'!V61="Présent",'POINTAGE'!W61,0),0),IF('POINTAGE'!$X$5&lt;&gt;"",IF('POINTAGE'!X61="Présent",'POINTAGE'!Y61,0),0),IF('POINTAGE'!$Z$5&lt;&gt;"",IF('POINTAGE'!Z61="Présent",'POINTAGE'!AA61,0),0),IF('POINTAGE'!$AB$5&lt;&gt;"",IF('POINTAGE'!AB61="Présent",'POINTAGE'!AC61,0),0),IF('POINTAGE'!$AD$5&lt;&gt;"",IF('POINTAGE'!AD61="Présent",'POINTAGE'!AE61,0),0),IF('POINTAGE'!$AF$5&lt;&gt;"",IF('POINTAGE'!AF61="Présent",'POINTAGE'!AG61,0),0)))</f>
      </c>
      <c r="I61" s="24">
        <f>IF($A61="","",$F61*$D61)</f>
      </c>
      <c r="J61" s="24">
        <f>IF($A61="","",$H61*$E61)</f>
      </c>
      <c r="K61" s="25">
        <f>IF($A61="","",$I61+$J61)</f>
      </c>
      <c r="L61" s="18"/>
      <c r="M61" s="25">
        <f>IF($A61="","",MAX(0,$K61-$L61))</f>
      </c>
      <c r="N61" s="22">
        <f>IF($A61="","",SUM(IF('POINTAGE'!$AH$5&lt;&gt;"",--('POINTAGE'!AH61="Présent"),0),IF('POINTAGE'!$AJ$5&lt;&gt;"",--('POINTAGE'!AJ61="Présent"),0),IF('POINTAGE'!$AL$5&lt;&gt;"",--('POINTAGE'!AL61="Présent"),0),IF('POINTAGE'!$AN$5&lt;&gt;"",--('POINTAGE'!AN61="Présent"),0),IF('POINTAGE'!$AP$5&lt;&gt;"",--('POINTAGE'!AP61="Présent"),0),IF('POINTAGE'!$AR$5&lt;&gt;"",--('POINTAGE'!AR61="Présent"),0),IF('POINTAGE'!$AT$5&lt;&gt;"",--('POINTAGE'!AT61="Présent"),0),IF('POINTAGE'!$AV$5&lt;&gt;"",--('POINTAGE'!AV61="Présent"),0),IF('POINTAGE'!$AX$5&lt;&gt;"",--('POINTAGE'!AX61="Présent"),0),IF('POINTAGE'!$AZ$5&lt;&gt;"",--('POINTAGE'!AZ61="Présent"),0),IF('POINTAGE'!$BB$5&lt;&gt;"",--('POINTAGE'!BB61="Présent"),0),IF('POINTAGE'!$BD$5&lt;&gt;"",--('POINTAGE'!BD61="Présent"),0),IF('POINTAGE'!$BF$5&lt;&gt;"",--('POINTAGE'!BF61="Présent"),0),IF('POINTAGE'!$BH$5&lt;&gt;"",--('POINTAGE'!BH61="Présent"),0),IF('POINTAGE'!$BJ$5&lt;&gt;"",--('POINTAGE'!BJ61="Présent"),0),IF('POINTAGE'!$BL$5&lt;&gt;"",--('POINTAGE'!BL61="Présent"),0)))</f>
      </c>
      <c r="O61" s="22">
        <f>IF($A61="","",SUM(IF('POINTAGE'!$AH$5&lt;&gt;"",--('POINTAGE'!AH61="Absent"),0),IF('POINTAGE'!$AJ$5&lt;&gt;"",--('POINTAGE'!AJ61="Absent"),0),IF('POINTAGE'!$AL$5&lt;&gt;"",--('POINTAGE'!AL61="Absent"),0),IF('POINTAGE'!$AN$5&lt;&gt;"",--('POINTAGE'!AN61="Absent"),0),IF('POINTAGE'!$AP$5&lt;&gt;"",--('POINTAGE'!AP61="Absent"),0),IF('POINTAGE'!$AR$5&lt;&gt;"",--('POINTAGE'!AR61="Absent"),0),IF('POINTAGE'!$AT$5&lt;&gt;"",--('POINTAGE'!AT61="Absent"),0),IF('POINTAGE'!$AV$5&lt;&gt;"",--('POINTAGE'!AV61="Absent"),0),IF('POINTAGE'!$AX$5&lt;&gt;"",--('POINTAGE'!AX61="Absent"),0),IF('POINTAGE'!$AZ$5&lt;&gt;"",--('POINTAGE'!AZ61="Absent"),0),IF('POINTAGE'!$BB$5&lt;&gt;"",--('POINTAGE'!BB61="Absent"),0),IF('POINTAGE'!$BD$5&lt;&gt;"",--('POINTAGE'!BD61="Absent"),0),IF('POINTAGE'!$BF$5&lt;&gt;"",--('POINTAGE'!BF61="Absent"),0),IF('POINTAGE'!$BH$5&lt;&gt;"",--('POINTAGE'!BH61="Absent"),0),IF('POINTAGE'!$BJ$5&lt;&gt;"",--('POINTAGE'!BJ61="Absent"),0),IF('POINTAGE'!$BL$5&lt;&gt;"",--('POINTAGE'!BL61="Absent"),0)))</f>
      </c>
      <c r="P61" s="23">
        <f>IF($A61="","",SUM(IF('POINTAGE'!$AH$5&lt;&gt;"",IF('POINTAGE'!AH61="Présent",'POINTAGE'!AI61,0),0),IF('POINTAGE'!$AJ$5&lt;&gt;"",IF('POINTAGE'!AJ61="Présent",'POINTAGE'!AK61,0),0),IF('POINTAGE'!$AL$5&lt;&gt;"",IF('POINTAGE'!AL61="Présent",'POINTAGE'!AM61,0),0),IF('POINTAGE'!$AN$5&lt;&gt;"",IF('POINTAGE'!AN61="Présent",'POINTAGE'!AO61,0),0),IF('POINTAGE'!$AP$5&lt;&gt;"",IF('POINTAGE'!AP61="Présent",'POINTAGE'!AQ61,0),0),IF('POINTAGE'!$AR$5&lt;&gt;"",IF('POINTAGE'!AR61="Présent",'POINTAGE'!AS61,0),0),IF('POINTAGE'!$AT$5&lt;&gt;"",IF('POINTAGE'!AT61="Présent",'POINTAGE'!AU61,0),0),IF('POINTAGE'!$AV$5&lt;&gt;"",IF('POINTAGE'!AV61="Présent",'POINTAGE'!AW61,0),0),IF('POINTAGE'!$AX$5&lt;&gt;"",IF('POINTAGE'!AX61="Présent",'POINTAGE'!AY61,0),0),IF('POINTAGE'!$AZ$5&lt;&gt;"",IF('POINTAGE'!AZ61="Présent",'POINTAGE'!BA61,0),0),IF('POINTAGE'!$BB$5&lt;&gt;"",IF('POINTAGE'!BB61="Présent",'POINTAGE'!BC61,0),0),IF('POINTAGE'!$BD$5&lt;&gt;"",IF('POINTAGE'!BD61="Présent",'POINTAGE'!BE61,0),0),IF('POINTAGE'!$BF$5&lt;&gt;"",IF('POINTAGE'!BF61="Présent",'POINTAGE'!BG61,0),0),IF('POINTAGE'!$BH$5&lt;&gt;"",IF('POINTAGE'!BH61="Présent",'POINTAGE'!BI61,0),0),IF('POINTAGE'!$BJ$5&lt;&gt;"",IF('POINTAGE'!BJ61="Présent",'POINTAGE'!BK61,0),0),IF('POINTAGE'!$BL$5&lt;&gt;"",IF('POINTAGE'!BL61="Présent",'POINTAGE'!BM61,0),0)))</f>
      </c>
      <c r="Q61" s="24">
        <f>IF($A61="","",$N61*$D61)</f>
      </c>
      <c r="R61" s="24">
        <f>IF($A61="","",$P61*$E61)</f>
      </c>
      <c r="S61" s="25">
        <f>IF($A61="","",$Q61+$R61)</f>
      </c>
      <c r="T61" s="18"/>
      <c r="U61" s="25">
        <f>IF($A61="","",MAX(0,$S61-$T61))</f>
      </c>
      <c r="V61" s="25">
        <f>IF($A61="","",$K61+$S61)</f>
      </c>
      <c r="W61" s="24">
        <f>IF($A61="","",$L61+$T61)</f>
      </c>
      <c r="X61" s="25">
        <f>IF($A61="","",$M61+$U61)</f>
      </c>
      <c r="Y61" s="29">
        <f>IF($A61="","",$J61+$R61)</f>
      </c>
    </row>
    <row r="62">
      <c r="A62" s="20">
        <f>IF('POINTAGE'!A62="","",'POINTAGE'!A62)</f>
      </c>
      <c r="B62" s="19">
        <f>IF($A62="","",'POINTAGE'!B62)</f>
      </c>
      <c r="C62" s="20">
        <f>IF($A62="","",'POINTAGE'!C62)</f>
      </c>
      <c r="D62" s="24">
        <f>IF($A62="","",IFERROR(INDEX(Categories_Salaire,MATCH($C62,ListeCategories,0)),0))</f>
      </c>
      <c r="E62" s="24">
        <f>IF($A62="","",IF(IFERROR(INDEX(Categories_TauxHS,MATCH($C62,ListeCategories,0)),0)&gt;0,IFERROR(INDEX(Categories_TauxHS,MATCH($C62,ListeCategories,0)),0),TauxHSDefaut))</f>
      </c>
      <c r="F62" s="22">
        <f>IF($A62="","",SUM(IF('POINTAGE'!$D$5&lt;&gt;"",--('POINTAGE'!D62="Présent"),0),IF('POINTAGE'!$F$5&lt;&gt;"",--('POINTAGE'!F62="Présent"),0),IF('POINTAGE'!$H$5&lt;&gt;"",--('POINTAGE'!H62="Présent"),0),IF('POINTAGE'!$J$5&lt;&gt;"",--('POINTAGE'!J62="Présent"),0),IF('POINTAGE'!$L$5&lt;&gt;"",--('POINTAGE'!L62="Présent"),0),IF('POINTAGE'!$N$5&lt;&gt;"",--('POINTAGE'!N62="Présent"),0),IF('POINTAGE'!$P$5&lt;&gt;"",--('POINTAGE'!P62="Présent"),0),IF('POINTAGE'!$R$5&lt;&gt;"",--('POINTAGE'!R62="Présent"),0),IF('POINTAGE'!$T$5&lt;&gt;"",--('POINTAGE'!T62="Présent"),0),IF('POINTAGE'!$V$5&lt;&gt;"",--('POINTAGE'!V62="Présent"),0),IF('POINTAGE'!$X$5&lt;&gt;"",--('POINTAGE'!X62="Présent"),0),IF('POINTAGE'!$Z$5&lt;&gt;"",--('POINTAGE'!Z62="Présent"),0),IF('POINTAGE'!$AB$5&lt;&gt;"",--('POINTAGE'!AB62="Présent"),0),IF('POINTAGE'!$AD$5&lt;&gt;"",--('POINTAGE'!AD62="Présent"),0),IF('POINTAGE'!$AF$5&lt;&gt;"",--('POINTAGE'!AF62="Présent"),0)))</f>
      </c>
      <c r="G62" s="22">
        <f>IF($A62="","",SUM(IF('POINTAGE'!$D$5&lt;&gt;"",--('POINTAGE'!D62="Absent"),0),IF('POINTAGE'!$F$5&lt;&gt;"",--('POINTAGE'!F62="Absent"),0),IF('POINTAGE'!$H$5&lt;&gt;"",--('POINTAGE'!H62="Absent"),0),IF('POINTAGE'!$J$5&lt;&gt;"",--('POINTAGE'!J62="Absent"),0),IF('POINTAGE'!$L$5&lt;&gt;"",--('POINTAGE'!L62="Absent"),0),IF('POINTAGE'!$N$5&lt;&gt;"",--('POINTAGE'!N62="Absent"),0),IF('POINTAGE'!$P$5&lt;&gt;"",--('POINTAGE'!P62="Absent"),0),IF('POINTAGE'!$R$5&lt;&gt;"",--('POINTAGE'!R62="Absent"),0),IF('POINTAGE'!$T$5&lt;&gt;"",--('POINTAGE'!T62="Absent"),0),IF('POINTAGE'!$V$5&lt;&gt;"",--('POINTAGE'!V62="Absent"),0),IF('POINTAGE'!$X$5&lt;&gt;"",--('POINTAGE'!X62="Absent"),0),IF('POINTAGE'!$Z$5&lt;&gt;"",--('POINTAGE'!Z62="Absent"),0),IF('POINTAGE'!$AB$5&lt;&gt;"",--('POINTAGE'!AB62="Absent"),0),IF('POINTAGE'!$AD$5&lt;&gt;"",--('POINTAGE'!AD62="Absent"),0),IF('POINTAGE'!$AF$5&lt;&gt;"",--('POINTAGE'!AF62="Absent"),0)))</f>
      </c>
      <c r="H62" s="23">
        <f>IF($A62="","",SUM(IF('POINTAGE'!$D$5&lt;&gt;"",IF('POINTAGE'!D62="Présent",'POINTAGE'!E62,0),0),IF('POINTAGE'!$F$5&lt;&gt;"",IF('POINTAGE'!F62="Présent",'POINTAGE'!G62,0),0),IF('POINTAGE'!$H$5&lt;&gt;"",IF('POINTAGE'!H62="Présent",'POINTAGE'!I62,0),0),IF('POINTAGE'!$J$5&lt;&gt;"",IF('POINTAGE'!J62="Présent",'POINTAGE'!K62,0),0),IF('POINTAGE'!$L$5&lt;&gt;"",IF('POINTAGE'!L62="Présent",'POINTAGE'!M62,0),0),IF('POINTAGE'!$N$5&lt;&gt;"",IF('POINTAGE'!N62="Présent",'POINTAGE'!O62,0),0),IF('POINTAGE'!$P$5&lt;&gt;"",IF('POINTAGE'!P62="Présent",'POINTAGE'!Q62,0),0),IF('POINTAGE'!$R$5&lt;&gt;"",IF('POINTAGE'!R62="Présent",'POINTAGE'!S62,0),0),IF('POINTAGE'!$T$5&lt;&gt;"",IF('POINTAGE'!T62="Présent",'POINTAGE'!U62,0),0),IF('POINTAGE'!$V$5&lt;&gt;"",IF('POINTAGE'!V62="Présent",'POINTAGE'!W62,0),0),IF('POINTAGE'!$X$5&lt;&gt;"",IF('POINTAGE'!X62="Présent",'POINTAGE'!Y62,0),0),IF('POINTAGE'!$Z$5&lt;&gt;"",IF('POINTAGE'!Z62="Présent",'POINTAGE'!AA62,0),0),IF('POINTAGE'!$AB$5&lt;&gt;"",IF('POINTAGE'!AB62="Présent",'POINTAGE'!AC62,0),0),IF('POINTAGE'!$AD$5&lt;&gt;"",IF('POINTAGE'!AD62="Présent",'POINTAGE'!AE62,0),0),IF('POINTAGE'!$AF$5&lt;&gt;"",IF('POINTAGE'!AF62="Présent",'POINTAGE'!AG62,0),0)))</f>
      </c>
      <c r="I62" s="24">
        <f>IF($A62="","",$F62*$D62)</f>
      </c>
      <c r="J62" s="24">
        <f>IF($A62="","",$H62*$E62)</f>
      </c>
      <c r="K62" s="25">
        <f>IF($A62="","",$I62+$J62)</f>
      </c>
      <c r="L62" s="18"/>
      <c r="M62" s="25">
        <f>IF($A62="","",MAX(0,$K62-$L62))</f>
      </c>
      <c r="N62" s="22">
        <f>IF($A62="","",SUM(IF('POINTAGE'!$AH$5&lt;&gt;"",--('POINTAGE'!AH62="Présent"),0),IF('POINTAGE'!$AJ$5&lt;&gt;"",--('POINTAGE'!AJ62="Présent"),0),IF('POINTAGE'!$AL$5&lt;&gt;"",--('POINTAGE'!AL62="Présent"),0),IF('POINTAGE'!$AN$5&lt;&gt;"",--('POINTAGE'!AN62="Présent"),0),IF('POINTAGE'!$AP$5&lt;&gt;"",--('POINTAGE'!AP62="Présent"),0),IF('POINTAGE'!$AR$5&lt;&gt;"",--('POINTAGE'!AR62="Présent"),0),IF('POINTAGE'!$AT$5&lt;&gt;"",--('POINTAGE'!AT62="Présent"),0),IF('POINTAGE'!$AV$5&lt;&gt;"",--('POINTAGE'!AV62="Présent"),0),IF('POINTAGE'!$AX$5&lt;&gt;"",--('POINTAGE'!AX62="Présent"),0),IF('POINTAGE'!$AZ$5&lt;&gt;"",--('POINTAGE'!AZ62="Présent"),0),IF('POINTAGE'!$BB$5&lt;&gt;"",--('POINTAGE'!BB62="Présent"),0),IF('POINTAGE'!$BD$5&lt;&gt;"",--('POINTAGE'!BD62="Présent"),0),IF('POINTAGE'!$BF$5&lt;&gt;"",--('POINTAGE'!BF62="Présent"),0),IF('POINTAGE'!$BH$5&lt;&gt;"",--('POINTAGE'!BH62="Présent"),0),IF('POINTAGE'!$BJ$5&lt;&gt;"",--('POINTAGE'!BJ62="Présent"),0),IF('POINTAGE'!$BL$5&lt;&gt;"",--('POINTAGE'!BL62="Présent"),0)))</f>
      </c>
      <c r="O62" s="22">
        <f>IF($A62="","",SUM(IF('POINTAGE'!$AH$5&lt;&gt;"",--('POINTAGE'!AH62="Absent"),0),IF('POINTAGE'!$AJ$5&lt;&gt;"",--('POINTAGE'!AJ62="Absent"),0),IF('POINTAGE'!$AL$5&lt;&gt;"",--('POINTAGE'!AL62="Absent"),0),IF('POINTAGE'!$AN$5&lt;&gt;"",--('POINTAGE'!AN62="Absent"),0),IF('POINTAGE'!$AP$5&lt;&gt;"",--('POINTAGE'!AP62="Absent"),0),IF('POINTAGE'!$AR$5&lt;&gt;"",--('POINTAGE'!AR62="Absent"),0),IF('POINTAGE'!$AT$5&lt;&gt;"",--('POINTAGE'!AT62="Absent"),0),IF('POINTAGE'!$AV$5&lt;&gt;"",--('POINTAGE'!AV62="Absent"),0),IF('POINTAGE'!$AX$5&lt;&gt;"",--('POINTAGE'!AX62="Absent"),0),IF('POINTAGE'!$AZ$5&lt;&gt;"",--('POINTAGE'!AZ62="Absent"),0),IF('POINTAGE'!$BB$5&lt;&gt;"",--('POINTAGE'!BB62="Absent"),0),IF('POINTAGE'!$BD$5&lt;&gt;"",--('POINTAGE'!BD62="Absent"),0),IF('POINTAGE'!$BF$5&lt;&gt;"",--('POINTAGE'!BF62="Absent"),0),IF('POINTAGE'!$BH$5&lt;&gt;"",--('POINTAGE'!BH62="Absent"),0),IF('POINTAGE'!$BJ$5&lt;&gt;"",--('POINTAGE'!BJ62="Absent"),0),IF('POINTAGE'!$BL$5&lt;&gt;"",--('POINTAGE'!BL62="Absent"),0)))</f>
      </c>
      <c r="P62" s="23">
        <f>IF($A62="","",SUM(IF('POINTAGE'!$AH$5&lt;&gt;"",IF('POINTAGE'!AH62="Présent",'POINTAGE'!AI62,0),0),IF('POINTAGE'!$AJ$5&lt;&gt;"",IF('POINTAGE'!AJ62="Présent",'POINTAGE'!AK62,0),0),IF('POINTAGE'!$AL$5&lt;&gt;"",IF('POINTAGE'!AL62="Présent",'POINTAGE'!AM62,0),0),IF('POINTAGE'!$AN$5&lt;&gt;"",IF('POINTAGE'!AN62="Présent",'POINTAGE'!AO62,0),0),IF('POINTAGE'!$AP$5&lt;&gt;"",IF('POINTAGE'!AP62="Présent",'POINTAGE'!AQ62,0),0),IF('POINTAGE'!$AR$5&lt;&gt;"",IF('POINTAGE'!AR62="Présent",'POINTAGE'!AS62,0),0),IF('POINTAGE'!$AT$5&lt;&gt;"",IF('POINTAGE'!AT62="Présent",'POINTAGE'!AU62,0),0),IF('POINTAGE'!$AV$5&lt;&gt;"",IF('POINTAGE'!AV62="Présent",'POINTAGE'!AW62,0),0),IF('POINTAGE'!$AX$5&lt;&gt;"",IF('POINTAGE'!AX62="Présent",'POINTAGE'!AY62,0),0),IF('POINTAGE'!$AZ$5&lt;&gt;"",IF('POINTAGE'!AZ62="Présent",'POINTAGE'!BA62,0),0),IF('POINTAGE'!$BB$5&lt;&gt;"",IF('POINTAGE'!BB62="Présent",'POINTAGE'!BC62,0),0),IF('POINTAGE'!$BD$5&lt;&gt;"",IF('POINTAGE'!BD62="Présent",'POINTAGE'!BE62,0),0),IF('POINTAGE'!$BF$5&lt;&gt;"",IF('POINTAGE'!BF62="Présent",'POINTAGE'!BG62,0),0),IF('POINTAGE'!$BH$5&lt;&gt;"",IF('POINTAGE'!BH62="Présent",'POINTAGE'!BI62,0),0),IF('POINTAGE'!$BJ$5&lt;&gt;"",IF('POINTAGE'!BJ62="Présent",'POINTAGE'!BK62,0),0),IF('POINTAGE'!$BL$5&lt;&gt;"",IF('POINTAGE'!BL62="Présent",'POINTAGE'!BM62,0),0)))</f>
      </c>
      <c r="Q62" s="24">
        <f>IF($A62="","",$N62*$D62)</f>
      </c>
      <c r="R62" s="24">
        <f>IF($A62="","",$P62*$E62)</f>
      </c>
      <c r="S62" s="25">
        <f>IF($A62="","",$Q62+$R62)</f>
      </c>
      <c r="T62" s="18"/>
      <c r="U62" s="25">
        <f>IF($A62="","",MAX(0,$S62-$T62))</f>
      </c>
      <c r="V62" s="25">
        <f>IF($A62="","",$K62+$S62)</f>
      </c>
      <c r="W62" s="24">
        <f>IF($A62="","",$L62+$T62)</f>
      </c>
      <c r="X62" s="25">
        <f>IF($A62="","",$M62+$U62)</f>
      </c>
      <c r="Y62" s="29">
        <f>IF($A62="","",$J62+$R62)</f>
      </c>
    </row>
    <row r="63">
      <c r="A63" s="20">
        <f>IF('POINTAGE'!A63="","",'POINTAGE'!A63)</f>
      </c>
      <c r="B63" s="19">
        <f>IF($A63="","",'POINTAGE'!B63)</f>
      </c>
      <c r="C63" s="20">
        <f>IF($A63="","",'POINTAGE'!C63)</f>
      </c>
      <c r="D63" s="24">
        <f>IF($A63="","",IFERROR(INDEX(Categories_Salaire,MATCH($C63,ListeCategories,0)),0))</f>
      </c>
      <c r="E63" s="24">
        <f>IF($A63="","",IF(IFERROR(INDEX(Categories_TauxHS,MATCH($C63,ListeCategories,0)),0)&gt;0,IFERROR(INDEX(Categories_TauxHS,MATCH($C63,ListeCategories,0)),0),TauxHSDefaut))</f>
      </c>
      <c r="F63" s="22">
        <f>IF($A63="","",SUM(IF('POINTAGE'!$D$5&lt;&gt;"",--('POINTAGE'!D63="Présent"),0),IF('POINTAGE'!$F$5&lt;&gt;"",--('POINTAGE'!F63="Présent"),0),IF('POINTAGE'!$H$5&lt;&gt;"",--('POINTAGE'!H63="Présent"),0),IF('POINTAGE'!$J$5&lt;&gt;"",--('POINTAGE'!J63="Présent"),0),IF('POINTAGE'!$L$5&lt;&gt;"",--('POINTAGE'!L63="Présent"),0),IF('POINTAGE'!$N$5&lt;&gt;"",--('POINTAGE'!N63="Présent"),0),IF('POINTAGE'!$P$5&lt;&gt;"",--('POINTAGE'!P63="Présent"),0),IF('POINTAGE'!$R$5&lt;&gt;"",--('POINTAGE'!R63="Présent"),0),IF('POINTAGE'!$T$5&lt;&gt;"",--('POINTAGE'!T63="Présent"),0),IF('POINTAGE'!$V$5&lt;&gt;"",--('POINTAGE'!V63="Présent"),0),IF('POINTAGE'!$X$5&lt;&gt;"",--('POINTAGE'!X63="Présent"),0),IF('POINTAGE'!$Z$5&lt;&gt;"",--('POINTAGE'!Z63="Présent"),0),IF('POINTAGE'!$AB$5&lt;&gt;"",--('POINTAGE'!AB63="Présent"),0),IF('POINTAGE'!$AD$5&lt;&gt;"",--('POINTAGE'!AD63="Présent"),0),IF('POINTAGE'!$AF$5&lt;&gt;"",--('POINTAGE'!AF63="Présent"),0)))</f>
      </c>
      <c r="G63" s="22">
        <f>IF($A63="","",SUM(IF('POINTAGE'!$D$5&lt;&gt;"",--('POINTAGE'!D63="Absent"),0),IF('POINTAGE'!$F$5&lt;&gt;"",--('POINTAGE'!F63="Absent"),0),IF('POINTAGE'!$H$5&lt;&gt;"",--('POINTAGE'!H63="Absent"),0),IF('POINTAGE'!$J$5&lt;&gt;"",--('POINTAGE'!J63="Absent"),0),IF('POINTAGE'!$L$5&lt;&gt;"",--('POINTAGE'!L63="Absent"),0),IF('POINTAGE'!$N$5&lt;&gt;"",--('POINTAGE'!N63="Absent"),0),IF('POINTAGE'!$P$5&lt;&gt;"",--('POINTAGE'!P63="Absent"),0),IF('POINTAGE'!$R$5&lt;&gt;"",--('POINTAGE'!R63="Absent"),0),IF('POINTAGE'!$T$5&lt;&gt;"",--('POINTAGE'!T63="Absent"),0),IF('POINTAGE'!$V$5&lt;&gt;"",--('POINTAGE'!V63="Absent"),0),IF('POINTAGE'!$X$5&lt;&gt;"",--('POINTAGE'!X63="Absent"),0),IF('POINTAGE'!$Z$5&lt;&gt;"",--('POINTAGE'!Z63="Absent"),0),IF('POINTAGE'!$AB$5&lt;&gt;"",--('POINTAGE'!AB63="Absent"),0),IF('POINTAGE'!$AD$5&lt;&gt;"",--('POINTAGE'!AD63="Absent"),0),IF('POINTAGE'!$AF$5&lt;&gt;"",--('POINTAGE'!AF63="Absent"),0)))</f>
      </c>
      <c r="H63" s="23">
        <f>IF($A63="","",SUM(IF('POINTAGE'!$D$5&lt;&gt;"",IF('POINTAGE'!D63="Présent",'POINTAGE'!E63,0),0),IF('POINTAGE'!$F$5&lt;&gt;"",IF('POINTAGE'!F63="Présent",'POINTAGE'!G63,0),0),IF('POINTAGE'!$H$5&lt;&gt;"",IF('POINTAGE'!H63="Présent",'POINTAGE'!I63,0),0),IF('POINTAGE'!$J$5&lt;&gt;"",IF('POINTAGE'!J63="Présent",'POINTAGE'!K63,0),0),IF('POINTAGE'!$L$5&lt;&gt;"",IF('POINTAGE'!L63="Présent",'POINTAGE'!M63,0),0),IF('POINTAGE'!$N$5&lt;&gt;"",IF('POINTAGE'!N63="Présent",'POINTAGE'!O63,0),0),IF('POINTAGE'!$P$5&lt;&gt;"",IF('POINTAGE'!P63="Présent",'POINTAGE'!Q63,0),0),IF('POINTAGE'!$R$5&lt;&gt;"",IF('POINTAGE'!R63="Présent",'POINTAGE'!S63,0),0),IF('POINTAGE'!$T$5&lt;&gt;"",IF('POINTAGE'!T63="Présent",'POINTAGE'!U63,0),0),IF('POINTAGE'!$V$5&lt;&gt;"",IF('POINTAGE'!V63="Présent",'POINTAGE'!W63,0),0),IF('POINTAGE'!$X$5&lt;&gt;"",IF('POINTAGE'!X63="Présent",'POINTAGE'!Y63,0),0),IF('POINTAGE'!$Z$5&lt;&gt;"",IF('POINTAGE'!Z63="Présent",'POINTAGE'!AA63,0),0),IF('POINTAGE'!$AB$5&lt;&gt;"",IF('POINTAGE'!AB63="Présent",'POINTAGE'!AC63,0),0),IF('POINTAGE'!$AD$5&lt;&gt;"",IF('POINTAGE'!AD63="Présent",'POINTAGE'!AE63,0),0),IF('POINTAGE'!$AF$5&lt;&gt;"",IF('POINTAGE'!AF63="Présent",'POINTAGE'!AG63,0),0)))</f>
      </c>
      <c r="I63" s="24">
        <f>IF($A63="","",$F63*$D63)</f>
      </c>
      <c r="J63" s="24">
        <f>IF($A63="","",$H63*$E63)</f>
      </c>
      <c r="K63" s="25">
        <f>IF($A63="","",$I63+$J63)</f>
      </c>
      <c r="L63" s="18"/>
      <c r="M63" s="25">
        <f>IF($A63="","",MAX(0,$K63-$L63))</f>
      </c>
      <c r="N63" s="22">
        <f>IF($A63="","",SUM(IF('POINTAGE'!$AH$5&lt;&gt;"",--('POINTAGE'!AH63="Présent"),0),IF('POINTAGE'!$AJ$5&lt;&gt;"",--('POINTAGE'!AJ63="Présent"),0),IF('POINTAGE'!$AL$5&lt;&gt;"",--('POINTAGE'!AL63="Présent"),0),IF('POINTAGE'!$AN$5&lt;&gt;"",--('POINTAGE'!AN63="Présent"),0),IF('POINTAGE'!$AP$5&lt;&gt;"",--('POINTAGE'!AP63="Présent"),0),IF('POINTAGE'!$AR$5&lt;&gt;"",--('POINTAGE'!AR63="Présent"),0),IF('POINTAGE'!$AT$5&lt;&gt;"",--('POINTAGE'!AT63="Présent"),0),IF('POINTAGE'!$AV$5&lt;&gt;"",--('POINTAGE'!AV63="Présent"),0),IF('POINTAGE'!$AX$5&lt;&gt;"",--('POINTAGE'!AX63="Présent"),0),IF('POINTAGE'!$AZ$5&lt;&gt;"",--('POINTAGE'!AZ63="Présent"),0),IF('POINTAGE'!$BB$5&lt;&gt;"",--('POINTAGE'!BB63="Présent"),0),IF('POINTAGE'!$BD$5&lt;&gt;"",--('POINTAGE'!BD63="Présent"),0),IF('POINTAGE'!$BF$5&lt;&gt;"",--('POINTAGE'!BF63="Présent"),0),IF('POINTAGE'!$BH$5&lt;&gt;"",--('POINTAGE'!BH63="Présent"),0),IF('POINTAGE'!$BJ$5&lt;&gt;"",--('POINTAGE'!BJ63="Présent"),0),IF('POINTAGE'!$BL$5&lt;&gt;"",--('POINTAGE'!BL63="Présent"),0)))</f>
      </c>
      <c r="O63" s="22">
        <f>IF($A63="","",SUM(IF('POINTAGE'!$AH$5&lt;&gt;"",--('POINTAGE'!AH63="Absent"),0),IF('POINTAGE'!$AJ$5&lt;&gt;"",--('POINTAGE'!AJ63="Absent"),0),IF('POINTAGE'!$AL$5&lt;&gt;"",--('POINTAGE'!AL63="Absent"),0),IF('POINTAGE'!$AN$5&lt;&gt;"",--('POINTAGE'!AN63="Absent"),0),IF('POINTAGE'!$AP$5&lt;&gt;"",--('POINTAGE'!AP63="Absent"),0),IF('POINTAGE'!$AR$5&lt;&gt;"",--('POINTAGE'!AR63="Absent"),0),IF('POINTAGE'!$AT$5&lt;&gt;"",--('POINTAGE'!AT63="Absent"),0),IF('POINTAGE'!$AV$5&lt;&gt;"",--('POINTAGE'!AV63="Absent"),0),IF('POINTAGE'!$AX$5&lt;&gt;"",--('POINTAGE'!AX63="Absent"),0),IF('POINTAGE'!$AZ$5&lt;&gt;"",--('POINTAGE'!AZ63="Absent"),0),IF('POINTAGE'!$BB$5&lt;&gt;"",--('POINTAGE'!BB63="Absent"),0),IF('POINTAGE'!$BD$5&lt;&gt;"",--('POINTAGE'!BD63="Absent"),0),IF('POINTAGE'!$BF$5&lt;&gt;"",--('POINTAGE'!BF63="Absent"),0),IF('POINTAGE'!$BH$5&lt;&gt;"",--('POINTAGE'!BH63="Absent"),0),IF('POINTAGE'!$BJ$5&lt;&gt;"",--('POINTAGE'!BJ63="Absent"),0),IF('POINTAGE'!$BL$5&lt;&gt;"",--('POINTAGE'!BL63="Absent"),0)))</f>
      </c>
      <c r="P63" s="23">
        <f>IF($A63="","",SUM(IF('POINTAGE'!$AH$5&lt;&gt;"",IF('POINTAGE'!AH63="Présent",'POINTAGE'!AI63,0),0),IF('POINTAGE'!$AJ$5&lt;&gt;"",IF('POINTAGE'!AJ63="Présent",'POINTAGE'!AK63,0),0),IF('POINTAGE'!$AL$5&lt;&gt;"",IF('POINTAGE'!AL63="Présent",'POINTAGE'!AM63,0),0),IF('POINTAGE'!$AN$5&lt;&gt;"",IF('POINTAGE'!AN63="Présent",'POINTAGE'!AO63,0),0),IF('POINTAGE'!$AP$5&lt;&gt;"",IF('POINTAGE'!AP63="Présent",'POINTAGE'!AQ63,0),0),IF('POINTAGE'!$AR$5&lt;&gt;"",IF('POINTAGE'!AR63="Présent",'POINTAGE'!AS63,0),0),IF('POINTAGE'!$AT$5&lt;&gt;"",IF('POINTAGE'!AT63="Présent",'POINTAGE'!AU63,0),0),IF('POINTAGE'!$AV$5&lt;&gt;"",IF('POINTAGE'!AV63="Présent",'POINTAGE'!AW63,0),0),IF('POINTAGE'!$AX$5&lt;&gt;"",IF('POINTAGE'!AX63="Présent",'POINTAGE'!AY63,0),0),IF('POINTAGE'!$AZ$5&lt;&gt;"",IF('POINTAGE'!AZ63="Présent",'POINTAGE'!BA63,0),0),IF('POINTAGE'!$BB$5&lt;&gt;"",IF('POINTAGE'!BB63="Présent",'POINTAGE'!BC63,0),0),IF('POINTAGE'!$BD$5&lt;&gt;"",IF('POINTAGE'!BD63="Présent",'POINTAGE'!BE63,0),0),IF('POINTAGE'!$BF$5&lt;&gt;"",IF('POINTAGE'!BF63="Présent",'POINTAGE'!BG63,0),0),IF('POINTAGE'!$BH$5&lt;&gt;"",IF('POINTAGE'!BH63="Présent",'POINTAGE'!BI63,0),0),IF('POINTAGE'!$BJ$5&lt;&gt;"",IF('POINTAGE'!BJ63="Présent",'POINTAGE'!BK63,0),0),IF('POINTAGE'!$BL$5&lt;&gt;"",IF('POINTAGE'!BL63="Présent",'POINTAGE'!BM63,0),0)))</f>
      </c>
      <c r="Q63" s="24">
        <f>IF($A63="","",$N63*$D63)</f>
      </c>
      <c r="R63" s="24">
        <f>IF($A63="","",$P63*$E63)</f>
      </c>
      <c r="S63" s="25">
        <f>IF($A63="","",$Q63+$R63)</f>
      </c>
      <c r="T63" s="18"/>
      <c r="U63" s="25">
        <f>IF($A63="","",MAX(0,$S63-$T63))</f>
      </c>
      <c r="V63" s="25">
        <f>IF($A63="","",$K63+$S63)</f>
      </c>
      <c r="W63" s="24">
        <f>IF($A63="","",$L63+$T63)</f>
      </c>
      <c r="X63" s="25">
        <f>IF($A63="","",$M63+$U63)</f>
      </c>
      <c r="Y63" s="29">
        <f>IF($A63="","",$J63+$R63)</f>
      </c>
    </row>
    <row r="64">
      <c r="A64" s="20">
        <f>IF('POINTAGE'!A64="","",'POINTAGE'!A64)</f>
      </c>
      <c r="B64" s="19">
        <f>IF($A64="","",'POINTAGE'!B64)</f>
      </c>
      <c r="C64" s="20">
        <f>IF($A64="","",'POINTAGE'!C64)</f>
      </c>
      <c r="D64" s="24">
        <f>IF($A64="","",IFERROR(INDEX(Categories_Salaire,MATCH($C64,ListeCategories,0)),0))</f>
      </c>
      <c r="E64" s="24">
        <f>IF($A64="","",IF(IFERROR(INDEX(Categories_TauxHS,MATCH($C64,ListeCategories,0)),0)&gt;0,IFERROR(INDEX(Categories_TauxHS,MATCH($C64,ListeCategories,0)),0),TauxHSDefaut))</f>
      </c>
      <c r="F64" s="22">
        <f>IF($A64="","",SUM(IF('POINTAGE'!$D$5&lt;&gt;"",--('POINTAGE'!D64="Présent"),0),IF('POINTAGE'!$F$5&lt;&gt;"",--('POINTAGE'!F64="Présent"),0),IF('POINTAGE'!$H$5&lt;&gt;"",--('POINTAGE'!H64="Présent"),0),IF('POINTAGE'!$J$5&lt;&gt;"",--('POINTAGE'!J64="Présent"),0),IF('POINTAGE'!$L$5&lt;&gt;"",--('POINTAGE'!L64="Présent"),0),IF('POINTAGE'!$N$5&lt;&gt;"",--('POINTAGE'!N64="Présent"),0),IF('POINTAGE'!$P$5&lt;&gt;"",--('POINTAGE'!P64="Présent"),0),IF('POINTAGE'!$R$5&lt;&gt;"",--('POINTAGE'!R64="Présent"),0),IF('POINTAGE'!$T$5&lt;&gt;"",--('POINTAGE'!T64="Présent"),0),IF('POINTAGE'!$V$5&lt;&gt;"",--('POINTAGE'!V64="Présent"),0),IF('POINTAGE'!$X$5&lt;&gt;"",--('POINTAGE'!X64="Présent"),0),IF('POINTAGE'!$Z$5&lt;&gt;"",--('POINTAGE'!Z64="Présent"),0),IF('POINTAGE'!$AB$5&lt;&gt;"",--('POINTAGE'!AB64="Présent"),0),IF('POINTAGE'!$AD$5&lt;&gt;"",--('POINTAGE'!AD64="Présent"),0),IF('POINTAGE'!$AF$5&lt;&gt;"",--('POINTAGE'!AF64="Présent"),0)))</f>
      </c>
      <c r="G64" s="22">
        <f>IF($A64="","",SUM(IF('POINTAGE'!$D$5&lt;&gt;"",--('POINTAGE'!D64="Absent"),0),IF('POINTAGE'!$F$5&lt;&gt;"",--('POINTAGE'!F64="Absent"),0),IF('POINTAGE'!$H$5&lt;&gt;"",--('POINTAGE'!H64="Absent"),0),IF('POINTAGE'!$J$5&lt;&gt;"",--('POINTAGE'!J64="Absent"),0),IF('POINTAGE'!$L$5&lt;&gt;"",--('POINTAGE'!L64="Absent"),0),IF('POINTAGE'!$N$5&lt;&gt;"",--('POINTAGE'!N64="Absent"),0),IF('POINTAGE'!$P$5&lt;&gt;"",--('POINTAGE'!P64="Absent"),0),IF('POINTAGE'!$R$5&lt;&gt;"",--('POINTAGE'!R64="Absent"),0),IF('POINTAGE'!$T$5&lt;&gt;"",--('POINTAGE'!T64="Absent"),0),IF('POINTAGE'!$V$5&lt;&gt;"",--('POINTAGE'!V64="Absent"),0),IF('POINTAGE'!$X$5&lt;&gt;"",--('POINTAGE'!X64="Absent"),0),IF('POINTAGE'!$Z$5&lt;&gt;"",--('POINTAGE'!Z64="Absent"),0),IF('POINTAGE'!$AB$5&lt;&gt;"",--('POINTAGE'!AB64="Absent"),0),IF('POINTAGE'!$AD$5&lt;&gt;"",--('POINTAGE'!AD64="Absent"),0),IF('POINTAGE'!$AF$5&lt;&gt;"",--('POINTAGE'!AF64="Absent"),0)))</f>
      </c>
      <c r="H64" s="23">
        <f>IF($A64="","",SUM(IF('POINTAGE'!$D$5&lt;&gt;"",IF('POINTAGE'!D64="Présent",'POINTAGE'!E64,0),0),IF('POINTAGE'!$F$5&lt;&gt;"",IF('POINTAGE'!F64="Présent",'POINTAGE'!G64,0),0),IF('POINTAGE'!$H$5&lt;&gt;"",IF('POINTAGE'!H64="Présent",'POINTAGE'!I64,0),0),IF('POINTAGE'!$J$5&lt;&gt;"",IF('POINTAGE'!J64="Présent",'POINTAGE'!K64,0),0),IF('POINTAGE'!$L$5&lt;&gt;"",IF('POINTAGE'!L64="Présent",'POINTAGE'!M64,0),0),IF('POINTAGE'!$N$5&lt;&gt;"",IF('POINTAGE'!N64="Présent",'POINTAGE'!O64,0),0),IF('POINTAGE'!$P$5&lt;&gt;"",IF('POINTAGE'!P64="Présent",'POINTAGE'!Q64,0),0),IF('POINTAGE'!$R$5&lt;&gt;"",IF('POINTAGE'!R64="Présent",'POINTAGE'!S64,0),0),IF('POINTAGE'!$T$5&lt;&gt;"",IF('POINTAGE'!T64="Présent",'POINTAGE'!U64,0),0),IF('POINTAGE'!$V$5&lt;&gt;"",IF('POINTAGE'!V64="Présent",'POINTAGE'!W64,0),0),IF('POINTAGE'!$X$5&lt;&gt;"",IF('POINTAGE'!X64="Présent",'POINTAGE'!Y64,0),0),IF('POINTAGE'!$Z$5&lt;&gt;"",IF('POINTAGE'!Z64="Présent",'POINTAGE'!AA64,0),0),IF('POINTAGE'!$AB$5&lt;&gt;"",IF('POINTAGE'!AB64="Présent",'POINTAGE'!AC64,0),0),IF('POINTAGE'!$AD$5&lt;&gt;"",IF('POINTAGE'!AD64="Présent",'POINTAGE'!AE64,0),0),IF('POINTAGE'!$AF$5&lt;&gt;"",IF('POINTAGE'!AF64="Présent",'POINTAGE'!AG64,0),0)))</f>
      </c>
      <c r="I64" s="24">
        <f>IF($A64="","",$F64*$D64)</f>
      </c>
      <c r="J64" s="24">
        <f>IF($A64="","",$H64*$E64)</f>
      </c>
      <c r="K64" s="25">
        <f>IF($A64="","",$I64+$J64)</f>
      </c>
      <c r="L64" s="18"/>
      <c r="M64" s="25">
        <f>IF($A64="","",MAX(0,$K64-$L64))</f>
      </c>
      <c r="N64" s="22">
        <f>IF($A64="","",SUM(IF('POINTAGE'!$AH$5&lt;&gt;"",--('POINTAGE'!AH64="Présent"),0),IF('POINTAGE'!$AJ$5&lt;&gt;"",--('POINTAGE'!AJ64="Présent"),0),IF('POINTAGE'!$AL$5&lt;&gt;"",--('POINTAGE'!AL64="Présent"),0),IF('POINTAGE'!$AN$5&lt;&gt;"",--('POINTAGE'!AN64="Présent"),0),IF('POINTAGE'!$AP$5&lt;&gt;"",--('POINTAGE'!AP64="Présent"),0),IF('POINTAGE'!$AR$5&lt;&gt;"",--('POINTAGE'!AR64="Présent"),0),IF('POINTAGE'!$AT$5&lt;&gt;"",--('POINTAGE'!AT64="Présent"),0),IF('POINTAGE'!$AV$5&lt;&gt;"",--('POINTAGE'!AV64="Présent"),0),IF('POINTAGE'!$AX$5&lt;&gt;"",--('POINTAGE'!AX64="Présent"),0),IF('POINTAGE'!$AZ$5&lt;&gt;"",--('POINTAGE'!AZ64="Présent"),0),IF('POINTAGE'!$BB$5&lt;&gt;"",--('POINTAGE'!BB64="Présent"),0),IF('POINTAGE'!$BD$5&lt;&gt;"",--('POINTAGE'!BD64="Présent"),0),IF('POINTAGE'!$BF$5&lt;&gt;"",--('POINTAGE'!BF64="Présent"),0),IF('POINTAGE'!$BH$5&lt;&gt;"",--('POINTAGE'!BH64="Présent"),0),IF('POINTAGE'!$BJ$5&lt;&gt;"",--('POINTAGE'!BJ64="Présent"),0),IF('POINTAGE'!$BL$5&lt;&gt;"",--('POINTAGE'!BL64="Présent"),0)))</f>
      </c>
      <c r="O64" s="22">
        <f>IF($A64="","",SUM(IF('POINTAGE'!$AH$5&lt;&gt;"",--('POINTAGE'!AH64="Absent"),0),IF('POINTAGE'!$AJ$5&lt;&gt;"",--('POINTAGE'!AJ64="Absent"),0),IF('POINTAGE'!$AL$5&lt;&gt;"",--('POINTAGE'!AL64="Absent"),0),IF('POINTAGE'!$AN$5&lt;&gt;"",--('POINTAGE'!AN64="Absent"),0),IF('POINTAGE'!$AP$5&lt;&gt;"",--('POINTAGE'!AP64="Absent"),0),IF('POINTAGE'!$AR$5&lt;&gt;"",--('POINTAGE'!AR64="Absent"),0),IF('POINTAGE'!$AT$5&lt;&gt;"",--('POINTAGE'!AT64="Absent"),0),IF('POINTAGE'!$AV$5&lt;&gt;"",--('POINTAGE'!AV64="Absent"),0),IF('POINTAGE'!$AX$5&lt;&gt;"",--('POINTAGE'!AX64="Absent"),0),IF('POINTAGE'!$AZ$5&lt;&gt;"",--('POINTAGE'!AZ64="Absent"),0),IF('POINTAGE'!$BB$5&lt;&gt;"",--('POINTAGE'!BB64="Absent"),0),IF('POINTAGE'!$BD$5&lt;&gt;"",--('POINTAGE'!BD64="Absent"),0),IF('POINTAGE'!$BF$5&lt;&gt;"",--('POINTAGE'!BF64="Absent"),0),IF('POINTAGE'!$BH$5&lt;&gt;"",--('POINTAGE'!BH64="Absent"),0),IF('POINTAGE'!$BJ$5&lt;&gt;"",--('POINTAGE'!BJ64="Absent"),0),IF('POINTAGE'!$BL$5&lt;&gt;"",--('POINTAGE'!BL64="Absent"),0)))</f>
      </c>
      <c r="P64" s="23">
        <f>IF($A64="","",SUM(IF('POINTAGE'!$AH$5&lt;&gt;"",IF('POINTAGE'!AH64="Présent",'POINTAGE'!AI64,0),0),IF('POINTAGE'!$AJ$5&lt;&gt;"",IF('POINTAGE'!AJ64="Présent",'POINTAGE'!AK64,0),0),IF('POINTAGE'!$AL$5&lt;&gt;"",IF('POINTAGE'!AL64="Présent",'POINTAGE'!AM64,0),0),IF('POINTAGE'!$AN$5&lt;&gt;"",IF('POINTAGE'!AN64="Présent",'POINTAGE'!AO64,0),0),IF('POINTAGE'!$AP$5&lt;&gt;"",IF('POINTAGE'!AP64="Présent",'POINTAGE'!AQ64,0),0),IF('POINTAGE'!$AR$5&lt;&gt;"",IF('POINTAGE'!AR64="Présent",'POINTAGE'!AS64,0),0),IF('POINTAGE'!$AT$5&lt;&gt;"",IF('POINTAGE'!AT64="Présent",'POINTAGE'!AU64,0),0),IF('POINTAGE'!$AV$5&lt;&gt;"",IF('POINTAGE'!AV64="Présent",'POINTAGE'!AW64,0),0),IF('POINTAGE'!$AX$5&lt;&gt;"",IF('POINTAGE'!AX64="Présent",'POINTAGE'!AY64,0),0),IF('POINTAGE'!$AZ$5&lt;&gt;"",IF('POINTAGE'!AZ64="Présent",'POINTAGE'!BA64,0),0),IF('POINTAGE'!$BB$5&lt;&gt;"",IF('POINTAGE'!BB64="Présent",'POINTAGE'!BC64,0),0),IF('POINTAGE'!$BD$5&lt;&gt;"",IF('POINTAGE'!BD64="Présent",'POINTAGE'!BE64,0),0),IF('POINTAGE'!$BF$5&lt;&gt;"",IF('POINTAGE'!BF64="Présent",'POINTAGE'!BG64,0),0),IF('POINTAGE'!$BH$5&lt;&gt;"",IF('POINTAGE'!BH64="Présent",'POINTAGE'!BI64,0),0),IF('POINTAGE'!$BJ$5&lt;&gt;"",IF('POINTAGE'!BJ64="Présent",'POINTAGE'!BK64,0),0),IF('POINTAGE'!$BL$5&lt;&gt;"",IF('POINTAGE'!BL64="Présent",'POINTAGE'!BM64,0),0)))</f>
      </c>
      <c r="Q64" s="24">
        <f>IF($A64="","",$N64*$D64)</f>
      </c>
      <c r="R64" s="24">
        <f>IF($A64="","",$P64*$E64)</f>
      </c>
      <c r="S64" s="25">
        <f>IF($A64="","",$Q64+$R64)</f>
      </c>
      <c r="T64" s="18"/>
      <c r="U64" s="25">
        <f>IF($A64="","",MAX(0,$S64-$T64))</f>
      </c>
      <c r="V64" s="25">
        <f>IF($A64="","",$K64+$S64)</f>
      </c>
      <c r="W64" s="24">
        <f>IF($A64="","",$L64+$T64)</f>
      </c>
      <c r="X64" s="25">
        <f>IF($A64="","",$M64+$U64)</f>
      </c>
      <c r="Y64" s="29">
        <f>IF($A64="","",$J64+$R64)</f>
      </c>
    </row>
    <row r="65">
      <c r="A65" s="20">
        <f>IF('POINTAGE'!A65="","",'POINTAGE'!A65)</f>
      </c>
      <c r="B65" s="19">
        <f>IF($A65="","",'POINTAGE'!B65)</f>
      </c>
      <c r="C65" s="20">
        <f>IF($A65="","",'POINTAGE'!C65)</f>
      </c>
      <c r="D65" s="24">
        <f>IF($A65="","",IFERROR(INDEX(Categories_Salaire,MATCH($C65,ListeCategories,0)),0))</f>
      </c>
      <c r="E65" s="24">
        <f>IF($A65="","",IF(IFERROR(INDEX(Categories_TauxHS,MATCH($C65,ListeCategories,0)),0)&gt;0,IFERROR(INDEX(Categories_TauxHS,MATCH($C65,ListeCategories,0)),0),TauxHSDefaut))</f>
      </c>
      <c r="F65" s="22">
        <f>IF($A65="","",SUM(IF('POINTAGE'!$D$5&lt;&gt;"",--('POINTAGE'!D65="Présent"),0),IF('POINTAGE'!$F$5&lt;&gt;"",--('POINTAGE'!F65="Présent"),0),IF('POINTAGE'!$H$5&lt;&gt;"",--('POINTAGE'!H65="Présent"),0),IF('POINTAGE'!$J$5&lt;&gt;"",--('POINTAGE'!J65="Présent"),0),IF('POINTAGE'!$L$5&lt;&gt;"",--('POINTAGE'!L65="Présent"),0),IF('POINTAGE'!$N$5&lt;&gt;"",--('POINTAGE'!N65="Présent"),0),IF('POINTAGE'!$P$5&lt;&gt;"",--('POINTAGE'!P65="Présent"),0),IF('POINTAGE'!$R$5&lt;&gt;"",--('POINTAGE'!R65="Présent"),0),IF('POINTAGE'!$T$5&lt;&gt;"",--('POINTAGE'!T65="Présent"),0),IF('POINTAGE'!$V$5&lt;&gt;"",--('POINTAGE'!V65="Présent"),0),IF('POINTAGE'!$X$5&lt;&gt;"",--('POINTAGE'!X65="Présent"),0),IF('POINTAGE'!$Z$5&lt;&gt;"",--('POINTAGE'!Z65="Présent"),0),IF('POINTAGE'!$AB$5&lt;&gt;"",--('POINTAGE'!AB65="Présent"),0),IF('POINTAGE'!$AD$5&lt;&gt;"",--('POINTAGE'!AD65="Présent"),0),IF('POINTAGE'!$AF$5&lt;&gt;"",--('POINTAGE'!AF65="Présent"),0)))</f>
      </c>
      <c r="G65" s="22">
        <f>IF($A65="","",SUM(IF('POINTAGE'!$D$5&lt;&gt;"",--('POINTAGE'!D65="Absent"),0),IF('POINTAGE'!$F$5&lt;&gt;"",--('POINTAGE'!F65="Absent"),0),IF('POINTAGE'!$H$5&lt;&gt;"",--('POINTAGE'!H65="Absent"),0),IF('POINTAGE'!$J$5&lt;&gt;"",--('POINTAGE'!J65="Absent"),0),IF('POINTAGE'!$L$5&lt;&gt;"",--('POINTAGE'!L65="Absent"),0),IF('POINTAGE'!$N$5&lt;&gt;"",--('POINTAGE'!N65="Absent"),0),IF('POINTAGE'!$P$5&lt;&gt;"",--('POINTAGE'!P65="Absent"),0),IF('POINTAGE'!$R$5&lt;&gt;"",--('POINTAGE'!R65="Absent"),0),IF('POINTAGE'!$T$5&lt;&gt;"",--('POINTAGE'!T65="Absent"),0),IF('POINTAGE'!$V$5&lt;&gt;"",--('POINTAGE'!V65="Absent"),0),IF('POINTAGE'!$X$5&lt;&gt;"",--('POINTAGE'!X65="Absent"),0),IF('POINTAGE'!$Z$5&lt;&gt;"",--('POINTAGE'!Z65="Absent"),0),IF('POINTAGE'!$AB$5&lt;&gt;"",--('POINTAGE'!AB65="Absent"),0),IF('POINTAGE'!$AD$5&lt;&gt;"",--('POINTAGE'!AD65="Absent"),0),IF('POINTAGE'!$AF$5&lt;&gt;"",--('POINTAGE'!AF65="Absent"),0)))</f>
      </c>
      <c r="H65" s="23">
        <f>IF($A65="","",SUM(IF('POINTAGE'!$D$5&lt;&gt;"",IF('POINTAGE'!D65="Présent",'POINTAGE'!E65,0),0),IF('POINTAGE'!$F$5&lt;&gt;"",IF('POINTAGE'!F65="Présent",'POINTAGE'!G65,0),0),IF('POINTAGE'!$H$5&lt;&gt;"",IF('POINTAGE'!H65="Présent",'POINTAGE'!I65,0),0),IF('POINTAGE'!$J$5&lt;&gt;"",IF('POINTAGE'!J65="Présent",'POINTAGE'!K65,0),0),IF('POINTAGE'!$L$5&lt;&gt;"",IF('POINTAGE'!L65="Présent",'POINTAGE'!M65,0),0),IF('POINTAGE'!$N$5&lt;&gt;"",IF('POINTAGE'!N65="Présent",'POINTAGE'!O65,0),0),IF('POINTAGE'!$P$5&lt;&gt;"",IF('POINTAGE'!P65="Présent",'POINTAGE'!Q65,0),0),IF('POINTAGE'!$R$5&lt;&gt;"",IF('POINTAGE'!R65="Présent",'POINTAGE'!S65,0),0),IF('POINTAGE'!$T$5&lt;&gt;"",IF('POINTAGE'!T65="Présent",'POINTAGE'!U65,0),0),IF('POINTAGE'!$V$5&lt;&gt;"",IF('POINTAGE'!V65="Présent",'POINTAGE'!W65,0),0),IF('POINTAGE'!$X$5&lt;&gt;"",IF('POINTAGE'!X65="Présent",'POINTAGE'!Y65,0),0),IF('POINTAGE'!$Z$5&lt;&gt;"",IF('POINTAGE'!Z65="Présent",'POINTAGE'!AA65,0),0),IF('POINTAGE'!$AB$5&lt;&gt;"",IF('POINTAGE'!AB65="Présent",'POINTAGE'!AC65,0),0),IF('POINTAGE'!$AD$5&lt;&gt;"",IF('POINTAGE'!AD65="Présent",'POINTAGE'!AE65,0),0),IF('POINTAGE'!$AF$5&lt;&gt;"",IF('POINTAGE'!AF65="Présent",'POINTAGE'!AG65,0),0)))</f>
      </c>
      <c r="I65" s="24">
        <f>IF($A65="","",$F65*$D65)</f>
      </c>
      <c r="J65" s="24">
        <f>IF($A65="","",$H65*$E65)</f>
      </c>
      <c r="K65" s="25">
        <f>IF($A65="","",$I65+$J65)</f>
      </c>
      <c r="L65" s="18"/>
      <c r="M65" s="25">
        <f>IF($A65="","",MAX(0,$K65-$L65))</f>
      </c>
      <c r="N65" s="22">
        <f>IF($A65="","",SUM(IF('POINTAGE'!$AH$5&lt;&gt;"",--('POINTAGE'!AH65="Présent"),0),IF('POINTAGE'!$AJ$5&lt;&gt;"",--('POINTAGE'!AJ65="Présent"),0),IF('POINTAGE'!$AL$5&lt;&gt;"",--('POINTAGE'!AL65="Présent"),0),IF('POINTAGE'!$AN$5&lt;&gt;"",--('POINTAGE'!AN65="Présent"),0),IF('POINTAGE'!$AP$5&lt;&gt;"",--('POINTAGE'!AP65="Présent"),0),IF('POINTAGE'!$AR$5&lt;&gt;"",--('POINTAGE'!AR65="Présent"),0),IF('POINTAGE'!$AT$5&lt;&gt;"",--('POINTAGE'!AT65="Présent"),0),IF('POINTAGE'!$AV$5&lt;&gt;"",--('POINTAGE'!AV65="Présent"),0),IF('POINTAGE'!$AX$5&lt;&gt;"",--('POINTAGE'!AX65="Présent"),0),IF('POINTAGE'!$AZ$5&lt;&gt;"",--('POINTAGE'!AZ65="Présent"),0),IF('POINTAGE'!$BB$5&lt;&gt;"",--('POINTAGE'!BB65="Présent"),0),IF('POINTAGE'!$BD$5&lt;&gt;"",--('POINTAGE'!BD65="Présent"),0),IF('POINTAGE'!$BF$5&lt;&gt;"",--('POINTAGE'!BF65="Présent"),0),IF('POINTAGE'!$BH$5&lt;&gt;"",--('POINTAGE'!BH65="Présent"),0),IF('POINTAGE'!$BJ$5&lt;&gt;"",--('POINTAGE'!BJ65="Présent"),0),IF('POINTAGE'!$BL$5&lt;&gt;"",--('POINTAGE'!BL65="Présent"),0)))</f>
      </c>
      <c r="O65" s="22">
        <f>IF($A65="","",SUM(IF('POINTAGE'!$AH$5&lt;&gt;"",--('POINTAGE'!AH65="Absent"),0),IF('POINTAGE'!$AJ$5&lt;&gt;"",--('POINTAGE'!AJ65="Absent"),0),IF('POINTAGE'!$AL$5&lt;&gt;"",--('POINTAGE'!AL65="Absent"),0),IF('POINTAGE'!$AN$5&lt;&gt;"",--('POINTAGE'!AN65="Absent"),0),IF('POINTAGE'!$AP$5&lt;&gt;"",--('POINTAGE'!AP65="Absent"),0),IF('POINTAGE'!$AR$5&lt;&gt;"",--('POINTAGE'!AR65="Absent"),0),IF('POINTAGE'!$AT$5&lt;&gt;"",--('POINTAGE'!AT65="Absent"),0),IF('POINTAGE'!$AV$5&lt;&gt;"",--('POINTAGE'!AV65="Absent"),0),IF('POINTAGE'!$AX$5&lt;&gt;"",--('POINTAGE'!AX65="Absent"),0),IF('POINTAGE'!$AZ$5&lt;&gt;"",--('POINTAGE'!AZ65="Absent"),0),IF('POINTAGE'!$BB$5&lt;&gt;"",--('POINTAGE'!BB65="Absent"),0),IF('POINTAGE'!$BD$5&lt;&gt;"",--('POINTAGE'!BD65="Absent"),0),IF('POINTAGE'!$BF$5&lt;&gt;"",--('POINTAGE'!BF65="Absent"),0),IF('POINTAGE'!$BH$5&lt;&gt;"",--('POINTAGE'!BH65="Absent"),0),IF('POINTAGE'!$BJ$5&lt;&gt;"",--('POINTAGE'!BJ65="Absent"),0),IF('POINTAGE'!$BL$5&lt;&gt;"",--('POINTAGE'!BL65="Absent"),0)))</f>
      </c>
      <c r="P65" s="23">
        <f>IF($A65="","",SUM(IF('POINTAGE'!$AH$5&lt;&gt;"",IF('POINTAGE'!AH65="Présent",'POINTAGE'!AI65,0),0),IF('POINTAGE'!$AJ$5&lt;&gt;"",IF('POINTAGE'!AJ65="Présent",'POINTAGE'!AK65,0),0),IF('POINTAGE'!$AL$5&lt;&gt;"",IF('POINTAGE'!AL65="Présent",'POINTAGE'!AM65,0),0),IF('POINTAGE'!$AN$5&lt;&gt;"",IF('POINTAGE'!AN65="Présent",'POINTAGE'!AO65,0),0),IF('POINTAGE'!$AP$5&lt;&gt;"",IF('POINTAGE'!AP65="Présent",'POINTAGE'!AQ65,0),0),IF('POINTAGE'!$AR$5&lt;&gt;"",IF('POINTAGE'!AR65="Présent",'POINTAGE'!AS65,0),0),IF('POINTAGE'!$AT$5&lt;&gt;"",IF('POINTAGE'!AT65="Présent",'POINTAGE'!AU65,0),0),IF('POINTAGE'!$AV$5&lt;&gt;"",IF('POINTAGE'!AV65="Présent",'POINTAGE'!AW65,0),0),IF('POINTAGE'!$AX$5&lt;&gt;"",IF('POINTAGE'!AX65="Présent",'POINTAGE'!AY65,0),0),IF('POINTAGE'!$AZ$5&lt;&gt;"",IF('POINTAGE'!AZ65="Présent",'POINTAGE'!BA65,0),0),IF('POINTAGE'!$BB$5&lt;&gt;"",IF('POINTAGE'!BB65="Présent",'POINTAGE'!BC65,0),0),IF('POINTAGE'!$BD$5&lt;&gt;"",IF('POINTAGE'!BD65="Présent",'POINTAGE'!BE65,0),0),IF('POINTAGE'!$BF$5&lt;&gt;"",IF('POINTAGE'!BF65="Présent",'POINTAGE'!BG65,0),0),IF('POINTAGE'!$BH$5&lt;&gt;"",IF('POINTAGE'!BH65="Présent",'POINTAGE'!BI65,0),0),IF('POINTAGE'!$BJ$5&lt;&gt;"",IF('POINTAGE'!BJ65="Présent",'POINTAGE'!BK65,0),0),IF('POINTAGE'!$BL$5&lt;&gt;"",IF('POINTAGE'!BL65="Présent",'POINTAGE'!BM65,0),0)))</f>
      </c>
      <c r="Q65" s="24">
        <f>IF($A65="","",$N65*$D65)</f>
      </c>
      <c r="R65" s="24">
        <f>IF($A65="","",$P65*$E65)</f>
      </c>
      <c r="S65" s="25">
        <f>IF($A65="","",$Q65+$R65)</f>
      </c>
      <c r="T65" s="18"/>
      <c r="U65" s="25">
        <f>IF($A65="","",MAX(0,$S65-$T65))</f>
      </c>
      <c r="V65" s="25">
        <f>IF($A65="","",$K65+$S65)</f>
      </c>
      <c r="W65" s="24">
        <f>IF($A65="","",$L65+$T65)</f>
      </c>
      <c r="X65" s="25">
        <f>IF($A65="","",$M65+$U65)</f>
      </c>
      <c r="Y65" s="29">
        <f>IF($A65="","",$J65+$R65)</f>
      </c>
    </row>
    <row r="66">
      <c r="A66" s="20">
        <f>IF('POINTAGE'!A66="","",'POINTAGE'!A66)</f>
      </c>
      <c r="B66" s="19">
        <f>IF($A66="","",'POINTAGE'!B66)</f>
      </c>
      <c r="C66" s="20">
        <f>IF($A66="","",'POINTAGE'!C66)</f>
      </c>
      <c r="D66" s="24">
        <f>IF($A66="","",IFERROR(INDEX(Categories_Salaire,MATCH($C66,ListeCategories,0)),0))</f>
      </c>
      <c r="E66" s="24">
        <f>IF($A66="","",IF(IFERROR(INDEX(Categories_TauxHS,MATCH($C66,ListeCategories,0)),0)&gt;0,IFERROR(INDEX(Categories_TauxHS,MATCH($C66,ListeCategories,0)),0),TauxHSDefaut))</f>
      </c>
      <c r="F66" s="22">
        <f>IF($A66="","",SUM(IF('POINTAGE'!$D$5&lt;&gt;"",--('POINTAGE'!D66="Présent"),0),IF('POINTAGE'!$F$5&lt;&gt;"",--('POINTAGE'!F66="Présent"),0),IF('POINTAGE'!$H$5&lt;&gt;"",--('POINTAGE'!H66="Présent"),0),IF('POINTAGE'!$J$5&lt;&gt;"",--('POINTAGE'!J66="Présent"),0),IF('POINTAGE'!$L$5&lt;&gt;"",--('POINTAGE'!L66="Présent"),0),IF('POINTAGE'!$N$5&lt;&gt;"",--('POINTAGE'!N66="Présent"),0),IF('POINTAGE'!$P$5&lt;&gt;"",--('POINTAGE'!P66="Présent"),0),IF('POINTAGE'!$R$5&lt;&gt;"",--('POINTAGE'!R66="Présent"),0),IF('POINTAGE'!$T$5&lt;&gt;"",--('POINTAGE'!T66="Présent"),0),IF('POINTAGE'!$V$5&lt;&gt;"",--('POINTAGE'!V66="Présent"),0),IF('POINTAGE'!$X$5&lt;&gt;"",--('POINTAGE'!X66="Présent"),0),IF('POINTAGE'!$Z$5&lt;&gt;"",--('POINTAGE'!Z66="Présent"),0),IF('POINTAGE'!$AB$5&lt;&gt;"",--('POINTAGE'!AB66="Présent"),0),IF('POINTAGE'!$AD$5&lt;&gt;"",--('POINTAGE'!AD66="Présent"),0),IF('POINTAGE'!$AF$5&lt;&gt;"",--('POINTAGE'!AF66="Présent"),0)))</f>
      </c>
      <c r="G66" s="22">
        <f>IF($A66="","",SUM(IF('POINTAGE'!$D$5&lt;&gt;"",--('POINTAGE'!D66="Absent"),0),IF('POINTAGE'!$F$5&lt;&gt;"",--('POINTAGE'!F66="Absent"),0),IF('POINTAGE'!$H$5&lt;&gt;"",--('POINTAGE'!H66="Absent"),0),IF('POINTAGE'!$J$5&lt;&gt;"",--('POINTAGE'!J66="Absent"),0),IF('POINTAGE'!$L$5&lt;&gt;"",--('POINTAGE'!L66="Absent"),0),IF('POINTAGE'!$N$5&lt;&gt;"",--('POINTAGE'!N66="Absent"),0),IF('POINTAGE'!$P$5&lt;&gt;"",--('POINTAGE'!P66="Absent"),0),IF('POINTAGE'!$R$5&lt;&gt;"",--('POINTAGE'!R66="Absent"),0),IF('POINTAGE'!$T$5&lt;&gt;"",--('POINTAGE'!T66="Absent"),0),IF('POINTAGE'!$V$5&lt;&gt;"",--('POINTAGE'!V66="Absent"),0),IF('POINTAGE'!$X$5&lt;&gt;"",--('POINTAGE'!X66="Absent"),0),IF('POINTAGE'!$Z$5&lt;&gt;"",--('POINTAGE'!Z66="Absent"),0),IF('POINTAGE'!$AB$5&lt;&gt;"",--('POINTAGE'!AB66="Absent"),0),IF('POINTAGE'!$AD$5&lt;&gt;"",--('POINTAGE'!AD66="Absent"),0),IF('POINTAGE'!$AF$5&lt;&gt;"",--('POINTAGE'!AF66="Absent"),0)))</f>
      </c>
      <c r="H66" s="23">
        <f>IF($A66="","",SUM(IF('POINTAGE'!$D$5&lt;&gt;"",IF('POINTAGE'!D66="Présent",'POINTAGE'!E66,0),0),IF('POINTAGE'!$F$5&lt;&gt;"",IF('POINTAGE'!F66="Présent",'POINTAGE'!G66,0),0),IF('POINTAGE'!$H$5&lt;&gt;"",IF('POINTAGE'!H66="Présent",'POINTAGE'!I66,0),0),IF('POINTAGE'!$J$5&lt;&gt;"",IF('POINTAGE'!J66="Présent",'POINTAGE'!K66,0),0),IF('POINTAGE'!$L$5&lt;&gt;"",IF('POINTAGE'!L66="Présent",'POINTAGE'!M66,0),0),IF('POINTAGE'!$N$5&lt;&gt;"",IF('POINTAGE'!N66="Présent",'POINTAGE'!O66,0),0),IF('POINTAGE'!$P$5&lt;&gt;"",IF('POINTAGE'!P66="Présent",'POINTAGE'!Q66,0),0),IF('POINTAGE'!$R$5&lt;&gt;"",IF('POINTAGE'!R66="Présent",'POINTAGE'!S66,0),0),IF('POINTAGE'!$T$5&lt;&gt;"",IF('POINTAGE'!T66="Présent",'POINTAGE'!U66,0),0),IF('POINTAGE'!$V$5&lt;&gt;"",IF('POINTAGE'!V66="Présent",'POINTAGE'!W66,0),0),IF('POINTAGE'!$X$5&lt;&gt;"",IF('POINTAGE'!X66="Présent",'POINTAGE'!Y66,0),0),IF('POINTAGE'!$Z$5&lt;&gt;"",IF('POINTAGE'!Z66="Présent",'POINTAGE'!AA66,0),0),IF('POINTAGE'!$AB$5&lt;&gt;"",IF('POINTAGE'!AB66="Présent",'POINTAGE'!AC66,0),0),IF('POINTAGE'!$AD$5&lt;&gt;"",IF('POINTAGE'!AD66="Présent",'POINTAGE'!AE66,0),0),IF('POINTAGE'!$AF$5&lt;&gt;"",IF('POINTAGE'!AF66="Présent",'POINTAGE'!AG66,0),0)))</f>
      </c>
      <c r="I66" s="24">
        <f>IF($A66="","",$F66*$D66)</f>
      </c>
      <c r="J66" s="24">
        <f>IF($A66="","",$H66*$E66)</f>
      </c>
      <c r="K66" s="25">
        <f>IF($A66="","",$I66+$J66)</f>
      </c>
      <c r="L66" s="18"/>
      <c r="M66" s="25">
        <f>IF($A66="","",MAX(0,$K66-$L66))</f>
      </c>
      <c r="N66" s="22">
        <f>IF($A66="","",SUM(IF('POINTAGE'!$AH$5&lt;&gt;"",--('POINTAGE'!AH66="Présent"),0),IF('POINTAGE'!$AJ$5&lt;&gt;"",--('POINTAGE'!AJ66="Présent"),0),IF('POINTAGE'!$AL$5&lt;&gt;"",--('POINTAGE'!AL66="Présent"),0),IF('POINTAGE'!$AN$5&lt;&gt;"",--('POINTAGE'!AN66="Présent"),0),IF('POINTAGE'!$AP$5&lt;&gt;"",--('POINTAGE'!AP66="Présent"),0),IF('POINTAGE'!$AR$5&lt;&gt;"",--('POINTAGE'!AR66="Présent"),0),IF('POINTAGE'!$AT$5&lt;&gt;"",--('POINTAGE'!AT66="Présent"),0),IF('POINTAGE'!$AV$5&lt;&gt;"",--('POINTAGE'!AV66="Présent"),0),IF('POINTAGE'!$AX$5&lt;&gt;"",--('POINTAGE'!AX66="Présent"),0),IF('POINTAGE'!$AZ$5&lt;&gt;"",--('POINTAGE'!AZ66="Présent"),0),IF('POINTAGE'!$BB$5&lt;&gt;"",--('POINTAGE'!BB66="Présent"),0),IF('POINTAGE'!$BD$5&lt;&gt;"",--('POINTAGE'!BD66="Présent"),0),IF('POINTAGE'!$BF$5&lt;&gt;"",--('POINTAGE'!BF66="Présent"),0),IF('POINTAGE'!$BH$5&lt;&gt;"",--('POINTAGE'!BH66="Présent"),0),IF('POINTAGE'!$BJ$5&lt;&gt;"",--('POINTAGE'!BJ66="Présent"),0),IF('POINTAGE'!$BL$5&lt;&gt;"",--('POINTAGE'!BL66="Présent"),0)))</f>
      </c>
      <c r="O66" s="22">
        <f>IF($A66="","",SUM(IF('POINTAGE'!$AH$5&lt;&gt;"",--('POINTAGE'!AH66="Absent"),0),IF('POINTAGE'!$AJ$5&lt;&gt;"",--('POINTAGE'!AJ66="Absent"),0),IF('POINTAGE'!$AL$5&lt;&gt;"",--('POINTAGE'!AL66="Absent"),0),IF('POINTAGE'!$AN$5&lt;&gt;"",--('POINTAGE'!AN66="Absent"),0),IF('POINTAGE'!$AP$5&lt;&gt;"",--('POINTAGE'!AP66="Absent"),0),IF('POINTAGE'!$AR$5&lt;&gt;"",--('POINTAGE'!AR66="Absent"),0),IF('POINTAGE'!$AT$5&lt;&gt;"",--('POINTAGE'!AT66="Absent"),0),IF('POINTAGE'!$AV$5&lt;&gt;"",--('POINTAGE'!AV66="Absent"),0),IF('POINTAGE'!$AX$5&lt;&gt;"",--('POINTAGE'!AX66="Absent"),0),IF('POINTAGE'!$AZ$5&lt;&gt;"",--('POINTAGE'!AZ66="Absent"),0),IF('POINTAGE'!$BB$5&lt;&gt;"",--('POINTAGE'!BB66="Absent"),0),IF('POINTAGE'!$BD$5&lt;&gt;"",--('POINTAGE'!BD66="Absent"),0),IF('POINTAGE'!$BF$5&lt;&gt;"",--('POINTAGE'!BF66="Absent"),0),IF('POINTAGE'!$BH$5&lt;&gt;"",--('POINTAGE'!BH66="Absent"),0),IF('POINTAGE'!$BJ$5&lt;&gt;"",--('POINTAGE'!BJ66="Absent"),0),IF('POINTAGE'!$BL$5&lt;&gt;"",--('POINTAGE'!BL66="Absent"),0)))</f>
      </c>
      <c r="P66" s="23">
        <f>IF($A66="","",SUM(IF('POINTAGE'!$AH$5&lt;&gt;"",IF('POINTAGE'!AH66="Présent",'POINTAGE'!AI66,0),0),IF('POINTAGE'!$AJ$5&lt;&gt;"",IF('POINTAGE'!AJ66="Présent",'POINTAGE'!AK66,0),0),IF('POINTAGE'!$AL$5&lt;&gt;"",IF('POINTAGE'!AL66="Présent",'POINTAGE'!AM66,0),0),IF('POINTAGE'!$AN$5&lt;&gt;"",IF('POINTAGE'!AN66="Présent",'POINTAGE'!AO66,0),0),IF('POINTAGE'!$AP$5&lt;&gt;"",IF('POINTAGE'!AP66="Présent",'POINTAGE'!AQ66,0),0),IF('POINTAGE'!$AR$5&lt;&gt;"",IF('POINTAGE'!AR66="Présent",'POINTAGE'!AS66,0),0),IF('POINTAGE'!$AT$5&lt;&gt;"",IF('POINTAGE'!AT66="Présent",'POINTAGE'!AU66,0),0),IF('POINTAGE'!$AV$5&lt;&gt;"",IF('POINTAGE'!AV66="Présent",'POINTAGE'!AW66,0),0),IF('POINTAGE'!$AX$5&lt;&gt;"",IF('POINTAGE'!AX66="Présent",'POINTAGE'!AY66,0),0),IF('POINTAGE'!$AZ$5&lt;&gt;"",IF('POINTAGE'!AZ66="Présent",'POINTAGE'!BA66,0),0),IF('POINTAGE'!$BB$5&lt;&gt;"",IF('POINTAGE'!BB66="Présent",'POINTAGE'!BC66,0),0),IF('POINTAGE'!$BD$5&lt;&gt;"",IF('POINTAGE'!BD66="Présent",'POINTAGE'!BE66,0),0),IF('POINTAGE'!$BF$5&lt;&gt;"",IF('POINTAGE'!BF66="Présent",'POINTAGE'!BG66,0),0),IF('POINTAGE'!$BH$5&lt;&gt;"",IF('POINTAGE'!BH66="Présent",'POINTAGE'!BI66,0),0),IF('POINTAGE'!$BJ$5&lt;&gt;"",IF('POINTAGE'!BJ66="Présent",'POINTAGE'!BK66,0),0),IF('POINTAGE'!$BL$5&lt;&gt;"",IF('POINTAGE'!BL66="Présent",'POINTAGE'!BM66,0),0)))</f>
      </c>
      <c r="Q66" s="24">
        <f>IF($A66="","",$N66*$D66)</f>
      </c>
      <c r="R66" s="24">
        <f>IF($A66="","",$P66*$E66)</f>
      </c>
      <c r="S66" s="25">
        <f>IF($A66="","",$Q66+$R66)</f>
      </c>
      <c r="T66" s="18"/>
      <c r="U66" s="25">
        <f>IF($A66="","",MAX(0,$S66-$T66))</f>
      </c>
      <c r="V66" s="25">
        <f>IF($A66="","",$K66+$S66)</f>
      </c>
      <c r="W66" s="24">
        <f>IF($A66="","",$L66+$T66)</f>
      </c>
      <c r="X66" s="25">
        <f>IF($A66="","",$M66+$U66)</f>
      </c>
      <c r="Y66" s="29">
        <f>IF($A66="","",$J66+$R66)</f>
      </c>
    </row>
    <row r="67">
      <c r="A67" s="20">
        <f>IF('POINTAGE'!A67="","",'POINTAGE'!A67)</f>
      </c>
      <c r="B67" s="19">
        <f>IF($A67="","",'POINTAGE'!B67)</f>
      </c>
      <c r="C67" s="20">
        <f>IF($A67="","",'POINTAGE'!C67)</f>
      </c>
      <c r="D67" s="24">
        <f>IF($A67="","",IFERROR(INDEX(Categories_Salaire,MATCH($C67,ListeCategories,0)),0))</f>
      </c>
      <c r="E67" s="24">
        <f>IF($A67="","",IF(IFERROR(INDEX(Categories_TauxHS,MATCH($C67,ListeCategories,0)),0)&gt;0,IFERROR(INDEX(Categories_TauxHS,MATCH($C67,ListeCategories,0)),0),TauxHSDefaut))</f>
      </c>
      <c r="F67" s="22">
        <f>IF($A67="","",SUM(IF('POINTAGE'!$D$5&lt;&gt;"",--('POINTAGE'!D67="Présent"),0),IF('POINTAGE'!$F$5&lt;&gt;"",--('POINTAGE'!F67="Présent"),0),IF('POINTAGE'!$H$5&lt;&gt;"",--('POINTAGE'!H67="Présent"),0),IF('POINTAGE'!$J$5&lt;&gt;"",--('POINTAGE'!J67="Présent"),0),IF('POINTAGE'!$L$5&lt;&gt;"",--('POINTAGE'!L67="Présent"),0),IF('POINTAGE'!$N$5&lt;&gt;"",--('POINTAGE'!N67="Présent"),0),IF('POINTAGE'!$P$5&lt;&gt;"",--('POINTAGE'!P67="Présent"),0),IF('POINTAGE'!$R$5&lt;&gt;"",--('POINTAGE'!R67="Présent"),0),IF('POINTAGE'!$T$5&lt;&gt;"",--('POINTAGE'!T67="Présent"),0),IF('POINTAGE'!$V$5&lt;&gt;"",--('POINTAGE'!V67="Présent"),0),IF('POINTAGE'!$X$5&lt;&gt;"",--('POINTAGE'!X67="Présent"),0),IF('POINTAGE'!$Z$5&lt;&gt;"",--('POINTAGE'!Z67="Présent"),0),IF('POINTAGE'!$AB$5&lt;&gt;"",--('POINTAGE'!AB67="Présent"),0),IF('POINTAGE'!$AD$5&lt;&gt;"",--('POINTAGE'!AD67="Présent"),0),IF('POINTAGE'!$AF$5&lt;&gt;"",--('POINTAGE'!AF67="Présent"),0)))</f>
      </c>
      <c r="G67" s="22">
        <f>IF($A67="","",SUM(IF('POINTAGE'!$D$5&lt;&gt;"",--('POINTAGE'!D67="Absent"),0),IF('POINTAGE'!$F$5&lt;&gt;"",--('POINTAGE'!F67="Absent"),0),IF('POINTAGE'!$H$5&lt;&gt;"",--('POINTAGE'!H67="Absent"),0),IF('POINTAGE'!$J$5&lt;&gt;"",--('POINTAGE'!J67="Absent"),0),IF('POINTAGE'!$L$5&lt;&gt;"",--('POINTAGE'!L67="Absent"),0),IF('POINTAGE'!$N$5&lt;&gt;"",--('POINTAGE'!N67="Absent"),0),IF('POINTAGE'!$P$5&lt;&gt;"",--('POINTAGE'!P67="Absent"),0),IF('POINTAGE'!$R$5&lt;&gt;"",--('POINTAGE'!R67="Absent"),0),IF('POINTAGE'!$T$5&lt;&gt;"",--('POINTAGE'!T67="Absent"),0),IF('POINTAGE'!$V$5&lt;&gt;"",--('POINTAGE'!V67="Absent"),0),IF('POINTAGE'!$X$5&lt;&gt;"",--('POINTAGE'!X67="Absent"),0),IF('POINTAGE'!$Z$5&lt;&gt;"",--('POINTAGE'!Z67="Absent"),0),IF('POINTAGE'!$AB$5&lt;&gt;"",--('POINTAGE'!AB67="Absent"),0),IF('POINTAGE'!$AD$5&lt;&gt;"",--('POINTAGE'!AD67="Absent"),0),IF('POINTAGE'!$AF$5&lt;&gt;"",--('POINTAGE'!AF67="Absent"),0)))</f>
      </c>
      <c r="H67" s="23">
        <f>IF($A67="","",SUM(IF('POINTAGE'!$D$5&lt;&gt;"",IF('POINTAGE'!D67="Présent",'POINTAGE'!E67,0),0),IF('POINTAGE'!$F$5&lt;&gt;"",IF('POINTAGE'!F67="Présent",'POINTAGE'!G67,0),0),IF('POINTAGE'!$H$5&lt;&gt;"",IF('POINTAGE'!H67="Présent",'POINTAGE'!I67,0),0),IF('POINTAGE'!$J$5&lt;&gt;"",IF('POINTAGE'!J67="Présent",'POINTAGE'!K67,0),0),IF('POINTAGE'!$L$5&lt;&gt;"",IF('POINTAGE'!L67="Présent",'POINTAGE'!M67,0),0),IF('POINTAGE'!$N$5&lt;&gt;"",IF('POINTAGE'!N67="Présent",'POINTAGE'!O67,0),0),IF('POINTAGE'!$P$5&lt;&gt;"",IF('POINTAGE'!P67="Présent",'POINTAGE'!Q67,0),0),IF('POINTAGE'!$R$5&lt;&gt;"",IF('POINTAGE'!R67="Présent",'POINTAGE'!S67,0),0),IF('POINTAGE'!$T$5&lt;&gt;"",IF('POINTAGE'!T67="Présent",'POINTAGE'!U67,0),0),IF('POINTAGE'!$V$5&lt;&gt;"",IF('POINTAGE'!V67="Présent",'POINTAGE'!W67,0),0),IF('POINTAGE'!$X$5&lt;&gt;"",IF('POINTAGE'!X67="Présent",'POINTAGE'!Y67,0),0),IF('POINTAGE'!$Z$5&lt;&gt;"",IF('POINTAGE'!Z67="Présent",'POINTAGE'!AA67,0),0),IF('POINTAGE'!$AB$5&lt;&gt;"",IF('POINTAGE'!AB67="Présent",'POINTAGE'!AC67,0),0),IF('POINTAGE'!$AD$5&lt;&gt;"",IF('POINTAGE'!AD67="Présent",'POINTAGE'!AE67,0),0),IF('POINTAGE'!$AF$5&lt;&gt;"",IF('POINTAGE'!AF67="Présent",'POINTAGE'!AG67,0),0)))</f>
      </c>
      <c r="I67" s="24">
        <f>IF($A67="","",$F67*$D67)</f>
      </c>
      <c r="J67" s="24">
        <f>IF($A67="","",$H67*$E67)</f>
      </c>
      <c r="K67" s="25">
        <f>IF($A67="","",$I67+$J67)</f>
      </c>
      <c r="L67" s="18"/>
      <c r="M67" s="25">
        <f>IF($A67="","",MAX(0,$K67-$L67))</f>
      </c>
      <c r="N67" s="22">
        <f>IF($A67="","",SUM(IF('POINTAGE'!$AH$5&lt;&gt;"",--('POINTAGE'!AH67="Présent"),0),IF('POINTAGE'!$AJ$5&lt;&gt;"",--('POINTAGE'!AJ67="Présent"),0),IF('POINTAGE'!$AL$5&lt;&gt;"",--('POINTAGE'!AL67="Présent"),0),IF('POINTAGE'!$AN$5&lt;&gt;"",--('POINTAGE'!AN67="Présent"),0),IF('POINTAGE'!$AP$5&lt;&gt;"",--('POINTAGE'!AP67="Présent"),0),IF('POINTAGE'!$AR$5&lt;&gt;"",--('POINTAGE'!AR67="Présent"),0),IF('POINTAGE'!$AT$5&lt;&gt;"",--('POINTAGE'!AT67="Présent"),0),IF('POINTAGE'!$AV$5&lt;&gt;"",--('POINTAGE'!AV67="Présent"),0),IF('POINTAGE'!$AX$5&lt;&gt;"",--('POINTAGE'!AX67="Présent"),0),IF('POINTAGE'!$AZ$5&lt;&gt;"",--('POINTAGE'!AZ67="Présent"),0),IF('POINTAGE'!$BB$5&lt;&gt;"",--('POINTAGE'!BB67="Présent"),0),IF('POINTAGE'!$BD$5&lt;&gt;"",--('POINTAGE'!BD67="Présent"),0),IF('POINTAGE'!$BF$5&lt;&gt;"",--('POINTAGE'!BF67="Présent"),0),IF('POINTAGE'!$BH$5&lt;&gt;"",--('POINTAGE'!BH67="Présent"),0),IF('POINTAGE'!$BJ$5&lt;&gt;"",--('POINTAGE'!BJ67="Présent"),0),IF('POINTAGE'!$BL$5&lt;&gt;"",--('POINTAGE'!BL67="Présent"),0)))</f>
      </c>
      <c r="O67" s="22">
        <f>IF($A67="","",SUM(IF('POINTAGE'!$AH$5&lt;&gt;"",--('POINTAGE'!AH67="Absent"),0),IF('POINTAGE'!$AJ$5&lt;&gt;"",--('POINTAGE'!AJ67="Absent"),0),IF('POINTAGE'!$AL$5&lt;&gt;"",--('POINTAGE'!AL67="Absent"),0),IF('POINTAGE'!$AN$5&lt;&gt;"",--('POINTAGE'!AN67="Absent"),0),IF('POINTAGE'!$AP$5&lt;&gt;"",--('POINTAGE'!AP67="Absent"),0),IF('POINTAGE'!$AR$5&lt;&gt;"",--('POINTAGE'!AR67="Absent"),0),IF('POINTAGE'!$AT$5&lt;&gt;"",--('POINTAGE'!AT67="Absent"),0),IF('POINTAGE'!$AV$5&lt;&gt;"",--('POINTAGE'!AV67="Absent"),0),IF('POINTAGE'!$AX$5&lt;&gt;"",--('POINTAGE'!AX67="Absent"),0),IF('POINTAGE'!$AZ$5&lt;&gt;"",--('POINTAGE'!AZ67="Absent"),0),IF('POINTAGE'!$BB$5&lt;&gt;"",--('POINTAGE'!BB67="Absent"),0),IF('POINTAGE'!$BD$5&lt;&gt;"",--('POINTAGE'!BD67="Absent"),0),IF('POINTAGE'!$BF$5&lt;&gt;"",--('POINTAGE'!BF67="Absent"),0),IF('POINTAGE'!$BH$5&lt;&gt;"",--('POINTAGE'!BH67="Absent"),0),IF('POINTAGE'!$BJ$5&lt;&gt;"",--('POINTAGE'!BJ67="Absent"),0),IF('POINTAGE'!$BL$5&lt;&gt;"",--('POINTAGE'!BL67="Absent"),0)))</f>
      </c>
      <c r="P67" s="23">
        <f>IF($A67="","",SUM(IF('POINTAGE'!$AH$5&lt;&gt;"",IF('POINTAGE'!AH67="Présent",'POINTAGE'!AI67,0),0),IF('POINTAGE'!$AJ$5&lt;&gt;"",IF('POINTAGE'!AJ67="Présent",'POINTAGE'!AK67,0),0),IF('POINTAGE'!$AL$5&lt;&gt;"",IF('POINTAGE'!AL67="Présent",'POINTAGE'!AM67,0),0),IF('POINTAGE'!$AN$5&lt;&gt;"",IF('POINTAGE'!AN67="Présent",'POINTAGE'!AO67,0),0),IF('POINTAGE'!$AP$5&lt;&gt;"",IF('POINTAGE'!AP67="Présent",'POINTAGE'!AQ67,0),0),IF('POINTAGE'!$AR$5&lt;&gt;"",IF('POINTAGE'!AR67="Présent",'POINTAGE'!AS67,0),0),IF('POINTAGE'!$AT$5&lt;&gt;"",IF('POINTAGE'!AT67="Présent",'POINTAGE'!AU67,0),0),IF('POINTAGE'!$AV$5&lt;&gt;"",IF('POINTAGE'!AV67="Présent",'POINTAGE'!AW67,0),0),IF('POINTAGE'!$AX$5&lt;&gt;"",IF('POINTAGE'!AX67="Présent",'POINTAGE'!AY67,0),0),IF('POINTAGE'!$AZ$5&lt;&gt;"",IF('POINTAGE'!AZ67="Présent",'POINTAGE'!BA67,0),0),IF('POINTAGE'!$BB$5&lt;&gt;"",IF('POINTAGE'!BB67="Présent",'POINTAGE'!BC67,0),0),IF('POINTAGE'!$BD$5&lt;&gt;"",IF('POINTAGE'!BD67="Présent",'POINTAGE'!BE67,0),0),IF('POINTAGE'!$BF$5&lt;&gt;"",IF('POINTAGE'!BF67="Présent",'POINTAGE'!BG67,0),0),IF('POINTAGE'!$BH$5&lt;&gt;"",IF('POINTAGE'!BH67="Présent",'POINTAGE'!BI67,0),0),IF('POINTAGE'!$BJ$5&lt;&gt;"",IF('POINTAGE'!BJ67="Présent",'POINTAGE'!BK67,0),0),IF('POINTAGE'!$BL$5&lt;&gt;"",IF('POINTAGE'!BL67="Présent",'POINTAGE'!BM67,0),0)))</f>
      </c>
      <c r="Q67" s="24">
        <f>IF($A67="","",$N67*$D67)</f>
      </c>
      <c r="R67" s="24">
        <f>IF($A67="","",$P67*$E67)</f>
      </c>
      <c r="S67" s="25">
        <f>IF($A67="","",$Q67+$R67)</f>
      </c>
      <c r="T67" s="18"/>
      <c r="U67" s="25">
        <f>IF($A67="","",MAX(0,$S67-$T67))</f>
      </c>
      <c r="V67" s="25">
        <f>IF($A67="","",$K67+$S67)</f>
      </c>
      <c r="W67" s="24">
        <f>IF($A67="","",$L67+$T67)</f>
      </c>
      <c r="X67" s="25">
        <f>IF($A67="","",$M67+$U67)</f>
      </c>
      <c r="Y67" s="29">
        <f>IF($A67="","",$J67+$R67)</f>
      </c>
    </row>
    <row r="68">
      <c r="A68" s="20">
        <f>IF('POINTAGE'!A68="","",'POINTAGE'!A68)</f>
      </c>
      <c r="B68" s="19">
        <f>IF($A68="","",'POINTAGE'!B68)</f>
      </c>
      <c r="C68" s="20">
        <f>IF($A68="","",'POINTAGE'!C68)</f>
      </c>
      <c r="D68" s="24">
        <f>IF($A68="","",IFERROR(INDEX(Categories_Salaire,MATCH($C68,ListeCategories,0)),0))</f>
      </c>
      <c r="E68" s="24">
        <f>IF($A68="","",IF(IFERROR(INDEX(Categories_TauxHS,MATCH($C68,ListeCategories,0)),0)&gt;0,IFERROR(INDEX(Categories_TauxHS,MATCH($C68,ListeCategories,0)),0),TauxHSDefaut))</f>
      </c>
      <c r="F68" s="22">
        <f>IF($A68="","",SUM(IF('POINTAGE'!$D$5&lt;&gt;"",--('POINTAGE'!D68="Présent"),0),IF('POINTAGE'!$F$5&lt;&gt;"",--('POINTAGE'!F68="Présent"),0),IF('POINTAGE'!$H$5&lt;&gt;"",--('POINTAGE'!H68="Présent"),0),IF('POINTAGE'!$J$5&lt;&gt;"",--('POINTAGE'!J68="Présent"),0),IF('POINTAGE'!$L$5&lt;&gt;"",--('POINTAGE'!L68="Présent"),0),IF('POINTAGE'!$N$5&lt;&gt;"",--('POINTAGE'!N68="Présent"),0),IF('POINTAGE'!$P$5&lt;&gt;"",--('POINTAGE'!P68="Présent"),0),IF('POINTAGE'!$R$5&lt;&gt;"",--('POINTAGE'!R68="Présent"),0),IF('POINTAGE'!$T$5&lt;&gt;"",--('POINTAGE'!T68="Présent"),0),IF('POINTAGE'!$V$5&lt;&gt;"",--('POINTAGE'!V68="Présent"),0),IF('POINTAGE'!$X$5&lt;&gt;"",--('POINTAGE'!X68="Présent"),0),IF('POINTAGE'!$Z$5&lt;&gt;"",--('POINTAGE'!Z68="Présent"),0),IF('POINTAGE'!$AB$5&lt;&gt;"",--('POINTAGE'!AB68="Présent"),0),IF('POINTAGE'!$AD$5&lt;&gt;"",--('POINTAGE'!AD68="Présent"),0),IF('POINTAGE'!$AF$5&lt;&gt;"",--('POINTAGE'!AF68="Présent"),0)))</f>
      </c>
      <c r="G68" s="22">
        <f>IF($A68="","",SUM(IF('POINTAGE'!$D$5&lt;&gt;"",--('POINTAGE'!D68="Absent"),0),IF('POINTAGE'!$F$5&lt;&gt;"",--('POINTAGE'!F68="Absent"),0),IF('POINTAGE'!$H$5&lt;&gt;"",--('POINTAGE'!H68="Absent"),0),IF('POINTAGE'!$J$5&lt;&gt;"",--('POINTAGE'!J68="Absent"),0),IF('POINTAGE'!$L$5&lt;&gt;"",--('POINTAGE'!L68="Absent"),0),IF('POINTAGE'!$N$5&lt;&gt;"",--('POINTAGE'!N68="Absent"),0),IF('POINTAGE'!$P$5&lt;&gt;"",--('POINTAGE'!P68="Absent"),0),IF('POINTAGE'!$R$5&lt;&gt;"",--('POINTAGE'!R68="Absent"),0),IF('POINTAGE'!$T$5&lt;&gt;"",--('POINTAGE'!T68="Absent"),0),IF('POINTAGE'!$V$5&lt;&gt;"",--('POINTAGE'!V68="Absent"),0),IF('POINTAGE'!$X$5&lt;&gt;"",--('POINTAGE'!X68="Absent"),0),IF('POINTAGE'!$Z$5&lt;&gt;"",--('POINTAGE'!Z68="Absent"),0),IF('POINTAGE'!$AB$5&lt;&gt;"",--('POINTAGE'!AB68="Absent"),0),IF('POINTAGE'!$AD$5&lt;&gt;"",--('POINTAGE'!AD68="Absent"),0),IF('POINTAGE'!$AF$5&lt;&gt;"",--('POINTAGE'!AF68="Absent"),0)))</f>
      </c>
      <c r="H68" s="23">
        <f>IF($A68="","",SUM(IF('POINTAGE'!$D$5&lt;&gt;"",IF('POINTAGE'!D68="Présent",'POINTAGE'!E68,0),0),IF('POINTAGE'!$F$5&lt;&gt;"",IF('POINTAGE'!F68="Présent",'POINTAGE'!G68,0),0),IF('POINTAGE'!$H$5&lt;&gt;"",IF('POINTAGE'!H68="Présent",'POINTAGE'!I68,0),0),IF('POINTAGE'!$J$5&lt;&gt;"",IF('POINTAGE'!J68="Présent",'POINTAGE'!K68,0),0),IF('POINTAGE'!$L$5&lt;&gt;"",IF('POINTAGE'!L68="Présent",'POINTAGE'!M68,0),0),IF('POINTAGE'!$N$5&lt;&gt;"",IF('POINTAGE'!N68="Présent",'POINTAGE'!O68,0),0),IF('POINTAGE'!$P$5&lt;&gt;"",IF('POINTAGE'!P68="Présent",'POINTAGE'!Q68,0),0),IF('POINTAGE'!$R$5&lt;&gt;"",IF('POINTAGE'!R68="Présent",'POINTAGE'!S68,0),0),IF('POINTAGE'!$T$5&lt;&gt;"",IF('POINTAGE'!T68="Présent",'POINTAGE'!U68,0),0),IF('POINTAGE'!$V$5&lt;&gt;"",IF('POINTAGE'!V68="Présent",'POINTAGE'!W68,0),0),IF('POINTAGE'!$X$5&lt;&gt;"",IF('POINTAGE'!X68="Présent",'POINTAGE'!Y68,0),0),IF('POINTAGE'!$Z$5&lt;&gt;"",IF('POINTAGE'!Z68="Présent",'POINTAGE'!AA68,0),0),IF('POINTAGE'!$AB$5&lt;&gt;"",IF('POINTAGE'!AB68="Présent",'POINTAGE'!AC68,0),0),IF('POINTAGE'!$AD$5&lt;&gt;"",IF('POINTAGE'!AD68="Présent",'POINTAGE'!AE68,0),0),IF('POINTAGE'!$AF$5&lt;&gt;"",IF('POINTAGE'!AF68="Présent",'POINTAGE'!AG68,0),0)))</f>
      </c>
      <c r="I68" s="24">
        <f>IF($A68="","",$F68*$D68)</f>
      </c>
      <c r="J68" s="24">
        <f>IF($A68="","",$H68*$E68)</f>
      </c>
      <c r="K68" s="25">
        <f>IF($A68="","",$I68+$J68)</f>
      </c>
      <c r="L68" s="18"/>
      <c r="M68" s="25">
        <f>IF($A68="","",MAX(0,$K68-$L68))</f>
      </c>
      <c r="N68" s="22">
        <f>IF($A68="","",SUM(IF('POINTAGE'!$AH$5&lt;&gt;"",--('POINTAGE'!AH68="Présent"),0),IF('POINTAGE'!$AJ$5&lt;&gt;"",--('POINTAGE'!AJ68="Présent"),0),IF('POINTAGE'!$AL$5&lt;&gt;"",--('POINTAGE'!AL68="Présent"),0),IF('POINTAGE'!$AN$5&lt;&gt;"",--('POINTAGE'!AN68="Présent"),0),IF('POINTAGE'!$AP$5&lt;&gt;"",--('POINTAGE'!AP68="Présent"),0),IF('POINTAGE'!$AR$5&lt;&gt;"",--('POINTAGE'!AR68="Présent"),0),IF('POINTAGE'!$AT$5&lt;&gt;"",--('POINTAGE'!AT68="Présent"),0),IF('POINTAGE'!$AV$5&lt;&gt;"",--('POINTAGE'!AV68="Présent"),0),IF('POINTAGE'!$AX$5&lt;&gt;"",--('POINTAGE'!AX68="Présent"),0),IF('POINTAGE'!$AZ$5&lt;&gt;"",--('POINTAGE'!AZ68="Présent"),0),IF('POINTAGE'!$BB$5&lt;&gt;"",--('POINTAGE'!BB68="Présent"),0),IF('POINTAGE'!$BD$5&lt;&gt;"",--('POINTAGE'!BD68="Présent"),0),IF('POINTAGE'!$BF$5&lt;&gt;"",--('POINTAGE'!BF68="Présent"),0),IF('POINTAGE'!$BH$5&lt;&gt;"",--('POINTAGE'!BH68="Présent"),0),IF('POINTAGE'!$BJ$5&lt;&gt;"",--('POINTAGE'!BJ68="Présent"),0),IF('POINTAGE'!$BL$5&lt;&gt;"",--('POINTAGE'!BL68="Présent"),0)))</f>
      </c>
      <c r="O68" s="22">
        <f>IF($A68="","",SUM(IF('POINTAGE'!$AH$5&lt;&gt;"",--('POINTAGE'!AH68="Absent"),0),IF('POINTAGE'!$AJ$5&lt;&gt;"",--('POINTAGE'!AJ68="Absent"),0),IF('POINTAGE'!$AL$5&lt;&gt;"",--('POINTAGE'!AL68="Absent"),0),IF('POINTAGE'!$AN$5&lt;&gt;"",--('POINTAGE'!AN68="Absent"),0),IF('POINTAGE'!$AP$5&lt;&gt;"",--('POINTAGE'!AP68="Absent"),0),IF('POINTAGE'!$AR$5&lt;&gt;"",--('POINTAGE'!AR68="Absent"),0),IF('POINTAGE'!$AT$5&lt;&gt;"",--('POINTAGE'!AT68="Absent"),0),IF('POINTAGE'!$AV$5&lt;&gt;"",--('POINTAGE'!AV68="Absent"),0),IF('POINTAGE'!$AX$5&lt;&gt;"",--('POINTAGE'!AX68="Absent"),0),IF('POINTAGE'!$AZ$5&lt;&gt;"",--('POINTAGE'!AZ68="Absent"),0),IF('POINTAGE'!$BB$5&lt;&gt;"",--('POINTAGE'!BB68="Absent"),0),IF('POINTAGE'!$BD$5&lt;&gt;"",--('POINTAGE'!BD68="Absent"),0),IF('POINTAGE'!$BF$5&lt;&gt;"",--('POINTAGE'!BF68="Absent"),0),IF('POINTAGE'!$BH$5&lt;&gt;"",--('POINTAGE'!BH68="Absent"),0),IF('POINTAGE'!$BJ$5&lt;&gt;"",--('POINTAGE'!BJ68="Absent"),0),IF('POINTAGE'!$BL$5&lt;&gt;"",--('POINTAGE'!BL68="Absent"),0)))</f>
      </c>
      <c r="P68" s="23">
        <f>IF($A68="","",SUM(IF('POINTAGE'!$AH$5&lt;&gt;"",IF('POINTAGE'!AH68="Présent",'POINTAGE'!AI68,0),0),IF('POINTAGE'!$AJ$5&lt;&gt;"",IF('POINTAGE'!AJ68="Présent",'POINTAGE'!AK68,0),0),IF('POINTAGE'!$AL$5&lt;&gt;"",IF('POINTAGE'!AL68="Présent",'POINTAGE'!AM68,0),0),IF('POINTAGE'!$AN$5&lt;&gt;"",IF('POINTAGE'!AN68="Présent",'POINTAGE'!AO68,0),0),IF('POINTAGE'!$AP$5&lt;&gt;"",IF('POINTAGE'!AP68="Présent",'POINTAGE'!AQ68,0),0),IF('POINTAGE'!$AR$5&lt;&gt;"",IF('POINTAGE'!AR68="Présent",'POINTAGE'!AS68,0),0),IF('POINTAGE'!$AT$5&lt;&gt;"",IF('POINTAGE'!AT68="Présent",'POINTAGE'!AU68,0),0),IF('POINTAGE'!$AV$5&lt;&gt;"",IF('POINTAGE'!AV68="Présent",'POINTAGE'!AW68,0),0),IF('POINTAGE'!$AX$5&lt;&gt;"",IF('POINTAGE'!AX68="Présent",'POINTAGE'!AY68,0),0),IF('POINTAGE'!$AZ$5&lt;&gt;"",IF('POINTAGE'!AZ68="Présent",'POINTAGE'!BA68,0),0),IF('POINTAGE'!$BB$5&lt;&gt;"",IF('POINTAGE'!BB68="Présent",'POINTAGE'!BC68,0),0),IF('POINTAGE'!$BD$5&lt;&gt;"",IF('POINTAGE'!BD68="Présent",'POINTAGE'!BE68,0),0),IF('POINTAGE'!$BF$5&lt;&gt;"",IF('POINTAGE'!BF68="Présent",'POINTAGE'!BG68,0),0),IF('POINTAGE'!$BH$5&lt;&gt;"",IF('POINTAGE'!BH68="Présent",'POINTAGE'!BI68,0),0),IF('POINTAGE'!$BJ$5&lt;&gt;"",IF('POINTAGE'!BJ68="Présent",'POINTAGE'!BK68,0),0),IF('POINTAGE'!$BL$5&lt;&gt;"",IF('POINTAGE'!BL68="Présent",'POINTAGE'!BM68,0),0)))</f>
      </c>
      <c r="Q68" s="24">
        <f>IF($A68="","",$N68*$D68)</f>
      </c>
      <c r="R68" s="24">
        <f>IF($A68="","",$P68*$E68)</f>
      </c>
      <c r="S68" s="25">
        <f>IF($A68="","",$Q68+$R68)</f>
      </c>
      <c r="T68" s="18"/>
      <c r="U68" s="25">
        <f>IF($A68="","",MAX(0,$S68-$T68))</f>
      </c>
      <c r="V68" s="25">
        <f>IF($A68="","",$K68+$S68)</f>
      </c>
      <c r="W68" s="24">
        <f>IF($A68="","",$L68+$T68)</f>
      </c>
      <c r="X68" s="25">
        <f>IF($A68="","",$M68+$U68)</f>
      </c>
      <c r="Y68" s="29">
        <f>IF($A68="","",$J68+$R68)</f>
      </c>
    </row>
    <row r="69">
      <c r="A69" s="20">
        <f>IF('POINTAGE'!A69="","",'POINTAGE'!A69)</f>
      </c>
      <c r="B69" s="19">
        <f>IF($A69="","",'POINTAGE'!B69)</f>
      </c>
      <c r="C69" s="20">
        <f>IF($A69="","",'POINTAGE'!C69)</f>
      </c>
      <c r="D69" s="24">
        <f>IF($A69="","",IFERROR(INDEX(Categories_Salaire,MATCH($C69,ListeCategories,0)),0))</f>
      </c>
      <c r="E69" s="24">
        <f>IF($A69="","",IF(IFERROR(INDEX(Categories_TauxHS,MATCH($C69,ListeCategories,0)),0)&gt;0,IFERROR(INDEX(Categories_TauxHS,MATCH($C69,ListeCategories,0)),0),TauxHSDefaut))</f>
      </c>
      <c r="F69" s="22">
        <f>IF($A69="","",SUM(IF('POINTAGE'!$D$5&lt;&gt;"",--('POINTAGE'!D69="Présent"),0),IF('POINTAGE'!$F$5&lt;&gt;"",--('POINTAGE'!F69="Présent"),0),IF('POINTAGE'!$H$5&lt;&gt;"",--('POINTAGE'!H69="Présent"),0),IF('POINTAGE'!$J$5&lt;&gt;"",--('POINTAGE'!J69="Présent"),0),IF('POINTAGE'!$L$5&lt;&gt;"",--('POINTAGE'!L69="Présent"),0),IF('POINTAGE'!$N$5&lt;&gt;"",--('POINTAGE'!N69="Présent"),0),IF('POINTAGE'!$P$5&lt;&gt;"",--('POINTAGE'!P69="Présent"),0),IF('POINTAGE'!$R$5&lt;&gt;"",--('POINTAGE'!R69="Présent"),0),IF('POINTAGE'!$T$5&lt;&gt;"",--('POINTAGE'!T69="Présent"),0),IF('POINTAGE'!$V$5&lt;&gt;"",--('POINTAGE'!V69="Présent"),0),IF('POINTAGE'!$X$5&lt;&gt;"",--('POINTAGE'!X69="Présent"),0),IF('POINTAGE'!$Z$5&lt;&gt;"",--('POINTAGE'!Z69="Présent"),0),IF('POINTAGE'!$AB$5&lt;&gt;"",--('POINTAGE'!AB69="Présent"),0),IF('POINTAGE'!$AD$5&lt;&gt;"",--('POINTAGE'!AD69="Présent"),0),IF('POINTAGE'!$AF$5&lt;&gt;"",--('POINTAGE'!AF69="Présent"),0)))</f>
      </c>
      <c r="G69" s="22">
        <f>IF($A69="","",SUM(IF('POINTAGE'!$D$5&lt;&gt;"",--('POINTAGE'!D69="Absent"),0),IF('POINTAGE'!$F$5&lt;&gt;"",--('POINTAGE'!F69="Absent"),0),IF('POINTAGE'!$H$5&lt;&gt;"",--('POINTAGE'!H69="Absent"),0),IF('POINTAGE'!$J$5&lt;&gt;"",--('POINTAGE'!J69="Absent"),0),IF('POINTAGE'!$L$5&lt;&gt;"",--('POINTAGE'!L69="Absent"),0),IF('POINTAGE'!$N$5&lt;&gt;"",--('POINTAGE'!N69="Absent"),0),IF('POINTAGE'!$P$5&lt;&gt;"",--('POINTAGE'!P69="Absent"),0),IF('POINTAGE'!$R$5&lt;&gt;"",--('POINTAGE'!R69="Absent"),0),IF('POINTAGE'!$T$5&lt;&gt;"",--('POINTAGE'!T69="Absent"),0),IF('POINTAGE'!$V$5&lt;&gt;"",--('POINTAGE'!V69="Absent"),0),IF('POINTAGE'!$X$5&lt;&gt;"",--('POINTAGE'!X69="Absent"),0),IF('POINTAGE'!$Z$5&lt;&gt;"",--('POINTAGE'!Z69="Absent"),0),IF('POINTAGE'!$AB$5&lt;&gt;"",--('POINTAGE'!AB69="Absent"),0),IF('POINTAGE'!$AD$5&lt;&gt;"",--('POINTAGE'!AD69="Absent"),0),IF('POINTAGE'!$AF$5&lt;&gt;"",--('POINTAGE'!AF69="Absent"),0)))</f>
      </c>
      <c r="H69" s="23">
        <f>IF($A69="","",SUM(IF('POINTAGE'!$D$5&lt;&gt;"",IF('POINTAGE'!D69="Présent",'POINTAGE'!E69,0),0),IF('POINTAGE'!$F$5&lt;&gt;"",IF('POINTAGE'!F69="Présent",'POINTAGE'!G69,0),0),IF('POINTAGE'!$H$5&lt;&gt;"",IF('POINTAGE'!H69="Présent",'POINTAGE'!I69,0),0),IF('POINTAGE'!$J$5&lt;&gt;"",IF('POINTAGE'!J69="Présent",'POINTAGE'!K69,0),0),IF('POINTAGE'!$L$5&lt;&gt;"",IF('POINTAGE'!L69="Présent",'POINTAGE'!M69,0),0),IF('POINTAGE'!$N$5&lt;&gt;"",IF('POINTAGE'!N69="Présent",'POINTAGE'!O69,0),0),IF('POINTAGE'!$P$5&lt;&gt;"",IF('POINTAGE'!P69="Présent",'POINTAGE'!Q69,0),0),IF('POINTAGE'!$R$5&lt;&gt;"",IF('POINTAGE'!R69="Présent",'POINTAGE'!S69,0),0),IF('POINTAGE'!$T$5&lt;&gt;"",IF('POINTAGE'!T69="Présent",'POINTAGE'!U69,0),0),IF('POINTAGE'!$V$5&lt;&gt;"",IF('POINTAGE'!V69="Présent",'POINTAGE'!W69,0),0),IF('POINTAGE'!$X$5&lt;&gt;"",IF('POINTAGE'!X69="Présent",'POINTAGE'!Y69,0),0),IF('POINTAGE'!$Z$5&lt;&gt;"",IF('POINTAGE'!Z69="Présent",'POINTAGE'!AA69,0),0),IF('POINTAGE'!$AB$5&lt;&gt;"",IF('POINTAGE'!AB69="Présent",'POINTAGE'!AC69,0),0),IF('POINTAGE'!$AD$5&lt;&gt;"",IF('POINTAGE'!AD69="Présent",'POINTAGE'!AE69,0),0),IF('POINTAGE'!$AF$5&lt;&gt;"",IF('POINTAGE'!AF69="Présent",'POINTAGE'!AG69,0),0)))</f>
      </c>
      <c r="I69" s="24">
        <f>IF($A69="","",$F69*$D69)</f>
      </c>
      <c r="J69" s="24">
        <f>IF($A69="","",$H69*$E69)</f>
      </c>
      <c r="K69" s="25">
        <f>IF($A69="","",$I69+$J69)</f>
      </c>
      <c r="L69" s="18"/>
      <c r="M69" s="25">
        <f>IF($A69="","",MAX(0,$K69-$L69))</f>
      </c>
      <c r="N69" s="22">
        <f>IF($A69="","",SUM(IF('POINTAGE'!$AH$5&lt;&gt;"",--('POINTAGE'!AH69="Présent"),0),IF('POINTAGE'!$AJ$5&lt;&gt;"",--('POINTAGE'!AJ69="Présent"),0),IF('POINTAGE'!$AL$5&lt;&gt;"",--('POINTAGE'!AL69="Présent"),0),IF('POINTAGE'!$AN$5&lt;&gt;"",--('POINTAGE'!AN69="Présent"),0),IF('POINTAGE'!$AP$5&lt;&gt;"",--('POINTAGE'!AP69="Présent"),0),IF('POINTAGE'!$AR$5&lt;&gt;"",--('POINTAGE'!AR69="Présent"),0),IF('POINTAGE'!$AT$5&lt;&gt;"",--('POINTAGE'!AT69="Présent"),0),IF('POINTAGE'!$AV$5&lt;&gt;"",--('POINTAGE'!AV69="Présent"),0),IF('POINTAGE'!$AX$5&lt;&gt;"",--('POINTAGE'!AX69="Présent"),0),IF('POINTAGE'!$AZ$5&lt;&gt;"",--('POINTAGE'!AZ69="Présent"),0),IF('POINTAGE'!$BB$5&lt;&gt;"",--('POINTAGE'!BB69="Présent"),0),IF('POINTAGE'!$BD$5&lt;&gt;"",--('POINTAGE'!BD69="Présent"),0),IF('POINTAGE'!$BF$5&lt;&gt;"",--('POINTAGE'!BF69="Présent"),0),IF('POINTAGE'!$BH$5&lt;&gt;"",--('POINTAGE'!BH69="Présent"),0),IF('POINTAGE'!$BJ$5&lt;&gt;"",--('POINTAGE'!BJ69="Présent"),0),IF('POINTAGE'!$BL$5&lt;&gt;"",--('POINTAGE'!BL69="Présent"),0)))</f>
      </c>
      <c r="O69" s="22">
        <f>IF($A69="","",SUM(IF('POINTAGE'!$AH$5&lt;&gt;"",--('POINTAGE'!AH69="Absent"),0),IF('POINTAGE'!$AJ$5&lt;&gt;"",--('POINTAGE'!AJ69="Absent"),0),IF('POINTAGE'!$AL$5&lt;&gt;"",--('POINTAGE'!AL69="Absent"),0),IF('POINTAGE'!$AN$5&lt;&gt;"",--('POINTAGE'!AN69="Absent"),0),IF('POINTAGE'!$AP$5&lt;&gt;"",--('POINTAGE'!AP69="Absent"),0),IF('POINTAGE'!$AR$5&lt;&gt;"",--('POINTAGE'!AR69="Absent"),0),IF('POINTAGE'!$AT$5&lt;&gt;"",--('POINTAGE'!AT69="Absent"),0),IF('POINTAGE'!$AV$5&lt;&gt;"",--('POINTAGE'!AV69="Absent"),0),IF('POINTAGE'!$AX$5&lt;&gt;"",--('POINTAGE'!AX69="Absent"),0),IF('POINTAGE'!$AZ$5&lt;&gt;"",--('POINTAGE'!AZ69="Absent"),0),IF('POINTAGE'!$BB$5&lt;&gt;"",--('POINTAGE'!BB69="Absent"),0),IF('POINTAGE'!$BD$5&lt;&gt;"",--('POINTAGE'!BD69="Absent"),0),IF('POINTAGE'!$BF$5&lt;&gt;"",--('POINTAGE'!BF69="Absent"),0),IF('POINTAGE'!$BH$5&lt;&gt;"",--('POINTAGE'!BH69="Absent"),0),IF('POINTAGE'!$BJ$5&lt;&gt;"",--('POINTAGE'!BJ69="Absent"),0),IF('POINTAGE'!$BL$5&lt;&gt;"",--('POINTAGE'!BL69="Absent"),0)))</f>
      </c>
      <c r="P69" s="23">
        <f>IF($A69="","",SUM(IF('POINTAGE'!$AH$5&lt;&gt;"",IF('POINTAGE'!AH69="Présent",'POINTAGE'!AI69,0),0),IF('POINTAGE'!$AJ$5&lt;&gt;"",IF('POINTAGE'!AJ69="Présent",'POINTAGE'!AK69,0),0),IF('POINTAGE'!$AL$5&lt;&gt;"",IF('POINTAGE'!AL69="Présent",'POINTAGE'!AM69,0),0),IF('POINTAGE'!$AN$5&lt;&gt;"",IF('POINTAGE'!AN69="Présent",'POINTAGE'!AO69,0),0),IF('POINTAGE'!$AP$5&lt;&gt;"",IF('POINTAGE'!AP69="Présent",'POINTAGE'!AQ69,0),0),IF('POINTAGE'!$AR$5&lt;&gt;"",IF('POINTAGE'!AR69="Présent",'POINTAGE'!AS69,0),0),IF('POINTAGE'!$AT$5&lt;&gt;"",IF('POINTAGE'!AT69="Présent",'POINTAGE'!AU69,0),0),IF('POINTAGE'!$AV$5&lt;&gt;"",IF('POINTAGE'!AV69="Présent",'POINTAGE'!AW69,0),0),IF('POINTAGE'!$AX$5&lt;&gt;"",IF('POINTAGE'!AX69="Présent",'POINTAGE'!AY69,0),0),IF('POINTAGE'!$AZ$5&lt;&gt;"",IF('POINTAGE'!AZ69="Présent",'POINTAGE'!BA69,0),0),IF('POINTAGE'!$BB$5&lt;&gt;"",IF('POINTAGE'!BB69="Présent",'POINTAGE'!BC69,0),0),IF('POINTAGE'!$BD$5&lt;&gt;"",IF('POINTAGE'!BD69="Présent",'POINTAGE'!BE69,0),0),IF('POINTAGE'!$BF$5&lt;&gt;"",IF('POINTAGE'!BF69="Présent",'POINTAGE'!BG69,0),0),IF('POINTAGE'!$BH$5&lt;&gt;"",IF('POINTAGE'!BH69="Présent",'POINTAGE'!BI69,0),0),IF('POINTAGE'!$BJ$5&lt;&gt;"",IF('POINTAGE'!BJ69="Présent",'POINTAGE'!BK69,0),0),IF('POINTAGE'!$BL$5&lt;&gt;"",IF('POINTAGE'!BL69="Présent",'POINTAGE'!BM69,0),0)))</f>
      </c>
      <c r="Q69" s="24">
        <f>IF($A69="","",$N69*$D69)</f>
      </c>
      <c r="R69" s="24">
        <f>IF($A69="","",$P69*$E69)</f>
      </c>
      <c r="S69" s="25">
        <f>IF($A69="","",$Q69+$R69)</f>
      </c>
      <c r="T69" s="18"/>
      <c r="U69" s="25">
        <f>IF($A69="","",MAX(0,$S69-$T69))</f>
      </c>
      <c r="V69" s="25">
        <f>IF($A69="","",$K69+$S69)</f>
      </c>
      <c r="W69" s="24">
        <f>IF($A69="","",$L69+$T69)</f>
      </c>
      <c r="X69" s="25">
        <f>IF($A69="","",$M69+$U69)</f>
      </c>
      <c r="Y69" s="29">
        <f>IF($A69="","",$J69+$R69)</f>
      </c>
    </row>
    <row r="70">
      <c r="A70" s="20">
        <f>IF('POINTAGE'!A70="","",'POINTAGE'!A70)</f>
      </c>
      <c r="B70" s="19">
        <f>IF($A70="","",'POINTAGE'!B70)</f>
      </c>
      <c r="C70" s="20">
        <f>IF($A70="","",'POINTAGE'!C70)</f>
      </c>
      <c r="D70" s="24">
        <f>IF($A70="","",IFERROR(INDEX(Categories_Salaire,MATCH($C70,ListeCategories,0)),0))</f>
      </c>
      <c r="E70" s="24">
        <f>IF($A70="","",IF(IFERROR(INDEX(Categories_TauxHS,MATCH($C70,ListeCategories,0)),0)&gt;0,IFERROR(INDEX(Categories_TauxHS,MATCH($C70,ListeCategories,0)),0),TauxHSDefaut))</f>
      </c>
      <c r="F70" s="22">
        <f>IF($A70="","",SUM(IF('POINTAGE'!$D$5&lt;&gt;"",--('POINTAGE'!D70="Présent"),0),IF('POINTAGE'!$F$5&lt;&gt;"",--('POINTAGE'!F70="Présent"),0),IF('POINTAGE'!$H$5&lt;&gt;"",--('POINTAGE'!H70="Présent"),0),IF('POINTAGE'!$J$5&lt;&gt;"",--('POINTAGE'!J70="Présent"),0),IF('POINTAGE'!$L$5&lt;&gt;"",--('POINTAGE'!L70="Présent"),0),IF('POINTAGE'!$N$5&lt;&gt;"",--('POINTAGE'!N70="Présent"),0),IF('POINTAGE'!$P$5&lt;&gt;"",--('POINTAGE'!P70="Présent"),0),IF('POINTAGE'!$R$5&lt;&gt;"",--('POINTAGE'!R70="Présent"),0),IF('POINTAGE'!$T$5&lt;&gt;"",--('POINTAGE'!T70="Présent"),0),IF('POINTAGE'!$V$5&lt;&gt;"",--('POINTAGE'!V70="Présent"),0),IF('POINTAGE'!$X$5&lt;&gt;"",--('POINTAGE'!X70="Présent"),0),IF('POINTAGE'!$Z$5&lt;&gt;"",--('POINTAGE'!Z70="Présent"),0),IF('POINTAGE'!$AB$5&lt;&gt;"",--('POINTAGE'!AB70="Présent"),0),IF('POINTAGE'!$AD$5&lt;&gt;"",--('POINTAGE'!AD70="Présent"),0),IF('POINTAGE'!$AF$5&lt;&gt;"",--('POINTAGE'!AF70="Présent"),0)))</f>
      </c>
      <c r="G70" s="22">
        <f>IF($A70="","",SUM(IF('POINTAGE'!$D$5&lt;&gt;"",--('POINTAGE'!D70="Absent"),0),IF('POINTAGE'!$F$5&lt;&gt;"",--('POINTAGE'!F70="Absent"),0),IF('POINTAGE'!$H$5&lt;&gt;"",--('POINTAGE'!H70="Absent"),0),IF('POINTAGE'!$J$5&lt;&gt;"",--('POINTAGE'!J70="Absent"),0),IF('POINTAGE'!$L$5&lt;&gt;"",--('POINTAGE'!L70="Absent"),0),IF('POINTAGE'!$N$5&lt;&gt;"",--('POINTAGE'!N70="Absent"),0),IF('POINTAGE'!$P$5&lt;&gt;"",--('POINTAGE'!P70="Absent"),0),IF('POINTAGE'!$R$5&lt;&gt;"",--('POINTAGE'!R70="Absent"),0),IF('POINTAGE'!$T$5&lt;&gt;"",--('POINTAGE'!T70="Absent"),0),IF('POINTAGE'!$V$5&lt;&gt;"",--('POINTAGE'!V70="Absent"),0),IF('POINTAGE'!$X$5&lt;&gt;"",--('POINTAGE'!X70="Absent"),0),IF('POINTAGE'!$Z$5&lt;&gt;"",--('POINTAGE'!Z70="Absent"),0),IF('POINTAGE'!$AB$5&lt;&gt;"",--('POINTAGE'!AB70="Absent"),0),IF('POINTAGE'!$AD$5&lt;&gt;"",--('POINTAGE'!AD70="Absent"),0),IF('POINTAGE'!$AF$5&lt;&gt;"",--('POINTAGE'!AF70="Absent"),0)))</f>
      </c>
      <c r="H70" s="23">
        <f>IF($A70="","",SUM(IF('POINTAGE'!$D$5&lt;&gt;"",IF('POINTAGE'!D70="Présent",'POINTAGE'!E70,0),0),IF('POINTAGE'!$F$5&lt;&gt;"",IF('POINTAGE'!F70="Présent",'POINTAGE'!G70,0),0),IF('POINTAGE'!$H$5&lt;&gt;"",IF('POINTAGE'!H70="Présent",'POINTAGE'!I70,0),0),IF('POINTAGE'!$J$5&lt;&gt;"",IF('POINTAGE'!J70="Présent",'POINTAGE'!K70,0),0),IF('POINTAGE'!$L$5&lt;&gt;"",IF('POINTAGE'!L70="Présent",'POINTAGE'!M70,0),0),IF('POINTAGE'!$N$5&lt;&gt;"",IF('POINTAGE'!N70="Présent",'POINTAGE'!O70,0),0),IF('POINTAGE'!$P$5&lt;&gt;"",IF('POINTAGE'!P70="Présent",'POINTAGE'!Q70,0),0),IF('POINTAGE'!$R$5&lt;&gt;"",IF('POINTAGE'!R70="Présent",'POINTAGE'!S70,0),0),IF('POINTAGE'!$T$5&lt;&gt;"",IF('POINTAGE'!T70="Présent",'POINTAGE'!U70,0),0),IF('POINTAGE'!$V$5&lt;&gt;"",IF('POINTAGE'!V70="Présent",'POINTAGE'!W70,0),0),IF('POINTAGE'!$X$5&lt;&gt;"",IF('POINTAGE'!X70="Présent",'POINTAGE'!Y70,0),0),IF('POINTAGE'!$Z$5&lt;&gt;"",IF('POINTAGE'!Z70="Présent",'POINTAGE'!AA70,0),0),IF('POINTAGE'!$AB$5&lt;&gt;"",IF('POINTAGE'!AB70="Présent",'POINTAGE'!AC70,0),0),IF('POINTAGE'!$AD$5&lt;&gt;"",IF('POINTAGE'!AD70="Présent",'POINTAGE'!AE70,0),0),IF('POINTAGE'!$AF$5&lt;&gt;"",IF('POINTAGE'!AF70="Présent",'POINTAGE'!AG70,0),0)))</f>
      </c>
      <c r="I70" s="24">
        <f>IF($A70="","",$F70*$D70)</f>
      </c>
      <c r="J70" s="24">
        <f>IF($A70="","",$H70*$E70)</f>
      </c>
      <c r="K70" s="25">
        <f>IF($A70="","",$I70+$J70)</f>
      </c>
      <c r="L70" s="18"/>
      <c r="M70" s="25">
        <f>IF($A70="","",MAX(0,$K70-$L70))</f>
      </c>
      <c r="N70" s="22">
        <f>IF($A70="","",SUM(IF('POINTAGE'!$AH$5&lt;&gt;"",--('POINTAGE'!AH70="Présent"),0),IF('POINTAGE'!$AJ$5&lt;&gt;"",--('POINTAGE'!AJ70="Présent"),0),IF('POINTAGE'!$AL$5&lt;&gt;"",--('POINTAGE'!AL70="Présent"),0),IF('POINTAGE'!$AN$5&lt;&gt;"",--('POINTAGE'!AN70="Présent"),0),IF('POINTAGE'!$AP$5&lt;&gt;"",--('POINTAGE'!AP70="Présent"),0),IF('POINTAGE'!$AR$5&lt;&gt;"",--('POINTAGE'!AR70="Présent"),0),IF('POINTAGE'!$AT$5&lt;&gt;"",--('POINTAGE'!AT70="Présent"),0),IF('POINTAGE'!$AV$5&lt;&gt;"",--('POINTAGE'!AV70="Présent"),0),IF('POINTAGE'!$AX$5&lt;&gt;"",--('POINTAGE'!AX70="Présent"),0),IF('POINTAGE'!$AZ$5&lt;&gt;"",--('POINTAGE'!AZ70="Présent"),0),IF('POINTAGE'!$BB$5&lt;&gt;"",--('POINTAGE'!BB70="Présent"),0),IF('POINTAGE'!$BD$5&lt;&gt;"",--('POINTAGE'!BD70="Présent"),0),IF('POINTAGE'!$BF$5&lt;&gt;"",--('POINTAGE'!BF70="Présent"),0),IF('POINTAGE'!$BH$5&lt;&gt;"",--('POINTAGE'!BH70="Présent"),0),IF('POINTAGE'!$BJ$5&lt;&gt;"",--('POINTAGE'!BJ70="Présent"),0),IF('POINTAGE'!$BL$5&lt;&gt;"",--('POINTAGE'!BL70="Présent"),0)))</f>
      </c>
      <c r="O70" s="22">
        <f>IF($A70="","",SUM(IF('POINTAGE'!$AH$5&lt;&gt;"",--('POINTAGE'!AH70="Absent"),0),IF('POINTAGE'!$AJ$5&lt;&gt;"",--('POINTAGE'!AJ70="Absent"),0),IF('POINTAGE'!$AL$5&lt;&gt;"",--('POINTAGE'!AL70="Absent"),0),IF('POINTAGE'!$AN$5&lt;&gt;"",--('POINTAGE'!AN70="Absent"),0),IF('POINTAGE'!$AP$5&lt;&gt;"",--('POINTAGE'!AP70="Absent"),0),IF('POINTAGE'!$AR$5&lt;&gt;"",--('POINTAGE'!AR70="Absent"),0),IF('POINTAGE'!$AT$5&lt;&gt;"",--('POINTAGE'!AT70="Absent"),0),IF('POINTAGE'!$AV$5&lt;&gt;"",--('POINTAGE'!AV70="Absent"),0),IF('POINTAGE'!$AX$5&lt;&gt;"",--('POINTAGE'!AX70="Absent"),0),IF('POINTAGE'!$AZ$5&lt;&gt;"",--('POINTAGE'!AZ70="Absent"),0),IF('POINTAGE'!$BB$5&lt;&gt;"",--('POINTAGE'!BB70="Absent"),0),IF('POINTAGE'!$BD$5&lt;&gt;"",--('POINTAGE'!BD70="Absent"),0),IF('POINTAGE'!$BF$5&lt;&gt;"",--('POINTAGE'!BF70="Absent"),0),IF('POINTAGE'!$BH$5&lt;&gt;"",--('POINTAGE'!BH70="Absent"),0),IF('POINTAGE'!$BJ$5&lt;&gt;"",--('POINTAGE'!BJ70="Absent"),0),IF('POINTAGE'!$BL$5&lt;&gt;"",--('POINTAGE'!BL70="Absent"),0)))</f>
      </c>
      <c r="P70" s="23">
        <f>IF($A70="","",SUM(IF('POINTAGE'!$AH$5&lt;&gt;"",IF('POINTAGE'!AH70="Présent",'POINTAGE'!AI70,0),0),IF('POINTAGE'!$AJ$5&lt;&gt;"",IF('POINTAGE'!AJ70="Présent",'POINTAGE'!AK70,0),0),IF('POINTAGE'!$AL$5&lt;&gt;"",IF('POINTAGE'!AL70="Présent",'POINTAGE'!AM70,0),0),IF('POINTAGE'!$AN$5&lt;&gt;"",IF('POINTAGE'!AN70="Présent",'POINTAGE'!AO70,0),0),IF('POINTAGE'!$AP$5&lt;&gt;"",IF('POINTAGE'!AP70="Présent",'POINTAGE'!AQ70,0),0),IF('POINTAGE'!$AR$5&lt;&gt;"",IF('POINTAGE'!AR70="Présent",'POINTAGE'!AS70,0),0),IF('POINTAGE'!$AT$5&lt;&gt;"",IF('POINTAGE'!AT70="Présent",'POINTAGE'!AU70,0),0),IF('POINTAGE'!$AV$5&lt;&gt;"",IF('POINTAGE'!AV70="Présent",'POINTAGE'!AW70,0),0),IF('POINTAGE'!$AX$5&lt;&gt;"",IF('POINTAGE'!AX70="Présent",'POINTAGE'!AY70,0),0),IF('POINTAGE'!$AZ$5&lt;&gt;"",IF('POINTAGE'!AZ70="Présent",'POINTAGE'!BA70,0),0),IF('POINTAGE'!$BB$5&lt;&gt;"",IF('POINTAGE'!BB70="Présent",'POINTAGE'!BC70,0),0),IF('POINTAGE'!$BD$5&lt;&gt;"",IF('POINTAGE'!BD70="Présent",'POINTAGE'!BE70,0),0),IF('POINTAGE'!$BF$5&lt;&gt;"",IF('POINTAGE'!BF70="Présent",'POINTAGE'!BG70,0),0),IF('POINTAGE'!$BH$5&lt;&gt;"",IF('POINTAGE'!BH70="Présent",'POINTAGE'!BI70,0),0),IF('POINTAGE'!$BJ$5&lt;&gt;"",IF('POINTAGE'!BJ70="Présent",'POINTAGE'!BK70,0),0),IF('POINTAGE'!$BL$5&lt;&gt;"",IF('POINTAGE'!BL70="Présent",'POINTAGE'!BM70,0),0)))</f>
      </c>
      <c r="Q70" s="24">
        <f>IF($A70="","",$N70*$D70)</f>
      </c>
      <c r="R70" s="24">
        <f>IF($A70="","",$P70*$E70)</f>
      </c>
      <c r="S70" s="25">
        <f>IF($A70="","",$Q70+$R70)</f>
      </c>
      <c r="T70" s="18"/>
      <c r="U70" s="25">
        <f>IF($A70="","",MAX(0,$S70-$T70))</f>
      </c>
      <c r="V70" s="25">
        <f>IF($A70="","",$K70+$S70)</f>
      </c>
      <c r="W70" s="24">
        <f>IF($A70="","",$L70+$T70)</f>
      </c>
      <c r="X70" s="25">
        <f>IF($A70="","",$M70+$U70)</f>
      </c>
      <c r="Y70" s="29">
        <f>IF($A70="","",$J70+$R70)</f>
      </c>
    </row>
    <row r="71">
      <c r="A71" s="20">
        <f>IF('POINTAGE'!A71="","",'POINTAGE'!A71)</f>
      </c>
      <c r="B71" s="19">
        <f>IF($A71="","",'POINTAGE'!B71)</f>
      </c>
      <c r="C71" s="20">
        <f>IF($A71="","",'POINTAGE'!C71)</f>
      </c>
      <c r="D71" s="24">
        <f>IF($A71="","",IFERROR(INDEX(Categories_Salaire,MATCH($C71,ListeCategories,0)),0))</f>
      </c>
      <c r="E71" s="24">
        <f>IF($A71="","",IF(IFERROR(INDEX(Categories_TauxHS,MATCH($C71,ListeCategories,0)),0)&gt;0,IFERROR(INDEX(Categories_TauxHS,MATCH($C71,ListeCategories,0)),0),TauxHSDefaut))</f>
      </c>
      <c r="F71" s="22">
        <f>IF($A71="","",SUM(IF('POINTAGE'!$D$5&lt;&gt;"",--('POINTAGE'!D71="Présent"),0),IF('POINTAGE'!$F$5&lt;&gt;"",--('POINTAGE'!F71="Présent"),0),IF('POINTAGE'!$H$5&lt;&gt;"",--('POINTAGE'!H71="Présent"),0),IF('POINTAGE'!$J$5&lt;&gt;"",--('POINTAGE'!J71="Présent"),0),IF('POINTAGE'!$L$5&lt;&gt;"",--('POINTAGE'!L71="Présent"),0),IF('POINTAGE'!$N$5&lt;&gt;"",--('POINTAGE'!N71="Présent"),0),IF('POINTAGE'!$P$5&lt;&gt;"",--('POINTAGE'!P71="Présent"),0),IF('POINTAGE'!$R$5&lt;&gt;"",--('POINTAGE'!R71="Présent"),0),IF('POINTAGE'!$T$5&lt;&gt;"",--('POINTAGE'!T71="Présent"),0),IF('POINTAGE'!$V$5&lt;&gt;"",--('POINTAGE'!V71="Présent"),0),IF('POINTAGE'!$X$5&lt;&gt;"",--('POINTAGE'!X71="Présent"),0),IF('POINTAGE'!$Z$5&lt;&gt;"",--('POINTAGE'!Z71="Présent"),0),IF('POINTAGE'!$AB$5&lt;&gt;"",--('POINTAGE'!AB71="Présent"),0),IF('POINTAGE'!$AD$5&lt;&gt;"",--('POINTAGE'!AD71="Présent"),0),IF('POINTAGE'!$AF$5&lt;&gt;"",--('POINTAGE'!AF71="Présent"),0)))</f>
      </c>
      <c r="G71" s="22">
        <f>IF($A71="","",SUM(IF('POINTAGE'!$D$5&lt;&gt;"",--('POINTAGE'!D71="Absent"),0),IF('POINTAGE'!$F$5&lt;&gt;"",--('POINTAGE'!F71="Absent"),0),IF('POINTAGE'!$H$5&lt;&gt;"",--('POINTAGE'!H71="Absent"),0),IF('POINTAGE'!$J$5&lt;&gt;"",--('POINTAGE'!J71="Absent"),0),IF('POINTAGE'!$L$5&lt;&gt;"",--('POINTAGE'!L71="Absent"),0),IF('POINTAGE'!$N$5&lt;&gt;"",--('POINTAGE'!N71="Absent"),0),IF('POINTAGE'!$P$5&lt;&gt;"",--('POINTAGE'!P71="Absent"),0),IF('POINTAGE'!$R$5&lt;&gt;"",--('POINTAGE'!R71="Absent"),0),IF('POINTAGE'!$T$5&lt;&gt;"",--('POINTAGE'!T71="Absent"),0),IF('POINTAGE'!$V$5&lt;&gt;"",--('POINTAGE'!V71="Absent"),0),IF('POINTAGE'!$X$5&lt;&gt;"",--('POINTAGE'!X71="Absent"),0),IF('POINTAGE'!$Z$5&lt;&gt;"",--('POINTAGE'!Z71="Absent"),0),IF('POINTAGE'!$AB$5&lt;&gt;"",--('POINTAGE'!AB71="Absent"),0),IF('POINTAGE'!$AD$5&lt;&gt;"",--('POINTAGE'!AD71="Absent"),0),IF('POINTAGE'!$AF$5&lt;&gt;"",--('POINTAGE'!AF71="Absent"),0)))</f>
      </c>
      <c r="H71" s="23">
        <f>IF($A71="","",SUM(IF('POINTAGE'!$D$5&lt;&gt;"",IF('POINTAGE'!D71="Présent",'POINTAGE'!E71,0),0),IF('POINTAGE'!$F$5&lt;&gt;"",IF('POINTAGE'!F71="Présent",'POINTAGE'!G71,0),0),IF('POINTAGE'!$H$5&lt;&gt;"",IF('POINTAGE'!H71="Présent",'POINTAGE'!I71,0),0),IF('POINTAGE'!$J$5&lt;&gt;"",IF('POINTAGE'!J71="Présent",'POINTAGE'!K71,0),0),IF('POINTAGE'!$L$5&lt;&gt;"",IF('POINTAGE'!L71="Présent",'POINTAGE'!M71,0),0),IF('POINTAGE'!$N$5&lt;&gt;"",IF('POINTAGE'!N71="Présent",'POINTAGE'!O71,0),0),IF('POINTAGE'!$P$5&lt;&gt;"",IF('POINTAGE'!P71="Présent",'POINTAGE'!Q71,0),0),IF('POINTAGE'!$R$5&lt;&gt;"",IF('POINTAGE'!R71="Présent",'POINTAGE'!S71,0),0),IF('POINTAGE'!$T$5&lt;&gt;"",IF('POINTAGE'!T71="Présent",'POINTAGE'!U71,0),0),IF('POINTAGE'!$V$5&lt;&gt;"",IF('POINTAGE'!V71="Présent",'POINTAGE'!W71,0),0),IF('POINTAGE'!$X$5&lt;&gt;"",IF('POINTAGE'!X71="Présent",'POINTAGE'!Y71,0),0),IF('POINTAGE'!$Z$5&lt;&gt;"",IF('POINTAGE'!Z71="Présent",'POINTAGE'!AA71,0),0),IF('POINTAGE'!$AB$5&lt;&gt;"",IF('POINTAGE'!AB71="Présent",'POINTAGE'!AC71,0),0),IF('POINTAGE'!$AD$5&lt;&gt;"",IF('POINTAGE'!AD71="Présent",'POINTAGE'!AE71,0),0),IF('POINTAGE'!$AF$5&lt;&gt;"",IF('POINTAGE'!AF71="Présent",'POINTAGE'!AG71,0),0)))</f>
      </c>
      <c r="I71" s="24">
        <f>IF($A71="","",$F71*$D71)</f>
      </c>
      <c r="J71" s="24">
        <f>IF($A71="","",$H71*$E71)</f>
      </c>
      <c r="K71" s="25">
        <f>IF($A71="","",$I71+$J71)</f>
      </c>
      <c r="L71" s="18"/>
      <c r="M71" s="25">
        <f>IF($A71="","",MAX(0,$K71-$L71))</f>
      </c>
      <c r="N71" s="22">
        <f>IF($A71="","",SUM(IF('POINTAGE'!$AH$5&lt;&gt;"",--('POINTAGE'!AH71="Présent"),0),IF('POINTAGE'!$AJ$5&lt;&gt;"",--('POINTAGE'!AJ71="Présent"),0),IF('POINTAGE'!$AL$5&lt;&gt;"",--('POINTAGE'!AL71="Présent"),0),IF('POINTAGE'!$AN$5&lt;&gt;"",--('POINTAGE'!AN71="Présent"),0),IF('POINTAGE'!$AP$5&lt;&gt;"",--('POINTAGE'!AP71="Présent"),0),IF('POINTAGE'!$AR$5&lt;&gt;"",--('POINTAGE'!AR71="Présent"),0),IF('POINTAGE'!$AT$5&lt;&gt;"",--('POINTAGE'!AT71="Présent"),0),IF('POINTAGE'!$AV$5&lt;&gt;"",--('POINTAGE'!AV71="Présent"),0),IF('POINTAGE'!$AX$5&lt;&gt;"",--('POINTAGE'!AX71="Présent"),0),IF('POINTAGE'!$AZ$5&lt;&gt;"",--('POINTAGE'!AZ71="Présent"),0),IF('POINTAGE'!$BB$5&lt;&gt;"",--('POINTAGE'!BB71="Présent"),0),IF('POINTAGE'!$BD$5&lt;&gt;"",--('POINTAGE'!BD71="Présent"),0),IF('POINTAGE'!$BF$5&lt;&gt;"",--('POINTAGE'!BF71="Présent"),0),IF('POINTAGE'!$BH$5&lt;&gt;"",--('POINTAGE'!BH71="Présent"),0),IF('POINTAGE'!$BJ$5&lt;&gt;"",--('POINTAGE'!BJ71="Présent"),0),IF('POINTAGE'!$BL$5&lt;&gt;"",--('POINTAGE'!BL71="Présent"),0)))</f>
      </c>
      <c r="O71" s="22">
        <f>IF($A71="","",SUM(IF('POINTAGE'!$AH$5&lt;&gt;"",--('POINTAGE'!AH71="Absent"),0),IF('POINTAGE'!$AJ$5&lt;&gt;"",--('POINTAGE'!AJ71="Absent"),0),IF('POINTAGE'!$AL$5&lt;&gt;"",--('POINTAGE'!AL71="Absent"),0),IF('POINTAGE'!$AN$5&lt;&gt;"",--('POINTAGE'!AN71="Absent"),0),IF('POINTAGE'!$AP$5&lt;&gt;"",--('POINTAGE'!AP71="Absent"),0),IF('POINTAGE'!$AR$5&lt;&gt;"",--('POINTAGE'!AR71="Absent"),0),IF('POINTAGE'!$AT$5&lt;&gt;"",--('POINTAGE'!AT71="Absent"),0),IF('POINTAGE'!$AV$5&lt;&gt;"",--('POINTAGE'!AV71="Absent"),0),IF('POINTAGE'!$AX$5&lt;&gt;"",--('POINTAGE'!AX71="Absent"),0),IF('POINTAGE'!$AZ$5&lt;&gt;"",--('POINTAGE'!AZ71="Absent"),0),IF('POINTAGE'!$BB$5&lt;&gt;"",--('POINTAGE'!BB71="Absent"),0),IF('POINTAGE'!$BD$5&lt;&gt;"",--('POINTAGE'!BD71="Absent"),0),IF('POINTAGE'!$BF$5&lt;&gt;"",--('POINTAGE'!BF71="Absent"),0),IF('POINTAGE'!$BH$5&lt;&gt;"",--('POINTAGE'!BH71="Absent"),0),IF('POINTAGE'!$BJ$5&lt;&gt;"",--('POINTAGE'!BJ71="Absent"),0),IF('POINTAGE'!$BL$5&lt;&gt;"",--('POINTAGE'!BL71="Absent"),0)))</f>
      </c>
      <c r="P71" s="23">
        <f>IF($A71="","",SUM(IF('POINTAGE'!$AH$5&lt;&gt;"",IF('POINTAGE'!AH71="Présent",'POINTAGE'!AI71,0),0),IF('POINTAGE'!$AJ$5&lt;&gt;"",IF('POINTAGE'!AJ71="Présent",'POINTAGE'!AK71,0),0),IF('POINTAGE'!$AL$5&lt;&gt;"",IF('POINTAGE'!AL71="Présent",'POINTAGE'!AM71,0),0),IF('POINTAGE'!$AN$5&lt;&gt;"",IF('POINTAGE'!AN71="Présent",'POINTAGE'!AO71,0),0),IF('POINTAGE'!$AP$5&lt;&gt;"",IF('POINTAGE'!AP71="Présent",'POINTAGE'!AQ71,0),0),IF('POINTAGE'!$AR$5&lt;&gt;"",IF('POINTAGE'!AR71="Présent",'POINTAGE'!AS71,0),0),IF('POINTAGE'!$AT$5&lt;&gt;"",IF('POINTAGE'!AT71="Présent",'POINTAGE'!AU71,0),0),IF('POINTAGE'!$AV$5&lt;&gt;"",IF('POINTAGE'!AV71="Présent",'POINTAGE'!AW71,0),0),IF('POINTAGE'!$AX$5&lt;&gt;"",IF('POINTAGE'!AX71="Présent",'POINTAGE'!AY71,0),0),IF('POINTAGE'!$AZ$5&lt;&gt;"",IF('POINTAGE'!AZ71="Présent",'POINTAGE'!BA71,0),0),IF('POINTAGE'!$BB$5&lt;&gt;"",IF('POINTAGE'!BB71="Présent",'POINTAGE'!BC71,0),0),IF('POINTAGE'!$BD$5&lt;&gt;"",IF('POINTAGE'!BD71="Présent",'POINTAGE'!BE71,0),0),IF('POINTAGE'!$BF$5&lt;&gt;"",IF('POINTAGE'!BF71="Présent",'POINTAGE'!BG71,0),0),IF('POINTAGE'!$BH$5&lt;&gt;"",IF('POINTAGE'!BH71="Présent",'POINTAGE'!BI71,0),0),IF('POINTAGE'!$BJ$5&lt;&gt;"",IF('POINTAGE'!BJ71="Présent",'POINTAGE'!BK71,0),0),IF('POINTAGE'!$BL$5&lt;&gt;"",IF('POINTAGE'!BL71="Présent",'POINTAGE'!BM71,0),0)))</f>
      </c>
      <c r="Q71" s="24">
        <f>IF($A71="","",$N71*$D71)</f>
      </c>
      <c r="R71" s="24">
        <f>IF($A71="","",$P71*$E71)</f>
      </c>
      <c r="S71" s="25">
        <f>IF($A71="","",$Q71+$R71)</f>
      </c>
      <c r="T71" s="18"/>
      <c r="U71" s="25">
        <f>IF($A71="","",MAX(0,$S71-$T71))</f>
      </c>
      <c r="V71" s="25">
        <f>IF($A71="","",$K71+$S71)</f>
      </c>
      <c r="W71" s="24">
        <f>IF($A71="","",$L71+$T71)</f>
      </c>
      <c r="X71" s="25">
        <f>IF($A71="","",$M71+$U71)</f>
      </c>
      <c r="Y71" s="29">
        <f>IF($A71="","",$J71+$R71)</f>
      </c>
    </row>
    <row r="72">
      <c r="A72" s="20">
        <f>IF('POINTAGE'!A72="","",'POINTAGE'!A72)</f>
      </c>
      <c r="B72" s="19">
        <f>IF($A72="","",'POINTAGE'!B72)</f>
      </c>
      <c r="C72" s="20">
        <f>IF($A72="","",'POINTAGE'!C72)</f>
      </c>
      <c r="D72" s="24">
        <f>IF($A72="","",IFERROR(INDEX(Categories_Salaire,MATCH($C72,ListeCategories,0)),0))</f>
      </c>
      <c r="E72" s="24">
        <f>IF($A72="","",IF(IFERROR(INDEX(Categories_TauxHS,MATCH($C72,ListeCategories,0)),0)&gt;0,IFERROR(INDEX(Categories_TauxHS,MATCH($C72,ListeCategories,0)),0),TauxHSDefaut))</f>
      </c>
      <c r="F72" s="22">
        <f>IF($A72="","",SUM(IF('POINTAGE'!$D$5&lt;&gt;"",--('POINTAGE'!D72="Présent"),0),IF('POINTAGE'!$F$5&lt;&gt;"",--('POINTAGE'!F72="Présent"),0),IF('POINTAGE'!$H$5&lt;&gt;"",--('POINTAGE'!H72="Présent"),0),IF('POINTAGE'!$J$5&lt;&gt;"",--('POINTAGE'!J72="Présent"),0),IF('POINTAGE'!$L$5&lt;&gt;"",--('POINTAGE'!L72="Présent"),0),IF('POINTAGE'!$N$5&lt;&gt;"",--('POINTAGE'!N72="Présent"),0),IF('POINTAGE'!$P$5&lt;&gt;"",--('POINTAGE'!P72="Présent"),0),IF('POINTAGE'!$R$5&lt;&gt;"",--('POINTAGE'!R72="Présent"),0),IF('POINTAGE'!$T$5&lt;&gt;"",--('POINTAGE'!T72="Présent"),0),IF('POINTAGE'!$V$5&lt;&gt;"",--('POINTAGE'!V72="Présent"),0),IF('POINTAGE'!$X$5&lt;&gt;"",--('POINTAGE'!X72="Présent"),0),IF('POINTAGE'!$Z$5&lt;&gt;"",--('POINTAGE'!Z72="Présent"),0),IF('POINTAGE'!$AB$5&lt;&gt;"",--('POINTAGE'!AB72="Présent"),0),IF('POINTAGE'!$AD$5&lt;&gt;"",--('POINTAGE'!AD72="Présent"),0),IF('POINTAGE'!$AF$5&lt;&gt;"",--('POINTAGE'!AF72="Présent"),0)))</f>
      </c>
      <c r="G72" s="22">
        <f>IF($A72="","",SUM(IF('POINTAGE'!$D$5&lt;&gt;"",--('POINTAGE'!D72="Absent"),0),IF('POINTAGE'!$F$5&lt;&gt;"",--('POINTAGE'!F72="Absent"),0),IF('POINTAGE'!$H$5&lt;&gt;"",--('POINTAGE'!H72="Absent"),0),IF('POINTAGE'!$J$5&lt;&gt;"",--('POINTAGE'!J72="Absent"),0),IF('POINTAGE'!$L$5&lt;&gt;"",--('POINTAGE'!L72="Absent"),0),IF('POINTAGE'!$N$5&lt;&gt;"",--('POINTAGE'!N72="Absent"),0),IF('POINTAGE'!$P$5&lt;&gt;"",--('POINTAGE'!P72="Absent"),0),IF('POINTAGE'!$R$5&lt;&gt;"",--('POINTAGE'!R72="Absent"),0),IF('POINTAGE'!$T$5&lt;&gt;"",--('POINTAGE'!T72="Absent"),0),IF('POINTAGE'!$V$5&lt;&gt;"",--('POINTAGE'!V72="Absent"),0),IF('POINTAGE'!$X$5&lt;&gt;"",--('POINTAGE'!X72="Absent"),0),IF('POINTAGE'!$Z$5&lt;&gt;"",--('POINTAGE'!Z72="Absent"),0),IF('POINTAGE'!$AB$5&lt;&gt;"",--('POINTAGE'!AB72="Absent"),0),IF('POINTAGE'!$AD$5&lt;&gt;"",--('POINTAGE'!AD72="Absent"),0),IF('POINTAGE'!$AF$5&lt;&gt;"",--('POINTAGE'!AF72="Absent"),0)))</f>
      </c>
      <c r="H72" s="23">
        <f>IF($A72="","",SUM(IF('POINTAGE'!$D$5&lt;&gt;"",IF('POINTAGE'!D72="Présent",'POINTAGE'!E72,0),0),IF('POINTAGE'!$F$5&lt;&gt;"",IF('POINTAGE'!F72="Présent",'POINTAGE'!G72,0),0),IF('POINTAGE'!$H$5&lt;&gt;"",IF('POINTAGE'!H72="Présent",'POINTAGE'!I72,0),0),IF('POINTAGE'!$J$5&lt;&gt;"",IF('POINTAGE'!J72="Présent",'POINTAGE'!K72,0),0),IF('POINTAGE'!$L$5&lt;&gt;"",IF('POINTAGE'!L72="Présent",'POINTAGE'!M72,0),0),IF('POINTAGE'!$N$5&lt;&gt;"",IF('POINTAGE'!N72="Présent",'POINTAGE'!O72,0),0),IF('POINTAGE'!$P$5&lt;&gt;"",IF('POINTAGE'!P72="Présent",'POINTAGE'!Q72,0),0),IF('POINTAGE'!$R$5&lt;&gt;"",IF('POINTAGE'!R72="Présent",'POINTAGE'!S72,0),0),IF('POINTAGE'!$T$5&lt;&gt;"",IF('POINTAGE'!T72="Présent",'POINTAGE'!U72,0),0),IF('POINTAGE'!$V$5&lt;&gt;"",IF('POINTAGE'!V72="Présent",'POINTAGE'!W72,0),0),IF('POINTAGE'!$X$5&lt;&gt;"",IF('POINTAGE'!X72="Présent",'POINTAGE'!Y72,0),0),IF('POINTAGE'!$Z$5&lt;&gt;"",IF('POINTAGE'!Z72="Présent",'POINTAGE'!AA72,0),0),IF('POINTAGE'!$AB$5&lt;&gt;"",IF('POINTAGE'!AB72="Présent",'POINTAGE'!AC72,0),0),IF('POINTAGE'!$AD$5&lt;&gt;"",IF('POINTAGE'!AD72="Présent",'POINTAGE'!AE72,0),0),IF('POINTAGE'!$AF$5&lt;&gt;"",IF('POINTAGE'!AF72="Présent",'POINTAGE'!AG72,0),0)))</f>
      </c>
      <c r="I72" s="24">
        <f>IF($A72="","",$F72*$D72)</f>
      </c>
      <c r="J72" s="24">
        <f>IF($A72="","",$H72*$E72)</f>
      </c>
      <c r="K72" s="25">
        <f>IF($A72="","",$I72+$J72)</f>
      </c>
      <c r="L72" s="18"/>
      <c r="M72" s="25">
        <f>IF($A72="","",MAX(0,$K72-$L72))</f>
      </c>
      <c r="N72" s="22">
        <f>IF($A72="","",SUM(IF('POINTAGE'!$AH$5&lt;&gt;"",--('POINTAGE'!AH72="Présent"),0),IF('POINTAGE'!$AJ$5&lt;&gt;"",--('POINTAGE'!AJ72="Présent"),0),IF('POINTAGE'!$AL$5&lt;&gt;"",--('POINTAGE'!AL72="Présent"),0),IF('POINTAGE'!$AN$5&lt;&gt;"",--('POINTAGE'!AN72="Présent"),0),IF('POINTAGE'!$AP$5&lt;&gt;"",--('POINTAGE'!AP72="Présent"),0),IF('POINTAGE'!$AR$5&lt;&gt;"",--('POINTAGE'!AR72="Présent"),0),IF('POINTAGE'!$AT$5&lt;&gt;"",--('POINTAGE'!AT72="Présent"),0),IF('POINTAGE'!$AV$5&lt;&gt;"",--('POINTAGE'!AV72="Présent"),0),IF('POINTAGE'!$AX$5&lt;&gt;"",--('POINTAGE'!AX72="Présent"),0),IF('POINTAGE'!$AZ$5&lt;&gt;"",--('POINTAGE'!AZ72="Présent"),0),IF('POINTAGE'!$BB$5&lt;&gt;"",--('POINTAGE'!BB72="Présent"),0),IF('POINTAGE'!$BD$5&lt;&gt;"",--('POINTAGE'!BD72="Présent"),0),IF('POINTAGE'!$BF$5&lt;&gt;"",--('POINTAGE'!BF72="Présent"),0),IF('POINTAGE'!$BH$5&lt;&gt;"",--('POINTAGE'!BH72="Présent"),0),IF('POINTAGE'!$BJ$5&lt;&gt;"",--('POINTAGE'!BJ72="Présent"),0),IF('POINTAGE'!$BL$5&lt;&gt;"",--('POINTAGE'!BL72="Présent"),0)))</f>
      </c>
      <c r="O72" s="22">
        <f>IF($A72="","",SUM(IF('POINTAGE'!$AH$5&lt;&gt;"",--('POINTAGE'!AH72="Absent"),0),IF('POINTAGE'!$AJ$5&lt;&gt;"",--('POINTAGE'!AJ72="Absent"),0),IF('POINTAGE'!$AL$5&lt;&gt;"",--('POINTAGE'!AL72="Absent"),0),IF('POINTAGE'!$AN$5&lt;&gt;"",--('POINTAGE'!AN72="Absent"),0),IF('POINTAGE'!$AP$5&lt;&gt;"",--('POINTAGE'!AP72="Absent"),0),IF('POINTAGE'!$AR$5&lt;&gt;"",--('POINTAGE'!AR72="Absent"),0),IF('POINTAGE'!$AT$5&lt;&gt;"",--('POINTAGE'!AT72="Absent"),0),IF('POINTAGE'!$AV$5&lt;&gt;"",--('POINTAGE'!AV72="Absent"),0),IF('POINTAGE'!$AX$5&lt;&gt;"",--('POINTAGE'!AX72="Absent"),0),IF('POINTAGE'!$AZ$5&lt;&gt;"",--('POINTAGE'!AZ72="Absent"),0),IF('POINTAGE'!$BB$5&lt;&gt;"",--('POINTAGE'!BB72="Absent"),0),IF('POINTAGE'!$BD$5&lt;&gt;"",--('POINTAGE'!BD72="Absent"),0),IF('POINTAGE'!$BF$5&lt;&gt;"",--('POINTAGE'!BF72="Absent"),0),IF('POINTAGE'!$BH$5&lt;&gt;"",--('POINTAGE'!BH72="Absent"),0),IF('POINTAGE'!$BJ$5&lt;&gt;"",--('POINTAGE'!BJ72="Absent"),0),IF('POINTAGE'!$BL$5&lt;&gt;"",--('POINTAGE'!BL72="Absent"),0)))</f>
      </c>
      <c r="P72" s="23">
        <f>IF($A72="","",SUM(IF('POINTAGE'!$AH$5&lt;&gt;"",IF('POINTAGE'!AH72="Présent",'POINTAGE'!AI72,0),0),IF('POINTAGE'!$AJ$5&lt;&gt;"",IF('POINTAGE'!AJ72="Présent",'POINTAGE'!AK72,0),0),IF('POINTAGE'!$AL$5&lt;&gt;"",IF('POINTAGE'!AL72="Présent",'POINTAGE'!AM72,0),0),IF('POINTAGE'!$AN$5&lt;&gt;"",IF('POINTAGE'!AN72="Présent",'POINTAGE'!AO72,0),0),IF('POINTAGE'!$AP$5&lt;&gt;"",IF('POINTAGE'!AP72="Présent",'POINTAGE'!AQ72,0),0),IF('POINTAGE'!$AR$5&lt;&gt;"",IF('POINTAGE'!AR72="Présent",'POINTAGE'!AS72,0),0),IF('POINTAGE'!$AT$5&lt;&gt;"",IF('POINTAGE'!AT72="Présent",'POINTAGE'!AU72,0),0),IF('POINTAGE'!$AV$5&lt;&gt;"",IF('POINTAGE'!AV72="Présent",'POINTAGE'!AW72,0),0),IF('POINTAGE'!$AX$5&lt;&gt;"",IF('POINTAGE'!AX72="Présent",'POINTAGE'!AY72,0),0),IF('POINTAGE'!$AZ$5&lt;&gt;"",IF('POINTAGE'!AZ72="Présent",'POINTAGE'!BA72,0),0),IF('POINTAGE'!$BB$5&lt;&gt;"",IF('POINTAGE'!BB72="Présent",'POINTAGE'!BC72,0),0),IF('POINTAGE'!$BD$5&lt;&gt;"",IF('POINTAGE'!BD72="Présent",'POINTAGE'!BE72,0),0),IF('POINTAGE'!$BF$5&lt;&gt;"",IF('POINTAGE'!BF72="Présent",'POINTAGE'!BG72,0),0),IF('POINTAGE'!$BH$5&lt;&gt;"",IF('POINTAGE'!BH72="Présent",'POINTAGE'!BI72,0),0),IF('POINTAGE'!$BJ$5&lt;&gt;"",IF('POINTAGE'!BJ72="Présent",'POINTAGE'!BK72,0),0),IF('POINTAGE'!$BL$5&lt;&gt;"",IF('POINTAGE'!BL72="Présent",'POINTAGE'!BM72,0),0)))</f>
      </c>
      <c r="Q72" s="24">
        <f>IF($A72="","",$N72*$D72)</f>
      </c>
      <c r="R72" s="24">
        <f>IF($A72="","",$P72*$E72)</f>
      </c>
      <c r="S72" s="25">
        <f>IF($A72="","",$Q72+$R72)</f>
      </c>
      <c r="T72" s="18"/>
      <c r="U72" s="25">
        <f>IF($A72="","",MAX(0,$S72-$T72))</f>
      </c>
      <c r="V72" s="25">
        <f>IF($A72="","",$K72+$S72)</f>
      </c>
      <c r="W72" s="24">
        <f>IF($A72="","",$L72+$T72)</f>
      </c>
      <c r="X72" s="25">
        <f>IF($A72="","",$M72+$U72)</f>
      </c>
      <c r="Y72" s="29">
        <f>IF($A72="","",$J72+$R72)</f>
      </c>
    </row>
    <row r="73">
      <c r="A73" s="20">
        <f>IF('POINTAGE'!A73="","",'POINTAGE'!A73)</f>
      </c>
      <c r="B73" s="19">
        <f>IF($A73="","",'POINTAGE'!B73)</f>
      </c>
      <c r="C73" s="20">
        <f>IF($A73="","",'POINTAGE'!C73)</f>
      </c>
      <c r="D73" s="24">
        <f>IF($A73="","",IFERROR(INDEX(Categories_Salaire,MATCH($C73,ListeCategories,0)),0))</f>
      </c>
      <c r="E73" s="24">
        <f>IF($A73="","",IF(IFERROR(INDEX(Categories_TauxHS,MATCH($C73,ListeCategories,0)),0)&gt;0,IFERROR(INDEX(Categories_TauxHS,MATCH($C73,ListeCategories,0)),0),TauxHSDefaut))</f>
      </c>
      <c r="F73" s="22">
        <f>IF($A73="","",SUM(IF('POINTAGE'!$D$5&lt;&gt;"",--('POINTAGE'!D73="Présent"),0),IF('POINTAGE'!$F$5&lt;&gt;"",--('POINTAGE'!F73="Présent"),0),IF('POINTAGE'!$H$5&lt;&gt;"",--('POINTAGE'!H73="Présent"),0),IF('POINTAGE'!$J$5&lt;&gt;"",--('POINTAGE'!J73="Présent"),0),IF('POINTAGE'!$L$5&lt;&gt;"",--('POINTAGE'!L73="Présent"),0),IF('POINTAGE'!$N$5&lt;&gt;"",--('POINTAGE'!N73="Présent"),0),IF('POINTAGE'!$P$5&lt;&gt;"",--('POINTAGE'!P73="Présent"),0),IF('POINTAGE'!$R$5&lt;&gt;"",--('POINTAGE'!R73="Présent"),0),IF('POINTAGE'!$T$5&lt;&gt;"",--('POINTAGE'!T73="Présent"),0),IF('POINTAGE'!$V$5&lt;&gt;"",--('POINTAGE'!V73="Présent"),0),IF('POINTAGE'!$X$5&lt;&gt;"",--('POINTAGE'!X73="Présent"),0),IF('POINTAGE'!$Z$5&lt;&gt;"",--('POINTAGE'!Z73="Présent"),0),IF('POINTAGE'!$AB$5&lt;&gt;"",--('POINTAGE'!AB73="Présent"),0),IF('POINTAGE'!$AD$5&lt;&gt;"",--('POINTAGE'!AD73="Présent"),0),IF('POINTAGE'!$AF$5&lt;&gt;"",--('POINTAGE'!AF73="Présent"),0)))</f>
      </c>
      <c r="G73" s="22">
        <f>IF($A73="","",SUM(IF('POINTAGE'!$D$5&lt;&gt;"",--('POINTAGE'!D73="Absent"),0),IF('POINTAGE'!$F$5&lt;&gt;"",--('POINTAGE'!F73="Absent"),0),IF('POINTAGE'!$H$5&lt;&gt;"",--('POINTAGE'!H73="Absent"),0),IF('POINTAGE'!$J$5&lt;&gt;"",--('POINTAGE'!J73="Absent"),0),IF('POINTAGE'!$L$5&lt;&gt;"",--('POINTAGE'!L73="Absent"),0),IF('POINTAGE'!$N$5&lt;&gt;"",--('POINTAGE'!N73="Absent"),0),IF('POINTAGE'!$P$5&lt;&gt;"",--('POINTAGE'!P73="Absent"),0),IF('POINTAGE'!$R$5&lt;&gt;"",--('POINTAGE'!R73="Absent"),0),IF('POINTAGE'!$T$5&lt;&gt;"",--('POINTAGE'!T73="Absent"),0),IF('POINTAGE'!$V$5&lt;&gt;"",--('POINTAGE'!V73="Absent"),0),IF('POINTAGE'!$X$5&lt;&gt;"",--('POINTAGE'!X73="Absent"),0),IF('POINTAGE'!$Z$5&lt;&gt;"",--('POINTAGE'!Z73="Absent"),0),IF('POINTAGE'!$AB$5&lt;&gt;"",--('POINTAGE'!AB73="Absent"),0),IF('POINTAGE'!$AD$5&lt;&gt;"",--('POINTAGE'!AD73="Absent"),0),IF('POINTAGE'!$AF$5&lt;&gt;"",--('POINTAGE'!AF73="Absent"),0)))</f>
      </c>
      <c r="H73" s="23">
        <f>IF($A73="","",SUM(IF('POINTAGE'!$D$5&lt;&gt;"",IF('POINTAGE'!D73="Présent",'POINTAGE'!E73,0),0),IF('POINTAGE'!$F$5&lt;&gt;"",IF('POINTAGE'!F73="Présent",'POINTAGE'!G73,0),0),IF('POINTAGE'!$H$5&lt;&gt;"",IF('POINTAGE'!H73="Présent",'POINTAGE'!I73,0),0),IF('POINTAGE'!$J$5&lt;&gt;"",IF('POINTAGE'!J73="Présent",'POINTAGE'!K73,0),0),IF('POINTAGE'!$L$5&lt;&gt;"",IF('POINTAGE'!L73="Présent",'POINTAGE'!M73,0),0),IF('POINTAGE'!$N$5&lt;&gt;"",IF('POINTAGE'!N73="Présent",'POINTAGE'!O73,0),0),IF('POINTAGE'!$P$5&lt;&gt;"",IF('POINTAGE'!P73="Présent",'POINTAGE'!Q73,0),0),IF('POINTAGE'!$R$5&lt;&gt;"",IF('POINTAGE'!R73="Présent",'POINTAGE'!S73,0),0),IF('POINTAGE'!$T$5&lt;&gt;"",IF('POINTAGE'!T73="Présent",'POINTAGE'!U73,0),0),IF('POINTAGE'!$V$5&lt;&gt;"",IF('POINTAGE'!V73="Présent",'POINTAGE'!W73,0),0),IF('POINTAGE'!$X$5&lt;&gt;"",IF('POINTAGE'!X73="Présent",'POINTAGE'!Y73,0),0),IF('POINTAGE'!$Z$5&lt;&gt;"",IF('POINTAGE'!Z73="Présent",'POINTAGE'!AA73,0),0),IF('POINTAGE'!$AB$5&lt;&gt;"",IF('POINTAGE'!AB73="Présent",'POINTAGE'!AC73,0),0),IF('POINTAGE'!$AD$5&lt;&gt;"",IF('POINTAGE'!AD73="Présent",'POINTAGE'!AE73,0),0),IF('POINTAGE'!$AF$5&lt;&gt;"",IF('POINTAGE'!AF73="Présent",'POINTAGE'!AG73,0),0)))</f>
      </c>
      <c r="I73" s="24">
        <f>IF($A73="","",$F73*$D73)</f>
      </c>
      <c r="J73" s="24">
        <f>IF($A73="","",$H73*$E73)</f>
      </c>
      <c r="K73" s="25">
        <f>IF($A73="","",$I73+$J73)</f>
      </c>
      <c r="L73" s="18"/>
      <c r="M73" s="25">
        <f>IF($A73="","",MAX(0,$K73-$L73))</f>
      </c>
      <c r="N73" s="22">
        <f>IF($A73="","",SUM(IF('POINTAGE'!$AH$5&lt;&gt;"",--('POINTAGE'!AH73="Présent"),0),IF('POINTAGE'!$AJ$5&lt;&gt;"",--('POINTAGE'!AJ73="Présent"),0),IF('POINTAGE'!$AL$5&lt;&gt;"",--('POINTAGE'!AL73="Présent"),0),IF('POINTAGE'!$AN$5&lt;&gt;"",--('POINTAGE'!AN73="Présent"),0),IF('POINTAGE'!$AP$5&lt;&gt;"",--('POINTAGE'!AP73="Présent"),0),IF('POINTAGE'!$AR$5&lt;&gt;"",--('POINTAGE'!AR73="Présent"),0),IF('POINTAGE'!$AT$5&lt;&gt;"",--('POINTAGE'!AT73="Présent"),0),IF('POINTAGE'!$AV$5&lt;&gt;"",--('POINTAGE'!AV73="Présent"),0),IF('POINTAGE'!$AX$5&lt;&gt;"",--('POINTAGE'!AX73="Présent"),0),IF('POINTAGE'!$AZ$5&lt;&gt;"",--('POINTAGE'!AZ73="Présent"),0),IF('POINTAGE'!$BB$5&lt;&gt;"",--('POINTAGE'!BB73="Présent"),0),IF('POINTAGE'!$BD$5&lt;&gt;"",--('POINTAGE'!BD73="Présent"),0),IF('POINTAGE'!$BF$5&lt;&gt;"",--('POINTAGE'!BF73="Présent"),0),IF('POINTAGE'!$BH$5&lt;&gt;"",--('POINTAGE'!BH73="Présent"),0),IF('POINTAGE'!$BJ$5&lt;&gt;"",--('POINTAGE'!BJ73="Présent"),0),IF('POINTAGE'!$BL$5&lt;&gt;"",--('POINTAGE'!BL73="Présent"),0)))</f>
      </c>
      <c r="O73" s="22">
        <f>IF($A73="","",SUM(IF('POINTAGE'!$AH$5&lt;&gt;"",--('POINTAGE'!AH73="Absent"),0),IF('POINTAGE'!$AJ$5&lt;&gt;"",--('POINTAGE'!AJ73="Absent"),0),IF('POINTAGE'!$AL$5&lt;&gt;"",--('POINTAGE'!AL73="Absent"),0),IF('POINTAGE'!$AN$5&lt;&gt;"",--('POINTAGE'!AN73="Absent"),0),IF('POINTAGE'!$AP$5&lt;&gt;"",--('POINTAGE'!AP73="Absent"),0),IF('POINTAGE'!$AR$5&lt;&gt;"",--('POINTAGE'!AR73="Absent"),0),IF('POINTAGE'!$AT$5&lt;&gt;"",--('POINTAGE'!AT73="Absent"),0),IF('POINTAGE'!$AV$5&lt;&gt;"",--('POINTAGE'!AV73="Absent"),0),IF('POINTAGE'!$AX$5&lt;&gt;"",--('POINTAGE'!AX73="Absent"),0),IF('POINTAGE'!$AZ$5&lt;&gt;"",--('POINTAGE'!AZ73="Absent"),0),IF('POINTAGE'!$BB$5&lt;&gt;"",--('POINTAGE'!BB73="Absent"),0),IF('POINTAGE'!$BD$5&lt;&gt;"",--('POINTAGE'!BD73="Absent"),0),IF('POINTAGE'!$BF$5&lt;&gt;"",--('POINTAGE'!BF73="Absent"),0),IF('POINTAGE'!$BH$5&lt;&gt;"",--('POINTAGE'!BH73="Absent"),0),IF('POINTAGE'!$BJ$5&lt;&gt;"",--('POINTAGE'!BJ73="Absent"),0),IF('POINTAGE'!$BL$5&lt;&gt;"",--('POINTAGE'!BL73="Absent"),0)))</f>
      </c>
      <c r="P73" s="23">
        <f>IF($A73="","",SUM(IF('POINTAGE'!$AH$5&lt;&gt;"",IF('POINTAGE'!AH73="Présent",'POINTAGE'!AI73,0),0),IF('POINTAGE'!$AJ$5&lt;&gt;"",IF('POINTAGE'!AJ73="Présent",'POINTAGE'!AK73,0),0),IF('POINTAGE'!$AL$5&lt;&gt;"",IF('POINTAGE'!AL73="Présent",'POINTAGE'!AM73,0),0),IF('POINTAGE'!$AN$5&lt;&gt;"",IF('POINTAGE'!AN73="Présent",'POINTAGE'!AO73,0),0),IF('POINTAGE'!$AP$5&lt;&gt;"",IF('POINTAGE'!AP73="Présent",'POINTAGE'!AQ73,0),0),IF('POINTAGE'!$AR$5&lt;&gt;"",IF('POINTAGE'!AR73="Présent",'POINTAGE'!AS73,0),0),IF('POINTAGE'!$AT$5&lt;&gt;"",IF('POINTAGE'!AT73="Présent",'POINTAGE'!AU73,0),0),IF('POINTAGE'!$AV$5&lt;&gt;"",IF('POINTAGE'!AV73="Présent",'POINTAGE'!AW73,0),0),IF('POINTAGE'!$AX$5&lt;&gt;"",IF('POINTAGE'!AX73="Présent",'POINTAGE'!AY73,0),0),IF('POINTAGE'!$AZ$5&lt;&gt;"",IF('POINTAGE'!AZ73="Présent",'POINTAGE'!BA73,0),0),IF('POINTAGE'!$BB$5&lt;&gt;"",IF('POINTAGE'!BB73="Présent",'POINTAGE'!BC73,0),0),IF('POINTAGE'!$BD$5&lt;&gt;"",IF('POINTAGE'!BD73="Présent",'POINTAGE'!BE73,0),0),IF('POINTAGE'!$BF$5&lt;&gt;"",IF('POINTAGE'!BF73="Présent",'POINTAGE'!BG73,0),0),IF('POINTAGE'!$BH$5&lt;&gt;"",IF('POINTAGE'!BH73="Présent",'POINTAGE'!BI73,0),0),IF('POINTAGE'!$BJ$5&lt;&gt;"",IF('POINTAGE'!BJ73="Présent",'POINTAGE'!BK73,0),0),IF('POINTAGE'!$BL$5&lt;&gt;"",IF('POINTAGE'!BL73="Présent",'POINTAGE'!BM73,0),0)))</f>
      </c>
      <c r="Q73" s="24">
        <f>IF($A73="","",$N73*$D73)</f>
      </c>
      <c r="R73" s="24">
        <f>IF($A73="","",$P73*$E73)</f>
      </c>
      <c r="S73" s="25">
        <f>IF($A73="","",$Q73+$R73)</f>
      </c>
      <c r="T73" s="18"/>
      <c r="U73" s="25">
        <f>IF($A73="","",MAX(0,$S73-$T73))</f>
      </c>
      <c r="V73" s="25">
        <f>IF($A73="","",$K73+$S73)</f>
      </c>
      <c r="W73" s="24">
        <f>IF($A73="","",$L73+$T73)</f>
      </c>
      <c r="X73" s="25">
        <f>IF($A73="","",$M73+$U73)</f>
      </c>
      <c r="Y73" s="29">
        <f>IF($A73="","",$J73+$R73)</f>
      </c>
    </row>
    <row r="74">
      <c r="A74" s="20">
        <f>IF('POINTAGE'!A74="","",'POINTAGE'!A74)</f>
      </c>
      <c r="B74" s="19">
        <f>IF($A74="","",'POINTAGE'!B74)</f>
      </c>
      <c r="C74" s="20">
        <f>IF($A74="","",'POINTAGE'!C74)</f>
      </c>
      <c r="D74" s="24">
        <f>IF($A74="","",IFERROR(INDEX(Categories_Salaire,MATCH($C74,ListeCategories,0)),0))</f>
      </c>
      <c r="E74" s="24">
        <f>IF($A74="","",IF(IFERROR(INDEX(Categories_TauxHS,MATCH($C74,ListeCategories,0)),0)&gt;0,IFERROR(INDEX(Categories_TauxHS,MATCH($C74,ListeCategories,0)),0),TauxHSDefaut))</f>
      </c>
      <c r="F74" s="22">
        <f>IF($A74="","",SUM(IF('POINTAGE'!$D$5&lt;&gt;"",--('POINTAGE'!D74="Présent"),0),IF('POINTAGE'!$F$5&lt;&gt;"",--('POINTAGE'!F74="Présent"),0),IF('POINTAGE'!$H$5&lt;&gt;"",--('POINTAGE'!H74="Présent"),0),IF('POINTAGE'!$J$5&lt;&gt;"",--('POINTAGE'!J74="Présent"),0),IF('POINTAGE'!$L$5&lt;&gt;"",--('POINTAGE'!L74="Présent"),0),IF('POINTAGE'!$N$5&lt;&gt;"",--('POINTAGE'!N74="Présent"),0),IF('POINTAGE'!$P$5&lt;&gt;"",--('POINTAGE'!P74="Présent"),0),IF('POINTAGE'!$R$5&lt;&gt;"",--('POINTAGE'!R74="Présent"),0),IF('POINTAGE'!$T$5&lt;&gt;"",--('POINTAGE'!T74="Présent"),0),IF('POINTAGE'!$V$5&lt;&gt;"",--('POINTAGE'!V74="Présent"),0),IF('POINTAGE'!$X$5&lt;&gt;"",--('POINTAGE'!X74="Présent"),0),IF('POINTAGE'!$Z$5&lt;&gt;"",--('POINTAGE'!Z74="Présent"),0),IF('POINTAGE'!$AB$5&lt;&gt;"",--('POINTAGE'!AB74="Présent"),0),IF('POINTAGE'!$AD$5&lt;&gt;"",--('POINTAGE'!AD74="Présent"),0),IF('POINTAGE'!$AF$5&lt;&gt;"",--('POINTAGE'!AF74="Présent"),0)))</f>
      </c>
      <c r="G74" s="22">
        <f>IF($A74="","",SUM(IF('POINTAGE'!$D$5&lt;&gt;"",--('POINTAGE'!D74="Absent"),0),IF('POINTAGE'!$F$5&lt;&gt;"",--('POINTAGE'!F74="Absent"),0),IF('POINTAGE'!$H$5&lt;&gt;"",--('POINTAGE'!H74="Absent"),0),IF('POINTAGE'!$J$5&lt;&gt;"",--('POINTAGE'!J74="Absent"),0),IF('POINTAGE'!$L$5&lt;&gt;"",--('POINTAGE'!L74="Absent"),0),IF('POINTAGE'!$N$5&lt;&gt;"",--('POINTAGE'!N74="Absent"),0),IF('POINTAGE'!$P$5&lt;&gt;"",--('POINTAGE'!P74="Absent"),0),IF('POINTAGE'!$R$5&lt;&gt;"",--('POINTAGE'!R74="Absent"),0),IF('POINTAGE'!$T$5&lt;&gt;"",--('POINTAGE'!T74="Absent"),0),IF('POINTAGE'!$V$5&lt;&gt;"",--('POINTAGE'!V74="Absent"),0),IF('POINTAGE'!$X$5&lt;&gt;"",--('POINTAGE'!X74="Absent"),0),IF('POINTAGE'!$Z$5&lt;&gt;"",--('POINTAGE'!Z74="Absent"),0),IF('POINTAGE'!$AB$5&lt;&gt;"",--('POINTAGE'!AB74="Absent"),0),IF('POINTAGE'!$AD$5&lt;&gt;"",--('POINTAGE'!AD74="Absent"),0),IF('POINTAGE'!$AF$5&lt;&gt;"",--('POINTAGE'!AF74="Absent"),0)))</f>
      </c>
      <c r="H74" s="23">
        <f>IF($A74="","",SUM(IF('POINTAGE'!$D$5&lt;&gt;"",IF('POINTAGE'!D74="Présent",'POINTAGE'!E74,0),0),IF('POINTAGE'!$F$5&lt;&gt;"",IF('POINTAGE'!F74="Présent",'POINTAGE'!G74,0),0),IF('POINTAGE'!$H$5&lt;&gt;"",IF('POINTAGE'!H74="Présent",'POINTAGE'!I74,0),0),IF('POINTAGE'!$J$5&lt;&gt;"",IF('POINTAGE'!J74="Présent",'POINTAGE'!K74,0),0),IF('POINTAGE'!$L$5&lt;&gt;"",IF('POINTAGE'!L74="Présent",'POINTAGE'!M74,0),0),IF('POINTAGE'!$N$5&lt;&gt;"",IF('POINTAGE'!N74="Présent",'POINTAGE'!O74,0),0),IF('POINTAGE'!$P$5&lt;&gt;"",IF('POINTAGE'!P74="Présent",'POINTAGE'!Q74,0),0),IF('POINTAGE'!$R$5&lt;&gt;"",IF('POINTAGE'!R74="Présent",'POINTAGE'!S74,0),0),IF('POINTAGE'!$T$5&lt;&gt;"",IF('POINTAGE'!T74="Présent",'POINTAGE'!U74,0),0),IF('POINTAGE'!$V$5&lt;&gt;"",IF('POINTAGE'!V74="Présent",'POINTAGE'!W74,0),0),IF('POINTAGE'!$X$5&lt;&gt;"",IF('POINTAGE'!X74="Présent",'POINTAGE'!Y74,0),0),IF('POINTAGE'!$Z$5&lt;&gt;"",IF('POINTAGE'!Z74="Présent",'POINTAGE'!AA74,0),0),IF('POINTAGE'!$AB$5&lt;&gt;"",IF('POINTAGE'!AB74="Présent",'POINTAGE'!AC74,0),0),IF('POINTAGE'!$AD$5&lt;&gt;"",IF('POINTAGE'!AD74="Présent",'POINTAGE'!AE74,0),0),IF('POINTAGE'!$AF$5&lt;&gt;"",IF('POINTAGE'!AF74="Présent",'POINTAGE'!AG74,0),0)))</f>
      </c>
      <c r="I74" s="24">
        <f>IF($A74="","",$F74*$D74)</f>
      </c>
      <c r="J74" s="24">
        <f>IF($A74="","",$H74*$E74)</f>
      </c>
      <c r="K74" s="25">
        <f>IF($A74="","",$I74+$J74)</f>
      </c>
      <c r="L74" s="18"/>
      <c r="M74" s="25">
        <f>IF($A74="","",MAX(0,$K74-$L74))</f>
      </c>
      <c r="N74" s="22">
        <f>IF($A74="","",SUM(IF('POINTAGE'!$AH$5&lt;&gt;"",--('POINTAGE'!AH74="Présent"),0),IF('POINTAGE'!$AJ$5&lt;&gt;"",--('POINTAGE'!AJ74="Présent"),0),IF('POINTAGE'!$AL$5&lt;&gt;"",--('POINTAGE'!AL74="Présent"),0),IF('POINTAGE'!$AN$5&lt;&gt;"",--('POINTAGE'!AN74="Présent"),0),IF('POINTAGE'!$AP$5&lt;&gt;"",--('POINTAGE'!AP74="Présent"),0),IF('POINTAGE'!$AR$5&lt;&gt;"",--('POINTAGE'!AR74="Présent"),0),IF('POINTAGE'!$AT$5&lt;&gt;"",--('POINTAGE'!AT74="Présent"),0),IF('POINTAGE'!$AV$5&lt;&gt;"",--('POINTAGE'!AV74="Présent"),0),IF('POINTAGE'!$AX$5&lt;&gt;"",--('POINTAGE'!AX74="Présent"),0),IF('POINTAGE'!$AZ$5&lt;&gt;"",--('POINTAGE'!AZ74="Présent"),0),IF('POINTAGE'!$BB$5&lt;&gt;"",--('POINTAGE'!BB74="Présent"),0),IF('POINTAGE'!$BD$5&lt;&gt;"",--('POINTAGE'!BD74="Présent"),0),IF('POINTAGE'!$BF$5&lt;&gt;"",--('POINTAGE'!BF74="Présent"),0),IF('POINTAGE'!$BH$5&lt;&gt;"",--('POINTAGE'!BH74="Présent"),0),IF('POINTAGE'!$BJ$5&lt;&gt;"",--('POINTAGE'!BJ74="Présent"),0),IF('POINTAGE'!$BL$5&lt;&gt;"",--('POINTAGE'!BL74="Présent"),0)))</f>
      </c>
      <c r="O74" s="22">
        <f>IF($A74="","",SUM(IF('POINTAGE'!$AH$5&lt;&gt;"",--('POINTAGE'!AH74="Absent"),0),IF('POINTAGE'!$AJ$5&lt;&gt;"",--('POINTAGE'!AJ74="Absent"),0),IF('POINTAGE'!$AL$5&lt;&gt;"",--('POINTAGE'!AL74="Absent"),0),IF('POINTAGE'!$AN$5&lt;&gt;"",--('POINTAGE'!AN74="Absent"),0),IF('POINTAGE'!$AP$5&lt;&gt;"",--('POINTAGE'!AP74="Absent"),0),IF('POINTAGE'!$AR$5&lt;&gt;"",--('POINTAGE'!AR74="Absent"),0),IF('POINTAGE'!$AT$5&lt;&gt;"",--('POINTAGE'!AT74="Absent"),0),IF('POINTAGE'!$AV$5&lt;&gt;"",--('POINTAGE'!AV74="Absent"),0),IF('POINTAGE'!$AX$5&lt;&gt;"",--('POINTAGE'!AX74="Absent"),0),IF('POINTAGE'!$AZ$5&lt;&gt;"",--('POINTAGE'!AZ74="Absent"),0),IF('POINTAGE'!$BB$5&lt;&gt;"",--('POINTAGE'!BB74="Absent"),0),IF('POINTAGE'!$BD$5&lt;&gt;"",--('POINTAGE'!BD74="Absent"),0),IF('POINTAGE'!$BF$5&lt;&gt;"",--('POINTAGE'!BF74="Absent"),0),IF('POINTAGE'!$BH$5&lt;&gt;"",--('POINTAGE'!BH74="Absent"),0),IF('POINTAGE'!$BJ$5&lt;&gt;"",--('POINTAGE'!BJ74="Absent"),0),IF('POINTAGE'!$BL$5&lt;&gt;"",--('POINTAGE'!BL74="Absent"),0)))</f>
      </c>
      <c r="P74" s="23">
        <f>IF($A74="","",SUM(IF('POINTAGE'!$AH$5&lt;&gt;"",IF('POINTAGE'!AH74="Présent",'POINTAGE'!AI74,0),0),IF('POINTAGE'!$AJ$5&lt;&gt;"",IF('POINTAGE'!AJ74="Présent",'POINTAGE'!AK74,0),0),IF('POINTAGE'!$AL$5&lt;&gt;"",IF('POINTAGE'!AL74="Présent",'POINTAGE'!AM74,0),0),IF('POINTAGE'!$AN$5&lt;&gt;"",IF('POINTAGE'!AN74="Présent",'POINTAGE'!AO74,0),0),IF('POINTAGE'!$AP$5&lt;&gt;"",IF('POINTAGE'!AP74="Présent",'POINTAGE'!AQ74,0),0),IF('POINTAGE'!$AR$5&lt;&gt;"",IF('POINTAGE'!AR74="Présent",'POINTAGE'!AS74,0),0),IF('POINTAGE'!$AT$5&lt;&gt;"",IF('POINTAGE'!AT74="Présent",'POINTAGE'!AU74,0),0),IF('POINTAGE'!$AV$5&lt;&gt;"",IF('POINTAGE'!AV74="Présent",'POINTAGE'!AW74,0),0),IF('POINTAGE'!$AX$5&lt;&gt;"",IF('POINTAGE'!AX74="Présent",'POINTAGE'!AY74,0),0),IF('POINTAGE'!$AZ$5&lt;&gt;"",IF('POINTAGE'!AZ74="Présent",'POINTAGE'!BA74,0),0),IF('POINTAGE'!$BB$5&lt;&gt;"",IF('POINTAGE'!BB74="Présent",'POINTAGE'!BC74,0),0),IF('POINTAGE'!$BD$5&lt;&gt;"",IF('POINTAGE'!BD74="Présent",'POINTAGE'!BE74,0),0),IF('POINTAGE'!$BF$5&lt;&gt;"",IF('POINTAGE'!BF74="Présent",'POINTAGE'!BG74,0),0),IF('POINTAGE'!$BH$5&lt;&gt;"",IF('POINTAGE'!BH74="Présent",'POINTAGE'!BI74,0),0),IF('POINTAGE'!$BJ$5&lt;&gt;"",IF('POINTAGE'!BJ74="Présent",'POINTAGE'!BK74,0),0),IF('POINTAGE'!$BL$5&lt;&gt;"",IF('POINTAGE'!BL74="Présent",'POINTAGE'!BM74,0),0)))</f>
      </c>
      <c r="Q74" s="24">
        <f>IF($A74="","",$N74*$D74)</f>
      </c>
      <c r="R74" s="24">
        <f>IF($A74="","",$P74*$E74)</f>
      </c>
      <c r="S74" s="25">
        <f>IF($A74="","",$Q74+$R74)</f>
      </c>
      <c r="T74" s="18"/>
      <c r="U74" s="25">
        <f>IF($A74="","",MAX(0,$S74-$T74))</f>
      </c>
      <c r="V74" s="25">
        <f>IF($A74="","",$K74+$S74)</f>
      </c>
      <c r="W74" s="24">
        <f>IF($A74="","",$L74+$T74)</f>
      </c>
      <c r="X74" s="25">
        <f>IF($A74="","",$M74+$U74)</f>
      </c>
      <c r="Y74" s="29">
        <f>IF($A74="","",$J74+$R74)</f>
      </c>
    </row>
    <row r="75">
      <c r="A75" s="20">
        <f>IF('POINTAGE'!A75="","",'POINTAGE'!A75)</f>
      </c>
      <c r="B75" s="19">
        <f>IF($A75="","",'POINTAGE'!B75)</f>
      </c>
      <c r="C75" s="20">
        <f>IF($A75="","",'POINTAGE'!C75)</f>
      </c>
      <c r="D75" s="24">
        <f>IF($A75="","",IFERROR(INDEX(Categories_Salaire,MATCH($C75,ListeCategories,0)),0))</f>
      </c>
      <c r="E75" s="24">
        <f>IF($A75="","",IF(IFERROR(INDEX(Categories_TauxHS,MATCH($C75,ListeCategories,0)),0)&gt;0,IFERROR(INDEX(Categories_TauxHS,MATCH($C75,ListeCategories,0)),0),TauxHSDefaut))</f>
      </c>
      <c r="F75" s="22">
        <f>IF($A75="","",SUM(IF('POINTAGE'!$D$5&lt;&gt;"",--('POINTAGE'!D75="Présent"),0),IF('POINTAGE'!$F$5&lt;&gt;"",--('POINTAGE'!F75="Présent"),0),IF('POINTAGE'!$H$5&lt;&gt;"",--('POINTAGE'!H75="Présent"),0),IF('POINTAGE'!$J$5&lt;&gt;"",--('POINTAGE'!J75="Présent"),0),IF('POINTAGE'!$L$5&lt;&gt;"",--('POINTAGE'!L75="Présent"),0),IF('POINTAGE'!$N$5&lt;&gt;"",--('POINTAGE'!N75="Présent"),0),IF('POINTAGE'!$P$5&lt;&gt;"",--('POINTAGE'!P75="Présent"),0),IF('POINTAGE'!$R$5&lt;&gt;"",--('POINTAGE'!R75="Présent"),0),IF('POINTAGE'!$T$5&lt;&gt;"",--('POINTAGE'!T75="Présent"),0),IF('POINTAGE'!$V$5&lt;&gt;"",--('POINTAGE'!V75="Présent"),0),IF('POINTAGE'!$X$5&lt;&gt;"",--('POINTAGE'!X75="Présent"),0),IF('POINTAGE'!$Z$5&lt;&gt;"",--('POINTAGE'!Z75="Présent"),0),IF('POINTAGE'!$AB$5&lt;&gt;"",--('POINTAGE'!AB75="Présent"),0),IF('POINTAGE'!$AD$5&lt;&gt;"",--('POINTAGE'!AD75="Présent"),0),IF('POINTAGE'!$AF$5&lt;&gt;"",--('POINTAGE'!AF75="Présent"),0)))</f>
      </c>
      <c r="G75" s="22">
        <f>IF($A75="","",SUM(IF('POINTAGE'!$D$5&lt;&gt;"",--('POINTAGE'!D75="Absent"),0),IF('POINTAGE'!$F$5&lt;&gt;"",--('POINTAGE'!F75="Absent"),0),IF('POINTAGE'!$H$5&lt;&gt;"",--('POINTAGE'!H75="Absent"),0),IF('POINTAGE'!$J$5&lt;&gt;"",--('POINTAGE'!J75="Absent"),0),IF('POINTAGE'!$L$5&lt;&gt;"",--('POINTAGE'!L75="Absent"),0),IF('POINTAGE'!$N$5&lt;&gt;"",--('POINTAGE'!N75="Absent"),0),IF('POINTAGE'!$P$5&lt;&gt;"",--('POINTAGE'!P75="Absent"),0),IF('POINTAGE'!$R$5&lt;&gt;"",--('POINTAGE'!R75="Absent"),0),IF('POINTAGE'!$T$5&lt;&gt;"",--('POINTAGE'!T75="Absent"),0),IF('POINTAGE'!$V$5&lt;&gt;"",--('POINTAGE'!V75="Absent"),0),IF('POINTAGE'!$X$5&lt;&gt;"",--('POINTAGE'!X75="Absent"),0),IF('POINTAGE'!$Z$5&lt;&gt;"",--('POINTAGE'!Z75="Absent"),0),IF('POINTAGE'!$AB$5&lt;&gt;"",--('POINTAGE'!AB75="Absent"),0),IF('POINTAGE'!$AD$5&lt;&gt;"",--('POINTAGE'!AD75="Absent"),0),IF('POINTAGE'!$AF$5&lt;&gt;"",--('POINTAGE'!AF75="Absent"),0)))</f>
      </c>
      <c r="H75" s="23">
        <f>IF($A75="","",SUM(IF('POINTAGE'!$D$5&lt;&gt;"",IF('POINTAGE'!D75="Présent",'POINTAGE'!E75,0),0),IF('POINTAGE'!$F$5&lt;&gt;"",IF('POINTAGE'!F75="Présent",'POINTAGE'!G75,0),0),IF('POINTAGE'!$H$5&lt;&gt;"",IF('POINTAGE'!H75="Présent",'POINTAGE'!I75,0),0),IF('POINTAGE'!$J$5&lt;&gt;"",IF('POINTAGE'!J75="Présent",'POINTAGE'!K75,0),0),IF('POINTAGE'!$L$5&lt;&gt;"",IF('POINTAGE'!L75="Présent",'POINTAGE'!M75,0),0),IF('POINTAGE'!$N$5&lt;&gt;"",IF('POINTAGE'!N75="Présent",'POINTAGE'!O75,0),0),IF('POINTAGE'!$P$5&lt;&gt;"",IF('POINTAGE'!P75="Présent",'POINTAGE'!Q75,0),0),IF('POINTAGE'!$R$5&lt;&gt;"",IF('POINTAGE'!R75="Présent",'POINTAGE'!S75,0),0),IF('POINTAGE'!$T$5&lt;&gt;"",IF('POINTAGE'!T75="Présent",'POINTAGE'!U75,0),0),IF('POINTAGE'!$V$5&lt;&gt;"",IF('POINTAGE'!V75="Présent",'POINTAGE'!W75,0),0),IF('POINTAGE'!$X$5&lt;&gt;"",IF('POINTAGE'!X75="Présent",'POINTAGE'!Y75,0),0),IF('POINTAGE'!$Z$5&lt;&gt;"",IF('POINTAGE'!Z75="Présent",'POINTAGE'!AA75,0),0),IF('POINTAGE'!$AB$5&lt;&gt;"",IF('POINTAGE'!AB75="Présent",'POINTAGE'!AC75,0),0),IF('POINTAGE'!$AD$5&lt;&gt;"",IF('POINTAGE'!AD75="Présent",'POINTAGE'!AE75,0),0),IF('POINTAGE'!$AF$5&lt;&gt;"",IF('POINTAGE'!AF75="Présent",'POINTAGE'!AG75,0),0)))</f>
      </c>
      <c r="I75" s="24">
        <f>IF($A75="","",$F75*$D75)</f>
      </c>
      <c r="J75" s="24">
        <f>IF($A75="","",$H75*$E75)</f>
      </c>
      <c r="K75" s="25">
        <f>IF($A75="","",$I75+$J75)</f>
      </c>
      <c r="L75" s="18"/>
      <c r="M75" s="25">
        <f>IF($A75="","",MAX(0,$K75-$L75))</f>
      </c>
      <c r="N75" s="22">
        <f>IF($A75="","",SUM(IF('POINTAGE'!$AH$5&lt;&gt;"",--('POINTAGE'!AH75="Présent"),0),IF('POINTAGE'!$AJ$5&lt;&gt;"",--('POINTAGE'!AJ75="Présent"),0),IF('POINTAGE'!$AL$5&lt;&gt;"",--('POINTAGE'!AL75="Présent"),0),IF('POINTAGE'!$AN$5&lt;&gt;"",--('POINTAGE'!AN75="Présent"),0),IF('POINTAGE'!$AP$5&lt;&gt;"",--('POINTAGE'!AP75="Présent"),0),IF('POINTAGE'!$AR$5&lt;&gt;"",--('POINTAGE'!AR75="Présent"),0),IF('POINTAGE'!$AT$5&lt;&gt;"",--('POINTAGE'!AT75="Présent"),0),IF('POINTAGE'!$AV$5&lt;&gt;"",--('POINTAGE'!AV75="Présent"),0),IF('POINTAGE'!$AX$5&lt;&gt;"",--('POINTAGE'!AX75="Présent"),0),IF('POINTAGE'!$AZ$5&lt;&gt;"",--('POINTAGE'!AZ75="Présent"),0),IF('POINTAGE'!$BB$5&lt;&gt;"",--('POINTAGE'!BB75="Présent"),0),IF('POINTAGE'!$BD$5&lt;&gt;"",--('POINTAGE'!BD75="Présent"),0),IF('POINTAGE'!$BF$5&lt;&gt;"",--('POINTAGE'!BF75="Présent"),0),IF('POINTAGE'!$BH$5&lt;&gt;"",--('POINTAGE'!BH75="Présent"),0),IF('POINTAGE'!$BJ$5&lt;&gt;"",--('POINTAGE'!BJ75="Présent"),0),IF('POINTAGE'!$BL$5&lt;&gt;"",--('POINTAGE'!BL75="Présent"),0)))</f>
      </c>
      <c r="O75" s="22">
        <f>IF($A75="","",SUM(IF('POINTAGE'!$AH$5&lt;&gt;"",--('POINTAGE'!AH75="Absent"),0),IF('POINTAGE'!$AJ$5&lt;&gt;"",--('POINTAGE'!AJ75="Absent"),0),IF('POINTAGE'!$AL$5&lt;&gt;"",--('POINTAGE'!AL75="Absent"),0),IF('POINTAGE'!$AN$5&lt;&gt;"",--('POINTAGE'!AN75="Absent"),0),IF('POINTAGE'!$AP$5&lt;&gt;"",--('POINTAGE'!AP75="Absent"),0),IF('POINTAGE'!$AR$5&lt;&gt;"",--('POINTAGE'!AR75="Absent"),0),IF('POINTAGE'!$AT$5&lt;&gt;"",--('POINTAGE'!AT75="Absent"),0),IF('POINTAGE'!$AV$5&lt;&gt;"",--('POINTAGE'!AV75="Absent"),0),IF('POINTAGE'!$AX$5&lt;&gt;"",--('POINTAGE'!AX75="Absent"),0),IF('POINTAGE'!$AZ$5&lt;&gt;"",--('POINTAGE'!AZ75="Absent"),0),IF('POINTAGE'!$BB$5&lt;&gt;"",--('POINTAGE'!BB75="Absent"),0),IF('POINTAGE'!$BD$5&lt;&gt;"",--('POINTAGE'!BD75="Absent"),0),IF('POINTAGE'!$BF$5&lt;&gt;"",--('POINTAGE'!BF75="Absent"),0),IF('POINTAGE'!$BH$5&lt;&gt;"",--('POINTAGE'!BH75="Absent"),0),IF('POINTAGE'!$BJ$5&lt;&gt;"",--('POINTAGE'!BJ75="Absent"),0),IF('POINTAGE'!$BL$5&lt;&gt;"",--('POINTAGE'!BL75="Absent"),0)))</f>
      </c>
      <c r="P75" s="23">
        <f>IF($A75="","",SUM(IF('POINTAGE'!$AH$5&lt;&gt;"",IF('POINTAGE'!AH75="Présent",'POINTAGE'!AI75,0),0),IF('POINTAGE'!$AJ$5&lt;&gt;"",IF('POINTAGE'!AJ75="Présent",'POINTAGE'!AK75,0),0),IF('POINTAGE'!$AL$5&lt;&gt;"",IF('POINTAGE'!AL75="Présent",'POINTAGE'!AM75,0),0),IF('POINTAGE'!$AN$5&lt;&gt;"",IF('POINTAGE'!AN75="Présent",'POINTAGE'!AO75,0),0),IF('POINTAGE'!$AP$5&lt;&gt;"",IF('POINTAGE'!AP75="Présent",'POINTAGE'!AQ75,0),0),IF('POINTAGE'!$AR$5&lt;&gt;"",IF('POINTAGE'!AR75="Présent",'POINTAGE'!AS75,0),0),IF('POINTAGE'!$AT$5&lt;&gt;"",IF('POINTAGE'!AT75="Présent",'POINTAGE'!AU75,0),0),IF('POINTAGE'!$AV$5&lt;&gt;"",IF('POINTAGE'!AV75="Présent",'POINTAGE'!AW75,0),0),IF('POINTAGE'!$AX$5&lt;&gt;"",IF('POINTAGE'!AX75="Présent",'POINTAGE'!AY75,0),0),IF('POINTAGE'!$AZ$5&lt;&gt;"",IF('POINTAGE'!AZ75="Présent",'POINTAGE'!BA75,0),0),IF('POINTAGE'!$BB$5&lt;&gt;"",IF('POINTAGE'!BB75="Présent",'POINTAGE'!BC75,0),0),IF('POINTAGE'!$BD$5&lt;&gt;"",IF('POINTAGE'!BD75="Présent",'POINTAGE'!BE75,0),0),IF('POINTAGE'!$BF$5&lt;&gt;"",IF('POINTAGE'!BF75="Présent",'POINTAGE'!BG75,0),0),IF('POINTAGE'!$BH$5&lt;&gt;"",IF('POINTAGE'!BH75="Présent",'POINTAGE'!BI75,0),0),IF('POINTAGE'!$BJ$5&lt;&gt;"",IF('POINTAGE'!BJ75="Présent",'POINTAGE'!BK75,0),0),IF('POINTAGE'!$BL$5&lt;&gt;"",IF('POINTAGE'!BL75="Présent",'POINTAGE'!BM75,0),0)))</f>
      </c>
      <c r="Q75" s="24">
        <f>IF($A75="","",$N75*$D75)</f>
      </c>
      <c r="R75" s="24">
        <f>IF($A75="","",$P75*$E75)</f>
      </c>
      <c r="S75" s="25">
        <f>IF($A75="","",$Q75+$R75)</f>
      </c>
      <c r="T75" s="18"/>
      <c r="U75" s="25">
        <f>IF($A75="","",MAX(0,$S75-$T75))</f>
      </c>
      <c r="V75" s="25">
        <f>IF($A75="","",$K75+$S75)</f>
      </c>
      <c r="W75" s="24">
        <f>IF($A75="","",$L75+$T75)</f>
      </c>
      <c r="X75" s="25">
        <f>IF($A75="","",$M75+$U75)</f>
      </c>
      <c r="Y75" s="29">
        <f>IF($A75="","",$J75+$R75)</f>
      </c>
    </row>
    <row r="76">
      <c r="A76" s="20">
        <f>IF('POINTAGE'!A76="","",'POINTAGE'!A76)</f>
      </c>
      <c r="B76" s="19">
        <f>IF($A76="","",'POINTAGE'!B76)</f>
      </c>
      <c r="C76" s="20">
        <f>IF($A76="","",'POINTAGE'!C76)</f>
      </c>
      <c r="D76" s="24">
        <f>IF($A76="","",IFERROR(INDEX(Categories_Salaire,MATCH($C76,ListeCategories,0)),0))</f>
      </c>
      <c r="E76" s="24">
        <f>IF($A76="","",IF(IFERROR(INDEX(Categories_TauxHS,MATCH($C76,ListeCategories,0)),0)&gt;0,IFERROR(INDEX(Categories_TauxHS,MATCH($C76,ListeCategories,0)),0),TauxHSDefaut))</f>
      </c>
      <c r="F76" s="22">
        <f>IF($A76="","",SUM(IF('POINTAGE'!$D$5&lt;&gt;"",--('POINTAGE'!D76="Présent"),0),IF('POINTAGE'!$F$5&lt;&gt;"",--('POINTAGE'!F76="Présent"),0),IF('POINTAGE'!$H$5&lt;&gt;"",--('POINTAGE'!H76="Présent"),0),IF('POINTAGE'!$J$5&lt;&gt;"",--('POINTAGE'!J76="Présent"),0),IF('POINTAGE'!$L$5&lt;&gt;"",--('POINTAGE'!L76="Présent"),0),IF('POINTAGE'!$N$5&lt;&gt;"",--('POINTAGE'!N76="Présent"),0),IF('POINTAGE'!$P$5&lt;&gt;"",--('POINTAGE'!P76="Présent"),0),IF('POINTAGE'!$R$5&lt;&gt;"",--('POINTAGE'!R76="Présent"),0),IF('POINTAGE'!$T$5&lt;&gt;"",--('POINTAGE'!T76="Présent"),0),IF('POINTAGE'!$V$5&lt;&gt;"",--('POINTAGE'!V76="Présent"),0),IF('POINTAGE'!$X$5&lt;&gt;"",--('POINTAGE'!X76="Présent"),0),IF('POINTAGE'!$Z$5&lt;&gt;"",--('POINTAGE'!Z76="Présent"),0),IF('POINTAGE'!$AB$5&lt;&gt;"",--('POINTAGE'!AB76="Présent"),0),IF('POINTAGE'!$AD$5&lt;&gt;"",--('POINTAGE'!AD76="Présent"),0),IF('POINTAGE'!$AF$5&lt;&gt;"",--('POINTAGE'!AF76="Présent"),0)))</f>
      </c>
      <c r="G76" s="22">
        <f>IF($A76="","",SUM(IF('POINTAGE'!$D$5&lt;&gt;"",--('POINTAGE'!D76="Absent"),0),IF('POINTAGE'!$F$5&lt;&gt;"",--('POINTAGE'!F76="Absent"),0),IF('POINTAGE'!$H$5&lt;&gt;"",--('POINTAGE'!H76="Absent"),0),IF('POINTAGE'!$J$5&lt;&gt;"",--('POINTAGE'!J76="Absent"),0),IF('POINTAGE'!$L$5&lt;&gt;"",--('POINTAGE'!L76="Absent"),0),IF('POINTAGE'!$N$5&lt;&gt;"",--('POINTAGE'!N76="Absent"),0),IF('POINTAGE'!$P$5&lt;&gt;"",--('POINTAGE'!P76="Absent"),0),IF('POINTAGE'!$R$5&lt;&gt;"",--('POINTAGE'!R76="Absent"),0),IF('POINTAGE'!$T$5&lt;&gt;"",--('POINTAGE'!T76="Absent"),0),IF('POINTAGE'!$V$5&lt;&gt;"",--('POINTAGE'!V76="Absent"),0),IF('POINTAGE'!$X$5&lt;&gt;"",--('POINTAGE'!X76="Absent"),0),IF('POINTAGE'!$Z$5&lt;&gt;"",--('POINTAGE'!Z76="Absent"),0),IF('POINTAGE'!$AB$5&lt;&gt;"",--('POINTAGE'!AB76="Absent"),0),IF('POINTAGE'!$AD$5&lt;&gt;"",--('POINTAGE'!AD76="Absent"),0),IF('POINTAGE'!$AF$5&lt;&gt;"",--('POINTAGE'!AF76="Absent"),0)))</f>
      </c>
      <c r="H76" s="23">
        <f>IF($A76="","",SUM(IF('POINTAGE'!$D$5&lt;&gt;"",IF('POINTAGE'!D76="Présent",'POINTAGE'!E76,0),0),IF('POINTAGE'!$F$5&lt;&gt;"",IF('POINTAGE'!F76="Présent",'POINTAGE'!G76,0),0),IF('POINTAGE'!$H$5&lt;&gt;"",IF('POINTAGE'!H76="Présent",'POINTAGE'!I76,0),0),IF('POINTAGE'!$J$5&lt;&gt;"",IF('POINTAGE'!J76="Présent",'POINTAGE'!K76,0),0),IF('POINTAGE'!$L$5&lt;&gt;"",IF('POINTAGE'!L76="Présent",'POINTAGE'!M76,0),0),IF('POINTAGE'!$N$5&lt;&gt;"",IF('POINTAGE'!N76="Présent",'POINTAGE'!O76,0),0),IF('POINTAGE'!$P$5&lt;&gt;"",IF('POINTAGE'!P76="Présent",'POINTAGE'!Q76,0),0),IF('POINTAGE'!$R$5&lt;&gt;"",IF('POINTAGE'!R76="Présent",'POINTAGE'!S76,0),0),IF('POINTAGE'!$T$5&lt;&gt;"",IF('POINTAGE'!T76="Présent",'POINTAGE'!U76,0),0),IF('POINTAGE'!$V$5&lt;&gt;"",IF('POINTAGE'!V76="Présent",'POINTAGE'!W76,0),0),IF('POINTAGE'!$X$5&lt;&gt;"",IF('POINTAGE'!X76="Présent",'POINTAGE'!Y76,0),0),IF('POINTAGE'!$Z$5&lt;&gt;"",IF('POINTAGE'!Z76="Présent",'POINTAGE'!AA76,0),0),IF('POINTAGE'!$AB$5&lt;&gt;"",IF('POINTAGE'!AB76="Présent",'POINTAGE'!AC76,0),0),IF('POINTAGE'!$AD$5&lt;&gt;"",IF('POINTAGE'!AD76="Présent",'POINTAGE'!AE76,0),0),IF('POINTAGE'!$AF$5&lt;&gt;"",IF('POINTAGE'!AF76="Présent",'POINTAGE'!AG76,0),0)))</f>
      </c>
      <c r="I76" s="24">
        <f>IF($A76="","",$F76*$D76)</f>
      </c>
      <c r="J76" s="24">
        <f>IF($A76="","",$H76*$E76)</f>
      </c>
      <c r="K76" s="25">
        <f>IF($A76="","",$I76+$J76)</f>
      </c>
      <c r="L76" s="18"/>
      <c r="M76" s="25">
        <f>IF($A76="","",MAX(0,$K76-$L76))</f>
      </c>
      <c r="N76" s="22">
        <f>IF($A76="","",SUM(IF('POINTAGE'!$AH$5&lt;&gt;"",--('POINTAGE'!AH76="Présent"),0),IF('POINTAGE'!$AJ$5&lt;&gt;"",--('POINTAGE'!AJ76="Présent"),0),IF('POINTAGE'!$AL$5&lt;&gt;"",--('POINTAGE'!AL76="Présent"),0),IF('POINTAGE'!$AN$5&lt;&gt;"",--('POINTAGE'!AN76="Présent"),0),IF('POINTAGE'!$AP$5&lt;&gt;"",--('POINTAGE'!AP76="Présent"),0),IF('POINTAGE'!$AR$5&lt;&gt;"",--('POINTAGE'!AR76="Présent"),0),IF('POINTAGE'!$AT$5&lt;&gt;"",--('POINTAGE'!AT76="Présent"),0),IF('POINTAGE'!$AV$5&lt;&gt;"",--('POINTAGE'!AV76="Présent"),0),IF('POINTAGE'!$AX$5&lt;&gt;"",--('POINTAGE'!AX76="Présent"),0),IF('POINTAGE'!$AZ$5&lt;&gt;"",--('POINTAGE'!AZ76="Présent"),0),IF('POINTAGE'!$BB$5&lt;&gt;"",--('POINTAGE'!BB76="Présent"),0),IF('POINTAGE'!$BD$5&lt;&gt;"",--('POINTAGE'!BD76="Présent"),0),IF('POINTAGE'!$BF$5&lt;&gt;"",--('POINTAGE'!BF76="Présent"),0),IF('POINTAGE'!$BH$5&lt;&gt;"",--('POINTAGE'!BH76="Présent"),0),IF('POINTAGE'!$BJ$5&lt;&gt;"",--('POINTAGE'!BJ76="Présent"),0),IF('POINTAGE'!$BL$5&lt;&gt;"",--('POINTAGE'!BL76="Présent"),0)))</f>
      </c>
      <c r="O76" s="22">
        <f>IF($A76="","",SUM(IF('POINTAGE'!$AH$5&lt;&gt;"",--('POINTAGE'!AH76="Absent"),0),IF('POINTAGE'!$AJ$5&lt;&gt;"",--('POINTAGE'!AJ76="Absent"),0),IF('POINTAGE'!$AL$5&lt;&gt;"",--('POINTAGE'!AL76="Absent"),0),IF('POINTAGE'!$AN$5&lt;&gt;"",--('POINTAGE'!AN76="Absent"),0),IF('POINTAGE'!$AP$5&lt;&gt;"",--('POINTAGE'!AP76="Absent"),0),IF('POINTAGE'!$AR$5&lt;&gt;"",--('POINTAGE'!AR76="Absent"),0),IF('POINTAGE'!$AT$5&lt;&gt;"",--('POINTAGE'!AT76="Absent"),0),IF('POINTAGE'!$AV$5&lt;&gt;"",--('POINTAGE'!AV76="Absent"),0),IF('POINTAGE'!$AX$5&lt;&gt;"",--('POINTAGE'!AX76="Absent"),0),IF('POINTAGE'!$AZ$5&lt;&gt;"",--('POINTAGE'!AZ76="Absent"),0),IF('POINTAGE'!$BB$5&lt;&gt;"",--('POINTAGE'!BB76="Absent"),0),IF('POINTAGE'!$BD$5&lt;&gt;"",--('POINTAGE'!BD76="Absent"),0),IF('POINTAGE'!$BF$5&lt;&gt;"",--('POINTAGE'!BF76="Absent"),0),IF('POINTAGE'!$BH$5&lt;&gt;"",--('POINTAGE'!BH76="Absent"),0),IF('POINTAGE'!$BJ$5&lt;&gt;"",--('POINTAGE'!BJ76="Absent"),0),IF('POINTAGE'!$BL$5&lt;&gt;"",--('POINTAGE'!BL76="Absent"),0)))</f>
      </c>
      <c r="P76" s="23">
        <f>IF($A76="","",SUM(IF('POINTAGE'!$AH$5&lt;&gt;"",IF('POINTAGE'!AH76="Présent",'POINTAGE'!AI76,0),0),IF('POINTAGE'!$AJ$5&lt;&gt;"",IF('POINTAGE'!AJ76="Présent",'POINTAGE'!AK76,0),0),IF('POINTAGE'!$AL$5&lt;&gt;"",IF('POINTAGE'!AL76="Présent",'POINTAGE'!AM76,0),0),IF('POINTAGE'!$AN$5&lt;&gt;"",IF('POINTAGE'!AN76="Présent",'POINTAGE'!AO76,0),0),IF('POINTAGE'!$AP$5&lt;&gt;"",IF('POINTAGE'!AP76="Présent",'POINTAGE'!AQ76,0),0),IF('POINTAGE'!$AR$5&lt;&gt;"",IF('POINTAGE'!AR76="Présent",'POINTAGE'!AS76,0),0),IF('POINTAGE'!$AT$5&lt;&gt;"",IF('POINTAGE'!AT76="Présent",'POINTAGE'!AU76,0),0),IF('POINTAGE'!$AV$5&lt;&gt;"",IF('POINTAGE'!AV76="Présent",'POINTAGE'!AW76,0),0),IF('POINTAGE'!$AX$5&lt;&gt;"",IF('POINTAGE'!AX76="Présent",'POINTAGE'!AY76,0),0),IF('POINTAGE'!$AZ$5&lt;&gt;"",IF('POINTAGE'!AZ76="Présent",'POINTAGE'!BA76,0),0),IF('POINTAGE'!$BB$5&lt;&gt;"",IF('POINTAGE'!BB76="Présent",'POINTAGE'!BC76,0),0),IF('POINTAGE'!$BD$5&lt;&gt;"",IF('POINTAGE'!BD76="Présent",'POINTAGE'!BE76,0),0),IF('POINTAGE'!$BF$5&lt;&gt;"",IF('POINTAGE'!BF76="Présent",'POINTAGE'!BG76,0),0),IF('POINTAGE'!$BH$5&lt;&gt;"",IF('POINTAGE'!BH76="Présent",'POINTAGE'!BI76,0),0),IF('POINTAGE'!$BJ$5&lt;&gt;"",IF('POINTAGE'!BJ76="Présent",'POINTAGE'!BK76,0),0),IF('POINTAGE'!$BL$5&lt;&gt;"",IF('POINTAGE'!BL76="Présent",'POINTAGE'!BM76,0),0)))</f>
      </c>
      <c r="Q76" s="24">
        <f>IF($A76="","",$N76*$D76)</f>
      </c>
      <c r="R76" s="24">
        <f>IF($A76="","",$P76*$E76)</f>
      </c>
      <c r="S76" s="25">
        <f>IF($A76="","",$Q76+$R76)</f>
      </c>
      <c r="T76" s="18"/>
      <c r="U76" s="25">
        <f>IF($A76="","",MAX(0,$S76-$T76))</f>
      </c>
      <c r="V76" s="25">
        <f>IF($A76="","",$K76+$S76)</f>
      </c>
      <c r="W76" s="24">
        <f>IF($A76="","",$L76+$T76)</f>
      </c>
      <c r="X76" s="25">
        <f>IF($A76="","",$M76+$U76)</f>
      </c>
      <c r="Y76" s="29">
        <f>IF($A76="","",$J76+$R76)</f>
      </c>
    </row>
    <row r="77">
      <c r="A77" s="20">
        <f>IF('POINTAGE'!A77="","",'POINTAGE'!A77)</f>
      </c>
      <c r="B77" s="19">
        <f>IF($A77="","",'POINTAGE'!B77)</f>
      </c>
      <c r="C77" s="20">
        <f>IF($A77="","",'POINTAGE'!C77)</f>
      </c>
      <c r="D77" s="24">
        <f>IF($A77="","",IFERROR(INDEX(Categories_Salaire,MATCH($C77,ListeCategories,0)),0))</f>
      </c>
      <c r="E77" s="24">
        <f>IF($A77="","",IF(IFERROR(INDEX(Categories_TauxHS,MATCH($C77,ListeCategories,0)),0)&gt;0,IFERROR(INDEX(Categories_TauxHS,MATCH($C77,ListeCategories,0)),0),TauxHSDefaut))</f>
      </c>
      <c r="F77" s="22">
        <f>IF($A77="","",SUM(IF('POINTAGE'!$D$5&lt;&gt;"",--('POINTAGE'!D77="Présent"),0),IF('POINTAGE'!$F$5&lt;&gt;"",--('POINTAGE'!F77="Présent"),0),IF('POINTAGE'!$H$5&lt;&gt;"",--('POINTAGE'!H77="Présent"),0),IF('POINTAGE'!$J$5&lt;&gt;"",--('POINTAGE'!J77="Présent"),0),IF('POINTAGE'!$L$5&lt;&gt;"",--('POINTAGE'!L77="Présent"),0),IF('POINTAGE'!$N$5&lt;&gt;"",--('POINTAGE'!N77="Présent"),0),IF('POINTAGE'!$P$5&lt;&gt;"",--('POINTAGE'!P77="Présent"),0),IF('POINTAGE'!$R$5&lt;&gt;"",--('POINTAGE'!R77="Présent"),0),IF('POINTAGE'!$T$5&lt;&gt;"",--('POINTAGE'!T77="Présent"),0),IF('POINTAGE'!$V$5&lt;&gt;"",--('POINTAGE'!V77="Présent"),0),IF('POINTAGE'!$X$5&lt;&gt;"",--('POINTAGE'!X77="Présent"),0),IF('POINTAGE'!$Z$5&lt;&gt;"",--('POINTAGE'!Z77="Présent"),0),IF('POINTAGE'!$AB$5&lt;&gt;"",--('POINTAGE'!AB77="Présent"),0),IF('POINTAGE'!$AD$5&lt;&gt;"",--('POINTAGE'!AD77="Présent"),0),IF('POINTAGE'!$AF$5&lt;&gt;"",--('POINTAGE'!AF77="Présent"),0)))</f>
      </c>
      <c r="G77" s="22">
        <f>IF($A77="","",SUM(IF('POINTAGE'!$D$5&lt;&gt;"",--('POINTAGE'!D77="Absent"),0),IF('POINTAGE'!$F$5&lt;&gt;"",--('POINTAGE'!F77="Absent"),0),IF('POINTAGE'!$H$5&lt;&gt;"",--('POINTAGE'!H77="Absent"),0),IF('POINTAGE'!$J$5&lt;&gt;"",--('POINTAGE'!J77="Absent"),0),IF('POINTAGE'!$L$5&lt;&gt;"",--('POINTAGE'!L77="Absent"),0),IF('POINTAGE'!$N$5&lt;&gt;"",--('POINTAGE'!N77="Absent"),0),IF('POINTAGE'!$P$5&lt;&gt;"",--('POINTAGE'!P77="Absent"),0),IF('POINTAGE'!$R$5&lt;&gt;"",--('POINTAGE'!R77="Absent"),0),IF('POINTAGE'!$T$5&lt;&gt;"",--('POINTAGE'!T77="Absent"),0),IF('POINTAGE'!$V$5&lt;&gt;"",--('POINTAGE'!V77="Absent"),0),IF('POINTAGE'!$X$5&lt;&gt;"",--('POINTAGE'!X77="Absent"),0),IF('POINTAGE'!$Z$5&lt;&gt;"",--('POINTAGE'!Z77="Absent"),0),IF('POINTAGE'!$AB$5&lt;&gt;"",--('POINTAGE'!AB77="Absent"),0),IF('POINTAGE'!$AD$5&lt;&gt;"",--('POINTAGE'!AD77="Absent"),0),IF('POINTAGE'!$AF$5&lt;&gt;"",--('POINTAGE'!AF77="Absent"),0)))</f>
      </c>
      <c r="H77" s="23">
        <f>IF($A77="","",SUM(IF('POINTAGE'!$D$5&lt;&gt;"",IF('POINTAGE'!D77="Présent",'POINTAGE'!E77,0),0),IF('POINTAGE'!$F$5&lt;&gt;"",IF('POINTAGE'!F77="Présent",'POINTAGE'!G77,0),0),IF('POINTAGE'!$H$5&lt;&gt;"",IF('POINTAGE'!H77="Présent",'POINTAGE'!I77,0),0),IF('POINTAGE'!$J$5&lt;&gt;"",IF('POINTAGE'!J77="Présent",'POINTAGE'!K77,0),0),IF('POINTAGE'!$L$5&lt;&gt;"",IF('POINTAGE'!L77="Présent",'POINTAGE'!M77,0),0),IF('POINTAGE'!$N$5&lt;&gt;"",IF('POINTAGE'!N77="Présent",'POINTAGE'!O77,0),0),IF('POINTAGE'!$P$5&lt;&gt;"",IF('POINTAGE'!P77="Présent",'POINTAGE'!Q77,0),0),IF('POINTAGE'!$R$5&lt;&gt;"",IF('POINTAGE'!R77="Présent",'POINTAGE'!S77,0),0),IF('POINTAGE'!$T$5&lt;&gt;"",IF('POINTAGE'!T77="Présent",'POINTAGE'!U77,0),0),IF('POINTAGE'!$V$5&lt;&gt;"",IF('POINTAGE'!V77="Présent",'POINTAGE'!W77,0),0),IF('POINTAGE'!$X$5&lt;&gt;"",IF('POINTAGE'!X77="Présent",'POINTAGE'!Y77,0),0),IF('POINTAGE'!$Z$5&lt;&gt;"",IF('POINTAGE'!Z77="Présent",'POINTAGE'!AA77,0),0),IF('POINTAGE'!$AB$5&lt;&gt;"",IF('POINTAGE'!AB77="Présent",'POINTAGE'!AC77,0),0),IF('POINTAGE'!$AD$5&lt;&gt;"",IF('POINTAGE'!AD77="Présent",'POINTAGE'!AE77,0),0),IF('POINTAGE'!$AF$5&lt;&gt;"",IF('POINTAGE'!AF77="Présent",'POINTAGE'!AG77,0),0)))</f>
      </c>
      <c r="I77" s="24">
        <f>IF($A77="","",$F77*$D77)</f>
      </c>
      <c r="J77" s="24">
        <f>IF($A77="","",$H77*$E77)</f>
      </c>
      <c r="K77" s="25">
        <f>IF($A77="","",$I77+$J77)</f>
      </c>
      <c r="L77" s="18"/>
      <c r="M77" s="25">
        <f>IF($A77="","",MAX(0,$K77-$L77))</f>
      </c>
      <c r="N77" s="22">
        <f>IF($A77="","",SUM(IF('POINTAGE'!$AH$5&lt;&gt;"",--('POINTAGE'!AH77="Présent"),0),IF('POINTAGE'!$AJ$5&lt;&gt;"",--('POINTAGE'!AJ77="Présent"),0),IF('POINTAGE'!$AL$5&lt;&gt;"",--('POINTAGE'!AL77="Présent"),0),IF('POINTAGE'!$AN$5&lt;&gt;"",--('POINTAGE'!AN77="Présent"),0),IF('POINTAGE'!$AP$5&lt;&gt;"",--('POINTAGE'!AP77="Présent"),0),IF('POINTAGE'!$AR$5&lt;&gt;"",--('POINTAGE'!AR77="Présent"),0),IF('POINTAGE'!$AT$5&lt;&gt;"",--('POINTAGE'!AT77="Présent"),0),IF('POINTAGE'!$AV$5&lt;&gt;"",--('POINTAGE'!AV77="Présent"),0),IF('POINTAGE'!$AX$5&lt;&gt;"",--('POINTAGE'!AX77="Présent"),0),IF('POINTAGE'!$AZ$5&lt;&gt;"",--('POINTAGE'!AZ77="Présent"),0),IF('POINTAGE'!$BB$5&lt;&gt;"",--('POINTAGE'!BB77="Présent"),0),IF('POINTAGE'!$BD$5&lt;&gt;"",--('POINTAGE'!BD77="Présent"),0),IF('POINTAGE'!$BF$5&lt;&gt;"",--('POINTAGE'!BF77="Présent"),0),IF('POINTAGE'!$BH$5&lt;&gt;"",--('POINTAGE'!BH77="Présent"),0),IF('POINTAGE'!$BJ$5&lt;&gt;"",--('POINTAGE'!BJ77="Présent"),0),IF('POINTAGE'!$BL$5&lt;&gt;"",--('POINTAGE'!BL77="Présent"),0)))</f>
      </c>
      <c r="O77" s="22">
        <f>IF($A77="","",SUM(IF('POINTAGE'!$AH$5&lt;&gt;"",--('POINTAGE'!AH77="Absent"),0),IF('POINTAGE'!$AJ$5&lt;&gt;"",--('POINTAGE'!AJ77="Absent"),0),IF('POINTAGE'!$AL$5&lt;&gt;"",--('POINTAGE'!AL77="Absent"),0),IF('POINTAGE'!$AN$5&lt;&gt;"",--('POINTAGE'!AN77="Absent"),0),IF('POINTAGE'!$AP$5&lt;&gt;"",--('POINTAGE'!AP77="Absent"),0),IF('POINTAGE'!$AR$5&lt;&gt;"",--('POINTAGE'!AR77="Absent"),0),IF('POINTAGE'!$AT$5&lt;&gt;"",--('POINTAGE'!AT77="Absent"),0),IF('POINTAGE'!$AV$5&lt;&gt;"",--('POINTAGE'!AV77="Absent"),0),IF('POINTAGE'!$AX$5&lt;&gt;"",--('POINTAGE'!AX77="Absent"),0),IF('POINTAGE'!$AZ$5&lt;&gt;"",--('POINTAGE'!AZ77="Absent"),0),IF('POINTAGE'!$BB$5&lt;&gt;"",--('POINTAGE'!BB77="Absent"),0),IF('POINTAGE'!$BD$5&lt;&gt;"",--('POINTAGE'!BD77="Absent"),0),IF('POINTAGE'!$BF$5&lt;&gt;"",--('POINTAGE'!BF77="Absent"),0),IF('POINTAGE'!$BH$5&lt;&gt;"",--('POINTAGE'!BH77="Absent"),0),IF('POINTAGE'!$BJ$5&lt;&gt;"",--('POINTAGE'!BJ77="Absent"),0),IF('POINTAGE'!$BL$5&lt;&gt;"",--('POINTAGE'!BL77="Absent"),0)))</f>
      </c>
      <c r="P77" s="23">
        <f>IF($A77="","",SUM(IF('POINTAGE'!$AH$5&lt;&gt;"",IF('POINTAGE'!AH77="Présent",'POINTAGE'!AI77,0),0),IF('POINTAGE'!$AJ$5&lt;&gt;"",IF('POINTAGE'!AJ77="Présent",'POINTAGE'!AK77,0),0),IF('POINTAGE'!$AL$5&lt;&gt;"",IF('POINTAGE'!AL77="Présent",'POINTAGE'!AM77,0),0),IF('POINTAGE'!$AN$5&lt;&gt;"",IF('POINTAGE'!AN77="Présent",'POINTAGE'!AO77,0),0),IF('POINTAGE'!$AP$5&lt;&gt;"",IF('POINTAGE'!AP77="Présent",'POINTAGE'!AQ77,0),0),IF('POINTAGE'!$AR$5&lt;&gt;"",IF('POINTAGE'!AR77="Présent",'POINTAGE'!AS77,0),0),IF('POINTAGE'!$AT$5&lt;&gt;"",IF('POINTAGE'!AT77="Présent",'POINTAGE'!AU77,0),0),IF('POINTAGE'!$AV$5&lt;&gt;"",IF('POINTAGE'!AV77="Présent",'POINTAGE'!AW77,0),0),IF('POINTAGE'!$AX$5&lt;&gt;"",IF('POINTAGE'!AX77="Présent",'POINTAGE'!AY77,0),0),IF('POINTAGE'!$AZ$5&lt;&gt;"",IF('POINTAGE'!AZ77="Présent",'POINTAGE'!BA77,0),0),IF('POINTAGE'!$BB$5&lt;&gt;"",IF('POINTAGE'!BB77="Présent",'POINTAGE'!BC77,0),0),IF('POINTAGE'!$BD$5&lt;&gt;"",IF('POINTAGE'!BD77="Présent",'POINTAGE'!BE77,0),0),IF('POINTAGE'!$BF$5&lt;&gt;"",IF('POINTAGE'!BF77="Présent",'POINTAGE'!BG77,0),0),IF('POINTAGE'!$BH$5&lt;&gt;"",IF('POINTAGE'!BH77="Présent",'POINTAGE'!BI77,0),0),IF('POINTAGE'!$BJ$5&lt;&gt;"",IF('POINTAGE'!BJ77="Présent",'POINTAGE'!BK77,0),0),IF('POINTAGE'!$BL$5&lt;&gt;"",IF('POINTAGE'!BL77="Présent",'POINTAGE'!BM77,0),0)))</f>
      </c>
      <c r="Q77" s="24">
        <f>IF($A77="","",$N77*$D77)</f>
      </c>
      <c r="R77" s="24">
        <f>IF($A77="","",$P77*$E77)</f>
      </c>
      <c r="S77" s="25">
        <f>IF($A77="","",$Q77+$R77)</f>
      </c>
      <c r="T77" s="18"/>
      <c r="U77" s="25">
        <f>IF($A77="","",MAX(0,$S77-$T77))</f>
      </c>
      <c r="V77" s="25">
        <f>IF($A77="","",$K77+$S77)</f>
      </c>
      <c r="W77" s="24">
        <f>IF($A77="","",$L77+$T77)</f>
      </c>
      <c r="X77" s="25">
        <f>IF($A77="","",$M77+$U77)</f>
      </c>
      <c r="Y77" s="29">
        <f>IF($A77="","",$J77+$R77)</f>
      </c>
    </row>
    <row r="78">
      <c r="A78" s="20">
        <f>IF('POINTAGE'!A78="","",'POINTAGE'!A78)</f>
      </c>
      <c r="B78" s="19">
        <f>IF($A78="","",'POINTAGE'!B78)</f>
      </c>
      <c r="C78" s="20">
        <f>IF($A78="","",'POINTAGE'!C78)</f>
      </c>
      <c r="D78" s="24">
        <f>IF($A78="","",IFERROR(INDEX(Categories_Salaire,MATCH($C78,ListeCategories,0)),0))</f>
      </c>
      <c r="E78" s="24">
        <f>IF($A78="","",IF(IFERROR(INDEX(Categories_TauxHS,MATCH($C78,ListeCategories,0)),0)&gt;0,IFERROR(INDEX(Categories_TauxHS,MATCH($C78,ListeCategories,0)),0),TauxHSDefaut))</f>
      </c>
      <c r="F78" s="22">
        <f>IF($A78="","",SUM(IF('POINTAGE'!$D$5&lt;&gt;"",--('POINTAGE'!D78="Présent"),0),IF('POINTAGE'!$F$5&lt;&gt;"",--('POINTAGE'!F78="Présent"),0),IF('POINTAGE'!$H$5&lt;&gt;"",--('POINTAGE'!H78="Présent"),0),IF('POINTAGE'!$J$5&lt;&gt;"",--('POINTAGE'!J78="Présent"),0),IF('POINTAGE'!$L$5&lt;&gt;"",--('POINTAGE'!L78="Présent"),0),IF('POINTAGE'!$N$5&lt;&gt;"",--('POINTAGE'!N78="Présent"),0),IF('POINTAGE'!$P$5&lt;&gt;"",--('POINTAGE'!P78="Présent"),0),IF('POINTAGE'!$R$5&lt;&gt;"",--('POINTAGE'!R78="Présent"),0),IF('POINTAGE'!$T$5&lt;&gt;"",--('POINTAGE'!T78="Présent"),0),IF('POINTAGE'!$V$5&lt;&gt;"",--('POINTAGE'!V78="Présent"),0),IF('POINTAGE'!$X$5&lt;&gt;"",--('POINTAGE'!X78="Présent"),0),IF('POINTAGE'!$Z$5&lt;&gt;"",--('POINTAGE'!Z78="Présent"),0),IF('POINTAGE'!$AB$5&lt;&gt;"",--('POINTAGE'!AB78="Présent"),0),IF('POINTAGE'!$AD$5&lt;&gt;"",--('POINTAGE'!AD78="Présent"),0),IF('POINTAGE'!$AF$5&lt;&gt;"",--('POINTAGE'!AF78="Présent"),0)))</f>
      </c>
      <c r="G78" s="22">
        <f>IF($A78="","",SUM(IF('POINTAGE'!$D$5&lt;&gt;"",--('POINTAGE'!D78="Absent"),0),IF('POINTAGE'!$F$5&lt;&gt;"",--('POINTAGE'!F78="Absent"),0),IF('POINTAGE'!$H$5&lt;&gt;"",--('POINTAGE'!H78="Absent"),0),IF('POINTAGE'!$J$5&lt;&gt;"",--('POINTAGE'!J78="Absent"),0),IF('POINTAGE'!$L$5&lt;&gt;"",--('POINTAGE'!L78="Absent"),0),IF('POINTAGE'!$N$5&lt;&gt;"",--('POINTAGE'!N78="Absent"),0),IF('POINTAGE'!$P$5&lt;&gt;"",--('POINTAGE'!P78="Absent"),0),IF('POINTAGE'!$R$5&lt;&gt;"",--('POINTAGE'!R78="Absent"),0),IF('POINTAGE'!$T$5&lt;&gt;"",--('POINTAGE'!T78="Absent"),0),IF('POINTAGE'!$V$5&lt;&gt;"",--('POINTAGE'!V78="Absent"),0),IF('POINTAGE'!$X$5&lt;&gt;"",--('POINTAGE'!X78="Absent"),0),IF('POINTAGE'!$Z$5&lt;&gt;"",--('POINTAGE'!Z78="Absent"),0),IF('POINTAGE'!$AB$5&lt;&gt;"",--('POINTAGE'!AB78="Absent"),0),IF('POINTAGE'!$AD$5&lt;&gt;"",--('POINTAGE'!AD78="Absent"),0),IF('POINTAGE'!$AF$5&lt;&gt;"",--('POINTAGE'!AF78="Absent"),0)))</f>
      </c>
      <c r="H78" s="23">
        <f>IF($A78="","",SUM(IF('POINTAGE'!$D$5&lt;&gt;"",IF('POINTAGE'!D78="Présent",'POINTAGE'!E78,0),0),IF('POINTAGE'!$F$5&lt;&gt;"",IF('POINTAGE'!F78="Présent",'POINTAGE'!G78,0),0),IF('POINTAGE'!$H$5&lt;&gt;"",IF('POINTAGE'!H78="Présent",'POINTAGE'!I78,0),0),IF('POINTAGE'!$J$5&lt;&gt;"",IF('POINTAGE'!J78="Présent",'POINTAGE'!K78,0),0),IF('POINTAGE'!$L$5&lt;&gt;"",IF('POINTAGE'!L78="Présent",'POINTAGE'!M78,0),0),IF('POINTAGE'!$N$5&lt;&gt;"",IF('POINTAGE'!N78="Présent",'POINTAGE'!O78,0),0),IF('POINTAGE'!$P$5&lt;&gt;"",IF('POINTAGE'!P78="Présent",'POINTAGE'!Q78,0),0),IF('POINTAGE'!$R$5&lt;&gt;"",IF('POINTAGE'!R78="Présent",'POINTAGE'!S78,0),0),IF('POINTAGE'!$T$5&lt;&gt;"",IF('POINTAGE'!T78="Présent",'POINTAGE'!U78,0),0),IF('POINTAGE'!$V$5&lt;&gt;"",IF('POINTAGE'!V78="Présent",'POINTAGE'!W78,0),0),IF('POINTAGE'!$X$5&lt;&gt;"",IF('POINTAGE'!X78="Présent",'POINTAGE'!Y78,0),0),IF('POINTAGE'!$Z$5&lt;&gt;"",IF('POINTAGE'!Z78="Présent",'POINTAGE'!AA78,0),0),IF('POINTAGE'!$AB$5&lt;&gt;"",IF('POINTAGE'!AB78="Présent",'POINTAGE'!AC78,0),0),IF('POINTAGE'!$AD$5&lt;&gt;"",IF('POINTAGE'!AD78="Présent",'POINTAGE'!AE78,0),0),IF('POINTAGE'!$AF$5&lt;&gt;"",IF('POINTAGE'!AF78="Présent",'POINTAGE'!AG78,0),0)))</f>
      </c>
      <c r="I78" s="24">
        <f>IF($A78="","",$F78*$D78)</f>
      </c>
      <c r="J78" s="24">
        <f>IF($A78="","",$H78*$E78)</f>
      </c>
      <c r="K78" s="25">
        <f>IF($A78="","",$I78+$J78)</f>
      </c>
      <c r="L78" s="18"/>
      <c r="M78" s="25">
        <f>IF($A78="","",MAX(0,$K78-$L78))</f>
      </c>
      <c r="N78" s="22">
        <f>IF($A78="","",SUM(IF('POINTAGE'!$AH$5&lt;&gt;"",--('POINTAGE'!AH78="Présent"),0),IF('POINTAGE'!$AJ$5&lt;&gt;"",--('POINTAGE'!AJ78="Présent"),0),IF('POINTAGE'!$AL$5&lt;&gt;"",--('POINTAGE'!AL78="Présent"),0),IF('POINTAGE'!$AN$5&lt;&gt;"",--('POINTAGE'!AN78="Présent"),0),IF('POINTAGE'!$AP$5&lt;&gt;"",--('POINTAGE'!AP78="Présent"),0),IF('POINTAGE'!$AR$5&lt;&gt;"",--('POINTAGE'!AR78="Présent"),0),IF('POINTAGE'!$AT$5&lt;&gt;"",--('POINTAGE'!AT78="Présent"),0),IF('POINTAGE'!$AV$5&lt;&gt;"",--('POINTAGE'!AV78="Présent"),0),IF('POINTAGE'!$AX$5&lt;&gt;"",--('POINTAGE'!AX78="Présent"),0),IF('POINTAGE'!$AZ$5&lt;&gt;"",--('POINTAGE'!AZ78="Présent"),0),IF('POINTAGE'!$BB$5&lt;&gt;"",--('POINTAGE'!BB78="Présent"),0),IF('POINTAGE'!$BD$5&lt;&gt;"",--('POINTAGE'!BD78="Présent"),0),IF('POINTAGE'!$BF$5&lt;&gt;"",--('POINTAGE'!BF78="Présent"),0),IF('POINTAGE'!$BH$5&lt;&gt;"",--('POINTAGE'!BH78="Présent"),0),IF('POINTAGE'!$BJ$5&lt;&gt;"",--('POINTAGE'!BJ78="Présent"),0),IF('POINTAGE'!$BL$5&lt;&gt;"",--('POINTAGE'!BL78="Présent"),0)))</f>
      </c>
      <c r="O78" s="22">
        <f>IF($A78="","",SUM(IF('POINTAGE'!$AH$5&lt;&gt;"",--('POINTAGE'!AH78="Absent"),0),IF('POINTAGE'!$AJ$5&lt;&gt;"",--('POINTAGE'!AJ78="Absent"),0),IF('POINTAGE'!$AL$5&lt;&gt;"",--('POINTAGE'!AL78="Absent"),0),IF('POINTAGE'!$AN$5&lt;&gt;"",--('POINTAGE'!AN78="Absent"),0),IF('POINTAGE'!$AP$5&lt;&gt;"",--('POINTAGE'!AP78="Absent"),0),IF('POINTAGE'!$AR$5&lt;&gt;"",--('POINTAGE'!AR78="Absent"),0),IF('POINTAGE'!$AT$5&lt;&gt;"",--('POINTAGE'!AT78="Absent"),0),IF('POINTAGE'!$AV$5&lt;&gt;"",--('POINTAGE'!AV78="Absent"),0),IF('POINTAGE'!$AX$5&lt;&gt;"",--('POINTAGE'!AX78="Absent"),0),IF('POINTAGE'!$AZ$5&lt;&gt;"",--('POINTAGE'!AZ78="Absent"),0),IF('POINTAGE'!$BB$5&lt;&gt;"",--('POINTAGE'!BB78="Absent"),0),IF('POINTAGE'!$BD$5&lt;&gt;"",--('POINTAGE'!BD78="Absent"),0),IF('POINTAGE'!$BF$5&lt;&gt;"",--('POINTAGE'!BF78="Absent"),0),IF('POINTAGE'!$BH$5&lt;&gt;"",--('POINTAGE'!BH78="Absent"),0),IF('POINTAGE'!$BJ$5&lt;&gt;"",--('POINTAGE'!BJ78="Absent"),0),IF('POINTAGE'!$BL$5&lt;&gt;"",--('POINTAGE'!BL78="Absent"),0)))</f>
      </c>
      <c r="P78" s="23">
        <f>IF($A78="","",SUM(IF('POINTAGE'!$AH$5&lt;&gt;"",IF('POINTAGE'!AH78="Présent",'POINTAGE'!AI78,0),0),IF('POINTAGE'!$AJ$5&lt;&gt;"",IF('POINTAGE'!AJ78="Présent",'POINTAGE'!AK78,0),0),IF('POINTAGE'!$AL$5&lt;&gt;"",IF('POINTAGE'!AL78="Présent",'POINTAGE'!AM78,0),0),IF('POINTAGE'!$AN$5&lt;&gt;"",IF('POINTAGE'!AN78="Présent",'POINTAGE'!AO78,0),0),IF('POINTAGE'!$AP$5&lt;&gt;"",IF('POINTAGE'!AP78="Présent",'POINTAGE'!AQ78,0),0),IF('POINTAGE'!$AR$5&lt;&gt;"",IF('POINTAGE'!AR78="Présent",'POINTAGE'!AS78,0),0),IF('POINTAGE'!$AT$5&lt;&gt;"",IF('POINTAGE'!AT78="Présent",'POINTAGE'!AU78,0),0),IF('POINTAGE'!$AV$5&lt;&gt;"",IF('POINTAGE'!AV78="Présent",'POINTAGE'!AW78,0),0),IF('POINTAGE'!$AX$5&lt;&gt;"",IF('POINTAGE'!AX78="Présent",'POINTAGE'!AY78,0),0),IF('POINTAGE'!$AZ$5&lt;&gt;"",IF('POINTAGE'!AZ78="Présent",'POINTAGE'!BA78,0),0),IF('POINTAGE'!$BB$5&lt;&gt;"",IF('POINTAGE'!BB78="Présent",'POINTAGE'!BC78,0),0),IF('POINTAGE'!$BD$5&lt;&gt;"",IF('POINTAGE'!BD78="Présent",'POINTAGE'!BE78,0),0),IF('POINTAGE'!$BF$5&lt;&gt;"",IF('POINTAGE'!BF78="Présent",'POINTAGE'!BG78,0),0),IF('POINTAGE'!$BH$5&lt;&gt;"",IF('POINTAGE'!BH78="Présent",'POINTAGE'!BI78,0),0),IF('POINTAGE'!$BJ$5&lt;&gt;"",IF('POINTAGE'!BJ78="Présent",'POINTAGE'!BK78,0),0),IF('POINTAGE'!$BL$5&lt;&gt;"",IF('POINTAGE'!BL78="Présent",'POINTAGE'!BM78,0),0)))</f>
      </c>
      <c r="Q78" s="24">
        <f>IF($A78="","",$N78*$D78)</f>
      </c>
      <c r="R78" s="24">
        <f>IF($A78="","",$P78*$E78)</f>
      </c>
      <c r="S78" s="25">
        <f>IF($A78="","",$Q78+$R78)</f>
      </c>
      <c r="T78" s="18"/>
      <c r="U78" s="25">
        <f>IF($A78="","",MAX(0,$S78-$T78))</f>
      </c>
      <c r="V78" s="25">
        <f>IF($A78="","",$K78+$S78)</f>
      </c>
      <c r="W78" s="24">
        <f>IF($A78="","",$L78+$T78)</f>
      </c>
      <c r="X78" s="25">
        <f>IF($A78="","",$M78+$U78)</f>
      </c>
      <c r="Y78" s="29">
        <f>IF($A78="","",$J78+$R78)</f>
      </c>
    </row>
    <row r="79">
      <c r="A79" s="20">
        <f>IF('POINTAGE'!A79="","",'POINTAGE'!A79)</f>
      </c>
      <c r="B79" s="19">
        <f>IF($A79="","",'POINTAGE'!B79)</f>
      </c>
      <c r="C79" s="20">
        <f>IF($A79="","",'POINTAGE'!C79)</f>
      </c>
      <c r="D79" s="24">
        <f>IF($A79="","",IFERROR(INDEX(Categories_Salaire,MATCH($C79,ListeCategories,0)),0))</f>
      </c>
      <c r="E79" s="24">
        <f>IF($A79="","",IF(IFERROR(INDEX(Categories_TauxHS,MATCH($C79,ListeCategories,0)),0)&gt;0,IFERROR(INDEX(Categories_TauxHS,MATCH($C79,ListeCategories,0)),0),TauxHSDefaut))</f>
      </c>
      <c r="F79" s="22">
        <f>IF($A79="","",SUM(IF('POINTAGE'!$D$5&lt;&gt;"",--('POINTAGE'!D79="Présent"),0),IF('POINTAGE'!$F$5&lt;&gt;"",--('POINTAGE'!F79="Présent"),0),IF('POINTAGE'!$H$5&lt;&gt;"",--('POINTAGE'!H79="Présent"),0),IF('POINTAGE'!$J$5&lt;&gt;"",--('POINTAGE'!J79="Présent"),0),IF('POINTAGE'!$L$5&lt;&gt;"",--('POINTAGE'!L79="Présent"),0),IF('POINTAGE'!$N$5&lt;&gt;"",--('POINTAGE'!N79="Présent"),0),IF('POINTAGE'!$P$5&lt;&gt;"",--('POINTAGE'!P79="Présent"),0),IF('POINTAGE'!$R$5&lt;&gt;"",--('POINTAGE'!R79="Présent"),0),IF('POINTAGE'!$T$5&lt;&gt;"",--('POINTAGE'!T79="Présent"),0),IF('POINTAGE'!$V$5&lt;&gt;"",--('POINTAGE'!V79="Présent"),0),IF('POINTAGE'!$X$5&lt;&gt;"",--('POINTAGE'!X79="Présent"),0),IF('POINTAGE'!$Z$5&lt;&gt;"",--('POINTAGE'!Z79="Présent"),0),IF('POINTAGE'!$AB$5&lt;&gt;"",--('POINTAGE'!AB79="Présent"),0),IF('POINTAGE'!$AD$5&lt;&gt;"",--('POINTAGE'!AD79="Présent"),0),IF('POINTAGE'!$AF$5&lt;&gt;"",--('POINTAGE'!AF79="Présent"),0)))</f>
      </c>
      <c r="G79" s="22">
        <f>IF($A79="","",SUM(IF('POINTAGE'!$D$5&lt;&gt;"",--('POINTAGE'!D79="Absent"),0),IF('POINTAGE'!$F$5&lt;&gt;"",--('POINTAGE'!F79="Absent"),0),IF('POINTAGE'!$H$5&lt;&gt;"",--('POINTAGE'!H79="Absent"),0),IF('POINTAGE'!$J$5&lt;&gt;"",--('POINTAGE'!J79="Absent"),0),IF('POINTAGE'!$L$5&lt;&gt;"",--('POINTAGE'!L79="Absent"),0),IF('POINTAGE'!$N$5&lt;&gt;"",--('POINTAGE'!N79="Absent"),0),IF('POINTAGE'!$P$5&lt;&gt;"",--('POINTAGE'!P79="Absent"),0),IF('POINTAGE'!$R$5&lt;&gt;"",--('POINTAGE'!R79="Absent"),0),IF('POINTAGE'!$T$5&lt;&gt;"",--('POINTAGE'!T79="Absent"),0),IF('POINTAGE'!$V$5&lt;&gt;"",--('POINTAGE'!V79="Absent"),0),IF('POINTAGE'!$X$5&lt;&gt;"",--('POINTAGE'!X79="Absent"),0),IF('POINTAGE'!$Z$5&lt;&gt;"",--('POINTAGE'!Z79="Absent"),0),IF('POINTAGE'!$AB$5&lt;&gt;"",--('POINTAGE'!AB79="Absent"),0),IF('POINTAGE'!$AD$5&lt;&gt;"",--('POINTAGE'!AD79="Absent"),0),IF('POINTAGE'!$AF$5&lt;&gt;"",--('POINTAGE'!AF79="Absent"),0)))</f>
      </c>
      <c r="H79" s="23">
        <f>IF($A79="","",SUM(IF('POINTAGE'!$D$5&lt;&gt;"",IF('POINTAGE'!D79="Présent",'POINTAGE'!E79,0),0),IF('POINTAGE'!$F$5&lt;&gt;"",IF('POINTAGE'!F79="Présent",'POINTAGE'!G79,0),0),IF('POINTAGE'!$H$5&lt;&gt;"",IF('POINTAGE'!H79="Présent",'POINTAGE'!I79,0),0),IF('POINTAGE'!$J$5&lt;&gt;"",IF('POINTAGE'!J79="Présent",'POINTAGE'!K79,0),0),IF('POINTAGE'!$L$5&lt;&gt;"",IF('POINTAGE'!L79="Présent",'POINTAGE'!M79,0),0),IF('POINTAGE'!$N$5&lt;&gt;"",IF('POINTAGE'!N79="Présent",'POINTAGE'!O79,0),0),IF('POINTAGE'!$P$5&lt;&gt;"",IF('POINTAGE'!P79="Présent",'POINTAGE'!Q79,0),0),IF('POINTAGE'!$R$5&lt;&gt;"",IF('POINTAGE'!R79="Présent",'POINTAGE'!S79,0),0),IF('POINTAGE'!$T$5&lt;&gt;"",IF('POINTAGE'!T79="Présent",'POINTAGE'!U79,0),0),IF('POINTAGE'!$V$5&lt;&gt;"",IF('POINTAGE'!V79="Présent",'POINTAGE'!W79,0),0),IF('POINTAGE'!$X$5&lt;&gt;"",IF('POINTAGE'!X79="Présent",'POINTAGE'!Y79,0),0),IF('POINTAGE'!$Z$5&lt;&gt;"",IF('POINTAGE'!Z79="Présent",'POINTAGE'!AA79,0),0),IF('POINTAGE'!$AB$5&lt;&gt;"",IF('POINTAGE'!AB79="Présent",'POINTAGE'!AC79,0),0),IF('POINTAGE'!$AD$5&lt;&gt;"",IF('POINTAGE'!AD79="Présent",'POINTAGE'!AE79,0),0),IF('POINTAGE'!$AF$5&lt;&gt;"",IF('POINTAGE'!AF79="Présent",'POINTAGE'!AG79,0),0)))</f>
      </c>
      <c r="I79" s="24">
        <f>IF($A79="","",$F79*$D79)</f>
      </c>
      <c r="J79" s="24">
        <f>IF($A79="","",$H79*$E79)</f>
      </c>
      <c r="K79" s="25">
        <f>IF($A79="","",$I79+$J79)</f>
      </c>
      <c r="L79" s="18"/>
      <c r="M79" s="25">
        <f>IF($A79="","",MAX(0,$K79-$L79))</f>
      </c>
      <c r="N79" s="22">
        <f>IF($A79="","",SUM(IF('POINTAGE'!$AH$5&lt;&gt;"",--('POINTAGE'!AH79="Présent"),0),IF('POINTAGE'!$AJ$5&lt;&gt;"",--('POINTAGE'!AJ79="Présent"),0),IF('POINTAGE'!$AL$5&lt;&gt;"",--('POINTAGE'!AL79="Présent"),0),IF('POINTAGE'!$AN$5&lt;&gt;"",--('POINTAGE'!AN79="Présent"),0),IF('POINTAGE'!$AP$5&lt;&gt;"",--('POINTAGE'!AP79="Présent"),0),IF('POINTAGE'!$AR$5&lt;&gt;"",--('POINTAGE'!AR79="Présent"),0),IF('POINTAGE'!$AT$5&lt;&gt;"",--('POINTAGE'!AT79="Présent"),0),IF('POINTAGE'!$AV$5&lt;&gt;"",--('POINTAGE'!AV79="Présent"),0),IF('POINTAGE'!$AX$5&lt;&gt;"",--('POINTAGE'!AX79="Présent"),0),IF('POINTAGE'!$AZ$5&lt;&gt;"",--('POINTAGE'!AZ79="Présent"),0),IF('POINTAGE'!$BB$5&lt;&gt;"",--('POINTAGE'!BB79="Présent"),0),IF('POINTAGE'!$BD$5&lt;&gt;"",--('POINTAGE'!BD79="Présent"),0),IF('POINTAGE'!$BF$5&lt;&gt;"",--('POINTAGE'!BF79="Présent"),0),IF('POINTAGE'!$BH$5&lt;&gt;"",--('POINTAGE'!BH79="Présent"),0),IF('POINTAGE'!$BJ$5&lt;&gt;"",--('POINTAGE'!BJ79="Présent"),0),IF('POINTAGE'!$BL$5&lt;&gt;"",--('POINTAGE'!BL79="Présent"),0)))</f>
      </c>
      <c r="O79" s="22">
        <f>IF($A79="","",SUM(IF('POINTAGE'!$AH$5&lt;&gt;"",--('POINTAGE'!AH79="Absent"),0),IF('POINTAGE'!$AJ$5&lt;&gt;"",--('POINTAGE'!AJ79="Absent"),0),IF('POINTAGE'!$AL$5&lt;&gt;"",--('POINTAGE'!AL79="Absent"),0),IF('POINTAGE'!$AN$5&lt;&gt;"",--('POINTAGE'!AN79="Absent"),0),IF('POINTAGE'!$AP$5&lt;&gt;"",--('POINTAGE'!AP79="Absent"),0),IF('POINTAGE'!$AR$5&lt;&gt;"",--('POINTAGE'!AR79="Absent"),0),IF('POINTAGE'!$AT$5&lt;&gt;"",--('POINTAGE'!AT79="Absent"),0),IF('POINTAGE'!$AV$5&lt;&gt;"",--('POINTAGE'!AV79="Absent"),0),IF('POINTAGE'!$AX$5&lt;&gt;"",--('POINTAGE'!AX79="Absent"),0),IF('POINTAGE'!$AZ$5&lt;&gt;"",--('POINTAGE'!AZ79="Absent"),0),IF('POINTAGE'!$BB$5&lt;&gt;"",--('POINTAGE'!BB79="Absent"),0),IF('POINTAGE'!$BD$5&lt;&gt;"",--('POINTAGE'!BD79="Absent"),0),IF('POINTAGE'!$BF$5&lt;&gt;"",--('POINTAGE'!BF79="Absent"),0),IF('POINTAGE'!$BH$5&lt;&gt;"",--('POINTAGE'!BH79="Absent"),0),IF('POINTAGE'!$BJ$5&lt;&gt;"",--('POINTAGE'!BJ79="Absent"),0),IF('POINTAGE'!$BL$5&lt;&gt;"",--('POINTAGE'!BL79="Absent"),0)))</f>
      </c>
      <c r="P79" s="23">
        <f>IF($A79="","",SUM(IF('POINTAGE'!$AH$5&lt;&gt;"",IF('POINTAGE'!AH79="Présent",'POINTAGE'!AI79,0),0),IF('POINTAGE'!$AJ$5&lt;&gt;"",IF('POINTAGE'!AJ79="Présent",'POINTAGE'!AK79,0),0),IF('POINTAGE'!$AL$5&lt;&gt;"",IF('POINTAGE'!AL79="Présent",'POINTAGE'!AM79,0),0),IF('POINTAGE'!$AN$5&lt;&gt;"",IF('POINTAGE'!AN79="Présent",'POINTAGE'!AO79,0),0),IF('POINTAGE'!$AP$5&lt;&gt;"",IF('POINTAGE'!AP79="Présent",'POINTAGE'!AQ79,0),0),IF('POINTAGE'!$AR$5&lt;&gt;"",IF('POINTAGE'!AR79="Présent",'POINTAGE'!AS79,0),0),IF('POINTAGE'!$AT$5&lt;&gt;"",IF('POINTAGE'!AT79="Présent",'POINTAGE'!AU79,0),0),IF('POINTAGE'!$AV$5&lt;&gt;"",IF('POINTAGE'!AV79="Présent",'POINTAGE'!AW79,0),0),IF('POINTAGE'!$AX$5&lt;&gt;"",IF('POINTAGE'!AX79="Présent",'POINTAGE'!AY79,0),0),IF('POINTAGE'!$AZ$5&lt;&gt;"",IF('POINTAGE'!AZ79="Présent",'POINTAGE'!BA79,0),0),IF('POINTAGE'!$BB$5&lt;&gt;"",IF('POINTAGE'!BB79="Présent",'POINTAGE'!BC79,0),0),IF('POINTAGE'!$BD$5&lt;&gt;"",IF('POINTAGE'!BD79="Présent",'POINTAGE'!BE79,0),0),IF('POINTAGE'!$BF$5&lt;&gt;"",IF('POINTAGE'!BF79="Présent",'POINTAGE'!BG79,0),0),IF('POINTAGE'!$BH$5&lt;&gt;"",IF('POINTAGE'!BH79="Présent",'POINTAGE'!BI79,0),0),IF('POINTAGE'!$BJ$5&lt;&gt;"",IF('POINTAGE'!BJ79="Présent",'POINTAGE'!BK79,0),0),IF('POINTAGE'!$BL$5&lt;&gt;"",IF('POINTAGE'!BL79="Présent",'POINTAGE'!BM79,0),0)))</f>
      </c>
      <c r="Q79" s="24">
        <f>IF($A79="","",$N79*$D79)</f>
      </c>
      <c r="R79" s="24">
        <f>IF($A79="","",$P79*$E79)</f>
      </c>
      <c r="S79" s="25">
        <f>IF($A79="","",$Q79+$R79)</f>
      </c>
      <c r="T79" s="18"/>
      <c r="U79" s="25">
        <f>IF($A79="","",MAX(0,$S79-$T79))</f>
      </c>
      <c r="V79" s="25">
        <f>IF($A79="","",$K79+$S79)</f>
      </c>
      <c r="W79" s="24">
        <f>IF($A79="","",$L79+$T79)</f>
      </c>
      <c r="X79" s="25">
        <f>IF($A79="","",$M79+$U79)</f>
      </c>
      <c r="Y79" s="29">
        <f>IF($A79="","",$J79+$R79)</f>
      </c>
    </row>
    <row r="80">
      <c r="A80" s="20">
        <f>IF('POINTAGE'!A80="","",'POINTAGE'!A80)</f>
      </c>
      <c r="B80" s="19">
        <f>IF($A80="","",'POINTAGE'!B80)</f>
      </c>
      <c r="C80" s="20">
        <f>IF($A80="","",'POINTAGE'!C80)</f>
      </c>
      <c r="D80" s="24">
        <f>IF($A80="","",IFERROR(INDEX(Categories_Salaire,MATCH($C80,ListeCategories,0)),0))</f>
      </c>
      <c r="E80" s="24">
        <f>IF($A80="","",IF(IFERROR(INDEX(Categories_TauxHS,MATCH($C80,ListeCategories,0)),0)&gt;0,IFERROR(INDEX(Categories_TauxHS,MATCH($C80,ListeCategories,0)),0),TauxHSDefaut))</f>
      </c>
      <c r="F80" s="22">
        <f>IF($A80="","",SUM(IF('POINTAGE'!$D$5&lt;&gt;"",--('POINTAGE'!D80="Présent"),0),IF('POINTAGE'!$F$5&lt;&gt;"",--('POINTAGE'!F80="Présent"),0),IF('POINTAGE'!$H$5&lt;&gt;"",--('POINTAGE'!H80="Présent"),0),IF('POINTAGE'!$J$5&lt;&gt;"",--('POINTAGE'!J80="Présent"),0),IF('POINTAGE'!$L$5&lt;&gt;"",--('POINTAGE'!L80="Présent"),0),IF('POINTAGE'!$N$5&lt;&gt;"",--('POINTAGE'!N80="Présent"),0),IF('POINTAGE'!$P$5&lt;&gt;"",--('POINTAGE'!P80="Présent"),0),IF('POINTAGE'!$R$5&lt;&gt;"",--('POINTAGE'!R80="Présent"),0),IF('POINTAGE'!$T$5&lt;&gt;"",--('POINTAGE'!T80="Présent"),0),IF('POINTAGE'!$V$5&lt;&gt;"",--('POINTAGE'!V80="Présent"),0),IF('POINTAGE'!$X$5&lt;&gt;"",--('POINTAGE'!X80="Présent"),0),IF('POINTAGE'!$Z$5&lt;&gt;"",--('POINTAGE'!Z80="Présent"),0),IF('POINTAGE'!$AB$5&lt;&gt;"",--('POINTAGE'!AB80="Présent"),0),IF('POINTAGE'!$AD$5&lt;&gt;"",--('POINTAGE'!AD80="Présent"),0),IF('POINTAGE'!$AF$5&lt;&gt;"",--('POINTAGE'!AF80="Présent"),0)))</f>
      </c>
      <c r="G80" s="22">
        <f>IF($A80="","",SUM(IF('POINTAGE'!$D$5&lt;&gt;"",--('POINTAGE'!D80="Absent"),0),IF('POINTAGE'!$F$5&lt;&gt;"",--('POINTAGE'!F80="Absent"),0),IF('POINTAGE'!$H$5&lt;&gt;"",--('POINTAGE'!H80="Absent"),0),IF('POINTAGE'!$J$5&lt;&gt;"",--('POINTAGE'!J80="Absent"),0),IF('POINTAGE'!$L$5&lt;&gt;"",--('POINTAGE'!L80="Absent"),0),IF('POINTAGE'!$N$5&lt;&gt;"",--('POINTAGE'!N80="Absent"),0),IF('POINTAGE'!$P$5&lt;&gt;"",--('POINTAGE'!P80="Absent"),0),IF('POINTAGE'!$R$5&lt;&gt;"",--('POINTAGE'!R80="Absent"),0),IF('POINTAGE'!$T$5&lt;&gt;"",--('POINTAGE'!T80="Absent"),0),IF('POINTAGE'!$V$5&lt;&gt;"",--('POINTAGE'!V80="Absent"),0),IF('POINTAGE'!$X$5&lt;&gt;"",--('POINTAGE'!X80="Absent"),0),IF('POINTAGE'!$Z$5&lt;&gt;"",--('POINTAGE'!Z80="Absent"),0),IF('POINTAGE'!$AB$5&lt;&gt;"",--('POINTAGE'!AB80="Absent"),0),IF('POINTAGE'!$AD$5&lt;&gt;"",--('POINTAGE'!AD80="Absent"),0),IF('POINTAGE'!$AF$5&lt;&gt;"",--('POINTAGE'!AF80="Absent"),0)))</f>
      </c>
      <c r="H80" s="23">
        <f>IF($A80="","",SUM(IF('POINTAGE'!$D$5&lt;&gt;"",IF('POINTAGE'!D80="Présent",'POINTAGE'!E80,0),0),IF('POINTAGE'!$F$5&lt;&gt;"",IF('POINTAGE'!F80="Présent",'POINTAGE'!G80,0),0),IF('POINTAGE'!$H$5&lt;&gt;"",IF('POINTAGE'!H80="Présent",'POINTAGE'!I80,0),0),IF('POINTAGE'!$J$5&lt;&gt;"",IF('POINTAGE'!J80="Présent",'POINTAGE'!K80,0),0),IF('POINTAGE'!$L$5&lt;&gt;"",IF('POINTAGE'!L80="Présent",'POINTAGE'!M80,0),0),IF('POINTAGE'!$N$5&lt;&gt;"",IF('POINTAGE'!N80="Présent",'POINTAGE'!O80,0),0),IF('POINTAGE'!$P$5&lt;&gt;"",IF('POINTAGE'!P80="Présent",'POINTAGE'!Q80,0),0),IF('POINTAGE'!$R$5&lt;&gt;"",IF('POINTAGE'!R80="Présent",'POINTAGE'!S80,0),0),IF('POINTAGE'!$T$5&lt;&gt;"",IF('POINTAGE'!T80="Présent",'POINTAGE'!U80,0),0),IF('POINTAGE'!$V$5&lt;&gt;"",IF('POINTAGE'!V80="Présent",'POINTAGE'!W80,0),0),IF('POINTAGE'!$X$5&lt;&gt;"",IF('POINTAGE'!X80="Présent",'POINTAGE'!Y80,0),0),IF('POINTAGE'!$Z$5&lt;&gt;"",IF('POINTAGE'!Z80="Présent",'POINTAGE'!AA80,0),0),IF('POINTAGE'!$AB$5&lt;&gt;"",IF('POINTAGE'!AB80="Présent",'POINTAGE'!AC80,0),0),IF('POINTAGE'!$AD$5&lt;&gt;"",IF('POINTAGE'!AD80="Présent",'POINTAGE'!AE80,0),0),IF('POINTAGE'!$AF$5&lt;&gt;"",IF('POINTAGE'!AF80="Présent",'POINTAGE'!AG80,0),0)))</f>
      </c>
      <c r="I80" s="24">
        <f>IF($A80="","",$F80*$D80)</f>
      </c>
      <c r="J80" s="24">
        <f>IF($A80="","",$H80*$E80)</f>
      </c>
      <c r="K80" s="25">
        <f>IF($A80="","",$I80+$J80)</f>
      </c>
      <c r="L80" s="18"/>
      <c r="M80" s="25">
        <f>IF($A80="","",MAX(0,$K80-$L80))</f>
      </c>
      <c r="N80" s="22">
        <f>IF($A80="","",SUM(IF('POINTAGE'!$AH$5&lt;&gt;"",--('POINTAGE'!AH80="Présent"),0),IF('POINTAGE'!$AJ$5&lt;&gt;"",--('POINTAGE'!AJ80="Présent"),0),IF('POINTAGE'!$AL$5&lt;&gt;"",--('POINTAGE'!AL80="Présent"),0),IF('POINTAGE'!$AN$5&lt;&gt;"",--('POINTAGE'!AN80="Présent"),0),IF('POINTAGE'!$AP$5&lt;&gt;"",--('POINTAGE'!AP80="Présent"),0),IF('POINTAGE'!$AR$5&lt;&gt;"",--('POINTAGE'!AR80="Présent"),0),IF('POINTAGE'!$AT$5&lt;&gt;"",--('POINTAGE'!AT80="Présent"),0),IF('POINTAGE'!$AV$5&lt;&gt;"",--('POINTAGE'!AV80="Présent"),0),IF('POINTAGE'!$AX$5&lt;&gt;"",--('POINTAGE'!AX80="Présent"),0),IF('POINTAGE'!$AZ$5&lt;&gt;"",--('POINTAGE'!AZ80="Présent"),0),IF('POINTAGE'!$BB$5&lt;&gt;"",--('POINTAGE'!BB80="Présent"),0),IF('POINTAGE'!$BD$5&lt;&gt;"",--('POINTAGE'!BD80="Présent"),0),IF('POINTAGE'!$BF$5&lt;&gt;"",--('POINTAGE'!BF80="Présent"),0),IF('POINTAGE'!$BH$5&lt;&gt;"",--('POINTAGE'!BH80="Présent"),0),IF('POINTAGE'!$BJ$5&lt;&gt;"",--('POINTAGE'!BJ80="Présent"),0),IF('POINTAGE'!$BL$5&lt;&gt;"",--('POINTAGE'!BL80="Présent"),0)))</f>
      </c>
      <c r="O80" s="22">
        <f>IF($A80="","",SUM(IF('POINTAGE'!$AH$5&lt;&gt;"",--('POINTAGE'!AH80="Absent"),0),IF('POINTAGE'!$AJ$5&lt;&gt;"",--('POINTAGE'!AJ80="Absent"),0),IF('POINTAGE'!$AL$5&lt;&gt;"",--('POINTAGE'!AL80="Absent"),0),IF('POINTAGE'!$AN$5&lt;&gt;"",--('POINTAGE'!AN80="Absent"),0),IF('POINTAGE'!$AP$5&lt;&gt;"",--('POINTAGE'!AP80="Absent"),0),IF('POINTAGE'!$AR$5&lt;&gt;"",--('POINTAGE'!AR80="Absent"),0),IF('POINTAGE'!$AT$5&lt;&gt;"",--('POINTAGE'!AT80="Absent"),0),IF('POINTAGE'!$AV$5&lt;&gt;"",--('POINTAGE'!AV80="Absent"),0),IF('POINTAGE'!$AX$5&lt;&gt;"",--('POINTAGE'!AX80="Absent"),0),IF('POINTAGE'!$AZ$5&lt;&gt;"",--('POINTAGE'!AZ80="Absent"),0),IF('POINTAGE'!$BB$5&lt;&gt;"",--('POINTAGE'!BB80="Absent"),0),IF('POINTAGE'!$BD$5&lt;&gt;"",--('POINTAGE'!BD80="Absent"),0),IF('POINTAGE'!$BF$5&lt;&gt;"",--('POINTAGE'!BF80="Absent"),0),IF('POINTAGE'!$BH$5&lt;&gt;"",--('POINTAGE'!BH80="Absent"),0),IF('POINTAGE'!$BJ$5&lt;&gt;"",--('POINTAGE'!BJ80="Absent"),0),IF('POINTAGE'!$BL$5&lt;&gt;"",--('POINTAGE'!BL80="Absent"),0)))</f>
      </c>
      <c r="P80" s="23">
        <f>IF($A80="","",SUM(IF('POINTAGE'!$AH$5&lt;&gt;"",IF('POINTAGE'!AH80="Présent",'POINTAGE'!AI80,0),0),IF('POINTAGE'!$AJ$5&lt;&gt;"",IF('POINTAGE'!AJ80="Présent",'POINTAGE'!AK80,0),0),IF('POINTAGE'!$AL$5&lt;&gt;"",IF('POINTAGE'!AL80="Présent",'POINTAGE'!AM80,0),0),IF('POINTAGE'!$AN$5&lt;&gt;"",IF('POINTAGE'!AN80="Présent",'POINTAGE'!AO80,0),0),IF('POINTAGE'!$AP$5&lt;&gt;"",IF('POINTAGE'!AP80="Présent",'POINTAGE'!AQ80,0),0),IF('POINTAGE'!$AR$5&lt;&gt;"",IF('POINTAGE'!AR80="Présent",'POINTAGE'!AS80,0),0),IF('POINTAGE'!$AT$5&lt;&gt;"",IF('POINTAGE'!AT80="Présent",'POINTAGE'!AU80,0),0),IF('POINTAGE'!$AV$5&lt;&gt;"",IF('POINTAGE'!AV80="Présent",'POINTAGE'!AW80,0),0),IF('POINTAGE'!$AX$5&lt;&gt;"",IF('POINTAGE'!AX80="Présent",'POINTAGE'!AY80,0),0),IF('POINTAGE'!$AZ$5&lt;&gt;"",IF('POINTAGE'!AZ80="Présent",'POINTAGE'!BA80,0),0),IF('POINTAGE'!$BB$5&lt;&gt;"",IF('POINTAGE'!BB80="Présent",'POINTAGE'!BC80,0),0),IF('POINTAGE'!$BD$5&lt;&gt;"",IF('POINTAGE'!BD80="Présent",'POINTAGE'!BE80,0),0),IF('POINTAGE'!$BF$5&lt;&gt;"",IF('POINTAGE'!BF80="Présent",'POINTAGE'!BG80,0),0),IF('POINTAGE'!$BH$5&lt;&gt;"",IF('POINTAGE'!BH80="Présent",'POINTAGE'!BI80,0),0),IF('POINTAGE'!$BJ$5&lt;&gt;"",IF('POINTAGE'!BJ80="Présent",'POINTAGE'!BK80,0),0),IF('POINTAGE'!$BL$5&lt;&gt;"",IF('POINTAGE'!BL80="Présent",'POINTAGE'!BM80,0),0)))</f>
      </c>
      <c r="Q80" s="24">
        <f>IF($A80="","",$N80*$D80)</f>
      </c>
      <c r="R80" s="24">
        <f>IF($A80="","",$P80*$E80)</f>
      </c>
      <c r="S80" s="25">
        <f>IF($A80="","",$Q80+$R80)</f>
      </c>
      <c r="T80" s="18"/>
      <c r="U80" s="25">
        <f>IF($A80="","",MAX(0,$S80-$T80))</f>
      </c>
      <c r="V80" s="25">
        <f>IF($A80="","",$K80+$S80)</f>
      </c>
      <c r="W80" s="24">
        <f>IF($A80="","",$L80+$T80)</f>
      </c>
      <c r="X80" s="25">
        <f>IF($A80="","",$M80+$U80)</f>
      </c>
      <c r="Y80" s="29">
        <f>IF($A80="","",$J80+$R80)</f>
      </c>
    </row>
    <row r="81">
      <c r="A81" s="20">
        <f>IF('POINTAGE'!A81="","",'POINTAGE'!A81)</f>
      </c>
      <c r="B81" s="19">
        <f>IF($A81="","",'POINTAGE'!B81)</f>
      </c>
      <c r="C81" s="20">
        <f>IF($A81="","",'POINTAGE'!C81)</f>
      </c>
      <c r="D81" s="24">
        <f>IF($A81="","",IFERROR(INDEX(Categories_Salaire,MATCH($C81,ListeCategories,0)),0))</f>
      </c>
      <c r="E81" s="24">
        <f>IF($A81="","",IF(IFERROR(INDEX(Categories_TauxHS,MATCH($C81,ListeCategories,0)),0)&gt;0,IFERROR(INDEX(Categories_TauxHS,MATCH($C81,ListeCategories,0)),0),TauxHSDefaut))</f>
      </c>
      <c r="F81" s="22">
        <f>IF($A81="","",SUM(IF('POINTAGE'!$D$5&lt;&gt;"",--('POINTAGE'!D81="Présent"),0),IF('POINTAGE'!$F$5&lt;&gt;"",--('POINTAGE'!F81="Présent"),0),IF('POINTAGE'!$H$5&lt;&gt;"",--('POINTAGE'!H81="Présent"),0),IF('POINTAGE'!$J$5&lt;&gt;"",--('POINTAGE'!J81="Présent"),0),IF('POINTAGE'!$L$5&lt;&gt;"",--('POINTAGE'!L81="Présent"),0),IF('POINTAGE'!$N$5&lt;&gt;"",--('POINTAGE'!N81="Présent"),0),IF('POINTAGE'!$P$5&lt;&gt;"",--('POINTAGE'!P81="Présent"),0),IF('POINTAGE'!$R$5&lt;&gt;"",--('POINTAGE'!R81="Présent"),0),IF('POINTAGE'!$T$5&lt;&gt;"",--('POINTAGE'!T81="Présent"),0),IF('POINTAGE'!$V$5&lt;&gt;"",--('POINTAGE'!V81="Présent"),0),IF('POINTAGE'!$X$5&lt;&gt;"",--('POINTAGE'!X81="Présent"),0),IF('POINTAGE'!$Z$5&lt;&gt;"",--('POINTAGE'!Z81="Présent"),0),IF('POINTAGE'!$AB$5&lt;&gt;"",--('POINTAGE'!AB81="Présent"),0),IF('POINTAGE'!$AD$5&lt;&gt;"",--('POINTAGE'!AD81="Présent"),0),IF('POINTAGE'!$AF$5&lt;&gt;"",--('POINTAGE'!AF81="Présent"),0)))</f>
      </c>
      <c r="G81" s="22">
        <f>IF($A81="","",SUM(IF('POINTAGE'!$D$5&lt;&gt;"",--('POINTAGE'!D81="Absent"),0),IF('POINTAGE'!$F$5&lt;&gt;"",--('POINTAGE'!F81="Absent"),0),IF('POINTAGE'!$H$5&lt;&gt;"",--('POINTAGE'!H81="Absent"),0),IF('POINTAGE'!$J$5&lt;&gt;"",--('POINTAGE'!J81="Absent"),0),IF('POINTAGE'!$L$5&lt;&gt;"",--('POINTAGE'!L81="Absent"),0),IF('POINTAGE'!$N$5&lt;&gt;"",--('POINTAGE'!N81="Absent"),0),IF('POINTAGE'!$P$5&lt;&gt;"",--('POINTAGE'!P81="Absent"),0),IF('POINTAGE'!$R$5&lt;&gt;"",--('POINTAGE'!R81="Absent"),0),IF('POINTAGE'!$T$5&lt;&gt;"",--('POINTAGE'!T81="Absent"),0),IF('POINTAGE'!$V$5&lt;&gt;"",--('POINTAGE'!V81="Absent"),0),IF('POINTAGE'!$X$5&lt;&gt;"",--('POINTAGE'!X81="Absent"),0),IF('POINTAGE'!$Z$5&lt;&gt;"",--('POINTAGE'!Z81="Absent"),0),IF('POINTAGE'!$AB$5&lt;&gt;"",--('POINTAGE'!AB81="Absent"),0),IF('POINTAGE'!$AD$5&lt;&gt;"",--('POINTAGE'!AD81="Absent"),0),IF('POINTAGE'!$AF$5&lt;&gt;"",--('POINTAGE'!AF81="Absent"),0)))</f>
      </c>
      <c r="H81" s="23">
        <f>IF($A81="","",SUM(IF('POINTAGE'!$D$5&lt;&gt;"",IF('POINTAGE'!D81="Présent",'POINTAGE'!E81,0),0),IF('POINTAGE'!$F$5&lt;&gt;"",IF('POINTAGE'!F81="Présent",'POINTAGE'!G81,0),0),IF('POINTAGE'!$H$5&lt;&gt;"",IF('POINTAGE'!H81="Présent",'POINTAGE'!I81,0),0),IF('POINTAGE'!$J$5&lt;&gt;"",IF('POINTAGE'!J81="Présent",'POINTAGE'!K81,0),0),IF('POINTAGE'!$L$5&lt;&gt;"",IF('POINTAGE'!L81="Présent",'POINTAGE'!M81,0),0),IF('POINTAGE'!$N$5&lt;&gt;"",IF('POINTAGE'!N81="Présent",'POINTAGE'!O81,0),0),IF('POINTAGE'!$P$5&lt;&gt;"",IF('POINTAGE'!P81="Présent",'POINTAGE'!Q81,0),0),IF('POINTAGE'!$R$5&lt;&gt;"",IF('POINTAGE'!R81="Présent",'POINTAGE'!S81,0),0),IF('POINTAGE'!$T$5&lt;&gt;"",IF('POINTAGE'!T81="Présent",'POINTAGE'!U81,0),0),IF('POINTAGE'!$V$5&lt;&gt;"",IF('POINTAGE'!V81="Présent",'POINTAGE'!W81,0),0),IF('POINTAGE'!$X$5&lt;&gt;"",IF('POINTAGE'!X81="Présent",'POINTAGE'!Y81,0),0),IF('POINTAGE'!$Z$5&lt;&gt;"",IF('POINTAGE'!Z81="Présent",'POINTAGE'!AA81,0),0),IF('POINTAGE'!$AB$5&lt;&gt;"",IF('POINTAGE'!AB81="Présent",'POINTAGE'!AC81,0),0),IF('POINTAGE'!$AD$5&lt;&gt;"",IF('POINTAGE'!AD81="Présent",'POINTAGE'!AE81,0),0),IF('POINTAGE'!$AF$5&lt;&gt;"",IF('POINTAGE'!AF81="Présent",'POINTAGE'!AG81,0),0)))</f>
      </c>
      <c r="I81" s="24">
        <f>IF($A81="","",$F81*$D81)</f>
      </c>
      <c r="J81" s="24">
        <f>IF($A81="","",$H81*$E81)</f>
      </c>
      <c r="K81" s="25">
        <f>IF($A81="","",$I81+$J81)</f>
      </c>
      <c r="L81" s="18"/>
      <c r="M81" s="25">
        <f>IF($A81="","",MAX(0,$K81-$L81))</f>
      </c>
      <c r="N81" s="22">
        <f>IF($A81="","",SUM(IF('POINTAGE'!$AH$5&lt;&gt;"",--('POINTAGE'!AH81="Présent"),0),IF('POINTAGE'!$AJ$5&lt;&gt;"",--('POINTAGE'!AJ81="Présent"),0),IF('POINTAGE'!$AL$5&lt;&gt;"",--('POINTAGE'!AL81="Présent"),0),IF('POINTAGE'!$AN$5&lt;&gt;"",--('POINTAGE'!AN81="Présent"),0),IF('POINTAGE'!$AP$5&lt;&gt;"",--('POINTAGE'!AP81="Présent"),0),IF('POINTAGE'!$AR$5&lt;&gt;"",--('POINTAGE'!AR81="Présent"),0),IF('POINTAGE'!$AT$5&lt;&gt;"",--('POINTAGE'!AT81="Présent"),0),IF('POINTAGE'!$AV$5&lt;&gt;"",--('POINTAGE'!AV81="Présent"),0),IF('POINTAGE'!$AX$5&lt;&gt;"",--('POINTAGE'!AX81="Présent"),0),IF('POINTAGE'!$AZ$5&lt;&gt;"",--('POINTAGE'!AZ81="Présent"),0),IF('POINTAGE'!$BB$5&lt;&gt;"",--('POINTAGE'!BB81="Présent"),0),IF('POINTAGE'!$BD$5&lt;&gt;"",--('POINTAGE'!BD81="Présent"),0),IF('POINTAGE'!$BF$5&lt;&gt;"",--('POINTAGE'!BF81="Présent"),0),IF('POINTAGE'!$BH$5&lt;&gt;"",--('POINTAGE'!BH81="Présent"),0),IF('POINTAGE'!$BJ$5&lt;&gt;"",--('POINTAGE'!BJ81="Présent"),0),IF('POINTAGE'!$BL$5&lt;&gt;"",--('POINTAGE'!BL81="Présent"),0)))</f>
      </c>
      <c r="O81" s="22">
        <f>IF($A81="","",SUM(IF('POINTAGE'!$AH$5&lt;&gt;"",--('POINTAGE'!AH81="Absent"),0),IF('POINTAGE'!$AJ$5&lt;&gt;"",--('POINTAGE'!AJ81="Absent"),0),IF('POINTAGE'!$AL$5&lt;&gt;"",--('POINTAGE'!AL81="Absent"),0),IF('POINTAGE'!$AN$5&lt;&gt;"",--('POINTAGE'!AN81="Absent"),0),IF('POINTAGE'!$AP$5&lt;&gt;"",--('POINTAGE'!AP81="Absent"),0),IF('POINTAGE'!$AR$5&lt;&gt;"",--('POINTAGE'!AR81="Absent"),0),IF('POINTAGE'!$AT$5&lt;&gt;"",--('POINTAGE'!AT81="Absent"),0),IF('POINTAGE'!$AV$5&lt;&gt;"",--('POINTAGE'!AV81="Absent"),0),IF('POINTAGE'!$AX$5&lt;&gt;"",--('POINTAGE'!AX81="Absent"),0),IF('POINTAGE'!$AZ$5&lt;&gt;"",--('POINTAGE'!AZ81="Absent"),0),IF('POINTAGE'!$BB$5&lt;&gt;"",--('POINTAGE'!BB81="Absent"),0),IF('POINTAGE'!$BD$5&lt;&gt;"",--('POINTAGE'!BD81="Absent"),0),IF('POINTAGE'!$BF$5&lt;&gt;"",--('POINTAGE'!BF81="Absent"),0),IF('POINTAGE'!$BH$5&lt;&gt;"",--('POINTAGE'!BH81="Absent"),0),IF('POINTAGE'!$BJ$5&lt;&gt;"",--('POINTAGE'!BJ81="Absent"),0),IF('POINTAGE'!$BL$5&lt;&gt;"",--('POINTAGE'!BL81="Absent"),0)))</f>
      </c>
      <c r="P81" s="23">
        <f>IF($A81="","",SUM(IF('POINTAGE'!$AH$5&lt;&gt;"",IF('POINTAGE'!AH81="Présent",'POINTAGE'!AI81,0),0),IF('POINTAGE'!$AJ$5&lt;&gt;"",IF('POINTAGE'!AJ81="Présent",'POINTAGE'!AK81,0),0),IF('POINTAGE'!$AL$5&lt;&gt;"",IF('POINTAGE'!AL81="Présent",'POINTAGE'!AM81,0),0),IF('POINTAGE'!$AN$5&lt;&gt;"",IF('POINTAGE'!AN81="Présent",'POINTAGE'!AO81,0),0),IF('POINTAGE'!$AP$5&lt;&gt;"",IF('POINTAGE'!AP81="Présent",'POINTAGE'!AQ81,0),0),IF('POINTAGE'!$AR$5&lt;&gt;"",IF('POINTAGE'!AR81="Présent",'POINTAGE'!AS81,0),0),IF('POINTAGE'!$AT$5&lt;&gt;"",IF('POINTAGE'!AT81="Présent",'POINTAGE'!AU81,0),0),IF('POINTAGE'!$AV$5&lt;&gt;"",IF('POINTAGE'!AV81="Présent",'POINTAGE'!AW81,0),0),IF('POINTAGE'!$AX$5&lt;&gt;"",IF('POINTAGE'!AX81="Présent",'POINTAGE'!AY81,0),0),IF('POINTAGE'!$AZ$5&lt;&gt;"",IF('POINTAGE'!AZ81="Présent",'POINTAGE'!BA81,0),0),IF('POINTAGE'!$BB$5&lt;&gt;"",IF('POINTAGE'!BB81="Présent",'POINTAGE'!BC81,0),0),IF('POINTAGE'!$BD$5&lt;&gt;"",IF('POINTAGE'!BD81="Présent",'POINTAGE'!BE81,0),0),IF('POINTAGE'!$BF$5&lt;&gt;"",IF('POINTAGE'!BF81="Présent",'POINTAGE'!BG81,0),0),IF('POINTAGE'!$BH$5&lt;&gt;"",IF('POINTAGE'!BH81="Présent",'POINTAGE'!BI81,0),0),IF('POINTAGE'!$BJ$5&lt;&gt;"",IF('POINTAGE'!BJ81="Présent",'POINTAGE'!BK81,0),0),IF('POINTAGE'!$BL$5&lt;&gt;"",IF('POINTAGE'!BL81="Présent",'POINTAGE'!BM81,0),0)))</f>
      </c>
      <c r="Q81" s="24">
        <f>IF($A81="","",$N81*$D81)</f>
      </c>
      <c r="R81" s="24">
        <f>IF($A81="","",$P81*$E81)</f>
      </c>
      <c r="S81" s="25">
        <f>IF($A81="","",$Q81+$R81)</f>
      </c>
      <c r="T81" s="18"/>
      <c r="U81" s="25">
        <f>IF($A81="","",MAX(0,$S81-$T81))</f>
      </c>
      <c r="V81" s="25">
        <f>IF($A81="","",$K81+$S81)</f>
      </c>
      <c r="W81" s="24">
        <f>IF($A81="","",$L81+$T81)</f>
      </c>
      <c r="X81" s="25">
        <f>IF($A81="","",$M81+$U81)</f>
      </c>
      <c r="Y81" s="29">
        <f>IF($A81="","",$J81+$R81)</f>
      </c>
    </row>
    <row r="82">
      <c r="A82" s="20">
        <f>IF('POINTAGE'!A82="","",'POINTAGE'!A82)</f>
      </c>
      <c r="B82" s="19">
        <f>IF($A82="","",'POINTAGE'!B82)</f>
      </c>
      <c r="C82" s="20">
        <f>IF($A82="","",'POINTAGE'!C82)</f>
      </c>
      <c r="D82" s="24">
        <f>IF($A82="","",IFERROR(INDEX(Categories_Salaire,MATCH($C82,ListeCategories,0)),0))</f>
      </c>
      <c r="E82" s="24">
        <f>IF($A82="","",IF(IFERROR(INDEX(Categories_TauxHS,MATCH($C82,ListeCategories,0)),0)&gt;0,IFERROR(INDEX(Categories_TauxHS,MATCH($C82,ListeCategories,0)),0),TauxHSDefaut))</f>
      </c>
      <c r="F82" s="22">
        <f>IF($A82="","",SUM(IF('POINTAGE'!$D$5&lt;&gt;"",--('POINTAGE'!D82="Présent"),0),IF('POINTAGE'!$F$5&lt;&gt;"",--('POINTAGE'!F82="Présent"),0),IF('POINTAGE'!$H$5&lt;&gt;"",--('POINTAGE'!H82="Présent"),0),IF('POINTAGE'!$J$5&lt;&gt;"",--('POINTAGE'!J82="Présent"),0),IF('POINTAGE'!$L$5&lt;&gt;"",--('POINTAGE'!L82="Présent"),0),IF('POINTAGE'!$N$5&lt;&gt;"",--('POINTAGE'!N82="Présent"),0),IF('POINTAGE'!$P$5&lt;&gt;"",--('POINTAGE'!P82="Présent"),0),IF('POINTAGE'!$R$5&lt;&gt;"",--('POINTAGE'!R82="Présent"),0),IF('POINTAGE'!$T$5&lt;&gt;"",--('POINTAGE'!T82="Présent"),0),IF('POINTAGE'!$V$5&lt;&gt;"",--('POINTAGE'!V82="Présent"),0),IF('POINTAGE'!$X$5&lt;&gt;"",--('POINTAGE'!X82="Présent"),0),IF('POINTAGE'!$Z$5&lt;&gt;"",--('POINTAGE'!Z82="Présent"),0),IF('POINTAGE'!$AB$5&lt;&gt;"",--('POINTAGE'!AB82="Présent"),0),IF('POINTAGE'!$AD$5&lt;&gt;"",--('POINTAGE'!AD82="Présent"),0),IF('POINTAGE'!$AF$5&lt;&gt;"",--('POINTAGE'!AF82="Présent"),0)))</f>
      </c>
      <c r="G82" s="22">
        <f>IF($A82="","",SUM(IF('POINTAGE'!$D$5&lt;&gt;"",--('POINTAGE'!D82="Absent"),0),IF('POINTAGE'!$F$5&lt;&gt;"",--('POINTAGE'!F82="Absent"),0),IF('POINTAGE'!$H$5&lt;&gt;"",--('POINTAGE'!H82="Absent"),0),IF('POINTAGE'!$J$5&lt;&gt;"",--('POINTAGE'!J82="Absent"),0),IF('POINTAGE'!$L$5&lt;&gt;"",--('POINTAGE'!L82="Absent"),0),IF('POINTAGE'!$N$5&lt;&gt;"",--('POINTAGE'!N82="Absent"),0),IF('POINTAGE'!$P$5&lt;&gt;"",--('POINTAGE'!P82="Absent"),0),IF('POINTAGE'!$R$5&lt;&gt;"",--('POINTAGE'!R82="Absent"),0),IF('POINTAGE'!$T$5&lt;&gt;"",--('POINTAGE'!T82="Absent"),0),IF('POINTAGE'!$V$5&lt;&gt;"",--('POINTAGE'!V82="Absent"),0),IF('POINTAGE'!$X$5&lt;&gt;"",--('POINTAGE'!X82="Absent"),0),IF('POINTAGE'!$Z$5&lt;&gt;"",--('POINTAGE'!Z82="Absent"),0),IF('POINTAGE'!$AB$5&lt;&gt;"",--('POINTAGE'!AB82="Absent"),0),IF('POINTAGE'!$AD$5&lt;&gt;"",--('POINTAGE'!AD82="Absent"),0),IF('POINTAGE'!$AF$5&lt;&gt;"",--('POINTAGE'!AF82="Absent"),0)))</f>
      </c>
      <c r="H82" s="23">
        <f>IF($A82="","",SUM(IF('POINTAGE'!$D$5&lt;&gt;"",IF('POINTAGE'!D82="Présent",'POINTAGE'!E82,0),0),IF('POINTAGE'!$F$5&lt;&gt;"",IF('POINTAGE'!F82="Présent",'POINTAGE'!G82,0),0),IF('POINTAGE'!$H$5&lt;&gt;"",IF('POINTAGE'!H82="Présent",'POINTAGE'!I82,0),0),IF('POINTAGE'!$J$5&lt;&gt;"",IF('POINTAGE'!J82="Présent",'POINTAGE'!K82,0),0),IF('POINTAGE'!$L$5&lt;&gt;"",IF('POINTAGE'!L82="Présent",'POINTAGE'!M82,0),0),IF('POINTAGE'!$N$5&lt;&gt;"",IF('POINTAGE'!N82="Présent",'POINTAGE'!O82,0),0),IF('POINTAGE'!$P$5&lt;&gt;"",IF('POINTAGE'!P82="Présent",'POINTAGE'!Q82,0),0),IF('POINTAGE'!$R$5&lt;&gt;"",IF('POINTAGE'!R82="Présent",'POINTAGE'!S82,0),0),IF('POINTAGE'!$T$5&lt;&gt;"",IF('POINTAGE'!T82="Présent",'POINTAGE'!U82,0),0),IF('POINTAGE'!$V$5&lt;&gt;"",IF('POINTAGE'!V82="Présent",'POINTAGE'!W82,0),0),IF('POINTAGE'!$X$5&lt;&gt;"",IF('POINTAGE'!X82="Présent",'POINTAGE'!Y82,0),0),IF('POINTAGE'!$Z$5&lt;&gt;"",IF('POINTAGE'!Z82="Présent",'POINTAGE'!AA82,0),0),IF('POINTAGE'!$AB$5&lt;&gt;"",IF('POINTAGE'!AB82="Présent",'POINTAGE'!AC82,0),0),IF('POINTAGE'!$AD$5&lt;&gt;"",IF('POINTAGE'!AD82="Présent",'POINTAGE'!AE82,0),0),IF('POINTAGE'!$AF$5&lt;&gt;"",IF('POINTAGE'!AF82="Présent",'POINTAGE'!AG82,0),0)))</f>
      </c>
      <c r="I82" s="24">
        <f>IF($A82="","",$F82*$D82)</f>
      </c>
      <c r="J82" s="24">
        <f>IF($A82="","",$H82*$E82)</f>
      </c>
      <c r="K82" s="25">
        <f>IF($A82="","",$I82+$J82)</f>
      </c>
      <c r="L82" s="18"/>
      <c r="M82" s="25">
        <f>IF($A82="","",MAX(0,$K82-$L82))</f>
      </c>
      <c r="N82" s="22">
        <f>IF($A82="","",SUM(IF('POINTAGE'!$AH$5&lt;&gt;"",--('POINTAGE'!AH82="Présent"),0),IF('POINTAGE'!$AJ$5&lt;&gt;"",--('POINTAGE'!AJ82="Présent"),0),IF('POINTAGE'!$AL$5&lt;&gt;"",--('POINTAGE'!AL82="Présent"),0),IF('POINTAGE'!$AN$5&lt;&gt;"",--('POINTAGE'!AN82="Présent"),0),IF('POINTAGE'!$AP$5&lt;&gt;"",--('POINTAGE'!AP82="Présent"),0),IF('POINTAGE'!$AR$5&lt;&gt;"",--('POINTAGE'!AR82="Présent"),0),IF('POINTAGE'!$AT$5&lt;&gt;"",--('POINTAGE'!AT82="Présent"),0),IF('POINTAGE'!$AV$5&lt;&gt;"",--('POINTAGE'!AV82="Présent"),0),IF('POINTAGE'!$AX$5&lt;&gt;"",--('POINTAGE'!AX82="Présent"),0),IF('POINTAGE'!$AZ$5&lt;&gt;"",--('POINTAGE'!AZ82="Présent"),0),IF('POINTAGE'!$BB$5&lt;&gt;"",--('POINTAGE'!BB82="Présent"),0),IF('POINTAGE'!$BD$5&lt;&gt;"",--('POINTAGE'!BD82="Présent"),0),IF('POINTAGE'!$BF$5&lt;&gt;"",--('POINTAGE'!BF82="Présent"),0),IF('POINTAGE'!$BH$5&lt;&gt;"",--('POINTAGE'!BH82="Présent"),0),IF('POINTAGE'!$BJ$5&lt;&gt;"",--('POINTAGE'!BJ82="Présent"),0),IF('POINTAGE'!$BL$5&lt;&gt;"",--('POINTAGE'!BL82="Présent"),0)))</f>
      </c>
      <c r="O82" s="22">
        <f>IF($A82="","",SUM(IF('POINTAGE'!$AH$5&lt;&gt;"",--('POINTAGE'!AH82="Absent"),0),IF('POINTAGE'!$AJ$5&lt;&gt;"",--('POINTAGE'!AJ82="Absent"),0),IF('POINTAGE'!$AL$5&lt;&gt;"",--('POINTAGE'!AL82="Absent"),0),IF('POINTAGE'!$AN$5&lt;&gt;"",--('POINTAGE'!AN82="Absent"),0),IF('POINTAGE'!$AP$5&lt;&gt;"",--('POINTAGE'!AP82="Absent"),0),IF('POINTAGE'!$AR$5&lt;&gt;"",--('POINTAGE'!AR82="Absent"),0),IF('POINTAGE'!$AT$5&lt;&gt;"",--('POINTAGE'!AT82="Absent"),0),IF('POINTAGE'!$AV$5&lt;&gt;"",--('POINTAGE'!AV82="Absent"),0),IF('POINTAGE'!$AX$5&lt;&gt;"",--('POINTAGE'!AX82="Absent"),0),IF('POINTAGE'!$AZ$5&lt;&gt;"",--('POINTAGE'!AZ82="Absent"),0),IF('POINTAGE'!$BB$5&lt;&gt;"",--('POINTAGE'!BB82="Absent"),0),IF('POINTAGE'!$BD$5&lt;&gt;"",--('POINTAGE'!BD82="Absent"),0),IF('POINTAGE'!$BF$5&lt;&gt;"",--('POINTAGE'!BF82="Absent"),0),IF('POINTAGE'!$BH$5&lt;&gt;"",--('POINTAGE'!BH82="Absent"),0),IF('POINTAGE'!$BJ$5&lt;&gt;"",--('POINTAGE'!BJ82="Absent"),0),IF('POINTAGE'!$BL$5&lt;&gt;"",--('POINTAGE'!BL82="Absent"),0)))</f>
      </c>
      <c r="P82" s="23">
        <f>IF($A82="","",SUM(IF('POINTAGE'!$AH$5&lt;&gt;"",IF('POINTAGE'!AH82="Présent",'POINTAGE'!AI82,0),0),IF('POINTAGE'!$AJ$5&lt;&gt;"",IF('POINTAGE'!AJ82="Présent",'POINTAGE'!AK82,0),0),IF('POINTAGE'!$AL$5&lt;&gt;"",IF('POINTAGE'!AL82="Présent",'POINTAGE'!AM82,0),0),IF('POINTAGE'!$AN$5&lt;&gt;"",IF('POINTAGE'!AN82="Présent",'POINTAGE'!AO82,0),0),IF('POINTAGE'!$AP$5&lt;&gt;"",IF('POINTAGE'!AP82="Présent",'POINTAGE'!AQ82,0),0),IF('POINTAGE'!$AR$5&lt;&gt;"",IF('POINTAGE'!AR82="Présent",'POINTAGE'!AS82,0),0),IF('POINTAGE'!$AT$5&lt;&gt;"",IF('POINTAGE'!AT82="Présent",'POINTAGE'!AU82,0),0),IF('POINTAGE'!$AV$5&lt;&gt;"",IF('POINTAGE'!AV82="Présent",'POINTAGE'!AW82,0),0),IF('POINTAGE'!$AX$5&lt;&gt;"",IF('POINTAGE'!AX82="Présent",'POINTAGE'!AY82,0),0),IF('POINTAGE'!$AZ$5&lt;&gt;"",IF('POINTAGE'!AZ82="Présent",'POINTAGE'!BA82,0),0),IF('POINTAGE'!$BB$5&lt;&gt;"",IF('POINTAGE'!BB82="Présent",'POINTAGE'!BC82,0),0),IF('POINTAGE'!$BD$5&lt;&gt;"",IF('POINTAGE'!BD82="Présent",'POINTAGE'!BE82,0),0),IF('POINTAGE'!$BF$5&lt;&gt;"",IF('POINTAGE'!BF82="Présent",'POINTAGE'!BG82,0),0),IF('POINTAGE'!$BH$5&lt;&gt;"",IF('POINTAGE'!BH82="Présent",'POINTAGE'!BI82,0),0),IF('POINTAGE'!$BJ$5&lt;&gt;"",IF('POINTAGE'!BJ82="Présent",'POINTAGE'!BK82,0),0),IF('POINTAGE'!$BL$5&lt;&gt;"",IF('POINTAGE'!BL82="Présent",'POINTAGE'!BM82,0),0)))</f>
      </c>
      <c r="Q82" s="24">
        <f>IF($A82="","",$N82*$D82)</f>
      </c>
      <c r="R82" s="24">
        <f>IF($A82="","",$P82*$E82)</f>
      </c>
      <c r="S82" s="25">
        <f>IF($A82="","",$Q82+$R82)</f>
      </c>
      <c r="T82" s="18"/>
      <c r="U82" s="25">
        <f>IF($A82="","",MAX(0,$S82-$T82))</f>
      </c>
      <c r="V82" s="25">
        <f>IF($A82="","",$K82+$S82)</f>
      </c>
      <c r="W82" s="24">
        <f>IF($A82="","",$L82+$T82)</f>
      </c>
      <c r="X82" s="25">
        <f>IF($A82="","",$M82+$U82)</f>
      </c>
      <c r="Y82" s="29">
        <f>IF($A82="","",$J82+$R82)</f>
      </c>
    </row>
    <row r="83">
      <c r="A83" s="20">
        <f>IF('POINTAGE'!A83="","",'POINTAGE'!A83)</f>
      </c>
      <c r="B83" s="19">
        <f>IF($A83="","",'POINTAGE'!B83)</f>
      </c>
      <c r="C83" s="20">
        <f>IF($A83="","",'POINTAGE'!C83)</f>
      </c>
      <c r="D83" s="24">
        <f>IF($A83="","",IFERROR(INDEX(Categories_Salaire,MATCH($C83,ListeCategories,0)),0))</f>
      </c>
      <c r="E83" s="24">
        <f>IF($A83="","",IF(IFERROR(INDEX(Categories_TauxHS,MATCH($C83,ListeCategories,0)),0)&gt;0,IFERROR(INDEX(Categories_TauxHS,MATCH($C83,ListeCategories,0)),0),TauxHSDefaut))</f>
      </c>
      <c r="F83" s="22">
        <f>IF($A83="","",SUM(IF('POINTAGE'!$D$5&lt;&gt;"",--('POINTAGE'!D83="Présent"),0),IF('POINTAGE'!$F$5&lt;&gt;"",--('POINTAGE'!F83="Présent"),0),IF('POINTAGE'!$H$5&lt;&gt;"",--('POINTAGE'!H83="Présent"),0),IF('POINTAGE'!$J$5&lt;&gt;"",--('POINTAGE'!J83="Présent"),0),IF('POINTAGE'!$L$5&lt;&gt;"",--('POINTAGE'!L83="Présent"),0),IF('POINTAGE'!$N$5&lt;&gt;"",--('POINTAGE'!N83="Présent"),0),IF('POINTAGE'!$P$5&lt;&gt;"",--('POINTAGE'!P83="Présent"),0),IF('POINTAGE'!$R$5&lt;&gt;"",--('POINTAGE'!R83="Présent"),0),IF('POINTAGE'!$T$5&lt;&gt;"",--('POINTAGE'!T83="Présent"),0),IF('POINTAGE'!$V$5&lt;&gt;"",--('POINTAGE'!V83="Présent"),0),IF('POINTAGE'!$X$5&lt;&gt;"",--('POINTAGE'!X83="Présent"),0),IF('POINTAGE'!$Z$5&lt;&gt;"",--('POINTAGE'!Z83="Présent"),0),IF('POINTAGE'!$AB$5&lt;&gt;"",--('POINTAGE'!AB83="Présent"),0),IF('POINTAGE'!$AD$5&lt;&gt;"",--('POINTAGE'!AD83="Présent"),0),IF('POINTAGE'!$AF$5&lt;&gt;"",--('POINTAGE'!AF83="Présent"),0)))</f>
      </c>
      <c r="G83" s="22">
        <f>IF($A83="","",SUM(IF('POINTAGE'!$D$5&lt;&gt;"",--('POINTAGE'!D83="Absent"),0),IF('POINTAGE'!$F$5&lt;&gt;"",--('POINTAGE'!F83="Absent"),0),IF('POINTAGE'!$H$5&lt;&gt;"",--('POINTAGE'!H83="Absent"),0),IF('POINTAGE'!$J$5&lt;&gt;"",--('POINTAGE'!J83="Absent"),0),IF('POINTAGE'!$L$5&lt;&gt;"",--('POINTAGE'!L83="Absent"),0),IF('POINTAGE'!$N$5&lt;&gt;"",--('POINTAGE'!N83="Absent"),0),IF('POINTAGE'!$P$5&lt;&gt;"",--('POINTAGE'!P83="Absent"),0),IF('POINTAGE'!$R$5&lt;&gt;"",--('POINTAGE'!R83="Absent"),0),IF('POINTAGE'!$T$5&lt;&gt;"",--('POINTAGE'!T83="Absent"),0),IF('POINTAGE'!$V$5&lt;&gt;"",--('POINTAGE'!V83="Absent"),0),IF('POINTAGE'!$X$5&lt;&gt;"",--('POINTAGE'!X83="Absent"),0),IF('POINTAGE'!$Z$5&lt;&gt;"",--('POINTAGE'!Z83="Absent"),0),IF('POINTAGE'!$AB$5&lt;&gt;"",--('POINTAGE'!AB83="Absent"),0),IF('POINTAGE'!$AD$5&lt;&gt;"",--('POINTAGE'!AD83="Absent"),0),IF('POINTAGE'!$AF$5&lt;&gt;"",--('POINTAGE'!AF83="Absent"),0)))</f>
      </c>
      <c r="H83" s="23">
        <f>IF($A83="","",SUM(IF('POINTAGE'!$D$5&lt;&gt;"",IF('POINTAGE'!D83="Présent",'POINTAGE'!E83,0),0),IF('POINTAGE'!$F$5&lt;&gt;"",IF('POINTAGE'!F83="Présent",'POINTAGE'!G83,0),0),IF('POINTAGE'!$H$5&lt;&gt;"",IF('POINTAGE'!H83="Présent",'POINTAGE'!I83,0),0),IF('POINTAGE'!$J$5&lt;&gt;"",IF('POINTAGE'!J83="Présent",'POINTAGE'!K83,0),0),IF('POINTAGE'!$L$5&lt;&gt;"",IF('POINTAGE'!L83="Présent",'POINTAGE'!M83,0),0),IF('POINTAGE'!$N$5&lt;&gt;"",IF('POINTAGE'!N83="Présent",'POINTAGE'!O83,0),0),IF('POINTAGE'!$P$5&lt;&gt;"",IF('POINTAGE'!P83="Présent",'POINTAGE'!Q83,0),0),IF('POINTAGE'!$R$5&lt;&gt;"",IF('POINTAGE'!R83="Présent",'POINTAGE'!S83,0),0),IF('POINTAGE'!$T$5&lt;&gt;"",IF('POINTAGE'!T83="Présent",'POINTAGE'!U83,0),0),IF('POINTAGE'!$V$5&lt;&gt;"",IF('POINTAGE'!V83="Présent",'POINTAGE'!W83,0),0),IF('POINTAGE'!$X$5&lt;&gt;"",IF('POINTAGE'!X83="Présent",'POINTAGE'!Y83,0),0),IF('POINTAGE'!$Z$5&lt;&gt;"",IF('POINTAGE'!Z83="Présent",'POINTAGE'!AA83,0),0),IF('POINTAGE'!$AB$5&lt;&gt;"",IF('POINTAGE'!AB83="Présent",'POINTAGE'!AC83,0),0),IF('POINTAGE'!$AD$5&lt;&gt;"",IF('POINTAGE'!AD83="Présent",'POINTAGE'!AE83,0),0),IF('POINTAGE'!$AF$5&lt;&gt;"",IF('POINTAGE'!AF83="Présent",'POINTAGE'!AG83,0),0)))</f>
      </c>
      <c r="I83" s="24">
        <f>IF($A83="","",$F83*$D83)</f>
      </c>
      <c r="J83" s="24">
        <f>IF($A83="","",$H83*$E83)</f>
      </c>
      <c r="K83" s="25">
        <f>IF($A83="","",$I83+$J83)</f>
      </c>
      <c r="L83" s="18"/>
      <c r="M83" s="25">
        <f>IF($A83="","",MAX(0,$K83-$L83))</f>
      </c>
      <c r="N83" s="22">
        <f>IF($A83="","",SUM(IF('POINTAGE'!$AH$5&lt;&gt;"",--('POINTAGE'!AH83="Présent"),0),IF('POINTAGE'!$AJ$5&lt;&gt;"",--('POINTAGE'!AJ83="Présent"),0),IF('POINTAGE'!$AL$5&lt;&gt;"",--('POINTAGE'!AL83="Présent"),0),IF('POINTAGE'!$AN$5&lt;&gt;"",--('POINTAGE'!AN83="Présent"),0),IF('POINTAGE'!$AP$5&lt;&gt;"",--('POINTAGE'!AP83="Présent"),0),IF('POINTAGE'!$AR$5&lt;&gt;"",--('POINTAGE'!AR83="Présent"),0),IF('POINTAGE'!$AT$5&lt;&gt;"",--('POINTAGE'!AT83="Présent"),0),IF('POINTAGE'!$AV$5&lt;&gt;"",--('POINTAGE'!AV83="Présent"),0),IF('POINTAGE'!$AX$5&lt;&gt;"",--('POINTAGE'!AX83="Présent"),0),IF('POINTAGE'!$AZ$5&lt;&gt;"",--('POINTAGE'!AZ83="Présent"),0),IF('POINTAGE'!$BB$5&lt;&gt;"",--('POINTAGE'!BB83="Présent"),0),IF('POINTAGE'!$BD$5&lt;&gt;"",--('POINTAGE'!BD83="Présent"),0),IF('POINTAGE'!$BF$5&lt;&gt;"",--('POINTAGE'!BF83="Présent"),0),IF('POINTAGE'!$BH$5&lt;&gt;"",--('POINTAGE'!BH83="Présent"),0),IF('POINTAGE'!$BJ$5&lt;&gt;"",--('POINTAGE'!BJ83="Présent"),0),IF('POINTAGE'!$BL$5&lt;&gt;"",--('POINTAGE'!BL83="Présent"),0)))</f>
      </c>
      <c r="O83" s="22">
        <f>IF($A83="","",SUM(IF('POINTAGE'!$AH$5&lt;&gt;"",--('POINTAGE'!AH83="Absent"),0),IF('POINTAGE'!$AJ$5&lt;&gt;"",--('POINTAGE'!AJ83="Absent"),0),IF('POINTAGE'!$AL$5&lt;&gt;"",--('POINTAGE'!AL83="Absent"),0),IF('POINTAGE'!$AN$5&lt;&gt;"",--('POINTAGE'!AN83="Absent"),0),IF('POINTAGE'!$AP$5&lt;&gt;"",--('POINTAGE'!AP83="Absent"),0),IF('POINTAGE'!$AR$5&lt;&gt;"",--('POINTAGE'!AR83="Absent"),0),IF('POINTAGE'!$AT$5&lt;&gt;"",--('POINTAGE'!AT83="Absent"),0),IF('POINTAGE'!$AV$5&lt;&gt;"",--('POINTAGE'!AV83="Absent"),0),IF('POINTAGE'!$AX$5&lt;&gt;"",--('POINTAGE'!AX83="Absent"),0),IF('POINTAGE'!$AZ$5&lt;&gt;"",--('POINTAGE'!AZ83="Absent"),0),IF('POINTAGE'!$BB$5&lt;&gt;"",--('POINTAGE'!BB83="Absent"),0),IF('POINTAGE'!$BD$5&lt;&gt;"",--('POINTAGE'!BD83="Absent"),0),IF('POINTAGE'!$BF$5&lt;&gt;"",--('POINTAGE'!BF83="Absent"),0),IF('POINTAGE'!$BH$5&lt;&gt;"",--('POINTAGE'!BH83="Absent"),0),IF('POINTAGE'!$BJ$5&lt;&gt;"",--('POINTAGE'!BJ83="Absent"),0),IF('POINTAGE'!$BL$5&lt;&gt;"",--('POINTAGE'!BL83="Absent"),0)))</f>
      </c>
      <c r="P83" s="23">
        <f>IF($A83="","",SUM(IF('POINTAGE'!$AH$5&lt;&gt;"",IF('POINTAGE'!AH83="Présent",'POINTAGE'!AI83,0),0),IF('POINTAGE'!$AJ$5&lt;&gt;"",IF('POINTAGE'!AJ83="Présent",'POINTAGE'!AK83,0),0),IF('POINTAGE'!$AL$5&lt;&gt;"",IF('POINTAGE'!AL83="Présent",'POINTAGE'!AM83,0),0),IF('POINTAGE'!$AN$5&lt;&gt;"",IF('POINTAGE'!AN83="Présent",'POINTAGE'!AO83,0),0),IF('POINTAGE'!$AP$5&lt;&gt;"",IF('POINTAGE'!AP83="Présent",'POINTAGE'!AQ83,0),0),IF('POINTAGE'!$AR$5&lt;&gt;"",IF('POINTAGE'!AR83="Présent",'POINTAGE'!AS83,0),0),IF('POINTAGE'!$AT$5&lt;&gt;"",IF('POINTAGE'!AT83="Présent",'POINTAGE'!AU83,0),0),IF('POINTAGE'!$AV$5&lt;&gt;"",IF('POINTAGE'!AV83="Présent",'POINTAGE'!AW83,0),0),IF('POINTAGE'!$AX$5&lt;&gt;"",IF('POINTAGE'!AX83="Présent",'POINTAGE'!AY83,0),0),IF('POINTAGE'!$AZ$5&lt;&gt;"",IF('POINTAGE'!AZ83="Présent",'POINTAGE'!BA83,0),0),IF('POINTAGE'!$BB$5&lt;&gt;"",IF('POINTAGE'!BB83="Présent",'POINTAGE'!BC83,0),0),IF('POINTAGE'!$BD$5&lt;&gt;"",IF('POINTAGE'!BD83="Présent",'POINTAGE'!BE83,0),0),IF('POINTAGE'!$BF$5&lt;&gt;"",IF('POINTAGE'!BF83="Présent",'POINTAGE'!BG83,0),0),IF('POINTAGE'!$BH$5&lt;&gt;"",IF('POINTAGE'!BH83="Présent",'POINTAGE'!BI83,0),0),IF('POINTAGE'!$BJ$5&lt;&gt;"",IF('POINTAGE'!BJ83="Présent",'POINTAGE'!BK83,0),0),IF('POINTAGE'!$BL$5&lt;&gt;"",IF('POINTAGE'!BL83="Présent",'POINTAGE'!BM83,0),0)))</f>
      </c>
      <c r="Q83" s="24">
        <f>IF($A83="","",$N83*$D83)</f>
      </c>
      <c r="R83" s="24">
        <f>IF($A83="","",$P83*$E83)</f>
      </c>
      <c r="S83" s="25">
        <f>IF($A83="","",$Q83+$R83)</f>
      </c>
      <c r="T83" s="18"/>
      <c r="U83" s="25">
        <f>IF($A83="","",MAX(0,$S83-$T83))</f>
      </c>
      <c r="V83" s="25">
        <f>IF($A83="","",$K83+$S83)</f>
      </c>
      <c r="W83" s="24">
        <f>IF($A83="","",$L83+$T83)</f>
      </c>
      <c r="X83" s="25">
        <f>IF($A83="","",$M83+$U83)</f>
      </c>
      <c r="Y83" s="29">
        <f>IF($A83="","",$J83+$R83)</f>
      </c>
    </row>
    <row r="84">
      <c r="A84" s="20">
        <f>IF('POINTAGE'!A84="","",'POINTAGE'!A84)</f>
      </c>
      <c r="B84" s="19">
        <f>IF($A84="","",'POINTAGE'!B84)</f>
      </c>
      <c r="C84" s="20">
        <f>IF($A84="","",'POINTAGE'!C84)</f>
      </c>
      <c r="D84" s="24">
        <f>IF($A84="","",IFERROR(INDEX(Categories_Salaire,MATCH($C84,ListeCategories,0)),0))</f>
      </c>
      <c r="E84" s="24">
        <f>IF($A84="","",IF(IFERROR(INDEX(Categories_TauxHS,MATCH($C84,ListeCategories,0)),0)&gt;0,IFERROR(INDEX(Categories_TauxHS,MATCH($C84,ListeCategories,0)),0),TauxHSDefaut))</f>
      </c>
      <c r="F84" s="22">
        <f>IF($A84="","",SUM(IF('POINTAGE'!$D$5&lt;&gt;"",--('POINTAGE'!D84="Présent"),0),IF('POINTAGE'!$F$5&lt;&gt;"",--('POINTAGE'!F84="Présent"),0),IF('POINTAGE'!$H$5&lt;&gt;"",--('POINTAGE'!H84="Présent"),0),IF('POINTAGE'!$J$5&lt;&gt;"",--('POINTAGE'!J84="Présent"),0),IF('POINTAGE'!$L$5&lt;&gt;"",--('POINTAGE'!L84="Présent"),0),IF('POINTAGE'!$N$5&lt;&gt;"",--('POINTAGE'!N84="Présent"),0),IF('POINTAGE'!$P$5&lt;&gt;"",--('POINTAGE'!P84="Présent"),0),IF('POINTAGE'!$R$5&lt;&gt;"",--('POINTAGE'!R84="Présent"),0),IF('POINTAGE'!$T$5&lt;&gt;"",--('POINTAGE'!T84="Présent"),0),IF('POINTAGE'!$V$5&lt;&gt;"",--('POINTAGE'!V84="Présent"),0),IF('POINTAGE'!$X$5&lt;&gt;"",--('POINTAGE'!X84="Présent"),0),IF('POINTAGE'!$Z$5&lt;&gt;"",--('POINTAGE'!Z84="Présent"),0),IF('POINTAGE'!$AB$5&lt;&gt;"",--('POINTAGE'!AB84="Présent"),0),IF('POINTAGE'!$AD$5&lt;&gt;"",--('POINTAGE'!AD84="Présent"),0),IF('POINTAGE'!$AF$5&lt;&gt;"",--('POINTAGE'!AF84="Présent"),0)))</f>
      </c>
      <c r="G84" s="22">
        <f>IF($A84="","",SUM(IF('POINTAGE'!$D$5&lt;&gt;"",--('POINTAGE'!D84="Absent"),0),IF('POINTAGE'!$F$5&lt;&gt;"",--('POINTAGE'!F84="Absent"),0),IF('POINTAGE'!$H$5&lt;&gt;"",--('POINTAGE'!H84="Absent"),0),IF('POINTAGE'!$J$5&lt;&gt;"",--('POINTAGE'!J84="Absent"),0),IF('POINTAGE'!$L$5&lt;&gt;"",--('POINTAGE'!L84="Absent"),0),IF('POINTAGE'!$N$5&lt;&gt;"",--('POINTAGE'!N84="Absent"),0),IF('POINTAGE'!$P$5&lt;&gt;"",--('POINTAGE'!P84="Absent"),0),IF('POINTAGE'!$R$5&lt;&gt;"",--('POINTAGE'!R84="Absent"),0),IF('POINTAGE'!$T$5&lt;&gt;"",--('POINTAGE'!T84="Absent"),0),IF('POINTAGE'!$V$5&lt;&gt;"",--('POINTAGE'!V84="Absent"),0),IF('POINTAGE'!$X$5&lt;&gt;"",--('POINTAGE'!X84="Absent"),0),IF('POINTAGE'!$Z$5&lt;&gt;"",--('POINTAGE'!Z84="Absent"),0),IF('POINTAGE'!$AB$5&lt;&gt;"",--('POINTAGE'!AB84="Absent"),0),IF('POINTAGE'!$AD$5&lt;&gt;"",--('POINTAGE'!AD84="Absent"),0),IF('POINTAGE'!$AF$5&lt;&gt;"",--('POINTAGE'!AF84="Absent"),0)))</f>
      </c>
      <c r="H84" s="23">
        <f>IF($A84="","",SUM(IF('POINTAGE'!$D$5&lt;&gt;"",IF('POINTAGE'!D84="Présent",'POINTAGE'!E84,0),0),IF('POINTAGE'!$F$5&lt;&gt;"",IF('POINTAGE'!F84="Présent",'POINTAGE'!G84,0),0),IF('POINTAGE'!$H$5&lt;&gt;"",IF('POINTAGE'!H84="Présent",'POINTAGE'!I84,0),0),IF('POINTAGE'!$J$5&lt;&gt;"",IF('POINTAGE'!J84="Présent",'POINTAGE'!K84,0),0),IF('POINTAGE'!$L$5&lt;&gt;"",IF('POINTAGE'!L84="Présent",'POINTAGE'!M84,0),0),IF('POINTAGE'!$N$5&lt;&gt;"",IF('POINTAGE'!N84="Présent",'POINTAGE'!O84,0),0),IF('POINTAGE'!$P$5&lt;&gt;"",IF('POINTAGE'!P84="Présent",'POINTAGE'!Q84,0),0),IF('POINTAGE'!$R$5&lt;&gt;"",IF('POINTAGE'!R84="Présent",'POINTAGE'!S84,0),0),IF('POINTAGE'!$T$5&lt;&gt;"",IF('POINTAGE'!T84="Présent",'POINTAGE'!U84,0),0),IF('POINTAGE'!$V$5&lt;&gt;"",IF('POINTAGE'!V84="Présent",'POINTAGE'!W84,0),0),IF('POINTAGE'!$X$5&lt;&gt;"",IF('POINTAGE'!X84="Présent",'POINTAGE'!Y84,0),0),IF('POINTAGE'!$Z$5&lt;&gt;"",IF('POINTAGE'!Z84="Présent",'POINTAGE'!AA84,0),0),IF('POINTAGE'!$AB$5&lt;&gt;"",IF('POINTAGE'!AB84="Présent",'POINTAGE'!AC84,0),0),IF('POINTAGE'!$AD$5&lt;&gt;"",IF('POINTAGE'!AD84="Présent",'POINTAGE'!AE84,0),0),IF('POINTAGE'!$AF$5&lt;&gt;"",IF('POINTAGE'!AF84="Présent",'POINTAGE'!AG84,0),0)))</f>
      </c>
      <c r="I84" s="24">
        <f>IF($A84="","",$F84*$D84)</f>
      </c>
      <c r="J84" s="24">
        <f>IF($A84="","",$H84*$E84)</f>
      </c>
      <c r="K84" s="25">
        <f>IF($A84="","",$I84+$J84)</f>
      </c>
      <c r="L84" s="18"/>
      <c r="M84" s="25">
        <f>IF($A84="","",MAX(0,$K84-$L84))</f>
      </c>
      <c r="N84" s="22">
        <f>IF($A84="","",SUM(IF('POINTAGE'!$AH$5&lt;&gt;"",--('POINTAGE'!AH84="Présent"),0),IF('POINTAGE'!$AJ$5&lt;&gt;"",--('POINTAGE'!AJ84="Présent"),0),IF('POINTAGE'!$AL$5&lt;&gt;"",--('POINTAGE'!AL84="Présent"),0),IF('POINTAGE'!$AN$5&lt;&gt;"",--('POINTAGE'!AN84="Présent"),0),IF('POINTAGE'!$AP$5&lt;&gt;"",--('POINTAGE'!AP84="Présent"),0),IF('POINTAGE'!$AR$5&lt;&gt;"",--('POINTAGE'!AR84="Présent"),0),IF('POINTAGE'!$AT$5&lt;&gt;"",--('POINTAGE'!AT84="Présent"),0),IF('POINTAGE'!$AV$5&lt;&gt;"",--('POINTAGE'!AV84="Présent"),0),IF('POINTAGE'!$AX$5&lt;&gt;"",--('POINTAGE'!AX84="Présent"),0),IF('POINTAGE'!$AZ$5&lt;&gt;"",--('POINTAGE'!AZ84="Présent"),0),IF('POINTAGE'!$BB$5&lt;&gt;"",--('POINTAGE'!BB84="Présent"),0),IF('POINTAGE'!$BD$5&lt;&gt;"",--('POINTAGE'!BD84="Présent"),0),IF('POINTAGE'!$BF$5&lt;&gt;"",--('POINTAGE'!BF84="Présent"),0),IF('POINTAGE'!$BH$5&lt;&gt;"",--('POINTAGE'!BH84="Présent"),0),IF('POINTAGE'!$BJ$5&lt;&gt;"",--('POINTAGE'!BJ84="Présent"),0),IF('POINTAGE'!$BL$5&lt;&gt;"",--('POINTAGE'!BL84="Présent"),0)))</f>
      </c>
      <c r="O84" s="22">
        <f>IF($A84="","",SUM(IF('POINTAGE'!$AH$5&lt;&gt;"",--('POINTAGE'!AH84="Absent"),0),IF('POINTAGE'!$AJ$5&lt;&gt;"",--('POINTAGE'!AJ84="Absent"),0),IF('POINTAGE'!$AL$5&lt;&gt;"",--('POINTAGE'!AL84="Absent"),0),IF('POINTAGE'!$AN$5&lt;&gt;"",--('POINTAGE'!AN84="Absent"),0),IF('POINTAGE'!$AP$5&lt;&gt;"",--('POINTAGE'!AP84="Absent"),0),IF('POINTAGE'!$AR$5&lt;&gt;"",--('POINTAGE'!AR84="Absent"),0),IF('POINTAGE'!$AT$5&lt;&gt;"",--('POINTAGE'!AT84="Absent"),0),IF('POINTAGE'!$AV$5&lt;&gt;"",--('POINTAGE'!AV84="Absent"),0),IF('POINTAGE'!$AX$5&lt;&gt;"",--('POINTAGE'!AX84="Absent"),0),IF('POINTAGE'!$AZ$5&lt;&gt;"",--('POINTAGE'!AZ84="Absent"),0),IF('POINTAGE'!$BB$5&lt;&gt;"",--('POINTAGE'!BB84="Absent"),0),IF('POINTAGE'!$BD$5&lt;&gt;"",--('POINTAGE'!BD84="Absent"),0),IF('POINTAGE'!$BF$5&lt;&gt;"",--('POINTAGE'!BF84="Absent"),0),IF('POINTAGE'!$BH$5&lt;&gt;"",--('POINTAGE'!BH84="Absent"),0),IF('POINTAGE'!$BJ$5&lt;&gt;"",--('POINTAGE'!BJ84="Absent"),0),IF('POINTAGE'!$BL$5&lt;&gt;"",--('POINTAGE'!BL84="Absent"),0)))</f>
      </c>
      <c r="P84" s="23">
        <f>IF($A84="","",SUM(IF('POINTAGE'!$AH$5&lt;&gt;"",IF('POINTAGE'!AH84="Présent",'POINTAGE'!AI84,0),0),IF('POINTAGE'!$AJ$5&lt;&gt;"",IF('POINTAGE'!AJ84="Présent",'POINTAGE'!AK84,0),0),IF('POINTAGE'!$AL$5&lt;&gt;"",IF('POINTAGE'!AL84="Présent",'POINTAGE'!AM84,0),0),IF('POINTAGE'!$AN$5&lt;&gt;"",IF('POINTAGE'!AN84="Présent",'POINTAGE'!AO84,0),0),IF('POINTAGE'!$AP$5&lt;&gt;"",IF('POINTAGE'!AP84="Présent",'POINTAGE'!AQ84,0),0),IF('POINTAGE'!$AR$5&lt;&gt;"",IF('POINTAGE'!AR84="Présent",'POINTAGE'!AS84,0),0),IF('POINTAGE'!$AT$5&lt;&gt;"",IF('POINTAGE'!AT84="Présent",'POINTAGE'!AU84,0),0),IF('POINTAGE'!$AV$5&lt;&gt;"",IF('POINTAGE'!AV84="Présent",'POINTAGE'!AW84,0),0),IF('POINTAGE'!$AX$5&lt;&gt;"",IF('POINTAGE'!AX84="Présent",'POINTAGE'!AY84,0),0),IF('POINTAGE'!$AZ$5&lt;&gt;"",IF('POINTAGE'!AZ84="Présent",'POINTAGE'!BA84,0),0),IF('POINTAGE'!$BB$5&lt;&gt;"",IF('POINTAGE'!BB84="Présent",'POINTAGE'!BC84,0),0),IF('POINTAGE'!$BD$5&lt;&gt;"",IF('POINTAGE'!BD84="Présent",'POINTAGE'!BE84,0),0),IF('POINTAGE'!$BF$5&lt;&gt;"",IF('POINTAGE'!BF84="Présent",'POINTAGE'!BG84,0),0),IF('POINTAGE'!$BH$5&lt;&gt;"",IF('POINTAGE'!BH84="Présent",'POINTAGE'!BI84,0),0),IF('POINTAGE'!$BJ$5&lt;&gt;"",IF('POINTAGE'!BJ84="Présent",'POINTAGE'!BK84,0),0),IF('POINTAGE'!$BL$5&lt;&gt;"",IF('POINTAGE'!BL84="Présent",'POINTAGE'!BM84,0),0)))</f>
      </c>
      <c r="Q84" s="24">
        <f>IF($A84="","",$N84*$D84)</f>
      </c>
      <c r="R84" s="24">
        <f>IF($A84="","",$P84*$E84)</f>
      </c>
      <c r="S84" s="25">
        <f>IF($A84="","",$Q84+$R84)</f>
      </c>
      <c r="T84" s="18"/>
      <c r="U84" s="25">
        <f>IF($A84="","",MAX(0,$S84-$T84))</f>
      </c>
      <c r="V84" s="25">
        <f>IF($A84="","",$K84+$S84)</f>
      </c>
      <c r="W84" s="24">
        <f>IF($A84="","",$L84+$T84)</f>
      </c>
      <c r="X84" s="25">
        <f>IF($A84="","",$M84+$U84)</f>
      </c>
      <c r="Y84" s="29">
        <f>IF($A84="","",$J84+$R84)</f>
      </c>
    </row>
    <row r="85">
      <c r="A85" s="20">
        <f>IF('POINTAGE'!A85="","",'POINTAGE'!A85)</f>
      </c>
      <c r="B85" s="19">
        <f>IF($A85="","",'POINTAGE'!B85)</f>
      </c>
      <c r="C85" s="20">
        <f>IF($A85="","",'POINTAGE'!C85)</f>
      </c>
      <c r="D85" s="24">
        <f>IF($A85="","",IFERROR(INDEX(Categories_Salaire,MATCH($C85,ListeCategories,0)),0))</f>
      </c>
      <c r="E85" s="24">
        <f>IF($A85="","",IF(IFERROR(INDEX(Categories_TauxHS,MATCH($C85,ListeCategories,0)),0)&gt;0,IFERROR(INDEX(Categories_TauxHS,MATCH($C85,ListeCategories,0)),0),TauxHSDefaut))</f>
      </c>
      <c r="F85" s="22">
        <f>IF($A85="","",SUM(IF('POINTAGE'!$D$5&lt;&gt;"",--('POINTAGE'!D85="Présent"),0),IF('POINTAGE'!$F$5&lt;&gt;"",--('POINTAGE'!F85="Présent"),0),IF('POINTAGE'!$H$5&lt;&gt;"",--('POINTAGE'!H85="Présent"),0),IF('POINTAGE'!$J$5&lt;&gt;"",--('POINTAGE'!J85="Présent"),0),IF('POINTAGE'!$L$5&lt;&gt;"",--('POINTAGE'!L85="Présent"),0),IF('POINTAGE'!$N$5&lt;&gt;"",--('POINTAGE'!N85="Présent"),0),IF('POINTAGE'!$P$5&lt;&gt;"",--('POINTAGE'!P85="Présent"),0),IF('POINTAGE'!$R$5&lt;&gt;"",--('POINTAGE'!R85="Présent"),0),IF('POINTAGE'!$T$5&lt;&gt;"",--('POINTAGE'!T85="Présent"),0),IF('POINTAGE'!$V$5&lt;&gt;"",--('POINTAGE'!V85="Présent"),0),IF('POINTAGE'!$X$5&lt;&gt;"",--('POINTAGE'!X85="Présent"),0),IF('POINTAGE'!$Z$5&lt;&gt;"",--('POINTAGE'!Z85="Présent"),0),IF('POINTAGE'!$AB$5&lt;&gt;"",--('POINTAGE'!AB85="Présent"),0),IF('POINTAGE'!$AD$5&lt;&gt;"",--('POINTAGE'!AD85="Présent"),0),IF('POINTAGE'!$AF$5&lt;&gt;"",--('POINTAGE'!AF85="Présent"),0)))</f>
      </c>
      <c r="G85" s="22">
        <f>IF($A85="","",SUM(IF('POINTAGE'!$D$5&lt;&gt;"",--('POINTAGE'!D85="Absent"),0),IF('POINTAGE'!$F$5&lt;&gt;"",--('POINTAGE'!F85="Absent"),0),IF('POINTAGE'!$H$5&lt;&gt;"",--('POINTAGE'!H85="Absent"),0),IF('POINTAGE'!$J$5&lt;&gt;"",--('POINTAGE'!J85="Absent"),0),IF('POINTAGE'!$L$5&lt;&gt;"",--('POINTAGE'!L85="Absent"),0),IF('POINTAGE'!$N$5&lt;&gt;"",--('POINTAGE'!N85="Absent"),0),IF('POINTAGE'!$P$5&lt;&gt;"",--('POINTAGE'!P85="Absent"),0),IF('POINTAGE'!$R$5&lt;&gt;"",--('POINTAGE'!R85="Absent"),0),IF('POINTAGE'!$T$5&lt;&gt;"",--('POINTAGE'!T85="Absent"),0),IF('POINTAGE'!$V$5&lt;&gt;"",--('POINTAGE'!V85="Absent"),0),IF('POINTAGE'!$X$5&lt;&gt;"",--('POINTAGE'!X85="Absent"),0),IF('POINTAGE'!$Z$5&lt;&gt;"",--('POINTAGE'!Z85="Absent"),0),IF('POINTAGE'!$AB$5&lt;&gt;"",--('POINTAGE'!AB85="Absent"),0),IF('POINTAGE'!$AD$5&lt;&gt;"",--('POINTAGE'!AD85="Absent"),0),IF('POINTAGE'!$AF$5&lt;&gt;"",--('POINTAGE'!AF85="Absent"),0)))</f>
      </c>
      <c r="H85" s="23">
        <f>IF($A85="","",SUM(IF('POINTAGE'!$D$5&lt;&gt;"",IF('POINTAGE'!D85="Présent",'POINTAGE'!E85,0),0),IF('POINTAGE'!$F$5&lt;&gt;"",IF('POINTAGE'!F85="Présent",'POINTAGE'!G85,0),0),IF('POINTAGE'!$H$5&lt;&gt;"",IF('POINTAGE'!H85="Présent",'POINTAGE'!I85,0),0),IF('POINTAGE'!$J$5&lt;&gt;"",IF('POINTAGE'!J85="Présent",'POINTAGE'!K85,0),0),IF('POINTAGE'!$L$5&lt;&gt;"",IF('POINTAGE'!L85="Présent",'POINTAGE'!M85,0),0),IF('POINTAGE'!$N$5&lt;&gt;"",IF('POINTAGE'!N85="Présent",'POINTAGE'!O85,0),0),IF('POINTAGE'!$P$5&lt;&gt;"",IF('POINTAGE'!P85="Présent",'POINTAGE'!Q85,0),0),IF('POINTAGE'!$R$5&lt;&gt;"",IF('POINTAGE'!R85="Présent",'POINTAGE'!S85,0),0),IF('POINTAGE'!$T$5&lt;&gt;"",IF('POINTAGE'!T85="Présent",'POINTAGE'!U85,0),0),IF('POINTAGE'!$V$5&lt;&gt;"",IF('POINTAGE'!V85="Présent",'POINTAGE'!W85,0),0),IF('POINTAGE'!$X$5&lt;&gt;"",IF('POINTAGE'!X85="Présent",'POINTAGE'!Y85,0),0),IF('POINTAGE'!$Z$5&lt;&gt;"",IF('POINTAGE'!Z85="Présent",'POINTAGE'!AA85,0),0),IF('POINTAGE'!$AB$5&lt;&gt;"",IF('POINTAGE'!AB85="Présent",'POINTAGE'!AC85,0),0),IF('POINTAGE'!$AD$5&lt;&gt;"",IF('POINTAGE'!AD85="Présent",'POINTAGE'!AE85,0),0),IF('POINTAGE'!$AF$5&lt;&gt;"",IF('POINTAGE'!AF85="Présent",'POINTAGE'!AG85,0),0)))</f>
      </c>
      <c r="I85" s="24">
        <f>IF($A85="","",$F85*$D85)</f>
      </c>
      <c r="J85" s="24">
        <f>IF($A85="","",$H85*$E85)</f>
      </c>
      <c r="K85" s="25">
        <f>IF($A85="","",$I85+$J85)</f>
      </c>
      <c r="L85" s="18"/>
      <c r="M85" s="25">
        <f>IF($A85="","",MAX(0,$K85-$L85))</f>
      </c>
      <c r="N85" s="22">
        <f>IF($A85="","",SUM(IF('POINTAGE'!$AH$5&lt;&gt;"",--('POINTAGE'!AH85="Présent"),0),IF('POINTAGE'!$AJ$5&lt;&gt;"",--('POINTAGE'!AJ85="Présent"),0),IF('POINTAGE'!$AL$5&lt;&gt;"",--('POINTAGE'!AL85="Présent"),0),IF('POINTAGE'!$AN$5&lt;&gt;"",--('POINTAGE'!AN85="Présent"),0),IF('POINTAGE'!$AP$5&lt;&gt;"",--('POINTAGE'!AP85="Présent"),0),IF('POINTAGE'!$AR$5&lt;&gt;"",--('POINTAGE'!AR85="Présent"),0),IF('POINTAGE'!$AT$5&lt;&gt;"",--('POINTAGE'!AT85="Présent"),0),IF('POINTAGE'!$AV$5&lt;&gt;"",--('POINTAGE'!AV85="Présent"),0),IF('POINTAGE'!$AX$5&lt;&gt;"",--('POINTAGE'!AX85="Présent"),0),IF('POINTAGE'!$AZ$5&lt;&gt;"",--('POINTAGE'!AZ85="Présent"),0),IF('POINTAGE'!$BB$5&lt;&gt;"",--('POINTAGE'!BB85="Présent"),0),IF('POINTAGE'!$BD$5&lt;&gt;"",--('POINTAGE'!BD85="Présent"),0),IF('POINTAGE'!$BF$5&lt;&gt;"",--('POINTAGE'!BF85="Présent"),0),IF('POINTAGE'!$BH$5&lt;&gt;"",--('POINTAGE'!BH85="Présent"),0),IF('POINTAGE'!$BJ$5&lt;&gt;"",--('POINTAGE'!BJ85="Présent"),0),IF('POINTAGE'!$BL$5&lt;&gt;"",--('POINTAGE'!BL85="Présent"),0)))</f>
      </c>
      <c r="O85" s="22">
        <f>IF($A85="","",SUM(IF('POINTAGE'!$AH$5&lt;&gt;"",--('POINTAGE'!AH85="Absent"),0),IF('POINTAGE'!$AJ$5&lt;&gt;"",--('POINTAGE'!AJ85="Absent"),0),IF('POINTAGE'!$AL$5&lt;&gt;"",--('POINTAGE'!AL85="Absent"),0),IF('POINTAGE'!$AN$5&lt;&gt;"",--('POINTAGE'!AN85="Absent"),0),IF('POINTAGE'!$AP$5&lt;&gt;"",--('POINTAGE'!AP85="Absent"),0),IF('POINTAGE'!$AR$5&lt;&gt;"",--('POINTAGE'!AR85="Absent"),0),IF('POINTAGE'!$AT$5&lt;&gt;"",--('POINTAGE'!AT85="Absent"),0),IF('POINTAGE'!$AV$5&lt;&gt;"",--('POINTAGE'!AV85="Absent"),0),IF('POINTAGE'!$AX$5&lt;&gt;"",--('POINTAGE'!AX85="Absent"),0),IF('POINTAGE'!$AZ$5&lt;&gt;"",--('POINTAGE'!AZ85="Absent"),0),IF('POINTAGE'!$BB$5&lt;&gt;"",--('POINTAGE'!BB85="Absent"),0),IF('POINTAGE'!$BD$5&lt;&gt;"",--('POINTAGE'!BD85="Absent"),0),IF('POINTAGE'!$BF$5&lt;&gt;"",--('POINTAGE'!BF85="Absent"),0),IF('POINTAGE'!$BH$5&lt;&gt;"",--('POINTAGE'!BH85="Absent"),0),IF('POINTAGE'!$BJ$5&lt;&gt;"",--('POINTAGE'!BJ85="Absent"),0),IF('POINTAGE'!$BL$5&lt;&gt;"",--('POINTAGE'!BL85="Absent"),0)))</f>
      </c>
      <c r="P85" s="23">
        <f>IF($A85="","",SUM(IF('POINTAGE'!$AH$5&lt;&gt;"",IF('POINTAGE'!AH85="Présent",'POINTAGE'!AI85,0),0),IF('POINTAGE'!$AJ$5&lt;&gt;"",IF('POINTAGE'!AJ85="Présent",'POINTAGE'!AK85,0),0),IF('POINTAGE'!$AL$5&lt;&gt;"",IF('POINTAGE'!AL85="Présent",'POINTAGE'!AM85,0),0),IF('POINTAGE'!$AN$5&lt;&gt;"",IF('POINTAGE'!AN85="Présent",'POINTAGE'!AO85,0),0),IF('POINTAGE'!$AP$5&lt;&gt;"",IF('POINTAGE'!AP85="Présent",'POINTAGE'!AQ85,0),0),IF('POINTAGE'!$AR$5&lt;&gt;"",IF('POINTAGE'!AR85="Présent",'POINTAGE'!AS85,0),0),IF('POINTAGE'!$AT$5&lt;&gt;"",IF('POINTAGE'!AT85="Présent",'POINTAGE'!AU85,0),0),IF('POINTAGE'!$AV$5&lt;&gt;"",IF('POINTAGE'!AV85="Présent",'POINTAGE'!AW85,0),0),IF('POINTAGE'!$AX$5&lt;&gt;"",IF('POINTAGE'!AX85="Présent",'POINTAGE'!AY85,0),0),IF('POINTAGE'!$AZ$5&lt;&gt;"",IF('POINTAGE'!AZ85="Présent",'POINTAGE'!BA85,0),0),IF('POINTAGE'!$BB$5&lt;&gt;"",IF('POINTAGE'!BB85="Présent",'POINTAGE'!BC85,0),0),IF('POINTAGE'!$BD$5&lt;&gt;"",IF('POINTAGE'!BD85="Présent",'POINTAGE'!BE85,0),0),IF('POINTAGE'!$BF$5&lt;&gt;"",IF('POINTAGE'!BF85="Présent",'POINTAGE'!BG85,0),0),IF('POINTAGE'!$BH$5&lt;&gt;"",IF('POINTAGE'!BH85="Présent",'POINTAGE'!BI85,0),0),IF('POINTAGE'!$BJ$5&lt;&gt;"",IF('POINTAGE'!BJ85="Présent",'POINTAGE'!BK85,0),0),IF('POINTAGE'!$BL$5&lt;&gt;"",IF('POINTAGE'!BL85="Présent",'POINTAGE'!BM85,0),0)))</f>
      </c>
      <c r="Q85" s="24">
        <f>IF($A85="","",$N85*$D85)</f>
      </c>
      <c r="R85" s="24">
        <f>IF($A85="","",$P85*$E85)</f>
      </c>
      <c r="S85" s="25">
        <f>IF($A85="","",$Q85+$R85)</f>
      </c>
      <c r="T85" s="18"/>
      <c r="U85" s="25">
        <f>IF($A85="","",MAX(0,$S85-$T85))</f>
      </c>
      <c r="V85" s="25">
        <f>IF($A85="","",$K85+$S85)</f>
      </c>
      <c r="W85" s="24">
        <f>IF($A85="","",$L85+$T85)</f>
      </c>
      <c r="X85" s="25">
        <f>IF($A85="","",$M85+$U85)</f>
      </c>
      <c r="Y85" s="29">
        <f>IF($A85="","",$J85+$R85)</f>
      </c>
    </row>
    <row r="86">
      <c r="A86" s="20">
        <f>IF('POINTAGE'!A86="","",'POINTAGE'!A86)</f>
      </c>
      <c r="B86" s="19">
        <f>IF($A86="","",'POINTAGE'!B86)</f>
      </c>
      <c r="C86" s="20">
        <f>IF($A86="","",'POINTAGE'!C86)</f>
      </c>
      <c r="D86" s="24">
        <f>IF($A86="","",IFERROR(INDEX(Categories_Salaire,MATCH($C86,ListeCategories,0)),0))</f>
      </c>
      <c r="E86" s="24">
        <f>IF($A86="","",IF(IFERROR(INDEX(Categories_TauxHS,MATCH($C86,ListeCategories,0)),0)&gt;0,IFERROR(INDEX(Categories_TauxHS,MATCH($C86,ListeCategories,0)),0),TauxHSDefaut))</f>
      </c>
      <c r="F86" s="22">
        <f>IF($A86="","",SUM(IF('POINTAGE'!$D$5&lt;&gt;"",--('POINTAGE'!D86="Présent"),0),IF('POINTAGE'!$F$5&lt;&gt;"",--('POINTAGE'!F86="Présent"),0),IF('POINTAGE'!$H$5&lt;&gt;"",--('POINTAGE'!H86="Présent"),0),IF('POINTAGE'!$J$5&lt;&gt;"",--('POINTAGE'!J86="Présent"),0),IF('POINTAGE'!$L$5&lt;&gt;"",--('POINTAGE'!L86="Présent"),0),IF('POINTAGE'!$N$5&lt;&gt;"",--('POINTAGE'!N86="Présent"),0),IF('POINTAGE'!$P$5&lt;&gt;"",--('POINTAGE'!P86="Présent"),0),IF('POINTAGE'!$R$5&lt;&gt;"",--('POINTAGE'!R86="Présent"),0),IF('POINTAGE'!$T$5&lt;&gt;"",--('POINTAGE'!T86="Présent"),0),IF('POINTAGE'!$V$5&lt;&gt;"",--('POINTAGE'!V86="Présent"),0),IF('POINTAGE'!$X$5&lt;&gt;"",--('POINTAGE'!X86="Présent"),0),IF('POINTAGE'!$Z$5&lt;&gt;"",--('POINTAGE'!Z86="Présent"),0),IF('POINTAGE'!$AB$5&lt;&gt;"",--('POINTAGE'!AB86="Présent"),0),IF('POINTAGE'!$AD$5&lt;&gt;"",--('POINTAGE'!AD86="Présent"),0),IF('POINTAGE'!$AF$5&lt;&gt;"",--('POINTAGE'!AF86="Présent"),0)))</f>
      </c>
      <c r="G86" s="22">
        <f>IF($A86="","",SUM(IF('POINTAGE'!$D$5&lt;&gt;"",--('POINTAGE'!D86="Absent"),0),IF('POINTAGE'!$F$5&lt;&gt;"",--('POINTAGE'!F86="Absent"),0),IF('POINTAGE'!$H$5&lt;&gt;"",--('POINTAGE'!H86="Absent"),0),IF('POINTAGE'!$J$5&lt;&gt;"",--('POINTAGE'!J86="Absent"),0),IF('POINTAGE'!$L$5&lt;&gt;"",--('POINTAGE'!L86="Absent"),0),IF('POINTAGE'!$N$5&lt;&gt;"",--('POINTAGE'!N86="Absent"),0),IF('POINTAGE'!$P$5&lt;&gt;"",--('POINTAGE'!P86="Absent"),0),IF('POINTAGE'!$R$5&lt;&gt;"",--('POINTAGE'!R86="Absent"),0),IF('POINTAGE'!$T$5&lt;&gt;"",--('POINTAGE'!T86="Absent"),0),IF('POINTAGE'!$V$5&lt;&gt;"",--('POINTAGE'!V86="Absent"),0),IF('POINTAGE'!$X$5&lt;&gt;"",--('POINTAGE'!X86="Absent"),0),IF('POINTAGE'!$Z$5&lt;&gt;"",--('POINTAGE'!Z86="Absent"),0),IF('POINTAGE'!$AB$5&lt;&gt;"",--('POINTAGE'!AB86="Absent"),0),IF('POINTAGE'!$AD$5&lt;&gt;"",--('POINTAGE'!AD86="Absent"),0),IF('POINTAGE'!$AF$5&lt;&gt;"",--('POINTAGE'!AF86="Absent"),0)))</f>
      </c>
      <c r="H86" s="23">
        <f>IF($A86="","",SUM(IF('POINTAGE'!$D$5&lt;&gt;"",IF('POINTAGE'!D86="Présent",'POINTAGE'!E86,0),0),IF('POINTAGE'!$F$5&lt;&gt;"",IF('POINTAGE'!F86="Présent",'POINTAGE'!G86,0),0),IF('POINTAGE'!$H$5&lt;&gt;"",IF('POINTAGE'!H86="Présent",'POINTAGE'!I86,0),0),IF('POINTAGE'!$J$5&lt;&gt;"",IF('POINTAGE'!J86="Présent",'POINTAGE'!K86,0),0),IF('POINTAGE'!$L$5&lt;&gt;"",IF('POINTAGE'!L86="Présent",'POINTAGE'!M86,0),0),IF('POINTAGE'!$N$5&lt;&gt;"",IF('POINTAGE'!N86="Présent",'POINTAGE'!O86,0),0),IF('POINTAGE'!$P$5&lt;&gt;"",IF('POINTAGE'!P86="Présent",'POINTAGE'!Q86,0),0),IF('POINTAGE'!$R$5&lt;&gt;"",IF('POINTAGE'!R86="Présent",'POINTAGE'!S86,0),0),IF('POINTAGE'!$T$5&lt;&gt;"",IF('POINTAGE'!T86="Présent",'POINTAGE'!U86,0),0),IF('POINTAGE'!$V$5&lt;&gt;"",IF('POINTAGE'!V86="Présent",'POINTAGE'!W86,0),0),IF('POINTAGE'!$X$5&lt;&gt;"",IF('POINTAGE'!X86="Présent",'POINTAGE'!Y86,0),0),IF('POINTAGE'!$Z$5&lt;&gt;"",IF('POINTAGE'!Z86="Présent",'POINTAGE'!AA86,0),0),IF('POINTAGE'!$AB$5&lt;&gt;"",IF('POINTAGE'!AB86="Présent",'POINTAGE'!AC86,0),0),IF('POINTAGE'!$AD$5&lt;&gt;"",IF('POINTAGE'!AD86="Présent",'POINTAGE'!AE86,0),0),IF('POINTAGE'!$AF$5&lt;&gt;"",IF('POINTAGE'!AF86="Présent",'POINTAGE'!AG86,0),0)))</f>
      </c>
      <c r="I86" s="24">
        <f>IF($A86="","",$F86*$D86)</f>
      </c>
      <c r="J86" s="24">
        <f>IF($A86="","",$H86*$E86)</f>
      </c>
      <c r="K86" s="25">
        <f>IF($A86="","",$I86+$J86)</f>
      </c>
      <c r="L86" s="18"/>
      <c r="M86" s="25">
        <f>IF($A86="","",MAX(0,$K86-$L86))</f>
      </c>
      <c r="N86" s="22">
        <f>IF($A86="","",SUM(IF('POINTAGE'!$AH$5&lt;&gt;"",--('POINTAGE'!AH86="Présent"),0),IF('POINTAGE'!$AJ$5&lt;&gt;"",--('POINTAGE'!AJ86="Présent"),0),IF('POINTAGE'!$AL$5&lt;&gt;"",--('POINTAGE'!AL86="Présent"),0),IF('POINTAGE'!$AN$5&lt;&gt;"",--('POINTAGE'!AN86="Présent"),0),IF('POINTAGE'!$AP$5&lt;&gt;"",--('POINTAGE'!AP86="Présent"),0),IF('POINTAGE'!$AR$5&lt;&gt;"",--('POINTAGE'!AR86="Présent"),0),IF('POINTAGE'!$AT$5&lt;&gt;"",--('POINTAGE'!AT86="Présent"),0),IF('POINTAGE'!$AV$5&lt;&gt;"",--('POINTAGE'!AV86="Présent"),0),IF('POINTAGE'!$AX$5&lt;&gt;"",--('POINTAGE'!AX86="Présent"),0),IF('POINTAGE'!$AZ$5&lt;&gt;"",--('POINTAGE'!AZ86="Présent"),0),IF('POINTAGE'!$BB$5&lt;&gt;"",--('POINTAGE'!BB86="Présent"),0),IF('POINTAGE'!$BD$5&lt;&gt;"",--('POINTAGE'!BD86="Présent"),0),IF('POINTAGE'!$BF$5&lt;&gt;"",--('POINTAGE'!BF86="Présent"),0),IF('POINTAGE'!$BH$5&lt;&gt;"",--('POINTAGE'!BH86="Présent"),0),IF('POINTAGE'!$BJ$5&lt;&gt;"",--('POINTAGE'!BJ86="Présent"),0),IF('POINTAGE'!$BL$5&lt;&gt;"",--('POINTAGE'!BL86="Présent"),0)))</f>
      </c>
      <c r="O86" s="22">
        <f>IF($A86="","",SUM(IF('POINTAGE'!$AH$5&lt;&gt;"",--('POINTAGE'!AH86="Absent"),0),IF('POINTAGE'!$AJ$5&lt;&gt;"",--('POINTAGE'!AJ86="Absent"),0),IF('POINTAGE'!$AL$5&lt;&gt;"",--('POINTAGE'!AL86="Absent"),0),IF('POINTAGE'!$AN$5&lt;&gt;"",--('POINTAGE'!AN86="Absent"),0),IF('POINTAGE'!$AP$5&lt;&gt;"",--('POINTAGE'!AP86="Absent"),0),IF('POINTAGE'!$AR$5&lt;&gt;"",--('POINTAGE'!AR86="Absent"),0),IF('POINTAGE'!$AT$5&lt;&gt;"",--('POINTAGE'!AT86="Absent"),0),IF('POINTAGE'!$AV$5&lt;&gt;"",--('POINTAGE'!AV86="Absent"),0),IF('POINTAGE'!$AX$5&lt;&gt;"",--('POINTAGE'!AX86="Absent"),0),IF('POINTAGE'!$AZ$5&lt;&gt;"",--('POINTAGE'!AZ86="Absent"),0),IF('POINTAGE'!$BB$5&lt;&gt;"",--('POINTAGE'!BB86="Absent"),0),IF('POINTAGE'!$BD$5&lt;&gt;"",--('POINTAGE'!BD86="Absent"),0),IF('POINTAGE'!$BF$5&lt;&gt;"",--('POINTAGE'!BF86="Absent"),0),IF('POINTAGE'!$BH$5&lt;&gt;"",--('POINTAGE'!BH86="Absent"),0),IF('POINTAGE'!$BJ$5&lt;&gt;"",--('POINTAGE'!BJ86="Absent"),0),IF('POINTAGE'!$BL$5&lt;&gt;"",--('POINTAGE'!BL86="Absent"),0)))</f>
      </c>
      <c r="P86" s="23">
        <f>IF($A86="","",SUM(IF('POINTAGE'!$AH$5&lt;&gt;"",IF('POINTAGE'!AH86="Présent",'POINTAGE'!AI86,0),0),IF('POINTAGE'!$AJ$5&lt;&gt;"",IF('POINTAGE'!AJ86="Présent",'POINTAGE'!AK86,0),0),IF('POINTAGE'!$AL$5&lt;&gt;"",IF('POINTAGE'!AL86="Présent",'POINTAGE'!AM86,0),0),IF('POINTAGE'!$AN$5&lt;&gt;"",IF('POINTAGE'!AN86="Présent",'POINTAGE'!AO86,0),0),IF('POINTAGE'!$AP$5&lt;&gt;"",IF('POINTAGE'!AP86="Présent",'POINTAGE'!AQ86,0),0),IF('POINTAGE'!$AR$5&lt;&gt;"",IF('POINTAGE'!AR86="Présent",'POINTAGE'!AS86,0),0),IF('POINTAGE'!$AT$5&lt;&gt;"",IF('POINTAGE'!AT86="Présent",'POINTAGE'!AU86,0),0),IF('POINTAGE'!$AV$5&lt;&gt;"",IF('POINTAGE'!AV86="Présent",'POINTAGE'!AW86,0),0),IF('POINTAGE'!$AX$5&lt;&gt;"",IF('POINTAGE'!AX86="Présent",'POINTAGE'!AY86,0),0),IF('POINTAGE'!$AZ$5&lt;&gt;"",IF('POINTAGE'!AZ86="Présent",'POINTAGE'!BA86,0),0),IF('POINTAGE'!$BB$5&lt;&gt;"",IF('POINTAGE'!BB86="Présent",'POINTAGE'!BC86,0),0),IF('POINTAGE'!$BD$5&lt;&gt;"",IF('POINTAGE'!BD86="Présent",'POINTAGE'!BE86,0),0),IF('POINTAGE'!$BF$5&lt;&gt;"",IF('POINTAGE'!BF86="Présent",'POINTAGE'!BG86,0),0),IF('POINTAGE'!$BH$5&lt;&gt;"",IF('POINTAGE'!BH86="Présent",'POINTAGE'!BI86,0),0),IF('POINTAGE'!$BJ$5&lt;&gt;"",IF('POINTAGE'!BJ86="Présent",'POINTAGE'!BK86,0),0),IF('POINTAGE'!$BL$5&lt;&gt;"",IF('POINTAGE'!BL86="Présent",'POINTAGE'!BM86,0),0)))</f>
      </c>
      <c r="Q86" s="24">
        <f>IF($A86="","",$N86*$D86)</f>
      </c>
      <c r="R86" s="24">
        <f>IF($A86="","",$P86*$E86)</f>
      </c>
      <c r="S86" s="25">
        <f>IF($A86="","",$Q86+$R86)</f>
      </c>
      <c r="T86" s="18"/>
      <c r="U86" s="25">
        <f>IF($A86="","",MAX(0,$S86-$T86))</f>
      </c>
      <c r="V86" s="25">
        <f>IF($A86="","",$K86+$S86)</f>
      </c>
      <c r="W86" s="24">
        <f>IF($A86="","",$L86+$T86)</f>
      </c>
      <c r="X86" s="25">
        <f>IF($A86="","",$M86+$U86)</f>
      </c>
      <c r="Y86" s="29">
        <f>IF($A86="","",$J86+$R86)</f>
      </c>
    </row>
    <row r="87">
      <c r="A87" s="20">
        <f>IF('POINTAGE'!A87="","",'POINTAGE'!A87)</f>
      </c>
      <c r="B87" s="19">
        <f>IF($A87="","",'POINTAGE'!B87)</f>
      </c>
      <c r="C87" s="20">
        <f>IF($A87="","",'POINTAGE'!C87)</f>
      </c>
      <c r="D87" s="24">
        <f>IF($A87="","",IFERROR(INDEX(Categories_Salaire,MATCH($C87,ListeCategories,0)),0))</f>
      </c>
      <c r="E87" s="24">
        <f>IF($A87="","",IF(IFERROR(INDEX(Categories_TauxHS,MATCH($C87,ListeCategories,0)),0)&gt;0,IFERROR(INDEX(Categories_TauxHS,MATCH($C87,ListeCategories,0)),0),TauxHSDefaut))</f>
      </c>
      <c r="F87" s="22">
        <f>IF($A87="","",SUM(IF('POINTAGE'!$D$5&lt;&gt;"",--('POINTAGE'!D87="Présent"),0),IF('POINTAGE'!$F$5&lt;&gt;"",--('POINTAGE'!F87="Présent"),0),IF('POINTAGE'!$H$5&lt;&gt;"",--('POINTAGE'!H87="Présent"),0),IF('POINTAGE'!$J$5&lt;&gt;"",--('POINTAGE'!J87="Présent"),0),IF('POINTAGE'!$L$5&lt;&gt;"",--('POINTAGE'!L87="Présent"),0),IF('POINTAGE'!$N$5&lt;&gt;"",--('POINTAGE'!N87="Présent"),0),IF('POINTAGE'!$P$5&lt;&gt;"",--('POINTAGE'!P87="Présent"),0),IF('POINTAGE'!$R$5&lt;&gt;"",--('POINTAGE'!R87="Présent"),0),IF('POINTAGE'!$T$5&lt;&gt;"",--('POINTAGE'!T87="Présent"),0),IF('POINTAGE'!$V$5&lt;&gt;"",--('POINTAGE'!V87="Présent"),0),IF('POINTAGE'!$X$5&lt;&gt;"",--('POINTAGE'!X87="Présent"),0),IF('POINTAGE'!$Z$5&lt;&gt;"",--('POINTAGE'!Z87="Présent"),0),IF('POINTAGE'!$AB$5&lt;&gt;"",--('POINTAGE'!AB87="Présent"),0),IF('POINTAGE'!$AD$5&lt;&gt;"",--('POINTAGE'!AD87="Présent"),0),IF('POINTAGE'!$AF$5&lt;&gt;"",--('POINTAGE'!AF87="Présent"),0)))</f>
      </c>
      <c r="G87" s="22">
        <f>IF($A87="","",SUM(IF('POINTAGE'!$D$5&lt;&gt;"",--('POINTAGE'!D87="Absent"),0),IF('POINTAGE'!$F$5&lt;&gt;"",--('POINTAGE'!F87="Absent"),0),IF('POINTAGE'!$H$5&lt;&gt;"",--('POINTAGE'!H87="Absent"),0),IF('POINTAGE'!$J$5&lt;&gt;"",--('POINTAGE'!J87="Absent"),0),IF('POINTAGE'!$L$5&lt;&gt;"",--('POINTAGE'!L87="Absent"),0),IF('POINTAGE'!$N$5&lt;&gt;"",--('POINTAGE'!N87="Absent"),0),IF('POINTAGE'!$P$5&lt;&gt;"",--('POINTAGE'!P87="Absent"),0),IF('POINTAGE'!$R$5&lt;&gt;"",--('POINTAGE'!R87="Absent"),0),IF('POINTAGE'!$T$5&lt;&gt;"",--('POINTAGE'!T87="Absent"),0),IF('POINTAGE'!$V$5&lt;&gt;"",--('POINTAGE'!V87="Absent"),0),IF('POINTAGE'!$X$5&lt;&gt;"",--('POINTAGE'!X87="Absent"),0),IF('POINTAGE'!$Z$5&lt;&gt;"",--('POINTAGE'!Z87="Absent"),0),IF('POINTAGE'!$AB$5&lt;&gt;"",--('POINTAGE'!AB87="Absent"),0),IF('POINTAGE'!$AD$5&lt;&gt;"",--('POINTAGE'!AD87="Absent"),0),IF('POINTAGE'!$AF$5&lt;&gt;"",--('POINTAGE'!AF87="Absent"),0)))</f>
      </c>
      <c r="H87" s="23">
        <f>IF($A87="","",SUM(IF('POINTAGE'!$D$5&lt;&gt;"",IF('POINTAGE'!D87="Présent",'POINTAGE'!E87,0),0),IF('POINTAGE'!$F$5&lt;&gt;"",IF('POINTAGE'!F87="Présent",'POINTAGE'!G87,0),0),IF('POINTAGE'!$H$5&lt;&gt;"",IF('POINTAGE'!H87="Présent",'POINTAGE'!I87,0),0),IF('POINTAGE'!$J$5&lt;&gt;"",IF('POINTAGE'!J87="Présent",'POINTAGE'!K87,0),0),IF('POINTAGE'!$L$5&lt;&gt;"",IF('POINTAGE'!L87="Présent",'POINTAGE'!M87,0),0),IF('POINTAGE'!$N$5&lt;&gt;"",IF('POINTAGE'!N87="Présent",'POINTAGE'!O87,0),0),IF('POINTAGE'!$P$5&lt;&gt;"",IF('POINTAGE'!P87="Présent",'POINTAGE'!Q87,0),0),IF('POINTAGE'!$R$5&lt;&gt;"",IF('POINTAGE'!R87="Présent",'POINTAGE'!S87,0),0),IF('POINTAGE'!$T$5&lt;&gt;"",IF('POINTAGE'!T87="Présent",'POINTAGE'!U87,0),0),IF('POINTAGE'!$V$5&lt;&gt;"",IF('POINTAGE'!V87="Présent",'POINTAGE'!W87,0),0),IF('POINTAGE'!$X$5&lt;&gt;"",IF('POINTAGE'!X87="Présent",'POINTAGE'!Y87,0),0),IF('POINTAGE'!$Z$5&lt;&gt;"",IF('POINTAGE'!Z87="Présent",'POINTAGE'!AA87,0),0),IF('POINTAGE'!$AB$5&lt;&gt;"",IF('POINTAGE'!AB87="Présent",'POINTAGE'!AC87,0),0),IF('POINTAGE'!$AD$5&lt;&gt;"",IF('POINTAGE'!AD87="Présent",'POINTAGE'!AE87,0),0),IF('POINTAGE'!$AF$5&lt;&gt;"",IF('POINTAGE'!AF87="Présent",'POINTAGE'!AG87,0),0)))</f>
      </c>
      <c r="I87" s="24">
        <f>IF($A87="","",$F87*$D87)</f>
      </c>
      <c r="J87" s="24">
        <f>IF($A87="","",$H87*$E87)</f>
      </c>
      <c r="K87" s="25">
        <f>IF($A87="","",$I87+$J87)</f>
      </c>
      <c r="L87" s="18"/>
      <c r="M87" s="25">
        <f>IF($A87="","",MAX(0,$K87-$L87))</f>
      </c>
      <c r="N87" s="22">
        <f>IF($A87="","",SUM(IF('POINTAGE'!$AH$5&lt;&gt;"",--('POINTAGE'!AH87="Présent"),0),IF('POINTAGE'!$AJ$5&lt;&gt;"",--('POINTAGE'!AJ87="Présent"),0),IF('POINTAGE'!$AL$5&lt;&gt;"",--('POINTAGE'!AL87="Présent"),0),IF('POINTAGE'!$AN$5&lt;&gt;"",--('POINTAGE'!AN87="Présent"),0),IF('POINTAGE'!$AP$5&lt;&gt;"",--('POINTAGE'!AP87="Présent"),0),IF('POINTAGE'!$AR$5&lt;&gt;"",--('POINTAGE'!AR87="Présent"),0),IF('POINTAGE'!$AT$5&lt;&gt;"",--('POINTAGE'!AT87="Présent"),0),IF('POINTAGE'!$AV$5&lt;&gt;"",--('POINTAGE'!AV87="Présent"),0),IF('POINTAGE'!$AX$5&lt;&gt;"",--('POINTAGE'!AX87="Présent"),0),IF('POINTAGE'!$AZ$5&lt;&gt;"",--('POINTAGE'!AZ87="Présent"),0),IF('POINTAGE'!$BB$5&lt;&gt;"",--('POINTAGE'!BB87="Présent"),0),IF('POINTAGE'!$BD$5&lt;&gt;"",--('POINTAGE'!BD87="Présent"),0),IF('POINTAGE'!$BF$5&lt;&gt;"",--('POINTAGE'!BF87="Présent"),0),IF('POINTAGE'!$BH$5&lt;&gt;"",--('POINTAGE'!BH87="Présent"),0),IF('POINTAGE'!$BJ$5&lt;&gt;"",--('POINTAGE'!BJ87="Présent"),0),IF('POINTAGE'!$BL$5&lt;&gt;"",--('POINTAGE'!BL87="Présent"),0)))</f>
      </c>
      <c r="O87" s="22">
        <f>IF($A87="","",SUM(IF('POINTAGE'!$AH$5&lt;&gt;"",--('POINTAGE'!AH87="Absent"),0),IF('POINTAGE'!$AJ$5&lt;&gt;"",--('POINTAGE'!AJ87="Absent"),0),IF('POINTAGE'!$AL$5&lt;&gt;"",--('POINTAGE'!AL87="Absent"),0),IF('POINTAGE'!$AN$5&lt;&gt;"",--('POINTAGE'!AN87="Absent"),0),IF('POINTAGE'!$AP$5&lt;&gt;"",--('POINTAGE'!AP87="Absent"),0),IF('POINTAGE'!$AR$5&lt;&gt;"",--('POINTAGE'!AR87="Absent"),0),IF('POINTAGE'!$AT$5&lt;&gt;"",--('POINTAGE'!AT87="Absent"),0),IF('POINTAGE'!$AV$5&lt;&gt;"",--('POINTAGE'!AV87="Absent"),0),IF('POINTAGE'!$AX$5&lt;&gt;"",--('POINTAGE'!AX87="Absent"),0),IF('POINTAGE'!$AZ$5&lt;&gt;"",--('POINTAGE'!AZ87="Absent"),0),IF('POINTAGE'!$BB$5&lt;&gt;"",--('POINTAGE'!BB87="Absent"),0),IF('POINTAGE'!$BD$5&lt;&gt;"",--('POINTAGE'!BD87="Absent"),0),IF('POINTAGE'!$BF$5&lt;&gt;"",--('POINTAGE'!BF87="Absent"),0),IF('POINTAGE'!$BH$5&lt;&gt;"",--('POINTAGE'!BH87="Absent"),0),IF('POINTAGE'!$BJ$5&lt;&gt;"",--('POINTAGE'!BJ87="Absent"),0),IF('POINTAGE'!$BL$5&lt;&gt;"",--('POINTAGE'!BL87="Absent"),0)))</f>
      </c>
      <c r="P87" s="23">
        <f>IF($A87="","",SUM(IF('POINTAGE'!$AH$5&lt;&gt;"",IF('POINTAGE'!AH87="Présent",'POINTAGE'!AI87,0),0),IF('POINTAGE'!$AJ$5&lt;&gt;"",IF('POINTAGE'!AJ87="Présent",'POINTAGE'!AK87,0),0),IF('POINTAGE'!$AL$5&lt;&gt;"",IF('POINTAGE'!AL87="Présent",'POINTAGE'!AM87,0),0),IF('POINTAGE'!$AN$5&lt;&gt;"",IF('POINTAGE'!AN87="Présent",'POINTAGE'!AO87,0),0),IF('POINTAGE'!$AP$5&lt;&gt;"",IF('POINTAGE'!AP87="Présent",'POINTAGE'!AQ87,0),0),IF('POINTAGE'!$AR$5&lt;&gt;"",IF('POINTAGE'!AR87="Présent",'POINTAGE'!AS87,0),0),IF('POINTAGE'!$AT$5&lt;&gt;"",IF('POINTAGE'!AT87="Présent",'POINTAGE'!AU87,0),0),IF('POINTAGE'!$AV$5&lt;&gt;"",IF('POINTAGE'!AV87="Présent",'POINTAGE'!AW87,0),0),IF('POINTAGE'!$AX$5&lt;&gt;"",IF('POINTAGE'!AX87="Présent",'POINTAGE'!AY87,0),0),IF('POINTAGE'!$AZ$5&lt;&gt;"",IF('POINTAGE'!AZ87="Présent",'POINTAGE'!BA87,0),0),IF('POINTAGE'!$BB$5&lt;&gt;"",IF('POINTAGE'!BB87="Présent",'POINTAGE'!BC87,0),0),IF('POINTAGE'!$BD$5&lt;&gt;"",IF('POINTAGE'!BD87="Présent",'POINTAGE'!BE87,0),0),IF('POINTAGE'!$BF$5&lt;&gt;"",IF('POINTAGE'!BF87="Présent",'POINTAGE'!BG87,0),0),IF('POINTAGE'!$BH$5&lt;&gt;"",IF('POINTAGE'!BH87="Présent",'POINTAGE'!BI87,0),0),IF('POINTAGE'!$BJ$5&lt;&gt;"",IF('POINTAGE'!BJ87="Présent",'POINTAGE'!BK87,0),0),IF('POINTAGE'!$BL$5&lt;&gt;"",IF('POINTAGE'!BL87="Présent",'POINTAGE'!BM87,0),0)))</f>
      </c>
      <c r="Q87" s="24">
        <f>IF($A87="","",$N87*$D87)</f>
      </c>
      <c r="R87" s="24">
        <f>IF($A87="","",$P87*$E87)</f>
      </c>
      <c r="S87" s="25">
        <f>IF($A87="","",$Q87+$R87)</f>
      </c>
      <c r="T87" s="18"/>
      <c r="U87" s="25">
        <f>IF($A87="","",MAX(0,$S87-$T87))</f>
      </c>
      <c r="V87" s="25">
        <f>IF($A87="","",$K87+$S87)</f>
      </c>
      <c r="W87" s="24">
        <f>IF($A87="","",$L87+$T87)</f>
      </c>
      <c r="X87" s="25">
        <f>IF($A87="","",$M87+$U87)</f>
      </c>
      <c r="Y87" s="29">
        <f>IF($A87="","",$J87+$R87)</f>
      </c>
    </row>
    <row r="88">
      <c r="A88" s="20">
        <f>IF('POINTAGE'!A88="","",'POINTAGE'!A88)</f>
      </c>
      <c r="B88" s="19">
        <f>IF($A88="","",'POINTAGE'!B88)</f>
      </c>
      <c r="C88" s="20">
        <f>IF($A88="","",'POINTAGE'!C88)</f>
      </c>
      <c r="D88" s="24">
        <f>IF($A88="","",IFERROR(INDEX(Categories_Salaire,MATCH($C88,ListeCategories,0)),0))</f>
      </c>
      <c r="E88" s="24">
        <f>IF($A88="","",IF(IFERROR(INDEX(Categories_TauxHS,MATCH($C88,ListeCategories,0)),0)&gt;0,IFERROR(INDEX(Categories_TauxHS,MATCH($C88,ListeCategories,0)),0),TauxHSDefaut))</f>
      </c>
      <c r="F88" s="22">
        <f>IF($A88="","",SUM(IF('POINTAGE'!$D$5&lt;&gt;"",--('POINTAGE'!D88="Présent"),0),IF('POINTAGE'!$F$5&lt;&gt;"",--('POINTAGE'!F88="Présent"),0),IF('POINTAGE'!$H$5&lt;&gt;"",--('POINTAGE'!H88="Présent"),0),IF('POINTAGE'!$J$5&lt;&gt;"",--('POINTAGE'!J88="Présent"),0),IF('POINTAGE'!$L$5&lt;&gt;"",--('POINTAGE'!L88="Présent"),0),IF('POINTAGE'!$N$5&lt;&gt;"",--('POINTAGE'!N88="Présent"),0),IF('POINTAGE'!$P$5&lt;&gt;"",--('POINTAGE'!P88="Présent"),0),IF('POINTAGE'!$R$5&lt;&gt;"",--('POINTAGE'!R88="Présent"),0),IF('POINTAGE'!$T$5&lt;&gt;"",--('POINTAGE'!T88="Présent"),0),IF('POINTAGE'!$V$5&lt;&gt;"",--('POINTAGE'!V88="Présent"),0),IF('POINTAGE'!$X$5&lt;&gt;"",--('POINTAGE'!X88="Présent"),0),IF('POINTAGE'!$Z$5&lt;&gt;"",--('POINTAGE'!Z88="Présent"),0),IF('POINTAGE'!$AB$5&lt;&gt;"",--('POINTAGE'!AB88="Présent"),0),IF('POINTAGE'!$AD$5&lt;&gt;"",--('POINTAGE'!AD88="Présent"),0),IF('POINTAGE'!$AF$5&lt;&gt;"",--('POINTAGE'!AF88="Présent"),0)))</f>
      </c>
      <c r="G88" s="22">
        <f>IF($A88="","",SUM(IF('POINTAGE'!$D$5&lt;&gt;"",--('POINTAGE'!D88="Absent"),0),IF('POINTAGE'!$F$5&lt;&gt;"",--('POINTAGE'!F88="Absent"),0),IF('POINTAGE'!$H$5&lt;&gt;"",--('POINTAGE'!H88="Absent"),0),IF('POINTAGE'!$J$5&lt;&gt;"",--('POINTAGE'!J88="Absent"),0),IF('POINTAGE'!$L$5&lt;&gt;"",--('POINTAGE'!L88="Absent"),0),IF('POINTAGE'!$N$5&lt;&gt;"",--('POINTAGE'!N88="Absent"),0),IF('POINTAGE'!$P$5&lt;&gt;"",--('POINTAGE'!P88="Absent"),0),IF('POINTAGE'!$R$5&lt;&gt;"",--('POINTAGE'!R88="Absent"),0),IF('POINTAGE'!$T$5&lt;&gt;"",--('POINTAGE'!T88="Absent"),0),IF('POINTAGE'!$V$5&lt;&gt;"",--('POINTAGE'!V88="Absent"),0),IF('POINTAGE'!$X$5&lt;&gt;"",--('POINTAGE'!X88="Absent"),0),IF('POINTAGE'!$Z$5&lt;&gt;"",--('POINTAGE'!Z88="Absent"),0),IF('POINTAGE'!$AB$5&lt;&gt;"",--('POINTAGE'!AB88="Absent"),0),IF('POINTAGE'!$AD$5&lt;&gt;"",--('POINTAGE'!AD88="Absent"),0),IF('POINTAGE'!$AF$5&lt;&gt;"",--('POINTAGE'!AF88="Absent"),0)))</f>
      </c>
      <c r="H88" s="23">
        <f>IF($A88="","",SUM(IF('POINTAGE'!$D$5&lt;&gt;"",IF('POINTAGE'!D88="Présent",'POINTAGE'!E88,0),0),IF('POINTAGE'!$F$5&lt;&gt;"",IF('POINTAGE'!F88="Présent",'POINTAGE'!G88,0),0),IF('POINTAGE'!$H$5&lt;&gt;"",IF('POINTAGE'!H88="Présent",'POINTAGE'!I88,0),0),IF('POINTAGE'!$J$5&lt;&gt;"",IF('POINTAGE'!J88="Présent",'POINTAGE'!K88,0),0),IF('POINTAGE'!$L$5&lt;&gt;"",IF('POINTAGE'!L88="Présent",'POINTAGE'!M88,0),0),IF('POINTAGE'!$N$5&lt;&gt;"",IF('POINTAGE'!N88="Présent",'POINTAGE'!O88,0),0),IF('POINTAGE'!$P$5&lt;&gt;"",IF('POINTAGE'!P88="Présent",'POINTAGE'!Q88,0),0),IF('POINTAGE'!$R$5&lt;&gt;"",IF('POINTAGE'!R88="Présent",'POINTAGE'!S88,0),0),IF('POINTAGE'!$T$5&lt;&gt;"",IF('POINTAGE'!T88="Présent",'POINTAGE'!U88,0),0),IF('POINTAGE'!$V$5&lt;&gt;"",IF('POINTAGE'!V88="Présent",'POINTAGE'!W88,0),0),IF('POINTAGE'!$X$5&lt;&gt;"",IF('POINTAGE'!X88="Présent",'POINTAGE'!Y88,0),0),IF('POINTAGE'!$Z$5&lt;&gt;"",IF('POINTAGE'!Z88="Présent",'POINTAGE'!AA88,0),0),IF('POINTAGE'!$AB$5&lt;&gt;"",IF('POINTAGE'!AB88="Présent",'POINTAGE'!AC88,0),0),IF('POINTAGE'!$AD$5&lt;&gt;"",IF('POINTAGE'!AD88="Présent",'POINTAGE'!AE88,0),0),IF('POINTAGE'!$AF$5&lt;&gt;"",IF('POINTAGE'!AF88="Présent",'POINTAGE'!AG88,0),0)))</f>
      </c>
      <c r="I88" s="24">
        <f>IF($A88="","",$F88*$D88)</f>
      </c>
      <c r="J88" s="24">
        <f>IF($A88="","",$H88*$E88)</f>
      </c>
      <c r="K88" s="25">
        <f>IF($A88="","",$I88+$J88)</f>
      </c>
      <c r="L88" s="18"/>
      <c r="M88" s="25">
        <f>IF($A88="","",MAX(0,$K88-$L88))</f>
      </c>
      <c r="N88" s="22">
        <f>IF($A88="","",SUM(IF('POINTAGE'!$AH$5&lt;&gt;"",--('POINTAGE'!AH88="Présent"),0),IF('POINTAGE'!$AJ$5&lt;&gt;"",--('POINTAGE'!AJ88="Présent"),0),IF('POINTAGE'!$AL$5&lt;&gt;"",--('POINTAGE'!AL88="Présent"),0),IF('POINTAGE'!$AN$5&lt;&gt;"",--('POINTAGE'!AN88="Présent"),0),IF('POINTAGE'!$AP$5&lt;&gt;"",--('POINTAGE'!AP88="Présent"),0),IF('POINTAGE'!$AR$5&lt;&gt;"",--('POINTAGE'!AR88="Présent"),0),IF('POINTAGE'!$AT$5&lt;&gt;"",--('POINTAGE'!AT88="Présent"),0),IF('POINTAGE'!$AV$5&lt;&gt;"",--('POINTAGE'!AV88="Présent"),0),IF('POINTAGE'!$AX$5&lt;&gt;"",--('POINTAGE'!AX88="Présent"),0),IF('POINTAGE'!$AZ$5&lt;&gt;"",--('POINTAGE'!AZ88="Présent"),0),IF('POINTAGE'!$BB$5&lt;&gt;"",--('POINTAGE'!BB88="Présent"),0),IF('POINTAGE'!$BD$5&lt;&gt;"",--('POINTAGE'!BD88="Présent"),0),IF('POINTAGE'!$BF$5&lt;&gt;"",--('POINTAGE'!BF88="Présent"),0),IF('POINTAGE'!$BH$5&lt;&gt;"",--('POINTAGE'!BH88="Présent"),0),IF('POINTAGE'!$BJ$5&lt;&gt;"",--('POINTAGE'!BJ88="Présent"),0),IF('POINTAGE'!$BL$5&lt;&gt;"",--('POINTAGE'!BL88="Présent"),0)))</f>
      </c>
      <c r="O88" s="22">
        <f>IF($A88="","",SUM(IF('POINTAGE'!$AH$5&lt;&gt;"",--('POINTAGE'!AH88="Absent"),0),IF('POINTAGE'!$AJ$5&lt;&gt;"",--('POINTAGE'!AJ88="Absent"),0),IF('POINTAGE'!$AL$5&lt;&gt;"",--('POINTAGE'!AL88="Absent"),0),IF('POINTAGE'!$AN$5&lt;&gt;"",--('POINTAGE'!AN88="Absent"),0),IF('POINTAGE'!$AP$5&lt;&gt;"",--('POINTAGE'!AP88="Absent"),0),IF('POINTAGE'!$AR$5&lt;&gt;"",--('POINTAGE'!AR88="Absent"),0),IF('POINTAGE'!$AT$5&lt;&gt;"",--('POINTAGE'!AT88="Absent"),0),IF('POINTAGE'!$AV$5&lt;&gt;"",--('POINTAGE'!AV88="Absent"),0),IF('POINTAGE'!$AX$5&lt;&gt;"",--('POINTAGE'!AX88="Absent"),0),IF('POINTAGE'!$AZ$5&lt;&gt;"",--('POINTAGE'!AZ88="Absent"),0),IF('POINTAGE'!$BB$5&lt;&gt;"",--('POINTAGE'!BB88="Absent"),0),IF('POINTAGE'!$BD$5&lt;&gt;"",--('POINTAGE'!BD88="Absent"),0),IF('POINTAGE'!$BF$5&lt;&gt;"",--('POINTAGE'!BF88="Absent"),0),IF('POINTAGE'!$BH$5&lt;&gt;"",--('POINTAGE'!BH88="Absent"),0),IF('POINTAGE'!$BJ$5&lt;&gt;"",--('POINTAGE'!BJ88="Absent"),0),IF('POINTAGE'!$BL$5&lt;&gt;"",--('POINTAGE'!BL88="Absent"),0)))</f>
      </c>
      <c r="P88" s="23">
        <f>IF($A88="","",SUM(IF('POINTAGE'!$AH$5&lt;&gt;"",IF('POINTAGE'!AH88="Présent",'POINTAGE'!AI88,0),0),IF('POINTAGE'!$AJ$5&lt;&gt;"",IF('POINTAGE'!AJ88="Présent",'POINTAGE'!AK88,0),0),IF('POINTAGE'!$AL$5&lt;&gt;"",IF('POINTAGE'!AL88="Présent",'POINTAGE'!AM88,0),0),IF('POINTAGE'!$AN$5&lt;&gt;"",IF('POINTAGE'!AN88="Présent",'POINTAGE'!AO88,0),0),IF('POINTAGE'!$AP$5&lt;&gt;"",IF('POINTAGE'!AP88="Présent",'POINTAGE'!AQ88,0),0),IF('POINTAGE'!$AR$5&lt;&gt;"",IF('POINTAGE'!AR88="Présent",'POINTAGE'!AS88,0),0),IF('POINTAGE'!$AT$5&lt;&gt;"",IF('POINTAGE'!AT88="Présent",'POINTAGE'!AU88,0),0),IF('POINTAGE'!$AV$5&lt;&gt;"",IF('POINTAGE'!AV88="Présent",'POINTAGE'!AW88,0),0),IF('POINTAGE'!$AX$5&lt;&gt;"",IF('POINTAGE'!AX88="Présent",'POINTAGE'!AY88,0),0),IF('POINTAGE'!$AZ$5&lt;&gt;"",IF('POINTAGE'!AZ88="Présent",'POINTAGE'!BA88,0),0),IF('POINTAGE'!$BB$5&lt;&gt;"",IF('POINTAGE'!BB88="Présent",'POINTAGE'!BC88,0),0),IF('POINTAGE'!$BD$5&lt;&gt;"",IF('POINTAGE'!BD88="Présent",'POINTAGE'!BE88,0),0),IF('POINTAGE'!$BF$5&lt;&gt;"",IF('POINTAGE'!BF88="Présent",'POINTAGE'!BG88,0),0),IF('POINTAGE'!$BH$5&lt;&gt;"",IF('POINTAGE'!BH88="Présent",'POINTAGE'!BI88,0),0),IF('POINTAGE'!$BJ$5&lt;&gt;"",IF('POINTAGE'!BJ88="Présent",'POINTAGE'!BK88,0),0),IF('POINTAGE'!$BL$5&lt;&gt;"",IF('POINTAGE'!BL88="Présent",'POINTAGE'!BM88,0),0)))</f>
      </c>
      <c r="Q88" s="24">
        <f>IF($A88="","",$N88*$D88)</f>
      </c>
      <c r="R88" s="24">
        <f>IF($A88="","",$P88*$E88)</f>
      </c>
      <c r="S88" s="25">
        <f>IF($A88="","",$Q88+$R88)</f>
      </c>
      <c r="T88" s="18"/>
      <c r="U88" s="25">
        <f>IF($A88="","",MAX(0,$S88-$T88))</f>
      </c>
      <c r="V88" s="25">
        <f>IF($A88="","",$K88+$S88)</f>
      </c>
      <c r="W88" s="24">
        <f>IF($A88="","",$L88+$T88)</f>
      </c>
      <c r="X88" s="25">
        <f>IF($A88="","",$M88+$U88)</f>
      </c>
      <c r="Y88" s="29">
        <f>IF($A88="","",$J88+$R88)</f>
      </c>
    </row>
    <row r="89">
      <c r="A89" s="20">
        <f>IF('POINTAGE'!A89="","",'POINTAGE'!A89)</f>
      </c>
      <c r="B89" s="19">
        <f>IF($A89="","",'POINTAGE'!B89)</f>
      </c>
      <c r="C89" s="20">
        <f>IF($A89="","",'POINTAGE'!C89)</f>
      </c>
      <c r="D89" s="24">
        <f>IF($A89="","",IFERROR(INDEX(Categories_Salaire,MATCH($C89,ListeCategories,0)),0))</f>
      </c>
      <c r="E89" s="24">
        <f>IF($A89="","",IF(IFERROR(INDEX(Categories_TauxHS,MATCH($C89,ListeCategories,0)),0)&gt;0,IFERROR(INDEX(Categories_TauxHS,MATCH($C89,ListeCategories,0)),0),TauxHSDefaut))</f>
      </c>
      <c r="F89" s="22">
        <f>IF($A89="","",SUM(IF('POINTAGE'!$D$5&lt;&gt;"",--('POINTAGE'!D89="Présent"),0),IF('POINTAGE'!$F$5&lt;&gt;"",--('POINTAGE'!F89="Présent"),0),IF('POINTAGE'!$H$5&lt;&gt;"",--('POINTAGE'!H89="Présent"),0),IF('POINTAGE'!$J$5&lt;&gt;"",--('POINTAGE'!J89="Présent"),0),IF('POINTAGE'!$L$5&lt;&gt;"",--('POINTAGE'!L89="Présent"),0),IF('POINTAGE'!$N$5&lt;&gt;"",--('POINTAGE'!N89="Présent"),0),IF('POINTAGE'!$P$5&lt;&gt;"",--('POINTAGE'!P89="Présent"),0),IF('POINTAGE'!$R$5&lt;&gt;"",--('POINTAGE'!R89="Présent"),0),IF('POINTAGE'!$T$5&lt;&gt;"",--('POINTAGE'!T89="Présent"),0),IF('POINTAGE'!$V$5&lt;&gt;"",--('POINTAGE'!V89="Présent"),0),IF('POINTAGE'!$X$5&lt;&gt;"",--('POINTAGE'!X89="Présent"),0),IF('POINTAGE'!$Z$5&lt;&gt;"",--('POINTAGE'!Z89="Présent"),0),IF('POINTAGE'!$AB$5&lt;&gt;"",--('POINTAGE'!AB89="Présent"),0),IF('POINTAGE'!$AD$5&lt;&gt;"",--('POINTAGE'!AD89="Présent"),0),IF('POINTAGE'!$AF$5&lt;&gt;"",--('POINTAGE'!AF89="Présent"),0)))</f>
      </c>
      <c r="G89" s="22">
        <f>IF($A89="","",SUM(IF('POINTAGE'!$D$5&lt;&gt;"",--('POINTAGE'!D89="Absent"),0),IF('POINTAGE'!$F$5&lt;&gt;"",--('POINTAGE'!F89="Absent"),0),IF('POINTAGE'!$H$5&lt;&gt;"",--('POINTAGE'!H89="Absent"),0),IF('POINTAGE'!$J$5&lt;&gt;"",--('POINTAGE'!J89="Absent"),0),IF('POINTAGE'!$L$5&lt;&gt;"",--('POINTAGE'!L89="Absent"),0),IF('POINTAGE'!$N$5&lt;&gt;"",--('POINTAGE'!N89="Absent"),0),IF('POINTAGE'!$P$5&lt;&gt;"",--('POINTAGE'!P89="Absent"),0),IF('POINTAGE'!$R$5&lt;&gt;"",--('POINTAGE'!R89="Absent"),0),IF('POINTAGE'!$T$5&lt;&gt;"",--('POINTAGE'!T89="Absent"),0),IF('POINTAGE'!$V$5&lt;&gt;"",--('POINTAGE'!V89="Absent"),0),IF('POINTAGE'!$X$5&lt;&gt;"",--('POINTAGE'!X89="Absent"),0),IF('POINTAGE'!$Z$5&lt;&gt;"",--('POINTAGE'!Z89="Absent"),0),IF('POINTAGE'!$AB$5&lt;&gt;"",--('POINTAGE'!AB89="Absent"),0),IF('POINTAGE'!$AD$5&lt;&gt;"",--('POINTAGE'!AD89="Absent"),0),IF('POINTAGE'!$AF$5&lt;&gt;"",--('POINTAGE'!AF89="Absent"),0)))</f>
      </c>
      <c r="H89" s="23">
        <f>IF($A89="","",SUM(IF('POINTAGE'!$D$5&lt;&gt;"",IF('POINTAGE'!D89="Présent",'POINTAGE'!E89,0),0),IF('POINTAGE'!$F$5&lt;&gt;"",IF('POINTAGE'!F89="Présent",'POINTAGE'!G89,0),0),IF('POINTAGE'!$H$5&lt;&gt;"",IF('POINTAGE'!H89="Présent",'POINTAGE'!I89,0),0),IF('POINTAGE'!$J$5&lt;&gt;"",IF('POINTAGE'!J89="Présent",'POINTAGE'!K89,0),0),IF('POINTAGE'!$L$5&lt;&gt;"",IF('POINTAGE'!L89="Présent",'POINTAGE'!M89,0),0),IF('POINTAGE'!$N$5&lt;&gt;"",IF('POINTAGE'!N89="Présent",'POINTAGE'!O89,0),0),IF('POINTAGE'!$P$5&lt;&gt;"",IF('POINTAGE'!P89="Présent",'POINTAGE'!Q89,0),0),IF('POINTAGE'!$R$5&lt;&gt;"",IF('POINTAGE'!R89="Présent",'POINTAGE'!S89,0),0),IF('POINTAGE'!$T$5&lt;&gt;"",IF('POINTAGE'!T89="Présent",'POINTAGE'!U89,0),0),IF('POINTAGE'!$V$5&lt;&gt;"",IF('POINTAGE'!V89="Présent",'POINTAGE'!W89,0),0),IF('POINTAGE'!$X$5&lt;&gt;"",IF('POINTAGE'!X89="Présent",'POINTAGE'!Y89,0),0),IF('POINTAGE'!$Z$5&lt;&gt;"",IF('POINTAGE'!Z89="Présent",'POINTAGE'!AA89,0),0),IF('POINTAGE'!$AB$5&lt;&gt;"",IF('POINTAGE'!AB89="Présent",'POINTAGE'!AC89,0),0),IF('POINTAGE'!$AD$5&lt;&gt;"",IF('POINTAGE'!AD89="Présent",'POINTAGE'!AE89,0),0),IF('POINTAGE'!$AF$5&lt;&gt;"",IF('POINTAGE'!AF89="Présent",'POINTAGE'!AG89,0),0)))</f>
      </c>
      <c r="I89" s="24">
        <f>IF($A89="","",$F89*$D89)</f>
      </c>
      <c r="J89" s="24">
        <f>IF($A89="","",$H89*$E89)</f>
      </c>
      <c r="K89" s="25">
        <f>IF($A89="","",$I89+$J89)</f>
      </c>
      <c r="L89" s="18"/>
      <c r="M89" s="25">
        <f>IF($A89="","",MAX(0,$K89-$L89))</f>
      </c>
      <c r="N89" s="22">
        <f>IF($A89="","",SUM(IF('POINTAGE'!$AH$5&lt;&gt;"",--('POINTAGE'!AH89="Présent"),0),IF('POINTAGE'!$AJ$5&lt;&gt;"",--('POINTAGE'!AJ89="Présent"),0),IF('POINTAGE'!$AL$5&lt;&gt;"",--('POINTAGE'!AL89="Présent"),0),IF('POINTAGE'!$AN$5&lt;&gt;"",--('POINTAGE'!AN89="Présent"),0),IF('POINTAGE'!$AP$5&lt;&gt;"",--('POINTAGE'!AP89="Présent"),0),IF('POINTAGE'!$AR$5&lt;&gt;"",--('POINTAGE'!AR89="Présent"),0),IF('POINTAGE'!$AT$5&lt;&gt;"",--('POINTAGE'!AT89="Présent"),0),IF('POINTAGE'!$AV$5&lt;&gt;"",--('POINTAGE'!AV89="Présent"),0),IF('POINTAGE'!$AX$5&lt;&gt;"",--('POINTAGE'!AX89="Présent"),0),IF('POINTAGE'!$AZ$5&lt;&gt;"",--('POINTAGE'!AZ89="Présent"),0),IF('POINTAGE'!$BB$5&lt;&gt;"",--('POINTAGE'!BB89="Présent"),0),IF('POINTAGE'!$BD$5&lt;&gt;"",--('POINTAGE'!BD89="Présent"),0),IF('POINTAGE'!$BF$5&lt;&gt;"",--('POINTAGE'!BF89="Présent"),0),IF('POINTAGE'!$BH$5&lt;&gt;"",--('POINTAGE'!BH89="Présent"),0),IF('POINTAGE'!$BJ$5&lt;&gt;"",--('POINTAGE'!BJ89="Présent"),0),IF('POINTAGE'!$BL$5&lt;&gt;"",--('POINTAGE'!BL89="Présent"),0)))</f>
      </c>
      <c r="O89" s="22">
        <f>IF($A89="","",SUM(IF('POINTAGE'!$AH$5&lt;&gt;"",--('POINTAGE'!AH89="Absent"),0),IF('POINTAGE'!$AJ$5&lt;&gt;"",--('POINTAGE'!AJ89="Absent"),0),IF('POINTAGE'!$AL$5&lt;&gt;"",--('POINTAGE'!AL89="Absent"),0),IF('POINTAGE'!$AN$5&lt;&gt;"",--('POINTAGE'!AN89="Absent"),0),IF('POINTAGE'!$AP$5&lt;&gt;"",--('POINTAGE'!AP89="Absent"),0),IF('POINTAGE'!$AR$5&lt;&gt;"",--('POINTAGE'!AR89="Absent"),0),IF('POINTAGE'!$AT$5&lt;&gt;"",--('POINTAGE'!AT89="Absent"),0),IF('POINTAGE'!$AV$5&lt;&gt;"",--('POINTAGE'!AV89="Absent"),0),IF('POINTAGE'!$AX$5&lt;&gt;"",--('POINTAGE'!AX89="Absent"),0),IF('POINTAGE'!$AZ$5&lt;&gt;"",--('POINTAGE'!AZ89="Absent"),0),IF('POINTAGE'!$BB$5&lt;&gt;"",--('POINTAGE'!BB89="Absent"),0),IF('POINTAGE'!$BD$5&lt;&gt;"",--('POINTAGE'!BD89="Absent"),0),IF('POINTAGE'!$BF$5&lt;&gt;"",--('POINTAGE'!BF89="Absent"),0),IF('POINTAGE'!$BH$5&lt;&gt;"",--('POINTAGE'!BH89="Absent"),0),IF('POINTAGE'!$BJ$5&lt;&gt;"",--('POINTAGE'!BJ89="Absent"),0),IF('POINTAGE'!$BL$5&lt;&gt;"",--('POINTAGE'!BL89="Absent"),0)))</f>
      </c>
      <c r="P89" s="23">
        <f>IF($A89="","",SUM(IF('POINTAGE'!$AH$5&lt;&gt;"",IF('POINTAGE'!AH89="Présent",'POINTAGE'!AI89,0),0),IF('POINTAGE'!$AJ$5&lt;&gt;"",IF('POINTAGE'!AJ89="Présent",'POINTAGE'!AK89,0),0),IF('POINTAGE'!$AL$5&lt;&gt;"",IF('POINTAGE'!AL89="Présent",'POINTAGE'!AM89,0),0),IF('POINTAGE'!$AN$5&lt;&gt;"",IF('POINTAGE'!AN89="Présent",'POINTAGE'!AO89,0),0),IF('POINTAGE'!$AP$5&lt;&gt;"",IF('POINTAGE'!AP89="Présent",'POINTAGE'!AQ89,0),0),IF('POINTAGE'!$AR$5&lt;&gt;"",IF('POINTAGE'!AR89="Présent",'POINTAGE'!AS89,0),0),IF('POINTAGE'!$AT$5&lt;&gt;"",IF('POINTAGE'!AT89="Présent",'POINTAGE'!AU89,0),0),IF('POINTAGE'!$AV$5&lt;&gt;"",IF('POINTAGE'!AV89="Présent",'POINTAGE'!AW89,0),0),IF('POINTAGE'!$AX$5&lt;&gt;"",IF('POINTAGE'!AX89="Présent",'POINTAGE'!AY89,0),0),IF('POINTAGE'!$AZ$5&lt;&gt;"",IF('POINTAGE'!AZ89="Présent",'POINTAGE'!BA89,0),0),IF('POINTAGE'!$BB$5&lt;&gt;"",IF('POINTAGE'!BB89="Présent",'POINTAGE'!BC89,0),0),IF('POINTAGE'!$BD$5&lt;&gt;"",IF('POINTAGE'!BD89="Présent",'POINTAGE'!BE89,0),0),IF('POINTAGE'!$BF$5&lt;&gt;"",IF('POINTAGE'!BF89="Présent",'POINTAGE'!BG89,0),0),IF('POINTAGE'!$BH$5&lt;&gt;"",IF('POINTAGE'!BH89="Présent",'POINTAGE'!BI89,0),0),IF('POINTAGE'!$BJ$5&lt;&gt;"",IF('POINTAGE'!BJ89="Présent",'POINTAGE'!BK89,0),0),IF('POINTAGE'!$BL$5&lt;&gt;"",IF('POINTAGE'!BL89="Présent",'POINTAGE'!BM89,0),0)))</f>
      </c>
      <c r="Q89" s="24">
        <f>IF($A89="","",$N89*$D89)</f>
      </c>
      <c r="R89" s="24">
        <f>IF($A89="","",$P89*$E89)</f>
      </c>
      <c r="S89" s="25">
        <f>IF($A89="","",$Q89+$R89)</f>
      </c>
      <c r="T89" s="18"/>
      <c r="U89" s="25">
        <f>IF($A89="","",MAX(0,$S89-$T89))</f>
      </c>
      <c r="V89" s="25">
        <f>IF($A89="","",$K89+$S89)</f>
      </c>
      <c r="W89" s="24">
        <f>IF($A89="","",$L89+$T89)</f>
      </c>
      <c r="X89" s="25">
        <f>IF($A89="","",$M89+$U89)</f>
      </c>
      <c r="Y89" s="29">
        <f>IF($A89="","",$J89+$R89)</f>
      </c>
    </row>
    <row r="90">
      <c r="A90" s="20">
        <f>IF('POINTAGE'!A90="","",'POINTAGE'!A90)</f>
      </c>
      <c r="B90" s="19">
        <f>IF($A90="","",'POINTAGE'!B90)</f>
      </c>
      <c r="C90" s="20">
        <f>IF($A90="","",'POINTAGE'!C90)</f>
      </c>
      <c r="D90" s="24">
        <f>IF($A90="","",IFERROR(INDEX(Categories_Salaire,MATCH($C90,ListeCategories,0)),0))</f>
      </c>
      <c r="E90" s="24">
        <f>IF($A90="","",IF(IFERROR(INDEX(Categories_TauxHS,MATCH($C90,ListeCategories,0)),0)&gt;0,IFERROR(INDEX(Categories_TauxHS,MATCH($C90,ListeCategories,0)),0),TauxHSDefaut))</f>
      </c>
      <c r="F90" s="22">
        <f>IF($A90="","",SUM(IF('POINTAGE'!$D$5&lt;&gt;"",--('POINTAGE'!D90="Présent"),0),IF('POINTAGE'!$F$5&lt;&gt;"",--('POINTAGE'!F90="Présent"),0),IF('POINTAGE'!$H$5&lt;&gt;"",--('POINTAGE'!H90="Présent"),0),IF('POINTAGE'!$J$5&lt;&gt;"",--('POINTAGE'!J90="Présent"),0),IF('POINTAGE'!$L$5&lt;&gt;"",--('POINTAGE'!L90="Présent"),0),IF('POINTAGE'!$N$5&lt;&gt;"",--('POINTAGE'!N90="Présent"),0),IF('POINTAGE'!$P$5&lt;&gt;"",--('POINTAGE'!P90="Présent"),0),IF('POINTAGE'!$R$5&lt;&gt;"",--('POINTAGE'!R90="Présent"),0),IF('POINTAGE'!$T$5&lt;&gt;"",--('POINTAGE'!T90="Présent"),0),IF('POINTAGE'!$V$5&lt;&gt;"",--('POINTAGE'!V90="Présent"),0),IF('POINTAGE'!$X$5&lt;&gt;"",--('POINTAGE'!X90="Présent"),0),IF('POINTAGE'!$Z$5&lt;&gt;"",--('POINTAGE'!Z90="Présent"),0),IF('POINTAGE'!$AB$5&lt;&gt;"",--('POINTAGE'!AB90="Présent"),0),IF('POINTAGE'!$AD$5&lt;&gt;"",--('POINTAGE'!AD90="Présent"),0),IF('POINTAGE'!$AF$5&lt;&gt;"",--('POINTAGE'!AF90="Présent"),0)))</f>
      </c>
      <c r="G90" s="22">
        <f>IF($A90="","",SUM(IF('POINTAGE'!$D$5&lt;&gt;"",--('POINTAGE'!D90="Absent"),0),IF('POINTAGE'!$F$5&lt;&gt;"",--('POINTAGE'!F90="Absent"),0),IF('POINTAGE'!$H$5&lt;&gt;"",--('POINTAGE'!H90="Absent"),0),IF('POINTAGE'!$J$5&lt;&gt;"",--('POINTAGE'!J90="Absent"),0),IF('POINTAGE'!$L$5&lt;&gt;"",--('POINTAGE'!L90="Absent"),0),IF('POINTAGE'!$N$5&lt;&gt;"",--('POINTAGE'!N90="Absent"),0),IF('POINTAGE'!$P$5&lt;&gt;"",--('POINTAGE'!P90="Absent"),0),IF('POINTAGE'!$R$5&lt;&gt;"",--('POINTAGE'!R90="Absent"),0),IF('POINTAGE'!$T$5&lt;&gt;"",--('POINTAGE'!T90="Absent"),0),IF('POINTAGE'!$V$5&lt;&gt;"",--('POINTAGE'!V90="Absent"),0),IF('POINTAGE'!$X$5&lt;&gt;"",--('POINTAGE'!X90="Absent"),0),IF('POINTAGE'!$Z$5&lt;&gt;"",--('POINTAGE'!Z90="Absent"),0),IF('POINTAGE'!$AB$5&lt;&gt;"",--('POINTAGE'!AB90="Absent"),0),IF('POINTAGE'!$AD$5&lt;&gt;"",--('POINTAGE'!AD90="Absent"),0),IF('POINTAGE'!$AF$5&lt;&gt;"",--('POINTAGE'!AF90="Absent"),0)))</f>
      </c>
      <c r="H90" s="23">
        <f>IF($A90="","",SUM(IF('POINTAGE'!$D$5&lt;&gt;"",IF('POINTAGE'!D90="Présent",'POINTAGE'!E90,0),0),IF('POINTAGE'!$F$5&lt;&gt;"",IF('POINTAGE'!F90="Présent",'POINTAGE'!G90,0),0),IF('POINTAGE'!$H$5&lt;&gt;"",IF('POINTAGE'!H90="Présent",'POINTAGE'!I90,0),0),IF('POINTAGE'!$J$5&lt;&gt;"",IF('POINTAGE'!J90="Présent",'POINTAGE'!K90,0),0),IF('POINTAGE'!$L$5&lt;&gt;"",IF('POINTAGE'!L90="Présent",'POINTAGE'!M90,0),0),IF('POINTAGE'!$N$5&lt;&gt;"",IF('POINTAGE'!N90="Présent",'POINTAGE'!O90,0),0),IF('POINTAGE'!$P$5&lt;&gt;"",IF('POINTAGE'!P90="Présent",'POINTAGE'!Q90,0),0),IF('POINTAGE'!$R$5&lt;&gt;"",IF('POINTAGE'!R90="Présent",'POINTAGE'!S90,0),0),IF('POINTAGE'!$T$5&lt;&gt;"",IF('POINTAGE'!T90="Présent",'POINTAGE'!U90,0),0),IF('POINTAGE'!$V$5&lt;&gt;"",IF('POINTAGE'!V90="Présent",'POINTAGE'!W90,0),0),IF('POINTAGE'!$X$5&lt;&gt;"",IF('POINTAGE'!X90="Présent",'POINTAGE'!Y90,0),0),IF('POINTAGE'!$Z$5&lt;&gt;"",IF('POINTAGE'!Z90="Présent",'POINTAGE'!AA90,0),0),IF('POINTAGE'!$AB$5&lt;&gt;"",IF('POINTAGE'!AB90="Présent",'POINTAGE'!AC90,0),0),IF('POINTAGE'!$AD$5&lt;&gt;"",IF('POINTAGE'!AD90="Présent",'POINTAGE'!AE90,0),0),IF('POINTAGE'!$AF$5&lt;&gt;"",IF('POINTAGE'!AF90="Présent",'POINTAGE'!AG90,0),0)))</f>
      </c>
      <c r="I90" s="24">
        <f>IF($A90="","",$F90*$D90)</f>
      </c>
      <c r="J90" s="24">
        <f>IF($A90="","",$H90*$E90)</f>
      </c>
      <c r="K90" s="25">
        <f>IF($A90="","",$I90+$J90)</f>
      </c>
      <c r="L90" s="18"/>
      <c r="M90" s="25">
        <f>IF($A90="","",MAX(0,$K90-$L90))</f>
      </c>
      <c r="N90" s="22">
        <f>IF($A90="","",SUM(IF('POINTAGE'!$AH$5&lt;&gt;"",--('POINTAGE'!AH90="Présent"),0),IF('POINTAGE'!$AJ$5&lt;&gt;"",--('POINTAGE'!AJ90="Présent"),0),IF('POINTAGE'!$AL$5&lt;&gt;"",--('POINTAGE'!AL90="Présent"),0),IF('POINTAGE'!$AN$5&lt;&gt;"",--('POINTAGE'!AN90="Présent"),0),IF('POINTAGE'!$AP$5&lt;&gt;"",--('POINTAGE'!AP90="Présent"),0),IF('POINTAGE'!$AR$5&lt;&gt;"",--('POINTAGE'!AR90="Présent"),0),IF('POINTAGE'!$AT$5&lt;&gt;"",--('POINTAGE'!AT90="Présent"),0),IF('POINTAGE'!$AV$5&lt;&gt;"",--('POINTAGE'!AV90="Présent"),0),IF('POINTAGE'!$AX$5&lt;&gt;"",--('POINTAGE'!AX90="Présent"),0),IF('POINTAGE'!$AZ$5&lt;&gt;"",--('POINTAGE'!AZ90="Présent"),0),IF('POINTAGE'!$BB$5&lt;&gt;"",--('POINTAGE'!BB90="Présent"),0),IF('POINTAGE'!$BD$5&lt;&gt;"",--('POINTAGE'!BD90="Présent"),0),IF('POINTAGE'!$BF$5&lt;&gt;"",--('POINTAGE'!BF90="Présent"),0),IF('POINTAGE'!$BH$5&lt;&gt;"",--('POINTAGE'!BH90="Présent"),0),IF('POINTAGE'!$BJ$5&lt;&gt;"",--('POINTAGE'!BJ90="Présent"),0),IF('POINTAGE'!$BL$5&lt;&gt;"",--('POINTAGE'!BL90="Présent"),0)))</f>
      </c>
      <c r="O90" s="22">
        <f>IF($A90="","",SUM(IF('POINTAGE'!$AH$5&lt;&gt;"",--('POINTAGE'!AH90="Absent"),0),IF('POINTAGE'!$AJ$5&lt;&gt;"",--('POINTAGE'!AJ90="Absent"),0),IF('POINTAGE'!$AL$5&lt;&gt;"",--('POINTAGE'!AL90="Absent"),0),IF('POINTAGE'!$AN$5&lt;&gt;"",--('POINTAGE'!AN90="Absent"),0),IF('POINTAGE'!$AP$5&lt;&gt;"",--('POINTAGE'!AP90="Absent"),0),IF('POINTAGE'!$AR$5&lt;&gt;"",--('POINTAGE'!AR90="Absent"),0),IF('POINTAGE'!$AT$5&lt;&gt;"",--('POINTAGE'!AT90="Absent"),0),IF('POINTAGE'!$AV$5&lt;&gt;"",--('POINTAGE'!AV90="Absent"),0),IF('POINTAGE'!$AX$5&lt;&gt;"",--('POINTAGE'!AX90="Absent"),0),IF('POINTAGE'!$AZ$5&lt;&gt;"",--('POINTAGE'!AZ90="Absent"),0),IF('POINTAGE'!$BB$5&lt;&gt;"",--('POINTAGE'!BB90="Absent"),0),IF('POINTAGE'!$BD$5&lt;&gt;"",--('POINTAGE'!BD90="Absent"),0),IF('POINTAGE'!$BF$5&lt;&gt;"",--('POINTAGE'!BF90="Absent"),0),IF('POINTAGE'!$BH$5&lt;&gt;"",--('POINTAGE'!BH90="Absent"),0),IF('POINTAGE'!$BJ$5&lt;&gt;"",--('POINTAGE'!BJ90="Absent"),0),IF('POINTAGE'!$BL$5&lt;&gt;"",--('POINTAGE'!BL90="Absent"),0)))</f>
      </c>
      <c r="P90" s="23">
        <f>IF($A90="","",SUM(IF('POINTAGE'!$AH$5&lt;&gt;"",IF('POINTAGE'!AH90="Présent",'POINTAGE'!AI90,0),0),IF('POINTAGE'!$AJ$5&lt;&gt;"",IF('POINTAGE'!AJ90="Présent",'POINTAGE'!AK90,0),0),IF('POINTAGE'!$AL$5&lt;&gt;"",IF('POINTAGE'!AL90="Présent",'POINTAGE'!AM90,0),0),IF('POINTAGE'!$AN$5&lt;&gt;"",IF('POINTAGE'!AN90="Présent",'POINTAGE'!AO90,0),0),IF('POINTAGE'!$AP$5&lt;&gt;"",IF('POINTAGE'!AP90="Présent",'POINTAGE'!AQ90,0),0),IF('POINTAGE'!$AR$5&lt;&gt;"",IF('POINTAGE'!AR90="Présent",'POINTAGE'!AS90,0),0),IF('POINTAGE'!$AT$5&lt;&gt;"",IF('POINTAGE'!AT90="Présent",'POINTAGE'!AU90,0),0),IF('POINTAGE'!$AV$5&lt;&gt;"",IF('POINTAGE'!AV90="Présent",'POINTAGE'!AW90,0),0),IF('POINTAGE'!$AX$5&lt;&gt;"",IF('POINTAGE'!AX90="Présent",'POINTAGE'!AY90,0),0),IF('POINTAGE'!$AZ$5&lt;&gt;"",IF('POINTAGE'!AZ90="Présent",'POINTAGE'!BA90,0),0),IF('POINTAGE'!$BB$5&lt;&gt;"",IF('POINTAGE'!BB90="Présent",'POINTAGE'!BC90,0),0),IF('POINTAGE'!$BD$5&lt;&gt;"",IF('POINTAGE'!BD90="Présent",'POINTAGE'!BE90,0),0),IF('POINTAGE'!$BF$5&lt;&gt;"",IF('POINTAGE'!BF90="Présent",'POINTAGE'!BG90,0),0),IF('POINTAGE'!$BH$5&lt;&gt;"",IF('POINTAGE'!BH90="Présent",'POINTAGE'!BI90,0),0),IF('POINTAGE'!$BJ$5&lt;&gt;"",IF('POINTAGE'!BJ90="Présent",'POINTAGE'!BK90,0),0),IF('POINTAGE'!$BL$5&lt;&gt;"",IF('POINTAGE'!BL90="Présent",'POINTAGE'!BM90,0),0)))</f>
      </c>
      <c r="Q90" s="24">
        <f>IF($A90="","",$N90*$D90)</f>
      </c>
      <c r="R90" s="24">
        <f>IF($A90="","",$P90*$E90)</f>
      </c>
      <c r="S90" s="25">
        <f>IF($A90="","",$Q90+$R90)</f>
      </c>
      <c r="T90" s="18"/>
      <c r="U90" s="25">
        <f>IF($A90="","",MAX(0,$S90-$T90))</f>
      </c>
      <c r="V90" s="25">
        <f>IF($A90="","",$K90+$S90)</f>
      </c>
      <c r="W90" s="24">
        <f>IF($A90="","",$L90+$T90)</f>
      </c>
      <c r="X90" s="25">
        <f>IF($A90="","",$M90+$U90)</f>
      </c>
      <c r="Y90" s="29">
        <f>IF($A90="","",$J90+$R90)</f>
      </c>
    </row>
    <row r="91">
      <c r="A91" s="20">
        <f>IF('POINTAGE'!A91="","",'POINTAGE'!A91)</f>
      </c>
      <c r="B91" s="19">
        <f>IF($A91="","",'POINTAGE'!B91)</f>
      </c>
      <c r="C91" s="20">
        <f>IF($A91="","",'POINTAGE'!C91)</f>
      </c>
      <c r="D91" s="24">
        <f>IF($A91="","",IFERROR(INDEX(Categories_Salaire,MATCH($C91,ListeCategories,0)),0))</f>
      </c>
      <c r="E91" s="24">
        <f>IF($A91="","",IF(IFERROR(INDEX(Categories_TauxHS,MATCH($C91,ListeCategories,0)),0)&gt;0,IFERROR(INDEX(Categories_TauxHS,MATCH($C91,ListeCategories,0)),0),TauxHSDefaut))</f>
      </c>
      <c r="F91" s="22">
        <f>IF($A91="","",SUM(IF('POINTAGE'!$D$5&lt;&gt;"",--('POINTAGE'!D91="Présent"),0),IF('POINTAGE'!$F$5&lt;&gt;"",--('POINTAGE'!F91="Présent"),0),IF('POINTAGE'!$H$5&lt;&gt;"",--('POINTAGE'!H91="Présent"),0),IF('POINTAGE'!$J$5&lt;&gt;"",--('POINTAGE'!J91="Présent"),0),IF('POINTAGE'!$L$5&lt;&gt;"",--('POINTAGE'!L91="Présent"),0),IF('POINTAGE'!$N$5&lt;&gt;"",--('POINTAGE'!N91="Présent"),0),IF('POINTAGE'!$P$5&lt;&gt;"",--('POINTAGE'!P91="Présent"),0),IF('POINTAGE'!$R$5&lt;&gt;"",--('POINTAGE'!R91="Présent"),0),IF('POINTAGE'!$T$5&lt;&gt;"",--('POINTAGE'!T91="Présent"),0),IF('POINTAGE'!$V$5&lt;&gt;"",--('POINTAGE'!V91="Présent"),0),IF('POINTAGE'!$X$5&lt;&gt;"",--('POINTAGE'!X91="Présent"),0),IF('POINTAGE'!$Z$5&lt;&gt;"",--('POINTAGE'!Z91="Présent"),0),IF('POINTAGE'!$AB$5&lt;&gt;"",--('POINTAGE'!AB91="Présent"),0),IF('POINTAGE'!$AD$5&lt;&gt;"",--('POINTAGE'!AD91="Présent"),0),IF('POINTAGE'!$AF$5&lt;&gt;"",--('POINTAGE'!AF91="Présent"),0)))</f>
      </c>
      <c r="G91" s="22">
        <f>IF($A91="","",SUM(IF('POINTAGE'!$D$5&lt;&gt;"",--('POINTAGE'!D91="Absent"),0),IF('POINTAGE'!$F$5&lt;&gt;"",--('POINTAGE'!F91="Absent"),0),IF('POINTAGE'!$H$5&lt;&gt;"",--('POINTAGE'!H91="Absent"),0),IF('POINTAGE'!$J$5&lt;&gt;"",--('POINTAGE'!J91="Absent"),0),IF('POINTAGE'!$L$5&lt;&gt;"",--('POINTAGE'!L91="Absent"),0),IF('POINTAGE'!$N$5&lt;&gt;"",--('POINTAGE'!N91="Absent"),0),IF('POINTAGE'!$P$5&lt;&gt;"",--('POINTAGE'!P91="Absent"),0),IF('POINTAGE'!$R$5&lt;&gt;"",--('POINTAGE'!R91="Absent"),0),IF('POINTAGE'!$T$5&lt;&gt;"",--('POINTAGE'!T91="Absent"),0),IF('POINTAGE'!$V$5&lt;&gt;"",--('POINTAGE'!V91="Absent"),0),IF('POINTAGE'!$X$5&lt;&gt;"",--('POINTAGE'!X91="Absent"),0),IF('POINTAGE'!$Z$5&lt;&gt;"",--('POINTAGE'!Z91="Absent"),0),IF('POINTAGE'!$AB$5&lt;&gt;"",--('POINTAGE'!AB91="Absent"),0),IF('POINTAGE'!$AD$5&lt;&gt;"",--('POINTAGE'!AD91="Absent"),0),IF('POINTAGE'!$AF$5&lt;&gt;"",--('POINTAGE'!AF91="Absent"),0)))</f>
      </c>
      <c r="H91" s="23">
        <f>IF($A91="","",SUM(IF('POINTAGE'!$D$5&lt;&gt;"",IF('POINTAGE'!D91="Présent",'POINTAGE'!E91,0),0),IF('POINTAGE'!$F$5&lt;&gt;"",IF('POINTAGE'!F91="Présent",'POINTAGE'!G91,0),0),IF('POINTAGE'!$H$5&lt;&gt;"",IF('POINTAGE'!H91="Présent",'POINTAGE'!I91,0),0),IF('POINTAGE'!$J$5&lt;&gt;"",IF('POINTAGE'!J91="Présent",'POINTAGE'!K91,0),0),IF('POINTAGE'!$L$5&lt;&gt;"",IF('POINTAGE'!L91="Présent",'POINTAGE'!M91,0),0),IF('POINTAGE'!$N$5&lt;&gt;"",IF('POINTAGE'!N91="Présent",'POINTAGE'!O91,0),0),IF('POINTAGE'!$P$5&lt;&gt;"",IF('POINTAGE'!P91="Présent",'POINTAGE'!Q91,0),0),IF('POINTAGE'!$R$5&lt;&gt;"",IF('POINTAGE'!R91="Présent",'POINTAGE'!S91,0),0),IF('POINTAGE'!$T$5&lt;&gt;"",IF('POINTAGE'!T91="Présent",'POINTAGE'!U91,0),0),IF('POINTAGE'!$V$5&lt;&gt;"",IF('POINTAGE'!V91="Présent",'POINTAGE'!W91,0),0),IF('POINTAGE'!$X$5&lt;&gt;"",IF('POINTAGE'!X91="Présent",'POINTAGE'!Y91,0),0),IF('POINTAGE'!$Z$5&lt;&gt;"",IF('POINTAGE'!Z91="Présent",'POINTAGE'!AA91,0),0),IF('POINTAGE'!$AB$5&lt;&gt;"",IF('POINTAGE'!AB91="Présent",'POINTAGE'!AC91,0),0),IF('POINTAGE'!$AD$5&lt;&gt;"",IF('POINTAGE'!AD91="Présent",'POINTAGE'!AE91,0),0),IF('POINTAGE'!$AF$5&lt;&gt;"",IF('POINTAGE'!AF91="Présent",'POINTAGE'!AG91,0),0)))</f>
      </c>
      <c r="I91" s="24">
        <f>IF($A91="","",$F91*$D91)</f>
      </c>
      <c r="J91" s="24">
        <f>IF($A91="","",$H91*$E91)</f>
      </c>
      <c r="K91" s="25">
        <f>IF($A91="","",$I91+$J91)</f>
      </c>
      <c r="L91" s="18"/>
      <c r="M91" s="25">
        <f>IF($A91="","",MAX(0,$K91-$L91))</f>
      </c>
      <c r="N91" s="22">
        <f>IF($A91="","",SUM(IF('POINTAGE'!$AH$5&lt;&gt;"",--('POINTAGE'!AH91="Présent"),0),IF('POINTAGE'!$AJ$5&lt;&gt;"",--('POINTAGE'!AJ91="Présent"),0),IF('POINTAGE'!$AL$5&lt;&gt;"",--('POINTAGE'!AL91="Présent"),0),IF('POINTAGE'!$AN$5&lt;&gt;"",--('POINTAGE'!AN91="Présent"),0),IF('POINTAGE'!$AP$5&lt;&gt;"",--('POINTAGE'!AP91="Présent"),0),IF('POINTAGE'!$AR$5&lt;&gt;"",--('POINTAGE'!AR91="Présent"),0),IF('POINTAGE'!$AT$5&lt;&gt;"",--('POINTAGE'!AT91="Présent"),0),IF('POINTAGE'!$AV$5&lt;&gt;"",--('POINTAGE'!AV91="Présent"),0),IF('POINTAGE'!$AX$5&lt;&gt;"",--('POINTAGE'!AX91="Présent"),0),IF('POINTAGE'!$AZ$5&lt;&gt;"",--('POINTAGE'!AZ91="Présent"),0),IF('POINTAGE'!$BB$5&lt;&gt;"",--('POINTAGE'!BB91="Présent"),0),IF('POINTAGE'!$BD$5&lt;&gt;"",--('POINTAGE'!BD91="Présent"),0),IF('POINTAGE'!$BF$5&lt;&gt;"",--('POINTAGE'!BF91="Présent"),0),IF('POINTAGE'!$BH$5&lt;&gt;"",--('POINTAGE'!BH91="Présent"),0),IF('POINTAGE'!$BJ$5&lt;&gt;"",--('POINTAGE'!BJ91="Présent"),0),IF('POINTAGE'!$BL$5&lt;&gt;"",--('POINTAGE'!BL91="Présent"),0)))</f>
      </c>
      <c r="O91" s="22">
        <f>IF($A91="","",SUM(IF('POINTAGE'!$AH$5&lt;&gt;"",--('POINTAGE'!AH91="Absent"),0),IF('POINTAGE'!$AJ$5&lt;&gt;"",--('POINTAGE'!AJ91="Absent"),0),IF('POINTAGE'!$AL$5&lt;&gt;"",--('POINTAGE'!AL91="Absent"),0),IF('POINTAGE'!$AN$5&lt;&gt;"",--('POINTAGE'!AN91="Absent"),0),IF('POINTAGE'!$AP$5&lt;&gt;"",--('POINTAGE'!AP91="Absent"),0),IF('POINTAGE'!$AR$5&lt;&gt;"",--('POINTAGE'!AR91="Absent"),0),IF('POINTAGE'!$AT$5&lt;&gt;"",--('POINTAGE'!AT91="Absent"),0),IF('POINTAGE'!$AV$5&lt;&gt;"",--('POINTAGE'!AV91="Absent"),0),IF('POINTAGE'!$AX$5&lt;&gt;"",--('POINTAGE'!AX91="Absent"),0),IF('POINTAGE'!$AZ$5&lt;&gt;"",--('POINTAGE'!AZ91="Absent"),0),IF('POINTAGE'!$BB$5&lt;&gt;"",--('POINTAGE'!BB91="Absent"),0),IF('POINTAGE'!$BD$5&lt;&gt;"",--('POINTAGE'!BD91="Absent"),0),IF('POINTAGE'!$BF$5&lt;&gt;"",--('POINTAGE'!BF91="Absent"),0),IF('POINTAGE'!$BH$5&lt;&gt;"",--('POINTAGE'!BH91="Absent"),0),IF('POINTAGE'!$BJ$5&lt;&gt;"",--('POINTAGE'!BJ91="Absent"),0),IF('POINTAGE'!$BL$5&lt;&gt;"",--('POINTAGE'!BL91="Absent"),0)))</f>
      </c>
      <c r="P91" s="23">
        <f>IF($A91="","",SUM(IF('POINTAGE'!$AH$5&lt;&gt;"",IF('POINTAGE'!AH91="Présent",'POINTAGE'!AI91,0),0),IF('POINTAGE'!$AJ$5&lt;&gt;"",IF('POINTAGE'!AJ91="Présent",'POINTAGE'!AK91,0),0),IF('POINTAGE'!$AL$5&lt;&gt;"",IF('POINTAGE'!AL91="Présent",'POINTAGE'!AM91,0),0),IF('POINTAGE'!$AN$5&lt;&gt;"",IF('POINTAGE'!AN91="Présent",'POINTAGE'!AO91,0),0),IF('POINTAGE'!$AP$5&lt;&gt;"",IF('POINTAGE'!AP91="Présent",'POINTAGE'!AQ91,0),0),IF('POINTAGE'!$AR$5&lt;&gt;"",IF('POINTAGE'!AR91="Présent",'POINTAGE'!AS91,0),0),IF('POINTAGE'!$AT$5&lt;&gt;"",IF('POINTAGE'!AT91="Présent",'POINTAGE'!AU91,0),0),IF('POINTAGE'!$AV$5&lt;&gt;"",IF('POINTAGE'!AV91="Présent",'POINTAGE'!AW91,0),0),IF('POINTAGE'!$AX$5&lt;&gt;"",IF('POINTAGE'!AX91="Présent",'POINTAGE'!AY91,0),0),IF('POINTAGE'!$AZ$5&lt;&gt;"",IF('POINTAGE'!AZ91="Présent",'POINTAGE'!BA91,0),0),IF('POINTAGE'!$BB$5&lt;&gt;"",IF('POINTAGE'!BB91="Présent",'POINTAGE'!BC91,0),0),IF('POINTAGE'!$BD$5&lt;&gt;"",IF('POINTAGE'!BD91="Présent",'POINTAGE'!BE91,0),0),IF('POINTAGE'!$BF$5&lt;&gt;"",IF('POINTAGE'!BF91="Présent",'POINTAGE'!BG91,0),0),IF('POINTAGE'!$BH$5&lt;&gt;"",IF('POINTAGE'!BH91="Présent",'POINTAGE'!BI91,0),0),IF('POINTAGE'!$BJ$5&lt;&gt;"",IF('POINTAGE'!BJ91="Présent",'POINTAGE'!BK91,0),0),IF('POINTAGE'!$BL$5&lt;&gt;"",IF('POINTAGE'!BL91="Présent",'POINTAGE'!BM91,0),0)))</f>
      </c>
      <c r="Q91" s="24">
        <f>IF($A91="","",$N91*$D91)</f>
      </c>
      <c r="R91" s="24">
        <f>IF($A91="","",$P91*$E91)</f>
      </c>
      <c r="S91" s="25">
        <f>IF($A91="","",$Q91+$R91)</f>
      </c>
      <c r="T91" s="18"/>
      <c r="U91" s="25">
        <f>IF($A91="","",MAX(0,$S91-$T91))</f>
      </c>
      <c r="V91" s="25">
        <f>IF($A91="","",$K91+$S91)</f>
      </c>
      <c r="W91" s="24">
        <f>IF($A91="","",$L91+$T91)</f>
      </c>
      <c r="X91" s="25">
        <f>IF($A91="","",$M91+$U91)</f>
      </c>
      <c r="Y91" s="29">
        <f>IF($A91="","",$J91+$R91)</f>
      </c>
    </row>
    <row r="92">
      <c r="A92" s="20">
        <f>IF('POINTAGE'!A92="","",'POINTAGE'!A92)</f>
      </c>
      <c r="B92" s="19">
        <f>IF($A92="","",'POINTAGE'!B92)</f>
      </c>
      <c r="C92" s="20">
        <f>IF($A92="","",'POINTAGE'!C92)</f>
      </c>
      <c r="D92" s="24">
        <f>IF($A92="","",IFERROR(INDEX(Categories_Salaire,MATCH($C92,ListeCategories,0)),0))</f>
      </c>
      <c r="E92" s="24">
        <f>IF($A92="","",IF(IFERROR(INDEX(Categories_TauxHS,MATCH($C92,ListeCategories,0)),0)&gt;0,IFERROR(INDEX(Categories_TauxHS,MATCH($C92,ListeCategories,0)),0),TauxHSDefaut))</f>
      </c>
      <c r="F92" s="22">
        <f>IF($A92="","",SUM(IF('POINTAGE'!$D$5&lt;&gt;"",--('POINTAGE'!D92="Présent"),0),IF('POINTAGE'!$F$5&lt;&gt;"",--('POINTAGE'!F92="Présent"),0),IF('POINTAGE'!$H$5&lt;&gt;"",--('POINTAGE'!H92="Présent"),0),IF('POINTAGE'!$J$5&lt;&gt;"",--('POINTAGE'!J92="Présent"),0),IF('POINTAGE'!$L$5&lt;&gt;"",--('POINTAGE'!L92="Présent"),0),IF('POINTAGE'!$N$5&lt;&gt;"",--('POINTAGE'!N92="Présent"),0),IF('POINTAGE'!$P$5&lt;&gt;"",--('POINTAGE'!P92="Présent"),0),IF('POINTAGE'!$R$5&lt;&gt;"",--('POINTAGE'!R92="Présent"),0),IF('POINTAGE'!$T$5&lt;&gt;"",--('POINTAGE'!T92="Présent"),0),IF('POINTAGE'!$V$5&lt;&gt;"",--('POINTAGE'!V92="Présent"),0),IF('POINTAGE'!$X$5&lt;&gt;"",--('POINTAGE'!X92="Présent"),0),IF('POINTAGE'!$Z$5&lt;&gt;"",--('POINTAGE'!Z92="Présent"),0),IF('POINTAGE'!$AB$5&lt;&gt;"",--('POINTAGE'!AB92="Présent"),0),IF('POINTAGE'!$AD$5&lt;&gt;"",--('POINTAGE'!AD92="Présent"),0),IF('POINTAGE'!$AF$5&lt;&gt;"",--('POINTAGE'!AF92="Présent"),0)))</f>
      </c>
      <c r="G92" s="22">
        <f>IF($A92="","",SUM(IF('POINTAGE'!$D$5&lt;&gt;"",--('POINTAGE'!D92="Absent"),0),IF('POINTAGE'!$F$5&lt;&gt;"",--('POINTAGE'!F92="Absent"),0),IF('POINTAGE'!$H$5&lt;&gt;"",--('POINTAGE'!H92="Absent"),0),IF('POINTAGE'!$J$5&lt;&gt;"",--('POINTAGE'!J92="Absent"),0),IF('POINTAGE'!$L$5&lt;&gt;"",--('POINTAGE'!L92="Absent"),0),IF('POINTAGE'!$N$5&lt;&gt;"",--('POINTAGE'!N92="Absent"),0),IF('POINTAGE'!$P$5&lt;&gt;"",--('POINTAGE'!P92="Absent"),0),IF('POINTAGE'!$R$5&lt;&gt;"",--('POINTAGE'!R92="Absent"),0),IF('POINTAGE'!$T$5&lt;&gt;"",--('POINTAGE'!T92="Absent"),0),IF('POINTAGE'!$V$5&lt;&gt;"",--('POINTAGE'!V92="Absent"),0),IF('POINTAGE'!$X$5&lt;&gt;"",--('POINTAGE'!X92="Absent"),0),IF('POINTAGE'!$Z$5&lt;&gt;"",--('POINTAGE'!Z92="Absent"),0),IF('POINTAGE'!$AB$5&lt;&gt;"",--('POINTAGE'!AB92="Absent"),0),IF('POINTAGE'!$AD$5&lt;&gt;"",--('POINTAGE'!AD92="Absent"),0),IF('POINTAGE'!$AF$5&lt;&gt;"",--('POINTAGE'!AF92="Absent"),0)))</f>
      </c>
      <c r="H92" s="23">
        <f>IF($A92="","",SUM(IF('POINTAGE'!$D$5&lt;&gt;"",IF('POINTAGE'!D92="Présent",'POINTAGE'!E92,0),0),IF('POINTAGE'!$F$5&lt;&gt;"",IF('POINTAGE'!F92="Présent",'POINTAGE'!G92,0),0),IF('POINTAGE'!$H$5&lt;&gt;"",IF('POINTAGE'!H92="Présent",'POINTAGE'!I92,0),0),IF('POINTAGE'!$J$5&lt;&gt;"",IF('POINTAGE'!J92="Présent",'POINTAGE'!K92,0),0),IF('POINTAGE'!$L$5&lt;&gt;"",IF('POINTAGE'!L92="Présent",'POINTAGE'!M92,0),0),IF('POINTAGE'!$N$5&lt;&gt;"",IF('POINTAGE'!N92="Présent",'POINTAGE'!O92,0),0),IF('POINTAGE'!$P$5&lt;&gt;"",IF('POINTAGE'!P92="Présent",'POINTAGE'!Q92,0),0),IF('POINTAGE'!$R$5&lt;&gt;"",IF('POINTAGE'!R92="Présent",'POINTAGE'!S92,0),0),IF('POINTAGE'!$T$5&lt;&gt;"",IF('POINTAGE'!T92="Présent",'POINTAGE'!U92,0),0),IF('POINTAGE'!$V$5&lt;&gt;"",IF('POINTAGE'!V92="Présent",'POINTAGE'!W92,0),0),IF('POINTAGE'!$X$5&lt;&gt;"",IF('POINTAGE'!X92="Présent",'POINTAGE'!Y92,0),0),IF('POINTAGE'!$Z$5&lt;&gt;"",IF('POINTAGE'!Z92="Présent",'POINTAGE'!AA92,0),0),IF('POINTAGE'!$AB$5&lt;&gt;"",IF('POINTAGE'!AB92="Présent",'POINTAGE'!AC92,0),0),IF('POINTAGE'!$AD$5&lt;&gt;"",IF('POINTAGE'!AD92="Présent",'POINTAGE'!AE92,0),0),IF('POINTAGE'!$AF$5&lt;&gt;"",IF('POINTAGE'!AF92="Présent",'POINTAGE'!AG92,0),0)))</f>
      </c>
      <c r="I92" s="24">
        <f>IF($A92="","",$F92*$D92)</f>
      </c>
      <c r="J92" s="24">
        <f>IF($A92="","",$H92*$E92)</f>
      </c>
      <c r="K92" s="25">
        <f>IF($A92="","",$I92+$J92)</f>
      </c>
      <c r="L92" s="18"/>
      <c r="M92" s="25">
        <f>IF($A92="","",MAX(0,$K92-$L92))</f>
      </c>
      <c r="N92" s="22">
        <f>IF($A92="","",SUM(IF('POINTAGE'!$AH$5&lt;&gt;"",--('POINTAGE'!AH92="Présent"),0),IF('POINTAGE'!$AJ$5&lt;&gt;"",--('POINTAGE'!AJ92="Présent"),0),IF('POINTAGE'!$AL$5&lt;&gt;"",--('POINTAGE'!AL92="Présent"),0),IF('POINTAGE'!$AN$5&lt;&gt;"",--('POINTAGE'!AN92="Présent"),0),IF('POINTAGE'!$AP$5&lt;&gt;"",--('POINTAGE'!AP92="Présent"),0),IF('POINTAGE'!$AR$5&lt;&gt;"",--('POINTAGE'!AR92="Présent"),0),IF('POINTAGE'!$AT$5&lt;&gt;"",--('POINTAGE'!AT92="Présent"),0),IF('POINTAGE'!$AV$5&lt;&gt;"",--('POINTAGE'!AV92="Présent"),0),IF('POINTAGE'!$AX$5&lt;&gt;"",--('POINTAGE'!AX92="Présent"),0),IF('POINTAGE'!$AZ$5&lt;&gt;"",--('POINTAGE'!AZ92="Présent"),0),IF('POINTAGE'!$BB$5&lt;&gt;"",--('POINTAGE'!BB92="Présent"),0),IF('POINTAGE'!$BD$5&lt;&gt;"",--('POINTAGE'!BD92="Présent"),0),IF('POINTAGE'!$BF$5&lt;&gt;"",--('POINTAGE'!BF92="Présent"),0),IF('POINTAGE'!$BH$5&lt;&gt;"",--('POINTAGE'!BH92="Présent"),0),IF('POINTAGE'!$BJ$5&lt;&gt;"",--('POINTAGE'!BJ92="Présent"),0),IF('POINTAGE'!$BL$5&lt;&gt;"",--('POINTAGE'!BL92="Présent"),0)))</f>
      </c>
      <c r="O92" s="22">
        <f>IF($A92="","",SUM(IF('POINTAGE'!$AH$5&lt;&gt;"",--('POINTAGE'!AH92="Absent"),0),IF('POINTAGE'!$AJ$5&lt;&gt;"",--('POINTAGE'!AJ92="Absent"),0),IF('POINTAGE'!$AL$5&lt;&gt;"",--('POINTAGE'!AL92="Absent"),0),IF('POINTAGE'!$AN$5&lt;&gt;"",--('POINTAGE'!AN92="Absent"),0),IF('POINTAGE'!$AP$5&lt;&gt;"",--('POINTAGE'!AP92="Absent"),0),IF('POINTAGE'!$AR$5&lt;&gt;"",--('POINTAGE'!AR92="Absent"),0),IF('POINTAGE'!$AT$5&lt;&gt;"",--('POINTAGE'!AT92="Absent"),0),IF('POINTAGE'!$AV$5&lt;&gt;"",--('POINTAGE'!AV92="Absent"),0),IF('POINTAGE'!$AX$5&lt;&gt;"",--('POINTAGE'!AX92="Absent"),0),IF('POINTAGE'!$AZ$5&lt;&gt;"",--('POINTAGE'!AZ92="Absent"),0),IF('POINTAGE'!$BB$5&lt;&gt;"",--('POINTAGE'!BB92="Absent"),0),IF('POINTAGE'!$BD$5&lt;&gt;"",--('POINTAGE'!BD92="Absent"),0),IF('POINTAGE'!$BF$5&lt;&gt;"",--('POINTAGE'!BF92="Absent"),0),IF('POINTAGE'!$BH$5&lt;&gt;"",--('POINTAGE'!BH92="Absent"),0),IF('POINTAGE'!$BJ$5&lt;&gt;"",--('POINTAGE'!BJ92="Absent"),0),IF('POINTAGE'!$BL$5&lt;&gt;"",--('POINTAGE'!BL92="Absent"),0)))</f>
      </c>
      <c r="P92" s="23">
        <f>IF($A92="","",SUM(IF('POINTAGE'!$AH$5&lt;&gt;"",IF('POINTAGE'!AH92="Présent",'POINTAGE'!AI92,0),0),IF('POINTAGE'!$AJ$5&lt;&gt;"",IF('POINTAGE'!AJ92="Présent",'POINTAGE'!AK92,0),0),IF('POINTAGE'!$AL$5&lt;&gt;"",IF('POINTAGE'!AL92="Présent",'POINTAGE'!AM92,0),0),IF('POINTAGE'!$AN$5&lt;&gt;"",IF('POINTAGE'!AN92="Présent",'POINTAGE'!AO92,0),0),IF('POINTAGE'!$AP$5&lt;&gt;"",IF('POINTAGE'!AP92="Présent",'POINTAGE'!AQ92,0),0),IF('POINTAGE'!$AR$5&lt;&gt;"",IF('POINTAGE'!AR92="Présent",'POINTAGE'!AS92,0),0),IF('POINTAGE'!$AT$5&lt;&gt;"",IF('POINTAGE'!AT92="Présent",'POINTAGE'!AU92,0),0),IF('POINTAGE'!$AV$5&lt;&gt;"",IF('POINTAGE'!AV92="Présent",'POINTAGE'!AW92,0),0),IF('POINTAGE'!$AX$5&lt;&gt;"",IF('POINTAGE'!AX92="Présent",'POINTAGE'!AY92,0),0),IF('POINTAGE'!$AZ$5&lt;&gt;"",IF('POINTAGE'!AZ92="Présent",'POINTAGE'!BA92,0),0),IF('POINTAGE'!$BB$5&lt;&gt;"",IF('POINTAGE'!BB92="Présent",'POINTAGE'!BC92,0),0),IF('POINTAGE'!$BD$5&lt;&gt;"",IF('POINTAGE'!BD92="Présent",'POINTAGE'!BE92,0),0),IF('POINTAGE'!$BF$5&lt;&gt;"",IF('POINTAGE'!BF92="Présent",'POINTAGE'!BG92,0),0),IF('POINTAGE'!$BH$5&lt;&gt;"",IF('POINTAGE'!BH92="Présent",'POINTAGE'!BI92,0),0),IF('POINTAGE'!$BJ$5&lt;&gt;"",IF('POINTAGE'!BJ92="Présent",'POINTAGE'!BK92,0),0),IF('POINTAGE'!$BL$5&lt;&gt;"",IF('POINTAGE'!BL92="Présent",'POINTAGE'!BM92,0),0)))</f>
      </c>
      <c r="Q92" s="24">
        <f>IF($A92="","",$N92*$D92)</f>
      </c>
      <c r="R92" s="24">
        <f>IF($A92="","",$P92*$E92)</f>
      </c>
      <c r="S92" s="25">
        <f>IF($A92="","",$Q92+$R92)</f>
      </c>
      <c r="T92" s="18"/>
      <c r="U92" s="25">
        <f>IF($A92="","",MAX(0,$S92-$T92))</f>
      </c>
      <c r="V92" s="25">
        <f>IF($A92="","",$K92+$S92)</f>
      </c>
      <c r="W92" s="24">
        <f>IF($A92="","",$L92+$T92)</f>
      </c>
      <c r="X92" s="25">
        <f>IF($A92="","",$M92+$U92)</f>
      </c>
      <c r="Y92" s="29">
        <f>IF($A92="","",$J92+$R92)</f>
      </c>
    </row>
    <row r="93">
      <c r="A93" s="20">
        <f>IF('POINTAGE'!A93="","",'POINTAGE'!A93)</f>
      </c>
      <c r="B93" s="19">
        <f>IF($A93="","",'POINTAGE'!B93)</f>
      </c>
      <c r="C93" s="20">
        <f>IF($A93="","",'POINTAGE'!C93)</f>
      </c>
      <c r="D93" s="24">
        <f>IF($A93="","",IFERROR(INDEX(Categories_Salaire,MATCH($C93,ListeCategories,0)),0))</f>
      </c>
      <c r="E93" s="24">
        <f>IF($A93="","",IF(IFERROR(INDEX(Categories_TauxHS,MATCH($C93,ListeCategories,0)),0)&gt;0,IFERROR(INDEX(Categories_TauxHS,MATCH($C93,ListeCategories,0)),0),TauxHSDefaut))</f>
      </c>
      <c r="F93" s="22">
        <f>IF($A93="","",SUM(IF('POINTAGE'!$D$5&lt;&gt;"",--('POINTAGE'!D93="Présent"),0),IF('POINTAGE'!$F$5&lt;&gt;"",--('POINTAGE'!F93="Présent"),0),IF('POINTAGE'!$H$5&lt;&gt;"",--('POINTAGE'!H93="Présent"),0),IF('POINTAGE'!$J$5&lt;&gt;"",--('POINTAGE'!J93="Présent"),0),IF('POINTAGE'!$L$5&lt;&gt;"",--('POINTAGE'!L93="Présent"),0),IF('POINTAGE'!$N$5&lt;&gt;"",--('POINTAGE'!N93="Présent"),0),IF('POINTAGE'!$P$5&lt;&gt;"",--('POINTAGE'!P93="Présent"),0),IF('POINTAGE'!$R$5&lt;&gt;"",--('POINTAGE'!R93="Présent"),0),IF('POINTAGE'!$T$5&lt;&gt;"",--('POINTAGE'!T93="Présent"),0),IF('POINTAGE'!$V$5&lt;&gt;"",--('POINTAGE'!V93="Présent"),0),IF('POINTAGE'!$X$5&lt;&gt;"",--('POINTAGE'!X93="Présent"),0),IF('POINTAGE'!$Z$5&lt;&gt;"",--('POINTAGE'!Z93="Présent"),0),IF('POINTAGE'!$AB$5&lt;&gt;"",--('POINTAGE'!AB93="Présent"),0),IF('POINTAGE'!$AD$5&lt;&gt;"",--('POINTAGE'!AD93="Présent"),0),IF('POINTAGE'!$AF$5&lt;&gt;"",--('POINTAGE'!AF93="Présent"),0)))</f>
      </c>
      <c r="G93" s="22">
        <f>IF($A93="","",SUM(IF('POINTAGE'!$D$5&lt;&gt;"",--('POINTAGE'!D93="Absent"),0),IF('POINTAGE'!$F$5&lt;&gt;"",--('POINTAGE'!F93="Absent"),0),IF('POINTAGE'!$H$5&lt;&gt;"",--('POINTAGE'!H93="Absent"),0),IF('POINTAGE'!$J$5&lt;&gt;"",--('POINTAGE'!J93="Absent"),0),IF('POINTAGE'!$L$5&lt;&gt;"",--('POINTAGE'!L93="Absent"),0),IF('POINTAGE'!$N$5&lt;&gt;"",--('POINTAGE'!N93="Absent"),0),IF('POINTAGE'!$P$5&lt;&gt;"",--('POINTAGE'!P93="Absent"),0),IF('POINTAGE'!$R$5&lt;&gt;"",--('POINTAGE'!R93="Absent"),0),IF('POINTAGE'!$T$5&lt;&gt;"",--('POINTAGE'!T93="Absent"),0),IF('POINTAGE'!$V$5&lt;&gt;"",--('POINTAGE'!V93="Absent"),0),IF('POINTAGE'!$X$5&lt;&gt;"",--('POINTAGE'!X93="Absent"),0),IF('POINTAGE'!$Z$5&lt;&gt;"",--('POINTAGE'!Z93="Absent"),0),IF('POINTAGE'!$AB$5&lt;&gt;"",--('POINTAGE'!AB93="Absent"),0),IF('POINTAGE'!$AD$5&lt;&gt;"",--('POINTAGE'!AD93="Absent"),0),IF('POINTAGE'!$AF$5&lt;&gt;"",--('POINTAGE'!AF93="Absent"),0)))</f>
      </c>
      <c r="H93" s="23">
        <f>IF($A93="","",SUM(IF('POINTAGE'!$D$5&lt;&gt;"",IF('POINTAGE'!D93="Présent",'POINTAGE'!E93,0),0),IF('POINTAGE'!$F$5&lt;&gt;"",IF('POINTAGE'!F93="Présent",'POINTAGE'!G93,0),0),IF('POINTAGE'!$H$5&lt;&gt;"",IF('POINTAGE'!H93="Présent",'POINTAGE'!I93,0),0),IF('POINTAGE'!$J$5&lt;&gt;"",IF('POINTAGE'!J93="Présent",'POINTAGE'!K93,0),0),IF('POINTAGE'!$L$5&lt;&gt;"",IF('POINTAGE'!L93="Présent",'POINTAGE'!M93,0),0),IF('POINTAGE'!$N$5&lt;&gt;"",IF('POINTAGE'!N93="Présent",'POINTAGE'!O93,0),0),IF('POINTAGE'!$P$5&lt;&gt;"",IF('POINTAGE'!P93="Présent",'POINTAGE'!Q93,0),0),IF('POINTAGE'!$R$5&lt;&gt;"",IF('POINTAGE'!R93="Présent",'POINTAGE'!S93,0),0),IF('POINTAGE'!$T$5&lt;&gt;"",IF('POINTAGE'!T93="Présent",'POINTAGE'!U93,0),0),IF('POINTAGE'!$V$5&lt;&gt;"",IF('POINTAGE'!V93="Présent",'POINTAGE'!W93,0),0),IF('POINTAGE'!$X$5&lt;&gt;"",IF('POINTAGE'!X93="Présent",'POINTAGE'!Y93,0),0),IF('POINTAGE'!$Z$5&lt;&gt;"",IF('POINTAGE'!Z93="Présent",'POINTAGE'!AA93,0),0),IF('POINTAGE'!$AB$5&lt;&gt;"",IF('POINTAGE'!AB93="Présent",'POINTAGE'!AC93,0),0),IF('POINTAGE'!$AD$5&lt;&gt;"",IF('POINTAGE'!AD93="Présent",'POINTAGE'!AE93,0),0),IF('POINTAGE'!$AF$5&lt;&gt;"",IF('POINTAGE'!AF93="Présent",'POINTAGE'!AG93,0),0)))</f>
      </c>
      <c r="I93" s="24">
        <f>IF($A93="","",$F93*$D93)</f>
      </c>
      <c r="J93" s="24">
        <f>IF($A93="","",$H93*$E93)</f>
      </c>
      <c r="K93" s="25">
        <f>IF($A93="","",$I93+$J93)</f>
      </c>
      <c r="L93" s="18"/>
      <c r="M93" s="25">
        <f>IF($A93="","",MAX(0,$K93-$L93))</f>
      </c>
      <c r="N93" s="22">
        <f>IF($A93="","",SUM(IF('POINTAGE'!$AH$5&lt;&gt;"",--('POINTAGE'!AH93="Présent"),0),IF('POINTAGE'!$AJ$5&lt;&gt;"",--('POINTAGE'!AJ93="Présent"),0),IF('POINTAGE'!$AL$5&lt;&gt;"",--('POINTAGE'!AL93="Présent"),0),IF('POINTAGE'!$AN$5&lt;&gt;"",--('POINTAGE'!AN93="Présent"),0),IF('POINTAGE'!$AP$5&lt;&gt;"",--('POINTAGE'!AP93="Présent"),0),IF('POINTAGE'!$AR$5&lt;&gt;"",--('POINTAGE'!AR93="Présent"),0),IF('POINTAGE'!$AT$5&lt;&gt;"",--('POINTAGE'!AT93="Présent"),0),IF('POINTAGE'!$AV$5&lt;&gt;"",--('POINTAGE'!AV93="Présent"),0),IF('POINTAGE'!$AX$5&lt;&gt;"",--('POINTAGE'!AX93="Présent"),0),IF('POINTAGE'!$AZ$5&lt;&gt;"",--('POINTAGE'!AZ93="Présent"),0),IF('POINTAGE'!$BB$5&lt;&gt;"",--('POINTAGE'!BB93="Présent"),0),IF('POINTAGE'!$BD$5&lt;&gt;"",--('POINTAGE'!BD93="Présent"),0),IF('POINTAGE'!$BF$5&lt;&gt;"",--('POINTAGE'!BF93="Présent"),0),IF('POINTAGE'!$BH$5&lt;&gt;"",--('POINTAGE'!BH93="Présent"),0),IF('POINTAGE'!$BJ$5&lt;&gt;"",--('POINTAGE'!BJ93="Présent"),0),IF('POINTAGE'!$BL$5&lt;&gt;"",--('POINTAGE'!BL93="Présent"),0)))</f>
      </c>
      <c r="O93" s="22">
        <f>IF($A93="","",SUM(IF('POINTAGE'!$AH$5&lt;&gt;"",--('POINTAGE'!AH93="Absent"),0),IF('POINTAGE'!$AJ$5&lt;&gt;"",--('POINTAGE'!AJ93="Absent"),0),IF('POINTAGE'!$AL$5&lt;&gt;"",--('POINTAGE'!AL93="Absent"),0),IF('POINTAGE'!$AN$5&lt;&gt;"",--('POINTAGE'!AN93="Absent"),0),IF('POINTAGE'!$AP$5&lt;&gt;"",--('POINTAGE'!AP93="Absent"),0),IF('POINTAGE'!$AR$5&lt;&gt;"",--('POINTAGE'!AR93="Absent"),0),IF('POINTAGE'!$AT$5&lt;&gt;"",--('POINTAGE'!AT93="Absent"),0),IF('POINTAGE'!$AV$5&lt;&gt;"",--('POINTAGE'!AV93="Absent"),0),IF('POINTAGE'!$AX$5&lt;&gt;"",--('POINTAGE'!AX93="Absent"),0),IF('POINTAGE'!$AZ$5&lt;&gt;"",--('POINTAGE'!AZ93="Absent"),0),IF('POINTAGE'!$BB$5&lt;&gt;"",--('POINTAGE'!BB93="Absent"),0),IF('POINTAGE'!$BD$5&lt;&gt;"",--('POINTAGE'!BD93="Absent"),0),IF('POINTAGE'!$BF$5&lt;&gt;"",--('POINTAGE'!BF93="Absent"),0),IF('POINTAGE'!$BH$5&lt;&gt;"",--('POINTAGE'!BH93="Absent"),0),IF('POINTAGE'!$BJ$5&lt;&gt;"",--('POINTAGE'!BJ93="Absent"),0),IF('POINTAGE'!$BL$5&lt;&gt;"",--('POINTAGE'!BL93="Absent"),0)))</f>
      </c>
      <c r="P93" s="23">
        <f>IF($A93="","",SUM(IF('POINTAGE'!$AH$5&lt;&gt;"",IF('POINTAGE'!AH93="Présent",'POINTAGE'!AI93,0),0),IF('POINTAGE'!$AJ$5&lt;&gt;"",IF('POINTAGE'!AJ93="Présent",'POINTAGE'!AK93,0),0),IF('POINTAGE'!$AL$5&lt;&gt;"",IF('POINTAGE'!AL93="Présent",'POINTAGE'!AM93,0),0),IF('POINTAGE'!$AN$5&lt;&gt;"",IF('POINTAGE'!AN93="Présent",'POINTAGE'!AO93,0),0),IF('POINTAGE'!$AP$5&lt;&gt;"",IF('POINTAGE'!AP93="Présent",'POINTAGE'!AQ93,0),0),IF('POINTAGE'!$AR$5&lt;&gt;"",IF('POINTAGE'!AR93="Présent",'POINTAGE'!AS93,0),0),IF('POINTAGE'!$AT$5&lt;&gt;"",IF('POINTAGE'!AT93="Présent",'POINTAGE'!AU93,0),0),IF('POINTAGE'!$AV$5&lt;&gt;"",IF('POINTAGE'!AV93="Présent",'POINTAGE'!AW93,0),0),IF('POINTAGE'!$AX$5&lt;&gt;"",IF('POINTAGE'!AX93="Présent",'POINTAGE'!AY93,0),0),IF('POINTAGE'!$AZ$5&lt;&gt;"",IF('POINTAGE'!AZ93="Présent",'POINTAGE'!BA93,0),0),IF('POINTAGE'!$BB$5&lt;&gt;"",IF('POINTAGE'!BB93="Présent",'POINTAGE'!BC93,0),0),IF('POINTAGE'!$BD$5&lt;&gt;"",IF('POINTAGE'!BD93="Présent",'POINTAGE'!BE93,0),0),IF('POINTAGE'!$BF$5&lt;&gt;"",IF('POINTAGE'!BF93="Présent",'POINTAGE'!BG93,0),0),IF('POINTAGE'!$BH$5&lt;&gt;"",IF('POINTAGE'!BH93="Présent",'POINTAGE'!BI93,0),0),IF('POINTAGE'!$BJ$5&lt;&gt;"",IF('POINTAGE'!BJ93="Présent",'POINTAGE'!BK93,0),0),IF('POINTAGE'!$BL$5&lt;&gt;"",IF('POINTAGE'!BL93="Présent",'POINTAGE'!BM93,0),0)))</f>
      </c>
      <c r="Q93" s="24">
        <f>IF($A93="","",$N93*$D93)</f>
      </c>
      <c r="R93" s="24">
        <f>IF($A93="","",$P93*$E93)</f>
      </c>
      <c r="S93" s="25">
        <f>IF($A93="","",$Q93+$R93)</f>
      </c>
      <c r="T93" s="18"/>
      <c r="U93" s="25">
        <f>IF($A93="","",MAX(0,$S93-$T93))</f>
      </c>
      <c r="V93" s="25">
        <f>IF($A93="","",$K93+$S93)</f>
      </c>
      <c r="W93" s="24">
        <f>IF($A93="","",$L93+$T93)</f>
      </c>
      <c r="X93" s="25">
        <f>IF($A93="","",$M93+$U93)</f>
      </c>
      <c r="Y93" s="29">
        <f>IF($A93="","",$J93+$R93)</f>
      </c>
    </row>
    <row r="94">
      <c r="A94" s="20">
        <f>IF('POINTAGE'!A94="","",'POINTAGE'!A94)</f>
      </c>
      <c r="B94" s="19">
        <f>IF($A94="","",'POINTAGE'!B94)</f>
      </c>
      <c r="C94" s="20">
        <f>IF($A94="","",'POINTAGE'!C94)</f>
      </c>
      <c r="D94" s="24">
        <f>IF($A94="","",IFERROR(INDEX(Categories_Salaire,MATCH($C94,ListeCategories,0)),0))</f>
      </c>
      <c r="E94" s="24">
        <f>IF($A94="","",IF(IFERROR(INDEX(Categories_TauxHS,MATCH($C94,ListeCategories,0)),0)&gt;0,IFERROR(INDEX(Categories_TauxHS,MATCH($C94,ListeCategories,0)),0),TauxHSDefaut))</f>
      </c>
      <c r="F94" s="22">
        <f>IF($A94="","",SUM(IF('POINTAGE'!$D$5&lt;&gt;"",--('POINTAGE'!D94="Présent"),0),IF('POINTAGE'!$F$5&lt;&gt;"",--('POINTAGE'!F94="Présent"),0),IF('POINTAGE'!$H$5&lt;&gt;"",--('POINTAGE'!H94="Présent"),0),IF('POINTAGE'!$J$5&lt;&gt;"",--('POINTAGE'!J94="Présent"),0),IF('POINTAGE'!$L$5&lt;&gt;"",--('POINTAGE'!L94="Présent"),0),IF('POINTAGE'!$N$5&lt;&gt;"",--('POINTAGE'!N94="Présent"),0),IF('POINTAGE'!$P$5&lt;&gt;"",--('POINTAGE'!P94="Présent"),0),IF('POINTAGE'!$R$5&lt;&gt;"",--('POINTAGE'!R94="Présent"),0),IF('POINTAGE'!$T$5&lt;&gt;"",--('POINTAGE'!T94="Présent"),0),IF('POINTAGE'!$V$5&lt;&gt;"",--('POINTAGE'!V94="Présent"),0),IF('POINTAGE'!$X$5&lt;&gt;"",--('POINTAGE'!X94="Présent"),0),IF('POINTAGE'!$Z$5&lt;&gt;"",--('POINTAGE'!Z94="Présent"),0),IF('POINTAGE'!$AB$5&lt;&gt;"",--('POINTAGE'!AB94="Présent"),0),IF('POINTAGE'!$AD$5&lt;&gt;"",--('POINTAGE'!AD94="Présent"),0),IF('POINTAGE'!$AF$5&lt;&gt;"",--('POINTAGE'!AF94="Présent"),0)))</f>
      </c>
      <c r="G94" s="22">
        <f>IF($A94="","",SUM(IF('POINTAGE'!$D$5&lt;&gt;"",--('POINTAGE'!D94="Absent"),0),IF('POINTAGE'!$F$5&lt;&gt;"",--('POINTAGE'!F94="Absent"),0),IF('POINTAGE'!$H$5&lt;&gt;"",--('POINTAGE'!H94="Absent"),0),IF('POINTAGE'!$J$5&lt;&gt;"",--('POINTAGE'!J94="Absent"),0),IF('POINTAGE'!$L$5&lt;&gt;"",--('POINTAGE'!L94="Absent"),0),IF('POINTAGE'!$N$5&lt;&gt;"",--('POINTAGE'!N94="Absent"),0),IF('POINTAGE'!$P$5&lt;&gt;"",--('POINTAGE'!P94="Absent"),0),IF('POINTAGE'!$R$5&lt;&gt;"",--('POINTAGE'!R94="Absent"),0),IF('POINTAGE'!$T$5&lt;&gt;"",--('POINTAGE'!T94="Absent"),0),IF('POINTAGE'!$V$5&lt;&gt;"",--('POINTAGE'!V94="Absent"),0),IF('POINTAGE'!$X$5&lt;&gt;"",--('POINTAGE'!X94="Absent"),0),IF('POINTAGE'!$Z$5&lt;&gt;"",--('POINTAGE'!Z94="Absent"),0),IF('POINTAGE'!$AB$5&lt;&gt;"",--('POINTAGE'!AB94="Absent"),0),IF('POINTAGE'!$AD$5&lt;&gt;"",--('POINTAGE'!AD94="Absent"),0),IF('POINTAGE'!$AF$5&lt;&gt;"",--('POINTAGE'!AF94="Absent"),0)))</f>
      </c>
      <c r="H94" s="23">
        <f>IF($A94="","",SUM(IF('POINTAGE'!$D$5&lt;&gt;"",IF('POINTAGE'!D94="Présent",'POINTAGE'!E94,0),0),IF('POINTAGE'!$F$5&lt;&gt;"",IF('POINTAGE'!F94="Présent",'POINTAGE'!G94,0),0),IF('POINTAGE'!$H$5&lt;&gt;"",IF('POINTAGE'!H94="Présent",'POINTAGE'!I94,0),0),IF('POINTAGE'!$J$5&lt;&gt;"",IF('POINTAGE'!J94="Présent",'POINTAGE'!K94,0),0),IF('POINTAGE'!$L$5&lt;&gt;"",IF('POINTAGE'!L94="Présent",'POINTAGE'!M94,0),0),IF('POINTAGE'!$N$5&lt;&gt;"",IF('POINTAGE'!N94="Présent",'POINTAGE'!O94,0),0),IF('POINTAGE'!$P$5&lt;&gt;"",IF('POINTAGE'!P94="Présent",'POINTAGE'!Q94,0),0),IF('POINTAGE'!$R$5&lt;&gt;"",IF('POINTAGE'!R94="Présent",'POINTAGE'!S94,0),0),IF('POINTAGE'!$T$5&lt;&gt;"",IF('POINTAGE'!T94="Présent",'POINTAGE'!U94,0),0),IF('POINTAGE'!$V$5&lt;&gt;"",IF('POINTAGE'!V94="Présent",'POINTAGE'!W94,0),0),IF('POINTAGE'!$X$5&lt;&gt;"",IF('POINTAGE'!X94="Présent",'POINTAGE'!Y94,0),0),IF('POINTAGE'!$Z$5&lt;&gt;"",IF('POINTAGE'!Z94="Présent",'POINTAGE'!AA94,0),0),IF('POINTAGE'!$AB$5&lt;&gt;"",IF('POINTAGE'!AB94="Présent",'POINTAGE'!AC94,0),0),IF('POINTAGE'!$AD$5&lt;&gt;"",IF('POINTAGE'!AD94="Présent",'POINTAGE'!AE94,0),0),IF('POINTAGE'!$AF$5&lt;&gt;"",IF('POINTAGE'!AF94="Présent",'POINTAGE'!AG94,0),0)))</f>
      </c>
      <c r="I94" s="24">
        <f>IF($A94="","",$F94*$D94)</f>
      </c>
      <c r="J94" s="24">
        <f>IF($A94="","",$H94*$E94)</f>
      </c>
      <c r="K94" s="25">
        <f>IF($A94="","",$I94+$J94)</f>
      </c>
      <c r="L94" s="18"/>
      <c r="M94" s="25">
        <f>IF($A94="","",MAX(0,$K94-$L94))</f>
      </c>
      <c r="N94" s="22">
        <f>IF($A94="","",SUM(IF('POINTAGE'!$AH$5&lt;&gt;"",--('POINTAGE'!AH94="Présent"),0),IF('POINTAGE'!$AJ$5&lt;&gt;"",--('POINTAGE'!AJ94="Présent"),0),IF('POINTAGE'!$AL$5&lt;&gt;"",--('POINTAGE'!AL94="Présent"),0),IF('POINTAGE'!$AN$5&lt;&gt;"",--('POINTAGE'!AN94="Présent"),0),IF('POINTAGE'!$AP$5&lt;&gt;"",--('POINTAGE'!AP94="Présent"),0),IF('POINTAGE'!$AR$5&lt;&gt;"",--('POINTAGE'!AR94="Présent"),0),IF('POINTAGE'!$AT$5&lt;&gt;"",--('POINTAGE'!AT94="Présent"),0),IF('POINTAGE'!$AV$5&lt;&gt;"",--('POINTAGE'!AV94="Présent"),0),IF('POINTAGE'!$AX$5&lt;&gt;"",--('POINTAGE'!AX94="Présent"),0),IF('POINTAGE'!$AZ$5&lt;&gt;"",--('POINTAGE'!AZ94="Présent"),0),IF('POINTAGE'!$BB$5&lt;&gt;"",--('POINTAGE'!BB94="Présent"),0),IF('POINTAGE'!$BD$5&lt;&gt;"",--('POINTAGE'!BD94="Présent"),0),IF('POINTAGE'!$BF$5&lt;&gt;"",--('POINTAGE'!BF94="Présent"),0),IF('POINTAGE'!$BH$5&lt;&gt;"",--('POINTAGE'!BH94="Présent"),0),IF('POINTAGE'!$BJ$5&lt;&gt;"",--('POINTAGE'!BJ94="Présent"),0),IF('POINTAGE'!$BL$5&lt;&gt;"",--('POINTAGE'!BL94="Présent"),0)))</f>
      </c>
      <c r="O94" s="22">
        <f>IF($A94="","",SUM(IF('POINTAGE'!$AH$5&lt;&gt;"",--('POINTAGE'!AH94="Absent"),0),IF('POINTAGE'!$AJ$5&lt;&gt;"",--('POINTAGE'!AJ94="Absent"),0),IF('POINTAGE'!$AL$5&lt;&gt;"",--('POINTAGE'!AL94="Absent"),0),IF('POINTAGE'!$AN$5&lt;&gt;"",--('POINTAGE'!AN94="Absent"),0),IF('POINTAGE'!$AP$5&lt;&gt;"",--('POINTAGE'!AP94="Absent"),0),IF('POINTAGE'!$AR$5&lt;&gt;"",--('POINTAGE'!AR94="Absent"),0),IF('POINTAGE'!$AT$5&lt;&gt;"",--('POINTAGE'!AT94="Absent"),0),IF('POINTAGE'!$AV$5&lt;&gt;"",--('POINTAGE'!AV94="Absent"),0),IF('POINTAGE'!$AX$5&lt;&gt;"",--('POINTAGE'!AX94="Absent"),0),IF('POINTAGE'!$AZ$5&lt;&gt;"",--('POINTAGE'!AZ94="Absent"),0),IF('POINTAGE'!$BB$5&lt;&gt;"",--('POINTAGE'!BB94="Absent"),0),IF('POINTAGE'!$BD$5&lt;&gt;"",--('POINTAGE'!BD94="Absent"),0),IF('POINTAGE'!$BF$5&lt;&gt;"",--('POINTAGE'!BF94="Absent"),0),IF('POINTAGE'!$BH$5&lt;&gt;"",--('POINTAGE'!BH94="Absent"),0),IF('POINTAGE'!$BJ$5&lt;&gt;"",--('POINTAGE'!BJ94="Absent"),0),IF('POINTAGE'!$BL$5&lt;&gt;"",--('POINTAGE'!BL94="Absent"),0)))</f>
      </c>
      <c r="P94" s="23">
        <f>IF($A94="","",SUM(IF('POINTAGE'!$AH$5&lt;&gt;"",IF('POINTAGE'!AH94="Présent",'POINTAGE'!AI94,0),0),IF('POINTAGE'!$AJ$5&lt;&gt;"",IF('POINTAGE'!AJ94="Présent",'POINTAGE'!AK94,0),0),IF('POINTAGE'!$AL$5&lt;&gt;"",IF('POINTAGE'!AL94="Présent",'POINTAGE'!AM94,0),0),IF('POINTAGE'!$AN$5&lt;&gt;"",IF('POINTAGE'!AN94="Présent",'POINTAGE'!AO94,0),0),IF('POINTAGE'!$AP$5&lt;&gt;"",IF('POINTAGE'!AP94="Présent",'POINTAGE'!AQ94,0),0),IF('POINTAGE'!$AR$5&lt;&gt;"",IF('POINTAGE'!AR94="Présent",'POINTAGE'!AS94,0),0),IF('POINTAGE'!$AT$5&lt;&gt;"",IF('POINTAGE'!AT94="Présent",'POINTAGE'!AU94,0),0),IF('POINTAGE'!$AV$5&lt;&gt;"",IF('POINTAGE'!AV94="Présent",'POINTAGE'!AW94,0),0),IF('POINTAGE'!$AX$5&lt;&gt;"",IF('POINTAGE'!AX94="Présent",'POINTAGE'!AY94,0),0),IF('POINTAGE'!$AZ$5&lt;&gt;"",IF('POINTAGE'!AZ94="Présent",'POINTAGE'!BA94,0),0),IF('POINTAGE'!$BB$5&lt;&gt;"",IF('POINTAGE'!BB94="Présent",'POINTAGE'!BC94,0),0),IF('POINTAGE'!$BD$5&lt;&gt;"",IF('POINTAGE'!BD94="Présent",'POINTAGE'!BE94,0),0),IF('POINTAGE'!$BF$5&lt;&gt;"",IF('POINTAGE'!BF94="Présent",'POINTAGE'!BG94,0),0),IF('POINTAGE'!$BH$5&lt;&gt;"",IF('POINTAGE'!BH94="Présent",'POINTAGE'!BI94,0),0),IF('POINTAGE'!$BJ$5&lt;&gt;"",IF('POINTAGE'!BJ94="Présent",'POINTAGE'!BK94,0),0),IF('POINTAGE'!$BL$5&lt;&gt;"",IF('POINTAGE'!BL94="Présent",'POINTAGE'!BM94,0),0)))</f>
      </c>
      <c r="Q94" s="24">
        <f>IF($A94="","",$N94*$D94)</f>
      </c>
      <c r="R94" s="24">
        <f>IF($A94="","",$P94*$E94)</f>
      </c>
      <c r="S94" s="25">
        <f>IF($A94="","",$Q94+$R94)</f>
      </c>
      <c r="T94" s="18"/>
      <c r="U94" s="25">
        <f>IF($A94="","",MAX(0,$S94-$T94))</f>
      </c>
      <c r="V94" s="25">
        <f>IF($A94="","",$K94+$S94)</f>
      </c>
      <c r="W94" s="24">
        <f>IF($A94="","",$L94+$T94)</f>
      </c>
      <c r="X94" s="25">
        <f>IF($A94="","",$M94+$U94)</f>
      </c>
      <c r="Y94" s="29">
        <f>IF($A94="","",$J94+$R94)</f>
      </c>
    </row>
    <row r="95">
      <c r="A95" s="20">
        <f>IF('POINTAGE'!A95="","",'POINTAGE'!A95)</f>
      </c>
      <c r="B95" s="19">
        <f>IF($A95="","",'POINTAGE'!B95)</f>
      </c>
      <c r="C95" s="20">
        <f>IF($A95="","",'POINTAGE'!C95)</f>
      </c>
      <c r="D95" s="24">
        <f>IF($A95="","",IFERROR(INDEX(Categories_Salaire,MATCH($C95,ListeCategories,0)),0))</f>
      </c>
      <c r="E95" s="24">
        <f>IF($A95="","",IF(IFERROR(INDEX(Categories_TauxHS,MATCH($C95,ListeCategories,0)),0)&gt;0,IFERROR(INDEX(Categories_TauxHS,MATCH($C95,ListeCategories,0)),0),TauxHSDefaut))</f>
      </c>
      <c r="F95" s="22">
        <f>IF($A95="","",SUM(IF('POINTAGE'!$D$5&lt;&gt;"",--('POINTAGE'!D95="Présent"),0),IF('POINTAGE'!$F$5&lt;&gt;"",--('POINTAGE'!F95="Présent"),0),IF('POINTAGE'!$H$5&lt;&gt;"",--('POINTAGE'!H95="Présent"),0),IF('POINTAGE'!$J$5&lt;&gt;"",--('POINTAGE'!J95="Présent"),0),IF('POINTAGE'!$L$5&lt;&gt;"",--('POINTAGE'!L95="Présent"),0),IF('POINTAGE'!$N$5&lt;&gt;"",--('POINTAGE'!N95="Présent"),0),IF('POINTAGE'!$P$5&lt;&gt;"",--('POINTAGE'!P95="Présent"),0),IF('POINTAGE'!$R$5&lt;&gt;"",--('POINTAGE'!R95="Présent"),0),IF('POINTAGE'!$T$5&lt;&gt;"",--('POINTAGE'!T95="Présent"),0),IF('POINTAGE'!$V$5&lt;&gt;"",--('POINTAGE'!V95="Présent"),0),IF('POINTAGE'!$X$5&lt;&gt;"",--('POINTAGE'!X95="Présent"),0),IF('POINTAGE'!$Z$5&lt;&gt;"",--('POINTAGE'!Z95="Présent"),0),IF('POINTAGE'!$AB$5&lt;&gt;"",--('POINTAGE'!AB95="Présent"),0),IF('POINTAGE'!$AD$5&lt;&gt;"",--('POINTAGE'!AD95="Présent"),0),IF('POINTAGE'!$AF$5&lt;&gt;"",--('POINTAGE'!AF95="Présent"),0)))</f>
      </c>
      <c r="G95" s="22">
        <f>IF($A95="","",SUM(IF('POINTAGE'!$D$5&lt;&gt;"",--('POINTAGE'!D95="Absent"),0),IF('POINTAGE'!$F$5&lt;&gt;"",--('POINTAGE'!F95="Absent"),0),IF('POINTAGE'!$H$5&lt;&gt;"",--('POINTAGE'!H95="Absent"),0),IF('POINTAGE'!$J$5&lt;&gt;"",--('POINTAGE'!J95="Absent"),0),IF('POINTAGE'!$L$5&lt;&gt;"",--('POINTAGE'!L95="Absent"),0),IF('POINTAGE'!$N$5&lt;&gt;"",--('POINTAGE'!N95="Absent"),0),IF('POINTAGE'!$P$5&lt;&gt;"",--('POINTAGE'!P95="Absent"),0),IF('POINTAGE'!$R$5&lt;&gt;"",--('POINTAGE'!R95="Absent"),0),IF('POINTAGE'!$T$5&lt;&gt;"",--('POINTAGE'!T95="Absent"),0),IF('POINTAGE'!$V$5&lt;&gt;"",--('POINTAGE'!V95="Absent"),0),IF('POINTAGE'!$X$5&lt;&gt;"",--('POINTAGE'!X95="Absent"),0),IF('POINTAGE'!$Z$5&lt;&gt;"",--('POINTAGE'!Z95="Absent"),0),IF('POINTAGE'!$AB$5&lt;&gt;"",--('POINTAGE'!AB95="Absent"),0),IF('POINTAGE'!$AD$5&lt;&gt;"",--('POINTAGE'!AD95="Absent"),0),IF('POINTAGE'!$AF$5&lt;&gt;"",--('POINTAGE'!AF95="Absent"),0)))</f>
      </c>
      <c r="H95" s="23">
        <f>IF($A95="","",SUM(IF('POINTAGE'!$D$5&lt;&gt;"",IF('POINTAGE'!D95="Présent",'POINTAGE'!E95,0),0),IF('POINTAGE'!$F$5&lt;&gt;"",IF('POINTAGE'!F95="Présent",'POINTAGE'!G95,0),0),IF('POINTAGE'!$H$5&lt;&gt;"",IF('POINTAGE'!H95="Présent",'POINTAGE'!I95,0),0),IF('POINTAGE'!$J$5&lt;&gt;"",IF('POINTAGE'!J95="Présent",'POINTAGE'!K95,0),0),IF('POINTAGE'!$L$5&lt;&gt;"",IF('POINTAGE'!L95="Présent",'POINTAGE'!M95,0),0),IF('POINTAGE'!$N$5&lt;&gt;"",IF('POINTAGE'!N95="Présent",'POINTAGE'!O95,0),0),IF('POINTAGE'!$P$5&lt;&gt;"",IF('POINTAGE'!P95="Présent",'POINTAGE'!Q95,0),0),IF('POINTAGE'!$R$5&lt;&gt;"",IF('POINTAGE'!R95="Présent",'POINTAGE'!S95,0),0),IF('POINTAGE'!$T$5&lt;&gt;"",IF('POINTAGE'!T95="Présent",'POINTAGE'!U95,0),0),IF('POINTAGE'!$V$5&lt;&gt;"",IF('POINTAGE'!V95="Présent",'POINTAGE'!W95,0),0),IF('POINTAGE'!$X$5&lt;&gt;"",IF('POINTAGE'!X95="Présent",'POINTAGE'!Y95,0),0),IF('POINTAGE'!$Z$5&lt;&gt;"",IF('POINTAGE'!Z95="Présent",'POINTAGE'!AA95,0),0),IF('POINTAGE'!$AB$5&lt;&gt;"",IF('POINTAGE'!AB95="Présent",'POINTAGE'!AC95,0),0),IF('POINTAGE'!$AD$5&lt;&gt;"",IF('POINTAGE'!AD95="Présent",'POINTAGE'!AE95,0),0),IF('POINTAGE'!$AF$5&lt;&gt;"",IF('POINTAGE'!AF95="Présent",'POINTAGE'!AG95,0),0)))</f>
      </c>
      <c r="I95" s="24">
        <f>IF($A95="","",$F95*$D95)</f>
      </c>
      <c r="J95" s="24">
        <f>IF($A95="","",$H95*$E95)</f>
      </c>
      <c r="K95" s="25">
        <f>IF($A95="","",$I95+$J95)</f>
      </c>
      <c r="L95" s="18"/>
      <c r="M95" s="25">
        <f>IF($A95="","",MAX(0,$K95-$L95))</f>
      </c>
      <c r="N95" s="22">
        <f>IF($A95="","",SUM(IF('POINTAGE'!$AH$5&lt;&gt;"",--('POINTAGE'!AH95="Présent"),0),IF('POINTAGE'!$AJ$5&lt;&gt;"",--('POINTAGE'!AJ95="Présent"),0),IF('POINTAGE'!$AL$5&lt;&gt;"",--('POINTAGE'!AL95="Présent"),0),IF('POINTAGE'!$AN$5&lt;&gt;"",--('POINTAGE'!AN95="Présent"),0),IF('POINTAGE'!$AP$5&lt;&gt;"",--('POINTAGE'!AP95="Présent"),0),IF('POINTAGE'!$AR$5&lt;&gt;"",--('POINTAGE'!AR95="Présent"),0),IF('POINTAGE'!$AT$5&lt;&gt;"",--('POINTAGE'!AT95="Présent"),0),IF('POINTAGE'!$AV$5&lt;&gt;"",--('POINTAGE'!AV95="Présent"),0),IF('POINTAGE'!$AX$5&lt;&gt;"",--('POINTAGE'!AX95="Présent"),0),IF('POINTAGE'!$AZ$5&lt;&gt;"",--('POINTAGE'!AZ95="Présent"),0),IF('POINTAGE'!$BB$5&lt;&gt;"",--('POINTAGE'!BB95="Présent"),0),IF('POINTAGE'!$BD$5&lt;&gt;"",--('POINTAGE'!BD95="Présent"),0),IF('POINTAGE'!$BF$5&lt;&gt;"",--('POINTAGE'!BF95="Présent"),0),IF('POINTAGE'!$BH$5&lt;&gt;"",--('POINTAGE'!BH95="Présent"),0),IF('POINTAGE'!$BJ$5&lt;&gt;"",--('POINTAGE'!BJ95="Présent"),0),IF('POINTAGE'!$BL$5&lt;&gt;"",--('POINTAGE'!BL95="Présent"),0)))</f>
      </c>
      <c r="O95" s="22">
        <f>IF($A95="","",SUM(IF('POINTAGE'!$AH$5&lt;&gt;"",--('POINTAGE'!AH95="Absent"),0),IF('POINTAGE'!$AJ$5&lt;&gt;"",--('POINTAGE'!AJ95="Absent"),0),IF('POINTAGE'!$AL$5&lt;&gt;"",--('POINTAGE'!AL95="Absent"),0),IF('POINTAGE'!$AN$5&lt;&gt;"",--('POINTAGE'!AN95="Absent"),0),IF('POINTAGE'!$AP$5&lt;&gt;"",--('POINTAGE'!AP95="Absent"),0),IF('POINTAGE'!$AR$5&lt;&gt;"",--('POINTAGE'!AR95="Absent"),0),IF('POINTAGE'!$AT$5&lt;&gt;"",--('POINTAGE'!AT95="Absent"),0),IF('POINTAGE'!$AV$5&lt;&gt;"",--('POINTAGE'!AV95="Absent"),0),IF('POINTAGE'!$AX$5&lt;&gt;"",--('POINTAGE'!AX95="Absent"),0),IF('POINTAGE'!$AZ$5&lt;&gt;"",--('POINTAGE'!AZ95="Absent"),0),IF('POINTAGE'!$BB$5&lt;&gt;"",--('POINTAGE'!BB95="Absent"),0),IF('POINTAGE'!$BD$5&lt;&gt;"",--('POINTAGE'!BD95="Absent"),0),IF('POINTAGE'!$BF$5&lt;&gt;"",--('POINTAGE'!BF95="Absent"),0),IF('POINTAGE'!$BH$5&lt;&gt;"",--('POINTAGE'!BH95="Absent"),0),IF('POINTAGE'!$BJ$5&lt;&gt;"",--('POINTAGE'!BJ95="Absent"),0),IF('POINTAGE'!$BL$5&lt;&gt;"",--('POINTAGE'!BL95="Absent"),0)))</f>
      </c>
      <c r="P95" s="23">
        <f>IF($A95="","",SUM(IF('POINTAGE'!$AH$5&lt;&gt;"",IF('POINTAGE'!AH95="Présent",'POINTAGE'!AI95,0),0),IF('POINTAGE'!$AJ$5&lt;&gt;"",IF('POINTAGE'!AJ95="Présent",'POINTAGE'!AK95,0),0),IF('POINTAGE'!$AL$5&lt;&gt;"",IF('POINTAGE'!AL95="Présent",'POINTAGE'!AM95,0),0),IF('POINTAGE'!$AN$5&lt;&gt;"",IF('POINTAGE'!AN95="Présent",'POINTAGE'!AO95,0),0),IF('POINTAGE'!$AP$5&lt;&gt;"",IF('POINTAGE'!AP95="Présent",'POINTAGE'!AQ95,0),0),IF('POINTAGE'!$AR$5&lt;&gt;"",IF('POINTAGE'!AR95="Présent",'POINTAGE'!AS95,0),0),IF('POINTAGE'!$AT$5&lt;&gt;"",IF('POINTAGE'!AT95="Présent",'POINTAGE'!AU95,0),0),IF('POINTAGE'!$AV$5&lt;&gt;"",IF('POINTAGE'!AV95="Présent",'POINTAGE'!AW95,0),0),IF('POINTAGE'!$AX$5&lt;&gt;"",IF('POINTAGE'!AX95="Présent",'POINTAGE'!AY95,0),0),IF('POINTAGE'!$AZ$5&lt;&gt;"",IF('POINTAGE'!AZ95="Présent",'POINTAGE'!BA95,0),0),IF('POINTAGE'!$BB$5&lt;&gt;"",IF('POINTAGE'!BB95="Présent",'POINTAGE'!BC95,0),0),IF('POINTAGE'!$BD$5&lt;&gt;"",IF('POINTAGE'!BD95="Présent",'POINTAGE'!BE95,0),0),IF('POINTAGE'!$BF$5&lt;&gt;"",IF('POINTAGE'!BF95="Présent",'POINTAGE'!BG95,0),0),IF('POINTAGE'!$BH$5&lt;&gt;"",IF('POINTAGE'!BH95="Présent",'POINTAGE'!BI95,0),0),IF('POINTAGE'!$BJ$5&lt;&gt;"",IF('POINTAGE'!BJ95="Présent",'POINTAGE'!BK95,0),0),IF('POINTAGE'!$BL$5&lt;&gt;"",IF('POINTAGE'!BL95="Présent",'POINTAGE'!BM95,0),0)))</f>
      </c>
      <c r="Q95" s="24">
        <f>IF($A95="","",$N95*$D95)</f>
      </c>
      <c r="R95" s="24">
        <f>IF($A95="","",$P95*$E95)</f>
      </c>
      <c r="S95" s="25">
        <f>IF($A95="","",$Q95+$R95)</f>
      </c>
      <c r="T95" s="18"/>
      <c r="U95" s="25">
        <f>IF($A95="","",MAX(0,$S95-$T95))</f>
      </c>
      <c r="V95" s="25">
        <f>IF($A95="","",$K95+$S95)</f>
      </c>
      <c r="W95" s="24">
        <f>IF($A95="","",$L95+$T95)</f>
      </c>
      <c r="X95" s="25">
        <f>IF($A95="","",$M95+$U95)</f>
      </c>
      <c r="Y95" s="29">
        <f>IF($A95="","",$J95+$R95)</f>
      </c>
    </row>
    <row r="96">
      <c r="A96" s="20">
        <f>IF('POINTAGE'!A96="","",'POINTAGE'!A96)</f>
      </c>
      <c r="B96" s="19">
        <f>IF($A96="","",'POINTAGE'!B96)</f>
      </c>
      <c r="C96" s="20">
        <f>IF($A96="","",'POINTAGE'!C96)</f>
      </c>
      <c r="D96" s="24">
        <f>IF($A96="","",IFERROR(INDEX(Categories_Salaire,MATCH($C96,ListeCategories,0)),0))</f>
      </c>
      <c r="E96" s="24">
        <f>IF($A96="","",IF(IFERROR(INDEX(Categories_TauxHS,MATCH($C96,ListeCategories,0)),0)&gt;0,IFERROR(INDEX(Categories_TauxHS,MATCH($C96,ListeCategories,0)),0),TauxHSDefaut))</f>
      </c>
      <c r="F96" s="22">
        <f>IF($A96="","",SUM(IF('POINTAGE'!$D$5&lt;&gt;"",--('POINTAGE'!D96="Présent"),0),IF('POINTAGE'!$F$5&lt;&gt;"",--('POINTAGE'!F96="Présent"),0),IF('POINTAGE'!$H$5&lt;&gt;"",--('POINTAGE'!H96="Présent"),0),IF('POINTAGE'!$J$5&lt;&gt;"",--('POINTAGE'!J96="Présent"),0),IF('POINTAGE'!$L$5&lt;&gt;"",--('POINTAGE'!L96="Présent"),0),IF('POINTAGE'!$N$5&lt;&gt;"",--('POINTAGE'!N96="Présent"),0),IF('POINTAGE'!$P$5&lt;&gt;"",--('POINTAGE'!P96="Présent"),0),IF('POINTAGE'!$R$5&lt;&gt;"",--('POINTAGE'!R96="Présent"),0),IF('POINTAGE'!$T$5&lt;&gt;"",--('POINTAGE'!T96="Présent"),0),IF('POINTAGE'!$V$5&lt;&gt;"",--('POINTAGE'!V96="Présent"),0),IF('POINTAGE'!$X$5&lt;&gt;"",--('POINTAGE'!X96="Présent"),0),IF('POINTAGE'!$Z$5&lt;&gt;"",--('POINTAGE'!Z96="Présent"),0),IF('POINTAGE'!$AB$5&lt;&gt;"",--('POINTAGE'!AB96="Présent"),0),IF('POINTAGE'!$AD$5&lt;&gt;"",--('POINTAGE'!AD96="Présent"),0),IF('POINTAGE'!$AF$5&lt;&gt;"",--('POINTAGE'!AF96="Présent"),0)))</f>
      </c>
      <c r="G96" s="22">
        <f>IF($A96="","",SUM(IF('POINTAGE'!$D$5&lt;&gt;"",--('POINTAGE'!D96="Absent"),0),IF('POINTAGE'!$F$5&lt;&gt;"",--('POINTAGE'!F96="Absent"),0),IF('POINTAGE'!$H$5&lt;&gt;"",--('POINTAGE'!H96="Absent"),0),IF('POINTAGE'!$J$5&lt;&gt;"",--('POINTAGE'!J96="Absent"),0),IF('POINTAGE'!$L$5&lt;&gt;"",--('POINTAGE'!L96="Absent"),0),IF('POINTAGE'!$N$5&lt;&gt;"",--('POINTAGE'!N96="Absent"),0),IF('POINTAGE'!$P$5&lt;&gt;"",--('POINTAGE'!P96="Absent"),0),IF('POINTAGE'!$R$5&lt;&gt;"",--('POINTAGE'!R96="Absent"),0),IF('POINTAGE'!$T$5&lt;&gt;"",--('POINTAGE'!T96="Absent"),0),IF('POINTAGE'!$V$5&lt;&gt;"",--('POINTAGE'!V96="Absent"),0),IF('POINTAGE'!$X$5&lt;&gt;"",--('POINTAGE'!X96="Absent"),0),IF('POINTAGE'!$Z$5&lt;&gt;"",--('POINTAGE'!Z96="Absent"),0),IF('POINTAGE'!$AB$5&lt;&gt;"",--('POINTAGE'!AB96="Absent"),0),IF('POINTAGE'!$AD$5&lt;&gt;"",--('POINTAGE'!AD96="Absent"),0),IF('POINTAGE'!$AF$5&lt;&gt;"",--('POINTAGE'!AF96="Absent"),0)))</f>
      </c>
      <c r="H96" s="23">
        <f>IF($A96="","",SUM(IF('POINTAGE'!$D$5&lt;&gt;"",IF('POINTAGE'!D96="Présent",'POINTAGE'!E96,0),0),IF('POINTAGE'!$F$5&lt;&gt;"",IF('POINTAGE'!F96="Présent",'POINTAGE'!G96,0),0),IF('POINTAGE'!$H$5&lt;&gt;"",IF('POINTAGE'!H96="Présent",'POINTAGE'!I96,0),0),IF('POINTAGE'!$J$5&lt;&gt;"",IF('POINTAGE'!J96="Présent",'POINTAGE'!K96,0),0),IF('POINTAGE'!$L$5&lt;&gt;"",IF('POINTAGE'!L96="Présent",'POINTAGE'!M96,0),0),IF('POINTAGE'!$N$5&lt;&gt;"",IF('POINTAGE'!N96="Présent",'POINTAGE'!O96,0),0),IF('POINTAGE'!$P$5&lt;&gt;"",IF('POINTAGE'!P96="Présent",'POINTAGE'!Q96,0),0),IF('POINTAGE'!$R$5&lt;&gt;"",IF('POINTAGE'!R96="Présent",'POINTAGE'!S96,0),0),IF('POINTAGE'!$T$5&lt;&gt;"",IF('POINTAGE'!T96="Présent",'POINTAGE'!U96,0),0),IF('POINTAGE'!$V$5&lt;&gt;"",IF('POINTAGE'!V96="Présent",'POINTAGE'!W96,0),0),IF('POINTAGE'!$X$5&lt;&gt;"",IF('POINTAGE'!X96="Présent",'POINTAGE'!Y96,0),0),IF('POINTAGE'!$Z$5&lt;&gt;"",IF('POINTAGE'!Z96="Présent",'POINTAGE'!AA96,0),0),IF('POINTAGE'!$AB$5&lt;&gt;"",IF('POINTAGE'!AB96="Présent",'POINTAGE'!AC96,0),0),IF('POINTAGE'!$AD$5&lt;&gt;"",IF('POINTAGE'!AD96="Présent",'POINTAGE'!AE96,0),0),IF('POINTAGE'!$AF$5&lt;&gt;"",IF('POINTAGE'!AF96="Présent",'POINTAGE'!AG96,0),0)))</f>
      </c>
      <c r="I96" s="24">
        <f>IF($A96="","",$F96*$D96)</f>
      </c>
      <c r="J96" s="24">
        <f>IF($A96="","",$H96*$E96)</f>
      </c>
      <c r="K96" s="25">
        <f>IF($A96="","",$I96+$J96)</f>
      </c>
      <c r="L96" s="18"/>
      <c r="M96" s="25">
        <f>IF($A96="","",MAX(0,$K96-$L96))</f>
      </c>
      <c r="N96" s="22">
        <f>IF($A96="","",SUM(IF('POINTAGE'!$AH$5&lt;&gt;"",--('POINTAGE'!AH96="Présent"),0),IF('POINTAGE'!$AJ$5&lt;&gt;"",--('POINTAGE'!AJ96="Présent"),0),IF('POINTAGE'!$AL$5&lt;&gt;"",--('POINTAGE'!AL96="Présent"),0),IF('POINTAGE'!$AN$5&lt;&gt;"",--('POINTAGE'!AN96="Présent"),0),IF('POINTAGE'!$AP$5&lt;&gt;"",--('POINTAGE'!AP96="Présent"),0),IF('POINTAGE'!$AR$5&lt;&gt;"",--('POINTAGE'!AR96="Présent"),0),IF('POINTAGE'!$AT$5&lt;&gt;"",--('POINTAGE'!AT96="Présent"),0),IF('POINTAGE'!$AV$5&lt;&gt;"",--('POINTAGE'!AV96="Présent"),0),IF('POINTAGE'!$AX$5&lt;&gt;"",--('POINTAGE'!AX96="Présent"),0),IF('POINTAGE'!$AZ$5&lt;&gt;"",--('POINTAGE'!AZ96="Présent"),0),IF('POINTAGE'!$BB$5&lt;&gt;"",--('POINTAGE'!BB96="Présent"),0),IF('POINTAGE'!$BD$5&lt;&gt;"",--('POINTAGE'!BD96="Présent"),0),IF('POINTAGE'!$BF$5&lt;&gt;"",--('POINTAGE'!BF96="Présent"),0),IF('POINTAGE'!$BH$5&lt;&gt;"",--('POINTAGE'!BH96="Présent"),0),IF('POINTAGE'!$BJ$5&lt;&gt;"",--('POINTAGE'!BJ96="Présent"),0),IF('POINTAGE'!$BL$5&lt;&gt;"",--('POINTAGE'!BL96="Présent"),0)))</f>
      </c>
      <c r="O96" s="22">
        <f>IF($A96="","",SUM(IF('POINTAGE'!$AH$5&lt;&gt;"",--('POINTAGE'!AH96="Absent"),0),IF('POINTAGE'!$AJ$5&lt;&gt;"",--('POINTAGE'!AJ96="Absent"),0),IF('POINTAGE'!$AL$5&lt;&gt;"",--('POINTAGE'!AL96="Absent"),0),IF('POINTAGE'!$AN$5&lt;&gt;"",--('POINTAGE'!AN96="Absent"),0),IF('POINTAGE'!$AP$5&lt;&gt;"",--('POINTAGE'!AP96="Absent"),0),IF('POINTAGE'!$AR$5&lt;&gt;"",--('POINTAGE'!AR96="Absent"),0),IF('POINTAGE'!$AT$5&lt;&gt;"",--('POINTAGE'!AT96="Absent"),0),IF('POINTAGE'!$AV$5&lt;&gt;"",--('POINTAGE'!AV96="Absent"),0),IF('POINTAGE'!$AX$5&lt;&gt;"",--('POINTAGE'!AX96="Absent"),0),IF('POINTAGE'!$AZ$5&lt;&gt;"",--('POINTAGE'!AZ96="Absent"),0),IF('POINTAGE'!$BB$5&lt;&gt;"",--('POINTAGE'!BB96="Absent"),0),IF('POINTAGE'!$BD$5&lt;&gt;"",--('POINTAGE'!BD96="Absent"),0),IF('POINTAGE'!$BF$5&lt;&gt;"",--('POINTAGE'!BF96="Absent"),0),IF('POINTAGE'!$BH$5&lt;&gt;"",--('POINTAGE'!BH96="Absent"),0),IF('POINTAGE'!$BJ$5&lt;&gt;"",--('POINTAGE'!BJ96="Absent"),0),IF('POINTAGE'!$BL$5&lt;&gt;"",--('POINTAGE'!BL96="Absent"),0)))</f>
      </c>
      <c r="P96" s="23">
        <f>IF($A96="","",SUM(IF('POINTAGE'!$AH$5&lt;&gt;"",IF('POINTAGE'!AH96="Présent",'POINTAGE'!AI96,0),0),IF('POINTAGE'!$AJ$5&lt;&gt;"",IF('POINTAGE'!AJ96="Présent",'POINTAGE'!AK96,0),0),IF('POINTAGE'!$AL$5&lt;&gt;"",IF('POINTAGE'!AL96="Présent",'POINTAGE'!AM96,0),0),IF('POINTAGE'!$AN$5&lt;&gt;"",IF('POINTAGE'!AN96="Présent",'POINTAGE'!AO96,0),0),IF('POINTAGE'!$AP$5&lt;&gt;"",IF('POINTAGE'!AP96="Présent",'POINTAGE'!AQ96,0),0),IF('POINTAGE'!$AR$5&lt;&gt;"",IF('POINTAGE'!AR96="Présent",'POINTAGE'!AS96,0),0),IF('POINTAGE'!$AT$5&lt;&gt;"",IF('POINTAGE'!AT96="Présent",'POINTAGE'!AU96,0),0),IF('POINTAGE'!$AV$5&lt;&gt;"",IF('POINTAGE'!AV96="Présent",'POINTAGE'!AW96,0),0),IF('POINTAGE'!$AX$5&lt;&gt;"",IF('POINTAGE'!AX96="Présent",'POINTAGE'!AY96,0),0),IF('POINTAGE'!$AZ$5&lt;&gt;"",IF('POINTAGE'!AZ96="Présent",'POINTAGE'!BA96,0),0),IF('POINTAGE'!$BB$5&lt;&gt;"",IF('POINTAGE'!BB96="Présent",'POINTAGE'!BC96,0),0),IF('POINTAGE'!$BD$5&lt;&gt;"",IF('POINTAGE'!BD96="Présent",'POINTAGE'!BE96,0),0),IF('POINTAGE'!$BF$5&lt;&gt;"",IF('POINTAGE'!BF96="Présent",'POINTAGE'!BG96,0),0),IF('POINTAGE'!$BH$5&lt;&gt;"",IF('POINTAGE'!BH96="Présent",'POINTAGE'!BI96,0),0),IF('POINTAGE'!$BJ$5&lt;&gt;"",IF('POINTAGE'!BJ96="Présent",'POINTAGE'!BK96,0),0),IF('POINTAGE'!$BL$5&lt;&gt;"",IF('POINTAGE'!BL96="Présent",'POINTAGE'!BM96,0),0)))</f>
      </c>
      <c r="Q96" s="24">
        <f>IF($A96="","",$N96*$D96)</f>
      </c>
      <c r="R96" s="24">
        <f>IF($A96="","",$P96*$E96)</f>
      </c>
      <c r="S96" s="25">
        <f>IF($A96="","",$Q96+$R96)</f>
      </c>
      <c r="T96" s="18"/>
      <c r="U96" s="25">
        <f>IF($A96="","",MAX(0,$S96-$T96))</f>
      </c>
      <c r="V96" s="25">
        <f>IF($A96="","",$K96+$S96)</f>
      </c>
      <c r="W96" s="24">
        <f>IF($A96="","",$L96+$T96)</f>
      </c>
      <c r="X96" s="25">
        <f>IF($A96="","",$M96+$U96)</f>
      </c>
      <c r="Y96" s="29">
        <f>IF($A96="","",$J96+$R96)</f>
      </c>
    </row>
    <row r="97">
      <c r="A97" s="20">
        <f>IF('POINTAGE'!A97="","",'POINTAGE'!A97)</f>
      </c>
      <c r="B97" s="19">
        <f>IF($A97="","",'POINTAGE'!B97)</f>
      </c>
      <c r="C97" s="20">
        <f>IF($A97="","",'POINTAGE'!C97)</f>
      </c>
      <c r="D97" s="24">
        <f>IF($A97="","",IFERROR(INDEX(Categories_Salaire,MATCH($C97,ListeCategories,0)),0))</f>
      </c>
      <c r="E97" s="24">
        <f>IF($A97="","",IF(IFERROR(INDEX(Categories_TauxHS,MATCH($C97,ListeCategories,0)),0)&gt;0,IFERROR(INDEX(Categories_TauxHS,MATCH($C97,ListeCategories,0)),0),TauxHSDefaut))</f>
      </c>
      <c r="F97" s="22">
        <f>IF($A97="","",SUM(IF('POINTAGE'!$D$5&lt;&gt;"",--('POINTAGE'!D97="Présent"),0),IF('POINTAGE'!$F$5&lt;&gt;"",--('POINTAGE'!F97="Présent"),0),IF('POINTAGE'!$H$5&lt;&gt;"",--('POINTAGE'!H97="Présent"),0),IF('POINTAGE'!$J$5&lt;&gt;"",--('POINTAGE'!J97="Présent"),0),IF('POINTAGE'!$L$5&lt;&gt;"",--('POINTAGE'!L97="Présent"),0),IF('POINTAGE'!$N$5&lt;&gt;"",--('POINTAGE'!N97="Présent"),0),IF('POINTAGE'!$P$5&lt;&gt;"",--('POINTAGE'!P97="Présent"),0),IF('POINTAGE'!$R$5&lt;&gt;"",--('POINTAGE'!R97="Présent"),0),IF('POINTAGE'!$T$5&lt;&gt;"",--('POINTAGE'!T97="Présent"),0),IF('POINTAGE'!$V$5&lt;&gt;"",--('POINTAGE'!V97="Présent"),0),IF('POINTAGE'!$X$5&lt;&gt;"",--('POINTAGE'!X97="Présent"),0),IF('POINTAGE'!$Z$5&lt;&gt;"",--('POINTAGE'!Z97="Présent"),0),IF('POINTAGE'!$AB$5&lt;&gt;"",--('POINTAGE'!AB97="Présent"),0),IF('POINTAGE'!$AD$5&lt;&gt;"",--('POINTAGE'!AD97="Présent"),0),IF('POINTAGE'!$AF$5&lt;&gt;"",--('POINTAGE'!AF97="Présent"),0)))</f>
      </c>
      <c r="G97" s="22">
        <f>IF($A97="","",SUM(IF('POINTAGE'!$D$5&lt;&gt;"",--('POINTAGE'!D97="Absent"),0),IF('POINTAGE'!$F$5&lt;&gt;"",--('POINTAGE'!F97="Absent"),0),IF('POINTAGE'!$H$5&lt;&gt;"",--('POINTAGE'!H97="Absent"),0),IF('POINTAGE'!$J$5&lt;&gt;"",--('POINTAGE'!J97="Absent"),0),IF('POINTAGE'!$L$5&lt;&gt;"",--('POINTAGE'!L97="Absent"),0),IF('POINTAGE'!$N$5&lt;&gt;"",--('POINTAGE'!N97="Absent"),0),IF('POINTAGE'!$P$5&lt;&gt;"",--('POINTAGE'!P97="Absent"),0),IF('POINTAGE'!$R$5&lt;&gt;"",--('POINTAGE'!R97="Absent"),0),IF('POINTAGE'!$T$5&lt;&gt;"",--('POINTAGE'!T97="Absent"),0),IF('POINTAGE'!$V$5&lt;&gt;"",--('POINTAGE'!V97="Absent"),0),IF('POINTAGE'!$X$5&lt;&gt;"",--('POINTAGE'!X97="Absent"),0),IF('POINTAGE'!$Z$5&lt;&gt;"",--('POINTAGE'!Z97="Absent"),0),IF('POINTAGE'!$AB$5&lt;&gt;"",--('POINTAGE'!AB97="Absent"),0),IF('POINTAGE'!$AD$5&lt;&gt;"",--('POINTAGE'!AD97="Absent"),0),IF('POINTAGE'!$AF$5&lt;&gt;"",--('POINTAGE'!AF97="Absent"),0)))</f>
      </c>
      <c r="H97" s="23">
        <f>IF($A97="","",SUM(IF('POINTAGE'!$D$5&lt;&gt;"",IF('POINTAGE'!D97="Présent",'POINTAGE'!E97,0),0),IF('POINTAGE'!$F$5&lt;&gt;"",IF('POINTAGE'!F97="Présent",'POINTAGE'!G97,0),0),IF('POINTAGE'!$H$5&lt;&gt;"",IF('POINTAGE'!H97="Présent",'POINTAGE'!I97,0),0),IF('POINTAGE'!$J$5&lt;&gt;"",IF('POINTAGE'!J97="Présent",'POINTAGE'!K97,0),0),IF('POINTAGE'!$L$5&lt;&gt;"",IF('POINTAGE'!L97="Présent",'POINTAGE'!M97,0),0),IF('POINTAGE'!$N$5&lt;&gt;"",IF('POINTAGE'!N97="Présent",'POINTAGE'!O97,0),0),IF('POINTAGE'!$P$5&lt;&gt;"",IF('POINTAGE'!P97="Présent",'POINTAGE'!Q97,0),0),IF('POINTAGE'!$R$5&lt;&gt;"",IF('POINTAGE'!R97="Présent",'POINTAGE'!S97,0),0),IF('POINTAGE'!$T$5&lt;&gt;"",IF('POINTAGE'!T97="Présent",'POINTAGE'!U97,0),0),IF('POINTAGE'!$V$5&lt;&gt;"",IF('POINTAGE'!V97="Présent",'POINTAGE'!W97,0),0),IF('POINTAGE'!$X$5&lt;&gt;"",IF('POINTAGE'!X97="Présent",'POINTAGE'!Y97,0),0),IF('POINTAGE'!$Z$5&lt;&gt;"",IF('POINTAGE'!Z97="Présent",'POINTAGE'!AA97,0),0),IF('POINTAGE'!$AB$5&lt;&gt;"",IF('POINTAGE'!AB97="Présent",'POINTAGE'!AC97,0),0),IF('POINTAGE'!$AD$5&lt;&gt;"",IF('POINTAGE'!AD97="Présent",'POINTAGE'!AE97,0),0),IF('POINTAGE'!$AF$5&lt;&gt;"",IF('POINTAGE'!AF97="Présent",'POINTAGE'!AG97,0),0)))</f>
      </c>
      <c r="I97" s="24">
        <f>IF($A97="","",$F97*$D97)</f>
      </c>
      <c r="J97" s="24">
        <f>IF($A97="","",$H97*$E97)</f>
      </c>
      <c r="K97" s="25">
        <f>IF($A97="","",$I97+$J97)</f>
      </c>
      <c r="L97" s="18"/>
      <c r="M97" s="25">
        <f>IF($A97="","",MAX(0,$K97-$L97))</f>
      </c>
      <c r="N97" s="22">
        <f>IF($A97="","",SUM(IF('POINTAGE'!$AH$5&lt;&gt;"",--('POINTAGE'!AH97="Présent"),0),IF('POINTAGE'!$AJ$5&lt;&gt;"",--('POINTAGE'!AJ97="Présent"),0),IF('POINTAGE'!$AL$5&lt;&gt;"",--('POINTAGE'!AL97="Présent"),0),IF('POINTAGE'!$AN$5&lt;&gt;"",--('POINTAGE'!AN97="Présent"),0),IF('POINTAGE'!$AP$5&lt;&gt;"",--('POINTAGE'!AP97="Présent"),0),IF('POINTAGE'!$AR$5&lt;&gt;"",--('POINTAGE'!AR97="Présent"),0),IF('POINTAGE'!$AT$5&lt;&gt;"",--('POINTAGE'!AT97="Présent"),0),IF('POINTAGE'!$AV$5&lt;&gt;"",--('POINTAGE'!AV97="Présent"),0),IF('POINTAGE'!$AX$5&lt;&gt;"",--('POINTAGE'!AX97="Présent"),0),IF('POINTAGE'!$AZ$5&lt;&gt;"",--('POINTAGE'!AZ97="Présent"),0),IF('POINTAGE'!$BB$5&lt;&gt;"",--('POINTAGE'!BB97="Présent"),0),IF('POINTAGE'!$BD$5&lt;&gt;"",--('POINTAGE'!BD97="Présent"),0),IF('POINTAGE'!$BF$5&lt;&gt;"",--('POINTAGE'!BF97="Présent"),0),IF('POINTAGE'!$BH$5&lt;&gt;"",--('POINTAGE'!BH97="Présent"),0),IF('POINTAGE'!$BJ$5&lt;&gt;"",--('POINTAGE'!BJ97="Présent"),0),IF('POINTAGE'!$BL$5&lt;&gt;"",--('POINTAGE'!BL97="Présent"),0)))</f>
      </c>
      <c r="O97" s="22">
        <f>IF($A97="","",SUM(IF('POINTAGE'!$AH$5&lt;&gt;"",--('POINTAGE'!AH97="Absent"),0),IF('POINTAGE'!$AJ$5&lt;&gt;"",--('POINTAGE'!AJ97="Absent"),0),IF('POINTAGE'!$AL$5&lt;&gt;"",--('POINTAGE'!AL97="Absent"),0),IF('POINTAGE'!$AN$5&lt;&gt;"",--('POINTAGE'!AN97="Absent"),0),IF('POINTAGE'!$AP$5&lt;&gt;"",--('POINTAGE'!AP97="Absent"),0),IF('POINTAGE'!$AR$5&lt;&gt;"",--('POINTAGE'!AR97="Absent"),0),IF('POINTAGE'!$AT$5&lt;&gt;"",--('POINTAGE'!AT97="Absent"),0),IF('POINTAGE'!$AV$5&lt;&gt;"",--('POINTAGE'!AV97="Absent"),0),IF('POINTAGE'!$AX$5&lt;&gt;"",--('POINTAGE'!AX97="Absent"),0),IF('POINTAGE'!$AZ$5&lt;&gt;"",--('POINTAGE'!AZ97="Absent"),0),IF('POINTAGE'!$BB$5&lt;&gt;"",--('POINTAGE'!BB97="Absent"),0),IF('POINTAGE'!$BD$5&lt;&gt;"",--('POINTAGE'!BD97="Absent"),0),IF('POINTAGE'!$BF$5&lt;&gt;"",--('POINTAGE'!BF97="Absent"),0),IF('POINTAGE'!$BH$5&lt;&gt;"",--('POINTAGE'!BH97="Absent"),0),IF('POINTAGE'!$BJ$5&lt;&gt;"",--('POINTAGE'!BJ97="Absent"),0),IF('POINTAGE'!$BL$5&lt;&gt;"",--('POINTAGE'!BL97="Absent"),0)))</f>
      </c>
      <c r="P97" s="23">
        <f>IF($A97="","",SUM(IF('POINTAGE'!$AH$5&lt;&gt;"",IF('POINTAGE'!AH97="Présent",'POINTAGE'!AI97,0),0),IF('POINTAGE'!$AJ$5&lt;&gt;"",IF('POINTAGE'!AJ97="Présent",'POINTAGE'!AK97,0),0),IF('POINTAGE'!$AL$5&lt;&gt;"",IF('POINTAGE'!AL97="Présent",'POINTAGE'!AM97,0),0),IF('POINTAGE'!$AN$5&lt;&gt;"",IF('POINTAGE'!AN97="Présent",'POINTAGE'!AO97,0),0),IF('POINTAGE'!$AP$5&lt;&gt;"",IF('POINTAGE'!AP97="Présent",'POINTAGE'!AQ97,0),0),IF('POINTAGE'!$AR$5&lt;&gt;"",IF('POINTAGE'!AR97="Présent",'POINTAGE'!AS97,0),0),IF('POINTAGE'!$AT$5&lt;&gt;"",IF('POINTAGE'!AT97="Présent",'POINTAGE'!AU97,0),0),IF('POINTAGE'!$AV$5&lt;&gt;"",IF('POINTAGE'!AV97="Présent",'POINTAGE'!AW97,0),0),IF('POINTAGE'!$AX$5&lt;&gt;"",IF('POINTAGE'!AX97="Présent",'POINTAGE'!AY97,0),0),IF('POINTAGE'!$AZ$5&lt;&gt;"",IF('POINTAGE'!AZ97="Présent",'POINTAGE'!BA97,0),0),IF('POINTAGE'!$BB$5&lt;&gt;"",IF('POINTAGE'!BB97="Présent",'POINTAGE'!BC97,0),0),IF('POINTAGE'!$BD$5&lt;&gt;"",IF('POINTAGE'!BD97="Présent",'POINTAGE'!BE97,0),0),IF('POINTAGE'!$BF$5&lt;&gt;"",IF('POINTAGE'!BF97="Présent",'POINTAGE'!BG97,0),0),IF('POINTAGE'!$BH$5&lt;&gt;"",IF('POINTAGE'!BH97="Présent",'POINTAGE'!BI97,0),0),IF('POINTAGE'!$BJ$5&lt;&gt;"",IF('POINTAGE'!BJ97="Présent",'POINTAGE'!BK97,0),0),IF('POINTAGE'!$BL$5&lt;&gt;"",IF('POINTAGE'!BL97="Présent",'POINTAGE'!BM97,0),0)))</f>
      </c>
      <c r="Q97" s="24">
        <f>IF($A97="","",$N97*$D97)</f>
      </c>
      <c r="R97" s="24">
        <f>IF($A97="","",$P97*$E97)</f>
      </c>
      <c r="S97" s="25">
        <f>IF($A97="","",$Q97+$R97)</f>
      </c>
      <c r="T97" s="18"/>
      <c r="U97" s="25">
        <f>IF($A97="","",MAX(0,$S97-$T97))</f>
      </c>
      <c r="V97" s="25">
        <f>IF($A97="","",$K97+$S97)</f>
      </c>
      <c r="W97" s="24">
        <f>IF($A97="","",$L97+$T97)</f>
      </c>
      <c r="X97" s="25">
        <f>IF($A97="","",$M97+$U97)</f>
      </c>
      <c r="Y97" s="29">
        <f>IF($A97="","",$J97+$R97)</f>
      </c>
    </row>
    <row r="98">
      <c r="A98" s="20">
        <f>IF('POINTAGE'!A98="","",'POINTAGE'!A98)</f>
      </c>
      <c r="B98" s="19">
        <f>IF($A98="","",'POINTAGE'!B98)</f>
      </c>
      <c r="C98" s="20">
        <f>IF($A98="","",'POINTAGE'!C98)</f>
      </c>
      <c r="D98" s="24">
        <f>IF($A98="","",IFERROR(INDEX(Categories_Salaire,MATCH($C98,ListeCategories,0)),0))</f>
      </c>
      <c r="E98" s="24">
        <f>IF($A98="","",IF(IFERROR(INDEX(Categories_TauxHS,MATCH($C98,ListeCategories,0)),0)&gt;0,IFERROR(INDEX(Categories_TauxHS,MATCH($C98,ListeCategories,0)),0),TauxHSDefaut))</f>
      </c>
      <c r="F98" s="22">
        <f>IF($A98="","",SUM(IF('POINTAGE'!$D$5&lt;&gt;"",--('POINTAGE'!D98="Présent"),0),IF('POINTAGE'!$F$5&lt;&gt;"",--('POINTAGE'!F98="Présent"),0),IF('POINTAGE'!$H$5&lt;&gt;"",--('POINTAGE'!H98="Présent"),0),IF('POINTAGE'!$J$5&lt;&gt;"",--('POINTAGE'!J98="Présent"),0),IF('POINTAGE'!$L$5&lt;&gt;"",--('POINTAGE'!L98="Présent"),0),IF('POINTAGE'!$N$5&lt;&gt;"",--('POINTAGE'!N98="Présent"),0),IF('POINTAGE'!$P$5&lt;&gt;"",--('POINTAGE'!P98="Présent"),0),IF('POINTAGE'!$R$5&lt;&gt;"",--('POINTAGE'!R98="Présent"),0),IF('POINTAGE'!$T$5&lt;&gt;"",--('POINTAGE'!T98="Présent"),0),IF('POINTAGE'!$V$5&lt;&gt;"",--('POINTAGE'!V98="Présent"),0),IF('POINTAGE'!$X$5&lt;&gt;"",--('POINTAGE'!X98="Présent"),0),IF('POINTAGE'!$Z$5&lt;&gt;"",--('POINTAGE'!Z98="Présent"),0),IF('POINTAGE'!$AB$5&lt;&gt;"",--('POINTAGE'!AB98="Présent"),0),IF('POINTAGE'!$AD$5&lt;&gt;"",--('POINTAGE'!AD98="Présent"),0),IF('POINTAGE'!$AF$5&lt;&gt;"",--('POINTAGE'!AF98="Présent"),0)))</f>
      </c>
      <c r="G98" s="22">
        <f>IF($A98="","",SUM(IF('POINTAGE'!$D$5&lt;&gt;"",--('POINTAGE'!D98="Absent"),0),IF('POINTAGE'!$F$5&lt;&gt;"",--('POINTAGE'!F98="Absent"),0),IF('POINTAGE'!$H$5&lt;&gt;"",--('POINTAGE'!H98="Absent"),0),IF('POINTAGE'!$J$5&lt;&gt;"",--('POINTAGE'!J98="Absent"),0),IF('POINTAGE'!$L$5&lt;&gt;"",--('POINTAGE'!L98="Absent"),0),IF('POINTAGE'!$N$5&lt;&gt;"",--('POINTAGE'!N98="Absent"),0),IF('POINTAGE'!$P$5&lt;&gt;"",--('POINTAGE'!P98="Absent"),0),IF('POINTAGE'!$R$5&lt;&gt;"",--('POINTAGE'!R98="Absent"),0),IF('POINTAGE'!$T$5&lt;&gt;"",--('POINTAGE'!T98="Absent"),0),IF('POINTAGE'!$V$5&lt;&gt;"",--('POINTAGE'!V98="Absent"),0),IF('POINTAGE'!$X$5&lt;&gt;"",--('POINTAGE'!X98="Absent"),0),IF('POINTAGE'!$Z$5&lt;&gt;"",--('POINTAGE'!Z98="Absent"),0),IF('POINTAGE'!$AB$5&lt;&gt;"",--('POINTAGE'!AB98="Absent"),0),IF('POINTAGE'!$AD$5&lt;&gt;"",--('POINTAGE'!AD98="Absent"),0),IF('POINTAGE'!$AF$5&lt;&gt;"",--('POINTAGE'!AF98="Absent"),0)))</f>
      </c>
      <c r="H98" s="23">
        <f>IF($A98="","",SUM(IF('POINTAGE'!$D$5&lt;&gt;"",IF('POINTAGE'!D98="Présent",'POINTAGE'!E98,0),0),IF('POINTAGE'!$F$5&lt;&gt;"",IF('POINTAGE'!F98="Présent",'POINTAGE'!G98,0),0),IF('POINTAGE'!$H$5&lt;&gt;"",IF('POINTAGE'!H98="Présent",'POINTAGE'!I98,0),0),IF('POINTAGE'!$J$5&lt;&gt;"",IF('POINTAGE'!J98="Présent",'POINTAGE'!K98,0),0),IF('POINTAGE'!$L$5&lt;&gt;"",IF('POINTAGE'!L98="Présent",'POINTAGE'!M98,0),0),IF('POINTAGE'!$N$5&lt;&gt;"",IF('POINTAGE'!N98="Présent",'POINTAGE'!O98,0),0),IF('POINTAGE'!$P$5&lt;&gt;"",IF('POINTAGE'!P98="Présent",'POINTAGE'!Q98,0),0),IF('POINTAGE'!$R$5&lt;&gt;"",IF('POINTAGE'!R98="Présent",'POINTAGE'!S98,0),0),IF('POINTAGE'!$T$5&lt;&gt;"",IF('POINTAGE'!T98="Présent",'POINTAGE'!U98,0),0),IF('POINTAGE'!$V$5&lt;&gt;"",IF('POINTAGE'!V98="Présent",'POINTAGE'!W98,0),0),IF('POINTAGE'!$X$5&lt;&gt;"",IF('POINTAGE'!X98="Présent",'POINTAGE'!Y98,0),0),IF('POINTAGE'!$Z$5&lt;&gt;"",IF('POINTAGE'!Z98="Présent",'POINTAGE'!AA98,0),0),IF('POINTAGE'!$AB$5&lt;&gt;"",IF('POINTAGE'!AB98="Présent",'POINTAGE'!AC98,0),0),IF('POINTAGE'!$AD$5&lt;&gt;"",IF('POINTAGE'!AD98="Présent",'POINTAGE'!AE98,0),0),IF('POINTAGE'!$AF$5&lt;&gt;"",IF('POINTAGE'!AF98="Présent",'POINTAGE'!AG98,0),0)))</f>
      </c>
      <c r="I98" s="24">
        <f>IF($A98="","",$F98*$D98)</f>
      </c>
      <c r="J98" s="24">
        <f>IF($A98="","",$H98*$E98)</f>
      </c>
      <c r="K98" s="25">
        <f>IF($A98="","",$I98+$J98)</f>
      </c>
      <c r="L98" s="18"/>
      <c r="M98" s="25">
        <f>IF($A98="","",MAX(0,$K98-$L98))</f>
      </c>
      <c r="N98" s="22">
        <f>IF($A98="","",SUM(IF('POINTAGE'!$AH$5&lt;&gt;"",--('POINTAGE'!AH98="Présent"),0),IF('POINTAGE'!$AJ$5&lt;&gt;"",--('POINTAGE'!AJ98="Présent"),0),IF('POINTAGE'!$AL$5&lt;&gt;"",--('POINTAGE'!AL98="Présent"),0),IF('POINTAGE'!$AN$5&lt;&gt;"",--('POINTAGE'!AN98="Présent"),0),IF('POINTAGE'!$AP$5&lt;&gt;"",--('POINTAGE'!AP98="Présent"),0),IF('POINTAGE'!$AR$5&lt;&gt;"",--('POINTAGE'!AR98="Présent"),0),IF('POINTAGE'!$AT$5&lt;&gt;"",--('POINTAGE'!AT98="Présent"),0),IF('POINTAGE'!$AV$5&lt;&gt;"",--('POINTAGE'!AV98="Présent"),0),IF('POINTAGE'!$AX$5&lt;&gt;"",--('POINTAGE'!AX98="Présent"),0),IF('POINTAGE'!$AZ$5&lt;&gt;"",--('POINTAGE'!AZ98="Présent"),0),IF('POINTAGE'!$BB$5&lt;&gt;"",--('POINTAGE'!BB98="Présent"),0),IF('POINTAGE'!$BD$5&lt;&gt;"",--('POINTAGE'!BD98="Présent"),0),IF('POINTAGE'!$BF$5&lt;&gt;"",--('POINTAGE'!BF98="Présent"),0),IF('POINTAGE'!$BH$5&lt;&gt;"",--('POINTAGE'!BH98="Présent"),0),IF('POINTAGE'!$BJ$5&lt;&gt;"",--('POINTAGE'!BJ98="Présent"),0),IF('POINTAGE'!$BL$5&lt;&gt;"",--('POINTAGE'!BL98="Présent"),0)))</f>
      </c>
      <c r="O98" s="22">
        <f>IF($A98="","",SUM(IF('POINTAGE'!$AH$5&lt;&gt;"",--('POINTAGE'!AH98="Absent"),0),IF('POINTAGE'!$AJ$5&lt;&gt;"",--('POINTAGE'!AJ98="Absent"),0),IF('POINTAGE'!$AL$5&lt;&gt;"",--('POINTAGE'!AL98="Absent"),0),IF('POINTAGE'!$AN$5&lt;&gt;"",--('POINTAGE'!AN98="Absent"),0),IF('POINTAGE'!$AP$5&lt;&gt;"",--('POINTAGE'!AP98="Absent"),0),IF('POINTAGE'!$AR$5&lt;&gt;"",--('POINTAGE'!AR98="Absent"),0),IF('POINTAGE'!$AT$5&lt;&gt;"",--('POINTAGE'!AT98="Absent"),0),IF('POINTAGE'!$AV$5&lt;&gt;"",--('POINTAGE'!AV98="Absent"),0),IF('POINTAGE'!$AX$5&lt;&gt;"",--('POINTAGE'!AX98="Absent"),0),IF('POINTAGE'!$AZ$5&lt;&gt;"",--('POINTAGE'!AZ98="Absent"),0),IF('POINTAGE'!$BB$5&lt;&gt;"",--('POINTAGE'!BB98="Absent"),0),IF('POINTAGE'!$BD$5&lt;&gt;"",--('POINTAGE'!BD98="Absent"),0),IF('POINTAGE'!$BF$5&lt;&gt;"",--('POINTAGE'!BF98="Absent"),0),IF('POINTAGE'!$BH$5&lt;&gt;"",--('POINTAGE'!BH98="Absent"),0),IF('POINTAGE'!$BJ$5&lt;&gt;"",--('POINTAGE'!BJ98="Absent"),0),IF('POINTAGE'!$BL$5&lt;&gt;"",--('POINTAGE'!BL98="Absent"),0)))</f>
      </c>
      <c r="P98" s="23">
        <f>IF($A98="","",SUM(IF('POINTAGE'!$AH$5&lt;&gt;"",IF('POINTAGE'!AH98="Présent",'POINTAGE'!AI98,0),0),IF('POINTAGE'!$AJ$5&lt;&gt;"",IF('POINTAGE'!AJ98="Présent",'POINTAGE'!AK98,0),0),IF('POINTAGE'!$AL$5&lt;&gt;"",IF('POINTAGE'!AL98="Présent",'POINTAGE'!AM98,0),0),IF('POINTAGE'!$AN$5&lt;&gt;"",IF('POINTAGE'!AN98="Présent",'POINTAGE'!AO98,0),0),IF('POINTAGE'!$AP$5&lt;&gt;"",IF('POINTAGE'!AP98="Présent",'POINTAGE'!AQ98,0),0),IF('POINTAGE'!$AR$5&lt;&gt;"",IF('POINTAGE'!AR98="Présent",'POINTAGE'!AS98,0),0),IF('POINTAGE'!$AT$5&lt;&gt;"",IF('POINTAGE'!AT98="Présent",'POINTAGE'!AU98,0),0),IF('POINTAGE'!$AV$5&lt;&gt;"",IF('POINTAGE'!AV98="Présent",'POINTAGE'!AW98,0),0),IF('POINTAGE'!$AX$5&lt;&gt;"",IF('POINTAGE'!AX98="Présent",'POINTAGE'!AY98,0),0),IF('POINTAGE'!$AZ$5&lt;&gt;"",IF('POINTAGE'!AZ98="Présent",'POINTAGE'!BA98,0),0),IF('POINTAGE'!$BB$5&lt;&gt;"",IF('POINTAGE'!BB98="Présent",'POINTAGE'!BC98,0),0),IF('POINTAGE'!$BD$5&lt;&gt;"",IF('POINTAGE'!BD98="Présent",'POINTAGE'!BE98,0),0),IF('POINTAGE'!$BF$5&lt;&gt;"",IF('POINTAGE'!BF98="Présent",'POINTAGE'!BG98,0),0),IF('POINTAGE'!$BH$5&lt;&gt;"",IF('POINTAGE'!BH98="Présent",'POINTAGE'!BI98,0),0),IF('POINTAGE'!$BJ$5&lt;&gt;"",IF('POINTAGE'!BJ98="Présent",'POINTAGE'!BK98,0),0),IF('POINTAGE'!$BL$5&lt;&gt;"",IF('POINTAGE'!BL98="Présent",'POINTAGE'!BM98,0),0)))</f>
      </c>
      <c r="Q98" s="24">
        <f>IF($A98="","",$N98*$D98)</f>
      </c>
      <c r="R98" s="24">
        <f>IF($A98="","",$P98*$E98)</f>
      </c>
      <c r="S98" s="25">
        <f>IF($A98="","",$Q98+$R98)</f>
      </c>
      <c r="T98" s="18"/>
      <c r="U98" s="25">
        <f>IF($A98="","",MAX(0,$S98-$T98))</f>
      </c>
      <c r="V98" s="25">
        <f>IF($A98="","",$K98+$S98)</f>
      </c>
      <c r="W98" s="24">
        <f>IF($A98="","",$L98+$T98)</f>
      </c>
      <c r="X98" s="25">
        <f>IF($A98="","",$M98+$U98)</f>
      </c>
      <c r="Y98" s="29">
        <f>IF($A98="","",$J98+$R98)</f>
      </c>
    </row>
    <row r="99">
      <c r="A99" s="20">
        <f>IF('POINTAGE'!A99="","",'POINTAGE'!A99)</f>
      </c>
      <c r="B99" s="19">
        <f>IF($A99="","",'POINTAGE'!B99)</f>
      </c>
      <c r="C99" s="20">
        <f>IF($A99="","",'POINTAGE'!C99)</f>
      </c>
      <c r="D99" s="24">
        <f>IF($A99="","",IFERROR(INDEX(Categories_Salaire,MATCH($C99,ListeCategories,0)),0))</f>
      </c>
      <c r="E99" s="24">
        <f>IF($A99="","",IF(IFERROR(INDEX(Categories_TauxHS,MATCH($C99,ListeCategories,0)),0)&gt;0,IFERROR(INDEX(Categories_TauxHS,MATCH($C99,ListeCategories,0)),0),TauxHSDefaut))</f>
      </c>
      <c r="F99" s="22">
        <f>IF($A99="","",SUM(IF('POINTAGE'!$D$5&lt;&gt;"",--('POINTAGE'!D99="Présent"),0),IF('POINTAGE'!$F$5&lt;&gt;"",--('POINTAGE'!F99="Présent"),0),IF('POINTAGE'!$H$5&lt;&gt;"",--('POINTAGE'!H99="Présent"),0),IF('POINTAGE'!$J$5&lt;&gt;"",--('POINTAGE'!J99="Présent"),0),IF('POINTAGE'!$L$5&lt;&gt;"",--('POINTAGE'!L99="Présent"),0),IF('POINTAGE'!$N$5&lt;&gt;"",--('POINTAGE'!N99="Présent"),0),IF('POINTAGE'!$P$5&lt;&gt;"",--('POINTAGE'!P99="Présent"),0),IF('POINTAGE'!$R$5&lt;&gt;"",--('POINTAGE'!R99="Présent"),0),IF('POINTAGE'!$T$5&lt;&gt;"",--('POINTAGE'!T99="Présent"),0),IF('POINTAGE'!$V$5&lt;&gt;"",--('POINTAGE'!V99="Présent"),0),IF('POINTAGE'!$X$5&lt;&gt;"",--('POINTAGE'!X99="Présent"),0),IF('POINTAGE'!$Z$5&lt;&gt;"",--('POINTAGE'!Z99="Présent"),0),IF('POINTAGE'!$AB$5&lt;&gt;"",--('POINTAGE'!AB99="Présent"),0),IF('POINTAGE'!$AD$5&lt;&gt;"",--('POINTAGE'!AD99="Présent"),0),IF('POINTAGE'!$AF$5&lt;&gt;"",--('POINTAGE'!AF99="Présent"),0)))</f>
      </c>
      <c r="G99" s="22">
        <f>IF($A99="","",SUM(IF('POINTAGE'!$D$5&lt;&gt;"",--('POINTAGE'!D99="Absent"),0),IF('POINTAGE'!$F$5&lt;&gt;"",--('POINTAGE'!F99="Absent"),0),IF('POINTAGE'!$H$5&lt;&gt;"",--('POINTAGE'!H99="Absent"),0),IF('POINTAGE'!$J$5&lt;&gt;"",--('POINTAGE'!J99="Absent"),0),IF('POINTAGE'!$L$5&lt;&gt;"",--('POINTAGE'!L99="Absent"),0),IF('POINTAGE'!$N$5&lt;&gt;"",--('POINTAGE'!N99="Absent"),0),IF('POINTAGE'!$P$5&lt;&gt;"",--('POINTAGE'!P99="Absent"),0),IF('POINTAGE'!$R$5&lt;&gt;"",--('POINTAGE'!R99="Absent"),0),IF('POINTAGE'!$T$5&lt;&gt;"",--('POINTAGE'!T99="Absent"),0),IF('POINTAGE'!$V$5&lt;&gt;"",--('POINTAGE'!V99="Absent"),0),IF('POINTAGE'!$X$5&lt;&gt;"",--('POINTAGE'!X99="Absent"),0),IF('POINTAGE'!$Z$5&lt;&gt;"",--('POINTAGE'!Z99="Absent"),0),IF('POINTAGE'!$AB$5&lt;&gt;"",--('POINTAGE'!AB99="Absent"),0),IF('POINTAGE'!$AD$5&lt;&gt;"",--('POINTAGE'!AD99="Absent"),0),IF('POINTAGE'!$AF$5&lt;&gt;"",--('POINTAGE'!AF99="Absent"),0)))</f>
      </c>
      <c r="H99" s="23">
        <f>IF($A99="","",SUM(IF('POINTAGE'!$D$5&lt;&gt;"",IF('POINTAGE'!D99="Présent",'POINTAGE'!E99,0),0),IF('POINTAGE'!$F$5&lt;&gt;"",IF('POINTAGE'!F99="Présent",'POINTAGE'!G99,0),0),IF('POINTAGE'!$H$5&lt;&gt;"",IF('POINTAGE'!H99="Présent",'POINTAGE'!I99,0),0),IF('POINTAGE'!$J$5&lt;&gt;"",IF('POINTAGE'!J99="Présent",'POINTAGE'!K99,0),0),IF('POINTAGE'!$L$5&lt;&gt;"",IF('POINTAGE'!L99="Présent",'POINTAGE'!M99,0),0),IF('POINTAGE'!$N$5&lt;&gt;"",IF('POINTAGE'!N99="Présent",'POINTAGE'!O99,0),0),IF('POINTAGE'!$P$5&lt;&gt;"",IF('POINTAGE'!P99="Présent",'POINTAGE'!Q99,0),0),IF('POINTAGE'!$R$5&lt;&gt;"",IF('POINTAGE'!R99="Présent",'POINTAGE'!S99,0),0),IF('POINTAGE'!$T$5&lt;&gt;"",IF('POINTAGE'!T99="Présent",'POINTAGE'!U99,0),0),IF('POINTAGE'!$V$5&lt;&gt;"",IF('POINTAGE'!V99="Présent",'POINTAGE'!W99,0),0),IF('POINTAGE'!$X$5&lt;&gt;"",IF('POINTAGE'!X99="Présent",'POINTAGE'!Y99,0),0),IF('POINTAGE'!$Z$5&lt;&gt;"",IF('POINTAGE'!Z99="Présent",'POINTAGE'!AA99,0),0),IF('POINTAGE'!$AB$5&lt;&gt;"",IF('POINTAGE'!AB99="Présent",'POINTAGE'!AC99,0),0),IF('POINTAGE'!$AD$5&lt;&gt;"",IF('POINTAGE'!AD99="Présent",'POINTAGE'!AE99,0),0),IF('POINTAGE'!$AF$5&lt;&gt;"",IF('POINTAGE'!AF99="Présent",'POINTAGE'!AG99,0),0)))</f>
      </c>
      <c r="I99" s="24">
        <f>IF($A99="","",$F99*$D99)</f>
      </c>
      <c r="J99" s="24">
        <f>IF($A99="","",$H99*$E99)</f>
      </c>
      <c r="K99" s="25">
        <f>IF($A99="","",$I99+$J99)</f>
      </c>
      <c r="L99" s="18"/>
      <c r="M99" s="25">
        <f>IF($A99="","",MAX(0,$K99-$L99))</f>
      </c>
      <c r="N99" s="22">
        <f>IF($A99="","",SUM(IF('POINTAGE'!$AH$5&lt;&gt;"",--('POINTAGE'!AH99="Présent"),0),IF('POINTAGE'!$AJ$5&lt;&gt;"",--('POINTAGE'!AJ99="Présent"),0),IF('POINTAGE'!$AL$5&lt;&gt;"",--('POINTAGE'!AL99="Présent"),0),IF('POINTAGE'!$AN$5&lt;&gt;"",--('POINTAGE'!AN99="Présent"),0),IF('POINTAGE'!$AP$5&lt;&gt;"",--('POINTAGE'!AP99="Présent"),0),IF('POINTAGE'!$AR$5&lt;&gt;"",--('POINTAGE'!AR99="Présent"),0),IF('POINTAGE'!$AT$5&lt;&gt;"",--('POINTAGE'!AT99="Présent"),0),IF('POINTAGE'!$AV$5&lt;&gt;"",--('POINTAGE'!AV99="Présent"),0),IF('POINTAGE'!$AX$5&lt;&gt;"",--('POINTAGE'!AX99="Présent"),0),IF('POINTAGE'!$AZ$5&lt;&gt;"",--('POINTAGE'!AZ99="Présent"),0),IF('POINTAGE'!$BB$5&lt;&gt;"",--('POINTAGE'!BB99="Présent"),0),IF('POINTAGE'!$BD$5&lt;&gt;"",--('POINTAGE'!BD99="Présent"),0),IF('POINTAGE'!$BF$5&lt;&gt;"",--('POINTAGE'!BF99="Présent"),0),IF('POINTAGE'!$BH$5&lt;&gt;"",--('POINTAGE'!BH99="Présent"),0),IF('POINTAGE'!$BJ$5&lt;&gt;"",--('POINTAGE'!BJ99="Présent"),0),IF('POINTAGE'!$BL$5&lt;&gt;"",--('POINTAGE'!BL99="Présent"),0)))</f>
      </c>
      <c r="O99" s="22">
        <f>IF($A99="","",SUM(IF('POINTAGE'!$AH$5&lt;&gt;"",--('POINTAGE'!AH99="Absent"),0),IF('POINTAGE'!$AJ$5&lt;&gt;"",--('POINTAGE'!AJ99="Absent"),0),IF('POINTAGE'!$AL$5&lt;&gt;"",--('POINTAGE'!AL99="Absent"),0),IF('POINTAGE'!$AN$5&lt;&gt;"",--('POINTAGE'!AN99="Absent"),0),IF('POINTAGE'!$AP$5&lt;&gt;"",--('POINTAGE'!AP99="Absent"),0),IF('POINTAGE'!$AR$5&lt;&gt;"",--('POINTAGE'!AR99="Absent"),0),IF('POINTAGE'!$AT$5&lt;&gt;"",--('POINTAGE'!AT99="Absent"),0),IF('POINTAGE'!$AV$5&lt;&gt;"",--('POINTAGE'!AV99="Absent"),0),IF('POINTAGE'!$AX$5&lt;&gt;"",--('POINTAGE'!AX99="Absent"),0),IF('POINTAGE'!$AZ$5&lt;&gt;"",--('POINTAGE'!AZ99="Absent"),0),IF('POINTAGE'!$BB$5&lt;&gt;"",--('POINTAGE'!BB99="Absent"),0),IF('POINTAGE'!$BD$5&lt;&gt;"",--('POINTAGE'!BD99="Absent"),0),IF('POINTAGE'!$BF$5&lt;&gt;"",--('POINTAGE'!BF99="Absent"),0),IF('POINTAGE'!$BH$5&lt;&gt;"",--('POINTAGE'!BH99="Absent"),0),IF('POINTAGE'!$BJ$5&lt;&gt;"",--('POINTAGE'!BJ99="Absent"),0),IF('POINTAGE'!$BL$5&lt;&gt;"",--('POINTAGE'!BL99="Absent"),0)))</f>
      </c>
      <c r="P99" s="23">
        <f>IF($A99="","",SUM(IF('POINTAGE'!$AH$5&lt;&gt;"",IF('POINTAGE'!AH99="Présent",'POINTAGE'!AI99,0),0),IF('POINTAGE'!$AJ$5&lt;&gt;"",IF('POINTAGE'!AJ99="Présent",'POINTAGE'!AK99,0),0),IF('POINTAGE'!$AL$5&lt;&gt;"",IF('POINTAGE'!AL99="Présent",'POINTAGE'!AM99,0),0),IF('POINTAGE'!$AN$5&lt;&gt;"",IF('POINTAGE'!AN99="Présent",'POINTAGE'!AO99,0),0),IF('POINTAGE'!$AP$5&lt;&gt;"",IF('POINTAGE'!AP99="Présent",'POINTAGE'!AQ99,0),0),IF('POINTAGE'!$AR$5&lt;&gt;"",IF('POINTAGE'!AR99="Présent",'POINTAGE'!AS99,0),0),IF('POINTAGE'!$AT$5&lt;&gt;"",IF('POINTAGE'!AT99="Présent",'POINTAGE'!AU99,0),0),IF('POINTAGE'!$AV$5&lt;&gt;"",IF('POINTAGE'!AV99="Présent",'POINTAGE'!AW99,0),0),IF('POINTAGE'!$AX$5&lt;&gt;"",IF('POINTAGE'!AX99="Présent",'POINTAGE'!AY99,0),0),IF('POINTAGE'!$AZ$5&lt;&gt;"",IF('POINTAGE'!AZ99="Présent",'POINTAGE'!BA99,0),0),IF('POINTAGE'!$BB$5&lt;&gt;"",IF('POINTAGE'!BB99="Présent",'POINTAGE'!BC99,0),0),IF('POINTAGE'!$BD$5&lt;&gt;"",IF('POINTAGE'!BD99="Présent",'POINTAGE'!BE99,0),0),IF('POINTAGE'!$BF$5&lt;&gt;"",IF('POINTAGE'!BF99="Présent",'POINTAGE'!BG99,0),0),IF('POINTAGE'!$BH$5&lt;&gt;"",IF('POINTAGE'!BH99="Présent",'POINTAGE'!BI99,0),0),IF('POINTAGE'!$BJ$5&lt;&gt;"",IF('POINTAGE'!BJ99="Présent",'POINTAGE'!BK99,0),0),IF('POINTAGE'!$BL$5&lt;&gt;"",IF('POINTAGE'!BL99="Présent",'POINTAGE'!BM99,0),0)))</f>
      </c>
      <c r="Q99" s="24">
        <f>IF($A99="","",$N99*$D99)</f>
      </c>
      <c r="R99" s="24">
        <f>IF($A99="","",$P99*$E99)</f>
      </c>
      <c r="S99" s="25">
        <f>IF($A99="","",$Q99+$R99)</f>
      </c>
      <c r="T99" s="18"/>
      <c r="U99" s="25">
        <f>IF($A99="","",MAX(0,$S99-$T99))</f>
      </c>
      <c r="V99" s="25">
        <f>IF($A99="","",$K99+$S99)</f>
      </c>
      <c r="W99" s="24">
        <f>IF($A99="","",$L99+$T99)</f>
      </c>
      <c r="X99" s="25">
        <f>IF($A99="","",$M99+$U99)</f>
      </c>
      <c r="Y99" s="29">
        <f>IF($A99="","",$J99+$R99)</f>
      </c>
    </row>
    <row r="100">
      <c r="A100" s="20">
        <f>IF('POINTAGE'!A100="","",'POINTAGE'!A100)</f>
      </c>
      <c r="B100" s="19">
        <f>IF($A100="","",'POINTAGE'!B100)</f>
      </c>
      <c r="C100" s="20">
        <f>IF($A100="","",'POINTAGE'!C100)</f>
      </c>
      <c r="D100" s="24">
        <f>IF($A100="","",IFERROR(INDEX(Categories_Salaire,MATCH($C100,ListeCategories,0)),0))</f>
      </c>
      <c r="E100" s="24">
        <f>IF($A100="","",IF(IFERROR(INDEX(Categories_TauxHS,MATCH($C100,ListeCategories,0)),0)&gt;0,IFERROR(INDEX(Categories_TauxHS,MATCH($C100,ListeCategories,0)),0),TauxHSDefaut))</f>
      </c>
      <c r="F100" s="22">
        <f>IF($A100="","",SUM(IF('POINTAGE'!$D$5&lt;&gt;"",--('POINTAGE'!D100="Présent"),0),IF('POINTAGE'!$F$5&lt;&gt;"",--('POINTAGE'!F100="Présent"),0),IF('POINTAGE'!$H$5&lt;&gt;"",--('POINTAGE'!H100="Présent"),0),IF('POINTAGE'!$J$5&lt;&gt;"",--('POINTAGE'!J100="Présent"),0),IF('POINTAGE'!$L$5&lt;&gt;"",--('POINTAGE'!L100="Présent"),0),IF('POINTAGE'!$N$5&lt;&gt;"",--('POINTAGE'!N100="Présent"),0),IF('POINTAGE'!$P$5&lt;&gt;"",--('POINTAGE'!P100="Présent"),0),IF('POINTAGE'!$R$5&lt;&gt;"",--('POINTAGE'!R100="Présent"),0),IF('POINTAGE'!$T$5&lt;&gt;"",--('POINTAGE'!T100="Présent"),0),IF('POINTAGE'!$V$5&lt;&gt;"",--('POINTAGE'!V100="Présent"),0),IF('POINTAGE'!$X$5&lt;&gt;"",--('POINTAGE'!X100="Présent"),0),IF('POINTAGE'!$Z$5&lt;&gt;"",--('POINTAGE'!Z100="Présent"),0),IF('POINTAGE'!$AB$5&lt;&gt;"",--('POINTAGE'!AB100="Présent"),0),IF('POINTAGE'!$AD$5&lt;&gt;"",--('POINTAGE'!AD100="Présent"),0),IF('POINTAGE'!$AF$5&lt;&gt;"",--('POINTAGE'!AF100="Présent"),0)))</f>
      </c>
      <c r="G100" s="22">
        <f>IF($A100="","",SUM(IF('POINTAGE'!$D$5&lt;&gt;"",--('POINTAGE'!D100="Absent"),0),IF('POINTAGE'!$F$5&lt;&gt;"",--('POINTAGE'!F100="Absent"),0),IF('POINTAGE'!$H$5&lt;&gt;"",--('POINTAGE'!H100="Absent"),0),IF('POINTAGE'!$J$5&lt;&gt;"",--('POINTAGE'!J100="Absent"),0),IF('POINTAGE'!$L$5&lt;&gt;"",--('POINTAGE'!L100="Absent"),0),IF('POINTAGE'!$N$5&lt;&gt;"",--('POINTAGE'!N100="Absent"),0),IF('POINTAGE'!$P$5&lt;&gt;"",--('POINTAGE'!P100="Absent"),0),IF('POINTAGE'!$R$5&lt;&gt;"",--('POINTAGE'!R100="Absent"),0),IF('POINTAGE'!$T$5&lt;&gt;"",--('POINTAGE'!T100="Absent"),0),IF('POINTAGE'!$V$5&lt;&gt;"",--('POINTAGE'!V100="Absent"),0),IF('POINTAGE'!$X$5&lt;&gt;"",--('POINTAGE'!X100="Absent"),0),IF('POINTAGE'!$Z$5&lt;&gt;"",--('POINTAGE'!Z100="Absent"),0),IF('POINTAGE'!$AB$5&lt;&gt;"",--('POINTAGE'!AB100="Absent"),0),IF('POINTAGE'!$AD$5&lt;&gt;"",--('POINTAGE'!AD100="Absent"),0),IF('POINTAGE'!$AF$5&lt;&gt;"",--('POINTAGE'!AF100="Absent"),0)))</f>
      </c>
      <c r="H100" s="23">
        <f>IF($A100="","",SUM(IF('POINTAGE'!$D$5&lt;&gt;"",IF('POINTAGE'!D100="Présent",'POINTAGE'!E100,0),0),IF('POINTAGE'!$F$5&lt;&gt;"",IF('POINTAGE'!F100="Présent",'POINTAGE'!G100,0),0),IF('POINTAGE'!$H$5&lt;&gt;"",IF('POINTAGE'!H100="Présent",'POINTAGE'!I100,0),0),IF('POINTAGE'!$J$5&lt;&gt;"",IF('POINTAGE'!J100="Présent",'POINTAGE'!K100,0),0),IF('POINTAGE'!$L$5&lt;&gt;"",IF('POINTAGE'!L100="Présent",'POINTAGE'!M100,0),0),IF('POINTAGE'!$N$5&lt;&gt;"",IF('POINTAGE'!N100="Présent",'POINTAGE'!O100,0),0),IF('POINTAGE'!$P$5&lt;&gt;"",IF('POINTAGE'!P100="Présent",'POINTAGE'!Q100,0),0),IF('POINTAGE'!$R$5&lt;&gt;"",IF('POINTAGE'!R100="Présent",'POINTAGE'!S100,0),0),IF('POINTAGE'!$T$5&lt;&gt;"",IF('POINTAGE'!T100="Présent",'POINTAGE'!U100,0),0),IF('POINTAGE'!$V$5&lt;&gt;"",IF('POINTAGE'!V100="Présent",'POINTAGE'!W100,0),0),IF('POINTAGE'!$X$5&lt;&gt;"",IF('POINTAGE'!X100="Présent",'POINTAGE'!Y100,0),0),IF('POINTAGE'!$Z$5&lt;&gt;"",IF('POINTAGE'!Z100="Présent",'POINTAGE'!AA100,0),0),IF('POINTAGE'!$AB$5&lt;&gt;"",IF('POINTAGE'!AB100="Présent",'POINTAGE'!AC100,0),0),IF('POINTAGE'!$AD$5&lt;&gt;"",IF('POINTAGE'!AD100="Présent",'POINTAGE'!AE100,0),0),IF('POINTAGE'!$AF$5&lt;&gt;"",IF('POINTAGE'!AF100="Présent",'POINTAGE'!AG100,0),0)))</f>
      </c>
      <c r="I100" s="24">
        <f>IF($A100="","",$F100*$D100)</f>
      </c>
      <c r="J100" s="24">
        <f>IF($A100="","",$H100*$E100)</f>
      </c>
      <c r="K100" s="25">
        <f>IF($A100="","",$I100+$J100)</f>
      </c>
      <c r="L100" s="18"/>
      <c r="M100" s="25">
        <f>IF($A100="","",MAX(0,$K100-$L100))</f>
      </c>
      <c r="N100" s="22">
        <f>IF($A100="","",SUM(IF('POINTAGE'!$AH$5&lt;&gt;"",--('POINTAGE'!AH100="Présent"),0),IF('POINTAGE'!$AJ$5&lt;&gt;"",--('POINTAGE'!AJ100="Présent"),0),IF('POINTAGE'!$AL$5&lt;&gt;"",--('POINTAGE'!AL100="Présent"),0),IF('POINTAGE'!$AN$5&lt;&gt;"",--('POINTAGE'!AN100="Présent"),0),IF('POINTAGE'!$AP$5&lt;&gt;"",--('POINTAGE'!AP100="Présent"),0),IF('POINTAGE'!$AR$5&lt;&gt;"",--('POINTAGE'!AR100="Présent"),0),IF('POINTAGE'!$AT$5&lt;&gt;"",--('POINTAGE'!AT100="Présent"),0),IF('POINTAGE'!$AV$5&lt;&gt;"",--('POINTAGE'!AV100="Présent"),0),IF('POINTAGE'!$AX$5&lt;&gt;"",--('POINTAGE'!AX100="Présent"),0),IF('POINTAGE'!$AZ$5&lt;&gt;"",--('POINTAGE'!AZ100="Présent"),0),IF('POINTAGE'!$BB$5&lt;&gt;"",--('POINTAGE'!BB100="Présent"),0),IF('POINTAGE'!$BD$5&lt;&gt;"",--('POINTAGE'!BD100="Présent"),0),IF('POINTAGE'!$BF$5&lt;&gt;"",--('POINTAGE'!BF100="Présent"),0),IF('POINTAGE'!$BH$5&lt;&gt;"",--('POINTAGE'!BH100="Présent"),0),IF('POINTAGE'!$BJ$5&lt;&gt;"",--('POINTAGE'!BJ100="Présent"),0),IF('POINTAGE'!$BL$5&lt;&gt;"",--('POINTAGE'!BL100="Présent"),0)))</f>
      </c>
      <c r="O100" s="22">
        <f>IF($A100="","",SUM(IF('POINTAGE'!$AH$5&lt;&gt;"",--('POINTAGE'!AH100="Absent"),0),IF('POINTAGE'!$AJ$5&lt;&gt;"",--('POINTAGE'!AJ100="Absent"),0),IF('POINTAGE'!$AL$5&lt;&gt;"",--('POINTAGE'!AL100="Absent"),0),IF('POINTAGE'!$AN$5&lt;&gt;"",--('POINTAGE'!AN100="Absent"),0),IF('POINTAGE'!$AP$5&lt;&gt;"",--('POINTAGE'!AP100="Absent"),0),IF('POINTAGE'!$AR$5&lt;&gt;"",--('POINTAGE'!AR100="Absent"),0),IF('POINTAGE'!$AT$5&lt;&gt;"",--('POINTAGE'!AT100="Absent"),0),IF('POINTAGE'!$AV$5&lt;&gt;"",--('POINTAGE'!AV100="Absent"),0),IF('POINTAGE'!$AX$5&lt;&gt;"",--('POINTAGE'!AX100="Absent"),0),IF('POINTAGE'!$AZ$5&lt;&gt;"",--('POINTAGE'!AZ100="Absent"),0),IF('POINTAGE'!$BB$5&lt;&gt;"",--('POINTAGE'!BB100="Absent"),0),IF('POINTAGE'!$BD$5&lt;&gt;"",--('POINTAGE'!BD100="Absent"),0),IF('POINTAGE'!$BF$5&lt;&gt;"",--('POINTAGE'!BF100="Absent"),0),IF('POINTAGE'!$BH$5&lt;&gt;"",--('POINTAGE'!BH100="Absent"),0),IF('POINTAGE'!$BJ$5&lt;&gt;"",--('POINTAGE'!BJ100="Absent"),0),IF('POINTAGE'!$BL$5&lt;&gt;"",--('POINTAGE'!BL100="Absent"),0)))</f>
      </c>
      <c r="P100" s="23">
        <f>IF($A100="","",SUM(IF('POINTAGE'!$AH$5&lt;&gt;"",IF('POINTAGE'!AH100="Présent",'POINTAGE'!AI100,0),0),IF('POINTAGE'!$AJ$5&lt;&gt;"",IF('POINTAGE'!AJ100="Présent",'POINTAGE'!AK100,0),0),IF('POINTAGE'!$AL$5&lt;&gt;"",IF('POINTAGE'!AL100="Présent",'POINTAGE'!AM100,0),0),IF('POINTAGE'!$AN$5&lt;&gt;"",IF('POINTAGE'!AN100="Présent",'POINTAGE'!AO100,0),0),IF('POINTAGE'!$AP$5&lt;&gt;"",IF('POINTAGE'!AP100="Présent",'POINTAGE'!AQ100,0),0),IF('POINTAGE'!$AR$5&lt;&gt;"",IF('POINTAGE'!AR100="Présent",'POINTAGE'!AS100,0),0),IF('POINTAGE'!$AT$5&lt;&gt;"",IF('POINTAGE'!AT100="Présent",'POINTAGE'!AU100,0),0),IF('POINTAGE'!$AV$5&lt;&gt;"",IF('POINTAGE'!AV100="Présent",'POINTAGE'!AW100,0),0),IF('POINTAGE'!$AX$5&lt;&gt;"",IF('POINTAGE'!AX100="Présent",'POINTAGE'!AY100,0),0),IF('POINTAGE'!$AZ$5&lt;&gt;"",IF('POINTAGE'!AZ100="Présent",'POINTAGE'!BA100,0),0),IF('POINTAGE'!$BB$5&lt;&gt;"",IF('POINTAGE'!BB100="Présent",'POINTAGE'!BC100,0),0),IF('POINTAGE'!$BD$5&lt;&gt;"",IF('POINTAGE'!BD100="Présent",'POINTAGE'!BE100,0),0),IF('POINTAGE'!$BF$5&lt;&gt;"",IF('POINTAGE'!BF100="Présent",'POINTAGE'!BG100,0),0),IF('POINTAGE'!$BH$5&lt;&gt;"",IF('POINTAGE'!BH100="Présent",'POINTAGE'!BI100,0),0),IF('POINTAGE'!$BJ$5&lt;&gt;"",IF('POINTAGE'!BJ100="Présent",'POINTAGE'!BK100,0),0),IF('POINTAGE'!$BL$5&lt;&gt;"",IF('POINTAGE'!BL100="Présent",'POINTAGE'!BM100,0),0)))</f>
      </c>
      <c r="Q100" s="24">
        <f>IF($A100="","",$N100*$D100)</f>
      </c>
      <c r="R100" s="24">
        <f>IF($A100="","",$P100*$E100)</f>
      </c>
      <c r="S100" s="25">
        <f>IF($A100="","",$Q100+$R100)</f>
      </c>
      <c r="T100" s="18"/>
      <c r="U100" s="25">
        <f>IF($A100="","",MAX(0,$S100-$T100))</f>
      </c>
      <c r="V100" s="25">
        <f>IF($A100="","",$K100+$S100)</f>
      </c>
      <c r="W100" s="24">
        <f>IF($A100="","",$L100+$T100)</f>
      </c>
      <c r="X100" s="25">
        <f>IF($A100="","",$M100+$U100)</f>
      </c>
      <c r="Y100" s="29">
        <f>IF($A100="","",$J100+$R100)</f>
      </c>
    </row>
    <row r="101">
      <c r="A101" s="20">
        <f>IF('POINTAGE'!A101="","",'POINTAGE'!A101)</f>
      </c>
      <c r="B101" s="19">
        <f>IF($A101="","",'POINTAGE'!B101)</f>
      </c>
      <c r="C101" s="20">
        <f>IF($A101="","",'POINTAGE'!C101)</f>
      </c>
      <c r="D101" s="24">
        <f>IF($A101="","",IFERROR(INDEX(Categories_Salaire,MATCH($C101,ListeCategories,0)),0))</f>
      </c>
      <c r="E101" s="24">
        <f>IF($A101="","",IF(IFERROR(INDEX(Categories_TauxHS,MATCH($C101,ListeCategories,0)),0)&gt;0,IFERROR(INDEX(Categories_TauxHS,MATCH($C101,ListeCategories,0)),0),TauxHSDefaut))</f>
      </c>
      <c r="F101" s="22">
        <f>IF($A101="","",SUM(IF('POINTAGE'!$D$5&lt;&gt;"",--('POINTAGE'!D101="Présent"),0),IF('POINTAGE'!$F$5&lt;&gt;"",--('POINTAGE'!F101="Présent"),0),IF('POINTAGE'!$H$5&lt;&gt;"",--('POINTAGE'!H101="Présent"),0),IF('POINTAGE'!$J$5&lt;&gt;"",--('POINTAGE'!J101="Présent"),0),IF('POINTAGE'!$L$5&lt;&gt;"",--('POINTAGE'!L101="Présent"),0),IF('POINTAGE'!$N$5&lt;&gt;"",--('POINTAGE'!N101="Présent"),0),IF('POINTAGE'!$P$5&lt;&gt;"",--('POINTAGE'!P101="Présent"),0),IF('POINTAGE'!$R$5&lt;&gt;"",--('POINTAGE'!R101="Présent"),0),IF('POINTAGE'!$T$5&lt;&gt;"",--('POINTAGE'!T101="Présent"),0),IF('POINTAGE'!$V$5&lt;&gt;"",--('POINTAGE'!V101="Présent"),0),IF('POINTAGE'!$X$5&lt;&gt;"",--('POINTAGE'!X101="Présent"),0),IF('POINTAGE'!$Z$5&lt;&gt;"",--('POINTAGE'!Z101="Présent"),0),IF('POINTAGE'!$AB$5&lt;&gt;"",--('POINTAGE'!AB101="Présent"),0),IF('POINTAGE'!$AD$5&lt;&gt;"",--('POINTAGE'!AD101="Présent"),0),IF('POINTAGE'!$AF$5&lt;&gt;"",--('POINTAGE'!AF101="Présent"),0)))</f>
      </c>
      <c r="G101" s="22">
        <f>IF($A101="","",SUM(IF('POINTAGE'!$D$5&lt;&gt;"",--('POINTAGE'!D101="Absent"),0),IF('POINTAGE'!$F$5&lt;&gt;"",--('POINTAGE'!F101="Absent"),0),IF('POINTAGE'!$H$5&lt;&gt;"",--('POINTAGE'!H101="Absent"),0),IF('POINTAGE'!$J$5&lt;&gt;"",--('POINTAGE'!J101="Absent"),0),IF('POINTAGE'!$L$5&lt;&gt;"",--('POINTAGE'!L101="Absent"),0),IF('POINTAGE'!$N$5&lt;&gt;"",--('POINTAGE'!N101="Absent"),0),IF('POINTAGE'!$P$5&lt;&gt;"",--('POINTAGE'!P101="Absent"),0),IF('POINTAGE'!$R$5&lt;&gt;"",--('POINTAGE'!R101="Absent"),0),IF('POINTAGE'!$T$5&lt;&gt;"",--('POINTAGE'!T101="Absent"),0),IF('POINTAGE'!$V$5&lt;&gt;"",--('POINTAGE'!V101="Absent"),0),IF('POINTAGE'!$X$5&lt;&gt;"",--('POINTAGE'!X101="Absent"),0),IF('POINTAGE'!$Z$5&lt;&gt;"",--('POINTAGE'!Z101="Absent"),0),IF('POINTAGE'!$AB$5&lt;&gt;"",--('POINTAGE'!AB101="Absent"),0),IF('POINTAGE'!$AD$5&lt;&gt;"",--('POINTAGE'!AD101="Absent"),0),IF('POINTAGE'!$AF$5&lt;&gt;"",--('POINTAGE'!AF101="Absent"),0)))</f>
      </c>
      <c r="H101" s="23">
        <f>IF($A101="","",SUM(IF('POINTAGE'!$D$5&lt;&gt;"",IF('POINTAGE'!D101="Présent",'POINTAGE'!E101,0),0),IF('POINTAGE'!$F$5&lt;&gt;"",IF('POINTAGE'!F101="Présent",'POINTAGE'!G101,0),0),IF('POINTAGE'!$H$5&lt;&gt;"",IF('POINTAGE'!H101="Présent",'POINTAGE'!I101,0),0),IF('POINTAGE'!$J$5&lt;&gt;"",IF('POINTAGE'!J101="Présent",'POINTAGE'!K101,0),0),IF('POINTAGE'!$L$5&lt;&gt;"",IF('POINTAGE'!L101="Présent",'POINTAGE'!M101,0),0),IF('POINTAGE'!$N$5&lt;&gt;"",IF('POINTAGE'!N101="Présent",'POINTAGE'!O101,0),0),IF('POINTAGE'!$P$5&lt;&gt;"",IF('POINTAGE'!P101="Présent",'POINTAGE'!Q101,0),0),IF('POINTAGE'!$R$5&lt;&gt;"",IF('POINTAGE'!R101="Présent",'POINTAGE'!S101,0),0),IF('POINTAGE'!$T$5&lt;&gt;"",IF('POINTAGE'!T101="Présent",'POINTAGE'!U101,0),0),IF('POINTAGE'!$V$5&lt;&gt;"",IF('POINTAGE'!V101="Présent",'POINTAGE'!W101,0),0),IF('POINTAGE'!$X$5&lt;&gt;"",IF('POINTAGE'!X101="Présent",'POINTAGE'!Y101,0),0),IF('POINTAGE'!$Z$5&lt;&gt;"",IF('POINTAGE'!Z101="Présent",'POINTAGE'!AA101,0),0),IF('POINTAGE'!$AB$5&lt;&gt;"",IF('POINTAGE'!AB101="Présent",'POINTAGE'!AC101,0),0),IF('POINTAGE'!$AD$5&lt;&gt;"",IF('POINTAGE'!AD101="Présent",'POINTAGE'!AE101,0),0),IF('POINTAGE'!$AF$5&lt;&gt;"",IF('POINTAGE'!AF101="Présent",'POINTAGE'!AG101,0),0)))</f>
      </c>
      <c r="I101" s="24">
        <f>IF($A101="","",$F101*$D101)</f>
      </c>
      <c r="J101" s="24">
        <f>IF($A101="","",$H101*$E101)</f>
      </c>
      <c r="K101" s="25">
        <f>IF($A101="","",$I101+$J101)</f>
      </c>
      <c r="L101" s="18"/>
      <c r="M101" s="25">
        <f>IF($A101="","",MAX(0,$K101-$L101))</f>
      </c>
      <c r="N101" s="22">
        <f>IF($A101="","",SUM(IF('POINTAGE'!$AH$5&lt;&gt;"",--('POINTAGE'!AH101="Présent"),0),IF('POINTAGE'!$AJ$5&lt;&gt;"",--('POINTAGE'!AJ101="Présent"),0),IF('POINTAGE'!$AL$5&lt;&gt;"",--('POINTAGE'!AL101="Présent"),0),IF('POINTAGE'!$AN$5&lt;&gt;"",--('POINTAGE'!AN101="Présent"),0),IF('POINTAGE'!$AP$5&lt;&gt;"",--('POINTAGE'!AP101="Présent"),0),IF('POINTAGE'!$AR$5&lt;&gt;"",--('POINTAGE'!AR101="Présent"),0),IF('POINTAGE'!$AT$5&lt;&gt;"",--('POINTAGE'!AT101="Présent"),0),IF('POINTAGE'!$AV$5&lt;&gt;"",--('POINTAGE'!AV101="Présent"),0),IF('POINTAGE'!$AX$5&lt;&gt;"",--('POINTAGE'!AX101="Présent"),0),IF('POINTAGE'!$AZ$5&lt;&gt;"",--('POINTAGE'!AZ101="Présent"),0),IF('POINTAGE'!$BB$5&lt;&gt;"",--('POINTAGE'!BB101="Présent"),0),IF('POINTAGE'!$BD$5&lt;&gt;"",--('POINTAGE'!BD101="Présent"),0),IF('POINTAGE'!$BF$5&lt;&gt;"",--('POINTAGE'!BF101="Présent"),0),IF('POINTAGE'!$BH$5&lt;&gt;"",--('POINTAGE'!BH101="Présent"),0),IF('POINTAGE'!$BJ$5&lt;&gt;"",--('POINTAGE'!BJ101="Présent"),0),IF('POINTAGE'!$BL$5&lt;&gt;"",--('POINTAGE'!BL101="Présent"),0)))</f>
      </c>
      <c r="O101" s="22">
        <f>IF($A101="","",SUM(IF('POINTAGE'!$AH$5&lt;&gt;"",--('POINTAGE'!AH101="Absent"),0),IF('POINTAGE'!$AJ$5&lt;&gt;"",--('POINTAGE'!AJ101="Absent"),0),IF('POINTAGE'!$AL$5&lt;&gt;"",--('POINTAGE'!AL101="Absent"),0),IF('POINTAGE'!$AN$5&lt;&gt;"",--('POINTAGE'!AN101="Absent"),0),IF('POINTAGE'!$AP$5&lt;&gt;"",--('POINTAGE'!AP101="Absent"),0),IF('POINTAGE'!$AR$5&lt;&gt;"",--('POINTAGE'!AR101="Absent"),0),IF('POINTAGE'!$AT$5&lt;&gt;"",--('POINTAGE'!AT101="Absent"),0),IF('POINTAGE'!$AV$5&lt;&gt;"",--('POINTAGE'!AV101="Absent"),0),IF('POINTAGE'!$AX$5&lt;&gt;"",--('POINTAGE'!AX101="Absent"),0),IF('POINTAGE'!$AZ$5&lt;&gt;"",--('POINTAGE'!AZ101="Absent"),0),IF('POINTAGE'!$BB$5&lt;&gt;"",--('POINTAGE'!BB101="Absent"),0),IF('POINTAGE'!$BD$5&lt;&gt;"",--('POINTAGE'!BD101="Absent"),0),IF('POINTAGE'!$BF$5&lt;&gt;"",--('POINTAGE'!BF101="Absent"),0),IF('POINTAGE'!$BH$5&lt;&gt;"",--('POINTAGE'!BH101="Absent"),0),IF('POINTAGE'!$BJ$5&lt;&gt;"",--('POINTAGE'!BJ101="Absent"),0),IF('POINTAGE'!$BL$5&lt;&gt;"",--('POINTAGE'!BL101="Absent"),0)))</f>
      </c>
      <c r="P101" s="23">
        <f>IF($A101="","",SUM(IF('POINTAGE'!$AH$5&lt;&gt;"",IF('POINTAGE'!AH101="Présent",'POINTAGE'!AI101,0),0),IF('POINTAGE'!$AJ$5&lt;&gt;"",IF('POINTAGE'!AJ101="Présent",'POINTAGE'!AK101,0),0),IF('POINTAGE'!$AL$5&lt;&gt;"",IF('POINTAGE'!AL101="Présent",'POINTAGE'!AM101,0),0),IF('POINTAGE'!$AN$5&lt;&gt;"",IF('POINTAGE'!AN101="Présent",'POINTAGE'!AO101,0),0),IF('POINTAGE'!$AP$5&lt;&gt;"",IF('POINTAGE'!AP101="Présent",'POINTAGE'!AQ101,0),0),IF('POINTAGE'!$AR$5&lt;&gt;"",IF('POINTAGE'!AR101="Présent",'POINTAGE'!AS101,0),0),IF('POINTAGE'!$AT$5&lt;&gt;"",IF('POINTAGE'!AT101="Présent",'POINTAGE'!AU101,0),0),IF('POINTAGE'!$AV$5&lt;&gt;"",IF('POINTAGE'!AV101="Présent",'POINTAGE'!AW101,0),0),IF('POINTAGE'!$AX$5&lt;&gt;"",IF('POINTAGE'!AX101="Présent",'POINTAGE'!AY101,0),0),IF('POINTAGE'!$AZ$5&lt;&gt;"",IF('POINTAGE'!AZ101="Présent",'POINTAGE'!BA101,0),0),IF('POINTAGE'!$BB$5&lt;&gt;"",IF('POINTAGE'!BB101="Présent",'POINTAGE'!BC101,0),0),IF('POINTAGE'!$BD$5&lt;&gt;"",IF('POINTAGE'!BD101="Présent",'POINTAGE'!BE101,0),0),IF('POINTAGE'!$BF$5&lt;&gt;"",IF('POINTAGE'!BF101="Présent",'POINTAGE'!BG101,0),0),IF('POINTAGE'!$BH$5&lt;&gt;"",IF('POINTAGE'!BH101="Présent",'POINTAGE'!BI101,0),0),IF('POINTAGE'!$BJ$5&lt;&gt;"",IF('POINTAGE'!BJ101="Présent",'POINTAGE'!BK101,0),0),IF('POINTAGE'!$BL$5&lt;&gt;"",IF('POINTAGE'!BL101="Présent",'POINTAGE'!BM101,0),0)))</f>
      </c>
      <c r="Q101" s="24">
        <f>IF($A101="","",$N101*$D101)</f>
      </c>
      <c r="R101" s="24">
        <f>IF($A101="","",$P101*$E101)</f>
      </c>
      <c r="S101" s="25">
        <f>IF($A101="","",$Q101+$R101)</f>
      </c>
      <c r="T101" s="18"/>
      <c r="U101" s="25">
        <f>IF($A101="","",MAX(0,$S101-$T101))</f>
      </c>
      <c r="V101" s="25">
        <f>IF($A101="","",$K101+$S101)</f>
      </c>
      <c r="W101" s="24">
        <f>IF($A101="","",$L101+$T101)</f>
      </c>
      <c r="X101" s="25">
        <f>IF($A101="","",$M101+$U101)</f>
      </c>
      <c r="Y101" s="29">
        <f>IF($A101="","",$J101+$R101)</f>
      </c>
    </row>
    <row r="102">
      <c r="A102" s="20">
        <f>IF('POINTAGE'!A102="","",'POINTAGE'!A102)</f>
      </c>
      <c r="B102" s="19">
        <f>IF($A102="","",'POINTAGE'!B102)</f>
      </c>
      <c r="C102" s="20">
        <f>IF($A102="","",'POINTAGE'!C102)</f>
      </c>
      <c r="D102" s="24">
        <f>IF($A102="","",IFERROR(INDEX(Categories_Salaire,MATCH($C102,ListeCategories,0)),0))</f>
      </c>
      <c r="E102" s="24">
        <f>IF($A102="","",IF(IFERROR(INDEX(Categories_TauxHS,MATCH($C102,ListeCategories,0)),0)&gt;0,IFERROR(INDEX(Categories_TauxHS,MATCH($C102,ListeCategories,0)),0),TauxHSDefaut))</f>
      </c>
      <c r="F102" s="22">
        <f>IF($A102="","",SUM(IF('POINTAGE'!$D$5&lt;&gt;"",--('POINTAGE'!D102="Présent"),0),IF('POINTAGE'!$F$5&lt;&gt;"",--('POINTAGE'!F102="Présent"),0),IF('POINTAGE'!$H$5&lt;&gt;"",--('POINTAGE'!H102="Présent"),0),IF('POINTAGE'!$J$5&lt;&gt;"",--('POINTAGE'!J102="Présent"),0),IF('POINTAGE'!$L$5&lt;&gt;"",--('POINTAGE'!L102="Présent"),0),IF('POINTAGE'!$N$5&lt;&gt;"",--('POINTAGE'!N102="Présent"),0),IF('POINTAGE'!$P$5&lt;&gt;"",--('POINTAGE'!P102="Présent"),0),IF('POINTAGE'!$R$5&lt;&gt;"",--('POINTAGE'!R102="Présent"),0),IF('POINTAGE'!$T$5&lt;&gt;"",--('POINTAGE'!T102="Présent"),0),IF('POINTAGE'!$V$5&lt;&gt;"",--('POINTAGE'!V102="Présent"),0),IF('POINTAGE'!$X$5&lt;&gt;"",--('POINTAGE'!X102="Présent"),0),IF('POINTAGE'!$Z$5&lt;&gt;"",--('POINTAGE'!Z102="Présent"),0),IF('POINTAGE'!$AB$5&lt;&gt;"",--('POINTAGE'!AB102="Présent"),0),IF('POINTAGE'!$AD$5&lt;&gt;"",--('POINTAGE'!AD102="Présent"),0),IF('POINTAGE'!$AF$5&lt;&gt;"",--('POINTAGE'!AF102="Présent"),0)))</f>
      </c>
      <c r="G102" s="22">
        <f>IF($A102="","",SUM(IF('POINTAGE'!$D$5&lt;&gt;"",--('POINTAGE'!D102="Absent"),0),IF('POINTAGE'!$F$5&lt;&gt;"",--('POINTAGE'!F102="Absent"),0),IF('POINTAGE'!$H$5&lt;&gt;"",--('POINTAGE'!H102="Absent"),0),IF('POINTAGE'!$J$5&lt;&gt;"",--('POINTAGE'!J102="Absent"),0),IF('POINTAGE'!$L$5&lt;&gt;"",--('POINTAGE'!L102="Absent"),0),IF('POINTAGE'!$N$5&lt;&gt;"",--('POINTAGE'!N102="Absent"),0),IF('POINTAGE'!$P$5&lt;&gt;"",--('POINTAGE'!P102="Absent"),0),IF('POINTAGE'!$R$5&lt;&gt;"",--('POINTAGE'!R102="Absent"),0),IF('POINTAGE'!$T$5&lt;&gt;"",--('POINTAGE'!T102="Absent"),0),IF('POINTAGE'!$V$5&lt;&gt;"",--('POINTAGE'!V102="Absent"),0),IF('POINTAGE'!$X$5&lt;&gt;"",--('POINTAGE'!X102="Absent"),0),IF('POINTAGE'!$Z$5&lt;&gt;"",--('POINTAGE'!Z102="Absent"),0),IF('POINTAGE'!$AB$5&lt;&gt;"",--('POINTAGE'!AB102="Absent"),0),IF('POINTAGE'!$AD$5&lt;&gt;"",--('POINTAGE'!AD102="Absent"),0),IF('POINTAGE'!$AF$5&lt;&gt;"",--('POINTAGE'!AF102="Absent"),0)))</f>
      </c>
      <c r="H102" s="23">
        <f>IF($A102="","",SUM(IF('POINTAGE'!$D$5&lt;&gt;"",IF('POINTAGE'!D102="Présent",'POINTAGE'!E102,0),0),IF('POINTAGE'!$F$5&lt;&gt;"",IF('POINTAGE'!F102="Présent",'POINTAGE'!G102,0),0),IF('POINTAGE'!$H$5&lt;&gt;"",IF('POINTAGE'!H102="Présent",'POINTAGE'!I102,0),0),IF('POINTAGE'!$J$5&lt;&gt;"",IF('POINTAGE'!J102="Présent",'POINTAGE'!K102,0),0),IF('POINTAGE'!$L$5&lt;&gt;"",IF('POINTAGE'!L102="Présent",'POINTAGE'!M102,0),0),IF('POINTAGE'!$N$5&lt;&gt;"",IF('POINTAGE'!N102="Présent",'POINTAGE'!O102,0),0),IF('POINTAGE'!$P$5&lt;&gt;"",IF('POINTAGE'!P102="Présent",'POINTAGE'!Q102,0),0),IF('POINTAGE'!$R$5&lt;&gt;"",IF('POINTAGE'!R102="Présent",'POINTAGE'!S102,0),0),IF('POINTAGE'!$T$5&lt;&gt;"",IF('POINTAGE'!T102="Présent",'POINTAGE'!U102,0),0),IF('POINTAGE'!$V$5&lt;&gt;"",IF('POINTAGE'!V102="Présent",'POINTAGE'!W102,0),0),IF('POINTAGE'!$X$5&lt;&gt;"",IF('POINTAGE'!X102="Présent",'POINTAGE'!Y102,0),0),IF('POINTAGE'!$Z$5&lt;&gt;"",IF('POINTAGE'!Z102="Présent",'POINTAGE'!AA102,0),0),IF('POINTAGE'!$AB$5&lt;&gt;"",IF('POINTAGE'!AB102="Présent",'POINTAGE'!AC102,0),0),IF('POINTAGE'!$AD$5&lt;&gt;"",IF('POINTAGE'!AD102="Présent",'POINTAGE'!AE102,0),0),IF('POINTAGE'!$AF$5&lt;&gt;"",IF('POINTAGE'!AF102="Présent",'POINTAGE'!AG102,0),0)))</f>
      </c>
      <c r="I102" s="24">
        <f>IF($A102="","",$F102*$D102)</f>
      </c>
      <c r="J102" s="24">
        <f>IF($A102="","",$H102*$E102)</f>
      </c>
      <c r="K102" s="25">
        <f>IF($A102="","",$I102+$J102)</f>
      </c>
      <c r="L102" s="18"/>
      <c r="M102" s="25">
        <f>IF($A102="","",MAX(0,$K102-$L102))</f>
      </c>
      <c r="N102" s="22">
        <f>IF($A102="","",SUM(IF('POINTAGE'!$AH$5&lt;&gt;"",--('POINTAGE'!AH102="Présent"),0),IF('POINTAGE'!$AJ$5&lt;&gt;"",--('POINTAGE'!AJ102="Présent"),0),IF('POINTAGE'!$AL$5&lt;&gt;"",--('POINTAGE'!AL102="Présent"),0),IF('POINTAGE'!$AN$5&lt;&gt;"",--('POINTAGE'!AN102="Présent"),0),IF('POINTAGE'!$AP$5&lt;&gt;"",--('POINTAGE'!AP102="Présent"),0),IF('POINTAGE'!$AR$5&lt;&gt;"",--('POINTAGE'!AR102="Présent"),0),IF('POINTAGE'!$AT$5&lt;&gt;"",--('POINTAGE'!AT102="Présent"),0),IF('POINTAGE'!$AV$5&lt;&gt;"",--('POINTAGE'!AV102="Présent"),0),IF('POINTAGE'!$AX$5&lt;&gt;"",--('POINTAGE'!AX102="Présent"),0),IF('POINTAGE'!$AZ$5&lt;&gt;"",--('POINTAGE'!AZ102="Présent"),0),IF('POINTAGE'!$BB$5&lt;&gt;"",--('POINTAGE'!BB102="Présent"),0),IF('POINTAGE'!$BD$5&lt;&gt;"",--('POINTAGE'!BD102="Présent"),0),IF('POINTAGE'!$BF$5&lt;&gt;"",--('POINTAGE'!BF102="Présent"),0),IF('POINTAGE'!$BH$5&lt;&gt;"",--('POINTAGE'!BH102="Présent"),0),IF('POINTAGE'!$BJ$5&lt;&gt;"",--('POINTAGE'!BJ102="Présent"),0),IF('POINTAGE'!$BL$5&lt;&gt;"",--('POINTAGE'!BL102="Présent"),0)))</f>
      </c>
      <c r="O102" s="22">
        <f>IF($A102="","",SUM(IF('POINTAGE'!$AH$5&lt;&gt;"",--('POINTAGE'!AH102="Absent"),0),IF('POINTAGE'!$AJ$5&lt;&gt;"",--('POINTAGE'!AJ102="Absent"),0),IF('POINTAGE'!$AL$5&lt;&gt;"",--('POINTAGE'!AL102="Absent"),0),IF('POINTAGE'!$AN$5&lt;&gt;"",--('POINTAGE'!AN102="Absent"),0),IF('POINTAGE'!$AP$5&lt;&gt;"",--('POINTAGE'!AP102="Absent"),0),IF('POINTAGE'!$AR$5&lt;&gt;"",--('POINTAGE'!AR102="Absent"),0),IF('POINTAGE'!$AT$5&lt;&gt;"",--('POINTAGE'!AT102="Absent"),0),IF('POINTAGE'!$AV$5&lt;&gt;"",--('POINTAGE'!AV102="Absent"),0),IF('POINTAGE'!$AX$5&lt;&gt;"",--('POINTAGE'!AX102="Absent"),0),IF('POINTAGE'!$AZ$5&lt;&gt;"",--('POINTAGE'!AZ102="Absent"),0),IF('POINTAGE'!$BB$5&lt;&gt;"",--('POINTAGE'!BB102="Absent"),0),IF('POINTAGE'!$BD$5&lt;&gt;"",--('POINTAGE'!BD102="Absent"),0),IF('POINTAGE'!$BF$5&lt;&gt;"",--('POINTAGE'!BF102="Absent"),0),IF('POINTAGE'!$BH$5&lt;&gt;"",--('POINTAGE'!BH102="Absent"),0),IF('POINTAGE'!$BJ$5&lt;&gt;"",--('POINTAGE'!BJ102="Absent"),0),IF('POINTAGE'!$BL$5&lt;&gt;"",--('POINTAGE'!BL102="Absent"),0)))</f>
      </c>
      <c r="P102" s="23">
        <f>IF($A102="","",SUM(IF('POINTAGE'!$AH$5&lt;&gt;"",IF('POINTAGE'!AH102="Présent",'POINTAGE'!AI102,0),0),IF('POINTAGE'!$AJ$5&lt;&gt;"",IF('POINTAGE'!AJ102="Présent",'POINTAGE'!AK102,0),0),IF('POINTAGE'!$AL$5&lt;&gt;"",IF('POINTAGE'!AL102="Présent",'POINTAGE'!AM102,0),0),IF('POINTAGE'!$AN$5&lt;&gt;"",IF('POINTAGE'!AN102="Présent",'POINTAGE'!AO102,0),0),IF('POINTAGE'!$AP$5&lt;&gt;"",IF('POINTAGE'!AP102="Présent",'POINTAGE'!AQ102,0),0),IF('POINTAGE'!$AR$5&lt;&gt;"",IF('POINTAGE'!AR102="Présent",'POINTAGE'!AS102,0),0),IF('POINTAGE'!$AT$5&lt;&gt;"",IF('POINTAGE'!AT102="Présent",'POINTAGE'!AU102,0),0),IF('POINTAGE'!$AV$5&lt;&gt;"",IF('POINTAGE'!AV102="Présent",'POINTAGE'!AW102,0),0),IF('POINTAGE'!$AX$5&lt;&gt;"",IF('POINTAGE'!AX102="Présent",'POINTAGE'!AY102,0),0),IF('POINTAGE'!$AZ$5&lt;&gt;"",IF('POINTAGE'!AZ102="Présent",'POINTAGE'!BA102,0),0),IF('POINTAGE'!$BB$5&lt;&gt;"",IF('POINTAGE'!BB102="Présent",'POINTAGE'!BC102,0),0),IF('POINTAGE'!$BD$5&lt;&gt;"",IF('POINTAGE'!BD102="Présent",'POINTAGE'!BE102,0),0),IF('POINTAGE'!$BF$5&lt;&gt;"",IF('POINTAGE'!BF102="Présent",'POINTAGE'!BG102,0),0),IF('POINTAGE'!$BH$5&lt;&gt;"",IF('POINTAGE'!BH102="Présent",'POINTAGE'!BI102,0),0),IF('POINTAGE'!$BJ$5&lt;&gt;"",IF('POINTAGE'!BJ102="Présent",'POINTAGE'!BK102,0),0),IF('POINTAGE'!$BL$5&lt;&gt;"",IF('POINTAGE'!BL102="Présent",'POINTAGE'!BM102,0),0)))</f>
      </c>
      <c r="Q102" s="24">
        <f>IF($A102="","",$N102*$D102)</f>
      </c>
      <c r="R102" s="24">
        <f>IF($A102="","",$P102*$E102)</f>
      </c>
      <c r="S102" s="25">
        <f>IF($A102="","",$Q102+$R102)</f>
      </c>
      <c r="T102" s="18"/>
      <c r="U102" s="25">
        <f>IF($A102="","",MAX(0,$S102-$T102))</f>
      </c>
      <c r="V102" s="25">
        <f>IF($A102="","",$K102+$S102)</f>
      </c>
      <c r="W102" s="24">
        <f>IF($A102="","",$L102+$T102)</f>
      </c>
      <c r="X102" s="25">
        <f>IF($A102="","",$M102+$U102)</f>
      </c>
      <c r="Y102" s="29">
        <f>IF($A102="","",$J102+$R102)</f>
      </c>
    </row>
    <row r="103">
      <c r="A103" s="20">
        <f>IF('POINTAGE'!A103="","",'POINTAGE'!A103)</f>
      </c>
      <c r="B103" s="19">
        <f>IF($A103="","",'POINTAGE'!B103)</f>
      </c>
      <c r="C103" s="20">
        <f>IF($A103="","",'POINTAGE'!C103)</f>
      </c>
      <c r="D103" s="24">
        <f>IF($A103="","",IFERROR(INDEX(Categories_Salaire,MATCH($C103,ListeCategories,0)),0))</f>
      </c>
      <c r="E103" s="24">
        <f>IF($A103="","",IF(IFERROR(INDEX(Categories_TauxHS,MATCH($C103,ListeCategories,0)),0)&gt;0,IFERROR(INDEX(Categories_TauxHS,MATCH($C103,ListeCategories,0)),0),TauxHSDefaut))</f>
      </c>
      <c r="F103" s="22">
        <f>IF($A103="","",SUM(IF('POINTAGE'!$D$5&lt;&gt;"",--('POINTAGE'!D103="Présent"),0),IF('POINTAGE'!$F$5&lt;&gt;"",--('POINTAGE'!F103="Présent"),0),IF('POINTAGE'!$H$5&lt;&gt;"",--('POINTAGE'!H103="Présent"),0),IF('POINTAGE'!$J$5&lt;&gt;"",--('POINTAGE'!J103="Présent"),0),IF('POINTAGE'!$L$5&lt;&gt;"",--('POINTAGE'!L103="Présent"),0),IF('POINTAGE'!$N$5&lt;&gt;"",--('POINTAGE'!N103="Présent"),0),IF('POINTAGE'!$P$5&lt;&gt;"",--('POINTAGE'!P103="Présent"),0),IF('POINTAGE'!$R$5&lt;&gt;"",--('POINTAGE'!R103="Présent"),0),IF('POINTAGE'!$T$5&lt;&gt;"",--('POINTAGE'!T103="Présent"),0),IF('POINTAGE'!$V$5&lt;&gt;"",--('POINTAGE'!V103="Présent"),0),IF('POINTAGE'!$X$5&lt;&gt;"",--('POINTAGE'!X103="Présent"),0),IF('POINTAGE'!$Z$5&lt;&gt;"",--('POINTAGE'!Z103="Présent"),0),IF('POINTAGE'!$AB$5&lt;&gt;"",--('POINTAGE'!AB103="Présent"),0),IF('POINTAGE'!$AD$5&lt;&gt;"",--('POINTAGE'!AD103="Présent"),0),IF('POINTAGE'!$AF$5&lt;&gt;"",--('POINTAGE'!AF103="Présent"),0)))</f>
      </c>
      <c r="G103" s="22">
        <f>IF($A103="","",SUM(IF('POINTAGE'!$D$5&lt;&gt;"",--('POINTAGE'!D103="Absent"),0),IF('POINTAGE'!$F$5&lt;&gt;"",--('POINTAGE'!F103="Absent"),0),IF('POINTAGE'!$H$5&lt;&gt;"",--('POINTAGE'!H103="Absent"),0),IF('POINTAGE'!$J$5&lt;&gt;"",--('POINTAGE'!J103="Absent"),0),IF('POINTAGE'!$L$5&lt;&gt;"",--('POINTAGE'!L103="Absent"),0),IF('POINTAGE'!$N$5&lt;&gt;"",--('POINTAGE'!N103="Absent"),0),IF('POINTAGE'!$P$5&lt;&gt;"",--('POINTAGE'!P103="Absent"),0),IF('POINTAGE'!$R$5&lt;&gt;"",--('POINTAGE'!R103="Absent"),0),IF('POINTAGE'!$T$5&lt;&gt;"",--('POINTAGE'!T103="Absent"),0),IF('POINTAGE'!$V$5&lt;&gt;"",--('POINTAGE'!V103="Absent"),0),IF('POINTAGE'!$X$5&lt;&gt;"",--('POINTAGE'!X103="Absent"),0),IF('POINTAGE'!$Z$5&lt;&gt;"",--('POINTAGE'!Z103="Absent"),0),IF('POINTAGE'!$AB$5&lt;&gt;"",--('POINTAGE'!AB103="Absent"),0),IF('POINTAGE'!$AD$5&lt;&gt;"",--('POINTAGE'!AD103="Absent"),0),IF('POINTAGE'!$AF$5&lt;&gt;"",--('POINTAGE'!AF103="Absent"),0)))</f>
      </c>
      <c r="H103" s="23">
        <f>IF($A103="","",SUM(IF('POINTAGE'!$D$5&lt;&gt;"",IF('POINTAGE'!D103="Présent",'POINTAGE'!E103,0),0),IF('POINTAGE'!$F$5&lt;&gt;"",IF('POINTAGE'!F103="Présent",'POINTAGE'!G103,0),0),IF('POINTAGE'!$H$5&lt;&gt;"",IF('POINTAGE'!H103="Présent",'POINTAGE'!I103,0),0),IF('POINTAGE'!$J$5&lt;&gt;"",IF('POINTAGE'!J103="Présent",'POINTAGE'!K103,0),0),IF('POINTAGE'!$L$5&lt;&gt;"",IF('POINTAGE'!L103="Présent",'POINTAGE'!M103,0),0),IF('POINTAGE'!$N$5&lt;&gt;"",IF('POINTAGE'!N103="Présent",'POINTAGE'!O103,0),0),IF('POINTAGE'!$P$5&lt;&gt;"",IF('POINTAGE'!P103="Présent",'POINTAGE'!Q103,0),0),IF('POINTAGE'!$R$5&lt;&gt;"",IF('POINTAGE'!R103="Présent",'POINTAGE'!S103,0),0),IF('POINTAGE'!$T$5&lt;&gt;"",IF('POINTAGE'!T103="Présent",'POINTAGE'!U103,0),0),IF('POINTAGE'!$V$5&lt;&gt;"",IF('POINTAGE'!V103="Présent",'POINTAGE'!W103,0),0),IF('POINTAGE'!$X$5&lt;&gt;"",IF('POINTAGE'!X103="Présent",'POINTAGE'!Y103,0),0),IF('POINTAGE'!$Z$5&lt;&gt;"",IF('POINTAGE'!Z103="Présent",'POINTAGE'!AA103,0),0),IF('POINTAGE'!$AB$5&lt;&gt;"",IF('POINTAGE'!AB103="Présent",'POINTAGE'!AC103,0),0),IF('POINTAGE'!$AD$5&lt;&gt;"",IF('POINTAGE'!AD103="Présent",'POINTAGE'!AE103,0),0),IF('POINTAGE'!$AF$5&lt;&gt;"",IF('POINTAGE'!AF103="Présent",'POINTAGE'!AG103,0),0)))</f>
      </c>
      <c r="I103" s="24">
        <f>IF($A103="","",$F103*$D103)</f>
      </c>
      <c r="J103" s="24">
        <f>IF($A103="","",$H103*$E103)</f>
      </c>
      <c r="K103" s="25">
        <f>IF($A103="","",$I103+$J103)</f>
      </c>
      <c r="L103" s="18"/>
      <c r="M103" s="25">
        <f>IF($A103="","",MAX(0,$K103-$L103))</f>
      </c>
      <c r="N103" s="22">
        <f>IF($A103="","",SUM(IF('POINTAGE'!$AH$5&lt;&gt;"",--('POINTAGE'!AH103="Présent"),0),IF('POINTAGE'!$AJ$5&lt;&gt;"",--('POINTAGE'!AJ103="Présent"),0),IF('POINTAGE'!$AL$5&lt;&gt;"",--('POINTAGE'!AL103="Présent"),0),IF('POINTAGE'!$AN$5&lt;&gt;"",--('POINTAGE'!AN103="Présent"),0),IF('POINTAGE'!$AP$5&lt;&gt;"",--('POINTAGE'!AP103="Présent"),0),IF('POINTAGE'!$AR$5&lt;&gt;"",--('POINTAGE'!AR103="Présent"),0),IF('POINTAGE'!$AT$5&lt;&gt;"",--('POINTAGE'!AT103="Présent"),0),IF('POINTAGE'!$AV$5&lt;&gt;"",--('POINTAGE'!AV103="Présent"),0),IF('POINTAGE'!$AX$5&lt;&gt;"",--('POINTAGE'!AX103="Présent"),0),IF('POINTAGE'!$AZ$5&lt;&gt;"",--('POINTAGE'!AZ103="Présent"),0),IF('POINTAGE'!$BB$5&lt;&gt;"",--('POINTAGE'!BB103="Présent"),0),IF('POINTAGE'!$BD$5&lt;&gt;"",--('POINTAGE'!BD103="Présent"),0),IF('POINTAGE'!$BF$5&lt;&gt;"",--('POINTAGE'!BF103="Présent"),0),IF('POINTAGE'!$BH$5&lt;&gt;"",--('POINTAGE'!BH103="Présent"),0),IF('POINTAGE'!$BJ$5&lt;&gt;"",--('POINTAGE'!BJ103="Présent"),0),IF('POINTAGE'!$BL$5&lt;&gt;"",--('POINTAGE'!BL103="Présent"),0)))</f>
      </c>
      <c r="O103" s="22">
        <f>IF($A103="","",SUM(IF('POINTAGE'!$AH$5&lt;&gt;"",--('POINTAGE'!AH103="Absent"),0),IF('POINTAGE'!$AJ$5&lt;&gt;"",--('POINTAGE'!AJ103="Absent"),0),IF('POINTAGE'!$AL$5&lt;&gt;"",--('POINTAGE'!AL103="Absent"),0),IF('POINTAGE'!$AN$5&lt;&gt;"",--('POINTAGE'!AN103="Absent"),0),IF('POINTAGE'!$AP$5&lt;&gt;"",--('POINTAGE'!AP103="Absent"),0),IF('POINTAGE'!$AR$5&lt;&gt;"",--('POINTAGE'!AR103="Absent"),0),IF('POINTAGE'!$AT$5&lt;&gt;"",--('POINTAGE'!AT103="Absent"),0),IF('POINTAGE'!$AV$5&lt;&gt;"",--('POINTAGE'!AV103="Absent"),0),IF('POINTAGE'!$AX$5&lt;&gt;"",--('POINTAGE'!AX103="Absent"),0),IF('POINTAGE'!$AZ$5&lt;&gt;"",--('POINTAGE'!AZ103="Absent"),0),IF('POINTAGE'!$BB$5&lt;&gt;"",--('POINTAGE'!BB103="Absent"),0),IF('POINTAGE'!$BD$5&lt;&gt;"",--('POINTAGE'!BD103="Absent"),0),IF('POINTAGE'!$BF$5&lt;&gt;"",--('POINTAGE'!BF103="Absent"),0),IF('POINTAGE'!$BH$5&lt;&gt;"",--('POINTAGE'!BH103="Absent"),0),IF('POINTAGE'!$BJ$5&lt;&gt;"",--('POINTAGE'!BJ103="Absent"),0),IF('POINTAGE'!$BL$5&lt;&gt;"",--('POINTAGE'!BL103="Absent"),0)))</f>
      </c>
      <c r="P103" s="23">
        <f>IF($A103="","",SUM(IF('POINTAGE'!$AH$5&lt;&gt;"",IF('POINTAGE'!AH103="Présent",'POINTAGE'!AI103,0),0),IF('POINTAGE'!$AJ$5&lt;&gt;"",IF('POINTAGE'!AJ103="Présent",'POINTAGE'!AK103,0),0),IF('POINTAGE'!$AL$5&lt;&gt;"",IF('POINTAGE'!AL103="Présent",'POINTAGE'!AM103,0),0),IF('POINTAGE'!$AN$5&lt;&gt;"",IF('POINTAGE'!AN103="Présent",'POINTAGE'!AO103,0),0),IF('POINTAGE'!$AP$5&lt;&gt;"",IF('POINTAGE'!AP103="Présent",'POINTAGE'!AQ103,0),0),IF('POINTAGE'!$AR$5&lt;&gt;"",IF('POINTAGE'!AR103="Présent",'POINTAGE'!AS103,0),0),IF('POINTAGE'!$AT$5&lt;&gt;"",IF('POINTAGE'!AT103="Présent",'POINTAGE'!AU103,0),0),IF('POINTAGE'!$AV$5&lt;&gt;"",IF('POINTAGE'!AV103="Présent",'POINTAGE'!AW103,0),0),IF('POINTAGE'!$AX$5&lt;&gt;"",IF('POINTAGE'!AX103="Présent",'POINTAGE'!AY103,0),0),IF('POINTAGE'!$AZ$5&lt;&gt;"",IF('POINTAGE'!AZ103="Présent",'POINTAGE'!BA103,0),0),IF('POINTAGE'!$BB$5&lt;&gt;"",IF('POINTAGE'!BB103="Présent",'POINTAGE'!BC103,0),0),IF('POINTAGE'!$BD$5&lt;&gt;"",IF('POINTAGE'!BD103="Présent",'POINTAGE'!BE103,0),0),IF('POINTAGE'!$BF$5&lt;&gt;"",IF('POINTAGE'!BF103="Présent",'POINTAGE'!BG103,0),0),IF('POINTAGE'!$BH$5&lt;&gt;"",IF('POINTAGE'!BH103="Présent",'POINTAGE'!BI103,0),0),IF('POINTAGE'!$BJ$5&lt;&gt;"",IF('POINTAGE'!BJ103="Présent",'POINTAGE'!BK103,0),0),IF('POINTAGE'!$BL$5&lt;&gt;"",IF('POINTAGE'!BL103="Présent",'POINTAGE'!BM103,0),0)))</f>
      </c>
      <c r="Q103" s="24">
        <f>IF($A103="","",$N103*$D103)</f>
      </c>
      <c r="R103" s="24">
        <f>IF($A103="","",$P103*$E103)</f>
      </c>
      <c r="S103" s="25">
        <f>IF($A103="","",$Q103+$R103)</f>
      </c>
      <c r="T103" s="18"/>
      <c r="U103" s="25">
        <f>IF($A103="","",MAX(0,$S103-$T103))</f>
      </c>
      <c r="V103" s="25">
        <f>IF($A103="","",$K103+$S103)</f>
      </c>
      <c r="W103" s="24">
        <f>IF($A103="","",$L103+$T103)</f>
      </c>
      <c r="X103" s="25">
        <f>IF($A103="","",$M103+$U103)</f>
      </c>
      <c r="Y103" s="29">
        <f>IF($A103="","",$J103+$R103)</f>
      </c>
    </row>
    <row r="104">
      <c r="A104" s="20">
        <f>IF('POINTAGE'!A104="","",'POINTAGE'!A104)</f>
      </c>
      <c r="B104" s="19">
        <f>IF($A104="","",'POINTAGE'!B104)</f>
      </c>
      <c r="C104" s="20">
        <f>IF($A104="","",'POINTAGE'!C104)</f>
      </c>
      <c r="D104" s="24">
        <f>IF($A104="","",IFERROR(INDEX(Categories_Salaire,MATCH($C104,ListeCategories,0)),0))</f>
      </c>
      <c r="E104" s="24">
        <f>IF($A104="","",IF(IFERROR(INDEX(Categories_TauxHS,MATCH($C104,ListeCategories,0)),0)&gt;0,IFERROR(INDEX(Categories_TauxHS,MATCH($C104,ListeCategories,0)),0),TauxHSDefaut))</f>
      </c>
      <c r="F104" s="22">
        <f>IF($A104="","",SUM(IF('POINTAGE'!$D$5&lt;&gt;"",--('POINTAGE'!D104="Présent"),0),IF('POINTAGE'!$F$5&lt;&gt;"",--('POINTAGE'!F104="Présent"),0),IF('POINTAGE'!$H$5&lt;&gt;"",--('POINTAGE'!H104="Présent"),0),IF('POINTAGE'!$J$5&lt;&gt;"",--('POINTAGE'!J104="Présent"),0),IF('POINTAGE'!$L$5&lt;&gt;"",--('POINTAGE'!L104="Présent"),0),IF('POINTAGE'!$N$5&lt;&gt;"",--('POINTAGE'!N104="Présent"),0),IF('POINTAGE'!$P$5&lt;&gt;"",--('POINTAGE'!P104="Présent"),0),IF('POINTAGE'!$R$5&lt;&gt;"",--('POINTAGE'!R104="Présent"),0),IF('POINTAGE'!$T$5&lt;&gt;"",--('POINTAGE'!T104="Présent"),0),IF('POINTAGE'!$V$5&lt;&gt;"",--('POINTAGE'!V104="Présent"),0),IF('POINTAGE'!$X$5&lt;&gt;"",--('POINTAGE'!X104="Présent"),0),IF('POINTAGE'!$Z$5&lt;&gt;"",--('POINTAGE'!Z104="Présent"),0),IF('POINTAGE'!$AB$5&lt;&gt;"",--('POINTAGE'!AB104="Présent"),0),IF('POINTAGE'!$AD$5&lt;&gt;"",--('POINTAGE'!AD104="Présent"),0),IF('POINTAGE'!$AF$5&lt;&gt;"",--('POINTAGE'!AF104="Présent"),0)))</f>
      </c>
      <c r="G104" s="22">
        <f>IF($A104="","",SUM(IF('POINTAGE'!$D$5&lt;&gt;"",--('POINTAGE'!D104="Absent"),0),IF('POINTAGE'!$F$5&lt;&gt;"",--('POINTAGE'!F104="Absent"),0),IF('POINTAGE'!$H$5&lt;&gt;"",--('POINTAGE'!H104="Absent"),0),IF('POINTAGE'!$J$5&lt;&gt;"",--('POINTAGE'!J104="Absent"),0),IF('POINTAGE'!$L$5&lt;&gt;"",--('POINTAGE'!L104="Absent"),0),IF('POINTAGE'!$N$5&lt;&gt;"",--('POINTAGE'!N104="Absent"),0),IF('POINTAGE'!$P$5&lt;&gt;"",--('POINTAGE'!P104="Absent"),0),IF('POINTAGE'!$R$5&lt;&gt;"",--('POINTAGE'!R104="Absent"),0),IF('POINTAGE'!$T$5&lt;&gt;"",--('POINTAGE'!T104="Absent"),0),IF('POINTAGE'!$V$5&lt;&gt;"",--('POINTAGE'!V104="Absent"),0),IF('POINTAGE'!$X$5&lt;&gt;"",--('POINTAGE'!X104="Absent"),0),IF('POINTAGE'!$Z$5&lt;&gt;"",--('POINTAGE'!Z104="Absent"),0),IF('POINTAGE'!$AB$5&lt;&gt;"",--('POINTAGE'!AB104="Absent"),0),IF('POINTAGE'!$AD$5&lt;&gt;"",--('POINTAGE'!AD104="Absent"),0),IF('POINTAGE'!$AF$5&lt;&gt;"",--('POINTAGE'!AF104="Absent"),0)))</f>
      </c>
      <c r="H104" s="23">
        <f>IF($A104="","",SUM(IF('POINTAGE'!$D$5&lt;&gt;"",IF('POINTAGE'!D104="Présent",'POINTAGE'!E104,0),0),IF('POINTAGE'!$F$5&lt;&gt;"",IF('POINTAGE'!F104="Présent",'POINTAGE'!G104,0),0),IF('POINTAGE'!$H$5&lt;&gt;"",IF('POINTAGE'!H104="Présent",'POINTAGE'!I104,0),0),IF('POINTAGE'!$J$5&lt;&gt;"",IF('POINTAGE'!J104="Présent",'POINTAGE'!K104,0),0),IF('POINTAGE'!$L$5&lt;&gt;"",IF('POINTAGE'!L104="Présent",'POINTAGE'!M104,0),0),IF('POINTAGE'!$N$5&lt;&gt;"",IF('POINTAGE'!N104="Présent",'POINTAGE'!O104,0),0),IF('POINTAGE'!$P$5&lt;&gt;"",IF('POINTAGE'!P104="Présent",'POINTAGE'!Q104,0),0),IF('POINTAGE'!$R$5&lt;&gt;"",IF('POINTAGE'!R104="Présent",'POINTAGE'!S104,0),0),IF('POINTAGE'!$T$5&lt;&gt;"",IF('POINTAGE'!T104="Présent",'POINTAGE'!U104,0),0),IF('POINTAGE'!$V$5&lt;&gt;"",IF('POINTAGE'!V104="Présent",'POINTAGE'!W104,0),0),IF('POINTAGE'!$X$5&lt;&gt;"",IF('POINTAGE'!X104="Présent",'POINTAGE'!Y104,0),0),IF('POINTAGE'!$Z$5&lt;&gt;"",IF('POINTAGE'!Z104="Présent",'POINTAGE'!AA104,0),0),IF('POINTAGE'!$AB$5&lt;&gt;"",IF('POINTAGE'!AB104="Présent",'POINTAGE'!AC104,0),0),IF('POINTAGE'!$AD$5&lt;&gt;"",IF('POINTAGE'!AD104="Présent",'POINTAGE'!AE104,0),0),IF('POINTAGE'!$AF$5&lt;&gt;"",IF('POINTAGE'!AF104="Présent",'POINTAGE'!AG104,0),0)))</f>
      </c>
      <c r="I104" s="24">
        <f>IF($A104="","",$F104*$D104)</f>
      </c>
      <c r="J104" s="24">
        <f>IF($A104="","",$H104*$E104)</f>
      </c>
      <c r="K104" s="25">
        <f>IF($A104="","",$I104+$J104)</f>
      </c>
      <c r="L104" s="18"/>
      <c r="M104" s="25">
        <f>IF($A104="","",MAX(0,$K104-$L104))</f>
      </c>
      <c r="N104" s="22">
        <f>IF($A104="","",SUM(IF('POINTAGE'!$AH$5&lt;&gt;"",--('POINTAGE'!AH104="Présent"),0),IF('POINTAGE'!$AJ$5&lt;&gt;"",--('POINTAGE'!AJ104="Présent"),0),IF('POINTAGE'!$AL$5&lt;&gt;"",--('POINTAGE'!AL104="Présent"),0),IF('POINTAGE'!$AN$5&lt;&gt;"",--('POINTAGE'!AN104="Présent"),0),IF('POINTAGE'!$AP$5&lt;&gt;"",--('POINTAGE'!AP104="Présent"),0),IF('POINTAGE'!$AR$5&lt;&gt;"",--('POINTAGE'!AR104="Présent"),0),IF('POINTAGE'!$AT$5&lt;&gt;"",--('POINTAGE'!AT104="Présent"),0),IF('POINTAGE'!$AV$5&lt;&gt;"",--('POINTAGE'!AV104="Présent"),0),IF('POINTAGE'!$AX$5&lt;&gt;"",--('POINTAGE'!AX104="Présent"),0),IF('POINTAGE'!$AZ$5&lt;&gt;"",--('POINTAGE'!AZ104="Présent"),0),IF('POINTAGE'!$BB$5&lt;&gt;"",--('POINTAGE'!BB104="Présent"),0),IF('POINTAGE'!$BD$5&lt;&gt;"",--('POINTAGE'!BD104="Présent"),0),IF('POINTAGE'!$BF$5&lt;&gt;"",--('POINTAGE'!BF104="Présent"),0),IF('POINTAGE'!$BH$5&lt;&gt;"",--('POINTAGE'!BH104="Présent"),0),IF('POINTAGE'!$BJ$5&lt;&gt;"",--('POINTAGE'!BJ104="Présent"),0),IF('POINTAGE'!$BL$5&lt;&gt;"",--('POINTAGE'!BL104="Présent"),0)))</f>
      </c>
      <c r="O104" s="22">
        <f>IF($A104="","",SUM(IF('POINTAGE'!$AH$5&lt;&gt;"",--('POINTAGE'!AH104="Absent"),0),IF('POINTAGE'!$AJ$5&lt;&gt;"",--('POINTAGE'!AJ104="Absent"),0),IF('POINTAGE'!$AL$5&lt;&gt;"",--('POINTAGE'!AL104="Absent"),0),IF('POINTAGE'!$AN$5&lt;&gt;"",--('POINTAGE'!AN104="Absent"),0),IF('POINTAGE'!$AP$5&lt;&gt;"",--('POINTAGE'!AP104="Absent"),0),IF('POINTAGE'!$AR$5&lt;&gt;"",--('POINTAGE'!AR104="Absent"),0),IF('POINTAGE'!$AT$5&lt;&gt;"",--('POINTAGE'!AT104="Absent"),0),IF('POINTAGE'!$AV$5&lt;&gt;"",--('POINTAGE'!AV104="Absent"),0),IF('POINTAGE'!$AX$5&lt;&gt;"",--('POINTAGE'!AX104="Absent"),0),IF('POINTAGE'!$AZ$5&lt;&gt;"",--('POINTAGE'!AZ104="Absent"),0),IF('POINTAGE'!$BB$5&lt;&gt;"",--('POINTAGE'!BB104="Absent"),0),IF('POINTAGE'!$BD$5&lt;&gt;"",--('POINTAGE'!BD104="Absent"),0),IF('POINTAGE'!$BF$5&lt;&gt;"",--('POINTAGE'!BF104="Absent"),0),IF('POINTAGE'!$BH$5&lt;&gt;"",--('POINTAGE'!BH104="Absent"),0),IF('POINTAGE'!$BJ$5&lt;&gt;"",--('POINTAGE'!BJ104="Absent"),0),IF('POINTAGE'!$BL$5&lt;&gt;"",--('POINTAGE'!BL104="Absent"),0)))</f>
      </c>
      <c r="P104" s="23">
        <f>IF($A104="","",SUM(IF('POINTAGE'!$AH$5&lt;&gt;"",IF('POINTAGE'!AH104="Présent",'POINTAGE'!AI104,0),0),IF('POINTAGE'!$AJ$5&lt;&gt;"",IF('POINTAGE'!AJ104="Présent",'POINTAGE'!AK104,0),0),IF('POINTAGE'!$AL$5&lt;&gt;"",IF('POINTAGE'!AL104="Présent",'POINTAGE'!AM104,0),0),IF('POINTAGE'!$AN$5&lt;&gt;"",IF('POINTAGE'!AN104="Présent",'POINTAGE'!AO104,0),0),IF('POINTAGE'!$AP$5&lt;&gt;"",IF('POINTAGE'!AP104="Présent",'POINTAGE'!AQ104,0),0),IF('POINTAGE'!$AR$5&lt;&gt;"",IF('POINTAGE'!AR104="Présent",'POINTAGE'!AS104,0),0),IF('POINTAGE'!$AT$5&lt;&gt;"",IF('POINTAGE'!AT104="Présent",'POINTAGE'!AU104,0),0),IF('POINTAGE'!$AV$5&lt;&gt;"",IF('POINTAGE'!AV104="Présent",'POINTAGE'!AW104,0),0),IF('POINTAGE'!$AX$5&lt;&gt;"",IF('POINTAGE'!AX104="Présent",'POINTAGE'!AY104,0),0),IF('POINTAGE'!$AZ$5&lt;&gt;"",IF('POINTAGE'!AZ104="Présent",'POINTAGE'!BA104,0),0),IF('POINTAGE'!$BB$5&lt;&gt;"",IF('POINTAGE'!BB104="Présent",'POINTAGE'!BC104,0),0),IF('POINTAGE'!$BD$5&lt;&gt;"",IF('POINTAGE'!BD104="Présent",'POINTAGE'!BE104,0),0),IF('POINTAGE'!$BF$5&lt;&gt;"",IF('POINTAGE'!BF104="Présent",'POINTAGE'!BG104,0),0),IF('POINTAGE'!$BH$5&lt;&gt;"",IF('POINTAGE'!BH104="Présent",'POINTAGE'!BI104,0),0),IF('POINTAGE'!$BJ$5&lt;&gt;"",IF('POINTAGE'!BJ104="Présent",'POINTAGE'!BK104,0),0),IF('POINTAGE'!$BL$5&lt;&gt;"",IF('POINTAGE'!BL104="Présent",'POINTAGE'!BM104,0),0)))</f>
      </c>
      <c r="Q104" s="24">
        <f>IF($A104="","",$N104*$D104)</f>
      </c>
      <c r="R104" s="24">
        <f>IF($A104="","",$P104*$E104)</f>
      </c>
      <c r="S104" s="25">
        <f>IF($A104="","",$Q104+$R104)</f>
      </c>
      <c r="T104" s="18"/>
      <c r="U104" s="25">
        <f>IF($A104="","",MAX(0,$S104-$T104))</f>
      </c>
      <c r="V104" s="25">
        <f>IF($A104="","",$K104+$S104)</f>
      </c>
      <c r="W104" s="24">
        <f>IF($A104="","",$L104+$T104)</f>
      </c>
      <c r="X104" s="25">
        <f>IF($A104="","",$M104+$U104)</f>
      </c>
      <c r="Y104" s="29">
        <f>IF($A104="","",$J104+$R104)</f>
      </c>
    </row>
    <row r="105">
      <c r="A105" s="20">
        <f>IF('POINTAGE'!A105="","",'POINTAGE'!A105)</f>
      </c>
      <c r="B105" s="19">
        <f>IF($A105="","",'POINTAGE'!B105)</f>
      </c>
      <c r="C105" s="20">
        <f>IF($A105="","",'POINTAGE'!C105)</f>
      </c>
      <c r="D105" s="24">
        <f>IF($A105="","",IFERROR(INDEX(Categories_Salaire,MATCH($C105,ListeCategories,0)),0))</f>
      </c>
      <c r="E105" s="24">
        <f>IF($A105="","",IF(IFERROR(INDEX(Categories_TauxHS,MATCH($C105,ListeCategories,0)),0)&gt;0,IFERROR(INDEX(Categories_TauxHS,MATCH($C105,ListeCategories,0)),0),TauxHSDefaut))</f>
      </c>
      <c r="F105" s="22">
        <f>IF($A105="","",SUM(IF('POINTAGE'!$D$5&lt;&gt;"",--('POINTAGE'!D105="Présent"),0),IF('POINTAGE'!$F$5&lt;&gt;"",--('POINTAGE'!F105="Présent"),0),IF('POINTAGE'!$H$5&lt;&gt;"",--('POINTAGE'!H105="Présent"),0),IF('POINTAGE'!$J$5&lt;&gt;"",--('POINTAGE'!J105="Présent"),0),IF('POINTAGE'!$L$5&lt;&gt;"",--('POINTAGE'!L105="Présent"),0),IF('POINTAGE'!$N$5&lt;&gt;"",--('POINTAGE'!N105="Présent"),0),IF('POINTAGE'!$P$5&lt;&gt;"",--('POINTAGE'!P105="Présent"),0),IF('POINTAGE'!$R$5&lt;&gt;"",--('POINTAGE'!R105="Présent"),0),IF('POINTAGE'!$T$5&lt;&gt;"",--('POINTAGE'!T105="Présent"),0),IF('POINTAGE'!$V$5&lt;&gt;"",--('POINTAGE'!V105="Présent"),0),IF('POINTAGE'!$X$5&lt;&gt;"",--('POINTAGE'!X105="Présent"),0),IF('POINTAGE'!$Z$5&lt;&gt;"",--('POINTAGE'!Z105="Présent"),0),IF('POINTAGE'!$AB$5&lt;&gt;"",--('POINTAGE'!AB105="Présent"),0),IF('POINTAGE'!$AD$5&lt;&gt;"",--('POINTAGE'!AD105="Présent"),0),IF('POINTAGE'!$AF$5&lt;&gt;"",--('POINTAGE'!AF105="Présent"),0)))</f>
      </c>
      <c r="G105" s="22">
        <f>IF($A105="","",SUM(IF('POINTAGE'!$D$5&lt;&gt;"",--('POINTAGE'!D105="Absent"),0),IF('POINTAGE'!$F$5&lt;&gt;"",--('POINTAGE'!F105="Absent"),0),IF('POINTAGE'!$H$5&lt;&gt;"",--('POINTAGE'!H105="Absent"),0),IF('POINTAGE'!$J$5&lt;&gt;"",--('POINTAGE'!J105="Absent"),0),IF('POINTAGE'!$L$5&lt;&gt;"",--('POINTAGE'!L105="Absent"),0),IF('POINTAGE'!$N$5&lt;&gt;"",--('POINTAGE'!N105="Absent"),0),IF('POINTAGE'!$P$5&lt;&gt;"",--('POINTAGE'!P105="Absent"),0),IF('POINTAGE'!$R$5&lt;&gt;"",--('POINTAGE'!R105="Absent"),0),IF('POINTAGE'!$T$5&lt;&gt;"",--('POINTAGE'!T105="Absent"),0),IF('POINTAGE'!$V$5&lt;&gt;"",--('POINTAGE'!V105="Absent"),0),IF('POINTAGE'!$X$5&lt;&gt;"",--('POINTAGE'!X105="Absent"),0),IF('POINTAGE'!$Z$5&lt;&gt;"",--('POINTAGE'!Z105="Absent"),0),IF('POINTAGE'!$AB$5&lt;&gt;"",--('POINTAGE'!AB105="Absent"),0),IF('POINTAGE'!$AD$5&lt;&gt;"",--('POINTAGE'!AD105="Absent"),0),IF('POINTAGE'!$AF$5&lt;&gt;"",--('POINTAGE'!AF105="Absent"),0)))</f>
      </c>
      <c r="H105" s="23">
        <f>IF($A105="","",SUM(IF('POINTAGE'!$D$5&lt;&gt;"",IF('POINTAGE'!D105="Présent",'POINTAGE'!E105,0),0),IF('POINTAGE'!$F$5&lt;&gt;"",IF('POINTAGE'!F105="Présent",'POINTAGE'!G105,0),0),IF('POINTAGE'!$H$5&lt;&gt;"",IF('POINTAGE'!H105="Présent",'POINTAGE'!I105,0),0),IF('POINTAGE'!$J$5&lt;&gt;"",IF('POINTAGE'!J105="Présent",'POINTAGE'!K105,0),0),IF('POINTAGE'!$L$5&lt;&gt;"",IF('POINTAGE'!L105="Présent",'POINTAGE'!M105,0),0),IF('POINTAGE'!$N$5&lt;&gt;"",IF('POINTAGE'!N105="Présent",'POINTAGE'!O105,0),0),IF('POINTAGE'!$P$5&lt;&gt;"",IF('POINTAGE'!P105="Présent",'POINTAGE'!Q105,0),0),IF('POINTAGE'!$R$5&lt;&gt;"",IF('POINTAGE'!R105="Présent",'POINTAGE'!S105,0),0),IF('POINTAGE'!$T$5&lt;&gt;"",IF('POINTAGE'!T105="Présent",'POINTAGE'!U105,0),0),IF('POINTAGE'!$V$5&lt;&gt;"",IF('POINTAGE'!V105="Présent",'POINTAGE'!W105,0),0),IF('POINTAGE'!$X$5&lt;&gt;"",IF('POINTAGE'!X105="Présent",'POINTAGE'!Y105,0),0),IF('POINTAGE'!$Z$5&lt;&gt;"",IF('POINTAGE'!Z105="Présent",'POINTAGE'!AA105,0),0),IF('POINTAGE'!$AB$5&lt;&gt;"",IF('POINTAGE'!AB105="Présent",'POINTAGE'!AC105,0),0),IF('POINTAGE'!$AD$5&lt;&gt;"",IF('POINTAGE'!AD105="Présent",'POINTAGE'!AE105,0),0),IF('POINTAGE'!$AF$5&lt;&gt;"",IF('POINTAGE'!AF105="Présent",'POINTAGE'!AG105,0),0)))</f>
      </c>
      <c r="I105" s="24">
        <f>IF($A105="","",$F105*$D105)</f>
      </c>
      <c r="J105" s="24">
        <f>IF($A105="","",$H105*$E105)</f>
      </c>
      <c r="K105" s="25">
        <f>IF($A105="","",$I105+$J105)</f>
      </c>
      <c r="L105" s="18"/>
      <c r="M105" s="25">
        <f>IF($A105="","",MAX(0,$K105-$L105))</f>
      </c>
      <c r="N105" s="22">
        <f>IF($A105="","",SUM(IF('POINTAGE'!$AH$5&lt;&gt;"",--('POINTAGE'!AH105="Présent"),0),IF('POINTAGE'!$AJ$5&lt;&gt;"",--('POINTAGE'!AJ105="Présent"),0),IF('POINTAGE'!$AL$5&lt;&gt;"",--('POINTAGE'!AL105="Présent"),0),IF('POINTAGE'!$AN$5&lt;&gt;"",--('POINTAGE'!AN105="Présent"),0),IF('POINTAGE'!$AP$5&lt;&gt;"",--('POINTAGE'!AP105="Présent"),0),IF('POINTAGE'!$AR$5&lt;&gt;"",--('POINTAGE'!AR105="Présent"),0),IF('POINTAGE'!$AT$5&lt;&gt;"",--('POINTAGE'!AT105="Présent"),0),IF('POINTAGE'!$AV$5&lt;&gt;"",--('POINTAGE'!AV105="Présent"),0),IF('POINTAGE'!$AX$5&lt;&gt;"",--('POINTAGE'!AX105="Présent"),0),IF('POINTAGE'!$AZ$5&lt;&gt;"",--('POINTAGE'!AZ105="Présent"),0),IF('POINTAGE'!$BB$5&lt;&gt;"",--('POINTAGE'!BB105="Présent"),0),IF('POINTAGE'!$BD$5&lt;&gt;"",--('POINTAGE'!BD105="Présent"),0),IF('POINTAGE'!$BF$5&lt;&gt;"",--('POINTAGE'!BF105="Présent"),0),IF('POINTAGE'!$BH$5&lt;&gt;"",--('POINTAGE'!BH105="Présent"),0),IF('POINTAGE'!$BJ$5&lt;&gt;"",--('POINTAGE'!BJ105="Présent"),0),IF('POINTAGE'!$BL$5&lt;&gt;"",--('POINTAGE'!BL105="Présent"),0)))</f>
      </c>
      <c r="O105" s="22">
        <f>IF($A105="","",SUM(IF('POINTAGE'!$AH$5&lt;&gt;"",--('POINTAGE'!AH105="Absent"),0),IF('POINTAGE'!$AJ$5&lt;&gt;"",--('POINTAGE'!AJ105="Absent"),0),IF('POINTAGE'!$AL$5&lt;&gt;"",--('POINTAGE'!AL105="Absent"),0),IF('POINTAGE'!$AN$5&lt;&gt;"",--('POINTAGE'!AN105="Absent"),0),IF('POINTAGE'!$AP$5&lt;&gt;"",--('POINTAGE'!AP105="Absent"),0),IF('POINTAGE'!$AR$5&lt;&gt;"",--('POINTAGE'!AR105="Absent"),0),IF('POINTAGE'!$AT$5&lt;&gt;"",--('POINTAGE'!AT105="Absent"),0),IF('POINTAGE'!$AV$5&lt;&gt;"",--('POINTAGE'!AV105="Absent"),0),IF('POINTAGE'!$AX$5&lt;&gt;"",--('POINTAGE'!AX105="Absent"),0),IF('POINTAGE'!$AZ$5&lt;&gt;"",--('POINTAGE'!AZ105="Absent"),0),IF('POINTAGE'!$BB$5&lt;&gt;"",--('POINTAGE'!BB105="Absent"),0),IF('POINTAGE'!$BD$5&lt;&gt;"",--('POINTAGE'!BD105="Absent"),0),IF('POINTAGE'!$BF$5&lt;&gt;"",--('POINTAGE'!BF105="Absent"),0),IF('POINTAGE'!$BH$5&lt;&gt;"",--('POINTAGE'!BH105="Absent"),0),IF('POINTAGE'!$BJ$5&lt;&gt;"",--('POINTAGE'!BJ105="Absent"),0),IF('POINTAGE'!$BL$5&lt;&gt;"",--('POINTAGE'!BL105="Absent"),0)))</f>
      </c>
      <c r="P105" s="23">
        <f>IF($A105="","",SUM(IF('POINTAGE'!$AH$5&lt;&gt;"",IF('POINTAGE'!AH105="Présent",'POINTAGE'!AI105,0),0),IF('POINTAGE'!$AJ$5&lt;&gt;"",IF('POINTAGE'!AJ105="Présent",'POINTAGE'!AK105,0),0),IF('POINTAGE'!$AL$5&lt;&gt;"",IF('POINTAGE'!AL105="Présent",'POINTAGE'!AM105,0),0),IF('POINTAGE'!$AN$5&lt;&gt;"",IF('POINTAGE'!AN105="Présent",'POINTAGE'!AO105,0),0),IF('POINTAGE'!$AP$5&lt;&gt;"",IF('POINTAGE'!AP105="Présent",'POINTAGE'!AQ105,0),0),IF('POINTAGE'!$AR$5&lt;&gt;"",IF('POINTAGE'!AR105="Présent",'POINTAGE'!AS105,0),0),IF('POINTAGE'!$AT$5&lt;&gt;"",IF('POINTAGE'!AT105="Présent",'POINTAGE'!AU105,0),0),IF('POINTAGE'!$AV$5&lt;&gt;"",IF('POINTAGE'!AV105="Présent",'POINTAGE'!AW105,0),0),IF('POINTAGE'!$AX$5&lt;&gt;"",IF('POINTAGE'!AX105="Présent",'POINTAGE'!AY105,0),0),IF('POINTAGE'!$AZ$5&lt;&gt;"",IF('POINTAGE'!AZ105="Présent",'POINTAGE'!BA105,0),0),IF('POINTAGE'!$BB$5&lt;&gt;"",IF('POINTAGE'!BB105="Présent",'POINTAGE'!BC105,0),0),IF('POINTAGE'!$BD$5&lt;&gt;"",IF('POINTAGE'!BD105="Présent",'POINTAGE'!BE105,0),0),IF('POINTAGE'!$BF$5&lt;&gt;"",IF('POINTAGE'!BF105="Présent",'POINTAGE'!BG105,0),0),IF('POINTAGE'!$BH$5&lt;&gt;"",IF('POINTAGE'!BH105="Présent",'POINTAGE'!BI105,0),0),IF('POINTAGE'!$BJ$5&lt;&gt;"",IF('POINTAGE'!BJ105="Présent",'POINTAGE'!BK105,0),0),IF('POINTAGE'!$BL$5&lt;&gt;"",IF('POINTAGE'!BL105="Présent",'POINTAGE'!BM105,0),0)))</f>
      </c>
      <c r="Q105" s="24">
        <f>IF($A105="","",$N105*$D105)</f>
      </c>
      <c r="R105" s="24">
        <f>IF($A105="","",$P105*$E105)</f>
      </c>
      <c r="S105" s="25">
        <f>IF($A105="","",$Q105+$R105)</f>
      </c>
      <c r="T105" s="18"/>
      <c r="U105" s="25">
        <f>IF($A105="","",MAX(0,$S105-$T105))</f>
      </c>
      <c r="V105" s="25">
        <f>IF($A105="","",$K105+$S105)</f>
      </c>
      <c r="W105" s="24">
        <f>IF($A105="","",$L105+$T105)</f>
      </c>
      <c r="X105" s="25">
        <f>IF($A105="","",$M105+$U105)</f>
      </c>
      <c r="Y105" s="29">
        <f>IF($A105="","",$J105+$R105)</f>
      </c>
    </row>
    <row r="106">
      <c r="A106" s="20">
        <f>IF('POINTAGE'!A106="","",'POINTAGE'!A106)</f>
      </c>
      <c r="B106" s="19">
        <f>IF($A106="","",'POINTAGE'!B106)</f>
      </c>
      <c r="C106" s="20">
        <f>IF($A106="","",'POINTAGE'!C106)</f>
      </c>
      <c r="D106" s="24">
        <f>IF($A106="","",IFERROR(INDEX(Categories_Salaire,MATCH($C106,ListeCategories,0)),0))</f>
      </c>
      <c r="E106" s="24">
        <f>IF($A106="","",IF(IFERROR(INDEX(Categories_TauxHS,MATCH($C106,ListeCategories,0)),0)&gt;0,IFERROR(INDEX(Categories_TauxHS,MATCH($C106,ListeCategories,0)),0),TauxHSDefaut))</f>
      </c>
      <c r="F106" s="22">
        <f>IF($A106="","",SUM(IF('POINTAGE'!$D$5&lt;&gt;"",--('POINTAGE'!D106="Présent"),0),IF('POINTAGE'!$F$5&lt;&gt;"",--('POINTAGE'!F106="Présent"),0),IF('POINTAGE'!$H$5&lt;&gt;"",--('POINTAGE'!H106="Présent"),0),IF('POINTAGE'!$J$5&lt;&gt;"",--('POINTAGE'!J106="Présent"),0),IF('POINTAGE'!$L$5&lt;&gt;"",--('POINTAGE'!L106="Présent"),0),IF('POINTAGE'!$N$5&lt;&gt;"",--('POINTAGE'!N106="Présent"),0),IF('POINTAGE'!$P$5&lt;&gt;"",--('POINTAGE'!P106="Présent"),0),IF('POINTAGE'!$R$5&lt;&gt;"",--('POINTAGE'!R106="Présent"),0),IF('POINTAGE'!$T$5&lt;&gt;"",--('POINTAGE'!T106="Présent"),0),IF('POINTAGE'!$V$5&lt;&gt;"",--('POINTAGE'!V106="Présent"),0),IF('POINTAGE'!$X$5&lt;&gt;"",--('POINTAGE'!X106="Présent"),0),IF('POINTAGE'!$Z$5&lt;&gt;"",--('POINTAGE'!Z106="Présent"),0),IF('POINTAGE'!$AB$5&lt;&gt;"",--('POINTAGE'!AB106="Présent"),0),IF('POINTAGE'!$AD$5&lt;&gt;"",--('POINTAGE'!AD106="Présent"),0),IF('POINTAGE'!$AF$5&lt;&gt;"",--('POINTAGE'!AF106="Présent"),0)))</f>
      </c>
      <c r="G106" s="22">
        <f>IF($A106="","",SUM(IF('POINTAGE'!$D$5&lt;&gt;"",--('POINTAGE'!D106="Absent"),0),IF('POINTAGE'!$F$5&lt;&gt;"",--('POINTAGE'!F106="Absent"),0),IF('POINTAGE'!$H$5&lt;&gt;"",--('POINTAGE'!H106="Absent"),0),IF('POINTAGE'!$J$5&lt;&gt;"",--('POINTAGE'!J106="Absent"),0),IF('POINTAGE'!$L$5&lt;&gt;"",--('POINTAGE'!L106="Absent"),0),IF('POINTAGE'!$N$5&lt;&gt;"",--('POINTAGE'!N106="Absent"),0),IF('POINTAGE'!$P$5&lt;&gt;"",--('POINTAGE'!P106="Absent"),0),IF('POINTAGE'!$R$5&lt;&gt;"",--('POINTAGE'!R106="Absent"),0),IF('POINTAGE'!$T$5&lt;&gt;"",--('POINTAGE'!T106="Absent"),0),IF('POINTAGE'!$V$5&lt;&gt;"",--('POINTAGE'!V106="Absent"),0),IF('POINTAGE'!$X$5&lt;&gt;"",--('POINTAGE'!X106="Absent"),0),IF('POINTAGE'!$Z$5&lt;&gt;"",--('POINTAGE'!Z106="Absent"),0),IF('POINTAGE'!$AB$5&lt;&gt;"",--('POINTAGE'!AB106="Absent"),0),IF('POINTAGE'!$AD$5&lt;&gt;"",--('POINTAGE'!AD106="Absent"),0),IF('POINTAGE'!$AF$5&lt;&gt;"",--('POINTAGE'!AF106="Absent"),0)))</f>
      </c>
      <c r="H106" s="23">
        <f>IF($A106="","",SUM(IF('POINTAGE'!$D$5&lt;&gt;"",IF('POINTAGE'!D106="Présent",'POINTAGE'!E106,0),0),IF('POINTAGE'!$F$5&lt;&gt;"",IF('POINTAGE'!F106="Présent",'POINTAGE'!G106,0),0),IF('POINTAGE'!$H$5&lt;&gt;"",IF('POINTAGE'!H106="Présent",'POINTAGE'!I106,0),0),IF('POINTAGE'!$J$5&lt;&gt;"",IF('POINTAGE'!J106="Présent",'POINTAGE'!K106,0),0),IF('POINTAGE'!$L$5&lt;&gt;"",IF('POINTAGE'!L106="Présent",'POINTAGE'!M106,0),0),IF('POINTAGE'!$N$5&lt;&gt;"",IF('POINTAGE'!N106="Présent",'POINTAGE'!O106,0),0),IF('POINTAGE'!$P$5&lt;&gt;"",IF('POINTAGE'!P106="Présent",'POINTAGE'!Q106,0),0),IF('POINTAGE'!$R$5&lt;&gt;"",IF('POINTAGE'!R106="Présent",'POINTAGE'!S106,0),0),IF('POINTAGE'!$T$5&lt;&gt;"",IF('POINTAGE'!T106="Présent",'POINTAGE'!U106,0),0),IF('POINTAGE'!$V$5&lt;&gt;"",IF('POINTAGE'!V106="Présent",'POINTAGE'!W106,0),0),IF('POINTAGE'!$X$5&lt;&gt;"",IF('POINTAGE'!X106="Présent",'POINTAGE'!Y106,0),0),IF('POINTAGE'!$Z$5&lt;&gt;"",IF('POINTAGE'!Z106="Présent",'POINTAGE'!AA106,0),0),IF('POINTAGE'!$AB$5&lt;&gt;"",IF('POINTAGE'!AB106="Présent",'POINTAGE'!AC106,0),0),IF('POINTAGE'!$AD$5&lt;&gt;"",IF('POINTAGE'!AD106="Présent",'POINTAGE'!AE106,0),0),IF('POINTAGE'!$AF$5&lt;&gt;"",IF('POINTAGE'!AF106="Présent",'POINTAGE'!AG106,0),0)))</f>
      </c>
      <c r="I106" s="24">
        <f>IF($A106="","",$F106*$D106)</f>
      </c>
      <c r="J106" s="24">
        <f>IF($A106="","",$H106*$E106)</f>
      </c>
      <c r="K106" s="25">
        <f>IF($A106="","",$I106+$J106)</f>
      </c>
      <c r="L106" s="18"/>
      <c r="M106" s="25">
        <f>IF($A106="","",MAX(0,$K106-$L106))</f>
      </c>
      <c r="N106" s="22">
        <f>IF($A106="","",SUM(IF('POINTAGE'!$AH$5&lt;&gt;"",--('POINTAGE'!AH106="Présent"),0),IF('POINTAGE'!$AJ$5&lt;&gt;"",--('POINTAGE'!AJ106="Présent"),0),IF('POINTAGE'!$AL$5&lt;&gt;"",--('POINTAGE'!AL106="Présent"),0),IF('POINTAGE'!$AN$5&lt;&gt;"",--('POINTAGE'!AN106="Présent"),0),IF('POINTAGE'!$AP$5&lt;&gt;"",--('POINTAGE'!AP106="Présent"),0),IF('POINTAGE'!$AR$5&lt;&gt;"",--('POINTAGE'!AR106="Présent"),0),IF('POINTAGE'!$AT$5&lt;&gt;"",--('POINTAGE'!AT106="Présent"),0),IF('POINTAGE'!$AV$5&lt;&gt;"",--('POINTAGE'!AV106="Présent"),0),IF('POINTAGE'!$AX$5&lt;&gt;"",--('POINTAGE'!AX106="Présent"),0),IF('POINTAGE'!$AZ$5&lt;&gt;"",--('POINTAGE'!AZ106="Présent"),0),IF('POINTAGE'!$BB$5&lt;&gt;"",--('POINTAGE'!BB106="Présent"),0),IF('POINTAGE'!$BD$5&lt;&gt;"",--('POINTAGE'!BD106="Présent"),0),IF('POINTAGE'!$BF$5&lt;&gt;"",--('POINTAGE'!BF106="Présent"),0),IF('POINTAGE'!$BH$5&lt;&gt;"",--('POINTAGE'!BH106="Présent"),0),IF('POINTAGE'!$BJ$5&lt;&gt;"",--('POINTAGE'!BJ106="Présent"),0),IF('POINTAGE'!$BL$5&lt;&gt;"",--('POINTAGE'!BL106="Présent"),0)))</f>
      </c>
      <c r="O106" s="22">
        <f>IF($A106="","",SUM(IF('POINTAGE'!$AH$5&lt;&gt;"",--('POINTAGE'!AH106="Absent"),0),IF('POINTAGE'!$AJ$5&lt;&gt;"",--('POINTAGE'!AJ106="Absent"),0),IF('POINTAGE'!$AL$5&lt;&gt;"",--('POINTAGE'!AL106="Absent"),0),IF('POINTAGE'!$AN$5&lt;&gt;"",--('POINTAGE'!AN106="Absent"),0),IF('POINTAGE'!$AP$5&lt;&gt;"",--('POINTAGE'!AP106="Absent"),0),IF('POINTAGE'!$AR$5&lt;&gt;"",--('POINTAGE'!AR106="Absent"),0),IF('POINTAGE'!$AT$5&lt;&gt;"",--('POINTAGE'!AT106="Absent"),0),IF('POINTAGE'!$AV$5&lt;&gt;"",--('POINTAGE'!AV106="Absent"),0),IF('POINTAGE'!$AX$5&lt;&gt;"",--('POINTAGE'!AX106="Absent"),0),IF('POINTAGE'!$AZ$5&lt;&gt;"",--('POINTAGE'!AZ106="Absent"),0),IF('POINTAGE'!$BB$5&lt;&gt;"",--('POINTAGE'!BB106="Absent"),0),IF('POINTAGE'!$BD$5&lt;&gt;"",--('POINTAGE'!BD106="Absent"),0),IF('POINTAGE'!$BF$5&lt;&gt;"",--('POINTAGE'!BF106="Absent"),0),IF('POINTAGE'!$BH$5&lt;&gt;"",--('POINTAGE'!BH106="Absent"),0),IF('POINTAGE'!$BJ$5&lt;&gt;"",--('POINTAGE'!BJ106="Absent"),0),IF('POINTAGE'!$BL$5&lt;&gt;"",--('POINTAGE'!BL106="Absent"),0)))</f>
      </c>
      <c r="P106" s="23">
        <f>IF($A106="","",SUM(IF('POINTAGE'!$AH$5&lt;&gt;"",IF('POINTAGE'!AH106="Présent",'POINTAGE'!AI106,0),0),IF('POINTAGE'!$AJ$5&lt;&gt;"",IF('POINTAGE'!AJ106="Présent",'POINTAGE'!AK106,0),0),IF('POINTAGE'!$AL$5&lt;&gt;"",IF('POINTAGE'!AL106="Présent",'POINTAGE'!AM106,0),0),IF('POINTAGE'!$AN$5&lt;&gt;"",IF('POINTAGE'!AN106="Présent",'POINTAGE'!AO106,0),0),IF('POINTAGE'!$AP$5&lt;&gt;"",IF('POINTAGE'!AP106="Présent",'POINTAGE'!AQ106,0),0),IF('POINTAGE'!$AR$5&lt;&gt;"",IF('POINTAGE'!AR106="Présent",'POINTAGE'!AS106,0),0),IF('POINTAGE'!$AT$5&lt;&gt;"",IF('POINTAGE'!AT106="Présent",'POINTAGE'!AU106,0),0),IF('POINTAGE'!$AV$5&lt;&gt;"",IF('POINTAGE'!AV106="Présent",'POINTAGE'!AW106,0),0),IF('POINTAGE'!$AX$5&lt;&gt;"",IF('POINTAGE'!AX106="Présent",'POINTAGE'!AY106,0),0),IF('POINTAGE'!$AZ$5&lt;&gt;"",IF('POINTAGE'!AZ106="Présent",'POINTAGE'!BA106,0),0),IF('POINTAGE'!$BB$5&lt;&gt;"",IF('POINTAGE'!BB106="Présent",'POINTAGE'!BC106,0),0),IF('POINTAGE'!$BD$5&lt;&gt;"",IF('POINTAGE'!BD106="Présent",'POINTAGE'!BE106,0),0),IF('POINTAGE'!$BF$5&lt;&gt;"",IF('POINTAGE'!BF106="Présent",'POINTAGE'!BG106,0),0),IF('POINTAGE'!$BH$5&lt;&gt;"",IF('POINTAGE'!BH106="Présent",'POINTAGE'!BI106,0),0),IF('POINTAGE'!$BJ$5&lt;&gt;"",IF('POINTAGE'!BJ106="Présent",'POINTAGE'!BK106,0),0),IF('POINTAGE'!$BL$5&lt;&gt;"",IF('POINTAGE'!BL106="Présent",'POINTAGE'!BM106,0),0)))</f>
      </c>
      <c r="Q106" s="24">
        <f>IF($A106="","",$N106*$D106)</f>
      </c>
      <c r="R106" s="24">
        <f>IF($A106="","",$P106*$E106)</f>
      </c>
      <c r="S106" s="25">
        <f>IF($A106="","",$Q106+$R106)</f>
      </c>
      <c r="T106" s="18"/>
      <c r="U106" s="25">
        <f>IF($A106="","",MAX(0,$S106-$T106))</f>
      </c>
      <c r="V106" s="25">
        <f>IF($A106="","",$K106+$S106)</f>
      </c>
      <c r="W106" s="24">
        <f>IF($A106="","",$L106+$T106)</f>
      </c>
      <c r="X106" s="25">
        <f>IF($A106="","",$M106+$U106)</f>
      </c>
      <c r="Y106" s="29">
        <f>IF($A106="","",$J106+$R106)</f>
      </c>
    </row>
    <row r="107">
      <c r="A107" s="20">
        <f>IF('POINTAGE'!A107="","",'POINTAGE'!A107)</f>
      </c>
      <c r="B107" s="19">
        <f>IF($A107="","",'POINTAGE'!B107)</f>
      </c>
      <c r="C107" s="20">
        <f>IF($A107="","",'POINTAGE'!C107)</f>
      </c>
      <c r="D107" s="24">
        <f>IF($A107="","",IFERROR(INDEX(Categories_Salaire,MATCH($C107,ListeCategories,0)),0))</f>
      </c>
      <c r="E107" s="24">
        <f>IF($A107="","",IF(IFERROR(INDEX(Categories_TauxHS,MATCH($C107,ListeCategories,0)),0)&gt;0,IFERROR(INDEX(Categories_TauxHS,MATCH($C107,ListeCategories,0)),0),TauxHSDefaut))</f>
      </c>
      <c r="F107" s="22">
        <f>IF($A107="","",SUM(IF('POINTAGE'!$D$5&lt;&gt;"",--('POINTAGE'!D107="Présent"),0),IF('POINTAGE'!$F$5&lt;&gt;"",--('POINTAGE'!F107="Présent"),0),IF('POINTAGE'!$H$5&lt;&gt;"",--('POINTAGE'!H107="Présent"),0),IF('POINTAGE'!$J$5&lt;&gt;"",--('POINTAGE'!J107="Présent"),0),IF('POINTAGE'!$L$5&lt;&gt;"",--('POINTAGE'!L107="Présent"),0),IF('POINTAGE'!$N$5&lt;&gt;"",--('POINTAGE'!N107="Présent"),0),IF('POINTAGE'!$P$5&lt;&gt;"",--('POINTAGE'!P107="Présent"),0),IF('POINTAGE'!$R$5&lt;&gt;"",--('POINTAGE'!R107="Présent"),0),IF('POINTAGE'!$T$5&lt;&gt;"",--('POINTAGE'!T107="Présent"),0),IF('POINTAGE'!$V$5&lt;&gt;"",--('POINTAGE'!V107="Présent"),0),IF('POINTAGE'!$X$5&lt;&gt;"",--('POINTAGE'!X107="Présent"),0),IF('POINTAGE'!$Z$5&lt;&gt;"",--('POINTAGE'!Z107="Présent"),0),IF('POINTAGE'!$AB$5&lt;&gt;"",--('POINTAGE'!AB107="Présent"),0),IF('POINTAGE'!$AD$5&lt;&gt;"",--('POINTAGE'!AD107="Présent"),0),IF('POINTAGE'!$AF$5&lt;&gt;"",--('POINTAGE'!AF107="Présent"),0)))</f>
      </c>
      <c r="G107" s="22">
        <f>IF($A107="","",SUM(IF('POINTAGE'!$D$5&lt;&gt;"",--('POINTAGE'!D107="Absent"),0),IF('POINTAGE'!$F$5&lt;&gt;"",--('POINTAGE'!F107="Absent"),0),IF('POINTAGE'!$H$5&lt;&gt;"",--('POINTAGE'!H107="Absent"),0),IF('POINTAGE'!$J$5&lt;&gt;"",--('POINTAGE'!J107="Absent"),0),IF('POINTAGE'!$L$5&lt;&gt;"",--('POINTAGE'!L107="Absent"),0),IF('POINTAGE'!$N$5&lt;&gt;"",--('POINTAGE'!N107="Absent"),0),IF('POINTAGE'!$P$5&lt;&gt;"",--('POINTAGE'!P107="Absent"),0),IF('POINTAGE'!$R$5&lt;&gt;"",--('POINTAGE'!R107="Absent"),0),IF('POINTAGE'!$T$5&lt;&gt;"",--('POINTAGE'!T107="Absent"),0),IF('POINTAGE'!$V$5&lt;&gt;"",--('POINTAGE'!V107="Absent"),0),IF('POINTAGE'!$X$5&lt;&gt;"",--('POINTAGE'!X107="Absent"),0),IF('POINTAGE'!$Z$5&lt;&gt;"",--('POINTAGE'!Z107="Absent"),0),IF('POINTAGE'!$AB$5&lt;&gt;"",--('POINTAGE'!AB107="Absent"),0),IF('POINTAGE'!$AD$5&lt;&gt;"",--('POINTAGE'!AD107="Absent"),0),IF('POINTAGE'!$AF$5&lt;&gt;"",--('POINTAGE'!AF107="Absent"),0)))</f>
      </c>
      <c r="H107" s="23">
        <f>IF($A107="","",SUM(IF('POINTAGE'!$D$5&lt;&gt;"",IF('POINTAGE'!D107="Présent",'POINTAGE'!E107,0),0),IF('POINTAGE'!$F$5&lt;&gt;"",IF('POINTAGE'!F107="Présent",'POINTAGE'!G107,0),0),IF('POINTAGE'!$H$5&lt;&gt;"",IF('POINTAGE'!H107="Présent",'POINTAGE'!I107,0),0),IF('POINTAGE'!$J$5&lt;&gt;"",IF('POINTAGE'!J107="Présent",'POINTAGE'!K107,0),0),IF('POINTAGE'!$L$5&lt;&gt;"",IF('POINTAGE'!L107="Présent",'POINTAGE'!M107,0),0),IF('POINTAGE'!$N$5&lt;&gt;"",IF('POINTAGE'!N107="Présent",'POINTAGE'!O107,0),0),IF('POINTAGE'!$P$5&lt;&gt;"",IF('POINTAGE'!P107="Présent",'POINTAGE'!Q107,0),0),IF('POINTAGE'!$R$5&lt;&gt;"",IF('POINTAGE'!R107="Présent",'POINTAGE'!S107,0),0),IF('POINTAGE'!$T$5&lt;&gt;"",IF('POINTAGE'!T107="Présent",'POINTAGE'!U107,0),0),IF('POINTAGE'!$V$5&lt;&gt;"",IF('POINTAGE'!V107="Présent",'POINTAGE'!W107,0),0),IF('POINTAGE'!$X$5&lt;&gt;"",IF('POINTAGE'!X107="Présent",'POINTAGE'!Y107,0),0),IF('POINTAGE'!$Z$5&lt;&gt;"",IF('POINTAGE'!Z107="Présent",'POINTAGE'!AA107,0),0),IF('POINTAGE'!$AB$5&lt;&gt;"",IF('POINTAGE'!AB107="Présent",'POINTAGE'!AC107,0),0),IF('POINTAGE'!$AD$5&lt;&gt;"",IF('POINTAGE'!AD107="Présent",'POINTAGE'!AE107,0),0),IF('POINTAGE'!$AF$5&lt;&gt;"",IF('POINTAGE'!AF107="Présent",'POINTAGE'!AG107,0),0)))</f>
      </c>
      <c r="I107" s="24">
        <f>IF($A107="","",$F107*$D107)</f>
      </c>
      <c r="J107" s="24">
        <f>IF($A107="","",$H107*$E107)</f>
      </c>
      <c r="K107" s="25">
        <f>IF($A107="","",$I107+$J107)</f>
      </c>
      <c r="L107" s="18"/>
      <c r="M107" s="25">
        <f>IF($A107="","",MAX(0,$K107-$L107))</f>
      </c>
      <c r="N107" s="22">
        <f>IF($A107="","",SUM(IF('POINTAGE'!$AH$5&lt;&gt;"",--('POINTAGE'!AH107="Présent"),0),IF('POINTAGE'!$AJ$5&lt;&gt;"",--('POINTAGE'!AJ107="Présent"),0),IF('POINTAGE'!$AL$5&lt;&gt;"",--('POINTAGE'!AL107="Présent"),0),IF('POINTAGE'!$AN$5&lt;&gt;"",--('POINTAGE'!AN107="Présent"),0),IF('POINTAGE'!$AP$5&lt;&gt;"",--('POINTAGE'!AP107="Présent"),0),IF('POINTAGE'!$AR$5&lt;&gt;"",--('POINTAGE'!AR107="Présent"),0),IF('POINTAGE'!$AT$5&lt;&gt;"",--('POINTAGE'!AT107="Présent"),0),IF('POINTAGE'!$AV$5&lt;&gt;"",--('POINTAGE'!AV107="Présent"),0),IF('POINTAGE'!$AX$5&lt;&gt;"",--('POINTAGE'!AX107="Présent"),0),IF('POINTAGE'!$AZ$5&lt;&gt;"",--('POINTAGE'!AZ107="Présent"),0),IF('POINTAGE'!$BB$5&lt;&gt;"",--('POINTAGE'!BB107="Présent"),0),IF('POINTAGE'!$BD$5&lt;&gt;"",--('POINTAGE'!BD107="Présent"),0),IF('POINTAGE'!$BF$5&lt;&gt;"",--('POINTAGE'!BF107="Présent"),0),IF('POINTAGE'!$BH$5&lt;&gt;"",--('POINTAGE'!BH107="Présent"),0),IF('POINTAGE'!$BJ$5&lt;&gt;"",--('POINTAGE'!BJ107="Présent"),0),IF('POINTAGE'!$BL$5&lt;&gt;"",--('POINTAGE'!BL107="Présent"),0)))</f>
      </c>
      <c r="O107" s="22">
        <f>IF($A107="","",SUM(IF('POINTAGE'!$AH$5&lt;&gt;"",--('POINTAGE'!AH107="Absent"),0),IF('POINTAGE'!$AJ$5&lt;&gt;"",--('POINTAGE'!AJ107="Absent"),0),IF('POINTAGE'!$AL$5&lt;&gt;"",--('POINTAGE'!AL107="Absent"),0),IF('POINTAGE'!$AN$5&lt;&gt;"",--('POINTAGE'!AN107="Absent"),0),IF('POINTAGE'!$AP$5&lt;&gt;"",--('POINTAGE'!AP107="Absent"),0),IF('POINTAGE'!$AR$5&lt;&gt;"",--('POINTAGE'!AR107="Absent"),0),IF('POINTAGE'!$AT$5&lt;&gt;"",--('POINTAGE'!AT107="Absent"),0),IF('POINTAGE'!$AV$5&lt;&gt;"",--('POINTAGE'!AV107="Absent"),0),IF('POINTAGE'!$AX$5&lt;&gt;"",--('POINTAGE'!AX107="Absent"),0),IF('POINTAGE'!$AZ$5&lt;&gt;"",--('POINTAGE'!AZ107="Absent"),0),IF('POINTAGE'!$BB$5&lt;&gt;"",--('POINTAGE'!BB107="Absent"),0),IF('POINTAGE'!$BD$5&lt;&gt;"",--('POINTAGE'!BD107="Absent"),0),IF('POINTAGE'!$BF$5&lt;&gt;"",--('POINTAGE'!BF107="Absent"),0),IF('POINTAGE'!$BH$5&lt;&gt;"",--('POINTAGE'!BH107="Absent"),0),IF('POINTAGE'!$BJ$5&lt;&gt;"",--('POINTAGE'!BJ107="Absent"),0),IF('POINTAGE'!$BL$5&lt;&gt;"",--('POINTAGE'!BL107="Absent"),0)))</f>
      </c>
      <c r="P107" s="23">
        <f>IF($A107="","",SUM(IF('POINTAGE'!$AH$5&lt;&gt;"",IF('POINTAGE'!AH107="Présent",'POINTAGE'!AI107,0),0),IF('POINTAGE'!$AJ$5&lt;&gt;"",IF('POINTAGE'!AJ107="Présent",'POINTAGE'!AK107,0),0),IF('POINTAGE'!$AL$5&lt;&gt;"",IF('POINTAGE'!AL107="Présent",'POINTAGE'!AM107,0),0),IF('POINTAGE'!$AN$5&lt;&gt;"",IF('POINTAGE'!AN107="Présent",'POINTAGE'!AO107,0),0),IF('POINTAGE'!$AP$5&lt;&gt;"",IF('POINTAGE'!AP107="Présent",'POINTAGE'!AQ107,0),0),IF('POINTAGE'!$AR$5&lt;&gt;"",IF('POINTAGE'!AR107="Présent",'POINTAGE'!AS107,0),0),IF('POINTAGE'!$AT$5&lt;&gt;"",IF('POINTAGE'!AT107="Présent",'POINTAGE'!AU107,0),0),IF('POINTAGE'!$AV$5&lt;&gt;"",IF('POINTAGE'!AV107="Présent",'POINTAGE'!AW107,0),0),IF('POINTAGE'!$AX$5&lt;&gt;"",IF('POINTAGE'!AX107="Présent",'POINTAGE'!AY107,0),0),IF('POINTAGE'!$AZ$5&lt;&gt;"",IF('POINTAGE'!AZ107="Présent",'POINTAGE'!BA107,0),0),IF('POINTAGE'!$BB$5&lt;&gt;"",IF('POINTAGE'!BB107="Présent",'POINTAGE'!BC107,0),0),IF('POINTAGE'!$BD$5&lt;&gt;"",IF('POINTAGE'!BD107="Présent",'POINTAGE'!BE107,0),0),IF('POINTAGE'!$BF$5&lt;&gt;"",IF('POINTAGE'!BF107="Présent",'POINTAGE'!BG107,0),0),IF('POINTAGE'!$BH$5&lt;&gt;"",IF('POINTAGE'!BH107="Présent",'POINTAGE'!BI107,0),0),IF('POINTAGE'!$BJ$5&lt;&gt;"",IF('POINTAGE'!BJ107="Présent",'POINTAGE'!BK107,0),0),IF('POINTAGE'!$BL$5&lt;&gt;"",IF('POINTAGE'!BL107="Présent",'POINTAGE'!BM107,0),0)))</f>
      </c>
      <c r="Q107" s="24">
        <f>IF($A107="","",$N107*$D107)</f>
      </c>
      <c r="R107" s="24">
        <f>IF($A107="","",$P107*$E107)</f>
      </c>
      <c r="S107" s="25">
        <f>IF($A107="","",$Q107+$R107)</f>
      </c>
      <c r="T107" s="18"/>
      <c r="U107" s="25">
        <f>IF($A107="","",MAX(0,$S107-$T107))</f>
      </c>
      <c r="V107" s="25">
        <f>IF($A107="","",$K107+$S107)</f>
      </c>
      <c r="W107" s="24">
        <f>IF($A107="","",$L107+$T107)</f>
      </c>
      <c r="X107" s="25">
        <f>IF($A107="","",$M107+$U107)</f>
      </c>
      <c r="Y107" s="29">
        <f>IF($A107="","",$J107+$R107)</f>
      </c>
    </row>
    <row r="108">
      <c r="A108" s="20">
        <f>IF('POINTAGE'!A108="","",'POINTAGE'!A108)</f>
      </c>
      <c r="B108" s="19">
        <f>IF($A108="","",'POINTAGE'!B108)</f>
      </c>
      <c r="C108" s="20">
        <f>IF($A108="","",'POINTAGE'!C108)</f>
      </c>
      <c r="D108" s="24">
        <f>IF($A108="","",IFERROR(INDEX(Categories_Salaire,MATCH($C108,ListeCategories,0)),0))</f>
      </c>
      <c r="E108" s="24">
        <f>IF($A108="","",IF(IFERROR(INDEX(Categories_TauxHS,MATCH($C108,ListeCategories,0)),0)&gt;0,IFERROR(INDEX(Categories_TauxHS,MATCH($C108,ListeCategories,0)),0),TauxHSDefaut))</f>
      </c>
      <c r="F108" s="22">
        <f>IF($A108="","",SUM(IF('POINTAGE'!$D$5&lt;&gt;"",--('POINTAGE'!D108="Présent"),0),IF('POINTAGE'!$F$5&lt;&gt;"",--('POINTAGE'!F108="Présent"),0),IF('POINTAGE'!$H$5&lt;&gt;"",--('POINTAGE'!H108="Présent"),0),IF('POINTAGE'!$J$5&lt;&gt;"",--('POINTAGE'!J108="Présent"),0),IF('POINTAGE'!$L$5&lt;&gt;"",--('POINTAGE'!L108="Présent"),0),IF('POINTAGE'!$N$5&lt;&gt;"",--('POINTAGE'!N108="Présent"),0),IF('POINTAGE'!$P$5&lt;&gt;"",--('POINTAGE'!P108="Présent"),0),IF('POINTAGE'!$R$5&lt;&gt;"",--('POINTAGE'!R108="Présent"),0),IF('POINTAGE'!$T$5&lt;&gt;"",--('POINTAGE'!T108="Présent"),0),IF('POINTAGE'!$V$5&lt;&gt;"",--('POINTAGE'!V108="Présent"),0),IF('POINTAGE'!$X$5&lt;&gt;"",--('POINTAGE'!X108="Présent"),0),IF('POINTAGE'!$Z$5&lt;&gt;"",--('POINTAGE'!Z108="Présent"),0),IF('POINTAGE'!$AB$5&lt;&gt;"",--('POINTAGE'!AB108="Présent"),0),IF('POINTAGE'!$AD$5&lt;&gt;"",--('POINTAGE'!AD108="Présent"),0),IF('POINTAGE'!$AF$5&lt;&gt;"",--('POINTAGE'!AF108="Présent"),0)))</f>
      </c>
      <c r="G108" s="22">
        <f>IF($A108="","",SUM(IF('POINTAGE'!$D$5&lt;&gt;"",--('POINTAGE'!D108="Absent"),0),IF('POINTAGE'!$F$5&lt;&gt;"",--('POINTAGE'!F108="Absent"),0),IF('POINTAGE'!$H$5&lt;&gt;"",--('POINTAGE'!H108="Absent"),0),IF('POINTAGE'!$J$5&lt;&gt;"",--('POINTAGE'!J108="Absent"),0),IF('POINTAGE'!$L$5&lt;&gt;"",--('POINTAGE'!L108="Absent"),0),IF('POINTAGE'!$N$5&lt;&gt;"",--('POINTAGE'!N108="Absent"),0),IF('POINTAGE'!$P$5&lt;&gt;"",--('POINTAGE'!P108="Absent"),0),IF('POINTAGE'!$R$5&lt;&gt;"",--('POINTAGE'!R108="Absent"),0),IF('POINTAGE'!$T$5&lt;&gt;"",--('POINTAGE'!T108="Absent"),0),IF('POINTAGE'!$V$5&lt;&gt;"",--('POINTAGE'!V108="Absent"),0),IF('POINTAGE'!$X$5&lt;&gt;"",--('POINTAGE'!X108="Absent"),0),IF('POINTAGE'!$Z$5&lt;&gt;"",--('POINTAGE'!Z108="Absent"),0),IF('POINTAGE'!$AB$5&lt;&gt;"",--('POINTAGE'!AB108="Absent"),0),IF('POINTAGE'!$AD$5&lt;&gt;"",--('POINTAGE'!AD108="Absent"),0),IF('POINTAGE'!$AF$5&lt;&gt;"",--('POINTAGE'!AF108="Absent"),0)))</f>
      </c>
      <c r="H108" s="23">
        <f>IF($A108="","",SUM(IF('POINTAGE'!$D$5&lt;&gt;"",IF('POINTAGE'!D108="Présent",'POINTAGE'!E108,0),0),IF('POINTAGE'!$F$5&lt;&gt;"",IF('POINTAGE'!F108="Présent",'POINTAGE'!G108,0),0),IF('POINTAGE'!$H$5&lt;&gt;"",IF('POINTAGE'!H108="Présent",'POINTAGE'!I108,0),0),IF('POINTAGE'!$J$5&lt;&gt;"",IF('POINTAGE'!J108="Présent",'POINTAGE'!K108,0),0),IF('POINTAGE'!$L$5&lt;&gt;"",IF('POINTAGE'!L108="Présent",'POINTAGE'!M108,0),0),IF('POINTAGE'!$N$5&lt;&gt;"",IF('POINTAGE'!N108="Présent",'POINTAGE'!O108,0),0),IF('POINTAGE'!$P$5&lt;&gt;"",IF('POINTAGE'!P108="Présent",'POINTAGE'!Q108,0),0),IF('POINTAGE'!$R$5&lt;&gt;"",IF('POINTAGE'!R108="Présent",'POINTAGE'!S108,0),0),IF('POINTAGE'!$T$5&lt;&gt;"",IF('POINTAGE'!T108="Présent",'POINTAGE'!U108,0),0),IF('POINTAGE'!$V$5&lt;&gt;"",IF('POINTAGE'!V108="Présent",'POINTAGE'!W108,0),0),IF('POINTAGE'!$X$5&lt;&gt;"",IF('POINTAGE'!X108="Présent",'POINTAGE'!Y108,0),0),IF('POINTAGE'!$Z$5&lt;&gt;"",IF('POINTAGE'!Z108="Présent",'POINTAGE'!AA108,0),0),IF('POINTAGE'!$AB$5&lt;&gt;"",IF('POINTAGE'!AB108="Présent",'POINTAGE'!AC108,0),0),IF('POINTAGE'!$AD$5&lt;&gt;"",IF('POINTAGE'!AD108="Présent",'POINTAGE'!AE108,0),0),IF('POINTAGE'!$AF$5&lt;&gt;"",IF('POINTAGE'!AF108="Présent",'POINTAGE'!AG108,0),0)))</f>
      </c>
      <c r="I108" s="24">
        <f>IF($A108="","",$F108*$D108)</f>
      </c>
      <c r="J108" s="24">
        <f>IF($A108="","",$H108*$E108)</f>
      </c>
      <c r="K108" s="25">
        <f>IF($A108="","",$I108+$J108)</f>
      </c>
      <c r="L108" s="18"/>
      <c r="M108" s="25">
        <f>IF($A108="","",MAX(0,$K108-$L108))</f>
      </c>
      <c r="N108" s="22">
        <f>IF($A108="","",SUM(IF('POINTAGE'!$AH$5&lt;&gt;"",--('POINTAGE'!AH108="Présent"),0),IF('POINTAGE'!$AJ$5&lt;&gt;"",--('POINTAGE'!AJ108="Présent"),0),IF('POINTAGE'!$AL$5&lt;&gt;"",--('POINTAGE'!AL108="Présent"),0),IF('POINTAGE'!$AN$5&lt;&gt;"",--('POINTAGE'!AN108="Présent"),0),IF('POINTAGE'!$AP$5&lt;&gt;"",--('POINTAGE'!AP108="Présent"),0),IF('POINTAGE'!$AR$5&lt;&gt;"",--('POINTAGE'!AR108="Présent"),0),IF('POINTAGE'!$AT$5&lt;&gt;"",--('POINTAGE'!AT108="Présent"),0),IF('POINTAGE'!$AV$5&lt;&gt;"",--('POINTAGE'!AV108="Présent"),0),IF('POINTAGE'!$AX$5&lt;&gt;"",--('POINTAGE'!AX108="Présent"),0),IF('POINTAGE'!$AZ$5&lt;&gt;"",--('POINTAGE'!AZ108="Présent"),0),IF('POINTAGE'!$BB$5&lt;&gt;"",--('POINTAGE'!BB108="Présent"),0),IF('POINTAGE'!$BD$5&lt;&gt;"",--('POINTAGE'!BD108="Présent"),0),IF('POINTAGE'!$BF$5&lt;&gt;"",--('POINTAGE'!BF108="Présent"),0),IF('POINTAGE'!$BH$5&lt;&gt;"",--('POINTAGE'!BH108="Présent"),0),IF('POINTAGE'!$BJ$5&lt;&gt;"",--('POINTAGE'!BJ108="Présent"),0),IF('POINTAGE'!$BL$5&lt;&gt;"",--('POINTAGE'!BL108="Présent"),0)))</f>
      </c>
      <c r="O108" s="22">
        <f>IF($A108="","",SUM(IF('POINTAGE'!$AH$5&lt;&gt;"",--('POINTAGE'!AH108="Absent"),0),IF('POINTAGE'!$AJ$5&lt;&gt;"",--('POINTAGE'!AJ108="Absent"),0),IF('POINTAGE'!$AL$5&lt;&gt;"",--('POINTAGE'!AL108="Absent"),0),IF('POINTAGE'!$AN$5&lt;&gt;"",--('POINTAGE'!AN108="Absent"),0),IF('POINTAGE'!$AP$5&lt;&gt;"",--('POINTAGE'!AP108="Absent"),0),IF('POINTAGE'!$AR$5&lt;&gt;"",--('POINTAGE'!AR108="Absent"),0),IF('POINTAGE'!$AT$5&lt;&gt;"",--('POINTAGE'!AT108="Absent"),0),IF('POINTAGE'!$AV$5&lt;&gt;"",--('POINTAGE'!AV108="Absent"),0),IF('POINTAGE'!$AX$5&lt;&gt;"",--('POINTAGE'!AX108="Absent"),0),IF('POINTAGE'!$AZ$5&lt;&gt;"",--('POINTAGE'!AZ108="Absent"),0),IF('POINTAGE'!$BB$5&lt;&gt;"",--('POINTAGE'!BB108="Absent"),0),IF('POINTAGE'!$BD$5&lt;&gt;"",--('POINTAGE'!BD108="Absent"),0),IF('POINTAGE'!$BF$5&lt;&gt;"",--('POINTAGE'!BF108="Absent"),0),IF('POINTAGE'!$BH$5&lt;&gt;"",--('POINTAGE'!BH108="Absent"),0),IF('POINTAGE'!$BJ$5&lt;&gt;"",--('POINTAGE'!BJ108="Absent"),0),IF('POINTAGE'!$BL$5&lt;&gt;"",--('POINTAGE'!BL108="Absent"),0)))</f>
      </c>
      <c r="P108" s="23">
        <f>IF($A108="","",SUM(IF('POINTAGE'!$AH$5&lt;&gt;"",IF('POINTAGE'!AH108="Présent",'POINTAGE'!AI108,0),0),IF('POINTAGE'!$AJ$5&lt;&gt;"",IF('POINTAGE'!AJ108="Présent",'POINTAGE'!AK108,0),0),IF('POINTAGE'!$AL$5&lt;&gt;"",IF('POINTAGE'!AL108="Présent",'POINTAGE'!AM108,0),0),IF('POINTAGE'!$AN$5&lt;&gt;"",IF('POINTAGE'!AN108="Présent",'POINTAGE'!AO108,0),0),IF('POINTAGE'!$AP$5&lt;&gt;"",IF('POINTAGE'!AP108="Présent",'POINTAGE'!AQ108,0),0),IF('POINTAGE'!$AR$5&lt;&gt;"",IF('POINTAGE'!AR108="Présent",'POINTAGE'!AS108,0),0),IF('POINTAGE'!$AT$5&lt;&gt;"",IF('POINTAGE'!AT108="Présent",'POINTAGE'!AU108,0),0),IF('POINTAGE'!$AV$5&lt;&gt;"",IF('POINTAGE'!AV108="Présent",'POINTAGE'!AW108,0),0),IF('POINTAGE'!$AX$5&lt;&gt;"",IF('POINTAGE'!AX108="Présent",'POINTAGE'!AY108,0),0),IF('POINTAGE'!$AZ$5&lt;&gt;"",IF('POINTAGE'!AZ108="Présent",'POINTAGE'!BA108,0),0),IF('POINTAGE'!$BB$5&lt;&gt;"",IF('POINTAGE'!BB108="Présent",'POINTAGE'!BC108,0),0),IF('POINTAGE'!$BD$5&lt;&gt;"",IF('POINTAGE'!BD108="Présent",'POINTAGE'!BE108,0),0),IF('POINTAGE'!$BF$5&lt;&gt;"",IF('POINTAGE'!BF108="Présent",'POINTAGE'!BG108,0),0),IF('POINTAGE'!$BH$5&lt;&gt;"",IF('POINTAGE'!BH108="Présent",'POINTAGE'!BI108,0),0),IF('POINTAGE'!$BJ$5&lt;&gt;"",IF('POINTAGE'!BJ108="Présent",'POINTAGE'!BK108,0),0),IF('POINTAGE'!$BL$5&lt;&gt;"",IF('POINTAGE'!BL108="Présent",'POINTAGE'!BM108,0),0)))</f>
      </c>
      <c r="Q108" s="24">
        <f>IF($A108="","",$N108*$D108)</f>
      </c>
      <c r="R108" s="24">
        <f>IF($A108="","",$P108*$E108)</f>
      </c>
      <c r="S108" s="25">
        <f>IF($A108="","",$Q108+$R108)</f>
      </c>
      <c r="T108" s="18"/>
      <c r="U108" s="25">
        <f>IF($A108="","",MAX(0,$S108-$T108))</f>
      </c>
      <c r="V108" s="25">
        <f>IF($A108="","",$K108+$S108)</f>
      </c>
      <c r="W108" s="24">
        <f>IF($A108="","",$L108+$T108)</f>
      </c>
      <c r="X108" s="25">
        <f>IF($A108="","",$M108+$U108)</f>
      </c>
      <c r="Y108" s="29">
        <f>IF($A108="","",$J108+$R108)</f>
      </c>
    </row>
    <row r="109">
      <c r="A109" s="20">
        <f>IF('POINTAGE'!A109="","",'POINTAGE'!A109)</f>
      </c>
      <c r="B109" s="19">
        <f>IF($A109="","",'POINTAGE'!B109)</f>
      </c>
      <c r="C109" s="20">
        <f>IF($A109="","",'POINTAGE'!C109)</f>
      </c>
      <c r="D109" s="24">
        <f>IF($A109="","",IFERROR(INDEX(Categories_Salaire,MATCH($C109,ListeCategories,0)),0))</f>
      </c>
      <c r="E109" s="24">
        <f>IF($A109="","",IF(IFERROR(INDEX(Categories_TauxHS,MATCH($C109,ListeCategories,0)),0)&gt;0,IFERROR(INDEX(Categories_TauxHS,MATCH($C109,ListeCategories,0)),0),TauxHSDefaut))</f>
      </c>
      <c r="F109" s="22">
        <f>IF($A109="","",SUM(IF('POINTAGE'!$D$5&lt;&gt;"",--('POINTAGE'!D109="Présent"),0),IF('POINTAGE'!$F$5&lt;&gt;"",--('POINTAGE'!F109="Présent"),0),IF('POINTAGE'!$H$5&lt;&gt;"",--('POINTAGE'!H109="Présent"),0),IF('POINTAGE'!$J$5&lt;&gt;"",--('POINTAGE'!J109="Présent"),0),IF('POINTAGE'!$L$5&lt;&gt;"",--('POINTAGE'!L109="Présent"),0),IF('POINTAGE'!$N$5&lt;&gt;"",--('POINTAGE'!N109="Présent"),0),IF('POINTAGE'!$P$5&lt;&gt;"",--('POINTAGE'!P109="Présent"),0),IF('POINTAGE'!$R$5&lt;&gt;"",--('POINTAGE'!R109="Présent"),0),IF('POINTAGE'!$T$5&lt;&gt;"",--('POINTAGE'!T109="Présent"),0),IF('POINTAGE'!$V$5&lt;&gt;"",--('POINTAGE'!V109="Présent"),0),IF('POINTAGE'!$X$5&lt;&gt;"",--('POINTAGE'!X109="Présent"),0),IF('POINTAGE'!$Z$5&lt;&gt;"",--('POINTAGE'!Z109="Présent"),0),IF('POINTAGE'!$AB$5&lt;&gt;"",--('POINTAGE'!AB109="Présent"),0),IF('POINTAGE'!$AD$5&lt;&gt;"",--('POINTAGE'!AD109="Présent"),0),IF('POINTAGE'!$AF$5&lt;&gt;"",--('POINTAGE'!AF109="Présent"),0)))</f>
      </c>
      <c r="G109" s="22">
        <f>IF($A109="","",SUM(IF('POINTAGE'!$D$5&lt;&gt;"",--('POINTAGE'!D109="Absent"),0),IF('POINTAGE'!$F$5&lt;&gt;"",--('POINTAGE'!F109="Absent"),0),IF('POINTAGE'!$H$5&lt;&gt;"",--('POINTAGE'!H109="Absent"),0),IF('POINTAGE'!$J$5&lt;&gt;"",--('POINTAGE'!J109="Absent"),0),IF('POINTAGE'!$L$5&lt;&gt;"",--('POINTAGE'!L109="Absent"),0),IF('POINTAGE'!$N$5&lt;&gt;"",--('POINTAGE'!N109="Absent"),0),IF('POINTAGE'!$P$5&lt;&gt;"",--('POINTAGE'!P109="Absent"),0),IF('POINTAGE'!$R$5&lt;&gt;"",--('POINTAGE'!R109="Absent"),0),IF('POINTAGE'!$T$5&lt;&gt;"",--('POINTAGE'!T109="Absent"),0),IF('POINTAGE'!$V$5&lt;&gt;"",--('POINTAGE'!V109="Absent"),0),IF('POINTAGE'!$X$5&lt;&gt;"",--('POINTAGE'!X109="Absent"),0),IF('POINTAGE'!$Z$5&lt;&gt;"",--('POINTAGE'!Z109="Absent"),0),IF('POINTAGE'!$AB$5&lt;&gt;"",--('POINTAGE'!AB109="Absent"),0),IF('POINTAGE'!$AD$5&lt;&gt;"",--('POINTAGE'!AD109="Absent"),0),IF('POINTAGE'!$AF$5&lt;&gt;"",--('POINTAGE'!AF109="Absent"),0)))</f>
      </c>
      <c r="H109" s="23">
        <f>IF($A109="","",SUM(IF('POINTAGE'!$D$5&lt;&gt;"",IF('POINTAGE'!D109="Présent",'POINTAGE'!E109,0),0),IF('POINTAGE'!$F$5&lt;&gt;"",IF('POINTAGE'!F109="Présent",'POINTAGE'!G109,0),0),IF('POINTAGE'!$H$5&lt;&gt;"",IF('POINTAGE'!H109="Présent",'POINTAGE'!I109,0),0),IF('POINTAGE'!$J$5&lt;&gt;"",IF('POINTAGE'!J109="Présent",'POINTAGE'!K109,0),0),IF('POINTAGE'!$L$5&lt;&gt;"",IF('POINTAGE'!L109="Présent",'POINTAGE'!M109,0),0),IF('POINTAGE'!$N$5&lt;&gt;"",IF('POINTAGE'!N109="Présent",'POINTAGE'!O109,0),0),IF('POINTAGE'!$P$5&lt;&gt;"",IF('POINTAGE'!P109="Présent",'POINTAGE'!Q109,0),0),IF('POINTAGE'!$R$5&lt;&gt;"",IF('POINTAGE'!R109="Présent",'POINTAGE'!S109,0),0),IF('POINTAGE'!$T$5&lt;&gt;"",IF('POINTAGE'!T109="Présent",'POINTAGE'!U109,0),0),IF('POINTAGE'!$V$5&lt;&gt;"",IF('POINTAGE'!V109="Présent",'POINTAGE'!W109,0),0),IF('POINTAGE'!$X$5&lt;&gt;"",IF('POINTAGE'!X109="Présent",'POINTAGE'!Y109,0),0),IF('POINTAGE'!$Z$5&lt;&gt;"",IF('POINTAGE'!Z109="Présent",'POINTAGE'!AA109,0),0),IF('POINTAGE'!$AB$5&lt;&gt;"",IF('POINTAGE'!AB109="Présent",'POINTAGE'!AC109,0),0),IF('POINTAGE'!$AD$5&lt;&gt;"",IF('POINTAGE'!AD109="Présent",'POINTAGE'!AE109,0),0),IF('POINTAGE'!$AF$5&lt;&gt;"",IF('POINTAGE'!AF109="Présent",'POINTAGE'!AG109,0),0)))</f>
      </c>
      <c r="I109" s="24">
        <f>IF($A109="","",$F109*$D109)</f>
      </c>
      <c r="J109" s="24">
        <f>IF($A109="","",$H109*$E109)</f>
      </c>
      <c r="K109" s="25">
        <f>IF($A109="","",$I109+$J109)</f>
      </c>
      <c r="L109" s="18"/>
      <c r="M109" s="25">
        <f>IF($A109="","",MAX(0,$K109-$L109))</f>
      </c>
      <c r="N109" s="22">
        <f>IF($A109="","",SUM(IF('POINTAGE'!$AH$5&lt;&gt;"",--('POINTAGE'!AH109="Présent"),0),IF('POINTAGE'!$AJ$5&lt;&gt;"",--('POINTAGE'!AJ109="Présent"),0),IF('POINTAGE'!$AL$5&lt;&gt;"",--('POINTAGE'!AL109="Présent"),0),IF('POINTAGE'!$AN$5&lt;&gt;"",--('POINTAGE'!AN109="Présent"),0),IF('POINTAGE'!$AP$5&lt;&gt;"",--('POINTAGE'!AP109="Présent"),0),IF('POINTAGE'!$AR$5&lt;&gt;"",--('POINTAGE'!AR109="Présent"),0),IF('POINTAGE'!$AT$5&lt;&gt;"",--('POINTAGE'!AT109="Présent"),0),IF('POINTAGE'!$AV$5&lt;&gt;"",--('POINTAGE'!AV109="Présent"),0),IF('POINTAGE'!$AX$5&lt;&gt;"",--('POINTAGE'!AX109="Présent"),0),IF('POINTAGE'!$AZ$5&lt;&gt;"",--('POINTAGE'!AZ109="Présent"),0),IF('POINTAGE'!$BB$5&lt;&gt;"",--('POINTAGE'!BB109="Présent"),0),IF('POINTAGE'!$BD$5&lt;&gt;"",--('POINTAGE'!BD109="Présent"),0),IF('POINTAGE'!$BF$5&lt;&gt;"",--('POINTAGE'!BF109="Présent"),0),IF('POINTAGE'!$BH$5&lt;&gt;"",--('POINTAGE'!BH109="Présent"),0),IF('POINTAGE'!$BJ$5&lt;&gt;"",--('POINTAGE'!BJ109="Présent"),0),IF('POINTAGE'!$BL$5&lt;&gt;"",--('POINTAGE'!BL109="Présent"),0)))</f>
      </c>
      <c r="O109" s="22">
        <f>IF($A109="","",SUM(IF('POINTAGE'!$AH$5&lt;&gt;"",--('POINTAGE'!AH109="Absent"),0),IF('POINTAGE'!$AJ$5&lt;&gt;"",--('POINTAGE'!AJ109="Absent"),0),IF('POINTAGE'!$AL$5&lt;&gt;"",--('POINTAGE'!AL109="Absent"),0),IF('POINTAGE'!$AN$5&lt;&gt;"",--('POINTAGE'!AN109="Absent"),0),IF('POINTAGE'!$AP$5&lt;&gt;"",--('POINTAGE'!AP109="Absent"),0),IF('POINTAGE'!$AR$5&lt;&gt;"",--('POINTAGE'!AR109="Absent"),0),IF('POINTAGE'!$AT$5&lt;&gt;"",--('POINTAGE'!AT109="Absent"),0),IF('POINTAGE'!$AV$5&lt;&gt;"",--('POINTAGE'!AV109="Absent"),0),IF('POINTAGE'!$AX$5&lt;&gt;"",--('POINTAGE'!AX109="Absent"),0),IF('POINTAGE'!$AZ$5&lt;&gt;"",--('POINTAGE'!AZ109="Absent"),0),IF('POINTAGE'!$BB$5&lt;&gt;"",--('POINTAGE'!BB109="Absent"),0),IF('POINTAGE'!$BD$5&lt;&gt;"",--('POINTAGE'!BD109="Absent"),0),IF('POINTAGE'!$BF$5&lt;&gt;"",--('POINTAGE'!BF109="Absent"),0),IF('POINTAGE'!$BH$5&lt;&gt;"",--('POINTAGE'!BH109="Absent"),0),IF('POINTAGE'!$BJ$5&lt;&gt;"",--('POINTAGE'!BJ109="Absent"),0),IF('POINTAGE'!$BL$5&lt;&gt;"",--('POINTAGE'!BL109="Absent"),0)))</f>
      </c>
      <c r="P109" s="23">
        <f>IF($A109="","",SUM(IF('POINTAGE'!$AH$5&lt;&gt;"",IF('POINTAGE'!AH109="Présent",'POINTAGE'!AI109,0),0),IF('POINTAGE'!$AJ$5&lt;&gt;"",IF('POINTAGE'!AJ109="Présent",'POINTAGE'!AK109,0),0),IF('POINTAGE'!$AL$5&lt;&gt;"",IF('POINTAGE'!AL109="Présent",'POINTAGE'!AM109,0),0),IF('POINTAGE'!$AN$5&lt;&gt;"",IF('POINTAGE'!AN109="Présent",'POINTAGE'!AO109,0),0),IF('POINTAGE'!$AP$5&lt;&gt;"",IF('POINTAGE'!AP109="Présent",'POINTAGE'!AQ109,0),0),IF('POINTAGE'!$AR$5&lt;&gt;"",IF('POINTAGE'!AR109="Présent",'POINTAGE'!AS109,0),0),IF('POINTAGE'!$AT$5&lt;&gt;"",IF('POINTAGE'!AT109="Présent",'POINTAGE'!AU109,0),0),IF('POINTAGE'!$AV$5&lt;&gt;"",IF('POINTAGE'!AV109="Présent",'POINTAGE'!AW109,0),0),IF('POINTAGE'!$AX$5&lt;&gt;"",IF('POINTAGE'!AX109="Présent",'POINTAGE'!AY109,0),0),IF('POINTAGE'!$AZ$5&lt;&gt;"",IF('POINTAGE'!AZ109="Présent",'POINTAGE'!BA109,0),0),IF('POINTAGE'!$BB$5&lt;&gt;"",IF('POINTAGE'!BB109="Présent",'POINTAGE'!BC109,0),0),IF('POINTAGE'!$BD$5&lt;&gt;"",IF('POINTAGE'!BD109="Présent",'POINTAGE'!BE109,0),0),IF('POINTAGE'!$BF$5&lt;&gt;"",IF('POINTAGE'!BF109="Présent",'POINTAGE'!BG109,0),0),IF('POINTAGE'!$BH$5&lt;&gt;"",IF('POINTAGE'!BH109="Présent",'POINTAGE'!BI109,0),0),IF('POINTAGE'!$BJ$5&lt;&gt;"",IF('POINTAGE'!BJ109="Présent",'POINTAGE'!BK109,0),0),IF('POINTAGE'!$BL$5&lt;&gt;"",IF('POINTAGE'!BL109="Présent",'POINTAGE'!BM109,0),0)))</f>
      </c>
      <c r="Q109" s="24">
        <f>IF($A109="","",$N109*$D109)</f>
      </c>
      <c r="R109" s="24">
        <f>IF($A109="","",$P109*$E109)</f>
      </c>
      <c r="S109" s="25">
        <f>IF($A109="","",$Q109+$R109)</f>
      </c>
      <c r="T109" s="18"/>
      <c r="U109" s="25">
        <f>IF($A109="","",MAX(0,$S109-$T109))</f>
      </c>
      <c r="V109" s="25">
        <f>IF($A109="","",$K109+$S109)</f>
      </c>
      <c r="W109" s="24">
        <f>IF($A109="","",$L109+$T109)</f>
      </c>
      <c r="X109" s="25">
        <f>IF($A109="","",$M109+$U109)</f>
      </c>
      <c r="Y109" s="29">
        <f>IF($A109="","",$J109+$R109)</f>
      </c>
    </row>
    <row r="110">
      <c r="A110" s="20">
        <f>IF('POINTAGE'!A110="","",'POINTAGE'!A110)</f>
      </c>
      <c r="B110" s="19">
        <f>IF($A110="","",'POINTAGE'!B110)</f>
      </c>
      <c r="C110" s="20">
        <f>IF($A110="","",'POINTAGE'!C110)</f>
      </c>
      <c r="D110" s="24">
        <f>IF($A110="","",IFERROR(INDEX(Categories_Salaire,MATCH($C110,ListeCategories,0)),0))</f>
      </c>
      <c r="E110" s="24">
        <f>IF($A110="","",IF(IFERROR(INDEX(Categories_TauxHS,MATCH($C110,ListeCategories,0)),0)&gt;0,IFERROR(INDEX(Categories_TauxHS,MATCH($C110,ListeCategories,0)),0),TauxHSDefaut))</f>
      </c>
      <c r="F110" s="22">
        <f>IF($A110="","",SUM(IF('POINTAGE'!$D$5&lt;&gt;"",--('POINTAGE'!D110="Présent"),0),IF('POINTAGE'!$F$5&lt;&gt;"",--('POINTAGE'!F110="Présent"),0),IF('POINTAGE'!$H$5&lt;&gt;"",--('POINTAGE'!H110="Présent"),0),IF('POINTAGE'!$J$5&lt;&gt;"",--('POINTAGE'!J110="Présent"),0),IF('POINTAGE'!$L$5&lt;&gt;"",--('POINTAGE'!L110="Présent"),0),IF('POINTAGE'!$N$5&lt;&gt;"",--('POINTAGE'!N110="Présent"),0),IF('POINTAGE'!$P$5&lt;&gt;"",--('POINTAGE'!P110="Présent"),0),IF('POINTAGE'!$R$5&lt;&gt;"",--('POINTAGE'!R110="Présent"),0),IF('POINTAGE'!$T$5&lt;&gt;"",--('POINTAGE'!T110="Présent"),0),IF('POINTAGE'!$V$5&lt;&gt;"",--('POINTAGE'!V110="Présent"),0),IF('POINTAGE'!$X$5&lt;&gt;"",--('POINTAGE'!X110="Présent"),0),IF('POINTAGE'!$Z$5&lt;&gt;"",--('POINTAGE'!Z110="Présent"),0),IF('POINTAGE'!$AB$5&lt;&gt;"",--('POINTAGE'!AB110="Présent"),0),IF('POINTAGE'!$AD$5&lt;&gt;"",--('POINTAGE'!AD110="Présent"),0),IF('POINTAGE'!$AF$5&lt;&gt;"",--('POINTAGE'!AF110="Présent"),0)))</f>
      </c>
      <c r="G110" s="22">
        <f>IF($A110="","",SUM(IF('POINTAGE'!$D$5&lt;&gt;"",--('POINTAGE'!D110="Absent"),0),IF('POINTAGE'!$F$5&lt;&gt;"",--('POINTAGE'!F110="Absent"),0),IF('POINTAGE'!$H$5&lt;&gt;"",--('POINTAGE'!H110="Absent"),0),IF('POINTAGE'!$J$5&lt;&gt;"",--('POINTAGE'!J110="Absent"),0),IF('POINTAGE'!$L$5&lt;&gt;"",--('POINTAGE'!L110="Absent"),0),IF('POINTAGE'!$N$5&lt;&gt;"",--('POINTAGE'!N110="Absent"),0),IF('POINTAGE'!$P$5&lt;&gt;"",--('POINTAGE'!P110="Absent"),0),IF('POINTAGE'!$R$5&lt;&gt;"",--('POINTAGE'!R110="Absent"),0),IF('POINTAGE'!$T$5&lt;&gt;"",--('POINTAGE'!T110="Absent"),0),IF('POINTAGE'!$V$5&lt;&gt;"",--('POINTAGE'!V110="Absent"),0),IF('POINTAGE'!$X$5&lt;&gt;"",--('POINTAGE'!X110="Absent"),0),IF('POINTAGE'!$Z$5&lt;&gt;"",--('POINTAGE'!Z110="Absent"),0),IF('POINTAGE'!$AB$5&lt;&gt;"",--('POINTAGE'!AB110="Absent"),0),IF('POINTAGE'!$AD$5&lt;&gt;"",--('POINTAGE'!AD110="Absent"),0),IF('POINTAGE'!$AF$5&lt;&gt;"",--('POINTAGE'!AF110="Absent"),0)))</f>
      </c>
      <c r="H110" s="23">
        <f>IF($A110="","",SUM(IF('POINTAGE'!$D$5&lt;&gt;"",IF('POINTAGE'!D110="Présent",'POINTAGE'!E110,0),0),IF('POINTAGE'!$F$5&lt;&gt;"",IF('POINTAGE'!F110="Présent",'POINTAGE'!G110,0),0),IF('POINTAGE'!$H$5&lt;&gt;"",IF('POINTAGE'!H110="Présent",'POINTAGE'!I110,0),0),IF('POINTAGE'!$J$5&lt;&gt;"",IF('POINTAGE'!J110="Présent",'POINTAGE'!K110,0),0),IF('POINTAGE'!$L$5&lt;&gt;"",IF('POINTAGE'!L110="Présent",'POINTAGE'!M110,0),0),IF('POINTAGE'!$N$5&lt;&gt;"",IF('POINTAGE'!N110="Présent",'POINTAGE'!O110,0),0),IF('POINTAGE'!$P$5&lt;&gt;"",IF('POINTAGE'!P110="Présent",'POINTAGE'!Q110,0),0),IF('POINTAGE'!$R$5&lt;&gt;"",IF('POINTAGE'!R110="Présent",'POINTAGE'!S110,0),0),IF('POINTAGE'!$T$5&lt;&gt;"",IF('POINTAGE'!T110="Présent",'POINTAGE'!U110,0),0),IF('POINTAGE'!$V$5&lt;&gt;"",IF('POINTAGE'!V110="Présent",'POINTAGE'!W110,0),0),IF('POINTAGE'!$X$5&lt;&gt;"",IF('POINTAGE'!X110="Présent",'POINTAGE'!Y110,0),0),IF('POINTAGE'!$Z$5&lt;&gt;"",IF('POINTAGE'!Z110="Présent",'POINTAGE'!AA110,0),0),IF('POINTAGE'!$AB$5&lt;&gt;"",IF('POINTAGE'!AB110="Présent",'POINTAGE'!AC110,0),0),IF('POINTAGE'!$AD$5&lt;&gt;"",IF('POINTAGE'!AD110="Présent",'POINTAGE'!AE110,0),0),IF('POINTAGE'!$AF$5&lt;&gt;"",IF('POINTAGE'!AF110="Présent",'POINTAGE'!AG110,0),0)))</f>
      </c>
      <c r="I110" s="24">
        <f>IF($A110="","",$F110*$D110)</f>
      </c>
      <c r="J110" s="24">
        <f>IF($A110="","",$H110*$E110)</f>
      </c>
      <c r="K110" s="25">
        <f>IF($A110="","",$I110+$J110)</f>
      </c>
      <c r="L110" s="18"/>
      <c r="M110" s="25">
        <f>IF($A110="","",MAX(0,$K110-$L110))</f>
      </c>
      <c r="N110" s="22">
        <f>IF($A110="","",SUM(IF('POINTAGE'!$AH$5&lt;&gt;"",--('POINTAGE'!AH110="Présent"),0),IF('POINTAGE'!$AJ$5&lt;&gt;"",--('POINTAGE'!AJ110="Présent"),0),IF('POINTAGE'!$AL$5&lt;&gt;"",--('POINTAGE'!AL110="Présent"),0),IF('POINTAGE'!$AN$5&lt;&gt;"",--('POINTAGE'!AN110="Présent"),0),IF('POINTAGE'!$AP$5&lt;&gt;"",--('POINTAGE'!AP110="Présent"),0),IF('POINTAGE'!$AR$5&lt;&gt;"",--('POINTAGE'!AR110="Présent"),0),IF('POINTAGE'!$AT$5&lt;&gt;"",--('POINTAGE'!AT110="Présent"),0),IF('POINTAGE'!$AV$5&lt;&gt;"",--('POINTAGE'!AV110="Présent"),0),IF('POINTAGE'!$AX$5&lt;&gt;"",--('POINTAGE'!AX110="Présent"),0),IF('POINTAGE'!$AZ$5&lt;&gt;"",--('POINTAGE'!AZ110="Présent"),0),IF('POINTAGE'!$BB$5&lt;&gt;"",--('POINTAGE'!BB110="Présent"),0),IF('POINTAGE'!$BD$5&lt;&gt;"",--('POINTAGE'!BD110="Présent"),0),IF('POINTAGE'!$BF$5&lt;&gt;"",--('POINTAGE'!BF110="Présent"),0),IF('POINTAGE'!$BH$5&lt;&gt;"",--('POINTAGE'!BH110="Présent"),0),IF('POINTAGE'!$BJ$5&lt;&gt;"",--('POINTAGE'!BJ110="Présent"),0),IF('POINTAGE'!$BL$5&lt;&gt;"",--('POINTAGE'!BL110="Présent"),0)))</f>
      </c>
      <c r="O110" s="22">
        <f>IF($A110="","",SUM(IF('POINTAGE'!$AH$5&lt;&gt;"",--('POINTAGE'!AH110="Absent"),0),IF('POINTAGE'!$AJ$5&lt;&gt;"",--('POINTAGE'!AJ110="Absent"),0),IF('POINTAGE'!$AL$5&lt;&gt;"",--('POINTAGE'!AL110="Absent"),0),IF('POINTAGE'!$AN$5&lt;&gt;"",--('POINTAGE'!AN110="Absent"),0),IF('POINTAGE'!$AP$5&lt;&gt;"",--('POINTAGE'!AP110="Absent"),0),IF('POINTAGE'!$AR$5&lt;&gt;"",--('POINTAGE'!AR110="Absent"),0),IF('POINTAGE'!$AT$5&lt;&gt;"",--('POINTAGE'!AT110="Absent"),0),IF('POINTAGE'!$AV$5&lt;&gt;"",--('POINTAGE'!AV110="Absent"),0),IF('POINTAGE'!$AX$5&lt;&gt;"",--('POINTAGE'!AX110="Absent"),0),IF('POINTAGE'!$AZ$5&lt;&gt;"",--('POINTAGE'!AZ110="Absent"),0),IF('POINTAGE'!$BB$5&lt;&gt;"",--('POINTAGE'!BB110="Absent"),0),IF('POINTAGE'!$BD$5&lt;&gt;"",--('POINTAGE'!BD110="Absent"),0),IF('POINTAGE'!$BF$5&lt;&gt;"",--('POINTAGE'!BF110="Absent"),0),IF('POINTAGE'!$BH$5&lt;&gt;"",--('POINTAGE'!BH110="Absent"),0),IF('POINTAGE'!$BJ$5&lt;&gt;"",--('POINTAGE'!BJ110="Absent"),0),IF('POINTAGE'!$BL$5&lt;&gt;"",--('POINTAGE'!BL110="Absent"),0)))</f>
      </c>
      <c r="P110" s="23">
        <f>IF($A110="","",SUM(IF('POINTAGE'!$AH$5&lt;&gt;"",IF('POINTAGE'!AH110="Présent",'POINTAGE'!AI110,0),0),IF('POINTAGE'!$AJ$5&lt;&gt;"",IF('POINTAGE'!AJ110="Présent",'POINTAGE'!AK110,0),0),IF('POINTAGE'!$AL$5&lt;&gt;"",IF('POINTAGE'!AL110="Présent",'POINTAGE'!AM110,0),0),IF('POINTAGE'!$AN$5&lt;&gt;"",IF('POINTAGE'!AN110="Présent",'POINTAGE'!AO110,0),0),IF('POINTAGE'!$AP$5&lt;&gt;"",IF('POINTAGE'!AP110="Présent",'POINTAGE'!AQ110,0),0),IF('POINTAGE'!$AR$5&lt;&gt;"",IF('POINTAGE'!AR110="Présent",'POINTAGE'!AS110,0),0),IF('POINTAGE'!$AT$5&lt;&gt;"",IF('POINTAGE'!AT110="Présent",'POINTAGE'!AU110,0),0),IF('POINTAGE'!$AV$5&lt;&gt;"",IF('POINTAGE'!AV110="Présent",'POINTAGE'!AW110,0),0),IF('POINTAGE'!$AX$5&lt;&gt;"",IF('POINTAGE'!AX110="Présent",'POINTAGE'!AY110,0),0),IF('POINTAGE'!$AZ$5&lt;&gt;"",IF('POINTAGE'!AZ110="Présent",'POINTAGE'!BA110,0),0),IF('POINTAGE'!$BB$5&lt;&gt;"",IF('POINTAGE'!BB110="Présent",'POINTAGE'!BC110,0),0),IF('POINTAGE'!$BD$5&lt;&gt;"",IF('POINTAGE'!BD110="Présent",'POINTAGE'!BE110,0),0),IF('POINTAGE'!$BF$5&lt;&gt;"",IF('POINTAGE'!BF110="Présent",'POINTAGE'!BG110,0),0),IF('POINTAGE'!$BH$5&lt;&gt;"",IF('POINTAGE'!BH110="Présent",'POINTAGE'!BI110,0),0),IF('POINTAGE'!$BJ$5&lt;&gt;"",IF('POINTAGE'!BJ110="Présent",'POINTAGE'!BK110,0),0),IF('POINTAGE'!$BL$5&lt;&gt;"",IF('POINTAGE'!BL110="Présent",'POINTAGE'!BM110,0),0)))</f>
      </c>
      <c r="Q110" s="24">
        <f>IF($A110="","",$N110*$D110)</f>
      </c>
      <c r="R110" s="24">
        <f>IF($A110="","",$P110*$E110)</f>
      </c>
      <c r="S110" s="25">
        <f>IF($A110="","",$Q110+$R110)</f>
      </c>
      <c r="T110" s="18"/>
      <c r="U110" s="25">
        <f>IF($A110="","",MAX(0,$S110-$T110))</f>
      </c>
      <c r="V110" s="25">
        <f>IF($A110="","",$K110+$S110)</f>
      </c>
      <c r="W110" s="24">
        <f>IF($A110="","",$L110+$T110)</f>
      </c>
      <c r="X110" s="25">
        <f>IF($A110="","",$M110+$U110)</f>
      </c>
      <c r="Y110" s="29">
        <f>IF($A110="","",$J110+$R110)</f>
      </c>
    </row>
    <row r="111">
      <c r="A111" s="20">
        <f>IF('POINTAGE'!A111="","",'POINTAGE'!A111)</f>
      </c>
      <c r="B111" s="19">
        <f>IF($A111="","",'POINTAGE'!B111)</f>
      </c>
      <c r="C111" s="20">
        <f>IF($A111="","",'POINTAGE'!C111)</f>
      </c>
      <c r="D111" s="24">
        <f>IF($A111="","",IFERROR(INDEX(Categories_Salaire,MATCH($C111,ListeCategories,0)),0))</f>
      </c>
      <c r="E111" s="24">
        <f>IF($A111="","",IF(IFERROR(INDEX(Categories_TauxHS,MATCH($C111,ListeCategories,0)),0)&gt;0,IFERROR(INDEX(Categories_TauxHS,MATCH($C111,ListeCategories,0)),0),TauxHSDefaut))</f>
      </c>
      <c r="F111" s="22">
        <f>IF($A111="","",SUM(IF('POINTAGE'!$D$5&lt;&gt;"",--('POINTAGE'!D111="Présent"),0),IF('POINTAGE'!$F$5&lt;&gt;"",--('POINTAGE'!F111="Présent"),0),IF('POINTAGE'!$H$5&lt;&gt;"",--('POINTAGE'!H111="Présent"),0),IF('POINTAGE'!$J$5&lt;&gt;"",--('POINTAGE'!J111="Présent"),0),IF('POINTAGE'!$L$5&lt;&gt;"",--('POINTAGE'!L111="Présent"),0),IF('POINTAGE'!$N$5&lt;&gt;"",--('POINTAGE'!N111="Présent"),0),IF('POINTAGE'!$P$5&lt;&gt;"",--('POINTAGE'!P111="Présent"),0),IF('POINTAGE'!$R$5&lt;&gt;"",--('POINTAGE'!R111="Présent"),0),IF('POINTAGE'!$T$5&lt;&gt;"",--('POINTAGE'!T111="Présent"),0),IF('POINTAGE'!$V$5&lt;&gt;"",--('POINTAGE'!V111="Présent"),0),IF('POINTAGE'!$X$5&lt;&gt;"",--('POINTAGE'!X111="Présent"),0),IF('POINTAGE'!$Z$5&lt;&gt;"",--('POINTAGE'!Z111="Présent"),0),IF('POINTAGE'!$AB$5&lt;&gt;"",--('POINTAGE'!AB111="Présent"),0),IF('POINTAGE'!$AD$5&lt;&gt;"",--('POINTAGE'!AD111="Présent"),0),IF('POINTAGE'!$AF$5&lt;&gt;"",--('POINTAGE'!AF111="Présent"),0)))</f>
      </c>
      <c r="G111" s="22">
        <f>IF($A111="","",SUM(IF('POINTAGE'!$D$5&lt;&gt;"",--('POINTAGE'!D111="Absent"),0),IF('POINTAGE'!$F$5&lt;&gt;"",--('POINTAGE'!F111="Absent"),0),IF('POINTAGE'!$H$5&lt;&gt;"",--('POINTAGE'!H111="Absent"),0),IF('POINTAGE'!$J$5&lt;&gt;"",--('POINTAGE'!J111="Absent"),0),IF('POINTAGE'!$L$5&lt;&gt;"",--('POINTAGE'!L111="Absent"),0),IF('POINTAGE'!$N$5&lt;&gt;"",--('POINTAGE'!N111="Absent"),0),IF('POINTAGE'!$P$5&lt;&gt;"",--('POINTAGE'!P111="Absent"),0),IF('POINTAGE'!$R$5&lt;&gt;"",--('POINTAGE'!R111="Absent"),0),IF('POINTAGE'!$T$5&lt;&gt;"",--('POINTAGE'!T111="Absent"),0),IF('POINTAGE'!$V$5&lt;&gt;"",--('POINTAGE'!V111="Absent"),0),IF('POINTAGE'!$X$5&lt;&gt;"",--('POINTAGE'!X111="Absent"),0),IF('POINTAGE'!$Z$5&lt;&gt;"",--('POINTAGE'!Z111="Absent"),0),IF('POINTAGE'!$AB$5&lt;&gt;"",--('POINTAGE'!AB111="Absent"),0),IF('POINTAGE'!$AD$5&lt;&gt;"",--('POINTAGE'!AD111="Absent"),0),IF('POINTAGE'!$AF$5&lt;&gt;"",--('POINTAGE'!AF111="Absent"),0)))</f>
      </c>
      <c r="H111" s="23">
        <f>IF($A111="","",SUM(IF('POINTAGE'!$D$5&lt;&gt;"",IF('POINTAGE'!D111="Présent",'POINTAGE'!E111,0),0),IF('POINTAGE'!$F$5&lt;&gt;"",IF('POINTAGE'!F111="Présent",'POINTAGE'!G111,0),0),IF('POINTAGE'!$H$5&lt;&gt;"",IF('POINTAGE'!H111="Présent",'POINTAGE'!I111,0),0),IF('POINTAGE'!$J$5&lt;&gt;"",IF('POINTAGE'!J111="Présent",'POINTAGE'!K111,0),0),IF('POINTAGE'!$L$5&lt;&gt;"",IF('POINTAGE'!L111="Présent",'POINTAGE'!M111,0),0),IF('POINTAGE'!$N$5&lt;&gt;"",IF('POINTAGE'!N111="Présent",'POINTAGE'!O111,0),0),IF('POINTAGE'!$P$5&lt;&gt;"",IF('POINTAGE'!P111="Présent",'POINTAGE'!Q111,0),0),IF('POINTAGE'!$R$5&lt;&gt;"",IF('POINTAGE'!R111="Présent",'POINTAGE'!S111,0),0),IF('POINTAGE'!$T$5&lt;&gt;"",IF('POINTAGE'!T111="Présent",'POINTAGE'!U111,0),0),IF('POINTAGE'!$V$5&lt;&gt;"",IF('POINTAGE'!V111="Présent",'POINTAGE'!W111,0),0),IF('POINTAGE'!$X$5&lt;&gt;"",IF('POINTAGE'!X111="Présent",'POINTAGE'!Y111,0),0),IF('POINTAGE'!$Z$5&lt;&gt;"",IF('POINTAGE'!Z111="Présent",'POINTAGE'!AA111,0),0),IF('POINTAGE'!$AB$5&lt;&gt;"",IF('POINTAGE'!AB111="Présent",'POINTAGE'!AC111,0),0),IF('POINTAGE'!$AD$5&lt;&gt;"",IF('POINTAGE'!AD111="Présent",'POINTAGE'!AE111,0),0),IF('POINTAGE'!$AF$5&lt;&gt;"",IF('POINTAGE'!AF111="Présent",'POINTAGE'!AG111,0),0)))</f>
      </c>
      <c r="I111" s="24">
        <f>IF($A111="","",$F111*$D111)</f>
      </c>
      <c r="J111" s="24">
        <f>IF($A111="","",$H111*$E111)</f>
      </c>
      <c r="K111" s="25">
        <f>IF($A111="","",$I111+$J111)</f>
      </c>
      <c r="L111" s="18"/>
      <c r="M111" s="25">
        <f>IF($A111="","",MAX(0,$K111-$L111))</f>
      </c>
      <c r="N111" s="22">
        <f>IF($A111="","",SUM(IF('POINTAGE'!$AH$5&lt;&gt;"",--('POINTAGE'!AH111="Présent"),0),IF('POINTAGE'!$AJ$5&lt;&gt;"",--('POINTAGE'!AJ111="Présent"),0),IF('POINTAGE'!$AL$5&lt;&gt;"",--('POINTAGE'!AL111="Présent"),0),IF('POINTAGE'!$AN$5&lt;&gt;"",--('POINTAGE'!AN111="Présent"),0),IF('POINTAGE'!$AP$5&lt;&gt;"",--('POINTAGE'!AP111="Présent"),0),IF('POINTAGE'!$AR$5&lt;&gt;"",--('POINTAGE'!AR111="Présent"),0),IF('POINTAGE'!$AT$5&lt;&gt;"",--('POINTAGE'!AT111="Présent"),0),IF('POINTAGE'!$AV$5&lt;&gt;"",--('POINTAGE'!AV111="Présent"),0),IF('POINTAGE'!$AX$5&lt;&gt;"",--('POINTAGE'!AX111="Présent"),0),IF('POINTAGE'!$AZ$5&lt;&gt;"",--('POINTAGE'!AZ111="Présent"),0),IF('POINTAGE'!$BB$5&lt;&gt;"",--('POINTAGE'!BB111="Présent"),0),IF('POINTAGE'!$BD$5&lt;&gt;"",--('POINTAGE'!BD111="Présent"),0),IF('POINTAGE'!$BF$5&lt;&gt;"",--('POINTAGE'!BF111="Présent"),0),IF('POINTAGE'!$BH$5&lt;&gt;"",--('POINTAGE'!BH111="Présent"),0),IF('POINTAGE'!$BJ$5&lt;&gt;"",--('POINTAGE'!BJ111="Présent"),0),IF('POINTAGE'!$BL$5&lt;&gt;"",--('POINTAGE'!BL111="Présent"),0)))</f>
      </c>
      <c r="O111" s="22">
        <f>IF($A111="","",SUM(IF('POINTAGE'!$AH$5&lt;&gt;"",--('POINTAGE'!AH111="Absent"),0),IF('POINTAGE'!$AJ$5&lt;&gt;"",--('POINTAGE'!AJ111="Absent"),0),IF('POINTAGE'!$AL$5&lt;&gt;"",--('POINTAGE'!AL111="Absent"),0),IF('POINTAGE'!$AN$5&lt;&gt;"",--('POINTAGE'!AN111="Absent"),0),IF('POINTAGE'!$AP$5&lt;&gt;"",--('POINTAGE'!AP111="Absent"),0),IF('POINTAGE'!$AR$5&lt;&gt;"",--('POINTAGE'!AR111="Absent"),0),IF('POINTAGE'!$AT$5&lt;&gt;"",--('POINTAGE'!AT111="Absent"),0),IF('POINTAGE'!$AV$5&lt;&gt;"",--('POINTAGE'!AV111="Absent"),0),IF('POINTAGE'!$AX$5&lt;&gt;"",--('POINTAGE'!AX111="Absent"),0),IF('POINTAGE'!$AZ$5&lt;&gt;"",--('POINTAGE'!AZ111="Absent"),0),IF('POINTAGE'!$BB$5&lt;&gt;"",--('POINTAGE'!BB111="Absent"),0),IF('POINTAGE'!$BD$5&lt;&gt;"",--('POINTAGE'!BD111="Absent"),0),IF('POINTAGE'!$BF$5&lt;&gt;"",--('POINTAGE'!BF111="Absent"),0),IF('POINTAGE'!$BH$5&lt;&gt;"",--('POINTAGE'!BH111="Absent"),0),IF('POINTAGE'!$BJ$5&lt;&gt;"",--('POINTAGE'!BJ111="Absent"),0),IF('POINTAGE'!$BL$5&lt;&gt;"",--('POINTAGE'!BL111="Absent"),0)))</f>
      </c>
      <c r="P111" s="23">
        <f>IF($A111="","",SUM(IF('POINTAGE'!$AH$5&lt;&gt;"",IF('POINTAGE'!AH111="Présent",'POINTAGE'!AI111,0),0),IF('POINTAGE'!$AJ$5&lt;&gt;"",IF('POINTAGE'!AJ111="Présent",'POINTAGE'!AK111,0),0),IF('POINTAGE'!$AL$5&lt;&gt;"",IF('POINTAGE'!AL111="Présent",'POINTAGE'!AM111,0),0),IF('POINTAGE'!$AN$5&lt;&gt;"",IF('POINTAGE'!AN111="Présent",'POINTAGE'!AO111,0),0),IF('POINTAGE'!$AP$5&lt;&gt;"",IF('POINTAGE'!AP111="Présent",'POINTAGE'!AQ111,0),0),IF('POINTAGE'!$AR$5&lt;&gt;"",IF('POINTAGE'!AR111="Présent",'POINTAGE'!AS111,0),0),IF('POINTAGE'!$AT$5&lt;&gt;"",IF('POINTAGE'!AT111="Présent",'POINTAGE'!AU111,0),0),IF('POINTAGE'!$AV$5&lt;&gt;"",IF('POINTAGE'!AV111="Présent",'POINTAGE'!AW111,0),0),IF('POINTAGE'!$AX$5&lt;&gt;"",IF('POINTAGE'!AX111="Présent",'POINTAGE'!AY111,0),0),IF('POINTAGE'!$AZ$5&lt;&gt;"",IF('POINTAGE'!AZ111="Présent",'POINTAGE'!BA111,0),0),IF('POINTAGE'!$BB$5&lt;&gt;"",IF('POINTAGE'!BB111="Présent",'POINTAGE'!BC111,0),0),IF('POINTAGE'!$BD$5&lt;&gt;"",IF('POINTAGE'!BD111="Présent",'POINTAGE'!BE111,0),0),IF('POINTAGE'!$BF$5&lt;&gt;"",IF('POINTAGE'!BF111="Présent",'POINTAGE'!BG111,0),0),IF('POINTAGE'!$BH$5&lt;&gt;"",IF('POINTAGE'!BH111="Présent",'POINTAGE'!BI111,0),0),IF('POINTAGE'!$BJ$5&lt;&gt;"",IF('POINTAGE'!BJ111="Présent",'POINTAGE'!BK111,0),0),IF('POINTAGE'!$BL$5&lt;&gt;"",IF('POINTAGE'!BL111="Présent",'POINTAGE'!BM111,0),0)))</f>
      </c>
      <c r="Q111" s="24">
        <f>IF($A111="","",$N111*$D111)</f>
      </c>
      <c r="R111" s="24">
        <f>IF($A111="","",$P111*$E111)</f>
      </c>
      <c r="S111" s="25">
        <f>IF($A111="","",$Q111+$R111)</f>
      </c>
      <c r="T111" s="18"/>
      <c r="U111" s="25">
        <f>IF($A111="","",MAX(0,$S111-$T111))</f>
      </c>
      <c r="V111" s="25">
        <f>IF($A111="","",$K111+$S111)</f>
      </c>
      <c r="W111" s="24">
        <f>IF($A111="","",$L111+$T111)</f>
      </c>
      <c r="X111" s="25">
        <f>IF($A111="","",$M111+$U111)</f>
      </c>
      <c r="Y111" s="29">
        <f>IF($A111="","",$J111+$R111)</f>
      </c>
    </row>
    <row r="112">
      <c r="A112" s="20">
        <f>IF('POINTAGE'!A112="","",'POINTAGE'!A112)</f>
      </c>
      <c r="B112" s="19">
        <f>IF($A112="","",'POINTAGE'!B112)</f>
      </c>
      <c r="C112" s="20">
        <f>IF($A112="","",'POINTAGE'!C112)</f>
      </c>
      <c r="D112" s="24">
        <f>IF($A112="","",IFERROR(INDEX(Categories_Salaire,MATCH($C112,ListeCategories,0)),0))</f>
      </c>
      <c r="E112" s="24">
        <f>IF($A112="","",IF(IFERROR(INDEX(Categories_TauxHS,MATCH($C112,ListeCategories,0)),0)&gt;0,IFERROR(INDEX(Categories_TauxHS,MATCH($C112,ListeCategories,0)),0),TauxHSDefaut))</f>
      </c>
      <c r="F112" s="22">
        <f>IF($A112="","",SUM(IF('POINTAGE'!$D$5&lt;&gt;"",--('POINTAGE'!D112="Présent"),0),IF('POINTAGE'!$F$5&lt;&gt;"",--('POINTAGE'!F112="Présent"),0),IF('POINTAGE'!$H$5&lt;&gt;"",--('POINTAGE'!H112="Présent"),0),IF('POINTAGE'!$J$5&lt;&gt;"",--('POINTAGE'!J112="Présent"),0),IF('POINTAGE'!$L$5&lt;&gt;"",--('POINTAGE'!L112="Présent"),0),IF('POINTAGE'!$N$5&lt;&gt;"",--('POINTAGE'!N112="Présent"),0),IF('POINTAGE'!$P$5&lt;&gt;"",--('POINTAGE'!P112="Présent"),0),IF('POINTAGE'!$R$5&lt;&gt;"",--('POINTAGE'!R112="Présent"),0),IF('POINTAGE'!$T$5&lt;&gt;"",--('POINTAGE'!T112="Présent"),0),IF('POINTAGE'!$V$5&lt;&gt;"",--('POINTAGE'!V112="Présent"),0),IF('POINTAGE'!$X$5&lt;&gt;"",--('POINTAGE'!X112="Présent"),0),IF('POINTAGE'!$Z$5&lt;&gt;"",--('POINTAGE'!Z112="Présent"),0),IF('POINTAGE'!$AB$5&lt;&gt;"",--('POINTAGE'!AB112="Présent"),0),IF('POINTAGE'!$AD$5&lt;&gt;"",--('POINTAGE'!AD112="Présent"),0),IF('POINTAGE'!$AF$5&lt;&gt;"",--('POINTAGE'!AF112="Présent"),0)))</f>
      </c>
      <c r="G112" s="22">
        <f>IF($A112="","",SUM(IF('POINTAGE'!$D$5&lt;&gt;"",--('POINTAGE'!D112="Absent"),0),IF('POINTAGE'!$F$5&lt;&gt;"",--('POINTAGE'!F112="Absent"),0),IF('POINTAGE'!$H$5&lt;&gt;"",--('POINTAGE'!H112="Absent"),0),IF('POINTAGE'!$J$5&lt;&gt;"",--('POINTAGE'!J112="Absent"),0),IF('POINTAGE'!$L$5&lt;&gt;"",--('POINTAGE'!L112="Absent"),0),IF('POINTAGE'!$N$5&lt;&gt;"",--('POINTAGE'!N112="Absent"),0),IF('POINTAGE'!$P$5&lt;&gt;"",--('POINTAGE'!P112="Absent"),0),IF('POINTAGE'!$R$5&lt;&gt;"",--('POINTAGE'!R112="Absent"),0),IF('POINTAGE'!$T$5&lt;&gt;"",--('POINTAGE'!T112="Absent"),0),IF('POINTAGE'!$V$5&lt;&gt;"",--('POINTAGE'!V112="Absent"),0),IF('POINTAGE'!$X$5&lt;&gt;"",--('POINTAGE'!X112="Absent"),0),IF('POINTAGE'!$Z$5&lt;&gt;"",--('POINTAGE'!Z112="Absent"),0),IF('POINTAGE'!$AB$5&lt;&gt;"",--('POINTAGE'!AB112="Absent"),0),IF('POINTAGE'!$AD$5&lt;&gt;"",--('POINTAGE'!AD112="Absent"),0),IF('POINTAGE'!$AF$5&lt;&gt;"",--('POINTAGE'!AF112="Absent"),0)))</f>
      </c>
      <c r="H112" s="23">
        <f>IF($A112="","",SUM(IF('POINTAGE'!$D$5&lt;&gt;"",IF('POINTAGE'!D112="Présent",'POINTAGE'!E112,0),0),IF('POINTAGE'!$F$5&lt;&gt;"",IF('POINTAGE'!F112="Présent",'POINTAGE'!G112,0),0),IF('POINTAGE'!$H$5&lt;&gt;"",IF('POINTAGE'!H112="Présent",'POINTAGE'!I112,0),0),IF('POINTAGE'!$J$5&lt;&gt;"",IF('POINTAGE'!J112="Présent",'POINTAGE'!K112,0),0),IF('POINTAGE'!$L$5&lt;&gt;"",IF('POINTAGE'!L112="Présent",'POINTAGE'!M112,0),0),IF('POINTAGE'!$N$5&lt;&gt;"",IF('POINTAGE'!N112="Présent",'POINTAGE'!O112,0),0),IF('POINTAGE'!$P$5&lt;&gt;"",IF('POINTAGE'!P112="Présent",'POINTAGE'!Q112,0),0),IF('POINTAGE'!$R$5&lt;&gt;"",IF('POINTAGE'!R112="Présent",'POINTAGE'!S112,0),0),IF('POINTAGE'!$T$5&lt;&gt;"",IF('POINTAGE'!T112="Présent",'POINTAGE'!U112,0),0),IF('POINTAGE'!$V$5&lt;&gt;"",IF('POINTAGE'!V112="Présent",'POINTAGE'!W112,0),0),IF('POINTAGE'!$X$5&lt;&gt;"",IF('POINTAGE'!X112="Présent",'POINTAGE'!Y112,0),0),IF('POINTAGE'!$Z$5&lt;&gt;"",IF('POINTAGE'!Z112="Présent",'POINTAGE'!AA112,0),0),IF('POINTAGE'!$AB$5&lt;&gt;"",IF('POINTAGE'!AB112="Présent",'POINTAGE'!AC112,0),0),IF('POINTAGE'!$AD$5&lt;&gt;"",IF('POINTAGE'!AD112="Présent",'POINTAGE'!AE112,0),0),IF('POINTAGE'!$AF$5&lt;&gt;"",IF('POINTAGE'!AF112="Présent",'POINTAGE'!AG112,0),0)))</f>
      </c>
      <c r="I112" s="24">
        <f>IF($A112="","",$F112*$D112)</f>
      </c>
      <c r="J112" s="24">
        <f>IF($A112="","",$H112*$E112)</f>
      </c>
      <c r="K112" s="25">
        <f>IF($A112="","",$I112+$J112)</f>
      </c>
      <c r="L112" s="18"/>
      <c r="M112" s="25">
        <f>IF($A112="","",MAX(0,$K112-$L112))</f>
      </c>
      <c r="N112" s="22">
        <f>IF($A112="","",SUM(IF('POINTAGE'!$AH$5&lt;&gt;"",--('POINTAGE'!AH112="Présent"),0),IF('POINTAGE'!$AJ$5&lt;&gt;"",--('POINTAGE'!AJ112="Présent"),0),IF('POINTAGE'!$AL$5&lt;&gt;"",--('POINTAGE'!AL112="Présent"),0),IF('POINTAGE'!$AN$5&lt;&gt;"",--('POINTAGE'!AN112="Présent"),0),IF('POINTAGE'!$AP$5&lt;&gt;"",--('POINTAGE'!AP112="Présent"),0),IF('POINTAGE'!$AR$5&lt;&gt;"",--('POINTAGE'!AR112="Présent"),0),IF('POINTAGE'!$AT$5&lt;&gt;"",--('POINTAGE'!AT112="Présent"),0),IF('POINTAGE'!$AV$5&lt;&gt;"",--('POINTAGE'!AV112="Présent"),0),IF('POINTAGE'!$AX$5&lt;&gt;"",--('POINTAGE'!AX112="Présent"),0),IF('POINTAGE'!$AZ$5&lt;&gt;"",--('POINTAGE'!AZ112="Présent"),0),IF('POINTAGE'!$BB$5&lt;&gt;"",--('POINTAGE'!BB112="Présent"),0),IF('POINTAGE'!$BD$5&lt;&gt;"",--('POINTAGE'!BD112="Présent"),0),IF('POINTAGE'!$BF$5&lt;&gt;"",--('POINTAGE'!BF112="Présent"),0),IF('POINTAGE'!$BH$5&lt;&gt;"",--('POINTAGE'!BH112="Présent"),0),IF('POINTAGE'!$BJ$5&lt;&gt;"",--('POINTAGE'!BJ112="Présent"),0),IF('POINTAGE'!$BL$5&lt;&gt;"",--('POINTAGE'!BL112="Présent"),0)))</f>
      </c>
      <c r="O112" s="22">
        <f>IF($A112="","",SUM(IF('POINTAGE'!$AH$5&lt;&gt;"",--('POINTAGE'!AH112="Absent"),0),IF('POINTAGE'!$AJ$5&lt;&gt;"",--('POINTAGE'!AJ112="Absent"),0),IF('POINTAGE'!$AL$5&lt;&gt;"",--('POINTAGE'!AL112="Absent"),0),IF('POINTAGE'!$AN$5&lt;&gt;"",--('POINTAGE'!AN112="Absent"),0),IF('POINTAGE'!$AP$5&lt;&gt;"",--('POINTAGE'!AP112="Absent"),0),IF('POINTAGE'!$AR$5&lt;&gt;"",--('POINTAGE'!AR112="Absent"),0),IF('POINTAGE'!$AT$5&lt;&gt;"",--('POINTAGE'!AT112="Absent"),0),IF('POINTAGE'!$AV$5&lt;&gt;"",--('POINTAGE'!AV112="Absent"),0),IF('POINTAGE'!$AX$5&lt;&gt;"",--('POINTAGE'!AX112="Absent"),0),IF('POINTAGE'!$AZ$5&lt;&gt;"",--('POINTAGE'!AZ112="Absent"),0),IF('POINTAGE'!$BB$5&lt;&gt;"",--('POINTAGE'!BB112="Absent"),0),IF('POINTAGE'!$BD$5&lt;&gt;"",--('POINTAGE'!BD112="Absent"),0),IF('POINTAGE'!$BF$5&lt;&gt;"",--('POINTAGE'!BF112="Absent"),0),IF('POINTAGE'!$BH$5&lt;&gt;"",--('POINTAGE'!BH112="Absent"),0),IF('POINTAGE'!$BJ$5&lt;&gt;"",--('POINTAGE'!BJ112="Absent"),0),IF('POINTAGE'!$BL$5&lt;&gt;"",--('POINTAGE'!BL112="Absent"),0)))</f>
      </c>
      <c r="P112" s="23">
        <f>IF($A112="","",SUM(IF('POINTAGE'!$AH$5&lt;&gt;"",IF('POINTAGE'!AH112="Présent",'POINTAGE'!AI112,0),0),IF('POINTAGE'!$AJ$5&lt;&gt;"",IF('POINTAGE'!AJ112="Présent",'POINTAGE'!AK112,0),0),IF('POINTAGE'!$AL$5&lt;&gt;"",IF('POINTAGE'!AL112="Présent",'POINTAGE'!AM112,0),0),IF('POINTAGE'!$AN$5&lt;&gt;"",IF('POINTAGE'!AN112="Présent",'POINTAGE'!AO112,0),0),IF('POINTAGE'!$AP$5&lt;&gt;"",IF('POINTAGE'!AP112="Présent",'POINTAGE'!AQ112,0),0),IF('POINTAGE'!$AR$5&lt;&gt;"",IF('POINTAGE'!AR112="Présent",'POINTAGE'!AS112,0),0),IF('POINTAGE'!$AT$5&lt;&gt;"",IF('POINTAGE'!AT112="Présent",'POINTAGE'!AU112,0),0),IF('POINTAGE'!$AV$5&lt;&gt;"",IF('POINTAGE'!AV112="Présent",'POINTAGE'!AW112,0),0),IF('POINTAGE'!$AX$5&lt;&gt;"",IF('POINTAGE'!AX112="Présent",'POINTAGE'!AY112,0),0),IF('POINTAGE'!$AZ$5&lt;&gt;"",IF('POINTAGE'!AZ112="Présent",'POINTAGE'!BA112,0),0),IF('POINTAGE'!$BB$5&lt;&gt;"",IF('POINTAGE'!BB112="Présent",'POINTAGE'!BC112,0),0),IF('POINTAGE'!$BD$5&lt;&gt;"",IF('POINTAGE'!BD112="Présent",'POINTAGE'!BE112,0),0),IF('POINTAGE'!$BF$5&lt;&gt;"",IF('POINTAGE'!BF112="Présent",'POINTAGE'!BG112,0),0),IF('POINTAGE'!$BH$5&lt;&gt;"",IF('POINTAGE'!BH112="Présent",'POINTAGE'!BI112,0),0),IF('POINTAGE'!$BJ$5&lt;&gt;"",IF('POINTAGE'!BJ112="Présent",'POINTAGE'!BK112,0),0),IF('POINTAGE'!$BL$5&lt;&gt;"",IF('POINTAGE'!BL112="Présent",'POINTAGE'!BM112,0),0)))</f>
      </c>
      <c r="Q112" s="24">
        <f>IF($A112="","",$N112*$D112)</f>
      </c>
      <c r="R112" s="24">
        <f>IF($A112="","",$P112*$E112)</f>
      </c>
      <c r="S112" s="25">
        <f>IF($A112="","",$Q112+$R112)</f>
      </c>
      <c r="T112" s="18"/>
      <c r="U112" s="25">
        <f>IF($A112="","",MAX(0,$S112-$T112))</f>
      </c>
      <c r="V112" s="25">
        <f>IF($A112="","",$K112+$S112)</f>
      </c>
      <c r="W112" s="24">
        <f>IF($A112="","",$L112+$T112)</f>
      </c>
      <c r="X112" s="25">
        <f>IF($A112="","",$M112+$U112)</f>
      </c>
      <c r="Y112" s="29">
        <f>IF($A112="","",$J112+$R112)</f>
      </c>
    </row>
    <row r="113">
      <c r="A113" s="20">
        <f>IF('POINTAGE'!A113="","",'POINTAGE'!A113)</f>
      </c>
      <c r="B113" s="19">
        <f>IF($A113="","",'POINTAGE'!B113)</f>
      </c>
      <c r="C113" s="20">
        <f>IF($A113="","",'POINTAGE'!C113)</f>
      </c>
      <c r="D113" s="24">
        <f>IF($A113="","",IFERROR(INDEX(Categories_Salaire,MATCH($C113,ListeCategories,0)),0))</f>
      </c>
      <c r="E113" s="24">
        <f>IF($A113="","",IF(IFERROR(INDEX(Categories_TauxHS,MATCH($C113,ListeCategories,0)),0)&gt;0,IFERROR(INDEX(Categories_TauxHS,MATCH($C113,ListeCategories,0)),0),TauxHSDefaut))</f>
      </c>
      <c r="F113" s="22">
        <f>IF($A113="","",SUM(IF('POINTAGE'!$D$5&lt;&gt;"",--('POINTAGE'!D113="Présent"),0),IF('POINTAGE'!$F$5&lt;&gt;"",--('POINTAGE'!F113="Présent"),0),IF('POINTAGE'!$H$5&lt;&gt;"",--('POINTAGE'!H113="Présent"),0),IF('POINTAGE'!$J$5&lt;&gt;"",--('POINTAGE'!J113="Présent"),0),IF('POINTAGE'!$L$5&lt;&gt;"",--('POINTAGE'!L113="Présent"),0),IF('POINTAGE'!$N$5&lt;&gt;"",--('POINTAGE'!N113="Présent"),0),IF('POINTAGE'!$P$5&lt;&gt;"",--('POINTAGE'!P113="Présent"),0),IF('POINTAGE'!$R$5&lt;&gt;"",--('POINTAGE'!R113="Présent"),0),IF('POINTAGE'!$T$5&lt;&gt;"",--('POINTAGE'!T113="Présent"),0),IF('POINTAGE'!$V$5&lt;&gt;"",--('POINTAGE'!V113="Présent"),0),IF('POINTAGE'!$X$5&lt;&gt;"",--('POINTAGE'!X113="Présent"),0),IF('POINTAGE'!$Z$5&lt;&gt;"",--('POINTAGE'!Z113="Présent"),0),IF('POINTAGE'!$AB$5&lt;&gt;"",--('POINTAGE'!AB113="Présent"),0),IF('POINTAGE'!$AD$5&lt;&gt;"",--('POINTAGE'!AD113="Présent"),0),IF('POINTAGE'!$AF$5&lt;&gt;"",--('POINTAGE'!AF113="Présent"),0)))</f>
      </c>
      <c r="G113" s="22">
        <f>IF($A113="","",SUM(IF('POINTAGE'!$D$5&lt;&gt;"",--('POINTAGE'!D113="Absent"),0),IF('POINTAGE'!$F$5&lt;&gt;"",--('POINTAGE'!F113="Absent"),0),IF('POINTAGE'!$H$5&lt;&gt;"",--('POINTAGE'!H113="Absent"),0),IF('POINTAGE'!$J$5&lt;&gt;"",--('POINTAGE'!J113="Absent"),0),IF('POINTAGE'!$L$5&lt;&gt;"",--('POINTAGE'!L113="Absent"),0),IF('POINTAGE'!$N$5&lt;&gt;"",--('POINTAGE'!N113="Absent"),0),IF('POINTAGE'!$P$5&lt;&gt;"",--('POINTAGE'!P113="Absent"),0),IF('POINTAGE'!$R$5&lt;&gt;"",--('POINTAGE'!R113="Absent"),0),IF('POINTAGE'!$T$5&lt;&gt;"",--('POINTAGE'!T113="Absent"),0),IF('POINTAGE'!$V$5&lt;&gt;"",--('POINTAGE'!V113="Absent"),0),IF('POINTAGE'!$X$5&lt;&gt;"",--('POINTAGE'!X113="Absent"),0),IF('POINTAGE'!$Z$5&lt;&gt;"",--('POINTAGE'!Z113="Absent"),0),IF('POINTAGE'!$AB$5&lt;&gt;"",--('POINTAGE'!AB113="Absent"),0),IF('POINTAGE'!$AD$5&lt;&gt;"",--('POINTAGE'!AD113="Absent"),0),IF('POINTAGE'!$AF$5&lt;&gt;"",--('POINTAGE'!AF113="Absent"),0)))</f>
      </c>
      <c r="H113" s="23">
        <f>IF($A113="","",SUM(IF('POINTAGE'!$D$5&lt;&gt;"",IF('POINTAGE'!D113="Présent",'POINTAGE'!E113,0),0),IF('POINTAGE'!$F$5&lt;&gt;"",IF('POINTAGE'!F113="Présent",'POINTAGE'!G113,0),0),IF('POINTAGE'!$H$5&lt;&gt;"",IF('POINTAGE'!H113="Présent",'POINTAGE'!I113,0),0),IF('POINTAGE'!$J$5&lt;&gt;"",IF('POINTAGE'!J113="Présent",'POINTAGE'!K113,0),0),IF('POINTAGE'!$L$5&lt;&gt;"",IF('POINTAGE'!L113="Présent",'POINTAGE'!M113,0),0),IF('POINTAGE'!$N$5&lt;&gt;"",IF('POINTAGE'!N113="Présent",'POINTAGE'!O113,0),0),IF('POINTAGE'!$P$5&lt;&gt;"",IF('POINTAGE'!P113="Présent",'POINTAGE'!Q113,0),0),IF('POINTAGE'!$R$5&lt;&gt;"",IF('POINTAGE'!R113="Présent",'POINTAGE'!S113,0),0),IF('POINTAGE'!$T$5&lt;&gt;"",IF('POINTAGE'!T113="Présent",'POINTAGE'!U113,0),0),IF('POINTAGE'!$V$5&lt;&gt;"",IF('POINTAGE'!V113="Présent",'POINTAGE'!W113,0),0),IF('POINTAGE'!$X$5&lt;&gt;"",IF('POINTAGE'!X113="Présent",'POINTAGE'!Y113,0),0),IF('POINTAGE'!$Z$5&lt;&gt;"",IF('POINTAGE'!Z113="Présent",'POINTAGE'!AA113,0),0),IF('POINTAGE'!$AB$5&lt;&gt;"",IF('POINTAGE'!AB113="Présent",'POINTAGE'!AC113,0),0),IF('POINTAGE'!$AD$5&lt;&gt;"",IF('POINTAGE'!AD113="Présent",'POINTAGE'!AE113,0),0),IF('POINTAGE'!$AF$5&lt;&gt;"",IF('POINTAGE'!AF113="Présent",'POINTAGE'!AG113,0),0)))</f>
      </c>
      <c r="I113" s="24">
        <f>IF($A113="","",$F113*$D113)</f>
      </c>
      <c r="J113" s="24">
        <f>IF($A113="","",$H113*$E113)</f>
      </c>
      <c r="K113" s="25">
        <f>IF($A113="","",$I113+$J113)</f>
      </c>
      <c r="L113" s="18"/>
      <c r="M113" s="25">
        <f>IF($A113="","",MAX(0,$K113-$L113))</f>
      </c>
      <c r="N113" s="22">
        <f>IF($A113="","",SUM(IF('POINTAGE'!$AH$5&lt;&gt;"",--('POINTAGE'!AH113="Présent"),0),IF('POINTAGE'!$AJ$5&lt;&gt;"",--('POINTAGE'!AJ113="Présent"),0),IF('POINTAGE'!$AL$5&lt;&gt;"",--('POINTAGE'!AL113="Présent"),0),IF('POINTAGE'!$AN$5&lt;&gt;"",--('POINTAGE'!AN113="Présent"),0),IF('POINTAGE'!$AP$5&lt;&gt;"",--('POINTAGE'!AP113="Présent"),0),IF('POINTAGE'!$AR$5&lt;&gt;"",--('POINTAGE'!AR113="Présent"),0),IF('POINTAGE'!$AT$5&lt;&gt;"",--('POINTAGE'!AT113="Présent"),0),IF('POINTAGE'!$AV$5&lt;&gt;"",--('POINTAGE'!AV113="Présent"),0),IF('POINTAGE'!$AX$5&lt;&gt;"",--('POINTAGE'!AX113="Présent"),0),IF('POINTAGE'!$AZ$5&lt;&gt;"",--('POINTAGE'!AZ113="Présent"),0),IF('POINTAGE'!$BB$5&lt;&gt;"",--('POINTAGE'!BB113="Présent"),0),IF('POINTAGE'!$BD$5&lt;&gt;"",--('POINTAGE'!BD113="Présent"),0),IF('POINTAGE'!$BF$5&lt;&gt;"",--('POINTAGE'!BF113="Présent"),0),IF('POINTAGE'!$BH$5&lt;&gt;"",--('POINTAGE'!BH113="Présent"),0),IF('POINTAGE'!$BJ$5&lt;&gt;"",--('POINTAGE'!BJ113="Présent"),0),IF('POINTAGE'!$BL$5&lt;&gt;"",--('POINTAGE'!BL113="Présent"),0)))</f>
      </c>
      <c r="O113" s="22">
        <f>IF($A113="","",SUM(IF('POINTAGE'!$AH$5&lt;&gt;"",--('POINTAGE'!AH113="Absent"),0),IF('POINTAGE'!$AJ$5&lt;&gt;"",--('POINTAGE'!AJ113="Absent"),0),IF('POINTAGE'!$AL$5&lt;&gt;"",--('POINTAGE'!AL113="Absent"),0),IF('POINTAGE'!$AN$5&lt;&gt;"",--('POINTAGE'!AN113="Absent"),0),IF('POINTAGE'!$AP$5&lt;&gt;"",--('POINTAGE'!AP113="Absent"),0),IF('POINTAGE'!$AR$5&lt;&gt;"",--('POINTAGE'!AR113="Absent"),0),IF('POINTAGE'!$AT$5&lt;&gt;"",--('POINTAGE'!AT113="Absent"),0),IF('POINTAGE'!$AV$5&lt;&gt;"",--('POINTAGE'!AV113="Absent"),0),IF('POINTAGE'!$AX$5&lt;&gt;"",--('POINTAGE'!AX113="Absent"),0),IF('POINTAGE'!$AZ$5&lt;&gt;"",--('POINTAGE'!AZ113="Absent"),0),IF('POINTAGE'!$BB$5&lt;&gt;"",--('POINTAGE'!BB113="Absent"),0),IF('POINTAGE'!$BD$5&lt;&gt;"",--('POINTAGE'!BD113="Absent"),0),IF('POINTAGE'!$BF$5&lt;&gt;"",--('POINTAGE'!BF113="Absent"),0),IF('POINTAGE'!$BH$5&lt;&gt;"",--('POINTAGE'!BH113="Absent"),0),IF('POINTAGE'!$BJ$5&lt;&gt;"",--('POINTAGE'!BJ113="Absent"),0),IF('POINTAGE'!$BL$5&lt;&gt;"",--('POINTAGE'!BL113="Absent"),0)))</f>
      </c>
      <c r="P113" s="23">
        <f>IF($A113="","",SUM(IF('POINTAGE'!$AH$5&lt;&gt;"",IF('POINTAGE'!AH113="Présent",'POINTAGE'!AI113,0),0),IF('POINTAGE'!$AJ$5&lt;&gt;"",IF('POINTAGE'!AJ113="Présent",'POINTAGE'!AK113,0),0),IF('POINTAGE'!$AL$5&lt;&gt;"",IF('POINTAGE'!AL113="Présent",'POINTAGE'!AM113,0),0),IF('POINTAGE'!$AN$5&lt;&gt;"",IF('POINTAGE'!AN113="Présent",'POINTAGE'!AO113,0),0),IF('POINTAGE'!$AP$5&lt;&gt;"",IF('POINTAGE'!AP113="Présent",'POINTAGE'!AQ113,0),0),IF('POINTAGE'!$AR$5&lt;&gt;"",IF('POINTAGE'!AR113="Présent",'POINTAGE'!AS113,0),0),IF('POINTAGE'!$AT$5&lt;&gt;"",IF('POINTAGE'!AT113="Présent",'POINTAGE'!AU113,0),0),IF('POINTAGE'!$AV$5&lt;&gt;"",IF('POINTAGE'!AV113="Présent",'POINTAGE'!AW113,0),0),IF('POINTAGE'!$AX$5&lt;&gt;"",IF('POINTAGE'!AX113="Présent",'POINTAGE'!AY113,0),0),IF('POINTAGE'!$AZ$5&lt;&gt;"",IF('POINTAGE'!AZ113="Présent",'POINTAGE'!BA113,0),0),IF('POINTAGE'!$BB$5&lt;&gt;"",IF('POINTAGE'!BB113="Présent",'POINTAGE'!BC113,0),0),IF('POINTAGE'!$BD$5&lt;&gt;"",IF('POINTAGE'!BD113="Présent",'POINTAGE'!BE113,0),0),IF('POINTAGE'!$BF$5&lt;&gt;"",IF('POINTAGE'!BF113="Présent",'POINTAGE'!BG113,0),0),IF('POINTAGE'!$BH$5&lt;&gt;"",IF('POINTAGE'!BH113="Présent",'POINTAGE'!BI113,0),0),IF('POINTAGE'!$BJ$5&lt;&gt;"",IF('POINTAGE'!BJ113="Présent",'POINTAGE'!BK113,0),0),IF('POINTAGE'!$BL$5&lt;&gt;"",IF('POINTAGE'!BL113="Présent",'POINTAGE'!BM113,0),0)))</f>
      </c>
      <c r="Q113" s="24">
        <f>IF($A113="","",$N113*$D113)</f>
      </c>
      <c r="R113" s="24">
        <f>IF($A113="","",$P113*$E113)</f>
      </c>
      <c r="S113" s="25">
        <f>IF($A113="","",$Q113+$R113)</f>
      </c>
      <c r="T113" s="18"/>
      <c r="U113" s="25">
        <f>IF($A113="","",MAX(0,$S113-$T113))</f>
      </c>
      <c r="V113" s="25">
        <f>IF($A113="","",$K113+$S113)</f>
      </c>
      <c r="W113" s="24">
        <f>IF($A113="","",$L113+$T113)</f>
      </c>
      <c r="X113" s="25">
        <f>IF($A113="","",$M113+$U113)</f>
      </c>
      <c r="Y113" s="29">
        <f>IF($A113="","",$J113+$R113)</f>
      </c>
    </row>
    <row r="114">
      <c r="A114" s="20">
        <f>IF('POINTAGE'!A114="","",'POINTAGE'!A114)</f>
      </c>
      <c r="B114" s="19">
        <f>IF($A114="","",'POINTAGE'!B114)</f>
      </c>
      <c r="C114" s="20">
        <f>IF($A114="","",'POINTAGE'!C114)</f>
      </c>
      <c r="D114" s="24">
        <f>IF($A114="","",IFERROR(INDEX(Categories_Salaire,MATCH($C114,ListeCategories,0)),0))</f>
      </c>
      <c r="E114" s="24">
        <f>IF($A114="","",IF(IFERROR(INDEX(Categories_TauxHS,MATCH($C114,ListeCategories,0)),0)&gt;0,IFERROR(INDEX(Categories_TauxHS,MATCH($C114,ListeCategories,0)),0),TauxHSDefaut))</f>
      </c>
      <c r="F114" s="22">
        <f>IF($A114="","",SUM(IF('POINTAGE'!$D$5&lt;&gt;"",--('POINTAGE'!D114="Présent"),0),IF('POINTAGE'!$F$5&lt;&gt;"",--('POINTAGE'!F114="Présent"),0),IF('POINTAGE'!$H$5&lt;&gt;"",--('POINTAGE'!H114="Présent"),0),IF('POINTAGE'!$J$5&lt;&gt;"",--('POINTAGE'!J114="Présent"),0),IF('POINTAGE'!$L$5&lt;&gt;"",--('POINTAGE'!L114="Présent"),0),IF('POINTAGE'!$N$5&lt;&gt;"",--('POINTAGE'!N114="Présent"),0),IF('POINTAGE'!$P$5&lt;&gt;"",--('POINTAGE'!P114="Présent"),0),IF('POINTAGE'!$R$5&lt;&gt;"",--('POINTAGE'!R114="Présent"),0),IF('POINTAGE'!$T$5&lt;&gt;"",--('POINTAGE'!T114="Présent"),0),IF('POINTAGE'!$V$5&lt;&gt;"",--('POINTAGE'!V114="Présent"),0),IF('POINTAGE'!$X$5&lt;&gt;"",--('POINTAGE'!X114="Présent"),0),IF('POINTAGE'!$Z$5&lt;&gt;"",--('POINTAGE'!Z114="Présent"),0),IF('POINTAGE'!$AB$5&lt;&gt;"",--('POINTAGE'!AB114="Présent"),0),IF('POINTAGE'!$AD$5&lt;&gt;"",--('POINTAGE'!AD114="Présent"),0),IF('POINTAGE'!$AF$5&lt;&gt;"",--('POINTAGE'!AF114="Présent"),0)))</f>
      </c>
      <c r="G114" s="22">
        <f>IF($A114="","",SUM(IF('POINTAGE'!$D$5&lt;&gt;"",--('POINTAGE'!D114="Absent"),0),IF('POINTAGE'!$F$5&lt;&gt;"",--('POINTAGE'!F114="Absent"),0),IF('POINTAGE'!$H$5&lt;&gt;"",--('POINTAGE'!H114="Absent"),0),IF('POINTAGE'!$J$5&lt;&gt;"",--('POINTAGE'!J114="Absent"),0),IF('POINTAGE'!$L$5&lt;&gt;"",--('POINTAGE'!L114="Absent"),0),IF('POINTAGE'!$N$5&lt;&gt;"",--('POINTAGE'!N114="Absent"),0),IF('POINTAGE'!$P$5&lt;&gt;"",--('POINTAGE'!P114="Absent"),0),IF('POINTAGE'!$R$5&lt;&gt;"",--('POINTAGE'!R114="Absent"),0),IF('POINTAGE'!$T$5&lt;&gt;"",--('POINTAGE'!T114="Absent"),0),IF('POINTAGE'!$V$5&lt;&gt;"",--('POINTAGE'!V114="Absent"),0),IF('POINTAGE'!$X$5&lt;&gt;"",--('POINTAGE'!X114="Absent"),0),IF('POINTAGE'!$Z$5&lt;&gt;"",--('POINTAGE'!Z114="Absent"),0),IF('POINTAGE'!$AB$5&lt;&gt;"",--('POINTAGE'!AB114="Absent"),0),IF('POINTAGE'!$AD$5&lt;&gt;"",--('POINTAGE'!AD114="Absent"),0),IF('POINTAGE'!$AF$5&lt;&gt;"",--('POINTAGE'!AF114="Absent"),0)))</f>
      </c>
      <c r="H114" s="23">
        <f>IF($A114="","",SUM(IF('POINTAGE'!$D$5&lt;&gt;"",IF('POINTAGE'!D114="Présent",'POINTAGE'!E114,0),0),IF('POINTAGE'!$F$5&lt;&gt;"",IF('POINTAGE'!F114="Présent",'POINTAGE'!G114,0),0),IF('POINTAGE'!$H$5&lt;&gt;"",IF('POINTAGE'!H114="Présent",'POINTAGE'!I114,0),0),IF('POINTAGE'!$J$5&lt;&gt;"",IF('POINTAGE'!J114="Présent",'POINTAGE'!K114,0),0),IF('POINTAGE'!$L$5&lt;&gt;"",IF('POINTAGE'!L114="Présent",'POINTAGE'!M114,0),0),IF('POINTAGE'!$N$5&lt;&gt;"",IF('POINTAGE'!N114="Présent",'POINTAGE'!O114,0),0),IF('POINTAGE'!$P$5&lt;&gt;"",IF('POINTAGE'!P114="Présent",'POINTAGE'!Q114,0),0),IF('POINTAGE'!$R$5&lt;&gt;"",IF('POINTAGE'!R114="Présent",'POINTAGE'!S114,0),0),IF('POINTAGE'!$T$5&lt;&gt;"",IF('POINTAGE'!T114="Présent",'POINTAGE'!U114,0),0),IF('POINTAGE'!$V$5&lt;&gt;"",IF('POINTAGE'!V114="Présent",'POINTAGE'!W114,0),0),IF('POINTAGE'!$X$5&lt;&gt;"",IF('POINTAGE'!X114="Présent",'POINTAGE'!Y114,0),0),IF('POINTAGE'!$Z$5&lt;&gt;"",IF('POINTAGE'!Z114="Présent",'POINTAGE'!AA114,0),0),IF('POINTAGE'!$AB$5&lt;&gt;"",IF('POINTAGE'!AB114="Présent",'POINTAGE'!AC114,0),0),IF('POINTAGE'!$AD$5&lt;&gt;"",IF('POINTAGE'!AD114="Présent",'POINTAGE'!AE114,0),0),IF('POINTAGE'!$AF$5&lt;&gt;"",IF('POINTAGE'!AF114="Présent",'POINTAGE'!AG114,0),0)))</f>
      </c>
      <c r="I114" s="24">
        <f>IF($A114="","",$F114*$D114)</f>
      </c>
      <c r="J114" s="24">
        <f>IF($A114="","",$H114*$E114)</f>
      </c>
      <c r="K114" s="25">
        <f>IF($A114="","",$I114+$J114)</f>
      </c>
      <c r="L114" s="18"/>
      <c r="M114" s="25">
        <f>IF($A114="","",MAX(0,$K114-$L114))</f>
      </c>
      <c r="N114" s="22">
        <f>IF($A114="","",SUM(IF('POINTAGE'!$AH$5&lt;&gt;"",--('POINTAGE'!AH114="Présent"),0),IF('POINTAGE'!$AJ$5&lt;&gt;"",--('POINTAGE'!AJ114="Présent"),0),IF('POINTAGE'!$AL$5&lt;&gt;"",--('POINTAGE'!AL114="Présent"),0),IF('POINTAGE'!$AN$5&lt;&gt;"",--('POINTAGE'!AN114="Présent"),0),IF('POINTAGE'!$AP$5&lt;&gt;"",--('POINTAGE'!AP114="Présent"),0),IF('POINTAGE'!$AR$5&lt;&gt;"",--('POINTAGE'!AR114="Présent"),0),IF('POINTAGE'!$AT$5&lt;&gt;"",--('POINTAGE'!AT114="Présent"),0),IF('POINTAGE'!$AV$5&lt;&gt;"",--('POINTAGE'!AV114="Présent"),0),IF('POINTAGE'!$AX$5&lt;&gt;"",--('POINTAGE'!AX114="Présent"),0),IF('POINTAGE'!$AZ$5&lt;&gt;"",--('POINTAGE'!AZ114="Présent"),0),IF('POINTAGE'!$BB$5&lt;&gt;"",--('POINTAGE'!BB114="Présent"),0),IF('POINTAGE'!$BD$5&lt;&gt;"",--('POINTAGE'!BD114="Présent"),0),IF('POINTAGE'!$BF$5&lt;&gt;"",--('POINTAGE'!BF114="Présent"),0),IF('POINTAGE'!$BH$5&lt;&gt;"",--('POINTAGE'!BH114="Présent"),0),IF('POINTAGE'!$BJ$5&lt;&gt;"",--('POINTAGE'!BJ114="Présent"),0),IF('POINTAGE'!$BL$5&lt;&gt;"",--('POINTAGE'!BL114="Présent"),0)))</f>
      </c>
      <c r="O114" s="22">
        <f>IF($A114="","",SUM(IF('POINTAGE'!$AH$5&lt;&gt;"",--('POINTAGE'!AH114="Absent"),0),IF('POINTAGE'!$AJ$5&lt;&gt;"",--('POINTAGE'!AJ114="Absent"),0),IF('POINTAGE'!$AL$5&lt;&gt;"",--('POINTAGE'!AL114="Absent"),0),IF('POINTAGE'!$AN$5&lt;&gt;"",--('POINTAGE'!AN114="Absent"),0),IF('POINTAGE'!$AP$5&lt;&gt;"",--('POINTAGE'!AP114="Absent"),0),IF('POINTAGE'!$AR$5&lt;&gt;"",--('POINTAGE'!AR114="Absent"),0),IF('POINTAGE'!$AT$5&lt;&gt;"",--('POINTAGE'!AT114="Absent"),0),IF('POINTAGE'!$AV$5&lt;&gt;"",--('POINTAGE'!AV114="Absent"),0),IF('POINTAGE'!$AX$5&lt;&gt;"",--('POINTAGE'!AX114="Absent"),0),IF('POINTAGE'!$AZ$5&lt;&gt;"",--('POINTAGE'!AZ114="Absent"),0),IF('POINTAGE'!$BB$5&lt;&gt;"",--('POINTAGE'!BB114="Absent"),0),IF('POINTAGE'!$BD$5&lt;&gt;"",--('POINTAGE'!BD114="Absent"),0),IF('POINTAGE'!$BF$5&lt;&gt;"",--('POINTAGE'!BF114="Absent"),0),IF('POINTAGE'!$BH$5&lt;&gt;"",--('POINTAGE'!BH114="Absent"),0),IF('POINTAGE'!$BJ$5&lt;&gt;"",--('POINTAGE'!BJ114="Absent"),0),IF('POINTAGE'!$BL$5&lt;&gt;"",--('POINTAGE'!BL114="Absent"),0)))</f>
      </c>
      <c r="P114" s="23">
        <f>IF($A114="","",SUM(IF('POINTAGE'!$AH$5&lt;&gt;"",IF('POINTAGE'!AH114="Présent",'POINTAGE'!AI114,0),0),IF('POINTAGE'!$AJ$5&lt;&gt;"",IF('POINTAGE'!AJ114="Présent",'POINTAGE'!AK114,0),0),IF('POINTAGE'!$AL$5&lt;&gt;"",IF('POINTAGE'!AL114="Présent",'POINTAGE'!AM114,0),0),IF('POINTAGE'!$AN$5&lt;&gt;"",IF('POINTAGE'!AN114="Présent",'POINTAGE'!AO114,0),0),IF('POINTAGE'!$AP$5&lt;&gt;"",IF('POINTAGE'!AP114="Présent",'POINTAGE'!AQ114,0),0),IF('POINTAGE'!$AR$5&lt;&gt;"",IF('POINTAGE'!AR114="Présent",'POINTAGE'!AS114,0),0),IF('POINTAGE'!$AT$5&lt;&gt;"",IF('POINTAGE'!AT114="Présent",'POINTAGE'!AU114,0),0),IF('POINTAGE'!$AV$5&lt;&gt;"",IF('POINTAGE'!AV114="Présent",'POINTAGE'!AW114,0),0),IF('POINTAGE'!$AX$5&lt;&gt;"",IF('POINTAGE'!AX114="Présent",'POINTAGE'!AY114,0),0),IF('POINTAGE'!$AZ$5&lt;&gt;"",IF('POINTAGE'!AZ114="Présent",'POINTAGE'!BA114,0),0),IF('POINTAGE'!$BB$5&lt;&gt;"",IF('POINTAGE'!BB114="Présent",'POINTAGE'!BC114,0),0),IF('POINTAGE'!$BD$5&lt;&gt;"",IF('POINTAGE'!BD114="Présent",'POINTAGE'!BE114,0),0),IF('POINTAGE'!$BF$5&lt;&gt;"",IF('POINTAGE'!BF114="Présent",'POINTAGE'!BG114,0),0),IF('POINTAGE'!$BH$5&lt;&gt;"",IF('POINTAGE'!BH114="Présent",'POINTAGE'!BI114,0),0),IF('POINTAGE'!$BJ$5&lt;&gt;"",IF('POINTAGE'!BJ114="Présent",'POINTAGE'!BK114,0),0),IF('POINTAGE'!$BL$5&lt;&gt;"",IF('POINTAGE'!BL114="Présent",'POINTAGE'!BM114,0),0)))</f>
      </c>
      <c r="Q114" s="24">
        <f>IF($A114="","",$N114*$D114)</f>
      </c>
      <c r="R114" s="24">
        <f>IF($A114="","",$P114*$E114)</f>
      </c>
      <c r="S114" s="25">
        <f>IF($A114="","",$Q114+$R114)</f>
      </c>
      <c r="T114" s="18"/>
      <c r="U114" s="25">
        <f>IF($A114="","",MAX(0,$S114-$T114))</f>
      </c>
      <c r="V114" s="25">
        <f>IF($A114="","",$K114+$S114)</f>
      </c>
      <c r="W114" s="24">
        <f>IF($A114="","",$L114+$T114)</f>
      </c>
      <c r="X114" s="25">
        <f>IF($A114="","",$M114+$U114)</f>
      </c>
      <c r="Y114" s="29">
        <f>IF($A114="","",$J114+$R114)</f>
      </c>
    </row>
    <row r="115">
      <c r="A115" s="20">
        <f>IF('POINTAGE'!A115="","",'POINTAGE'!A115)</f>
      </c>
      <c r="B115" s="19">
        <f>IF($A115="","",'POINTAGE'!B115)</f>
      </c>
      <c r="C115" s="20">
        <f>IF($A115="","",'POINTAGE'!C115)</f>
      </c>
      <c r="D115" s="24">
        <f>IF($A115="","",IFERROR(INDEX(Categories_Salaire,MATCH($C115,ListeCategories,0)),0))</f>
      </c>
      <c r="E115" s="24">
        <f>IF($A115="","",IF(IFERROR(INDEX(Categories_TauxHS,MATCH($C115,ListeCategories,0)),0)&gt;0,IFERROR(INDEX(Categories_TauxHS,MATCH($C115,ListeCategories,0)),0),TauxHSDefaut))</f>
      </c>
      <c r="F115" s="22">
        <f>IF($A115="","",SUM(IF('POINTAGE'!$D$5&lt;&gt;"",--('POINTAGE'!D115="Présent"),0),IF('POINTAGE'!$F$5&lt;&gt;"",--('POINTAGE'!F115="Présent"),0),IF('POINTAGE'!$H$5&lt;&gt;"",--('POINTAGE'!H115="Présent"),0),IF('POINTAGE'!$J$5&lt;&gt;"",--('POINTAGE'!J115="Présent"),0),IF('POINTAGE'!$L$5&lt;&gt;"",--('POINTAGE'!L115="Présent"),0),IF('POINTAGE'!$N$5&lt;&gt;"",--('POINTAGE'!N115="Présent"),0),IF('POINTAGE'!$P$5&lt;&gt;"",--('POINTAGE'!P115="Présent"),0),IF('POINTAGE'!$R$5&lt;&gt;"",--('POINTAGE'!R115="Présent"),0),IF('POINTAGE'!$T$5&lt;&gt;"",--('POINTAGE'!T115="Présent"),0),IF('POINTAGE'!$V$5&lt;&gt;"",--('POINTAGE'!V115="Présent"),0),IF('POINTAGE'!$X$5&lt;&gt;"",--('POINTAGE'!X115="Présent"),0),IF('POINTAGE'!$Z$5&lt;&gt;"",--('POINTAGE'!Z115="Présent"),0),IF('POINTAGE'!$AB$5&lt;&gt;"",--('POINTAGE'!AB115="Présent"),0),IF('POINTAGE'!$AD$5&lt;&gt;"",--('POINTAGE'!AD115="Présent"),0),IF('POINTAGE'!$AF$5&lt;&gt;"",--('POINTAGE'!AF115="Présent"),0)))</f>
      </c>
      <c r="G115" s="22">
        <f>IF($A115="","",SUM(IF('POINTAGE'!$D$5&lt;&gt;"",--('POINTAGE'!D115="Absent"),0),IF('POINTAGE'!$F$5&lt;&gt;"",--('POINTAGE'!F115="Absent"),0),IF('POINTAGE'!$H$5&lt;&gt;"",--('POINTAGE'!H115="Absent"),0),IF('POINTAGE'!$J$5&lt;&gt;"",--('POINTAGE'!J115="Absent"),0),IF('POINTAGE'!$L$5&lt;&gt;"",--('POINTAGE'!L115="Absent"),0),IF('POINTAGE'!$N$5&lt;&gt;"",--('POINTAGE'!N115="Absent"),0),IF('POINTAGE'!$P$5&lt;&gt;"",--('POINTAGE'!P115="Absent"),0),IF('POINTAGE'!$R$5&lt;&gt;"",--('POINTAGE'!R115="Absent"),0),IF('POINTAGE'!$T$5&lt;&gt;"",--('POINTAGE'!T115="Absent"),0),IF('POINTAGE'!$V$5&lt;&gt;"",--('POINTAGE'!V115="Absent"),0),IF('POINTAGE'!$X$5&lt;&gt;"",--('POINTAGE'!X115="Absent"),0),IF('POINTAGE'!$Z$5&lt;&gt;"",--('POINTAGE'!Z115="Absent"),0),IF('POINTAGE'!$AB$5&lt;&gt;"",--('POINTAGE'!AB115="Absent"),0),IF('POINTAGE'!$AD$5&lt;&gt;"",--('POINTAGE'!AD115="Absent"),0),IF('POINTAGE'!$AF$5&lt;&gt;"",--('POINTAGE'!AF115="Absent"),0)))</f>
      </c>
      <c r="H115" s="23">
        <f>IF($A115="","",SUM(IF('POINTAGE'!$D$5&lt;&gt;"",IF('POINTAGE'!D115="Présent",'POINTAGE'!E115,0),0),IF('POINTAGE'!$F$5&lt;&gt;"",IF('POINTAGE'!F115="Présent",'POINTAGE'!G115,0),0),IF('POINTAGE'!$H$5&lt;&gt;"",IF('POINTAGE'!H115="Présent",'POINTAGE'!I115,0),0),IF('POINTAGE'!$J$5&lt;&gt;"",IF('POINTAGE'!J115="Présent",'POINTAGE'!K115,0),0),IF('POINTAGE'!$L$5&lt;&gt;"",IF('POINTAGE'!L115="Présent",'POINTAGE'!M115,0),0),IF('POINTAGE'!$N$5&lt;&gt;"",IF('POINTAGE'!N115="Présent",'POINTAGE'!O115,0),0),IF('POINTAGE'!$P$5&lt;&gt;"",IF('POINTAGE'!P115="Présent",'POINTAGE'!Q115,0),0),IF('POINTAGE'!$R$5&lt;&gt;"",IF('POINTAGE'!R115="Présent",'POINTAGE'!S115,0),0),IF('POINTAGE'!$T$5&lt;&gt;"",IF('POINTAGE'!T115="Présent",'POINTAGE'!U115,0),0),IF('POINTAGE'!$V$5&lt;&gt;"",IF('POINTAGE'!V115="Présent",'POINTAGE'!W115,0),0),IF('POINTAGE'!$X$5&lt;&gt;"",IF('POINTAGE'!X115="Présent",'POINTAGE'!Y115,0),0),IF('POINTAGE'!$Z$5&lt;&gt;"",IF('POINTAGE'!Z115="Présent",'POINTAGE'!AA115,0),0),IF('POINTAGE'!$AB$5&lt;&gt;"",IF('POINTAGE'!AB115="Présent",'POINTAGE'!AC115,0),0),IF('POINTAGE'!$AD$5&lt;&gt;"",IF('POINTAGE'!AD115="Présent",'POINTAGE'!AE115,0),0),IF('POINTAGE'!$AF$5&lt;&gt;"",IF('POINTAGE'!AF115="Présent",'POINTAGE'!AG115,0),0)))</f>
      </c>
      <c r="I115" s="24">
        <f>IF($A115="","",$F115*$D115)</f>
      </c>
      <c r="J115" s="24">
        <f>IF($A115="","",$H115*$E115)</f>
      </c>
      <c r="K115" s="25">
        <f>IF($A115="","",$I115+$J115)</f>
      </c>
      <c r="L115" s="18"/>
      <c r="M115" s="25">
        <f>IF($A115="","",MAX(0,$K115-$L115))</f>
      </c>
      <c r="N115" s="22">
        <f>IF($A115="","",SUM(IF('POINTAGE'!$AH$5&lt;&gt;"",--('POINTAGE'!AH115="Présent"),0),IF('POINTAGE'!$AJ$5&lt;&gt;"",--('POINTAGE'!AJ115="Présent"),0),IF('POINTAGE'!$AL$5&lt;&gt;"",--('POINTAGE'!AL115="Présent"),0),IF('POINTAGE'!$AN$5&lt;&gt;"",--('POINTAGE'!AN115="Présent"),0),IF('POINTAGE'!$AP$5&lt;&gt;"",--('POINTAGE'!AP115="Présent"),0),IF('POINTAGE'!$AR$5&lt;&gt;"",--('POINTAGE'!AR115="Présent"),0),IF('POINTAGE'!$AT$5&lt;&gt;"",--('POINTAGE'!AT115="Présent"),0),IF('POINTAGE'!$AV$5&lt;&gt;"",--('POINTAGE'!AV115="Présent"),0),IF('POINTAGE'!$AX$5&lt;&gt;"",--('POINTAGE'!AX115="Présent"),0),IF('POINTAGE'!$AZ$5&lt;&gt;"",--('POINTAGE'!AZ115="Présent"),0),IF('POINTAGE'!$BB$5&lt;&gt;"",--('POINTAGE'!BB115="Présent"),0),IF('POINTAGE'!$BD$5&lt;&gt;"",--('POINTAGE'!BD115="Présent"),0),IF('POINTAGE'!$BF$5&lt;&gt;"",--('POINTAGE'!BF115="Présent"),0),IF('POINTAGE'!$BH$5&lt;&gt;"",--('POINTAGE'!BH115="Présent"),0),IF('POINTAGE'!$BJ$5&lt;&gt;"",--('POINTAGE'!BJ115="Présent"),0),IF('POINTAGE'!$BL$5&lt;&gt;"",--('POINTAGE'!BL115="Présent"),0)))</f>
      </c>
      <c r="O115" s="22">
        <f>IF($A115="","",SUM(IF('POINTAGE'!$AH$5&lt;&gt;"",--('POINTAGE'!AH115="Absent"),0),IF('POINTAGE'!$AJ$5&lt;&gt;"",--('POINTAGE'!AJ115="Absent"),0),IF('POINTAGE'!$AL$5&lt;&gt;"",--('POINTAGE'!AL115="Absent"),0),IF('POINTAGE'!$AN$5&lt;&gt;"",--('POINTAGE'!AN115="Absent"),0),IF('POINTAGE'!$AP$5&lt;&gt;"",--('POINTAGE'!AP115="Absent"),0),IF('POINTAGE'!$AR$5&lt;&gt;"",--('POINTAGE'!AR115="Absent"),0),IF('POINTAGE'!$AT$5&lt;&gt;"",--('POINTAGE'!AT115="Absent"),0),IF('POINTAGE'!$AV$5&lt;&gt;"",--('POINTAGE'!AV115="Absent"),0),IF('POINTAGE'!$AX$5&lt;&gt;"",--('POINTAGE'!AX115="Absent"),0),IF('POINTAGE'!$AZ$5&lt;&gt;"",--('POINTAGE'!AZ115="Absent"),0),IF('POINTAGE'!$BB$5&lt;&gt;"",--('POINTAGE'!BB115="Absent"),0),IF('POINTAGE'!$BD$5&lt;&gt;"",--('POINTAGE'!BD115="Absent"),0),IF('POINTAGE'!$BF$5&lt;&gt;"",--('POINTAGE'!BF115="Absent"),0),IF('POINTAGE'!$BH$5&lt;&gt;"",--('POINTAGE'!BH115="Absent"),0),IF('POINTAGE'!$BJ$5&lt;&gt;"",--('POINTAGE'!BJ115="Absent"),0),IF('POINTAGE'!$BL$5&lt;&gt;"",--('POINTAGE'!BL115="Absent"),0)))</f>
      </c>
      <c r="P115" s="23">
        <f>IF($A115="","",SUM(IF('POINTAGE'!$AH$5&lt;&gt;"",IF('POINTAGE'!AH115="Présent",'POINTAGE'!AI115,0),0),IF('POINTAGE'!$AJ$5&lt;&gt;"",IF('POINTAGE'!AJ115="Présent",'POINTAGE'!AK115,0),0),IF('POINTAGE'!$AL$5&lt;&gt;"",IF('POINTAGE'!AL115="Présent",'POINTAGE'!AM115,0),0),IF('POINTAGE'!$AN$5&lt;&gt;"",IF('POINTAGE'!AN115="Présent",'POINTAGE'!AO115,0),0),IF('POINTAGE'!$AP$5&lt;&gt;"",IF('POINTAGE'!AP115="Présent",'POINTAGE'!AQ115,0),0),IF('POINTAGE'!$AR$5&lt;&gt;"",IF('POINTAGE'!AR115="Présent",'POINTAGE'!AS115,0),0),IF('POINTAGE'!$AT$5&lt;&gt;"",IF('POINTAGE'!AT115="Présent",'POINTAGE'!AU115,0),0),IF('POINTAGE'!$AV$5&lt;&gt;"",IF('POINTAGE'!AV115="Présent",'POINTAGE'!AW115,0),0),IF('POINTAGE'!$AX$5&lt;&gt;"",IF('POINTAGE'!AX115="Présent",'POINTAGE'!AY115,0),0),IF('POINTAGE'!$AZ$5&lt;&gt;"",IF('POINTAGE'!AZ115="Présent",'POINTAGE'!BA115,0),0),IF('POINTAGE'!$BB$5&lt;&gt;"",IF('POINTAGE'!BB115="Présent",'POINTAGE'!BC115,0),0),IF('POINTAGE'!$BD$5&lt;&gt;"",IF('POINTAGE'!BD115="Présent",'POINTAGE'!BE115,0),0),IF('POINTAGE'!$BF$5&lt;&gt;"",IF('POINTAGE'!BF115="Présent",'POINTAGE'!BG115,0),0),IF('POINTAGE'!$BH$5&lt;&gt;"",IF('POINTAGE'!BH115="Présent",'POINTAGE'!BI115,0),0),IF('POINTAGE'!$BJ$5&lt;&gt;"",IF('POINTAGE'!BJ115="Présent",'POINTAGE'!BK115,0),0),IF('POINTAGE'!$BL$5&lt;&gt;"",IF('POINTAGE'!BL115="Présent",'POINTAGE'!BM115,0),0)))</f>
      </c>
      <c r="Q115" s="24">
        <f>IF($A115="","",$N115*$D115)</f>
      </c>
      <c r="R115" s="24">
        <f>IF($A115="","",$P115*$E115)</f>
      </c>
      <c r="S115" s="25">
        <f>IF($A115="","",$Q115+$R115)</f>
      </c>
      <c r="T115" s="18"/>
      <c r="U115" s="25">
        <f>IF($A115="","",MAX(0,$S115-$T115))</f>
      </c>
      <c r="V115" s="25">
        <f>IF($A115="","",$K115+$S115)</f>
      </c>
      <c r="W115" s="24">
        <f>IF($A115="","",$L115+$T115)</f>
      </c>
      <c r="X115" s="25">
        <f>IF($A115="","",$M115+$U115)</f>
      </c>
      <c r="Y115" s="29">
        <f>IF($A115="","",$J115+$R115)</f>
      </c>
    </row>
    <row r="116">
      <c r="A116" s="20">
        <f>IF('POINTAGE'!A116="","",'POINTAGE'!A116)</f>
      </c>
      <c r="B116" s="19">
        <f>IF($A116="","",'POINTAGE'!B116)</f>
      </c>
      <c r="C116" s="20">
        <f>IF($A116="","",'POINTAGE'!C116)</f>
      </c>
      <c r="D116" s="24">
        <f>IF($A116="","",IFERROR(INDEX(Categories_Salaire,MATCH($C116,ListeCategories,0)),0))</f>
      </c>
      <c r="E116" s="24">
        <f>IF($A116="","",IF(IFERROR(INDEX(Categories_TauxHS,MATCH($C116,ListeCategories,0)),0)&gt;0,IFERROR(INDEX(Categories_TauxHS,MATCH($C116,ListeCategories,0)),0),TauxHSDefaut))</f>
      </c>
      <c r="F116" s="22">
        <f>IF($A116="","",SUM(IF('POINTAGE'!$D$5&lt;&gt;"",--('POINTAGE'!D116="Présent"),0),IF('POINTAGE'!$F$5&lt;&gt;"",--('POINTAGE'!F116="Présent"),0),IF('POINTAGE'!$H$5&lt;&gt;"",--('POINTAGE'!H116="Présent"),0),IF('POINTAGE'!$J$5&lt;&gt;"",--('POINTAGE'!J116="Présent"),0),IF('POINTAGE'!$L$5&lt;&gt;"",--('POINTAGE'!L116="Présent"),0),IF('POINTAGE'!$N$5&lt;&gt;"",--('POINTAGE'!N116="Présent"),0),IF('POINTAGE'!$P$5&lt;&gt;"",--('POINTAGE'!P116="Présent"),0),IF('POINTAGE'!$R$5&lt;&gt;"",--('POINTAGE'!R116="Présent"),0),IF('POINTAGE'!$T$5&lt;&gt;"",--('POINTAGE'!T116="Présent"),0),IF('POINTAGE'!$V$5&lt;&gt;"",--('POINTAGE'!V116="Présent"),0),IF('POINTAGE'!$X$5&lt;&gt;"",--('POINTAGE'!X116="Présent"),0),IF('POINTAGE'!$Z$5&lt;&gt;"",--('POINTAGE'!Z116="Présent"),0),IF('POINTAGE'!$AB$5&lt;&gt;"",--('POINTAGE'!AB116="Présent"),0),IF('POINTAGE'!$AD$5&lt;&gt;"",--('POINTAGE'!AD116="Présent"),0),IF('POINTAGE'!$AF$5&lt;&gt;"",--('POINTAGE'!AF116="Présent"),0)))</f>
      </c>
      <c r="G116" s="22">
        <f>IF($A116="","",SUM(IF('POINTAGE'!$D$5&lt;&gt;"",--('POINTAGE'!D116="Absent"),0),IF('POINTAGE'!$F$5&lt;&gt;"",--('POINTAGE'!F116="Absent"),0),IF('POINTAGE'!$H$5&lt;&gt;"",--('POINTAGE'!H116="Absent"),0),IF('POINTAGE'!$J$5&lt;&gt;"",--('POINTAGE'!J116="Absent"),0),IF('POINTAGE'!$L$5&lt;&gt;"",--('POINTAGE'!L116="Absent"),0),IF('POINTAGE'!$N$5&lt;&gt;"",--('POINTAGE'!N116="Absent"),0),IF('POINTAGE'!$P$5&lt;&gt;"",--('POINTAGE'!P116="Absent"),0),IF('POINTAGE'!$R$5&lt;&gt;"",--('POINTAGE'!R116="Absent"),0),IF('POINTAGE'!$T$5&lt;&gt;"",--('POINTAGE'!T116="Absent"),0),IF('POINTAGE'!$V$5&lt;&gt;"",--('POINTAGE'!V116="Absent"),0),IF('POINTAGE'!$X$5&lt;&gt;"",--('POINTAGE'!X116="Absent"),0),IF('POINTAGE'!$Z$5&lt;&gt;"",--('POINTAGE'!Z116="Absent"),0),IF('POINTAGE'!$AB$5&lt;&gt;"",--('POINTAGE'!AB116="Absent"),0),IF('POINTAGE'!$AD$5&lt;&gt;"",--('POINTAGE'!AD116="Absent"),0),IF('POINTAGE'!$AF$5&lt;&gt;"",--('POINTAGE'!AF116="Absent"),0)))</f>
      </c>
      <c r="H116" s="23">
        <f>IF($A116="","",SUM(IF('POINTAGE'!$D$5&lt;&gt;"",IF('POINTAGE'!D116="Présent",'POINTAGE'!E116,0),0),IF('POINTAGE'!$F$5&lt;&gt;"",IF('POINTAGE'!F116="Présent",'POINTAGE'!G116,0),0),IF('POINTAGE'!$H$5&lt;&gt;"",IF('POINTAGE'!H116="Présent",'POINTAGE'!I116,0),0),IF('POINTAGE'!$J$5&lt;&gt;"",IF('POINTAGE'!J116="Présent",'POINTAGE'!K116,0),0),IF('POINTAGE'!$L$5&lt;&gt;"",IF('POINTAGE'!L116="Présent",'POINTAGE'!M116,0),0),IF('POINTAGE'!$N$5&lt;&gt;"",IF('POINTAGE'!N116="Présent",'POINTAGE'!O116,0),0),IF('POINTAGE'!$P$5&lt;&gt;"",IF('POINTAGE'!P116="Présent",'POINTAGE'!Q116,0),0),IF('POINTAGE'!$R$5&lt;&gt;"",IF('POINTAGE'!R116="Présent",'POINTAGE'!S116,0),0),IF('POINTAGE'!$T$5&lt;&gt;"",IF('POINTAGE'!T116="Présent",'POINTAGE'!U116,0),0),IF('POINTAGE'!$V$5&lt;&gt;"",IF('POINTAGE'!V116="Présent",'POINTAGE'!W116,0),0),IF('POINTAGE'!$X$5&lt;&gt;"",IF('POINTAGE'!X116="Présent",'POINTAGE'!Y116,0),0),IF('POINTAGE'!$Z$5&lt;&gt;"",IF('POINTAGE'!Z116="Présent",'POINTAGE'!AA116,0),0),IF('POINTAGE'!$AB$5&lt;&gt;"",IF('POINTAGE'!AB116="Présent",'POINTAGE'!AC116,0),0),IF('POINTAGE'!$AD$5&lt;&gt;"",IF('POINTAGE'!AD116="Présent",'POINTAGE'!AE116,0),0),IF('POINTAGE'!$AF$5&lt;&gt;"",IF('POINTAGE'!AF116="Présent",'POINTAGE'!AG116,0),0)))</f>
      </c>
      <c r="I116" s="24">
        <f>IF($A116="","",$F116*$D116)</f>
      </c>
      <c r="J116" s="24">
        <f>IF($A116="","",$H116*$E116)</f>
      </c>
      <c r="K116" s="25">
        <f>IF($A116="","",$I116+$J116)</f>
      </c>
      <c r="L116" s="18"/>
      <c r="M116" s="25">
        <f>IF($A116="","",MAX(0,$K116-$L116))</f>
      </c>
      <c r="N116" s="22">
        <f>IF($A116="","",SUM(IF('POINTAGE'!$AH$5&lt;&gt;"",--('POINTAGE'!AH116="Présent"),0),IF('POINTAGE'!$AJ$5&lt;&gt;"",--('POINTAGE'!AJ116="Présent"),0),IF('POINTAGE'!$AL$5&lt;&gt;"",--('POINTAGE'!AL116="Présent"),0),IF('POINTAGE'!$AN$5&lt;&gt;"",--('POINTAGE'!AN116="Présent"),0),IF('POINTAGE'!$AP$5&lt;&gt;"",--('POINTAGE'!AP116="Présent"),0),IF('POINTAGE'!$AR$5&lt;&gt;"",--('POINTAGE'!AR116="Présent"),0),IF('POINTAGE'!$AT$5&lt;&gt;"",--('POINTAGE'!AT116="Présent"),0),IF('POINTAGE'!$AV$5&lt;&gt;"",--('POINTAGE'!AV116="Présent"),0),IF('POINTAGE'!$AX$5&lt;&gt;"",--('POINTAGE'!AX116="Présent"),0),IF('POINTAGE'!$AZ$5&lt;&gt;"",--('POINTAGE'!AZ116="Présent"),0),IF('POINTAGE'!$BB$5&lt;&gt;"",--('POINTAGE'!BB116="Présent"),0),IF('POINTAGE'!$BD$5&lt;&gt;"",--('POINTAGE'!BD116="Présent"),0),IF('POINTAGE'!$BF$5&lt;&gt;"",--('POINTAGE'!BF116="Présent"),0),IF('POINTAGE'!$BH$5&lt;&gt;"",--('POINTAGE'!BH116="Présent"),0),IF('POINTAGE'!$BJ$5&lt;&gt;"",--('POINTAGE'!BJ116="Présent"),0),IF('POINTAGE'!$BL$5&lt;&gt;"",--('POINTAGE'!BL116="Présent"),0)))</f>
      </c>
      <c r="O116" s="22">
        <f>IF($A116="","",SUM(IF('POINTAGE'!$AH$5&lt;&gt;"",--('POINTAGE'!AH116="Absent"),0),IF('POINTAGE'!$AJ$5&lt;&gt;"",--('POINTAGE'!AJ116="Absent"),0),IF('POINTAGE'!$AL$5&lt;&gt;"",--('POINTAGE'!AL116="Absent"),0),IF('POINTAGE'!$AN$5&lt;&gt;"",--('POINTAGE'!AN116="Absent"),0),IF('POINTAGE'!$AP$5&lt;&gt;"",--('POINTAGE'!AP116="Absent"),0),IF('POINTAGE'!$AR$5&lt;&gt;"",--('POINTAGE'!AR116="Absent"),0),IF('POINTAGE'!$AT$5&lt;&gt;"",--('POINTAGE'!AT116="Absent"),0),IF('POINTAGE'!$AV$5&lt;&gt;"",--('POINTAGE'!AV116="Absent"),0),IF('POINTAGE'!$AX$5&lt;&gt;"",--('POINTAGE'!AX116="Absent"),0),IF('POINTAGE'!$AZ$5&lt;&gt;"",--('POINTAGE'!AZ116="Absent"),0),IF('POINTAGE'!$BB$5&lt;&gt;"",--('POINTAGE'!BB116="Absent"),0),IF('POINTAGE'!$BD$5&lt;&gt;"",--('POINTAGE'!BD116="Absent"),0),IF('POINTAGE'!$BF$5&lt;&gt;"",--('POINTAGE'!BF116="Absent"),0),IF('POINTAGE'!$BH$5&lt;&gt;"",--('POINTAGE'!BH116="Absent"),0),IF('POINTAGE'!$BJ$5&lt;&gt;"",--('POINTAGE'!BJ116="Absent"),0),IF('POINTAGE'!$BL$5&lt;&gt;"",--('POINTAGE'!BL116="Absent"),0)))</f>
      </c>
      <c r="P116" s="23">
        <f>IF($A116="","",SUM(IF('POINTAGE'!$AH$5&lt;&gt;"",IF('POINTAGE'!AH116="Présent",'POINTAGE'!AI116,0),0),IF('POINTAGE'!$AJ$5&lt;&gt;"",IF('POINTAGE'!AJ116="Présent",'POINTAGE'!AK116,0),0),IF('POINTAGE'!$AL$5&lt;&gt;"",IF('POINTAGE'!AL116="Présent",'POINTAGE'!AM116,0),0),IF('POINTAGE'!$AN$5&lt;&gt;"",IF('POINTAGE'!AN116="Présent",'POINTAGE'!AO116,0),0),IF('POINTAGE'!$AP$5&lt;&gt;"",IF('POINTAGE'!AP116="Présent",'POINTAGE'!AQ116,0),0),IF('POINTAGE'!$AR$5&lt;&gt;"",IF('POINTAGE'!AR116="Présent",'POINTAGE'!AS116,0),0),IF('POINTAGE'!$AT$5&lt;&gt;"",IF('POINTAGE'!AT116="Présent",'POINTAGE'!AU116,0),0),IF('POINTAGE'!$AV$5&lt;&gt;"",IF('POINTAGE'!AV116="Présent",'POINTAGE'!AW116,0),0),IF('POINTAGE'!$AX$5&lt;&gt;"",IF('POINTAGE'!AX116="Présent",'POINTAGE'!AY116,0),0),IF('POINTAGE'!$AZ$5&lt;&gt;"",IF('POINTAGE'!AZ116="Présent",'POINTAGE'!BA116,0),0),IF('POINTAGE'!$BB$5&lt;&gt;"",IF('POINTAGE'!BB116="Présent",'POINTAGE'!BC116,0),0),IF('POINTAGE'!$BD$5&lt;&gt;"",IF('POINTAGE'!BD116="Présent",'POINTAGE'!BE116,0),0),IF('POINTAGE'!$BF$5&lt;&gt;"",IF('POINTAGE'!BF116="Présent",'POINTAGE'!BG116,0),0),IF('POINTAGE'!$BH$5&lt;&gt;"",IF('POINTAGE'!BH116="Présent",'POINTAGE'!BI116,0),0),IF('POINTAGE'!$BJ$5&lt;&gt;"",IF('POINTAGE'!BJ116="Présent",'POINTAGE'!BK116,0),0),IF('POINTAGE'!$BL$5&lt;&gt;"",IF('POINTAGE'!BL116="Présent",'POINTAGE'!BM116,0),0)))</f>
      </c>
      <c r="Q116" s="24">
        <f>IF($A116="","",$N116*$D116)</f>
      </c>
      <c r="R116" s="24">
        <f>IF($A116="","",$P116*$E116)</f>
      </c>
      <c r="S116" s="25">
        <f>IF($A116="","",$Q116+$R116)</f>
      </c>
      <c r="T116" s="18"/>
      <c r="U116" s="25">
        <f>IF($A116="","",MAX(0,$S116-$T116))</f>
      </c>
      <c r="V116" s="25">
        <f>IF($A116="","",$K116+$S116)</f>
      </c>
      <c r="W116" s="24">
        <f>IF($A116="","",$L116+$T116)</f>
      </c>
      <c r="X116" s="25">
        <f>IF($A116="","",$M116+$U116)</f>
      </c>
      <c r="Y116" s="29">
        <f>IF($A116="","",$J116+$R116)</f>
      </c>
    </row>
    <row r="117">
      <c r="A117" s="20">
        <f>IF('POINTAGE'!A117="","",'POINTAGE'!A117)</f>
      </c>
      <c r="B117" s="19">
        <f>IF($A117="","",'POINTAGE'!B117)</f>
      </c>
      <c r="C117" s="20">
        <f>IF($A117="","",'POINTAGE'!C117)</f>
      </c>
      <c r="D117" s="24">
        <f>IF($A117="","",IFERROR(INDEX(Categories_Salaire,MATCH($C117,ListeCategories,0)),0))</f>
      </c>
      <c r="E117" s="24">
        <f>IF($A117="","",IF(IFERROR(INDEX(Categories_TauxHS,MATCH($C117,ListeCategories,0)),0)&gt;0,IFERROR(INDEX(Categories_TauxHS,MATCH($C117,ListeCategories,0)),0),TauxHSDefaut))</f>
      </c>
      <c r="F117" s="22">
        <f>IF($A117="","",SUM(IF('POINTAGE'!$D$5&lt;&gt;"",--('POINTAGE'!D117="Présent"),0),IF('POINTAGE'!$F$5&lt;&gt;"",--('POINTAGE'!F117="Présent"),0),IF('POINTAGE'!$H$5&lt;&gt;"",--('POINTAGE'!H117="Présent"),0),IF('POINTAGE'!$J$5&lt;&gt;"",--('POINTAGE'!J117="Présent"),0),IF('POINTAGE'!$L$5&lt;&gt;"",--('POINTAGE'!L117="Présent"),0),IF('POINTAGE'!$N$5&lt;&gt;"",--('POINTAGE'!N117="Présent"),0),IF('POINTAGE'!$P$5&lt;&gt;"",--('POINTAGE'!P117="Présent"),0),IF('POINTAGE'!$R$5&lt;&gt;"",--('POINTAGE'!R117="Présent"),0),IF('POINTAGE'!$T$5&lt;&gt;"",--('POINTAGE'!T117="Présent"),0),IF('POINTAGE'!$V$5&lt;&gt;"",--('POINTAGE'!V117="Présent"),0),IF('POINTAGE'!$X$5&lt;&gt;"",--('POINTAGE'!X117="Présent"),0),IF('POINTAGE'!$Z$5&lt;&gt;"",--('POINTAGE'!Z117="Présent"),0),IF('POINTAGE'!$AB$5&lt;&gt;"",--('POINTAGE'!AB117="Présent"),0),IF('POINTAGE'!$AD$5&lt;&gt;"",--('POINTAGE'!AD117="Présent"),0),IF('POINTAGE'!$AF$5&lt;&gt;"",--('POINTAGE'!AF117="Présent"),0)))</f>
      </c>
      <c r="G117" s="22">
        <f>IF($A117="","",SUM(IF('POINTAGE'!$D$5&lt;&gt;"",--('POINTAGE'!D117="Absent"),0),IF('POINTAGE'!$F$5&lt;&gt;"",--('POINTAGE'!F117="Absent"),0),IF('POINTAGE'!$H$5&lt;&gt;"",--('POINTAGE'!H117="Absent"),0),IF('POINTAGE'!$J$5&lt;&gt;"",--('POINTAGE'!J117="Absent"),0),IF('POINTAGE'!$L$5&lt;&gt;"",--('POINTAGE'!L117="Absent"),0),IF('POINTAGE'!$N$5&lt;&gt;"",--('POINTAGE'!N117="Absent"),0),IF('POINTAGE'!$P$5&lt;&gt;"",--('POINTAGE'!P117="Absent"),0),IF('POINTAGE'!$R$5&lt;&gt;"",--('POINTAGE'!R117="Absent"),0),IF('POINTAGE'!$T$5&lt;&gt;"",--('POINTAGE'!T117="Absent"),0),IF('POINTAGE'!$V$5&lt;&gt;"",--('POINTAGE'!V117="Absent"),0),IF('POINTAGE'!$X$5&lt;&gt;"",--('POINTAGE'!X117="Absent"),0),IF('POINTAGE'!$Z$5&lt;&gt;"",--('POINTAGE'!Z117="Absent"),0),IF('POINTAGE'!$AB$5&lt;&gt;"",--('POINTAGE'!AB117="Absent"),0),IF('POINTAGE'!$AD$5&lt;&gt;"",--('POINTAGE'!AD117="Absent"),0),IF('POINTAGE'!$AF$5&lt;&gt;"",--('POINTAGE'!AF117="Absent"),0)))</f>
      </c>
      <c r="H117" s="23">
        <f>IF($A117="","",SUM(IF('POINTAGE'!$D$5&lt;&gt;"",IF('POINTAGE'!D117="Présent",'POINTAGE'!E117,0),0),IF('POINTAGE'!$F$5&lt;&gt;"",IF('POINTAGE'!F117="Présent",'POINTAGE'!G117,0),0),IF('POINTAGE'!$H$5&lt;&gt;"",IF('POINTAGE'!H117="Présent",'POINTAGE'!I117,0),0),IF('POINTAGE'!$J$5&lt;&gt;"",IF('POINTAGE'!J117="Présent",'POINTAGE'!K117,0),0),IF('POINTAGE'!$L$5&lt;&gt;"",IF('POINTAGE'!L117="Présent",'POINTAGE'!M117,0),0),IF('POINTAGE'!$N$5&lt;&gt;"",IF('POINTAGE'!N117="Présent",'POINTAGE'!O117,0),0),IF('POINTAGE'!$P$5&lt;&gt;"",IF('POINTAGE'!P117="Présent",'POINTAGE'!Q117,0),0),IF('POINTAGE'!$R$5&lt;&gt;"",IF('POINTAGE'!R117="Présent",'POINTAGE'!S117,0),0),IF('POINTAGE'!$T$5&lt;&gt;"",IF('POINTAGE'!T117="Présent",'POINTAGE'!U117,0),0),IF('POINTAGE'!$V$5&lt;&gt;"",IF('POINTAGE'!V117="Présent",'POINTAGE'!W117,0),0),IF('POINTAGE'!$X$5&lt;&gt;"",IF('POINTAGE'!X117="Présent",'POINTAGE'!Y117,0),0),IF('POINTAGE'!$Z$5&lt;&gt;"",IF('POINTAGE'!Z117="Présent",'POINTAGE'!AA117,0),0),IF('POINTAGE'!$AB$5&lt;&gt;"",IF('POINTAGE'!AB117="Présent",'POINTAGE'!AC117,0),0),IF('POINTAGE'!$AD$5&lt;&gt;"",IF('POINTAGE'!AD117="Présent",'POINTAGE'!AE117,0),0),IF('POINTAGE'!$AF$5&lt;&gt;"",IF('POINTAGE'!AF117="Présent",'POINTAGE'!AG117,0),0)))</f>
      </c>
      <c r="I117" s="24">
        <f>IF($A117="","",$F117*$D117)</f>
      </c>
      <c r="J117" s="24">
        <f>IF($A117="","",$H117*$E117)</f>
      </c>
      <c r="K117" s="25">
        <f>IF($A117="","",$I117+$J117)</f>
      </c>
      <c r="L117" s="18"/>
      <c r="M117" s="25">
        <f>IF($A117="","",MAX(0,$K117-$L117))</f>
      </c>
      <c r="N117" s="22">
        <f>IF($A117="","",SUM(IF('POINTAGE'!$AH$5&lt;&gt;"",--('POINTAGE'!AH117="Présent"),0),IF('POINTAGE'!$AJ$5&lt;&gt;"",--('POINTAGE'!AJ117="Présent"),0),IF('POINTAGE'!$AL$5&lt;&gt;"",--('POINTAGE'!AL117="Présent"),0),IF('POINTAGE'!$AN$5&lt;&gt;"",--('POINTAGE'!AN117="Présent"),0),IF('POINTAGE'!$AP$5&lt;&gt;"",--('POINTAGE'!AP117="Présent"),0),IF('POINTAGE'!$AR$5&lt;&gt;"",--('POINTAGE'!AR117="Présent"),0),IF('POINTAGE'!$AT$5&lt;&gt;"",--('POINTAGE'!AT117="Présent"),0),IF('POINTAGE'!$AV$5&lt;&gt;"",--('POINTAGE'!AV117="Présent"),0),IF('POINTAGE'!$AX$5&lt;&gt;"",--('POINTAGE'!AX117="Présent"),0),IF('POINTAGE'!$AZ$5&lt;&gt;"",--('POINTAGE'!AZ117="Présent"),0),IF('POINTAGE'!$BB$5&lt;&gt;"",--('POINTAGE'!BB117="Présent"),0),IF('POINTAGE'!$BD$5&lt;&gt;"",--('POINTAGE'!BD117="Présent"),0),IF('POINTAGE'!$BF$5&lt;&gt;"",--('POINTAGE'!BF117="Présent"),0),IF('POINTAGE'!$BH$5&lt;&gt;"",--('POINTAGE'!BH117="Présent"),0),IF('POINTAGE'!$BJ$5&lt;&gt;"",--('POINTAGE'!BJ117="Présent"),0),IF('POINTAGE'!$BL$5&lt;&gt;"",--('POINTAGE'!BL117="Présent"),0)))</f>
      </c>
      <c r="O117" s="22">
        <f>IF($A117="","",SUM(IF('POINTAGE'!$AH$5&lt;&gt;"",--('POINTAGE'!AH117="Absent"),0),IF('POINTAGE'!$AJ$5&lt;&gt;"",--('POINTAGE'!AJ117="Absent"),0),IF('POINTAGE'!$AL$5&lt;&gt;"",--('POINTAGE'!AL117="Absent"),0),IF('POINTAGE'!$AN$5&lt;&gt;"",--('POINTAGE'!AN117="Absent"),0),IF('POINTAGE'!$AP$5&lt;&gt;"",--('POINTAGE'!AP117="Absent"),0),IF('POINTAGE'!$AR$5&lt;&gt;"",--('POINTAGE'!AR117="Absent"),0),IF('POINTAGE'!$AT$5&lt;&gt;"",--('POINTAGE'!AT117="Absent"),0),IF('POINTAGE'!$AV$5&lt;&gt;"",--('POINTAGE'!AV117="Absent"),0),IF('POINTAGE'!$AX$5&lt;&gt;"",--('POINTAGE'!AX117="Absent"),0),IF('POINTAGE'!$AZ$5&lt;&gt;"",--('POINTAGE'!AZ117="Absent"),0),IF('POINTAGE'!$BB$5&lt;&gt;"",--('POINTAGE'!BB117="Absent"),0),IF('POINTAGE'!$BD$5&lt;&gt;"",--('POINTAGE'!BD117="Absent"),0),IF('POINTAGE'!$BF$5&lt;&gt;"",--('POINTAGE'!BF117="Absent"),0),IF('POINTAGE'!$BH$5&lt;&gt;"",--('POINTAGE'!BH117="Absent"),0),IF('POINTAGE'!$BJ$5&lt;&gt;"",--('POINTAGE'!BJ117="Absent"),0),IF('POINTAGE'!$BL$5&lt;&gt;"",--('POINTAGE'!BL117="Absent"),0)))</f>
      </c>
      <c r="P117" s="23">
        <f>IF($A117="","",SUM(IF('POINTAGE'!$AH$5&lt;&gt;"",IF('POINTAGE'!AH117="Présent",'POINTAGE'!AI117,0),0),IF('POINTAGE'!$AJ$5&lt;&gt;"",IF('POINTAGE'!AJ117="Présent",'POINTAGE'!AK117,0),0),IF('POINTAGE'!$AL$5&lt;&gt;"",IF('POINTAGE'!AL117="Présent",'POINTAGE'!AM117,0),0),IF('POINTAGE'!$AN$5&lt;&gt;"",IF('POINTAGE'!AN117="Présent",'POINTAGE'!AO117,0),0),IF('POINTAGE'!$AP$5&lt;&gt;"",IF('POINTAGE'!AP117="Présent",'POINTAGE'!AQ117,0),0),IF('POINTAGE'!$AR$5&lt;&gt;"",IF('POINTAGE'!AR117="Présent",'POINTAGE'!AS117,0),0),IF('POINTAGE'!$AT$5&lt;&gt;"",IF('POINTAGE'!AT117="Présent",'POINTAGE'!AU117,0),0),IF('POINTAGE'!$AV$5&lt;&gt;"",IF('POINTAGE'!AV117="Présent",'POINTAGE'!AW117,0),0),IF('POINTAGE'!$AX$5&lt;&gt;"",IF('POINTAGE'!AX117="Présent",'POINTAGE'!AY117,0),0),IF('POINTAGE'!$AZ$5&lt;&gt;"",IF('POINTAGE'!AZ117="Présent",'POINTAGE'!BA117,0),0),IF('POINTAGE'!$BB$5&lt;&gt;"",IF('POINTAGE'!BB117="Présent",'POINTAGE'!BC117,0),0),IF('POINTAGE'!$BD$5&lt;&gt;"",IF('POINTAGE'!BD117="Présent",'POINTAGE'!BE117,0),0),IF('POINTAGE'!$BF$5&lt;&gt;"",IF('POINTAGE'!BF117="Présent",'POINTAGE'!BG117,0),0),IF('POINTAGE'!$BH$5&lt;&gt;"",IF('POINTAGE'!BH117="Présent",'POINTAGE'!BI117,0),0),IF('POINTAGE'!$BJ$5&lt;&gt;"",IF('POINTAGE'!BJ117="Présent",'POINTAGE'!BK117,0),0),IF('POINTAGE'!$BL$5&lt;&gt;"",IF('POINTAGE'!BL117="Présent",'POINTAGE'!BM117,0),0)))</f>
      </c>
      <c r="Q117" s="24">
        <f>IF($A117="","",$N117*$D117)</f>
      </c>
      <c r="R117" s="24">
        <f>IF($A117="","",$P117*$E117)</f>
      </c>
      <c r="S117" s="25">
        <f>IF($A117="","",$Q117+$R117)</f>
      </c>
      <c r="T117" s="18"/>
      <c r="U117" s="25">
        <f>IF($A117="","",MAX(0,$S117-$T117))</f>
      </c>
      <c r="V117" s="25">
        <f>IF($A117="","",$K117+$S117)</f>
      </c>
      <c r="W117" s="24">
        <f>IF($A117="","",$L117+$T117)</f>
      </c>
      <c r="X117" s="25">
        <f>IF($A117="","",$M117+$U117)</f>
      </c>
      <c r="Y117" s="29">
        <f>IF($A117="","",$J117+$R117)</f>
      </c>
    </row>
    <row r="118">
      <c r="A118" s="20">
        <f>IF('POINTAGE'!A118="","",'POINTAGE'!A118)</f>
      </c>
      <c r="B118" s="19">
        <f>IF($A118="","",'POINTAGE'!B118)</f>
      </c>
      <c r="C118" s="20">
        <f>IF($A118="","",'POINTAGE'!C118)</f>
      </c>
      <c r="D118" s="24">
        <f>IF($A118="","",IFERROR(INDEX(Categories_Salaire,MATCH($C118,ListeCategories,0)),0))</f>
      </c>
      <c r="E118" s="24">
        <f>IF($A118="","",IF(IFERROR(INDEX(Categories_TauxHS,MATCH($C118,ListeCategories,0)),0)&gt;0,IFERROR(INDEX(Categories_TauxHS,MATCH($C118,ListeCategories,0)),0),TauxHSDefaut))</f>
      </c>
      <c r="F118" s="22">
        <f>IF($A118="","",SUM(IF('POINTAGE'!$D$5&lt;&gt;"",--('POINTAGE'!D118="Présent"),0),IF('POINTAGE'!$F$5&lt;&gt;"",--('POINTAGE'!F118="Présent"),0),IF('POINTAGE'!$H$5&lt;&gt;"",--('POINTAGE'!H118="Présent"),0),IF('POINTAGE'!$J$5&lt;&gt;"",--('POINTAGE'!J118="Présent"),0),IF('POINTAGE'!$L$5&lt;&gt;"",--('POINTAGE'!L118="Présent"),0),IF('POINTAGE'!$N$5&lt;&gt;"",--('POINTAGE'!N118="Présent"),0),IF('POINTAGE'!$P$5&lt;&gt;"",--('POINTAGE'!P118="Présent"),0),IF('POINTAGE'!$R$5&lt;&gt;"",--('POINTAGE'!R118="Présent"),0),IF('POINTAGE'!$T$5&lt;&gt;"",--('POINTAGE'!T118="Présent"),0),IF('POINTAGE'!$V$5&lt;&gt;"",--('POINTAGE'!V118="Présent"),0),IF('POINTAGE'!$X$5&lt;&gt;"",--('POINTAGE'!X118="Présent"),0),IF('POINTAGE'!$Z$5&lt;&gt;"",--('POINTAGE'!Z118="Présent"),0),IF('POINTAGE'!$AB$5&lt;&gt;"",--('POINTAGE'!AB118="Présent"),0),IF('POINTAGE'!$AD$5&lt;&gt;"",--('POINTAGE'!AD118="Présent"),0),IF('POINTAGE'!$AF$5&lt;&gt;"",--('POINTAGE'!AF118="Présent"),0)))</f>
      </c>
      <c r="G118" s="22">
        <f>IF($A118="","",SUM(IF('POINTAGE'!$D$5&lt;&gt;"",--('POINTAGE'!D118="Absent"),0),IF('POINTAGE'!$F$5&lt;&gt;"",--('POINTAGE'!F118="Absent"),0),IF('POINTAGE'!$H$5&lt;&gt;"",--('POINTAGE'!H118="Absent"),0),IF('POINTAGE'!$J$5&lt;&gt;"",--('POINTAGE'!J118="Absent"),0),IF('POINTAGE'!$L$5&lt;&gt;"",--('POINTAGE'!L118="Absent"),0),IF('POINTAGE'!$N$5&lt;&gt;"",--('POINTAGE'!N118="Absent"),0),IF('POINTAGE'!$P$5&lt;&gt;"",--('POINTAGE'!P118="Absent"),0),IF('POINTAGE'!$R$5&lt;&gt;"",--('POINTAGE'!R118="Absent"),0),IF('POINTAGE'!$T$5&lt;&gt;"",--('POINTAGE'!T118="Absent"),0),IF('POINTAGE'!$V$5&lt;&gt;"",--('POINTAGE'!V118="Absent"),0),IF('POINTAGE'!$X$5&lt;&gt;"",--('POINTAGE'!X118="Absent"),0),IF('POINTAGE'!$Z$5&lt;&gt;"",--('POINTAGE'!Z118="Absent"),0),IF('POINTAGE'!$AB$5&lt;&gt;"",--('POINTAGE'!AB118="Absent"),0),IF('POINTAGE'!$AD$5&lt;&gt;"",--('POINTAGE'!AD118="Absent"),0),IF('POINTAGE'!$AF$5&lt;&gt;"",--('POINTAGE'!AF118="Absent"),0)))</f>
      </c>
      <c r="H118" s="23">
        <f>IF($A118="","",SUM(IF('POINTAGE'!$D$5&lt;&gt;"",IF('POINTAGE'!D118="Présent",'POINTAGE'!E118,0),0),IF('POINTAGE'!$F$5&lt;&gt;"",IF('POINTAGE'!F118="Présent",'POINTAGE'!G118,0),0),IF('POINTAGE'!$H$5&lt;&gt;"",IF('POINTAGE'!H118="Présent",'POINTAGE'!I118,0),0),IF('POINTAGE'!$J$5&lt;&gt;"",IF('POINTAGE'!J118="Présent",'POINTAGE'!K118,0),0),IF('POINTAGE'!$L$5&lt;&gt;"",IF('POINTAGE'!L118="Présent",'POINTAGE'!M118,0),0),IF('POINTAGE'!$N$5&lt;&gt;"",IF('POINTAGE'!N118="Présent",'POINTAGE'!O118,0),0),IF('POINTAGE'!$P$5&lt;&gt;"",IF('POINTAGE'!P118="Présent",'POINTAGE'!Q118,0),0),IF('POINTAGE'!$R$5&lt;&gt;"",IF('POINTAGE'!R118="Présent",'POINTAGE'!S118,0),0),IF('POINTAGE'!$T$5&lt;&gt;"",IF('POINTAGE'!T118="Présent",'POINTAGE'!U118,0),0),IF('POINTAGE'!$V$5&lt;&gt;"",IF('POINTAGE'!V118="Présent",'POINTAGE'!W118,0),0),IF('POINTAGE'!$X$5&lt;&gt;"",IF('POINTAGE'!X118="Présent",'POINTAGE'!Y118,0),0),IF('POINTAGE'!$Z$5&lt;&gt;"",IF('POINTAGE'!Z118="Présent",'POINTAGE'!AA118,0),0),IF('POINTAGE'!$AB$5&lt;&gt;"",IF('POINTAGE'!AB118="Présent",'POINTAGE'!AC118,0),0),IF('POINTAGE'!$AD$5&lt;&gt;"",IF('POINTAGE'!AD118="Présent",'POINTAGE'!AE118,0),0),IF('POINTAGE'!$AF$5&lt;&gt;"",IF('POINTAGE'!AF118="Présent",'POINTAGE'!AG118,0),0)))</f>
      </c>
      <c r="I118" s="24">
        <f>IF($A118="","",$F118*$D118)</f>
      </c>
      <c r="J118" s="24">
        <f>IF($A118="","",$H118*$E118)</f>
      </c>
      <c r="K118" s="25">
        <f>IF($A118="","",$I118+$J118)</f>
      </c>
      <c r="L118" s="18"/>
      <c r="M118" s="25">
        <f>IF($A118="","",MAX(0,$K118-$L118))</f>
      </c>
      <c r="N118" s="22">
        <f>IF($A118="","",SUM(IF('POINTAGE'!$AH$5&lt;&gt;"",--('POINTAGE'!AH118="Présent"),0),IF('POINTAGE'!$AJ$5&lt;&gt;"",--('POINTAGE'!AJ118="Présent"),0),IF('POINTAGE'!$AL$5&lt;&gt;"",--('POINTAGE'!AL118="Présent"),0),IF('POINTAGE'!$AN$5&lt;&gt;"",--('POINTAGE'!AN118="Présent"),0),IF('POINTAGE'!$AP$5&lt;&gt;"",--('POINTAGE'!AP118="Présent"),0),IF('POINTAGE'!$AR$5&lt;&gt;"",--('POINTAGE'!AR118="Présent"),0),IF('POINTAGE'!$AT$5&lt;&gt;"",--('POINTAGE'!AT118="Présent"),0),IF('POINTAGE'!$AV$5&lt;&gt;"",--('POINTAGE'!AV118="Présent"),0),IF('POINTAGE'!$AX$5&lt;&gt;"",--('POINTAGE'!AX118="Présent"),0),IF('POINTAGE'!$AZ$5&lt;&gt;"",--('POINTAGE'!AZ118="Présent"),0),IF('POINTAGE'!$BB$5&lt;&gt;"",--('POINTAGE'!BB118="Présent"),0),IF('POINTAGE'!$BD$5&lt;&gt;"",--('POINTAGE'!BD118="Présent"),0),IF('POINTAGE'!$BF$5&lt;&gt;"",--('POINTAGE'!BF118="Présent"),0),IF('POINTAGE'!$BH$5&lt;&gt;"",--('POINTAGE'!BH118="Présent"),0),IF('POINTAGE'!$BJ$5&lt;&gt;"",--('POINTAGE'!BJ118="Présent"),0),IF('POINTAGE'!$BL$5&lt;&gt;"",--('POINTAGE'!BL118="Présent"),0)))</f>
      </c>
      <c r="O118" s="22">
        <f>IF($A118="","",SUM(IF('POINTAGE'!$AH$5&lt;&gt;"",--('POINTAGE'!AH118="Absent"),0),IF('POINTAGE'!$AJ$5&lt;&gt;"",--('POINTAGE'!AJ118="Absent"),0),IF('POINTAGE'!$AL$5&lt;&gt;"",--('POINTAGE'!AL118="Absent"),0),IF('POINTAGE'!$AN$5&lt;&gt;"",--('POINTAGE'!AN118="Absent"),0),IF('POINTAGE'!$AP$5&lt;&gt;"",--('POINTAGE'!AP118="Absent"),0),IF('POINTAGE'!$AR$5&lt;&gt;"",--('POINTAGE'!AR118="Absent"),0),IF('POINTAGE'!$AT$5&lt;&gt;"",--('POINTAGE'!AT118="Absent"),0),IF('POINTAGE'!$AV$5&lt;&gt;"",--('POINTAGE'!AV118="Absent"),0),IF('POINTAGE'!$AX$5&lt;&gt;"",--('POINTAGE'!AX118="Absent"),0),IF('POINTAGE'!$AZ$5&lt;&gt;"",--('POINTAGE'!AZ118="Absent"),0),IF('POINTAGE'!$BB$5&lt;&gt;"",--('POINTAGE'!BB118="Absent"),0),IF('POINTAGE'!$BD$5&lt;&gt;"",--('POINTAGE'!BD118="Absent"),0),IF('POINTAGE'!$BF$5&lt;&gt;"",--('POINTAGE'!BF118="Absent"),0),IF('POINTAGE'!$BH$5&lt;&gt;"",--('POINTAGE'!BH118="Absent"),0),IF('POINTAGE'!$BJ$5&lt;&gt;"",--('POINTAGE'!BJ118="Absent"),0),IF('POINTAGE'!$BL$5&lt;&gt;"",--('POINTAGE'!BL118="Absent"),0)))</f>
      </c>
      <c r="P118" s="23">
        <f>IF($A118="","",SUM(IF('POINTAGE'!$AH$5&lt;&gt;"",IF('POINTAGE'!AH118="Présent",'POINTAGE'!AI118,0),0),IF('POINTAGE'!$AJ$5&lt;&gt;"",IF('POINTAGE'!AJ118="Présent",'POINTAGE'!AK118,0),0),IF('POINTAGE'!$AL$5&lt;&gt;"",IF('POINTAGE'!AL118="Présent",'POINTAGE'!AM118,0),0),IF('POINTAGE'!$AN$5&lt;&gt;"",IF('POINTAGE'!AN118="Présent",'POINTAGE'!AO118,0),0),IF('POINTAGE'!$AP$5&lt;&gt;"",IF('POINTAGE'!AP118="Présent",'POINTAGE'!AQ118,0),0),IF('POINTAGE'!$AR$5&lt;&gt;"",IF('POINTAGE'!AR118="Présent",'POINTAGE'!AS118,0),0),IF('POINTAGE'!$AT$5&lt;&gt;"",IF('POINTAGE'!AT118="Présent",'POINTAGE'!AU118,0),0),IF('POINTAGE'!$AV$5&lt;&gt;"",IF('POINTAGE'!AV118="Présent",'POINTAGE'!AW118,0),0),IF('POINTAGE'!$AX$5&lt;&gt;"",IF('POINTAGE'!AX118="Présent",'POINTAGE'!AY118,0),0),IF('POINTAGE'!$AZ$5&lt;&gt;"",IF('POINTAGE'!AZ118="Présent",'POINTAGE'!BA118,0),0),IF('POINTAGE'!$BB$5&lt;&gt;"",IF('POINTAGE'!BB118="Présent",'POINTAGE'!BC118,0),0),IF('POINTAGE'!$BD$5&lt;&gt;"",IF('POINTAGE'!BD118="Présent",'POINTAGE'!BE118,0),0),IF('POINTAGE'!$BF$5&lt;&gt;"",IF('POINTAGE'!BF118="Présent",'POINTAGE'!BG118,0),0),IF('POINTAGE'!$BH$5&lt;&gt;"",IF('POINTAGE'!BH118="Présent",'POINTAGE'!BI118,0),0),IF('POINTAGE'!$BJ$5&lt;&gt;"",IF('POINTAGE'!BJ118="Présent",'POINTAGE'!BK118,0),0),IF('POINTAGE'!$BL$5&lt;&gt;"",IF('POINTAGE'!BL118="Présent",'POINTAGE'!BM118,0),0)))</f>
      </c>
      <c r="Q118" s="24">
        <f>IF($A118="","",$N118*$D118)</f>
      </c>
      <c r="R118" s="24">
        <f>IF($A118="","",$P118*$E118)</f>
      </c>
      <c r="S118" s="25">
        <f>IF($A118="","",$Q118+$R118)</f>
      </c>
      <c r="T118" s="18"/>
      <c r="U118" s="25">
        <f>IF($A118="","",MAX(0,$S118-$T118))</f>
      </c>
      <c r="V118" s="25">
        <f>IF($A118="","",$K118+$S118)</f>
      </c>
      <c r="W118" s="24">
        <f>IF($A118="","",$L118+$T118)</f>
      </c>
      <c r="X118" s="25">
        <f>IF($A118="","",$M118+$U118)</f>
      </c>
      <c r="Y118" s="29">
        <f>IF($A118="","",$J118+$R118)</f>
      </c>
    </row>
    <row r="119">
      <c r="A119" s="20">
        <f>IF('POINTAGE'!A119="","",'POINTAGE'!A119)</f>
      </c>
      <c r="B119" s="19">
        <f>IF($A119="","",'POINTAGE'!B119)</f>
      </c>
      <c r="C119" s="20">
        <f>IF($A119="","",'POINTAGE'!C119)</f>
      </c>
      <c r="D119" s="24">
        <f>IF($A119="","",IFERROR(INDEX(Categories_Salaire,MATCH($C119,ListeCategories,0)),0))</f>
      </c>
      <c r="E119" s="24">
        <f>IF($A119="","",IF(IFERROR(INDEX(Categories_TauxHS,MATCH($C119,ListeCategories,0)),0)&gt;0,IFERROR(INDEX(Categories_TauxHS,MATCH($C119,ListeCategories,0)),0),TauxHSDefaut))</f>
      </c>
      <c r="F119" s="22">
        <f>IF($A119="","",SUM(IF('POINTAGE'!$D$5&lt;&gt;"",--('POINTAGE'!D119="Présent"),0),IF('POINTAGE'!$F$5&lt;&gt;"",--('POINTAGE'!F119="Présent"),0),IF('POINTAGE'!$H$5&lt;&gt;"",--('POINTAGE'!H119="Présent"),0),IF('POINTAGE'!$J$5&lt;&gt;"",--('POINTAGE'!J119="Présent"),0),IF('POINTAGE'!$L$5&lt;&gt;"",--('POINTAGE'!L119="Présent"),0),IF('POINTAGE'!$N$5&lt;&gt;"",--('POINTAGE'!N119="Présent"),0),IF('POINTAGE'!$P$5&lt;&gt;"",--('POINTAGE'!P119="Présent"),0),IF('POINTAGE'!$R$5&lt;&gt;"",--('POINTAGE'!R119="Présent"),0),IF('POINTAGE'!$T$5&lt;&gt;"",--('POINTAGE'!T119="Présent"),0),IF('POINTAGE'!$V$5&lt;&gt;"",--('POINTAGE'!V119="Présent"),0),IF('POINTAGE'!$X$5&lt;&gt;"",--('POINTAGE'!X119="Présent"),0),IF('POINTAGE'!$Z$5&lt;&gt;"",--('POINTAGE'!Z119="Présent"),0),IF('POINTAGE'!$AB$5&lt;&gt;"",--('POINTAGE'!AB119="Présent"),0),IF('POINTAGE'!$AD$5&lt;&gt;"",--('POINTAGE'!AD119="Présent"),0),IF('POINTAGE'!$AF$5&lt;&gt;"",--('POINTAGE'!AF119="Présent"),0)))</f>
      </c>
      <c r="G119" s="22">
        <f>IF($A119="","",SUM(IF('POINTAGE'!$D$5&lt;&gt;"",--('POINTAGE'!D119="Absent"),0),IF('POINTAGE'!$F$5&lt;&gt;"",--('POINTAGE'!F119="Absent"),0),IF('POINTAGE'!$H$5&lt;&gt;"",--('POINTAGE'!H119="Absent"),0),IF('POINTAGE'!$J$5&lt;&gt;"",--('POINTAGE'!J119="Absent"),0),IF('POINTAGE'!$L$5&lt;&gt;"",--('POINTAGE'!L119="Absent"),0),IF('POINTAGE'!$N$5&lt;&gt;"",--('POINTAGE'!N119="Absent"),0),IF('POINTAGE'!$P$5&lt;&gt;"",--('POINTAGE'!P119="Absent"),0),IF('POINTAGE'!$R$5&lt;&gt;"",--('POINTAGE'!R119="Absent"),0),IF('POINTAGE'!$T$5&lt;&gt;"",--('POINTAGE'!T119="Absent"),0),IF('POINTAGE'!$V$5&lt;&gt;"",--('POINTAGE'!V119="Absent"),0),IF('POINTAGE'!$X$5&lt;&gt;"",--('POINTAGE'!X119="Absent"),0),IF('POINTAGE'!$Z$5&lt;&gt;"",--('POINTAGE'!Z119="Absent"),0),IF('POINTAGE'!$AB$5&lt;&gt;"",--('POINTAGE'!AB119="Absent"),0),IF('POINTAGE'!$AD$5&lt;&gt;"",--('POINTAGE'!AD119="Absent"),0),IF('POINTAGE'!$AF$5&lt;&gt;"",--('POINTAGE'!AF119="Absent"),0)))</f>
      </c>
      <c r="H119" s="23">
        <f>IF($A119="","",SUM(IF('POINTAGE'!$D$5&lt;&gt;"",IF('POINTAGE'!D119="Présent",'POINTAGE'!E119,0),0),IF('POINTAGE'!$F$5&lt;&gt;"",IF('POINTAGE'!F119="Présent",'POINTAGE'!G119,0),0),IF('POINTAGE'!$H$5&lt;&gt;"",IF('POINTAGE'!H119="Présent",'POINTAGE'!I119,0),0),IF('POINTAGE'!$J$5&lt;&gt;"",IF('POINTAGE'!J119="Présent",'POINTAGE'!K119,0),0),IF('POINTAGE'!$L$5&lt;&gt;"",IF('POINTAGE'!L119="Présent",'POINTAGE'!M119,0),0),IF('POINTAGE'!$N$5&lt;&gt;"",IF('POINTAGE'!N119="Présent",'POINTAGE'!O119,0),0),IF('POINTAGE'!$P$5&lt;&gt;"",IF('POINTAGE'!P119="Présent",'POINTAGE'!Q119,0),0),IF('POINTAGE'!$R$5&lt;&gt;"",IF('POINTAGE'!R119="Présent",'POINTAGE'!S119,0),0),IF('POINTAGE'!$T$5&lt;&gt;"",IF('POINTAGE'!T119="Présent",'POINTAGE'!U119,0),0),IF('POINTAGE'!$V$5&lt;&gt;"",IF('POINTAGE'!V119="Présent",'POINTAGE'!W119,0),0),IF('POINTAGE'!$X$5&lt;&gt;"",IF('POINTAGE'!X119="Présent",'POINTAGE'!Y119,0),0),IF('POINTAGE'!$Z$5&lt;&gt;"",IF('POINTAGE'!Z119="Présent",'POINTAGE'!AA119,0),0),IF('POINTAGE'!$AB$5&lt;&gt;"",IF('POINTAGE'!AB119="Présent",'POINTAGE'!AC119,0),0),IF('POINTAGE'!$AD$5&lt;&gt;"",IF('POINTAGE'!AD119="Présent",'POINTAGE'!AE119,0),0),IF('POINTAGE'!$AF$5&lt;&gt;"",IF('POINTAGE'!AF119="Présent",'POINTAGE'!AG119,0),0)))</f>
      </c>
      <c r="I119" s="24">
        <f>IF($A119="","",$F119*$D119)</f>
      </c>
      <c r="J119" s="24">
        <f>IF($A119="","",$H119*$E119)</f>
      </c>
      <c r="K119" s="25">
        <f>IF($A119="","",$I119+$J119)</f>
      </c>
      <c r="L119" s="18"/>
      <c r="M119" s="25">
        <f>IF($A119="","",MAX(0,$K119-$L119))</f>
      </c>
      <c r="N119" s="22">
        <f>IF($A119="","",SUM(IF('POINTAGE'!$AH$5&lt;&gt;"",--('POINTAGE'!AH119="Présent"),0),IF('POINTAGE'!$AJ$5&lt;&gt;"",--('POINTAGE'!AJ119="Présent"),0),IF('POINTAGE'!$AL$5&lt;&gt;"",--('POINTAGE'!AL119="Présent"),0),IF('POINTAGE'!$AN$5&lt;&gt;"",--('POINTAGE'!AN119="Présent"),0),IF('POINTAGE'!$AP$5&lt;&gt;"",--('POINTAGE'!AP119="Présent"),0),IF('POINTAGE'!$AR$5&lt;&gt;"",--('POINTAGE'!AR119="Présent"),0),IF('POINTAGE'!$AT$5&lt;&gt;"",--('POINTAGE'!AT119="Présent"),0),IF('POINTAGE'!$AV$5&lt;&gt;"",--('POINTAGE'!AV119="Présent"),0),IF('POINTAGE'!$AX$5&lt;&gt;"",--('POINTAGE'!AX119="Présent"),0),IF('POINTAGE'!$AZ$5&lt;&gt;"",--('POINTAGE'!AZ119="Présent"),0),IF('POINTAGE'!$BB$5&lt;&gt;"",--('POINTAGE'!BB119="Présent"),0),IF('POINTAGE'!$BD$5&lt;&gt;"",--('POINTAGE'!BD119="Présent"),0),IF('POINTAGE'!$BF$5&lt;&gt;"",--('POINTAGE'!BF119="Présent"),0),IF('POINTAGE'!$BH$5&lt;&gt;"",--('POINTAGE'!BH119="Présent"),0),IF('POINTAGE'!$BJ$5&lt;&gt;"",--('POINTAGE'!BJ119="Présent"),0),IF('POINTAGE'!$BL$5&lt;&gt;"",--('POINTAGE'!BL119="Présent"),0)))</f>
      </c>
      <c r="O119" s="22">
        <f>IF($A119="","",SUM(IF('POINTAGE'!$AH$5&lt;&gt;"",--('POINTAGE'!AH119="Absent"),0),IF('POINTAGE'!$AJ$5&lt;&gt;"",--('POINTAGE'!AJ119="Absent"),0),IF('POINTAGE'!$AL$5&lt;&gt;"",--('POINTAGE'!AL119="Absent"),0),IF('POINTAGE'!$AN$5&lt;&gt;"",--('POINTAGE'!AN119="Absent"),0),IF('POINTAGE'!$AP$5&lt;&gt;"",--('POINTAGE'!AP119="Absent"),0),IF('POINTAGE'!$AR$5&lt;&gt;"",--('POINTAGE'!AR119="Absent"),0),IF('POINTAGE'!$AT$5&lt;&gt;"",--('POINTAGE'!AT119="Absent"),0),IF('POINTAGE'!$AV$5&lt;&gt;"",--('POINTAGE'!AV119="Absent"),0),IF('POINTAGE'!$AX$5&lt;&gt;"",--('POINTAGE'!AX119="Absent"),0),IF('POINTAGE'!$AZ$5&lt;&gt;"",--('POINTAGE'!AZ119="Absent"),0),IF('POINTAGE'!$BB$5&lt;&gt;"",--('POINTAGE'!BB119="Absent"),0),IF('POINTAGE'!$BD$5&lt;&gt;"",--('POINTAGE'!BD119="Absent"),0),IF('POINTAGE'!$BF$5&lt;&gt;"",--('POINTAGE'!BF119="Absent"),0),IF('POINTAGE'!$BH$5&lt;&gt;"",--('POINTAGE'!BH119="Absent"),0),IF('POINTAGE'!$BJ$5&lt;&gt;"",--('POINTAGE'!BJ119="Absent"),0),IF('POINTAGE'!$BL$5&lt;&gt;"",--('POINTAGE'!BL119="Absent"),0)))</f>
      </c>
      <c r="P119" s="23">
        <f>IF($A119="","",SUM(IF('POINTAGE'!$AH$5&lt;&gt;"",IF('POINTAGE'!AH119="Présent",'POINTAGE'!AI119,0),0),IF('POINTAGE'!$AJ$5&lt;&gt;"",IF('POINTAGE'!AJ119="Présent",'POINTAGE'!AK119,0),0),IF('POINTAGE'!$AL$5&lt;&gt;"",IF('POINTAGE'!AL119="Présent",'POINTAGE'!AM119,0),0),IF('POINTAGE'!$AN$5&lt;&gt;"",IF('POINTAGE'!AN119="Présent",'POINTAGE'!AO119,0),0),IF('POINTAGE'!$AP$5&lt;&gt;"",IF('POINTAGE'!AP119="Présent",'POINTAGE'!AQ119,0),0),IF('POINTAGE'!$AR$5&lt;&gt;"",IF('POINTAGE'!AR119="Présent",'POINTAGE'!AS119,0),0),IF('POINTAGE'!$AT$5&lt;&gt;"",IF('POINTAGE'!AT119="Présent",'POINTAGE'!AU119,0),0),IF('POINTAGE'!$AV$5&lt;&gt;"",IF('POINTAGE'!AV119="Présent",'POINTAGE'!AW119,0),0),IF('POINTAGE'!$AX$5&lt;&gt;"",IF('POINTAGE'!AX119="Présent",'POINTAGE'!AY119,0),0),IF('POINTAGE'!$AZ$5&lt;&gt;"",IF('POINTAGE'!AZ119="Présent",'POINTAGE'!BA119,0),0),IF('POINTAGE'!$BB$5&lt;&gt;"",IF('POINTAGE'!BB119="Présent",'POINTAGE'!BC119,0),0),IF('POINTAGE'!$BD$5&lt;&gt;"",IF('POINTAGE'!BD119="Présent",'POINTAGE'!BE119,0),0),IF('POINTAGE'!$BF$5&lt;&gt;"",IF('POINTAGE'!BF119="Présent",'POINTAGE'!BG119,0),0),IF('POINTAGE'!$BH$5&lt;&gt;"",IF('POINTAGE'!BH119="Présent",'POINTAGE'!BI119,0),0),IF('POINTAGE'!$BJ$5&lt;&gt;"",IF('POINTAGE'!BJ119="Présent",'POINTAGE'!BK119,0),0),IF('POINTAGE'!$BL$5&lt;&gt;"",IF('POINTAGE'!BL119="Présent",'POINTAGE'!BM119,0),0)))</f>
      </c>
      <c r="Q119" s="24">
        <f>IF($A119="","",$N119*$D119)</f>
      </c>
      <c r="R119" s="24">
        <f>IF($A119="","",$P119*$E119)</f>
      </c>
      <c r="S119" s="25">
        <f>IF($A119="","",$Q119+$R119)</f>
      </c>
      <c r="T119" s="18"/>
      <c r="U119" s="25">
        <f>IF($A119="","",MAX(0,$S119-$T119))</f>
      </c>
      <c r="V119" s="25">
        <f>IF($A119="","",$K119+$S119)</f>
      </c>
      <c r="W119" s="24">
        <f>IF($A119="","",$L119+$T119)</f>
      </c>
      <c r="X119" s="25">
        <f>IF($A119="","",$M119+$U119)</f>
      </c>
      <c r="Y119" s="29">
        <f>IF($A119="","",$J119+$R119)</f>
      </c>
    </row>
    <row r="120">
      <c r="A120" s="20">
        <f>IF('POINTAGE'!A120="","",'POINTAGE'!A120)</f>
      </c>
      <c r="B120" s="19">
        <f>IF($A120="","",'POINTAGE'!B120)</f>
      </c>
      <c r="C120" s="20">
        <f>IF($A120="","",'POINTAGE'!C120)</f>
      </c>
      <c r="D120" s="24">
        <f>IF($A120="","",IFERROR(INDEX(Categories_Salaire,MATCH($C120,ListeCategories,0)),0))</f>
      </c>
      <c r="E120" s="24">
        <f>IF($A120="","",IF(IFERROR(INDEX(Categories_TauxHS,MATCH($C120,ListeCategories,0)),0)&gt;0,IFERROR(INDEX(Categories_TauxHS,MATCH($C120,ListeCategories,0)),0),TauxHSDefaut))</f>
      </c>
      <c r="F120" s="22">
        <f>IF($A120="","",SUM(IF('POINTAGE'!$D$5&lt;&gt;"",--('POINTAGE'!D120="Présent"),0),IF('POINTAGE'!$F$5&lt;&gt;"",--('POINTAGE'!F120="Présent"),0),IF('POINTAGE'!$H$5&lt;&gt;"",--('POINTAGE'!H120="Présent"),0),IF('POINTAGE'!$J$5&lt;&gt;"",--('POINTAGE'!J120="Présent"),0),IF('POINTAGE'!$L$5&lt;&gt;"",--('POINTAGE'!L120="Présent"),0),IF('POINTAGE'!$N$5&lt;&gt;"",--('POINTAGE'!N120="Présent"),0),IF('POINTAGE'!$P$5&lt;&gt;"",--('POINTAGE'!P120="Présent"),0),IF('POINTAGE'!$R$5&lt;&gt;"",--('POINTAGE'!R120="Présent"),0),IF('POINTAGE'!$T$5&lt;&gt;"",--('POINTAGE'!T120="Présent"),0),IF('POINTAGE'!$V$5&lt;&gt;"",--('POINTAGE'!V120="Présent"),0),IF('POINTAGE'!$X$5&lt;&gt;"",--('POINTAGE'!X120="Présent"),0),IF('POINTAGE'!$Z$5&lt;&gt;"",--('POINTAGE'!Z120="Présent"),0),IF('POINTAGE'!$AB$5&lt;&gt;"",--('POINTAGE'!AB120="Présent"),0),IF('POINTAGE'!$AD$5&lt;&gt;"",--('POINTAGE'!AD120="Présent"),0),IF('POINTAGE'!$AF$5&lt;&gt;"",--('POINTAGE'!AF120="Présent"),0)))</f>
      </c>
      <c r="G120" s="22">
        <f>IF($A120="","",SUM(IF('POINTAGE'!$D$5&lt;&gt;"",--('POINTAGE'!D120="Absent"),0),IF('POINTAGE'!$F$5&lt;&gt;"",--('POINTAGE'!F120="Absent"),0),IF('POINTAGE'!$H$5&lt;&gt;"",--('POINTAGE'!H120="Absent"),0),IF('POINTAGE'!$J$5&lt;&gt;"",--('POINTAGE'!J120="Absent"),0),IF('POINTAGE'!$L$5&lt;&gt;"",--('POINTAGE'!L120="Absent"),0),IF('POINTAGE'!$N$5&lt;&gt;"",--('POINTAGE'!N120="Absent"),0),IF('POINTAGE'!$P$5&lt;&gt;"",--('POINTAGE'!P120="Absent"),0),IF('POINTAGE'!$R$5&lt;&gt;"",--('POINTAGE'!R120="Absent"),0),IF('POINTAGE'!$T$5&lt;&gt;"",--('POINTAGE'!T120="Absent"),0),IF('POINTAGE'!$V$5&lt;&gt;"",--('POINTAGE'!V120="Absent"),0),IF('POINTAGE'!$X$5&lt;&gt;"",--('POINTAGE'!X120="Absent"),0),IF('POINTAGE'!$Z$5&lt;&gt;"",--('POINTAGE'!Z120="Absent"),0),IF('POINTAGE'!$AB$5&lt;&gt;"",--('POINTAGE'!AB120="Absent"),0),IF('POINTAGE'!$AD$5&lt;&gt;"",--('POINTAGE'!AD120="Absent"),0),IF('POINTAGE'!$AF$5&lt;&gt;"",--('POINTAGE'!AF120="Absent"),0)))</f>
      </c>
      <c r="H120" s="23">
        <f>IF($A120="","",SUM(IF('POINTAGE'!$D$5&lt;&gt;"",IF('POINTAGE'!D120="Présent",'POINTAGE'!E120,0),0),IF('POINTAGE'!$F$5&lt;&gt;"",IF('POINTAGE'!F120="Présent",'POINTAGE'!G120,0),0),IF('POINTAGE'!$H$5&lt;&gt;"",IF('POINTAGE'!H120="Présent",'POINTAGE'!I120,0),0),IF('POINTAGE'!$J$5&lt;&gt;"",IF('POINTAGE'!J120="Présent",'POINTAGE'!K120,0),0),IF('POINTAGE'!$L$5&lt;&gt;"",IF('POINTAGE'!L120="Présent",'POINTAGE'!M120,0),0),IF('POINTAGE'!$N$5&lt;&gt;"",IF('POINTAGE'!N120="Présent",'POINTAGE'!O120,0),0),IF('POINTAGE'!$P$5&lt;&gt;"",IF('POINTAGE'!P120="Présent",'POINTAGE'!Q120,0),0),IF('POINTAGE'!$R$5&lt;&gt;"",IF('POINTAGE'!R120="Présent",'POINTAGE'!S120,0),0),IF('POINTAGE'!$T$5&lt;&gt;"",IF('POINTAGE'!T120="Présent",'POINTAGE'!U120,0),0),IF('POINTAGE'!$V$5&lt;&gt;"",IF('POINTAGE'!V120="Présent",'POINTAGE'!W120,0),0),IF('POINTAGE'!$X$5&lt;&gt;"",IF('POINTAGE'!X120="Présent",'POINTAGE'!Y120,0),0),IF('POINTAGE'!$Z$5&lt;&gt;"",IF('POINTAGE'!Z120="Présent",'POINTAGE'!AA120,0),0),IF('POINTAGE'!$AB$5&lt;&gt;"",IF('POINTAGE'!AB120="Présent",'POINTAGE'!AC120,0),0),IF('POINTAGE'!$AD$5&lt;&gt;"",IF('POINTAGE'!AD120="Présent",'POINTAGE'!AE120,0),0),IF('POINTAGE'!$AF$5&lt;&gt;"",IF('POINTAGE'!AF120="Présent",'POINTAGE'!AG120,0),0)))</f>
      </c>
      <c r="I120" s="24">
        <f>IF($A120="","",$F120*$D120)</f>
      </c>
      <c r="J120" s="24">
        <f>IF($A120="","",$H120*$E120)</f>
      </c>
      <c r="K120" s="25">
        <f>IF($A120="","",$I120+$J120)</f>
      </c>
      <c r="L120" s="18"/>
      <c r="M120" s="25">
        <f>IF($A120="","",MAX(0,$K120-$L120))</f>
      </c>
      <c r="N120" s="22">
        <f>IF($A120="","",SUM(IF('POINTAGE'!$AH$5&lt;&gt;"",--('POINTAGE'!AH120="Présent"),0),IF('POINTAGE'!$AJ$5&lt;&gt;"",--('POINTAGE'!AJ120="Présent"),0),IF('POINTAGE'!$AL$5&lt;&gt;"",--('POINTAGE'!AL120="Présent"),0),IF('POINTAGE'!$AN$5&lt;&gt;"",--('POINTAGE'!AN120="Présent"),0),IF('POINTAGE'!$AP$5&lt;&gt;"",--('POINTAGE'!AP120="Présent"),0),IF('POINTAGE'!$AR$5&lt;&gt;"",--('POINTAGE'!AR120="Présent"),0),IF('POINTAGE'!$AT$5&lt;&gt;"",--('POINTAGE'!AT120="Présent"),0),IF('POINTAGE'!$AV$5&lt;&gt;"",--('POINTAGE'!AV120="Présent"),0),IF('POINTAGE'!$AX$5&lt;&gt;"",--('POINTAGE'!AX120="Présent"),0),IF('POINTAGE'!$AZ$5&lt;&gt;"",--('POINTAGE'!AZ120="Présent"),0),IF('POINTAGE'!$BB$5&lt;&gt;"",--('POINTAGE'!BB120="Présent"),0),IF('POINTAGE'!$BD$5&lt;&gt;"",--('POINTAGE'!BD120="Présent"),0),IF('POINTAGE'!$BF$5&lt;&gt;"",--('POINTAGE'!BF120="Présent"),0),IF('POINTAGE'!$BH$5&lt;&gt;"",--('POINTAGE'!BH120="Présent"),0),IF('POINTAGE'!$BJ$5&lt;&gt;"",--('POINTAGE'!BJ120="Présent"),0),IF('POINTAGE'!$BL$5&lt;&gt;"",--('POINTAGE'!BL120="Présent"),0)))</f>
      </c>
      <c r="O120" s="22">
        <f>IF($A120="","",SUM(IF('POINTAGE'!$AH$5&lt;&gt;"",--('POINTAGE'!AH120="Absent"),0),IF('POINTAGE'!$AJ$5&lt;&gt;"",--('POINTAGE'!AJ120="Absent"),0),IF('POINTAGE'!$AL$5&lt;&gt;"",--('POINTAGE'!AL120="Absent"),0),IF('POINTAGE'!$AN$5&lt;&gt;"",--('POINTAGE'!AN120="Absent"),0),IF('POINTAGE'!$AP$5&lt;&gt;"",--('POINTAGE'!AP120="Absent"),0),IF('POINTAGE'!$AR$5&lt;&gt;"",--('POINTAGE'!AR120="Absent"),0),IF('POINTAGE'!$AT$5&lt;&gt;"",--('POINTAGE'!AT120="Absent"),0),IF('POINTAGE'!$AV$5&lt;&gt;"",--('POINTAGE'!AV120="Absent"),0),IF('POINTAGE'!$AX$5&lt;&gt;"",--('POINTAGE'!AX120="Absent"),0),IF('POINTAGE'!$AZ$5&lt;&gt;"",--('POINTAGE'!AZ120="Absent"),0),IF('POINTAGE'!$BB$5&lt;&gt;"",--('POINTAGE'!BB120="Absent"),0),IF('POINTAGE'!$BD$5&lt;&gt;"",--('POINTAGE'!BD120="Absent"),0),IF('POINTAGE'!$BF$5&lt;&gt;"",--('POINTAGE'!BF120="Absent"),0),IF('POINTAGE'!$BH$5&lt;&gt;"",--('POINTAGE'!BH120="Absent"),0),IF('POINTAGE'!$BJ$5&lt;&gt;"",--('POINTAGE'!BJ120="Absent"),0),IF('POINTAGE'!$BL$5&lt;&gt;"",--('POINTAGE'!BL120="Absent"),0)))</f>
      </c>
      <c r="P120" s="23">
        <f>IF($A120="","",SUM(IF('POINTAGE'!$AH$5&lt;&gt;"",IF('POINTAGE'!AH120="Présent",'POINTAGE'!AI120,0),0),IF('POINTAGE'!$AJ$5&lt;&gt;"",IF('POINTAGE'!AJ120="Présent",'POINTAGE'!AK120,0),0),IF('POINTAGE'!$AL$5&lt;&gt;"",IF('POINTAGE'!AL120="Présent",'POINTAGE'!AM120,0),0),IF('POINTAGE'!$AN$5&lt;&gt;"",IF('POINTAGE'!AN120="Présent",'POINTAGE'!AO120,0),0),IF('POINTAGE'!$AP$5&lt;&gt;"",IF('POINTAGE'!AP120="Présent",'POINTAGE'!AQ120,0),0),IF('POINTAGE'!$AR$5&lt;&gt;"",IF('POINTAGE'!AR120="Présent",'POINTAGE'!AS120,0),0),IF('POINTAGE'!$AT$5&lt;&gt;"",IF('POINTAGE'!AT120="Présent",'POINTAGE'!AU120,0),0),IF('POINTAGE'!$AV$5&lt;&gt;"",IF('POINTAGE'!AV120="Présent",'POINTAGE'!AW120,0),0),IF('POINTAGE'!$AX$5&lt;&gt;"",IF('POINTAGE'!AX120="Présent",'POINTAGE'!AY120,0),0),IF('POINTAGE'!$AZ$5&lt;&gt;"",IF('POINTAGE'!AZ120="Présent",'POINTAGE'!BA120,0),0),IF('POINTAGE'!$BB$5&lt;&gt;"",IF('POINTAGE'!BB120="Présent",'POINTAGE'!BC120,0),0),IF('POINTAGE'!$BD$5&lt;&gt;"",IF('POINTAGE'!BD120="Présent",'POINTAGE'!BE120,0),0),IF('POINTAGE'!$BF$5&lt;&gt;"",IF('POINTAGE'!BF120="Présent",'POINTAGE'!BG120,0),0),IF('POINTAGE'!$BH$5&lt;&gt;"",IF('POINTAGE'!BH120="Présent",'POINTAGE'!BI120,0),0),IF('POINTAGE'!$BJ$5&lt;&gt;"",IF('POINTAGE'!BJ120="Présent",'POINTAGE'!BK120,0),0),IF('POINTAGE'!$BL$5&lt;&gt;"",IF('POINTAGE'!BL120="Présent",'POINTAGE'!BM120,0),0)))</f>
      </c>
      <c r="Q120" s="24">
        <f>IF($A120="","",$N120*$D120)</f>
      </c>
      <c r="R120" s="24">
        <f>IF($A120="","",$P120*$E120)</f>
      </c>
      <c r="S120" s="25">
        <f>IF($A120="","",$Q120+$R120)</f>
      </c>
      <c r="T120" s="18"/>
      <c r="U120" s="25">
        <f>IF($A120="","",MAX(0,$S120-$T120))</f>
      </c>
      <c r="V120" s="25">
        <f>IF($A120="","",$K120+$S120)</f>
      </c>
      <c r="W120" s="24">
        <f>IF($A120="","",$L120+$T120)</f>
      </c>
      <c r="X120" s="25">
        <f>IF($A120="","",$M120+$U120)</f>
      </c>
      <c r="Y120" s="29">
        <f>IF($A120="","",$J120+$R120)</f>
      </c>
    </row>
    <row r="121">
      <c r="A121" s="20">
        <f>IF('POINTAGE'!A121="","",'POINTAGE'!A121)</f>
      </c>
      <c r="B121" s="19">
        <f>IF($A121="","",'POINTAGE'!B121)</f>
      </c>
      <c r="C121" s="20">
        <f>IF($A121="","",'POINTAGE'!C121)</f>
      </c>
      <c r="D121" s="24">
        <f>IF($A121="","",IFERROR(INDEX(Categories_Salaire,MATCH($C121,ListeCategories,0)),0))</f>
      </c>
      <c r="E121" s="24">
        <f>IF($A121="","",IF(IFERROR(INDEX(Categories_TauxHS,MATCH($C121,ListeCategories,0)),0)&gt;0,IFERROR(INDEX(Categories_TauxHS,MATCH($C121,ListeCategories,0)),0),TauxHSDefaut))</f>
      </c>
      <c r="F121" s="22">
        <f>IF($A121="","",SUM(IF('POINTAGE'!$D$5&lt;&gt;"",--('POINTAGE'!D121="Présent"),0),IF('POINTAGE'!$F$5&lt;&gt;"",--('POINTAGE'!F121="Présent"),0),IF('POINTAGE'!$H$5&lt;&gt;"",--('POINTAGE'!H121="Présent"),0),IF('POINTAGE'!$J$5&lt;&gt;"",--('POINTAGE'!J121="Présent"),0),IF('POINTAGE'!$L$5&lt;&gt;"",--('POINTAGE'!L121="Présent"),0),IF('POINTAGE'!$N$5&lt;&gt;"",--('POINTAGE'!N121="Présent"),0),IF('POINTAGE'!$P$5&lt;&gt;"",--('POINTAGE'!P121="Présent"),0),IF('POINTAGE'!$R$5&lt;&gt;"",--('POINTAGE'!R121="Présent"),0),IF('POINTAGE'!$T$5&lt;&gt;"",--('POINTAGE'!T121="Présent"),0),IF('POINTAGE'!$V$5&lt;&gt;"",--('POINTAGE'!V121="Présent"),0),IF('POINTAGE'!$X$5&lt;&gt;"",--('POINTAGE'!X121="Présent"),0),IF('POINTAGE'!$Z$5&lt;&gt;"",--('POINTAGE'!Z121="Présent"),0),IF('POINTAGE'!$AB$5&lt;&gt;"",--('POINTAGE'!AB121="Présent"),0),IF('POINTAGE'!$AD$5&lt;&gt;"",--('POINTAGE'!AD121="Présent"),0),IF('POINTAGE'!$AF$5&lt;&gt;"",--('POINTAGE'!AF121="Présent"),0)))</f>
      </c>
      <c r="G121" s="22">
        <f>IF($A121="","",SUM(IF('POINTAGE'!$D$5&lt;&gt;"",--('POINTAGE'!D121="Absent"),0),IF('POINTAGE'!$F$5&lt;&gt;"",--('POINTAGE'!F121="Absent"),0),IF('POINTAGE'!$H$5&lt;&gt;"",--('POINTAGE'!H121="Absent"),0),IF('POINTAGE'!$J$5&lt;&gt;"",--('POINTAGE'!J121="Absent"),0),IF('POINTAGE'!$L$5&lt;&gt;"",--('POINTAGE'!L121="Absent"),0),IF('POINTAGE'!$N$5&lt;&gt;"",--('POINTAGE'!N121="Absent"),0),IF('POINTAGE'!$P$5&lt;&gt;"",--('POINTAGE'!P121="Absent"),0),IF('POINTAGE'!$R$5&lt;&gt;"",--('POINTAGE'!R121="Absent"),0),IF('POINTAGE'!$T$5&lt;&gt;"",--('POINTAGE'!T121="Absent"),0),IF('POINTAGE'!$V$5&lt;&gt;"",--('POINTAGE'!V121="Absent"),0),IF('POINTAGE'!$X$5&lt;&gt;"",--('POINTAGE'!X121="Absent"),0),IF('POINTAGE'!$Z$5&lt;&gt;"",--('POINTAGE'!Z121="Absent"),0),IF('POINTAGE'!$AB$5&lt;&gt;"",--('POINTAGE'!AB121="Absent"),0),IF('POINTAGE'!$AD$5&lt;&gt;"",--('POINTAGE'!AD121="Absent"),0),IF('POINTAGE'!$AF$5&lt;&gt;"",--('POINTAGE'!AF121="Absent"),0)))</f>
      </c>
      <c r="H121" s="23">
        <f>IF($A121="","",SUM(IF('POINTAGE'!$D$5&lt;&gt;"",IF('POINTAGE'!D121="Présent",'POINTAGE'!E121,0),0),IF('POINTAGE'!$F$5&lt;&gt;"",IF('POINTAGE'!F121="Présent",'POINTAGE'!G121,0),0),IF('POINTAGE'!$H$5&lt;&gt;"",IF('POINTAGE'!H121="Présent",'POINTAGE'!I121,0),0),IF('POINTAGE'!$J$5&lt;&gt;"",IF('POINTAGE'!J121="Présent",'POINTAGE'!K121,0),0),IF('POINTAGE'!$L$5&lt;&gt;"",IF('POINTAGE'!L121="Présent",'POINTAGE'!M121,0),0),IF('POINTAGE'!$N$5&lt;&gt;"",IF('POINTAGE'!N121="Présent",'POINTAGE'!O121,0),0),IF('POINTAGE'!$P$5&lt;&gt;"",IF('POINTAGE'!P121="Présent",'POINTAGE'!Q121,0),0),IF('POINTAGE'!$R$5&lt;&gt;"",IF('POINTAGE'!R121="Présent",'POINTAGE'!S121,0),0),IF('POINTAGE'!$T$5&lt;&gt;"",IF('POINTAGE'!T121="Présent",'POINTAGE'!U121,0),0),IF('POINTAGE'!$V$5&lt;&gt;"",IF('POINTAGE'!V121="Présent",'POINTAGE'!W121,0),0),IF('POINTAGE'!$X$5&lt;&gt;"",IF('POINTAGE'!X121="Présent",'POINTAGE'!Y121,0),0),IF('POINTAGE'!$Z$5&lt;&gt;"",IF('POINTAGE'!Z121="Présent",'POINTAGE'!AA121,0),0),IF('POINTAGE'!$AB$5&lt;&gt;"",IF('POINTAGE'!AB121="Présent",'POINTAGE'!AC121,0),0),IF('POINTAGE'!$AD$5&lt;&gt;"",IF('POINTAGE'!AD121="Présent",'POINTAGE'!AE121,0),0),IF('POINTAGE'!$AF$5&lt;&gt;"",IF('POINTAGE'!AF121="Présent",'POINTAGE'!AG121,0),0)))</f>
      </c>
      <c r="I121" s="24">
        <f>IF($A121="","",$F121*$D121)</f>
      </c>
      <c r="J121" s="24">
        <f>IF($A121="","",$H121*$E121)</f>
      </c>
      <c r="K121" s="25">
        <f>IF($A121="","",$I121+$J121)</f>
      </c>
      <c r="L121" s="18"/>
      <c r="M121" s="25">
        <f>IF($A121="","",MAX(0,$K121-$L121))</f>
      </c>
      <c r="N121" s="22">
        <f>IF($A121="","",SUM(IF('POINTAGE'!$AH$5&lt;&gt;"",--('POINTAGE'!AH121="Présent"),0),IF('POINTAGE'!$AJ$5&lt;&gt;"",--('POINTAGE'!AJ121="Présent"),0),IF('POINTAGE'!$AL$5&lt;&gt;"",--('POINTAGE'!AL121="Présent"),0),IF('POINTAGE'!$AN$5&lt;&gt;"",--('POINTAGE'!AN121="Présent"),0),IF('POINTAGE'!$AP$5&lt;&gt;"",--('POINTAGE'!AP121="Présent"),0),IF('POINTAGE'!$AR$5&lt;&gt;"",--('POINTAGE'!AR121="Présent"),0),IF('POINTAGE'!$AT$5&lt;&gt;"",--('POINTAGE'!AT121="Présent"),0),IF('POINTAGE'!$AV$5&lt;&gt;"",--('POINTAGE'!AV121="Présent"),0),IF('POINTAGE'!$AX$5&lt;&gt;"",--('POINTAGE'!AX121="Présent"),0),IF('POINTAGE'!$AZ$5&lt;&gt;"",--('POINTAGE'!AZ121="Présent"),0),IF('POINTAGE'!$BB$5&lt;&gt;"",--('POINTAGE'!BB121="Présent"),0),IF('POINTAGE'!$BD$5&lt;&gt;"",--('POINTAGE'!BD121="Présent"),0),IF('POINTAGE'!$BF$5&lt;&gt;"",--('POINTAGE'!BF121="Présent"),0),IF('POINTAGE'!$BH$5&lt;&gt;"",--('POINTAGE'!BH121="Présent"),0),IF('POINTAGE'!$BJ$5&lt;&gt;"",--('POINTAGE'!BJ121="Présent"),0),IF('POINTAGE'!$BL$5&lt;&gt;"",--('POINTAGE'!BL121="Présent"),0)))</f>
      </c>
      <c r="O121" s="22">
        <f>IF($A121="","",SUM(IF('POINTAGE'!$AH$5&lt;&gt;"",--('POINTAGE'!AH121="Absent"),0),IF('POINTAGE'!$AJ$5&lt;&gt;"",--('POINTAGE'!AJ121="Absent"),0),IF('POINTAGE'!$AL$5&lt;&gt;"",--('POINTAGE'!AL121="Absent"),0),IF('POINTAGE'!$AN$5&lt;&gt;"",--('POINTAGE'!AN121="Absent"),0),IF('POINTAGE'!$AP$5&lt;&gt;"",--('POINTAGE'!AP121="Absent"),0),IF('POINTAGE'!$AR$5&lt;&gt;"",--('POINTAGE'!AR121="Absent"),0),IF('POINTAGE'!$AT$5&lt;&gt;"",--('POINTAGE'!AT121="Absent"),0),IF('POINTAGE'!$AV$5&lt;&gt;"",--('POINTAGE'!AV121="Absent"),0),IF('POINTAGE'!$AX$5&lt;&gt;"",--('POINTAGE'!AX121="Absent"),0),IF('POINTAGE'!$AZ$5&lt;&gt;"",--('POINTAGE'!AZ121="Absent"),0),IF('POINTAGE'!$BB$5&lt;&gt;"",--('POINTAGE'!BB121="Absent"),0),IF('POINTAGE'!$BD$5&lt;&gt;"",--('POINTAGE'!BD121="Absent"),0),IF('POINTAGE'!$BF$5&lt;&gt;"",--('POINTAGE'!BF121="Absent"),0),IF('POINTAGE'!$BH$5&lt;&gt;"",--('POINTAGE'!BH121="Absent"),0),IF('POINTAGE'!$BJ$5&lt;&gt;"",--('POINTAGE'!BJ121="Absent"),0),IF('POINTAGE'!$BL$5&lt;&gt;"",--('POINTAGE'!BL121="Absent"),0)))</f>
      </c>
      <c r="P121" s="23">
        <f>IF($A121="","",SUM(IF('POINTAGE'!$AH$5&lt;&gt;"",IF('POINTAGE'!AH121="Présent",'POINTAGE'!AI121,0),0),IF('POINTAGE'!$AJ$5&lt;&gt;"",IF('POINTAGE'!AJ121="Présent",'POINTAGE'!AK121,0),0),IF('POINTAGE'!$AL$5&lt;&gt;"",IF('POINTAGE'!AL121="Présent",'POINTAGE'!AM121,0),0),IF('POINTAGE'!$AN$5&lt;&gt;"",IF('POINTAGE'!AN121="Présent",'POINTAGE'!AO121,0),0),IF('POINTAGE'!$AP$5&lt;&gt;"",IF('POINTAGE'!AP121="Présent",'POINTAGE'!AQ121,0),0),IF('POINTAGE'!$AR$5&lt;&gt;"",IF('POINTAGE'!AR121="Présent",'POINTAGE'!AS121,0),0),IF('POINTAGE'!$AT$5&lt;&gt;"",IF('POINTAGE'!AT121="Présent",'POINTAGE'!AU121,0),0),IF('POINTAGE'!$AV$5&lt;&gt;"",IF('POINTAGE'!AV121="Présent",'POINTAGE'!AW121,0),0),IF('POINTAGE'!$AX$5&lt;&gt;"",IF('POINTAGE'!AX121="Présent",'POINTAGE'!AY121,0),0),IF('POINTAGE'!$AZ$5&lt;&gt;"",IF('POINTAGE'!AZ121="Présent",'POINTAGE'!BA121,0),0),IF('POINTAGE'!$BB$5&lt;&gt;"",IF('POINTAGE'!BB121="Présent",'POINTAGE'!BC121,0),0),IF('POINTAGE'!$BD$5&lt;&gt;"",IF('POINTAGE'!BD121="Présent",'POINTAGE'!BE121,0),0),IF('POINTAGE'!$BF$5&lt;&gt;"",IF('POINTAGE'!BF121="Présent",'POINTAGE'!BG121,0),0),IF('POINTAGE'!$BH$5&lt;&gt;"",IF('POINTAGE'!BH121="Présent",'POINTAGE'!BI121,0),0),IF('POINTAGE'!$BJ$5&lt;&gt;"",IF('POINTAGE'!BJ121="Présent",'POINTAGE'!BK121,0),0),IF('POINTAGE'!$BL$5&lt;&gt;"",IF('POINTAGE'!BL121="Présent",'POINTAGE'!BM121,0),0)))</f>
      </c>
      <c r="Q121" s="24">
        <f>IF($A121="","",$N121*$D121)</f>
      </c>
      <c r="R121" s="24">
        <f>IF($A121="","",$P121*$E121)</f>
      </c>
      <c r="S121" s="25">
        <f>IF($A121="","",$Q121+$R121)</f>
      </c>
      <c r="T121" s="18"/>
      <c r="U121" s="25">
        <f>IF($A121="","",MAX(0,$S121-$T121))</f>
      </c>
      <c r="V121" s="25">
        <f>IF($A121="","",$K121+$S121)</f>
      </c>
      <c r="W121" s="24">
        <f>IF($A121="","",$L121+$T121)</f>
      </c>
      <c r="X121" s="25">
        <f>IF($A121="","",$M121+$U121)</f>
      </c>
      <c r="Y121" s="29">
        <f>IF($A121="","",$J121+$R121)</f>
      </c>
    </row>
    <row r="122">
      <c r="A122" s="20">
        <f>IF('POINTAGE'!A122="","",'POINTAGE'!A122)</f>
      </c>
      <c r="B122" s="19">
        <f>IF($A122="","",'POINTAGE'!B122)</f>
      </c>
      <c r="C122" s="20">
        <f>IF($A122="","",'POINTAGE'!C122)</f>
      </c>
      <c r="D122" s="24">
        <f>IF($A122="","",IFERROR(INDEX(Categories_Salaire,MATCH($C122,ListeCategories,0)),0))</f>
      </c>
      <c r="E122" s="24">
        <f>IF($A122="","",IF(IFERROR(INDEX(Categories_TauxHS,MATCH($C122,ListeCategories,0)),0)&gt;0,IFERROR(INDEX(Categories_TauxHS,MATCH($C122,ListeCategories,0)),0),TauxHSDefaut))</f>
      </c>
      <c r="F122" s="22">
        <f>IF($A122="","",SUM(IF('POINTAGE'!$D$5&lt;&gt;"",--('POINTAGE'!D122="Présent"),0),IF('POINTAGE'!$F$5&lt;&gt;"",--('POINTAGE'!F122="Présent"),0),IF('POINTAGE'!$H$5&lt;&gt;"",--('POINTAGE'!H122="Présent"),0),IF('POINTAGE'!$J$5&lt;&gt;"",--('POINTAGE'!J122="Présent"),0),IF('POINTAGE'!$L$5&lt;&gt;"",--('POINTAGE'!L122="Présent"),0),IF('POINTAGE'!$N$5&lt;&gt;"",--('POINTAGE'!N122="Présent"),0),IF('POINTAGE'!$P$5&lt;&gt;"",--('POINTAGE'!P122="Présent"),0),IF('POINTAGE'!$R$5&lt;&gt;"",--('POINTAGE'!R122="Présent"),0),IF('POINTAGE'!$T$5&lt;&gt;"",--('POINTAGE'!T122="Présent"),0),IF('POINTAGE'!$V$5&lt;&gt;"",--('POINTAGE'!V122="Présent"),0),IF('POINTAGE'!$X$5&lt;&gt;"",--('POINTAGE'!X122="Présent"),0),IF('POINTAGE'!$Z$5&lt;&gt;"",--('POINTAGE'!Z122="Présent"),0),IF('POINTAGE'!$AB$5&lt;&gt;"",--('POINTAGE'!AB122="Présent"),0),IF('POINTAGE'!$AD$5&lt;&gt;"",--('POINTAGE'!AD122="Présent"),0),IF('POINTAGE'!$AF$5&lt;&gt;"",--('POINTAGE'!AF122="Présent"),0)))</f>
      </c>
      <c r="G122" s="22">
        <f>IF($A122="","",SUM(IF('POINTAGE'!$D$5&lt;&gt;"",--('POINTAGE'!D122="Absent"),0),IF('POINTAGE'!$F$5&lt;&gt;"",--('POINTAGE'!F122="Absent"),0),IF('POINTAGE'!$H$5&lt;&gt;"",--('POINTAGE'!H122="Absent"),0),IF('POINTAGE'!$J$5&lt;&gt;"",--('POINTAGE'!J122="Absent"),0),IF('POINTAGE'!$L$5&lt;&gt;"",--('POINTAGE'!L122="Absent"),0),IF('POINTAGE'!$N$5&lt;&gt;"",--('POINTAGE'!N122="Absent"),0),IF('POINTAGE'!$P$5&lt;&gt;"",--('POINTAGE'!P122="Absent"),0),IF('POINTAGE'!$R$5&lt;&gt;"",--('POINTAGE'!R122="Absent"),0),IF('POINTAGE'!$T$5&lt;&gt;"",--('POINTAGE'!T122="Absent"),0),IF('POINTAGE'!$V$5&lt;&gt;"",--('POINTAGE'!V122="Absent"),0),IF('POINTAGE'!$X$5&lt;&gt;"",--('POINTAGE'!X122="Absent"),0),IF('POINTAGE'!$Z$5&lt;&gt;"",--('POINTAGE'!Z122="Absent"),0),IF('POINTAGE'!$AB$5&lt;&gt;"",--('POINTAGE'!AB122="Absent"),0),IF('POINTAGE'!$AD$5&lt;&gt;"",--('POINTAGE'!AD122="Absent"),0),IF('POINTAGE'!$AF$5&lt;&gt;"",--('POINTAGE'!AF122="Absent"),0)))</f>
      </c>
      <c r="H122" s="23">
        <f>IF($A122="","",SUM(IF('POINTAGE'!$D$5&lt;&gt;"",IF('POINTAGE'!D122="Présent",'POINTAGE'!E122,0),0),IF('POINTAGE'!$F$5&lt;&gt;"",IF('POINTAGE'!F122="Présent",'POINTAGE'!G122,0),0),IF('POINTAGE'!$H$5&lt;&gt;"",IF('POINTAGE'!H122="Présent",'POINTAGE'!I122,0),0),IF('POINTAGE'!$J$5&lt;&gt;"",IF('POINTAGE'!J122="Présent",'POINTAGE'!K122,0),0),IF('POINTAGE'!$L$5&lt;&gt;"",IF('POINTAGE'!L122="Présent",'POINTAGE'!M122,0),0),IF('POINTAGE'!$N$5&lt;&gt;"",IF('POINTAGE'!N122="Présent",'POINTAGE'!O122,0),0),IF('POINTAGE'!$P$5&lt;&gt;"",IF('POINTAGE'!P122="Présent",'POINTAGE'!Q122,0),0),IF('POINTAGE'!$R$5&lt;&gt;"",IF('POINTAGE'!R122="Présent",'POINTAGE'!S122,0),0),IF('POINTAGE'!$T$5&lt;&gt;"",IF('POINTAGE'!T122="Présent",'POINTAGE'!U122,0),0),IF('POINTAGE'!$V$5&lt;&gt;"",IF('POINTAGE'!V122="Présent",'POINTAGE'!W122,0),0),IF('POINTAGE'!$X$5&lt;&gt;"",IF('POINTAGE'!X122="Présent",'POINTAGE'!Y122,0),0),IF('POINTAGE'!$Z$5&lt;&gt;"",IF('POINTAGE'!Z122="Présent",'POINTAGE'!AA122,0),0),IF('POINTAGE'!$AB$5&lt;&gt;"",IF('POINTAGE'!AB122="Présent",'POINTAGE'!AC122,0),0),IF('POINTAGE'!$AD$5&lt;&gt;"",IF('POINTAGE'!AD122="Présent",'POINTAGE'!AE122,0),0),IF('POINTAGE'!$AF$5&lt;&gt;"",IF('POINTAGE'!AF122="Présent",'POINTAGE'!AG122,0),0)))</f>
      </c>
      <c r="I122" s="24">
        <f>IF($A122="","",$F122*$D122)</f>
      </c>
      <c r="J122" s="24">
        <f>IF($A122="","",$H122*$E122)</f>
      </c>
      <c r="K122" s="25">
        <f>IF($A122="","",$I122+$J122)</f>
      </c>
      <c r="L122" s="18"/>
      <c r="M122" s="25">
        <f>IF($A122="","",MAX(0,$K122-$L122))</f>
      </c>
      <c r="N122" s="22">
        <f>IF($A122="","",SUM(IF('POINTAGE'!$AH$5&lt;&gt;"",--('POINTAGE'!AH122="Présent"),0),IF('POINTAGE'!$AJ$5&lt;&gt;"",--('POINTAGE'!AJ122="Présent"),0),IF('POINTAGE'!$AL$5&lt;&gt;"",--('POINTAGE'!AL122="Présent"),0),IF('POINTAGE'!$AN$5&lt;&gt;"",--('POINTAGE'!AN122="Présent"),0),IF('POINTAGE'!$AP$5&lt;&gt;"",--('POINTAGE'!AP122="Présent"),0),IF('POINTAGE'!$AR$5&lt;&gt;"",--('POINTAGE'!AR122="Présent"),0),IF('POINTAGE'!$AT$5&lt;&gt;"",--('POINTAGE'!AT122="Présent"),0),IF('POINTAGE'!$AV$5&lt;&gt;"",--('POINTAGE'!AV122="Présent"),0),IF('POINTAGE'!$AX$5&lt;&gt;"",--('POINTAGE'!AX122="Présent"),0),IF('POINTAGE'!$AZ$5&lt;&gt;"",--('POINTAGE'!AZ122="Présent"),0),IF('POINTAGE'!$BB$5&lt;&gt;"",--('POINTAGE'!BB122="Présent"),0),IF('POINTAGE'!$BD$5&lt;&gt;"",--('POINTAGE'!BD122="Présent"),0),IF('POINTAGE'!$BF$5&lt;&gt;"",--('POINTAGE'!BF122="Présent"),0),IF('POINTAGE'!$BH$5&lt;&gt;"",--('POINTAGE'!BH122="Présent"),0),IF('POINTAGE'!$BJ$5&lt;&gt;"",--('POINTAGE'!BJ122="Présent"),0),IF('POINTAGE'!$BL$5&lt;&gt;"",--('POINTAGE'!BL122="Présent"),0)))</f>
      </c>
      <c r="O122" s="22">
        <f>IF($A122="","",SUM(IF('POINTAGE'!$AH$5&lt;&gt;"",--('POINTAGE'!AH122="Absent"),0),IF('POINTAGE'!$AJ$5&lt;&gt;"",--('POINTAGE'!AJ122="Absent"),0),IF('POINTAGE'!$AL$5&lt;&gt;"",--('POINTAGE'!AL122="Absent"),0),IF('POINTAGE'!$AN$5&lt;&gt;"",--('POINTAGE'!AN122="Absent"),0),IF('POINTAGE'!$AP$5&lt;&gt;"",--('POINTAGE'!AP122="Absent"),0),IF('POINTAGE'!$AR$5&lt;&gt;"",--('POINTAGE'!AR122="Absent"),0),IF('POINTAGE'!$AT$5&lt;&gt;"",--('POINTAGE'!AT122="Absent"),0),IF('POINTAGE'!$AV$5&lt;&gt;"",--('POINTAGE'!AV122="Absent"),0),IF('POINTAGE'!$AX$5&lt;&gt;"",--('POINTAGE'!AX122="Absent"),0),IF('POINTAGE'!$AZ$5&lt;&gt;"",--('POINTAGE'!AZ122="Absent"),0),IF('POINTAGE'!$BB$5&lt;&gt;"",--('POINTAGE'!BB122="Absent"),0),IF('POINTAGE'!$BD$5&lt;&gt;"",--('POINTAGE'!BD122="Absent"),0),IF('POINTAGE'!$BF$5&lt;&gt;"",--('POINTAGE'!BF122="Absent"),0),IF('POINTAGE'!$BH$5&lt;&gt;"",--('POINTAGE'!BH122="Absent"),0),IF('POINTAGE'!$BJ$5&lt;&gt;"",--('POINTAGE'!BJ122="Absent"),0),IF('POINTAGE'!$BL$5&lt;&gt;"",--('POINTAGE'!BL122="Absent"),0)))</f>
      </c>
      <c r="P122" s="23">
        <f>IF($A122="","",SUM(IF('POINTAGE'!$AH$5&lt;&gt;"",IF('POINTAGE'!AH122="Présent",'POINTAGE'!AI122,0),0),IF('POINTAGE'!$AJ$5&lt;&gt;"",IF('POINTAGE'!AJ122="Présent",'POINTAGE'!AK122,0),0),IF('POINTAGE'!$AL$5&lt;&gt;"",IF('POINTAGE'!AL122="Présent",'POINTAGE'!AM122,0),0),IF('POINTAGE'!$AN$5&lt;&gt;"",IF('POINTAGE'!AN122="Présent",'POINTAGE'!AO122,0),0),IF('POINTAGE'!$AP$5&lt;&gt;"",IF('POINTAGE'!AP122="Présent",'POINTAGE'!AQ122,0),0),IF('POINTAGE'!$AR$5&lt;&gt;"",IF('POINTAGE'!AR122="Présent",'POINTAGE'!AS122,0),0),IF('POINTAGE'!$AT$5&lt;&gt;"",IF('POINTAGE'!AT122="Présent",'POINTAGE'!AU122,0),0),IF('POINTAGE'!$AV$5&lt;&gt;"",IF('POINTAGE'!AV122="Présent",'POINTAGE'!AW122,0),0),IF('POINTAGE'!$AX$5&lt;&gt;"",IF('POINTAGE'!AX122="Présent",'POINTAGE'!AY122,0),0),IF('POINTAGE'!$AZ$5&lt;&gt;"",IF('POINTAGE'!AZ122="Présent",'POINTAGE'!BA122,0),0),IF('POINTAGE'!$BB$5&lt;&gt;"",IF('POINTAGE'!BB122="Présent",'POINTAGE'!BC122,0),0),IF('POINTAGE'!$BD$5&lt;&gt;"",IF('POINTAGE'!BD122="Présent",'POINTAGE'!BE122,0),0),IF('POINTAGE'!$BF$5&lt;&gt;"",IF('POINTAGE'!BF122="Présent",'POINTAGE'!BG122,0),0),IF('POINTAGE'!$BH$5&lt;&gt;"",IF('POINTAGE'!BH122="Présent",'POINTAGE'!BI122,0),0),IF('POINTAGE'!$BJ$5&lt;&gt;"",IF('POINTAGE'!BJ122="Présent",'POINTAGE'!BK122,0),0),IF('POINTAGE'!$BL$5&lt;&gt;"",IF('POINTAGE'!BL122="Présent",'POINTAGE'!BM122,0),0)))</f>
      </c>
      <c r="Q122" s="24">
        <f>IF($A122="","",$N122*$D122)</f>
      </c>
      <c r="R122" s="24">
        <f>IF($A122="","",$P122*$E122)</f>
      </c>
      <c r="S122" s="25">
        <f>IF($A122="","",$Q122+$R122)</f>
      </c>
      <c r="T122" s="18"/>
      <c r="U122" s="25">
        <f>IF($A122="","",MAX(0,$S122-$T122))</f>
      </c>
      <c r="V122" s="25">
        <f>IF($A122="","",$K122+$S122)</f>
      </c>
      <c r="W122" s="24">
        <f>IF($A122="","",$L122+$T122)</f>
      </c>
      <c r="X122" s="25">
        <f>IF($A122="","",$M122+$U122)</f>
      </c>
      <c r="Y122" s="29">
        <f>IF($A122="","",$J122+$R122)</f>
      </c>
    </row>
    <row r="123">
      <c r="A123" s="20">
        <f>IF('POINTAGE'!A123="","",'POINTAGE'!A123)</f>
      </c>
      <c r="B123" s="19">
        <f>IF($A123="","",'POINTAGE'!B123)</f>
      </c>
      <c r="C123" s="20">
        <f>IF($A123="","",'POINTAGE'!C123)</f>
      </c>
      <c r="D123" s="24">
        <f>IF($A123="","",IFERROR(INDEX(Categories_Salaire,MATCH($C123,ListeCategories,0)),0))</f>
      </c>
      <c r="E123" s="24">
        <f>IF($A123="","",IF(IFERROR(INDEX(Categories_TauxHS,MATCH($C123,ListeCategories,0)),0)&gt;0,IFERROR(INDEX(Categories_TauxHS,MATCH($C123,ListeCategories,0)),0),TauxHSDefaut))</f>
      </c>
      <c r="F123" s="22">
        <f>IF($A123="","",SUM(IF('POINTAGE'!$D$5&lt;&gt;"",--('POINTAGE'!D123="Présent"),0),IF('POINTAGE'!$F$5&lt;&gt;"",--('POINTAGE'!F123="Présent"),0),IF('POINTAGE'!$H$5&lt;&gt;"",--('POINTAGE'!H123="Présent"),0),IF('POINTAGE'!$J$5&lt;&gt;"",--('POINTAGE'!J123="Présent"),0),IF('POINTAGE'!$L$5&lt;&gt;"",--('POINTAGE'!L123="Présent"),0),IF('POINTAGE'!$N$5&lt;&gt;"",--('POINTAGE'!N123="Présent"),0),IF('POINTAGE'!$P$5&lt;&gt;"",--('POINTAGE'!P123="Présent"),0),IF('POINTAGE'!$R$5&lt;&gt;"",--('POINTAGE'!R123="Présent"),0),IF('POINTAGE'!$T$5&lt;&gt;"",--('POINTAGE'!T123="Présent"),0),IF('POINTAGE'!$V$5&lt;&gt;"",--('POINTAGE'!V123="Présent"),0),IF('POINTAGE'!$X$5&lt;&gt;"",--('POINTAGE'!X123="Présent"),0),IF('POINTAGE'!$Z$5&lt;&gt;"",--('POINTAGE'!Z123="Présent"),0),IF('POINTAGE'!$AB$5&lt;&gt;"",--('POINTAGE'!AB123="Présent"),0),IF('POINTAGE'!$AD$5&lt;&gt;"",--('POINTAGE'!AD123="Présent"),0),IF('POINTAGE'!$AF$5&lt;&gt;"",--('POINTAGE'!AF123="Présent"),0)))</f>
      </c>
      <c r="G123" s="22">
        <f>IF($A123="","",SUM(IF('POINTAGE'!$D$5&lt;&gt;"",--('POINTAGE'!D123="Absent"),0),IF('POINTAGE'!$F$5&lt;&gt;"",--('POINTAGE'!F123="Absent"),0),IF('POINTAGE'!$H$5&lt;&gt;"",--('POINTAGE'!H123="Absent"),0),IF('POINTAGE'!$J$5&lt;&gt;"",--('POINTAGE'!J123="Absent"),0),IF('POINTAGE'!$L$5&lt;&gt;"",--('POINTAGE'!L123="Absent"),0),IF('POINTAGE'!$N$5&lt;&gt;"",--('POINTAGE'!N123="Absent"),0),IF('POINTAGE'!$P$5&lt;&gt;"",--('POINTAGE'!P123="Absent"),0),IF('POINTAGE'!$R$5&lt;&gt;"",--('POINTAGE'!R123="Absent"),0),IF('POINTAGE'!$T$5&lt;&gt;"",--('POINTAGE'!T123="Absent"),0),IF('POINTAGE'!$V$5&lt;&gt;"",--('POINTAGE'!V123="Absent"),0),IF('POINTAGE'!$X$5&lt;&gt;"",--('POINTAGE'!X123="Absent"),0),IF('POINTAGE'!$Z$5&lt;&gt;"",--('POINTAGE'!Z123="Absent"),0),IF('POINTAGE'!$AB$5&lt;&gt;"",--('POINTAGE'!AB123="Absent"),0),IF('POINTAGE'!$AD$5&lt;&gt;"",--('POINTAGE'!AD123="Absent"),0),IF('POINTAGE'!$AF$5&lt;&gt;"",--('POINTAGE'!AF123="Absent"),0)))</f>
      </c>
      <c r="H123" s="23">
        <f>IF($A123="","",SUM(IF('POINTAGE'!$D$5&lt;&gt;"",IF('POINTAGE'!D123="Présent",'POINTAGE'!E123,0),0),IF('POINTAGE'!$F$5&lt;&gt;"",IF('POINTAGE'!F123="Présent",'POINTAGE'!G123,0),0),IF('POINTAGE'!$H$5&lt;&gt;"",IF('POINTAGE'!H123="Présent",'POINTAGE'!I123,0),0),IF('POINTAGE'!$J$5&lt;&gt;"",IF('POINTAGE'!J123="Présent",'POINTAGE'!K123,0),0),IF('POINTAGE'!$L$5&lt;&gt;"",IF('POINTAGE'!L123="Présent",'POINTAGE'!M123,0),0),IF('POINTAGE'!$N$5&lt;&gt;"",IF('POINTAGE'!N123="Présent",'POINTAGE'!O123,0),0),IF('POINTAGE'!$P$5&lt;&gt;"",IF('POINTAGE'!P123="Présent",'POINTAGE'!Q123,0),0),IF('POINTAGE'!$R$5&lt;&gt;"",IF('POINTAGE'!R123="Présent",'POINTAGE'!S123,0),0),IF('POINTAGE'!$T$5&lt;&gt;"",IF('POINTAGE'!T123="Présent",'POINTAGE'!U123,0),0),IF('POINTAGE'!$V$5&lt;&gt;"",IF('POINTAGE'!V123="Présent",'POINTAGE'!W123,0),0),IF('POINTAGE'!$X$5&lt;&gt;"",IF('POINTAGE'!X123="Présent",'POINTAGE'!Y123,0),0),IF('POINTAGE'!$Z$5&lt;&gt;"",IF('POINTAGE'!Z123="Présent",'POINTAGE'!AA123,0),0),IF('POINTAGE'!$AB$5&lt;&gt;"",IF('POINTAGE'!AB123="Présent",'POINTAGE'!AC123,0),0),IF('POINTAGE'!$AD$5&lt;&gt;"",IF('POINTAGE'!AD123="Présent",'POINTAGE'!AE123,0),0),IF('POINTAGE'!$AF$5&lt;&gt;"",IF('POINTAGE'!AF123="Présent",'POINTAGE'!AG123,0),0)))</f>
      </c>
      <c r="I123" s="24">
        <f>IF($A123="","",$F123*$D123)</f>
      </c>
      <c r="J123" s="24">
        <f>IF($A123="","",$H123*$E123)</f>
      </c>
      <c r="K123" s="25">
        <f>IF($A123="","",$I123+$J123)</f>
      </c>
      <c r="L123" s="18"/>
      <c r="M123" s="25">
        <f>IF($A123="","",MAX(0,$K123-$L123))</f>
      </c>
      <c r="N123" s="22">
        <f>IF($A123="","",SUM(IF('POINTAGE'!$AH$5&lt;&gt;"",--('POINTAGE'!AH123="Présent"),0),IF('POINTAGE'!$AJ$5&lt;&gt;"",--('POINTAGE'!AJ123="Présent"),0),IF('POINTAGE'!$AL$5&lt;&gt;"",--('POINTAGE'!AL123="Présent"),0),IF('POINTAGE'!$AN$5&lt;&gt;"",--('POINTAGE'!AN123="Présent"),0),IF('POINTAGE'!$AP$5&lt;&gt;"",--('POINTAGE'!AP123="Présent"),0),IF('POINTAGE'!$AR$5&lt;&gt;"",--('POINTAGE'!AR123="Présent"),0),IF('POINTAGE'!$AT$5&lt;&gt;"",--('POINTAGE'!AT123="Présent"),0),IF('POINTAGE'!$AV$5&lt;&gt;"",--('POINTAGE'!AV123="Présent"),0),IF('POINTAGE'!$AX$5&lt;&gt;"",--('POINTAGE'!AX123="Présent"),0),IF('POINTAGE'!$AZ$5&lt;&gt;"",--('POINTAGE'!AZ123="Présent"),0),IF('POINTAGE'!$BB$5&lt;&gt;"",--('POINTAGE'!BB123="Présent"),0),IF('POINTAGE'!$BD$5&lt;&gt;"",--('POINTAGE'!BD123="Présent"),0),IF('POINTAGE'!$BF$5&lt;&gt;"",--('POINTAGE'!BF123="Présent"),0),IF('POINTAGE'!$BH$5&lt;&gt;"",--('POINTAGE'!BH123="Présent"),0),IF('POINTAGE'!$BJ$5&lt;&gt;"",--('POINTAGE'!BJ123="Présent"),0),IF('POINTAGE'!$BL$5&lt;&gt;"",--('POINTAGE'!BL123="Présent"),0)))</f>
      </c>
      <c r="O123" s="22">
        <f>IF($A123="","",SUM(IF('POINTAGE'!$AH$5&lt;&gt;"",--('POINTAGE'!AH123="Absent"),0),IF('POINTAGE'!$AJ$5&lt;&gt;"",--('POINTAGE'!AJ123="Absent"),0),IF('POINTAGE'!$AL$5&lt;&gt;"",--('POINTAGE'!AL123="Absent"),0),IF('POINTAGE'!$AN$5&lt;&gt;"",--('POINTAGE'!AN123="Absent"),0),IF('POINTAGE'!$AP$5&lt;&gt;"",--('POINTAGE'!AP123="Absent"),0),IF('POINTAGE'!$AR$5&lt;&gt;"",--('POINTAGE'!AR123="Absent"),0),IF('POINTAGE'!$AT$5&lt;&gt;"",--('POINTAGE'!AT123="Absent"),0),IF('POINTAGE'!$AV$5&lt;&gt;"",--('POINTAGE'!AV123="Absent"),0),IF('POINTAGE'!$AX$5&lt;&gt;"",--('POINTAGE'!AX123="Absent"),0),IF('POINTAGE'!$AZ$5&lt;&gt;"",--('POINTAGE'!AZ123="Absent"),0),IF('POINTAGE'!$BB$5&lt;&gt;"",--('POINTAGE'!BB123="Absent"),0),IF('POINTAGE'!$BD$5&lt;&gt;"",--('POINTAGE'!BD123="Absent"),0),IF('POINTAGE'!$BF$5&lt;&gt;"",--('POINTAGE'!BF123="Absent"),0),IF('POINTAGE'!$BH$5&lt;&gt;"",--('POINTAGE'!BH123="Absent"),0),IF('POINTAGE'!$BJ$5&lt;&gt;"",--('POINTAGE'!BJ123="Absent"),0),IF('POINTAGE'!$BL$5&lt;&gt;"",--('POINTAGE'!BL123="Absent"),0)))</f>
      </c>
      <c r="P123" s="23">
        <f>IF($A123="","",SUM(IF('POINTAGE'!$AH$5&lt;&gt;"",IF('POINTAGE'!AH123="Présent",'POINTAGE'!AI123,0),0),IF('POINTAGE'!$AJ$5&lt;&gt;"",IF('POINTAGE'!AJ123="Présent",'POINTAGE'!AK123,0),0),IF('POINTAGE'!$AL$5&lt;&gt;"",IF('POINTAGE'!AL123="Présent",'POINTAGE'!AM123,0),0),IF('POINTAGE'!$AN$5&lt;&gt;"",IF('POINTAGE'!AN123="Présent",'POINTAGE'!AO123,0),0),IF('POINTAGE'!$AP$5&lt;&gt;"",IF('POINTAGE'!AP123="Présent",'POINTAGE'!AQ123,0),0),IF('POINTAGE'!$AR$5&lt;&gt;"",IF('POINTAGE'!AR123="Présent",'POINTAGE'!AS123,0),0),IF('POINTAGE'!$AT$5&lt;&gt;"",IF('POINTAGE'!AT123="Présent",'POINTAGE'!AU123,0),0),IF('POINTAGE'!$AV$5&lt;&gt;"",IF('POINTAGE'!AV123="Présent",'POINTAGE'!AW123,0),0),IF('POINTAGE'!$AX$5&lt;&gt;"",IF('POINTAGE'!AX123="Présent",'POINTAGE'!AY123,0),0),IF('POINTAGE'!$AZ$5&lt;&gt;"",IF('POINTAGE'!AZ123="Présent",'POINTAGE'!BA123,0),0),IF('POINTAGE'!$BB$5&lt;&gt;"",IF('POINTAGE'!BB123="Présent",'POINTAGE'!BC123,0),0),IF('POINTAGE'!$BD$5&lt;&gt;"",IF('POINTAGE'!BD123="Présent",'POINTAGE'!BE123,0),0),IF('POINTAGE'!$BF$5&lt;&gt;"",IF('POINTAGE'!BF123="Présent",'POINTAGE'!BG123,0),0),IF('POINTAGE'!$BH$5&lt;&gt;"",IF('POINTAGE'!BH123="Présent",'POINTAGE'!BI123,0),0),IF('POINTAGE'!$BJ$5&lt;&gt;"",IF('POINTAGE'!BJ123="Présent",'POINTAGE'!BK123,0),0),IF('POINTAGE'!$BL$5&lt;&gt;"",IF('POINTAGE'!BL123="Présent",'POINTAGE'!BM123,0),0)))</f>
      </c>
      <c r="Q123" s="24">
        <f>IF($A123="","",$N123*$D123)</f>
      </c>
      <c r="R123" s="24">
        <f>IF($A123="","",$P123*$E123)</f>
      </c>
      <c r="S123" s="25">
        <f>IF($A123="","",$Q123+$R123)</f>
      </c>
      <c r="T123" s="18"/>
      <c r="U123" s="25">
        <f>IF($A123="","",MAX(0,$S123-$T123))</f>
      </c>
      <c r="V123" s="25">
        <f>IF($A123="","",$K123+$S123)</f>
      </c>
      <c r="W123" s="24">
        <f>IF($A123="","",$L123+$T123)</f>
      </c>
      <c r="X123" s="25">
        <f>IF($A123="","",$M123+$U123)</f>
      </c>
      <c r="Y123" s="29">
        <f>IF($A123="","",$J123+$R123)</f>
      </c>
    </row>
    <row r="124">
      <c r="A124" s="20">
        <f>IF('POINTAGE'!A124="","",'POINTAGE'!A124)</f>
      </c>
      <c r="B124" s="19">
        <f>IF($A124="","",'POINTAGE'!B124)</f>
      </c>
      <c r="C124" s="20">
        <f>IF($A124="","",'POINTAGE'!C124)</f>
      </c>
      <c r="D124" s="24">
        <f>IF($A124="","",IFERROR(INDEX(Categories_Salaire,MATCH($C124,ListeCategories,0)),0))</f>
      </c>
      <c r="E124" s="24">
        <f>IF($A124="","",IF(IFERROR(INDEX(Categories_TauxHS,MATCH($C124,ListeCategories,0)),0)&gt;0,IFERROR(INDEX(Categories_TauxHS,MATCH($C124,ListeCategories,0)),0),TauxHSDefaut))</f>
      </c>
      <c r="F124" s="22">
        <f>IF($A124="","",SUM(IF('POINTAGE'!$D$5&lt;&gt;"",--('POINTAGE'!D124="Présent"),0),IF('POINTAGE'!$F$5&lt;&gt;"",--('POINTAGE'!F124="Présent"),0),IF('POINTAGE'!$H$5&lt;&gt;"",--('POINTAGE'!H124="Présent"),0),IF('POINTAGE'!$J$5&lt;&gt;"",--('POINTAGE'!J124="Présent"),0),IF('POINTAGE'!$L$5&lt;&gt;"",--('POINTAGE'!L124="Présent"),0),IF('POINTAGE'!$N$5&lt;&gt;"",--('POINTAGE'!N124="Présent"),0),IF('POINTAGE'!$P$5&lt;&gt;"",--('POINTAGE'!P124="Présent"),0),IF('POINTAGE'!$R$5&lt;&gt;"",--('POINTAGE'!R124="Présent"),0),IF('POINTAGE'!$T$5&lt;&gt;"",--('POINTAGE'!T124="Présent"),0),IF('POINTAGE'!$V$5&lt;&gt;"",--('POINTAGE'!V124="Présent"),0),IF('POINTAGE'!$X$5&lt;&gt;"",--('POINTAGE'!X124="Présent"),0),IF('POINTAGE'!$Z$5&lt;&gt;"",--('POINTAGE'!Z124="Présent"),0),IF('POINTAGE'!$AB$5&lt;&gt;"",--('POINTAGE'!AB124="Présent"),0),IF('POINTAGE'!$AD$5&lt;&gt;"",--('POINTAGE'!AD124="Présent"),0),IF('POINTAGE'!$AF$5&lt;&gt;"",--('POINTAGE'!AF124="Présent"),0)))</f>
      </c>
      <c r="G124" s="22">
        <f>IF($A124="","",SUM(IF('POINTAGE'!$D$5&lt;&gt;"",--('POINTAGE'!D124="Absent"),0),IF('POINTAGE'!$F$5&lt;&gt;"",--('POINTAGE'!F124="Absent"),0),IF('POINTAGE'!$H$5&lt;&gt;"",--('POINTAGE'!H124="Absent"),0),IF('POINTAGE'!$J$5&lt;&gt;"",--('POINTAGE'!J124="Absent"),0),IF('POINTAGE'!$L$5&lt;&gt;"",--('POINTAGE'!L124="Absent"),0),IF('POINTAGE'!$N$5&lt;&gt;"",--('POINTAGE'!N124="Absent"),0),IF('POINTAGE'!$P$5&lt;&gt;"",--('POINTAGE'!P124="Absent"),0),IF('POINTAGE'!$R$5&lt;&gt;"",--('POINTAGE'!R124="Absent"),0),IF('POINTAGE'!$T$5&lt;&gt;"",--('POINTAGE'!T124="Absent"),0),IF('POINTAGE'!$V$5&lt;&gt;"",--('POINTAGE'!V124="Absent"),0),IF('POINTAGE'!$X$5&lt;&gt;"",--('POINTAGE'!X124="Absent"),0),IF('POINTAGE'!$Z$5&lt;&gt;"",--('POINTAGE'!Z124="Absent"),0),IF('POINTAGE'!$AB$5&lt;&gt;"",--('POINTAGE'!AB124="Absent"),0),IF('POINTAGE'!$AD$5&lt;&gt;"",--('POINTAGE'!AD124="Absent"),0),IF('POINTAGE'!$AF$5&lt;&gt;"",--('POINTAGE'!AF124="Absent"),0)))</f>
      </c>
      <c r="H124" s="23">
        <f>IF($A124="","",SUM(IF('POINTAGE'!$D$5&lt;&gt;"",IF('POINTAGE'!D124="Présent",'POINTAGE'!E124,0),0),IF('POINTAGE'!$F$5&lt;&gt;"",IF('POINTAGE'!F124="Présent",'POINTAGE'!G124,0),0),IF('POINTAGE'!$H$5&lt;&gt;"",IF('POINTAGE'!H124="Présent",'POINTAGE'!I124,0),0),IF('POINTAGE'!$J$5&lt;&gt;"",IF('POINTAGE'!J124="Présent",'POINTAGE'!K124,0),0),IF('POINTAGE'!$L$5&lt;&gt;"",IF('POINTAGE'!L124="Présent",'POINTAGE'!M124,0),0),IF('POINTAGE'!$N$5&lt;&gt;"",IF('POINTAGE'!N124="Présent",'POINTAGE'!O124,0),0),IF('POINTAGE'!$P$5&lt;&gt;"",IF('POINTAGE'!P124="Présent",'POINTAGE'!Q124,0),0),IF('POINTAGE'!$R$5&lt;&gt;"",IF('POINTAGE'!R124="Présent",'POINTAGE'!S124,0),0),IF('POINTAGE'!$T$5&lt;&gt;"",IF('POINTAGE'!T124="Présent",'POINTAGE'!U124,0),0),IF('POINTAGE'!$V$5&lt;&gt;"",IF('POINTAGE'!V124="Présent",'POINTAGE'!W124,0),0),IF('POINTAGE'!$X$5&lt;&gt;"",IF('POINTAGE'!X124="Présent",'POINTAGE'!Y124,0),0),IF('POINTAGE'!$Z$5&lt;&gt;"",IF('POINTAGE'!Z124="Présent",'POINTAGE'!AA124,0),0),IF('POINTAGE'!$AB$5&lt;&gt;"",IF('POINTAGE'!AB124="Présent",'POINTAGE'!AC124,0),0),IF('POINTAGE'!$AD$5&lt;&gt;"",IF('POINTAGE'!AD124="Présent",'POINTAGE'!AE124,0),0),IF('POINTAGE'!$AF$5&lt;&gt;"",IF('POINTAGE'!AF124="Présent",'POINTAGE'!AG124,0),0)))</f>
      </c>
      <c r="I124" s="24">
        <f>IF($A124="","",$F124*$D124)</f>
      </c>
      <c r="J124" s="24">
        <f>IF($A124="","",$H124*$E124)</f>
      </c>
      <c r="K124" s="25">
        <f>IF($A124="","",$I124+$J124)</f>
      </c>
      <c r="L124" s="18"/>
      <c r="M124" s="25">
        <f>IF($A124="","",MAX(0,$K124-$L124))</f>
      </c>
      <c r="N124" s="22">
        <f>IF($A124="","",SUM(IF('POINTAGE'!$AH$5&lt;&gt;"",--('POINTAGE'!AH124="Présent"),0),IF('POINTAGE'!$AJ$5&lt;&gt;"",--('POINTAGE'!AJ124="Présent"),0),IF('POINTAGE'!$AL$5&lt;&gt;"",--('POINTAGE'!AL124="Présent"),0),IF('POINTAGE'!$AN$5&lt;&gt;"",--('POINTAGE'!AN124="Présent"),0),IF('POINTAGE'!$AP$5&lt;&gt;"",--('POINTAGE'!AP124="Présent"),0),IF('POINTAGE'!$AR$5&lt;&gt;"",--('POINTAGE'!AR124="Présent"),0),IF('POINTAGE'!$AT$5&lt;&gt;"",--('POINTAGE'!AT124="Présent"),0),IF('POINTAGE'!$AV$5&lt;&gt;"",--('POINTAGE'!AV124="Présent"),0),IF('POINTAGE'!$AX$5&lt;&gt;"",--('POINTAGE'!AX124="Présent"),0),IF('POINTAGE'!$AZ$5&lt;&gt;"",--('POINTAGE'!AZ124="Présent"),0),IF('POINTAGE'!$BB$5&lt;&gt;"",--('POINTAGE'!BB124="Présent"),0),IF('POINTAGE'!$BD$5&lt;&gt;"",--('POINTAGE'!BD124="Présent"),0),IF('POINTAGE'!$BF$5&lt;&gt;"",--('POINTAGE'!BF124="Présent"),0),IF('POINTAGE'!$BH$5&lt;&gt;"",--('POINTAGE'!BH124="Présent"),0),IF('POINTAGE'!$BJ$5&lt;&gt;"",--('POINTAGE'!BJ124="Présent"),0),IF('POINTAGE'!$BL$5&lt;&gt;"",--('POINTAGE'!BL124="Présent"),0)))</f>
      </c>
      <c r="O124" s="22">
        <f>IF($A124="","",SUM(IF('POINTAGE'!$AH$5&lt;&gt;"",--('POINTAGE'!AH124="Absent"),0),IF('POINTAGE'!$AJ$5&lt;&gt;"",--('POINTAGE'!AJ124="Absent"),0),IF('POINTAGE'!$AL$5&lt;&gt;"",--('POINTAGE'!AL124="Absent"),0),IF('POINTAGE'!$AN$5&lt;&gt;"",--('POINTAGE'!AN124="Absent"),0),IF('POINTAGE'!$AP$5&lt;&gt;"",--('POINTAGE'!AP124="Absent"),0),IF('POINTAGE'!$AR$5&lt;&gt;"",--('POINTAGE'!AR124="Absent"),0),IF('POINTAGE'!$AT$5&lt;&gt;"",--('POINTAGE'!AT124="Absent"),0),IF('POINTAGE'!$AV$5&lt;&gt;"",--('POINTAGE'!AV124="Absent"),0),IF('POINTAGE'!$AX$5&lt;&gt;"",--('POINTAGE'!AX124="Absent"),0),IF('POINTAGE'!$AZ$5&lt;&gt;"",--('POINTAGE'!AZ124="Absent"),0),IF('POINTAGE'!$BB$5&lt;&gt;"",--('POINTAGE'!BB124="Absent"),0),IF('POINTAGE'!$BD$5&lt;&gt;"",--('POINTAGE'!BD124="Absent"),0),IF('POINTAGE'!$BF$5&lt;&gt;"",--('POINTAGE'!BF124="Absent"),0),IF('POINTAGE'!$BH$5&lt;&gt;"",--('POINTAGE'!BH124="Absent"),0),IF('POINTAGE'!$BJ$5&lt;&gt;"",--('POINTAGE'!BJ124="Absent"),0),IF('POINTAGE'!$BL$5&lt;&gt;"",--('POINTAGE'!BL124="Absent"),0)))</f>
      </c>
      <c r="P124" s="23">
        <f>IF($A124="","",SUM(IF('POINTAGE'!$AH$5&lt;&gt;"",IF('POINTAGE'!AH124="Présent",'POINTAGE'!AI124,0),0),IF('POINTAGE'!$AJ$5&lt;&gt;"",IF('POINTAGE'!AJ124="Présent",'POINTAGE'!AK124,0),0),IF('POINTAGE'!$AL$5&lt;&gt;"",IF('POINTAGE'!AL124="Présent",'POINTAGE'!AM124,0),0),IF('POINTAGE'!$AN$5&lt;&gt;"",IF('POINTAGE'!AN124="Présent",'POINTAGE'!AO124,0),0),IF('POINTAGE'!$AP$5&lt;&gt;"",IF('POINTAGE'!AP124="Présent",'POINTAGE'!AQ124,0),0),IF('POINTAGE'!$AR$5&lt;&gt;"",IF('POINTAGE'!AR124="Présent",'POINTAGE'!AS124,0),0),IF('POINTAGE'!$AT$5&lt;&gt;"",IF('POINTAGE'!AT124="Présent",'POINTAGE'!AU124,0),0),IF('POINTAGE'!$AV$5&lt;&gt;"",IF('POINTAGE'!AV124="Présent",'POINTAGE'!AW124,0),0),IF('POINTAGE'!$AX$5&lt;&gt;"",IF('POINTAGE'!AX124="Présent",'POINTAGE'!AY124,0),0),IF('POINTAGE'!$AZ$5&lt;&gt;"",IF('POINTAGE'!AZ124="Présent",'POINTAGE'!BA124,0),0),IF('POINTAGE'!$BB$5&lt;&gt;"",IF('POINTAGE'!BB124="Présent",'POINTAGE'!BC124,0),0),IF('POINTAGE'!$BD$5&lt;&gt;"",IF('POINTAGE'!BD124="Présent",'POINTAGE'!BE124,0),0),IF('POINTAGE'!$BF$5&lt;&gt;"",IF('POINTAGE'!BF124="Présent",'POINTAGE'!BG124,0),0),IF('POINTAGE'!$BH$5&lt;&gt;"",IF('POINTAGE'!BH124="Présent",'POINTAGE'!BI124,0),0),IF('POINTAGE'!$BJ$5&lt;&gt;"",IF('POINTAGE'!BJ124="Présent",'POINTAGE'!BK124,0),0),IF('POINTAGE'!$BL$5&lt;&gt;"",IF('POINTAGE'!BL124="Présent",'POINTAGE'!BM124,0),0)))</f>
      </c>
      <c r="Q124" s="24">
        <f>IF($A124="","",$N124*$D124)</f>
      </c>
      <c r="R124" s="24">
        <f>IF($A124="","",$P124*$E124)</f>
      </c>
      <c r="S124" s="25">
        <f>IF($A124="","",$Q124+$R124)</f>
      </c>
      <c r="T124" s="18"/>
      <c r="U124" s="25">
        <f>IF($A124="","",MAX(0,$S124-$T124))</f>
      </c>
      <c r="V124" s="25">
        <f>IF($A124="","",$K124+$S124)</f>
      </c>
      <c r="W124" s="24">
        <f>IF($A124="","",$L124+$T124)</f>
      </c>
      <c r="X124" s="25">
        <f>IF($A124="","",$M124+$U124)</f>
      </c>
      <c r="Y124" s="29">
        <f>IF($A124="","",$J124+$R124)</f>
      </c>
    </row>
    <row r="125">
      <c r="A125" s="20">
        <f>IF('POINTAGE'!A125="","",'POINTAGE'!A125)</f>
      </c>
      <c r="B125" s="19">
        <f>IF($A125="","",'POINTAGE'!B125)</f>
      </c>
      <c r="C125" s="20">
        <f>IF($A125="","",'POINTAGE'!C125)</f>
      </c>
      <c r="D125" s="24">
        <f>IF($A125="","",IFERROR(INDEX(Categories_Salaire,MATCH($C125,ListeCategories,0)),0))</f>
      </c>
      <c r="E125" s="24">
        <f>IF($A125="","",IF(IFERROR(INDEX(Categories_TauxHS,MATCH($C125,ListeCategories,0)),0)&gt;0,IFERROR(INDEX(Categories_TauxHS,MATCH($C125,ListeCategories,0)),0),TauxHSDefaut))</f>
      </c>
      <c r="F125" s="22">
        <f>IF($A125="","",SUM(IF('POINTAGE'!$D$5&lt;&gt;"",--('POINTAGE'!D125="Présent"),0),IF('POINTAGE'!$F$5&lt;&gt;"",--('POINTAGE'!F125="Présent"),0),IF('POINTAGE'!$H$5&lt;&gt;"",--('POINTAGE'!H125="Présent"),0),IF('POINTAGE'!$J$5&lt;&gt;"",--('POINTAGE'!J125="Présent"),0),IF('POINTAGE'!$L$5&lt;&gt;"",--('POINTAGE'!L125="Présent"),0),IF('POINTAGE'!$N$5&lt;&gt;"",--('POINTAGE'!N125="Présent"),0),IF('POINTAGE'!$P$5&lt;&gt;"",--('POINTAGE'!P125="Présent"),0),IF('POINTAGE'!$R$5&lt;&gt;"",--('POINTAGE'!R125="Présent"),0),IF('POINTAGE'!$T$5&lt;&gt;"",--('POINTAGE'!T125="Présent"),0),IF('POINTAGE'!$V$5&lt;&gt;"",--('POINTAGE'!V125="Présent"),0),IF('POINTAGE'!$X$5&lt;&gt;"",--('POINTAGE'!X125="Présent"),0),IF('POINTAGE'!$Z$5&lt;&gt;"",--('POINTAGE'!Z125="Présent"),0),IF('POINTAGE'!$AB$5&lt;&gt;"",--('POINTAGE'!AB125="Présent"),0),IF('POINTAGE'!$AD$5&lt;&gt;"",--('POINTAGE'!AD125="Présent"),0),IF('POINTAGE'!$AF$5&lt;&gt;"",--('POINTAGE'!AF125="Présent"),0)))</f>
      </c>
      <c r="G125" s="22">
        <f>IF($A125="","",SUM(IF('POINTAGE'!$D$5&lt;&gt;"",--('POINTAGE'!D125="Absent"),0),IF('POINTAGE'!$F$5&lt;&gt;"",--('POINTAGE'!F125="Absent"),0),IF('POINTAGE'!$H$5&lt;&gt;"",--('POINTAGE'!H125="Absent"),0),IF('POINTAGE'!$J$5&lt;&gt;"",--('POINTAGE'!J125="Absent"),0),IF('POINTAGE'!$L$5&lt;&gt;"",--('POINTAGE'!L125="Absent"),0),IF('POINTAGE'!$N$5&lt;&gt;"",--('POINTAGE'!N125="Absent"),0),IF('POINTAGE'!$P$5&lt;&gt;"",--('POINTAGE'!P125="Absent"),0),IF('POINTAGE'!$R$5&lt;&gt;"",--('POINTAGE'!R125="Absent"),0),IF('POINTAGE'!$T$5&lt;&gt;"",--('POINTAGE'!T125="Absent"),0),IF('POINTAGE'!$V$5&lt;&gt;"",--('POINTAGE'!V125="Absent"),0),IF('POINTAGE'!$X$5&lt;&gt;"",--('POINTAGE'!X125="Absent"),0),IF('POINTAGE'!$Z$5&lt;&gt;"",--('POINTAGE'!Z125="Absent"),0),IF('POINTAGE'!$AB$5&lt;&gt;"",--('POINTAGE'!AB125="Absent"),0),IF('POINTAGE'!$AD$5&lt;&gt;"",--('POINTAGE'!AD125="Absent"),0),IF('POINTAGE'!$AF$5&lt;&gt;"",--('POINTAGE'!AF125="Absent"),0)))</f>
      </c>
      <c r="H125" s="23">
        <f>IF($A125="","",SUM(IF('POINTAGE'!$D$5&lt;&gt;"",IF('POINTAGE'!D125="Présent",'POINTAGE'!E125,0),0),IF('POINTAGE'!$F$5&lt;&gt;"",IF('POINTAGE'!F125="Présent",'POINTAGE'!G125,0),0),IF('POINTAGE'!$H$5&lt;&gt;"",IF('POINTAGE'!H125="Présent",'POINTAGE'!I125,0),0),IF('POINTAGE'!$J$5&lt;&gt;"",IF('POINTAGE'!J125="Présent",'POINTAGE'!K125,0),0),IF('POINTAGE'!$L$5&lt;&gt;"",IF('POINTAGE'!L125="Présent",'POINTAGE'!M125,0),0),IF('POINTAGE'!$N$5&lt;&gt;"",IF('POINTAGE'!N125="Présent",'POINTAGE'!O125,0),0),IF('POINTAGE'!$P$5&lt;&gt;"",IF('POINTAGE'!P125="Présent",'POINTAGE'!Q125,0),0),IF('POINTAGE'!$R$5&lt;&gt;"",IF('POINTAGE'!R125="Présent",'POINTAGE'!S125,0),0),IF('POINTAGE'!$T$5&lt;&gt;"",IF('POINTAGE'!T125="Présent",'POINTAGE'!U125,0),0),IF('POINTAGE'!$V$5&lt;&gt;"",IF('POINTAGE'!V125="Présent",'POINTAGE'!W125,0),0),IF('POINTAGE'!$X$5&lt;&gt;"",IF('POINTAGE'!X125="Présent",'POINTAGE'!Y125,0),0),IF('POINTAGE'!$Z$5&lt;&gt;"",IF('POINTAGE'!Z125="Présent",'POINTAGE'!AA125,0),0),IF('POINTAGE'!$AB$5&lt;&gt;"",IF('POINTAGE'!AB125="Présent",'POINTAGE'!AC125,0),0),IF('POINTAGE'!$AD$5&lt;&gt;"",IF('POINTAGE'!AD125="Présent",'POINTAGE'!AE125,0),0),IF('POINTAGE'!$AF$5&lt;&gt;"",IF('POINTAGE'!AF125="Présent",'POINTAGE'!AG125,0),0)))</f>
      </c>
      <c r="I125" s="24">
        <f>IF($A125="","",$F125*$D125)</f>
      </c>
      <c r="J125" s="24">
        <f>IF($A125="","",$H125*$E125)</f>
      </c>
      <c r="K125" s="25">
        <f>IF($A125="","",$I125+$J125)</f>
      </c>
      <c r="L125" s="18"/>
      <c r="M125" s="25">
        <f>IF($A125="","",MAX(0,$K125-$L125))</f>
      </c>
      <c r="N125" s="22">
        <f>IF($A125="","",SUM(IF('POINTAGE'!$AH$5&lt;&gt;"",--('POINTAGE'!AH125="Présent"),0),IF('POINTAGE'!$AJ$5&lt;&gt;"",--('POINTAGE'!AJ125="Présent"),0),IF('POINTAGE'!$AL$5&lt;&gt;"",--('POINTAGE'!AL125="Présent"),0),IF('POINTAGE'!$AN$5&lt;&gt;"",--('POINTAGE'!AN125="Présent"),0),IF('POINTAGE'!$AP$5&lt;&gt;"",--('POINTAGE'!AP125="Présent"),0),IF('POINTAGE'!$AR$5&lt;&gt;"",--('POINTAGE'!AR125="Présent"),0),IF('POINTAGE'!$AT$5&lt;&gt;"",--('POINTAGE'!AT125="Présent"),0),IF('POINTAGE'!$AV$5&lt;&gt;"",--('POINTAGE'!AV125="Présent"),0),IF('POINTAGE'!$AX$5&lt;&gt;"",--('POINTAGE'!AX125="Présent"),0),IF('POINTAGE'!$AZ$5&lt;&gt;"",--('POINTAGE'!AZ125="Présent"),0),IF('POINTAGE'!$BB$5&lt;&gt;"",--('POINTAGE'!BB125="Présent"),0),IF('POINTAGE'!$BD$5&lt;&gt;"",--('POINTAGE'!BD125="Présent"),0),IF('POINTAGE'!$BF$5&lt;&gt;"",--('POINTAGE'!BF125="Présent"),0),IF('POINTAGE'!$BH$5&lt;&gt;"",--('POINTAGE'!BH125="Présent"),0),IF('POINTAGE'!$BJ$5&lt;&gt;"",--('POINTAGE'!BJ125="Présent"),0),IF('POINTAGE'!$BL$5&lt;&gt;"",--('POINTAGE'!BL125="Présent"),0)))</f>
      </c>
      <c r="O125" s="22">
        <f>IF($A125="","",SUM(IF('POINTAGE'!$AH$5&lt;&gt;"",--('POINTAGE'!AH125="Absent"),0),IF('POINTAGE'!$AJ$5&lt;&gt;"",--('POINTAGE'!AJ125="Absent"),0),IF('POINTAGE'!$AL$5&lt;&gt;"",--('POINTAGE'!AL125="Absent"),0),IF('POINTAGE'!$AN$5&lt;&gt;"",--('POINTAGE'!AN125="Absent"),0),IF('POINTAGE'!$AP$5&lt;&gt;"",--('POINTAGE'!AP125="Absent"),0),IF('POINTAGE'!$AR$5&lt;&gt;"",--('POINTAGE'!AR125="Absent"),0),IF('POINTAGE'!$AT$5&lt;&gt;"",--('POINTAGE'!AT125="Absent"),0),IF('POINTAGE'!$AV$5&lt;&gt;"",--('POINTAGE'!AV125="Absent"),0),IF('POINTAGE'!$AX$5&lt;&gt;"",--('POINTAGE'!AX125="Absent"),0),IF('POINTAGE'!$AZ$5&lt;&gt;"",--('POINTAGE'!AZ125="Absent"),0),IF('POINTAGE'!$BB$5&lt;&gt;"",--('POINTAGE'!BB125="Absent"),0),IF('POINTAGE'!$BD$5&lt;&gt;"",--('POINTAGE'!BD125="Absent"),0),IF('POINTAGE'!$BF$5&lt;&gt;"",--('POINTAGE'!BF125="Absent"),0),IF('POINTAGE'!$BH$5&lt;&gt;"",--('POINTAGE'!BH125="Absent"),0),IF('POINTAGE'!$BJ$5&lt;&gt;"",--('POINTAGE'!BJ125="Absent"),0),IF('POINTAGE'!$BL$5&lt;&gt;"",--('POINTAGE'!BL125="Absent"),0)))</f>
      </c>
      <c r="P125" s="23">
        <f>IF($A125="","",SUM(IF('POINTAGE'!$AH$5&lt;&gt;"",IF('POINTAGE'!AH125="Présent",'POINTAGE'!AI125,0),0),IF('POINTAGE'!$AJ$5&lt;&gt;"",IF('POINTAGE'!AJ125="Présent",'POINTAGE'!AK125,0),0),IF('POINTAGE'!$AL$5&lt;&gt;"",IF('POINTAGE'!AL125="Présent",'POINTAGE'!AM125,0),0),IF('POINTAGE'!$AN$5&lt;&gt;"",IF('POINTAGE'!AN125="Présent",'POINTAGE'!AO125,0),0),IF('POINTAGE'!$AP$5&lt;&gt;"",IF('POINTAGE'!AP125="Présent",'POINTAGE'!AQ125,0),0),IF('POINTAGE'!$AR$5&lt;&gt;"",IF('POINTAGE'!AR125="Présent",'POINTAGE'!AS125,0),0),IF('POINTAGE'!$AT$5&lt;&gt;"",IF('POINTAGE'!AT125="Présent",'POINTAGE'!AU125,0),0),IF('POINTAGE'!$AV$5&lt;&gt;"",IF('POINTAGE'!AV125="Présent",'POINTAGE'!AW125,0),0),IF('POINTAGE'!$AX$5&lt;&gt;"",IF('POINTAGE'!AX125="Présent",'POINTAGE'!AY125,0),0),IF('POINTAGE'!$AZ$5&lt;&gt;"",IF('POINTAGE'!AZ125="Présent",'POINTAGE'!BA125,0),0),IF('POINTAGE'!$BB$5&lt;&gt;"",IF('POINTAGE'!BB125="Présent",'POINTAGE'!BC125,0),0),IF('POINTAGE'!$BD$5&lt;&gt;"",IF('POINTAGE'!BD125="Présent",'POINTAGE'!BE125,0),0),IF('POINTAGE'!$BF$5&lt;&gt;"",IF('POINTAGE'!BF125="Présent",'POINTAGE'!BG125,0),0),IF('POINTAGE'!$BH$5&lt;&gt;"",IF('POINTAGE'!BH125="Présent",'POINTAGE'!BI125,0),0),IF('POINTAGE'!$BJ$5&lt;&gt;"",IF('POINTAGE'!BJ125="Présent",'POINTAGE'!BK125,0),0),IF('POINTAGE'!$BL$5&lt;&gt;"",IF('POINTAGE'!BL125="Présent",'POINTAGE'!BM125,0),0)))</f>
      </c>
      <c r="Q125" s="24">
        <f>IF($A125="","",$N125*$D125)</f>
      </c>
      <c r="R125" s="24">
        <f>IF($A125="","",$P125*$E125)</f>
      </c>
      <c r="S125" s="25">
        <f>IF($A125="","",$Q125+$R125)</f>
      </c>
      <c r="T125" s="18"/>
      <c r="U125" s="25">
        <f>IF($A125="","",MAX(0,$S125-$T125))</f>
      </c>
      <c r="V125" s="25">
        <f>IF($A125="","",$K125+$S125)</f>
      </c>
      <c r="W125" s="24">
        <f>IF($A125="","",$L125+$T125)</f>
      </c>
      <c r="X125" s="25">
        <f>IF($A125="","",$M125+$U125)</f>
      </c>
      <c r="Y125" s="29">
        <f>IF($A125="","",$J125+$R125)</f>
      </c>
    </row>
    <row r="126">
      <c r="A126" s="20">
        <f>IF('POINTAGE'!A126="","",'POINTAGE'!A126)</f>
      </c>
      <c r="B126" s="19">
        <f>IF($A126="","",'POINTAGE'!B126)</f>
      </c>
      <c r="C126" s="20">
        <f>IF($A126="","",'POINTAGE'!C126)</f>
      </c>
      <c r="D126" s="24">
        <f>IF($A126="","",IFERROR(INDEX(Categories_Salaire,MATCH($C126,ListeCategories,0)),0))</f>
      </c>
      <c r="E126" s="24">
        <f>IF($A126="","",IF(IFERROR(INDEX(Categories_TauxHS,MATCH($C126,ListeCategories,0)),0)&gt;0,IFERROR(INDEX(Categories_TauxHS,MATCH($C126,ListeCategories,0)),0),TauxHSDefaut))</f>
      </c>
      <c r="F126" s="22">
        <f>IF($A126="","",SUM(IF('POINTAGE'!$D$5&lt;&gt;"",--('POINTAGE'!D126="Présent"),0),IF('POINTAGE'!$F$5&lt;&gt;"",--('POINTAGE'!F126="Présent"),0),IF('POINTAGE'!$H$5&lt;&gt;"",--('POINTAGE'!H126="Présent"),0),IF('POINTAGE'!$J$5&lt;&gt;"",--('POINTAGE'!J126="Présent"),0),IF('POINTAGE'!$L$5&lt;&gt;"",--('POINTAGE'!L126="Présent"),0),IF('POINTAGE'!$N$5&lt;&gt;"",--('POINTAGE'!N126="Présent"),0),IF('POINTAGE'!$P$5&lt;&gt;"",--('POINTAGE'!P126="Présent"),0),IF('POINTAGE'!$R$5&lt;&gt;"",--('POINTAGE'!R126="Présent"),0),IF('POINTAGE'!$T$5&lt;&gt;"",--('POINTAGE'!T126="Présent"),0),IF('POINTAGE'!$V$5&lt;&gt;"",--('POINTAGE'!V126="Présent"),0),IF('POINTAGE'!$X$5&lt;&gt;"",--('POINTAGE'!X126="Présent"),0),IF('POINTAGE'!$Z$5&lt;&gt;"",--('POINTAGE'!Z126="Présent"),0),IF('POINTAGE'!$AB$5&lt;&gt;"",--('POINTAGE'!AB126="Présent"),0),IF('POINTAGE'!$AD$5&lt;&gt;"",--('POINTAGE'!AD126="Présent"),0),IF('POINTAGE'!$AF$5&lt;&gt;"",--('POINTAGE'!AF126="Présent"),0)))</f>
      </c>
      <c r="G126" s="22">
        <f>IF($A126="","",SUM(IF('POINTAGE'!$D$5&lt;&gt;"",--('POINTAGE'!D126="Absent"),0),IF('POINTAGE'!$F$5&lt;&gt;"",--('POINTAGE'!F126="Absent"),0),IF('POINTAGE'!$H$5&lt;&gt;"",--('POINTAGE'!H126="Absent"),0),IF('POINTAGE'!$J$5&lt;&gt;"",--('POINTAGE'!J126="Absent"),0),IF('POINTAGE'!$L$5&lt;&gt;"",--('POINTAGE'!L126="Absent"),0),IF('POINTAGE'!$N$5&lt;&gt;"",--('POINTAGE'!N126="Absent"),0),IF('POINTAGE'!$P$5&lt;&gt;"",--('POINTAGE'!P126="Absent"),0),IF('POINTAGE'!$R$5&lt;&gt;"",--('POINTAGE'!R126="Absent"),0),IF('POINTAGE'!$T$5&lt;&gt;"",--('POINTAGE'!T126="Absent"),0),IF('POINTAGE'!$V$5&lt;&gt;"",--('POINTAGE'!V126="Absent"),0),IF('POINTAGE'!$X$5&lt;&gt;"",--('POINTAGE'!X126="Absent"),0),IF('POINTAGE'!$Z$5&lt;&gt;"",--('POINTAGE'!Z126="Absent"),0),IF('POINTAGE'!$AB$5&lt;&gt;"",--('POINTAGE'!AB126="Absent"),0),IF('POINTAGE'!$AD$5&lt;&gt;"",--('POINTAGE'!AD126="Absent"),0),IF('POINTAGE'!$AF$5&lt;&gt;"",--('POINTAGE'!AF126="Absent"),0)))</f>
      </c>
      <c r="H126" s="23">
        <f>IF($A126="","",SUM(IF('POINTAGE'!$D$5&lt;&gt;"",IF('POINTAGE'!D126="Présent",'POINTAGE'!E126,0),0),IF('POINTAGE'!$F$5&lt;&gt;"",IF('POINTAGE'!F126="Présent",'POINTAGE'!G126,0),0),IF('POINTAGE'!$H$5&lt;&gt;"",IF('POINTAGE'!H126="Présent",'POINTAGE'!I126,0),0),IF('POINTAGE'!$J$5&lt;&gt;"",IF('POINTAGE'!J126="Présent",'POINTAGE'!K126,0),0),IF('POINTAGE'!$L$5&lt;&gt;"",IF('POINTAGE'!L126="Présent",'POINTAGE'!M126,0),0),IF('POINTAGE'!$N$5&lt;&gt;"",IF('POINTAGE'!N126="Présent",'POINTAGE'!O126,0),0),IF('POINTAGE'!$P$5&lt;&gt;"",IF('POINTAGE'!P126="Présent",'POINTAGE'!Q126,0),0),IF('POINTAGE'!$R$5&lt;&gt;"",IF('POINTAGE'!R126="Présent",'POINTAGE'!S126,0),0),IF('POINTAGE'!$T$5&lt;&gt;"",IF('POINTAGE'!T126="Présent",'POINTAGE'!U126,0),0),IF('POINTAGE'!$V$5&lt;&gt;"",IF('POINTAGE'!V126="Présent",'POINTAGE'!W126,0),0),IF('POINTAGE'!$X$5&lt;&gt;"",IF('POINTAGE'!X126="Présent",'POINTAGE'!Y126,0),0),IF('POINTAGE'!$Z$5&lt;&gt;"",IF('POINTAGE'!Z126="Présent",'POINTAGE'!AA126,0),0),IF('POINTAGE'!$AB$5&lt;&gt;"",IF('POINTAGE'!AB126="Présent",'POINTAGE'!AC126,0),0),IF('POINTAGE'!$AD$5&lt;&gt;"",IF('POINTAGE'!AD126="Présent",'POINTAGE'!AE126,0),0),IF('POINTAGE'!$AF$5&lt;&gt;"",IF('POINTAGE'!AF126="Présent",'POINTAGE'!AG126,0),0)))</f>
      </c>
      <c r="I126" s="24">
        <f>IF($A126="","",$F126*$D126)</f>
      </c>
      <c r="J126" s="24">
        <f>IF($A126="","",$H126*$E126)</f>
      </c>
      <c r="K126" s="25">
        <f>IF($A126="","",$I126+$J126)</f>
      </c>
      <c r="L126" s="18"/>
      <c r="M126" s="25">
        <f>IF($A126="","",MAX(0,$K126-$L126))</f>
      </c>
      <c r="N126" s="22">
        <f>IF($A126="","",SUM(IF('POINTAGE'!$AH$5&lt;&gt;"",--('POINTAGE'!AH126="Présent"),0),IF('POINTAGE'!$AJ$5&lt;&gt;"",--('POINTAGE'!AJ126="Présent"),0),IF('POINTAGE'!$AL$5&lt;&gt;"",--('POINTAGE'!AL126="Présent"),0),IF('POINTAGE'!$AN$5&lt;&gt;"",--('POINTAGE'!AN126="Présent"),0),IF('POINTAGE'!$AP$5&lt;&gt;"",--('POINTAGE'!AP126="Présent"),0),IF('POINTAGE'!$AR$5&lt;&gt;"",--('POINTAGE'!AR126="Présent"),0),IF('POINTAGE'!$AT$5&lt;&gt;"",--('POINTAGE'!AT126="Présent"),0),IF('POINTAGE'!$AV$5&lt;&gt;"",--('POINTAGE'!AV126="Présent"),0),IF('POINTAGE'!$AX$5&lt;&gt;"",--('POINTAGE'!AX126="Présent"),0),IF('POINTAGE'!$AZ$5&lt;&gt;"",--('POINTAGE'!AZ126="Présent"),0),IF('POINTAGE'!$BB$5&lt;&gt;"",--('POINTAGE'!BB126="Présent"),0),IF('POINTAGE'!$BD$5&lt;&gt;"",--('POINTAGE'!BD126="Présent"),0),IF('POINTAGE'!$BF$5&lt;&gt;"",--('POINTAGE'!BF126="Présent"),0),IF('POINTAGE'!$BH$5&lt;&gt;"",--('POINTAGE'!BH126="Présent"),0),IF('POINTAGE'!$BJ$5&lt;&gt;"",--('POINTAGE'!BJ126="Présent"),0),IF('POINTAGE'!$BL$5&lt;&gt;"",--('POINTAGE'!BL126="Présent"),0)))</f>
      </c>
      <c r="O126" s="22">
        <f>IF($A126="","",SUM(IF('POINTAGE'!$AH$5&lt;&gt;"",--('POINTAGE'!AH126="Absent"),0),IF('POINTAGE'!$AJ$5&lt;&gt;"",--('POINTAGE'!AJ126="Absent"),0),IF('POINTAGE'!$AL$5&lt;&gt;"",--('POINTAGE'!AL126="Absent"),0),IF('POINTAGE'!$AN$5&lt;&gt;"",--('POINTAGE'!AN126="Absent"),0),IF('POINTAGE'!$AP$5&lt;&gt;"",--('POINTAGE'!AP126="Absent"),0),IF('POINTAGE'!$AR$5&lt;&gt;"",--('POINTAGE'!AR126="Absent"),0),IF('POINTAGE'!$AT$5&lt;&gt;"",--('POINTAGE'!AT126="Absent"),0),IF('POINTAGE'!$AV$5&lt;&gt;"",--('POINTAGE'!AV126="Absent"),0),IF('POINTAGE'!$AX$5&lt;&gt;"",--('POINTAGE'!AX126="Absent"),0),IF('POINTAGE'!$AZ$5&lt;&gt;"",--('POINTAGE'!AZ126="Absent"),0),IF('POINTAGE'!$BB$5&lt;&gt;"",--('POINTAGE'!BB126="Absent"),0),IF('POINTAGE'!$BD$5&lt;&gt;"",--('POINTAGE'!BD126="Absent"),0),IF('POINTAGE'!$BF$5&lt;&gt;"",--('POINTAGE'!BF126="Absent"),0),IF('POINTAGE'!$BH$5&lt;&gt;"",--('POINTAGE'!BH126="Absent"),0),IF('POINTAGE'!$BJ$5&lt;&gt;"",--('POINTAGE'!BJ126="Absent"),0),IF('POINTAGE'!$BL$5&lt;&gt;"",--('POINTAGE'!BL126="Absent"),0)))</f>
      </c>
      <c r="P126" s="23">
        <f>IF($A126="","",SUM(IF('POINTAGE'!$AH$5&lt;&gt;"",IF('POINTAGE'!AH126="Présent",'POINTAGE'!AI126,0),0),IF('POINTAGE'!$AJ$5&lt;&gt;"",IF('POINTAGE'!AJ126="Présent",'POINTAGE'!AK126,0),0),IF('POINTAGE'!$AL$5&lt;&gt;"",IF('POINTAGE'!AL126="Présent",'POINTAGE'!AM126,0),0),IF('POINTAGE'!$AN$5&lt;&gt;"",IF('POINTAGE'!AN126="Présent",'POINTAGE'!AO126,0),0),IF('POINTAGE'!$AP$5&lt;&gt;"",IF('POINTAGE'!AP126="Présent",'POINTAGE'!AQ126,0),0),IF('POINTAGE'!$AR$5&lt;&gt;"",IF('POINTAGE'!AR126="Présent",'POINTAGE'!AS126,0),0),IF('POINTAGE'!$AT$5&lt;&gt;"",IF('POINTAGE'!AT126="Présent",'POINTAGE'!AU126,0),0),IF('POINTAGE'!$AV$5&lt;&gt;"",IF('POINTAGE'!AV126="Présent",'POINTAGE'!AW126,0),0),IF('POINTAGE'!$AX$5&lt;&gt;"",IF('POINTAGE'!AX126="Présent",'POINTAGE'!AY126,0),0),IF('POINTAGE'!$AZ$5&lt;&gt;"",IF('POINTAGE'!AZ126="Présent",'POINTAGE'!BA126,0),0),IF('POINTAGE'!$BB$5&lt;&gt;"",IF('POINTAGE'!BB126="Présent",'POINTAGE'!BC126,0),0),IF('POINTAGE'!$BD$5&lt;&gt;"",IF('POINTAGE'!BD126="Présent",'POINTAGE'!BE126,0),0),IF('POINTAGE'!$BF$5&lt;&gt;"",IF('POINTAGE'!BF126="Présent",'POINTAGE'!BG126,0),0),IF('POINTAGE'!$BH$5&lt;&gt;"",IF('POINTAGE'!BH126="Présent",'POINTAGE'!BI126,0),0),IF('POINTAGE'!$BJ$5&lt;&gt;"",IF('POINTAGE'!BJ126="Présent",'POINTAGE'!BK126,0),0),IF('POINTAGE'!$BL$5&lt;&gt;"",IF('POINTAGE'!BL126="Présent",'POINTAGE'!BM126,0),0)))</f>
      </c>
      <c r="Q126" s="24">
        <f>IF($A126="","",$N126*$D126)</f>
      </c>
      <c r="R126" s="24">
        <f>IF($A126="","",$P126*$E126)</f>
      </c>
      <c r="S126" s="25">
        <f>IF($A126="","",$Q126+$R126)</f>
      </c>
      <c r="T126" s="18"/>
      <c r="U126" s="25">
        <f>IF($A126="","",MAX(0,$S126-$T126))</f>
      </c>
      <c r="V126" s="25">
        <f>IF($A126="","",$K126+$S126)</f>
      </c>
      <c r="W126" s="24">
        <f>IF($A126="","",$L126+$T126)</f>
      </c>
      <c r="X126" s="25">
        <f>IF($A126="","",$M126+$U126)</f>
      </c>
      <c r="Y126" s="29">
        <f>IF($A126="","",$J126+$R126)</f>
      </c>
    </row>
    <row r="127">
      <c r="A127" s="20">
        <f>IF('POINTAGE'!A127="","",'POINTAGE'!A127)</f>
      </c>
      <c r="B127" s="19">
        <f>IF($A127="","",'POINTAGE'!B127)</f>
      </c>
      <c r="C127" s="20">
        <f>IF($A127="","",'POINTAGE'!C127)</f>
      </c>
      <c r="D127" s="24">
        <f>IF($A127="","",IFERROR(INDEX(Categories_Salaire,MATCH($C127,ListeCategories,0)),0))</f>
      </c>
      <c r="E127" s="24">
        <f>IF($A127="","",IF(IFERROR(INDEX(Categories_TauxHS,MATCH($C127,ListeCategories,0)),0)&gt;0,IFERROR(INDEX(Categories_TauxHS,MATCH($C127,ListeCategories,0)),0),TauxHSDefaut))</f>
      </c>
      <c r="F127" s="22">
        <f>IF($A127="","",SUM(IF('POINTAGE'!$D$5&lt;&gt;"",--('POINTAGE'!D127="Présent"),0),IF('POINTAGE'!$F$5&lt;&gt;"",--('POINTAGE'!F127="Présent"),0),IF('POINTAGE'!$H$5&lt;&gt;"",--('POINTAGE'!H127="Présent"),0),IF('POINTAGE'!$J$5&lt;&gt;"",--('POINTAGE'!J127="Présent"),0),IF('POINTAGE'!$L$5&lt;&gt;"",--('POINTAGE'!L127="Présent"),0),IF('POINTAGE'!$N$5&lt;&gt;"",--('POINTAGE'!N127="Présent"),0),IF('POINTAGE'!$P$5&lt;&gt;"",--('POINTAGE'!P127="Présent"),0),IF('POINTAGE'!$R$5&lt;&gt;"",--('POINTAGE'!R127="Présent"),0),IF('POINTAGE'!$T$5&lt;&gt;"",--('POINTAGE'!T127="Présent"),0),IF('POINTAGE'!$V$5&lt;&gt;"",--('POINTAGE'!V127="Présent"),0),IF('POINTAGE'!$X$5&lt;&gt;"",--('POINTAGE'!X127="Présent"),0),IF('POINTAGE'!$Z$5&lt;&gt;"",--('POINTAGE'!Z127="Présent"),0),IF('POINTAGE'!$AB$5&lt;&gt;"",--('POINTAGE'!AB127="Présent"),0),IF('POINTAGE'!$AD$5&lt;&gt;"",--('POINTAGE'!AD127="Présent"),0),IF('POINTAGE'!$AF$5&lt;&gt;"",--('POINTAGE'!AF127="Présent"),0)))</f>
      </c>
      <c r="G127" s="22">
        <f>IF($A127="","",SUM(IF('POINTAGE'!$D$5&lt;&gt;"",--('POINTAGE'!D127="Absent"),0),IF('POINTAGE'!$F$5&lt;&gt;"",--('POINTAGE'!F127="Absent"),0),IF('POINTAGE'!$H$5&lt;&gt;"",--('POINTAGE'!H127="Absent"),0),IF('POINTAGE'!$J$5&lt;&gt;"",--('POINTAGE'!J127="Absent"),0),IF('POINTAGE'!$L$5&lt;&gt;"",--('POINTAGE'!L127="Absent"),0),IF('POINTAGE'!$N$5&lt;&gt;"",--('POINTAGE'!N127="Absent"),0),IF('POINTAGE'!$P$5&lt;&gt;"",--('POINTAGE'!P127="Absent"),0),IF('POINTAGE'!$R$5&lt;&gt;"",--('POINTAGE'!R127="Absent"),0),IF('POINTAGE'!$T$5&lt;&gt;"",--('POINTAGE'!T127="Absent"),0),IF('POINTAGE'!$V$5&lt;&gt;"",--('POINTAGE'!V127="Absent"),0),IF('POINTAGE'!$X$5&lt;&gt;"",--('POINTAGE'!X127="Absent"),0),IF('POINTAGE'!$Z$5&lt;&gt;"",--('POINTAGE'!Z127="Absent"),0),IF('POINTAGE'!$AB$5&lt;&gt;"",--('POINTAGE'!AB127="Absent"),0),IF('POINTAGE'!$AD$5&lt;&gt;"",--('POINTAGE'!AD127="Absent"),0),IF('POINTAGE'!$AF$5&lt;&gt;"",--('POINTAGE'!AF127="Absent"),0)))</f>
      </c>
      <c r="H127" s="23">
        <f>IF($A127="","",SUM(IF('POINTAGE'!$D$5&lt;&gt;"",IF('POINTAGE'!D127="Présent",'POINTAGE'!E127,0),0),IF('POINTAGE'!$F$5&lt;&gt;"",IF('POINTAGE'!F127="Présent",'POINTAGE'!G127,0),0),IF('POINTAGE'!$H$5&lt;&gt;"",IF('POINTAGE'!H127="Présent",'POINTAGE'!I127,0),0),IF('POINTAGE'!$J$5&lt;&gt;"",IF('POINTAGE'!J127="Présent",'POINTAGE'!K127,0),0),IF('POINTAGE'!$L$5&lt;&gt;"",IF('POINTAGE'!L127="Présent",'POINTAGE'!M127,0),0),IF('POINTAGE'!$N$5&lt;&gt;"",IF('POINTAGE'!N127="Présent",'POINTAGE'!O127,0),0),IF('POINTAGE'!$P$5&lt;&gt;"",IF('POINTAGE'!P127="Présent",'POINTAGE'!Q127,0),0),IF('POINTAGE'!$R$5&lt;&gt;"",IF('POINTAGE'!R127="Présent",'POINTAGE'!S127,0),0),IF('POINTAGE'!$T$5&lt;&gt;"",IF('POINTAGE'!T127="Présent",'POINTAGE'!U127,0),0),IF('POINTAGE'!$V$5&lt;&gt;"",IF('POINTAGE'!V127="Présent",'POINTAGE'!W127,0),0),IF('POINTAGE'!$X$5&lt;&gt;"",IF('POINTAGE'!X127="Présent",'POINTAGE'!Y127,0),0),IF('POINTAGE'!$Z$5&lt;&gt;"",IF('POINTAGE'!Z127="Présent",'POINTAGE'!AA127,0),0),IF('POINTAGE'!$AB$5&lt;&gt;"",IF('POINTAGE'!AB127="Présent",'POINTAGE'!AC127,0),0),IF('POINTAGE'!$AD$5&lt;&gt;"",IF('POINTAGE'!AD127="Présent",'POINTAGE'!AE127,0),0),IF('POINTAGE'!$AF$5&lt;&gt;"",IF('POINTAGE'!AF127="Présent",'POINTAGE'!AG127,0),0)))</f>
      </c>
      <c r="I127" s="24">
        <f>IF($A127="","",$F127*$D127)</f>
      </c>
      <c r="J127" s="24">
        <f>IF($A127="","",$H127*$E127)</f>
      </c>
      <c r="K127" s="25">
        <f>IF($A127="","",$I127+$J127)</f>
      </c>
      <c r="L127" s="18"/>
      <c r="M127" s="25">
        <f>IF($A127="","",MAX(0,$K127-$L127))</f>
      </c>
      <c r="N127" s="22">
        <f>IF($A127="","",SUM(IF('POINTAGE'!$AH$5&lt;&gt;"",--('POINTAGE'!AH127="Présent"),0),IF('POINTAGE'!$AJ$5&lt;&gt;"",--('POINTAGE'!AJ127="Présent"),0),IF('POINTAGE'!$AL$5&lt;&gt;"",--('POINTAGE'!AL127="Présent"),0),IF('POINTAGE'!$AN$5&lt;&gt;"",--('POINTAGE'!AN127="Présent"),0),IF('POINTAGE'!$AP$5&lt;&gt;"",--('POINTAGE'!AP127="Présent"),0),IF('POINTAGE'!$AR$5&lt;&gt;"",--('POINTAGE'!AR127="Présent"),0),IF('POINTAGE'!$AT$5&lt;&gt;"",--('POINTAGE'!AT127="Présent"),0),IF('POINTAGE'!$AV$5&lt;&gt;"",--('POINTAGE'!AV127="Présent"),0),IF('POINTAGE'!$AX$5&lt;&gt;"",--('POINTAGE'!AX127="Présent"),0),IF('POINTAGE'!$AZ$5&lt;&gt;"",--('POINTAGE'!AZ127="Présent"),0),IF('POINTAGE'!$BB$5&lt;&gt;"",--('POINTAGE'!BB127="Présent"),0),IF('POINTAGE'!$BD$5&lt;&gt;"",--('POINTAGE'!BD127="Présent"),0),IF('POINTAGE'!$BF$5&lt;&gt;"",--('POINTAGE'!BF127="Présent"),0),IF('POINTAGE'!$BH$5&lt;&gt;"",--('POINTAGE'!BH127="Présent"),0),IF('POINTAGE'!$BJ$5&lt;&gt;"",--('POINTAGE'!BJ127="Présent"),0),IF('POINTAGE'!$BL$5&lt;&gt;"",--('POINTAGE'!BL127="Présent"),0)))</f>
      </c>
      <c r="O127" s="22">
        <f>IF($A127="","",SUM(IF('POINTAGE'!$AH$5&lt;&gt;"",--('POINTAGE'!AH127="Absent"),0),IF('POINTAGE'!$AJ$5&lt;&gt;"",--('POINTAGE'!AJ127="Absent"),0),IF('POINTAGE'!$AL$5&lt;&gt;"",--('POINTAGE'!AL127="Absent"),0),IF('POINTAGE'!$AN$5&lt;&gt;"",--('POINTAGE'!AN127="Absent"),0),IF('POINTAGE'!$AP$5&lt;&gt;"",--('POINTAGE'!AP127="Absent"),0),IF('POINTAGE'!$AR$5&lt;&gt;"",--('POINTAGE'!AR127="Absent"),0),IF('POINTAGE'!$AT$5&lt;&gt;"",--('POINTAGE'!AT127="Absent"),0),IF('POINTAGE'!$AV$5&lt;&gt;"",--('POINTAGE'!AV127="Absent"),0),IF('POINTAGE'!$AX$5&lt;&gt;"",--('POINTAGE'!AX127="Absent"),0),IF('POINTAGE'!$AZ$5&lt;&gt;"",--('POINTAGE'!AZ127="Absent"),0),IF('POINTAGE'!$BB$5&lt;&gt;"",--('POINTAGE'!BB127="Absent"),0),IF('POINTAGE'!$BD$5&lt;&gt;"",--('POINTAGE'!BD127="Absent"),0),IF('POINTAGE'!$BF$5&lt;&gt;"",--('POINTAGE'!BF127="Absent"),0),IF('POINTAGE'!$BH$5&lt;&gt;"",--('POINTAGE'!BH127="Absent"),0),IF('POINTAGE'!$BJ$5&lt;&gt;"",--('POINTAGE'!BJ127="Absent"),0),IF('POINTAGE'!$BL$5&lt;&gt;"",--('POINTAGE'!BL127="Absent"),0)))</f>
      </c>
      <c r="P127" s="23">
        <f>IF($A127="","",SUM(IF('POINTAGE'!$AH$5&lt;&gt;"",IF('POINTAGE'!AH127="Présent",'POINTAGE'!AI127,0),0),IF('POINTAGE'!$AJ$5&lt;&gt;"",IF('POINTAGE'!AJ127="Présent",'POINTAGE'!AK127,0),0),IF('POINTAGE'!$AL$5&lt;&gt;"",IF('POINTAGE'!AL127="Présent",'POINTAGE'!AM127,0),0),IF('POINTAGE'!$AN$5&lt;&gt;"",IF('POINTAGE'!AN127="Présent",'POINTAGE'!AO127,0),0),IF('POINTAGE'!$AP$5&lt;&gt;"",IF('POINTAGE'!AP127="Présent",'POINTAGE'!AQ127,0),0),IF('POINTAGE'!$AR$5&lt;&gt;"",IF('POINTAGE'!AR127="Présent",'POINTAGE'!AS127,0),0),IF('POINTAGE'!$AT$5&lt;&gt;"",IF('POINTAGE'!AT127="Présent",'POINTAGE'!AU127,0),0),IF('POINTAGE'!$AV$5&lt;&gt;"",IF('POINTAGE'!AV127="Présent",'POINTAGE'!AW127,0),0),IF('POINTAGE'!$AX$5&lt;&gt;"",IF('POINTAGE'!AX127="Présent",'POINTAGE'!AY127,0),0),IF('POINTAGE'!$AZ$5&lt;&gt;"",IF('POINTAGE'!AZ127="Présent",'POINTAGE'!BA127,0),0),IF('POINTAGE'!$BB$5&lt;&gt;"",IF('POINTAGE'!BB127="Présent",'POINTAGE'!BC127,0),0),IF('POINTAGE'!$BD$5&lt;&gt;"",IF('POINTAGE'!BD127="Présent",'POINTAGE'!BE127,0),0),IF('POINTAGE'!$BF$5&lt;&gt;"",IF('POINTAGE'!BF127="Présent",'POINTAGE'!BG127,0),0),IF('POINTAGE'!$BH$5&lt;&gt;"",IF('POINTAGE'!BH127="Présent",'POINTAGE'!BI127,0),0),IF('POINTAGE'!$BJ$5&lt;&gt;"",IF('POINTAGE'!BJ127="Présent",'POINTAGE'!BK127,0),0),IF('POINTAGE'!$BL$5&lt;&gt;"",IF('POINTAGE'!BL127="Présent",'POINTAGE'!BM127,0),0)))</f>
      </c>
      <c r="Q127" s="24">
        <f>IF($A127="","",$N127*$D127)</f>
      </c>
      <c r="R127" s="24">
        <f>IF($A127="","",$P127*$E127)</f>
      </c>
      <c r="S127" s="25">
        <f>IF($A127="","",$Q127+$R127)</f>
      </c>
      <c r="T127" s="18"/>
      <c r="U127" s="25">
        <f>IF($A127="","",MAX(0,$S127-$T127))</f>
      </c>
      <c r="V127" s="25">
        <f>IF($A127="","",$K127+$S127)</f>
      </c>
      <c r="W127" s="24">
        <f>IF($A127="","",$L127+$T127)</f>
      </c>
      <c r="X127" s="25">
        <f>IF($A127="","",$M127+$U127)</f>
      </c>
      <c r="Y127" s="29">
        <f>IF($A127="","",$J127+$R127)</f>
      </c>
    </row>
    <row r="128">
      <c r="A128" s="20">
        <f>IF('POINTAGE'!A128="","",'POINTAGE'!A128)</f>
      </c>
      <c r="B128" s="19">
        <f>IF($A128="","",'POINTAGE'!B128)</f>
      </c>
      <c r="C128" s="20">
        <f>IF($A128="","",'POINTAGE'!C128)</f>
      </c>
      <c r="D128" s="24">
        <f>IF($A128="","",IFERROR(INDEX(Categories_Salaire,MATCH($C128,ListeCategories,0)),0))</f>
      </c>
      <c r="E128" s="24">
        <f>IF($A128="","",IF(IFERROR(INDEX(Categories_TauxHS,MATCH($C128,ListeCategories,0)),0)&gt;0,IFERROR(INDEX(Categories_TauxHS,MATCH($C128,ListeCategories,0)),0),TauxHSDefaut))</f>
      </c>
      <c r="F128" s="22">
        <f>IF($A128="","",SUM(IF('POINTAGE'!$D$5&lt;&gt;"",--('POINTAGE'!D128="Présent"),0),IF('POINTAGE'!$F$5&lt;&gt;"",--('POINTAGE'!F128="Présent"),0),IF('POINTAGE'!$H$5&lt;&gt;"",--('POINTAGE'!H128="Présent"),0),IF('POINTAGE'!$J$5&lt;&gt;"",--('POINTAGE'!J128="Présent"),0),IF('POINTAGE'!$L$5&lt;&gt;"",--('POINTAGE'!L128="Présent"),0),IF('POINTAGE'!$N$5&lt;&gt;"",--('POINTAGE'!N128="Présent"),0),IF('POINTAGE'!$P$5&lt;&gt;"",--('POINTAGE'!P128="Présent"),0),IF('POINTAGE'!$R$5&lt;&gt;"",--('POINTAGE'!R128="Présent"),0),IF('POINTAGE'!$T$5&lt;&gt;"",--('POINTAGE'!T128="Présent"),0),IF('POINTAGE'!$V$5&lt;&gt;"",--('POINTAGE'!V128="Présent"),0),IF('POINTAGE'!$X$5&lt;&gt;"",--('POINTAGE'!X128="Présent"),0),IF('POINTAGE'!$Z$5&lt;&gt;"",--('POINTAGE'!Z128="Présent"),0),IF('POINTAGE'!$AB$5&lt;&gt;"",--('POINTAGE'!AB128="Présent"),0),IF('POINTAGE'!$AD$5&lt;&gt;"",--('POINTAGE'!AD128="Présent"),0),IF('POINTAGE'!$AF$5&lt;&gt;"",--('POINTAGE'!AF128="Présent"),0)))</f>
      </c>
      <c r="G128" s="22">
        <f>IF($A128="","",SUM(IF('POINTAGE'!$D$5&lt;&gt;"",--('POINTAGE'!D128="Absent"),0),IF('POINTAGE'!$F$5&lt;&gt;"",--('POINTAGE'!F128="Absent"),0),IF('POINTAGE'!$H$5&lt;&gt;"",--('POINTAGE'!H128="Absent"),0),IF('POINTAGE'!$J$5&lt;&gt;"",--('POINTAGE'!J128="Absent"),0),IF('POINTAGE'!$L$5&lt;&gt;"",--('POINTAGE'!L128="Absent"),0),IF('POINTAGE'!$N$5&lt;&gt;"",--('POINTAGE'!N128="Absent"),0),IF('POINTAGE'!$P$5&lt;&gt;"",--('POINTAGE'!P128="Absent"),0),IF('POINTAGE'!$R$5&lt;&gt;"",--('POINTAGE'!R128="Absent"),0),IF('POINTAGE'!$T$5&lt;&gt;"",--('POINTAGE'!T128="Absent"),0),IF('POINTAGE'!$V$5&lt;&gt;"",--('POINTAGE'!V128="Absent"),0),IF('POINTAGE'!$X$5&lt;&gt;"",--('POINTAGE'!X128="Absent"),0),IF('POINTAGE'!$Z$5&lt;&gt;"",--('POINTAGE'!Z128="Absent"),0),IF('POINTAGE'!$AB$5&lt;&gt;"",--('POINTAGE'!AB128="Absent"),0),IF('POINTAGE'!$AD$5&lt;&gt;"",--('POINTAGE'!AD128="Absent"),0),IF('POINTAGE'!$AF$5&lt;&gt;"",--('POINTAGE'!AF128="Absent"),0)))</f>
      </c>
      <c r="H128" s="23">
        <f>IF($A128="","",SUM(IF('POINTAGE'!$D$5&lt;&gt;"",IF('POINTAGE'!D128="Présent",'POINTAGE'!E128,0),0),IF('POINTAGE'!$F$5&lt;&gt;"",IF('POINTAGE'!F128="Présent",'POINTAGE'!G128,0),0),IF('POINTAGE'!$H$5&lt;&gt;"",IF('POINTAGE'!H128="Présent",'POINTAGE'!I128,0),0),IF('POINTAGE'!$J$5&lt;&gt;"",IF('POINTAGE'!J128="Présent",'POINTAGE'!K128,0),0),IF('POINTAGE'!$L$5&lt;&gt;"",IF('POINTAGE'!L128="Présent",'POINTAGE'!M128,0),0),IF('POINTAGE'!$N$5&lt;&gt;"",IF('POINTAGE'!N128="Présent",'POINTAGE'!O128,0),0),IF('POINTAGE'!$P$5&lt;&gt;"",IF('POINTAGE'!P128="Présent",'POINTAGE'!Q128,0),0),IF('POINTAGE'!$R$5&lt;&gt;"",IF('POINTAGE'!R128="Présent",'POINTAGE'!S128,0),0),IF('POINTAGE'!$T$5&lt;&gt;"",IF('POINTAGE'!T128="Présent",'POINTAGE'!U128,0),0),IF('POINTAGE'!$V$5&lt;&gt;"",IF('POINTAGE'!V128="Présent",'POINTAGE'!W128,0),0),IF('POINTAGE'!$X$5&lt;&gt;"",IF('POINTAGE'!X128="Présent",'POINTAGE'!Y128,0),0),IF('POINTAGE'!$Z$5&lt;&gt;"",IF('POINTAGE'!Z128="Présent",'POINTAGE'!AA128,0),0),IF('POINTAGE'!$AB$5&lt;&gt;"",IF('POINTAGE'!AB128="Présent",'POINTAGE'!AC128,0),0),IF('POINTAGE'!$AD$5&lt;&gt;"",IF('POINTAGE'!AD128="Présent",'POINTAGE'!AE128,0),0),IF('POINTAGE'!$AF$5&lt;&gt;"",IF('POINTAGE'!AF128="Présent",'POINTAGE'!AG128,0),0)))</f>
      </c>
      <c r="I128" s="24">
        <f>IF($A128="","",$F128*$D128)</f>
      </c>
      <c r="J128" s="24">
        <f>IF($A128="","",$H128*$E128)</f>
      </c>
      <c r="K128" s="25">
        <f>IF($A128="","",$I128+$J128)</f>
      </c>
      <c r="L128" s="18"/>
      <c r="M128" s="25">
        <f>IF($A128="","",MAX(0,$K128-$L128))</f>
      </c>
      <c r="N128" s="22">
        <f>IF($A128="","",SUM(IF('POINTAGE'!$AH$5&lt;&gt;"",--('POINTAGE'!AH128="Présent"),0),IF('POINTAGE'!$AJ$5&lt;&gt;"",--('POINTAGE'!AJ128="Présent"),0),IF('POINTAGE'!$AL$5&lt;&gt;"",--('POINTAGE'!AL128="Présent"),0),IF('POINTAGE'!$AN$5&lt;&gt;"",--('POINTAGE'!AN128="Présent"),0),IF('POINTAGE'!$AP$5&lt;&gt;"",--('POINTAGE'!AP128="Présent"),0),IF('POINTAGE'!$AR$5&lt;&gt;"",--('POINTAGE'!AR128="Présent"),0),IF('POINTAGE'!$AT$5&lt;&gt;"",--('POINTAGE'!AT128="Présent"),0),IF('POINTAGE'!$AV$5&lt;&gt;"",--('POINTAGE'!AV128="Présent"),0),IF('POINTAGE'!$AX$5&lt;&gt;"",--('POINTAGE'!AX128="Présent"),0),IF('POINTAGE'!$AZ$5&lt;&gt;"",--('POINTAGE'!AZ128="Présent"),0),IF('POINTAGE'!$BB$5&lt;&gt;"",--('POINTAGE'!BB128="Présent"),0),IF('POINTAGE'!$BD$5&lt;&gt;"",--('POINTAGE'!BD128="Présent"),0),IF('POINTAGE'!$BF$5&lt;&gt;"",--('POINTAGE'!BF128="Présent"),0),IF('POINTAGE'!$BH$5&lt;&gt;"",--('POINTAGE'!BH128="Présent"),0),IF('POINTAGE'!$BJ$5&lt;&gt;"",--('POINTAGE'!BJ128="Présent"),0),IF('POINTAGE'!$BL$5&lt;&gt;"",--('POINTAGE'!BL128="Présent"),0)))</f>
      </c>
      <c r="O128" s="22">
        <f>IF($A128="","",SUM(IF('POINTAGE'!$AH$5&lt;&gt;"",--('POINTAGE'!AH128="Absent"),0),IF('POINTAGE'!$AJ$5&lt;&gt;"",--('POINTAGE'!AJ128="Absent"),0),IF('POINTAGE'!$AL$5&lt;&gt;"",--('POINTAGE'!AL128="Absent"),0),IF('POINTAGE'!$AN$5&lt;&gt;"",--('POINTAGE'!AN128="Absent"),0),IF('POINTAGE'!$AP$5&lt;&gt;"",--('POINTAGE'!AP128="Absent"),0),IF('POINTAGE'!$AR$5&lt;&gt;"",--('POINTAGE'!AR128="Absent"),0),IF('POINTAGE'!$AT$5&lt;&gt;"",--('POINTAGE'!AT128="Absent"),0),IF('POINTAGE'!$AV$5&lt;&gt;"",--('POINTAGE'!AV128="Absent"),0),IF('POINTAGE'!$AX$5&lt;&gt;"",--('POINTAGE'!AX128="Absent"),0),IF('POINTAGE'!$AZ$5&lt;&gt;"",--('POINTAGE'!AZ128="Absent"),0),IF('POINTAGE'!$BB$5&lt;&gt;"",--('POINTAGE'!BB128="Absent"),0),IF('POINTAGE'!$BD$5&lt;&gt;"",--('POINTAGE'!BD128="Absent"),0),IF('POINTAGE'!$BF$5&lt;&gt;"",--('POINTAGE'!BF128="Absent"),0),IF('POINTAGE'!$BH$5&lt;&gt;"",--('POINTAGE'!BH128="Absent"),0),IF('POINTAGE'!$BJ$5&lt;&gt;"",--('POINTAGE'!BJ128="Absent"),0),IF('POINTAGE'!$BL$5&lt;&gt;"",--('POINTAGE'!BL128="Absent"),0)))</f>
      </c>
      <c r="P128" s="23">
        <f>IF($A128="","",SUM(IF('POINTAGE'!$AH$5&lt;&gt;"",IF('POINTAGE'!AH128="Présent",'POINTAGE'!AI128,0),0),IF('POINTAGE'!$AJ$5&lt;&gt;"",IF('POINTAGE'!AJ128="Présent",'POINTAGE'!AK128,0),0),IF('POINTAGE'!$AL$5&lt;&gt;"",IF('POINTAGE'!AL128="Présent",'POINTAGE'!AM128,0),0),IF('POINTAGE'!$AN$5&lt;&gt;"",IF('POINTAGE'!AN128="Présent",'POINTAGE'!AO128,0),0),IF('POINTAGE'!$AP$5&lt;&gt;"",IF('POINTAGE'!AP128="Présent",'POINTAGE'!AQ128,0),0),IF('POINTAGE'!$AR$5&lt;&gt;"",IF('POINTAGE'!AR128="Présent",'POINTAGE'!AS128,0),0),IF('POINTAGE'!$AT$5&lt;&gt;"",IF('POINTAGE'!AT128="Présent",'POINTAGE'!AU128,0),0),IF('POINTAGE'!$AV$5&lt;&gt;"",IF('POINTAGE'!AV128="Présent",'POINTAGE'!AW128,0),0),IF('POINTAGE'!$AX$5&lt;&gt;"",IF('POINTAGE'!AX128="Présent",'POINTAGE'!AY128,0),0),IF('POINTAGE'!$AZ$5&lt;&gt;"",IF('POINTAGE'!AZ128="Présent",'POINTAGE'!BA128,0),0),IF('POINTAGE'!$BB$5&lt;&gt;"",IF('POINTAGE'!BB128="Présent",'POINTAGE'!BC128,0),0),IF('POINTAGE'!$BD$5&lt;&gt;"",IF('POINTAGE'!BD128="Présent",'POINTAGE'!BE128,0),0),IF('POINTAGE'!$BF$5&lt;&gt;"",IF('POINTAGE'!BF128="Présent",'POINTAGE'!BG128,0),0),IF('POINTAGE'!$BH$5&lt;&gt;"",IF('POINTAGE'!BH128="Présent",'POINTAGE'!BI128,0),0),IF('POINTAGE'!$BJ$5&lt;&gt;"",IF('POINTAGE'!BJ128="Présent",'POINTAGE'!BK128,0),0),IF('POINTAGE'!$BL$5&lt;&gt;"",IF('POINTAGE'!BL128="Présent",'POINTAGE'!BM128,0),0)))</f>
      </c>
      <c r="Q128" s="24">
        <f>IF($A128="","",$N128*$D128)</f>
      </c>
      <c r="R128" s="24">
        <f>IF($A128="","",$P128*$E128)</f>
      </c>
      <c r="S128" s="25">
        <f>IF($A128="","",$Q128+$R128)</f>
      </c>
      <c r="T128" s="18"/>
      <c r="U128" s="25">
        <f>IF($A128="","",MAX(0,$S128-$T128))</f>
      </c>
      <c r="V128" s="25">
        <f>IF($A128="","",$K128+$S128)</f>
      </c>
      <c r="W128" s="24">
        <f>IF($A128="","",$L128+$T128)</f>
      </c>
      <c r="X128" s="25">
        <f>IF($A128="","",$M128+$U128)</f>
      </c>
      <c r="Y128" s="29">
        <f>IF($A128="","",$J128+$R128)</f>
      </c>
    </row>
    <row r="129">
      <c r="A129" s="20">
        <f>IF('POINTAGE'!A129="","",'POINTAGE'!A129)</f>
      </c>
      <c r="B129" s="19">
        <f>IF($A129="","",'POINTAGE'!B129)</f>
      </c>
      <c r="C129" s="20">
        <f>IF($A129="","",'POINTAGE'!C129)</f>
      </c>
      <c r="D129" s="24">
        <f>IF($A129="","",IFERROR(INDEX(Categories_Salaire,MATCH($C129,ListeCategories,0)),0))</f>
      </c>
      <c r="E129" s="24">
        <f>IF($A129="","",IF(IFERROR(INDEX(Categories_TauxHS,MATCH($C129,ListeCategories,0)),0)&gt;0,IFERROR(INDEX(Categories_TauxHS,MATCH($C129,ListeCategories,0)),0),TauxHSDefaut))</f>
      </c>
      <c r="F129" s="22">
        <f>IF($A129="","",SUM(IF('POINTAGE'!$D$5&lt;&gt;"",--('POINTAGE'!D129="Présent"),0),IF('POINTAGE'!$F$5&lt;&gt;"",--('POINTAGE'!F129="Présent"),0),IF('POINTAGE'!$H$5&lt;&gt;"",--('POINTAGE'!H129="Présent"),0),IF('POINTAGE'!$J$5&lt;&gt;"",--('POINTAGE'!J129="Présent"),0),IF('POINTAGE'!$L$5&lt;&gt;"",--('POINTAGE'!L129="Présent"),0),IF('POINTAGE'!$N$5&lt;&gt;"",--('POINTAGE'!N129="Présent"),0),IF('POINTAGE'!$P$5&lt;&gt;"",--('POINTAGE'!P129="Présent"),0),IF('POINTAGE'!$R$5&lt;&gt;"",--('POINTAGE'!R129="Présent"),0),IF('POINTAGE'!$T$5&lt;&gt;"",--('POINTAGE'!T129="Présent"),0),IF('POINTAGE'!$V$5&lt;&gt;"",--('POINTAGE'!V129="Présent"),0),IF('POINTAGE'!$X$5&lt;&gt;"",--('POINTAGE'!X129="Présent"),0),IF('POINTAGE'!$Z$5&lt;&gt;"",--('POINTAGE'!Z129="Présent"),0),IF('POINTAGE'!$AB$5&lt;&gt;"",--('POINTAGE'!AB129="Présent"),0),IF('POINTAGE'!$AD$5&lt;&gt;"",--('POINTAGE'!AD129="Présent"),0),IF('POINTAGE'!$AF$5&lt;&gt;"",--('POINTAGE'!AF129="Présent"),0)))</f>
      </c>
      <c r="G129" s="22">
        <f>IF($A129="","",SUM(IF('POINTAGE'!$D$5&lt;&gt;"",--('POINTAGE'!D129="Absent"),0),IF('POINTAGE'!$F$5&lt;&gt;"",--('POINTAGE'!F129="Absent"),0),IF('POINTAGE'!$H$5&lt;&gt;"",--('POINTAGE'!H129="Absent"),0),IF('POINTAGE'!$J$5&lt;&gt;"",--('POINTAGE'!J129="Absent"),0),IF('POINTAGE'!$L$5&lt;&gt;"",--('POINTAGE'!L129="Absent"),0),IF('POINTAGE'!$N$5&lt;&gt;"",--('POINTAGE'!N129="Absent"),0),IF('POINTAGE'!$P$5&lt;&gt;"",--('POINTAGE'!P129="Absent"),0),IF('POINTAGE'!$R$5&lt;&gt;"",--('POINTAGE'!R129="Absent"),0),IF('POINTAGE'!$T$5&lt;&gt;"",--('POINTAGE'!T129="Absent"),0),IF('POINTAGE'!$V$5&lt;&gt;"",--('POINTAGE'!V129="Absent"),0),IF('POINTAGE'!$X$5&lt;&gt;"",--('POINTAGE'!X129="Absent"),0),IF('POINTAGE'!$Z$5&lt;&gt;"",--('POINTAGE'!Z129="Absent"),0),IF('POINTAGE'!$AB$5&lt;&gt;"",--('POINTAGE'!AB129="Absent"),0),IF('POINTAGE'!$AD$5&lt;&gt;"",--('POINTAGE'!AD129="Absent"),0),IF('POINTAGE'!$AF$5&lt;&gt;"",--('POINTAGE'!AF129="Absent"),0)))</f>
      </c>
      <c r="H129" s="23">
        <f>IF($A129="","",SUM(IF('POINTAGE'!$D$5&lt;&gt;"",IF('POINTAGE'!D129="Présent",'POINTAGE'!E129,0),0),IF('POINTAGE'!$F$5&lt;&gt;"",IF('POINTAGE'!F129="Présent",'POINTAGE'!G129,0),0),IF('POINTAGE'!$H$5&lt;&gt;"",IF('POINTAGE'!H129="Présent",'POINTAGE'!I129,0),0),IF('POINTAGE'!$J$5&lt;&gt;"",IF('POINTAGE'!J129="Présent",'POINTAGE'!K129,0),0),IF('POINTAGE'!$L$5&lt;&gt;"",IF('POINTAGE'!L129="Présent",'POINTAGE'!M129,0),0),IF('POINTAGE'!$N$5&lt;&gt;"",IF('POINTAGE'!N129="Présent",'POINTAGE'!O129,0),0),IF('POINTAGE'!$P$5&lt;&gt;"",IF('POINTAGE'!P129="Présent",'POINTAGE'!Q129,0),0),IF('POINTAGE'!$R$5&lt;&gt;"",IF('POINTAGE'!R129="Présent",'POINTAGE'!S129,0),0),IF('POINTAGE'!$T$5&lt;&gt;"",IF('POINTAGE'!T129="Présent",'POINTAGE'!U129,0),0),IF('POINTAGE'!$V$5&lt;&gt;"",IF('POINTAGE'!V129="Présent",'POINTAGE'!W129,0),0),IF('POINTAGE'!$X$5&lt;&gt;"",IF('POINTAGE'!X129="Présent",'POINTAGE'!Y129,0),0),IF('POINTAGE'!$Z$5&lt;&gt;"",IF('POINTAGE'!Z129="Présent",'POINTAGE'!AA129,0),0),IF('POINTAGE'!$AB$5&lt;&gt;"",IF('POINTAGE'!AB129="Présent",'POINTAGE'!AC129,0),0),IF('POINTAGE'!$AD$5&lt;&gt;"",IF('POINTAGE'!AD129="Présent",'POINTAGE'!AE129,0),0),IF('POINTAGE'!$AF$5&lt;&gt;"",IF('POINTAGE'!AF129="Présent",'POINTAGE'!AG129,0),0)))</f>
      </c>
      <c r="I129" s="24">
        <f>IF($A129="","",$F129*$D129)</f>
      </c>
      <c r="J129" s="24">
        <f>IF($A129="","",$H129*$E129)</f>
      </c>
      <c r="K129" s="25">
        <f>IF($A129="","",$I129+$J129)</f>
      </c>
      <c r="L129" s="18"/>
      <c r="M129" s="25">
        <f>IF($A129="","",MAX(0,$K129-$L129))</f>
      </c>
      <c r="N129" s="22">
        <f>IF($A129="","",SUM(IF('POINTAGE'!$AH$5&lt;&gt;"",--('POINTAGE'!AH129="Présent"),0),IF('POINTAGE'!$AJ$5&lt;&gt;"",--('POINTAGE'!AJ129="Présent"),0),IF('POINTAGE'!$AL$5&lt;&gt;"",--('POINTAGE'!AL129="Présent"),0),IF('POINTAGE'!$AN$5&lt;&gt;"",--('POINTAGE'!AN129="Présent"),0),IF('POINTAGE'!$AP$5&lt;&gt;"",--('POINTAGE'!AP129="Présent"),0),IF('POINTAGE'!$AR$5&lt;&gt;"",--('POINTAGE'!AR129="Présent"),0),IF('POINTAGE'!$AT$5&lt;&gt;"",--('POINTAGE'!AT129="Présent"),0),IF('POINTAGE'!$AV$5&lt;&gt;"",--('POINTAGE'!AV129="Présent"),0),IF('POINTAGE'!$AX$5&lt;&gt;"",--('POINTAGE'!AX129="Présent"),0),IF('POINTAGE'!$AZ$5&lt;&gt;"",--('POINTAGE'!AZ129="Présent"),0),IF('POINTAGE'!$BB$5&lt;&gt;"",--('POINTAGE'!BB129="Présent"),0),IF('POINTAGE'!$BD$5&lt;&gt;"",--('POINTAGE'!BD129="Présent"),0),IF('POINTAGE'!$BF$5&lt;&gt;"",--('POINTAGE'!BF129="Présent"),0),IF('POINTAGE'!$BH$5&lt;&gt;"",--('POINTAGE'!BH129="Présent"),0),IF('POINTAGE'!$BJ$5&lt;&gt;"",--('POINTAGE'!BJ129="Présent"),0),IF('POINTAGE'!$BL$5&lt;&gt;"",--('POINTAGE'!BL129="Présent"),0)))</f>
      </c>
      <c r="O129" s="22">
        <f>IF($A129="","",SUM(IF('POINTAGE'!$AH$5&lt;&gt;"",--('POINTAGE'!AH129="Absent"),0),IF('POINTAGE'!$AJ$5&lt;&gt;"",--('POINTAGE'!AJ129="Absent"),0),IF('POINTAGE'!$AL$5&lt;&gt;"",--('POINTAGE'!AL129="Absent"),0),IF('POINTAGE'!$AN$5&lt;&gt;"",--('POINTAGE'!AN129="Absent"),0),IF('POINTAGE'!$AP$5&lt;&gt;"",--('POINTAGE'!AP129="Absent"),0),IF('POINTAGE'!$AR$5&lt;&gt;"",--('POINTAGE'!AR129="Absent"),0),IF('POINTAGE'!$AT$5&lt;&gt;"",--('POINTAGE'!AT129="Absent"),0),IF('POINTAGE'!$AV$5&lt;&gt;"",--('POINTAGE'!AV129="Absent"),0),IF('POINTAGE'!$AX$5&lt;&gt;"",--('POINTAGE'!AX129="Absent"),0),IF('POINTAGE'!$AZ$5&lt;&gt;"",--('POINTAGE'!AZ129="Absent"),0),IF('POINTAGE'!$BB$5&lt;&gt;"",--('POINTAGE'!BB129="Absent"),0),IF('POINTAGE'!$BD$5&lt;&gt;"",--('POINTAGE'!BD129="Absent"),0),IF('POINTAGE'!$BF$5&lt;&gt;"",--('POINTAGE'!BF129="Absent"),0),IF('POINTAGE'!$BH$5&lt;&gt;"",--('POINTAGE'!BH129="Absent"),0),IF('POINTAGE'!$BJ$5&lt;&gt;"",--('POINTAGE'!BJ129="Absent"),0),IF('POINTAGE'!$BL$5&lt;&gt;"",--('POINTAGE'!BL129="Absent"),0)))</f>
      </c>
      <c r="P129" s="23">
        <f>IF($A129="","",SUM(IF('POINTAGE'!$AH$5&lt;&gt;"",IF('POINTAGE'!AH129="Présent",'POINTAGE'!AI129,0),0),IF('POINTAGE'!$AJ$5&lt;&gt;"",IF('POINTAGE'!AJ129="Présent",'POINTAGE'!AK129,0),0),IF('POINTAGE'!$AL$5&lt;&gt;"",IF('POINTAGE'!AL129="Présent",'POINTAGE'!AM129,0),0),IF('POINTAGE'!$AN$5&lt;&gt;"",IF('POINTAGE'!AN129="Présent",'POINTAGE'!AO129,0),0),IF('POINTAGE'!$AP$5&lt;&gt;"",IF('POINTAGE'!AP129="Présent",'POINTAGE'!AQ129,0),0),IF('POINTAGE'!$AR$5&lt;&gt;"",IF('POINTAGE'!AR129="Présent",'POINTAGE'!AS129,0),0),IF('POINTAGE'!$AT$5&lt;&gt;"",IF('POINTAGE'!AT129="Présent",'POINTAGE'!AU129,0),0),IF('POINTAGE'!$AV$5&lt;&gt;"",IF('POINTAGE'!AV129="Présent",'POINTAGE'!AW129,0),0),IF('POINTAGE'!$AX$5&lt;&gt;"",IF('POINTAGE'!AX129="Présent",'POINTAGE'!AY129,0),0),IF('POINTAGE'!$AZ$5&lt;&gt;"",IF('POINTAGE'!AZ129="Présent",'POINTAGE'!BA129,0),0),IF('POINTAGE'!$BB$5&lt;&gt;"",IF('POINTAGE'!BB129="Présent",'POINTAGE'!BC129,0),0),IF('POINTAGE'!$BD$5&lt;&gt;"",IF('POINTAGE'!BD129="Présent",'POINTAGE'!BE129,0),0),IF('POINTAGE'!$BF$5&lt;&gt;"",IF('POINTAGE'!BF129="Présent",'POINTAGE'!BG129,0),0),IF('POINTAGE'!$BH$5&lt;&gt;"",IF('POINTAGE'!BH129="Présent",'POINTAGE'!BI129,0),0),IF('POINTAGE'!$BJ$5&lt;&gt;"",IF('POINTAGE'!BJ129="Présent",'POINTAGE'!BK129,0),0),IF('POINTAGE'!$BL$5&lt;&gt;"",IF('POINTAGE'!BL129="Présent",'POINTAGE'!BM129,0),0)))</f>
      </c>
      <c r="Q129" s="24">
        <f>IF($A129="","",$N129*$D129)</f>
      </c>
      <c r="R129" s="24">
        <f>IF($A129="","",$P129*$E129)</f>
      </c>
      <c r="S129" s="25">
        <f>IF($A129="","",$Q129+$R129)</f>
      </c>
      <c r="T129" s="18"/>
      <c r="U129" s="25">
        <f>IF($A129="","",MAX(0,$S129-$T129))</f>
      </c>
      <c r="V129" s="25">
        <f>IF($A129="","",$K129+$S129)</f>
      </c>
      <c r="W129" s="24">
        <f>IF($A129="","",$L129+$T129)</f>
      </c>
      <c r="X129" s="25">
        <f>IF($A129="","",$M129+$U129)</f>
      </c>
      <c r="Y129" s="29">
        <f>IF($A129="","",$J129+$R129)</f>
      </c>
    </row>
    <row r="130">
      <c r="A130" s="20">
        <f>IF('POINTAGE'!A130="","",'POINTAGE'!A130)</f>
      </c>
      <c r="B130" s="19">
        <f>IF($A130="","",'POINTAGE'!B130)</f>
      </c>
      <c r="C130" s="20">
        <f>IF($A130="","",'POINTAGE'!C130)</f>
      </c>
      <c r="D130" s="24">
        <f>IF($A130="","",IFERROR(INDEX(Categories_Salaire,MATCH($C130,ListeCategories,0)),0))</f>
      </c>
      <c r="E130" s="24">
        <f>IF($A130="","",IF(IFERROR(INDEX(Categories_TauxHS,MATCH($C130,ListeCategories,0)),0)&gt;0,IFERROR(INDEX(Categories_TauxHS,MATCH($C130,ListeCategories,0)),0),TauxHSDefaut))</f>
      </c>
      <c r="F130" s="22">
        <f>IF($A130="","",SUM(IF('POINTAGE'!$D$5&lt;&gt;"",--('POINTAGE'!D130="Présent"),0),IF('POINTAGE'!$F$5&lt;&gt;"",--('POINTAGE'!F130="Présent"),0),IF('POINTAGE'!$H$5&lt;&gt;"",--('POINTAGE'!H130="Présent"),0),IF('POINTAGE'!$J$5&lt;&gt;"",--('POINTAGE'!J130="Présent"),0),IF('POINTAGE'!$L$5&lt;&gt;"",--('POINTAGE'!L130="Présent"),0),IF('POINTAGE'!$N$5&lt;&gt;"",--('POINTAGE'!N130="Présent"),0),IF('POINTAGE'!$P$5&lt;&gt;"",--('POINTAGE'!P130="Présent"),0),IF('POINTAGE'!$R$5&lt;&gt;"",--('POINTAGE'!R130="Présent"),0),IF('POINTAGE'!$T$5&lt;&gt;"",--('POINTAGE'!T130="Présent"),0),IF('POINTAGE'!$V$5&lt;&gt;"",--('POINTAGE'!V130="Présent"),0),IF('POINTAGE'!$X$5&lt;&gt;"",--('POINTAGE'!X130="Présent"),0),IF('POINTAGE'!$Z$5&lt;&gt;"",--('POINTAGE'!Z130="Présent"),0),IF('POINTAGE'!$AB$5&lt;&gt;"",--('POINTAGE'!AB130="Présent"),0),IF('POINTAGE'!$AD$5&lt;&gt;"",--('POINTAGE'!AD130="Présent"),0),IF('POINTAGE'!$AF$5&lt;&gt;"",--('POINTAGE'!AF130="Présent"),0)))</f>
      </c>
      <c r="G130" s="22">
        <f>IF($A130="","",SUM(IF('POINTAGE'!$D$5&lt;&gt;"",--('POINTAGE'!D130="Absent"),0),IF('POINTAGE'!$F$5&lt;&gt;"",--('POINTAGE'!F130="Absent"),0),IF('POINTAGE'!$H$5&lt;&gt;"",--('POINTAGE'!H130="Absent"),0),IF('POINTAGE'!$J$5&lt;&gt;"",--('POINTAGE'!J130="Absent"),0),IF('POINTAGE'!$L$5&lt;&gt;"",--('POINTAGE'!L130="Absent"),0),IF('POINTAGE'!$N$5&lt;&gt;"",--('POINTAGE'!N130="Absent"),0),IF('POINTAGE'!$P$5&lt;&gt;"",--('POINTAGE'!P130="Absent"),0),IF('POINTAGE'!$R$5&lt;&gt;"",--('POINTAGE'!R130="Absent"),0),IF('POINTAGE'!$T$5&lt;&gt;"",--('POINTAGE'!T130="Absent"),0),IF('POINTAGE'!$V$5&lt;&gt;"",--('POINTAGE'!V130="Absent"),0),IF('POINTAGE'!$X$5&lt;&gt;"",--('POINTAGE'!X130="Absent"),0),IF('POINTAGE'!$Z$5&lt;&gt;"",--('POINTAGE'!Z130="Absent"),0),IF('POINTAGE'!$AB$5&lt;&gt;"",--('POINTAGE'!AB130="Absent"),0),IF('POINTAGE'!$AD$5&lt;&gt;"",--('POINTAGE'!AD130="Absent"),0),IF('POINTAGE'!$AF$5&lt;&gt;"",--('POINTAGE'!AF130="Absent"),0)))</f>
      </c>
      <c r="H130" s="23">
        <f>IF($A130="","",SUM(IF('POINTAGE'!$D$5&lt;&gt;"",IF('POINTAGE'!D130="Présent",'POINTAGE'!E130,0),0),IF('POINTAGE'!$F$5&lt;&gt;"",IF('POINTAGE'!F130="Présent",'POINTAGE'!G130,0),0),IF('POINTAGE'!$H$5&lt;&gt;"",IF('POINTAGE'!H130="Présent",'POINTAGE'!I130,0),0),IF('POINTAGE'!$J$5&lt;&gt;"",IF('POINTAGE'!J130="Présent",'POINTAGE'!K130,0),0),IF('POINTAGE'!$L$5&lt;&gt;"",IF('POINTAGE'!L130="Présent",'POINTAGE'!M130,0),0),IF('POINTAGE'!$N$5&lt;&gt;"",IF('POINTAGE'!N130="Présent",'POINTAGE'!O130,0),0),IF('POINTAGE'!$P$5&lt;&gt;"",IF('POINTAGE'!P130="Présent",'POINTAGE'!Q130,0),0),IF('POINTAGE'!$R$5&lt;&gt;"",IF('POINTAGE'!R130="Présent",'POINTAGE'!S130,0),0),IF('POINTAGE'!$T$5&lt;&gt;"",IF('POINTAGE'!T130="Présent",'POINTAGE'!U130,0),0),IF('POINTAGE'!$V$5&lt;&gt;"",IF('POINTAGE'!V130="Présent",'POINTAGE'!W130,0),0),IF('POINTAGE'!$X$5&lt;&gt;"",IF('POINTAGE'!X130="Présent",'POINTAGE'!Y130,0),0),IF('POINTAGE'!$Z$5&lt;&gt;"",IF('POINTAGE'!Z130="Présent",'POINTAGE'!AA130,0),0),IF('POINTAGE'!$AB$5&lt;&gt;"",IF('POINTAGE'!AB130="Présent",'POINTAGE'!AC130,0),0),IF('POINTAGE'!$AD$5&lt;&gt;"",IF('POINTAGE'!AD130="Présent",'POINTAGE'!AE130,0),0),IF('POINTAGE'!$AF$5&lt;&gt;"",IF('POINTAGE'!AF130="Présent",'POINTAGE'!AG130,0),0)))</f>
      </c>
      <c r="I130" s="24">
        <f>IF($A130="","",$F130*$D130)</f>
      </c>
      <c r="J130" s="24">
        <f>IF($A130="","",$H130*$E130)</f>
      </c>
      <c r="K130" s="25">
        <f>IF($A130="","",$I130+$J130)</f>
      </c>
      <c r="L130" s="18"/>
      <c r="M130" s="25">
        <f>IF($A130="","",MAX(0,$K130-$L130))</f>
      </c>
      <c r="N130" s="22">
        <f>IF($A130="","",SUM(IF('POINTAGE'!$AH$5&lt;&gt;"",--('POINTAGE'!AH130="Présent"),0),IF('POINTAGE'!$AJ$5&lt;&gt;"",--('POINTAGE'!AJ130="Présent"),0),IF('POINTAGE'!$AL$5&lt;&gt;"",--('POINTAGE'!AL130="Présent"),0),IF('POINTAGE'!$AN$5&lt;&gt;"",--('POINTAGE'!AN130="Présent"),0),IF('POINTAGE'!$AP$5&lt;&gt;"",--('POINTAGE'!AP130="Présent"),0),IF('POINTAGE'!$AR$5&lt;&gt;"",--('POINTAGE'!AR130="Présent"),0),IF('POINTAGE'!$AT$5&lt;&gt;"",--('POINTAGE'!AT130="Présent"),0),IF('POINTAGE'!$AV$5&lt;&gt;"",--('POINTAGE'!AV130="Présent"),0),IF('POINTAGE'!$AX$5&lt;&gt;"",--('POINTAGE'!AX130="Présent"),0),IF('POINTAGE'!$AZ$5&lt;&gt;"",--('POINTAGE'!AZ130="Présent"),0),IF('POINTAGE'!$BB$5&lt;&gt;"",--('POINTAGE'!BB130="Présent"),0),IF('POINTAGE'!$BD$5&lt;&gt;"",--('POINTAGE'!BD130="Présent"),0),IF('POINTAGE'!$BF$5&lt;&gt;"",--('POINTAGE'!BF130="Présent"),0),IF('POINTAGE'!$BH$5&lt;&gt;"",--('POINTAGE'!BH130="Présent"),0),IF('POINTAGE'!$BJ$5&lt;&gt;"",--('POINTAGE'!BJ130="Présent"),0),IF('POINTAGE'!$BL$5&lt;&gt;"",--('POINTAGE'!BL130="Présent"),0)))</f>
      </c>
      <c r="O130" s="22">
        <f>IF($A130="","",SUM(IF('POINTAGE'!$AH$5&lt;&gt;"",--('POINTAGE'!AH130="Absent"),0),IF('POINTAGE'!$AJ$5&lt;&gt;"",--('POINTAGE'!AJ130="Absent"),0),IF('POINTAGE'!$AL$5&lt;&gt;"",--('POINTAGE'!AL130="Absent"),0),IF('POINTAGE'!$AN$5&lt;&gt;"",--('POINTAGE'!AN130="Absent"),0),IF('POINTAGE'!$AP$5&lt;&gt;"",--('POINTAGE'!AP130="Absent"),0),IF('POINTAGE'!$AR$5&lt;&gt;"",--('POINTAGE'!AR130="Absent"),0),IF('POINTAGE'!$AT$5&lt;&gt;"",--('POINTAGE'!AT130="Absent"),0),IF('POINTAGE'!$AV$5&lt;&gt;"",--('POINTAGE'!AV130="Absent"),0),IF('POINTAGE'!$AX$5&lt;&gt;"",--('POINTAGE'!AX130="Absent"),0),IF('POINTAGE'!$AZ$5&lt;&gt;"",--('POINTAGE'!AZ130="Absent"),0),IF('POINTAGE'!$BB$5&lt;&gt;"",--('POINTAGE'!BB130="Absent"),0),IF('POINTAGE'!$BD$5&lt;&gt;"",--('POINTAGE'!BD130="Absent"),0),IF('POINTAGE'!$BF$5&lt;&gt;"",--('POINTAGE'!BF130="Absent"),0),IF('POINTAGE'!$BH$5&lt;&gt;"",--('POINTAGE'!BH130="Absent"),0),IF('POINTAGE'!$BJ$5&lt;&gt;"",--('POINTAGE'!BJ130="Absent"),0),IF('POINTAGE'!$BL$5&lt;&gt;"",--('POINTAGE'!BL130="Absent"),0)))</f>
      </c>
      <c r="P130" s="23">
        <f>IF($A130="","",SUM(IF('POINTAGE'!$AH$5&lt;&gt;"",IF('POINTAGE'!AH130="Présent",'POINTAGE'!AI130,0),0),IF('POINTAGE'!$AJ$5&lt;&gt;"",IF('POINTAGE'!AJ130="Présent",'POINTAGE'!AK130,0),0),IF('POINTAGE'!$AL$5&lt;&gt;"",IF('POINTAGE'!AL130="Présent",'POINTAGE'!AM130,0),0),IF('POINTAGE'!$AN$5&lt;&gt;"",IF('POINTAGE'!AN130="Présent",'POINTAGE'!AO130,0),0),IF('POINTAGE'!$AP$5&lt;&gt;"",IF('POINTAGE'!AP130="Présent",'POINTAGE'!AQ130,0),0),IF('POINTAGE'!$AR$5&lt;&gt;"",IF('POINTAGE'!AR130="Présent",'POINTAGE'!AS130,0),0),IF('POINTAGE'!$AT$5&lt;&gt;"",IF('POINTAGE'!AT130="Présent",'POINTAGE'!AU130,0),0),IF('POINTAGE'!$AV$5&lt;&gt;"",IF('POINTAGE'!AV130="Présent",'POINTAGE'!AW130,0),0),IF('POINTAGE'!$AX$5&lt;&gt;"",IF('POINTAGE'!AX130="Présent",'POINTAGE'!AY130,0),0),IF('POINTAGE'!$AZ$5&lt;&gt;"",IF('POINTAGE'!AZ130="Présent",'POINTAGE'!BA130,0),0),IF('POINTAGE'!$BB$5&lt;&gt;"",IF('POINTAGE'!BB130="Présent",'POINTAGE'!BC130,0),0),IF('POINTAGE'!$BD$5&lt;&gt;"",IF('POINTAGE'!BD130="Présent",'POINTAGE'!BE130,0),0),IF('POINTAGE'!$BF$5&lt;&gt;"",IF('POINTAGE'!BF130="Présent",'POINTAGE'!BG130,0),0),IF('POINTAGE'!$BH$5&lt;&gt;"",IF('POINTAGE'!BH130="Présent",'POINTAGE'!BI130,0),0),IF('POINTAGE'!$BJ$5&lt;&gt;"",IF('POINTAGE'!BJ130="Présent",'POINTAGE'!BK130,0),0),IF('POINTAGE'!$BL$5&lt;&gt;"",IF('POINTAGE'!BL130="Présent",'POINTAGE'!BM130,0),0)))</f>
      </c>
      <c r="Q130" s="24">
        <f>IF($A130="","",$N130*$D130)</f>
      </c>
      <c r="R130" s="24">
        <f>IF($A130="","",$P130*$E130)</f>
      </c>
      <c r="S130" s="25">
        <f>IF($A130="","",$Q130+$R130)</f>
      </c>
      <c r="T130" s="18"/>
      <c r="U130" s="25">
        <f>IF($A130="","",MAX(0,$S130-$T130))</f>
      </c>
      <c r="V130" s="25">
        <f>IF($A130="","",$K130+$S130)</f>
      </c>
      <c r="W130" s="24">
        <f>IF($A130="","",$L130+$T130)</f>
      </c>
      <c r="X130" s="25">
        <f>IF($A130="","",$M130+$U130)</f>
      </c>
      <c r="Y130" s="29">
        <f>IF($A130="","",$J130+$R130)</f>
      </c>
    </row>
    <row r="131">
      <c r="A131" s="20">
        <f>IF('POINTAGE'!A131="","",'POINTAGE'!A131)</f>
      </c>
      <c r="B131" s="19">
        <f>IF($A131="","",'POINTAGE'!B131)</f>
      </c>
      <c r="C131" s="20">
        <f>IF($A131="","",'POINTAGE'!C131)</f>
      </c>
      <c r="D131" s="24">
        <f>IF($A131="","",IFERROR(INDEX(Categories_Salaire,MATCH($C131,ListeCategories,0)),0))</f>
      </c>
      <c r="E131" s="24">
        <f>IF($A131="","",IF(IFERROR(INDEX(Categories_TauxHS,MATCH($C131,ListeCategories,0)),0)&gt;0,IFERROR(INDEX(Categories_TauxHS,MATCH($C131,ListeCategories,0)),0),TauxHSDefaut))</f>
      </c>
      <c r="F131" s="22">
        <f>IF($A131="","",SUM(IF('POINTAGE'!$D$5&lt;&gt;"",--('POINTAGE'!D131="Présent"),0),IF('POINTAGE'!$F$5&lt;&gt;"",--('POINTAGE'!F131="Présent"),0),IF('POINTAGE'!$H$5&lt;&gt;"",--('POINTAGE'!H131="Présent"),0),IF('POINTAGE'!$J$5&lt;&gt;"",--('POINTAGE'!J131="Présent"),0),IF('POINTAGE'!$L$5&lt;&gt;"",--('POINTAGE'!L131="Présent"),0),IF('POINTAGE'!$N$5&lt;&gt;"",--('POINTAGE'!N131="Présent"),0),IF('POINTAGE'!$P$5&lt;&gt;"",--('POINTAGE'!P131="Présent"),0),IF('POINTAGE'!$R$5&lt;&gt;"",--('POINTAGE'!R131="Présent"),0),IF('POINTAGE'!$T$5&lt;&gt;"",--('POINTAGE'!T131="Présent"),0),IF('POINTAGE'!$V$5&lt;&gt;"",--('POINTAGE'!V131="Présent"),0),IF('POINTAGE'!$X$5&lt;&gt;"",--('POINTAGE'!X131="Présent"),0),IF('POINTAGE'!$Z$5&lt;&gt;"",--('POINTAGE'!Z131="Présent"),0),IF('POINTAGE'!$AB$5&lt;&gt;"",--('POINTAGE'!AB131="Présent"),0),IF('POINTAGE'!$AD$5&lt;&gt;"",--('POINTAGE'!AD131="Présent"),0),IF('POINTAGE'!$AF$5&lt;&gt;"",--('POINTAGE'!AF131="Présent"),0)))</f>
      </c>
      <c r="G131" s="22">
        <f>IF($A131="","",SUM(IF('POINTAGE'!$D$5&lt;&gt;"",--('POINTAGE'!D131="Absent"),0),IF('POINTAGE'!$F$5&lt;&gt;"",--('POINTAGE'!F131="Absent"),0),IF('POINTAGE'!$H$5&lt;&gt;"",--('POINTAGE'!H131="Absent"),0),IF('POINTAGE'!$J$5&lt;&gt;"",--('POINTAGE'!J131="Absent"),0),IF('POINTAGE'!$L$5&lt;&gt;"",--('POINTAGE'!L131="Absent"),0),IF('POINTAGE'!$N$5&lt;&gt;"",--('POINTAGE'!N131="Absent"),0),IF('POINTAGE'!$P$5&lt;&gt;"",--('POINTAGE'!P131="Absent"),0),IF('POINTAGE'!$R$5&lt;&gt;"",--('POINTAGE'!R131="Absent"),0),IF('POINTAGE'!$T$5&lt;&gt;"",--('POINTAGE'!T131="Absent"),0),IF('POINTAGE'!$V$5&lt;&gt;"",--('POINTAGE'!V131="Absent"),0),IF('POINTAGE'!$X$5&lt;&gt;"",--('POINTAGE'!X131="Absent"),0),IF('POINTAGE'!$Z$5&lt;&gt;"",--('POINTAGE'!Z131="Absent"),0),IF('POINTAGE'!$AB$5&lt;&gt;"",--('POINTAGE'!AB131="Absent"),0),IF('POINTAGE'!$AD$5&lt;&gt;"",--('POINTAGE'!AD131="Absent"),0),IF('POINTAGE'!$AF$5&lt;&gt;"",--('POINTAGE'!AF131="Absent"),0)))</f>
      </c>
      <c r="H131" s="23">
        <f>IF($A131="","",SUM(IF('POINTAGE'!$D$5&lt;&gt;"",IF('POINTAGE'!D131="Présent",'POINTAGE'!E131,0),0),IF('POINTAGE'!$F$5&lt;&gt;"",IF('POINTAGE'!F131="Présent",'POINTAGE'!G131,0),0),IF('POINTAGE'!$H$5&lt;&gt;"",IF('POINTAGE'!H131="Présent",'POINTAGE'!I131,0),0),IF('POINTAGE'!$J$5&lt;&gt;"",IF('POINTAGE'!J131="Présent",'POINTAGE'!K131,0),0),IF('POINTAGE'!$L$5&lt;&gt;"",IF('POINTAGE'!L131="Présent",'POINTAGE'!M131,0),0),IF('POINTAGE'!$N$5&lt;&gt;"",IF('POINTAGE'!N131="Présent",'POINTAGE'!O131,0),0),IF('POINTAGE'!$P$5&lt;&gt;"",IF('POINTAGE'!P131="Présent",'POINTAGE'!Q131,0),0),IF('POINTAGE'!$R$5&lt;&gt;"",IF('POINTAGE'!R131="Présent",'POINTAGE'!S131,0),0),IF('POINTAGE'!$T$5&lt;&gt;"",IF('POINTAGE'!T131="Présent",'POINTAGE'!U131,0),0),IF('POINTAGE'!$V$5&lt;&gt;"",IF('POINTAGE'!V131="Présent",'POINTAGE'!W131,0),0),IF('POINTAGE'!$X$5&lt;&gt;"",IF('POINTAGE'!X131="Présent",'POINTAGE'!Y131,0),0),IF('POINTAGE'!$Z$5&lt;&gt;"",IF('POINTAGE'!Z131="Présent",'POINTAGE'!AA131,0),0),IF('POINTAGE'!$AB$5&lt;&gt;"",IF('POINTAGE'!AB131="Présent",'POINTAGE'!AC131,0),0),IF('POINTAGE'!$AD$5&lt;&gt;"",IF('POINTAGE'!AD131="Présent",'POINTAGE'!AE131,0),0),IF('POINTAGE'!$AF$5&lt;&gt;"",IF('POINTAGE'!AF131="Présent",'POINTAGE'!AG131,0),0)))</f>
      </c>
      <c r="I131" s="24">
        <f>IF($A131="","",$F131*$D131)</f>
      </c>
      <c r="J131" s="24">
        <f>IF($A131="","",$H131*$E131)</f>
      </c>
      <c r="K131" s="25">
        <f>IF($A131="","",$I131+$J131)</f>
      </c>
      <c r="L131" s="18"/>
      <c r="M131" s="25">
        <f>IF($A131="","",MAX(0,$K131-$L131))</f>
      </c>
      <c r="N131" s="22">
        <f>IF($A131="","",SUM(IF('POINTAGE'!$AH$5&lt;&gt;"",--('POINTAGE'!AH131="Présent"),0),IF('POINTAGE'!$AJ$5&lt;&gt;"",--('POINTAGE'!AJ131="Présent"),0),IF('POINTAGE'!$AL$5&lt;&gt;"",--('POINTAGE'!AL131="Présent"),0),IF('POINTAGE'!$AN$5&lt;&gt;"",--('POINTAGE'!AN131="Présent"),0),IF('POINTAGE'!$AP$5&lt;&gt;"",--('POINTAGE'!AP131="Présent"),0),IF('POINTAGE'!$AR$5&lt;&gt;"",--('POINTAGE'!AR131="Présent"),0),IF('POINTAGE'!$AT$5&lt;&gt;"",--('POINTAGE'!AT131="Présent"),0),IF('POINTAGE'!$AV$5&lt;&gt;"",--('POINTAGE'!AV131="Présent"),0),IF('POINTAGE'!$AX$5&lt;&gt;"",--('POINTAGE'!AX131="Présent"),0),IF('POINTAGE'!$AZ$5&lt;&gt;"",--('POINTAGE'!AZ131="Présent"),0),IF('POINTAGE'!$BB$5&lt;&gt;"",--('POINTAGE'!BB131="Présent"),0),IF('POINTAGE'!$BD$5&lt;&gt;"",--('POINTAGE'!BD131="Présent"),0),IF('POINTAGE'!$BF$5&lt;&gt;"",--('POINTAGE'!BF131="Présent"),0),IF('POINTAGE'!$BH$5&lt;&gt;"",--('POINTAGE'!BH131="Présent"),0),IF('POINTAGE'!$BJ$5&lt;&gt;"",--('POINTAGE'!BJ131="Présent"),0),IF('POINTAGE'!$BL$5&lt;&gt;"",--('POINTAGE'!BL131="Présent"),0)))</f>
      </c>
      <c r="O131" s="22">
        <f>IF($A131="","",SUM(IF('POINTAGE'!$AH$5&lt;&gt;"",--('POINTAGE'!AH131="Absent"),0),IF('POINTAGE'!$AJ$5&lt;&gt;"",--('POINTAGE'!AJ131="Absent"),0),IF('POINTAGE'!$AL$5&lt;&gt;"",--('POINTAGE'!AL131="Absent"),0),IF('POINTAGE'!$AN$5&lt;&gt;"",--('POINTAGE'!AN131="Absent"),0),IF('POINTAGE'!$AP$5&lt;&gt;"",--('POINTAGE'!AP131="Absent"),0),IF('POINTAGE'!$AR$5&lt;&gt;"",--('POINTAGE'!AR131="Absent"),0),IF('POINTAGE'!$AT$5&lt;&gt;"",--('POINTAGE'!AT131="Absent"),0),IF('POINTAGE'!$AV$5&lt;&gt;"",--('POINTAGE'!AV131="Absent"),0),IF('POINTAGE'!$AX$5&lt;&gt;"",--('POINTAGE'!AX131="Absent"),0),IF('POINTAGE'!$AZ$5&lt;&gt;"",--('POINTAGE'!AZ131="Absent"),0),IF('POINTAGE'!$BB$5&lt;&gt;"",--('POINTAGE'!BB131="Absent"),0),IF('POINTAGE'!$BD$5&lt;&gt;"",--('POINTAGE'!BD131="Absent"),0),IF('POINTAGE'!$BF$5&lt;&gt;"",--('POINTAGE'!BF131="Absent"),0),IF('POINTAGE'!$BH$5&lt;&gt;"",--('POINTAGE'!BH131="Absent"),0),IF('POINTAGE'!$BJ$5&lt;&gt;"",--('POINTAGE'!BJ131="Absent"),0),IF('POINTAGE'!$BL$5&lt;&gt;"",--('POINTAGE'!BL131="Absent"),0)))</f>
      </c>
      <c r="P131" s="23">
        <f>IF($A131="","",SUM(IF('POINTAGE'!$AH$5&lt;&gt;"",IF('POINTAGE'!AH131="Présent",'POINTAGE'!AI131,0),0),IF('POINTAGE'!$AJ$5&lt;&gt;"",IF('POINTAGE'!AJ131="Présent",'POINTAGE'!AK131,0),0),IF('POINTAGE'!$AL$5&lt;&gt;"",IF('POINTAGE'!AL131="Présent",'POINTAGE'!AM131,0),0),IF('POINTAGE'!$AN$5&lt;&gt;"",IF('POINTAGE'!AN131="Présent",'POINTAGE'!AO131,0),0),IF('POINTAGE'!$AP$5&lt;&gt;"",IF('POINTAGE'!AP131="Présent",'POINTAGE'!AQ131,0),0),IF('POINTAGE'!$AR$5&lt;&gt;"",IF('POINTAGE'!AR131="Présent",'POINTAGE'!AS131,0),0),IF('POINTAGE'!$AT$5&lt;&gt;"",IF('POINTAGE'!AT131="Présent",'POINTAGE'!AU131,0),0),IF('POINTAGE'!$AV$5&lt;&gt;"",IF('POINTAGE'!AV131="Présent",'POINTAGE'!AW131,0),0),IF('POINTAGE'!$AX$5&lt;&gt;"",IF('POINTAGE'!AX131="Présent",'POINTAGE'!AY131,0),0),IF('POINTAGE'!$AZ$5&lt;&gt;"",IF('POINTAGE'!AZ131="Présent",'POINTAGE'!BA131,0),0),IF('POINTAGE'!$BB$5&lt;&gt;"",IF('POINTAGE'!BB131="Présent",'POINTAGE'!BC131,0),0),IF('POINTAGE'!$BD$5&lt;&gt;"",IF('POINTAGE'!BD131="Présent",'POINTAGE'!BE131,0),0),IF('POINTAGE'!$BF$5&lt;&gt;"",IF('POINTAGE'!BF131="Présent",'POINTAGE'!BG131,0),0),IF('POINTAGE'!$BH$5&lt;&gt;"",IF('POINTAGE'!BH131="Présent",'POINTAGE'!BI131,0),0),IF('POINTAGE'!$BJ$5&lt;&gt;"",IF('POINTAGE'!BJ131="Présent",'POINTAGE'!BK131,0),0),IF('POINTAGE'!$BL$5&lt;&gt;"",IF('POINTAGE'!BL131="Présent",'POINTAGE'!BM131,0),0)))</f>
      </c>
      <c r="Q131" s="24">
        <f>IF($A131="","",$N131*$D131)</f>
      </c>
      <c r="R131" s="24">
        <f>IF($A131="","",$P131*$E131)</f>
      </c>
      <c r="S131" s="25">
        <f>IF($A131="","",$Q131+$R131)</f>
      </c>
      <c r="T131" s="18"/>
      <c r="U131" s="25">
        <f>IF($A131="","",MAX(0,$S131-$T131))</f>
      </c>
      <c r="V131" s="25">
        <f>IF($A131="","",$K131+$S131)</f>
      </c>
      <c r="W131" s="24">
        <f>IF($A131="","",$L131+$T131)</f>
      </c>
      <c r="X131" s="25">
        <f>IF($A131="","",$M131+$U131)</f>
      </c>
      <c r="Y131" s="29">
        <f>IF($A131="","",$J131+$R131)</f>
      </c>
    </row>
    <row r="132">
      <c r="A132" s="20">
        <f>IF('POINTAGE'!A132="","",'POINTAGE'!A132)</f>
      </c>
      <c r="B132" s="19">
        <f>IF($A132="","",'POINTAGE'!B132)</f>
      </c>
      <c r="C132" s="20">
        <f>IF($A132="","",'POINTAGE'!C132)</f>
      </c>
      <c r="D132" s="24">
        <f>IF($A132="","",IFERROR(INDEX(Categories_Salaire,MATCH($C132,ListeCategories,0)),0))</f>
      </c>
      <c r="E132" s="24">
        <f>IF($A132="","",IF(IFERROR(INDEX(Categories_TauxHS,MATCH($C132,ListeCategories,0)),0)&gt;0,IFERROR(INDEX(Categories_TauxHS,MATCH($C132,ListeCategories,0)),0),TauxHSDefaut))</f>
      </c>
      <c r="F132" s="22">
        <f>IF($A132="","",SUM(IF('POINTAGE'!$D$5&lt;&gt;"",--('POINTAGE'!D132="Présent"),0),IF('POINTAGE'!$F$5&lt;&gt;"",--('POINTAGE'!F132="Présent"),0),IF('POINTAGE'!$H$5&lt;&gt;"",--('POINTAGE'!H132="Présent"),0),IF('POINTAGE'!$J$5&lt;&gt;"",--('POINTAGE'!J132="Présent"),0),IF('POINTAGE'!$L$5&lt;&gt;"",--('POINTAGE'!L132="Présent"),0),IF('POINTAGE'!$N$5&lt;&gt;"",--('POINTAGE'!N132="Présent"),0),IF('POINTAGE'!$P$5&lt;&gt;"",--('POINTAGE'!P132="Présent"),0),IF('POINTAGE'!$R$5&lt;&gt;"",--('POINTAGE'!R132="Présent"),0),IF('POINTAGE'!$T$5&lt;&gt;"",--('POINTAGE'!T132="Présent"),0),IF('POINTAGE'!$V$5&lt;&gt;"",--('POINTAGE'!V132="Présent"),0),IF('POINTAGE'!$X$5&lt;&gt;"",--('POINTAGE'!X132="Présent"),0),IF('POINTAGE'!$Z$5&lt;&gt;"",--('POINTAGE'!Z132="Présent"),0),IF('POINTAGE'!$AB$5&lt;&gt;"",--('POINTAGE'!AB132="Présent"),0),IF('POINTAGE'!$AD$5&lt;&gt;"",--('POINTAGE'!AD132="Présent"),0),IF('POINTAGE'!$AF$5&lt;&gt;"",--('POINTAGE'!AF132="Présent"),0)))</f>
      </c>
      <c r="G132" s="22">
        <f>IF($A132="","",SUM(IF('POINTAGE'!$D$5&lt;&gt;"",--('POINTAGE'!D132="Absent"),0),IF('POINTAGE'!$F$5&lt;&gt;"",--('POINTAGE'!F132="Absent"),0),IF('POINTAGE'!$H$5&lt;&gt;"",--('POINTAGE'!H132="Absent"),0),IF('POINTAGE'!$J$5&lt;&gt;"",--('POINTAGE'!J132="Absent"),0),IF('POINTAGE'!$L$5&lt;&gt;"",--('POINTAGE'!L132="Absent"),0),IF('POINTAGE'!$N$5&lt;&gt;"",--('POINTAGE'!N132="Absent"),0),IF('POINTAGE'!$P$5&lt;&gt;"",--('POINTAGE'!P132="Absent"),0),IF('POINTAGE'!$R$5&lt;&gt;"",--('POINTAGE'!R132="Absent"),0),IF('POINTAGE'!$T$5&lt;&gt;"",--('POINTAGE'!T132="Absent"),0),IF('POINTAGE'!$V$5&lt;&gt;"",--('POINTAGE'!V132="Absent"),0),IF('POINTAGE'!$X$5&lt;&gt;"",--('POINTAGE'!X132="Absent"),0),IF('POINTAGE'!$Z$5&lt;&gt;"",--('POINTAGE'!Z132="Absent"),0),IF('POINTAGE'!$AB$5&lt;&gt;"",--('POINTAGE'!AB132="Absent"),0),IF('POINTAGE'!$AD$5&lt;&gt;"",--('POINTAGE'!AD132="Absent"),0),IF('POINTAGE'!$AF$5&lt;&gt;"",--('POINTAGE'!AF132="Absent"),0)))</f>
      </c>
      <c r="H132" s="23">
        <f>IF($A132="","",SUM(IF('POINTAGE'!$D$5&lt;&gt;"",IF('POINTAGE'!D132="Présent",'POINTAGE'!E132,0),0),IF('POINTAGE'!$F$5&lt;&gt;"",IF('POINTAGE'!F132="Présent",'POINTAGE'!G132,0),0),IF('POINTAGE'!$H$5&lt;&gt;"",IF('POINTAGE'!H132="Présent",'POINTAGE'!I132,0),0),IF('POINTAGE'!$J$5&lt;&gt;"",IF('POINTAGE'!J132="Présent",'POINTAGE'!K132,0),0),IF('POINTAGE'!$L$5&lt;&gt;"",IF('POINTAGE'!L132="Présent",'POINTAGE'!M132,0),0),IF('POINTAGE'!$N$5&lt;&gt;"",IF('POINTAGE'!N132="Présent",'POINTAGE'!O132,0),0),IF('POINTAGE'!$P$5&lt;&gt;"",IF('POINTAGE'!P132="Présent",'POINTAGE'!Q132,0),0),IF('POINTAGE'!$R$5&lt;&gt;"",IF('POINTAGE'!R132="Présent",'POINTAGE'!S132,0),0),IF('POINTAGE'!$T$5&lt;&gt;"",IF('POINTAGE'!T132="Présent",'POINTAGE'!U132,0),0),IF('POINTAGE'!$V$5&lt;&gt;"",IF('POINTAGE'!V132="Présent",'POINTAGE'!W132,0),0),IF('POINTAGE'!$X$5&lt;&gt;"",IF('POINTAGE'!X132="Présent",'POINTAGE'!Y132,0),0),IF('POINTAGE'!$Z$5&lt;&gt;"",IF('POINTAGE'!Z132="Présent",'POINTAGE'!AA132,0),0),IF('POINTAGE'!$AB$5&lt;&gt;"",IF('POINTAGE'!AB132="Présent",'POINTAGE'!AC132,0),0),IF('POINTAGE'!$AD$5&lt;&gt;"",IF('POINTAGE'!AD132="Présent",'POINTAGE'!AE132,0),0),IF('POINTAGE'!$AF$5&lt;&gt;"",IF('POINTAGE'!AF132="Présent",'POINTAGE'!AG132,0),0)))</f>
      </c>
      <c r="I132" s="24">
        <f>IF($A132="","",$F132*$D132)</f>
      </c>
      <c r="J132" s="24">
        <f>IF($A132="","",$H132*$E132)</f>
      </c>
      <c r="K132" s="25">
        <f>IF($A132="","",$I132+$J132)</f>
      </c>
      <c r="L132" s="18"/>
      <c r="M132" s="25">
        <f>IF($A132="","",MAX(0,$K132-$L132))</f>
      </c>
      <c r="N132" s="22">
        <f>IF($A132="","",SUM(IF('POINTAGE'!$AH$5&lt;&gt;"",--('POINTAGE'!AH132="Présent"),0),IF('POINTAGE'!$AJ$5&lt;&gt;"",--('POINTAGE'!AJ132="Présent"),0),IF('POINTAGE'!$AL$5&lt;&gt;"",--('POINTAGE'!AL132="Présent"),0),IF('POINTAGE'!$AN$5&lt;&gt;"",--('POINTAGE'!AN132="Présent"),0),IF('POINTAGE'!$AP$5&lt;&gt;"",--('POINTAGE'!AP132="Présent"),0),IF('POINTAGE'!$AR$5&lt;&gt;"",--('POINTAGE'!AR132="Présent"),0),IF('POINTAGE'!$AT$5&lt;&gt;"",--('POINTAGE'!AT132="Présent"),0),IF('POINTAGE'!$AV$5&lt;&gt;"",--('POINTAGE'!AV132="Présent"),0),IF('POINTAGE'!$AX$5&lt;&gt;"",--('POINTAGE'!AX132="Présent"),0),IF('POINTAGE'!$AZ$5&lt;&gt;"",--('POINTAGE'!AZ132="Présent"),0),IF('POINTAGE'!$BB$5&lt;&gt;"",--('POINTAGE'!BB132="Présent"),0),IF('POINTAGE'!$BD$5&lt;&gt;"",--('POINTAGE'!BD132="Présent"),0),IF('POINTAGE'!$BF$5&lt;&gt;"",--('POINTAGE'!BF132="Présent"),0),IF('POINTAGE'!$BH$5&lt;&gt;"",--('POINTAGE'!BH132="Présent"),0),IF('POINTAGE'!$BJ$5&lt;&gt;"",--('POINTAGE'!BJ132="Présent"),0),IF('POINTAGE'!$BL$5&lt;&gt;"",--('POINTAGE'!BL132="Présent"),0)))</f>
      </c>
      <c r="O132" s="22">
        <f>IF($A132="","",SUM(IF('POINTAGE'!$AH$5&lt;&gt;"",--('POINTAGE'!AH132="Absent"),0),IF('POINTAGE'!$AJ$5&lt;&gt;"",--('POINTAGE'!AJ132="Absent"),0),IF('POINTAGE'!$AL$5&lt;&gt;"",--('POINTAGE'!AL132="Absent"),0),IF('POINTAGE'!$AN$5&lt;&gt;"",--('POINTAGE'!AN132="Absent"),0),IF('POINTAGE'!$AP$5&lt;&gt;"",--('POINTAGE'!AP132="Absent"),0),IF('POINTAGE'!$AR$5&lt;&gt;"",--('POINTAGE'!AR132="Absent"),0),IF('POINTAGE'!$AT$5&lt;&gt;"",--('POINTAGE'!AT132="Absent"),0),IF('POINTAGE'!$AV$5&lt;&gt;"",--('POINTAGE'!AV132="Absent"),0),IF('POINTAGE'!$AX$5&lt;&gt;"",--('POINTAGE'!AX132="Absent"),0),IF('POINTAGE'!$AZ$5&lt;&gt;"",--('POINTAGE'!AZ132="Absent"),0),IF('POINTAGE'!$BB$5&lt;&gt;"",--('POINTAGE'!BB132="Absent"),0),IF('POINTAGE'!$BD$5&lt;&gt;"",--('POINTAGE'!BD132="Absent"),0),IF('POINTAGE'!$BF$5&lt;&gt;"",--('POINTAGE'!BF132="Absent"),0),IF('POINTAGE'!$BH$5&lt;&gt;"",--('POINTAGE'!BH132="Absent"),0),IF('POINTAGE'!$BJ$5&lt;&gt;"",--('POINTAGE'!BJ132="Absent"),0),IF('POINTAGE'!$BL$5&lt;&gt;"",--('POINTAGE'!BL132="Absent"),0)))</f>
      </c>
      <c r="P132" s="23">
        <f>IF($A132="","",SUM(IF('POINTAGE'!$AH$5&lt;&gt;"",IF('POINTAGE'!AH132="Présent",'POINTAGE'!AI132,0),0),IF('POINTAGE'!$AJ$5&lt;&gt;"",IF('POINTAGE'!AJ132="Présent",'POINTAGE'!AK132,0),0),IF('POINTAGE'!$AL$5&lt;&gt;"",IF('POINTAGE'!AL132="Présent",'POINTAGE'!AM132,0),0),IF('POINTAGE'!$AN$5&lt;&gt;"",IF('POINTAGE'!AN132="Présent",'POINTAGE'!AO132,0),0),IF('POINTAGE'!$AP$5&lt;&gt;"",IF('POINTAGE'!AP132="Présent",'POINTAGE'!AQ132,0),0),IF('POINTAGE'!$AR$5&lt;&gt;"",IF('POINTAGE'!AR132="Présent",'POINTAGE'!AS132,0),0),IF('POINTAGE'!$AT$5&lt;&gt;"",IF('POINTAGE'!AT132="Présent",'POINTAGE'!AU132,0),0),IF('POINTAGE'!$AV$5&lt;&gt;"",IF('POINTAGE'!AV132="Présent",'POINTAGE'!AW132,0),0),IF('POINTAGE'!$AX$5&lt;&gt;"",IF('POINTAGE'!AX132="Présent",'POINTAGE'!AY132,0),0),IF('POINTAGE'!$AZ$5&lt;&gt;"",IF('POINTAGE'!AZ132="Présent",'POINTAGE'!BA132,0),0),IF('POINTAGE'!$BB$5&lt;&gt;"",IF('POINTAGE'!BB132="Présent",'POINTAGE'!BC132,0),0),IF('POINTAGE'!$BD$5&lt;&gt;"",IF('POINTAGE'!BD132="Présent",'POINTAGE'!BE132,0),0),IF('POINTAGE'!$BF$5&lt;&gt;"",IF('POINTAGE'!BF132="Présent",'POINTAGE'!BG132,0),0),IF('POINTAGE'!$BH$5&lt;&gt;"",IF('POINTAGE'!BH132="Présent",'POINTAGE'!BI132,0),0),IF('POINTAGE'!$BJ$5&lt;&gt;"",IF('POINTAGE'!BJ132="Présent",'POINTAGE'!BK132,0),0),IF('POINTAGE'!$BL$5&lt;&gt;"",IF('POINTAGE'!BL132="Présent",'POINTAGE'!BM132,0),0)))</f>
      </c>
      <c r="Q132" s="24">
        <f>IF($A132="","",$N132*$D132)</f>
      </c>
      <c r="R132" s="24">
        <f>IF($A132="","",$P132*$E132)</f>
      </c>
      <c r="S132" s="25">
        <f>IF($A132="","",$Q132+$R132)</f>
      </c>
      <c r="T132" s="18"/>
      <c r="U132" s="25">
        <f>IF($A132="","",MAX(0,$S132-$T132))</f>
      </c>
      <c r="V132" s="25">
        <f>IF($A132="","",$K132+$S132)</f>
      </c>
      <c r="W132" s="24">
        <f>IF($A132="","",$L132+$T132)</f>
      </c>
      <c r="X132" s="25">
        <f>IF($A132="","",$M132+$U132)</f>
      </c>
      <c r="Y132" s="29">
        <f>IF($A132="","",$J132+$R132)</f>
      </c>
    </row>
    <row r="133">
      <c r="A133" s="20">
        <f>IF('POINTAGE'!A133="","",'POINTAGE'!A133)</f>
      </c>
      <c r="B133" s="19">
        <f>IF($A133="","",'POINTAGE'!B133)</f>
      </c>
      <c r="C133" s="20">
        <f>IF($A133="","",'POINTAGE'!C133)</f>
      </c>
      <c r="D133" s="24">
        <f>IF($A133="","",IFERROR(INDEX(Categories_Salaire,MATCH($C133,ListeCategories,0)),0))</f>
      </c>
      <c r="E133" s="24">
        <f>IF($A133="","",IF(IFERROR(INDEX(Categories_TauxHS,MATCH($C133,ListeCategories,0)),0)&gt;0,IFERROR(INDEX(Categories_TauxHS,MATCH($C133,ListeCategories,0)),0),TauxHSDefaut))</f>
      </c>
      <c r="F133" s="22">
        <f>IF($A133="","",SUM(IF('POINTAGE'!$D$5&lt;&gt;"",--('POINTAGE'!D133="Présent"),0),IF('POINTAGE'!$F$5&lt;&gt;"",--('POINTAGE'!F133="Présent"),0),IF('POINTAGE'!$H$5&lt;&gt;"",--('POINTAGE'!H133="Présent"),0),IF('POINTAGE'!$J$5&lt;&gt;"",--('POINTAGE'!J133="Présent"),0),IF('POINTAGE'!$L$5&lt;&gt;"",--('POINTAGE'!L133="Présent"),0),IF('POINTAGE'!$N$5&lt;&gt;"",--('POINTAGE'!N133="Présent"),0),IF('POINTAGE'!$P$5&lt;&gt;"",--('POINTAGE'!P133="Présent"),0),IF('POINTAGE'!$R$5&lt;&gt;"",--('POINTAGE'!R133="Présent"),0),IF('POINTAGE'!$T$5&lt;&gt;"",--('POINTAGE'!T133="Présent"),0),IF('POINTAGE'!$V$5&lt;&gt;"",--('POINTAGE'!V133="Présent"),0),IF('POINTAGE'!$X$5&lt;&gt;"",--('POINTAGE'!X133="Présent"),0),IF('POINTAGE'!$Z$5&lt;&gt;"",--('POINTAGE'!Z133="Présent"),0),IF('POINTAGE'!$AB$5&lt;&gt;"",--('POINTAGE'!AB133="Présent"),0),IF('POINTAGE'!$AD$5&lt;&gt;"",--('POINTAGE'!AD133="Présent"),0),IF('POINTAGE'!$AF$5&lt;&gt;"",--('POINTAGE'!AF133="Présent"),0)))</f>
      </c>
      <c r="G133" s="22">
        <f>IF($A133="","",SUM(IF('POINTAGE'!$D$5&lt;&gt;"",--('POINTAGE'!D133="Absent"),0),IF('POINTAGE'!$F$5&lt;&gt;"",--('POINTAGE'!F133="Absent"),0),IF('POINTAGE'!$H$5&lt;&gt;"",--('POINTAGE'!H133="Absent"),0),IF('POINTAGE'!$J$5&lt;&gt;"",--('POINTAGE'!J133="Absent"),0),IF('POINTAGE'!$L$5&lt;&gt;"",--('POINTAGE'!L133="Absent"),0),IF('POINTAGE'!$N$5&lt;&gt;"",--('POINTAGE'!N133="Absent"),0),IF('POINTAGE'!$P$5&lt;&gt;"",--('POINTAGE'!P133="Absent"),0),IF('POINTAGE'!$R$5&lt;&gt;"",--('POINTAGE'!R133="Absent"),0),IF('POINTAGE'!$T$5&lt;&gt;"",--('POINTAGE'!T133="Absent"),0),IF('POINTAGE'!$V$5&lt;&gt;"",--('POINTAGE'!V133="Absent"),0),IF('POINTAGE'!$X$5&lt;&gt;"",--('POINTAGE'!X133="Absent"),0),IF('POINTAGE'!$Z$5&lt;&gt;"",--('POINTAGE'!Z133="Absent"),0),IF('POINTAGE'!$AB$5&lt;&gt;"",--('POINTAGE'!AB133="Absent"),0),IF('POINTAGE'!$AD$5&lt;&gt;"",--('POINTAGE'!AD133="Absent"),0),IF('POINTAGE'!$AF$5&lt;&gt;"",--('POINTAGE'!AF133="Absent"),0)))</f>
      </c>
      <c r="H133" s="23">
        <f>IF($A133="","",SUM(IF('POINTAGE'!$D$5&lt;&gt;"",IF('POINTAGE'!D133="Présent",'POINTAGE'!E133,0),0),IF('POINTAGE'!$F$5&lt;&gt;"",IF('POINTAGE'!F133="Présent",'POINTAGE'!G133,0),0),IF('POINTAGE'!$H$5&lt;&gt;"",IF('POINTAGE'!H133="Présent",'POINTAGE'!I133,0),0),IF('POINTAGE'!$J$5&lt;&gt;"",IF('POINTAGE'!J133="Présent",'POINTAGE'!K133,0),0),IF('POINTAGE'!$L$5&lt;&gt;"",IF('POINTAGE'!L133="Présent",'POINTAGE'!M133,0),0),IF('POINTAGE'!$N$5&lt;&gt;"",IF('POINTAGE'!N133="Présent",'POINTAGE'!O133,0),0),IF('POINTAGE'!$P$5&lt;&gt;"",IF('POINTAGE'!P133="Présent",'POINTAGE'!Q133,0),0),IF('POINTAGE'!$R$5&lt;&gt;"",IF('POINTAGE'!R133="Présent",'POINTAGE'!S133,0),0),IF('POINTAGE'!$T$5&lt;&gt;"",IF('POINTAGE'!T133="Présent",'POINTAGE'!U133,0),0),IF('POINTAGE'!$V$5&lt;&gt;"",IF('POINTAGE'!V133="Présent",'POINTAGE'!W133,0),0),IF('POINTAGE'!$X$5&lt;&gt;"",IF('POINTAGE'!X133="Présent",'POINTAGE'!Y133,0),0),IF('POINTAGE'!$Z$5&lt;&gt;"",IF('POINTAGE'!Z133="Présent",'POINTAGE'!AA133,0),0),IF('POINTAGE'!$AB$5&lt;&gt;"",IF('POINTAGE'!AB133="Présent",'POINTAGE'!AC133,0),0),IF('POINTAGE'!$AD$5&lt;&gt;"",IF('POINTAGE'!AD133="Présent",'POINTAGE'!AE133,0),0),IF('POINTAGE'!$AF$5&lt;&gt;"",IF('POINTAGE'!AF133="Présent",'POINTAGE'!AG133,0),0)))</f>
      </c>
      <c r="I133" s="24">
        <f>IF($A133="","",$F133*$D133)</f>
      </c>
      <c r="J133" s="24">
        <f>IF($A133="","",$H133*$E133)</f>
      </c>
      <c r="K133" s="25">
        <f>IF($A133="","",$I133+$J133)</f>
      </c>
      <c r="L133" s="18"/>
      <c r="M133" s="25">
        <f>IF($A133="","",MAX(0,$K133-$L133))</f>
      </c>
      <c r="N133" s="22">
        <f>IF($A133="","",SUM(IF('POINTAGE'!$AH$5&lt;&gt;"",--('POINTAGE'!AH133="Présent"),0),IF('POINTAGE'!$AJ$5&lt;&gt;"",--('POINTAGE'!AJ133="Présent"),0),IF('POINTAGE'!$AL$5&lt;&gt;"",--('POINTAGE'!AL133="Présent"),0),IF('POINTAGE'!$AN$5&lt;&gt;"",--('POINTAGE'!AN133="Présent"),0),IF('POINTAGE'!$AP$5&lt;&gt;"",--('POINTAGE'!AP133="Présent"),0),IF('POINTAGE'!$AR$5&lt;&gt;"",--('POINTAGE'!AR133="Présent"),0),IF('POINTAGE'!$AT$5&lt;&gt;"",--('POINTAGE'!AT133="Présent"),0),IF('POINTAGE'!$AV$5&lt;&gt;"",--('POINTAGE'!AV133="Présent"),0),IF('POINTAGE'!$AX$5&lt;&gt;"",--('POINTAGE'!AX133="Présent"),0),IF('POINTAGE'!$AZ$5&lt;&gt;"",--('POINTAGE'!AZ133="Présent"),0),IF('POINTAGE'!$BB$5&lt;&gt;"",--('POINTAGE'!BB133="Présent"),0),IF('POINTAGE'!$BD$5&lt;&gt;"",--('POINTAGE'!BD133="Présent"),0),IF('POINTAGE'!$BF$5&lt;&gt;"",--('POINTAGE'!BF133="Présent"),0),IF('POINTAGE'!$BH$5&lt;&gt;"",--('POINTAGE'!BH133="Présent"),0),IF('POINTAGE'!$BJ$5&lt;&gt;"",--('POINTAGE'!BJ133="Présent"),0),IF('POINTAGE'!$BL$5&lt;&gt;"",--('POINTAGE'!BL133="Présent"),0)))</f>
      </c>
      <c r="O133" s="22">
        <f>IF($A133="","",SUM(IF('POINTAGE'!$AH$5&lt;&gt;"",--('POINTAGE'!AH133="Absent"),0),IF('POINTAGE'!$AJ$5&lt;&gt;"",--('POINTAGE'!AJ133="Absent"),0),IF('POINTAGE'!$AL$5&lt;&gt;"",--('POINTAGE'!AL133="Absent"),0),IF('POINTAGE'!$AN$5&lt;&gt;"",--('POINTAGE'!AN133="Absent"),0),IF('POINTAGE'!$AP$5&lt;&gt;"",--('POINTAGE'!AP133="Absent"),0),IF('POINTAGE'!$AR$5&lt;&gt;"",--('POINTAGE'!AR133="Absent"),0),IF('POINTAGE'!$AT$5&lt;&gt;"",--('POINTAGE'!AT133="Absent"),0),IF('POINTAGE'!$AV$5&lt;&gt;"",--('POINTAGE'!AV133="Absent"),0),IF('POINTAGE'!$AX$5&lt;&gt;"",--('POINTAGE'!AX133="Absent"),0),IF('POINTAGE'!$AZ$5&lt;&gt;"",--('POINTAGE'!AZ133="Absent"),0),IF('POINTAGE'!$BB$5&lt;&gt;"",--('POINTAGE'!BB133="Absent"),0),IF('POINTAGE'!$BD$5&lt;&gt;"",--('POINTAGE'!BD133="Absent"),0),IF('POINTAGE'!$BF$5&lt;&gt;"",--('POINTAGE'!BF133="Absent"),0),IF('POINTAGE'!$BH$5&lt;&gt;"",--('POINTAGE'!BH133="Absent"),0),IF('POINTAGE'!$BJ$5&lt;&gt;"",--('POINTAGE'!BJ133="Absent"),0),IF('POINTAGE'!$BL$5&lt;&gt;"",--('POINTAGE'!BL133="Absent"),0)))</f>
      </c>
      <c r="P133" s="23">
        <f>IF($A133="","",SUM(IF('POINTAGE'!$AH$5&lt;&gt;"",IF('POINTAGE'!AH133="Présent",'POINTAGE'!AI133,0),0),IF('POINTAGE'!$AJ$5&lt;&gt;"",IF('POINTAGE'!AJ133="Présent",'POINTAGE'!AK133,0),0),IF('POINTAGE'!$AL$5&lt;&gt;"",IF('POINTAGE'!AL133="Présent",'POINTAGE'!AM133,0),0),IF('POINTAGE'!$AN$5&lt;&gt;"",IF('POINTAGE'!AN133="Présent",'POINTAGE'!AO133,0),0),IF('POINTAGE'!$AP$5&lt;&gt;"",IF('POINTAGE'!AP133="Présent",'POINTAGE'!AQ133,0),0),IF('POINTAGE'!$AR$5&lt;&gt;"",IF('POINTAGE'!AR133="Présent",'POINTAGE'!AS133,0),0),IF('POINTAGE'!$AT$5&lt;&gt;"",IF('POINTAGE'!AT133="Présent",'POINTAGE'!AU133,0),0),IF('POINTAGE'!$AV$5&lt;&gt;"",IF('POINTAGE'!AV133="Présent",'POINTAGE'!AW133,0),0),IF('POINTAGE'!$AX$5&lt;&gt;"",IF('POINTAGE'!AX133="Présent",'POINTAGE'!AY133,0),0),IF('POINTAGE'!$AZ$5&lt;&gt;"",IF('POINTAGE'!AZ133="Présent",'POINTAGE'!BA133,0),0),IF('POINTAGE'!$BB$5&lt;&gt;"",IF('POINTAGE'!BB133="Présent",'POINTAGE'!BC133,0),0),IF('POINTAGE'!$BD$5&lt;&gt;"",IF('POINTAGE'!BD133="Présent",'POINTAGE'!BE133,0),0),IF('POINTAGE'!$BF$5&lt;&gt;"",IF('POINTAGE'!BF133="Présent",'POINTAGE'!BG133,0),0),IF('POINTAGE'!$BH$5&lt;&gt;"",IF('POINTAGE'!BH133="Présent",'POINTAGE'!BI133,0),0),IF('POINTAGE'!$BJ$5&lt;&gt;"",IF('POINTAGE'!BJ133="Présent",'POINTAGE'!BK133,0),0),IF('POINTAGE'!$BL$5&lt;&gt;"",IF('POINTAGE'!BL133="Présent",'POINTAGE'!BM133,0),0)))</f>
      </c>
      <c r="Q133" s="24">
        <f>IF($A133="","",$N133*$D133)</f>
      </c>
      <c r="R133" s="24">
        <f>IF($A133="","",$P133*$E133)</f>
      </c>
      <c r="S133" s="25">
        <f>IF($A133="","",$Q133+$R133)</f>
      </c>
      <c r="T133" s="18"/>
      <c r="U133" s="25">
        <f>IF($A133="","",MAX(0,$S133-$T133))</f>
      </c>
      <c r="V133" s="25">
        <f>IF($A133="","",$K133+$S133)</f>
      </c>
      <c r="W133" s="24">
        <f>IF($A133="","",$L133+$T133)</f>
      </c>
      <c r="X133" s="25">
        <f>IF($A133="","",$M133+$U133)</f>
      </c>
      <c r="Y133" s="29">
        <f>IF($A133="","",$J133+$R133)</f>
      </c>
    </row>
    <row r="134">
      <c r="A134" s="20">
        <f>IF('POINTAGE'!A134="","",'POINTAGE'!A134)</f>
      </c>
      <c r="B134" s="19">
        <f>IF($A134="","",'POINTAGE'!B134)</f>
      </c>
      <c r="C134" s="20">
        <f>IF($A134="","",'POINTAGE'!C134)</f>
      </c>
      <c r="D134" s="24">
        <f>IF($A134="","",IFERROR(INDEX(Categories_Salaire,MATCH($C134,ListeCategories,0)),0))</f>
      </c>
      <c r="E134" s="24">
        <f>IF($A134="","",IF(IFERROR(INDEX(Categories_TauxHS,MATCH($C134,ListeCategories,0)),0)&gt;0,IFERROR(INDEX(Categories_TauxHS,MATCH($C134,ListeCategories,0)),0),TauxHSDefaut))</f>
      </c>
      <c r="F134" s="22">
        <f>IF($A134="","",SUM(IF('POINTAGE'!$D$5&lt;&gt;"",--('POINTAGE'!D134="Présent"),0),IF('POINTAGE'!$F$5&lt;&gt;"",--('POINTAGE'!F134="Présent"),0),IF('POINTAGE'!$H$5&lt;&gt;"",--('POINTAGE'!H134="Présent"),0),IF('POINTAGE'!$J$5&lt;&gt;"",--('POINTAGE'!J134="Présent"),0),IF('POINTAGE'!$L$5&lt;&gt;"",--('POINTAGE'!L134="Présent"),0),IF('POINTAGE'!$N$5&lt;&gt;"",--('POINTAGE'!N134="Présent"),0),IF('POINTAGE'!$P$5&lt;&gt;"",--('POINTAGE'!P134="Présent"),0),IF('POINTAGE'!$R$5&lt;&gt;"",--('POINTAGE'!R134="Présent"),0),IF('POINTAGE'!$T$5&lt;&gt;"",--('POINTAGE'!T134="Présent"),0),IF('POINTAGE'!$V$5&lt;&gt;"",--('POINTAGE'!V134="Présent"),0),IF('POINTAGE'!$X$5&lt;&gt;"",--('POINTAGE'!X134="Présent"),0),IF('POINTAGE'!$Z$5&lt;&gt;"",--('POINTAGE'!Z134="Présent"),0),IF('POINTAGE'!$AB$5&lt;&gt;"",--('POINTAGE'!AB134="Présent"),0),IF('POINTAGE'!$AD$5&lt;&gt;"",--('POINTAGE'!AD134="Présent"),0),IF('POINTAGE'!$AF$5&lt;&gt;"",--('POINTAGE'!AF134="Présent"),0)))</f>
      </c>
      <c r="G134" s="22">
        <f>IF($A134="","",SUM(IF('POINTAGE'!$D$5&lt;&gt;"",--('POINTAGE'!D134="Absent"),0),IF('POINTAGE'!$F$5&lt;&gt;"",--('POINTAGE'!F134="Absent"),0),IF('POINTAGE'!$H$5&lt;&gt;"",--('POINTAGE'!H134="Absent"),0),IF('POINTAGE'!$J$5&lt;&gt;"",--('POINTAGE'!J134="Absent"),0),IF('POINTAGE'!$L$5&lt;&gt;"",--('POINTAGE'!L134="Absent"),0),IF('POINTAGE'!$N$5&lt;&gt;"",--('POINTAGE'!N134="Absent"),0),IF('POINTAGE'!$P$5&lt;&gt;"",--('POINTAGE'!P134="Absent"),0),IF('POINTAGE'!$R$5&lt;&gt;"",--('POINTAGE'!R134="Absent"),0),IF('POINTAGE'!$T$5&lt;&gt;"",--('POINTAGE'!T134="Absent"),0),IF('POINTAGE'!$V$5&lt;&gt;"",--('POINTAGE'!V134="Absent"),0),IF('POINTAGE'!$X$5&lt;&gt;"",--('POINTAGE'!X134="Absent"),0),IF('POINTAGE'!$Z$5&lt;&gt;"",--('POINTAGE'!Z134="Absent"),0),IF('POINTAGE'!$AB$5&lt;&gt;"",--('POINTAGE'!AB134="Absent"),0),IF('POINTAGE'!$AD$5&lt;&gt;"",--('POINTAGE'!AD134="Absent"),0),IF('POINTAGE'!$AF$5&lt;&gt;"",--('POINTAGE'!AF134="Absent"),0)))</f>
      </c>
      <c r="H134" s="23">
        <f>IF($A134="","",SUM(IF('POINTAGE'!$D$5&lt;&gt;"",IF('POINTAGE'!D134="Présent",'POINTAGE'!E134,0),0),IF('POINTAGE'!$F$5&lt;&gt;"",IF('POINTAGE'!F134="Présent",'POINTAGE'!G134,0),0),IF('POINTAGE'!$H$5&lt;&gt;"",IF('POINTAGE'!H134="Présent",'POINTAGE'!I134,0),0),IF('POINTAGE'!$J$5&lt;&gt;"",IF('POINTAGE'!J134="Présent",'POINTAGE'!K134,0),0),IF('POINTAGE'!$L$5&lt;&gt;"",IF('POINTAGE'!L134="Présent",'POINTAGE'!M134,0),0),IF('POINTAGE'!$N$5&lt;&gt;"",IF('POINTAGE'!N134="Présent",'POINTAGE'!O134,0),0),IF('POINTAGE'!$P$5&lt;&gt;"",IF('POINTAGE'!P134="Présent",'POINTAGE'!Q134,0),0),IF('POINTAGE'!$R$5&lt;&gt;"",IF('POINTAGE'!R134="Présent",'POINTAGE'!S134,0),0),IF('POINTAGE'!$T$5&lt;&gt;"",IF('POINTAGE'!T134="Présent",'POINTAGE'!U134,0),0),IF('POINTAGE'!$V$5&lt;&gt;"",IF('POINTAGE'!V134="Présent",'POINTAGE'!W134,0),0),IF('POINTAGE'!$X$5&lt;&gt;"",IF('POINTAGE'!X134="Présent",'POINTAGE'!Y134,0),0),IF('POINTAGE'!$Z$5&lt;&gt;"",IF('POINTAGE'!Z134="Présent",'POINTAGE'!AA134,0),0),IF('POINTAGE'!$AB$5&lt;&gt;"",IF('POINTAGE'!AB134="Présent",'POINTAGE'!AC134,0),0),IF('POINTAGE'!$AD$5&lt;&gt;"",IF('POINTAGE'!AD134="Présent",'POINTAGE'!AE134,0),0),IF('POINTAGE'!$AF$5&lt;&gt;"",IF('POINTAGE'!AF134="Présent",'POINTAGE'!AG134,0),0)))</f>
      </c>
      <c r="I134" s="24">
        <f>IF($A134="","",$F134*$D134)</f>
      </c>
      <c r="J134" s="24">
        <f>IF($A134="","",$H134*$E134)</f>
      </c>
      <c r="K134" s="25">
        <f>IF($A134="","",$I134+$J134)</f>
      </c>
      <c r="L134" s="18"/>
      <c r="M134" s="25">
        <f>IF($A134="","",MAX(0,$K134-$L134))</f>
      </c>
      <c r="N134" s="22">
        <f>IF($A134="","",SUM(IF('POINTAGE'!$AH$5&lt;&gt;"",--('POINTAGE'!AH134="Présent"),0),IF('POINTAGE'!$AJ$5&lt;&gt;"",--('POINTAGE'!AJ134="Présent"),0),IF('POINTAGE'!$AL$5&lt;&gt;"",--('POINTAGE'!AL134="Présent"),0),IF('POINTAGE'!$AN$5&lt;&gt;"",--('POINTAGE'!AN134="Présent"),0),IF('POINTAGE'!$AP$5&lt;&gt;"",--('POINTAGE'!AP134="Présent"),0),IF('POINTAGE'!$AR$5&lt;&gt;"",--('POINTAGE'!AR134="Présent"),0),IF('POINTAGE'!$AT$5&lt;&gt;"",--('POINTAGE'!AT134="Présent"),0),IF('POINTAGE'!$AV$5&lt;&gt;"",--('POINTAGE'!AV134="Présent"),0),IF('POINTAGE'!$AX$5&lt;&gt;"",--('POINTAGE'!AX134="Présent"),0),IF('POINTAGE'!$AZ$5&lt;&gt;"",--('POINTAGE'!AZ134="Présent"),0),IF('POINTAGE'!$BB$5&lt;&gt;"",--('POINTAGE'!BB134="Présent"),0),IF('POINTAGE'!$BD$5&lt;&gt;"",--('POINTAGE'!BD134="Présent"),0),IF('POINTAGE'!$BF$5&lt;&gt;"",--('POINTAGE'!BF134="Présent"),0),IF('POINTAGE'!$BH$5&lt;&gt;"",--('POINTAGE'!BH134="Présent"),0),IF('POINTAGE'!$BJ$5&lt;&gt;"",--('POINTAGE'!BJ134="Présent"),0),IF('POINTAGE'!$BL$5&lt;&gt;"",--('POINTAGE'!BL134="Présent"),0)))</f>
      </c>
      <c r="O134" s="22">
        <f>IF($A134="","",SUM(IF('POINTAGE'!$AH$5&lt;&gt;"",--('POINTAGE'!AH134="Absent"),0),IF('POINTAGE'!$AJ$5&lt;&gt;"",--('POINTAGE'!AJ134="Absent"),0),IF('POINTAGE'!$AL$5&lt;&gt;"",--('POINTAGE'!AL134="Absent"),0),IF('POINTAGE'!$AN$5&lt;&gt;"",--('POINTAGE'!AN134="Absent"),0),IF('POINTAGE'!$AP$5&lt;&gt;"",--('POINTAGE'!AP134="Absent"),0),IF('POINTAGE'!$AR$5&lt;&gt;"",--('POINTAGE'!AR134="Absent"),0),IF('POINTAGE'!$AT$5&lt;&gt;"",--('POINTAGE'!AT134="Absent"),0),IF('POINTAGE'!$AV$5&lt;&gt;"",--('POINTAGE'!AV134="Absent"),0),IF('POINTAGE'!$AX$5&lt;&gt;"",--('POINTAGE'!AX134="Absent"),0),IF('POINTAGE'!$AZ$5&lt;&gt;"",--('POINTAGE'!AZ134="Absent"),0),IF('POINTAGE'!$BB$5&lt;&gt;"",--('POINTAGE'!BB134="Absent"),0),IF('POINTAGE'!$BD$5&lt;&gt;"",--('POINTAGE'!BD134="Absent"),0),IF('POINTAGE'!$BF$5&lt;&gt;"",--('POINTAGE'!BF134="Absent"),0),IF('POINTAGE'!$BH$5&lt;&gt;"",--('POINTAGE'!BH134="Absent"),0),IF('POINTAGE'!$BJ$5&lt;&gt;"",--('POINTAGE'!BJ134="Absent"),0),IF('POINTAGE'!$BL$5&lt;&gt;"",--('POINTAGE'!BL134="Absent"),0)))</f>
      </c>
      <c r="P134" s="23">
        <f>IF($A134="","",SUM(IF('POINTAGE'!$AH$5&lt;&gt;"",IF('POINTAGE'!AH134="Présent",'POINTAGE'!AI134,0),0),IF('POINTAGE'!$AJ$5&lt;&gt;"",IF('POINTAGE'!AJ134="Présent",'POINTAGE'!AK134,0),0),IF('POINTAGE'!$AL$5&lt;&gt;"",IF('POINTAGE'!AL134="Présent",'POINTAGE'!AM134,0),0),IF('POINTAGE'!$AN$5&lt;&gt;"",IF('POINTAGE'!AN134="Présent",'POINTAGE'!AO134,0),0),IF('POINTAGE'!$AP$5&lt;&gt;"",IF('POINTAGE'!AP134="Présent",'POINTAGE'!AQ134,0),0),IF('POINTAGE'!$AR$5&lt;&gt;"",IF('POINTAGE'!AR134="Présent",'POINTAGE'!AS134,0),0),IF('POINTAGE'!$AT$5&lt;&gt;"",IF('POINTAGE'!AT134="Présent",'POINTAGE'!AU134,0),0),IF('POINTAGE'!$AV$5&lt;&gt;"",IF('POINTAGE'!AV134="Présent",'POINTAGE'!AW134,0),0),IF('POINTAGE'!$AX$5&lt;&gt;"",IF('POINTAGE'!AX134="Présent",'POINTAGE'!AY134,0),0),IF('POINTAGE'!$AZ$5&lt;&gt;"",IF('POINTAGE'!AZ134="Présent",'POINTAGE'!BA134,0),0),IF('POINTAGE'!$BB$5&lt;&gt;"",IF('POINTAGE'!BB134="Présent",'POINTAGE'!BC134,0),0),IF('POINTAGE'!$BD$5&lt;&gt;"",IF('POINTAGE'!BD134="Présent",'POINTAGE'!BE134,0),0),IF('POINTAGE'!$BF$5&lt;&gt;"",IF('POINTAGE'!BF134="Présent",'POINTAGE'!BG134,0),0),IF('POINTAGE'!$BH$5&lt;&gt;"",IF('POINTAGE'!BH134="Présent",'POINTAGE'!BI134,0),0),IF('POINTAGE'!$BJ$5&lt;&gt;"",IF('POINTAGE'!BJ134="Présent",'POINTAGE'!BK134,0),0),IF('POINTAGE'!$BL$5&lt;&gt;"",IF('POINTAGE'!BL134="Présent",'POINTAGE'!BM134,0),0)))</f>
      </c>
      <c r="Q134" s="24">
        <f>IF($A134="","",$N134*$D134)</f>
      </c>
      <c r="R134" s="24">
        <f>IF($A134="","",$P134*$E134)</f>
      </c>
      <c r="S134" s="25">
        <f>IF($A134="","",$Q134+$R134)</f>
      </c>
      <c r="T134" s="18"/>
      <c r="U134" s="25">
        <f>IF($A134="","",MAX(0,$S134-$T134))</f>
      </c>
      <c r="V134" s="25">
        <f>IF($A134="","",$K134+$S134)</f>
      </c>
      <c r="W134" s="24">
        <f>IF($A134="","",$L134+$T134)</f>
      </c>
      <c r="X134" s="25">
        <f>IF($A134="","",$M134+$U134)</f>
      </c>
      <c r="Y134" s="29">
        <f>IF($A134="","",$J134+$R134)</f>
      </c>
    </row>
    <row r="135">
      <c r="A135" s="20">
        <f>IF('POINTAGE'!A135="","",'POINTAGE'!A135)</f>
      </c>
      <c r="B135" s="19">
        <f>IF($A135="","",'POINTAGE'!B135)</f>
      </c>
      <c r="C135" s="20">
        <f>IF($A135="","",'POINTAGE'!C135)</f>
      </c>
      <c r="D135" s="24">
        <f>IF($A135="","",IFERROR(INDEX(Categories_Salaire,MATCH($C135,ListeCategories,0)),0))</f>
      </c>
      <c r="E135" s="24">
        <f>IF($A135="","",IF(IFERROR(INDEX(Categories_TauxHS,MATCH($C135,ListeCategories,0)),0)&gt;0,IFERROR(INDEX(Categories_TauxHS,MATCH($C135,ListeCategories,0)),0),TauxHSDefaut))</f>
      </c>
      <c r="F135" s="22">
        <f>IF($A135="","",SUM(IF('POINTAGE'!$D$5&lt;&gt;"",--('POINTAGE'!D135="Présent"),0),IF('POINTAGE'!$F$5&lt;&gt;"",--('POINTAGE'!F135="Présent"),0),IF('POINTAGE'!$H$5&lt;&gt;"",--('POINTAGE'!H135="Présent"),0),IF('POINTAGE'!$J$5&lt;&gt;"",--('POINTAGE'!J135="Présent"),0),IF('POINTAGE'!$L$5&lt;&gt;"",--('POINTAGE'!L135="Présent"),0),IF('POINTAGE'!$N$5&lt;&gt;"",--('POINTAGE'!N135="Présent"),0),IF('POINTAGE'!$P$5&lt;&gt;"",--('POINTAGE'!P135="Présent"),0),IF('POINTAGE'!$R$5&lt;&gt;"",--('POINTAGE'!R135="Présent"),0),IF('POINTAGE'!$T$5&lt;&gt;"",--('POINTAGE'!T135="Présent"),0),IF('POINTAGE'!$V$5&lt;&gt;"",--('POINTAGE'!V135="Présent"),0),IF('POINTAGE'!$X$5&lt;&gt;"",--('POINTAGE'!X135="Présent"),0),IF('POINTAGE'!$Z$5&lt;&gt;"",--('POINTAGE'!Z135="Présent"),0),IF('POINTAGE'!$AB$5&lt;&gt;"",--('POINTAGE'!AB135="Présent"),0),IF('POINTAGE'!$AD$5&lt;&gt;"",--('POINTAGE'!AD135="Présent"),0),IF('POINTAGE'!$AF$5&lt;&gt;"",--('POINTAGE'!AF135="Présent"),0)))</f>
      </c>
      <c r="G135" s="22">
        <f>IF($A135="","",SUM(IF('POINTAGE'!$D$5&lt;&gt;"",--('POINTAGE'!D135="Absent"),0),IF('POINTAGE'!$F$5&lt;&gt;"",--('POINTAGE'!F135="Absent"),0),IF('POINTAGE'!$H$5&lt;&gt;"",--('POINTAGE'!H135="Absent"),0),IF('POINTAGE'!$J$5&lt;&gt;"",--('POINTAGE'!J135="Absent"),0),IF('POINTAGE'!$L$5&lt;&gt;"",--('POINTAGE'!L135="Absent"),0),IF('POINTAGE'!$N$5&lt;&gt;"",--('POINTAGE'!N135="Absent"),0),IF('POINTAGE'!$P$5&lt;&gt;"",--('POINTAGE'!P135="Absent"),0),IF('POINTAGE'!$R$5&lt;&gt;"",--('POINTAGE'!R135="Absent"),0),IF('POINTAGE'!$T$5&lt;&gt;"",--('POINTAGE'!T135="Absent"),0),IF('POINTAGE'!$V$5&lt;&gt;"",--('POINTAGE'!V135="Absent"),0),IF('POINTAGE'!$X$5&lt;&gt;"",--('POINTAGE'!X135="Absent"),0),IF('POINTAGE'!$Z$5&lt;&gt;"",--('POINTAGE'!Z135="Absent"),0),IF('POINTAGE'!$AB$5&lt;&gt;"",--('POINTAGE'!AB135="Absent"),0),IF('POINTAGE'!$AD$5&lt;&gt;"",--('POINTAGE'!AD135="Absent"),0),IF('POINTAGE'!$AF$5&lt;&gt;"",--('POINTAGE'!AF135="Absent"),0)))</f>
      </c>
      <c r="H135" s="23">
        <f>IF($A135="","",SUM(IF('POINTAGE'!$D$5&lt;&gt;"",IF('POINTAGE'!D135="Présent",'POINTAGE'!E135,0),0),IF('POINTAGE'!$F$5&lt;&gt;"",IF('POINTAGE'!F135="Présent",'POINTAGE'!G135,0),0),IF('POINTAGE'!$H$5&lt;&gt;"",IF('POINTAGE'!H135="Présent",'POINTAGE'!I135,0),0),IF('POINTAGE'!$J$5&lt;&gt;"",IF('POINTAGE'!J135="Présent",'POINTAGE'!K135,0),0),IF('POINTAGE'!$L$5&lt;&gt;"",IF('POINTAGE'!L135="Présent",'POINTAGE'!M135,0),0),IF('POINTAGE'!$N$5&lt;&gt;"",IF('POINTAGE'!N135="Présent",'POINTAGE'!O135,0),0),IF('POINTAGE'!$P$5&lt;&gt;"",IF('POINTAGE'!P135="Présent",'POINTAGE'!Q135,0),0),IF('POINTAGE'!$R$5&lt;&gt;"",IF('POINTAGE'!R135="Présent",'POINTAGE'!S135,0),0),IF('POINTAGE'!$T$5&lt;&gt;"",IF('POINTAGE'!T135="Présent",'POINTAGE'!U135,0),0),IF('POINTAGE'!$V$5&lt;&gt;"",IF('POINTAGE'!V135="Présent",'POINTAGE'!W135,0),0),IF('POINTAGE'!$X$5&lt;&gt;"",IF('POINTAGE'!X135="Présent",'POINTAGE'!Y135,0),0),IF('POINTAGE'!$Z$5&lt;&gt;"",IF('POINTAGE'!Z135="Présent",'POINTAGE'!AA135,0),0),IF('POINTAGE'!$AB$5&lt;&gt;"",IF('POINTAGE'!AB135="Présent",'POINTAGE'!AC135,0),0),IF('POINTAGE'!$AD$5&lt;&gt;"",IF('POINTAGE'!AD135="Présent",'POINTAGE'!AE135,0),0),IF('POINTAGE'!$AF$5&lt;&gt;"",IF('POINTAGE'!AF135="Présent",'POINTAGE'!AG135,0),0)))</f>
      </c>
      <c r="I135" s="24">
        <f>IF($A135="","",$F135*$D135)</f>
      </c>
      <c r="J135" s="24">
        <f>IF($A135="","",$H135*$E135)</f>
      </c>
      <c r="K135" s="25">
        <f>IF($A135="","",$I135+$J135)</f>
      </c>
      <c r="L135" s="18"/>
      <c r="M135" s="25">
        <f>IF($A135="","",MAX(0,$K135-$L135))</f>
      </c>
      <c r="N135" s="22">
        <f>IF($A135="","",SUM(IF('POINTAGE'!$AH$5&lt;&gt;"",--('POINTAGE'!AH135="Présent"),0),IF('POINTAGE'!$AJ$5&lt;&gt;"",--('POINTAGE'!AJ135="Présent"),0),IF('POINTAGE'!$AL$5&lt;&gt;"",--('POINTAGE'!AL135="Présent"),0),IF('POINTAGE'!$AN$5&lt;&gt;"",--('POINTAGE'!AN135="Présent"),0),IF('POINTAGE'!$AP$5&lt;&gt;"",--('POINTAGE'!AP135="Présent"),0),IF('POINTAGE'!$AR$5&lt;&gt;"",--('POINTAGE'!AR135="Présent"),0),IF('POINTAGE'!$AT$5&lt;&gt;"",--('POINTAGE'!AT135="Présent"),0),IF('POINTAGE'!$AV$5&lt;&gt;"",--('POINTAGE'!AV135="Présent"),0),IF('POINTAGE'!$AX$5&lt;&gt;"",--('POINTAGE'!AX135="Présent"),0),IF('POINTAGE'!$AZ$5&lt;&gt;"",--('POINTAGE'!AZ135="Présent"),0),IF('POINTAGE'!$BB$5&lt;&gt;"",--('POINTAGE'!BB135="Présent"),0),IF('POINTAGE'!$BD$5&lt;&gt;"",--('POINTAGE'!BD135="Présent"),0),IF('POINTAGE'!$BF$5&lt;&gt;"",--('POINTAGE'!BF135="Présent"),0),IF('POINTAGE'!$BH$5&lt;&gt;"",--('POINTAGE'!BH135="Présent"),0),IF('POINTAGE'!$BJ$5&lt;&gt;"",--('POINTAGE'!BJ135="Présent"),0),IF('POINTAGE'!$BL$5&lt;&gt;"",--('POINTAGE'!BL135="Présent"),0)))</f>
      </c>
      <c r="O135" s="22">
        <f>IF($A135="","",SUM(IF('POINTAGE'!$AH$5&lt;&gt;"",--('POINTAGE'!AH135="Absent"),0),IF('POINTAGE'!$AJ$5&lt;&gt;"",--('POINTAGE'!AJ135="Absent"),0),IF('POINTAGE'!$AL$5&lt;&gt;"",--('POINTAGE'!AL135="Absent"),0),IF('POINTAGE'!$AN$5&lt;&gt;"",--('POINTAGE'!AN135="Absent"),0),IF('POINTAGE'!$AP$5&lt;&gt;"",--('POINTAGE'!AP135="Absent"),0),IF('POINTAGE'!$AR$5&lt;&gt;"",--('POINTAGE'!AR135="Absent"),0),IF('POINTAGE'!$AT$5&lt;&gt;"",--('POINTAGE'!AT135="Absent"),0),IF('POINTAGE'!$AV$5&lt;&gt;"",--('POINTAGE'!AV135="Absent"),0),IF('POINTAGE'!$AX$5&lt;&gt;"",--('POINTAGE'!AX135="Absent"),0),IF('POINTAGE'!$AZ$5&lt;&gt;"",--('POINTAGE'!AZ135="Absent"),0),IF('POINTAGE'!$BB$5&lt;&gt;"",--('POINTAGE'!BB135="Absent"),0),IF('POINTAGE'!$BD$5&lt;&gt;"",--('POINTAGE'!BD135="Absent"),0),IF('POINTAGE'!$BF$5&lt;&gt;"",--('POINTAGE'!BF135="Absent"),0),IF('POINTAGE'!$BH$5&lt;&gt;"",--('POINTAGE'!BH135="Absent"),0),IF('POINTAGE'!$BJ$5&lt;&gt;"",--('POINTAGE'!BJ135="Absent"),0),IF('POINTAGE'!$BL$5&lt;&gt;"",--('POINTAGE'!BL135="Absent"),0)))</f>
      </c>
      <c r="P135" s="23">
        <f>IF($A135="","",SUM(IF('POINTAGE'!$AH$5&lt;&gt;"",IF('POINTAGE'!AH135="Présent",'POINTAGE'!AI135,0),0),IF('POINTAGE'!$AJ$5&lt;&gt;"",IF('POINTAGE'!AJ135="Présent",'POINTAGE'!AK135,0),0),IF('POINTAGE'!$AL$5&lt;&gt;"",IF('POINTAGE'!AL135="Présent",'POINTAGE'!AM135,0),0),IF('POINTAGE'!$AN$5&lt;&gt;"",IF('POINTAGE'!AN135="Présent",'POINTAGE'!AO135,0),0),IF('POINTAGE'!$AP$5&lt;&gt;"",IF('POINTAGE'!AP135="Présent",'POINTAGE'!AQ135,0),0),IF('POINTAGE'!$AR$5&lt;&gt;"",IF('POINTAGE'!AR135="Présent",'POINTAGE'!AS135,0),0),IF('POINTAGE'!$AT$5&lt;&gt;"",IF('POINTAGE'!AT135="Présent",'POINTAGE'!AU135,0),0),IF('POINTAGE'!$AV$5&lt;&gt;"",IF('POINTAGE'!AV135="Présent",'POINTAGE'!AW135,0),0),IF('POINTAGE'!$AX$5&lt;&gt;"",IF('POINTAGE'!AX135="Présent",'POINTAGE'!AY135,0),0),IF('POINTAGE'!$AZ$5&lt;&gt;"",IF('POINTAGE'!AZ135="Présent",'POINTAGE'!BA135,0),0),IF('POINTAGE'!$BB$5&lt;&gt;"",IF('POINTAGE'!BB135="Présent",'POINTAGE'!BC135,0),0),IF('POINTAGE'!$BD$5&lt;&gt;"",IF('POINTAGE'!BD135="Présent",'POINTAGE'!BE135,0),0),IF('POINTAGE'!$BF$5&lt;&gt;"",IF('POINTAGE'!BF135="Présent",'POINTAGE'!BG135,0),0),IF('POINTAGE'!$BH$5&lt;&gt;"",IF('POINTAGE'!BH135="Présent",'POINTAGE'!BI135,0),0),IF('POINTAGE'!$BJ$5&lt;&gt;"",IF('POINTAGE'!BJ135="Présent",'POINTAGE'!BK135,0),0),IF('POINTAGE'!$BL$5&lt;&gt;"",IF('POINTAGE'!BL135="Présent",'POINTAGE'!BM135,0),0)))</f>
      </c>
      <c r="Q135" s="24">
        <f>IF($A135="","",$N135*$D135)</f>
      </c>
      <c r="R135" s="24">
        <f>IF($A135="","",$P135*$E135)</f>
      </c>
      <c r="S135" s="25">
        <f>IF($A135="","",$Q135+$R135)</f>
      </c>
      <c r="T135" s="18"/>
      <c r="U135" s="25">
        <f>IF($A135="","",MAX(0,$S135-$T135))</f>
      </c>
      <c r="V135" s="25">
        <f>IF($A135="","",$K135+$S135)</f>
      </c>
      <c r="W135" s="24">
        <f>IF($A135="","",$L135+$T135)</f>
      </c>
      <c r="X135" s="25">
        <f>IF($A135="","",$M135+$U135)</f>
      </c>
      <c r="Y135" s="29">
        <f>IF($A135="","",$J135+$R135)</f>
      </c>
    </row>
    <row r="136">
      <c r="A136" s="20">
        <f>IF('POINTAGE'!A136="","",'POINTAGE'!A136)</f>
      </c>
      <c r="B136" s="19">
        <f>IF($A136="","",'POINTAGE'!B136)</f>
      </c>
      <c r="C136" s="20">
        <f>IF($A136="","",'POINTAGE'!C136)</f>
      </c>
      <c r="D136" s="24">
        <f>IF($A136="","",IFERROR(INDEX(Categories_Salaire,MATCH($C136,ListeCategories,0)),0))</f>
      </c>
      <c r="E136" s="24">
        <f>IF($A136="","",IF(IFERROR(INDEX(Categories_TauxHS,MATCH($C136,ListeCategories,0)),0)&gt;0,IFERROR(INDEX(Categories_TauxHS,MATCH($C136,ListeCategories,0)),0),TauxHSDefaut))</f>
      </c>
      <c r="F136" s="22">
        <f>IF($A136="","",SUM(IF('POINTAGE'!$D$5&lt;&gt;"",--('POINTAGE'!D136="Présent"),0),IF('POINTAGE'!$F$5&lt;&gt;"",--('POINTAGE'!F136="Présent"),0),IF('POINTAGE'!$H$5&lt;&gt;"",--('POINTAGE'!H136="Présent"),0),IF('POINTAGE'!$J$5&lt;&gt;"",--('POINTAGE'!J136="Présent"),0),IF('POINTAGE'!$L$5&lt;&gt;"",--('POINTAGE'!L136="Présent"),0),IF('POINTAGE'!$N$5&lt;&gt;"",--('POINTAGE'!N136="Présent"),0),IF('POINTAGE'!$P$5&lt;&gt;"",--('POINTAGE'!P136="Présent"),0),IF('POINTAGE'!$R$5&lt;&gt;"",--('POINTAGE'!R136="Présent"),0),IF('POINTAGE'!$T$5&lt;&gt;"",--('POINTAGE'!T136="Présent"),0),IF('POINTAGE'!$V$5&lt;&gt;"",--('POINTAGE'!V136="Présent"),0),IF('POINTAGE'!$X$5&lt;&gt;"",--('POINTAGE'!X136="Présent"),0),IF('POINTAGE'!$Z$5&lt;&gt;"",--('POINTAGE'!Z136="Présent"),0),IF('POINTAGE'!$AB$5&lt;&gt;"",--('POINTAGE'!AB136="Présent"),0),IF('POINTAGE'!$AD$5&lt;&gt;"",--('POINTAGE'!AD136="Présent"),0),IF('POINTAGE'!$AF$5&lt;&gt;"",--('POINTAGE'!AF136="Présent"),0)))</f>
      </c>
      <c r="G136" s="22">
        <f>IF($A136="","",SUM(IF('POINTAGE'!$D$5&lt;&gt;"",--('POINTAGE'!D136="Absent"),0),IF('POINTAGE'!$F$5&lt;&gt;"",--('POINTAGE'!F136="Absent"),0),IF('POINTAGE'!$H$5&lt;&gt;"",--('POINTAGE'!H136="Absent"),0),IF('POINTAGE'!$J$5&lt;&gt;"",--('POINTAGE'!J136="Absent"),0),IF('POINTAGE'!$L$5&lt;&gt;"",--('POINTAGE'!L136="Absent"),0),IF('POINTAGE'!$N$5&lt;&gt;"",--('POINTAGE'!N136="Absent"),0),IF('POINTAGE'!$P$5&lt;&gt;"",--('POINTAGE'!P136="Absent"),0),IF('POINTAGE'!$R$5&lt;&gt;"",--('POINTAGE'!R136="Absent"),0),IF('POINTAGE'!$T$5&lt;&gt;"",--('POINTAGE'!T136="Absent"),0),IF('POINTAGE'!$V$5&lt;&gt;"",--('POINTAGE'!V136="Absent"),0),IF('POINTAGE'!$X$5&lt;&gt;"",--('POINTAGE'!X136="Absent"),0),IF('POINTAGE'!$Z$5&lt;&gt;"",--('POINTAGE'!Z136="Absent"),0),IF('POINTAGE'!$AB$5&lt;&gt;"",--('POINTAGE'!AB136="Absent"),0),IF('POINTAGE'!$AD$5&lt;&gt;"",--('POINTAGE'!AD136="Absent"),0),IF('POINTAGE'!$AF$5&lt;&gt;"",--('POINTAGE'!AF136="Absent"),0)))</f>
      </c>
      <c r="H136" s="23">
        <f>IF($A136="","",SUM(IF('POINTAGE'!$D$5&lt;&gt;"",IF('POINTAGE'!D136="Présent",'POINTAGE'!E136,0),0),IF('POINTAGE'!$F$5&lt;&gt;"",IF('POINTAGE'!F136="Présent",'POINTAGE'!G136,0),0),IF('POINTAGE'!$H$5&lt;&gt;"",IF('POINTAGE'!H136="Présent",'POINTAGE'!I136,0),0),IF('POINTAGE'!$J$5&lt;&gt;"",IF('POINTAGE'!J136="Présent",'POINTAGE'!K136,0),0),IF('POINTAGE'!$L$5&lt;&gt;"",IF('POINTAGE'!L136="Présent",'POINTAGE'!M136,0),0),IF('POINTAGE'!$N$5&lt;&gt;"",IF('POINTAGE'!N136="Présent",'POINTAGE'!O136,0),0),IF('POINTAGE'!$P$5&lt;&gt;"",IF('POINTAGE'!P136="Présent",'POINTAGE'!Q136,0),0),IF('POINTAGE'!$R$5&lt;&gt;"",IF('POINTAGE'!R136="Présent",'POINTAGE'!S136,0),0),IF('POINTAGE'!$T$5&lt;&gt;"",IF('POINTAGE'!T136="Présent",'POINTAGE'!U136,0),0),IF('POINTAGE'!$V$5&lt;&gt;"",IF('POINTAGE'!V136="Présent",'POINTAGE'!W136,0),0),IF('POINTAGE'!$X$5&lt;&gt;"",IF('POINTAGE'!X136="Présent",'POINTAGE'!Y136,0),0),IF('POINTAGE'!$Z$5&lt;&gt;"",IF('POINTAGE'!Z136="Présent",'POINTAGE'!AA136,0),0),IF('POINTAGE'!$AB$5&lt;&gt;"",IF('POINTAGE'!AB136="Présent",'POINTAGE'!AC136,0),0),IF('POINTAGE'!$AD$5&lt;&gt;"",IF('POINTAGE'!AD136="Présent",'POINTAGE'!AE136,0),0),IF('POINTAGE'!$AF$5&lt;&gt;"",IF('POINTAGE'!AF136="Présent",'POINTAGE'!AG136,0),0)))</f>
      </c>
      <c r="I136" s="24">
        <f>IF($A136="","",$F136*$D136)</f>
      </c>
      <c r="J136" s="24">
        <f>IF($A136="","",$H136*$E136)</f>
      </c>
      <c r="K136" s="25">
        <f>IF($A136="","",$I136+$J136)</f>
      </c>
      <c r="L136" s="18"/>
      <c r="M136" s="25">
        <f>IF($A136="","",MAX(0,$K136-$L136))</f>
      </c>
      <c r="N136" s="22">
        <f>IF($A136="","",SUM(IF('POINTAGE'!$AH$5&lt;&gt;"",--('POINTAGE'!AH136="Présent"),0),IF('POINTAGE'!$AJ$5&lt;&gt;"",--('POINTAGE'!AJ136="Présent"),0),IF('POINTAGE'!$AL$5&lt;&gt;"",--('POINTAGE'!AL136="Présent"),0),IF('POINTAGE'!$AN$5&lt;&gt;"",--('POINTAGE'!AN136="Présent"),0),IF('POINTAGE'!$AP$5&lt;&gt;"",--('POINTAGE'!AP136="Présent"),0),IF('POINTAGE'!$AR$5&lt;&gt;"",--('POINTAGE'!AR136="Présent"),0),IF('POINTAGE'!$AT$5&lt;&gt;"",--('POINTAGE'!AT136="Présent"),0),IF('POINTAGE'!$AV$5&lt;&gt;"",--('POINTAGE'!AV136="Présent"),0),IF('POINTAGE'!$AX$5&lt;&gt;"",--('POINTAGE'!AX136="Présent"),0),IF('POINTAGE'!$AZ$5&lt;&gt;"",--('POINTAGE'!AZ136="Présent"),0),IF('POINTAGE'!$BB$5&lt;&gt;"",--('POINTAGE'!BB136="Présent"),0),IF('POINTAGE'!$BD$5&lt;&gt;"",--('POINTAGE'!BD136="Présent"),0),IF('POINTAGE'!$BF$5&lt;&gt;"",--('POINTAGE'!BF136="Présent"),0),IF('POINTAGE'!$BH$5&lt;&gt;"",--('POINTAGE'!BH136="Présent"),0),IF('POINTAGE'!$BJ$5&lt;&gt;"",--('POINTAGE'!BJ136="Présent"),0),IF('POINTAGE'!$BL$5&lt;&gt;"",--('POINTAGE'!BL136="Présent"),0)))</f>
      </c>
      <c r="O136" s="22">
        <f>IF($A136="","",SUM(IF('POINTAGE'!$AH$5&lt;&gt;"",--('POINTAGE'!AH136="Absent"),0),IF('POINTAGE'!$AJ$5&lt;&gt;"",--('POINTAGE'!AJ136="Absent"),0),IF('POINTAGE'!$AL$5&lt;&gt;"",--('POINTAGE'!AL136="Absent"),0),IF('POINTAGE'!$AN$5&lt;&gt;"",--('POINTAGE'!AN136="Absent"),0),IF('POINTAGE'!$AP$5&lt;&gt;"",--('POINTAGE'!AP136="Absent"),0),IF('POINTAGE'!$AR$5&lt;&gt;"",--('POINTAGE'!AR136="Absent"),0),IF('POINTAGE'!$AT$5&lt;&gt;"",--('POINTAGE'!AT136="Absent"),0),IF('POINTAGE'!$AV$5&lt;&gt;"",--('POINTAGE'!AV136="Absent"),0),IF('POINTAGE'!$AX$5&lt;&gt;"",--('POINTAGE'!AX136="Absent"),0),IF('POINTAGE'!$AZ$5&lt;&gt;"",--('POINTAGE'!AZ136="Absent"),0),IF('POINTAGE'!$BB$5&lt;&gt;"",--('POINTAGE'!BB136="Absent"),0),IF('POINTAGE'!$BD$5&lt;&gt;"",--('POINTAGE'!BD136="Absent"),0),IF('POINTAGE'!$BF$5&lt;&gt;"",--('POINTAGE'!BF136="Absent"),0),IF('POINTAGE'!$BH$5&lt;&gt;"",--('POINTAGE'!BH136="Absent"),0),IF('POINTAGE'!$BJ$5&lt;&gt;"",--('POINTAGE'!BJ136="Absent"),0),IF('POINTAGE'!$BL$5&lt;&gt;"",--('POINTAGE'!BL136="Absent"),0)))</f>
      </c>
      <c r="P136" s="23">
        <f>IF($A136="","",SUM(IF('POINTAGE'!$AH$5&lt;&gt;"",IF('POINTAGE'!AH136="Présent",'POINTAGE'!AI136,0),0),IF('POINTAGE'!$AJ$5&lt;&gt;"",IF('POINTAGE'!AJ136="Présent",'POINTAGE'!AK136,0),0),IF('POINTAGE'!$AL$5&lt;&gt;"",IF('POINTAGE'!AL136="Présent",'POINTAGE'!AM136,0),0),IF('POINTAGE'!$AN$5&lt;&gt;"",IF('POINTAGE'!AN136="Présent",'POINTAGE'!AO136,0),0),IF('POINTAGE'!$AP$5&lt;&gt;"",IF('POINTAGE'!AP136="Présent",'POINTAGE'!AQ136,0),0),IF('POINTAGE'!$AR$5&lt;&gt;"",IF('POINTAGE'!AR136="Présent",'POINTAGE'!AS136,0),0),IF('POINTAGE'!$AT$5&lt;&gt;"",IF('POINTAGE'!AT136="Présent",'POINTAGE'!AU136,0),0),IF('POINTAGE'!$AV$5&lt;&gt;"",IF('POINTAGE'!AV136="Présent",'POINTAGE'!AW136,0),0),IF('POINTAGE'!$AX$5&lt;&gt;"",IF('POINTAGE'!AX136="Présent",'POINTAGE'!AY136,0),0),IF('POINTAGE'!$AZ$5&lt;&gt;"",IF('POINTAGE'!AZ136="Présent",'POINTAGE'!BA136,0),0),IF('POINTAGE'!$BB$5&lt;&gt;"",IF('POINTAGE'!BB136="Présent",'POINTAGE'!BC136,0),0),IF('POINTAGE'!$BD$5&lt;&gt;"",IF('POINTAGE'!BD136="Présent",'POINTAGE'!BE136,0),0),IF('POINTAGE'!$BF$5&lt;&gt;"",IF('POINTAGE'!BF136="Présent",'POINTAGE'!BG136,0),0),IF('POINTAGE'!$BH$5&lt;&gt;"",IF('POINTAGE'!BH136="Présent",'POINTAGE'!BI136,0),0),IF('POINTAGE'!$BJ$5&lt;&gt;"",IF('POINTAGE'!BJ136="Présent",'POINTAGE'!BK136,0),0),IF('POINTAGE'!$BL$5&lt;&gt;"",IF('POINTAGE'!BL136="Présent",'POINTAGE'!BM136,0),0)))</f>
      </c>
      <c r="Q136" s="24">
        <f>IF($A136="","",$N136*$D136)</f>
      </c>
      <c r="R136" s="24">
        <f>IF($A136="","",$P136*$E136)</f>
      </c>
      <c r="S136" s="25">
        <f>IF($A136="","",$Q136+$R136)</f>
      </c>
      <c r="T136" s="18"/>
      <c r="U136" s="25">
        <f>IF($A136="","",MAX(0,$S136-$T136))</f>
      </c>
      <c r="V136" s="25">
        <f>IF($A136="","",$K136+$S136)</f>
      </c>
      <c r="W136" s="24">
        <f>IF($A136="","",$L136+$T136)</f>
      </c>
      <c r="X136" s="25">
        <f>IF($A136="","",$M136+$U136)</f>
      </c>
      <c r="Y136" s="29">
        <f>IF($A136="","",$J136+$R136)</f>
      </c>
    </row>
    <row r="137">
      <c r="A137" s="20">
        <f>IF('POINTAGE'!A137="","",'POINTAGE'!A137)</f>
      </c>
      <c r="B137" s="19">
        <f>IF($A137="","",'POINTAGE'!B137)</f>
      </c>
      <c r="C137" s="20">
        <f>IF($A137="","",'POINTAGE'!C137)</f>
      </c>
      <c r="D137" s="24">
        <f>IF($A137="","",IFERROR(INDEX(Categories_Salaire,MATCH($C137,ListeCategories,0)),0))</f>
      </c>
      <c r="E137" s="24">
        <f>IF($A137="","",IF(IFERROR(INDEX(Categories_TauxHS,MATCH($C137,ListeCategories,0)),0)&gt;0,IFERROR(INDEX(Categories_TauxHS,MATCH($C137,ListeCategories,0)),0),TauxHSDefaut))</f>
      </c>
      <c r="F137" s="22">
        <f>IF($A137="","",SUM(IF('POINTAGE'!$D$5&lt;&gt;"",--('POINTAGE'!D137="Présent"),0),IF('POINTAGE'!$F$5&lt;&gt;"",--('POINTAGE'!F137="Présent"),0),IF('POINTAGE'!$H$5&lt;&gt;"",--('POINTAGE'!H137="Présent"),0),IF('POINTAGE'!$J$5&lt;&gt;"",--('POINTAGE'!J137="Présent"),0),IF('POINTAGE'!$L$5&lt;&gt;"",--('POINTAGE'!L137="Présent"),0),IF('POINTAGE'!$N$5&lt;&gt;"",--('POINTAGE'!N137="Présent"),0),IF('POINTAGE'!$P$5&lt;&gt;"",--('POINTAGE'!P137="Présent"),0),IF('POINTAGE'!$R$5&lt;&gt;"",--('POINTAGE'!R137="Présent"),0),IF('POINTAGE'!$T$5&lt;&gt;"",--('POINTAGE'!T137="Présent"),0),IF('POINTAGE'!$V$5&lt;&gt;"",--('POINTAGE'!V137="Présent"),0),IF('POINTAGE'!$X$5&lt;&gt;"",--('POINTAGE'!X137="Présent"),0),IF('POINTAGE'!$Z$5&lt;&gt;"",--('POINTAGE'!Z137="Présent"),0),IF('POINTAGE'!$AB$5&lt;&gt;"",--('POINTAGE'!AB137="Présent"),0),IF('POINTAGE'!$AD$5&lt;&gt;"",--('POINTAGE'!AD137="Présent"),0),IF('POINTAGE'!$AF$5&lt;&gt;"",--('POINTAGE'!AF137="Présent"),0)))</f>
      </c>
      <c r="G137" s="22">
        <f>IF($A137="","",SUM(IF('POINTAGE'!$D$5&lt;&gt;"",--('POINTAGE'!D137="Absent"),0),IF('POINTAGE'!$F$5&lt;&gt;"",--('POINTAGE'!F137="Absent"),0),IF('POINTAGE'!$H$5&lt;&gt;"",--('POINTAGE'!H137="Absent"),0),IF('POINTAGE'!$J$5&lt;&gt;"",--('POINTAGE'!J137="Absent"),0),IF('POINTAGE'!$L$5&lt;&gt;"",--('POINTAGE'!L137="Absent"),0),IF('POINTAGE'!$N$5&lt;&gt;"",--('POINTAGE'!N137="Absent"),0),IF('POINTAGE'!$P$5&lt;&gt;"",--('POINTAGE'!P137="Absent"),0),IF('POINTAGE'!$R$5&lt;&gt;"",--('POINTAGE'!R137="Absent"),0),IF('POINTAGE'!$T$5&lt;&gt;"",--('POINTAGE'!T137="Absent"),0),IF('POINTAGE'!$V$5&lt;&gt;"",--('POINTAGE'!V137="Absent"),0),IF('POINTAGE'!$X$5&lt;&gt;"",--('POINTAGE'!X137="Absent"),0),IF('POINTAGE'!$Z$5&lt;&gt;"",--('POINTAGE'!Z137="Absent"),0),IF('POINTAGE'!$AB$5&lt;&gt;"",--('POINTAGE'!AB137="Absent"),0),IF('POINTAGE'!$AD$5&lt;&gt;"",--('POINTAGE'!AD137="Absent"),0),IF('POINTAGE'!$AF$5&lt;&gt;"",--('POINTAGE'!AF137="Absent"),0)))</f>
      </c>
      <c r="H137" s="23">
        <f>IF($A137="","",SUM(IF('POINTAGE'!$D$5&lt;&gt;"",IF('POINTAGE'!D137="Présent",'POINTAGE'!E137,0),0),IF('POINTAGE'!$F$5&lt;&gt;"",IF('POINTAGE'!F137="Présent",'POINTAGE'!G137,0),0),IF('POINTAGE'!$H$5&lt;&gt;"",IF('POINTAGE'!H137="Présent",'POINTAGE'!I137,0),0),IF('POINTAGE'!$J$5&lt;&gt;"",IF('POINTAGE'!J137="Présent",'POINTAGE'!K137,0),0),IF('POINTAGE'!$L$5&lt;&gt;"",IF('POINTAGE'!L137="Présent",'POINTAGE'!M137,0),0),IF('POINTAGE'!$N$5&lt;&gt;"",IF('POINTAGE'!N137="Présent",'POINTAGE'!O137,0),0),IF('POINTAGE'!$P$5&lt;&gt;"",IF('POINTAGE'!P137="Présent",'POINTAGE'!Q137,0),0),IF('POINTAGE'!$R$5&lt;&gt;"",IF('POINTAGE'!R137="Présent",'POINTAGE'!S137,0),0),IF('POINTAGE'!$T$5&lt;&gt;"",IF('POINTAGE'!T137="Présent",'POINTAGE'!U137,0),0),IF('POINTAGE'!$V$5&lt;&gt;"",IF('POINTAGE'!V137="Présent",'POINTAGE'!W137,0),0),IF('POINTAGE'!$X$5&lt;&gt;"",IF('POINTAGE'!X137="Présent",'POINTAGE'!Y137,0),0),IF('POINTAGE'!$Z$5&lt;&gt;"",IF('POINTAGE'!Z137="Présent",'POINTAGE'!AA137,0),0),IF('POINTAGE'!$AB$5&lt;&gt;"",IF('POINTAGE'!AB137="Présent",'POINTAGE'!AC137,0),0),IF('POINTAGE'!$AD$5&lt;&gt;"",IF('POINTAGE'!AD137="Présent",'POINTAGE'!AE137,0),0),IF('POINTAGE'!$AF$5&lt;&gt;"",IF('POINTAGE'!AF137="Présent",'POINTAGE'!AG137,0),0)))</f>
      </c>
      <c r="I137" s="24">
        <f>IF($A137="","",$F137*$D137)</f>
      </c>
      <c r="J137" s="24">
        <f>IF($A137="","",$H137*$E137)</f>
      </c>
      <c r="K137" s="25">
        <f>IF($A137="","",$I137+$J137)</f>
      </c>
      <c r="L137" s="18"/>
      <c r="M137" s="25">
        <f>IF($A137="","",MAX(0,$K137-$L137))</f>
      </c>
      <c r="N137" s="22">
        <f>IF($A137="","",SUM(IF('POINTAGE'!$AH$5&lt;&gt;"",--('POINTAGE'!AH137="Présent"),0),IF('POINTAGE'!$AJ$5&lt;&gt;"",--('POINTAGE'!AJ137="Présent"),0),IF('POINTAGE'!$AL$5&lt;&gt;"",--('POINTAGE'!AL137="Présent"),0),IF('POINTAGE'!$AN$5&lt;&gt;"",--('POINTAGE'!AN137="Présent"),0),IF('POINTAGE'!$AP$5&lt;&gt;"",--('POINTAGE'!AP137="Présent"),0),IF('POINTAGE'!$AR$5&lt;&gt;"",--('POINTAGE'!AR137="Présent"),0),IF('POINTAGE'!$AT$5&lt;&gt;"",--('POINTAGE'!AT137="Présent"),0),IF('POINTAGE'!$AV$5&lt;&gt;"",--('POINTAGE'!AV137="Présent"),0),IF('POINTAGE'!$AX$5&lt;&gt;"",--('POINTAGE'!AX137="Présent"),0),IF('POINTAGE'!$AZ$5&lt;&gt;"",--('POINTAGE'!AZ137="Présent"),0),IF('POINTAGE'!$BB$5&lt;&gt;"",--('POINTAGE'!BB137="Présent"),0),IF('POINTAGE'!$BD$5&lt;&gt;"",--('POINTAGE'!BD137="Présent"),0),IF('POINTAGE'!$BF$5&lt;&gt;"",--('POINTAGE'!BF137="Présent"),0),IF('POINTAGE'!$BH$5&lt;&gt;"",--('POINTAGE'!BH137="Présent"),0),IF('POINTAGE'!$BJ$5&lt;&gt;"",--('POINTAGE'!BJ137="Présent"),0),IF('POINTAGE'!$BL$5&lt;&gt;"",--('POINTAGE'!BL137="Présent"),0)))</f>
      </c>
      <c r="O137" s="22">
        <f>IF($A137="","",SUM(IF('POINTAGE'!$AH$5&lt;&gt;"",--('POINTAGE'!AH137="Absent"),0),IF('POINTAGE'!$AJ$5&lt;&gt;"",--('POINTAGE'!AJ137="Absent"),0),IF('POINTAGE'!$AL$5&lt;&gt;"",--('POINTAGE'!AL137="Absent"),0),IF('POINTAGE'!$AN$5&lt;&gt;"",--('POINTAGE'!AN137="Absent"),0),IF('POINTAGE'!$AP$5&lt;&gt;"",--('POINTAGE'!AP137="Absent"),0),IF('POINTAGE'!$AR$5&lt;&gt;"",--('POINTAGE'!AR137="Absent"),0),IF('POINTAGE'!$AT$5&lt;&gt;"",--('POINTAGE'!AT137="Absent"),0),IF('POINTAGE'!$AV$5&lt;&gt;"",--('POINTAGE'!AV137="Absent"),0),IF('POINTAGE'!$AX$5&lt;&gt;"",--('POINTAGE'!AX137="Absent"),0),IF('POINTAGE'!$AZ$5&lt;&gt;"",--('POINTAGE'!AZ137="Absent"),0),IF('POINTAGE'!$BB$5&lt;&gt;"",--('POINTAGE'!BB137="Absent"),0),IF('POINTAGE'!$BD$5&lt;&gt;"",--('POINTAGE'!BD137="Absent"),0),IF('POINTAGE'!$BF$5&lt;&gt;"",--('POINTAGE'!BF137="Absent"),0),IF('POINTAGE'!$BH$5&lt;&gt;"",--('POINTAGE'!BH137="Absent"),0),IF('POINTAGE'!$BJ$5&lt;&gt;"",--('POINTAGE'!BJ137="Absent"),0),IF('POINTAGE'!$BL$5&lt;&gt;"",--('POINTAGE'!BL137="Absent"),0)))</f>
      </c>
      <c r="P137" s="23">
        <f>IF($A137="","",SUM(IF('POINTAGE'!$AH$5&lt;&gt;"",IF('POINTAGE'!AH137="Présent",'POINTAGE'!AI137,0),0),IF('POINTAGE'!$AJ$5&lt;&gt;"",IF('POINTAGE'!AJ137="Présent",'POINTAGE'!AK137,0),0),IF('POINTAGE'!$AL$5&lt;&gt;"",IF('POINTAGE'!AL137="Présent",'POINTAGE'!AM137,0),0),IF('POINTAGE'!$AN$5&lt;&gt;"",IF('POINTAGE'!AN137="Présent",'POINTAGE'!AO137,0),0),IF('POINTAGE'!$AP$5&lt;&gt;"",IF('POINTAGE'!AP137="Présent",'POINTAGE'!AQ137,0),0),IF('POINTAGE'!$AR$5&lt;&gt;"",IF('POINTAGE'!AR137="Présent",'POINTAGE'!AS137,0),0),IF('POINTAGE'!$AT$5&lt;&gt;"",IF('POINTAGE'!AT137="Présent",'POINTAGE'!AU137,0),0),IF('POINTAGE'!$AV$5&lt;&gt;"",IF('POINTAGE'!AV137="Présent",'POINTAGE'!AW137,0),0),IF('POINTAGE'!$AX$5&lt;&gt;"",IF('POINTAGE'!AX137="Présent",'POINTAGE'!AY137,0),0),IF('POINTAGE'!$AZ$5&lt;&gt;"",IF('POINTAGE'!AZ137="Présent",'POINTAGE'!BA137,0),0),IF('POINTAGE'!$BB$5&lt;&gt;"",IF('POINTAGE'!BB137="Présent",'POINTAGE'!BC137,0),0),IF('POINTAGE'!$BD$5&lt;&gt;"",IF('POINTAGE'!BD137="Présent",'POINTAGE'!BE137,0),0),IF('POINTAGE'!$BF$5&lt;&gt;"",IF('POINTAGE'!BF137="Présent",'POINTAGE'!BG137,0),0),IF('POINTAGE'!$BH$5&lt;&gt;"",IF('POINTAGE'!BH137="Présent",'POINTAGE'!BI137,0),0),IF('POINTAGE'!$BJ$5&lt;&gt;"",IF('POINTAGE'!BJ137="Présent",'POINTAGE'!BK137,0),0),IF('POINTAGE'!$BL$5&lt;&gt;"",IF('POINTAGE'!BL137="Présent",'POINTAGE'!BM137,0),0)))</f>
      </c>
      <c r="Q137" s="24">
        <f>IF($A137="","",$N137*$D137)</f>
      </c>
      <c r="R137" s="24">
        <f>IF($A137="","",$P137*$E137)</f>
      </c>
      <c r="S137" s="25">
        <f>IF($A137="","",$Q137+$R137)</f>
      </c>
      <c r="T137" s="18"/>
      <c r="U137" s="25">
        <f>IF($A137="","",MAX(0,$S137-$T137))</f>
      </c>
      <c r="V137" s="25">
        <f>IF($A137="","",$K137+$S137)</f>
      </c>
      <c r="W137" s="24">
        <f>IF($A137="","",$L137+$T137)</f>
      </c>
      <c r="X137" s="25">
        <f>IF($A137="","",$M137+$U137)</f>
      </c>
      <c r="Y137" s="29">
        <f>IF($A137="","",$J137+$R137)</f>
      </c>
    </row>
    <row r="138">
      <c r="A138" s="20">
        <f>IF('POINTAGE'!A138="","",'POINTAGE'!A138)</f>
      </c>
      <c r="B138" s="19">
        <f>IF($A138="","",'POINTAGE'!B138)</f>
      </c>
      <c r="C138" s="20">
        <f>IF($A138="","",'POINTAGE'!C138)</f>
      </c>
      <c r="D138" s="24">
        <f>IF($A138="","",IFERROR(INDEX(Categories_Salaire,MATCH($C138,ListeCategories,0)),0))</f>
      </c>
      <c r="E138" s="24">
        <f>IF($A138="","",IF(IFERROR(INDEX(Categories_TauxHS,MATCH($C138,ListeCategories,0)),0)&gt;0,IFERROR(INDEX(Categories_TauxHS,MATCH($C138,ListeCategories,0)),0),TauxHSDefaut))</f>
      </c>
      <c r="F138" s="22">
        <f>IF($A138="","",SUM(IF('POINTAGE'!$D$5&lt;&gt;"",--('POINTAGE'!D138="Présent"),0),IF('POINTAGE'!$F$5&lt;&gt;"",--('POINTAGE'!F138="Présent"),0),IF('POINTAGE'!$H$5&lt;&gt;"",--('POINTAGE'!H138="Présent"),0),IF('POINTAGE'!$J$5&lt;&gt;"",--('POINTAGE'!J138="Présent"),0),IF('POINTAGE'!$L$5&lt;&gt;"",--('POINTAGE'!L138="Présent"),0),IF('POINTAGE'!$N$5&lt;&gt;"",--('POINTAGE'!N138="Présent"),0),IF('POINTAGE'!$P$5&lt;&gt;"",--('POINTAGE'!P138="Présent"),0),IF('POINTAGE'!$R$5&lt;&gt;"",--('POINTAGE'!R138="Présent"),0),IF('POINTAGE'!$T$5&lt;&gt;"",--('POINTAGE'!T138="Présent"),0),IF('POINTAGE'!$V$5&lt;&gt;"",--('POINTAGE'!V138="Présent"),0),IF('POINTAGE'!$X$5&lt;&gt;"",--('POINTAGE'!X138="Présent"),0),IF('POINTAGE'!$Z$5&lt;&gt;"",--('POINTAGE'!Z138="Présent"),0),IF('POINTAGE'!$AB$5&lt;&gt;"",--('POINTAGE'!AB138="Présent"),0),IF('POINTAGE'!$AD$5&lt;&gt;"",--('POINTAGE'!AD138="Présent"),0),IF('POINTAGE'!$AF$5&lt;&gt;"",--('POINTAGE'!AF138="Présent"),0)))</f>
      </c>
      <c r="G138" s="22">
        <f>IF($A138="","",SUM(IF('POINTAGE'!$D$5&lt;&gt;"",--('POINTAGE'!D138="Absent"),0),IF('POINTAGE'!$F$5&lt;&gt;"",--('POINTAGE'!F138="Absent"),0),IF('POINTAGE'!$H$5&lt;&gt;"",--('POINTAGE'!H138="Absent"),0),IF('POINTAGE'!$J$5&lt;&gt;"",--('POINTAGE'!J138="Absent"),0),IF('POINTAGE'!$L$5&lt;&gt;"",--('POINTAGE'!L138="Absent"),0),IF('POINTAGE'!$N$5&lt;&gt;"",--('POINTAGE'!N138="Absent"),0),IF('POINTAGE'!$P$5&lt;&gt;"",--('POINTAGE'!P138="Absent"),0),IF('POINTAGE'!$R$5&lt;&gt;"",--('POINTAGE'!R138="Absent"),0),IF('POINTAGE'!$T$5&lt;&gt;"",--('POINTAGE'!T138="Absent"),0),IF('POINTAGE'!$V$5&lt;&gt;"",--('POINTAGE'!V138="Absent"),0),IF('POINTAGE'!$X$5&lt;&gt;"",--('POINTAGE'!X138="Absent"),0),IF('POINTAGE'!$Z$5&lt;&gt;"",--('POINTAGE'!Z138="Absent"),0),IF('POINTAGE'!$AB$5&lt;&gt;"",--('POINTAGE'!AB138="Absent"),0),IF('POINTAGE'!$AD$5&lt;&gt;"",--('POINTAGE'!AD138="Absent"),0),IF('POINTAGE'!$AF$5&lt;&gt;"",--('POINTAGE'!AF138="Absent"),0)))</f>
      </c>
      <c r="H138" s="23">
        <f>IF($A138="","",SUM(IF('POINTAGE'!$D$5&lt;&gt;"",IF('POINTAGE'!D138="Présent",'POINTAGE'!E138,0),0),IF('POINTAGE'!$F$5&lt;&gt;"",IF('POINTAGE'!F138="Présent",'POINTAGE'!G138,0),0),IF('POINTAGE'!$H$5&lt;&gt;"",IF('POINTAGE'!H138="Présent",'POINTAGE'!I138,0),0),IF('POINTAGE'!$J$5&lt;&gt;"",IF('POINTAGE'!J138="Présent",'POINTAGE'!K138,0),0),IF('POINTAGE'!$L$5&lt;&gt;"",IF('POINTAGE'!L138="Présent",'POINTAGE'!M138,0),0),IF('POINTAGE'!$N$5&lt;&gt;"",IF('POINTAGE'!N138="Présent",'POINTAGE'!O138,0),0),IF('POINTAGE'!$P$5&lt;&gt;"",IF('POINTAGE'!P138="Présent",'POINTAGE'!Q138,0),0),IF('POINTAGE'!$R$5&lt;&gt;"",IF('POINTAGE'!R138="Présent",'POINTAGE'!S138,0),0),IF('POINTAGE'!$T$5&lt;&gt;"",IF('POINTAGE'!T138="Présent",'POINTAGE'!U138,0),0),IF('POINTAGE'!$V$5&lt;&gt;"",IF('POINTAGE'!V138="Présent",'POINTAGE'!W138,0),0),IF('POINTAGE'!$X$5&lt;&gt;"",IF('POINTAGE'!X138="Présent",'POINTAGE'!Y138,0),0),IF('POINTAGE'!$Z$5&lt;&gt;"",IF('POINTAGE'!Z138="Présent",'POINTAGE'!AA138,0),0),IF('POINTAGE'!$AB$5&lt;&gt;"",IF('POINTAGE'!AB138="Présent",'POINTAGE'!AC138,0),0),IF('POINTAGE'!$AD$5&lt;&gt;"",IF('POINTAGE'!AD138="Présent",'POINTAGE'!AE138,0),0),IF('POINTAGE'!$AF$5&lt;&gt;"",IF('POINTAGE'!AF138="Présent",'POINTAGE'!AG138,0),0)))</f>
      </c>
      <c r="I138" s="24">
        <f>IF($A138="","",$F138*$D138)</f>
      </c>
      <c r="J138" s="24">
        <f>IF($A138="","",$H138*$E138)</f>
      </c>
      <c r="K138" s="25">
        <f>IF($A138="","",$I138+$J138)</f>
      </c>
      <c r="L138" s="18"/>
      <c r="M138" s="25">
        <f>IF($A138="","",MAX(0,$K138-$L138))</f>
      </c>
      <c r="N138" s="22">
        <f>IF($A138="","",SUM(IF('POINTAGE'!$AH$5&lt;&gt;"",--('POINTAGE'!AH138="Présent"),0),IF('POINTAGE'!$AJ$5&lt;&gt;"",--('POINTAGE'!AJ138="Présent"),0),IF('POINTAGE'!$AL$5&lt;&gt;"",--('POINTAGE'!AL138="Présent"),0),IF('POINTAGE'!$AN$5&lt;&gt;"",--('POINTAGE'!AN138="Présent"),0),IF('POINTAGE'!$AP$5&lt;&gt;"",--('POINTAGE'!AP138="Présent"),0),IF('POINTAGE'!$AR$5&lt;&gt;"",--('POINTAGE'!AR138="Présent"),0),IF('POINTAGE'!$AT$5&lt;&gt;"",--('POINTAGE'!AT138="Présent"),0),IF('POINTAGE'!$AV$5&lt;&gt;"",--('POINTAGE'!AV138="Présent"),0),IF('POINTAGE'!$AX$5&lt;&gt;"",--('POINTAGE'!AX138="Présent"),0),IF('POINTAGE'!$AZ$5&lt;&gt;"",--('POINTAGE'!AZ138="Présent"),0),IF('POINTAGE'!$BB$5&lt;&gt;"",--('POINTAGE'!BB138="Présent"),0),IF('POINTAGE'!$BD$5&lt;&gt;"",--('POINTAGE'!BD138="Présent"),0),IF('POINTAGE'!$BF$5&lt;&gt;"",--('POINTAGE'!BF138="Présent"),0),IF('POINTAGE'!$BH$5&lt;&gt;"",--('POINTAGE'!BH138="Présent"),0),IF('POINTAGE'!$BJ$5&lt;&gt;"",--('POINTAGE'!BJ138="Présent"),0),IF('POINTAGE'!$BL$5&lt;&gt;"",--('POINTAGE'!BL138="Présent"),0)))</f>
      </c>
      <c r="O138" s="22">
        <f>IF($A138="","",SUM(IF('POINTAGE'!$AH$5&lt;&gt;"",--('POINTAGE'!AH138="Absent"),0),IF('POINTAGE'!$AJ$5&lt;&gt;"",--('POINTAGE'!AJ138="Absent"),0),IF('POINTAGE'!$AL$5&lt;&gt;"",--('POINTAGE'!AL138="Absent"),0),IF('POINTAGE'!$AN$5&lt;&gt;"",--('POINTAGE'!AN138="Absent"),0),IF('POINTAGE'!$AP$5&lt;&gt;"",--('POINTAGE'!AP138="Absent"),0),IF('POINTAGE'!$AR$5&lt;&gt;"",--('POINTAGE'!AR138="Absent"),0),IF('POINTAGE'!$AT$5&lt;&gt;"",--('POINTAGE'!AT138="Absent"),0),IF('POINTAGE'!$AV$5&lt;&gt;"",--('POINTAGE'!AV138="Absent"),0),IF('POINTAGE'!$AX$5&lt;&gt;"",--('POINTAGE'!AX138="Absent"),0),IF('POINTAGE'!$AZ$5&lt;&gt;"",--('POINTAGE'!AZ138="Absent"),0),IF('POINTAGE'!$BB$5&lt;&gt;"",--('POINTAGE'!BB138="Absent"),0),IF('POINTAGE'!$BD$5&lt;&gt;"",--('POINTAGE'!BD138="Absent"),0),IF('POINTAGE'!$BF$5&lt;&gt;"",--('POINTAGE'!BF138="Absent"),0),IF('POINTAGE'!$BH$5&lt;&gt;"",--('POINTAGE'!BH138="Absent"),0),IF('POINTAGE'!$BJ$5&lt;&gt;"",--('POINTAGE'!BJ138="Absent"),0),IF('POINTAGE'!$BL$5&lt;&gt;"",--('POINTAGE'!BL138="Absent"),0)))</f>
      </c>
      <c r="P138" s="23">
        <f>IF($A138="","",SUM(IF('POINTAGE'!$AH$5&lt;&gt;"",IF('POINTAGE'!AH138="Présent",'POINTAGE'!AI138,0),0),IF('POINTAGE'!$AJ$5&lt;&gt;"",IF('POINTAGE'!AJ138="Présent",'POINTAGE'!AK138,0),0),IF('POINTAGE'!$AL$5&lt;&gt;"",IF('POINTAGE'!AL138="Présent",'POINTAGE'!AM138,0),0),IF('POINTAGE'!$AN$5&lt;&gt;"",IF('POINTAGE'!AN138="Présent",'POINTAGE'!AO138,0),0),IF('POINTAGE'!$AP$5&lt;&gt;"",IF('POINTAGE'!AP138="Présent",'POINTAGE'!AQ138,0),0),IF('POINTAGE'!$AR$5&lt;&gt;"",IF('POINTAGE'!AR138="Présent",'POINTAGE'!AS138,0),0),IF('POINTAGE'!$AT$5&lt;&gt;"",IF('POINTAGE'!AT138="Présent",'POINTAGE'!AU138,0),0),IF('POINTAGE'!$AV$5&lt;&gt;"",IF('POINTAGE'!AV138="Présent",'POINTAGE'!AW138,0),0),IF('POINTAGE'!$AX$5&lt;&gt;"",IF('POINTAGE'!AX138="Présent",'POINTAGE'!AY138,0),0),IF('POINTAGE'!$AZ$5&lt;&gt;"",IF('POINTAGE'!AZ138="Présent",'POINTAGE'!BA138,0),0),IF('POINTAGE'!$BB$5&lt;&gt;"",IF('POINTAGE'!BB138="Présent",'POINTAGE'!BC138,0),0),IF('POINTAGE'!$BD$5&lt;&gt;"",IF('POINTAGE'!BD138="Présent",'POINTAGE'!BE138,0),0),IF('POINTAGE'!$BF$5&lt;&gt;"",IF('POINTAGE'!BF138="Présent",'POINTAGE'!BG138,0),0),IF('POINTAGE'!$BH$5&lt;&gt;"",IF('POINTAGE'!BH138="Présent",'POINTAGE'!BI138,0),0),IF('POINTAGE'!$BJ$5&lt;&gt;"",IF('POINTAGE'!BJ138="Présent",'POINTAGE'!BK138,0),0),IF('POINTAGE'!$BL$5&lt;&gt;"",IF('POINTAGE'!BL138="Présent",'POINTAGE'!BM138,0),0)))</f>
      </c>
      <c r="Q138" s="24">
        <f>IF($A138="","",$N138*$D138)</f>
      </c>
      <c r="R138" s="24">
        <f>IF($A138="","",$P138*$E138)</f>
      </c>
      <c r="S138" s="25">
        <f>IF($A138="","",$Q138+$R138)</f>
      </c>
      <c r="T138" s="18"/>
      <c r="U138" s="25">
        <f>IF($A138="","",MAX(0,$S138-$T138))</f>
      </c>
      <c r="V138" s="25">
        <f>IF($A138="","",$K138+$S138)</f>
      </c>
      <c r="W138" s="24">
        <f>IF($A138="","",$L138+$T138)</f>
      </c>
      <c r="X138" s="25">
        <f>IF($A138="","",$M138+$U138)</f>
      </c>
      <c r="Y138" s="29">
        <f>IF($A138="","",$J138+$R138)</f>
      </c>
    </row>
    <row r="139">
      <c r="A139" s="20">
        <f>IF('POINTAGE'!A139="","",'POINTAGE'!A139)</f>
      </c>
      <c r="B139" s="19">
        <f>IF($A139="","",'POINTAGE'!B139)</f>
      </c>
      <c r="C139" s="20">
        <f>IF($A139="","",'POINTAGE'!C139)</f>
      </c>
      <c r="D139" s="24">
        <f>IF($A139="","",IFERROR(INDEX(Categories_Salaire,MATCH($C139,ListeCategories,0)),0))</f>
      </c>
      <c r="E139" s="24">
        <f>IF($A139="","",IF(IFERROR(INDEX(Categories_TauxHS,MATCH($C139,ListeCategories,0)),0)&gt;0,IFERROR(INDEX(Categories_TauxHS,MATCH($C139,ListeCategories,0)),0),TauxHSDefaut))</f>
      </c>
      <c r="F139" s="22">
        <f>IF($A139="","",SUM(IF('POINTAGE'!$D$5&lt;&gt;"",--('POINTAGE'!D139="Présent"),0),IF('POINTAGE'!$F$5&lt;&gt;"",--('POINTAGE'!F139="Présent"),0),IF('POINTAGE'!$H$5&lt;&gt;"",--('POINTAGE'!H139="Présent"),0),IF('POINTAGE'!$J$5&lt;&gt;"",--('POINTAGE'!J139="Présent"),0),IF('POINTAGE'!$L$5&lt;&gt;"",--('POINTAGE'!L139="Présent"),0),IF('POINTAGE'!$N$5&lt;&gt;"",--('POINTAGE'!N139="Présent"),0),IF('POINTAGE'!$P$5&lt;&gt;"",--('POINTAGE'!P139="Présent"),0),IF('POINTAGE'!$R$5&lt;&gt;"",--('POINTAGE'!R139="Présent"),0),IF('POINTAGE'!$T$5&lt;&gt;"",--('POINTAGE'!T139="Présent"),0),IF('POINTAGE'!$V$5&lt;&gt;"",--('POINTAGE'!V139="Présent"),0),IF('POINTAGE'!$X$5&lt;&gt;"",--('POINTAGE'!X139="Présent"),0),IF('POINTAGE'!$Z$5&lt;&gt;"",--('POINTAGE'!Z139="Présent"),0),IF('POINTAGE'!$AB$5&lt;&gt;"",--('POINTAGE'!AB139="Présent"),0),IF('POINTAGE'!$AD$5&lt;&gt;"",--('POINTAGE'!AD139="Présent"),0),IF('POINTAGE'!$AF$5&lt;&gt;"",--('POINTAGE'!AF139="Présent"),0)))</f>
      </c>
      <c r="G139" s="22">
        <f>IF($A139="","",SUM(IF('POINTAGE'!$D$5&lt;&gt;"",--('POINTAGE'!D139="Absent"),0),IF('POINTAGE'!$F$5&lt;&gt;"",--('POINTAGE'!F139="Absent"),0),IF('POINTAGE'!$H$5&lt;&gt;"",--('POINTAGE'!H139="Absent"),0),IF('POINTAGE'!$J$5&lt;&gt;"",--('POINTAGE'!J139="Absent"),0),IF('POINTAGE'!$L$5&lt;&gt;"",--('POINTAGE'!L139="Absent"),0),IF('POINTAGE'!$N$5&lt;&gt;"",--('POINTAGE'!N139="Absent"),0),IF('POINTAGE'!$P$5&lt;&gt;"",--('POINTAGE'!P139="Absent"),0),IF('POINTAGE'!$R$5&lt;&gt;"",--('POINTAGE'!R139="Absent"),0),IF('POINTAGE'!$T$5&lt;&gt;"",--('POINTAGE'!T139="Absent"),0),IF('POINTAGE'!$V$5&lt;&gt;"",--('POINTAGE'!V139="Absent"),0),IF('POINTAGE'!$X$5&lt;&gt;"",--('POINTAGE'!X139="Absent"),0),IF('POINTAGE'!$Z$5&lt;&gt;"",--('POINTAGE'!Z139="Absent"),0),IF('POINTAGE'!$AB$5&lt;&gt;"",--('POINTAGE'!AB139="Absent"),0),IF('POINTAGE'!$AD$5&lt;&gt;"",--('POINTAGE'!AD139="Absent"),0),IF('POINTAGE'!$AF$5&lt;&gt;"",--('POINTAGE'!AF139="Absent"),0)))</f>
      </c>
      <c r="H139" s="23">
        <f>IF($A139="","",SUM(IF('POINTAGE'!$D$5&lt;&gt;"",IF('POINTAGE'!D139="Présent",'POINTAGE'!E139,0),0),IF('POINTAGE'!$F$5&lt;&gt;"",IF('POINTAGE'!F139="Présent",'POINTAGE'!G139,0),0),IF('POINTAGE'!$H$5&lt;&gt;"",IF('POINTAGE'!H139="Présent",'POINTAGE'!I139,0),0),IF('POINTAGE'!$J$5&lt;&gt;"",IF('POINTAGE'!J139="Présent",'POINTAGE'!K139,0),0),IF('POINTAGE'!$L$5&lt;&gt;"",IF('POINTAGE'!L139="Présent",'POINTAGE'!M139,0),0),IF('POINTAGE'!$N$5&lt;&gt;"",IF('POINTAGE'!N139="Présent",'POINTAGE'!O139,0),0),IF('POINTAGE'!$P$5&lt;&gt;"",IF('POINTAGE'!P139="Présent",'POINTAGE'!Q139,0),0),IF('POINTAGE'!$R$5&lt;&gt;"",IF('POINTAGE'!R139="Présent",'POINTAGE'!S139,0),0),IF('POINTAGE'!$T$5&lt;&gt;"",IF('POINTAGE'!T139="Présent",'POINTAGE'!U139,0),0),IF('POINTAGE'!$V$5&lt;&gt;"",IF('POINTAGE'!V139="Présent",'POINTAGE'!W139,0),0),IF('POINTAGE'!$X$5&lt;&gt;"",IF('POINTAGE'!X139="Présent",'POINTAGE'!Y139,0),0),IF('POINTAGE'!$Z$5&lt;&gt;"",IF('POINTAGE'!Z139="Présent",'POINTAGE'!AA139,0),0),IF('POINTAGE'!$AB$5&lt;&gt;"",IF('POINTAGE'!AB139="Présent",'POINTAGE'!AC139,0),0),IF('POINTAGE'!$AD$5&lt;&gt;"",IF('POINTAGE'!AD139="Présent",'POINTAGE'!AE139,0),0),IF('POINTAGE'!$AF$5&lt;&gt;"",IF('POINTAGE'!AF139="Présent",'POINTAGE'!AG139,0),0)))</f>
      </c>
      <c r="I139" s="24">
        <f>IF($A139="","",$F139*$D139)</f>
      </c>
      <c r="J139" s="24">
        <f>IF($A139="","",$H139*$E139)</f>
      </c>
      <c r="K139" s="25">
        <f>IF($A139="","",$I139+$J139)</f>
      </c>
      <c r="L139" s="18"/>
      <c r="M139" s="25">
        <f>IF($A139="","",MAX(0,$K139-$L139))</f>
      </c>
      <c r="N139" s="22">
        <f>IF($A139="","",SUM(IF('POINTAGE'!$AH$5&lt;&gt;"",--('POINTAGE'!AH139="Présent"),0),IF('POINTAGE'!$AJ$5&lt;&gt;"",--('POINTAGE'!AJ139="Présent"),0),IF('POINTAGE'!$AL$5&lt;&gt;"",--('POINTAGE'!AL139="Présent"),0),IF('POINTAGE'!$AN$5&lt;&gt;"",--('POINTAGE'!AN139="Présent"),0),IF('POINTAGE'!$AP$5&lt;&gt;"",--('POINTAGE'!AP139="Présent"),0),IF('POINTAGE'!$AR$5&lt;&gt;"",--('POINTAGE'!AR139="Présent"),0),IF('POINTAGE'!$AT$5&lt;&gt;"",--('POINTAGE'!AT139="Présent"),0),IF('POINTAGE'!$AV$5&lt;&gt;"",--('POINTAGE'!AV139="Présent"),0),IF('POINTAGE'!$AX$5&lt;&gt;"",--('POINTAGE'!AX139="Présent"),0),IF('POINTAGE'!$AZ$5&lt;&gt;"",--('POINTAGE'!AZ139="Présent"),0),IF('POINTAGE'!$BB$5&lt;&gt;"",--('POINTAGE'!BB139="Présent"),0),IF('POINTAGE'!$BD$5&lt;&gt;"",--('POINTAGE'!BD139="Présent"),0),IF('POINTAGE'!$BF$5&lt;&gt;"",--('POINTAGE'!BF139="Présent"),0),IF('POINTAGE'!$BH$5&lt;&gt;"",--('POINTAGE'!BH139="Présent"),0),IF('POINTAGE'!$BJ$5&lt;&gt;"",--('POINTAGE'!BJ139="Présent"),0),IF('POINTAGE'!$BL$5&lt;&gt;"",--('POINTAGE'!BL139="Présent"),0)))</f>
      </c>
      <c r="O139" s="22">
        <f>IF($A139="","",SUM(IF('POINTAGE'!$AH$5&lt;&gt;"",--('POINTAGE'!AH139="Absent"),0),IF('POINTAGE'!$AJ$5&lt;&gt;"",--('POINTAGE'!AJ139="Absent"),0),IF('POINTAGE'!$AL$5&lt;&gt;"",--('POINTAGE'!AL139="Absent"),0),IF('POINTAGE'!$AN$5&lt;&gt;"",--('POINTAGE'!AN139="Absent"),0),IF('POINTAGE'!$AP$5&lt;&gt;"",--('POINTAGE'!AP139="Absent"),0),IF('POINTAGE'!$AR$5&lt;&gt;"",--('POINTAGE'!AR139="Absent"),0),IF('POINTAGE'!$AT$5&lt;&gt;"",--('POINTAGE'!AT139="Absent"),0),IF('POINTAGE'!$AV$5&lt;&gt;"",--('POINTAGE'!AV139="Absent"),0),IF('POINTAGE'!$AX$5&lt;&gt;"",--('POINTAGE'!AX139="Absent"),0),IF('POINTAGE'!$AZ$5&lt;&gt;"",--('POINTAGE'!AZ139="Absent"),0),IF('POINTAGE'!$BB$5&lt;&gt;"",--('POINTAGE'!BB139="Absent"),0),IF('POINTAGE'!$BD$5&lt;&gt;"",--('POINTAGE'!BD139="Absent"),0),IF('POINTAGE'!$BF$5&lt;&gt;"",--('POINTAGE'!BF139="Absent"),0),IF('POINTAGE'!$BH$5&lt;&gt;"",--('POINTAGE'!BH139="Absent"),0),IF('POINTAGE'!$BJ$5&lt;&gt;"",--('POINTAGE'!BJ139="Absent"),0),IF('POINTAGE'!$BL$5&lt;&gt;"",--('POINTAGE'!BL139="Absent"),0)))</f>
      </c>
      <c r="P139" s="23">
        <f>IF($A139="","",SUM(IF('POINTAGE'!$AH$5&lt;&gt;"",IF('POINTAGE'!AH139="Présent",'POINTAGE'!AI139,0),0),IF('POINTAGE'!$AJ$5&lt;&gt;"",IF('POINTAGE'!AJ139="Présent",'POINTAGE'!AK139,0),0),IF('POINTAGE'!$AL$5&lt;&gt;"",IF('POINTAGE'!AL139="Présent",'POINTAGE'!AM139,0),0),IF('POINTAGE'!$AN$5&lt;&gt;"",IF('POINTAGE'!AN139="Présent",'POINTAGE'!AO139,0),0),IF('POINTAGE'!$AP$5&lt;&gt;"",IF('POINTAGE'!AP139="Présent",'POINTAGE'!AQ139,0),0),IF('POINTAGE'!$AR$5&lt;&gt;"",IF('POINTAGE'!AR139="Présent",'POINTAGE'!AS139,0),0),IF('POINTAGE'!$AT$5&lt;&gt;"",IF('POINTAGE'!AT139="Présent",'POINTAGE'!AU139,0),0),IF('POINTAGE'!$AV$5&lt;&gt;"",IF('POINTAGE'!AV139="Présent",'POINTAGE'!AW139,0),0),IF('POINTAGE'!$AX$5&lt;&gt;"",IF('POINTAGE'!AX139="Présent",'POINTAGE'!AY139,0),0),IF('POINTAGE'!$AZ$5&lt;&gt;"",IF('POINTAGE'!AZ139="Présent",'POINTAGE'!BA139,0),0),IF('POINTAGE'!$BB$5&lt;&gt;"",IF('POINTAGE'!BB139="Présent",'POINTAGE'!BC139,0),0),IF('POINTAGE'!$BD$5&lt;&gt;"",IF('POINTAGE'!BD139="Présent",'POINTAGE'!BE139,0),0),IF('POINTAGE'!$BF$5&lt;&gt;"",IF('POINTAGE'!BF139="Présent",'POINTAGE'!BG139,0),0),IF('POINTAGE'!$BH$5&lt;&gt;"",IF('POINTAGE'!BH139="Présent",'POINTAGE'!BI139,0),0),IF('POINTAGE'!$BJ$5&lt;&gt;"",IF('POINTAGE'!BJ139="Présent",'POINTAGE'!BK139,0),0),IF('POINTAGE'!$BL$5&lt;&gt;"",IF('POINTAGE'!BL139="Présent",'POINTAGE'!BM139,0),0)))</f>
      </c>
      <c r="Q139" s="24">
        <f>IF($A139="","",$N139*$D139)</f>
      </c>
      <c r="R139" s="24">
        <f>IF($A139="","",$P139*$E139)</f>
      </c>
      <c r="S139" s="25">
        <f>IF($A139="","",$Q139+$R139)</f>
      </c>
      <c r="T139" s="18"/>
      <c r="U139" s="25">
        <f>IF($A139="","",MAX(0,$S139-$T139))</f>
      </c>
      <c r="V139" s="25">
        <f>IF($A139="","",$K139+$S139)</f>
      </c>
      <c r="W139" s="24">
        <f>IF($A139="","",$L139+$T139)</f>
      </c>
      <c r="X139" s="25">
        <f>IF($A139="","",$M139+$U139)</f>
      </c>
      <c r="Y139" s="29">
        <f>IF($A139="","",$J139+$R139)</f>
      </c>
    </row>
    <row r="140">
      <c r="A140" s="20">
        <f>IF('POINTAGE'!A140="","",'POINTAGE'!A140)</f>
      </c>
      <c r="B140" s="19">
        <f>IF($A140="","",'POINTAGE'!B140)</f>
      </c>
      <c r="C140" s="20">
        <f>IF($A140="","",'POINTAGE'!C140)</f>
      </c>
      <c r="D140" s="24">
        <f>IF($A140="","",IFERROR(INDEX(Categories_Salaire,MATCH($C140,ListeCategories,0)),0))</f>
      </c>
      <c r="E140" s="24">
        <f>IF($A140="","",IF(IFERROR(INDEX(Categories_TauxHS,MATCH($C140,ListeCategories,0)),0)&gt;0,IFERROR(INDEX(Categories_TauxHS,MATCH($C140,ListeCategories,0)),0),TauxHSDefaut))</f>
      </c>
      <c r="F140" s="22">
        <f>IF($A140="","",SUM(IF('POINTAGE'!$D$5&lt;&gt;"",--('POINTAGE'!D140="Présent"),0),IF('POINTAGE'!$F$5&lt;&gt;"",--('POINTAGE'!F140="Présent"),0),IF('POINTAGE'!$H$5&lt;&gt;"",--('POINTAGE'!H140="Présent"),0),IF('POINTAGE'!$J$5&lt;&gt;"",--('POINTAGE'!J140="Présent"),0),IF('POINTAGE'!$L$5&lt;&gt;"",--('POINTAGE'!L140="Présent"),0),IF('POINTAGE'!$N$5&lt;&gt;"",--('POINTAGE'!N140="Présent"),0),IF('POINTAGE'!$P$5&lt;&gt;"",--('POINTAGE'!P140="Présent"),0),IF('POINTAGE'!$R$5&lt;&gt;"",--('POINTAGE'!R140="Présent"),0),IF('POINTAGE'!$T$5&lt;&gt;"",--('POINTAGE'!T140="Présent"),0),IF('POINTAGE'!$V$5&lt;&gt;"",--('POINTAGE'!V140="Présent"),0),IF('POINTAGE'!$X$5&lt;&gt;"",--('POINTAGE'!X140="Présent"),0),IF('POINTAGE'!$Z$5&lt;&gt;"",--('POINTAGE'!Z140="Présent"),0),IF('POINTAGE'!$AB$5&lt;&gt;"",--('POINTAGE'!AB140="Présent"),0),IF('POINTAGE'!$AD$5&lt;&gt;"",--('POINTAGE'!AD140="Présent"),0),IF('POINTAGE'!$AF$5&lt;&gt;"",--('POINTAGE'!AF140="Présent"),0)))</f>
      </c>
      <c r="G140" s="22">
        <f>IF($A140="","",SUM(IF('POINTAGE'!$D$5&lt;&gt;"",--('POINTAGE'!D140="Absent"),0),IF('POINTAGE'!$F$5&lt;&gt;"",--('POINTAGE'!F140="Absent"),0),IF('POINTAGE'!$H$5&lt;&gt;"",--('POINTAGE'!H140="Absent"),0),IF('POINTAGE'!$J$5&lt;&gt;"",--('POINTAGE'!J140="Absent"),0),IF('POINTAGE'!$L$5&lt;&gt;"",--('POINTAGE'!L140="Absent"),0),IF('POINTAGE'!$N$5&lt;&gt;"",--('POINTAGE'!N140="Absent"),0),IF('POINTAGE'!$P$5&lt;&gt;"",--('POINTAGE'!P140="Absent"),0),IF('POINTAGE'!$R$5&lt;&gt;"",--('POINTAGE'!R140="Absent"),0),IF('POINTAGE'!$T$5&lt;&gt;"",--('POINTAGE'!T140="Absent"),0),IF('POINTAGE'!$V$5&lt;&gt;"",--('POINTAGE'!V140="Absent"),0),IF('POINTAGE'!$X$5&lt;&gt;"",--('POINTAGE'!X140="Absent"),0),IF('POINTAGE'!$Z$5&lt;&gt;"",--('POINTAGE'!Z140="Absent"),0),IF('POINTAGE'!$AB$5&lt;&gt;"",--('POINTAGE'!AB140="Absent"),0),IF('POINTAGE'!$AD$5&lt;&gt;"",--('POINTAGE'!AD140="Absent"),0),IF('POINTAGE'!$AF$5&lt;&gt;"",--('POINTAGE'!AF140="Absent"),0)))</f>
      </c>
      <c r="H140" s="23">
        <f>IF($A140="","",SUM(IF('POINTAGE'!$D$5&lt;&gt;"",IF('POINTAGE'!D140="Présent",'POINTAGE'!E140,0),0),IF('POINTAGE'!$F$5&lt;&gt;"",IF('POINTAGE'!F140="Présent",'POINTAGE'!G140,0),0),IF('POINTAGE'!$H$5&lt;&gt;"",IF('POINTAGE'!H140="Présent",'POINTAGE'!I140,0),0),IF('POINTAGE'!$J$5&lt;&gt;"",IF('POINTAGE'!J140="Présent",'POINTAGE'!K140,0),0),IF('POINTAGE'!$L$5&lt;&gt;"",IF('POINTAGE'!L140="Présent",'POINTAGE'!M140,0),0),IF('POINTAGE'!$N$5&lt;&gt;"",IF('POINTAGE'!N140="Présent",'POINTAGE'!O140,0),0),IF('POINTAGE'!$P$5&lt;&gt;"",IF('POINTAGE'!P140="Présent",'POINTAGE'!Q140,0),0),IF('POINTAGE'!$R$5&lt;&gt;"",IF('POINTAGE'!R140="Présent",'POINTAGE'!S140,0),0),IF('POINTAGE'!$T$5&lt;&gt;"",IF('POINTAGE'!T140="Présent",'POINTAGE'!U140,0),0),IF('POINTAGE'!$V$5&lt;&gt;"",IF('POINTAGE'!V140="Présent",'POINTAGE'!W140,0),0),IF('POINTAGE'!$X$5&lt;&gt;"",IF('POINTAGE'!X140="Présent",'POINTAGE'!Y140,0),0),IF('POINTAGE'!$Z$5&lt;&gt;"",IF('POINTAGE'!Z140="Présent",'POINTAGE'!AA140,0),0),IF('POINTAGE'!$AB$5&lt;&gt;"",IF('POINTAGE'!AB140="Présent",'POINTAGE'!AC140,0),0),IF('POINTAGE'!$AD$5&lt;&gt;"",IF('POINTAGE'!AD140="Présent",'POINTAGE'!AE140,0),0),IF('POINTAGE'!$AF$5&lt;&gt;"",IF('POINTAGE'!AF140="Présent",'POINTAGE'!AG140,0),0)))</f>
      </c>
      <c r="I140" s="24">
        <f>IF($A140="","",$F140*$D140)</f>
      </c>
      <c r="J140" s="24">
        <f>IF($A140="","",$H140*$E140)</f>
      </c>
      <c r="K140" s="25">
        <f>IF($A140="","",$I140+$J140)</f>
      </c>
      <c r="L140" s="18"/>
      <c r="M140" s="25">
        <f>IF($A140="","",MAX(0,$K140-$L140))</f>
      </c>
      <c r="N140" s="22">
        <f>IF($A140="","",SUM(IF('POINTAGE'!$AH$5&lt;&gt;"",--('POINTAGE'!AH140="Présent"),0),IF('POINTAGE'!$AJ$5&lt;&gt;"",--('POINTAGE'!AJ140="Présent"),0),IF('POINTAGE'!$AL$5&lt;&gt;"",--('POINTAGE'!AL140="Présent"),0),IF('POINTAGE'!$AN$5&lt;&gt;"",--('POINTAGE'!AN140="Présent"),0),IF('POINTAGE'!$AP$5&lt;&gt;"",--('POINTAGE'!AP140="Présent"),0),IF('POINTAGE'!$AR$5&lt;&gt;"",--('POINTAGE'!AR140="Présent"),0),IF('POINTAGE'!$AT$5&lt;&gt;"",--('POINTAGE'!AT140="Présent"),0),IF('POINTAGE'!$AV$5&lt;&gt;"",--('POINTAGE'!AV140="Présent"),0),IF('POINTAGE'!$AX$5&lt;&gt;"",--('POINTAGE'!AX140="Présent"),0),IF('POINTAGE'!$AZ$5&lt;&gt;"",--('POINTAGE'!AZ140="Présent"),0),IF('POINTAGE'!$BB$5&lt;&gt;"",--('POINTAGE'!BB140="Présent"),0),IF('POINTAGE'!$BD$5&lt;&gt;"",--('POINTAGE'!BD140="Présent"),0),IF('POINTAGE'!$BF$5&lt;&gt;"",--('POINTAGE'!BF140="Présent"),0),IF('POINTAGE'!$BH$5&lt;&gt;"",--('POINTAGE'!BH140="Présent"),0),IF('POINTAGE'!$BJ$5&lt;&gt;"",--('POINTAGE'!BJ140="Présent"),0),IF('POINTAGE'!$BL$5&lt;&gt;"",--('POINTAGE'!BL140="Présent"),0)))</f>
      </c>
      <c r="O140" s="22">
        <f>IF($A140="","",SUM(IF('POINTAGE'!$AH$5&lt;&gt;"",--('POINTAGE'!AH140="Absent"),0),IF('POINTAGE'!$AJ$5&lt;&gt;"",--('POINTAGE'!AJ140="Absent"),0),IF('POINTAGE'!$AL$5&lt;&gt;"",--('POINTAGE'!AL140="Absent"),0),IF('POINTAGE'!$AN$5&lt;&gt;"",--('POINTAGE'!AN140="Absent"),0),IF('POINTAGE'!$AP$5&lt;&gt;"",--('POINTAGE'!AP140="Absent"),0),IF('POINTAGE'!$AR$5&lt;&gt;"",--('POINTAGE'!AR140="Absent"),0),IF('POINTAGE'!$AT$5&lt;&gt;"",--('POINTAGE'!AT140="Absent"),0),IF('POINTAGE'!$AV$5&lt;&gt;"",--('POINTAGE'!AV140="Absent"),0),IF('POINTAGE'!$AX$5&lt;&gt;"",--('POINTAGE'!AX140="Absent"),0),IF('POINTAGE'!$AZ$5&lt;&gt;"",--('POINTAGE'!AZ140="Absent"),0),IF('POINTAGE'!$BB$5&lt;&gt;"",--('POINTAGE'!BB140="Absent"),0),IF('POINTAGE'!$BD$5&lt;&gt;"",--('POINTAGE'!BD140="Absent"),0),IF('POINTAGE'!$BF$5&lt;&gt;"",--('POINTAGE'!BF140="Absent"),0),IF('POINTAGE'!$BH$5&lt;&gt;"",--('POINTAGE'!BH140="Absent"),0),IF('POINTAGE'!$BJ$5&lt;&gt;"",--('POINTAGE'!BJ140="Absent"),0),IF('POINTAGE'!$BL$5&lt;&gt;"",--('POINTAGE'!BL140="Absent"),0)))</f>
      </c>
      <c r="P140" s="23">
        <f>IF($A140="","",SUM(IF('POINTAGE'!$AH$5&lt;&gt;"",IF('POINTAGE'!AH140="Présent",'POINTAGE'!AI140,0),0),IF('POINTAGE'!$AJ$5&lt;&gt;"",IF('POINTAGE'!AJ140="Présent",'POINTAGE'!AK140,0),0),IF('POINTAGE'!$AL$5&lt;&gt;"",IF('POINTAGE'!AL140="Présent",'POINTAGE'!AM140,0),0),IF('POINTAGE'!$AN$5&lt;&gt;"",IF('POINTAGE'!AN140="Présent",'POINTAGE'!AO140,0),0),IF('POINTAGE'!$AP$5&lt;&gt;"",IF('POINTAGE'!AP140="Présent",'POINTAGE'!AQ140,0),0),IF('POINTAGE'!$AR$5&lt;&gt;"",IF('POINTAGE'!AR140="Présent",'POINTAGE'!AS140,0),0),IF('POINTAGE'!$AT$5&lt;&gt;"",IF('POINTAGE'!AT140="Présent",'POINTAGE'!AU140,0),0),IF('POINTAGE'!$AV$5&lt;&gt;"",IF('POINTAGE'!AV140="Présent",'POINTAGE'!AW140,0),0),IF('POINTAGE'!$AX$5&lt;&gt;"",IF('POINTAGE'!AX140="Présent",'POINTAGE'!AY140,0),0),IF('POINTAGE'!$AZ$5&lt;&gt;"",IF('POINTAGE'!AZ140="Présent",'POINTAGE'!BA140,0),0),IF('POINTAGE'!$BB$5&lt;&gt;"",IF('POINTAGE'!BB140="Présent",'POINTAGE'!BC140,0),0),IF('POINTAGE'!$BD$5&lt;&gt;"",IF('POINTAGE'!BD140="Présent",'POINTAGE'!BE140,0),0),IF('POINTAGE'!$BF$5&lt;&gt;"",IF('POINTAGE'!BF140="Présent",'POINTAGE'!BG140,0),0),IF('POINTAGE'!$BH$5&lt;&gt;"",IF('POINTAGE'!BH140="Présent",'POINTAGE'!BI140,0),0),IF('POINTAGE'!$BJ$5&lt;&gt;"",IF('POINTAGE'!BJ140="Présent",'POINTAGE'!BK140,0),0),IF('POINTAGE'!$BL$5&lt;&gt;"",IF('POINTAGE'!BL140="Présent",'POINTAGE'!BM140,0),0)))</f>
      </c>
      <c r="Q140" s="24">
        <f>IF($A140="","",$N140*$D140)</f>
      </c>
      <c r="R140" s="24">
        <f>IF($A140="","",$P140*$E140)</f>
      </c>
      <c r="S140" s="25">
        <f>IF($A140="","",$Q140+$R140)</f>
      </c>
      <c r="T140" s="18"/>
      <c r="U140" s="25">
        <f>IF($A140="","",MAX(0,$S140-$T140))</f>
      </c>
      <c r="V140" s="25">
        <f>IF($A140="","",$K140+$S140)</f>
      </c>
      <c r="W140" s="24">
        <f>IF($A140="","",$L140+$T140)</f>
      </c>
      <c r="X140" s="25">
        <f>IF($A140="","",$M140+$U140)</f>
      </c>
      <c r="Y140" s="29">
        <f>IF($A140="","",$J140+$R140)</f>
      </c>
    </row>
    <row r="141">
      <c r="A141" s="20">
        <f>IF('POINTAGE'!A141="","",'POINTAGE'!A141)</f>
      </c>
      <c r="B141" s="19">
        <f>IF($A141="","",'POINTAGE'!B141)</f>
      </c>
      <c r="C141" s="20">
        <f>IF($A141="","",'POINTAGE'!C141)</f>
      </c>
      <c r="D141" s="24">
        <f>IF($A141="","",IFERROR(INDEX(Categories_Salaire,MATCH($C141,ListeCategories,0)),0))</f>
      </c>
      <c r="E141" s="24">
        <f>IF($A141="","",IF(IFERROR(INDEX(Categories_TauxHS,MATCH($C141,ListeCategories,0)),0)&gt;0,IFERROR(INDEX(Categories_TauxHS,MATCH($C141,ListeCategories,0)),0),TauxHSDefaut))</f>
      </c>
      <c r="F141" s="22">
        <f>IF($A141="","",SUM(IF('POINTAGE'!$D$5&lt;&gt;"",--('POINTAGE'!D141="Présent"),0),IF('POINTAGE'!$F$5&lt;&gt;"",--('POINTAGE'!F141="Présent"),0),IF('POINTAGE'!$H$5&lt;&gt;"",--('POINTAGE'!H141="Présent"),0),IF('POINTAGE'!$J$5&lt;&gt;"",--('POINTAGE'!J141="Présent"),0),IF('POINTAGE'!$L$5&lt;&gt;"",--('POINTAGE'!L141="Présent"),0),IF('POINTAGE'!$N$5&lt;&gt;"",--('POINTAGE'!N141="Présent"),0),IF('POINTAGE'!$P$5&lt;&gt;"",--('POINTAGE'!P141="Présent"),0),IF('POINTAGE'!$R$5&lt;&gt;"",--('POINTAGE'!R141="Présent"),0),IF('POINTAGE'!$T$5&lt;&gt;"",--('POINTAGE'!T141="Présent"),0),IF('POINTAGE'!$V$5&lt;&gt;"",--('POINTAGE'!V141="Présent"),0),IF('POINTAGE'!$X$5&lt;&gt;"",--('POINTAGE'!X141="Présent"),0),IF('POINTAGE'!$Z$5&lt;&gt;"",--('POINTAGE'!Z141="Présent"),0),IF('POINTAGE'!$AB$5&lt;&gt;"",--('POINTAGE'!AB141="Présent"),0),IF('POINTAGE'!$AD$5&lt;&gt;"",--('POINTAGE'!AD141="Présent"),0),IF('POINTAGE'!$AF$5&lt;&gt;"",--('POINTAGE'!AF141="Présent"),0)))</f>
      </c>
      <c r="G141" s="22">
        <f>IF($A141="","",SUM(IF('POINTAGE'!$D$5&lt;&gt;"",--('POINTAGE'!D141="Absent"),0),IF('POINTAGE'!$F$5&lt;&gt;"",--('POINTAGE'!F141="Absent"),0),IF('POINTAGE'!$H$5&lt;&gt;"",--('POINTAGE'!H141="Absent"),0),IF('POINTAGE'!$J$5&lt;&gt;"",--('POINTAGE'!J141="Absent"),0),IF('POINTAGE'!$L$5&lt;&gt;"",--('POINTAGE'!L141="Absent"),0),IF('POINTAGE'!$N$5&lt;&gt;"",--('POINTAGE'!N141="Absent"),0),IF('POINTAGE'!$P$5&lt;&gt;"",--('POINTAGE'!P141="Absent"),0),IF('POINTAGE'!$R$5&lt;&gt;"",--('POINTAGE'!R141="Absent"),0),IF('POINTAGE'!$T$5&lt;&gt;"",--('POINTAGE'!T141="Absent"),0),IF('POINTAGE'!$V$5&lt;&gt;"",--('POINTAGE'!V141="Absent"),0),IF('POINTAGE'!$X$5&lt;&gt;"",--('POINTAGE'!X141="Absent"),0),IF('POINTAGE'!$Z$5&lt;&gt;"",--('POINTAGE'!Z141="Absent"),0),IF('POINTAGE'!$AB$5&lt;&gt;"",--('POINTAGE'!AB141="Absent"),0),IF('POINTAGE'!$AD$5&lt;&gt;"",--('POINTAGE'!AD141="Absent"),0),IF('POINTAGE'!$AF$5&lt;&gt;"",--('POINTAGE'!AF141="Absent"),0)))</f>
      </c>
      <c r="H141" s="23">
        <f>IF($A141="","",SUM(IF('POINTAGE'!$D$5&lt;&gt;"",IF('POINTAGE'!D141="Présent",'POINTAGE'!E141,0),0),IF('POINTAGE'!$F$5&lt;&gt;"",IF('POINTAGE'!F141="Présent",'POINTAGE'!G141,0),0),IF('POINTAGE'!$H$5&lt;&gt;"",IF('POINTAGE'!H141="Présent",'POINTAGE'!I141,0),0),IF('POINTAGE'!$J$5&lt;&gt;"",IF('POINTAGE'!J141="Présent",'POINTAGE'!K141,0),0),IF('POINTAGE'!$L$5&lt;&gt;"",IF('POINTAGE'!L141="Présent",'POINTAGE'!M141,0),0),IF('POINTAGE'!$N$5&lt;&gt;"",IF('POINTAGE'!N141="Présent",'POINTAGE'!O141,0),0),IF('POINTAGE'!$P$5&lt;&gt;"",IF('POINTAGE'!P141="Présent",'POINTAGE'!Q141,0),0),IF('POINTAGE'!$R$5&lt;&gt;"",IF('POINTAGE'!R141="Présent",'POINTAGE'!S141,0),0),IF('POINTAGE'!$T$5&lt;&gt;"",IF('POINTAGE'!T141="Présent",'POINTAGE'!U141,0),0),IF('POINTAGE'!$V$5&lt;&gt;"",IF('POINTAGE'!V141="Présent",'POINTAGE'!W141,0),0),IF('POINTAGE'!$X$5&lt;&gt;"",IF('POINTAGE'!X141="Présent",'POINTAGE'!Y141,0),0),IF('POINTAGE'!$Z$5&lt;&gt;"",IF('POINTAGE'!Z141="Présent",'POINTAGE'!AA141,0),0),IF('POINTAGE'!$AB$5&lt;&gt;"",IF('POINTAGE'!AB141="Présent",'POINTAGE'!AC141,0),0),IF('POINTAGE'!$AD$5&lt;&gt;"",IF('POINTAGE'!AD141="Présent",'POINTAGE'!AE141,0),0),IF('POINTAGE'!$AF$5&lt;&gt;"",IF('POINTAGE'!AF141="Présent",'POINTAGE'!AG141,0),0)))</f>
      </c>
      <c r="I141" s="24">
        <f>IF($A141="","",$F141*$D141)</f>
      </c>
      <c r="J141" s="24">
        <f>IF($A141="","",$H141*$E141)</f>
      </c>
      <c r="K141" s="25">
        <f>IF($A141="","",$I141+$J141)</f>
      </c>
      <c r="L141" s="18"/>
      <c r="M141" s="25">
        <f>IF($A141="","",MAX(0,$K141-$L141))</f>
      </c>
      <c r="N141" s="22">
        <f>IF($A141="","",SUM(IF('POINTAGE'!$AH$5&lt;&gt;"",--('POINTAGE'!AH141="Présent"),0),IF('POINTAGE'!$AJ$5&lt;&gt;"",--('POINTAGE'!AJ141="Présent"),0),IF('POINTAGE'!$AL$5&lt;&gt;"",--('POINTAGE'!AL141="Présent"),0),IF('POINTAGE'!$AN$5&lt;&gt;"",--('POINTAGE'!AN141="Présent"),0),IF('POINTAGE'!$AP$5&lt;&gt;"",--('POINTAGE'!AP141="Présent"),0),IF('POINTAGE'!$AR$5&lt;&gt;"",--('POINTAGE'!AR141="Présent"),0),IF('POINTAGE'!$AT$5&lt;&gt;"",--('POINTAGE'!AT141="Présent"),0),IF('POINTAGE'!$AV$5&lt;&gt;"",--('POINTAGE'!AV141="Présent"),0),IF('POINTAGE'!$AX$5&lt;&gt;"",--('POINTAGE'!AX141="Présent"),0),IF('POINTAGE'!$AZ$5&lt;&gt;"",--('POINTAGE'!AZ141="Présent"),0),IF('POINTAGE'!$BB$5&lt;&gt;"",--('POINTAGE'!BB141="Présent"),0),IF('POINTAGE'!$BD$5&lt;&gt;"",--('POINTAGE'!BD141="Présent"),0),IF('POINTAGE'!$BF$5&lt;&gt;"",--('POINTAGE'!BF141="Présent"),0),IF('POINTAGE'!$BH$5&lt;&gt;"",--('POINTAGE'!BH141="Présent"),0),IF('POINTAGE'!$BJ$5&lt;&gt;"",--('POINTAGE'!BJ141="Présent"),0),IF('POINTAGE'!$BL$5&lt;&gt;"",--('POINTAGE'!BL141="Présent"),0)))</f>
      </c>
      <c r="O141" s="22">
        <f>IF($A141="","",SUM(IF('POINTAGE'!$AH$5&lt;&gt;"",--('POINTAGE'!AH141="Absent"),0),IF('POINTAGE'!$AJ$5&lt;&gt;"",--('POINTAGE'!AJ141="Absent"),0),IF('POINTAGE'!$AL$5&lt;&gt;"",--('POINTAGE'!AL141="Absent"),0),IF('POINTAGE'!$AN$5&lt;&gt;"",--('POINTAGE'!AN141="Absent"),0),IF('POINTAGE'!$AP$5&lt;&gt;"",--('POINTAGE'!AP141="Absent"),0),IF('POINTAGE'!$AR$5&lt;&gt;"",--('POINTAGE'!AR141="Absent"),0),IF('POINTAGE'!$AT$5&lt;&gt;"",--('POINTAGE'!AT141="Absent"),0),IF('POINTAGE'!$AV$5&lt;&gt;"",--('POINTAGE'!AV141="Absent"),0),IF('POINTAGE'!$AX$5&lt;&gt;"",--('POINTAGE'!AX141="Absent"),0),IF('POINTAGE'!$AZ$5&lt;&gt;"",--('POINTAGE'!AZ141="Absent"),0),IF('POINTAGE'!$BB$5&lt;&gt;"",--('POINTAGE'!BB141="Absent"),0),IF('POINTAGE'!$BD$5&lt;&gt;"",--('POINTAGE'!BD141="Absent"),0),IF('POINTAGE'!$BF$5&lt;&gt;"",--('POINTAGE'!BF141="Absent"),0),IF('POINTAGE'!$BH$5&lt;&gt;"",--('POINTAGE'!BH141="Absent"),0),IF('POINTAGE'!$BJ$5&lt;&gt;"",--('POINTAGE'!BJ141="Absent"),0),IF('POINTAGE'!$BL$5&lt;&gt;"",--('POINTAGE'!BL141="Absent"),0)))</f>
      </c>
      <c r="P141" s="23">
        <f>IF($A141="","",SUM(IF('POINTAGE'!$AH$5&lt;&gt;"",IF('POINTAGE'!AH141="Présent",'POINTAGE'!AI141,0),0),IF('POINTAGE'!$AJ$5&lt;&gt;"",IF('POINTAGE'!AJ141="Présent",'POINTAGE'!AK141,0),0),IF('POINTAGE'!$AL$5&lt;&gt;"",IF('POINTAGE'!AL141="Présent",'POINTAGE'!AM141,0),0),IF('POINTAGE'!$AN$5&lt;&gt;"",IF('POINTAGE'!AN141="Présent",'POINTAGE'!AO141,0),0),IF('POINTAGE'!$AP$5&lt;&gt;"",IF('POINTAGE'!AP141="Présent",'POINTAGE'!AQ141,0),0),IF('POINTAGE'!$AR$5&lt;&gt;"",IF('POINTAGE'!AR141="Présent",'POINTAGE'!AS141,0),0),IF('POINTAGE'!$AT$5&lt;&gt;"",IF('POINTAGE'!AT141="Présent",'POINTAGE'!AU141,0),0),IF('POINTAGE'!$AV$5&lt;&gt;"",IF('POINTAGE'!AV141="Présent",'POINTAGE'!AW141,0),0),IF('POINTAGE'!$AX$5&lt;&gt;"",IF('POINTAGE'!AX141="Présent",'POINTAGE'!AY141,0),0),IF('POINTAGE'!$AZ$5&lt;&gt;"",IF('POINTAGE'!AZ141="Présent",'POINTAGE'!BA141,0),0),IF('POINTAGE'!$BB$5&lt;&gt;"",IF('POINTAGE'!BB141="Présent",'POINTAGE'!BC141,0),0),IF('POINTAGE'!$BD$5&lt;&gt;"",IF('POINTAGE'!BD141="Présent",'POINTAGE'!BE141,0),0),IF('POINTAGE'!$BF$5&lt;&gt;"",IF('POINTAGE'!BF141="Présent",'POINTAGE'!BG141,0),0),IF('POINTAGE'!$BH$5&lt;&gt;"",IF('POINTAGE'!BH141="Présent",'POINTAGE'!BI141,0),0),IF('POINTAGE'!$BJ$5&lt;&gt;"",IF('POINTAGE'!BJ141="Présent",'POINTAGE'!BK141,0),0),IF('POINTAGE'!$BL$5&lt;&gt;"",IF('POINTAGE'!BL141="Présent",'POINTAGE'!BM141,0),0)))</f>
      </c>
      <c r="Q141" s="24">
        <f>IF($A141="","",$N141*$D141)</f>
      </c>
      <c r="R141" s="24">
        <f>IF($A141="","",$P141*$E141)</f>
      </c>
      <c r="S141" s="25">
        <f>IF($A141="","",$Q141+$R141)</f>
      </c>
      <c r="T141" s="18"/>
      <c r="U141" s="25">
        <f>IF($A141="","",MAX(0,$S141-$T141))</f>
      </c>
      <c r="V141" s="25">
        <f>IF($A141="","",$K141+$S141)</f>
      </c>
      <c r="W141" s="24">
        <f>IF($A141="","",$L141+$T141)</f>
      </c>
      <c r="X141" s="25">
        <f>IF($A141="","",$M141+$U141)</f>
      </c>
      <c r="Y141" s="29">
        <f>IF($A141="","",$J141+$R141)</f>
      </c>
    </row>
    <row r="142">
      <c r="A142" s="20">
        <f>IF('POINTAGE'!A142="","",'POINTAGE'!A142)</f>
      </c>
      <c r="B142" s="19">
        <f>IF($A142="","",'POINTAGE'!B142)</f>
      </c>
      <c r="C142" s="20">
        <f>IF($A142="","",'POINTAGE'!C142)</f>
      </c>
      <c r="D142" s="24">
        <f>IF($A142="","",IFERROR(INDEX(Categories_Salaire,MATCH($C142,ListeCategories,0)),0))</f>
      </c>
      <c r="E142" s="24">
        <f>IF($A142="","",IF(IFERROR(INDEX(Categories_TauxHS,MATCH($C142,ListeCategories,0)),0)&gt;0,IFERROR(INDEX(Categories_TauxHS,MATCH($C142,ListeCategories,0)),0),TauxHSDefaut))</f>
      </c>
      <c r="F142" s="22">
        <f>IF($A142="","",SUM(IF('POINTAGE'!$D$5&lt;&gt;"",--('POINTAGE'!D142="Présent"),0),IF('POINTAGE'!$F$5&lt;&gt;"",--('POINTAGE'!F142="Présent"),0),IF('POINTAGE'!$H$5&lt;&gt;"",--('POINTAGE'!H142="Présent"),0),IF('POINTAGE'!$J$5&lt;&gt;"",--('POINTAGE'!J142="Présent"),0),IF('POINTAGE'!$L$5&lt;&gt;"",--('POINTAGE'!L142="Présent"),0),IF('POINTAGE'!$N$5&lt;&gt;"",--('POINTAGE'!N142="Présent"),0),IF('POINTAGE'!$P$5&lt;&gt;"",--('POINTAGE'!P142="Présent"),0),IF('POINTAGE'!$R$5&lt;&gt;"",--('POINTAGE'!R142="Présent"),0),IF('POINTAGE'!$T$5&lt;&gt;"",--('POINTAGE'!T142="Présent"),0),IF('POINTAGE'!$V$5&lt;&gt;"",--('POINTAGE'!V142="Présent"),0),IF('POINTAGE'!$X$5&lt;&gt;"",--('POINTAGE'!X142="Présent"),0),IF('POINTAGE'!$Z$5&lt;&gt;"",--('POINTAGE'!Z142="Présent"),0),IF('POINTAGE'!$AB$5&lt;&gt;"",--('POINTAGE'!AB142="Présent"),0),IF('POINTAGE'!$AD$5&lt;&gt;"",--('POINTAGE'!AD142="Présent"),0),IF('POINTAGE'!$AF$5&lt;&gt;"",--('POINTAGE'!AF142="Présent"),0)))</f>
      </c>
      <c r="G142" s="22">
        <f>IF($A142="","",SUM(IF('POINTAGE'!$D$5&lt;&gt;"",--('POINTAGE'!D142="Absent"),0),IF('POINTAGE'!$F$5&lt;&gt;"",--('POINTAGE'!F142="Absent"),0),IF('POINTAGE'!$H$5&lt;&gt;"",--('POINTAGE'!H142="Absent"),0),IF('POINTAGE'!$J$5&lt;&gt;"",--('POINTAGE'!J142="Absent"),0),IF('POINTAGE'!$L$5&lt;&gt;"",--('POINTAGE'!L142="Absent"),0),IF('POINTAGE'!$N$5&lt;&gt;"",--('POINTAGE'!N142="Absent"),0),IF('POINTAGE'!$P$5&lt;&gt;"",--('POINTAGE'!P142="Absent"),0),IF('POINTAGE'!$R$5&lt;&gt;"",--('POINTAGE'!R142="Absent"),0),IF('POINTAGE'!$T$5&lt;&gt;"",--('POINTAGE'!T142="Absent"),0),IF('POINTAGE'!$V$5&lt;&gt;"",--('POINTAGE'!V142="Absent"),0),IF('POINTAGE'!$X$5&lt;&gt;"",--('POINTAGE'!X142="Absent"),0),IF('POINTAGE'!$Z$5&lt;&gt;"",--('POINTAGE'!Z142="Absent"),0),IF('POINTAGE'!$AB$5&lt;&gt;"",--('POINTAGE'!AB142="Absent"),0),IF('POINTAGE'!$AD$5&lt;&gt;"",--('POINTAGE'!AD142="Absent"),0),IF('POINTAGE'!$AF$5&lt;&gt;"",--('POINTAGE'!AF142="Absent"),0)))</f>
      </c>
      <c r="H142" s="23">
        <f>IF($A142="","",SUM(IF('POINTAGE'!$D$5&lt;&gt;"",IF('POINTAGE'!D142="Présent",'POINTAGE'!E142,0),0),IF('POINTAGE'!$F$5&lt;&gt;"",IF('POINTAGE'!F142="Présent",'POINTAGE'!G142,0),0),IF('POINTAGE'!$H$5&lt;&gt;"",IF('POINTAGE'!H142="Présent",'POINTAGE'!I142,0),0),IF('POINTAGE'!$J$5&lt;&gt;"",IF('POINTAGE'!J142="Présent",'POINTAGE'!K142,0),0),IF('POINTAGE'!$L$5&lt;&gt;"",IF('POINTAGE'!L142="Présent",'POINTAGE'!M142,0),0),IF('POINTAGE'!$N$5&lt;&gt;"",IF('POINTAGE'!N142="Présent",'POINTAGE'!O142,0),0),IF('POINTAGE'!$P$5&lt;&gt;"",IF('POINTAGE'!P142="Présent",'POINTAGE'!Q142,0),0),IF('POINTAGE'!$R$5&lt;&gt;"",IF('POINTAGE'!R142="Présent",'POINTAGE'!S142,0),0),IF('POINTAGE'!$T$5&lt;&gt;"",IF('POINTAGE'!T142="Présent",'POINTAGE'!U142,0),0),IF('POINTAGE'!$V$5&lt;&gt;"",IF('POINTAGE'!V142="Présent",'POINTAGE'!W142,0),0),IF('POINTAGE'!$X$5&lt;&gt;"",IF('POINTAGE'!X142="Présent",'POINTAGE'!Y142,0),0),IF('POINTAGE'!$Z$5&lt;&gt;"",IF('POINTAGE'!Z142="Présent",'POINTAGE'!AA142,0),0),IF('POINTAGE'!$AB$5&lt;&gt;"",IF('POINTAGE'!AB142="Présent",'POINTAGE'!AC142,0),0),IF('POINTAGE'!$AD$5&lt;&gt;"",IF('POINTAGE'!AD142="Présent",'POINTAGE'!AE142,0),0),IF('POINTAGE'!$AF$5&lt;&gt;"",IF('POINTAGE'!AF142="Présent",'POINTAGE'!AG142,0),0)))</f>
      </c>
      <c r="I142" s="24">
        <f>IF($A142="","",$F142*$D142)</f>
      </c>
      <c r="J142" s="24">
        <f>IF($A142="","",$H142*$E142)</f>
      </c>
      <c r="K142" s="25">
        <f>IF($A142="","",$I142+$J142)</f>
      </c>
      <c r="L142" s="18"/>
      <c r="M142" s="25">
        <f>IF($A142="","",MAX(0,$K142-$L142))</f>
      </c>
      <c r="N142" s="22">
        <f>IF($A142="","",SUM(IF('POINTAGE'!$AH$5&lt;&gt;"",--('POINTAGE'!AH142="Présent"),0),IF('POINTAGE'!$AJ$5&lt;&gt;"",--('POINTAGE'!AJ142="Présent"),0),IF('POINTAGE'!$AL$5&lt;&gt;"",--('POINTAGE'!AL142="Présent"),0),IF('POINTAGE'!$AN$5&lt;&gt;"",--('POINTAGE'!AN142="Présent"),0),IF('POINTAGE'!$AP$5&lt;&gt;"",--('POINTAGE'!AP142="Présent"),0),IF('POINTAGE'!$AR$5&lt;&gt;"",--('POINTAGE'!AR142="Présent"),0),IF('POINTAGE'!$AT$5&lt;&gt;"",--('POINTAGE'!AT142="Présent"),0),IF('POINTAGE'!$AV$5&lt;&gt;"",--('POINTAGE'!AV142="Présent"),0),IF('POINTAGE'!$AX$5&lt;&gt;"",--('POINTAGE'!AX142="Présent"),0),IF('POINTAGE'!$AZ$5&lt;&gt;"",--('POINTAGE'!AZ142="Présent"),0),IF('POINTAGE'!$BB$5&lt;&gt;"",--('POINTAGE'!BB142="Présent"),0),IF('POINTAGE'!$BD$5&lt;&gt;"",--('POINTAGE'!BD142="Présent"),0),IF('POINTAGE'!$BF$5&lt;&gt;"",--('POINTAGE'!BF142="Présent"),0),IF('POINTAGE'!$BH$5&lt;&gt;"",--('POINTAGE'!BH142="Présent"),0),IF('POINTAGE'!$BJ$5&lt;&gt;"",--('POINTAGE'!BJ142="Présent"),0),IF('POINTAGE'!$BL$5&lt;&gt;"",--('POINTAGE'!BL142="Présent"),0)))</f>
      </c>
      <c r="O142" s="22">
        <f>IF($A142="","",SUM(IF('POINTAGE'!$AH$5&lt;&gt;"",--('POINTAGE'!AH142="Absent"),0),IF('POINTAGE'!$AJ$5&lt;&gt;"",--('POINTAGE'!AJ142="Absent"),0),IF('POINTAGE'!$AL$5&lt;&gt;"",--('POINTAGE'!AL142="Absent"),0),IF('POINTAGE'!$AN$5&lt;&gt;"",--('POINTAGE'!AN142="Absent"),0),IF('POINTAGE'!$AP$5&lt;&gt;"",--('POINTAGE'!AP142="Absent"),0),IF('POINTAGE'!$AR$5&lt;&gt;"",--('POINTAGE'!AR142="Absent"),0),IF('POINTAGE'!$AT$5&lt;&gt;"",--('POINTAGE'!AT142="Absent"),0),IF('POINTAGE'!$AV$5&lt;&gt;"",--('POINTAGE'!AV142="Absent"),0),IF('POINTAGE'!$AX$5&lt;&gt;"",--('POINTAGE'!AX142="Absent"),0),IF('POINTAGE'!$AZ$5&lt;&gt;"",--('POINTAGE'!AZ142="Absent"),0),IF('POINTAGE'!$BB$5&lt;&gt;"",--('POINTAGE'!BB142="Absent"),0),IF('POINTAGE'!$BD$5&lt;&gt;"",--('POINTAGE'!BD142="Absent"),0),IF('POINTAGE'!$BF$5&lt;&gt;"",--('POINTAGE'!BF142="Absent"),0),IF('POINTAGE'!$BH$5&lt;&gt;"",--('POINTAGE'!BH142="Absent"),0),IF('POINTAGE'!$BJ$5&lt;&gt;"",--('POINTAGE'!BJ142="Absent"),0),IF('POINTAGE'!$BL$5&lt;&gt;"",--('POINTAGE'!BL142="Absent"),0)))</f>
      </c>
      <c r="P142" s="23">
        <f>IF($A142="","",SUM(IF('POINTAGE'!$AH$5&lt;&gt;"",IF('POINTAGE'!AH142="Présent",'POINTAGE'!AI142,0),0),IF('POINTAGE'!$AJ$5&lt;&gt;"",IF('POINTAGE'!AJ142="Présent",'POINTAGE'!AK142,0),0),IF('POINTAGE'!$AL$5&lt;&gt;"",IF('POINTAGE'!AL142="Présent",'POINTAGE'!AM142,0),0),IF('POINTAGE'!$AN$5&lt;&gt;"",IF('POINTAGE'!AN142="Présent",'POINTAGE'!AO142,0),0),IF('POINTAGE'!$AP$5&lt;&gt;"",IF('POINTAGE'!AP142="Présent",'POINTAGE'!AQ142,0),0),IF('POINTAGE'!$AR$5&lt;&gt;"",IF('POINTAGE'!AR142="Présent",'POINTAGE'!AS142,0),0),IF('POINTAGE'!$AT$5&lt;&gt;"",IF('POINTAGE'!AT142="Présent",'POINTAGE'!AU142,0),0),IF('POINTAGE'!$AV$5&lt;&gt;"",IF('POINTAGE'!AV142="Présent",'POINTAGE'!AW142,0),0),IF('POINTAGE'!$AX$5&lt;&gt;"",IF('POINTAGE'!AX142="Présent",'POINTAGE'!AY142,0),0),IF('POINTAGE'!$AZ$5&lt;&gt;"",IF('POINTAGE'!AZ142="Présent",'POINTAGE'!BA142,0),0),IF('POINTAGE'!$BB$5&lt;&gt;"",IF('POINTAGE'!BB142="Présent",'POINTAGE'!BC142,0),0),IF('POINTAGE'!$BD$5&lt;&gt;"",IF('POINTAGE'!BD142="Présent",'POINTAGE'!BE142,0),0),IF('POINTAGE'!$BF$5&lt;&gt;"",IF('POINTAGE'!BF142="Présent",'POINTAGE'!BG142,0),0),IF('POINTAGE'!$BH$5&lt;&gt;"",IF('POINTAGE'!BH142="Présent",'POINTAGE'!BI142,0),0),IF('POINTAGE'!$BJ$5&lt;&gt;"",IF('POINTAGE'!BJ142="Présent",'POINTAGE'!BK142,0),0),IF('POINTAGE'!$BL$5&lt;&gt;"",IF('POINTAGE'!BL142="Présent",'POINTAGE'!BM142,0),0)))</f>
      </c>
      <c r="Q142" s="24">
        <f>IF($A142="","",$N142*$D142)</f>
      </c>
      <c r="R142" s="24">
        <f>IF($A142="","",$P142*$E142)</f>
      </c>
      <c r="S142" s="25">
        <f>IF($A142="","",$Q142+$R142)</f>
      </c>
      <c r="T142" s="18"/>
      <c r="U142" s="25">
        <f>IF($A142="","",MAX(0,$S142-$T142))</f>
      </c>
      <c r="V142" s="25">
        <f>IF($A142="","",$K142+$S142)</f>
      </c>
      <c r="W142" s="24">
        <f>IF($A142="","",$L142+$T142)</f>
      </c>
      <c r="X142" s="25">
        <f>IF($A142="","",$M142+$U142)</f>
      </c>
      <c r="Y142" s="29">
        <f>IF($A142="","",$J142+$R142)</f>
      </c>
    </row>
    <row r="143">
      <c r="A143" s="20">
        <f>IF('POINTAGE'!A143="","",'POINTAGE'!A143)</f>
      </c>
      <c r="B143" s="19">
        <f>IF($A143="","",'POINTAGE'!B143)</f>
      </c>
      <c r="C143" s="20">
        <f>IF($A143="","",'POINTAGE'!C143)</f>
      </c>
      <c r="D143" s="24">
        <f>IF($A143="","",IFERROR(INDEX(Categories_Salaire,MATCH($C143,ListeCategories,0)),0))</f>
      </c>
      <c r="E143" s="24">
        <f>IF($A143="","",IF(IFERROR(INDEX(Categories_TauxHS,MATCH($C143,ListeCategories,0)),0)&gt;0,IFERROR(INDEX(Categories_TauxHS,MATCH($C143,ListeCategories,0)),0),TauxHSDefaut))</f>
      </c>
      <c r="F143" s="22">
        <f>IF($A143="","",SUM(IF('POINTAGE'!$D$5&lt;&gt;"",--('POINTAGE'!D143="Présent"),0),IF('POINTAGE'!$F$5&lt;&gt;"",--('POINTAGE'!F143="Présent"),0),IF('POINTAGE'!$H$5&lt;&gt;"",--('POINTAGE'!H143="Présent"),0),IF('POINTAGE'!$J$5&lt;&gt;"",--('POINTAGE'!J143="Présent"),0),IF('POINTAGE'!$L$5&lt;&gt;"",--('POINTAGE'!L143="Présent"),0),IF('POINTAGE'!$N$5&lt;&gt;"",--('POINTAGE'!N143="Présent"),0),IF('POINTAGE'!$P$5&lt;&gt;"",--('POINTAGE'!P143="Présent"),0),IF('POINTAGE'!$R$5&lt;&gt;"",--('POINTAGE'!R143="Présent"),0),IF('POINTAGE'!$T$5&lt;&gt;"",--('POINTAGE'!T143="Présent"),0),IF('POINTAGE'!$V$5&lt;&gt;"",--('POINTAGE'!V143="Présent"),0),IF('POINTAGE'!$X$5&lt;&gt;"",--('POINTAGE'!X143="Présent"),0),IF('POINTAGE'!$Z$5&lt;&gt;"",--('POINTAGE'!Z143="Présent"),0),IF('POINTAGE'!$AB$5&lt;&gt;"",--('POINTAGE'!AB143="Présent"),0),IF('POINTAGE'!$AD$5&lt;&gt;"",--('POINTAGE'!AD143="Présent"),0),IF('POINTAGE'!$AF$5&lt;&gt;"",--('POINTAGE'!AF143="Présent"),0)))</f>
      </c>
      <c r="G143" s="22">
        <f>IF($A143="","",SUM(IF('POINTAGE'!$D$5&lt;&gt;"",--('POINTAGE'!D143="Absent"),0),IF('POINTAGE'!$F$5&lt;&gt;"",--('POINTAGE'!F143="Absent"),0),IF('POINTAGE'!$H$5&lt;&gt;"",--('POINTAGE'!H143="Absent"),0),IF('POINTAGE'!$J$5&lt;&gt;"",--('POINTAGE'!J143="Absent"),0),IF('POINTAGE'!$L$5&lt;&gt;"",--('POINTAGE'!L143="Absent"),0),IF('POINTAGE'!$N$5&lt;&gt;"",--('POINTAGE'!N143="Absent"),0),IF('POINTAGE'!$P$5&lt;&gt;"",--('POINTAGE'!P143="Absent"),0),IF('POINTAGE'!$R$5&lt;&gt;"",--('POINTAGE'!R143="Absent"),0),IF('POINTAGE'!$T$5&lt;&gt;"",--('POINTAGE'!T143="Absent"),0),IF('POINTAGE'!$V$5&lt;&gt;"",--('POINTAGE'!V143="Absent"),0),IF('POINTAGE'!$X$5&lt;&gt;"",--('POINTAGE'!X143="Absent"),0),IF('POINTAGE'!$Z$5&lt;&gt;"",--('POINTAGE'!Z143="Absent"),0),IF('POINTAGE'!$AB$5&lt;&gt;"",--('POINTAGE'!AB143="Absent"),0),IF('POINTAGE'!$AD$5&lt;&gt;"",--('POINTAGE'!AD143="Absent"),0),IF('POINTAGE'!$AF$5&lt;&gt;"",--('POINTAGE'!AF143="Absent"),0)))</f>
      </c>
      <c r="H143" s="23">
        <f>IF($A143="","",SUM(IF('POINTAGE'!$D$5&lt;&gt;"",IF('POINTAGE'!D143="Présent",'POINTAGE'!E143,0),0),IF('POINTAGE'!$F$5&lt;&gt;"",IF('POINTAGE'!F143="Présent",'POINTAGE'!G143,0),0),IF('POINTAGE'!$H$5&lt;&gt;"",IF('POINTAGE'!H143="Présent",'POINTAGE'!I143,0),0),IF('POINTAGE'!$J$5&lt;&gt;"",IF('POINTAGE'!J143="Présent",'POINTAGE'!K143,0),0),IF('POINTAGE'!$L$5&lt;&gt;"",IF('POINTAGE'!L143="Présent",'POINTAGE'!M143,0),0),IF('POINTAGE'!$N$5&lt;&gt;"",IF('POINTAGE'!N143="Présent",'POINTAGE'!O143,0),0),IF('POINTAGE'!$P$5&lt;&gt;"",IF('POINTAGE'!P143="Présent",'POINTAGE'!Q143,0),0),IF('POINTAGE'!$R$5&lt;&gt;"",IF('POINTAGE'!R143="Présent",'POINTAGE'!S143,0),0),IF('POINTAGE'!$T$5&lt;&gt;"",IF('POINTAGE'!T143="Présent",'POINTAGE'!U143,0),0),IF('POINTAGE'!$V$5&lt;&gt;"",IF('POINTAGE'!V143="Présent",'POINTAGE'!W143,0),0),IF('POINTAGE'!$X$5&lt;&gt;"",IF('POINTAGE'!X143="Présent",'POINTAGE'!Y143,0),0),IF('POINTAGE'!$Z$5&lt;&gt;"",IF('POINTAGE'!Z143="Présent",'POINTAGE'!AA143,0),0),IF('POINTAGE'!$AB$5&lt;&gt;"",IF('POINTAGE'!AB143="Présent",'POINTAGE'!AC143,0),0),IF('POINTAGE'!$AD$5&lt;&gt;"",IF('POINTAGE'!AD143="Présent",'POINTAGE'!AE143,0),0),IF('POINTAGE'!$AF$5&lt;&gt;"",IF('POINTAGE'!AF143="Présent",'POINTAGE'!AG143,0),0)))</f>
      </c>
      <c r="I143" s="24">
        <f>IF($A143="","",$F143*$D143)</f>
      </c>
      <c r="J143" s="24">
        <f>IF($A143="","",$H143*$E143)</f>
      </c>
      <c r="K143" s="25">
        <f>IF($A143="","",$I143+$J143)</f>
      </c>
      <c r="L143" s="18"/>
      <c r="M143" s="25">
        <f>IF($A143="","",MAX(0,$K143-$L143))</f>
      </c>
      <c r="N143" s="22">
        <f>IF($A143="","",SUM(IF('POINTAGE'!$AH$5&lt;&gt;"",--('POINTAGE'!AH143="Présent"),0),IF('POINTAGE'!$AJ$5&lt;&gt;"",--('POINTAGE'!AJ143="Présent"),0),IF('POINTAGE'!$AL$5&lt;&gt;"",--('POINTAGE'!AL143="Présent"),0),IF('POINTAGE'!$AN$5&lt;&gt;"",--('POINTAGE'!AN143="Présent"),0),IF('POINTAGE'!$AP$5&lt;&gt;"",--('POINTAGE'!AP143="Présent"),0),IF('POINTAGE'!$AR$5&lt;&gt;"",--('POINTAGE'!AR143="Présent"),0),IF('POINTAGE'!$AT$5&lt;&gt;"",--('POINTAGE'!AT143="Présent"),0),IF('POINTAGE'!$AV$5&lt;&gt;"",--('POINTAGE'!AV143="Présent"),0),IF('POINTAGE'!$AX$5&lt;&gt;"",--('POINTAGE'!AX143="Présent"),0),IF('POINTAGE'!$AZ$5&lt;&gt;"",--('POINTAGE'!AZ143="Présent"),0),IF('POINTAGE'!$BB$5&lt;&gt;"",--('POINTAGE'!BB143="Présent"),0),IF('POINTAGE'!$BD$5&lt;&gt;"",--('POINTAGE'!BD143="Présent"),0),IF('POINTAGE'!$BF$5&lt;&gt;"",--('POINTAGE'!BF143="Présent"),0),IF('POINTAGE'!$BH$5&lt;&gt;"",--('POINTAGE'!BH143="Présent"),0),IF('POINTAGE'!$BJ$5&lt;&gt;"",--('POINTAGE'!BJ143="Présent"),0),IF('POINTAGE'!$BL$5&lt;&gt;"",--('POINTAGE'!BL143="Présent"),0)))</f>
      </c>
      <c r="O143" s="22">
        <f>IF($A143="","",SUM(IF('POINTAGE'!$AH$5&lt;&gt;"",--('POINTAGE'!AH143="Absent"),0),IF('POINTAGE'!$AJ$5&lt;&gt;"",--('POINTAGE'!AJ143="Absent"),0),IF('POINTAGE'!$AL$5&lt;&gt;"",--('POINTAGE'!AL143="Absent"),0),IF('POINTAGE'!$AN$5&lt;&gt;"",--('POINTAGE'!AN143="Absent"),0),IF('POINTAGE'!$AP$5&lt;&gt;"",--('POINTAGE'!AP143="Absent"),0),IF('POINTAGE'!$AR$5&lt;&gt;"",--('POINTAGE'!AR143="Absent"),0),IF('POINTAGE'!$AT$5&lt;&gt;"",--('POINTAGE'!AT143="Absent"),0),IF('POINTAGE'!$AV$5&lt;&gt;"",--('POINTAGE'!AV143="Absent"),0),IF('POINTAGE'!$AX$5&lt;&gt;"",--('POINTAGE'!AX143="Absent"),0),IF('POINTAGE'!$AZ$5&lt;&gt;"",--('POINTAGE'!AZ143="Absent"),0),IF('POINTAGE'!$BB$5&lt;&gt;"",--('POINTAGE'!BB143="Absent"),0),IF('POINTAGE'!$BD$5&lt;&gt;"",--('POINTAGE'!BD143="Absent"),0),IF('POINTAGE'!$BF$5&lt;&gt;"",--('POINTAGE'!BF143="Absent"),0),IF('POINTAGE'!$BH$5&lt;&gt;"",--('POINTAGE'!BH143="Absent"),0),IF('POINTAGE'!$BJ$5&lt;&gt;"",--('POINTAGE'!BJ143="Absent"),0),IF('POINTAGE'!$BL$5&lt;&gt;"",--('POINTAGE'!BL143="Absent"),0)))</f>
      </c>
      <c r="P143" s="23">
        <f>IF($A143="","",SUM(IF('POINTAGE'!$AH$5&lt;&gt;"",IF('POINTAGE'!AH143="Présent",'POINTAGE'!AI143,0),0),IF('POINTAGE'!$AJ$5&lt;&gt;"",IF('POINTAGE'!AJ143="Présent",'POINTAGE'!AK143,0),0),IF('POINTAGE'!$AL$5&lt;&gt;"",IF('POINTAGE'!AL143="Présent",'POINTAGE'!AM143,0),0),IF('POINTAGE'!$AN$5&lt;&gt;"",IF('POINTAGE'!AN143="Présent",'POINTAGE'!AO143,0),0),IF('POINTAGE'!$AP$5&lt;&gt;"",IF('POINTAGE'!AP143="Présent",'POINTAGE'!AQ143,0),0),IF('POINTAGE'!$AR$5&lt;&gt;"",IF('POINTAGE'!AR143="Présent",'POINTAGE'!AS143,0),0),IF('POINTAGE'!$AT$5&lt;&gt;"",IF('POINTAGE'!AT143="Présent",'POINTAGE'!AU143,0),0),IF('POINTAGE'!$AV$5&lt;&gt;"",IF('POINTAGE'!AV143="Présent",'POINTAGE'!AW143,0),0),IF('POINTAGE'!$AX$5&lt;&gt;"",IF('POINTAGE'!AX143="Présent",'POINTAGE'!AY143,0),0),IF('POINTAGE'!$AZ$5&lt;&gt;"",IF('POINTAGE'!AZ143="Présent",'POINTAGE'!BA143,0),0),IF('POINTAGE'!$BB$5&lt;&gt;"",IF('POINTAGE'!BB143="Présent",'POINTAGE'!BC143,0),0),IF('POINTAGE'!$BD$5&lt;&gt;"",IF('POINTAGE'!BD143="Présent",'POINTAGE'!BE143,0),0),IF('POINTAGE'!$BF$5&lt;&gt;"",IF('POINTAGE'!BF143="Présent",'POINTAGE'!BG143,0),0),IF('POINTAGE'!$BH$5&lt;&gt;"",IF('POINTAGE'!BH143="Présent",'POINTAGE'!BI143,0),0),IF('POINTAGE'!$BJ$5&lt;&gt;"",IF('POINTAGE'!BJ143="Présent",'POINTAGE'!BK143,0),0),IF('POINTAGE'!$BL$5&lt;&gt;"",IF('POINTAGE'!BL143="Présent",'POINTAGE'!BM143,0),0)))</f>
      </c>
      <c r="Q143" s="24">
        <f>IF($A143="","",$N143*$D143)</f>
      </c>
      <c r="R143" s="24">
        <f>IF($A143="","",$P143*$E143)</f>
      </c>
      <c r="S143" s="25">
        <f>IF($A143="","",$Q143+$R143)</f>
      </c>
      <c r="T143" s="18"/>
      <c r="U143" s="25">
        <f>IF($A143="","",MAX(0,$S143-$T143))</f>
      </c>
      <c r="V143" s="25">
        <f>IF($A143="","",$K143+$S143)</f>
      </c>
      <c r="W143" s="24">
        <f>IF($A143="","",$L143+$T143)</f>
      </c>
      <c r="X143" s="25">
        <f>IF($A143="","",$M143+$U143)</f>
      </c>
      <c r="Y143" s="29">
        <f>IF($A143="","",$J143+$R143)</f>
      </c>
    </row>
    <row r="144">
      <c r="A144" s="20">
        <f>IF('POINTAGE'!A144="","",'POINTAGE'!A144)</f>
      </c>
      <c r="B144" s="19">
        <f>IF($A144="","",'POINTAGE'!B144)</f>
      </c>
      <c r="C144" s="20">
        <f>IF($A144="","",'POINTAGE'!C144)</f>
      </c>
      <c r="D144" s="24">
        <f>IF($A144="","",IFERROR(INDEX(Categories_Salaire,MATCH($C144,ListeCategories,0)),0))</f>
      </c>
      <c r="E144" s="24">
        <f>IF($A144="","",IF(IFERROR(INDEX(Categories_TauxHS,MATCH($C144,ListeCategories,0)),0)&gt;0,IFERROR(INDEX(Categories_TauxHS,MATCH($C144,ListeCategories,0)),0),TauxHSDefaut))</f>
      </c>
      <c r="F144" s="22">
        <f>IF($A144="","",SUM(IF('POINTAGE'!$D$5&lt;&gt;"",--('POINTAGE'!D144="Présent"),0),IF('POINTAGE'!$F$5&lt;&gt;"",--('POINTAGE'!F144="Présent"),0),IF('POINTAGE'!$H$5&lt;&gt;"",--('POINTAGE'!H144="Présent"),0),IF('POINTAGE'!$J$5&lt;&gt;"",--('POINTAGE'!J144="Présent"),0),IF('POINTAGE'!$L$5&lt;&gt;"",--('POINTAGE'!L144="Présent"),0),IF('POINTAGE'!$N$5&lt;&gt;"",--('POINTAGE'!N144="Présent"),0),IF('POINTAGE'!$P$5&lt;&gt;"",--('POINTAGE'!P144="Présent"),0),IF('POINTAGE'!$R$5&lt;&gt;"",--('POINTAGE'!R144="Présent"),0),IF('POINTAGE'!$T$5&lt;&gt;"",--('POINTAGE'!T144="Présent"),0),IF('POINTAGE'!$V$5&lt;&gt;"",--('POINTAGE'!V144="Présent"),0),IF('POINTAGE'!$X$5&lt;&gt;"",--('POINTAGE'!X144="Présent"),0),IF('POINTAGE'!$Z$5&lt;&gt;"",--('POINTAGE'!Z144="Présent"),0),IF('POINTAGE'!$AB$5&lt;&gt;"",--('POINTAGE'!AB144="Présent"),0),IF('POINTAGE'!$AD$5&lt;&gt;"",--('POINTAGE'!AD144="Présent"),0),IF('POINTAGE'!$AF$5&lt;&gt;"",--('POINTAGE'!AF144="Présent"),0)))</f>
      </c>
      <c r="G144" s="22">
        <f>IF($A144="","",SUM(IF('POINTAGE'!$D$5&lt;&gt;"",--('POINTAGE'!D144="Absent"),0),IF('POINTAGE'!$F$5&lt;&gt;"",--('POINTAGE'!F144="Absent"),0),IF('POINTAGE'!$H$5&lt;&gt;"",--('POINTAGE'!H144="Absent"),0),IF('POINTAGE'!$J$5&lt;&gt;"",--('POINTAGE'!J144="Absent"),0),IF('POINTAGE'!$L$5&lt;&gt;"",--('POINTAGE'!L144="Absent"),0),IF('POINTAGE'!$N$5&lt;&gt;"",--('POINTAGE'!N144="Absent"),0),IF('POINTAGE'!$P$5&lt;&gt;"",--('POINTAGE'!P144="Absent"),0),IF('POINTAGE'!$R$5&lt;&gt;"",--('POINTAGE'!R144="Absent"),0),IF('POINTAGE'!$T$5&lt;&gt;"",--('POINTAGE'!T144="Absent"),0),IF('POINTAGE'!$V$5&lt;&gt;"",--('POINTAGE'!V144="Absent"),0),IF('POINTAGE'!$X$5&lt;&gt;"",--('POINTAGE'!X144="Absent"),0),IF('POINTAGE'!$Z$5&lt;&gt;"",--('POINTAGE'!Z144="Absent"),0),IF('POINTAGE'!$AB$5&lt;&gt;"",--('POINTAGE'!AB144="Absent"),0),IF('POINTAGE'!$AD$5&lt;&gt;"",--('POINTAGE'!AD144="Absent"),0),IF('POINTAGE'!$AF$5&lt;&gt;"",--('POINTAGE'!AF144="Absent"),0)))</f>
      </c>
      <c r="H144" s="23">
        <f>IF($A144="","",SUM(IF('POINTAGE'!$D$5&lt;&gt;"",IF('POINTAGE'!D144="Présent",'POINTAGE'!E144,0),0),IF('POINTAGE'!$F$5&lt;&gt;"",IF('POINTAGE'!F144="Présent",'POINTAGE'!G144,0),0),IF('POINTAGE'!$H$5&lt;&gt;"",IF('POINTAGE'!H144="Présent",'POINTAGE'!I144,0),0),IF('POINTAGE'!$J$5&lt;&gt;"",IF('POINTAGE'!J144="Présent",'POINTAGE'!K144,0),0),IF('POINTAGE'!$L$5&lt;&gt;"",IF('POINTAGE'!L144="Présent",'POINTAGE'!M144,0),0),IF('POINTAGE'!$N$5&lt;&gt;"",IF('POINTAGE'!N144="Présent",'POINTAGE'!O144,0),0),IF('POINTAGE'!$P$5&lt;&gt;"",IF('POINTAGE'!P144="Présent",'POINTAGE'!Q144,0),0),IF('POINTAGE'!$R$5&lt;&gt;"",IF('POINTAGE'!R144="Présent",'POINTAGE'!S144,0),0),IF('POINTAGE'!$T$5&lt;&gt;"",IF('POINTAGE'!T144="Présent",'POINTAGE'!U144,0),0),IF('POINTAGE'!$V$5&lt;&gt;"",IF('POINTAGE'!V144="Présent",'POINTAGE'!W144,0),0),IF('POINTAGE'!$X$5&lt;&gt;"",IF('POINTAGE'!X144="Présent",'POINTAGE'!Y144,0),0),IF('POINTAGE'!$Z$5&lt;&gt;"",IF('POINTAGE'!Z144="Présent",'POINTAGE'!AA144,0),0),IF('POINTAGE'!$AB$5&lt;&gt;"",IF('POINTAGE'!AB144="Présent",'POINTAGE'!AC144,0),0),IF('POINTAGE'!$AD$5&lt;&gt;"",IF('POINTAGE'!AD144="Présent",'POINTAGE'!AE144,0),0),IF('POINTAGE'!$AF$5&lt;&gt;"",IF('POINTAGE'!AF144="Présent",'POINTAGE'!AG144,0),0)))</f>
      </c>
      <c r="I144" s="24">
        <f>IF($A144="","",$F144*$D144)</f>
      </c>
      <c r="J144" s="24">
        <f>IF($A144="","",$H144*$E144)</f>
      </c>
      <c r="K144" s="25">
        <f>IF($A144="","",$I144+$J144)</f>
      </c>
      <c r="L144" s="18"/>
      <c r="M144" s="25">
        <f>IF($A144="","",MAX(0,$K144-$L144))</f>
      </c>
      <c r="N144" s="22">
        <f>IF($A144="","",SUM(IF('POINTAGE'!$AH$5&lt;&gt;"",--('POINTAGE'!AH144="Présent"),0),IF('POINTAGE'!$AJ$5&lt;&gt;"",--('POINTAGE'!AJ144="Présent"),0),IF('POINTAGE'!$AL$5&lt;&gt;"",--('POINTAGE'!AL144="Présent"),0),IF('POINTAGE'!$AN$5&lt;&gt;"",--('POINTAGE'!AN144="Présent"),0),IF('POINTAGE'!$AP$5&lt;&gt;"",--('POINTAGE'!AP144="Présent"),0),IF('POINTAGE'!$AR$5&lt;&gt;"",--('POINTAGE'!AR144="Présent"),0),IF('POINTAGE'!$AT$5&lt;&gt;"",--('POINTAGE'!AT144="Présent"),0),IF('POINTAGE'!$AV$5&lt;&gt;"",--('POINTAGE'!AV144="Présent"),0),IF('POINTAGE'!$AX$5&lt;&gt;"",--('POINTAGE'!AX144="Présent"),0),IF('POINTAGE'!$AZ$5&lt;&gt;"",--('POINTAGE'!AZ144="Présent"),0),IF('POINTAGE'!$BB$5&lt;&gt;"",--('POINTAGE'!BB144="Présent"),0),IF('POINTAGE'!$BD$5&lt;&gt;"",--('POINTAGE'!BD144="Présent"),0),IF('POINTAGE'!$BF$5&lt;&gt;"",--('POINTAGE'!BF144="Présent"),0),IF('POINTAGE'!$BH$5&lt;&gt;"",--('POINTAGE'!BH144="Présent"),0),IF('POINTAGE'!$BJ$5&lt;&gt;"",--('POINTAGE'!BJ144="Présent"),0),IF('POINTAGE'!$BL$5&lt;&gt;"",--('POINTAGE'!BL144="Présent"),0)))</f>
      </c>
      <c r="O144" s="22">
        <f>IF($A144="","",SUM(IF('POINTAGE'!$AH$5&lt;&gt;"",--('POINTAGE'!AH144="Absent"),0),IF('POINTAGE'!$AJ$5&lt;&gt;"",--('POINTAGE'!AJ144="Absent"),0),IF('POINTAGE'!$AL$5&lt;&gt;"",--('POINTAGE'!AL144="Absent"),0),IF('POINTAGE'!$AN$5&lt;&gt;"",--('POINTAGE'!AN144="Absent"),0),IF('POINTAGE'!$AP$5&lt;&gt;"",--('POINTAGE'!AP144="Absent"),0),IF('POINTAGE'!$AR$5&lt;&gt;"",--('POINTAGE'!AR144="Absent"),0),IF('POINTAGE'!$AT$5&lt;&gt;"",--('POINTAGE'!AT144="Absent"),0),IF('POINTAGE'!$AV$5&lt;&gt;"",--('POINTAGE'!AV144="Absent"),0),IF('POINTAGE'!$AX$5&lt;&gt;"",--('POINTAGE'!AX144="Absent"),0),IF('POINTAGE'!$AZ$5&lt;&gt;"",--('POINTAGE'!AZ144="Absent"),0),IF('POINTAGE'!$BB$5&lt;&gt;"",--('POINTAGE'!BB144="Absent"),0),IF('POINTAGE'!$BD$5&lt;&gt;"",--('POINTAGE'!BD144="Absent"),0),IF('POINTAGE'!$BF$5&lt;&gt;"",--('POINTAGE'!BF144="Absent"),0),IF('POINTAGE'!$BH$5&lt;&gt;"",--('POINTAGE'!BH144="Absent"),0),IF('POINTAGE'!$BJ$5&lt;&gt;"",--('POINTAGE'!BJ144="Absent"),0),IF('POINTAGE'!$BL$5&lt;&gt;"",--('POINTAGE'!BL144="Absent"),0)))</f>
      </c>
      <c r="P144" s="23">
        <f>IF($A144="","",SUM(IF('POINTAGE'!$AH$5&lt;&gt;"",IF('POINTAGE'!AH144="Présent",'POINTAGE'!AI144,0),0),IF('POINTAGE'!$AJ$5&lt;&gt;"",IF('POINTAGE'!AJ144="Présent",'POINTAGE'!AK144,0),0),IF('POINTAGE'!$AL$5&lt;&gt;"",IF('POINTAGE'!AL144="Présent",'POINTAGE'!AM144,0),0),IF('POINTAGE'!$AN$5&lt;&gt;"",IF('POINTAGE'!AN144="Présent",'POINTAGE'!AO144,0),0),IF('POINTAGE'!$AP$5&lt;&gt;"",IF('POINTAGE'!AP144="Présent",'POINTAGE'!AQ144,0),0),IF('POINTAGE'!$AR$5&lt;&gt;"",IF('POINTAGE'!AR144="Présent",'POINTAGE'!AS144,0),0),IF('POINTAGE'!$AT$5&lt;&gt;"",IF('POINTAGE'!AT144="Présent",'POINTAGE'!AU144,0),0),IF('POINTAGE'!$AV$5&lt;&gt;"",IF('POINTAGE'!AV144="Présent",'POINTAGE'!AW144,0),0),IF('POINTAGE'!$AX$5&lt;&gt;"",IF('POINTAGE'!AX144="Présent",'POINTAGE'!AY144,0),0),IF('POINTAGE'!$AZ$5&lt;&gt;"",IF('POINTAGE'!AZ144="Présent",'POINTAGE'!BA144,0),0),IF('POINTAGE'!$BB$5&lt;&gt;"",IF('POINTAGE'!BB144="Présent",'POINTAGE'!BC144,0),0),IF('POINTAGE'!$BD$5&lt;&gt;"",IF('POINTAGE'!BD144="Présent",'POINTAGE'!BE144,0),0),IF('POINTAGE'!$BF$5&lt;&gt;"",IF('POINTAGE'!BF144="Présent",'POINTAGE'!BG144,0),0),IF('POINTAGE'!$BH$5&lt;&gt;"",IF('POINTAGE'!BH144="Présent",'POINTAGE'!BI144,0),0),IF('POINTAGE'!$BJ$5&lt;&gt;"",IF('POINTAGE'!BJ144="Présent",'POINTAGE'!BK144,0),0),IF('POINTAGE'!$BL$5&lt;&gt;"",IF('POINTAGE'!BL144="Présent",'POINTAGE'!BM144,0),0)))</f>
      </c>
      <c r="Q144" s="24">
        <f>IF($A144="","",$N144*$D144)</f>
      </c>
      <c r="R144" s="24">
        <f>IF($A144="","",$P144*$E144)</f>
      </c>
      <c r="S144" s="25">
        <f>IF($A144="","",$Q144+$R144)</f>
      </c>
      <c r="T144" s="18"/>
      <c r="U144" s="25">
        <f>IF($A144="","",MAX(0,$S144-$T144))</f>
      </c>
      <c r="V144" s="25">
        <f>IF($A144="","",$K144+$S144)</f>
      </c>
      <c r="W144" s="24">
        <f>IF($A144="","",$L144+$T144)</f>
      </c>
      <c r="X144" s="25">
        <f>IF($A144="","",$M144+$U144)</f>
      </c>
      <c r="Y144" s="29">
        <f>IF($A144="","",$J144+$R144)</f>
      </c>
    </row>
    <row r="145">
      <c r="A145" s="20">
        <f>IF('POINTAGE'!A145="","",'POINTAGE'!A145)</f>
      </c>
      <c r="B145" s="19">
        <f>IF($A145="","",'POINTAGE'!B145)</f>
      </c>
      <c r="C145" s="20">
        <f>IF($A145="","",'POINTAGE'!C145)</f>
      </c>
      <c r="D145" s="24">
        <f>IF($A145="","",IFERROR(INDEX(Categories_Salaire,MATCH($C145,ListeCategories,0)),0))</f>
      </c>
      <c r="E145" s="24">
        <f>IF($A145="","",IF(IFERROR(INDEX(Categories_TauxHS,MATCH($C145,ListeCategories,0)),0)&gt;0,IFERROR(INDEX(Categories_TauxHS,MATCH($C145,ListeCategories,0)),0),TauxHSDefaut))</f>
      </c>
      <c r="F145" s="22">
        <f>IF($A145="","",SUM(IF('POINTAGE'!$D$5&lt;&gt;"",--('POINTAGE'!D145="Présent"),0),IF('POINTAGE'!$F$5&lt;&gt;"",--('POINTAGE'!F145="Présent"),0),IF('POINTAGE'!$H$5&lt;&gt;"",--('POINTAGE'!H145="Présent"),0),IF('POINTAGE'!$J$5&lt;&gt;"",--('POINTAGE'!J145="Présent"),0),IF('POINTAGE'!$L$5&lt;&gt;"",--('POINTAGE'!L145="Présent"),0),IF('POINTAGE'!$N$5&lt;&gt;"",--('POINTAGE'!N145="Présent"),0),IF('POINTAGE'!$P$5&lt;&gt;"",--('POINTAGE'!P145="Présent"),0),IF('POINTAGE'!$R$5&lt;&gt;"",--('POINTAGE'!R145="Présent"),0),IF('POINTAGE'!$T$5&lt;&gt;"",--('POINTAGE'!T145="Présent"),0),IF('POINTAGE'!$V$5&lt;&gt;"",--('POINTAGE'!V145="Présent"),0),IF('POINTAGE'!$X$5&lt;&gt;"",--('POINTAGE'!X145="Présent"),0),IF('POINTAGE'!$Z$5&lt;&gt;"",--('POINTAGE'!Z145="Présent"),0),IF('POINTAGE'!$AB$5&lt;&gt;"",--('POINTAGE'!AB145="Présent"),0),IF('POINTAGE'!$AD$5&lt;&gt;"",--('POINTAGE'!AD145="Présent"),0),IF('POINTAGE'!$AF$5&lt;&gt;"",--('POINTAGE'!AF145="Présent"),0)))</f>
      </c>
      <c r="G145" s="22">
        <f>IF($A145="","",SUM(IF('POINTAGE'!$D$5&lt;&gt;"",--('POINTAGE'!D145="Absent"),0),IF('POINTAGE'!$F$5&lt;&gt;"",--('POINTAGE'!F145="Absent"),0),IF('POINTAGE'!$H$5&lt;&gt;"",--('POINTAGE'!H145="Absent"),0),IF('POINTAGE'!$J$5&lt;&gt;"",--('POINTAGE'!J145="Absent"),0),IF('POINTAGE'!$L$5&lt;&gt;"",--('POINTAGE'!L145="Absent"),0),IF('POINTAGE'!$N$5&lt;&gt;"",--('POINTAGE'!N145="Absent"),0),IF('POINTAGE'!$P$5&lt;&gt;"",--('POINTAGE'!P145="Absent"),0),IF('POINTAGE'!$R$5&lt;&gt;"",--('POINTAGE'!R145="Absent"),0),IF('POINTAGE'!$T$5&lt;&gt;"",--('POINTAGE'!T145="Absent"),0),IF('POINTAGE'!$V$5&lt;&gt;"",--('POINTAGE'!V145="Absent"),0),IF('POINTAGE'!$X$5&lt;&gt;"",--('POINTAGE'!X145="Absent"),0),IF('POINTAGE'!$Z$5&lt;&gt;"",--('POINTAGE'!Z145="Absent"),0),IF('POINTAGE'!$AB$5&lt;&gt;"",--('POINTAGE'!AB145="Absent"),0),IF('POINTAGE'!$AD$5&lt;&gt;"",--('POINTAGE'!AD145="Absent"),0),IF('POINTAGE'!$AF$5&lt;&gt;"",--('POINTAGE'!AF145="Absent"),0)))</f>
      </c>
      <c r="H145" s="23">
        <f>IF($A145="","",SUM(IF('POINTAGE'!$D$5&lt;&gt;"",IF('POINTAGE'!D145="Présent",'POINTAGE'!E145,0),0),IF('POINTAGE'!$F$5&lt;&gt;"",IF('POINTAGE'!F145="Présent",'POINTAGE'!G145,0),0),IF('POINTAGE'!$H$5&lt;&gt;"",IF('POINTAGE'!H145="Présent",'POINTAGE'!I145,0),0),IF('POINTAGE'!$J$5&lt;&gt;"",IF('POINTAGE'!J145="Présent",'POINTAGE'!K145,0),0),IF('POINTAGE'!$L$5&lt;&gt;"",IF('POINTAGE'!L145="Présent",'POINTAGE'!M145,0),0),IF('POINTAGE'!$N$5&lt;&gt;"",IF('POINTAGE'!N145="Présent",'POINTAGE'!O145,0),0),IF('POINTAGE'!$P$5&lt;&gt;"",IF('POINTAGE'!P145="Présent",'POINTAGE'!Q145,0),0),IF('POINTAGE'!$R$5&lt;&gt;"",IF('POINTAGE'!R145="Présent",'POINTAGE'!S145,0),0),IF('POINTAGE'!$T$5&lt;&gt;"",IF('POINTAGE'!T145="Présent",'POINTAGE'!U145,0),0),IF('POINTAGE'!$V$5&lt;&gt;"",IF('POINTAGE'!V145="Présent",'POINTAGE'!W145,0),0),IF('POINTAGE'!$X$5&lt;&gt;"",IF('POINTAGE'!X145="Présent",'POINTAGE'!Y145,0),0),IF('POINTAGE'!$Z$5&lt;&gt;"",IF('POINTAGE'!Z145="Présent",'POINTAGE'!AA145,0),0),IF('POINTAGE'!$AB$5&lt;&gt;"",IF('POINTAGE'!AB145="Présent",'POINTAGE'!AC145,0),0),IF('POINTAGE'!$AD$5&lt;&gt;"",IF('POINTAGE'!AD145="Présent",'POINTAGE'!AE145,0),0),IF('POINTAGE'!$AF$5&lt;&gt;"",IF('POINTAGE'!AF145="Présent",'POINTAGE'!AG145,0),0)))</f>
      </c>
      <c r="I145" s="24">
        <f>IF($A145="","",$F145*$D145)</f>
      </c>
      <c r="J145" s="24">
        <f>IF($A145="","",$H145*$E145)</f>
      </c>
      <c r="K145" s="25">
        <f>IF($A145="","",$I145+$J145)</f>
      </c>
      <c r="L145" s="18"/>
      <c r="M145" s="25">
        <f>IF($A145="","",MAX(0,$K145-$L145))</f>
      </c>
      <c r="N145" s="22">
        <f>IF($A145="","",SUM(IF('POINTAGE'!$AH$5&lt;&gt;"",--('POINTAGE'!AH145="Présent"),0),IF('POINTAGE'!$AJ$5&lt;&gt;"",--('POINTAGE'!AJ145="Présent"),0),IF('POINTAGE'!$AL$5&lt;&gt;"",--('POINTAGE'!AL145="Présent"),0),IF('POINTAGE'!$AN$5&lt;&gt;"",--('POINTAGE'!AN145="Présent"),0),IF('POINTAGE'!$AP$5&lt;&gt;"",--('POINTAGE'!AP145="Présent"),0),IF('POINTAGE'!$AR$5&lt;&gt;"",--('POINTAGE'!AR145="Présent"),0),IF('POINTAGE'!$AT$5&lt;&gt;"",--('POINTAGE'!AT145="Présent"),0),IF('POINTAGE'!$AV$5&lt;&gt;"",--('POINTAGE'!AV145="Présent"),0),IF('POINTAGE'!$AX$5&lt;&gt;"",--('POINTAGE'!AX145="Présent"),0),IF('POINTAGE'!$AZ$5&lt;&gt;"",--('POINTAGE'!AZ145="Présent"),0),IF('POINTAGE'!$BB$5&lt;&gt;"",--('POINTAGE'!BB145="Présent"),0),IF('POINTAGE'!$BD$5&lt;&gt;"",--('POINTAGE'!BD145="Présent"),0),IF('POINTAGE'!$BF$5&lt;&gt;"",--('POINTAGE'!BF145="Présent"),0),IF('POINTAGE'!$BH$5&lt;&gt;"",--('POINTAGE'!BH145="Présent"),0),IF('POINTAGE'!$BJ$5&lt;&gt;"",--('POINTAGE'!BJ145="Présent"),0),IF('POINTAGE'!$BL$5&lt;&gt;"",--('POINTAGE'!BL145="Présent"),0)))</f>
      </c>
      <c r="O145" s="22">
        <f>IF($A145="","",SUM(IF('POINTAGE'!$AH$5&lt;&gt;"",--('POINTAGE'!AH145="Absent"),0),IF('POINTAGE'!$AJ$5&lt;&gt;"",--('POINTAGE'!AJ145="Absent"),0),IF('POINTAGE'!$AL$5&lt;&gt;"",--('POINTAGE'!AL145="Absent"),0),IF('POINTAGE'!$AN$5&lt;&gt;"",--('POINTAGE'!AN145="Absent"),0),IF('POINTAGE'!$AP$5&lt;&gt;"",--('POINTAGE'!AP145="Absent"),0),IF('POINTAGE'!$AR$5&lt;&gt;"",--('POINTAGE'!AR145="Absent"),0),IF('POINTAGE'!$AT$5&lt;&gt;"",--('POINTAGE'!AT145="Absent"),0),IF('POINTAGE'!$AV$5&lt;&gt;"",--('POINTAGE'!AV145="Absent"),0),IF('POINTAGE'!$AX$5&lt;&gt;"",--('POINTAGE'!AX145="Absent"),0),IF('POINTAGE'!$AZ$5&lt;&gt;"",--('POINTAGE'!AZ145="Absent"),0),IF('POINTAGE'!$BB$5&lt;&gt;"",--('POINTAGE'!BB145="Absent"),0),IF('POINTAGE'!$BD$5&lt;&gt;"",--('POINTAGE'!BD145="Absent"),0),IF('POINTAGE'!$BF$5&lt;&gt;"",--('POINTAGE'!BF145="Absent"),0),IF('POINTAGE'!$BH$5&lt;&gt;"",--('POINTAGE'!BH145="Absent"),0),IF('POINTAGE'!$BJ$5&lt;&gt;"",--('POINTAGE'!BJ145="Absent"),0),IF('POINTAGE'!$BL$5&lt;&gt;"",--('POINTAGE'!BL145="Absent"),0)))</f>
      </c>
      <c r="P145" s="23">
        <f>IF($A145="","",SUM(IF('POINTAGE'!$AH$5&lt;&gt;"",IF('POINTAGE'!AH145="Présent",'POINTAGE'!AI145,0),0),IF('POINTAGE'!$AJ$5&lt;&gt;"",IF('POINTAGE'!AJ145="Présent",'POINTAGE'!AK145,0),0),IF('POINTAGE'!$AL$5&lt;&gt;"",IF('POINTAGE'!AL145="Présent",'POINTAGE'!AM145,0),0),IF('POINTAGE'!$AN$5&lt;&gt;"",IF('POINTAGE'!AN145="Présent",'POINTAGE'!AO145,0),0),IF('POINTAGE'!$AP$5&lt;&gt;"",IF('POINTAGE'!AP145="Présent",'POINTAGE'!AQ145,0),0),IF('POINTAGE'!$AR$5&lt;&gt;"",IF('POINTAGE'!AR145="Présent",'POINTAGE'!AS145,0),0),IF('POINTAGE'!$AT$5&lt;&gt;"",IF('POINTAGE'!AT145="Présent",'POINTAGE'!AU145,0),0),IF('POINTAGE'!$AV$5&lt;&gt;"",IF('POINTAGE'!AV145="Présent",'POINTAGE'!AW145,0),0),IF('POINTAGE'!$AX$5&lt;&gt;"",IF('POINTAGE'!AX145="Présent",'POINTAGE'!AY145,0),0),IF('POINTAGE'!$AZ$5&lt;&gt;"",IF('POINTAGE'!AZ145="Présent",'POINTAGE'!BA145,0),0),IF('POINTAGE'!$BB$5&lt;&gt;"",IF('POINTAGE'!BB145="Présent",'POINTAGE'!BC145,0),0),IF('POINTAGE'!$BD$5&lt;&gt;"",IF('POINTAGE'!BD145="Présent",'POINTAGE'!BE145,0),0),IF('POINTAGE'!$BF$5&lt;&gt;"",IF('POINTAGE'!BF145="Présent",'POINTAGE'!BG145,0),0),IF('POINTAGE'!$BH$5&lt;&gt;"",IF('POINTAGE'!BH145="Présent",'POINTAGE'!BI145,0),0),IF('POINTAGE'!$BJ$5&lt;&gt;"",IF('POINTAGE'!BJ145="Présent",'POINTAGE'!BK145,0),0),IF('POINTAGE'!$BL$5&lt;&gt;"",IF('POINTAGE'!BL145="Présent",'POINTAGE'!BM145,0),0)))</f>
      </c>
      <c r="Q145" s="24">
        <f>IF($A145="","",$N145*$D145)</f>
      </c>
      <c r="R145" s="24">
        <f>IF($A145="","",$P145*$E145)</f>
      </c>
      <c r="S145" s="25">
        <f>IF($A145="","",$Q145+$R145)</f>
      </c>
      <c r="T145" s="18"/>
      <c r="U145" s="25">
        <f>IF($A145="","",MAX(0,$S145-$T145))</f>
      </c>
      <c r="V145" s="25">
        <f>IF($A145="","",$K145+$S145)</f>
      </c>
      <c r="W145" s="24">
        <f>IF($A145="","",$L145+$T145)</f>
      </c>
      <c r="X145" s="25">
        <f>IF($A145="","",$M145+$U145)</f>
      </c>
      <c r="Y145" s="29">
        <f>IF($A145="","",$J145+$R145)</f>
      </c>
    </row>
    <row r="146">
      <c r="A146" s="20">
        <f>IF('POINTAGE'!A146="","",'POINTAGE'!A146)</f>
      </c>
      <c r="B146" s="19">
        <f>IF($A146="","",'POINTAGE'!B146)</f>
      </c>
      <c r="C146" s="20">
        <f>IF($A146="","",'POINTAGE'!C146)</f>
      </c>
      <c r="D146" s="24">
        <f>IF($A146="","",IFERROR(INDEX(Categories_Salaire,MATCH($C146,ListeCategories,0)),0))</f>
      </c>
      <c r="E146" s="24">
        <f>IF($A146="","",IF(IFERROR(INDEX(Categories_TauxHS,MATCH($C146,ListeCategories,0)),0)&gt;0,IFERROR(INDEX(Categories_TauxHS,MATCH($C146,ListeCategories,0)),0),TauxHSDefaut))</f>
      </c>
      <c r="F146" s="22">
        <f>IF($A146="","",SUM(IF('POINTAGE'!$D$5&lt;&gt;"",--('POINTAGE'!D146="Présent"),0),IF('POINTAGE'!$F$5&lt;&gt;"",--('POINTAGE'!F146="Présent"),0),IF('POINTAGE'!$H$5&lt;&gt;"",--('POINTAGE'!H146="Présent"),0),IF('POINTAGE'!$J$5&lt;&gt;"",--('POINTAGE'!J146="Présent"),0),IF('POINTAGE'!$L$5&lt;&gt;"",--('POINTAGE'!L146="Présent"),0),IF('POINTAGE'!$N$5&lt;&gt;"",--('POINTAGE'!N146="Présent"),0),IF('POINTAGE'!$P$5&lt;&gt;"",--('POINTAGE'!P146="Présent"),0),IF('POINTAGE'!$R$5&lt;&gt;"",--('POINTAGE'!R146="Présent"),0),IF('POINTAGE'!$T$5&lt;&gt;"",--('POINTAGE'!T146="Présent"),0),IF('POINTAGE'!$V$5&lt;&gt;"",--('POINTAGE'!V146="Présent"),0),IF('POINTAGE'!$X$5&lt;&gt;"",--('POINTAGE'!X146="Présent"),0),IF('POINTAGE'!$Z$5&lt;&gt;"",--('POINTAGE'!Z146="Présent"),0),IF('POINTAGE'!$AB$5&lt;&gt;"",--('POINTAGE'!AB146="Présent"),0),IF('POINTAGE'!$AD$5&lt;&gt;"",--('POINTAGE'!AD146="Présent"),0),IF('POINTAGE'!$AF$5&lt;&gt;"",--('POINTAGE'!AF146="Présent"),0)))</f>
      </c>
      <c r="G146" s="22">
        <f>IF($A146="","",SUM(IF('POINTAGE'!$D$5&lt;&gt;"",--('POINTAGE'!D146="Absent"),0),IF('POINTAGE'!$F$5&lt;&gt;"",--('POINTAGE'!F146="Absent"),0),IF('POINTAGE'!$H$5&lt;&gt;"",--('POINTAGE'!H146="Absent"),0),IF('POINTAGE'!$J$5&lt;&gt;"",--('POINTAGE'!J146="Absent"),0),IF('POINTAGE'!$L$5&lt;&gt;"",--('POINTAGE'!L146="Absent"),0),IF('POINTAGE'!$N$5&lt;&gt;"",--('POINTAGE'!N146="Absent"),0),IF('POINTAGE'!$P$5&lt;&gt;"",--('POINTAGE'!P146="Absent"),0),IF('POINTAGE'!$R$5&lt;&gt;"",--('POINTAGE'!R146="Absent"),0),IF('POINTAGE'!$T$5&lt;&gt;"",--('POINTAGE'!T146="Absent"),0),IF('POINTAGE'!$V$5&lt;&gt;"",--('POINTAGE'!V146="Absent"),0),IF('POINTAGE'!$X$5&lt;&gt;"",--('POINTAGE'!X146="Absent"),0),IF('POINTAGE'!$Z$5&lt;&gt;"",--('POINTAGE'!Z146="Absent"),0),IF('POINTAGE'!$AB$5&lt;&gt;"",--('POINTAGE'!AB146="Absent"),0),IF('POINTAGE'!$AD$5&lt;&gt;"",--('POINTAGE'!AD146="Absent"),0),IF('POINTAGE'!$AF$5&lt;&gt;"",--('POINTAGE'!AF146="Absent"),0)))</f>
      </c>
      <c r="H146" s="23">
        <f>IF($A146="","",SUM(IF('POINTAGE'!$D$5&lt;&gt;"",IF('POINTAGE'!D146="Présent",'POINTAGE'!E146,0),0),IF('POINTAGE'!$F$5&lt;&gt;"",IF('POINTAGE'!F146="Présent",'POINTAGE'!G146,0),0),IF('POINTAGE'!$H$5&lt;&gt;"",IF('POINTAGE'!H146="Présent",'POINTAGE'!I146,0),0),IF('POINTAGE'!$J$5&lt;&gt;"",IF('POINTAGE'!J146="Présent",'POINTAGE'!K146,0),0),IF('POINTAGE'!$L$5&lt;&gt;"",IF('POINTAGE'!L146="Présent",'POINTAGE'!M146,0),0),IF('POINTAGE'!$N$5&lt;&gt;"",IF('POINTAGE'!N146="Présent",'POINTAGE'!O146,0),0),IF('POINTAGE'!$P$5&lt;&gt;"",IF('POINTAGE'!P146="Présent",'POINTAGE'!Q146,0),0),IF('POINTAGE'!$R$5&lt;&gt;"",IF('POINTAGE'!R146="Présent",'POINTAGE'!S146,0),0),IF('POINTAGE'!$T$5&lt;&gt;"",IF('POINTAGE'!T146="Présent",'POINTAGE'!U146,0),0),IF('POINTAGE'!$V$5&lt;&gt;"",IF('POINTAGE'!V146="Présent",'POINTAGE'!W146,0),0),IF('POINTAGE'!$X$5&lt;&gt;"",IF('POINTAGE'!X146="Présent",'POINTAGE'!Y146,0),0),IF('POINTAGE'!$Z$5&lt;&gt;"",IF('POINTAGE'!Z146="Présent",'POINTAGE'!AA146,0),0),IF('POINTAGE'!$AB$5&lt;&gt;"",IF('POINTAGE'!AB146="Présent",'POINTAGE'!AC146,0),0),IF('POINTAGE'!$AD$5&lt;&gt;"",IF('POINTAGE'!AD146="Présent",'POINTAGE'!AE146,0),0),IF('POINTAGE'!$AF$5&lt;&gt;"",IF('POINTAGE'!AF146="Présent",'POINTAGE'!AG146,0),0)))</f>
      </c>
      <c r="I146" s="24">
        <f>IF($A146="","",$F146*$D146)</f>
      </c>
      <c r="J146" s="24">
        <f>IF($A146="","",$H146*$E146)</f>
      </c>
      <c r="K146" s="25">
        <f>IF($A146="","",$I146+$J146)</f>
      </c>
      <c r="L146" s="18"/>
      <c r="M146" s="25">
        <f>IF($A146="","",MAX(0,$K146-$L146))</f>
      </c>
      <c r="N146" s="22">
        <f>IF($A146="","",SUM(IF('POINTAGE'!$AH$5&lt;&gt;"",--('POINTAGE'!AH146="Présent"),0),IF('POINTAGE'!$AJ$5&lt;&gt;"",--('POINTAGE'!AJ146="Présent"),0),IF('POINTAGE'!$AL$5&lt;&gt;"",--('POINTAGE'!AL146="Présent"),0),IF('POINTAGE'!$AN$5&lt;&gt;"",--('POINTAGE'!AN146="Présent"),0),IF('POINTAGE'!$AP$5&lt;&gt;"",--('POINTAGE'!AP146="Présent"),0),IF('POINTAGE'!$AR$5&lt;&gt;"",--('POINTAGE'!AR146="Présent"),0),IF('POINTAGE'!$AT$5&lt;&gt;"",--('POINTAGE'!AT146="Présent"),0),IF('POINTAGE'!$AV$5&lt;&gt;"",--('POINTAGE'!AV146="Présent"),0),IF('POINTAGE'!$AX$5&lt;&gt;"",--('POINTAGE'!AX146="Présent"),0),IF('POINTAGE'!$AZ$5&lt;&gt;"",--('POINTAGE'!AZ146="Présent"),0),IF('POINTAGE'!$BB$5&lt;&gt;"",--('POINTAGE'!BB146="Présent"),0),IF('POINTAGE'!$BD$5&lt;&gt;"",--('POINTAGE'!BD146="Présent"),0),IF('POINTAGE'!$BF$5&lt;&gt;"",--('POINTAGE'!BF146="Présent"),0),IF('POINTAGE'!$BH$5&lt;&gt;"",--('POINTAGE'!BH146="Présent"),0),IF('POINTAGE'!$BJ$5&lt;&gt;"",--('POINTAGE'!BJ146="Présent"),0),IF('POINTAGE'!$BL$5&lt;&gt;"",--('POINTAGE'!BL146="Présent"),0)))</f>
      </c>
      <c r="O146" s="22">
        <f>IF($A146="","",SUM(IF('POINTAGE'!$AH$5&lt;&gt;"",--('POINTAGE'!AH146="Absent"),0),IF('POINTAGE'!$AJ$5&lt;&gt;"",--('POINTAGE'!AJ146="Absent"),0),IF('POINTAGE'!$AL$5&lt;&gt;"",--('POINTAGE'!AL146="Absent"),0),IF('POINTAGE'!$AN$5&lt;&gt;"",--('POINTAGE'!AN146="Absent"),0),IF('POINTAGE'!$AP$5&lt;&gt;"",--('POINTAGE'!AP146="Absent"),0),IF('POINTAGE'!$AR$5&lt;&gt;"",--('POINTAGE'!AR146="Absent"),0),IF('POINTAGE'!$AT$5&lt;&gt;"",--('POINTAGE'!AT146="Absent"),0),IF('POINTAGE'!$AV$5&lt;&gt;"",--('POINTAGE'!AV146="Absent"),0),IF('POINTAGE'!$AX$5&lt;&gt;"",--('POINTAGE'!AX146="Absent"),0),IF('POINTAGE'!$AZ$5&lt;&gt;"",--('POINTAGE'!AZ146="Absent"),0),IF('POINTAGE'!$BB$5&lt;&gt;"",--('POINTAGE'!BB146="Absent"),0),IF('POINTAGE'!$BD$5&lt;&gt;"",--('POINTAGE'!BD146="Absent"),0),IF('POINTAGE'!$BF$5&lt;&gt;"",--('POINTAGE'!BF146="Absent"),0),IF('POINTAGE'!$BH$5&lt;&gt;"",--('POINTAGE'!BH146="Absent"),0),IF('POINTAGE'!$BJ$5&lt;&gt;"",--('POINTAGE'!BJ146="Absent"),0),IF('POINTAGE'!$BL$5&lt;&gt;"",--('POINTAGE'!BL146="Absent"),0)))</f>
      </c>
      <c r="P146" s="23">
        <f>IF($A146="","",SUM(IF('POINTAGE'!$AH$5&lt;&gt;"",IF('POINTAGE'!AH146="Présent",'POINTAGE'!AI146,0),0),IF('POINTAGE'!$AJ$5&lt;&gt;"",IF('POINTAGE'!AJ146="Présent",'POINTAGE'!AK146,0),0),IF('POINTAGE'!$AL$5&lt;&gt;"",IF('POINTAGE'!AL146="Présent",'POINTAGE'!AM146,0),0),IF('POINTAGE'!$AN$5&lt;&gt;"",IF('POINTAGE'!AN146="Présent",'POINTAGE'!AO146,0),0),IF('POINTAGE'!$AP$5&lt;&gt;"",IF('POINTAGE'!AP146="Présent",'POINTAGE'!AQ146,0),0),IF('POINTAGE'!$AR$5&lt;&gt;"",IF('POINTAGE'!AR146="Présent",'POINTAGE'!AS146,0),0),IF('POINTAGE'!$AT$5&lt;&gt;"",IF('POINTAGE'!AT146="Présent",'POINTAGE'!AU146,0),0),IF('POINTAGE'!$AV$5&lt;&gt;"",IF('POINTAGE'!AV146="Présent",'POINTAGE'!AW146,0),0),IF('POINTAGE'!$AX$5&lt;&gt;"",IF('POINTAGE'!AX146="Présent",'POINTAGE'!AY146,0),0),IF('POINTAGE'!$AZ$5&lt;&gt;"",IF('POINTAGE'!AZ146="Présent",'POINTAGE'!BA146,0),0),IF('POINTAGE'!$BB$5&lt;&gt;"",IF('POINTAGE'!BB146="Présent",'POINTAGE'!BC146,0),0),IF('POINTAGE'!$BD$5&lt;&gt;"",IF('POINTAGE'!BD146="Présent",'POINTAGE'!BE146,0),0),IF('POINTAGE'!$BF$5&lt;&gt;"",IF('POINTAGE'!BF146="Présent",'POINTAGE'!BG146,0),0),IF('POINTAGE'!$BH$5&lt;&gt;"",IF('POINTAGE'!BH146="Présent",'POINTAGE'!BI146,0),0),IF('POINTAGE'!$BJ$5&lt;&gt;"",IF('POINTAGE'!BJ146="Présent",'POINTAGE'!BK146,0),0),IF('POINTAGE'!$BL$5&lt;&gt;"",IF('POINTAGE'!BL146="Présent",'POINTAGE'!BM146,0),0)))</f>
      </c>
      <c r="Q146" s="24">
        <f>IF($A146="","",$N146*$D146)</f>
      </c>
      <c r="R146" s="24">
        <f>IF($A146="","",$P146*$E146)</f>
      </c>
      <c r="S146" s="25">
        <f>IF($A146="","",$Q146+$R146)</f>
      </c>
      <c r="T146" s="18"/>
      <c r="U146" s="25">
        <f>IF($A146="","",MAX(0,$S146-$T146))</f>
      </c>
      <c r="V146" s="25">
        <f>IF($A146="","",$K146+$S146)</f>
      </c>
      <c r="W146" s="24">
        <f>IF($A146="","",$L146+$T146)</f>
      </c>
      <c r="X146" s="25">
        <f>IF($A146="","",$M146+$U146)</f>
      </c>
      <c r="Y146" s="29">
        <f>IF($A146="","",$J146+$R146)</f>
      </c>
    </row>
    <row r="147">
      <c r="A147" s="20">
        <f>IF('POINTAGE'!A147="","",'POINTAGE'!A147)</f>
      </c>
      <c r="B147" s="19">
        <f>IF($A147="","",'POINTAGE'!B147)</f>
      </c>
      <c r="C147" s="20">
        <f>IF($A147="","",'POINTAGE'!C147)</f>
      </c>
      <c r="D147" s="24">
        <f>IF($A147="","",IFERROR(INDEX(Categories_Salaire,MATCH($C147,ListeCategories,0)),0))</f>
      </c>
      <c r="E147" s="24">
        <f>IF($A147="","",IF(IFERROR(INDEX(Categories_TauxHS,MATCH($C147,ListeCategories,0)),0)&gt;0,IFERROR(INDEX(Categories_TauxHS,MATCH($C147,ListeCategories,0)),0),TauxHSDefaut))</f>
      </c>
      <c r="F147" s="22">
        <f>IF($A147="","",SUM(IF('POINTAGE'!$D$5&lt;&gt;"",--('POINTAGE'!D147="Présent"),0),IF('POINTAGE'!$F$5&lt;&gt;"",--('POINTAGE'!F147="Présent"),0),IF('POINTAGE'!$H$5&lt;&gt;"",--('POINTAGE'!H147="Présent"),0),IF('POINTAGE'!$J$5&lt;&gt;"",--('POINTAGE'!J147="Présent"),0),IF('POINTAGE'!$L$5&lt;&gt;"",--('POINTAGE'!L147="Présent"),0),IF('POINTAGE'!$N$5&lt;&gt;"",--('POINTAGE'!N147="Présent"),0),IF('POINTAGE'!$P$5&lt;&gt;"",--('POINTAGE'!P147="Présent"),0),IF('POINTAGE'!$R$5&lt;&gt;"",--('POINTAGE'!R147="Présent"),0),IF('POINTAGE'!$T$5&lt;&gt;"",--('POINTAGE'!T147="Présent"),0),IF('POINTAGE'!$V$5&lt;&gt;"",--('POINTAGE'!V147="Présent"),0),IF('POINTAGE'!$X$5&lt;&gt;"",--('POINTAGE'!X147="Présent"),0),IF('POINTAGE'!$Z$5&lt;&gt;"",--('POINTAGE'!Z147="Présent"),0),IF('POINTAGE'!$AB$5&lt;&gt;"",--('POINTAGE'!AB147="Présent"),0),IF('POINTAGE'!$AD$5&lt;&gt;"",--('POINTAGE'!AD147="Présent"),0),IF('POINTAGE'!$AF$5&lt;&gt;"",--('POINTAGE'!AF147="Présent"),0)))</f>
      </c>
      <c r="G147" s="22">
        <f>IF($A147="","",SUM(IF('POINTAGE'!$D$5&lt;&gt;"",--('POINTAGE'!D147="Absent"),0),IF('POINTAGE'!$F$5&lt;&gt;"",--('POINTAGE'!F147="Absent"),0),IF('POINTAGE'!$H$5&lt;&gt;"",--('POINTAGE'!H147="Absent"),0),IF('POINTAGE'!$J$5&lt;&gt;"",--('POINTAGE'!J147="Absent"),0),IF('POINTAGE'!$L$5&lt;&gt;"",--('POINTAGE'!L147="Absent"),0),IF('POINTAGE'!$N$5&lt;&gt;"",--('POINTAGE'!N147="Absent"),0),IF('POINTAGE'!$P$5&lt;&gt;"",--('POINTAGE'!P147="Absent"),0),IF('POINTAGE'!$R$5&lt;&gt;"",--('POINTAGE'!R147="Absent"),0),IF('POINTAGE'!$T$5&lt;&gt;"",--('POINTAGE'!T147="Absent"),0),IF('POINTAGE'!$V$5&lt;&gt;"",--('POINTAGE'!V147="Absent"),0),IF('POINTAGE'!$X$5&lt;&gt;"",--('POINTAGE'!X147="Absent"),0),IF('POINTAGE'!$Z$5&lt;&gt;"",--('POINTAGE'!Z147="Absent"),0),IF('POINTAGE'!$AB$5&lt;&gt;"",--('POINTAGE'!AB147="Absent"),0),IF('POINTAGE'!$AD$5&lt;&gt;"",--('POINTAGE'!AD147="Absent"),0),IF('POINTAGE'!$AF$5&lt;&gt;"",--('POINTAGE'!AF147="Absent"),0)))</f>
      </c>
      <c r="H147" s="23">
        <f>IF($A147="","",SUM(IF('POINTAGE'!$D$5&lt;&gt;"",IF('POINTAGE'!D147="Présent",'POINTAGE'!E147,0),0),IF('POINTAGE'!$F$5&lt;&gt;"",IF('POINTAGE'!F147="Présent",'POINTAGE'!G147,0),0),IF('POINTAGE'!$H$5&lt;&gt;"",IF('POINTAGE'!H147="Présent",'POINTAGE'!I147,0),0),IF('POINTAGE'!$J$5&lt;&gt;"",IF('POINTAGE'!J147="Présent",'POINTAGE'!K147,0),0),IF('POINTAGE'!$L$5&lt;&gt;"",IF('POINTAGE'!L147="Présent",'POINTAGE'!M147,0),0),IF('POINTAGE'!$N$5&lt;&gt;"",IF('POINTAGE'!N147="Présent",'POINTAGE'!O147,0),0),IF('POINTAGE'!$P$5&lt;&gt;"",IF('POINTAGE'!P147="Présent",'POINTAGE'!Q147,0),0),IF('POINTAGE'!$R$5&lt;&gt;"",IF('POINTAGE'!R147="Présent",'POINTAGE'!S147,0),0),IF('POINTAGE'!$T$5&lt;&gt;"",IF('POINTAGE'!T147="Présent",'POINTAGE'!U147,0),0),IF('POINTAGE'!$V$5&lt;&gt;"",IF('POINTAGE'!V147="Présent",'POINTAGE'!W147,0),0),IF('POINTAGE'!$X$5&lt;&gt;"",IF('POINTAGE'!X147="Présent",'POINTAGE'!Y147,0),0),IF('POINTAGE'!$Z$5&lt;&gt;"",IF('POINTAGE'!Z147="Présent",'POINTAGE'!AA147,0),0),IF('POINTAGE'!$AB$5&lt;&gt;"",IF('POINTAGE'!AB147="Présent",'POINTAGE'!AC147,0),0),IF('POINTAGE'!$AD$5&lt;&gt;"",IF('POINTAGE'!AD147="Présent",'POINTAGE'!AE147,0),0),IF('POINTAGE'!$AF$5&lt;&gt;"",IF('POINTAGE'!AF147="Présent",'POINTAGE'!AG147,0),0)))</f>
      </c>
      <c r="I147" s="24">
        <f>IF($A147="","",$F147*$D147)</f>
      </c>
      <c r="J147" s="24">
        <f>IF($A147="","",$H147*$E147)</f>
      </c>
      <c r="K147" s="25">
        <f>IF($A147="","",$I147+$J147)</f>
      </c>
      <c r="L147" s="18"/>
      <c r="M147" s="25">
        <f>IF($A147="","",MAX(0,$K147-$L147))</f>
      </c>
      <c r="N147" s="22">
        <f>IF($A147="","",SUM(IF('POINTAGE'!$AH$5&lt;&gt;"",--('POINTAGE'!AH147="Présent"),0),IF('POINTAGE'!$AJ$5&lt;&gt;"",--('POINTAGE'!AJ147="Présent"),0),IF('POINTAGE'!$AL$5&lt;&gt;"",--('POINTAGE'!AL147="Présent"),0),IF('POINTAGE'!$AN$5&lt;&gt;"",--('POINTAGE'!AN147="Présent"),0),IF('POINTAGE'!$AP$5&lt;&gt;"",--('POINTAGE'!AP147="Présent"),0),IF('POINTAGE'!$AR$5&lt;&gt;"",--('POINTAGE'!AR147="Présent"),0),IF('POINTAGE'!$AT$5&lt;&gt;"",--('POINTAGE'!AT147="Présent"),0),IF('POINTAGE'!$AV$5&lt;&gt;"",--('POINTAGE'!AV147="Présent"),0),IF('POINTAGE'!$AX$5&lt;&gt;"",--('POINTAGE'!AX147="Présent"),0),IF('POINTAGE'!$AZ$5&lt;&gt;"",--('POINTAGE'!AZ147="Présent"),0),IF('POINTAGE'!$BB$5&lt;&gt;"",--('POINTAGE'!BB147="Présent"),0),IF('POINTAGE'!$BD$5&lt;&gt;"",--('POINTAGE'!BD147="Présent"),0),IF('POINTAGE'!$BF$5&lt;&gt;"",--('POINTAGE'!BF147="Présent"),0),IF('POINTAGE'!$BH$5&lt;&gt;"",--('POINTAGE'!BH147="Présent"),0),IF('POINTAGE'!$BJ$5&lt;&gt;"",--('POINTAGE'!BJ147="Présent"),0),IF('POINTAGE'!$BL$5&lt;&gt;"",--('POINTAGE'!BL147="Présent"),0)))</f>
      </c>
      <c r="O147" s="22">
        <f>IF($A147="","",SUM(IF('POINTAGE'!$AH$5&lt;&gt;"",--('POINTAGE'!AH147="Absent"),0),IF('POINTAGE'!$AJ$5&lt;&gt;"",--('POINTAGE'!AJ147="Absent"),0),IF('POINTAGE'!$AL$5&lt;&gt;"",--('POINTAGE'!AL147="Absent"),0),IF('POINTAGE'!$AN$5&lt;&gt;"",--('POINTAGE'!AN147="Absent"),0),IF('POINTAGE'!$AP$5&lt;&gt;"",--('POINTAGE'!AP147="Absent"),0),IF('POINTAGE'!$AR$5&lt;&gt;"",--('POINTAGE'!AR147="Absent"),0),IF('POINTAGE'!$AT$5&lt;&gt;"",--('POINTAGE'!AT147="Absent"),0),IF('POINTAGE'!$AV$5&lt;&gt;"",--('POINTAGE'!AV147="Absent"),0),IF('POINTAGE'!$AX$5&lt;&gt;"",--('POINTAGE'!AX147="Absent"),0),IF('POINTAGE'!$AZ$5&lt;&gt;"",--('POINTAGE'!AZ147="Absent"),0),IF('POINTAGE'!$BB$5&lt;&gt;"",--('POINTAGE'!BB147="Absent"),0),IF('POINTAGE'!$BD$5&lt;&gt;"",--('POINTAGE'!BD147="Absent"),0),IF('POINTAGE'!$BF$5&lt;&gt;"",--('POINTAGE'!BF147="Absent"),0),IF('POINTAGE'!$BH$5&lt;&gt;"",--('POINTAGE'!BH147="Absent"),0),IF('POINTAGE'!$BJ$5&lt;&gt;"",--('POINTAGE'!BJ147="Absent"),0),IF('POINTAGE'!$BL$5&lt;&gt;"",--('POINTAGE'!BL147="Absent"),0)))</f>
      </c>
      <c r="P147" s="23">
        <f>IF($A147="","",SUM(IF('POINTAGE'!$AH$5&lt;&gt;"",IF('POINTAGE'!AH147="Présent",'POINTAGE'!AI147,0),0),IF('POINTAGE'!$AJ$5&lt;&gt;"",IF('POINTAGE'!AJ147="Présent",'POINTAGE'!AK147,0),0),IF('POINTAGE'!$AL$5&lt;&gt;"",IF('POINTAGE'!AL147="Présent",'POINTAGE'!AM147,0),0),IF('POINTAGE'!$AN$5&lt;&gt;"",IF('POINTAGE'!AN147="Présent",'POINTAGE'!AO147,0),0),IF('POINTAGE'!$AP$5&lt;&gt;"",IF('POINTAGE'!AP147="Présent",'POINTAGE'!AQ147,0),0),IF('POINTAGE'!$AR$5&lt;&gt;"",IF('POINTAGE'!AR147="Présent",'POINTAGE'!AS147,0),0),IF('POINTAGE'!$AT$5&lt;&gt;"",IF('POINTAGE'!AT147="Présent",'POINTAGE'!AU147,0),0),IF('POINTAGE'!$AV$5&lt;&gt;"",IF('POINTAGE'!AV147="Présent",'POINTAGE'!AW147,0),0),IF('POINTAGE'!$AX$5&lt;&gt;"",IF('POINTAGE'!AX147="Présent",'POINTAGE'!AY147,0),0),IF('POINTAGE'!$AZ$5&lt;&gt;"",IF('POINTAGE'!AZ147="Présent",'POINTAGE'!BA147,0),0),IF('POINTAGE'!$BB$5&lt;&gt;"",IF('POINTAGE'!BB147="Présent",'POINTAGE'!BC147,0),0),IF('POINTAGE'!$BD$5&lt;&gt;"",IF('POINTAGE'!BD147="Présent",'POINTAGE'!BE147,0),0),IF('POINTAGE'!$BF$5&lt;&gt;"",IF('POINTAGE'!BF147="Présent",'POINTAGE'!BG147,0),0),IF('POINTAGE'!$BH$5&lt;&gt;"",IF('POINTAGE'!BH147="Présent",'POINTAGE'!BI147,0),0),IF('POINTAGE'!$BJ$5&lt;&gt;"",IF('POINTAGE'!BJ147="Présent",'POINTAGE'!BK147,0),0),IF('POINTAGE'!$BL$5&lt;&gt;"",IF('POINTAGE'!BL147="Présent",'POINTAGE'!BM147,0),0)))</f>
      </c>
      <c r="Q147" s="24">
        <f>IF($A147="","",$N147*$D147)</f>
      </c>
      <c r="R147" s="24">
        <f>IF($A147="","",$P147*$E147)</f>
      </c>
      <c r="S147" s="25">
        <f>IF($A147="","",$Q147+$R147)</f>
      </c>
      <c r="T147" s="18"/>
      <c r="U147" s="25">
        <f>IF($A147="","",MAX(0,$S147-$T147))</f>
      </c>
      <c r="V147" s="25">
        <f>IF($A147="","",$K147+$S147)</f>
      </c>
      <c r="W147" s="24">
        <f>IF($A147="","",$L147+$T147)</f>
      </c>
      <c r="X147" s="25">
        <f>IF($A147="","",$M147+$U147)</f>
      </c>
      <c r="Y147" s="29">
        <f>IF($A147="","",$J147+$R147)</f>
      </c>
    </row>
    <row r="148">
      <c r="A148" s="20">
        <f>IF('POINTAGE'!A148="","",'POINTAGE'!A148)</f>
      </c>
      <c r="B148" s="19">
        <f>IF($A148="","",'POINTAGE'!B148)</f>
      </c>
      <c r="C148" s="20">
        <f>IF($A148="","",'POINTAGE'!C148)</f>
      </c>
      <c r="D148" s="24">
        <f>IF($A148="","",IFERROR(INDEX(Categories_Salaire,MATCH($C148,ListeCategories,0)),0))</f>
      </c>
      <c r="E148" s="24">
        <f>IF($A148="","",IF(IFERROR(INDEX(Categories_TauxHS,MATCH($C148,ListeCategories,0)),0)&gt;0,IFERROR(INDEX(Categories_TauxHS,MATCH($C148,ListeCategories,0)),0),TauxHSDefaut))</f>
      </c>
      <c r="F148" s="22">
        <f>IF($A148="","",SUM(IF('POINTAGE'!$D$5&lt;&gt;"",--('POINTAGE'!D148="Présent"),0),IF('POINTAGE'!$F$5&lt;&gt;"",--('POINTAGE'!F148="Présent"),0),IF('POINTAGE'!$H$5&lt;&gt;"",--('POINTAGE'!H148="Présent"),0),IF('POINTAGE'!$J$5&lt;&gt;"",--('POINTAGE'!J148="Présent"),0),IF('POINTAGE'!$L$5&lt;&gt;"",--('POINTAGE'!L148="Présent"),0),IF('POINTAGE'!$N$5&lt;&gt;"",--('POINTAGE'!N148="Présent"),0),IF('POINTAGE'!$P$5&lt;&gt;"",--('POINTAGE'!P148="Présent"),0),IF('POINTAGE'!$R$5&lt;&gt;"",--('POINTAGE'!R148="Présent"),0),IF('POINTAGE'!$T$5&lt;&gt;"",--('POINTAGE'!T148="Présent"),0),IF('POINTAGE'!$V$5&lt;&gt;"",--('POINTAGE'!V148="Présent"),0),IF('POINTAGE'!$X$5&lt;&gt;"",--('POINTAGE'!X148="Présent"),0),IF('POINTAGE'!$Z$5&lt;&gt;"",--('POINTAGE'!Z148="Présent"),0),IF('POINTAGE'!$AB$5&lt;&gt;"",--('POINTAGE'!AB148="Présent"),0),IF('POINTAGE'!$AD$5&lt;&gt;"",--('POINTAGE'!AD148="Présent"),0),IF('POINTAGE'!$AF$5&lt;&gt;"",--('POINTAGE'!AF148="Présent"),0)))</f>
      </c>
      <c r="G148" s="22">
        <f>IF($A148="","",SUM(IF('POINTAGE'!$D$5&lt;&gt;"",--('POINTAGE'!D148="Absent"),0),IF('POINTAGE'!$F$5&lt;&gt;"",--('POINTAGE'!F148="Absent"),0),IF('POINTAGE'!$H$5&lt;&gt;"",--('POINTAGE'!H148="Absent"),0),IF('POINTAGE'!$J$5&lt;&gt;"",--('POINTAGE'!J148="Absent"),0),IF('POINTAGE'!$L$5&lt;&gt;"",--('POINTAGE'!L148="Absent"),0),IF('POINTAGE'!$N$5&lt;&gt;"",--('POINTAGE'!N148="Absent"),0),IF('POINTAGE'!$P$5&lt;&gt;"",--('POINTAGE'!P148="Absent"),0),IF('POINTAGE'!$R$5&lt;&gt;"",--('POINTAGE'!R148="Absent"),0),IF('POINTAGE'!$T$5&lt;&gt;"",--('POINTAGE'!T148="Absent"),0),IF('POINTAGE'!$V$5&lt;&gt;"",--('POINTAGE'!V148="Absent"),0),IF('POINTAGE'!$X$5&lt;&gt;"",--('POINTAGE'!X148="Absent"),0),IF('POINTAGE'!$Z$5&lt;&gt;"",--('POINTAGE'!Z148="Absent"),0),IF('POINTAGE'!$AB$5&lt;&gt;"",--('POINTAGE'!AB148="Absent"),0),IF('POINTAGE'!$AD$5&lt;&gt;"",--('POINTAGE'!AD148="Absent"),0),IF('POINTAGE'!$AF$5&lt;&gt;"",--('POINTAGE'!AF148="Absent"),0)))</f>
      </c>
      <c r="H148" s="23">
        <f>IF($A148="","",SUM(IF('POINTAGE'!$D$5&lt;&gt;"",IF('POINTAGE'!D148="Présent",'POINTAGE'!E148,0),0),IF('POINTAGE'!$F$5&lt;&gt;"",IF('POINTAGE'!F148="Présent",'POINTAGE'!G148,0),0),IF('POINTAGE'!$H$5&lt;&gt;"",IF('POINTAGE'!H148="Présent",'POINTAGE'!I148,0),0),IF('POINTAGE'!$J$5&lt;&gt;"",IF('POINTAGE'!J148="Présent",'POINTAGE'!K148,0),0),IF('POINTAGE'!$L$5&lt;&gt;"",IF('POINTAGE'!L148="Présent",'POINTAGE'!M148,0),0),IF('POINTAGE'!$N$5&lt;&gt;"",IF('POINTAGE'!N148="Présent",'POINTAGE'!O148,0),0),IF('POINTAGE'!$P$5&lt;&gt;"",IF('POINTAGE'!P148="Présent",'POINTAGE'!Q148,0),0),IF('POINTAGE'!$R$5&lt;&gt;"",IF('POINTAGE'!R148="Présent",'POINTAGE'!S148,0),0),IF('POINTAGE'!$T$5&lt;&gt;"",IF('POINTAGE'!T148="Présent",'POINTAGE'!U148,0),0),IF('POINTAGE'!$V$5&lt;&gt;"",IF('POINTAGE'!V148="Présent",'POINTAGE'!W148,0),0),IF('POINTAGE'!$X$5&lt;&gt;"",IF('POINTAGE'!X148="Présent",'POINTAGE'!Y148,0),0),IF('POINTAGE'!$Z$5&lt;&gt;"",IF('POINTAGE'!Z148="Présent",'POINTAGE'!AA148,0),0),IF('POINTAGE'!$AB$5&lt;&gt;"",IF('POINTAGE'!AB148="Présent",'POINTAGE'!AC148,0),0),IF('POINTAGE'!$AD$5&lt;&gt;"",IF('POINTAGE'!AD148="Présent",'POINTAGE'!AE148,0),0),IF('POINTAGE'!$AF$5&lt;&gt;"",IF('POINTAGE'!AF148="Présent",'POINTAGE'!AG148,0),0)))</f>
      </c>
      <c r="I148" s="24">
        <f>IF($A148="","",$F148*$D148)</f>
      </c>
      <c r="J148" s="24">
        <f>IF($A148="","",$H148*$E148)</f>
      </c>
      <c r="K148" s="25">
        <f>IF($A148="","",$I148+$J148)</f>
      </c>
      <c r="L148" s="18"/>
      <c r="M148" s="25">
        <f>IF($A148="","",MAX(0,$K148-$L148))</f>
      </c>
      <c r="N148" s="22">
        <f>IF($A148="","",SUM(IF('POINTAGE'!$AH$5&lt;&gt;"",--('POINTAGE'!AH148="Présent"),0),IF('POINTAGE'!$AJ$5&lt;&gt;"",--('POINTAGE'!AJ148="Présent"),0),IF('POINTAGE'!$AL$5&lt;&gt;"",--('POINTAGE'!AL148="Présent"),0),IF('POINTAGE'!$AN$5&lt;&gt;"",--('POINTAGE'!AN148="Présent"),0),IF('POINTAGE'!$AP$5&lt;&gt;"",--('POINTAGE'!AP148="Présent"),0),IF('POINTAGE'!$AR$5&lt;&gt;"",--('POINTAGE'!AR148="Présent"),0),IF('POINTAGE'!$AT$5&lt;&gt;"",--('POINTAGE'!AT148="Présent"),0),IF('POINTAGE'!$AV$5&lt;&gt;"",--('POINTAGE'!AV148="Présent"),0),IF('POINTAGE'!$AX$5&lt;&gt;"",--('POINTAGE'!AX148="Présent"),0),IF('POINTAGE'!$AZ$5&lt;&gt;"",--('POINTAGE'!AZ148="Présent"),0),IF('POINTAGE'!$BB$5&lt;&gt;"",--('POINTAGE'!BB148="Présent"),0),IF('POINTAGE'!$BD$5&lt;&gt;"",--('POINTAGE'!BD148="Présent"),0),IF('POINTAGE'!$BF$5&lt;&gt;"",--('POINTAGE'!BF148="Présent"),0),IF('POINTAGE'!$BH$5&lt;&gt;"",--('POINTAGE'!BH148="Présent"),0),IF('POINTAGE'!$BJ$5&lt;&gt;"",--('POINTAGE'!BJ148="Présent"),0),IF('POINTAGE'!$BL$5&lt;&gt;"",--('POINTAGE'!BL148="Présent"),0)))</f>
      </c>
      <c r="O148" s="22">
        <f>IF($A148="","",SUM(IF('POINTAGE'!$AH$5&lt;&gt;"",--('POINTAGE'!AH148="Absent"),0),IF('POINTAGE'!$AJ$5&lt;&gt;"",--('POINTAGE'!AJ148="Absent"),0),IF('POINTAGE'!$AL$5&lt;&gt;"",--('POINTAGE'!AL148="Absent"),0),IF('POINTAGE'!$AN$5&lt;&gt;"",--('POINTAGE'!AN148="Absent"),0),IF('POINTAGE'!$AP$5&lt;&gt;"",--('POINTAGE'!AP148="Absent"),0),IF('POINTAGE'!$AR$5&lt;&gt;"",--('POINTAGE'!AR148="Absent"),0),IF('POINTAGE'!$AT$5&lt;&gt;"",--('POINTAGE'!AT148="Absent"),0),IF('POINTAGE'!$AV$5&lt;&gt;"",--('POINTAGE'!AV148="Absent"),0),IF('POINTAGE'!$AX$5&lt;&gt;"",--('POINTAGE'!AX148="Absent"),0),IF('POINTAGE'!$AZ$5&lt;&gt;"",--('POINTAGE'!AZ148="Absent"),0),IF('POINTAGE'!$BB$5&lt;&gt;"",--('POINTAGE'!BB148="Absent"),0),IF('POINTAGE'!$BD$5&lt;&gt;"",--('POINTAGE'!BD148="Absent"),0),IF('POINTAGE'!$BF$5&lt;&gt;"",--('POINTAGE'!BF148="Absent"),0),IF('POINTAGE'!$BH$5&lt;&gt;"",--('POINTAGE'!BH148="Absent"),0),IF('POINTAGE'!$BJ$5&lt;&gt;"",--('POINTAGE'!BJ148="Absent"),0),IF('POINTAGE'!$BL$5&lt;&gt;"",--('POINTAGE'!BL148="Absent"),0)))</f>
      </c>
      <c r="P148" s="23">
        <f>IF($A148="","",SUM(IF('POINTAGE'!$AH$5&lt;&gt;"",IF('POINTAGE'!AH148="Présent",'POINTAGE'!AI148,0),0),IF('POINTAGE'!$AJ$5&lt;&gt;"",IF('POINTAGE'!AJ148="Présent",'POINTAGE'!AK148,0),0),IF('POINTAGE'!$AL$5&lt;&gt;"",IF('POINTAGE'!AL148="Présent",'POINTAGE'!AM148,0),0),IF('POINTAGE'!$AN$5&lt;&gt;"",IF('POINTAGE'!AN148="Présent",'POINTAGE'!AO148,0),0),IF('POINTAGE'!$AP$5&lt;&gt;"",IF('POINTAGE'!AP148="Présent",'POINTAGE'!AQ148,0),0),IF('POINTAGE'!$AR$5&lt;&gt;"",IF('POINTAGE'!AR148="Présent",'POINTAGE'!AS148,0),0),IF('POINTAGE'!$AT$5&lt;&gt;"",IF('POINTAGE'!AT148="Présent",'POINTAGE'!AU148,0),0),IF('POINTAGE'!$AV$5&lt;&gt;"",IF('POINTAGE'!AV148="Présent",'POINTAGE'!AW148,0),0),IF('POINTAGE'!$AX$5&lt;&gt;"",IF('POINTAGE'!AX148="Présent",'POINTAGE'!AY148,0),0),IF('POINTAGE'!$AZ$5&lt;&gt;"",IF('POINTAGE'!AZ148="Présent",'POINTAGE'!BA148,0),0),IF('POINTAGE'!$BB$5&lt;&gt;"",IF('POINTAGE'!BB148="Présent",'POINTAGE'!BC148,0),0),IF('POINTAGE'!$BD$5&lt;&gt;"",IF('POINTAGE'!BD148="Présent",'POINTAGE'!BE148,0),0),IF('POINTAGE'!$BF$5&lt;&gt;"",IF('POINTAGE'!BF148="Présent",'POINTAGE'!BG148,0),0),IF('POINTAGE'!$BH$5&lt;&gt;"",IF('POINTAGE'!BH148="Présent",'POINTAGE'!BI148,0),0),IF('POINTAGE'!$BJ$5&lt;&gt;"",IF('POINTAGE'!BJ148="Présent",'POINTAGE'!BK148,0),0),IF('POINTAGE'!$BL$5&lt;&gt;"",IF('POINTAGE'!BL148="Présent",'POINTAGE'!BM148,0),0)))</f>
      </c>
      <c r="Q148" s="24">
        <f>IF($A148="","",$N148*$D148)</f>
      </c>
      <c r="R148" s="24">
        <f>IF($A148="","",$P148*$E148)</f>
      </c>
      <c r="S148" s="25">
        <f>IF($A148="","",$Q148+$R148)</f>
      </c>
      <c r="T148" s="18"/>
      <c r="U148" s="25">
        <f>IF($A148="","",MAX(0,$S148-$T148))</f>
      </c>
      <c r="V148" s="25">
        <f>IF($A148="","",$K148+$S148)</f>
      </c>
      <c r="W148" s="24">
        <f>IF($A148="","",$L148+$T148)</f>
      </c>
      <c r="X148" s="25">
        <f>IF($A148="","",$M148+$U148)</f>
      </c>
      <c r="Y148" s="29">
        <f>IF($A148="","",$J148+$R148)</f>
      </c>
    </row>
    <row r="149">
      <c r="A149" s="20">
        <f>IF('POINTAGE'!A149="","",'POINTAGE'!A149)</f>
      </c>
      <c r="B149" s="19">
        <f>IF($A149="","",'POINTAGE'!B149)</f>
      </c>
      <c r="C149" s="20">
        <f>IF($A149="","",'POINTAGE'!C149)</f>
      </c>
      <c r="D149" s="24">
        <f>IF($A149="","",IFERROR(INDEX(Categories_Salaire,MATCH($C149,ListeCategories,0)),0))</f>
      </c>
      <c r="E149" s="24">
        <f>IF($A149="","",IF(IFERROR(INDEX(Categories_TauxHS,MATCH($C149,ListeCategories,0)),0)&gt;0,IFERROR(INDEX(Categories_TauxHS,MATCH($C149,ListeCategories,0)),0),TauxHSDefaut))</f>
      </c>
      <c r="F149" s="22">
        <f>IF($A149="","",SUM(IF('POINTAGE'!$D$5&lt;&gt;"",--('POINTAGE'!D149="Présent"),0),IF('POINTAGE'!$F$5&lt;&gt;"",--('POINTAGE'!F149="Présent"),0),IF('POINTAGE'!$H$5&lt;&gt;"",--('POINTAGE'!H149="Présent"),0),IF('POINTAGE'!$J$5&lt;&gt;"",--('POINTAGE'!J149="Présent"),0),IF('POINTAGE'!$L$5&lt;&gt;"",--('POINTAGE'!L149="Présent"),0),IF('POINTAGE'!$N$5&lt;&gt;"",--('POINTAGE'!N149="Présent"),0),IF('POINTAGE'!$P$5&lt;&gt;"",--('POINTAGE'!P149="Présent"),0),IF('POINTAGE'!$R$5&lt;&gt;"",--('POINTAGE'!R149="Présent"),0),IF('POINTAGE'!$T$5&lt;&gt;"",--('POINTAGE'!T149="Présent"),0),IF('POINTAGE'!$V$5&lt;&gt;"",--('POINTAGE'!V149="Présent"),0),IF('POINTAGE'!$X$5&lt;&gt;"",--('POINTAGE'!X149="Présent"),0),IF('POINTAGE'!$Z$5&lt;&gt;"",--('POINTAGE'!Z149="Présent"),0),IF('POINTAGE'!$AB$5&lt;&gt;"",--('POINTAGE'!AB149="Présent"),0),IF('POINTAGE'!$AD$5&lt;&gt;"",--('POINTAGE'!AD149="Présent"),0),IF('POINTAGE'!$AF$5&lt;&gt;"",--('POINTAGE'!AF149="Présent"),0)))</f>
      </c>
      <c r="G149" s="22">
        <f>IF($A149="","",SUM(IF('POINTAGE'!$D$5&lt;&gt;"",--('POINTAGE'!D149="Absent"),0),IF('POINTAGE'!$F$5&lt;&gt;"",--('POINTAGE'!F149="Absent"),0),IF('POINTAGE'!$H$5&lt;&gt;"",--('POINTAGE'!H149="Absent"),0),IF('POINTAGE'!$J$5&lt;&gt;"",--('POINTAGE'!J149="Absent"),0),IF('POINTAGE'!$L$5&lt;&gt;"",--('POINTAGE'!L149="Absent"),0),IF('POINTAGE'!$N$5&lt;&gt;"",--('POINTAGE'!N149="Absent"),0),IF('POINTAGE'!$P$5&lt;&gt;"",--('POINTAGE'!P149="Absent"),0),IF('POINTAGE'!$R$5&lt;&gt;"",--('POINTAGE'!R149="Absent"),0),IF('POINTAGE'!$T$5&lt;&gt;"",--('POINTAGE'!T149="Absent"),0),IF('POINTAGE'!$V$5&lt;&gt;"",--('POINTAGE'!V149="Absent"),0),IF('POINTAGE'!$X$5&lt;&gt;"",--('POINTAGE'!X149="Absent"),0),IF('POINTAGE'!$Z$5&lt;&gt;"",--('POINTAGE'!Z149="Absent"),0),IF('POINTAGE'!$AB$5&lt;&gt;"",--('POINTAGE'!AB149="Absent"),0),IF('POINTAGE'!$AD$5&lt;&gt;"",--('POINTAGE'!AD149="Absent"),0),IF('POINTAGE'!$AF$5&lt;&gt;"",--('POINTAGE'!AF149="Absent"),0)))</f>
      </c>
      <c r="H149" s="23">
        <f>IF($A149="","",SUM(IF('POINTAGE'!$D$5&lt;&gt;"",IF('POINTAGE'!D149="Présent",'POINTAGE'!E149,0),0),IF('POINTAGE'!$F$5&lt;&gt;"",IF('POINTAGE'!F149="Présent",'POINTAGE'!G149,0),0),IF('POINTAGE'!$H$5&lt;&gt;"",IF('POINTAGE'!H149="Présent",'POINTAGE'!I149,0),0),IF('POINTAGE'!$J$5&lt;&gt;"",IF('POINTAGE'!J149="Présent",'POINTAGE'!K149,0),0),IF('POINTAGE'!$L$5&lt;&gt;"",IF('POINTAGE'!L149="Présent",'POINTAGE'!M149,0),0),IF('POINTAGE'!$N$5&lt;&gt;"",IF('POINTAGE'!N149="Présent",'POINTAGE'!O149,0),0),IF('POINTAGE'!$P$5&lt;&gt;"",IF('POINTAGE'!P149="Présent",'POINTAGE'!Q149,0),0),IF('POINTAGE'!$R$5&lt;&gt;"",IF('POINTAGE'!R149="Présent",'POINTAGE'!S149,0),0),IF('POINTAGE'!$T$5&lt;&gt;"",IF('POINTAGE'!T149="Présent",'POINTAGE'!U149,0),0),IF('POINTAGE'!$V$5&lt;&gt;"",IF('POINTAGE'!V149="Présent",'POINTAGE'!W149,0),0),IF('POINTAGE'!$X$5&lt;&gt;"",IF('POINTAGE'!X149="Présent",'POINTAGE'!Y149,0),0),IF('POINTAGE'!$Z$5&lt;&gt;"",IF('POINTAGE'!Z149="Présent",'POINTAGE'!AA149,0),0),IF('POINTAGE'!$AB$5&lt;&gt;"",IF('POINTAGE'!AB149="Présent",'POINTAGE'!AC149,0),0),IF('POINTAGE'!$AD$5&lt;&gt;"",IF('POINTAGE'!AD149="Présent",'POINTAGE'!AE149,0),0),IF('POINTAGE'!$AF$5&lt;&gt;"",IF('POINTAGE'!AF149="Présent",'POINTAGE'!AG149,0),0)))</f>
      </c>
      <c r="I149" s="24">
        <f>IF($A149="","",$F149*$D149)</f>
      </c>
      <c r="J149" s="24">
        <f>IF($A149="","",$H149*$E149)</f>
      </c>
      <c r="K149" s="25">
        <f>IF($A149="","",$I149+$J149)</f>
      </c>
      <c r="L149" s="18"/>
      <c r="M149" s="25">
        <f>IF($A149="","",MAX(0,$K149-$L149))</f>
      </c>
      <c r="N149" s="22">
        <f>IF($A149="","",SUM(IF('POINTAGE'!$AH$5&lt;&gt;"",--('POINTAGE'!AH149="Présent"),0),IF('POINTAGE'!$AJ$5&lt;&gt;"",--('POINTAGE'!AJ149="Présent"),0),IF('POINTAGE'!$AL$5&lt;&gt;"",--('POINTAGE'!AL149="Présent"),0),IF('POINTAGE'!$AN$5&lt;&gt;"",--('POINTAGE'!AN149="Présent"),0),IF('POINTAGE'!$AP$5&lt;&gt;"",--('POINTAGE'!AP149="Présent"),0),IF('POINTAGE'!$AR$5&lt;&gt;"",--('POINTAGE'!AR149="Présent"),0),IF('POINTAGE'!$AT$5&lt;&gt;"",--('POINTAGE'!AT149="Présent"),0),IF('POINTAGE'!$AV$5&lt;&gt;"",--('POINTAGE'!AV149="Présent"),0),IF('POINTAGE'!$AX$5&lt;&gt;"",--('POINTAGE'!AX149="Présent"),0),IF('POINTAGE'!$AZ$5&lt;&gt;"",--('POINTAGE'!AZ149="Présent"),0),IF('POINTAGE'!$BB$5&lt;&gt;"",--('POINTAGE'!BB149="Présent"),0),IF('POINTAGE'!$BD$5&lt;&gt;"",--('POINTAGE'!BD149="Présent"),0),IF('POINTAGE'!$BF$5&lt;&gt;"",--('POINTAGE'!BF149="Présent"),0),IF('POINTAGE'!$BH$5&lt;&gt;"",--('POINTAGE'!BH149="Présent"),0),IF('POINTAGE'!$BJ$5&lt;&gt;"",--('POINTAGE'!BJ149="Présent"),0),IF('POINTAGE'!$BL$5&lt;&gt;"",--('POINTAGE'!BL149="Présent"),0)))</f>
      </c>
      <c r="O149" s="22">
        <f>IF($A149="","",SUM(IF('POINTAGE'!$AH$5&lt;&gt;"",--('POINTAGE'!AH149="Absent"),0),IF('POINTAGE'!$AJ$5&lt;&gt;"",--('POINTAGE'!AJ149="Absent"),0),IF('POINTAGE'!$AL$5&lt;&gt;"",--('POINTAGE'!AL149="Absent"),0),IF('POINTAGE'!$AN$5&lt;&gt;"",--('POINTAGE'!AN149="Absent"),0),IF('POINTAGE'!$AP$5&lt;&gt;"",--('POINTAGE'!AP149="Absent"),0),IF('POINTAGE'!$AR$5&lt;&gt;"",--('POINTAGE'!AR149="Absent"),0),IF('POINTAGE'!$AT$5&lt;&gt;"",--('POINTAGE'!AT149="Absent"),0),IF('POINTAGE'!$AV$5&lt;&gt;"",--('POINTAGE'!AV149="Absent"),0),IF('POINTAGE'!$AX$5&lt;&gt;"",--('POINTAGE'!AX149="Absent"),0),IF('POINTAGE'!$AZ$5&lt;&gt;"",--('POINTAGE'!AZ149="Absent"),0),IF('POINTAGE'!$BB$5&lt;&gt;"",--('POINTAGE'!BB149="Absent"),0),IF('POINTAGE'!$BD$5&lt;&gt;"",--('POINTAGE'!BD149="Absent"),0),IF('POINTAGE'!$BF$5&lt;&gt;"",--('POINTAGE'!BF149="Absent"),0),IF('POINTAGE'!$BH$5&lt;&gt;"",--('POINTAGE'!BH149="Absent"),0),IF('POINTAGE'!$BJ$5&lt;&gt;"",--('POINTAGE'!BJ149="Absent"),0),IF('POINTAGE'!$BL$5&lt;&gt;"",--('POINTAGE'!BL149="Absent"),0)))</f>
      </c>
      <c r="P149" s="23">
        <f>IF($A149="","",SUM(IF('POINTAGE'!$AH$5&lt;&gt;"",IF('POINTAGE'!AH149="Présent",'POINTAGE'!AI149,0),0),IF('POINTAGE'!$AJ$5&lt;&gt;"",IF('POINTAGE'!AJ149="Présent",'POINTAGE'!AK149,0),0),IF('POINTAGE'!$AL$5&lt;&gt;"",IF('POINTAGE'!AL149="Présent",'POINTAGE'!AM149,0),0),IF('POINTAGE'!$AN$5&lt;&gt;"",IF('POINTAGE'!AN149="Présent",'POINTAGE'!AO149,0),0),IF('POINTAGE'!$AP$5&lt;&gt;"",IF('POINTAGE'!AP149="Présent",'POINTAGE'!AQ149,0),0),IF('POINTAGE'!$AR$5&lt;&gt;"",IF('POINTAGE'!AR149="Présent",'POINTAGE'!AS149,0),0),IF('POINTAGE'!$AT$5&lt;&gt;"",IF('POINTAGE'!AT149="Présent",'POINTAGE'!AU149,0),0),IF('POINTAGE'!$AV$5&lt;&gt;"",IF('POINTAGE'!AV149="Présent",'POINTAGE'!AW149,0),0),IF('POINTAGE'!$AX$5&lt;&gt;"",IF('POINTAGE'!AX149="Présent",'POINTAGE'!AY149,0),0),IF('POINTAGE'!$AZ$5&lt;&gt;"",IF('POINTAGE'!AZ149="Présent",'POINTAGE'!BA149,0),0),IF('POINTAGE'!$BB$5&lt;&gt;"",IF('POINTAGE'!BB149="Présent",'POINTAGE'!BC149,0),0),IF('POINTAGE'!$BD$5&lt;&gt;"",IF('POINTAGE'!BD149="Présent",'POINTAGE'!BE149,0),0),IF('POINTAGE'!$BF$5&lt;&gt;"",IF('POINTAGE'!BF149="Présent",'POINTAGE'!BG149,0),0),IF('POINTAGE'!$BH$5&lt;&gt;"",IF('POINTAGE'!BH149="Présent",'POINTAGE'!BI149,0),0),IF('POINTAGE'!$BJ$5&lt;&gt;"",IF('POINTAGE'!BJ149="Présent",'POINTAGE'!BK149,0),0),IF('POINTAGE'!$BL$5&lt;&gt;"",IF('POINTAGE'!BL149="Présent",'POINTAGE'!BM149,0),0)))</f>
      </c>
      <c r="Q149" s="24">
        <f>IF($A149="","",$N149*$D149)</f>
      </c>
      <c r="R149" s="24">
        <f>IF($A149="","",$P149*$E149)</f>
      </c>
      <c r="S149" s="25">
        <f>IF($A149="","",$Q149+$R149)</f>
      </c>
      <c r="T149" s="18"/>
      <c r="U149" s="25">
        <f>IF($A149="","",MAX(0,$S149-$T149))</f>
      </c>
      <c r="V149" s="25">
        <f>IF($A149="","",$K149+$S149)</f>
      </c>
      <c r="W149" s="24">
        <f>IF($A149="","",$L149+$T149)</f>
      </c>
      <c r="X149" s="25">
        <f>IF($A149="","",$M149+$U149)</f>
      </c>
      <c r="Y149" s="29">
        <f>IF($A149="","",$J149+$R149)</f>
      </c>
    </row>
    <row r="150">
      <c r="A150" s="20">
        <f>IF('POINTAGE'!A150="","",'POINTAGE'!A150)</f>
      </c>
      <c r="B150" s="19">
        <f>IF($A150="","",'POINTAGE'!B150)</f>
      </c>
      <c r="C150" s="20">
        <f>IF($A150="","",'POINTAGE'!C150)</f>
      </c>
      <c r="D150" s="24">
        <f>IF($A150="","",IFERROR(INDEX(Categories_Salaire,MATCH($C150,ListeCategories,0)),0))</f>
      </c>
      <c r="E150" s="24">
        <f>IF($A150="","",IF(IFERROR(INDEX(Categories_TauxHS,MATCH($C150,ListeCategories,0)),0)&gt;0,IFERROR(INDEX(Categories_TauxHS,MATCH($C150,ListeCategories,0)),0),TauxHSDefaut))</f>
      </c>
      <c r="F150" s="22">
        <f>IF($A150="","",SUM(IF('POINTAGE'!$D$5&lt;&gt;"",--('POINTAGE'!D150="Présent"),0),IF('POINTAGE'!$F$5&lt;&gt;"",--('POINTAGE'!F150="Présent"),0),IF('POINTAGE'!$H$5&lt;&gt;"",--('POINTAGE'!H150="Présent"),0),IF('POINTAGE'!$J$5&lt;&gt;"",--('POINTAGE'!J150="Présent"),0),IF('POINTAGE'!$L$5&lt;&gt;"",--('POINTAGE'!L150="Présent"),0),IF('POINTAGE'!$N$5&lt;&gt;"",--('POINTAGE'!N150="Présent"),0),IF('POINTAGE'!$P$5&lt;&gt;"",--('POINTAGE'!P150="Présent"),0),IF('POINTAGE'!$R$5&lt;&gt;"",--('POINTAGE'!R150="Présent"),0),IF('POINTAGE'!$T$5&lt;&gt;"",--('POINTAGE'!T150="Présent"),0),IF('POINTAGE'!$V$5&lt;&gt;"",--('POINTAGE'!V150="Présent"),0),IF('POINTAGE'!$X$5&lt;&gt;"",--('POINTAGE'!X150="Présent"),0),IF('POINTAGE'!$Z$5&lt;&gt;"",--('POINTAGE'!Z150="Présent"),0),IF('POINTAGE'!$AB$5&lt;&gt;"",--('POINTAGE'!AB150="Présent"),0),IF('POINTAGE'!$AD$5&lt;&gt;"",--('POINTAGE'!AD150="Présent"),0),IF('POINTAGE'!$AF$5&lt;&gt;"",--('POINTAGE'!AF150="Présent"),0)))</f>
      </c>
      <c r="G150" s="22">
        <f>IF($A150="","",SUM(IF('POINTAGE'!$D$5&lt;&gt;"",--('POINTAGE'!D150="Absent"),0),IF('POINTAGE'!$F$5&lt;&gt;"",--('POINTAGE'!F150="Absent"),0),IF('POINTAGE'!$H$5&lt;&gt;"",--('POINTAGE'!H150="Absent"),0),IF('POINTAGE'!$J$5&lt;&gt;"",--('POINTAGE'!J150="Absent"),0),IF('POINTAGE'!$L$5&lt;&gt;"",--('POINTAGE'!L150="Absent"),0),IF('POINTAGE'!$N$5&lt;&gt;"",--('POINTAGE'!N150="Absent"),0),IF('POINTAGE'!$P$5&lt;&gt;"",--('POINTAGE'!P150="Absent"),0),IF('POINTAGE'!$R$5&lt;&gt;"",--('POINTAGE'!R150="Absent"),0),IF('POINTAGE'!$T$5&lt;&gt;"",--('POINTAGE'!T150="Absent"),0),IF('POINTAGE'!$V$5&lt;&gt;"",--('POINTAGE'!V150="Absent"),0),IF('POINTAGE'!$X$5&lt;&gt;"",--('POINTAGE'!X150="Absent"),0),IF('POINTAGE'!$Z$5&lt;&gt;"",--('POINTAGE'!Z150="Absent"),0),IF('POINTAGE'!$AB$5&lt;&gt;"",--('POINTAGE'!AB150="Absent"),0),IF('POINTAGE'!$AD$5&lt;&gt;"",--('POINTAGE'!AD150="Absent"),0),IF('POINTAGE'!$AF$5&lt;&gt;"",--('POINTAGE'!AF150="Absent"),0)))</f>
      </c>
      <c r="H150" s="23">
        <f>IF($A150="","",SUM(IF('POINTAGE'!$D$5&lt;&gt;"",IF('POINTAGE'!D150="Présent",'POINTAGE'!E150,0),0),IF('POINTAGE'!$F$5&lt;&gt;"",IF('POINTAGE'!F150="Présent",'POINTAGE'!G150,0),0),IF('POINTAGE'!$H$5&lt;&gt;"",IF('POINTAGE'!H150="Présent",'POINTAGE'!I150,0),0),IF('POINTAGE'!$J$5&lt;&gt;"",IF('POINTAGE'!J150="Présent",'POINTAGE'!K150,0),0),IF('POINTAGE'!$L$5&lt;&gt;"",IF('POINTAGE'!L150="Présent",'POINTAGE'!M150,0),0),IF('POINTAGE'!$N$5&lt;&gt;"",IF('POINTAGE'!N150="Présent",'POINTAGE'!O150,0),0),IF('POINTAGE'!$P$5&lt;&gt;"",IF('POINTAGE'!P150="Présent",'POINTAGE'!Q150,0),0),IF('POINTAGE'!$R$5&lt;&gt;"",IF('POINTAGE'!R150="Présent",'POINTAGE'!S150,0),0),IF('POINTAGE'!$T$5&lt;&gt;"",IF('POINTAGE'!T150="Présent",'POINTAGE'!U150,0),0),IF('POINTAGE'!$V$5&lt;&gt;"",IF('POINTAGE'!V150="Présent",'POINTAGE'!W150,0),0),IF('POINTAGE'!$X$5&lt;&gt;"",IF('POINTAGE'!X150="Présent",'POINTAGE'!Y150,0),0),IF('POINTAGE'!$Z$5&lt;&gt;"",IF('POINTAGE'!Z150="Présent",'POINTAGE'!AA150,0),0),IF('POINTAGE'!$AB$5&lt;&gt;"",IF('POINTAGE'!AB150="Présent",'POINTAGE'!AC150,0),0),IF('POINTAGE'!$AD$5&lt;&gt;"",IF('POINTAGE'!AD150="Présent",'POINTAGE'!AE150,0),0),IF('POINTAGE'!$AF$5&lt;&gt;"",IF('POINTAGE'!AF150="Présent",'POINTAGE'!AG150,0),0)))</f>
      </c>
      <c r="I150" s="24">
        <f>IF($A150="","",$F150*$D150)</f>
      </c>
      <c r="J150" s="24">
        <f>IF($A150="","",$H150*$E150)</f>
      </c>
      <c r="K150" s="25">
        <f>IF($A150="","",$I150+$J150)</f>
      </c>
      <c r="L150" s="18"/>
      <c r="M150" s="25">
        <f>IF($A150="","",MAX(0,$K150-$L150))</f>
      </c>
      <c r="N150" s="22">
        <f>IF($A150="","",SUM(IF('POINTAGE'!$AH$5&lt;&gt;"",--('POINTAGE'!AH150="Présent"),0),IF('POINTAGE'!$AJ$5&lt;&gt;"",--('POINTAGE'!AJ150="Présent"),0),IF('POINTAGE'!$AL$5&lt;&gt;"",--('POINTAGE'!AL150="Présent"),0),IF('POINTAGE'!$AN$5&lt;&gt;"",--('POINTAGE'!AN150="Présent"),0),IF('POINTAGE'!$AP$5&lt;&gt;"",--('POINTAGE'!AP150="Présent"),0),IF('POINTAGE'!$AR$5&lt;&gt;"",--('POINTAGE'!AR150="Présent"),0),IF('POINTAGE'!$AT$5&lt;&gt;"",--('POINTAGE'!AT150="Présent"),0),IF('POINTAGE'!$AV$5&lt;&gt;"",--('POINTAGE'!AV150="Présent"),0),IF('POINTAGE'!$AX$5&lt;&gt;"",--('POINTAGE'!AX150="Présent"),0),IF('POINTAGE'!$AZ$5&lt;&gt;"",--('POINTAGE'!AZ150="Présent"),0),IF('POINTAGE'!$BB$5&lt;&gt;"",--('POINTAGE'!BB150="Présent"),0),IF('POINTAGE'!$BD$5&lt;&gt;"",--('POINTAGE'!BD150="Présent"),0),IF('POINTAGE'!$BF$5&lt;&gt;"",--('POINTAGE'!BF150="Présent"),0),IF('POINTAGE'!$BH$5&lt;&gt;"",--('POINTAGE'!BH150="Présent"),0),IF('POINTAGE'!$BJ$5&lt;&gt;"",--('POINTAGE'!BJ150="Présent"),0),IF('POINTAGE'!$BL$5&lt;&gt;"",--('POINTAGE'!BL150="Présent"),0)))</f>
      </c>
      <c r="O150" s="22">
        <f>IF($A150="","",SUM(IF('POINTAGE'!$AH$5&lt;&gt;"",--('POINTAGE'!AH150="Absent"),0),IF('POINTAGE'!$AJ$5&lt;&gt;"",--('POINTAGE'!AJ150="Absent"),0),IF('POINTAGE'!$AL$5&lt;&gt;"",--('POINTAGE'!AL150="Absent"),0),IF('POINTAGE'!$AN$5&lt;&gt;"",--('POINTAGE'!AN150="Absent"),0),IF('POINTAGE'!$AP$5&lt;&gt;"",--('POINTAGE'!AP150="Absent"),0),IF('POINTAGE'!$AR$5&lt;&gt;"",--('POINTAGE'!AR150="Absent"),0),IF('POINTAGE'!$AT$5&lt;&gt;"",--('POINTAGE'!AT150="Absent"),0),IF('POINTAGE'!$AV$5&lt;&gt;"",--('POINTAGE'!AV150="Absent"),0),IF('POINTAGE'!$AX$5&lt;&gt;"",--('POINTAGE'!AX150="Absent"),0),IF('POINTAGE'!$AZ$5&lt;&gt;"",--('POINTAGE'!AZ150="Absent"),0),IF('POINTAGE'!$BB$5&lt;&gt;"",--('POINTAGE'!BB150="Absent"),0),IF('POINTAGE'!$BD$5&lt;&gt;"",--('POINTAGE'!BD150="Absent"),0),IF('POINTAGE'!$BF$5&lt;&gt;"",--('POINTAGE'!BF150="Absent"),0),IF('POINTAGE'!$BH$5&lt;&gt;"",--('POINTAGE'!BH150="Absent"),0),IF('POINTAGE'!$BJ$5&lt;&gt;"",--('POINTAGE'!BJ150="Absent"),0),IF('POINTAGE'!$BL$5&lt;&gt;"",--('POINTAGE'!BL150="Absent"),0)))</f>
      </c>
      <c r="P150" s="23">
        <f>IF($A150="","",SUM(IF('POINTAGE'!$AH$5&lt;&gt;"",IF('POINTAGE'!AH150="Présent",'POINTAGE'!AI150,0),0),IF('POINTAGE'!$AJ$5&lt;&gt;"",IF('POINTAGE'!AJ150="Présent",'POINTAGE'!AK150,0),0),IF('POINTAGE'!$AL$5&lt;&gt;"",IF('POINTAGE'!AL150="Présent",'POINTAGE'!AM150,0),0),IF('POINTAGE'!$AN$5&lt;&gt;"",IF('POINTAGE'!AN150="Présent",'POINTAGE'!AO150,0),0),IF('POINTAGE'!$AP$5&lt;&gt;"",IF('POINTAGE'!AP150="Présent",'POINTAGE'!AQ150,0),0),IF('POINTAGE'!$AR$5&lt;&gt;"",IF('POINTAGE'!AR150="Présent",'POINTAGE'!AS150,0),0),IF('POINTAGE'!$AT$5&lt;&gt;"",IF('POINTAGE'!AT150="Présent",'POINTAGE'!AU150,0),0),IF('POINTAGE'!$AV$5&lt;&gt;"",IF('POINTAGE'!AV150="Présent",'POINTAGE'!AW150,0),0),IF('POINTAGE'!$AX$5&lt;&gt;"",IF('POINTAGE'!AX150="Présent",'POINTAGE'!AY150,0),0),IF('POINTAGE'!$AZ$5&lt;&gt;"",IF('POINTAGE'!AZ150="Présent",'POINTAGE'!BA150,0),0),IF('POINTAGE'!$BB$5&lt;&gt;"",IF('POINTAGE'!BB150="Présent",'POINTAGE'!BC150,0),0),IF('POINTAGE'!$BD$5&lt;&gt;"",IF('POINTAGE'!BD150="Présent",'POINTAGE'!BE150,0),0),IF('POINTAGE'!$BF$5&lt;&gt;"",IF('POINTAGE'!BF150="Présent",'POINTAGE'!BG150,0),0),IF('POINTAGE'!$BH$5&lt;&gt;"",IF('POINTAGE'!BH150="Présent",'POINTAGE'!BI150,0),0),IF('POINTAGE'!$BJ$5&lt;&gt;"",IF('POINTAGE'!BJ150="Présent",'POINTAGE'!BK150,0),0),IF('POINTAGE'!$BL$5&lt;&gt;"",IF('POINTAGE'!BL150="Présent",'POINTAGE'!BM150,0),0)))</f>
      </c>
      <c r="Q150" s="24">
        <f>IF($A150="","",$N150*$D150)</f>
      </c>
      <c r="R150" s="24">
        <f>IF($A150="","",$P150*$E150)</f>
      </c>
      <c r="S150" s="25">
        <f>IF($A150="","",$Q150+$R150)</f>
      </c>
      <c r="T150" s="18"/>
      <c r="U150" s="25">
        <f>IF($A150="","",MAX(0,$S150-$T150))</f>
      </c>
      <c r="V150" s="25">
        <f>IF($A150="","",$K150+$S150)</f>
      </c>
      <c r="W150" s="24">
        <f>IF($A150="","",$L150+$T150)</f>
      </c>
      <c r="X150" s="25">
        <f>IF($A150="","",$M150+$U150)</f>
      </c>
      <c r="Y150" s="29">
        <f>IF($A150="","",$J150+$R150)</f>
      </c>
    </row>
    <row r="151">
      <c r="A151" s="20">
        <f>IF('POINTAGE'!A151="","",'POINTAGE'!A151)</f>
      </c>
      <c r="B151" s="19">
        <f>IF($A151="","",'POINTAGE'!B151)</f>
      </c>
      <c r="C151" s="20">
        <f>IF($A151="","",'POINTAGE'!C151)</f>
      </c>
      <c r="D151" s="24">
        <f>IF($A151="","",IFERROR(INDEX(Categories_Salaire,MATCH($C151,ListeCategories,0)),0))</f>
      </c>
      <c r="E151" s="24">
        <f>IF($A151="","",IF(IFERROR(INDEX(Categories_TauxHS,MATCH($C151,ListeCategories,0)),0)&gt;0,IFERROR(INDEX(Categories_TauxHS,MATCH($C151,ListeCategories,0)),0),TauxHSDefaut))</f>
      </c>
      <c r="F151" s="22">
        <f>IF($A151="","",SUM(IF('POINTAGE'!$D$5&lt;&gt;"",--('POINTAGE'!D151="Présent"),0),IF('POINTAGE'!$F$5&lt;&gt;"",--('POINTAGE'!F151="Présent"),0),IF('POINTAGE'!$H$5&lt;&gt;"",--('POINTAGE'!H151="Présent"),0),IF('POINTAGE'!$J$5&lt;&gt;"",--('POINTAGE'!J151="Présent"),0),IF('POINTAGE'!$L$5&lt;&gt;"",--('POINTAGE'!L151="Présent"),0),IF('POINTAGE'!$N$5&lt;&gt;"",--('POINTAGE'!N151="Présent"),0),IF('POINTAGE'!$P$5&lt;&gt;"",--('POINTAGE'!P151="Présent"),0),IF('POINTAGE'!$R$5&lt;&gt;"",--('POINTAGE'!R151="Présent"),0),IF('POINTAGE'!$T$5&lt;&gt;"",--('POINTAGE'!T151="Présent"),0),IF('POINTAGE'!$V$5&lt;&gt;"",--('POINTAGE'!V151="Présent"),0),IF('POINTAGE'!$X$5&lt;&gt;"",--('POINTAGE'!X151="Présent"),0),IF('POINTAGE'!$Z$5&lt;&gt;"",--('POINTAGE'!Z151="Présent"),0),IF('POINTAGE'!$AB$5&lt;&gt;"",--('POINTAGE'!AB151="Présent"),0),IF('POINTAGE'!$AD$5&lt;&gt;"",--('POINTAGE'!AD151="Présent"),0),IF('POINTAGE'!$AF$5&lt;&gt;"",--('POINTAGE'!AF151="Présent"),0)))</f>
      </c>
      <c r="G151" s="22">
        <f>IF($A151="","",SUM(IF('POINTAGE'!$D$5&lt;&gt;"",--('POINTAGE'!D151="Absent"),0),IF('POINTAGE'!$F$5&lt;&gt;"",--('POINTAGE'!F151="Absent"),0),IF('POINTAGE'!$H$5&lt;&gt;"",--('POINTAGE'!H151="Absent"),0),IF('POINTAGE'!$J$5&lt;&gt;"",--('POINTAGE'!J151="Absent"),0),IF('POINTAGE'!$L$5&lt;&gt;"",--('POINTAGE'!L151="Absent"),0),IF('POINTAGE'!$N$5&lt;&gt;"",--('POINTAGE'!N151="Absent"),0),IF('POINTAGE'!$P$5&lt;&gt;"",--('POINTAGE'!P151="Absent"),0),IF('POINTAGE'!$R$5&lt;&gt;"",--('POINTAGE'!R151="Absent"),0),IF('POINTAGE'!$T$5&lt;&gt;"",--('POINTAGE'!T151="Absent"),0),IF('POINTAGE'!$V$5&lt;&gt;"",--('POINTAGE'!V151="Absent"),0),IF('POINTAGE'!$X$5&lt;&gt;"",--('POINTAGE'!X151="Absent"),0),IF('POINTAGE'!$Z$5&lt;&gt;"",--('POINTAGE'!Z151="Absent"),0),IF('POINTAGE'!$AB$5&lt;&gt;"",--('POINTAGE'!AB151="Absent"),0),IF('POINTAGE'!$AD$5&lt;&gt;"",--('POINTAGE'!AD151="Absent"),0),IF('POINTAGE'!$AF$5&lt;&gt;"",--('POINTAGE'!AF151="Absent"),0)))</f>
      </c>
      <c r="H151" s="23">
        <f>IF($A151="","",SUM(IF('POINTAGE'!$D$5&lt;&gt;"",IF('POINTAGE'!D151="Présent",'POINTAGE'!E151,0),0),IF('POINTAGE'!$F$5&lt;&gt;"",IF('POINTAGE'!F151="Présent",'POINTAGE'!G151,0),0),IF('POINTAGE'!$H$5&lt;&gt;"",IF('POINTAGE'!H151="Présent",'POINTAGE'!I151,0),0),IF('POINTAGE'!$J$5&lt;&gt;"",IF('POINTAGE'!J151="Présent",'POINTAGE'!K151,0),0),IF('POINTAGE'!$L$5&lt;&gt;"",IF('POINTAGE'!L151="Présent",'POINTAGE'!M151,0),0),IF('POINTAGE'!$N$5&lt;&gt;"",IF('POINTAGE'!N151="Présent",'POINTAGE'!O151,0),0),IF('POINTAGE'!$P$5&lt;&gt;"",IF('POINTAGE'!P151="Présent",'POINTAGE'!Q151,0),0),IF('POINTAGE'!$R$5&lt;&gt;"",IF('POINTAGE'!R151="Présent",'POINTAGE'!S151,0),0),IF('POINTAGE'!$T$5&lt;&gt;"",IF('POINTAGE'!T151="Présent",'POINTAGE'!U151,0),0),IF('POINTAGE'!$V$5&lt;&gt;"",IF('POINTAGE'!V151="Présent",'POINTAGE'!W151,0),0),IF('POINTAGE'!$X$5&lt;&gt;"",IF('POINTAGE'!X151="Présent",'POINTAGE'!Y151,0),0),IF('POINTAGE'!$Z$5&lt;&gt;"",IF('POINTAGE'!Z151="Présent",'POINTAGE'!AA151,0),0),IF('POINTAGE'!$AB$5&lt;&gt;"",IF('POINTAGE'!AB151="Présent",'POINTAGE'!AC151,0),0),IF('POINTAGE'!$AD$5&lt;&gt;"",IF('POINTAGE'!AD151="Présent",'POINTAGE'!AE151,0),0),IF('POINTAGE'!$AF$5&lt;&gt;"",IF('POINTAGE'!AF151="Présent",'POINTAGE'!AG151,0),0)))</f>
      </c>
      <c r="I151" s="24">
        <f>IF($A151="","",$F151*$D151)</f>
      </c>
      <c r="J151" s="24">
        <f>IF($A151="","",$H151*$E151)</f>
      </c>
      <c r="K151" s="25">
        <f>IF($A151="","",$I151+$J151)</f>
      </c>
      <c r="L151" s="18"/>
      <c r="M151" s="25">
        <f>IF($A151="","",MAX(0,$K151-$L151))</f>
      </c>
      <c r="N151" s="22">
        <f>IF($A151="","",SUM(IF('POINTAGE'!$AH$5&lt;&gt;"",--('POINTAGE'!AH151="Présent"),0),IF('POINTAGE'!$AJ$5&lt;&gt;"",--('POINTAGE'!AJ151="Présent"),0),IF('POINTAGE'!$AL$5&lt;&gt;"",--('POINTAGE'!AL151="Présent"),0),IF('POINTAGE'!$AN$5&lt;&gt;"",--('POINTAGE'!AN151="Présent"),0),IF('POINTAGE'!$AP$5&lt;&gt;"",--('POINTAGE'!AP151="Présent"),0),IF('POINTAGE'!$AR$5&lt;&gt;"",--('POINTAGE'!AR151="Présent"),0),IF('POINTAGE'!$AT$5&lt;&gt;"",--('POINTAGE'!AT151="Présent"),0),IF('POINTAGE'!$AV$5&lt;&gt;"",--('POINTAGE'!AV151="Présent"),0),IF('POINTAGE'!$AX$5&lt;&gt;"",--('POINTAGE'!AX151="Présent"),0),IF('POINTAGE'!$AZ$5&lt;&gt;"",--('POINTAGE'!AZ151="Présent"),0),IF('POINTAGE'!$BB$5&lt;&gt;"",--('POINTAGE'!BB151="Présent"),0),IF('POINTAGE'!$BD$5&lt;&gt;"",--('POINTAGE'!BD151="Présent"),0),IF('POINTAGE'!$BF$5&lt;&gt;"",--('POINTAGE'!BF151="Présent"),0),IF('POINTAGE'!$BH$5&lt;&gt;"",--('POINTAGE'!BH151="Présent"),0),IF('POINTAGE'!$BJ$5&lt;&gt;"",--('POINTAGE'!BJ151="Présent"),0),IF('POINTAGE'!$BL$5&lt;&gt;"",--('POINTAGE'!BL151="Présent"),0)))</f>
      </c>
      <c r="O151" s="22">
        <f>IF($A151="","",SUM(IF('POINTAGE'!$AH$5&lt;&gt;"",--('POINTAGE'!AH151="Absent"),0),IF('POINTAGE'!$AJ$5&lt;&gt;"",--('POINTAGE'!AJ151="Absent"),0),IF('POINTAGE'!$AL$5&lt;&gt;"",--('POINTAGE'!AL151="Absent"),0),IF('POINTAGE'!$AN$5&lt;&gt;"",--('POINTAGE'!AN151="Absent"),0),IF('POINTAGE'!$AP$5&lt;&gt;"",--('POINTAGE'!AP151="Absent"),0),IF('POINTAGE'!$AR$5&lt;&gt;"",--('POINTAGE'!AR151="Absent"),0),IF('POINTAGE'!$AT$5&lt;&gt;"",--('POINTAGE'!AT151="Absent"),0),IF('POINTAGE'!$AV$5&lt;&gt;"",--('POINTAGE'!AV151="Absent"),0),IF('POINTAGE'!$AX$5&lt;&gt;"",--('POINTAGE'!AX151="Absent"),0),IF('POINTAGE'!$AZ$5&lt;&gt;"",--('POINTAGE'!AZ151="Absent"),0),IF('POINTAGE'!$BB$5&lt;&gt;"",--('POINTAGE'!BB151="Absent"),0),IF('POINTAGE'!$BD$5&lt;&gt;"",--('POINTAGE'!BD151="Absent"),0),IF('POINTAGE'!$BF$5&lt;&gt;"",--('POINTAGE'!BF151="Absent"),0),IF('POINTAGE'!$BH$5&lt;&gt;"",--('POINTAGE'!BH151="Absent"),0),IF('POINTAGE'!$BJ$5&lt;&gt;"",--('POINTAGE'!BJ151="Absent"),0),IF('POINTAGE'!$BL$5&lt;&gt;"",--('POINTAGE'!BL151="Absent"),0)))</f>
      </c>
      <c r="P151" s="23">
        <f>IF($A151="","",SUM(IF('POINTAGE'!$AH$5&lt;&gt;"",IF('POINTAGE'!AH151="Présent",'POINTAGE'!AI151,0),0),IF('POINTAGE'!$AJ$5&lt;&gt;"",IF('POINTAGE'!AJ151="Présent",'POINTAGE'!AK151,0),0),IF('POINTAGE'!$AL$5&lt;&gt;"",IF('POINTAGE'!AL151="Présent",'POINTAGE'!AM151,0),0),IF('POINTAGE'!$AN$5&lt;&gt;"",IF('POINTAGE'!AN151="Présent",'POINTAGE'!AO151,0),0),IF('POINTAGE'!$AP$5&lt;&gt;"",IF('POINTAGE'!AP151="Présent",'POINTAGE'!AQ151,0),0),IF('POINTAGE'!$AR$5&lt;&gt;"",IF('POINTAGE'!AR151="Présent",'POINTAGE'!AS151,0),0),IF('POINTAGE'!$AT$5&lt;&gt;"",IF('POINTAGE'!AT151="Présent",'POINTAGE'!AU151,0),0),IF('POINTAGE'!$AV$5&lt;&gt;"",IF('POINTAGE'!AV151="Présent",'POINTAGE'!AW151,0),0),IF('POINTAGE'!$AX$5&lt;&gt;"",IF('POINTAGE'!AX151="Présent",'POINTAGE'!AY151,0),0),IF('POINTAGE'!$AZ$5&lt;&gt;"",IF('POINTAGE'!AZ151="Présent",'POINTAGE'!BA151,0),0),IF('POINTAGE'!$BB$5&lt;&gt;"",IF('POINTAGE'!BB151="Présent",'POINTAGE'!BC151,0),0),IF('POINTAGE'!$BD$5&lt;&gt;"",IF('POINTAGE'!BD151="Présent",'POINTAGE'!BE151,0),0),IF('POINTAGE'!$BF$5&lt;&gt;"",IF('POINTAGE'!BF151="Présent",'POINTAGE'!BG151,0),0),IF('POINTAGE'!$BH$5&lt;&gt;"",IF('POINTAGE'!BH151="Présent",'POINTAGE'!BI151,0),0),IF('POINTAGE'!$BJ$5&lt;&gt;"",IF('POINTAGE'!BJ151="Présent",'POINTAGE'!BK151,0),0),IF('POINTAGE'!$BL$5&lt;&gt;"",IF('POINTAGE'!BL151="Présent",'POINTAGE'!BM151,0),0)))</f>
      </c>
      <c r="Q151" s="24">
        <f>IF($A151="","",$N151*$D151)</f>
      </c>
      <c r="R151" s="24">
        <f>IF($A151="","",$P151*$E151)</f>
      </c>
      <c r="S151" s="25">
        <f>IF($A151="","",$Q151+$R151)</f>
      </c>
      <c r="T151" s="18"/>
      <c r="U151" s="25">
        <f>IF($A151="","",MAX(0,$S151-$T151))</f>
      </c>
      <c r="V151" s="25">
        <f>IF($A151="","",$K151+$S151)</f>
      </c>
      <c r="W151" s="24">
        <f>IF($A151="","",$L151+$T151)</f>
      </c>
      <c r="X151" s="25">
        <f>IF($A151="","",$M151+$U151)</f>
      </c>
      <c r="Y151" s="29">
        <f>IF($A151="","",$J151+$R151)</f>
      </c>
    </row>
    <row r="152">
      <c r="A152" s="20">
        <f>IF('POINTAGE'!A152="","",'POINTAGE'!A152)</f>
      </c>
      <c r="B152" s="19">
        <f>IF($A152="","",'POINTAGE'!B152)</f>
      </c>
      <c r="C152" s="20">
        <f>IF($A152="","",'POINTAGE'!C152)</f>
      </c>
      <c r="D152" s="24">
        <f>IF($A152="","",IFERROR(INDEX(Categories_Salaire,MATCH($C152,ListeCategories,0)),0))</f>
      </c>
      <c r="E152" s="24">
        <f>IF($A152="","",IF(IFERROR(INDEX(Categories_TauxHS,MATCH($C152,ListeCategories,0)),0)&gt;0,IFERROR(INDEX(Categories_TauxHS,MATCH($C152,ListeCategories,0)),0),TauxHSDefaut))</f>
      </c>
      <c r="F152" s="22">
        <f>IF($A152="","",SUM(IF('POINTAGE'!$D$5&lt;&gt;"",--('POINTAGE'!D152="Présent"),0),IF('POINTAGE'!$F$5&lt;&gt;"",--('POINTAGE'!F152="Présent"),0),IF('POINTAGE'!$H$5&lt;&gt;"",--('POINTAGE'!H152="Présent"),0),IF('POINTAGE'!$J$5&lt;&gt;"",--('POINTAGE'!J152="Présent"),0),IF('POINTAGE'!$L$5&lt;&gt;"",--('POINTAGE'!L152="Présent"),0),IF('POINTAGE'!$N$5&lt;&gt;"",--('POINTAGE'!N152="Présent"),0),IF('POINTAGE'!$P$5&lt;&gt;"",--('POINTAGE'!P152="Présent"),0),IF('POINTAGE'!$R$5&lt;&gt;"",--('POINTAGE'!R152="Présent"),0),IF('POINTAGE'!$T$5&lt;&gt;"",--('POINTAGE'!T152="Présent"),0),IF('POINTAGE'!$V$5&lt;&gt;"",--('POINTAGE'!V152="Présent"),0),IF('POINTAGE'!$X$5&lt;&gt;"",--('POINTAGE'!X152="Présent"),0),IF('POINTAGE'!$Z$5&lt;&gt;"",--('POINTAGE'!Z152="Présent"),0),IF('POINTAGE'!$AB$5&lt;&gt;"",--('POINTAGE'!AB152="Présent"),0),IF('POINTAGE'!$AD$5&lt;&gt;"",--('POINTAGE'!AD152="Présent"),0),IF('POINTAGE'!$AF$5&lt;&gt;"",--('POINTAGE'!AF152="Présent"),0)))</f>
      </c>
      <c r="G152" s="22">
        <f>IF($A152="","",SUM(IF('POINTAGE'!$D$5&lt;&gt;"",--('POINTAGE'!D152="Absent"),0),IF('POINTAGE'!$F$5&lt;&gt;"",--('POINTAGE'!F152="Absent"),0),IF('POINTAGE'!$H$5&lt;&gt;"",--('POINTAGE'!H152="Absent"),0),IF('POINTAGE'!$J$5&lt;&gt;"",--('POINTAGE'!J152="Absent"),0),IF('POINTAGE'!$L$5&lt;&gt;"",--('POINTAGE'!L152="Absent"),0),IF('POINTAGE'!$N$5&lt;&gt;"",--('POINTAGE'!N152="Absent"),0),IF('POINTAGE'!$P$5&lt;&gt;"",--('POINTAGE'!P152="Absent"),0),IF('POINTAGE'!$R$5&lt;&gt;"",--('POINTAGE'!R152="Absent"),0),IF('POINTAGE'!$T$5&lt;&gt;"",--('POINTAGE'!T152="Absent"),0),IF('POINTAGE'!$V$5&lt;&gt;"",--('POINTAGE'!V152="Absent"),0),IF('POINTAGE'!$X$5&lt;&gt;"",--('POINTAGE'!X152="Absent"),0),IF('POINTAGE'!$Z$5&lt;&gt;"",--('POINTAGE'!Z152="Absent"),0),IF('POINTAGE'!$AB$5&lt;&gt;"",--('POINTAGE'!AB152="Absent"),0),IF('POINTAGE'!$AD$5&lt;&gt;"",--('POINTAGE'!AD152="Absent"),0),IF('POINTAGE'!$AF$5&lt;&gt;"",--('POINTAGE'!AF152="Absent"),0)))</f>
      </c>
      <c r="H152" s="23">
        <f>IF($A152="","",SUM(IF('POINTAGE'!$D$5&lt;&gt;"",IF('POINTAGE'!D152="Présent",'POINTAGE'!E152,0),0),IF('POINTAGE'!$F$5&lt;&gt;"",IF('POINTAGE'!F152="Présent",'POINTAGE'!G152,0),0),IF('POINTAGE'!$H$5&lt;&gt;"",IF('POINTAGE'!H152="Présent",'POINTAGE'!I152,0),0),IF('POINTAGE'!$J$5&lt;&gt;"",IF('POINTAGE'!J152="Présent",'POINTAGE'!K152,0),0),IF('POINTAGE'!$L$5&lt;&gt;"",IF('POINTAGE'!L152="Présent",'POINTAGE'!M152,0),0),IF('POINTAGE'!$N$5&lt;&gt;"",IF('POINTAGE'!N152="Présent",'POINTAGE'!O152,0),0),IF('POINTAGE'!$P$5&lt;&gt;"",IF('POINTAGE'!P152="Présent",'POINTAGE'!Q152,0),0),IF('POINTAGE'!$R$5&lt;&gt;"",IF('POINTAGE'!R152="Présent",'POINTAGE'!S152,0),0),IF('POINTAGE'!$T$5&lt;&gt;"",IF('POINTAGE'!T152="Présent",'POINTAGE'!U152,0),0),IF('POINTAGE'!$V$5&lt;&gt;"",IF('POINTAGE'!V152="Présent",'POINTAGE'!W152,0),0),IF('POINTAGE'!$X$5&lt;&gt;"",IF('POINTAGE'!X152="Présent",'POINTAGE'!Y152,0),0),IF('POINTAGE'!$Z$5&lt;&gt;"",IF('POINTAGE'!Z152="Présent",'POINTAGE'!AA152,0),0),IF('POINTAGE'!$AB$5&lt;&gt;"",IF('POINTAGE'!AB152="Présent",'POINTAGE'!AC152,0),0),IF('POINTAGE'!$AD$5&lt;&gt;"",IF('POINTAGE'!AD152="Présent",'POINTAGE'!AE152,0),0),IF('POINTAGE'!$AF$5&lt;&gt;"",IF('POINTAGE'!AF152="Présent",'POINTAGE'!AG152,0),0)))</f>
      </c>
      <c r="I152" s="24">
        <f>IF($A152="","",$F152*$D152)</f>
      </c>
      <c r="J152" s="24">
        <f>IF($A152="","",$H152*$E152)</f>
      </c>
      <c r="K152" s="25">
        <f>IF($A152="","",$I152+$J152)</f>
      </c>
      <c r="L152" s="18"/>
      <c r="M152" s="25">
        <f>IF($A152="","",MAX(0,$K152-$L152))</f>
      </c>
      <c r="N152" s="22">
        <f>IF($A152="","",SUM(IF('POINTAGE'!$AH$5&lt;&gt;"",--('POINTAGE'!AH152="Présent"),0),IF('POINTAGE'!$AJ$5&lt;&gt;"",--('POINTAGE'!AJ152="Présent"),0),IF('POINTAGE'!$AL$5&lt;&gt;"",--('POINTAGE'!AL152="Présent"),0),IF('POINTAGE'!$AN$5&lt;&gt;"",--('POINTAGE'!AN152="Présent"),0),IF('POINTAGE'!$AP$5&lt;&gt;"",--('POINTAGE'!AP152="Présent"),0),IF('POINTAGE'!$AR$5&lt;&gt;"",--('POINTAGE'!AR152="Présent"),0),IF('POINTAGE'!$AT$5&lt;&gt;"",--('POINTAGE'!AT152="Présent"),0),IF('POINTAGE'!$AV$5&lt;&gt;"",--('POINTAGE'!AV152="Présent"),0),IF('POINTAGE'!$AX$5&lt;&gt;"",--('POINTAGE'!AX152="Présent"),0),IF('POINTAGE'!$AZ$5&lt;&gt;"",--('POINTAGE'!AZ152="Présent"),0),IF('POINTAGE'!$BB$5&lt;&gt;"",--('POINTAGE'!BB152="Présent"),0),IF('POINTAGE'!$BD$5&lt;&gt;"",--('POINTAGE'!BD152="Présent"),0),IF('POINTAGE'!$BF$5&lt;&gt;"",--('POINTAGE'!BF152="Présent"),0),IF('POINTAGE'!$BH$5&lt;&gt;"",--('POINTAGE'!BH152="Présent"),0),IF('POINTAGE'!$BJ$5&lt;&gt;"",--('POINTAGE'!BJ152="Présent"),0),IF('POINTAGE'!$BL$5&lt;&gt;"",--('POINTAGE'!BL152="Présent"),0)))</f>
      </c>
      <c r="O152" s="22">
        <f>IF($A152="","",SUM(IF('POINTAGE'!$AH$5&lt;&gt;"",--('POINTAGE'!AH152="Absent"),0),IF('POINTAGE'!$AJ$5&lt;&gt;"",--('POINTAGE'!AJ152="Absent"),0),IF('POINTAGE'!$AL$5&lt;&gt;"",--('POINTAGE'!AL152="Absent"),0),IF('POINTAGE'!$AN$5&lt;&gt;"",--('POINTAGE'!AN152="Absent"),0),IF('POINTAGE'!$AP$5&lt;&gt;"",--('POINTAGE'!AP152="Absent"),0),IF('POINTAGE'!$AR$5&lt;&gt;"",--('POINTAGE'!AR152="Absent"),0),IF('POINTAGE'!$AT$5&lt;&gt;"",--('POINTAGE'!AT152="Absent"),0),IF('POINTAGE'!$AV$5&lt;&gt;"",--('POINTAGE'!AV152="Absent"),0),IF('POINTAGE'!$AX$5&lt;&gt;"",--('POINTAGE'!AX152="Absent"),0),IF('POINTAGE'!$AZ$5&lt;&gt;"",--('POINTAGE'!AZ152="Absent"),0),IF('POINTAGE'!$BB$5&lt;&gt;"",--('POINTAGE'!BB152="Absent"),0),IF('POINTAGE'!$BD$5&lt;&gt;"",--('POINTAGE'!BD152="Absent"),0),IF('POINTAGE'!$BF$5&lt;&gt;"",--('POINTAGE'!BF152="Absent"),0),IF('POINTAGE'!$BH$5&lt;&gt;"",--('POINTAGE'!BH152="Absent"),0),IF('POINTAGE'!$BJ$5&lt;&gt;"",--('POINTAGE'!BJ152="Absent"),0),IF('POINTAGE'!$BL$5&lt;&gt;"",--('POINTAGE'!BL152="Absent"),0)))</f>
      </c>
      <c r="P152" s="23">
        <f>IF($A152="","",SUM(IF('POINTAGE'!$AH$5&lt;&gt;"",IF('POINTAGE'!AH152="Présent",'POINTAGE'!AI152,0),0),IF('POINTAGE'!$AJ$5&lt;&gt;"",IF('POINTAGE'!AJ152="Présent",'POINTAGE'!AK152,0),0),IF('POINTAGE'!$AL$5&lt;&gt;"",IF('POINTAGE'!AL152="Présent",'POINTAGE'!AM152,0),0),IF('POINTAGE'!$AN$5&lt;&gt;"",IF('POINTAGE'!AN152="Présent",'POINTAGE'!AO152,0),0),IF('POINTAGE'!$AP$5&lt;&gt;"",IF('POINTAGE'!AP152="Présent",'POINTAGE'!AQ152,0),0),IF('POINTAGE'!$AR$5&lt;&gt;"",IF('POINTAGE'!AR152="Présent",'POINTAGE'!AS152,0),0),IF('POINTAGE'!$AT$5&lt;&gt;"",IF('POINTAGE'!AT152="Présent",'POINTAGE'!AU152,0),0),IF('POINTAGE'!$AV$5&lt;&gt;"",IF('POINTAGE'!AV152="Présent",'POINTAGE'!AW152,0),0),IF('POINTAGE'!$AX$5&lt;&gt;"",IF('POINTAGE'!AX152="Présent",'POINTAGE'!AY152,0),0),IF('POINTAGE'!$AZ$5&lt;&gt;"",IF('POINTAGE'!AZ152="Présent",'POINTAGE'!BA152,0),0),IF('POINTAGE'!$BB$5&lt;&gt;"",IF('POINTAGE'!BB152="Présent",'POINTAGE'!BC152,0),0),IF('POINTAGE'!$BD$5&lt;&gt;"",IF('POINTAGE'!BD152="Présent",'POINTAGE'!BE152,0),0),IF('POINTAGE'!$BF$5&lt;&gt;"",IF('POINTAGE'!BF152="Présent",'POINTAGE'!BG152,0),0),IF('POINTAGE'!$BH$5&lt;&gt;"",IF('POINTAGE'!BH152="Présent",'POINTAGE'!BI152,0),0),IF('POINTAGE'!$BJ$5&lt;&gt;"",IF('POINTAGE'!BJ152="Présent",'POINTAGE'!BK152,0),0),IF('POINTAGE'!$BL$5&lt;&gt;"",IF('POINTAGE'!BL152="Présent",'POINTAGE'!BM152,0),0)))</f>
      </c>
      <c r="Q152" s="24">
        <f>IF($A152="","",$N152*$D152)</f>
      </c>
      <c r="R152" s="24">
        <f>IF($A152="","",$P152*$E152)</f>
      </c>
      <c r="S152" s="25">
        <f>IF($A152="","",$Q152+$R152)</f>
      </c>
      <c r="T152" s="18"/>
      <c r="U152" s="25">
        <f>IF($A152="","",MAX(0,$S152-$T152))</f>
      </c>
      <c r="V152" s="25">
        <f>IF($A152="","",$K152+$S152)</f>
      </c>
      <c r="W152" s="24">
        <f>IF($A152="","",$L152+$T152)</f>
      </c>
      <c r="X152" s="25">
        <f>IF($A152="","",$M152+$U152)</f>
      </c>
      <c r="Y152" s="29">
        <f>IF($A152="","",$J152+$R152)</f>
      </c>
    </row>
    <row r="153">
      <c r="A153" s="20">
        <f>IF('POINTAGE'!A153="","",'POINTAGE'!A153)</f>
      </c>
      <c r="B153" s="19">
        <f>IF($A153="","",'POINTAGE'!B153)</f>
      </c>
      <c r="C153" s="20">
        <f>IF($A153="","",'POINTAGE'!C153)</f>
      </c>
      <c r="D153" s="24">
        <f>IF($A153="","",IFERROR(INDEX(Categories_Salaire,MATCH($C153,ListeCategories,0)),0))</f>
      </c>
      <c r="E153" s="24">
        <f>IF($A153="","",IF(IFERROR(INDEX(Categories_TauxHS,MATCH($C153,ListeCategories,0)),0)&gt;0,IFERROR(INDEX(Categories_TauxHS,MATCH($C153,ListeCategories,0)),0),TauxHSDefaut))</f>
      </c>
      <c r="F153" s="22">
        <f>IF($A153="","",SUM(IF('POINTAGE'!$D$5&lt;&gt;"",--('POINTAGE'!D153="Présent"),0),IF('POINTAGE'!$F$5&lt;&gt;"",--('POINTAGE'!F153="Présent"),0),IF('POINTAGE'!$H$5&lt;&gt;"",--('POINTAGE'!H153="Présent"),0),IF('POINTAGE'!$J$5&lt;&gt;"",--('POINTAGE'!J153="Présent"),0),IF('POINTAGE'!$L$5&lt;&gt;"",--('POINTAGE'!L153="Présent"),0),IF('POINTAGE'!$N$5&lt;&gt;"",--('POINTAGE'!N153="Présent"),0),IF('POINTAGE'!$P$5&lt;&gt;"",--('POINTAGE'!P153="Présent"),0),IF('POINTAGE'!$R$5&lt;&gt;"",--('POINTAGE'!R153="Présent"),0),IF('POINTAGE'!$T$5&lt;&gt;"",--('POINTAGE'!T153="Présent"),0),IF('POINTAGE'!$V$5&lt;&gt;"",--('POINTAGE'!V153="Présent"),0),IF('POINTAGE'!$X$5&lt;&gt;"",--('POINTAGE'!X153="Présent"),0),IF('POINTAGE'!$Z$5&lt;&gt;"",--('POINTAGE'!Z153="Présent"),0),IF('POINTAGE'!$AB$5&lt;&gt;"",--('POINTAGE'!AB153="Présent"),0),IF('POINTAGE'!$AD$5&lt;&gt;"",--('POINTAGE'!AD153="Présent"),0),IF('POINTAGE'!$AF$5&lt;&gt;"",--('POINTAGE'!AF153="Présent"),0)))</f>
      </c>
      <c r="G153" s="22">
        <f>IF($A153="","",SUM(IF('POINTAGE'!$D$5&lt;&gt;"",--('POINTAGE'!D153="Absent"),0),IF('POINTAGE'!$F$5&lt;&gt;"",--('POINTAGE'!F153="Absent"),0),IF('POINTAGE'!$H$5&lt;&gt;"",--('POINTAGE'!H153="Absent"),0),IF('POINTAGE'!$J$5&lt;&gt;"",--('POINTAGE'!J153="Absent"),0),IF('POINTAGE'!$L$5&lt;&gt;"",--('POINTAGE'!L153="Absent"),0),IF('POINTAGE'!$N$5&lt;&gt;"",--('POINTAGE'!N153="Absent"),0),IF('POINTAGE'!$P$5&lt;&gt;"",--('POINTAGE'!P153="Absent"),0),IF('POINTAGE'!$R$5&lt;&gt;"",--('POINTAGE'!R153="Absent"),0),IF('POINTAGE'!$T$5&lt;&gt;"",--('POINTAGE'!T153="Absent"),0),IF('POINTAGE'!$V$5&lt;&gt;"",--('POINTAGE'!V153="Absent"),0),IF('POINTAGE'!$X$5&lt;&gt;"",--('POINTAGE'!X153="Absent"),0),IF('POINTAGE'!$Z$5&lt;&gt;"",--('POINTAGE'!Z153="Absent"),0),IF('POINTAGE'!$AB$5&lt;&gt;"",--('POINTAGE'!AB153="Absent"),0),IF('POINTAGE'!$AD$5&lt;&gt;"",--('POINTAGE'!AD153="Absent"),0),IF('POINTAGE'!$AF$5&lt;&gt;"",--('POINTAGE'!AF153="Absent"),0)))</f>
      </c>
      <c r="H153" s="23">
        <f>IF($A153="","",SUM(IF('POINTAGE'!$D$5&lt;&gt;"",IF('POINTAGE'!D153="Présent",'POINTAGE'!E153,0),0),IF('POINTAGE'!$F$5&lt;&gt;"",IF('POINTAGE'!F153="Présent",'POINTAGE'!G153,0),0),IF('POINTAGE'!$H$5&lt;&gt;"",IF('POINTAGE'!H153="Présent",'POINTAGE'!I153,0),0),IF('POINTAGE'!$J$5&lt;&gt;"",IF('POINTAGE'!J153="Présent",'POINTAGE'!K153,0),0),IF('POINTAGE'!$L$5&lt;&gt;"",IF('POINTAGE'!L153="Présent",'POINTAGE'!M153,0),0),IF('POINTAGE'!$N$5&lt;&gt;"",IF('POINTAGE'!N153="Présent",'POINTAGE'!O153,0),0),IF('POINTAGE'!$P$5&lt;&gt;"",IF('POINTAGE'!P153="Présent",'POINTAGE'!Q153,0),0),IF('POINTAGE'!$R$5&lt;&gt;"",IF('POINTAGE'!R153="Présent",'POINTAGE'!S153,0),0),IF('POINTAGE'!$T$5&lt;&gt;"",IF('POINTAGE'!T153="Présent",'POINTAGE'!U153,0),0),IF('POINTAGE'!$V$5&lt;&gt;"",IF('POINTAGE'!V153="Présent",'POINTAGE'!W153,0),0),IF('POINTAGE'!$X$5&lt;&gt;"",IF('POINTAGE'!X153="Présent",'POINTAGE'!Y153,0),0),IF('POINTAGE'!$Z$5&lt;&gt;"",IF('POINTAGE'!Z153="Présent",'POINTAGE'!AA153,0),0),IF('POINTAGE'!$AB$5&lt;&gt;"",IF('POINTAGE'!AB153="Présent",'POINTAGE'!AC153,0),0),IF('POINTAGE'!$AD$5&lt;&gt;"",IF('POINTAGE'!AD153="Présent",'POINTAGE'!AE153,0),0),IF('POINTAGE'!$AF$5&lt;&gt;"",IF('POINTAGE'!AF153="Présent",'POINTAGE'!AG153,0),0)))</f>
      </c>
      <c r="I153" s="24">
        <f>IF($A153="","",$F153*$D153)</f>
      </c>
      <c r="J153" s="24">
        <f>IF($A153="","",$H153*$E153)</f>
      </c>
      <c r="K153" s="25">
        <f>IF($A153="","",$I153+$J153)</f>
      </c>
      <c r="L153" s="18"/>
      <c r="M153" s="25">
        <f>IF($A153="","",MAX(0,$K153-$L153))</f>
      </c>
      <c r="N153" s="22">
        <f>IF($A153="","",SUM(IF('POINTAGE'!$AH$5&lt;&gt;"",--('POINTAGE'!AH153="Présent"),0),IF('POINTAGE'!$AJ$5&lt;&gt;"",--('POINTAGE'!AJ153="Présent"),0),IF('POINTAGE'!$AL$5&lt;&gt;"",--('POINTAGE'!AL153="Présent"),0),IF('POINTAGE'!$AN$5&lt;&gt;"",--('POINTAGE'!AN153="Présent"),0),IF('POINTAGE'!$AP$5&lt;&gt;"",--('POINTAGE'!AP153="Présent"),0),IF('POINTAGE'!$AR$5&lt;&gt;"",--('POINTAGE'!AR153="Présent"),0),IF('POINTAGE'!$AT$5&lt;&gt;"",--('POINTAGE'!AT153="Présent"),0),IF('POINTAGE'!$AV$5&lt;&gt;"",--('POINTAGE'!AV153="Présent"),0),IF('POINTAGE'!$AX$5&lt;&gt;"",--('POINTAGE'!AX153="Présent"),0),IF('POINTAGE'!$AZ$5&lt;&gt;"",--('POINTAGE'!AZ153="Présent"),0),IF('POINTAGE'!$BB$5&lt;&gt;"",--('POINTAGE'!BB153="Présent"),0),IF('POINTAGE'!$BD$5&lt;&gt;"",--('POINTAGE'!BD153="Présent"),0),IF('POINTAGE'!$BF$5&lt;&gt;"",--('POINTAGE'!BF153="Présent"),0),IF('POINTAGE'!$BH$5&lt;&gt;"",--('POINTAGE'!BH153="Présent"),0),IF('POINTAGE'!$BJ$5&lt;&gt;"",--('POINTAGE'!BJ153="Présent"),0),IF('POINTAGE'!$BL$5&lt;&gt;"",--('POINTAGE'!BL153="Présent"),0)))</f>
      </c>
      <c r="O153" s="22">
        <f>IF($A153="","",SUM(IF('POINTAGE'!$AH$5&lt;&gt;"",--('POINTAGE'!AH153="Absent"),0),IF('POINTAGE'!$AJ$5&lt;&gt;"",--('POINTAGE'!AJ153="Absent"),0),IF('POINTAGE'!$AL$5&lt;&gt;"",--('POINTAGE'!AL153="Absent"),0),IF('POINTAGE'!$AN$5&lt;&gt;"",--('POINTAGE'!AN153="Absent"),0),IF('POINTAGE'!$AP$5&lt;&gt;"",--('POINTAGE'!AP153="Absent"),0),IF('POINTAGE'!$AR$5&lt;&gt;"",--('POINTAGE'!AR153="Absent"),0),IF('POINTAGE'!$AT$5&lt;&gt;"",--('POINTAGE'!AT153="Absent"),0),IF('POINTAGE'!$AV$5&lt;&gt;"",--('POINTAGE'!AV153="Absent"),0),IF('POINTAGE'!$AX$5&lt;&gt;"",--('POINTAGE'!AX153="Absent"),0),IF('POINTAGE'!$AZ$5&lt;&gt;"",--('POINTAGE'!AZ153="Absent"),0),IF('POINTAGE'!$BB$5&lt;&gt;"",--('POINTAGE'!BB153="Absent"),0),IF('POINTAGE'!$BD$5&lt;&gt;"",--('POINTAGE'!BD153="Absent"),0),IF('POINTAGE'!$BF$5&lt;&gt;"",--('POINTAGE'!BF153="Absent"),0),IF('POINTAGE'!$BH$5&lt;&gt;"",--('POINTAGE'!BH153="Absent"),0),IF('POINTAGE'!$BJ$5&lt;&gt;"",--('POINTAGE'!BJ153="Absent"),0),IF('POINTAGE'!$BL$5&lt;&gt;"",--('POINTAGE'!BL153="Absent"),0)))</f>
      </c>
      <c r="P153" s="23">
        <f>IF($A153="","",SUM(IF('POINTAGE'!$AH$5&lt;&gt;"",IF('POINTAGE'!AH153="Présent",'POINTAGE'!AI153,0),0),IF('POINTAGE'!$AJ$5&lt;&gt;"",IF('POINTAGE'!AJ153="Présent",'POINTAGE'!AK153,0),0),IF('POINTAGE'!$AL$5&lt;&gt;"",IF('POINTAGE'!AL153="Présent",'POINTAGE'!AM153,0),0),IF('POINTAGE'!$AN$5&lt;&gt;"",IF('POINTAGE'!AN153="Présent",'POINTAGE'!AO153,0),0),IF('POINTAGE'!$AP$5&lt;&gt;"",IF('POINTAGE'!AP153="Présent",'POINTAGE'!AQ153,0),0),IF('POINTAGE'!$AR$5&lt;&gt;"",IF('POINTAGE'!AR153="Présent",'POINTAGE'!AS153,0),0),IF('POINTAGE'!$AT$5&lt;&gt;"",IF('POINTAGE'!AT153="Présent",'POINTAGE'!AU153,0),0),IF('POINTAGE'!$AV$5&lt;&gt;"",IF('POINTAGE'!AV153="Présent",'POINTAGE'!AW153,0),0),IF('POINTAGE'!$AX$5&lt;&gt;"",IF('POINTAGE'!AX153="Présent",'POINTAGE'!AY153,0),0),IF('POINTAGE'!$AZ$5&lt;&gt;"",IF('POINTAGE'!AZ153="Présent",'POINTAGE'!BA153,0),0),IF('POINTAGE'!$BB$5&lt;&gt;"",IF('POINTAGE'!BB153="Présent",'POINTAGE'!BC153,0),0),IF('POINTAGE'!$BD$5&lt;&gt;"",IF('POINTAGE'!BD153="Présent",'POINTAGE'!BE153,0),0),IF('POINTAGE'!$BF$5&lt;&gt;"",IF('POINTAGE'!BF153="Présent",'POINTAGE'!BG153,0),0),IF('POINTAGE'!$BH$5&lt;&gt;"",IF('POINTAGE'!BH153="Présent",'POINTAGE'!BI153,0),0),IF('POINTAGE'!$BJ$5&lt;&gt;"",IF('POINTAGE'!BJ153="Présent",'POINTAGE'!BK153,0),0),IF('POINTAGE'!$BL$5&lt;&gt;"",IF('POINTAGE'!BL153="Présent",'POINTAGE'!BM153,0),0)))</f>
      </c>
      <c r="Q153" s="24">
        <f>IF($A153="","",$N153*$D153)</f>
      </c>
      <c r="R153" s="24">
        <f>IF($A153="","",$P153*$E153)</f>
      </c>
      <c r="S153" s="25">
        <f>IF($A153="","",$Q153+$R153)</f>
      </c>
      <c r="T153" s="18"/>
      <c r="U153" s="25">
        <f>IF($A153="","",MAX(0,$S153-$T153))</f>
      </c>
      <c r="V153" s="25">
        <f>IF($A153="","",$K153+$S153)</f>
      </c>
      <c r="W153" s="24">
        <f>IF($A153="","",$L153+$T153)</f>
      </c>
      <c r="X153" s="25">
        <f>IF($A153="","",$M153+$U153)</f>
      </c>
      <c r="Y153" s="29">
        <f>IF($A153="","",$J153+$R153)</f>
      </c>
    </row>
    <row r="154">
      <c r="A154" s="20">
        <f>IF('POINTAGE'!A154="","",'POINTAGE'!A154)</f>
      </c>
      <c r="B154" s="19">
        <f>IF($A154="","",'POINTAGE'!B154)</f>
      </c>
      <c r="C154" s="20">
        <f>IF($A154="","",'POINTAGE'!C154)</f>
      </c>
      <c r="D154" s="24">
        <f>IF($A154="","",IFERROR(INDEX(Categories_Salaire,MATCH($C154,ListeCategories,0)),0))</f>
      </c>
      <c r="E154" s="24">
        <f>IF($A154="","",IF(IFERROR(INDEX(Categories_TauxHS,MATCH($C154,ListeCategories,0)),0)&gt;0,IFERROR(INDEX(Categories_TauxHS,MATCH($C154,ListeCategories,0)),0),TauxHSDefaut))</f>
      </c>
      <c r="F154" s="22">
        <f>IF($A154="","",SUM(IF('POINTAGE'!$D$5&lt;&gt;"",--('POINTAGE'!D154="Présent"),0),IF('POINTAGE'!$F$5&lt;&gt;"",--('POINTAGE'!F154="Présent"),0),IF('POINTAGE'!$H$5&lt;&gt;"",--('POINTAGE'!H154="Présent"),0),IF('POINTAGE'!$J$5&lt;&gt;"",--('POINTAGE'!J154="Présent"),0),IF('POINTAGE'!$L$5&lt;&gt;"",--('POINTAGE'!L154="Présent"),0),IF('POINTAGE'!$N$5&lt;&gt;"",--('POINTAGE'!N154="Présent"),0),IF('POINTAGE'!$P$5&lt;&gt;"",--('POINTAGE'!P154="Présent"),0),IF('POINTAGE'!$R$5&lt;&gt;"",--('POINTAGE'!R154="Présent"),0),IF('POINTAGE'!$T$5&lt;&gt;"",--('POINTAGE'!T154="Présent"),0),IF('POINTAGE'!$V$5&lt;&gt;"",--('POINTAGE'!V154="Présent"),0),IF('POINTAGE'!$X$5&lt;&gt;"",--('POINTAGE'!X154="Présent"),0),IF('POINTAGE'!$Z$5&lt;&gt;"",--('POINTAGE'!Z154="Présent"),0),IF('POINTAGE'!$AB$5&lt;&gt;"",--('POINTAGE'!AB154="Présent"),0),IF('POINTAGE'!$AD$5&lt;&gt;"",--('POINTAGE'!AD154="Présent"),0),IF('POINTAGE'!$AF$5&lt;&gt;"",--('POINTAGE'!AF154="Présent"),0)))</f>
      </c>
      <c r="G154" s="22">
        <f>IF($A154="","",SUM(IF('POINTAGE'!$D$5&lt;&gt;"",--('POINTAGE'!D154="Absent"),0),IF('POINTAGE'!$F$5&lt;&gt;"",--('POINTAGE'!F154="Absent"),0),IF('POINTAGE'!$H$5&lt;&gt;"",--('POINTAGE'!H154="Absent"),0),IF('POINTAGE'!$J$5&lt;&gt;"",--('POINTAGE'!J154="Absent"),0),IF('POINTAGE'!$L$5&lt;&gt;"",--('POINTAGE'!L154="Absent"),0),IF('POINTAGE'!$N$5&lt;&gt;"",--('POINTAGE'!N154="Absent"),0),IF('POINTAGE'!$P$5&lt;&gt;"",--('POINTAGE'!P154="Absent"),0),IF('POINTAGE'!$R$5&lt;&gt;"",--('POINTAGE'!R154="Absent"),0),IF('POINTAGE'!$T$5&lt;&gt;"",--('POINTAGE'!T154="Absent"),0),IF('POINTAGE'!$V$5&lt;&gt;"",--('POINTAGE'!V154="Absent"),0),IF('POINTAGE'!$X$5&lt;&gt;"",--('POINTAGE'!X154="Absent"),0),IF('POINTAGE'!$Z$5&lt;&gt;"",--('POINTAGE'!Z154="Absent"),0),IF('POINTAGE'!$AB$5&lt;&gt;"",--('POINTAGE'!AB154="Absent"),0),IF('POINTAGE'!$AD$5&lt;&gt;"",--('POINTAGE'!AD154="Absent"),0),IF('POINTAGE'!$AF$5&lt;&gt;"",--('POINTAGE'!AF154="Absent"),0)))</f>
      </c>
      <c r="H154" s="23">
        <f>IF($A154="","",SUM(IF('POINTAGE'!$D$5&lt;&gt;"",IF('POINTAGE'!D154="Présent",'POINTAGE'!E154,0),0),IF('POINTAGE'!$F$5&lt;&gt;"",IF('POINTAGE'!F154="Présent",'POINTAGE'!G154,0),0),IF('POINTAGE'!$H$5&lt;&gt;"",IF('POINTAGE'!H154="Présent",'POINTAGE'!I154,0),0),IF('POINTAGE'!$J$5&lt;&gt;"",IF('POINTAGE'!J154="Présent",'POINTAGE'!K154,0),0),IF('POINTAGE'!$L$5&lt;&gt;"",IF('POINTAGE'!L154="Présent",'POINTAGE'!M154,0),0),IF('POINTAGE'!$N$5&lt;&gt;"",IF('POINTAGE'!N154="Présent",'POINTAGE'!O154,0),0),IF('POINTAGE'!$P$5&lt;&gt;"",IF('POINTAGE'!P154="Présent",'POINTAGE'!Q154,0),0),IF('POINTAGE'!$R$5&lt;&gt;"",IF('POINTAGE'!R154="Présent",'POINTAGE'!S154,0),0),IF('POINTAGE'!$T$5&lt;&gt;"",IF('POINTAGE'!T154="Présent",'POINTAGE'!U154,0),0),IF('POINTAGE'!$V$5&lt;&gt;"",IF('POINTAGE'!V154="Présent",'POINTAGE'!W154,0),0),IF('POINTAGE'!$X$5&lt;&gt;"",IF('POINTAGE'!X154="Présent",'POINTAGE'!Y154,0),0),IF('POINTAGE'!$Z$5&lt;&gt;"",IF('POINTAGE'!Z154="Présent",'POINTAGE'!AA154,0),0),IF('POINTAGE'!$AB$5&lt;&gt;"",IF('POINTAGE'!AB154="Présent",'POINTAGE'!AC154,0),0),IF('POINTAGE'!$AD$5&lt;&gt;"",IF('POINTAGE'!AD154="Présent",'POINTAGE'!AE154,0),0),IF('POINTAGE'!$AF$5&lt;&gt;"",IF('POINTAGE'!AF154="Présent",'POINTAGE'!AG154,0),0)))</f>
      </c>
      <c r="I154" s="24">
        <f>IF($A154="","",$F154*$D154)</f>
      </c>
      <c r="J154" s="24">
        <f>IF($A154="","",$H154*$E154)</f>
      </c>
      <c r="K154" s="25">
        <f>IF($A154="","",$I154+$J154)</f>
      </c>
      <c r="L154" s="18"/>
      <c r="M154" s="25">
        <f>IF($A154="","",MAX(0,$K154-$L154))</f>
      </c>
      <c r="N154" s="22">
        <f>IF($A154="","",SUM(IF('POINTAGE'!$AH$5&lt;&gt;"",--('POINTAGE'!AH154="Présent"),0),IF('POINTAGE'!$AJ$5&lt;&gt;"",--('POINTAGE'!AJ154="Présent"),0),IF('POINTAGE'!$AL$5&lt;&gt;"",--('POINTAGE'!AL154="Présent"),0),IF('POINTAGE'!$AN$5&lt;&gt;"",--('POINTAGE'!AN154="Présent"),0),IF('POINTAGE'!$AP$5&lt;&gt;"",--('POINTAGE'!AP154="Présent"),0),IF('POINTAGE'!$AR$5&lt;&gt;"",--('POINTAGE'!AR154="Présent"),0),IF('POINTAGE'!$AT$5&lt;&gt;"",--('POINTAGE'!AT154="Présent"),0),IF('POINTAGE'!$AV$5&lt;&gt;"",--('POINTAGE'!AV154="Présent"),0),IF('POINTAGE'!$AX$5&lt;&gt;"",--('POINTAGE'!AX154="Présent"),0),IF('POINTAGE'!$AZ$5&lt;&gt;"",--('POINTAGE'!AZ154="Présent"),0),IF('POINTAGE'!$BB$5&lt;&gt;"",--('POINTAGE'!BB154="Présent"),0),IF('POINTAGE'!$BD$5&lt;&gt;"",--('POINTAGE'!BD154="Présent"),0),IF('POINTAGE'!$BF$5&lt;&gt;"",--('POINTAGE'!BF154="Présent"),0),IF('POINTAGE'!$BH$5&lt;&gt;"",--('POINTAGE'!BH154="Présent"),0),IF('POINTAGE'!$BJ$5&lt;&gt;"",--('POINTAGE'!BJ154="Présent"),0),IF('POINTAGE'!$BL$5&lt;&gt;"",--('POINTAGE'!BL154="Présent"),0)))</f>
      </c>
      <c r="O154" s="22">
        <f>IF($A154="","",SUM(IF('POINTAGE'!$AH$5&lt;&gt;"",--('POINTAGE'!AH154="Absent"),0),IF('POINTAGE'!$AJ$5&lt;&gt;"",--('POINTAGE'!AJ154="Absent"),0),IF('POINTAGE'!$AL$5&lt;&gt;"",--('POINTAGE'!AL154="Absent"),0),IF('POINTAGE'!$AN$5&lt;&gt;"",--('POINTAGE'!AN154="Absent"),0),IF('POINTAGE'!$AP$5&lt;&gt;"",--('POINTAGE'!AP154="Absent"),0),IF('POINTAGE'!$AR$5&lt;&gt;"",--('POINTAGE'!AR154="Absent"),0),IF('POINTAGE'!$AT$5&lt;&gt;"",--('POINTAGE'!AT154="Absent"),0),IF('POINTAGE'!$AV$5&lt;&gt;"",--('POINTAGE'!AV154="Absent"),0),IF('POINTAGE'!$AX$5&lt;&gt;"",--('POINTAGE'!AX154="Absent"),0),IF('POINTAGE'!$AZ$5&lt;&gt;"",--('POINTAGE'!AZ154="Absent"),0),IF('POINTAGE'!$BB$5&lt;&gt;"",--('POINTAGE'!BB154="Absent"),0),IF('POINTAGE'!$BD$5&lt;&gt;"",--('POINTAGE'!BD154="Absent"),0),IF('POINTAGE'!$BF$5&lt;&gt;"",--('POINTAGE'!BF154="Absent"),0),IF('POINTAGE'!$BH$5&lt;&gt;"",--('POINTAGE'!BH154="Absent"),0),IF('POINTAGE'!$BJ$5&lt;&gt;"",--('POINTAGE'!BJ154="Absent"),0),IF('POINTAGE'!$BL$5&lt;&gt;"",--('POINTAGE'!BL154="Absent"),0)))</f>
      </c>
      <c r="P154" s="23">
        <f>IF($A154="","",SUM(IF('POINTAGE'!$AH$5&lt;&gt;"",IF('POINTAGE'!AH154="Présent",'POINTAGE'!AI154,0),0),IF('POINTAGE'!$AJ$5&lt;&gt;"",IF('POINTAGE'!AJ154="Présent",'POINTAGE'!AK154,0),0),IF('POINTAGE'!$AL$5&lt;&gt;"",IF('POINTAGE'!AL154="Présent",'POINTAGE'!AM154,0),0),IF('POINTAGE'!$AN$5&lt;&gt;"",IF('POINTAGE'!AN154="Présent",'POINTAGE'!AO154,0),0),IF('POINTAGE'!$AP$5&lt;&gt;"",IF('POINTAGE'!AP154="Présent",'POINTAGE'!AQ154,0),0),IF('POINTAGE'!$AR$5&lt;&gt;"",IF('POINTAGE'!AR154="Présent",'POINTAGE'!AS154,0),0),IF('POINTAGE'!$AT$5&lt;&gt;"",IF('POINTAGE'!AT154="Présent",'POINTAGE'!AU154,0),0),IF('POINTAGE'!$AV$5&lt;&gt;"",IF('POINTAGE'!AV154="Présent",'POINTAGE'!AW154,0),0),IF('POINTAGE'!$AX$5&lt;&gt;"",IF('POINTAGE'!AX154="Présent",'POINTAGE'!AY154,0),0),IF('POINTAGE'!$AZ$5&lt;&gt;"",IF('POINTAGE'!AZ154="Présent",'POINTAGE'!BA154,0),0),IF('POINTAGE'!$BB$5&lt;&gt;"",IF('POINTAGE'!BB154="Présent",'POINTAGE'!BC154,0),0),IF('POINTAGE'!$BD$5&lt;&gt;"",IF('POINTAGE'!BD154="Présent",'POINTAGE'!BE154,0),0),IF('POINTAGE'!$BF$5&lt;&gt;"",IF('POINTAGE'!BF154="Présent",'POINTAGE'!BG154,0),0),IF('POINTAGE'!$BH$5&lt;&gt;"",IF('POINTAGE'!BH154="Présent",'POINTAGE'!BI154,0),0),IF('POINTAGE'!$BJ$5&lt;&gt;"",IF('POINTAGE'!BJ154="Présent",'POINTAGE'!BK154,0),0),IF('POINTAGE'!$BL$5&lt;&gt;"",IF('POINTAGE'!BL154="Présent",'POINTAGE'!BM154,0),0)))</f>
      </c>
      <c r="Q154" s="24">
        <f>IF($A154="","",$N154*$D154)</f>
      </c>
      <c r="R154" s="24">
        <f>IF($A154="","",$P154*$E154)</f>
      </c>
      <c r="S154" s="25">
        <f>IF($A154="","",$Q154+$R154)</f>
      </c>
      <c r="T154" s="18"/>
      <c r="U154" s="25">
        <f>IF($A154="","",MAX(0,$S154-$T154))</f>
      </c>
      <c r="V154" s="25">
        <f>IF($A154="","",$K154+$S154)</f>
      </c>
      <c r="W154" s="24">
        <f>IF($A154="","",$L154+$T154)</f>
      </c>
      <c r="X154" s="25">
        <f>IF($A154="","",$M154+$U154)</f>
      </c>
      <c r="Y154" s="29">
        <f>IF($A154="","",$J154+$R154)</f>
      </c>
    </row>
    <row r="155">
      <c r="A155" s="20">
        <f>IF('POINTAGE'!A155="","",'POINTAGE'!A155)</f>
      </c>
      <c r="B155" s="19">
        <f>IF($A155="","",'POINTAGE'!B155)</f>
      </c>
      <c r="C155" s="20">
        <f>IF($A155="","",'POINTAGE'!C155)</f>
      </c>
      <c r="D155" s="24">
        <f>IF($A155="","",IFERROR(INDEX(Categories_Salaire,MATCH($C155,ListeCategories,0)),0))</f>
      </c>
      <c r="E155" s="24">
        <f>IF($A155="","",IF(IFERROR(INDEX(Categories_TauxHS,MATCH($C155,ListeCategories,0)),0)&gt;0,IFERROR(INDEX(Categories_TauxHS,MATCH($C155,ListeCategories,0)),0),TauxHSDefaut))</f>
      </c>
      <c r="F155" s="22">
        <f>IF($A155="","",SUM(IF('POINTAGE'!$D$5&lt;&gt;"",--('POINTAGE'!D155="Présent"),0),IF('POINTAGE'!$F$5&lt;&gt;"",--('POINTAGE'!F155="Présent"),0),IF('POINTAGE'!$H$5&lt;&gt;"",--('POINTAGE'!H155="Présent"),0),IF('POINTAGE'!$J$5&lt;&gt;"",--('POINTAGE'!J155="Présent"),0),IF('POINTAGE'!$L$5&lt;&gt;"",--('POINTAGE'!L155="Présent"),0),IF('POINTAGE'!$N$5&lt;&gt;"",--('POINTAGE'!N155="Présent"),0),IF('POINTAGE'!$P$5&lt;&gt;"",--('POINTAGE'!P155="Présent"),0),IF('POINTAGE'!$R$5&lt;&gt;"",--('POINTAGE'!R155="Présent"),0),IF('POINTAGE'!$T$5&lt;&gt;"",--('POINTAGE'!T155="Présent"),0),IF('POINTAGE'!$V$5&lt;&gt;"",--('POINTAGE'!V155="Présent"),0),IF('POINTAGE'!$X$5&lt;&gt;"",--('POINTAGE'!X155="Présent"),0),IF('POINTAGE'!$Z$5&lt;&gt;"",--('POINTAGE'!Z155="Présent"),0),IF('POINTAGE'!$AB$5&lt;&gt;"",--('POINTAGE'!AB155="Présent"),0),IF('POINTAGE'!$AD$5&lt;&gt;"",--('POINTAGE'!AD155="Présent"),0),IF('POINTAGE'!$AF$5&lt;&gt;"",--('POINTAGE'!AF155="Présent"),0)))</f>
      </c>
      <c r="G155" s="22">
        <f>IF($A155="","",SUM(IF('POINTAGE'!$D$5&lt;&gt;"",--('POINTAGE'!D155="Absent"),0),IF('POINTAGE'!$F$5&lt;&gt;"",--('POINTAGE'!F155="Absent"),0),IF('POINTAGE'!$H$5&lt;&gt;"",--('POINTAGE'!H155="Absent"),0),IF('POINTAGE'!$J$5&lt;&gt;"",--('POINTAGE'!J155="Absent"),0),IF('POINTAGE'!$L$5&lt;&gt;"",--('POINTAGE'!L155="Absent"),0),IF('POINTAGE'!$N$5&lt;&gt;"",--('POINTAGE'!N155="Absent"),0),IF('POINTAGE'!$P$5&lt;&gt;"",--('POINTAGE'!P155="Absent"),0),IF('POINTAGE'!$R$5&lt;&gt;"",--('POINTAGE'!R155="Absent"),0),IF('POINTAGE'!$T$5&lt;&gt;"",--('POINTAGE'!T155="Absent"),0),IF('POINTAGE'!$V$5&lt;&gt;"",--('POINTAGE'!V155="Absent"),0),IF('POINTAGE'!$X$5&lt;&gt;"",--('POINTAGE'!X155="Absent"),0),IF('POINTAGE'!$Z$5&lt;&gt;"",--('POINTAGE'!Z155="Absent"),0),IF('POINTAGE'!$AB$5&lt;&gt;"",--('POINTAGE'!AB155="Absent"),0),IF('POINTAGE'!$AD$5&lt;&gt;"",--('POINTAGE'!AD155="Absent"),0),IF('POINTAGE'!$AF$5&lt;&gt;"",--('POINTAGE'!AF155="Absent"),0)))</f>
      </c>
      <c r="H155" s="23">
        <f>IF($A155="","",SUM(IF('POINTAGE'!$D$5&lt;&gt;"",IF('POINTAGE'!D155="Présent",'POINTAGE'!E155,0),0),IF('POINTAGE'!$F$5&lt;&gt;"",IF('POINTAGE'!F155="Présent",'POINTAGE'!G155,0),0),IF('POINTAGE'!$H$5&lt;&gt;"",IF('POINTAGE'!H155="Présent",'POINTAGE'!I155,0),0),IF('POINTAGE'!$J$5&lt;&gt;"",IF('POINTAGE'!J155="Présent",'POINTAGE'!K155,0),0),IF('POINTAGE'!$L$5&lt;&gt;"",IF('POINTAGE'!L155="Présent",'POINTAGE'!M155,0),0),IF('POINTAGE'!$N$5&lt;&gt;"",IF('POINTAGE'!N155="Présent",'POINTAGE'!O155,0),0),IF('POINTAGE'!$P$5&lt;&gt;"",IF('POINTAGE'!P155="Présent",'POINTAGE'!Q155,0),0),IF('POINTAGE'!$R$5&lt;&gt;"",IF('POINTAGE'!R155="Présent",'POINTAGE'!S155,0),0),IF('POINTAGE'!$T$5&lt;&gt;"",IF('POINTAGE'!T155="Présent",'POINTAGE'!U155,0),0),IF('POINTAGE'!$V$5&lt;&gt;"",IF('POINTAGE'!V155="Présent",'POINTAGE'!W155,0),0),IF('POINTAGE'!$X$5&lt;&gt;"",IF('POINTAGE'!X155="Présent",'POINTAGE'!Y155,0),0),IF('POINTAGE'!$Z$5&lt;&gt;"",IF('POINTAGE'!Z155="Présent",'POINTAGE'!AA155,0),0),IF('POINTAGE'!$AB$5&lt;&gt;"",IF('POINTAGE'!AB155="Présent",'POINTAGE'!AC155,0),0),IF('POINTAGE'!$AD$5&lt;&gt;"",IF('POINTAGE'!AD155="Présent",'POINTAGE'!AE155,0),0),IF('POINTAGE'!$AF$5&lt;&gt;"",IF('POINTAGE'!AF155="Présent",'POINTAGE'!AG155,0),0)))</f>
      </c>
      <c r="I155" s="24">
        <f>IF($A155="","",$F155*$D155)</f>
      </c>
      <c r="J155" s="24">
        <f>IF($A155="","",$H155*$E155)</f>
      </c>
      <c r="K155" s="25">
        <f>IF($A155="","",$I155+$J155)</f>
      </c>
      <c r="L155" s="18"/>
      <c r="M155" s="25">
        <f>IF($A155="","",MAX(0,$K155-$L155))</f>
      </c>
      <c r="N155" s="22">
        <f>IF($A155="","",SUM(IF('POINTAGE'!$AH$5&lt;&gt;"",--('POINTAGE'!AH155="Présent"),0),IF('POINTAGE'!$AJ$5&lt;&gt;"",--('POINTAGE'!AJ155="Présent"),0),IF('POINTAGE'!$AL$5&lt;&gt;"",--('POINTAGE'!AL155="Présent"),0),IF('POINTAGE'!$AN$5&lt;&gt;"",--('POINTAGE'!AN155="Présent"),0),IF('POINTAGE'!$AP$5&lt;&gt;"",--('POINTAGE'!AP155="Présent"),0),IF('POINTAGE'!$AR$5&lt;&gt;"",--('POINTAGE'!AR155="Présent"),0),IF('POINTAGE'!$AT$5&lt;&gt;"",--('POINTAGE'!AT155="Présent"),0),IF('POINTAGE'!$AV$5&lt;&gt;"",--('POINTAGE'!AV155="Présent"),0),IF('POINTAGE'!$AX$5&lt;&gt;"",--('POINTAGE'!AX155="Présent"),0),IF('POINTAGE'!$AZ$5&lt;&gt;"",--('POINTAGE'!AZ155="Présent"),0),IF('POINTAGE'!$BB$5&lt;&gt;"",--('POINTAGE'!BB155="Présent"),0),IF('POINTAGE'!$BD$5&lt;&gt;"",--('POINTAGE'!BD155="Présent"),0),IF('POINTAGE'!$BF$5&lt;&gt;"",--('POINTAGE'!BF155="Présent"),0),IF('POINTAGE'!$BH$5&lt;&gt;"",--('POINTAGE'!BH155="Présent"),0),IF('POINTAGE'!$BJ$5&lt;&gt;"",--('POINTAGE'!BJ155="Présent"),0),IF('POINTAGE'!$BL$5&lt;&gt;"",--('POINTAGE'!BL155="Présent"),0)))</f>
      </c>
      <c r="O155" s="22">
        <f>IF($A155="","",SUM(IF('POINTAGE'!$AH$5&lt;&gt;"",--('POINTAGE'!AH155="Absent"),0),IF('POINTAGE'!$AJ$5&lt;&gt;"",--('POINTAGE'!AJ155="Absent"),0),IF('POINTAGE'!$AL$5&lt;&gt;"",--('POINTAGE'!AL155="Absent"),0),IF('POINTAGE'!$AN$5&lt;&gt;"",--('POINTAGE'!AN155="Absent"),0),IF('POINTAGE'!$AP$5&lt;&gt;"",--('POINTAGE'!AP155="Absent"),0),IF('POINTAGE'!$AR$5&lt;&gt;"",--('POINTAGE'!AR155="Absent"),0),IF('POINTAGE'!$AT$5&lt;&gt;"",--('POINTAGE'!AT155="Absent"),0),IF('POINTAGE'!$AV$5&lt;&gt;"",--('POINTAGE'!AV155="Absent"),0),IF('POINTAGE'!$AX$5&lt;&gt;"",--('POINTAGE'!AX155="Absent"),0),IF('POINTAGE'!$AZ$5&lt;&gt;"",--('POINTAGE'!AZ155="Absent"),0),IF('POINTAGE'!$BB$5&lt;&gt;"",--('POINTAGE'!BB155="Absent"),0),IF('POINTAGE'!$BD$5&lt;&gt;"",--('POINTAGE'!BD155="Absent"),0),IF('POINTAGE'!$BF$5&lt;&gt;"",--('POINTAGE'!BF155="Absent"),0),IF('POINTAGE'!$BH$5&lt;&gt;"",--('POINTAGE'!BH155="Absent"),0),IF('POINTAGE'!$BJ$5&lt;&gt;"",--('POINTAGE'!BJ155="Absent"),0),IF('POINTAGE'!$BL$5&lt;&gt;"",--('POINTAGE'!BL155="Absent"),0)))</f>
      </c>
      <c r="P155" s="23">
        <f>IF($A155="","",SUM(IF('POINTAGE'!$AH$5&lt;&gt;"",IF('POINTAGE'!AH155="Présent",'POINTAGE'!AI155,0),0),IF('POINTAGE'!$AJ$5&lt;&gt;"",IF('POINTAGE'!AJ155="Présent",'POINTAGE'!AK155,0),0),IF('POINTAGE'!$AL$5&lt;&gt;"",IF('POINTAGE'!AL155="Présent",'POINTAGE'!AM155,0),0),IF('POINTAGE'!$AN$5&lt;&gt;"",IF('POINTAGE'!AN155="Présent",'POINTAGE'!AO155,0),0),IF('POINTAGE'!$AP$5&lt;&gt;"",IF('POINTAGE'!AP155="Présent",'POINTAGE'!AQ155,0),0),IF('POINTAGE'!$AR$5&lt;&gt;"",IF('POINTAGE'!AR155="Présent",'POINTAGE'!AS155,0),0),IF('POINTAGE'!$AT$5&lt;&gt;"",IF('POINTAGE'!AT155="Présent",'POINTAGE'!AU155,0),0),IF('POINTAGE'!$AV$5&lt;&gt;"",IF('POINTAGE'!AV155="Présent",'POINTAGE'!AW155,0),0),IF('POINTAGE'!$AX$5&lt;&gt;"",IF('POINTAGE'!AX155="Présent",'POINTAGE'!AY155,0),0),IF('POINTAGE'!$AZ$5&lt;&gt;"",IF('POINTAGE'!AZ155="Présent",'POINTAGE'!BA155,0),0),IF('POINTAGE'!$BB$5&lt;&gt;"",IF('POINTAGE'!BB155="Présent",'POINTAGE'!BC155,0),0),IF('POINTAGE'!$BD$5&lt;&gt;"",IF('POINTAGE'!BD155="Présent",'POINTAGE'!BE155,0),0),IF('POINTAGE'!$BF$5&lt;&gt;"",IF('POINTAGE'!BF155="Présent",'POINTAGE'!BG155,0),0),IF('POINTAGE'!$BH$5&lt;&gt;"",IF('POINTAGE'!BH155="Présent",'POINTAGE'!BI155,0),0),IF('POINTAGE'!$BJ$5&lt;&gt;"",IF('POINTAGE'!BJ155="Présent",'POINTAGE'!BK155,0),0),IF('POINTAGE'!$BL$5&lt;&gt;"",IF('POINTAGE'!BL155="Présent",'POINTAGE'!BM155,0),0)))</f>
      </c>
      <c r="Q155" s="24">
        <f>IF($A155="","",$N155*$D155)</f>
      </c>
      <c r="R155" s="24">
        <f>IF($A155="","",$P155*$E155)</f>
      </c>
      <c r="S155" s="25">
        <f>IF($A155="","",$Q155+$R155)</f>
      </c>
      <c r="T155" s="18"/>
      <c r="U155" s="25">
        <f>IF($A155="","",MAX(0,$S155-$T155))</f>
      </c>
      <c r="V155" s="25">
        <f>IF($A155="","",$K155+$S155)</f>
      </c>
      <c r="W155" s="24">
        <f>IF($A155="","",$L155+$T155)</f>
      </c>
      <c r="X155" s="25">
        <f>IF($A155="","",$M155+$U155)</f>
      </c>
      <c r="Y155" s="29">
        <f>IF($A155="","",$J155+$R155)</f>
      </c>
    </row>
    <row r="156">
      <c r="A156" s="20">
        <f>IF('POINTAGE'!A156="","",'POINTAGE'!A156)</f>
      </c>
      <c r="B156" s="19">
        <f>IF($A156="","",'POINTAGE'!B156)</f>
      </c>
      <c r="C156" s="20">
        <f>IF($A156="","",'POINTAGE'!C156)</f>
      </c>
      <c r="D156" s="24">
        <f>IF($A156="","",IFERROR(INDEX(Categories_Salaire,MATCH($C156,ListeCategories,0)),0))</f>
      </c>
      <c r="E156" s="24">
        <f>IF($A156="","",IF(IFERROR(INDEX(Categories_TauxHS,MATCH($C156,ListeCategories,0)),0)&gt;0,IFERROR(INDEX(Categories_TauxHS,MATCH($C156,ListeCategories,0)),0),TauxHSDefaut))</f>
      </c>
      <c r="F156" s="22">
        <f>IF($A156="","",SUM(IF('POINTAGE'!$D$5&lt;&gt;"",--('POINTAGE'!D156="Présent"),0),IF('POINTAGE'!$F$5&lt;&gt;"",--('POINTAGE'!F156="Présent"),0),IF('POINTAGE'!$H$5&lt;&gt;"",--('POINTAGE'!H156="Présent"),0),IF('POINTAGE'!$J$5&lt;&gt;"",--('POINTAGE'!J156="Présent"),0),IF('POINTAGE'!$L$5&lt;&gt;"",--('POINTAGE'!L156="Présent"),0),IF('POINTAGE'!$N$5&lt;&gt;"",--('POINTAGE'!N156="Présent"),0),IF('POINTAGE'!$P$5&lt;&gt;"",--('POINTAGE'!P156="Présent"),0),IF('POINTAGE'!$R$5&lt;&gt;"",--('POINTAGE'!R156="Présent"),0),IF('POINTAGE'!$T$5&lt;&gt;"",--('POINTAGE'!T156="Présent"),0),IF('POINTAGE'!$V$5&lt;&gt;"",--('POINTAGE'!V156="Présent"),0),IF('POINTAGE'!$X$5&lt;&gt;"",--('POINTAGE'!X156="Présent"),0),IF('POINTAGE'!$Z$5&lt;&gt;"",--('POINTAGE'!Z156="Présent"),0),IF('POINTAGE'!$AB$5&lt;&gt;"",--('POINTAGE'!AB156="Présent"),0),IF('POINTAGE'!$AD$5&lt;&gt;"",--('POINTAGE'!AD156="Présent"),0),IF('POINTAGE'!$AF$5&lt;&gt;"",--('POINTAGE'!AF156="Présent"),0)))</f>
      </c>
      <c r="G156" s="22">
        <f>IF($A156="","",SUM(IF('POINTAGE'!$D$5&lt;&gt;"",--('POINTAGE'!D156="Absent"),0),IF('POINTAGE'!$F$5&lt;&gt;"",--('POINTAGE'!F156="Absent"),0),IF('POINTAGE'!$H$5&lt;&gt;"",--('POINTAGE'!H156="Absent"),0),IF('POINTAGE'!$J$5&lt;&gt;"",--('POINTAGE'!J156="Absent"),0),IF('POINTAGE'!$L$5&lt;&gt;"",--('POINTAGE'!L156="Absent"),0),IF('POINTAGE'!$N$5&lt;&gt;"",--('POINTAGE'!N156="Absent"),0),IF('POINTAGE'!$P$5&lt;&gt;"",--('POINTAGE'!P156="Absent"),0),IF('POINTAGE'!$R$5&lt;&gt;"",--('POINTAGE'!R156="Absent"),0),IF('POINTAGE'!$T$5&lt;&gt;"",--('POINTAGE'!T156="Absent"),0),IF('POINTAGE'!$V$5&lt;&gt;"",--('POINTAGE'!V156="Absent"),0),IF('POINTAGE'!$X$5&lt;&gt;"",--('POINTAGE'!X156="Absent"),0),IF('POINTAGE'!$Z$5&lt;&gt;"",--('POINTAGE'!Z156="Absent"),0),IF('POINTAGE'!$AB$5&lt;&gt;"",--('POINTAGE'!AB156="Absent"),0),IF('POINTAGE'!$AD$5&lt;&gt;"",--('POINTAGE'!AD156="Absent"),0),IF('POINTAGE'!$AF$5&lt;&gt;"",--('POINTAGE'!AF156="Absent"),0)))</f>
      </c>
      <c r="H156" s="23">
        <f>IF($A156="","",SUM(IF('POINTAGE'!$D$5&lt;&gt;"",IF('POINTAGE'!D156="Présent",'POINTAGE'!E156,0),0),IF('POINTAGE'!$F$5&lt;&gt;"",IF('POINTAGE'!F156="Présent",'POINTAGE'!G156,0),0),IF('POINTAGE'!$H$5&lt;&gt;"",IF('POINTAGE'!H156="Présent",'POINTAGE'!I156,0),0),IF('POINTAGE'!$J$5&lt;&gt;"",IF('POINTAGE'!J156="Présent",'POINTAGE'!K156,0),0),IF('POINTAGE'!$L$5&lt;&gt;"",IF('POINTAGE'!L156="Présent",'POINTAGE'!M156,0),0),IF('POINTAGE'!$N$5&lt;&gt;"",IF('POINTAGE'!N156="Présent",'POINTAGE'!O156,0),0),IF('POINTAGE'!$P$5&lt;&gt;"",IF('POINTAGE'!P156="Présent",'POINTAGE'!Q156,0),0),IF('POINTAGE'!$R$5&lt;&gt;"",IF('POINTAGE'!R156="Présent",'POINTAGE'!S156,0),0),IF('POINTAGE'!$T$5&lt;&gt;"",IF('POINTAGE'!T156="Présent",'POINTAGE'!U156,0),0),IF('POINTAGE'!$V$5&lt;&gt;"",IF('POINTAGE'!V156="Présent",'POINTAGE'!W156,0),0),IF('POINTAGE'!$X$5&lt;&gt;"",IF('POINTAGE'!X156="Présent",'POINTAGE'!Y156,0),0),IF('POINTAGE'!$Z$5&lt;&gt;"",IF('POINTAGE'!Z156="Présent",'POINTAGE'!AA156,0),0),IF('POINTAGE'!$AB$5&lt;&gt;"",IF('POINTAGE'!AB156="Présent",'POINTAGE'!AC156,0),0),IF('POINTAGE'!$AD$5&lt;&gt;"",IF('POINTAGE'!AD156="Présent",'POINTAGE'!AE156,0),0),IF('POINTAGE'!$AF$5&lt;&gt;"",IF('POINTAGE'!AF156="Présent",'POINTAGE'!AG156,0),0)))</f>
      </c>
      <c r="I156" s="24">
        <f>IF($A156="","",$F156*$D156)</f>
      </c>
      <c r="J156" s="24">
        <f>IF($A156="","",$H156*$E156)</f>
      </c>
      <c r="K156" s="25">
        <f>IF($A156="","",$I156+$J156)</f>
      </c>
      <c r="L156" s="18"/>
      <c r="M156" s="25">
        <f>IF($A156="","",MAX(0,$K156-$L156))</f>
      </c>
      <c r="N156" s="22">
        <f>IF($A156="","",SUM(IF('POINTAGE'!$AH$5&lt;&gt;"",--('POINTAGE'!AH156="Présent"),0),IF('POINTAGE'!$AJ$5&lt;&gt;"",--('POINTAGE'!AJ156="Présent"),0),IF('POINTAGE'!$AL$5&lt;&gt;"",--('POINTAGE'!AL156="Présent"),0),IF('POINTAGE'!$AN$5&lt;&gt;"",--('POINTAGE'!AN156="Présent"),0),IF('POINTAGE'!$AP$5&lt;&gt;"",--('POINTAGE'!AP156="Présent"),0),IF('POINTAGE'!$AR$5&lt;&gt;"",--('POINTAGE'!AR156="Présent"),0),IF('POINTAGE'!$AT$5&lt;&gt;"",--('POINTAGE'!AT156="Présent"),0),IF('POINTAGE'!$AV$5&lt;&gt;"",--('POINTAGE'!AV156="Présent"),0),IF('POINTAGE'!$AX$5&lt;&gt;"",--('POINTAGE'!AX156="Présent"),0),IF('POINTAGE'!$AZ$5&lt;&gt;"",--('POINTAGE'!AZ156="Présent"),0),IF('POINTAGE'!$BB$5&lt;&gt;"",--('POINTAGE'!BB156="Présent"),0),IF('POINTAGE'!$BD$5&lt;&gt;"",--('POINTAGE'!BD156="Présent"),0),IF('POINTAGE'!$BF$5&lt;&gt;"",--('POINTAGE'!BF156="Présent"),0),IF('POINTAGE'!$BH$5&lt;&gt;"",--('POINTAGE'!BH156="Présent"),0),IF('POINTAGE'!$BJ$5&lt;&gt;"",--('POINTAGE'!BJ156="Présent"),0),IF('POINTAGE'!$BL$5&lt;&gt;"",--('POINTAGE'!BL156="Présent"),0)))</f>
      </c>
      <c r="O156" s="22">
        <f>IF($A156="","",SUM(IF('POINTAGE'!$AH$5&lt;&gt;"",--('POINTAGE'!AH156="Absent"),0),IF('POINTAGE'!$AJ$5&lt;&gt;"",--('POINTAGE'!AJ156="Absent"),0),IF('POINTAGE'!$AL$5&lt;&gt;"",--('POINTAGE'!AL156="Absent"),0),IF('POINTAGE'!$AN$5&lt;&gt;"",--('POINTAGE'!AN156="Absent"),0),IF('POINTAGE'!$AP$5&lt;&gt;"",--('POINTAGE'!AP156="Absent"),0),IF('POINTAGE'!$AR$5&lt;&gt;"",--('POINTAGE'!AR156="Absent"),0),IF('POINTAGE'!$AT$5&lt;&gt;"",--('POINTAGE'!AT156="Absent"),0),IF('POINTAGE'!$AV$5&lt;&gt;"",--('POINTAGE'!AV156="Absent"),0),IF('POINTAGE'!$AX$5&lt;&gt;"",--('POINTAGE'!AX156="Absent"),0),IF('POINTAGE'!$AZ$5&lt;&gt;"",--('POINTAGE'!AZ156="Absent"),0),IF('POINTAGE'!$BB$5&lt;&gt;"",--('POINTAGE'!BB156="Absent"),0),IF('POINTAGE'!$BD$5&lt;&gt;"",--('POINTAGE'!BD156="Absent"),0),IF('POINTAGE'!$BF$5&lt;&gt;"",--('POINTAGE'!BF156="Absent"),0),IF('POINTAGE'!$BH$5&lt;&gt;"",--('POINTAGE'!BH156="Absent"),0),IF('POINTAGE'!$BJ$5&lt;&gt;"",--('POINTAGE'!BJ156="Absent"),0),IF('POINTAGE'!$BL$5&lt;&gt;"",--('POINTAGE'!BL156="Absent"),0)))</f>
      </c>
      <c r="P156" s="23">
        <f>IF($A156="","",SUM(IF('POINTAGE'!$AH$5&lt;&gt;"",IF('POINTAGE'!AH156="Présent",'POINTAGE'!AI156,0),0),IF('POINTAGE'!$AJ$5&lt;&gt;"",IF('POINTAGE'!AJ156="Présent",'POINTAGE'!AK156,0),0),IF('POINTAGE'!$AL$5&lt;&gt;"",IF('POINTAGE'!AL156="Présent",'POINTAGE'!AM156,0),0),IF('POINTAGE'!$AN$5&lt;&gt;"",IF('POINTAGE'!AN156="Présent",'POINTAGE'!AO156,0),0),IF('POINTAGE'!$AP$5&lt;&gt;"",IF('POINTAGE'!AP156="Présent",'POINTAGE'!AQ156,0),0),IF('POINTAGE'!$AR$5&lt;&gt;"",IF('POINTAGE'!AR156="Présent",'POINTAGE'!AS156,0),0),IF('POINTAGE'!$AT$5&lt;&gt;"",IF('POINTAGE'!AT156="Présent",'POINTAGE'!AU156,0),0),IF('POINTAGE'!$AV$5&lt;&gt;"",IF('POINTAGE'!AV156="Présent",'POINTAGE'!AW156,0),0),IF('POINTAGE'!$AX$5&lt;&gt;"",IF('POINTAGE'!AX156="Présent",'POINTAGE'!AY156,0),0),IF('POINTAGE'!$AZ$5&lt;&gt;"",IF('POINTAGE'!AZ156="Présent",'POINTAGE'!BA156,0),0),IF('POINTAGE'!$BB$5&lt;&gt;"",IF('POINTAGE'!BB156="Présent",'POINTAGE'!BC156,0),0),IF('POINTAGE'!$BD$5&lt;&gt;"",IF('POINTAGE'!BD156="Présent",'POINTAGE'!BE156,0),0),IF('POINTAGE'!$BF$5&lt;&gt;"",IF('POINTAGE'!BF156="Présent",'POINTAGE'!BG156,0),0),IF('POINTAGE'!$BH$5&lt;&gt;"",IF('POINTAGE'!BH156="Présent",'POINTAGE'!BI156,0),0),IF('POINTAGE'!$BJ$5&lt;&gt;"",IF('POINTAGE'!BJ156="Présent",'POINTAGE'!BK156,0),0),IF('POINTAGE'!$BL$5&lt;&gt;"",IF('POINTAGE'!BL156="Présent",'POINTAGE'!BM156,0),0)))</f>
      </c>
      <c r="Q156" s="24">
        <f>IF($A156="","",$N156*$D156)</f>
      </c>
      <c r="R156" s="24">
        <f>IF($A156="","",$P156*$E156)</f>
      </c>
      <c r="S156" s="25">
        <f>IF($A156="","",$Q156+$R156)</f>
      </c>
      <c r="T156" s="18"/>
      <c r="U156" s="25">
        <f>IF($A156="","",MAX(0,$S156-$T156))</f>
      </c>
      <c r="V156" s="25">
        <f>IF($A156="","",$K156+$S156)</f>
      </c>
      <c r="W156" s="24">
        <f>IF($A156="","",$L156+$T156)</f>
      </c>
      <c r="X156" s="25">
        <f>IF($A156="","",$M156+$U156)</f>
      </c>
      <c r="Y156" s="29">
        <f>IF($A156="","",$J156+$R156)</f>
      </c>
    </row>
    <row r="157">
      <c r="A157" s="20">
        <f>IF('POINTAGE'!A157="","",'POINTAGE'!A157)</f>
      </c>
      <c r="B157" s="19">
        <f>IF($A157="","",'POINTAGE'!B157)</f>
      </c>
      <c r="C157" s="20">
        <f>IF($A157="","",'POINTAGE'!C157)</f>
      </c>
      <c r="D157" s="24">
        <f>IF($A157="","",IFERROR(INDEX(Categories_Salaire,MATCH($C157,ListeCategories,0)),0))</f>
      </c>
      <c r="E157" s="24">
        <f>IF($A157="","",IF(IFERROR(INDEX(Categories_TauxHS,MATCH($C157,ListeCategories,0)),0)&gt;0,IFERROR(INDEX(Categories_TauxHS,MATCH($C157,ListeCategories,0)),0),TauxHSDefaut))</f>
      </c>
      <c r="F157" s="22">
        <f>IF($A157="","",SUM(IF('POINTAGE'!$D$5&lt;&gt;"",--('POINTAGE'!D157="Présent"),0),IF('POINTAGE'!$F$5&lt;&gt;"",--('POINTAGE'!F157="Présent"),0),IF('POINTAGE'!$H$5&lt;&gt;"",--('POINTAGE'!H157="Présent"),0),IF('POINTAGE'!$J$5&lt;&gt;"",--('POINTAGE'!J157="Présent"),0),IF('POINTAGE'!$L$5&lt;&gt;"",--('POINTAGE'!L157="Présent"),0),IF('POINTAGE'!$N$5&lt;&gt;"",--('POINTAGE'!N157="Présent"),0),IF('POINTAGE'!$P$5&lt;&gt;"",--('POINTAGE'!P157="Présent"),0),IF('POINTAGE'!$R$5&lt;&gt;"",--('POINTAGE'!R157="Présent"),0),IF('POINTAGE'!$T$5&lt;&gt;"",--('POINTAGE'!T157="Présent"),0),IF('POINTAGE'!$V$5&lt;&gt;"",--('POINTAGE'!V157="Présent"),0),IF('POINTAGE'!$X$5&lt;&gt;"",--('POINTAGE'!X157="Présent"),0),IF('POINTAGE'!$Z$5&lt;&gt;"",--('POINTAGE'!Z157="Présent"),0),IF('POINTAGE'!$AB$5&lt;&gt;"",--('POINTAGE'!AB157="Présent"),0),IF('POINTAGE'!$AD$5&lt;&gt;"",--('POINTAGE'!AD157="Présent"),0),IF('POINTAGE'!$AF$5&lt;&gt;"",--('POINTAGE'!AF157="Présent"),0)))</f>
      </c>
      <c r="G157" s="22">
        <f>IF($A157="","",SUM(IF('POINTAGE'!$D$5&lt;&gt;"",--('POINTAGE'!D157="Absent"),0),IF('POINTAGE'!$F$5&lt;&gt;"",--('POINTAGE'!F157="Absent"),0),IF('POINTAGE'!$H$5&lt;&gt;"",--('POINTAGE'!H157="Absent"),0),IF('POINTAGE'!$J$5&lt;&gt;"",--('POINTAGE'!J157="Absent"),0),IF('POINTAGE'!$L$5&lt;&gt;"",--('POINTAGE'!L157="Absent"),0),IF('POINTAGE'!$N$5&lt;&gt;"",--('POINTAGE'!N157="Absent"),0),IF('POINTAGE'!$P$5&lt;&gt;"",--('POINTAGE'!P157="Absent"),0),IF('POINTAGE'!$R$5&lt;&gt;"",--('POINTAGE'!R157="Absent"),0),IF('POINTAGE'!$T$5&lt;&gt;"",--('POINTAGE'!T157="Absent"),0),IF('POINTAGE'!$V$5&lt;&gt;"",--('POINTAGE'!V157="Absent"),0),IF('POINTAGE'!$X$5&lt;&gt;"",--('POINTAGE'!X157="Absent"),0),IF('POINTAGE'!$Z$5&lt;&gt;"",--('POINTAGE'!Z157="Absent"),0),IF('POINTAGE'!$AB$5&lt;&gt;"",--('POINTAGE'!AB157="Absent"),0),IF('POINTAGE'!$AD$5&lt;&gt;"",--('POINTAGE'!AD157="Absent"),0),IF('POINTAGE'!$AF$5&lt;&gt;"",--('POINTAGE'!AF157="Absent"),0)))</f>
      </c>
      <c r="H157" s="23">
        <f>IF($A157="","",SUM(IF('POINTAGE'!$D$5&lt;&gt;"",IF('POINTAGE'!D157="Présent",'POINTAGE'!E157,0),0),IF('POINTAGE'!$F$5&lt;&gt;"",IF('POINTAGE'!F157="Présent",'POINTAGE'!G157,0),0),IF('POINTAGE'!$H$5&lt;&gt;"",IF('POINTAGE'!H157="Présent",'POINTAGE'!I157,0),0),IF('POINTAGE'!$J$5&lt;&gt;"",IF('POINTAGE'!J157="Présent",'POINTAGE'!K157,0),0),IF('POINTAGE'!$L$5&lt;&gt;"",IF('POINTAGE'!L157="Présent",'POINTAGE'!M157,0),0),IF('POINTAGE'!$N$5&lt;&gt;"",IF('POINTAGE'!N157="Présent",'POINTAGE'!O157,0),0),IF('POINTAGE'!$P$5&lt;&gt;"",IF('POINTAGE'!P157="Présent",'POINTAGE'!Q157,0),0),IF('POINTAGE'!$R$5&lt;&gt;"",IF('POINTAGE'!R157="Présent",'POINTAGE'!S157,0),0),IF('POINTAGE'!$T$5&lt;&gt;"",IF('POINTAGE'!T157="Présent",'POINTAGE'!U157,0),0),IF('POINTAGE'!$V$5&lt;&gt;"",IF('POINTAGE'!V157="Présent",'POINTAGE'!W157,0),0),IF('POINTAGE'!$X$5&lt;&gt;"",IF('POINTAGE'!X157="Présent",'POINTAGE'!Y157,0),0),IF('POINTAGE'!$Z$5&lt;&gt;"",IF('POINTAGE'!Z157="Présent",'POINTAGE'!AA157,0),0),IF('POINTAGE'!$AB$5&lt;&gt;"",IF('POINTAGE'!AB157="Présent",'POINTAGE'!AC157,0),0),IF('POINTAGE'!$AD$5&lt;&gt;"",IF('POINTAGE'!AD157="Présent",'POINTAGE'!AE157,0),0),IF('POINTAGE'!$AF$5&lt;&gt;"",IF('POINTAGE'!AF157="Présent",'POINTAGE'!AG157,0),0)))</f>
      </c>
      <c r="I157" s="24">
        <f>IF($A157="","",$F157*$D157)</f>
      </c>
      <c r="J157" s="24">
        <f>IF($A157="","",$H157*$E157)</f>
      </c>
      <c r="K157" s="25">
        <f>IF($A157="","",$I157+$J157)</f>
      </c>
      <c r="L157" s="18"/>
      <c r="M157" s="25">
        <f>IF($A157="","",MAX(0,$K157-$L157))</f>
      </c>
      <c r="N157" s="22">
        <f>IF($A157="","",SUM(IF('POINTAGE'!$AH$5&lt;&gt;"",--('POINTAGE'!AH157="Présent"),0),IF('POINTAGE'!$AJ$5&lt;&gt;"",--('POINTAGE'!AJ157="Présent"),0),IF('POINTAGE'!$AL$5&lt;&gt;"",--('POINTAGE'!AL157="Présent"),0),IF('POINTAGE'!$AN$5&lt;&gt;"",--('POINTAGE'!AN157="Présent"),0),IF('POINTAGE'!$AP$5&lt;&gt;"",--('POINTAGE'!AP157="Présent"),0),IF('POINTAGE'!$AR$5&lt;&gt;"",--('POINTAGE'!AR157="Présent"),0),IF('POINTAGE'!$AT$5&lt;&gt;"",--('POINTAGE'!AT157="Présent"),0),IF('POINTAGE'!$AV$5&lt;&gt;"",--('POINTAGE'!AV157="Présent"),0),IF('POINTAGE'!$AX$5&lt;&gt;"",--('POINTAGE'!AX157="Présent"),0),IF('POINTAGE'!$AZ$5&lt;&gt;"",--('POINTAGE'!AZ157="Présent"),0),IF('POINTAGE'!$BB$5&lt;&gt;"",--('POINTAGE'!BB157="Présent"),0),IF('POINTAGE'!$BD$5&lt;&gt;"",--('POINTAGE'!BD157="Présent"),0),IF('POINTAGE'!$BF$5&lt;&gt;"",--('POINTAGE'!BF157="Présent"),0),IF('POINTAGE'!$BH$5&lt;&gt;"",--('POINTAGE'!BH157="Présent"),0),IF('POINTAGE'!$BJ$5&lt;&gt;"",--('POINTAGE'!BJ157="Présent"),0),IF('POINTAGE'!$BL$5&lt;&gt;"",--('POINTAGE'!BL157="Présent"),0)))</f>
      </c>
      <c r="O157" s="22">
        <f>IF($A157="","",SUM(IF('POINTAGE'!$AH$5&lt;&gt;"",--('POINTAGE'!AH157="Absent"),0),IF('POINTAGE'!$AJ$5&lt;&gt;"",--('POINTAGE'!AJ157="Absent"),0),IF('POINTAGE'!$AL$5&lt;&gt;"",--('POINTAGE'!AL157="Absent"),0),IF('POINTAGE'!$AN$5&lt;&gt;"",--('POINTAGE'!AN157="Absent"),0),IF('POINTAGE'!$AP$5&lt;&gt;"",--('POINTAGE'!AP157="Absent"),0),IF('POINTAGE'!$AR$5&lt;&gt;"",--('POINTAGE'!AR157="Absent"),0),IF('POINTAGE'!$AT$5&lt;&gt;"",--('POINTAGE'!AT157="Absent"),0),IF('POINTAGE'!$AV$5&lt;&gt;"",--('POINTAGE'!AV157="Absent"),0),IF('POINTAGE'!$AX$5&lt;&gt;"",--('POINTAGE'!AX157="Absent"),0),IF('POINTAGE'!$AZ$5&lt;&gt;"",--('POINTAGE'!AZ157="Absent"),0),IF('POINTAGE'!$BB$5&lt;&gt;"",--('POINTAGE'!BB157="Absent"),0),IF('POINTAGE'!$BD$5&lt;&gt;"",--('POINTAGE'!BD157="Absent"),0),IF('POINTAGE'!$BF$5&lt;&gt;"",--('POINTAGE'!BF157="Absent"),0),IF('POINTAGE'!$BH$5&lt;&gt;"",--('POINTAGE'!BH157="Absent"),0),IF('POINTAGE'!$BJ$5&lt;&gt;"",--('POINTAGE'!BJ157="Absent"),0),IF('POINTAGE'!$BL$5&lt;&gt;"",--('POINTAGE'!BL157="Absent"),0)))</f>
      </c>
      <c r="P157" s="23">
        <f>IF($A157="","",SUM(IF('POINTAGE'!$AH$5&lt;&gt;"",IF('POINTAGE'!AH157="Présent",'POINTAGE'!AI157,0),0),IF('POINTAGE'!$AJ$5&lt;&gt;"",IF('POINTAGE'!AJ157="Présent",'POINTAGE'!AK157,0),0),IF('POINTAGE'!$AL$5&lt;&gt;"",IF('POINTAGE'!AL157="Présent",'POINTAGE'!AM157,0),0),IF('POINTAGE'!$AN$5&lt;&gt;"",IF('POINTAGE'!AN157="Présent",'POINTAGE'!AO157,0),0),IF('POINTAGE'!$AP$5&lt;&gt;"",IF('POINTAGE'!AP157="Présent",'POINTAGE'!AQ157,0),0),IF('POINTAGE'!$AR$5&lt;&gt;"",IF('POINTAGE'!AR157="Présent",'POINTAGE'!AS157,0),0),IF('POINTAGE'!$AT$5&lt;&gt;"",IF('POINTAGE'!AT157="Présent",'POINTAGE'!AU157,0),0),IF('POINTAGE'!$AV$5&lt;&gt;"",IF('POINTAGE'!AV157="Présent",'POINTAGE'!AW157,0),0),IF('POINTAGE'!$AX$5&lt;&gt;"",IF('POINTAGE'!AX157="Présent",'POINTAGE'!AY157,0),0),IF('POINTAGE'!$AZ$5&lt;&gt;"",IF('POINTAGE'!AZ157="Présent",'POINTAGE'!BA157,0),0),IF('POINTAGE'!$BB$5&lt;&gt;"",IF('POINTAGE'!BB157="Présent",'POINTAGE'!BC157,0),0),IF('POINTAGE'!$BD$5&lt;&gt;"",IF('POINTAGE'!BD157="Présent",'POINTAGE'!BE157,0),0),IF('POINTAGE'!$BF$5&lt;&gt;"",IF('POINTAGE'!BF157="Présent",'POINTAGE'!BG157,0),0),IF('POINTAGE'!$BH$5&lt;&gt;"",IF('POINTAGE'!BH157="Présent",'POINTAGE'!BI157,0),0),IF('POINTAGE'!$BJ$5&lt;&gt;"",IF('POINTAGE'!BJ157="Présent",'POINTAGE'!BK157,0),0),IF('POINTAGE'!$BL$5&lt;&gt;"",IF('POINTAGE'!BL157="Présent",'POINTAGE'!BM157,0),0)))</f>
      </c>
      <c r="Q157" s="24">
        <f>IF($A157="","",$N157*$D157)</f>
      </c>
      <c r="R157" s="24">
        <f>IF($A157="","",$P157*$E157)</f>
      </c>
      <c r="S157" s="25">
        <f>IF($A157="","",$Q157+$R157)</f>
      </c>
      <c r="T157" s="18"/>
      <c r="U157" s="25">
        <f>IF($A157="","",MAX(0,$S157-$T157))</f>
      </c>
      <c r="V157" s="25">
        <f>IF($A157="","",$K157+$S157)</f>
      </c>
      <c r="W157" s="24">
        <f>IF($A157="","",$L157+$T157)</f>
      </c>
      <c r="X157" s="25">
        <f>IF($A157="","",$M157+$U157)</f>
      </c>
      <c r="Y157" s="29">
        <f>IF($A157="","",$J157+$R157)</f>
      </c>
    </row>
    <row r="158">
      <c r="A158" s="20">
        <f>IF('POINTAGE'!A158="","",'POINTAGE'!A158)</f>
      </c>
      <c r="B158" s="19">
        <f>IF($A158="","",'POINTAGE'!B158)</f>
      </c>
      <c r="C158" s="20">
        <f>IF($A158="","",'POINTAGE'!C158)</f>
      </c>
      <c r="D158" s="24">
        <f>IF($A158="","",IFERROR(INDEX(Categories_Salaire,MATCH($C158,ListeCategories,0)),0))</f>
      </c>
      <c r="E158" s="24">
        <f>IF($A158="","",IF(IFERROR(INDEX(Categories_TauxHS,MATCH($C158,ListeCategories,0)),0)&gt;0,IFERROR(INDEX(Categories_TauxHS,MATCH($C158,ListeCategories,0)),0),TauxHSDefaut))</f>
      </c>
      <c r="F158" s="22">
        <f>IF($A158="","",SUM(IF('POINTAGE'!$D$5&lt;&gt;"",--('POINTAGE'!D158="Présent"),0),IF('POINTAGE'!$F$5&lt;&gt;"",--('POINTAGE'!F158="Présent"),0),IF('POINTAGE'!$H$5&lt;&gt;"",--('POINTAGE'!H158="Présent"),0),IF('POINTAGE'!$J$5&lt;&gt;"",--('POINTAGE'!J158="Présent"),0),IF('POINTAGE'!$L$5&lt;&gt;"",--('POINTAGE'!L158="Présent"),0),IF('POINTAGE'!$N$5&lt;&gt;"",--('POINTAGE'!N158="Présent"),0),IF('POINTAGE'!$P$5&lt;&gt;"",--('POINTAGE'!P158="Présent"),0),IF('POINTAGE'!$R$5&lt;&gt;"",--('POINTAGE'!R158="Présent"),0),IF('POINTAGE'!$T$5&lt;&gt;"",--('POINTAGE'!T158="Présent"),0),IF('POINTAGE'!$V$5&lt;&gt;"",--('POINTAGE'!V158="Présent"),0),IF('POINTAGE'!$X$5&lt;&gt;"",--('POINTAGE'!X158="Présent"),0),IF('POINTAGE'!$Z$5&lt;&gt;"",--('POINTAGE'!Z158="Présent"),0),IF('POINTAGE'!$AB$5&lt;&gt;"",--('POINTAGE'!AB158="Présent"),0),IF('POINTAGE'!$AD$5&lt;&gt;"",--('POINTAGE'!AD158="Présent"),0),IF('POINTAGE'!$AF$5&lt;&gt;"",--('POINTAGE'!AF158="Présent"),0)))</f>
      </c>
      <c r="G158" s="22">
        <f>IF($A158="","",SUM(IF('POINTAGE'!$D$5&lt;&gt;"",--('POINTAGE'!D158="Absent"),0),IF('POINTAGE'!$F$5&lt;&gt;"",--('POINTAGE'!F158="Absent"),0),IF('POINTAGE'!$H$5&lt;&gt;"",--('POINTAGE'!H158="Absent"),0),IF('POINTAGE'!$J$5&lt;&gt;"",--('POINTAGE'!J158="Absent"),0),IF('POINTAGE'!$L$5&lt;&gt;"",--('POINTAGE'!L158="Absent"),0),IF('POINTAGE'!$N$5&lt;&gt;"",--('POINTAGE'!N158="Absent"),0),IF('POINTAGE'!$P$5&lt;&gt;"",--('POINTAGE'!P158="Absent"),0),IF('POINTAGE'!$R$5&lt;&gt;"",--('POINTAGE'!R158="Absent"),0),IF('POINTAGE'!$T$5&lt;&gt;"",--('POINTAGE'!T158="Absent"),0),IF('POINTAGE'!$V$5&lt;&gt;"",--('POINTAGE'!V158="Absent"),0),IF('POINTAGE'!$X$5&lt;&gt;"",--('POINTAGE'!X158="Absent"),0),IF('POINTAGE'!$Z$5&lt;&gt;"",--('POINTAGE'!Z158="Absent"),0),IF('POINTAGE'!$AB$5&lt;&gt;"",--('POINTAGE'!AB158="Absent"),0),IF('POINTAGE'!$AD$5&lt;&gt;"",--('POINTAGE'!AD158="Absent"),0),IF('POINTAGE'!$AF$5&lt;&gt;"",--('POINTAGE'!AF158="Absent"),0)))</f>
      </c>
      <c r="H158" s="23">
        <f>IF($A158="","",SUM(IF('POINTAGE'!$D$5&lt;&gt;"",IF('POINTAGE'!D158="Présent",'POINTAGE'!E158,0),0),IF('POINTAGE'!$F$5&lt;&gt;"",IF('POINTAGE'!F158="Présent",'POINTAGE'!G158,0),0),IF('POINTAGE'!$H$5&lt;&gt;"",IF('POINTAGE'!H158="Présent",'POINTAGE'!I158,0),0),IF('POINTAGE'!$J$5&lt;&gt;"",IF('POINTAGE'!J158="Présent",'POINTAGE'!K158,0),0),IF('POINTAGE'!$L$5&lt;&gt;"",IF('POINTAGE'!L158="Présent",'POINTAGE'!M158,0),0),IF('POINTAGE'!$N$5&lt;&gt;"",IF('POINTAGE'!N158="Présent",'POINTAGE'!O158,0),0),IF('POINTAGE'!$P$5&lt;&gt;"",IF('POINTAGE'!P158="Présent",'POINTAGE'!Q158,0),0),IF('POINTAGE'!$R$5&lt;&gt;"",IF('POINTAGE'!R158="Présent",'POINTAGE'!S158,0),0),IF('POINTAGE'!$T$5&lt;&gt;"",IF('POINTAGE'!T158="Présent",'POINTAGE'!U158,0),0),IF('POINTAGE'!$V$5&lt;&gt;"",IF('POINTAGE'!V158="Présent",'POINTAGE'!W158,0),0),IF('POINTAGE'!$X$5&lt;&gt;"",IF('POINTAGE'!X158="Présent",'POINTAGE'!Y158,0),0),IF('POINTAGE'!$Z$5&lt;&gt;"",IF('POINTAGE'!Z158="Présent",'POINTAGE'!AA158,0),0),IF('POINTAGE'!$AB$5&lt;&gt;"",IF('POINTAGE'!AB158="Présent",'POINTAGE'!AC158,0),0),IF('POINTAGE'!$AD$5&lt;&gt;"",IF('POINTAGE'!AD158="Présent",'POINTAGE'!AE158,0),0),IF('POINTAGE'!$AF$5&lt;&gt;"",IF('POINTAGE'!AF158="Présent",'POINTAGE'!AG158,0),0)))</f>
      </c>
      <c r="I158" s="24">
        <f>IF($A158="","",$F158*$D158)</f>
      </c>
      <c r="J158" s="24">
        <f>IF($A158="","",$H158*$E158)</f>
      </c>
      <c r="K158" s="25">
        <f>IF($A158="","",$I158+$J158)</f>
      </c>
      <c r="L158" s="18"/>
      <c r="M158" s="25">
        <f>IF($A158="","",MAX(0,$K158-$L158))</f>
      </c>
      <c r="N158" s="22">
        <f>IF($A158="","",SUM(IF('POINTAGE'!$AH$5&lt;&gt;"",--('POINTAGE'!AH158="Présent"),0),IF('POINTAGE'!$AJ$5&lt;&gt;"",--('POINTAGE'!AJ158="Présent"),0),IF('POINTAGE'!$AL$5&lt;&gt;"",--('POINTAGE'!AL158="Présent"),0),IF('POINTAGE'!$AN$5&lt;&gt;"",--('POINTAGE'!AN158="Présent"),0),IF('POINTAGE'!$AP$5&lt;&gt;"",--('POINTAGE'!AP158="Présent"),0),IF('POINTAGE'!$AR$5&lt;&gt;"",--('POINTAGE'!AR158="Présent"),0),IF('POINTAGE'!$AT$5&lt;&gt;"",--('POINTAGE'!AT158="Présent"),0),IF('POINTAGE'!$AV$5&lt;&gt;"",--('POINTAGE'!AV158="Présent"),0),IF('POINTAGE'!$AX$5&lt;&gt;"",--('POINTAGE'!AX158="Présent"),0),IF('POINTAGE'!$AZ$5&lt;&gt;"",--('POINTAGE'!AZ158="Présent"),0),IF('POINTAGE'!$BB$5&lt;&gt;"",--('POINTAGE'!BB158="Présent"),0),IF('POINTAGE'!$BD$5&lt;&gt;"",--('POINTAGE'!BD158="Présent"),0),IF('POINTAGE'!$BF$5&lt;&gt;"",--('POINTAGE'!BF158="Présent"),0),IF('POINTAGE'!$BH$5&lt;&gt;"",--('POINTAGE'!BH158="Présent"),0),IF('POINTAGE'!$BJ$5&lt;&gt;"",--('POINTAGE'!BJ158="Présent"),0),IF('POINTAGE'!$BL$5&lt;&gt;"",--('POINTAGE'!BL158="Présent"),0)))</f>
      </c>
      <c r="O158" s="22">
        <f>IF($A158="","",SUM(IF('POINTAGE'!$AH$5&lt;&gt;"",--('POINTAGE'!AH158="Absent"),0),IF('POINTAGE'!$AJ$5&lt;&gt;"",--('POINTAGE'!AJ158="Absent"),0),IF('POINTAGE'!$AL$5&lt;&gt;"",--('POINTAGE'!AL158="Absent"),0),IF('POINTAGE'!$AN$5&lt;&gt;"",--('POINTAGE'!AN158="Absent"),0),IF('POINTAGE'!$AP$5&lt;&gt;"",--('POINTAGE'!AP158="Absent"),0),IF('POINTAGE'!$AR$5&lt;&gt;"",--('POINTAGE'!AR158="Absent"),0),IF('POINTAGE'!$AT$5&lt;&gt;"",--('POINTAGE'!AT158="Absent"),0),IF('POINTAGE'!$AV$5&lt;&gt;"",--('POINTAGE'!AV158="Absent"),0),IF('POINTAGE'!$AX$5&lt;&gt;"",--('POINTAGE'!AX158="Absent"),0),IF('POINTAGE'!$AZ$5&lt;&gt;"",--('POINTAGE'!AZ158="Absent"),0),IF('POINTAGE'!$BB$5&lt;&gt;"",--('POINTAGE'!BB158="Absent"),0),IF('POINTAGE'!$BD$5&lt;&gt;"",--('POINTAGE'!BD158="Absent"),0),IF('POINTAGE'!$BF$5&lt;&gt;"",--('POINTAGE'!BF158="Absent"),0),IF('POINTAGE'!$BH$5&lt;&gt;"",--('POINTAGE'!BH158="Absent"),0),IF('POINTAGE'!$BJ$5&lt;&gt;"",--('POINTAGE'!BJ158="Absent"),0),IF('POINTAGE'!$BL$5&lt;&gt;"",--('POINTAGE'!BL158="Absent"),0)))</f>
      </c>
      <c r="P158" s="23">
        <f>IF($A158="","",SUM(IF('POINTAGE'!$AH$5&lt;&gt;"",IF('POINTAGE'!AH158="Présent",'POINTAGE'!AI158,0),0),IF('POINTAGE'!$AJ$5&lt;&gt;"",IF('POINTAGE'!AJ158="Présent",'POINTAGE'!AK158,0),0),IF('POINTAGE'!$AL$5&lt;&gt;"",IF('POINTAGE'!AL158="Présent",'POINTAGE'!AM158,0),0),IF('POINTAGE'!$AN$5&lt;&gt;"",IF('POINTAGE'!AN158="Présent",'POINTAGE'!AO158,0),0),IF('POINTAGE'!$AP$5&lt;&gt;"",IF('POINTAGE'!AP158="Présent",'POINTAGE'!AQ158,0),0),IF('POINTAGE'!$AR$5&lt;&gt;"",IF('POINTAGE'!AR158="Présent",'POINTAGE'!AS158,0),0),IF('POINTAGE'!$AT$5&lt;&gt;"",IF('POINTAGE'!AT158="Présent",'POINTAGE'!AU158,0),0),IF('POINTAGE'!$AV$5&lt;&gt;"",IF('POINTAGE'!AV158="Présent",'POINTAGE'!AW158,0),0),IF('POINTAGE'!$AX$5&lt;&gt;"",IF('POINTAGE'!AX158="Présent",'POINTAGE'!AY158,0),0),IF('POINTAGE'!$AZ$5&lt;&gt;"",IF('POINTAGE'!AZ158="Présent",'POINTAGE'!BA158,0),0),IF('POINTAGE'!$BB$5&lt;&gt;"",IF('POINTAGE'!BB158="Présent",'POINTAGE'!BC158,0),0),IF('POINTAGE'!$BD$5&lt;&gt;"",IF('POINTAGE'!BD158="Présent",'POINTAGE'!BE158,0),0),IF('POINTAGE'!$BF$5&lt;&gt;"",IF('POINTAGE'!BF158="Présent",'POINTAGE'!BG158,0),0),IF('POINTAGE'!$BH$5&lt;&gt;"",IF('POINTAGE'!BH158="Présent",'POINTAGE'!BI158,0),0),IF('POINTAGE'!$BJ$5&lt;&gt;"",IF('POINTAGE'!BJ158="Présent",'POINTAGE'!BK158,0),0),IF('POINTAGE'!$BL$5&lt;&gt;"",IF('POINTAGE'!BL158="Présent",'POINTAGE'!BM158,0),0)))</f>
      </c>
      <c r="Q158" s="24">
        <f>IF($A158="","",$N158*$D158)</f>
      </c>
      <c r="R158" s="24">
        <f>IF($A158="","",$P158*$E158)</f>
      </c>
      <c r="S158" s="25">
        <f>IF($A158="","",$Q158+$R158)</f>
      </c>
      <c r="T158" s="18"/>
      <c r="U158" s="25">
        <f>IF($A158="","",MAX(0,$S158-$T158))</f>
      </c>
      <c r="V158" s="25">
        <f>IF($A158="","",$K158+$S158)</f>
      </c>
      <c r="W158" s="24">
        <f>IF($A158="","",$L158+$T158)</f>
      </c>
      <c r="X158" s="25">
        <f>IF($A158="","",$M158+$U158)</f>
      </c>
      <c r="Y158" s="29">
        <f>IF($A158="","",$J158+$R158)</f>
      </c>
    </row>
    <row r="159">
      <c r="A159" s="20">
        <f>IF('POINTAGE'!A159="","",'POINTAGE'!A159)</f>
      </c>
      <c r="B159" s="19">
        <f>IF($A159="","",'POINTAGE'!B159)</f>
      </c>
      <c r="C159" s="20">
        <f>IF($A159="","",'POINTAGE'!C159)</f>
      </c>
      <c r="D159" s="24">
        <f>IF($A159="","",IFERROR(INDEX(Categories_Salaire,MATCH($C159,ListeCategories,0)),0))</f>
      </c>
      <c r="E159" s="24">
        <f>IF($A159="","",IF(IFERROR(INDEX(Categories_TauxHS,MATCH($C159,ListeCategories,0)),0)&gt;0,IFERROR(INDEX(Categories_TauxHS,MATCH($C159,ListeCategories,0)),0),TauxHSDefaut))</f>
      </c>
      <c r="F159" s="22">
        <f>IF($A159="","",SUM(IF('POINTAGE'!$D$5&lt;&gt;"",--('POINTAGE'!D159="Présent"),0),IF('POINTAGE'!$F$5&lt;&gt;"",--('POINTAGE'!F159="Présent"),0),IF('POINTAGE'!$H$5&lt;&gt;"",--('POINTAGE'!H159="Présent"),0),IF('POINTAGE'!$J$5&lt;&gt;"",--('POINTAGE'!J159="Présent"),0),IF('POINTAGE'!$L$5&lt;&gt;"",--('POINTAGE'!L159="Présent"),0),IF('POINTAGE'!$N$5&lt;&gt;"",--('POINTAGE'!N159="Présent"),0),IF('POINTAGE'!$P$5&lt;&gt;"",--('POINTAGE'!P159="Présent"),0),IF('POINTAGE'!$R$5&lt;&gt;"",--('POINTAGE'!R159="Présent"),0),IF('POINTAGE'!$T$5&lt;&gt;"",--('POINTAGE'!T159="Présent"),0),IF('POINTAGE'!$V$5&lt;&gt;"",--('POINTAGE'!V159="Présent"),0),IF('POINTAGE'!$X$5&lt;&gt;"",--('POINTAGE'!X159="Présent"),0),IF('POINTAGE'!$Z$5&lt;&gt;"",--('POINTAGE'!Z159="Présent"),0),IF('POINTAGE'!$AB$5&lt;&gt;"",--('POINTAGE'!AB159="Présent"),0),IF('POINTAGE'!$AD$5&lt;&gt;"",--('POINTAGE'!AD159="Présent"),0),IF('POINTAGE'!$AF$5&lt;&gt;"",--('POINTAGE'!AF159="Présent"),0)))</f>
      </c>
      <c r="G159" s="22">
        <f>IF($A159="","",SUM(IF('POINTAGE'!$D$5&lt;&gt;"",--('POINTAGE'!D159="Absent"),0),IF('POINTAGE'!$F$5&lt;&gt;"",--('POINTAGE'!F159="Absent"),0),IF('POINTAGE'!$H$5&lt;&gt;"",--('POINTAGE'!H159="Absent"),0),IF('POINTAGE'!$J$5&lt;&gt;"",--('POINTAGE'!J159="Absent"),0),IF('POINTAGE'!$L$5&lt;&gt;"",--('POINTAGE'!L159="Absent"),0),IF('POINTAGE'!$N$5&lt;&gt;"",--('POINTAGE'!N159="Absent"),0),IF('POINTAGE'!$P$5&lt;&gt;"",--('POINTAGE'!P159="Absent"),0),IF('POINTAGE'!$R$5&lt;&gt;"",--('POINTAGE'!R159="Absent"),0),IF('POINTAGE'!$T$5&lt;&gt;"",--('POINTAGE'!T159="Absent"),0),IF('POINTAGE'!$V$5&lt;&gt;"",--('POINTAGE'!V159="Absent"),0),IF('POINTAGE'!$X$5&lt;&gt;"",--('POINTAGE'!X159="Absent"),0),IF('POINTAGE'!$Z$5&lt;&gt;"",--('POINTAGE'!Z159="Absent"),0),IF('POINTAGE'!$AB$5&lt;&gt;"",--('POINTAGE'!AB159="Absent"),0),IF('POINTAGE'!$AD$5&lt;&gt;"",--('POINTAGE'!AD159="Absent"),0),IF('POINTAGE'!$AF$5&lt;&gt;"",--('POINTAGE'!AF159="Absent"),0)))</f>
      </c>
      <c r="H159" s="23">
        <f>IF($A159="","",SUM(IF('POINTAGE'!$D$5&lt;&gt;"",IF('POINTAGE'!D159="Présent",'POINTAGE'!E159,0),0),IF('POINTAGE'!$F$5&lt;&gt;"",IF('POINTAGE'!F159="Présent",'POINTAGE'!G159,0),0),IF('POINTAGE'!$H$5&lt;&gt;"",IF('POINTAGE'!H159="Présent",'POINTAGE'!I159,0),0),IF('POINTAGE'!$J$5&lt;&gt;"",IF('POINTAGE'!J159="Présent",'POINTAGE'!K159,0),0),IF('POINTAGE'!$L$5&lt;&gt;"",IF('POINTAGE'!L159="Présent",'POINTAGE'!M159,0),0),IF('POINTAGE'!$N$5&lt;&gt;"",IF('POINTAGE'!N159="Présent",'POINTAGE'!O159,0),0),IF('POINTAGE'!$P$5&lt;&gt;"",IF('POINTAGE'!P159="Présent",'POINTAGE'!Q159,0),0),IF('POINTAGE'!$R$5&lt;&gt;"",IF('POINTAGE'!R159="Présent",'POINTAGE'!S159,0),0),IF('POINTAGE'!$T$5&lt;&gt;"",IF('POINTAGE'!T159="Présent",'POINTAGE'!U159,0),0),IF('POINTAGE'!$V$5&lt;&gt;"",IF('POINTAGE'!V159="Présent",'POINTAGE'!W159,0),0),IF('POINTAGE'!$X$5&lt;&gt;"",IF('POINTAGE'!X159="Présent",'POINTAGE'!Y159,0),0),IF('POINTAGE'!$Z$5&lt;&gt;"",IF('POINTAGE'!Z159="Présent",'POINTAGE'!AA159,0),0),IF('POINTAGE'!$AB$5&lt;&gt;"",IF('POINTAGE'!AB159="Présent",'POINTAGE'!AC159,0),0),IF('POINTAGE'!$AD$5&lt;&gt;"",IF('POINTAGE'!AD159="Présent",'POINTAGE'!AE159,0),0),IF('POINTAGE'!$AF$5&lt;&gt;"",IF('POINTAGE'!AF159="Présent",'POINTAGE'!AG159,0),0)))</f>
      </c>
      <c r="I159" s="24">
        <f>IF($A159="","",$F159*$D159)</f>
      </c>
      <c r="J159" s="24">
        <f>IF($A159="","",$H159*$E159)</f>
      </c>
      <c r="K159" s="25">
        <f>IF($A159="","",$I159+$J159)</f>
      </c>
      <c r="L159" s="18"/>
      <c r="M159" s="25">
        <f>IF($A159="","",MAX(0,$K159-$L159))</f>
      </c>
      <c r="N159" s="22">
        <f>IF($A159="","",SUM(IF('POINTAGE'!$AH$5&lt;&gt;"",--('POINTAGE'!AH159="Présent"),0),IF('POINTAGE'!$AJ$5&lt;&gt;"",--('POINTAGE'!AJ159="Présent"),0),IF('POINTAGE'!$AL$5&lt;&gt;"",--('POINTAGE'!AL159="Présent"),0),IF('POINTAGE'!$AN$5&lt;&gt;"",--('POINTAGE'!AN159="Présent"),0),IF('POINTAGE'!$AP$5&lt;&gt;"",--('POINTAGE'!AP159="Présent"),0),IF('POINTAGE'!$AR$5&lt;&gt;"",--('POINTAGE'!AR159="Présent"),0),IF('POINTAGE'!$AT$5&lt;&gt;"",--('POINTAGE'!AT159="Présent"),0),IF('POINTAGE'!$AV$5&lt;&gt;"",--('POINTAGE'!AV159="Présent"),0),IF('POINTAGE'!$AX$5&lt;&gt;"",--('POINTAGE'!AX159="Présent"),0),IF('POINTAGE'!$AZ$5&lt;&gt;"",--('POINTAGE'!AZ159="Présent"),0),IF('POINTAGE'!$BB$5&lt;&gt;"",--('POINTAGE'!BB159="Présent"),0),IF('POINTAGE'!$BD$5&lt;&gt;"",--('POINTAGE'!BD159="Présent"),0),IF('POINTAGE'!$BF$5&lt;&gt;"",--('POINTAGE'!BF159="Présent"),0),IF('POINTAGE'!$BH$5&lt;&gt;"",--('POINTAGE'!BH159="Présent"),0),IF('POINTAGE'!$BJ$5&lt;&gt;"",--('POINTAGE'!BJ159="Présent"),0),IF('POINTAGE'!$BL$5&lt;&gt;"",--('POINTAGE'!BL159="Présent"),0)))</f>
      </c>
      <c r="O159" s="22">
        <f>IF($A159="","",SUM(IF('POINTAGE'!$AH$5&lt;&gt;"",--('POINTAGE'!AH159="Absent"),0),IF('POINTAGE'!$AJ$5&lt;&gt;"",--('POINTAGE'!AJ159="Absent"),0),IF('POINTAGE'!$AL$5&lt;&gt;"",--('POINTAGE'!AL159="Absent"),0),IF('POINTAGE'!$AN$5&lt;&gt;"",--('POINTAGE'!AN159="Absent"),0),IF('POINTAGE'!$AP$5&lt;&gt;"",--('POINTAGE'!AP159="Absent"),0),IF('POINTAGE'!$AR$5&lt;&gt;"",--('POINTAGE'!AR159="Absent"),0),IF('POINTAGE'!$AT$5&lt;&gt;"",--('POINTAGE'!AT159="Absent"),0),IF('POINTAGE'!$AV$5&lt;&gt;"",--('POINTAGE'!AV159="Absent"),0),IF('POINTAGE'!$AX$5&lt;&gt;"",--('POINTAGE'!AX159="Absent"),0),IF('POINTAGE'!$AZ$5&lt;&gt;"",--('POINTAGE'!AZ159="Absent"),0),IF('POINTAGE'!$BB$5&lt;&gt;"",--('POINTAGE'!BB159="Absent"),0),IF('POINTAGE'!$BD$5&lt;&gt;"",--('POINTAGE'!BD159="Absent"),0),IF('POINTAGE'!$BF$5&lt;&gt;"",--('POINTAGE'!BF159="Absent"),0),IF('POINTAGE'!$BH$5&lt;&gt;"",--('POINTAGE'!BH159="Absent"),0),IF('POINTAGE'!$BJ$5&lt;&gt;"",--('POINTAGE'!BJ159="Absent"),0),IF('POINTAGE'!$BL$5&lt;&gt;"",--('POINTAGE'!BL159="Absent"),0)))</f>
      </c>
      <c r="P159" s="23">
        <f>IF($A159="","",SUM(IF('POINTAGE'!$AH$5&lt;&gt;"",IF('POINTAGE'!AH159="Présent",'POINTAGE'!AI159,0),0),IF('POINTAGE'!$AJ$5&lt;&gt;"",IF('POINTAGE'!AJ159="Présent",'POINTAGE'!AK159,0),0),IF('POINTAGE'!$AL$5&lt;&gt;"",IF('POINTAGE'!AL159="Présent",'POINTAGE'!AM159,0),0),IF('POINTAGE'!$AN$5&lt;&gt;"",IF('POINTAGE'!AN159="Présent",'POINTAGE'!AO159,0),0),IF('POINTAGE'!$AP$5&lt;&gt;"",IF('POINTAGE'!AP159="Présent",'POINTAGE'!AQ159,0),0),IF('POINTAGE'!$AR$5&lt;&gt;"",IF('POINTAGE'!AR159="Présent",'POINTAGE'!AS159,0),0),IF('POINTAGE'!$AT$5&lt;&gt;"",IF('POINTAGE'!AT159="Présent",'POINTAGE'!AU159,0),0),IF('POINTAGE'!$AV$5&lt;&gt;"",IF('POINTAGE'!AV159="Présent",'POINTAGE'!AW159,0),0),IF('POINTAGE'!$AX$5&lt;&gt;"",IF('POINTAGE'!AX159="Présent",'POINTAGE'!AY159,0),0),IF('POINTAGE'!$AZ$5&lt;&gt;"",IF('POINTAGE'!AZ159="Présent",'POINTAGE'!BA159,0),0),IF('POINTAGE'!$BB$5&lt;&gt;"",IF('POINTAGE'!BB159="Présent",'POINTAGE'!BC159,0),0),IF('POINTAGE'!$BD$5&lt;&gt;"",IF('POINTAGE'!BD159="Présent",'POINTAGE'!BE159,0),0),IF('POINTAGE'!$BF$5&lt;&gt;"",IF('POINTAGE'!BF159="Présent",'POINTAGE'!BG159,0),0),IF('POINTAGE'!$BH$5&lt;&gt;"",IF('POINTAGE'!BH159="Présent",'POINTAGE'!BI159,0),0),IF('POINTAGE'!$BJ$5&lt;&gt;"",IF('POINTAGE'!BJ159="Présent",'POINTAGE'!BK159,0),0),IF('POINTAGE'!$BL$5&lt;&gt;"",IF('POINTAGE'!BL159="Présent",'POINTAGE'!BM159,0),0)))</f>
      </c>
      <c r="Q159" s="24">
        <f>IF($A159="","",$N159*$D159)</f>
      </c>
      <c r="R159" s="24">
        <f>IF($A159="","",$P159*$E159)</f>
      </c>
      <c r="S159" s="25">
        <f>IF($A159="","",$Q159+$R159)</f>
      </c>
      <c r="T159" s="18"/>
      <c r="U159" s="25">
        <f>IF($A159="","",MAX(0,$S159-$T159))</f>
      </c>
      <c r="V159" s="25">
        <f>IF($A159="","",$K159+$S159)</f>
      </c>
      <c r="W159" s="24">
        <f>IF($A159="","",$L159+$T159)</f>
      </c>
      <c r="X159" s="25">
        <f>IF($A159="","",$M159+$U159)</f>
      </c>
      <c r="Y159" s="29">
        <f>IF($A159="","",$J159+$R159)</f>
      </c>
    </row>
    <row r="160">
      <c r="A160" s="20">
        <f>IF('POINTAGE'!A160="","",'POINTAGE'!A160)</f>
      </c>
      <c r="B160" s="19">
        <f>IF($A160="","",'POINTAGE'!B160)</f>
      </c>
      <c r="C160" s="20">
        <f>IF($A160="","",'POINTAGE'!C160)</f>
      </c>
      <c r="D160" s="24">
        <f>IF($A160="","",IFERROR(INDEX(Categories_Salaire,MATCH($C160,ListeCategories,0)),0))</f>
      </c>
      <c r="E160" s="24">
        <f>IF($A160="","",IF(IFERROR(INDEX(Categories_TauxHS,MATCH($C160,ListeCategories,0)),0)&gt;0,IFERROR(INDEX(Categories_TauxHS,MATCH($C160,ListeCategories,0)),0),TauxHSDefaut))</f>
      </c>
      <c r="F160" s="22">
        <f>IF($A160="","",SUM(IF('POINTAGE'!$D$5&lt;&gt;"",--('POINTAGE'!D160="Présent"),0),IF('POINTAGE'!$F$5&lt;&gt;"",--('POINTAGE'!F160="Présent"),0),IF('POINTAGE'!$H$5&lt;&gt;"",--('POINTAGE'!H160="Présent"),0),IF('POINTAGE'!$J$5&lt;&gt;"",--('POINTAGE'!J160="Présent"),0),IF('POINTAGE'!$L$5&lt;&gt;"",--('POINTAGE'!L160="Présent"),0),IF('POINTAGE'!$N$5&lt;&gt;"",--('POINTAGE'!N160="Présent"),0),IF('POINTAGE'!$P$5&lt;&gt;"",--('POINTAGE'!P160="Présent"),0),IF('POINTAGE'!$R$5&lt;&gt;"",--('POINTAGE'!R160="Présent"),0),IF('POINTAGE'!$T$5&lt;&gt;"",--('POINTAGE'!T160="Présent"),0),IF('POINTAGE'!$V$5&lt;&gt;"",--('POINTAGE'!V160="Présent"),0),IF('POINTAGE'!$X$5&lt;&gt;"",--('POINTAGE'!X160="Présent"),0),IF('POINTAGE'!$Z$5&lt;&gt;"",--('POINTAGE'!Z160="Présent"),0),IF('POINTAGE'!$AB$5&lt;&gt;"",--('POINTAGE'!AB160="Présent"),0),IF('POINTAGE'!$AD$5&lt;&gt;"",--('POINTAGE'!AD160="Présent"),0),IF('POINTAGE'!$AF$5&lt;&gt;"",--('POINTAGE'!AF160="Présent"),0)))</f>
      </c>
      <c r="G160" s="22">
        <f>IF($A160="","",SUM(IF('POINTAGE'!$D$5&lt;&gt;"",--('POINTAGE'!D160="Absent"),0),IF('POINTAGE'!$F$5&lt;&gt;"",--('POINTAGE'!F160="Absent"),0),IF('POINTAGE'!$H$5&lt;&gt;"",--('POINTAGE'!H160="Absent"),0),IF('POINTAGE'!$J$5&lt;&gt;"",--('POINTAGE'!J160="Absent"),0),IF('POINTAGE'!$L$5&lt;&gt;"",--('POINTAGE'!L160="Absent"),0),IF('POINTAGE'!$N$5&lt;&gt;"",--('POINTAGE'!N160="Absent"),0),IF('POINTAGE'!$P$5&lt;&gt;"",--('POINTAGE'!P160="Absent"),0),IF('POINTAGE'!$R$5&lt;&gt;"",--('POINTAGE'!R160="Absent"),0),IF('POINTAGE'!$T$5&lt;&gt;"",--('POINTAGE'!T160="Absent"),0),IF('POINTAGE'!$V$5&lt;&gt;"",--('POINTAGE'!V160="Absent"),0),IF('POINTAGE'!$X$5&lt;&gt;"",--('POINTAGE'!X160="Absent"),0),IF('POINTAGE'!$Z$5&lt;&gt;"",--('POINTAGE'!Z160="Absent"),0),IF('POINTAGE'!$AB$5&lt;&gt;"",--('POINTAGE'!AB160="Absent"),0),IF('POINTAGE'!$AD$5&lt;&gt;"",--('POINTAGE'!AD160="Absent"),0),IF('POINTAGE'!$AF$5&lt;&gt;"",--('POINTAGE'!AF160="Absent"),0)))</f>
      </c>
      <c r="H160" s="23">
        <f>IF($A160="","",SUM(IF('POINTAGE'!$D$5&lt;&gt;"",IF('POINTAGE'!D160="Présent",'POINTAGE'!E160,0),0),IF('POINTAGE'!$F$5&lt;&gt;"",IF('POINTAGE'!F160="Présent",'POINTAGE'!G160,0),0),IF('POINTAGE'!$H$5&lt;&gt;"",IF('POINTAGE'!H160="Présent",'POINTAGE'!I160,0),0),IF('POINTAGE'!$J$5&lt;&gt;"",IF('POINTAGE'!J160="Présent",'POINTAGE'!K160,0),0),IF('POINTAGE'!$L$5&lt;&gt;"",IF('POINTAGE'!L160="Présent",'POINTAGE'!M160,0),0),IF('POINTAGE'!$N$5&lt;&gt;"",IF('POINTAGE'!N160="Présent",'POINTAGE'!O160,0),0),IF('POINTAGE'!$P$5&lt;&gt;"",IF('POINTAGE'!P160="Présent",'POINTAGE'!Q160,0),0),IF('POINTAGE'!$R$5&lt;&gt;"",IF('POINTAGE'!R160="Présent",'POINTAGE'!S160,0),0),IF('POINTAGE'!$T$5&lt;&gt;"",IF('POINTAGE'!T160="Présent",'POINTAGE'!U160,0),0),IF('POINTAGE'!$V$5&lt;&gt;"",IF('POINTAGE'!V160="Présent",'POINTAGE'!W160,0),0),IF('POINTAGE'!$X$5&lt;&gt;"",IF('POINTAGE'!X160="Présent",'POINTAGE'!Y160,0),0),IF('POINTAGE'!$Z$5&lt;&gt;"",IF('POINTAGE'!Z160="Présent",'POINTAGE'!AA160,0),0),IF('POINTAGE'!$AB$5&lt;&gt;"",IF('POINTAGE'!AB160="Présent",'POINTAGE'!AC160,0),0),IF('POINTAGE'!$AD$5&lt;&gt;"",IF('POINTAGE'!AD160="Présent",'POINTAGE'!AE160,0),0),IF('POINTAGE'!$AF$5&lt;&gt;"",IF('POINTAGE'!AF160="Présent",'POINTAGE'!AG160,0),0)))</f>
      </c>
      <c r="I160" s="24">
        <f>IF($A160="","",$F160*$D160)</f>
      </c>
      <c r="J160" s="24">
        <f>IF($A160="","",$H160*$E160)</f>
      </c>
      <c r="K160" s="25">
        <f>IF($A160="","",$I160+$J160)</f>
      </c>
      <c r="L160" s="18"/>
      <c r="M160" s="25">
        <f>IF($A160="","",MAX(0,$K160-$L160))</f>
      </c>
      <c r="N160" s="22">
        <f>IF($A160="","",SUM(IF('POINTAGE'!$AH$5&lt;&gt;"",--('POINTAGE'!AH160="Présent"),0),IF('POINTAGE'!$AJ$5&lt;&gt;"",--('POINTAGE'!AJ160="Présent"),0),IF('POINTAGE'!$AL$5&lt;&gt;"",--('POINTAGE'!AL160="Présent"),0),IF('POINTAGE'!$AN$5&lt;&gt;"",--('POINTAGE'!AN160="Présent"),0),IF('POINTAGE'!$AP$5&lt;&gt;"",--('POINTAGE'!AP160="Présent"),0),IF('POINTAGE'!$AR$5&lt;&gt;"",--('POINTAGE'!AR160="Présent"),0),IF('POINTAGE'!$AT$5&lt;&gt;"",--('POINTAGE'!AT160="Présent"),0),IF('POINTAGE'!$AV$5&lt;&gt;"",--('POINTAGE'!AV160="Présent"),0),IF('POINTAGE'!$AX$5&lt;&gt;"",--('POINTAGE'!AX160="Présent"),0),IF('POINTAGE'!$AZ$5&lt;&gt;"",--('POINTAGE'!AZ160="Présent"),0),IF('POINTAGE'!$BB$5&lt;&gt;"",--('POINTAGE'!BB160="Présent"),0),IF('POINTAGE'!$BD$5&lt;&gt;"",--('POINTAGE'!BD160="Présent"),0),IF('POINTAGE'!$BF$5&lt;&gt;"",--('POINTAGE'!BF160="Présent"),0),IF('POINTAGE'!$BH$5&lt;&gt;"",--('POINTAGE'!BH160="Présent"),0),IF('POINTAGE'!$BJ$5&lt;&gt;"",--('POINTAGE'!BJ160="Présent"),0),IF('POINTAGE'!$BL$5&lt;&gt;"",--('POINTAGE'!BL160="Présent"),0)))</f>
      </c>
      <c r="O160" s="22">
        <f>IF($A160="","",SUM(IF('POINTAGE'!$AH$5&lt;&gt;"",--('POINTAGE'!AH160="Absent"),0),IF('POINTAGE'!$AJ$5&lt;&gt;"",--('POINTAGE'!AJ160="Absent"),0),IF('POINTAGE'!$AL$5&lt;&gt;"",--('POINTAGE'!AL160="Absent"),0),IF('POINTAGE'!$AN$5&lt;&gt;"",--('POINTAGE'!AN160="Absent"),0),IF('POINTAGE'!$AP$5&lt;&gt;"",--('POINTAGE'!AP160="Absent"),0),IF('POINTAGE'!$AR$5&lt;&gt;"",--('POINTAGE'!AR160="Absent"),0),IF('POINTAGE'!$AT$5&lt;&gt;"",--('POINTAGE'!AT160="Absent"),0),IF('POINTAGE'!$AV$5&lt;&gt;"",--('POINTAGE'!AV160="Absent"),0),IF('POINTAGE'!$AX$5&lt;&gt;"",--('POINTAGE'!AX160="Absent"),0),IF('POINTAGE'!$AZ$5&lt;&gt;"",--('POINTAGE'!AZ160="Absent"),0),IF('POINTAGE'!$BB$5&lt;&gt;"",--('POINTAGE'!BB160="Absent"),0),IF('POINTAGE'!$BD$5&lt;&gt;"",--('POINTAGE'!BD160="Absent"),0),IF('POINTAGE'!$BF$5&lt;&gt;"",--('POINTAGE'!BF160="Absent"),0),IF('POINTAGE'!$BH$5&lt;&gt;"",--('POINTAGE'!BH160="Absent"),0),IF('POINTAGE'!$BJ$5&lt;&gt;"",--('POINTAGE'!BJ160="Absent"),0),IF('POINTAGE'!$BL$5&lt;&gt;"",--('POINTAGE'!BL160="Absent"),0)))</f>
      </c>
      <c r="P160" s="23">
        <f>IF($A160="","",SUM(IF('POINTAGE'!$AH$5&lt;&gt;"",IF('POINTAGE'!AH160="Présent",'POINTAGE'!AI160,0),0),IF('POINTAGE'!$AJ$5&lt;&gt;"",IF('POINTAGE'!AJ160="Présent",'POINTAGE'!AK160,0),0),IF('POINTAGE'!$AL$5&lt;&gt;"",IF('POINTAGE'!AL160="Présent",'POINTAGE'!AM160,0),0),IF('POINTAGE'!$AN$5&lt;&gt;"",IF('POINTAGE'!AN160="Présent",'POINTAGE'!AO160,0),0),IF('POINTAGE'!$AP$5&lt;&gt;"",IF('POINTAGE'!AP160="Présent",'POINTAGE'!AQ160,0),0),IF('POINTAGE'!$AR$5&lt;&gt;"",IF('POINTAGE'!AR160="Présent",'POINTAGE'!AS160,0),0),IF('POINTAGE'!$AT$5&lt;&gt;"",IF('POINTAGE'!AT160="Présent",'POINTAGE'!AU160,0),0),IF('POINTAGE'!$AV$5&lt;&gt;"",IF('POINTAGE'!AV160="Présent",'POINTAGE'!AW160,0),0),IF('POINTAGE'!$AX$5&lt;&gt;"",IF('POINTAGE'!AX160="Présent",'POINTAGE'!AY160,0),0),IF('POINTAGE'!$AZ$5&lt;&gt;"",IF('POINTAGE'!AZ160="Présent",'POINTAGE'!BA160,0),0),IF('POINTAGE'!$BB$5&lt;&gt;"",IF('POINTAGE'!BB160="Présent",'POINTAGE'!BC160,0),0),IF('POINTAGE'!$BD$5&lt;&gt;"",IF('POINTAGE'!BD160="Présent",'POINTAGE'!BE160,0),0),IF('POINTAGE'!$BF$5&lt;&gt;"",IF('POINTAGE'!BF160="Présent",'POINTAGE'!BG160,0),0),IF('POINTAGE'!$BH$5&lt;&gt;"",IF('POINTAGE'!BH160="Présent",'POINTAGE'!BI160,0),0),IF('POINTAGE'!$BJ$5&lt;&gt;"",IF('POINTAGE'!BJ160="Présent",'POINTAGE'!BK160,0),0),IF('POINTAGE'!$BL$5&lt;&gt;"",IF('POINTAGE'!BL160="Présent",'POINTAGE'!BM160,0),0)))</f>
      </c>
      <c r="Q160" s="24">
        <f>IF($A160="","",$N160*$D160)</f>
      </c>
      <c r="R160" s="24">
        <f>IF($A160="","",$P160*$E160)</f>
      </c>
      <c r="S160" s="25">
        <f>IF($A160="","",$Q160+$R160)</f>
      </c>
      <c r="T160" s="18"/>
      <c r="U160" s="25">
        <f>IF($A160="","",MAX(0,$S160-$T160))</f>
      </c>
      <c r="V160" s="25">
        <f>IF($A160="","",$K160+$S160)</f>
      </c>
      <c r="W160" s="24">
        <f>IF($A160="","",$L160+$T160)</f>
      </c>
      <c r="X160" s="25">
        <f>IF($A160="","",$M160+$U160)</f>
      </c>
      <c r="Y160" s="29">
        <f>IF($A160="","",$J160+$R160)</f>
      </c>
    </row>
    <row r="161">
      <c r="A161" s="20">
        <f>IF('POINTAGE'!A161="","",'POINTAGE'!A161)</f>
      </c>
      <c r="B161" s="19">
        <f>IF($A161="","",'POINTAGE'!B161)</f>
      </c>
      <c r="C161" s="20">
        <f>IF($A161="","",'POINTAGE'!C161)</f>
      </c>
      <c r="D161" s="24">
        <f>IF($A161="","",IFERROR(INDEX(Categories_Salaire,MATCH($C161,ListeCategories,0)),0))</f>
      </c>
      <c r="E161" s="24">
        <f>IF($A161="","",IF(IFERROR(INDEX(Categories_TauxHS,MATCH($C161,ListeCategories,0)),0)&gt;0,IFERROR(INDEX(Categories_TauxHS,MATCH($C161,ListeCategories,0)),0),TauxHSDefaut))</f>
      </c>
      <c r="F161" s="22">
        <f>IF($A161="","",SUM(IF('POINTAGE'!$D$5&lt;&gt;"",--('POINTAGE'!D161="Présent"),0),IF('POINTAGE'!$F$5&lt;&gt;"",--('POINTAGE'!F161="Présent"),0),IF('POINTAGE'!$H$5&lt;&gt;"",--('POINTAGE'!H161="Présent"),0),IF('POINTAGE'!$J$5&lt;&gt;"",--('POINTAGE'!J161="Présent"),0),IF('POINTAGE'!$L$5&lt;&gt;"",--('POINTAGE'!L161="Présent"),0),IF('POINTAGE'!$N$5&lt;&gt;"",--('POINTAGE'!N161="Présent"),0),IF('POINTAGE'!$P$5&lt;&gt;"",--('POINTAGE'!P161="Présent"),0),IF('POINTAGE'!$R$5&lt;&gt;"",--('POINTAGE'!R161="Présent"),0),IF('POINTAGE'!$T$5&lt;&gt;"",--('POINTAGE'!T161="Présent"),0),IF('POINTAGE'!$V$5&lt;&gt;"",--('POINTAGE'!V161="Présent"),0),IF('POINTAGE'!$X$5&lt;&gt;"",--('POINTAGE'!X161="Présent"),0),IF('POINTAGE'!$Z$5&lt;&gt;"",--('POINTAGE'!Z161="Présent"),0),IF('POINTAGE'!$AB$5&lt;&gt;"",--('POINTAGE'!AB161="Présent"),0),IF('POINTAGE'!$AD$5&lt;&gt;"",--('POINTAGE'!AD161="Présent"),0),IF('POINTAGE'!$AF$5&lt;&gt;"",--('POINTAGE'!AF161="Présent"),0)))</f>
      </c>
      <c r="G161" s="22">
        <f>IF($A161="","",SUM(IF('POINTAGE'!$D$5&lt;&gt;"",--('POINTAGE'!D161="Absent"),0),IF('POINTAGE'!$F$5&lt;&gt;"",--('POINTAGE'!F161="Absent"),0),IF('POINTAGE'!$H$5&lt;&gt;"",--('POINTAGE'!H161="Absent"),0),IF('POINTAGE'!$J$5&lt;&gt;"",--('POINTAGE'!J161="Absent"),0),IF('POINTAGE'!$L$5&lt;&gt;"",--('POINTAGE'!L161="Absent"),0),IF('POINTAGE'!$N$5&lt;&gt;"",--('POINTAGE'!N161="Absent"),0),IF('POINTAGE'!$P$5&lt;&gt;"",--('POINTAGE'!P161="Absent"),0),IF('POINTAGE'!$R$5&lt;&gt;"",--('POINTAGE'!R161="Absent"),0),IF('POINTAGE'!$T$5&lt;&gt;"",--('POINTAGE'!T161="Absent"),0),IF('POINTAGE'!$V$5&lt;&gt;"",--('POINTAGE'!V161="Absent"),0),IF('POINTAGE'!$X$5&lt;&gt;"",--('POINTAGE'!X161="Absent"),0),IF('POINTAGE'!$Z$5&lt;&gt;"",--('POINTAGE'!Z161="Absent"),0),IF('POINTAGE'!$AB$5&lt;&gt;"",--('POINTAGE'!AB161="Absent"),0),IF('POINTAGE'!$AD$5&lt;&gt;"",--('POINTAGE'!AD161="Absent"),0),IF('POINTAGE'!$AF$5&lt;&gt;"",--('POINTAGE'!AF161="Absent"),0)))</f>
      </c>
      <c r="H161" s="23">
        <f>IF($A161="","",SUM(IF('POINTAGE'!$D$5&lt;&gt;"",IF('POINTAGE'!D161="Présent",'POINTAGE'!E161,0),0),IF('POINTAGE'!$F$5&lt;&gt;"",IF('POINTAGE'!F161="Présent",'POINTAGE'!G161,0),0),IF('POINTAGE'!$H$5&lt;&gt;"",IF('POINTAGE'!H161="Présent",'POINTAGE'!I161,0),0),IF('POINTAGE'!$J$5&lt;&gt;"",IF('POINTAGE'!J161="Présent",'POINTAGE'!K161,0),0),IF('POINTAGE'!$L$5&lt;&gt;"",IF('POINTAGE'!L161="Présent",'POINTAGE'!M161,0),0),IF('POINTAGE'!$N$5&lt;&gt;"",IF('POINTAGE'!N161="Présent",'POINTAGE'!O161,0),0),IF('POINTAGE'!$P$5&lt;&gt;"",IF('POINTAGE'!P161="Présent",'POINTAGE'!Q161,0),0),IF('POINTAGE'!$R$5&lt;&gt;"",IF('POINTAGE'!R161="Présent",'POINTAGE'!S161,0),0),IF('POINTAGE'!$T$5&lt;&gt;"",IF('POINTAGE'!T161="Présent",'POINTAGE'!U161,0),0),IF('POINTAGE'!$V$5&lt;&gt;"",IF('POINTAGE'!V161="Présent",'POINTAGE'!W161,0),0),IF('POINTAGE'!$X$5&lt;&gt;"",IF('POINTAGE'!X161="Présent",'POINTAGE'!Y161,0),0),IF('POINTAGE'!$Z$5&lt;&gt;"",IF('POINTAGE'!Z161="Présent",'POINTAGE'!AA161,0),0),IF('POINTAGE'!$AB$5&lt;&gt;"",IF('POINTAGE'!AB161="Présent",'POINTAGE'!AC161,0),0),IF('POINTAGE'!$AD$5&lt;&gt;"",IF('POINTAGE'!AD161="Présent",'POINTAGE'!AE161,0),0),IF('POINTAGE'!$AF$5&lt;&gt;"",IF('POINTAGE'!AF161="Présent",'POINTAGE'!AG161,0),0)))</f>
      </c>
      <c r="I161" s="24">
        <f>IF($A161="","",$F161*$D161)</f>
      </c>
      <c r="J161" s="24">
        <f>IF($A161="","",$H161*$E161)</f>
      </c>
      <c r="K161" s="25">
        <f>IF($A161="","",$I161+$J161)</f>
      </c>
      <c r="L161" s="18"/>
      <c r="M161" s="25">
        <f>IF($A161="","",MAX(0,$K161-$L161))</f>
      </c>
      <c r="N161" s="22">
        <f>IF($A161="","",SUM(IF('POINTAGE'!$AH$5&lt;&gt;"",--('POINTAGE'!AH161="Présent"),0),IF('POINTAGE'!$AJ$5&lt;&gt;"",--('POINTAGE'!AJ161="Présent"),0),IF('POINTAGE'!$AL$5&lt;&gt;"",--('POINTAGE'!AL161="Présent"),0),IF('POINTAGE'!$AN$5&lt;&gt;"",--('POINTAGE'!AN161="Présent"),0),IF('POINTAGE'!$AP$5&lt;&gt;"",--('POINTAGE'!AP161="Présent"),0),IF('POINTAGE'!$AR$5&lt;&gt;"",--('POINTAGE'!AR161="Présent"),0),IF('POINTAGE'!$AT$5&lt;&gt;"",--('POINTAGE'!AT161="Présent"),0),IF('POINTAGE'!$AV$5&lt;&gt;"",--('POINTAGE'!AV161="Présent"),0),IF('POINTAGE'!$AX$5&lt;&gt;"",--('POINTAGE'!AX161="Présent"),0),IF('POINTAGE'!$AZ$5&lt;&gt;"",--('POINTAGE'!AZ161="Présent"),0),IF('POINTAGE'!$BB$5&lt;&gt;"",--('POINTAGE'!BB161="Présent"),0),IF('POINTAGE'!$BD$5&lt;&gt;"",--('POINTAGE'!BD161="Présent"),0),IF('POINTAGE'!$BF$5&lt;&gt;"",--('POINTAGE'!BF161="Présent"),0),IF('POINTAGE'!$BH$5&lt;&gt;"",--('POINTAGE'!BH161="Présent"),0),IF('POINTAGE'!$BJ$5&lt;&gt;"",--('POINTAGE'!BJ161="Présent"),0),IF('POINTAGE'!$BL$5&lt;&gt;"",--('POINTAGE'!BL161="Présent"),0)))</f>
      </c>
      <c r="O161" s="22">
        <f>IF($A161="","",SUM(IF('POINTAGE'!$AH$5&lt;&gt;"",--('POINTAGE'!AH161="Absent"),0),IF('POINTAGE'!$AJ$5&lt;&gt;"",--('POINTAGE'!AJ161="Absent"),0),IF('POINTAGE'!$AL$5&lt;&gt;"",--('POINTAGE'!AL161="Absent"),0),IF('POINTAGE'!$AN$5&lt;&gt;"",--('POINTAGE'!AN161="Absent"),0),IF('POINTAGE'!$AP$5&lt;&gt;"",--('POINTAGE'!AP161="Absent"),0),IF('POINTAGE'!$AR$5&lt;&gt;"",--('POINTAGE'!AR161="Absent"),0),IF('POINTAGE'!$AT$5&lt;&gt;"",--('POINTAGE'!AT161="Absent"),0),IF('POINTAGE'!$AV$5&lt;&gt;"",--('POINTAGE'!AV161="Absent"),0),IF('POINTAGE'!$AX$5&lt;&gt;"",--('POINTAGE'!AX161="Absent"),0),IF('POINTAGE'!$AZ$5&lt;&gt;"",--('POINTAGE'!AZ161="Absent"),0),IF('POINTAGE'!$BB$5&lt;&gt;"",--('POINTAGE'!BB161="Absent"),0),IF('POINTAGE'!$BD$5&lt;&gt;"",--('POINTAGE'!BD161="Absent"),0),IF('POINTAGE'!$BF$5&lt;&gt;"",--('POINTAGE'!BF161="Absent"),0),IF('POINTAGE'!$BH$5&lt;&gt;"",--('POINTAGE'!BH161="Absent"),0),IF('POINTAGE'!$BJ$5&lt;&gt;"",--('POINTAGE'!BJ161="Absent"),0),IF('POINTAGE'!$BL$5&lt;&gt;"",--('POINTAGE'!BL161="Absent"),0)))</f>
      </c>
      <c r="P161" s="23">
        <f>IF($A161="","",SUM(IF('POINTAGE'!$AH$5&lt;&gt;"",IF('POINTAGE'!AH161="Présent",'POINTAGE'!AI161,0),0),IF('POINTAGE'!$AJ$5&lt;&gt;"",IF('POINTAGE'!AJ161="Présent",'POINTAGE'!AK161,0),0),IF('POINTAGE'!$AL$5&lt;&gt;"",IF('POINTAGE'!AL161="Présent",'POINTAGE'!AM161,0),0),IF('POINTAGE'!$AN$5&lt;&gt;"",IF('POINTAGE'!AN161="Présent",'POINTAGE'!AO161,0),0),IF('POINTAGE'!$AP$5&lt;&gt;"",IF('POINTAGE'!AP161="Présent",'POINTAGE'!AQ161,0),0),IF('POINTAGE'!$AR$5&lt;&gt;"",IF('POINTAGE'!AR161="Présent",'POINTAGE'!AS161,0),0),IF('POINTAGE'!$AT$5&lt;&gt;"",IF('POINTAGE'!AT161="Présent",'POINTAGE'!AU161,0),0),IF('POINTAGE'!$AV$5&lt;&gt;"",IF('POINTAGE'!AV161="Présent",'POINTAGE'!AW161,0),0),IF('POINTAGE'!$AX$5&lt;&gt;"",IF('POINTAGE'!AX161="Présent",'POINTAGE'!AY161,0),0),IF('POINTAGE'!$AZ$5&lt;&gt;"",IF('POINTAGE'!AZ161="Présent",'POINTAGE'!BA161,0),0),IF('POINTAGE'!$BB$5&lt;&gt;"",IF('POINTAGE'!BB161="Présent",'POINTAGE'!BC161,0),0),IF('POINTAGE'!$BD$5&lt;&gt;"",IF('POINTAGE'!BD161="Présent",'POINTAGE'!BE161,0),0),IF('POINTAGE'!$BF$5&lt;&gt;"",IF('POINTAGE'!BF161="Présent",'POINTAGE'!BG161,0),0),IF('POINTAGE'!$BH$5&lt;&gt;"",IF('POINTAGE'!BH161="Présent",'POINTAGE'!BI161,0),0),IF('POINTAGE'!$BJ$5&lt;&gt;"",IF('POINTAGE'!BJ161="Présent",'POINTAGE'!BK161,0),0),IF('POINTAGE'!$BL$5&lt;&gt;"",IF('POINTAGE'!BL161="Présent",'POINTAGE'!BM161,0),0)))</f>
      </c>
      <c r="Q161" s="24">
        <f>IF($A161="","",$N161*$D161)</f>
      </c>
      <c r="R161" s="24">
        <f>IF($A161="","",$P161*$E161)</f>
      </c>
      <c r="S161" s="25">
        <f>IF($A161="","",$Q161+$R161)</f>
      </c>
      <c r="T161" s="18"/>
      <c r="U161" s="25">
        <f>IF($A161="","",MAX(0,$S161-$T161))</f>
      </c>
      <c r="V161" s="25">
        <f>IF($A161="","",$K161+$S161)</f>
      </c>
      <c r="W161" s="24">
        <f>IF($A161="","",$L161+$T161)</f>
      </c>
      <c r="X161" s="25">
        <f>IF($A161="","",$M161+$U161)</f>
      </c>
      <c r="Y161" s="29">
        <f>IF($A161="","",$J161+$R161)</f>
      </c>
    </row>
    <row r="162">
      <c r="A162" s="20">
        <f>IF('POINTAGE'!A162="","",'POINTAGE'!A162)</f>
      </c>
      <c r="B162" s="19">
        <f>IF($A162="","",'POINTAGE'!B162)</f>
      </c>
      <c r="C162" s="20">
        <f>IF($A162="","",'POINTAGE'!C162)</f>
      </c>
      <c r="D162" s="24">
        <f>IF($A162="","",IFERROR(INDEX(Categories_Salaire,MATCH($C162,ListeCategories,0)),0))</f>
      </c>
      <c r="E162" s="24">
        <f>IF($A162="","",IF(IFERROR(INDEX(Categories_TauxHS,MATCH($C162,ListeCategories,0)),0)&gt;0,IFERROR(INDEX(Categories_TauxHS,MATCH($C162,ListeCategories,0)),0),TauxHSDefaut))</f>
      </c>
      <c r="F162" s="22">
        <f>IF($A162="","",SUM(IF('POINTAGE'!$D$5&lt;&gt;"",--('POINTAGE'!D162="Présent"),0),IF('POINTAGE'!$F$5&lt;&gt;"",--('POINTAGE'!F162="Présent"),0),IF('POINTAGE'!$H$5&lt;&gt;"",--('POINTAGE'!H162="Présent"),0),IF('POINTAGE'!$J$5&lt;&gt;"",--('POINTAGE'!J162="Présent"),0),IF('POINTAGE'!$L$5&lt;&gt;"",--('POINTAGE'!L162="Présent"),0),IF('POINTAGE'!$N$5&lt;&gt;"",--('POINTAGE'!N162="Présent"),0),IF('POINTAGE'!$P$5&lt;&gt;"",--('POINTAGE'!P162="Présent"),0),IF('POINTAGE'!$R$5&lt;&gt;"",--('POINTAGE'!R162="Présent"),0),IF('POINTAGE'!$T$5&lt;&gt;"",--('POINTAGE'!T162="Présent"),0),IF('POINTAGE'!$V$5&lt;&gt;"",--('POINTAGE'!V162="Présent"),0),IF('POINTAGE'!$X$5&lt;&gt;"",--('POINTAGE'!X162="Présent"),0),IF('POINTAGE'!$Z$5&lt;&gt;"",--('POINTAGE'!Z162="Présent"),0),IF('POINTAGE'!$AB$5&lt;&gt;"",--('POINTAGE'!AB162="Présent"),0),IF('POINTAGE'!$AD$5&lt;&gt;"",--('POINTAGE'!AD162="Présent"),0),IF('POINTAGE'!$AF$5&lt;&gt;"",--('POINTAGE'!AF162="Présent"),0)))</f>
      </c>
      <c r="G162" s="22">
        <f>IF($A162="","",SUM(IF('POINTAGE'!$D$5&lt;&gt;"",--('POINTAGE'!D162="Absent"),0),IF('POINTAGE'!$F$5&lt;&gt;"",--('POINTAGE'!F162="Absent"),0),IF('POINTAGE'!$H$5&lt;&gt;"",--('POINTAGE'!H162="Absent"),0),IF('POINTAGE'!$J$5&lt;&gt;"",--('POINTAGE'!J162="Absent"),0),IF('POINTAGE'!$L$5&lt;&gt;"",--('POINTAGE'!L162="Absent"),0),IF('POINTAGE'!$N$5&lt;&gt;"",--('POINTAGE'!N162="Absent"),0),IF('POINTAGE'!$P$5&lt;&gt;"",--('POINTAGE'!P162="Absent"),0),IF('POINTAGE'!$R$5&lt;&gt;"",--('POINTAGE'!R162="Absent"),0),IF('POINTAGE'!$T$5&lt;&gt;"",--('POINTAGE'!T162="Absent"),0),IF('POINTAGE'!$V$5&lt;&gt;"",--('POINTAGE'!V162="Absent"),0),IF('POINTAGE'!$X$5&lt;&gt;"",--('POINTAGE'!X162="Absent"),0),IF('POINTAGE'!$Z$5&lt;&gt;"",--('POINTAGE'!Z162="Absent"),0),IF('POINTAGE'!$AB$5&lt;&gt;"",--('POINTAGE'!AB162="Absent"),0),IF('POINTAGE'!$AD$5&lt;&gt;"",--('POINTAGE'!AD162="Absent"),0),IF('POINTAGE'!$AF$5&lt;&gt;"",--('POINTAGE'!AF162="Absent"),0)))</f>
      </c>
      <c r="H162" s="23">
        <f>IF($A162="","",SUM(IF('POINTAGE'!$D$5&lt;&gt;"",IF('POINTAGE'!D162="Présent",'POINTAGE'!E162,0),0),IF('POINTAGE'!$F$5&lt;&gt;"",IF('POINTAGE'!F162="Présent",'POINTAGE'!G162,0),0),IF('POINTAGE'!$H$5&lt;&gt;"",IF('POINTAGE'!H162="Présent",'POINTAGE'!I162,0),0),IF('POINTAGE'!$J$5&lt;&gt;"",IF('POINTAGE'!J162="Présent",'POINTAGE'!K162,0),0),IF('POINTAGE'!$L$5&lt;&gt;"",IF('POINTAGE'!L162="Présent",'POINTAGE'!M162,0),0),IF('POINTAGE'!$N$5&lt;&gt;"",IF('POINTAGE'!N162="Présent",'POINTAGE'!O162,0),0),IF('POINTAGE'!$P$5&lt;&gt;"",IF('POINTAGE'!P162="Présent",'POINTAGE'!Q162,0),0),IF('POINTAGE'!$R$5&lt;&gt;"",IF('POINTAGE'!R162="Présent",'POINTAGE'!S162,0),0),IF('POINTAGE'!$T$5&lt;&gt;"",IF('POINTAGE'!T162="Présent",'POINTAGE'!U162,0),0),IF('POINTAGE'!$V$5&lt;&gt;"",IF('POINTAGE'!V162="Présent",'POINTAGE'!W162,0),0),IF('POINTAGE'!$X$5&lt;&gt;"",IF('POINTAGE'!X162="Présent",'POINTAGE'!Y162,0),0),IF('POINTAGE'!$Z$5&lt;&gt;"",IF('POINTAGE'!Z162="Présent",'POINTAGE'!AA162,0),0),IF('POINTAGE'!$AB$5&lt;&gt;"",IF('POINTAGE'!AB162="Présent",'POINTAGE'!AC162,0),0),IF('POINTAGE'!$AD$5&lt;&gt;"",IF('POINTAGE'!AD162="Présent",'POINTAGE'!AE162,0),0),IF('POINTAGE'!$AF$5&lt;&gt;"",IF('POINTAGE'!AF162="Présent",'POINTAGE'!AG162,0),0)))</f>
      </c>
      <c r="I162" s="24">
        <f>IF($A162="","",$F162*$D162)</f>
      </c>
      <c r="J162" s="24">
        <f>IF($A162="","",$H162*$E162)</f>
      </c>
      <c r="K162" s="25">
        <f>IF($A162="","",$I162+$J162)</f>
      </c>
      <c r="L162" s="18"/>
      <c r="M162" s="25">
        <f>IF($A162="","",MAX(0,$K162-$L162))</f>
      </c>
      <c r="N162" s="22">
        <f>IF($A162="","",SUM(IF('POINTAGE'!$AH$5&lt;&gt;"",--('POINTAGE'!AH162="Présent"),0),IF('POINTAGE'!$AJ$5&lt;&gt;"",--('POINTAGE'!AJ162="Présent"),0),IF('POINTAGE'!$AL$5&lt;&gt;"",--('POINTAGE'!AL162="Présent"),0),IF('POINTAGE'!$AN$5&lt;&gt;"",--('POINTAGE'!AN162="Présent"),0),IF('POINTAGE'!$AP$5&lt;&gt;"",--('POINTAGE'!AP162="Présent"),0),IF('POINTAGE'!$AR$5&lt;&gt;"",--('POINTAGE'!AR162="Présent"),0),IF('POINTAGE'!$AT$5&lt;&gt;"",--('POINTAGE'!AT162="Présent"),0),IF('POINTAGE'!$AV$5&lt;&gt;"",--('POINTAGE'!AV162="Présent"),0),IF('POINTAGE'!$AX$5&lt;&gt;"",--('POINTAGE'!AX162="Présent"),0),IF('POINTAGE'!$AZ$5&lt;&gt;"",--('POINTAGE'!AZ162="Présent"),0),IF('POINTAGE'!$BB$5&lt;&gt;"",--('POINTAGE'!BB162="Présent"),0),IF('POINTAGE'!$BD$5&lt;&gt;"",--('POINTAGE'!BD162="Présent"),0),IF('POINTAGE'!$BF$5&lt;&gt;"",--('POINTAGE'!BF162="Présent"),0),IF('POINTAGE'!$BH$5&lt;&gt;"",--('POINTAGE'!BH162="Présent"),0),IF('POINTAGE'!$BJ$5&lt;&gt;"",--('POINTAGE'!BJ162="Présent"),0),IF('POINTAGE'!$BL$5&lt;&gt;"",--('POINTAGE'!BL162="Présent"),0)))</f>
      </c>
      <c r="O162" s="22">
        <f>IF($A162="","",SUM(IF('POINTAGE'!$AH$5&lt;&gt;"",--('POINTAGE'!AH162="Absent"),0),IF('POINTAGE'!$AJ$5&lt;&gt;"",--('POINTAGE'!AJ162="Absent"),0),IF('POINTAGE'!$AL$5&lt;&gt;"",--('POINTAGE'!AL162="Absent"),0),IF('POINTAGE'!$AN$5&lt;&gt;"",--('POINTAGE'!AN162="Absent"),0),IF('POINTAGE'!$AP$5&lt;&gt;"",--('POINTAGE'!AP162="Absent"),0),IF('POINTAGE'!$AR$5&lt;&gt;"",--('POINTAGE'!AR162="Absent"),0),IF('POINTAGE'!$AT$5&lt;&gt;"",--('POINTAGE'!AT162="Absent"),0),IF('POINTAGE'!$AV$5&lt;&gt;"",--('POINTAGE'!AV162="Absent"),0),IF('POINTAGE'!$AX$5&lt;&gt;"",--('POINTAGE'!AX162="Absent"),0),IF('POINTAGE'!$AZ$5&lt;&gt;"",--('POINTAGE'!AZ162="Absent"),0),IF('POINTAGE'!$BB$5&lt;&gt;"",--('POINTAGE'!BB162="Absent"),0),IF('POINTAGE'!$BD$5&lt;&gt;"",--('POINTAGE'!BD162="Absent"),0),IF('POINTAGE'!$BF$5&lt;&gt;"",--('POINTAGE'!BF162="Absent"),0),IF('POINTAGE'!$BH$5&lt;&gt;"",--('POINTAGE'!BH162="Absent"),0),IF('POINTAGE'!$BJ$5&lt;&gt;"",--('POINTAGE'!BJ162="Absent"),0),IF('POINTAGE'!$BL$5&lt;&gt;"",--('POINTAGE'!BL162="Absent"),0)))</f>
      </c>
      <c r="P162" s="23">
        <f>IF($A162="","",SUM(IF('POINTAGE'!$AH$5&lt;&gt;"",IF('POINTAGE'!AH162="Présent",'POINTAGE'!AI162,0),0),IF('POINTAGE'!$AJ$5&lt;&gt;"",IF('POINTAGE'!AJ162="Présent",'POINTAGE'!AK162,0),0),IF('POINTAGE'!$AL$5&lt;&gt;"",IF('POINTAGE'!AL162="Présent",'POINTAGE'!AM162,0),0),IF('POINTAGE'!$AN$5&lt;&gt;"",IF('POINTAGE'!AN162="Présent",'POINTAGE'!AO162,0),0),IF('POINTAGE'!$AP$5&lt;&gt;"",IF('POINTAGE'!AP162="Présent",'POINTAGE'!AQ162,0),0),IF('POINTAGE'!$AR$5&lt;&gt;"",IF('POINTAGE'!AR162="Présent",'POINTAGE'!AS162,0),0),IF('POINTAGE'!$AT$5&lt;&gt;"",IF('POINTAGE'!AT162="Présent",'POINTAGE'!AU162,0),0),IF('POINTAGE'!$AV$5&lt;&gt;"",IF('POINTAGE'!AV162="Présent",'POINTAGE'!AW162,0),0),IF('POINTAGE'!$AX$5&lt;&gt;"",IF('POINTAGE'!AX162="Présent",'POINTAGE'!AY162,0),0),IF('POINTAGE'!$AZ$5&lt;&gt;"",IF('POINTAGE'!AZ162="Présent",'POINTAGE'!BA162,0),0),IF('POINTAGE'!$BB$5&lt;&gt;"",IF('POINTAGE'!BB162="Présent",'POINTAGE'!BC162,0),0),IF('POINTAGE'!$BD$5&lt;&gt;"",IF('POINTAGE'!BD162="Présent",'POINTAGE'!BE162,0),0),IF('POINTAGE'!$BF$5&lt;&gt;"",IF('POINTAGE'!BF162="Présent",'POINTAGE'!BG162,0),0),IF('POINTAGE'!$BH$5&lt;&gt;"",IF('POINTAGE'!BH162="Présent",'POINTAGE'!BI162,0),0),IF('POINTAGE'!$BJ$5&lt;&gt;"",IF('POINTAGE'!BJ162="Présent",'POINTAGE'!BK162,0),0),IF('POINTAGE'!$BL$5&lt;&gt;"",IF('POINTAGE'!BL162="Présent",'POINTAGE'!BM162,0),0)))</f>
      </c>
      <c r="Q162" s="24">
        <f>IF($A162="","",$N162*$D162)</f>
      </c>
      <c r="R162" s="24">
        <f>IF($A162="","",$P162*$E162)</f>
      </c>
      <c r="S162" s="25">
        <f>IF($A162="","",$Q162+$R162)</f>
      </c>
      <c r="T162" s="18"/>
      <c r="U162" s="25">
        <f>IF($A162="","",MAX(0,$S162-$T162))</f>
      </c>
      <c r="V162" s="25">
        <f>IF($A162="","",$K162+$S162)</f>
      </c>
      <c r="W162" s="24">
        <f>IF($A162="","",$L162+$T162)</f>
      </c>
      <c r="X162" s="25">
        <f>IF($A162="","",$M162+$U162)</f>
      </c>
      <c r="Y162" s="29">
        <f>IF($A162="","",$J162+$R162)</f>
      </c>
    </row>
    <row r="163">
      <c r="A163" s="20">
        <f>IF('POINTAGE'!A163="","",'POINTAGE'!A163)</f>
      </c>
      <c r="B163" s="19">
        <f>IF($A163="","",'POINTAGE'!B163)</f>
      </c>
      <c r="C163" s="20">
        <f>IF($A163="","",'POINTAGE'!C163)</f>
      </c>
      <c r="D163" s="24">
        <f>IF($A163="","",IFERROR(INDEX(Categories_Salaire,MATCH($C163,ListeCategories,0)),0))</f>
      </c>
      <c r="E163" s="24">
        <f>IF($A163="","",IF(IFERROR(INDEX(Categories_TauxHS,MATCH($C163,ListeCategories,0)),0)&gt;0,IFERROR(INDEX(Categories_TauxHS,MATCH($C163,ListeCategories,0)),0),TauxHSDefaut))</f>
      </c>
      <c r="F163" s="22">
        <f>IF($A163="","",SUM(IF('POINTAGE'!$D$5&lt;&gt;"",--('POINTAGE'!D163="Présent"),0),IF('POINTAGE'!$F$5&lt;&gt;"",--('POINTAGE'!F163="Présent"),0),IF('POINTAGE'!$H$5&lt;&gt;"",--('POINTAGE'!H163="Présent"),0),IF('POINTAGE'!$J$5&lt;&gt;"",--('POINTAGE'!J163="Présent"),0),IF('POINTAGE'!$L$5&lt;&gt;"",--('POINTAGE'!L163="Présent"),0),IF('POINTAGE'!$N$5&lt;&gt;"",--('POINTAGE'!N163="Présent"),0),IF('POINTAGE'!$P$5&lt;&gt;"",--('POINTAGE'!P163="Présent"),0),IF('POINTAGE'!$R$5&lt;&gt;"",--('POINTAGE'!R163="Présent"),0),IF('POINTAGE'!$T$5&lt;&gt;"",--('POINTAGE'!T163="Présent"),0),IF('POINTAGE'!$V$5&lt;&gt;"",--('POINTAGE'!V163="Présent"),0),IF('POINTAGE'!$X$5&lt;&gt;"",--('POINTAGE'!X163="Présent"),0),IF('POINTAGE'!$Z$5&lt;&gt;"",--('POINTAGE'!Z163="Présent"),0),IF('POINTAGE'!$AB$5&lt;&gt;"",--('POINTAGE'!AB163="Présent"),0),IF('POINTAGE'!$AD$5&lt;&gt;"",--('POINTAGE'!AD163="Présent"),0),IF('POINTAGE'!$AF$5&lt;&gt;"",--('POINTAGE'!AF163="Présent"),0)))</f>
      </c>
      <c r="G163" s="22">
        <f>IF($A163="","",SUM(IF('POINTAGE'!$D$5&lt;&gt;"",--('POINTAGE'!D163="Absent"),0),IF('POINTAGE'!$F$5&lt;&gt;"",--('POINTAGE'!F163="Absent"),0),IF('POINTAGE'!$H$5&lt;&gt;"",--('POINTAGE'!H163="Absent"),0),IF('POINTAGE'!$J$5&lt;&gt;"",--('POINTAGE'!J163="Absent"),0),IF('POINTAGE'!$L$5&lt;&gt;"",--('POINTAGE'!L163="Absent"),0),IF('POINTAGE'!$N$5&lt;&gt;"",--('POINTAGE'!N163="Absent"),0),IF('POINTAGE'!$P$5&lt;&gt;"",--('POINTAGE'!P163="Absent"),0),IF('POINTAGE'!$R$5&lt;&gt;"",--('POINTAGE'!R163="Absent"),0),IF('POINTAGE'!$T$5&lt;&gt;"",--('POINTAGE'!T163="Absent"),0),IF('POINTAGE'!$V$5&lt;&gt;"",--('POINTAGE'!V163="Absent"),0),IF('POINTAGE'!$X$5&lt;&gt;"",--('POINTAGE'!X163="Absent"),0),IF('POINTAGE'!$Z$5&lt;&gt;"",--('POINTAGE'!Z163="Absent"),0),IF('POINTAGE'!$AB$5&lt;&gt;"",--('POINTAGE'!AB163="Absent"),0),IF('POINTAGE'!$AD$5&lt;&gt;"",--('POINTAGE'!AD163="Absent"),0),IF('POINTAGE'!$AF$5&lt;&gt;"",--('POINTAGE'!AF163="Absent"),0)))</f>
      </c>
      <c r="H163" s="23">
        <f>IF($A163="","",SUM(IF('POINTAGE'!$D$5&lt;&gt;"",IF('POINTAGE'!D163="Présent",'POINTAGE'!E163,0),0),IF('POINTAGE'!$F$5&lt;&gt;"",IF('POINTAGE'!F163="Présent",'POINTAGE'!G163,0),0),IF('POINTAGE'!$H$5&lt;&gt;"",IF('POINTAGE'!H163="Présent",'POINTAGE'!I163,0),0),IF('POINTAGE'!$J$5&lt;&gt;"",IF('POINTAGE'!J163="Présent",'POINTAGE'!K163,0),0),IF('POINTAGE'!$L$5&lt;&gt;"",IF('POINTAGE'!L163="Présent",'POINTAGE'!M163,0),0),IF('POINTAGE'!$N$5&lt;&gt;"",IF('POINTAGE'!N163="Présent",'POINTAGE'!O163,0),0),IF('POINTAGE'!$P$5&lt;&gt;"",IF('POINTAGE'!P163="Présent",'POINTAGE'!Q163,0),0),IF('POINTAGE'!$R$5&lt;&gt;"",IF('POINTAGE'!R163="Présent",'POINTAGE'!S163,0),0),IF('POINTAGE'!$T$5&lt;&gt;"",IF('POINTAGE'!T163="Présent",'POINTAGE'!U163,0),0),IF('POINTAGE'!$V$5&lt;&gt;"",IF('POINTAGE'!V163="Présent",'POINTAGE'!W163,0),0),IF('POINTAGE'!$X$5&lt;&gt;"",IF('POINTAGE'!X163="Présent",'POINTAGE'!Y163,0),0),IF('POINTAGE'!$Z$5&lt;&gt;"",IF('POINTAGE'!Z163="Présent",'POINTAGE'!AA163,0),0),IF('POINTAGE'!$AB$5&lt;&gt;"",IF('POINTAGE'!AB163="Présent",'POINTAGE'!AC163,0),0),IF('POINTAGE'!$AD$5&lt;&gt;"",IF('POINTAGE'!AD163="Présent",'POINTAGE'!AE163,0),0),IF('POINTAGE'!$AF$5&lt;&gt;"",IF('POINTAGE'!AF163="Présent",'POINTAGE'!AG163,0),0)))</f>
      </c>
      <c r="I163" s="24">
        <f>IF($A163="","",$F163*$D163)</f>
      </c>
      <c r="J163" s="24">
        <f>IF($A163="","",$H163*$E163)</f>
      </c>
      <c r="K163" s="25">
        <f>IF($A163="","",$I163+$J163)</f>
      </c>
      <c r="L163" s="18"/>
      <c r="M163" s="25">
        <f>IF($A163="","",MAX(0,$K163-$L163))</f>
      </c>
      <c r="N163" s="22">
        <f>IF($A163="","",SUM(IF('POINTAGE'!$AH$5&lt;&gt;"",--('POINTAGE'!AH163="Présent"),0),IF('POINTAGE'!$AJ$5&lt;&gt;"",--('POINTAGE'!AJ163="Présent"),0),IF('POINTAGE'!$AL$5&lt;&gt;"",--('POINTAGE'!AL163="Présent"),0),IF('POINTAGE'!$AN$5&lt;&gt;"",--('POINTAGE'!AN163="Présent"),0),IF('POINTAGE'!$AP$5&lt;&gt;"",--('POINTAGE'!AP163="Présent"),0),IF('POINTAGE'!$AR$5&lt;&gt;"",--('POINTAGE'!AR163="Présent"),0),IF('POINTAGE'!$AT$5&lt;&gt;"",--('POINTAGE'!AT163="Présent"),0),IF('POINTAGE'!$AV$5&lt;&gt;"",--('POINTAGE'!AV163="Présent"),0),IF('POINTAGE'!$AX$5&lt;&gt;"",--('POINTAGE'!AX163="Présent"),0),IF('POINTAGE'!$AZ$5&lt;&gt;"",--('POINTAGE'!AZ163="Présent"),0),IF('POINTAGE'!$BB$5&lt;&gt;"",--('POINTAGE'!BB163="Présent"),0),IF('POINTAGE'!$BD$5&lt;&gt;"",--('POINTAGE'!BD163="Présent"),0),IF('POINTAGE'!$BF$5&lt;&gt;"",--('POINTAGE'!BF163="Présent"),0),IF('POINTAGE'!$BH$5&lt;&gt;"",--('POINTAGE'!BH163="Présent"),0),IF('POINTAGE'!$BJ$5&lt;&gt;"",--('POINTAGE'!BJ163="Présent"),0),IF('POINTAGE'!$BL$5&lt;&gt;"",--('POINTAGE'!BL163="Présent"),0)))</f>
      </c>
      <c r="O163" s="22">
        <f>IF($A163="","",SUM(IF('POINTAGE'!$AH$5&lt;&gt;"",--('POINTAGE'!AH163="Absent"),0),IF('POINTAGE'!$AJ$5&lt;&gt;"",--('POINTAGE'!AJ163="Absent"),0),IF('POINTAGE'!$AL$5&lt;&gt;"",--('POINTAGE'!AL163="Absent"),0),IF('POINTAGE'!$AN$5&lt;&gt;"",--('POINTAGE'!AN163="Absent"),0),IF('POINTAGE'!$AP$5&lt;&gt;"",--('POINTAGE'!AP163="Absent"),0),IF('POINTAGE'!$AR$5&lt;&gt;"",--('POINTAGE'!AR163="Absent"),0),IF('POINTAGE'!$AT$5&lt;&gt;"",--('POINTAGE'!AT163="Absent"),0),IF('POINTAGE'!$AV$5&lt;&gt;"",--('POINTAGE'!AV163="Absent"),0),IF('POINTAGE'!$AX$5&lt;&gt;"",--('POINTAGE'!AX163="Absent"),0),IF('POINTAGE'!$AZ$5&lt;&gt;"",--('POINTAGE'!AZ163="Absent"),0),IF('POINTAGE'!$BB$5&lt;&gt;"",--('POINTAGE'!BB163="Absent"),0),IF('POINTAGE'!$BD$5&lt;&gt;"",--('POINTAGE'!BD163="Absent"),0),IF('POINTAGE'!$BF$5&lt;&gt;"",--('POINTAGE'!BF163="Absent"),0),IF('POINTAGE'!$BH$5&lt;&gt;"",--('POINTAGE'!BH163="Absent"),0),IF('POINTAGE'!$BJ$5&lt;&gt;"",--('POINTAGE'!BJ163="Absent"),0),IF('POINTAGE'!$BL$5&lt;&gt;"",--('POINTAGE'!BL163="Absent"),0)))</f>
      </c>
      <c r="P163" s="23">
        <f>IF($A163="","",SUM(IF('POINTAGE'!$AH$5&lt;&gt;"",IF('POINTAGE'!AH163="Présent",'POINTAGE'!AI163,0),0),IF('POINTAGE'!$AJ$5&lt;&gt;"",IF('POINTAGE'!AJ163="Présent",'POINTAGE'!AK163,0),0),IF('POINTAGE'!$AL$5&lt;&gt;"",IF('POINTAGE'!AL163="Présent",'POINTAGE'!AM163,0),0),IF('POINTAGE'!$AN$5&lt;&gt;"",IF('POINTAGE'!AN163="Présent",'POINTAGE'!AO163,0),0),IF('POINTAGE'!$AP$5&lt;&gt;"",IF('POINTAGE'!AP163="Présent",'POINTAGE'!AQ163,0),0),IF('POINTAGE'!$AR$5&lt;&gt;"",IF('POINTAGE'!AR163="Présent",'POINTAGE'!AS163,0),0),IF('POINTAGE'!$AT$5&lt;&gt;"",IF('POINTAGE'!AT163="Présent",'POINTAGE'!AU163,0),0),IF('POINTAGE'!$AV$5&lt;&gt;"",IF('POINTAGE'!AV163="Présent",'POINTAGE'!AW163,0),0),IF('POINTAGE'!$AX$5&lt;&gt;"",IF('POINTAGE'!AX163="Présent",'POINTAGE'!AY163,0),0),IF('POINTAGE'!$AZ$5&lt;&gt;"",IF('POINTAGE'!AZ163="Présent",'POINTAGE'!BA163,0),0),IF('POINTAGE'!$BB$5&lt;&gt;"",IF('POINTAGE'!BB163="Présent",'POINTAGE'!BC163,0),0),IF('POINTAGE'!$BD$5&lt;&gt;"",IF('POINTAGE'!BD163="Présent",'POINTAGE'!BE163,0),0),IF('POINTAGE'!$BF$5&lt;&gt;"",IF('POINTAGE'!BF163="Présent",'POINTAGE'!BG163,0),0),IF('POINTAGE'!$BH$5&lt;&gt;"",IF('POINTAGE'!BH163="Présent",'POINTAGE'!BI163,0),0),IF('POINTAGE'!$BJ$5&lt;&gt;"",IF('POINTAGE'!BJ163="Présent",'POINTAGE'!BK163,0),0),IF('POINTAGE'!$BL$5&lt;&gt;"",IF('POINTAGE'!BL163="Présent",'POINTAGE'!BM163,0),0)))</f>
      </c>
      <c r="Q163" s="24">
        <f>IF($A163="","",$N163*$D163)</f>
      </c>
      <c r="R163" s="24">
        <f>IF($A163="","",$P163*$E163)</f>
      </c>
      <c r="S163" s="25">
        <f>IF($A163="","",$Q163+$R163)</f>
      </c>
      <c r="T163" s="18"/>
      <c r="U163" s="25">
        <f>IF($A163="","",MAX(0,$S163-$T163))</f>
      </c>
      <c r="V163" s="25">
        <f>IF($A163="","",$K163+$S163)</f>
      </c>
      <c r="W163" s="24">
        <f>IF($A163="","",$L163+$T163)</f>
      </c>
      <c r="X163" s="25">
        <f>IF($A163="","",$M163+$U163)</f>
      </c>
      <c r="Y163" s="29">
        <f>IF($A163="","",$J163+$R163)</f>
      </c>
    </row>
    <row r="164">
      <c r="A164" s="20">
        <f>IF('POINTAGE'!A164="","",'POINTAGE'!A164)</f>
      </c>
      <c r="B164" s="19">
        <f>IF($A164="","",'POINTAGE'!B164)</f>
      </c>
      <c r="C164" s="20">
        <f>IF($A164="","",'POINTAGE'!C164)</f>
      </c>
      <c r="D164" s="24">
        <f>IF($A164="","",IFERROR(INDEX(Categories_Salaire,MATCH($C164,ListeCategories,0)),0))</f>
      </c>
      <c r="E164" s="24">
        <f>IF($A164="","",IF(IFERROR(INDEX(Categories_TauxHS,MATCH($C164,ListeCategories,0)),0)&gt;0,IFERROR(INDEX(Categories_TauxHS,MATCH($C164,ListeCategories,0)),0),TauxHSDefaut))</f>
      </c>
      <c r="F164" s="22">
        <f>IF($A164="","",SUM(IF('POINTAGE'!$D$5&lt;&gt;"",--('POINTAGE'!D164="Présent"),0),IF('POINTAGE'!$F$5&lt;&gt;"",--('POINTAGE'!F164="Présent"),0),IF('POINTAGE'!$H$5&lt;&gt;"",--('POINTAGE'!H164="Présent"),0),IF('POINTAGE'!$J$5&lt;&gt;"",--('POINTAGE'!J164="Présent"),0),IF('POINTAGE'!$L$5&lt;&gt;"",--('POINTAGE'!L164="Présent"),0),IF('POINTAGE'!$N$5&lt;&gt;"",--('POINTAGE'!N164="Présent"),0),IF('POINTAGE'!$P$5&lt;&gt;"",--('POINTAGE'!P164="Présent"),0),IF('POINTAGE'!$R$5&lt;&gt;"",--('POINTAGE'!R164="Présent"),0),IF('POINTAGE'!$T$5&lt;&gt;"",--('POINTAGE'!T164="Présent"),0),IF('POINTAGE'!$V$5&lt;&gt;"",--('POINTAGE'!V164="Présent"),0),IF('POINTAGE'!$X$5&lt;&gt;"",--('POINTAGE'!X164="Présent"),0),IF('POINTAGE'!$Z$5&lt;&gt;"",--('POINTAGE'!Z164="Présent"),0),IF('POINTAGE'!$AB$5&lt;&gt;"",--('POINTAGE'!AB164="Présent"),0),IF('POINTAGE'!$AD$5&lt;&gt;"",--('POINTAGE'!AD164="Présent"),0),IF('POINTAGE'!$AF$5&lt;&gt;"",--('POINTAGE'!AF164="Présent"),0)))</f>
      </c>
      <c r="G164" s="22">
        <f>IF($A164="","",SUM(IF('POINTAGE'!$D$5&lt;&gt;"",--('POINTAGE'!D164="Absent"),0),IF('POINTAGE'!$F$5&lt;&gt;"",--('POINTAGE'!F164="Absent"),0),IF('POINTAGE'!$H$5&lt;&gt;"",--('POINTAGE'!H164="Absent"),0),IF('POINTAGE'!$J$5&lt;&gt;"",--('POINTAGE'!J164="Absent"),0),IF('POINTAGE'!$L$5&lt;&gt;"",--('POINTAGE'!L164="Absent"),0),IF('POINTAGE'!$N$5&lt;&gt;"",--('POINTAGE'!N164="Absent"),0),IF('POINTAGE'!$P$5&lt;&gt;"",--('POINTAGE'!P164="Absent"),0),IF('POINTAGE'!$R$5&lt;&gt;"",--('POINTAGE'!R164="Absent"),0),IF('POINTAGE'!$T$5&lt;&gt;"",--('POINTAGE'!T164="Absent"),0),IF('POINTAGE'!$V$5&lt;&gt;"",--('POINTAGE'!V164="Absent"),0),IF('POINTAGE'!$X$5&lt;&gt;"",--('POINTAGE'!X164="Absent"),0),IF('POINTAGE'!$Z$5&lt;&gt;"",--('POINTAGE'!Z164="Absent"),0),IF('POINTAGE'!$AB$5&lt;&gt;"",--('POINTAGE'!AB164="Absent"),0),IF('POINTAGE'!$AD$5&lt;&gt;"",--('POINTAGE'!AD164="Absent"),0),IF('POINTAGE'!$AF$5&lt;&gt;"",--('POINTAGE'!AF164="Absent"),0)))</f>
      </c>
      <c r="H164" s="23">
        <f>IF($A164="","",SUM(IF('POINTAGE'!$D$5&lt;&gt;"",IF('POINTAGE'!D164="Présent",'POINTAGE'!E164,0),0),IF('POINTAGE'!$F$5&lt;&gt;"",IF('POINTAGE'!F164="Présent",'POINTAGE'!G164,0),0),IF('POINTAGE'!$H$5&lt;&gt;"",IF('POINTAGE'!H164="Présent",'POINTAGE'!I164,0),0),IF('POINTAGE'!$J$5&lt;&gt;"",IF('POINTAGE'!J164="Présent",'POINTAGE'!K164,0),0),IF('POINTAGE'!$L$5&lt;&gt;"",IF('POINTAGE'!L164="Présent",'POINTAGE'!M164,0),0),IF('POINTAGE'!$N$5&lt;&gt;"",IF('POINTAGE'!N164="Présent",'POINTAGE'!O164,0),0),IF('POINTAGE'!$P$5&lt;&gt;"",IF('POINTAGE'!P164="Présent",'POINTAGE'!Q164,0),0),IF('POINTAGE'!$R$5&lt;&gt;"",IF('POINTAGE'!R164="Présent",'POINTAGE'!S164,0),0),IF('POINTAGE'!$T$5&lt;&gt;"",IF('POINTAGE'!T164="Présent",'POINTAGE'!U164,0),0),IF('POINTAGE'!$V$5&lt;&gt;"",IF('POINTAGE'!V164="Présent",'POINTAGE'!W164,0),0),IF('POINTAGE'!$X$5&lt;&gt;"",IF('POINTAGE'!X164="Présent",'POINTAGE'!Y164,0),0),IF('POINTAGE'!$Z$5&lt;&gt;"",IF('POINTAGE'!Z164="Présent",'POINTAGE'!AA164,0),0),IF('POINTAGE'!$AB$5&lt;&gt;"",IF('POINTAGE'!AB164="Présent",'POINTAGE'!AC164,0),0),IF('POINTAGE'!$AD$5&lt;&gt;"",IF('POINTAGE'!AD164="Présent",'POINTAGE'!AE164,0),0),IF('POINTAGE'!$AF$5&lt;&gt;"",IF('POINTAGE'!AF164="Présent",'POINTAGE'!AG164,0),0)))</f>
      </c>
      <c r="I164" s="24">
        <f>IF($A164="","",$F164*$D164)</f>
      </c>
      <c r="J164" s="24">
        <f>IF($A164="","",$H164*$E164)</f>
      </c>
      <c r="K164" s="25">
        <f>IF($A164="","",$I164+$J164)</f>
      </c>
      <c r="L164" s="18"/>
      <c r="M164" s="25">
        <f>IF($A164="","",MAX(0,$K164-$L164))</f>
      </c>
      <c r="N164" s="22">
        <f>IF($A164="","",SUM(IF('POINTAGE'!$AH$5&lt;&gt;"",--('POINTAGE'!AH164="Présent"),0),IF('POINTAGE'!$AJ$5&lt;&gt;"",--('POINTAGE'!AJ164="Présent"),0),IF('POINTAGE'!$AL$5&lt;&gt;"",--('POINTAGE'!AL164="Présent"),0),IF('POINTAGE'!$AN$5&lt;&gt;"",--('POINTAGE'!AN164="Présent"),0),IF('POINTAGE'!$AP$5&lt;&gt;"",--('POINTAGE'!AP164="Présent"),0),IF('POINTAGE'!$AR$5&lt;&gt;"",--('POINTAGE'!AR164="Présent"),0),IF('POINTAGE'!$AT$5&lt;&gt;"",--('POINTAGE'!AT164="Présent"),0),IF('POINTAGE'!$AV$5&lt;&gt;"",--('POINTAGE'!AV164="Présent"),0),IF('POINTAGE'!$AX$5&lt;&gt;"",--('POINTAGE'!AX164="Présent"),0),IF('POINTAGE'!$AZ$5&lt;&gt;"",--('POINTAGE'!AZ164="Présent"),0),IF('POINTAGE'!$BB$5&lt;&gt;"",--('POINTAGE'!BB164="Présent"),0),IF('POINTAGE'!$BD$5&lt;&gt;"",--('POINTAGE'!BD164="Présent"),0),IF('POINTAGE'!$BF$5&lt;&gt;"",--('POINTAGE'!BF164="Présent"),0),IF('POINTAGE'!$BH$5&lt;&gt;"",--('POINTAGE'!BH164="Présent"),0),IF('POINTAGE'!$BJ$5&lt;&gt;"",--('POINTAGE'!BJ164="Présent"),0),IF('POINTAGE'!$BL$5&lt;&gt;"",--('POINTAGE'!BL164="Présent"),0)))</f>
      </c>
      <c r="O164" s="22">
        <f>IF($A164="","",SUM(IF('POINTAGE'!$AH$5&lt;&gt;"",--('POINTAGE'!AH164="Absent"),0),IF('POINTAGE'!$AJ$5&lt;&gt;"",--('POINTAGE'!AJ164="Absent"),0),IF('POINTAGE'!$AL$5&lt;&gt;"",--('POINTAGE'!AL164="Absent"),0),IF('POINTAGE'!$AN$5&lt;&gt;"",--('POINTAGE'!AN164="Absent"),0),IF('POINTAGE'!$AP$5&lt;&gt;"",--('POINTAGE'!AP164="Absent"),0),IF('POINTAGE'!$AR$5&lt;&gt;"",--('POINTAGE'!AR164="Absent"),0),IF('POINTAGE'!$AT$5&lt;&gt;"",--('POINTAGE'!AT164="Absent"),0),IF('POINTAGE'!$AV$5&lt;&gt;"",--('POINTAGE'!AV164="Absent"),0),IF('POINTAGE'!$AX$5&lt;&gt;"",--('POINTAGE'!AX164="Absent"),0),IF('POINTAGE'!$AZ$5&lt;&gt;"",--('POINTAGE'!AZ164="Absent"),0),IF('POINTAGE'!$BB$5&lt;&gt;"",--('POINTAGE'!BB164="Absent"),0),IF('POINTAGE'!$BD$5&lt;&gt;"",--('POINTAGE'!BD164="Absent"),0),IF('POINTAGE'!$BF$5&lt;&gt;"",--('POINTAGE'!BF164="Absent"),0),IF('POINTAGE'!$BH$5&lt;&gt;"",--('POINTAGE'!BH164="Absent"),0),IF('POINTAGE'!$BJ$5&lt;&gt;"",--('POINTAGE'!BJ164="Absent"),0),IF('POINTAGE'!$BL$5&lt;&gt;"",--('POINTAGE'!BL164="Absent"),0)))</f>
      </c>
      <c r="P164" s="23">
        <f>IF($A164="","",SUM(IF('POINTAGE'!$AH$5&lt;&gt;"",IF('POINTAGE'!AH164="Présent",'POINTAGE'!AI164,0),0),IF('POINTAGE'!$AJ$5&lt;&gt;"",IF('POINTAGE'!AJ164="Présent",'POINTAGE'!AK164,0),0),IF('POINTAGE'!$AL$5&lt;&gt;"",IF('POINTAGE'!AL164="Présent",'POINTAGE'!AM164,0),0),IF('POINTAGE'!$AN$5&lt;&gt;"",IF('POINTAGE'!AN164="Présent",'POINTAGE'!AO164,0),0),IF('POINTAGE'!$AP$5&lt;&gt;"",IF('POINTAGE'!AP164="Présent",'POINTAGE'!AQ164,0),0),IF('POINTAGE'!$AR$5&lt;&gt;"",IF('POINTAGE'!AR164="Présent",'POINTAGE'!AS164,0),0),IF('POINTAGE'!$AT$5&lt;&gt;"",IF('POINTAGE'!AT164="Présent",'POINTAGE'!AU164,0),0),IF('POINTAGE'!$AV$5&lt;&gt;"",IF('POINTAGE'!AV164="Présent",'POINTAGE'!AW164,0),0),IF('POINTAGE'!$AX$5&lt;&gt;"",IF('POINTAGE'!AX164="Présent",'POINTAGE'!AY164,0),0),IF('POINTAGE'!$AZ$5&lt;&gt;"",IF('POINTAGE'!AZ164="Présent",'POINTAGE'!BA164,0),0),IF('POINTAGE'!$BB$5&lt;&gt;"",IF('POINTAGE'!BB164="Présent",'POINTAGE'!BC164,0),0),IF('POINTAGE'!$BD$5&lt;&gt;"",IF('POINTAGE'!BD164="Présent",'POINTAGE'!BE164,0),0),IF('POINTAGE'!$BF$5&lt;&gt;"",IF('POINTAGE'!BF164="Présent",'POINTAGE'!BG164,0),0),IF('POINTAGE'!$BH$5&lt;&gt;"",IF('POINTAGE'!BH164="Présent",'POINTAGE'!BI164,0),0),IF('POINTAGE'!$BJ$5&lt;&gt;"",IF('POINTAGE'!BJ164="Présent",'POINTAGE'!BK164,0),0),IF('POINTAGE'!$BL$5&lt;&gt;"",IF('POINTAGE'!BL164="Présent",'POINTAGE'!BM164,0),0)))</f>
      </c>
      <c r="Q164" s="24">
        <f>IF($A164="","",$N164*$D164)</f>
      </c>
      <c r="R164" s="24">
        <f>IF($A164="","",$P164*$E164)</f>
      </c>
      <c r="S164" s="25">
        <f>IF($A164="","",$Q164+$R164)</f>
      </c>
      <c r="T164" s="18"/>
      <c r="U164" s="25">
        <f>IF($A164="","",MAX(0,$S164-$T164))</f>
      </c>
      <c r="V164" s="25">
        <f>IF($A164="","",$K164+$S164)</f>
      </c>
      <c r="W164" s="24">
        <f>IF($A164="","",$L164+$T164)</f>
      </c>
      <c r="X164" s="25">
        <f>IF($A164="","",$M164+$U164)</f>
      </c>
      <c r="Y164" s="29">
        <f>IF($A164="","",$J164+$R164)</f>
      </c>
    </row>
    <row r="165">
      <c r="A165" s="20">
        <f>IF('POINTAGE'!A165="","",'POINTAGE'!A165)</f>
      </c>
      <c r="B165" s="19">
        <f>IF($A165="","",'POINTAGE'!B165)</f>
      </c>
      <c r="C165" s="20">
        <f>IF($A165="","",'POINTAGE'!C165)</f>
      </c>
      <c r="D165" s="24">
        <f>IF($A165="","",IFERROR(INDEX(Categories_Salaire,MATCH($C165,ListeCategories,0)),0))</f>
      </c>
      <c r="E165" s="24">
        <f>IF($A165="","",IF(IFERROR(INDEX(Categories_TauxHS,MATCH($C165,ListeCategories,0)),0)&gt;0,IFERROR(INDEX(Categories_TauxHS,MATCH($C165,ListeCategories,0)),0),TauxHSDefaut))</f>
      </c>
      <c r="F165" s="22">
        <f>IF($A165="","",SUM(IF('POINTAGE'!$D$5&lt;&gt;"",--('POINTAGE'!D165="Présent"),0),IF('POINTAGE'!$F$5&lt;&gt;"",--('POINTAGE'!F165="Présent"),0),IF('POINTAGE'!$H$5&lt;&gt;"",--('POINTAGE'!H165="Présent"),0),IF('POINTAGE'!$J$5&lt;&gt;"",--('POINTAGE'!J165="Présent"),0),IF('POINTAGE'!$L$5&lt;&gt;"",--('POINTAGE'!L165="Présent"),0),IF('POINTAGE'!$N$5&lt;&gt;"",--('POINTAGE'!N165="Présent"),0),IF('POINTAGE'!$P$5&lt;&gt;"",--('POINTAGE'!P165="Présent"),0),IF('POINTAGE'!$R$5&lt;&gt;"",--('POINTAGE'!R165="Présent"),0),IF('POINTAGE'!$T$5&lt;&gt;"",--('POINTAGE'!T165="Présent"),0),IF('POINTAGE'!$V$5&lt;&gt;"",--('POINTAGE'!V165="Présent"),0),IF('POINTAGE'!$X$5&lt;&gt;"",--('POINTAGE'!X165="Présent"),0),IF('POINTAGE'!$Z$5&lt;&gt;"",--('POINTAGE'!Z165="Présent"),0),IF('POINTAGE'!$AB$5&lt;&gt;"",--('POINTAGE'!AB165="Présent"),0),IF('POINTAGE'!$AD$5&lt;&gt;"",--('POINTAGE'!AD165="Présent"),0),IF('POINTAGE'!$AF$5&lt;&gt;"",--('POINTAGE'!AF165="Présent"),0)))</f>
      </c>
      <c r="G165" s="22">
        <f>IF($A165="","",SUM(IF('POINTAGE'!$D$5&lt;&gt;"",--('POINTAGE'!D165="Absent"),0),IF('POINTAGE'!$F$5&lt;&gt;"",--('POINTAGE'!F165="Absent"),0),IF('POINTAGE'!$H$5&lt;&gt;"",--('POINTAGE'!H165="Absent"),0),IF('POINTAGE'!$J$5&lt;&gt;"",--('POINTAGE'!J165="Absent"),0),IF('POINTAGE'!$L$5&lt;&gt;"",--('POINTAGE'!L165="Absent"),0),IF('POINTAGE'!$N$5&lt;&gt;"",--('POINTAGE'!N165="Absent"),0),IF('POINTAGE'!$P$5&lt;&gt;"",--('POINTAGE'!P165="Absent"),0),IF('POINTAGE'!$R$5&lt;&gt;"",--('POINTAGE'!R165="Absent"),0),IF('POINTAGE'!$T$5&lt;&gt;"",--('POINTAGE'!T165="Absent"),0),IF('POINTAGE'!$V$5&lt;&gt;"",--('POINTAGE'!V165="Absent"),0),IF('POINTAGE'!$X$5&lt;&gt;"",--('POINTAGE'!X165="Absent"),0),IF('POINTAGE'!$Z$5&lt;&gt;"",--('POINTAGE'!Z165="Absent"),0),IF('POINTAGE'!$AB$5&lt;&gt;"",--('POINTAGE'!AB165="Absent"),0),IF('POINTAGE'!$AD$5&lt;&gt;"",--('POINTAGE'!AD165="Absent"),0),IF('POINTAGE'!$AF$5&lt;&gt;"",--('POINTAGE'!AF165="Absent"),0)))</f>
      </c>
      <c r="H165" s="23">
        <f>IF($A165="","",SUM(IF('POINTAGE'!$D$5&lt;&gt;"",IF('POINTAGE'!D165="Présent",'POINTAGE'!E165,0),0),IF('POINTAGE'!$F$5&lt;&gt;"",IF('POINTAGE'!F165="Présent",'POINTAGE'!G165,0),0),IF('POINTAGE'!$H$5&lt;&gt;"",IF('POINTAGE'!H165="Présent",'POINTAGE'!I165,0),0),IF('POINTAGE'!$J$5&lt;&gt;"",IF('POINTAGE'!J165="Présent",'POINTAGE'!K165,0),0),IF('POINTAGE'!$L$5&lt;&gt;"",IF('POINTAGE'!L165="Présent",'POINTAGE'!M165,0),0),IF('POINTAGE'!$N$5&lt;&gt;"",IF('POINTAGE'!N165="Présent",'POINTAGE'!O165,0),0),IF('POINTAGE'!$P$5&lt;&gt;"",IF('POINTAGE'!P165="Présent",'POINTAGE'!Q165,0),0),IF('POINTAGE'!$R$5&lt;&gt;"",IF('POINTAGE'!R165="Présent",'POINTAGE'!S165,0),0),IF('POINTAGE'!$T$5&lt;&gt;"",IF('POINTAGE'!T165="Présent",'POINTAGE'!U165,0),0),IF('POINTAGE'!$V$5&lt;&gt;"",IF('POINTAGE'!V165="Présent",'POINTAGE'!W165,0),0),IF('POINTAGE'!$X$5&lt;&gt;"",IF('POINTAGE'!X165="Présent",'POINTAGE'!Y165,0),0),IF('POINTAGE'!$Z$5&lt;&gt;"",IF('POINTAGE'!Z165="Présent",'POINTAGE'!AA165,0),0),IF('POINTAGE'!$AB$5&lt;&gt;"",IF('POINTAGE'!AB165="Présent",'POINTAGE'!AC165,0),0),IF('POINTAGE'!$AD$5&lt;&gt;"",IF('POINTAGE'!AD165="Présent",'POINTAGE'!AE165,0),0),IF('POINTAGE'!$AF$5&lt;&gt;"",IF('POINTAGE'!AF165="Présent",'POINTAGE'!AG165,0),0)))</f>
      </c>
      <c r="I165" s="24">
        <f>IF($A165="","",$F165*$D165)</f>
      </c>
      <c r="J165" s="24">
        <f>IF($A165="","",$H165*$E165)</f>
      </c>
      <c r="K165" s="25">
        <f>IF($A165="","",$I165+$J165)</f>
      </c>
      <c r="L165" s="18"/>
      <c r="M165" s="25">
        <f>IF($A165="","",MAX(0,$K165-$L165))</f>
      </c>
      <c r="N165" s="22">
        <f>IF($A165="","",SUM(IF('POINTAGE'!$AH$5&lt;&gt;"",--('POINTAGE'!AH165="Présent"),0),IF('POINTAGE'!$AJ$5&lt;&gt;"",--('POINTAGE'!AJ165="Présent"),0),IF('POINTAGE'!$AL$5&lt;&gt;"",--('POINTAGE'!AL165="Présent"),0),IF('POINTAGE'!$AN$5&lt;&gt;"",--('POINTAGE'!AN165="Présent"),0),IF('POINTAGE'!$AP$5&lt;&gt;"",--('POINTAGE'!AP165="Présent"),0),IF('POINTAGE'!$AR$5&lt;&gt;"",--('POINTAGE'!AR165="Présent"),0),IF('POINTAGE'!$AT$5&lt;&gt;"",--('POINTAGE'!AT165="Présent"),0),IF('POINTAGE'!$AV$5&lt;&gt;"",--('POINTAGE'!AV165="Présent"),0),IF('POINTAGE'!$AX$5&lt;&gt;"",--('POINTAGE'!AX165="Présent"),0),IF('POINTAGE'!$AZ$5&lt;&gt;"",--('POINTAGE'!AZ165="Présent"),0),IF('POINTAGE'!$BB$5&lt;&gt;"",--('POINTAGE'!BB165="Présent"),0),IF('POINTAGE'!$BD$5&lt;&gt;"",--('POINTAGE'!BD165="Présent"),0),IF('POINTAGE'!$BF$5&lt;&gt;"",--('POINTAGE'!BF165="Présent"),0),IF('POINTAGE'!$BH$5&lt;&gt;"",--('POINTAGE'!BH165="Présent"),0),IF('POINTAGE'!$BJ$5&lt;&gt;"",--('POINTAGE'!BJ165="Présent"),0),IF('POINTAGE'!$BL$5&lt;&gt;"",--('POINTAGE'!BL165="Présent"),0)))</f>
      </c>
      <c r="O165" s="22">
        <f>IF($A165="","",SUM(IF('POINTAGE'!$AH$5&lt;&gt;"",--('POINTAGE'!AH165="Absent"),0),IF('POINTAGE'!$AJ$5&lt;&gt;"",--('POINTAGE'!AJ165="Absent"),0),IF('POINTAGE'!$AL$5&lt;&gt;"",--('POINTAGE'!AL165="Absent"),0),IF('POINTAGE'!$AN$5&lt;&gt;"",--('POINTAGE'!AN165="Absent"),0),IF('POINTAGE'!$AP$5&lt;&gt;"",--('POINTAGE'!AP165="Absent"),0),IF('POINTAGE'!$AR$5&lt;&gt;"",--('POINTAGE'!AR165="Absent"),0),IF('POINTAGE'!$AT$5&lt;&gt;"",--('POINTAGE'!AT165="Absent"),0),IF('POINTAGE'!$AV$5&lt;&gt;"",--('POINTAGE'!AV165="Absent"),0),IF('POINTAGE'!$AX$5&lt;&gt;"",--('POINTAGE'!AX165="Absent"),0),IF('POINTAGE'!$AZ$5&lt;&gt;"",--('POINTAGE'!AZ165="Absent"),0),IF('POINTAGE'!$BB$5&lt;&gt;"",--('POINTAGE'!BB165="Absent"),0),IF('POINTAGE'!$BD$5&lt;&gt;"",--('POINTAGE'!BD165="Absent"),0),IF('POINTAGE'!$BF$5&lt;&gt;"",--('POINTAGE'!BF165="Absent"),0),IF('POINTAGE'!$BH$5&lt;&gt;"",--('POINTAGE'!BH165="Absent"),0),IF('POINTAGE'!$BJ$5&lt;&gt;"",--('POINTAGE'!BJ165="Absent"),0),IF('POINTAGE'!$BL$5&lt;&gt;"",--('POINTAGE'!BL165="Absent"),0)))</f>
      </c>
      <c r="P165" s="23">
        <f>IF($A165="","",SUM(IF('POINTAGE'!$AH$5&lt;&gt;"",IF('POINTAGE'!AH165="Présent",'POINTAGE'!AI165,0),0),IF('POINTAGE'!$AJ$5&lt;&gt;"",IF('POINTAGE'!AJ165="Présent",'POINTAGE'!AK165,0),0),IF('POINTAGE'!$AL$5&lt;&gt;"",IF('POINTAGE'!AL165="Présent",'POINTAGE'!AM165,0),0),IF('POINTAGE'!$AN$5&lt;&gt;"",IF('POINTAGE'!AN165="Présent",'POINTAGE'!AO165,0),0),IF('POINTAGE'!$AP$5&lt;&gt;"",IF('POINTAGE'!AP165="Présent",'POINTAGE'!AQ165,0),0),IF('POINTAGE'!$AR$5&lt;&gt;"",IF('POINTAGE'!AR165="Présent",'POINTAGE'!AS165,0),0),IF('POINTAGE'!$AT$5&lt;&gt;"",IF('POINTAGE'!AT165="Présent",'POINTAGE'!AU165,0),0),IF('POINTAGE'!$AV$5&lt;&gt;"",IF('POINTAGE'!AV165="Présent",'POINTAGE'!AW165,0),0),IF('POINTAGE'!$AX$5&lt;&gt;"",IF('POINTAGE'!AX165="Présent",'POINTAGE'!AY165,0),0),IF('POINTAGE'!$AZ$5&lt;&gt;"",IF('POINTAGE'!AZ165="Présent",'POINTAGE'!BA165,0),0),IF('POINTAGE'!$BB$5&lt;&gt;"",IF('POINTAGE'!BB165="Présent",'POINTAGE'!BC165,0),0),IF('POINTAGE'!$BD$5&lt;&gt;"",IF('POINTAGE'!BD165="Présent",'POINTAGE'!BE165,0),0),IF('POINTAGE'!$BF$5&lt;&gt;"",IF('POINTAGE'!BF165="Présent",'POINTAGE'!BG165,0),0),IF('POINTAGE'!$BH$5&lt;&gt;"",IF('POINTAGE'!BH165="Présent",'POINTAGE'!BI165,0),0),IF('POINTAGE'!$BJ$5&lt;&gt;"",IF('POINTAGE'!BJ165="Présent",'POINTAGE'!BK165,0),0),IF('POINTAGE'!$BL$5&lt;&gt;"",IF('POINTAGE'!BL165="Présent",'POINTAGE'!BM165,0),0)))</f>
      </c>
      <c r="Q165" s="24">
        <f>IF($A165="","",$N165*$D165)</f>
      </c>
      <c r="R165" s="24">
        <f>IF($A165="","",$P165*$E165)</f>
      </c>
      <c r="S165" s="25">
        <f>IF($A165="","",$Q165+$R165)</f>
      </c>
      <c r="T165" s="18"/>
      <c r="U165" s="25">
        <f>IF($A165="","",MAX(0,$S165-$T165))</f>
      </c>
      <c r="V165" s="25">
        <f>IF($A165="","",$K165+$S165)</f>
      </c>
      <c r="W165" s="24">
        <f>IF($A165="","",$L165+$T165)</f>
      </c>
      <c r="X165" s="25">
        <f>IF($A165="","",$M165+$U165)</f>
      </c>
      <c r="Y165" s="29">
        <f>IF($A165="","",$J165+$R165)</f>
      </c>
    </row>
    <row r="166">
      <c r="A166" s="20">
        <f>IF('POINTAGE'!A166="","",'POINTAGE'!A166)</f>
      </c>
      <c r="B166" s="19">
        <f>IF($A166="","",'POINTAGE'!B166)</f>
      </c>
      <c r="C166" s="20">
        <f>IF($A166="","",'POINTAGE'!C166)</f>
      </c>
      <c r="D166" s="24">
        <f>IF($A166="","",IFERROR(INDEX(Categories_Salaire,MATCH($C166,ListeCategories,0)),0))</f>
      </c>
      <c r="E166" s="24">
        <f>IF($A166="","",IF(IFERROR(INDEX(Categories_TauxHS,MATCH($C166,ListeCategories,0)),0)&gt;0,IFERROR(INDEX(Categories_TauxHS,MATCH($C166,ListeCategories,0)),0),TauxHSDefaut))</f>
      </c>
      <c r="F166" s="22">
        <f>IF($A166="","",SUM(IF('POINTAGE'!$D$5&lt;&gt;"",--('POINTAGE'!D166="Présent"),0),IF('POINTAGE'!$F$5&lt;&gt;"",--('POINTAGE'!F166="Présent"),0),IF('POINTAGE'!$H$5&lt;&gt;"",--('POINTAGE'!H166="Présent"),0),IF('POINTAGE'!$J$5&lt;&gt;"",--('POINTAGE'!J166="Présent"),0),IF('POINTAGE'!$L$5&lt;&gt;"",--('POINTAGE'!L166="Présent"),0),IF('POINTAGE'!$N$5&lt;&gt;"",--('POINTAGE'!N166="Présent"),0),IF('POINTAGE'!$P$5&lt;&gt;"",--('POINTAGE'!P166="Présent"),0),IF('POINTAGE'!$R$5&lt;&gt;"",--('POINTAGE'!R166="Présent"),0),IF('POINTAGE'!$T$5&lt;&gt;"",--('POINTAGE'!T166="Présent"),0),IF('POINTAGE'!$V$5&lt;&gt;"",--('POINTAGE'!V166="Présent"),0),IF('POINTAGE'!$X$5&lt;&gt;"",--('POINTAGE'!X166="Présent"),0),IF('POINTAGE'!$Z$5&lt;&gt;"",--('POINTAGE'!Z166="Présent"),0),IF('POINTAGE'!$AB$5&lt;&gt;"",--('POINTAGE'!AB166="Présent"),0),IF('POINTAGE'!$AD$5&lt;&gt;"",--('POINTAGE'!AD166="Présent"),0),IF('POINTAGE'!$AF$5&lt;&gt;"",--('POINTAGE'!AF166="Présent"),0)))</f>
      </c>
      <c r="G166" s="22">
        <f>IF($A166="","",SUM(IF('POINTAGE'!$D$5&lt;&gt;"",--('POINTAGE'!D166="Absent"),0),IF('POINTAGE'!$F$5&lt;&gt;"",--('POINTAGE'!F166="Absent"),0),IF('POINTAGE'!$H$5&lt;&gt;"",--('POINTAGE'!H166="Absent"),0),IF('POINTAGE'!$J$5&lt;&gt;"",--('POINTAGE'!J166="Absent"),0),IF('POINTAGE'!$L$5&lt;&gt;"",--('POINTAGE'!L166="Absent"),0),IF('POINTAGE'!$N$5&lt;&gt;"",--('POINTAGE'!N166="Absent"),0),IF('POINTAGE'!$P$5&lt;&gt;"",--('POINTAGE'!P166="Absent"),0),IF('POINTAGE'!$R$5&lt;&gt;"",--('POINTAGE'!R166="Absent"),0),IF('POINTAGE'!$T$5&lt;&gt;"",--('POINTAGE'!T166="Absent"),0),IF('POINTAGE'!$V$5&lt;&gt;"",--('POINTAGE'!V166="Absent"),0),IF('POINTAGE'!$X$5&lt;&gt;"",--('POINTAGE'!X166="Absent"),0),IF('POINTAGE'!$Z$5&lt;&gt;"",--('POINTAGE'!Z166="Absent"),0),IF('POINTAGE'!$AB$5&lt;&gt;"",--('POINTAGE'!AB166="Absent"),0),IF('POINTAGE'!$AD$5&lt;&gt;"",--('POINTAGE'!AD166="Absent"),0),IF('POINTAGE'!$AF$5&lt;&gt;"",--('POINTAGE'!AF166="Absent"),0)))</f>
      </c>
      <c r="H166" s="23">
        <f>IF($A166="","",SUM(IF('POINTAGE'!$D$5&lt;&gt;"",IF('POINTAGE'!D166="Présent",'POINTAGE'!E166,0),0),IF('POINTAGE'!$F$5&lt;&gt;"",IF('POINTAGE'!F166="Présent",'POINTAGE'!G166,0),0),IF('POINTAGE'!$H$5&lt;&gt;"",IF('POINTAGE'!H166="Présent",'POINTAGE'!I166,0),0),IF('POINTAGE'!$J$5&lt;&gt;"",IF('POINTAGE'!J166="Présent",'POINTAGE'!K166,0),0),IF('POINTAGE'!$L$5&lt;&gt;"",IF('POINTAGE'!L166="Présent",'POINTAGE'!M166,0),0),IF('POINTAGE'!$N$5&lt;&gt;"",IF('POINTAGE'!N166="Présent",'POINTAGE'!O166,0),0),IF('POINTAGE'!$P$5&lt;&gt;"",IF('POINTAGE'!P166="Présent",'POINTAGE'!Q166,0),0),IF('POINTAGE'!$R$5&lt;&gt;"",IF('POINTAGE'!R166="Présent",'POINTAGE'!S166,0),0),IF('POINTAGE'!$T$5&lt;&gt;"",IF('POINTAGE'!T166="Présent",'POINTAGE'!U166,0),0),IF('POINTAGE'!$V$5&lt;&gt;"",IF('POINTAGE'!V166="Présent",'POINTAGE'!W166,0),0),IF('POINTAGE'!$X$5&lt;&gt;"",IF('POINTAGE'!X166="Présent",'POINTAGE'!Y166,0),0),IF('POINTAGE'!$Z$5&lt;&gt;"",IF('POINTAGE'!Z166="Présent",'POINTAGE'!AA166,0),0),IF('POINTAGE'!$AB$5&lt;&gt;"",IF('POINTAGE'!AB166="Présent",'POINTAGE'!AC166,0),0),IF('POINTAGE'!$AD$5&lt;&gt;"",IF('POINTAGE'!AD166="Présent",'POINTAGE'!AE166,0),0),IF('POINTAGE'!$AF$5&lt;&gt;"",IF('POINTAGE'!AF166="Présent",'POINTAGE'!AG166,0),0)))</f>
      </c>
      <c r="I166" s="24">
        <f>IF($A166="","",$F166*$D166)</f>
      </c>
      <c r="J166" s="24">
        <f>IF($A166="","",$H166*$E166)</f>
      </c>
      <c r="K166" s="25">
        <f>IF($A166="","",$I166+$J166)</f>
      </c>
      <c r="L166" s="18"/>
      <c r="M166" s="25">
        <f>IF($A166="","",MAX(0,$K166-$L166))</f>
      </c>
      <c r="N166" s="22">
        <f>IF($A166="","",SUM(IF('POINTAGE'!$AH$5&lt;&gt;"",--('POINTAGE'!AH166="Présent"),0),IF('POINTAGE'!$AJ$5&lt;&gt;"",--('POINTAGE'!AJ166="Présent"),0),IF('POINTAGE'!$AL$5&lt;&gt;"",--('POINTAGE'!AL166="Présent"),0),IF('POINTAGE'!$AN$5&lt;&gt;"",--('POINTAGE'!AN166="Présent"),0),IF('POINTAGE'!$AP$5&lt;&gt;"",--('POINTAGE'!AP166="Présent"),0),IF('POINTAGE'!$AR$5&lt;&gt;"",--('POINTAGE'!AR166="Présent"),0),IF('POINTAGE'!$AT$5&lt;&gt;"",--('POINTAGE'!AT166="Présent"),0),IF('POINTAGE'!$AV$5&lt;&gt;"",--('POINTAGE'!AV166="Présent"),0),IF('POINTAGE'!$AX$5&lt;&gt;"",--('POINTAGE'!AX166="Présent"),0),IF('POINTAGE'!$AZ$5&lt;&gt;"",--('POINTAGE'!AZ166="Présent"),0),IF('POINTAGE'!$BB$5&lt;&gt;"",--('POINTAGE'!BB166="Présent"),0),IF('POINTAGE'!$BD$5&lt;&gt;"",--('POINTAGE'!BD166="Présent"),0),IF('POINTAGE'!$BF$5&lt;&gt;"",--('POINTAGE'!BF166="Présent"),0),IF('POINTAGE'!$BH$5&lt;&gt;"",--('POINTAGE'!BH166="Présent"),0),IF('POINTAGE'!$BJ$5&lt;&gt;"",--('POINTAGE'!BJ166="Présent"),0),IF('POINTAGE'!$BL$5&lt;&gt;"",--('POINTAGE'!BL166="Présent"),0)))</f>
      </c>
      <c r="O166" s="22">
        <f>IF($A166="","",SUM(IF('POINTAGE'!$AH$5&lt;&gt;"",--('POINTAGE'!AH166="Absent"),0),IF('POINTAGE'!$AJ$5&lt;&gt;"",--('POINTAGE'!AJ166="Absent"),0),IF('POINTAGE'!$AL$5&lt;&gt;"",--('POINTAGE'!AL166="Absent"),0),IF('POINTAGE'!$AN$5&lt;&gt;"",--('POINTAGE'!AN166="Absent"),0),IF('POINTAGE'!$AP$5&lt;&gt;"",--('POINTAGE'!AP166="Absent"),0),IF('POINTAGE'!$AR$5&lt;&gt;"",--('POINTAGE'!AR166="Absent"),0),IF('POINTAGE'!$AT$5&lt;&gt;"",--('POINTAGE'!AT166="Absent"),0),IF('POINTAGE'!$AV$5&lt;&gt;"",--('POINTAGE'!AV166="Absent"),0),IF('POINTAGE'!$AX$5&lt;&gt;"",--('POINTAGE'!AX166="Absent"),0),IF('POINTAGE'!$AZ$5&lt;&gt;"",--('POINTAGE'!AZ166="Absent"),0),IF('POINTAGE'!$BB$5&lt;&gt;"",--('POINTAGE'!BB166="Absent"),0),IF('POINTAGE'!$BD$5&lt;&gt;"",--('POINTAGE'!BD166="Absent"),0),IF('POINTAGE'!$BF$5&lt;&gt;"",--('POINTAGE'!BF166="Absent"),0),IF('POINTAGE'!$BH$5&lt;&gt;"",--('POINTAGE'!BH166="Absent"),0),IF('POINTAGE'!$BJ$5&lt;&gt;"",--('POINTAGE'!BJ166="Absent"),0),IF('POINTAGE'!$BL$5&lt;&gt;"",--('POINTAGE'!BL166="Absent"),0)))</f>
      </c>
      <c r="P166" s="23">
        <f>IF($A166="","",SUM(IF('POINTAGE'!$AH$5&lt;&gt;"",IF('POINTAGE'!AH166="Présent",'POINTAGE'!AI166,0),0),IF('POINTAGE'!$AJ$5&lt;&gt;"",IF('POINTAGE'!AJ166="Présent",'POINTAGE'!AK166,0),0),IF('POINTAGE'!$AL$5&lt;&gt;"",IF('POINTAGE'!AL166="Présent",'POINTAGE'!AM166,0),0),IF('POINTAGE'!$AN$5&lt;&gt;"",IF('POINTAGE'!AN166="Présent",'POINTAGE'!AO166,0),0),IF('POINTAGE'!$AP$5&lt;&gt;"",IF('POINTAGE'!AP166="Présent",'POINTAGE'!AQ166,0),0),IF('POINTAGE'!$AR$5&lt;&gt;"",IF('POINTAGE'!AR166="Présent",'POINTAGE'!AS166,0),0),IF('POINTAGE'!$AT$5&lt;&gt;"",IF('POINTAGE'!AT166="Présent",'POINTAGE'!AU166,0),0),IF('POINTAGE'!$AV$5&lt;&gt;"",IF('POINTAGE'!AV166="Présent",'POINTAGE'!AW166,0),0),IF('POINTAGE'!$AX$5&lt;&gt;"",IF('POINTAGE'!AX166="Présent",'POINTAGE'!AY166,0),0),IF('POINTAGE'!$AZ$5&lt;&gt;"",IF('POINTAGE'!AZ166="Présent",'POINTAGE'!BA166,0),0),IF('POINTAGE'!$BB$5&lt;&gt;"",IF('POINTAGE'!BB166="Présent",'POINTAGE'!BC166,0),0),IF('POINTAGE'!$BD$5&lt;&gt;"",IF('POINTAGE'!BD166="Présent",'POINTAGE'!BE166,0),0),IF('POINTAGE'!$BF$5&lt;&gt;"",IF('POINTAGE'!BF166="Présent",'POINTAGE'!BG166,0),0),IF('POINTAGE'!$BH$5&lt;&gt;"",IF('POINTAGE'!BH166="Présent",'POINTAGE'!BI166,0),0),IF('POINTAGE'!$BJ$5&lt;&gt;"",IF('POINTAGE'!BJ166="Présent",'POINTAGE'!BK166,0),0),IF('POINTAGE'!$BL$5&lt;&gt;"",IF('POINTAGE'!BL166="Présent",'POINTAGE'!BM166,0),0)))</f>
      </c>
      <c r="Q166" s="24">
        <f>IF($A166="","",$N166*$D166)</f>
      </c>
      <c r="R166" s="24">
        <f>IF($A166="","",$P166*$E166)</f>
      </c>
      <c r="S166" s="25">
        <f>IF($A166="","",$Q166+$R166)</f>
      </c>
      <c r="T166" s="18"/>
      <c r="U166" s="25">
        <f>IF($A166="","",MAX(0,$S166-$T166))</f>
      </c>
      <c r="V166" s="25">
        <f>IF($A166="","",$K166+$S166)</f>
      </c>
      <c r="W166" s="24">
        <f>IF($A166="","",$L166+$T166)</f>
      </c>
      <c r="X166" s="25">
        <f>IF($A166="","",$M166+$U166)</f>
      </c>
      <c r="Y166" s="29">
        <f>IF($A166="","",$J166+$R166)</f>
      </c>
    </row>
    <row r="167">
      <c r="A167" s="20">
        <f>IF('POINTAGE'!A167="","",'POINTAGE'!A167)</f>
      </c>
      <c r="B167" s="19">
        <f>IF($A167="","",'POINTAGE'!B167)</f>
      </c>
      <c r="C167" s="20">
        <f>IF($A167="","",'POINTAGE'!C167)</f>
      </c>
      <c r="D167" s="24">
        <f>IF($A167="","",IFERROR(INDEX(Categories_Salaire,MATCH($C167,ListeCategories,0)),0))</f>
      </c>
      <c r="E167" s="24">
        <f>IF($A167="","",IF(IFERROR(INDEX(Categories_TauxHS,MATCH($C167,ListeCategories,0)),0)&gt;0,IFERROR(INDEX(Categories_TauxHS,MATCH($C167,ListeCategories,0)),0),TauxHSDefaut))</f>
      </c>
      <c r="F167" s="22">
        <f>IF($A167="","",SUM(IF('POINTAGE'!$D$5&lt;&gt;"",--('POINTAGE'!D167="Présent"),0),IF('POINTAGE'!$F$5&lt;&gt;"",--('POINTAGE'!F167="Présent"),0),IF('POINTAGE'!$H$5&lt;&gt;"",--('POINTAGE'!H167="Présent"),0),IF('POINTAGE'!$J$5&lt;&gt;"",--('POINTAGE'!J167="Présent"),0),IF('POINTAGE'!$L$5&lt;&gt;"",--('POINTAGE'!L167="Présent"),0),IF('POINTAGE'!$N$5&lt;&gt;"",--('POINTAGE'!N167="Présent"),0),IF('POINTAGE'!$P$5&lt;&gt;"",--('POINTAGE'!P167="Présent"),0),IF('POINTAGE'!$R$5&lt;&gt;"",--('POINTAGE'!R167="Présent"),0),IF('POINTAGE'!$T$5&lt;&gt;"",--('POINTAGE'!T167="Présent"),0),IF('POINTAGE'!$V$5&lt;&gt;"",--('POINTAGE'!V167="Présent"),0),IF('POINTAGE'!$X$5&lt;&gt;"",--('POINTAGE'!X167="Présent"),0),IF('POINTAGE'!$Z$5&lt;&gt;"",--('POINTAGE'!Z167="Présent"),0),IF('POINTAGE'!$AB$5&lt;&gt;"",--('POINTAGE'!AB167="Présent"),0),IF('POINTAGE'!$AD$5&lt;&gt;"",--('POINTAGE'!AD167="Présent"),0),IF('POINTAGE'!$AF$5&lt;&gt;"",--('POINTAGE'!AF167="Présent"),0)))</f>
      </c>
      <c r="G167" s="22">
        <f>IF($A167="","",SUM(IF('POINTAGE'!$D$5&lt;&gt;"",--('POINTAGE'!D167="Absent"),0),IF('POINTAGE'!$F$5&lt;&gt;"",--('POINTAGE'!F167="Absent"),0),IF('POINTAGE'!$H$5&lt;&gt;"",--('POINTAGE'!H167="Absent"),0),IF('POINTAGE'!$J$5&lt;&gt;"",--('POINTAGE'!J167="Absent"),0),IF('POINTAGE'!$L$5&lt;&gt;"",--('POINTAGE'!L167="Absent"),0),IF('POINTAGE'!$N$5&lt;&gt;"",--('POINTAGE'!N167="Absent"),0),IF('POINTAGE'!$P$5&lt;&gt;"",--('POINTAGE'!P167="Absent"),0),IF('POINTAGE'!$R$5&lt;&gt;"",--('POINTAGE'!R167="Absent"),0),IF('POINTAGE'!$T$5&lt;&gt;"",--('POINTAGE'!T167="Absent"),0),IF('POINTAGE'!$V$5&lt;&gt;"",--('POINTAGE'!V167="Absent"),0),IF('POINTAGE'!$X$5&lt;&gt;"",--('POINTAGE'!X167="Absent"),0),IF('POINTAGE'!$Z$5&lt;&gt;"",--('POINTAGE'!Z167="Absent"),0),IF('POINTAGE'!$AB$5&lt;&gt;"",--('POINTAGE'!AB167="Absent"),0),IF('POINTAGE'!$AD$5&lt;&gt;"",--('POINTAGE'!AD167="Absent"),0),IF('POINTAGE'!$AF$5&lt;&gt;"",--('POINTAGE'!AF167="Absent"),0)))</f>
      </c>
      <c r="H167" s="23">
        <f>IF($A167="","",SUM(IF('POINTAGE'!$D$5&lt;&gt;"",IF('POINTAGE'!D167="Présent",'POINTAGE'!E167,0),0),IF('POINTAGE'!$F$5&lt;&gt;"",IF('POINTAGE'!F167="Présent",'POINTAGE'!G167,0),0),IF('POINTAGE'!$H$5&lt;&gt;"",IF('POINTAGE'!H167="Présent",'POINTAGE'!I167,0),0),IF('POINTAGE'!$J$5&lt;&gt;"",IF('POINTAGE'!J167="Présent",'POINTAGE'!K167,0),0),IF('POINTAGE'!$L$5&lt;&gt;"",IF('POINTAGE'!L167="Présent",'POINTAGE'!M167,0),0),IF('POINTAGE'!$N$5&lt;&gt;"",IF('POINTAGE'!N167="Présent",'POINTAGE'!O167,0),0),IF('POINTAGE'!$P$5&lt;&gt;"",IF('POINTAGE'!P167="Présent",'POINTAGE'!Q167,0),0),IF('POINTAGE'!$R$5&lt;&gt;"",IF('POINTAGE'!R167="Présent",'POINTAGE'!S167,0),0),IF('POINTAGE'!$T$5&lt;&gt;"",IF('POINTAGE'!T167="Présent",'POINTAGE'!U167,0),0),IF('POINTAGE'!$V$5&lt;&gt;"",IF('POINTAGE'!V167="Présent",'POINTAGE'!W167,0),0),IF('POINTAGE'!$X$5&lt;&gt;"",IF('POINTAGE'!X167="Présent",'POINTAGE'!Y167,0),0),IF('POINTAGE'!$Z$5&lt;&gt;"",IF('POINTAGE'!Z167="Présent",'POINTAGE'!AA167,0),0),IF('POINTAGE'!$AB$5&lt;&gt;"",IF('POINTAGE'!AB167="Présent",'POINTAGE'!AC167,0),0),IF('POINTAGE'!$AD$5&lt;&gt;"",IF('POINTAGE'!AD167="Présent",'POINTAGE'!AE167,0),0),IF('POINTAGE'!$AF$5&lt;&gt;"",IF('POINTAGE'!AF167="Présent",'POINTAGE'!AG167,0),0)))</f>
      </c>
      <c r="I167" s="24">
        <f>IF($A167="","",$F167*$D167)</f>
      </c>
      <c r="J167" s="24">
        <f>IF($A167="","",$H167*$E167)</f>
      </c>
      <c r="K167" s="25">
        <f>IF($A167="","",$I167+$J167)</f>
      </c>
      <c r="L167" s="18"/>
      <c r="M167" s="25">
        <f>IF($A167="","",MAX(0,$K167-$L167))</f>
      </c>
      <c r="N167" s="22">
        <f>IF($A167="","",SUM(IF('POINTAGE'!$AH$5&lt;&gt;"",--('POINTAGE'!AH167="Présent"),0),IF('POINTAGE'!$AJ$5&lt;&gt;"",--('POINTAGE'!AJ167="Présent"),0),IF('POINTAGE'!$AL$5&lt;&gt;"",--('POINTAGE'!AL167="Présent"),0),IF('POINTAGE'!$AN$5&lt;&gt;"",--('POINTAGE'!AN167="Présent"),0),IF('POINTAGE'!$AP$5&lt;&gt;"",--('POINTAGE'!AP167="Présent"),0),IF('POINTAGE'!$AR$5&lt;&gt;"",--('POINTAGE'!AR167="Présent"),0),IF('POINTAGE'!$AT$5&lt;&gt;"",--('POINTAGE'!AT167="Présent"),0),IF('POINTAGE'!$AV$5&lt;&gt;"",--('POINTAGE'!AV167="Présent"),0),IF('POINTAGE'!$AX$5&lt;&gt;"",--('POINTAGE'!AX167="Présent"),0),IF('POINTAGE'!$AZ$5&lt;&gt;"",--('POINTAGE'!AZ167="Présent"),0),IF('POINTAGE'!$BB$5&lt;&gt;"",--('POINTAGE'!BB167="Présent"),0),IF('POINTAGE'!$BD$5&lt;&gt;"",--('POINTAGE'!BD167="Présent"),0),IF('POINTAGE'!$BF$5&lt;&gt;"",--('POINTAGE'!BF167="Présent"),0),IF('POINTAGE'!$BH$5&lt;&gt;"",--('POINTAGE'!BH167="Présent"),0),IF('POINTAGE'!$BJ$5&lt;&gt;"",--('POINTAGE'!BJ167="Présent"),0),IF('POINTAGE'!$BL$5&lt;&gt;"",--('POINTAGE'!BL167="Présent"),0)))</f>
      </c>
      <c r="O167" s="22">
        <f>IF($A167="","",SUM(IF('POINTAGE'!$AH$5&lt;&gt;"",--('POINTAGE'!AH167="Absent"),0),IF('POINTAGE'!$AJ$5&lt;&gt;"",--('POINTAGE'!AJ167="Absent"),0),IF('POINTAGE'!$AL$5&lt;&gt;"",--('POINTAGE'!AL167="Absent"),0),IF('POINTAGE'!$AN$5&lt;&gt;"",--('POINTAGE'!AN167="Absent"),0),IF('POINTAGE'!$AP$5&lt;&gt;"",--('POINTAGE'!AP167="Absent"),0),IF('POINTAGE'!$AR$5&lt;&gt;"",--('POINTAGE'!AR167="Absent"),0),IF('POINTAGE'!$AT$5&lt;&gt;"",--('POINTAGE'!AT167="Absent"),0),IF('POINTAGE'!$AV$5&lt;&gt;"",--('POINTAGE'!AV167="Absent"),0),IF('POINTAGE'!$AX$5&lt;&gt;"",--('POINTAGE'!AX167="Absent"),0),IF('POINTAGE'!$AZ$5&lt;&gt;"",--('POINTAGE'!AZ167="Absent"),0),IF('POINTAGE'!$BB$5&lt;&gt;"",--('POINTAGE'!BB167="Absent"),0),IF('POINTAGE'!$BD$5&lt;&gt;"",--('POINTAGE'!BD167="Absent"),0),IF('POINTAGE'!$BF$5&lt;&gt;"",--('POINTAGE'!BF167="Absent"),0),IF('POINTAGE'!$BH$5&lt;&gt;"",--('POINTAGE'!BH167="Absent"),0),IF('POINTAGE'!$BJ$5&lt;&gt;"",--('POINTAGE'!BJ167="Absent"),0),IF('POINTAGE'!$BL$5&lt;&gt;"",--('POINTAGE'!BL167="Absent"),0)))</f>
      </c>
      <c r="P167" s="23">
        <f>IF($A167="","",SUM(IF('POINTAGE'!$AH$5&lt;&gt;"",IF('POINTAGE'!AH167="Présent",'POINTAGE'!AI167,0),0),IF('POINTAGE'!$AJ$5&lt;&gt;"",IF('POINTAGE'!AJ167="Présent",'POINTAGE'!AK167,0),0),IF('POINTAGE'!$AL$5&lt;&gt;"",IF('POINTAGE'!AL167="Présent",'POINTAGE'!AM167,0),0),IF('POINTAGE'!$AN$5&lt;&gt;"",IF('POINTAGE'!AN167="Présent",'POINTAGE'!AO167,0),0),IF('POINTAGE'!$AP$5&lt;&gt;"",IF('POINTAGE'!AP167="Présent",'POINTAGE'!AQ167,0),0),IF('POINTAGE'!$AR$5&lt;&gt;"",IF('POINTAGE'!AR167="Présent",'POINTAGE'!AS167,0),0),IF('POINTAGE'!$AT$5&lt;&gt;"",IF('POINTAGE'!AT167="Présent",'POINTAGE'!AU167,0),0),IF('POINTAGE'!$AV$5&lt;&gt;"",IF('POINTAGE'!AV167="Présent",'POINTAGE'!AW167,0),0),IF('POINTAGE'!$AX$5&lt;&gt;"",IF('POINTAGE'!AX167="Présent",'POINTAGE'!AY167,0),0),IF('POINTAGE'!$AZ$5&lt;&gt;"",IF('POINTAGE'!AZ167="Présent",'POINTAGE'!BA167,0),0),IF('POINTAGE'!$BB$5&lt;&gt;"",IF('POINTAGE'!BB167="Présent",'POINTAGE'!BC167,0),0),IF('POINTAGE'!$BD$5&lt;&gt;"",IF('POINTAGE'!BD167="Présent",'POINTAGE'!BE167,0),0),IF('POINTAGE'!$BF$5&lt;&gt;"",IF('POINTAGE'!BF167="Présent",'POINTAGE'!BG167,0),0),IF('POINTAGE'!$BH$5&lt;&gt;"",IF('POINTAGE'!BH167="Présent",'POINTAGE'!BI167,0),0),IF('POINTAGE'!$BJ$5&lt;&gt;"",IF('POINTAGE'!BJ167="Présent",'POINTAGE'!BK167,0),0),IF('POINTAGE'!$BL$5&lt;&gt;"",IF('POINTAGE'!BL167="Présent",'POINTAGE'!BM167,0),0)))</f>
      </c>
      <c r="Q167" s="24">
        <f>IF($A167="","",$N167*$D167)</f>
      </c>
      <c r="R167" s="24">
        <f>IF($A167="","",$P167*$E167)</f>
      </c>
      <c r="S167" s="25">
        <f>IF($A167="","",$Q167+$R167)</f>
      </c>
      <c r="T167" s="18"/>
      <c r="U167" s="25">
        <f>IF($A167="","",MAX(0,$S167-$T167))</f>
      </c>
      <c r="V167" s="25">
        <f>IF($A167="","",$K167+$S167)</f>
      </c>
      <c r="W167" s="24">
        <f>IF($A167="","",$L167+$T167)</f>
      </c>
      <c r="X167" s="25">
        <f>IF($A167="","",$M167+$U167)</f>
      </c>
      <c r="Y167" s="29">
        <f>IF($A167="","",$J167+$R167)</f>
      </c>
    </row>
    <row r="168">
      <c r="A168" s="20">
        <f>IF('POINTAGE'!A168="","",'POINTAGE'!A168)</f>
      </c>
      <c r="B168" s="19">
        <f>IF($A168="","",'POINTAGE'!B168)</f>
      </c>
      <c r="C168" s="20">
        <f>IF($A168="","",'POINTAGE'!C168)</f>
      </c>
      <c r="D168" s="24">
        <f>IF($A168="","",IFERROR(INDEX(Categories_Salaire,MATCH($C168,ListeCategories,0)),0))</f>
      </c>
      <c r="E168" s="24">
        <f>IF($A168="","",IF(IFERROR(INDEX(Categories_TauxHS,MATCH($C168,ListeCategories,0)),0)&gt;0,IFERROR(INDEX(Categories_TauxHS,MATCH($C168,ListeCategories,0)),0),TauxHSDefaut))</f>
      </c>
      <c r="F168" s="22">
        <f>IF($A168="","",SUM(IF('POINTAGE'!$D$5&lt;&gt;"",--('POINTAGE'!D168="Présent"),0),IF('POINTAGE'!$F$5&lt;&gt;"",--('POINTAGE'!F168="Présent"),0),IF('POINTAGE'!$H$5&lt;&gt;"",--('POINTAGE'!H168="Présent"),0),IF('POINTAGE'!$J$5&lt;&gt;"",--('POINTAGE'!J168="Présent"),0),IF('POINTAGE'!$L$5&lt;&gt;"",--('POINTAGE'!L168="Présent"),0),IF('POINTAGE'!$N$5&lt;&gt;"",--('POINTAGE'!N168="Présent"),0),IF('POINTAGE'!$P$5&lt;&gt;"",--('POINTAGE'!P168="Présent"),0),IF('POINTAGE'!$R$5&lt;&gt;"",--('POINTAGE'!R168="Présent"),0),IF('POINTAGE'!$T$5&lt;&gt;"",--('POINTAGE'!T168="Présent"),0),IF('POINTAGE'!$V$5&lt;&gt;"",--('POINTAGE'!V168="Présent"),0),IF('POINTAGE'!$X$5&lt;&gt;"",--('POINTAGE'!X168="Présent"),0),IF('POINTAGE'!$Z$5&lt;&gt;"",--('POINTAGE'!Z168="Présent"),0),IF('POINTAGE'!$AB$5&lt;&gt;"",--('POINTAGE'!AB168="Présent"),0),IF('POINTAGE'!$AD$5&lt;&gt;"",--('POINTAGE'!AD168="Présent"),0),IF('POINTAGE'!$AF$5&lt;&gt;"",--('POINTAGE'!AF168="Présent"),0)))</f>
      </c>
      <c r="G168" s="22">
        <f>IF($A168="","",SUM(IF('POINTAGE'!$D$5&lt;&gt;"",--('POINTAGE'!D168="Absent"),0),IF('POINTAGE'!$F$5&lt;&gt;"",--('POINTAGE'!F168="Absent"),0),IF('POINTAGE'!$H$5&lt;&gt;"",--('POINTAGE'!H168="Absent"),0),IF('POINTAGE'!$J$5&lt;&gt;"",--('POINTAGE'!J168="Absent"),0),IF('POINTAGE'!$L$5&lt;&gt;"",--('POINTAGE'!L168="Absent"),0),IF('POINTAGE'!$N$5&lt;&gt;"",--('POINTAGE'!N168="Absent"),0),IF('POINTAGE'!$P$5&lt;&gt;"",--('POINTAGE'!P168="Absent"),0),IF('POINTAGE'!$R$5&lt;&gt;"",--('POINTAGE'!R168="Absent"),0),IF('POINTAGE'!$T$5&lt;&gt;"",--('POINTAGE'!T168="Absent"),0),IF('POINTAGE'!$V$5&lt;&gt;"",--('POINTAGE'!V168="Absent"),0),IF('POINTAGE'!$X$5&lt;&gt;"",--('POINTAGE'!X168="Absent"),0),IF('POINTAGE'!$Z$5&lt;&gt;"",--('POINTAGE'!Z168="Absent"),0),IF('POINTAGE'!$AB$5&lt;&gt;"",--('POINTAGE'!AB168="Absent"),0),IF('POINTAGE'!$AD$5&lt;&gt;"",--('POINTAGE'!AD168="Absent"),0),IF('POINTAGE'!$AF$5&lt;&gt;"",--('POINTAGE'!AF168="Absent"),0)))</f>
      </c>
      <c r="H168" s="23">
        <f>IF($A168="","",SUM(IF('POINTAGE'!$D$5&lt;&gt;"",IF('POINTAGE'!D168="Présent",'POINTAGE'!E168,0),0),IF('POINTAGE'!$F$5&lt;&gt;"",IF('POINTAGE'!F168="Présent",'POINTAGE'!G168,0),0),IF('POINTAGE'!$H$5&lt;&gt;"",IF('POINTAGE'!H168="Présent",'POINTAGE'!I168,0),0),IF('POINTAGE'!$J$5&lt;&gt;"",IF('POINTAGE'!J168="Présent",'POINTAGE'!K168,0),0),IF('POINTAGE'!$L$5&lt;&gt;"",IF('POINTAGE'!L168="Présent",'POINTAGE'!M168,0),0),IF('POINTAGE'!$N$5&lt;&gt;"",IF('POINTAGE'!N168="Présent",'POINTAGE'!O168,0),0),IF('POINTAGE'!$P$5&lt;&gt;"",IF('POINTAGE'!P168="Présent",'POINTAGE'!Q168,0),0),IF('POINTAGE'!$R$5&lt;&gt;"",IF('POINTAGE'!R168="Présent",'POINTAGE'!S168,0),0),IF('POINTAGE'!$T$5&lt;&gt;"",IF('POINTAGE'!T168="Présent",'POINTAGE'!U168,0),0),IF('POINTAGE'!$V$5&lt;&gt;"",IF('POINTAGE'!V168="Présent",'POINTAGE'!W168,0),0),IF('POINTAGE'!$X$5&lt;&gt;"",IF('POINTAGE'!X168="Présent",'POINTAGE'!Y168,0),0),IF('POINTAGE'!$Z$5&lt;&gt;"",IF('POINTAGE'!Z168="Présent",'POINTAGE'!AA168,0),0),IF('POINTAGE'!$AB$5&lt;&gt;"",IF('POINTAGE'!AB168="Présent",'POINTAGE'!AC168,0),0),IF('POINTAGE'!$AD$5&lt;&gt;"",IF('POINTAGE'!AD168="Présent",'POINTAGE'!AE168,0),0),IF('POINTAGE'!$AF$5&lt;&gt;"",IF('POINTAGE'!AF168="Présent",'POINTAGE'!AG168,0),0)))</f>
      </c>
      <c r="I168" s="24">
        <f>IF($A168="","",$F168*$D168)</f>
      </c>
      <c r="J168" s="24">
        <f>IF($A168="","",$H168*$E168)</f>
      </c>
      <c r="K168" s="25">
        <f>IF($A168="","",$I168+$J168)</f>
      </c>
      <c r="L168" s="18"/>
      <c r="M168" s="25">
        <f>IF($A168="","",MAX(0,$K168-$L168))</f>
      </c>
      <c r="N168" s="22">
        <f>IF($A168="","",SUM(IF('POINTAGE'!$AH$5&lt;&gt;"",--('POINTAGE'!AH168="Présent"),0),IF('POINTAGE'!$AJ$5&lt;&gt;"",--('POINTAGE'!AJ168="Présent"),0),IF('POINTAGE'!$AL$5&lt;&gt;"",--('POINTAGE'!AL168="Présent"),0),IF('POINTAGE'!$AN$5&lt;&gt;"",--('POINTAGE'!AN168="Présent"),0),IF('POINTAGE'!$AP$5&lt;&gt;"",--('POINTAGE'!AP168="Présent"),0),IF('POINTAGE'!$AR$5&lt;&gt;"",--('POINTAGE'!AR168="Présent"),0),IF('POINTAGE'!$AT$5&lt;&gt;"",--('POINTAGE'!AT168="Présent"),0),IF('POINTAGE'!$AV$5&lt;&gt;"",--('POINTAGE'!AV168="Présent"),0),IF('POINTAGE'!$AX$5&lt;&gt;"",--('POINTAGE'!AX168="Présent"),0),IF('POINTAGE'!$AZ$5&lt;&gt;"",--('POINTAGE'!AZ168="Présent"),0),IF('POINTAGE'!$BB$5&lt;&gt;"",--('POINTAGE'!BB168="Présent"),0),IF('POINTAGE'!$BD$5&lt;&gt;"",--('POINTAGE'!BD168="Présent"),0),IF('POINTAGE'!$BF$5&lt;&gt;"",--('POINTAGE'!BF168="Présent"),0),IF('POINTAGE'!$BH$5&lt;&gt;"",--('POINTAGE'!BH168="Présent"),0),IF('POINTAGE'!$BJ$5&lt;&gt;"",--('POINTAGE'!BJ168="Présent"),0),IF('POINTAGE'!$BL$5&lt;&gt;"",--('POINTAGE'!BL168="Présent"),0)))</f>
      </c>
      <c r="O168" s="22">
        <f>IF($A168="","",SUM(IF('POINTAGE'!$AH$5&lt;&gt;"",--('POINTAGE'!AH168="Absent"),0),IF('POINTAGE'!$AJ$5&lt;&gt;"",--('POINTAGE'!AJ168="Absent"),0),IF('POINTAGE'!$AL$5&lt;&gt;"",--('POINTAGE'!AL168="Absent"),0),IF('POINTAGE'!$AN$5&lt;&gt;"",--('POINTAGE'!AN168="Absent"),0),IF('POINTAGE'!$AP$5&lt;&gt;"",--('POINTAGE'!AP168="Absent"),0),IF('POINTAGE'!$AR$5&lt;&gt;"",--('POINTAGE'!AR168="Absent"),0),IF('POINTAGE'!$AT$5&lt;&gt;"",--('POINTAGE'!AT168="Absent"),0),IF('POINTAGE'!$AV$5&lt;&gt;"",--('POINTAGE'!AV168="Absent"),0),IF('POINTAGE'!$AX$5&lt;&gt;"",--('POINTAGE'!AX168="Absent"),0),IF('POINTAGE'!$AZ$5&lt;&gt;"",--('POINTAGE'!AZ168="Absent"),0),IF('POINTAGE'!$BB$5&lt;&gt;"",--('POINTAGE'!BB168="Absent"),0),IF('POINTAGE'!$BD$5&lt;&gt;"",--('POINTAGE'!BD168="Absent"),0),IF('POINTAGE'!$BF$5&lt;&gt;"",--('POINTAGE'!BF168="Absent"),0),IF('POINTAGE'!$BH$5&lt;&gt;"",--('POINTAGE'!BH168="Absent"),0),IF('POINTAGE'!$BJ$5&lt;&gt;"",--('POINTAGE'!BJ168="Absent"),0),IF('POINTAGE'!$BL$5&lt;&gt;"",--('POINTAGE'!BL168="Absent"),0)))</f>
      </c>
      <c r="P168" s="23">
        <f>IF($A168="","",SUM(IF('POINTAGE'!$AH$5&lt;&gt;"",IF('POINTAGE'!AH168="Présent",'POINTAGE'!AI168,0),0),IF('POINTAGE'!$AJ$5&lt;&gt;"",IF('POINTAGE'!AJ168="Présent",'POINTAGE'!AK168,0),0),IF('POINTAGE'!$AL$5&lt;&gt;"",IF('POINTAGE'!AL168="Présent",'POINTAGE'!AM168,0),0),IF('POINTAGE'!$AN$5&lt;&gt;"",IF('POINTAGE'!AN168="Présent",'POINTAGE'!AO168,0),0),IF('POINTAGE'!$AP$5&lt;&gt;"",IF('POINTAGE'!AP168="Présent",'POINTAGE'!AQ168,0),0),IF('POINTAGE'!$AR$5&lt;&gt;"",IF('POINTAGE'!AR168="Présent",'POINTAGE'!AS168,0),0),IF('POINTAGE'!$AT$5&lt;&gt;"",IF('POINTAGE'!AT168="Présent",'POINTAGE'!AU168,0),0),IF('POINTAGE'!$AV$5&lt;&gt;"",IF('POINTAGE'!AV168="Présent",'POINTAGE'!AW168,0),0),IF('POINTAGE'!$AX$5&lt;&gt;"",IF('POINTAGE'!AX168="Présent",'POINTAGE'!AY168,0),0),IF('POINTAGE'!$AZ$5&lt;&gt;"",IF('POINTAGE'!AZ168="Présent",'POINTAGE'!BA168,0),0),IF('POINTAGE'!$BB$5&lt;&gt;"",IF('POINTAGE'!BB168="Présent",'POINTAGE'!BC168,0),0),IF('POINTAGE'!$BD$5&lt;&gt;"",IF('POINTAGE'!BD168="Présent",'POINTAGE'!BE168,0),0),IF('POINTAGE'!$BF$5&lt;&gt;"",IF('POINTAGE'!BF168="Présent",'POINTAGE'!BG168,0),0),IF('POINTAGE'!$BH$5&lt;&gt;"",IF('POINTAGE'!BH168="Présent",'POINTAGE'!BI168,0),0),IF('POINTAGE'!$BJ$5&lt;&gt;"",IF('POINTAGE'!BJ168="Présent",'POINTAGE'!BK168,0),0),IF('POINTAGE'!$BL$5&lt;&gt;"",IF('POINTAGE'!BL168="Présent",'POINTAGE'!BM168,0),0)))</f>
      </c>
      <c r="Q168" s="24">
        <f>IF($A168="","",$N168*$D168)</f>
      </c>
      <c r="R168" s="24">
        <f>IF($A168="","",$P168*$E168)</f>
      </c>
      <c r="S168" s="25">
        <f>IF($A168="","",$Q168+$R168)</f>
      </c>
      <c r="T168" s="18"/>
      <c r="U168" s="25">
        <f>IF($A168="","",MAX(0,$S168-$T168))</f>
      </c>
      <c r="V168" s="25">
        <f>IF($A168="","",$K168+$S168)</f>
      </c>
      <c r="W168" s="24">
        <f>IF($A168="","",$L168+$T168)</f>
      </c>
      <c r="X168" s="25">
        <f>IF($A168="","",$M168+$U168)</f>
      </c>
      <c r="Y168" s="29">
        <f>IF($A168="","",$J168+$R168)</f>
      </c>
    </row>
    <row r="169">
      <c r="A169" s="20">
        <f>IF('POINTAGE'!A169="","",'POINTAGE'!A169)</f>
      </c>
      <c r="B169" s="19">
        <f>IF($A169="","",'POINTAGE'!B169)</f>
      </c>
      <c r="C169" s="20">
        <f>IF($A169="","",'POINTAGE'!C169)</f>
      </c>
      <c r="D169" s="24">
        <f>IF($A169="","",IFERROR(INDEX(Categories_Salaire,MATCH($C169,ListeCategories,0)),0))</f>
      </c>
      <c r="E169" s="24">
        <f>IF($A169="","",IF(IFERROR(INDEX(Categories_TauxHS,MATCH($C169,ListeCategories,0)),0)&gt;0,IFERROR(INDEX(Categories_TauxHS,MATCH($C169,ListeCategories,0)),0),TauxHSDefaut))</f>
      </c>
      <c r="F169" s="22">
        <f>IF($A169="","",SUM(IF('POINTAGE'!$D$5&lt;&gt;"",--('POINTAGE'!D169="Présent"),0),IF('POINTAGE'!$F$5&lt;&gt;"",--('POINTAGE'!F169="Présent"),0),IF('POINTAGE'!$H$5&lt;&gt;"",--('POINTAGE'!H169="Présent"),0),IF('POINTAGE'!$J$5&lt;&gt;"",--('POINTAGE'!J169="Présent"),0),IF('POINTAGE'!$L$5&lt;&gt;"",--('POINTAGE'!L169="Présent"),0),IF('POINTAGE'!$N$5&lt;&gt;"",--('POINTAGE'!N169="Présent"),0),IF('POINTAGE'!$P$5&lt;&gt;"",--('POINTAGE'!P169="Présent"),0),IF('POINTAGE'!$R$5&lt;&gt;"",--('POINTAGE'!R169="Présent"),0),IF('POINTAGE'!$T$5&lt;&gt;"",--('POINTAGE'!T169="Présent"),0),IF('POINTAGE'!$V$5&lt;&gt;"",--('POINTAGE'!V169="Présent"),0),IF('POINTAGE'!$X$5&lt;&gt;"",--('POINTAGE'!X169="Présent"),0),IF('POINTAGE'!$Z$5&lt;&gt;"",--('POINTAGE'!Z169="Présent"),0),IF('POINTAGE'!$AB$5&lt;&gt;"",--('POINTAGE'!AB169="Présent"),0),IF('POINTAGE'!$AD$5&lt;&gt;"",--('POINTAGE'!AD169="Présent"),0),IF('POINTAGE'!$AF$5&lt;&gt;"",--('POINTAGE'!AF169="Présent"),0)))</f>
      </c>
      <c r="G169" s="22">
        <f>IF($A169="","",SUM(IF('POINTAGE'!$D$5&lt;&gt;"",--('POINTAGE'!D169="Absent"),0),IF('POINTAGE'!$F$5&lt;&gt;"",--('POINTAGE'!F169="Absent"),0),IF('POINTAGE'!$H$5&lt;&gt;"",--('POINTAGE'!H169="Absent"),0),IF('POINTAGE'!$J$5&lt;&gt;"",--('POINTAGE'!J169="Absent"),0),IF('POINTAGE'!$L$5&lt;&gt;"",--('POINTAGE'!L169="Absent"),0),IF('POINTAGE'!$N$5&lt;&gt;"",--('POINTAGE'!N169="Absent"),0),IF('POINTAGE'!$P$5&lt;&gt;"",--('POINTAGE'!P169="Absent"),0),IF('POINTAGE'!$R$5&lt;&gt;"",--('POINTAGE'!R169="Absent"),0),IF('POINTAGE'!$T$5&lt;&gt;"",--('POINTAGE'!T169="Absent"),0),IF('POINTAGE'!$V$5&lt;&gt;"",--('POINTAGE'!V169="Absent"),0),IF('POINTAGE'!$X$5&lt;&gt;"",--('POINTAGE'!X169="Absent"),0),IF('POINTAGE'!$Z$5&lt;&gt;"",--('POINTAGE'!Z169="Absent"),0),IF('POINTAGE'!$AB$5&lt;&gt;"",--('POINTAGE'!AB169="Absent"),0),IF('POINTAGE'!$AD$5&lt;&gt;"",--('POINTAGE'!AD169="Absent"),0),IF('POINTAGE'!$AF$5&lt;&gt;"",--('POINTAGE'!AF169="Absent"),0)))</f>
      </c>
      <c r="H169" s="23">
        <f>IF($A169="","",SUM(IF('POINTAGE'!$D$5&lt;&gt;"",IF('POINTAGE'!D169="Présent",'POINTAGE'!E169,0),0),IF('POINTAGE'!$F$5&lt;&gt;"",IF('POINTAGE'!F169="Présent",'POINTAGE'!G169,0),0),IF('POINTAGE'!$H$5&lt;&gt;"",IF('POINTAGE'!H169="Présent",'POINTAGE'!I169,0),0),IF('POINTAGE'!$J$5&lt;&gt;"",IF('POINTAGE'!J169="Présent",'POINTAGE'!K169,0),0),IF('POINTAGE'!$L$5&lt;&gt;"",IF('POINTAGE'!L169="Présent",'POINTAGE'!M169,0),0),IF('POINTAGE'!$N$5&lt;&gt;"",IF('POINTAGE'!N169="Présent",'POINTAGE'!O169,0),0),IF('POINTAGE'!$P$5&lt;&gt;"",IF('POINTAGE'!P169="Présent",'POINTAGE'!Q169,0),0),IF('POINTAGE'!$R$5&lt;&gt;"",IF('POINTAGE'!R169="Présent",'POINTAGE'!S169,0),0),IF('POINTAGE'!$T$5&lt;&gt;"",IF('POINTAGE'!T169="Présent",'POINTAGE'!U169,0),0),IF('POINTAGE'!$V$5&lt;&gt;"",IF('POINTAGE'!V169="Présent",'POINTAGE'!W169,0),0),IF('POINTAGE'!$X$5&lt;&gt;"",IF('POINTAGE'!X169="Présent",'POINTAGE'!Y169,0),0),IF('POINTAGE'!$Z$5&lt;&gt;"",IF('POINTAGE'!Z169="Présent",'POINTAGE'!AA169,0),0),IF('POINTAGE'!$AB$5&lt;&gt;"",IF('POINTAGE'!AB169="Présent",'POINTAGE'!AC169,0),0),IF('POINTAGE'!$AD$5&lt;&gt;"",IF('POINTAGE'!AD169="Présent",'POINTAGE'!AE169,0),0),IF('POINTAGE'!$AF$5&lt;&gt;"",IF('POINTAGE'!AF169="Présent",'POINTAGE'!AG169,0),0)))</f>
      </c>
      <c r="I169" s="24">
        <f>IF($A169="","",$F169*$D169)</f>
      </c>
      <c r="J169" s="24">
        <f>IF($A169="","",$H169*$E169)</f>
      </c>
      <c r="K169" s="25">
        <f>IF($A169="","",$I169+$J169)</f>
      </c>
      <c r="L169" s="18"/>
      <c r="M169" s="25">
        <f>IF($A169="","",MAX(0,$K169-$L169))</f>
      </c>
      <c r="N169" s="22">
        <f>IF($A169="","",SUM(IF('POINTAGE'!$AH$5&lt;&gt;"",--('POINTAGE'!AH169="Présent"),0),IF('POINTAGE'!$AJ$5&lt;&gt;"",--('POINTAGE'!AJ169="Présent"),0),IF('POINTAGE'!$AL$5&lt;&gt;"",--('POINTAGE'!AL169="Présent"),0),IF('POINTAGE'!$AN$5&lt;&gt;"",--('POINTAGE'!AN169="Présent"),0),IF('POINTAGE'!$AP$5&lt;&gt;"",--('POINTAGE'!AP169="Présent"),0),IF('POINTAGE'!$AR$5&lt;&gt;"",--('POINTAGE'!AR169="Présent"),0),IF('POINTAGE'!$AT$5&lt;&gt;"",--('POINTAGE'!AT169="Présent"),0),IF('POINTAGE'!$AV$5&lt;&gt;"",--('POINTAGE'!AV169="Présent"),0),IF('POINTAGE'!$AX$5&lt;&gt;"",--('POINTAGE'!AX169="Présent"),0),IF('POINTAGE'!$AZ$5&lt;&gt;"",--('POINTAGE'!AZ169="Présent"),0),IF('POINTAGE'!$BB$5&lt;&gt;"",--('POINTAGE'!BB169="Présent"),0),IF('POINTAGE'!$BD$5&lt;&gt;"",--('POINTAGE'!BD169="Présent"),0),IF('POINTAGE'!$BF$5&lt;&gt;"",--('POINTAGE'!BF169="Présent"),0),IF('POINTAGE'!$BH$5&lt;&gt;"",--('POINTAGE'!BH169="Présent"),0),IF('POINTAGE'!$BJ$5&lt;&gt;"",--('POINTAGE'!BJ169="Présent"),0),IF('POINTAGE'!$BL$5&lt;&gt;"",--('POINTAGE'!BL169="Présent"),0)))</f>
      </c>
      <c r="O169" s="22">
        <f>IF($A169="","",SUM(IF('POINTAGE'!$AH$5&lt;&gt;"",--('POINTAGE'!AH169="Absent"),0),IF('POINTAGE'!$AJ$5&lt;&gt;"",--('POINTAGE'!AJ169="Absent"),0),IF('POINTAGE'!$AL$5&lt;&gt;"",--('POINTAGE'!AL169="Absent"),0),IF('POINTAGE'!$AN$5&lt;&gt;"",--('POINTAGE'!AN169="Absent"),0),IF('POINTAGE'!$AP$5&lt;&gt;"",--('POINTAGE'!AP169="Absent"),0),IF('POINTAGE'!$AR$5&lt;&gt;"",--('POINTAGE'!AR169="Absent"),0),IF('POINTAGE'!$AT$5&lt;&gt;"",--('POINTAGE'!AT169="Absent"),0),IF('POINTAGE'!$AV$5&lt;&gt;"",--('POINTAGE'!AV169="Absent"),0),IF('POINTAGE'!$AX$5&lt;&gt;"",--('POINTAGE'!AX169="Absent"),0),IF('POINTAGE'!$AZ$5&lt;&gt;"",--('POINTAGE'!AZ169="Absent"),0),IF('POINTAGE'!$BB$5&lt;&gt;"",--('POINTAGE'!BB169="Absent"),0),IF('POINTAGE'!$BD$5&lt;&gt;"",--('POINTAGE'!BD169="Absent"),0),IF('POINTAGE'!$BF$5&lt;&gt;"",--('POINTAGE'!BF169="Absent"),0),IF('POINTAGE'!$BH$5&lt;&gt;"",--('POINTAGE'!BH169="Absent"),0),IF('POINTAGE'!$BJ$5&lt;&gt;"",--('POINTAGE'!BJ169="Absent"),0),IF('POINTAGE'!$BL$5&lt;&gt;"",--('POINTAGE'!BL169="Absent"),0)))</f>
      </c>
      <c r="P169" s="23">
        <f>IF($A169="","",SUM(IF('POINTAGE'!$AH$5&lt;&gt;"",IF('POINTAGE'!AH169="Présent",'POINTAGE'!AI169,0),0),IF('POINTAGE'!$AJ$5&lt;&gt;"",IF('POINTAGE'!AJ169="Présent",'POINTAGE'!AK169,0),0),IF('POINTAGE'!$AL$5&lt;&gt;"",IF('POINTAGE'!AL169="Présent",'POINTAGE'!AM169,0),0),IF('POINTAGE'!$AN$5&lt;&gt;"",IF('POINTAGE'!AN169="Présent",'POINTAGE'!AO169,0),0),IF('POINTAGE'!$AP$5&lt;&gt;"",IF('POINTAGE'!AP169="Présent",'POINTAGE'!AQ169,0),0),IF('POINTAGE'!$AR$5&lt;&gt;"",IF('POINTAGE'!AR169="Présent",'POINTAGE'!AS169,0),0),IF('POINTAGE'!$AT$5&lt;&gt;"",IF('POINTAGE'!AT169="Présent",'POINTAGE'!AU169,0),0),IF('POINTAGE'!$AV$5&lt;&gt;"",IF('POINTAGE'!AV169="Présent",'POINTAGE'!AW169,0),0),IF('POINTAGE'!$AX$5&lt;&gt;"",IF('POINTAGE'!AX169="Présent",'POINTAGE'!AY169,0),0),IF('POINTAGE'!$AZ$5&lt;&gt;"",IF('POINTAGE'!AZ169="Présent",'POINTAGE'!BA169,0),0),IF('POINTAGE'!$BB$5&lt;&gt;"",IF('POINTAGE'!BB169="Présent",'POINTAGE'!BC169,0),0),IF('POINTAGE'!$BD$5&lt;&gt;"",IF('POINTAGE'!BD169="Présent",'POINTAGE'!BE169,0),0),IF('POINTAGE'!$BF$5&lt;&gt;"",IF('POINTAGE'!BF169="Présent",'POINTAGE'!BG169,0),0),IF('POINTAGE'!$BH$5&lt;&gt;"",IF('POINTAGE'!BH169="Présent",'POINTAGE'!BI169,0),0),IF('POINTAGE'!$BJ$5&lt;&gt;"",IF('POINTAGE'!BJ169="Présent",'POINTAGE'!BK169,0),0),IF('POINTAGE'!$BL$5&lt;&gt;"",IF('POINTAGE'!BL169="Présent",'POINTAGE'!BM169,0),0)))</f>
      </c>
      <c r="Q169" s="24">
        <f>IF($A169="","",$N169*$D169)</f>
      </c>
      <c r="R169" s="24">
        <f>IF($A169="","",$P169*$E169)</f>
      </c>
      <c r="S169" s="25">
        <f>IF($A169="","",$Q169+$R169)</f>
      </c>
      <c r="T169" s="18"/>
      <c r="U169" s="25">
        <f>IF($A169="","",MAX(0,$S169-$T169))</f>
      </c>
      <c r="V169" s="25">
        <f>IF($A169="","",$K169+$S169)</f>
      </c>
      <c r="W169" s="24">
        <f>IF($A169="","",$L169+$T169)</f>
      </c>
      <c r="X169" s="25">
        <f>IF($A169="","",$M169+$U169)</f>
      </c>
      <c r="Y169" s="29">
        <f>IF($A169="","",$J169+$R169)</f>
      </c>
    </row>
    <row r="170">
      <c r="A170" s="20">
        <f>IF('POINTAGE'!A170="","",'POINTAGE'!A170)</f>
      </c>
      <c r="B170" s="19">
        <f>IF($A170="","",'POINTAGE'!B170)</f>
      </c>
      <c r="C170" s="20">
        <f>IF($A170="","",'POINTAGE'!C170)</f>
      </c>
      <c r="D170" s="24">
        <f>IF($A170="","",IFERROR(INDEX(Categories_Salaire,MATCH($C170,ListeCategories,0)),0))</f>
      </c>
      <c r="E170" s="24">
        <f>IF($A170="","",IF(IFERROR(INDEX(Categories_TauxHS,MATCH($C170,ListeCategories,0)),0)&gt;0,IFERROR(INDEX(Categories_TauxHS,MATCH($C170,ListeCategories,0)),0),TauxHSDefaut))</f>
      </c>
      <c r="F170" s="22">
        <f>IF($A170="","",SUM(IF('POINTAGE'!$D$5&lt;&gt;"",--('POINTAGE'!D170="Présent"),0),IF('POINTAGE'!$F$5&lt;&gt;"",--('POINTAGE'!F170="Présent"),0),IF('POINTAGE'!$H$5&lt;&gt;"",--('POINTAGE'!H170="Présent"),0),IF('POINTAGE'!$J$5&lt;&gt;"",--('POINTAGE'!J170="Présent"),0),IF('POINTAGE'!$L$5&lt;&gt;"",--('POINTAGE'!L170="Présent"),0),IF('POINTAGE'!$N$5&lt;&gt;"",--('POINTAGE'!N170="Présent"),0),IF('POINTAGE'!$P$5&lt;&gt;"",--('POINTAGE'!P170="Présent"),0),IF('POINTAGE'!$R$5&lt;&gt;"",--('POINTAGE'!R170="Présent"),0),IF('POINTAGE'!$T$5&lt;&gt;"",--('POINTAGE'!T170="Présent"),0),IF('POINTAGE'!$V$5&lt;&gt;"",--('POINTAGE'!V170="Présent"),0),IF('POINTAGE'!$X$5&lt;&gt;"",--('POINTAGE'!X170="Présent"),0),IF('POINTAGE'!$Z$5&lt;&gt;"",--('POINTAGE'!Z170="Présent"),0),IF('POINTAGE'!$AB$5&lt;&gt;"",--('POINTAGE'!AB170="Présent"),0),IF('POINTAGE'!$AD$5&lt;&gt;"",--('POINTAGE'!AD170="Présent"),0),IF('POINTAGE'!$AF$5&lt;&gt;"",--('POINTAGE'!AF170="Présent"),0)))</f>
      </c>
      <c r="G170" s="22">
        <f>IF($A170="","",SUM(IF('POINTAGE'!$D$5&lt;&gt;"",--('POINTAGE'!D170="Absent"),0),IF('POINTAGE'!$F$5&lt;&gt;"",--('POINTAGE'!F170="Absent"),0),IF('POINTAGE'!$H$5&lt;&gt;"",--('POINTAGE'!H170="Absent"),0),IF('POINTAGE'!$J$5&lt;&gt;"",--('POINTAGE'!J170="Absent"),0),IF('POINTAGE'!$L$5&lt;&gt;"",--('POINTAGE'!L170="Absent"),0),IF('POINTAGE'!$N$5&lt;&gt;"",--('POINTAGE'!N170="Absent"),0),IF('POINTAGE'!$P$5&lt;&gt;"",--('POINTAGE'!P170="Absent"),0),IF('POINTAGE'!$R$5&lt;&gt;"",--('POINTAGE'!R170="Absent"),0),IF('POINTAGE'!$T$5&lt;&gt;"",--('POINTAGE'!T170="Absent"),0),IF('POINTAGE'!$V$5&lt;&gt;"",--('POINTAGE'!V170="Absent"),0),IF('POINTAGE'!$X$5&lt;&gt;"",--('POINTAGE'!X170="Absent"),0),IF('POINTAGE'!$Z$5&lt;&gt;"",--('POINTAGE'!Z170="Absent"),0),IF('POINTAGE'!$AB$5&lt;&gt;"",--('POINTAGE'!AB170="Absent"),0),IF('POINTAGE'!$AD$5&lt;&gt;"",--('POINTAGE'!AD170="Absent"),0),IF('POINTAGE'!$AF$5&lt;&gt;"",--('POINTAGE'!AF170="Absent"),0)))</f>
      </c>
      <c r="H170" s="23">
        <f>IF($A170="","",SUM(IF('POINTAGE'!$D$5&lt;&gt;"",IF('POINTAGE'!D170="Présent",'POINTAGE'!E170,0),0),IF('POINTAGE'!$F$5&lt;&gt;"",IF('POINTAGE'!F170="Présent",'POINTAGE'!G170,0),0),IF('POINTAGE'!$H$5&lt;&gt;"",IF('POINTAGE'!H170="Présent",'POINTAGE'!I170,0),0),IF('POINTAGE'!$J$5&lt;&gt;"",IF('POINTAGE'!J170="Présent",'POINTAGE'!K170,0),0),IF('POINTAGE'!$L$5&lt;&gt;"",IF('POINTAGE'!L170="Présent",'POINTAGE'!M170,0),0),IF('POINTAGE'!$N$5&lt;&gt;"",IF('POINTAGE'!N170="Présent",'POINTAGE'!O170,0),0),IF('POINTAGE'!$P$5&lt;&gt;"",IF('POINTAGE'!P170="Présent",'POINTAGE'!Q170,0),0),IF('POINTAGE'!$R$5&lt;&gt;"",IF('POINTAGE'!R170="Présent",'POINTAGE'!S170,0),0),IF('POINTAGE'!$T$5&lt;&gt;"",IF('POINTAGE'!T170="Présent",'POINTAGE'!U170,0),0),IF('POINTAGE'!$V$5&lt;&gt;"",IF('POINTAGE'!V170="Présent",'POINTAGE'!W170,0),0),IF('POINTAGE'!$X$5&lt;&gt;"",IF('POINTAGE'!X170="Présent",'POINTAGE'!Y170,0),0),IF('POINTAGE'!$Z$5&lt;&gt;"",IF('POINTAGE'!Z170="Présent",'POINTAGE'!AA170,0),0),IF('POINTAGE'!$AB$5&lt;&gt;"",IF('POINTAGE'!AB170="Présent",'POINTAGE'!AC170,0),0),IF('POINTAGE'!$AD$5&lt;&gt;"",IF('POINTAGE'!AD170="Présent",'POINTAGE'!AE170,0),0),IF('POINTAGE'!$AF$5&lt;&gt;"",IF('POINTAGE'!AF170="Présent",'POINTAGE'!AG170,0),0)))</f>
      </c>
      <c r="I170" s="24">
        <f>IF($A170="","",$F170*$D170)</f>
      </c>
      <c r="J170" s="24">
        <f>IF($A170="","",$H170*$E170)</f>
      </c>
      <c r="K170" s="25">
        <f>IF($A170="","",$I170+$J170)</f>
      </c>
      <c r="L170" s="18"/>
      <c r="M170" s="25">
        <f>IF($A170="","",MAX(0,$K170-$L170))</f>
      </c>
      <c r="N170" s="22">
        <f>IF($A170="","",SUM(IF('POINTAGE'!$AH$5&lt;&gt;"",--('POINTAGE'!AH170="Présent"),0),IF('POINTAGE'!$AJ$5&lt;&gt;"",--('POINTAGE'!AJ170="Présent"),0),IF('POINTAGE'!$AL$5&lt;&gt;"",--('POINTAGE'!AL170="Présent"),0),IF('POINTAGE'!$AN$5&lt;&gt;"",--('POINTAGE'!AN170="Présent"),0),IF('POINTAGE'!$AP$5&lt;&gt;"",--('POINTAGE'!AP170="Présent"),0),IF('POINTAGE'!$AR$5&lt;&gt;"",--('POINTAGE'!AR170="Présent"),0),IF('POINTAGE'!$AT$5&lt;&gt;"",--('POINTAGE'!AT170="Présent"),0),IF('POINTAGE'!$AV$5&lt;&gt;"",--('POINTAGE'!AV170="Présent"),0),IF('POINTAGE'!$AX$5&lt;&gt;"",--('POINTAGE'!AX170="Présent"),0),IF('POINTAGE'!$AZ$5&lt;&gt;"",--('POINTAGE'!AZ170="Présent"),0),IF('POINTAGE'!$BB$5&lt;&gt;"",--('POINTAGE'!BB170="Présent"),0),IF('POINTAGE'!$BD$5&lt;&gt;"",--('POINTAGE'!BD170="Présent"),0),IF('POINTAGE'!$BF$5&lt;&gt;"",--('POINTAGE'!BF170="Présent"),0),IF('POINTAGE'!$BH$5&lt;&gt;"",--('POINTAGE'!BH170="Présent"),0),IF('POINTAGE'!$BJ$5&lt;&gt;"",--('POINTAGE'!BJ170="Présent"),0),IF('POINTAGE'!$BL$5&lt;&gt;"",--('POINTAGE'!BL170="Présent"),0)))</f>
      </c>
      <c r="O170" s="22">
        <f>IF($A170="","",SUM(IF('POINTAGE'!$AH$5&lt;&gt;"",--('POINTAGE'!AH170="Absent"),0),IF('POINTAGE'!$AJ$5&lt;&gt;"",--('POINTAGE'!AJ170="Absent"),0),IF('POINTAGE'!$AL$5&lt;&gt;"",--('POINTAGE'!AL170="Absent"),0),IF('POINTAGE'!$AN$5&lt;&gt;"",--('POINTAGE'!AN170="Absent"),0),IF('POINTAGE'!$AP$5&lt;&gt;"",--('POINTAGE'!AP170="Absent"),0),IF('POINTAGE'!$AR$5&lt;&gt;"",--('POINTAGE'!AR170="Absent"),0),IF('POINTAGE'!$AT$5&lt;&gt;"",--('POINTAGE'!AT170="Absent"),0),IF('POINTAGE'!$AV$5&lt;&gt;"",--('POINTAGE'!AV170="Absent"),0),IF('POINTAGE'!$AX$5&lt;&gt;"",--('POINTAGE'!AX170="Absent"),0),IF('POINTAGE'!$AZ$5&lt;&gt;"",--('POINTAGE'!AZ170="Absent"),0),IF('POINTAGE'!$BB$5&lt;&gt;"",--('POINTAGE'!BB170="Absent"),0),IF('POINTAGE'!$BD$5&lt;&gt;"",--('POINTAGE'!BD170="Absent"),0),IF('POINTAGE'!$BF$5&lt;&gt;"",--('POINTAGE'!BF170="Absent"),0),IF('POINTAGE'!$BH$5&lt;&gt;"",--('POINTAGE'!BH170="Absent"),0),IF('POINTAGE'!$BJ$5&lt;&gt;"",--('POINTAGE'!BJ170="Absent"),0),IF('POINTAGE'!$BL$5&lt;&gt;"",--('POINTAGE'!BL170="Absent"),0)))</f>
      </c>
      <c r="P170" s="23">
        <f>IF($A170="","",SUM(IF('POINTAGE'!$AH$5&lt;&gt;"",IF('POINTAGE'!AH170="Présent",'POINTAGE'!AI170,0),0),IF('POINTAGE'!$AJ$5&lt;&gt;"",IF('POINTAGE'!AJ170="Présent",'POINTAGE'!AK170,0),0),IF('POINTAGE'!$AL$5&lt;&gt;"",IF('POINTAGE'!AL170="Présent",'POINTAGE'!AM170,0),0),IF('POINTAGE'!$AN$5&lt;&gt;"",IF('POINTAGE'!AN170="Présent",'POINTAGE'!AO170,0),0),IF('POINTAGE'!$AP$5&lt;&gt;"",IF('POINTAGE'!AP170="Présent",'POINTAGE'!AQ170,0),0),IF('POINTAGE'!$AR$5&lt;&gt;"",IF('POINTAGE'!AR170="Présent",'POINTAGE'!AS170,0),0),IF('POINTAGE'!$AT$5&lt;&gt;"",IF('POINTAGE'!AT170="Présent",'POINTAGE'!AU170,0),0),IF('POINTAGE'!$AV$5&lt;&gt;"",IF('POINTAGE'!AV170="Présent",'POINTAGE'!AW170,0),0),IF('POINTAGE'!$AX$5&lt;&gt;"",IF('POINTAGE'!AX170="Présent",'POINTAGE'!AY170,0),0),IF('POINTAGE'!$AZ$5&lt;&gt;"",IF('POINTAGE'!AZ170="Présent",'POINTAGE'!BA170,0),0),IF('POINTAGE'!$BB$5&lt;&gt;"",IF('POINTAGE'!BB170="Présent",'POINTAGE'!BC170,0),0),IF('POINTAGE'!$BD$5&lt;&gt;"",IF('POINTAGE'!BD170="Présent",'POINTAGE'!BE170,0),0),IF('POINTAGE'!$BF$5&lt;&gt;"",IF('POINTAGE'!BF170="Présent",'POINTAGE'!BG170,0),0),IF('POINTAGE'!$BH$5&lt;&gt;"",IF('POINTAGE'!BH170="Présent",'POINTAGE'!BI170,0),0),IF('POINTAGE'!$BJ$5&lt;&gt;"",IF('POINTAGE'!BJ170="Présent",'POINTAGE'!BK170,0),0),IF('POINTAGE'!$BL$5&lt;&gt;"",IF('POINTAGE'!BL170="Présent",'POINTAGE'!BM170,0),0)))</f>
      </c>
      <c r="Q170" s="24">
        <f>IF($A170="","",$N170*$D170)</f>
      </c>
      <c r="R170" s="24">
        <f>IF($A170="","",$P170*$E170)</f>
      </c>
      <c r="S170" s="25">
        <f>IF($A170="","",$Q170+$R170)</f>
      </c>
      <c r="T170" s="18"/>
      <c r="U170" s="25">
        <f>IF($A170="","",MAX(0,$S170-$T170))</f>
      </c>
      <c r="V170" s="25">
        <f>IF($A170="","",$K170+$S170)</f>
      </c>
      <c r="W170" s="24">
        <f>IF($A170="","",$L170+$T170)</f>
      </c>
      <c r="X170" s="25">
        <f>IF($A170="","",$M170+$U170)</f>
      </c>
      <c r="Y170" s="29">
        <f>IF($A170="","",$J170+$R170)</f>
      </c>
    </row>
    <row r="171">
      <c r="A171" s="20">
        <f>IF('POINTAGE'!A171="","",'POINTAGE'!A171)</f>
      </c>
      <c r="B171" s="19">
        <f>IF($A171="","",'POINTAGE'!B171)</f>
      </c>
      <c r="C171" s="20">
        <f>IF($A171="","",'POINTAGE'!C171)</f>
      </c>
      <c r="D171" s="24">
        <f>IF($A171="","",IFERROR(INDEX(Categories_Salaire,MATCH($C171,ListeCategories,0)),0))</f>
      </c>
      <c r="E171" s="24">
        <f>IF($A171="","",IF(IFERROR(INDEX(Categories_TauxHS,MATCH($C171,ListeCategories,0)),0)&gt;0,IFERROR(INDEX(Categories_TauxHS,MATCH($C171,ListeCategories,0)),0),TauxHSDefaut))</f>
      </c>
      <c r="F171" s="22">
        <f>IF($A171="","",SUM(IF('POINTAGE'!$D$5&lt;&gt;"",--('POINTAGE'!D171="Présent"),0),IF('POINTAGE'!$F$5&lt;&gt;"",--('POINTAGE'!F171="Présent"),0),IF('POINTAGE'!$H$5&lt;&gt;"",--('POINTAGE'!H171="Présent"),0),IF('POINTAGE'!$J$5&lt;&gt;"",--('POINTAGE'!J171="Présent"),0),IF('POINTAGE'!$L$5&lt;&gt;"",--('POINTAGE'!L171="Présent"),0),IF('POINTAGE'!$N$5&lt;&gt;"",--('POINTAGE'!N171="Présent"),0),IF('POINTAGE'!$P$5&lt;&gt;"",--('POINTAGE'!P171="Présent"),0),IF('POINTAGE'!$R$5&lt;&gt;"",--('POINTAGE'!R171="Présent"),0),IF('POINTAGE'!$T$5&lt;&gt;"",--('POINTAGE'!T171="Présent"),0),IF('POINTAGE'!$V$5&lt;&gt;"",--('POINTAGE'!V171="Présent"),0),IF('POINTAGE'!$X$5&lt;&gt;"",--('POINTAGE'!X171="Présent"),0),IF('POINTAGE'!$Z$5&lt;&gt;"",--('POINTAGE'!Z171="Présent"),0),IF('POINTAGE'!$AB$5&lt;&gt;"",--('POINTAGE'!AB171="Présent"),0),IF('POINTAGE'!$AD$5&lt;&gt;"",--('POINTAGE'!AD171="Présent"),0),IF('POINTAGE'!$AF$5&lt;&gt;"",--('POINTAGE'!AF171="Présent"),0)))</f>
      </c>
      <c r="G171" s="22">
        <f>IF($A171="","",SUM(IF('POINTAGE'!$D$5&lt;&gt;"",--('POINTAGE'!D171="Absent"),0),IF('POINTAGE'!$F$5&lt;&gt;"",--('POINTAGE'!F171="Absent"),0),IF('POINTAGE'!$H$5&lt;&gt;"",--('POINTAGE'!H171="Absent"),0),IF('POINTAGE'!$J$5&lt;&gt;"",--('POINTAGE'!J171="Absent"),0),IF('POINTAGE'!$L$5&lt;&gt;"",--('POINTAGE'!L171="Absent"),0),IF('POINTAGE'!$N$5&lt;&gt;"",--('POINTAGE'!N171="Absent"),0),IF('POINTAGE'!$P$5&lt;&gt;"",--('POINTAGE'!P171="Absent"),0),IF('POINTAGE'!$R$5&lt;&gt;"",--('POINTAGE'!R171="Absent"),0),IF('POINTAGE'!$T$5&lt;&gt;"",--('POINTAGE'!T171="Absent"),0),IF('POINTAGE'!$V$5&lt;&gt;"",--('POINTAGE'!V171="Absent"),0),IF('POINTAGE'!$X$5&lt;&gt;"",--('POINTAGE'!X171="Absent"),0),IF('POINTAGE'!$Z$5&lt;&gt;"",--('POINTAGE'!Z171="Absent"),0),IF('POINTAGE'!$AB$5&lt;&gt;"",--('POINTAGE'!AB171="Absent"),0),IF('POINTAGE'!$AD$5&lt;&gt;"",--('POINTAGE'!AD171="Absent"),0),IF('POINTAGE'!$AF$5&lt;&gt;"",--('POINTAGE'!AF171="Absent"),0)))</f>
      </c>
      <c r="H171" s="23">
        <f>IF($A171="","",SUM(IF('POINTAGE'!$D$5&lt;&gt;"",IF('POINTAGE'!D171="Présent",'POINTAGE'!E171,0),0),IF('POINTAGE'!$F$5&lt;&gt;"",IF('POINTAGE'!F171="Présent",'POINTAGE'!G171,0),0),IF('POINTAGE'!$H$5&lt;&gt;"",IF('POINTAGE'!H171="Présent",'POINTAGE'!I171,0),0),IF('POINTAGE'!$J$5&lt;&gt;"",IF('POINTAGE'!J171="Présent",'POINTAGE'!K171,0),0),IF('POINTAGE'!$L$5&lt;&gt;"",IF('POINTAGE'!L171="Présent",'POINTAGE'!M171,0),0),IF('POINTAGE'!$N$5&lt;&gt;"",IF('POINTAGE'!N171="Présent",'POINTAGE'!O171,0),0),IF('POINTAGE'!$P$5&lt;&gt;"",IF('POINTAGE'!P171="Présent",'POINTAGE'!Q171,0),0),IF('POINTAGE'!$R$5&lt;&gt;"",IF('POINTAGE'!R171="Présent",'POINTAGE'!S171,0),0),IF('POINTAGE'!$T$5&lt;&gt;"",IF('POINTAGE'!T171="Présent",'POINTAGE'!U171,0),0),IF('POINTAGE'!$V$5&lt;&gt;"",IF('POINTAGE'!V171="Présent",'POINTAGE'!W171,0),0),IF('POINTAGE'!$X$5&lt;&gt;"",IF('POINTAGE'!X171="Présent",'POINTAGE'!Y171,0),0),IF('POINTAGE'!$Z$5&lt;&gt;"",IF('POINTAGE'!Z171="Présent",'POINTAGE'!AA171,0),0),IF('POINTAGE'!$AB$5&lt;&gt;"",IF('POINTAGE'!AB171="Présent",'POINTAGE'!AC171,0),0),IF('POINTAGE'!$AD$5&lt;&gt;"",IF('POINTAGE'!AD171="Présent",'POINTAGE'!AE171,0),0),IF('POINTAGE'!$AF$5&lt;&gt;"",IF('POINTAGE'!AF171="Présent",'POINTAGE'!AG171,0),0)))</f>
      </c>
      <c r="I171" s="24">
        <f>IF($A171="","",$F171*$D171)</f>
      </c>
      <c r="J171" s="24">
        <f>IF($A171="","",$H171*$E171)</f>
      </c>
      <c r="K171" s="25">
        <f>IF($A171="","",$I171+$J171)</f>
      </c>
      <c r="L171" s="18"/>
      <c r="M171" s="25">
        <f>IF($A171="","",MAX(0,$K171-$L171))</f>
      </c>
      <c r="N171" s="22">
        <f>IF($A171="","",SUM(IF('POINTAGE'!$AH$5&lt;&gt;"",--('POINTAGE'!AH171="Présent"),0),IF('POINTAGE'!$AJ$5&lt;&gt;"",--('POINTAGE'!AJ171="Présent"),0),IF('POINTAGE'!$AL$5&lt;&gt;"",--('POINTAGE'!AL171="Présent"),0),IF('POINTAGE'!$AN$5&lt;&gt;"",--('POINTAGE'!AN171="Présent"),0),IF('POINTAGE'!$AP$5&lt;&gt;"",--('POINTAGE'!AP171="Présent"),0),IF('POINTAGE'!$AR$5&lt;&gt;"",--('POINTAGE'!AR171="Présent"),0),IF('POINTAGE'!$AT$5&lt;&gt;"",--('POINTAGE'!AT171="Présent"),0),IF('POINTAGE'!$AV$5&lt;&gt;"",--('POINTAGE'!AV171="Présent"),0),IF('POINTAGE'!$AX$5&lt;&gt;"",--('POINTAGE'!AX171="Présent"),0),IF('POINTAGE'!$AZ$5&lt;&gt;"",--('POINTAGE'!AZ171="Présent"),0),IF('POINTAGE'!$BB$5&lt;&gt;"",--('POINTAGE'!BB171="Présent"),0),IF('POINTAGE'!$BD$5&lt;&gt;"",--('POINTAGE'!BD171="Présent"),0),IF('POINTAGE'!$BF$5&lt;&gt;"",--('POINTAGE'!BF171="Présent"),0),IF('POINTAGE'!$BH$5&lt;&gt;"",--('POINTAGE'!BH171="Présent"),0),IF('POINTAGE'!$BJ$5&lt;&gt;"",--('POINTAGE'!BJ171="Présent"),0),IF('POINTAGE'!$BL$5&lt;&gt;"",--('POINTAGE'!BL171="Présent"),0)))</f>
      </c>
      <c r="O171" s="22">
        <f>IF($A171="","",SUM(IF('POINTAGE'!$AH$5&lt;&gt;"",--('POINTAGE'!AH171="Absent"),0),IF('POINTAGE'!$AJ$5&lt;&gt;"",--('POINTAGE'!AJ171="Absent"),0),IF('POINTAGE'!$AL$5&lt;&gt;"",--('POINTAGE'!AL171="Absent"),0),IF('POINTAGE'!$AN$5&lt;&gt;"",--('POINTAGE'!AN171="Absent"),0),IF('POINTAGE'!$AP$5&lt;&gt;"",--('POINTAGE'!AP171="Absent"),0),IF('POINTAGE'!$AR$5&lt;&gt;"",--('POINTAGE'!AR171="Absent"),0),IF('POINTAGE'!$AT$5&lt;&gt;"",--('POINTAGE'!AT171="Absent"),0),IF('POINTAGE'!$AV$5&lt;&gt;"",--('POINTAGE'!AV171="Absent"),0),IF('POINTAGE'!$AX$5&lt;&gt;"",--('POINTAGE'!AX171="Absent"),0),IF('POINTAGE'!$AZ$5&lt;&gt;"",--('POINTAGE'!AZ171="Absent"),0),IF('POINTAGE'!$BB$5&lt;&gt;"",--('POINTAGE'!BB171="Absent"),0),IF('POINTAGE'!$BD$5&lt;&gt;"",--('POINTAGE'!BD171="Absent"),0),IF('POINTAGE'!$BF$5&lt;&gt;"",--('POINTAGE'!BF171="Absent"),0),IF('POINTAGE'!$BH$5&lt;&gt;"",--('POINTAGE'!BH171="Absent"),0),IF('POINTAGE'!$BJ$5&lt;&gt;"",--('POINTAGE'!BJ171="Absent"),0),IF('POINTAGE'!$BL$5&lt;&gt;"",--('POINTAGE'!BL171="Absent"),0)))</f>
      </c>
      <c r="P171" s="23">
        <f>IF($A171="","",SUM(IF('POINTAGE'!$AH$5&lt;&gt;"",IF('POINTAGE'!AH171="Présent",'POINTAGE'!AI171,0),0),IF('POINTAGE'!$AJ$5&lt;&gt;"",IF('POINTAGE'!AJ171="Présent",'POINTAGE'!AK171,0),0),IF('POINTAGE'!$AL$5&lt;&gt;"",IF('POINTAGE'!AL171="Présent",'POINTAGE'!AM171,0),0),IF('POINTAGE'!$AN$5&lt;&gt;"",IF('POINTAGE'!AN171="Présent",'POINTAGE'!AO171,0),0),IF('POINTAGE'!$AP$5&lt;&gt;"",IF('POINTAGE'!AP171="Présent",'POINTAGE'!AQ171,0),0),IF('POINTAGE'!$AR$5&lt;&gt;"",IF('POINTAGE'!AR171="Présent",'POINTAGE'!AS171,0),0),IF('POINTAGE'!$AT$5&lt;&gt;"",IF('POINTAGE'!AT171="Présent",'POINTAGE'!AU171,0),0),IF('POINTAGE'!$AV$5&lt;&gt;"",IF('POINTAGE'!AV171="Présent",'POINTAGE'!AW171,0),0),IF('POINTAGE'!$AX$5&lt;&gt;"",IF('POINTAGE'!AX171="Présent",'POINTAGE'!AY171,0),0),IF('POINTAGE'!$AZ$5&lt;&gt;"",IF('POINTAGE'!AZ171="Présent",'POINTAGE'!BA171,0),0),IF('POINTAGE'!$BB$5&lt;&gt;"",IF('POINTAGE'!BB171="Présent",'POINTAGE'!BC171,0),0),IF('POINTAGE'!$BD$5&lt;&gt;"",IF('POINTAGE'!BD171="Présent",'POINTAGE'!BE171,0),0),IF('POINTAGE'!$BF$5&lt;&gt;"",IF('POINTAGE'!BF171="Présent",'POINTAGE'!BG171,0),0),IF('POINTAGE'!$BH$5&lt;&gt;"",IF('POINTAGE'!BH171="Présent",'POINTAGE'!BI171,0),0),IF('POINTAGE'!$BJ$5&lt;&gt;"",IF('POINTAGE'!BJ171="Présent",'POINTAGE'!BK171,0),0),IF('POINTAGE'!$BL$5&lt;&gt;"",IF('POINTAGE'!BL171="Présent",'POINTAGE'!BM171,0),0)))</f>
      </c>
      <c r="Q171" s="24">
        <f>IF($A171="","",$N171*$D171)</f>
      </c>
      <c r="R171" s="24">
        <f>IF($A171="","",$P171*$E171)</f>
      </c>
      <c r="S171" s="25">
        <f>IF($A171="","",$Q171+$R171)</f>
      </c>
      <c r="T171" s="18"/>
      <c r="U171" s="25">
        <f>IF($A171="","",MAX(0,$S171-$T171))</f>
      </c>
      <c r="V171" s="25">
        <f>IF($A171="","",$K171+$S171)</f>
      </c>
      <c r="W171" s="24">
        <f>IF($A171="","",$L171+$T171)</f>
      </c>
      <c r="X171" s="25">
        <f>IF($A171="","",$M171+$U171)</f>
      </c>
      <c r="Y171" s="29">
        <f>IF($A171="","",$J171+$R171)</f>
      </c>
    </row>
    <row r="172">
      <c r="A172" s="20">
        <f>IF('POINTAGE'!A172="","",'POINTAGE'!A172)</f>
      </c>
      <c r="B172" s="19">
        <f>IF($A172="","",'POINTAGE'!B172)</f>
      </c>
      <c r="C172" s="20">
        <f>IF($A172="","",'POINTAGE'!C172)</f>
      </c>
      <c r="D172" s="24">
        <f>IF($A172="","",IFERROR(INDEX(Categories_Salaire,MATCH($C172,ListeCategories,0)),0))</f>
      </c>
      <c r="E172" s="24">
        <f>IF($A172="","",IF(IFERROR(INDEX(Categories_TauxHS,MATCH($C172,ListeCategories,0)),0)&gt;0,IFERROR(INDEX(Categories_TauxHS,MATCH($C172,ListeCategories,0)),0),TauxHSDefaut))</f>
      </c>
      <c r="F172" s="22">
        <f>IF($A172="","",SUM(IF('POINTAGE'!$D$5&lt;&gt;"",--('POINTAGE'!D172="Présent"),0),IF('POINTAGE'!$F$5&lt;&gt;"",--('POINTAGE'!F172="Présent"),0),IF('POINTAGE'!$H$5&lt;&gt;"",--('POINTAGE'!H172="Présent"),0),IF('POINTAGE'!$J$5&lt;&gt;"",--('POINTAGE'!J172="Présent"),0),IF('POINTAGE'!$L$5&lt;&gt;"",--('POINTAGE'!L172="Présent"),0),IF('POINTAGE'!$N$5&lt;&gt;"",--('POINTAGE'!N172="Présent"),0),IF('POINTAGE'!$P$5&lt;&gt;"",--('POINTAGE'!P172="Présent"),0),IF('POINTAGE'!$R$5&lt;&gt;"",--('POINTAGE'!R172="Présent"),0),IF('POINTAGE'!$T$5&lt;&gt;"",--('POINTAGE'!T172="Présent"),0),IF('POINTAGE'!$V$5&lt;&gt;"",--('POINTAGE'!V172="Présent"),0),IF('POINTAGE'!$X$5&lt;&gt;"",--('POINTAGE'!X172="Présent"),0),IF('POINTAGE'!$Z$5&lt;&gt;"",--('POINTAGE'!Z172="Présent"),0),IF('POINTAGE'!$AB$5&lt;&gt;"",--('POINTAGE'!AB172="Présent"),0),IF('POINTAGE'!$AD$5&lt;&gt;"",--('POINTAGE'!AD172="Présent"),0),IF('POINTAGE'!$AF$5&lt;&gt;"",--('POINTAGE'!AF172="Présent"),0)))</f>
      </c>
      <c r="G172" s="22">
        <f>IF($A172="","",SUM(IF('POINTAGE'!$D$5&lt;&gt;"",--('POINTAGE'!D172="Absent"),0),IF('POINTAGE'!$F$5&lt;&gt;"",--('POINTAGE'!F172="Absent"),0),IF('POINTAGE'!$H$5&lt;&gt;"",--('POINTAGE'!H172="Absent"),0),IF('POINTAGE'!$J$5&lt;&gt;"",--('POINTAGE'!J172="Absent"),0),IF('POINTAGE'!$L$5&lt;&gt;"",--('POINTAGE'!L172="Absent"),0),IF('POINTAGE'!$N$5&lt;&gt;"",--('POINTAGE'!N172="Absent"),0),IF('POINTAGE'!$P$5&lt;&gt;"",--('POINTAGE'!P172="Absent"),0),IF('POINTAGE'!$R$5&lt;&gt;"",--('POINTAGE'!R172="Absent"),0),IF('POINTAGE'!$T$5&lt;&gt;"",--('POINTAGE'!T172="Absent"),0),IF('POINTAGE'!$V$5&lt;&gt;"",--('POINTAGE'!V172="Absent"),0),IF('POINTAGE'!$X$5&lt;&gt;"",--('POINTAGE'!X172="Absent"),0),IF('POINTAGE'!$Z$5&lt;&gt;"",--('POINTAGE'!Z172="Absent"),0),IF('POINTAGE'!$AB$5&lt;&gt;"",--('POINTAGE'!AB172="Absent"),0),IF('POINTAGE'!$AD$5&lt;&gt;"",--('POINTAGE'!AD172="Absent"),0),IF('POINTAGE'!$AF$5&lt;&gt;"",--('POINTAGE'!AF172="Absent"),0)))</f>
      </c>
      <c r="H172" s="23">
        <f>IF($A172="","",SUM(IF('POINTAGE'!$D$5&lt;&gt;"",IF('POINTAGE'!D172="Présent",'POINTAGE'!E172,0),0),IF('POINTAGE'!$F$5&lt;&gt;"",IF('POINTAGE'!F172="Présent",'POINTAGE'!G172,0),0),IF('POINTAGE'!$H$5&lt;&gt;"",IF('POINTAGE'!H172="Présent",'POINTAGE'!I172,0),0),IF('POINTAGE'!$J$5&lt;&gt;"",IF('POINTAGE'!J172="Présent",'POINTAGE'!K172,0),0),IF('POINTAGE'!$L$5&lt;&gt;"",IF('POINTAGE'!L172="Présent",'POINTAGE'!M172,0),0),IF('POINTAGE'!$N$5&lt;&gt;"",IF('POINTAGE'!N172="Présent",'POINTAGE'!O172,0),0),IF('POINTAGE'!$P$5&lt;&gt;"",IF('POINTAGE'!P172="Présent",'POINTAGE'!Q172,0),0),IF('POINTAGE'!$R$5&lt;&gt;"",IF('POINTAGE'!R172="Présent",'POINTAGE'!S172,0),0),IF('POINTAGE'!$T$5&lt;&gt;"",IF('POINTAGE'!T172="Présent",'POINTAGE'!U172,0),0),IF('POINTAGE'!$V$5&lt;&gt;"",IF('POINTAGE'!V172="Présent",'POINTAGE'!W172,0),0),IF('POINTAGE'!$X$5&lt;&gt;"",IF('POINTAGE'!X172="Présent",'POINTAGE'!Y172,0),0),IF('POINTAGE'!$Z$5&lt;&gt;"",IF('POINTAGE'!Z172="Présent",'POINTAGE'!AA172,0),0),IF('POINTAGE'!$AB$5&lt;&gt;"",IF('POINTAGE'!AB172="Présent",'POINTAGE'!AC172,0),0),IF('POINTAGE'!$AD$5&lt;&gt;"",IF('POINTAGE'!AD172="Présent",'POINTAGE'!AE172,0),0),IF('POINTAGE'!$AF$5&lt;&gt;"",IF('POINTAGE'!AF172="Présent",'POINTAGE'!AG172,0),0)))</f>
      </c>
      <c r="I172" s="24">
        <f>IF($A172="","",$F172*$D172)</f>
      </c>
      <c r="J172" s="24">
        <f>IF($A172="","",$H172*$E172)</f>
      </c>
      <c r="K172" s="25">
        <f>IF($A172="","",$I172+$J172)</f>
      </c>
      <c r="L172" s="18"/>
      <c r="M172" s="25">
        <f>IF($A172="","",MAX(0,$K172-$L172))</f>
      </c>
      <c r="N172" s="22">
        <f>IF($A172="","",SUM(IF('POINTAGE'!$AH$5&lt;&gt;"",--('POINTAGE'!AH172="Présent"),0),IF('POINTAGE'!$AJ$5&lt;&gt;"",--('POINTAGE'!AJ172="Présent"),0),IF('POINTAGE'!$AL$5&lt;&gt;"",--('POINTAGE'!AL172="Présent"),0),IF('POINTAGE'!$AN$5&lt;&gt;"",--('POINTAGE'!AN172="Présent"),0),IF('POINTAGE'!$AP$5&lt;&gt;"",--('POINTAGE'!AP172="Présent"),0),IF('POINTAGE'!$AR$5&lt;&gt;"",--('POINTAGE'!AR172="Présent"),0),IF('POINTAGE'!$AT$5&lt;&gt;"",--('POINTAGE'!AT172="Présent"),0),IF('POINTAGE'!$AV$5&lt;&gt;"",--('POINTAGE'!AV172="Présent"),0),IF('POINTAGE'!$AX$5&lt;&gt;"",--('POINTAGE'!AX172="Présent"),0),IF('POINTAGE'!$AZ$5&lt;&gt;"",--('POINTAGE'!AZ172="Présent"),0),IF('POINTAGE'!$BB$5&lt;&gt;"",--('POINTAGE'!BB172="Présent"),0),IF('POINTAGE'!$BD$5&lt;&gt;"",--('POINTAGE'!BD172="Présent"),0),IF('POINTAGE'!$BF$5&lt;&gt;"",--('POINTAGE'!BF172="Présent"),0),IF('POINTAGE'!$BH$5&lt;&gt;"",--('POINTAGE'!BH172="Présent"),0),IF('POINTAGE'!$BJ$5&lt;&gt;"",--('POINTAGE'!BJ172="Présent"),0),IF('POINTAGE'!$BL$5&lt;&gt;"",--('POINTAGE'!BL172="Présent"),0)))</f>
      </c>
      <c r="O172" s="22">
        <f>IF($A172="","",SUM(IF('POINTAGE'!$AH$5&lt;&gt;"",--('POINTAGE'!AH172="Absent"),0),IF('POINTAGE'!$AJ$5&lt;&gt;"",--('POINTAGE'!AJ172="Absent"),0),IF('POINTAGE'!$AL$5&lt;&gt;"",--('POINTAGE'!AL172="Absent"),0),IF('POINTAGE'!$AN$5&lt;&gt;"",--('POINTAGE'!AN172="Absent"),0),IF('POINTAGE'!$AP$5&lt;&gt;"",--('POINTAGE'!AP172="Absent"),0),IF('POINTAGE'!$AR$5&lt;&gt;"",--('POINTAGE'!AR172="Absent"),0),IF('POINTAGE'!$AT$5&lt;&gt;"",--('POINTAGE'!AT172="Absent"),0),IF('POINTAGE'!$AV$5&lt;&gt;"",--('POINTAGE'!AV172="Absent"),0),IF('POINTAGE'!$AX$5&lt;&gt;"",--('POINTAGE'!AX172="Absent"),0),IF('POINTAGE'!$AZ$5&lt;&gt;"",--('POINTAGE'!AZ172="Absent"),0),IF('POINTAGE'!$BB$5&lt;&gt;"",--('POINTAGE'!BB172="Absent"),0),IF('POINTAGE'!$BD$5&lt;&gt;"",--('POINTAGE'!BD172="Absent"),0),IF('POINTAGE'!$BF$5&lt;&gt;"",--('POINTAGE'!BF172="Absent"),0),IF('POINTAGE'!$BH$5&lt;&gt;"",--('POINTAGE'!BH172="Absent"),0),IF('POINTAGE'!$BJ$5&lt;&gt;"",--('POINTAGE'!BJ172="Absent"),0),IF('POINTAGE'!$BL$5&lt;&gt;"",--('POINTAGE'!BL172="Absent"),0)))</f>
      </c>
      <c r="P172" s="23">
        <f>IF($A172="","",SUM(IF('POINTAGE'!$AH$5&lt;&gt;"",IF('POINTAGE'!AH172="Présent",'POINTAGE'!AI172,0),0),IF('POINTAGE'!$AJ$5&lt;&gt;"",IF('POINTAGE'!AJ172="Présent",'POINTAGE'!AK172,0),0),IF('POINTAGE'!$AL$5&lt;&gt;"",IF('POINTAGE'!AL172="Présent",'POINTAGE'!AM172,0),0),IF('POINTAGE'!$AN$5&lt;&gt;"",IF('POINTAGE'!AN172="Présent",'POINTAGE'!AO172,0),0),IF('POINTAGE'!$AP$5&lt;&gt;"",IF('POINTAGE'!AP172="Présent",'POINTAGE'!AQ172,0),0),IF('POINTAGE'!$AR$5&lt;&gt;"",IF('POINTAGE'!AR172="Présent",'POINTAGE'!AS172,0),0),IF('POINTAGE'!$AT$5&lt;&gt;"",IF('POINTAGE'!AT172="Présent",'POINTAGE'!AU172,0),0),IF('POINTAGE'!$AV$5&lt;&gt;"",IF('POINTAGE'!AV172="Présent",'POINTAGE'!AW172,0),0),IF('POINTAGE'!$AX$5&lt;&gt;"",IF('POINTAGE'!AX172="Présent",'POINTAGE'!AY172,0),0),IF('POINTAGE'!$AZ$5&lt;&gt;"",IF('POINTAGE'!AZ172="Présent",'POINTAGE'!BA172,0),0),IF('POINTAGE'!$BB$5&lt;&gt;"",IF('POINTAGE'!BB172="Présent",'POINTAGE'!BC172,0),0),IF('POINTAGE'!$BD$5&lt;&gt;"",IF('POINTAGE'!BD172="Présent",'POINTAGE'!BE172,0),0),IF('POINTAGE'!$BF$5&lt;&gt;"",IF('POINTAGE'!BF172="Présent",'POINTAGE'!BG172,0),0),IF('POINTAGE'!$BH$5&lt;&gt;"",IF('POINTAGE'!BH172="Présent",'POINTAGE'!BI172,0),0),IF('POINTAGE'!$BJ$5&lt;&gt;"",IF('POINTAGE'!BJ172="Présent",'POINTAGE'!BK172,0),0),IF('POINTAGE'!$BL$5&lt;&gt;"",IF('POINTAGE'!BL172="Présent",'POINTAGE'!BM172,0),0)))</f>
      </c>
      <c r="Q172" s="24">
        <f>IF($A172="","",$N172*$D172)</f>
      </c>
      <c r="R172" s="24">
        <f>IF($A172="","",$P172*$E172)</f>
      </c>
      <c r="S172" s="25">
        <f>IF($A172="","",$Q172+$R172)</f>
      </c>
      <c r="T172" s="18"/>
      <c r="U172" s="25">
        <f>IF($A172="","",MAX(0,$S172-$T172))</f>
      </c>
      <c r="V172" s="25">
        <f>IF($A172="","",$K172+$S172)</f>
      </c>
      <c r="W172" s="24">
        <f>IF($A172="","",$L172+$T172)</f>
      </c>
      <c r="X172" s="25">
        <f>IF($A172="","",$M172+$U172)</f>
      </c>
      <c r="Y172" s="29">
        <f>IF($A172="","",$J172+$R172)</f>
      </c>
    </row>
    <row r="173">
      <c r="A173" s="20">
        <f>IF('POINTAGE'!A173="","",'POINTAGE'!A173)</f>
      </c>
      <c r="B173" s="19">
        <f>IF($A173="","",'POINTAGE'!B173)</f>
      </c>
      <c r="C173" s="20">
        <f>IF($A173="","",'POINTAGE'!C173)</f>
      </c>
      <c r="D173" s="24">
        <f>IF($A173="","",IFERROR(INDEX(Categories_Salaire,MATCH($C173,ListeCategories,0)),0))</f>
      </c>
      <c r="E173" s="24">
        <f>IF($A173="","",IF(IFERROR(INDEX(Categories_TauxHS,MATCH($C173,ListeCategories,0)),0)&gt;0,IFERROR(INDEX(Categories_TauxHS,MATCH($C173,ListeCategories,0)),0),TauxHSDefaut))</f>
      </c>
      <c r="F173" s="22">
        <f>IF($A173="","",SUM(IF('POINTAGE'!$D$5&lt;&gt;"",--('POINTAGE'!D173="Présent"),0),IF('POINTAGE'!$F$5&lt;&gt;"",--('POINTAGE'!F173="Présent"),0),IF('POINTAGE'!$H$5&lt;&gt;"",--('POINTAGE'!H173="Présent"),0),IF('POINTAGE'!$J$5&lt;&gt;"",--('POINTAGE'!J173="Présent"),0),IF('POINTAGE'!$L$5&lt;&gt;"",--('POINTAGE'!L173="Présent"),0),IF('POINTAGE'!$N$5&lt;&gt;"",--('POINTAGE'!N173="Présent"),0),IF('POINTAGE'!$P$5&lt;&gt;"",--('POINTAGE'!P173="Présent"),0),IF('POINTAGE'!$R$5&lt;&gt;"",--('POINTAGE'!R173="Présent"),0),IF('POINTAGE'!$T$5&lt;&gt;"",--('POINTAGE'!T173="Présent"),0),IF('POINTAGE'!$V$5&lt;&gt;"",--('POINTAGE'!V173="Présent"),0),IF('POINTAGE'!$X$5&lt;&gt;"",--('POINTAGE'!X173="Présent"),0),IF('POINTAGE'!$Z$5&lt;&gt;"",--('POINTAGE'!Z173="Présent"),0),IF('POINTAGE'!$AB$5&lt;&gt;"",--('POINTAGE'!AB173="Présent"),0),IF('POINTAGE'!$AD$5&lt;&gt;"",--('POINTAGE'!AD173="Présent"),0),IF('POINTAGE'!$AF$5&lt;&gt;"",--('POINTAGE'!AF173="Présent"),0)))</f>
      </c>
      <c r="G173" s="22">
        <f>IF($A173="","",SUM(IF('POINTAGE'!$D$5&lt;&gt;"",--('POINTAGE'!D173="Absent"),0),IF('POINTAGE'!$F$5&lt;&gt;"",--('POINTAGE'!F173="Absent"),0),IF('POINTAGE'!$H$5&lt;&gt;"",--('POINTAGE'!H173="Absent"),0),IF('POINTAGE'!$J$5&lt;&gt;"",--('POINTAGE'!J173="Absent"),0),IF('POINTAGE'!$L$5&lt;&gt;"",--('POINTAGE'!L173="Absent"),0),IF('POINTAGE'!$N$5&lt;&gt;"",--('POINTAGE'!N173="Absent"),0),IF('POINTAGE'!$P$5&lt;&gt;"",--('POINTAGE'!P173="Absent"),0),IF('POINTAGE'!$R$5&lt;&gt;"",--('POINTAGE'!R173="Absent"),0),IF('POINTAGE'!$T$5&lt;&gt;"",--('POINTAGE'!T173="Absent"),0),IF('POINTAGE'!$V$5&lt;&gt;"",--('POINTAGE'!V173="Absent"),0),IF('POINTAGE'!$X$5&lt;&gt;"",--('POINTAGE'!X173="Absent"),0),IF('POINTAGE'!$Z$5&lt;&gt;"",--('POINTAGE'!Z173="Absent"),0),IF('POINTAGE'!$AB$5&lt;&gt;"",--('POINTAGE'!AB173="Absent"),0),IF('POINTAGE'!$AD$5&lt;&gt;"",--('POINTAGE'!AD173="Absent"),0),IF('POINTAGE'!$AF$5&lt;&gt;"",--('POINTAGE'!AF173="Absent"),0)))</f>
      </c>
      <c r="H173" s="23">
        <f>IF($A173="","",SUM(IF('POINTAGE'!$D$5&lt;&gt;"",IF('POINTAGE'!D173="Présent",'POINTAGE'!E173,0),0),IF('POINTAGE'!$F$5&lt;&gt;"",IF('POINTAGE'!F173="Présent",'POINTAGE'!G173,0),0),IF('POINTAGE'!$H$5&lt;&gt;"",IF('POINTAGE'!H173="Présent",'POINTAGE'!I173,0),0),IF('POINTAGE'!$J$5&lt;&gt;"",IF('POINTAGE'!J173="Présent",'POINTAGE'!K173,0),0),IF('POINTAGE'!$L$5&lt;&gt;"",IF('POINTAGE'!L173="Présent",'POINTAGE'!M173,0),0),IF('POINTAGE'!$N$5&lt;&gt;"",IF('POINTAGE'!N173="Présent",'POINTAGE'!O173,0),0),IF('POINTAGE'!$P$5&lt;&gt;"",IF('POINTAGE'!P173="Présent",'POINTAGE'!Q173,0),0),IF('POINTAGE'!$R$5&lt;&gt;"",IF('POINTAGE'!R173="Présent",'POINTAGE'!S173,0),0),IF('POINTAGE'!$T$5&lt;&gt;"",IF('POINTAGE'!T173="Présent",'POINTAGE'!U173,0),0),IF('POINTAGE'!$V$5&lt;&gt;"",IF('POINTAGE'!V173="Présent",'POINTAGE'!W173,0),0),IF('POINTAGE'!$X$5&lt;&gt;"",IF('POINTAGE'!X173="Présent",'POINTAGE'!Y173,0),0),IF('POINTAGE'!$Z$5&lt;&gt;"",IF('POINTAGE'!Z173="Présent",'POINTAGE'!AA173,0),0),IF('POINTAGE'!$AB$5&lt;&gt;"",IF('POINTAGE'!AB173="Présent",'POINTAGE'!AC173,0),0),IF('POINTAGE'!$AD$5&lt;&gt;"",IF('POINTAGE'!AD173="Présent",'POINTAGE'!AE173,0),0),IF('POINTAGE'!$AF$5&lt;&gt;"",IF('POINTAGE'!AF173="Présent",'POINTAGE'!AG173,0),0)))</f>
      </c>
      <c r="I173" s="24">
        <f>IF($A173="","",$F173*$D173)</f>
      </c>
      <c r="J173" s="24">
        <f>IF($A173="","",$H173*$E173)</f>
      </c>
      <c r="K173" s="25">
        <f>IF($A173="","",$I173+$J173)</f>
      </c>
      <c r="L173" s="18"/>
      <c r="M173" s="25">
        <f>IF($A173="","",MAX(0,$K173-$L173))</f>
      </c>
      <c r="N173" s="22">
        <f>IF($A173="","",SUM(IF('POINTAGE'!$AH$5&lt;&gt;"",--('POINTAGE'!AH173="Présent"),0),IF('POINTAGE'!$AJ$5&lt;&gt;"",--('POINTAGE'!AJ173="Présent"),0),IF('POINTAGE'!$AL$5&lt;&gt;"",--('POINTAGE'!AL173="Présent"),0),IF('POINTAGE'!$AN$5&lt;&gt;"",--('POINTAGE'!AN173="Présent"),0),IF('POINTAGE'!$AP$5&lt;&gt;"",--('POINTAGE'!AP173="Présent"),0),IF('POINTAGE'!$AR$5&lt;&gt;"",--('POINTAGE'!AR173="Présent"),0),IF('POINTAGE'!$AT$5&lt;&gt;"",--('POINTAGE'!AT173="Présent"),0),IF('POINTAGE'!$AV$5&lt;&gt;"",--('POINTAGE'!AV173="Présent"),0),IF('POINTAGE'!$AX$5&lt;&gt;"",--('POINTAGE'!AX173="Présent"),0),IF('POINTAGE'!$AZ$5&lt;&gt;"",--('POINTAGE'!AZ173="Présent"),0),IF('POINTAGE'!$BB$5&lt;&gt;"",--('POINTAGE'!BB173="Présent"),0),IF('POINTAGE'!$BD$5&lt;&gt;"",--('POINTAGE'!BD173="Présent"),0),IF('POINTAGE'!$BF$5&lt;&gt;"",--('POINTAGE'!BF173="Présent"),0),IF('POINTAGE'!$BH$5&lt;&gt;"",--('POINTAGE'!BH173="Présent"),0),IF('POINTAGE'!$BJ$5&lt;&gt;"",--('POINTAGE'!BJ173="Présent"),0),IF('POINTAGE'!$BL$5&lt;&gt;"",--('POINTAGE'!BL173="Présent"),0)))</f>
      </c>
      <c r="O173" s="22">
        <f>IF($A173="","",SUM(IF('POINTAGE'!$AH$5&lt;&gt;"",--('POINTAGE'!AH173="Absent"),0),IF('POINTAGE'!$AJ$5&lt;&gt;"",--('POINTAGE'!AJ173="Absent"),0),IF('POINTAGE'!$AL$5&lt;&gt;"",--('POINTAGE'!AL173="Absent"),0),IF('POINTAGE'!$AN$5&lt;&gt;"",--('POINTAGE'!AN173="Absent"),0),IF('POINTAGE'!$AP$5&lt;&gt;"",--('POINTAGE'!AP173="Absent"),0),IF('POINTAGE'!$AR$5&lt;&gt;"",--('POINTAGE'!AR173="Absent"),0),IF('POINTAGE'!$AT$5&lt;&gt;"",--('POINTAGE'!AT173="Absent"),0),IF('POINTAGE'!$AV$5&lt;&gt;"",--('POINTAGE'!AV173="Absent"),0),IF('POINTAGE'!$AX$5&lt;&gt;"",--('POINTAGE'!AX173="Absent"),0),IF('POINTAGE'!$AZ$5&lt;&gt;"",--('POINTAGE'!AZ173="Absent"),0),IF('POINTAGE'!$BB$5&lt;&gt;"",--('POINTAGE'!BB173="Absent"),0),IF('POINTAGE'!$BD$5&lt;&gt;"",--('POINTAGE'!BD173="Absent"),0),IF('POINTAGE'!$BF$5&lt;&gt;"",--('POINTAGE'!BF173="Absent"),0),IF('POINTAGE'!$BH$5&lt;&gt;"",--('POINTAGE'!BH173="Absent"),0),IF('POINTAGE'!$BJ$5&lt;&gt;"",--('POINTAGE'!BJ173="Absent"),0),IF('POINTAGE'!$BL$5&lt;&gt;"",--('POINTAGE'!BL173="Absent"),0)))</f>
      </c>
      <c r="P173" s="23">
        <f>IF($A173="","",SUM(IF('POINTAGE'!$AH$5&lt;&gt;"",IF('POINTAGE'!AH173="Présent",'POINTAGE'!AI173,0),0),IF('POINTAGE'!$AJ$5&lt;&gt;"",IF('POINTAGE'!AJ173="Présent",'POINTAGE'!AK173,0),0),IF('POINTAGE'!$AL$5&lt;&gt;"",IF('POINTAGE'!AL173="Présent",'POINTAGE'!AM173,0),0),IF('POINTAGE'!$AN$5&lt;&gt;"",IF('POINTAGE'!AN173="Présent",'POINTAGE'!AO173,0),0),IF('POINTAGE'!$AP$5&lt;&gt;"",IF('POINTAGE'!AP173="Présent",'POINTAGE'!AQ173,0),0),IF('POINTAGE'!$AR$5&lt;&gt;"",IF('POINTAGE'!AR173="Présent",'POINTAGE'!AS173,0),0),IF('POINTAGE'!$AT$5&lt;&gt;"",IF('POINTAGE'!AT173="Présent",'POINTAGE'!AU173,0),0),IF('POINTAGE'!$AV$5&lt;&gt;"",IF('POINTAGE'!AV173="Présent",'POINTAGE'!AW173,0),0),IF('POINTAGE'!$AX$5&lt;&gt;"",IF('POINTAGE'!AX173="Présent",'POINTAGE'!AY173,0),0),IF('POINTAGE'!$AZ$5&lt;&gt;"",IF('POINTAGE'!AZ173="Présent",'POINTAGE'!BA173,0),0),IF('POINTAGE'!$BB$5&lt;&gt;"",IF('POINTAGE'!BB173="Présent",'POINTAGE'!BC173,0),0),IF('POINTAGE'!$BD$5&lt;&gt;"",IF('POINTAGE'!BD173="Présent",'POINTAGE'!BE173,0),0),IF('POINTAGE'!$BF$5&lt;&gt;"",IF('POINTAGE'!BF173="Présent",'POINTAGE'!BG173,0),0),IF('POINTAGE'!$BH$5&lt;&gt;"",IF('POINTAGE'!BH173="Présent",'POINTAGE'!BI173,0),0),IF('POINTAGE'!$BJ$5&lt;&gt;"",IF('POINTAGE'!BJ173="Présent",'POINTAGE'!BK173,0),0),IF('POINTAGE'!$BL$5&lt;&gt;"",IF('POINTAGE'!BL173="Présent",'POINTAGE'!BM173,0),0)))</f>
      </c>
      <c r="Q173" s="24">
        <f>IF($A173="","",$N173*$D173)</f>
      </c>
      <c r="R173" s="24">
        <f>IF($A173="","",$P173*$E173)</f>
      </c>
      <c r="S173" s="25">
        <f>IF($A173="","",$Q173+$R173)</f>
      </c>
      <c r="T173" s="18"/>
      <c r="U173" s="25">
        <f>IF($A173="","",MAX(0,$S173-$T173))</f>
      </c>
      <c r="V173" s="25">
        <f>IF($A173="","",$K173+$S173)</f>
      </c>
      <c r="W173" s="24">
        <f>IF($A173="","",$L173+$T173)</f>
      </c>
      <c r="X173" s="25">
        <f>IF($A173="","",$M173+$U173)</f>
      </c>
      <c r="Y173" s="29">
        <f>IF($A173="","",$J173+$R173)</f>
      </c>
    </row>
    <row r="174">
      <c r="A174" s="20">
        <f>IF('POINTAGE'!A174="","",'POINTAGE'!A174)</f>
      </c>
      <c r="B174" s="19">
        <f>IF($A174="","",'POINTAGE'!B174)</f>
      </c>
      <c r="C174" s="20">
        <f>IF($A174="","",'POINTAGE'!C174)</f>
      </c>
      <c r="D174" s="24">
        <f>IF($A174="","",IFERROR(INDEX(Categories_Salaire,MATCH($C174,ListeCategories,0)),0))</f>
      </c>
      <c r="E174" s="24">
        <f>IF($A174="","",IF(IFERROR(INDEX(Categories_TauxHS,MATCH($C174,ListeCategories,0)),0)&gt;0,IFERROR(INDEX(Categories_TauxHS,MATCH($C174,ListeCategories,0)),0),TauxHSDefaut))</f>
      </c>
      <c r="F174" s="22">
        <f>IF($A174="","",SUM(IF('POINTAGE'!$D$5&lt;&gt;"",--('POINTAGE'!D174="Présent"),0),IF('POINTAGE'!$F$5&lt;&gt;"",--('POINTAGE'!F174="Présent"),0),IF('POINTAGE'!$H$5&lt;&gt;"",--('POINTAGE'!H174="Présent"),0),IF('POINTAGE'!$J$5&lt;&gt;"",--('POINTAGE'!J174="Présent"),0),IF('POINTAGE'!$L$5&lt;&gt;"",--('POINTAGE'!L174="Présent"),0),IF('POINTAGE'!$N$5&lt;&gt;"",--('POINTAGE'!N174="Présent"),0),IF('POINTAGE'!$P$5&lt;&gt;"",--('POINTAGE'!P174="Présent"),0),IF('POINTAGE'!$R$5&lt;&gt;"",--('POINTAGE'!R174="Présent"),0),IF('POINTAGE'!$T$5&lt;&gt;"",--('POINTAGE'!T174="Présent"),0),IF('POINTAGE'!$V$5&lt;&gt;"",--('POINTAGE'!V174="Présent"),0),IF('POINTAGE'!$X$5&lt;&gt;"",--('POINTAGE'!X174="Présent"),0),IF('POINTAGE'!$Z$5&lt;&gt;"",--('POINTAGE'!Z174="Présent"),0),IF('POINTAGE'!$AB$5&lt;&gt;"",--('POINTAGE'!AB174="Présent"),0),IF('POINTAGE'!$AD$5&lt;&gt;"",--('POINTAGE'!AD174="Présent"),0),IF('POINTAGE'!$AF$5&lt;&gt;"",--('POINTAGE'!AF174="Présent"),0)))</f>
      </c>
      <c r="G174" s="22">
        <f>IF($A174="","",SUM(IF('POINTAGE'!$D$5&lt;&gt;"",--('POINTAGE'!D174="Absent"),0),IF('POINTAGE'!$F$5&lt;&gt;"",--('POINTAGE'!F174="Absent"),0),IF('POINTAGE'!$H$5&lt;&gt;"",--('POINTAGE'!H174="Absent"),0),IF('POINTAGE'!$J$5&lt;&gt;"",--('POINTAGE'!J174="Absent"),0),IF('POINTAGE'!$L$5&lt;&gt;"",--('POINTAGE'!L174="Absent"),0),IF('POINTAGE'!$N$5&lt;&gt;"",--('POINTAGE'!N174="Absent"),0),IF('POINTAGE'!$P$5&lt;&gt;"",--('POINTAGE'!P174="Absent"),0),IF('POINTAGE'!$R$5&lt;&gt;"",--('POINTAGE'!R174="Absent"),0),IF('POINTAGE'!$T$5&lt;&gt;"",--('POINTAGE'!T174="Absent"),0),IF('POINTAGE'!$V$5&lt;&gt;"",--('POINTAGE'!V174="Absent"),0),IF('POINTAGE'!$X$5&lt;&gt;"",--('POINTAGE'!X174="Absent"),0),IF('POINTAGE'!$Z$5&lt;&gt;"",--('POINTAGE'!Z174="Absent"),0),IF('POINTAGE'!$AB$5&lt;&gt;"",--('POINTAGE'!AB174="Absent"),0),IF('POINTAGE'!$AD$5&lt;&gt;"",--('POINTAGE'!AD174="Absent"),0),IF('POINTAGE'!$AF$5&lt;&gt;"",--('POINTAGE'!AF174="Absent"),0)))</f>
      </c>
      <c r="H174" s="23">
        <f>IF($A174="","",SUM(IF('POINTAGE'!$D$5&lt;&gt;"",IF('POINTAGE'!D174="Présent",'POINTAGE'!E174,0),0),IF('POINTAGE'!$F$5&lt;&gt;"",IF('POINTAGE'!F174="Présent",'POINTAGE'!G174,0),0),IF('POINTAGE'!$H$5&lt;&gt;"",IF('POINTAGE'!H174="Présent",'POINTAGE'!I174,0),0),IF('POINTAGE'!$J$5&lt;&gt;"",IF('POINTAGE'!J174="Présent",'POINTAGE'!K174,0),0),IF('POINTAGE'!$L$5&lt;&gt;"",IF('POINTAGE'!L174="Présent",'POINTAGE'!M174,0),0),IF('POINTAGE'!$N$5&lt;&gt;"",IF('POINTAGE'!N174="Présent",'POINTAGE'!O174,0),0),IF('POINTAGE'!$P$5&lt;&gt;"",IF('POINTAGE'!P174="Présent",'POINTAGE'!Q174,0),0),IF('POINTAGE'!$R$5&lt;&gt;"",IF('POINTAGE'!R174="Présent",'POINTAGE'!S174,0),0),IF('POINTAGE'!$T$5&lt;&gt;"",IF('POINTAGE'!T174="Présent",'POINTAGE'!U174,0),0),IF('POINTAGE'!$V$5&lt;&gt;"",IF('POINTAGE'!V174="Présent",'POINTAGE'!W174,0),0),IF('POINTAGE'!$X$5&lt;&gt;"",IF('POINTAGE'!X174="Présent",'POINTAGE'!Y174,0),0),IF('POINTAGE'!$Z$5&lt;&gt;"",IF('POINTAGE'!Z174="Présent",'POINTAGE'!AA174,0),0),IF('POINTAGE'!$AB$5&lt;&gt;"",IF('POINTAGE'!AB174="Présent",'POINTAGE'!AC174,0),0),IF('POINTAGE'!$AD$5&lt;&gt;"",IF('POINTAGE'!AD174="Présent",'POINTAGE'!AE174,0),0),IF('POINTAGE'!$AF$5&lt;&gt;"",IF('POINTAGE'!AF174="Présent",'POINTAGE'!AG174,0),0)))</f>
      </c>
      <c r="I174" s="24">
        <f>IF($A174="","",$F174*$D174)</f>
      </c>
      <c r="J174" s="24">
        <f>IF($A174="","",$H174*$E174)</f>
      </c>
      <c r="K174" s="25">
        <f>IF($A174="","",$I174+$J174)</f>
      </c>
      <c r="L174" s="18"/>
      <c r="M174" s="25">
        <f>IF($A174="","",MAX(0,$K174-$L174))</f>
      </c>
      <c r="N174" s="22">
        <f>IF($A174="","",SUM(IF('POINTAGE'!$AH$5&lt;&gt;"",--('POINTAGE'!AH174="Présent"),0),IF('POINTAGE'!$AJ$5&lt;&gt;"",--('POINTAGE'!AJ174="Présent"),0),IF('POINTAGE'!$AL$5&lt;&gt;"",--('POINTAGE'!AL174="Présent"),0),IF('POINTAGE'!$AN$5&lt;&gt;"",--('POINTAGE'!AN174="Présent"),0),IF('POINTAGE'!$AP$5&lt;&gt;"",--('POINTAGE'!AP174="Présent"),0),IF('POINTAGE'!$AR$5&lt;&gt;"",--('POINTAGE'!AR174="Présent"),0),IF('POINTAGE'!$AT$5&lt;&gt;"",--('POINTAGE'!AT174="Présent"),0),IF('POINTAGE'!$AV$5&lt;&gt;"",--('POINTAGE'!AV174="Présent"),0),IF('POINTAGE'!$AX$5&lt;&gt;"",--('POINTAGE'!AX174="Présent"),0),IF('POINTAGE'!$AZ$5&lt;&gt;"",--('POINTAGE'!AZ174="Présent"),0),IF('POINTAGE'!$BB$5&lt;&gt;"",--('POINTAGE'!BB174="Présent"),0),IF('POINTAGE'!$BD$5&lt;&gt;"",--('POINTAGE'!BD174="Présent"),0),IF('POINTAGE'!$BF$5&lt;&gt;"",--('POINTAGE'!BF174="Présent"),0),IF('POINTAGE'!$BH$5&lt;&gt;"",--('POINTAGE'!BH174="Présent"),0),IF('POINTAGE'!$BJ$5&lt;&gt;"",--('POINTAGE'!BJ174="Présent"),0),IF('POINTAGE'!$BL$5&lt;&gt;"",--('POINTAGE'!BL174="Présent"),0)))</f>
      </c>
      <c r="O174" s="22">
        <f>IF($A174="","",SUM(IF('POINTAGE'!$AH$5&lt;&gt;"",--('POINTAGE'!AH174="Absent"),0),IF('POINTAGE'!$AJ$5&lt;&gt;"",--('POINTAGE'!AJ174="Absent"),0),IF('POINTAGE'!$AL$5&lt;&gt;"",--('POINTAGE'!AL174="Absent"),0),IF('POINTAGE'!$AN$5&lt;&gt;"",--('POINTAGE'!AN174="Absent"),0),IF('POINTAGE'!$AP$5&lt;&gt;"",--('POINTAGE'!AP174="Absent"),0),IF('POINTAGE'!$AR$5&lt;&gt;"",--('POINTAGE'!AR174="Absent"),0),IF('POINTAGE'!$AT$5&lt;&gt;"",--('POINTAGE'!AT174="Absent"),0),IF('POINTAGE'!$AV$5&lt;&gt;"",--('POINTAGE'!AV174="Absent"),0),IF('POINTAGE'!$AX$5&lt;&gt;"",--('POINTAGE'!AX174="Absent"),0),IF('POINTAGE'!$AZ$5&lt;&gt;"",--('POINTAGE'!AZ174="Absent"),0),IF('POINTAGE'!$BB$5&lt;&gt;"",--('POINTAGE'!BB174="Absent"),0),IF('POINTAGE'!$BD$5&lt;&gt;"",--('POINTAGE'!BD174="Absent"),0),IF('POINTAGE'!$BF$5&lt;&gt;"",--('POINTAGE'!BF174="Absent"),0),IF('POINTAGE'!$BH$5&lt;&gt;"",--('POINTAGE'!BH174="Absent"),0),IF('POINTAGE'!$BJ$5&lt;&gt;"",--('POINTAGE'!BJ174="Absent"),0),IF('POINTAGE'!$BL$5&lt;&gt;"",--('POINTAGE'!BL174="Absent"),0)))</f>
      </c>
      <c r="P174" s="23">
        <f>IF($A174="","",SUM(IF('POINTAGE'!$AH$5&lt;&gt;"",IF('POINTAGE'!AH174="Présent",'POINTAGE'!AI174,0),0),IF('POINTAGE'!$AJ$5&lt;&gt;"",IF('POINTAGE'!AJ174="Présent",'POINTAGE'!AK174,0),0),IF('POINTAGE'!$AL$5&lt;&gt;"",IF('POINTAGE'!AL174="Présent",'POINTAGE'!AM174,0),0),IF('POINTAGE'!$AN$5&lt;&gt;"",IF('POINTAGE'!AN174="Présent",'POINTAGE'!AO174,0),0),IF('POINTAGE'!$AP$5&lt;&gt;"",IF('POINTAGE'!AP174="Présent",'POINTAGE'!AQ174,0),0),IF('POINTAGE'!$AR$5&lt;&gt;"",IF('POINTAGE'!AR174="Présent",'POINTAGE'!AS174,0),0),IF('POINTAGE'!$AT$5&lt;&gt;"",IF('POINTAGE'!AT174="Présent",'POINTAGE'!AU174,0),0),IF('POINTAGE'!$AV$5&lt;&gt;"",IF('POINTAGE'!AV174="Présent",'POINTAGE'!AW174,0),0),IF('POINTAGE'!$AX$5&lt;&gt;"",IF('POINTAGE'!AX174="Présent",'POINTAGE'!AY174,0),0),IF('POINTAGE'!$AZ$5&lt;&gt;"",IF('POINTAGE'!AZ174="Présent",'POINTAGE'!BA174,0),0),IF('POINTAGE'!$BB$5&lt;&gt;"",IF('POINTAGE'!BB174="Présent",'POINTAGE'!BC174,0),0),IF('POINTAGE'!$BD$5&lt;&gt;"",IF('POINTAGE'!BD174="Présent",'POINTAGE'!BE174,0),0),IF('POINTAGE'!$BF$5&lt;&gt;"",IF('POINTAGE'!BF174="Présent",'POINTAGE'!BG174,0),0),IF('POINTAGE'!$BH$5&lt;&gt;"",IF('POINTAGE'!BH174="Présent",'POINTAGE'!BI174,0),0),IF('POINTAGE'!$BJ$5&lt;&gt;"",IF('POINTAGE'!BJ174="Présent",'POINTAGE'!BK174,0),0),IF('POINTAGE'!$BL$5&lt;&gt;"",IF('POINTAGE'!BL174="Présent",'POINTAGE'!BM174,0),0)))</f>
      </c>
      <c r="Q174" s="24">
        <f>IF($A174="","",$N174*$D174)</f>
      </c>
      <c r="R174" s="24">
        <f>IF($A174="","",$P174*$E174)</f>
      </c>
      <c r="S174" s="25">
        <f>IF($A174="","",$Q174+$R174)</f>
      </c>
      <c r="T174" s="18"/>
      <c r="U174" s="25">
        <f>IF($A174="","",MAX(0,$S174-$T174))</f>
      </c>
      <c r="V174" s="25">
        <f>IF($A174="","",$K174+$S174)</f>
      </c>
      <c r="W174" s="24">
        <f>IF($A174="","",$L174+$T174)</f>
      </c>
      <c r="X174" s="25">
        <f>IF($A174="","",$M174+$U174)</f>
      </c>
      <c r="Y174" s="29">
        <f>IF($A174="","",$J174+$R174)</f>
      </c>
    </row>
    <row r="175">
      <c r="A175" s="20">
        <f>IF('POINTAGE'!A175="","",'POINTAGE'!A175)</f>
      </c>
      <c r="B175" s="19">
        <f>IF($A175="","",'POINTAGE'!B175)</f>
      </c>
      <c r="C175" s="20">
        <f>IF($A175="","",'POINTAGE'!C175)</f>
      </c>
      <c r="D175" s="24">
        <f>IF($A175="","",IFERROR(INDEX(Categories_Salaire,MATCH($C175,ListeCategories,0)),0))</f>
      </c>
      <c r="E175" s="24">
        <f>IF($A175="","",IF(IFERROR(INDEX(Categories_TauxHS,MATCH($C175,ListeCategories,0)),0)&gt;0,IFERROR(INDEX(Categories_TauxHS,MATCH($C175,ListeCategories,0)),0),TauxHSDefaut))</f>
      </c>
      <c r="F175" s="22">
        <f>IF($A175="","",SUM(IF('POINTAGE'!$D$5&lt;&gt;"",--('POINTAGE'!D175="Présent"),0),IF('POINTAGE'!$F$5&lt;&gt;"",--('POINTAGE'!F175="Présent"),0),IF('POINTAGE'!$H$5&lt;&gt;"",--('POINTAGE'!H175="Présent"),0),IF('POINTAGE'!$J$5&lt;&gt;"",--('POINTAGE'!J175="Présent"),0),IF('POINTAGE'!$L$5&lt;&gt;"",--('POINTAGE'!L175="Présent"),0),IF('POINTAGE'!$N$5&lt;&gt;"",--('POINTAGE'!N175="Présent"),0),IF('POINTAGE'!$P$5&lt;&gt;"",--('POINTAGE'!P175="Présent"),0),IF('POINTAGE'!$R$5&lt;&gt;"",--('POINTAGE'!R175="Présent"),0),IF('POINTAGE'!$T$5&lt;&gt;"",--('POINTAGE'!T175="Présent"),0),IF('POINTAGE'!$V$5&lt;&gt;"",--('POINTAGE'!V175="Présent"),0),IF('POINTAGE'!$X$5&lt;&gt;"",--('POINTAGE'!X175="Présent"),0),IF('POINTAGE'!$Z$5&lt;&gt;"",--('POINTAGE'!Z175="Présent"),0),IF('POINTAGE'!$AB$5&lt;&gt;"",--('POINTAGE'!AB175="Présent"),0),IF('POINTAGE'!$AD$5&lt;&gt;"",--('POINTAGE'!AD175="Présent"),0),IF('POINTAGE'!$AF$5&lt;&gt;"",--('POINTAGE'!AF175="Présent"),0)))</f>
      </c>
      <c r="G175" s="22">
        <f>IF($A175="","",SUM(IF('POINTAGE'!$D$5&lt;&gt;"",--('POINTAGE'!D175="Absent"),0),IF('POINTAGE'!$F$5&lt;&gt;"",--('POINTAGE'!F175="Absent"),0),IF('POINTAGE'!$H$5&lt;&gt;"",--('POINTAGE'!H175="Absent"),0),IF('POINTAGE'!$J$5&lt;&gt;"",--('POINTAGE'!J175="Absent"),0),IF('POINTAGE'!$L$5&lt;&gt;"",--('POINTAGE'!L175="Absent"),0),IF('POINTAGE'!$N$5&lt;&gt;"",--('POINTAGE'!N175="Absent"),0),IF('POINTAGE'!$P$5&lt;&gt;"",--('POINTAGE'!P175="Absent"),0),IF('POINTAGE'!$R$5&lt;&gt;"",--('POINTAGE'!R175="Absent"),0),IF('POINTAGE'!$T$5&lt;&gt;"",--('POINTAGE'!T175="Absent"),0),IF('POINTAGE'!$V$5&lt;&gt;"",--('POINTAGE'!V175="Absent"),0),IF('POINTAGE'!$X$5&lt;&gt;"",--('POINTAGE'!X175="Absent"),0),IF('POINTAGE'!$Z$5&lt;&gt;"",--('POINTAGE'!Z175="Absent"),0),IF('POINTAGE'!$AB$5&lt;&gt;"",--('POINTAGE'!AB175="Absent"),0),IF('POINTAGE'!$AD$5&lt;&gt;"",--('POINTAGE'!AD175="Absent"),0),IF('POINTAGE'!$AF$5&lt;&gt;"",--('POINTAGE'!AF175="Absent"),0)))</f>
      </c>
      <c r="H175" s="23">
        <f>IF($A175="","",SUM(IF('POINTAGE'!$D$5&lt;&gt;"",IF('POINTAGE'!D175="Présent",'POINTAGE'!E175,0),0),IF('POINTAGE'!$F$5&lt;&gt;"",IF('POINTAGE'!F175="Présent",'POINTAGE'!G175,0),0),IF('POINTAGE'!$H$5&lt;&gt;"",IF('POINTAGE'!H175="Présent",'POINTAGE'!I175,0),0),IF('POINTAGE'!$J$5&lt;&gt;"",IF('POINTAGE'!J175="Présent",'POINTAGE'!K175,0),0),IF('POINTAGE'!$L$5&lt;&gt;"",IF('POINTAGE'!L175="Présent",'POINTAGE'!M175,0),0),IF('POINTAGE'!$N$5&lt;&gt;"",IF('POINTAGE'!N175="Présent",'POINTAGE'!O175,0),0),IF('POINTAGE'!$P$5&lt;&gt;"",IF('POINTAGE'!P175="Présent",'POINTAGE'!Q175,0),0),IF('POINTAGE'!$R$5&lt;&gt;"",IF('POINTAGE'!R175="Présent",'POINTAGE'!S175,0),0),IF('POINTAGE'!$T$5&lt;&gt;"",IF('POINTAGE'!T175="Présent",'POINTAGE'!U175,0),0),IF('POINTAGE'!$V$5&lt;&gt;"",IF('POINTAGE'!V175="Présent",'POINTAGE'!W175,0),0),IF('POINTAGE'!$X$5&lt;&gt;"",IF('POINTAGE'!X175="Présent",'POINTAGE'!Y175,0),0),IF('POINTAGE'!$Z$5&lt;&gt;"",IF('POINTAGE'!Z175="Présent",'POINTAGE'!AA175,0),0),IF('POINTAGE'!$AB$5&lt;&gt;"",IF('POINTAGE'!AB175="Présent",'POINTAGE'!AC175,0),0),IF('POINTAGE'!$AD$5&lt;&gt;"",IF('POINTAGE'!AD175="Présent",'POINTAGE'!AE175,0),0),IF('POINTAGE'!$AF$5&lt;&gt;"",IF('POINTAGE'!AF175="Présent",'POINTAGE'!AG175,0),0)))</f>
      </c>
      <c r="I175" s="24">
        <f>IF($A175="","",$F175*$D175)</f>
      </c>
      <c r="J175" s="24">
        <f>IF($A175="","",$H175*$E175)</f>
      </c>
      <c r="K175" s="25">
        <f>IF($A175="","",$I175+$J175)</f>
      </c>
      <c r="L175" s="18"/>
      <c r="M175" s="25">
        <f>IF($A175="","",MAX(0,$K175-$L175))</f>
      </c>
      <c r="N175" s="22">
        <f>IF($A175="","",SUM(IF('POINTAGE'!$AH$5&lt;&gt;"",--('POINTAGE'!AH175="Présent"),0),IF('POINTAGE'!$AJ$5&lt;&gt;"",--('POINTAGE'!AJ175="Présent"),0),IF('POINTAGE'!$AL$5&lt;&gt;"",--('POINTAGE'!AL175="Présent"),0),IF('POINTAGE'!$AN$5&lt;&gt;"",--('POINTAGE'!AN175="Présent"),0),IF('POINTAGE'!$AP$5&lt;&gt;"",--('POINTAGE'!AP175="Présent"),0),IF('POINTAGE'!$AR$5&lt;&gt;"",--('POINTAGE'!AR175="Présent"),0),IF('POINTAGE'!$AT$5&lt;&gt;"",--('POINTAGE'!AT175="Présent"),0),IF('POINTAGE'!$AV$5&lt;&gt;"",--('POINTAGE'!AV175="Présent"),0),IF('POINTAGE'!$AX$5&lt;&gt;"",--('POINTAGE'!AX175="Présent"),0),IF('POINTAGE'!$AZ$5&lt;&gt;"",--('POINTAGE'!AZ175="Présent"),0),IF('POINTAGE'!$BB$5&lt;&gt;"",--('POINTAGE'!BB175="Présent"),0),IF('POINTAGE'!$BD$5&lt;&gt;"",--('POINTAGE'!BD175="Présent"),0),IF('POINTAGE'!$BF$5&lt;&gt;"",--('POINTAGE'!BF175="Présent"),0),IF('POINTAGE'!$BH$5&lt;&gt;"",--('POINTAGE'!BH175="Présent"),0),IF('POINTAGE'!$BJ$5&lt;&gt;"",--('POINTAGE'!BJ175="Présent"),0),IF('POINTAGE'!$BL$5&lt;&gt;"",--('POINTAGE'!BL175="Présent"),0)))</f>
      </c>
      <c r="O175" s="22">
        <f>IF($A175="","",SUM(IF('POINTAGE'!$AH$5&lt;&gt;"",--('POINTAGE'!AH175="Absent"),0),IF('POINTAGE'!$AJ$5&lt;&gt;"",--('POINTAGE'!AJ175="Absent"),0),IF('POINTAGE'!$AL$5&lt;&gt;"",--('POINTAGE'!AL175="Absent"),0),IF('POINTAGE'!$AN$5&lt;&gt;"",--('POINTAGE'!AN175="Absent"),0),IF('POINTAGE'!$AP$5&lt;&gt;"",--('POINTAGE'!AP175="Absent"),0),IF('POINTAGE'!$AR$5&lt;&gt;"",--('POINTAGE'!AR175="Absent"),0),IF('POINTAGE'!$AT$5&lt;&gt;"",--('POINTAGE'!AT175="Absent"),0),IF('POINTAGE'!$AV$5&lt;&gt;"",--('POINTAGE'!AV175="Absent"),0),IF('POINTAGE'!$AX$5&lt;&gt;"",--('POINTAGE'!AX175="Absent"),0),IF('POINTAGE'!$AZ$5&lt;&gt;"",--('POINTAGE'!AZ175="Absent"),0),IF('POINTAGE'!$BB$5&lt;&gt;"",--('POINTAGE'!BB175="Absent"),0),IF('POINTAGE'!$BD$5&lt;&gt;"",--('POINTAGE'!BD175="Absent"),0),IF('POINTAGE'!$BF$5&lt;&gt;"",--('POINTAGE'!BF175="Absent"),0),IF('POINTAGE'!$BH$5&lt;&gt;"",--('POINTAGE'!BH175="Absent"),0),IF('POINTAGE'!$BJ$5&lt;&gt;"",--('POINTAGE'!BJ175="Absent"),0),IF('POINTAGE'!$BL$5&lt;&gt;"",--('POINTAGE'!BL175="Absent"),0)))</f>
      </c>
      <c r="P175" s="23">
        <f>IF($A175="","",SUM(IF('POINTAGE'!$AH$5&lt;&gt;"",IF('POINTAGE'!AH175="Présent",'POINTAGE'!AI175,0),0),IF('POINTAGE'!$AJ$5&lt;&gt;"",IF('POINTAGE'!AJ175="Présent",'POINTAGE'!AK175,0),0),IF('POINTAGE'!$AL$5&lt;&gt;"",IF('POINTAGE'!AL175="Présent",'POINTAGE'!AM175,0),0),IF('POINTAGE'!$AN$5&lt;&gt;"",IF('POINTAGE'!AN175="Présent",'POINTAGE'!AO175,0),0),IF('POINTAGE'!$AP$5&lt;&gt;"",IF('POINTAGE'!AP175="Présent",'POINTAGE'!AQ175,0),0),IF('POINTAGE'!$AR$5&lt;&gt;"",IF('POINTAGE'!AR175="Présent",'POINTAGE'!AS175,0),0),IF('POINTAGE'!$AT$5&lt;&gt;"",IF('POINTAGE'!AT175="Présent",'POINTAGE'!AU175,0),0),IF('POINTAGE'!$AV$5&lt;&gt;"",IF('POINTAGE'!AV175="Présent",'POINTAGE'!AW175,0),0),IF('POINTAGE'!$AX$5&lt;&gt;"",IF('POINTAGE'!AX175="Présent",'POINTAGE'!AY175,0),0),IF('POINTAGE'!$AZ$5&lt;&gt;"",IF('POINTAGE'!AZ175="Présent",'POINTAGE'!BA175,0),0),IF('POINTAGE'!$BB$5&lt;&gt;"",IF('POINTAGE'!BB175="Présent",'POINTAGE'!BC175,0),0),IF('POINTAGE'!$BD$5&lt;&gt;"",IF('POINTAGE'!BD175="Présent",'POINTAGE'!BE175,0),0),IF('POINTAGE'!$BF$5&lt;&gt;"",IF('POINTAGE'!BF175="Présent",'POINTAGE'!BG175,0),0),IF('POINTAGE'!$BH$5&lt;&gt;"",IF('POINTAGE'!BH175="Présent",'POINTAGE'!BI175,0),0),IF('POINTAGE'!$BJ$5&lt;&gt;"",IF('POINTAGE'!BJ175="Présent",'POINTAGE'!BK175,0),0),IF('POINTAGE'!$BL$5&lt;&gt;"",IF('POINTAGE'!BL175="Présent",'POINTAGE'!BM175,0),0)))</f>
      </c>
      <c r="Q175" s="24">
        <f>IF($A175="","",$N175*$D175)</f>
      </c>
      <c r="R175" s="24">
        <f>IF($A175="","",$P175*$E175)</f>
      </c>
      <c r="S175" s="25">
        <f>IF($A175="","",$Q175+$R175)</f>
      </c>
      <c r="T175" s="18"/>
      <c r="U175" s="25">
        <f>IF($A175="","",MAX(0,$S175-$T175))</f>
      </c>
      <c r="V175" s="25">
        <f>IF($A175="","",$K175+$S175)</f>
      </c>
      <c r="W175" s="24">
        <f>IF($A175="","",$L175+$T175)</f>
      </c>
      <c r="X175" s="25">
        <f>IF($A175="","",$M175+$U175)</f>
      </c>
      <c r="Y175" s="29">
        <f>IF($A175="","",$J175+$R175)</f>
      </c>
    </row>
    <row r="176">
      <c r="A176" s="20">
        <f>IF('POINTAGE'!A176="","",'POINTAGE'!A176)</f>
      </c>
      <c r="B176" s="19">
        <f>IF($A176="","",'POINTAGE'!B176)</f>
      </c>
      <c r="C176" s="20">
        <f>IF($A176="","",'POINTAGE'!C176)</f>
      </c>
      <c r="D176" s="24">
        <f>IF($A176="","",IFERROR(INDEX(Categories_Salaire,MATCH($C176,ListeCategories,0)),0))</f>
      </c>
      <c r="E176" s="24">
        <f>IF($A176="","",IF(IFERROR(INDEX(Categories_TauxHS,MATCH($C176,ListeCategories,0)),0)&gt;0,IFERROR(INDEX(Categories_TauxHS,MATCH($C176,ListeCategories,0)),0),TauxHSDefaut))</f>
      </c>
      <c r="F176" s="22">
        <f>IF($A176="","",SUM(IF('POINTAGE'!$D$5&lt;&gt;"",--('POINTAGE'!D176="Présent"),0),IF('POINTAGE'!$F$5&lt;&gt;"",--('POINTAGE'!F176="Présent"),0),IF('POINTAGE'!$H$5&lt;&gt;"",--('POINTAGE'!H176="Présent"),0),IF('POINTAGE'!$J$5&lt;&gt;"",--('POINTAGE'!J176="Présent"),0),IF('POINTAGE'!$L$5&lt;&gt;"",--('POINTAGE'!L176="Présent"),0),IF('POINTAGE'!$N$5&lt;&gt;"",--('POINTAGE'!N176="Présent"),0),IF('POINTAGE'!$P$5&lt;&gt;"",--('POINTAGE'!P176="Présent"),0),IF('POINTAGE'!$R$5&lt;&gt;"",--('POINTAGE'!R176="Présent"),0),IF('POINTAGE'!$T$5&lt;&gt;"",--('POINTAGE'!T176="Présent"),0),IF('POINTAGE'!$V$5&lt;&gt;"",--('POINTAGE'!V176="Présent"),0),IF('POINTAGE'!$X$5&lt;&gt;"",--('POINTAGE'!X176="Présent"),0),IF('POINTAGE'!$Z$5&lt;&gt;"",--('POINTAGE'!Z176="Présent"),0),IF('POINTAGE'!$AB$5&lt;&gt;"",--('POINTAGE'!AB176="Présent"),0),IF('POINTAGE'!$AD$5&lt;&gt;"",--('POINTAGE'!AD176="Présent"),0),IF('POINTAGE'!$AF$5&lt;&gt;"",--('POINTAGE'!AF176="Présent"),0)))</f>
      </c>
      <c r="G176" s="22">
        <f>IF($A176="","",SUM(IF('POINTAGE'!$D$5&lt;&gt;"",--('POINTAGE'!D176="Absent"),0),IF('POINTAGE'!$F$5&lt;&gt;"",--('POINTAGE'!F176="Absent"),0),IF('POINTAGE'!$H$5&lt;&gt;"",--('POINTAGE'!H176="Absent"),0),IF('POINTAGE'!$J$5&lt;&gt;"",--('POINTAGE'!J176="Absent"),0),IF('POINTAGE'!$L$5&lt;&gt;"",--('POINTAGE'!L176="Absent"),0),IF('POINTAGE'!$N$5&lt;&gt;"",--('POINTAGE'!N176="Absent"),0),IF('POINTAGE'!$P$5&lt;&gt;"",--('POINTAGE'!P176="Absent"),0),IF('POINTAGE'!$R$5&lt;&gt;"",--('POINTAGE'!R176="Absent"),0),IF('POINTAGE'!$T$5&lt;&gt;"",--('POINTAGE'!T176="Absent"),0),IF('POINTAGE'!$V$5&lt;&gt;"",--('POINTAGE'!V176="Absent"),0),IF('POINTAGE'!$X$5&lt;&gt;"",--('POINTAGE'!X176="Absent"),0),IF('POINTAGE'!$Z$5&lt;&gt;"",--('POINTAGE'!Z176="Absent"),0),IF('POINTAGE'!$AB$5&lt;&gt;"",--('POINTAGE'!AB176="Absent"),0),IF('POINTAGE'!$AD$5&lt;&gt;"",--('POINTAGE'!AD176="Absent"),0),IF('POINTAGE'!$AF$5&lt;&gt;"",--('POINTAGE'!AF176="Absent"),0)))</f>
      </c>
      <c r="H176" s="23">
        <f>IF($A176="","",SUM(IF('POINTAGE'!$D$5&lt;&gt;"",IF('POINTAGE'!D176="Présent",'POINTAGE'!E176,0),0),IF('POINTAGE'!$F$5&lt;&gt;"",IF('POINTAGE'!F176="Présent",'POINTAGE'!G176,0),0),IF('POINTAGE'!$H$5&lt;&gt;"",IF('POINTAGE'!H176="Présent",'POINTAGE'!I176,0),0),IF('POINTAGE'!$J$5&lt;&gt;"",IF('POINTAGE'!J176="Présent",'POINTAGE'!K176,0),0),IF('POINTAGE'!$L$5&lt;&gt;"",IF('POINTAGE'!L176="Présent",'POINTAGE'!M176,0),0),IF('POINTAGE'!$N$5&lt;&gt;"",IF('POINTAGE'!N176="Présent",'POINTAGE'!O176,0),0),IF('POINTAGE'!$P$5&lt;&gt;"",IF('POINTAGE'!P176="Présent",'POINTAGE'!Q176,0),0),IF('POINTAGE'!$R$5&lt;&gt;"",IF('POINTAGE'!R176="Présent",'POINTAGE'!S176,0),0),IF('POINTAGE'!$T$5&lt;&gt;"",IF('POINTAGE'!T176="Présent",'POINTAGE'!U176,0),0),IF('POINTAGE'!$V$5&lt;&gt;"",IF('POINTAGE'!V176="Présent",'POINTAGE'!W176,0),0),IF('POINTAGE'!$X$5&lt;&gt;"",IF('POINTAGE'!X176="Présent",'POINTAGE'!Y176,0),0),IF('POINTAGE'!$Z$5&lt;&gt;"",IF('POINTAGE'!Z176="Présent",'POINTAGE'!AA176,0),0),IF('POINTAGE'!$AB$5&lt;&gt;"",IF('POINTAGE'!AB176="Présent",'POINTAGE'!AC176,0),0),IF('POINTAGE'!$AD$5&lt;&gt;"",IF('POINTAGE'!AD176="Présent",'POINTAGE'!AE176,0),0),IF('POINTAGE'!$AF$5&lt;&gt;"",IF('POINTAGE'!AF176="Présent",'POINTAGE'!AG176,0),0)))</f>
      </c>
      <c r="I176" s="24">
        <f>IF($A176="","",$F176*$D176)</f>
      </c>
      <c r="J176" s="24">
        <f>IF($A176="","",$H176*$E176)</f>
      </c>
      <c r="K176" s="25">
        <f>IF($A176="","",$I176+$J176)</f>
      </c>
      <c r="L176" s="18"/>
      <c r="M176" s="25">
        <f>IF($A176="","",MAX(0,$K176-$L176))</f>
      </c>
      <c r="N176" s="22">
        <f>IF($A176="","",SUM(IF('POINTAGE'!$AH$5&lt;&gt;"",--('POINTAGE'!AH176="Présent"),0),IF('POINTAGE'!$AJ$5&lt;&gt;"",--('POINTAGE'!AJ176="Présent"),0),IF('POINTAGE'!$AL$5&lt;&gt;"",--('POINTAGE'!AL176="Présent"),0),IF('POINTAGE'!$AN$5&lt;&gt;"",--('POINTAGE'!AN176="Présent"),0),IF('POINTAGE'!$AP$5&lt;&gt;"",--('POINTAGE'!AP176="Présent"),0),IF('POINTAGE'!$AR$5&lt;&gt;"",--('POINTAGE'!AR176="Présent"),0),IF('POINTAGE'!$AT$5&lt;&gt;"",--('POINTAGE'!AT176="Présent"),0),IF('POINTAGE'!$AV$5&lt;&gt;"",--('POINTAGE'!AV176="Présent"),0),IF('POINTAGE'!$AX$5&lt;&gt;"",--('POINTAGE'!AX176="Présent"),0),IF('POINTAGE'!$AZ$5&lt;&gt;"",--('POINTAGE'!AZ176="Présent"),0),IF('POINTAGE'!$BB$5&lt;&gt;"",--('POINTAGE'!BB176="Présent"),0),IF('POINTAGE'!$BD$5&lt;&gt;"",--('POINTAGE'!BD176="Présent"),0),IF('POINTAGE'!$BF$5&lt;&gt;"",--('POINTAGE'!BF176="Présent"),0),IF('POINTAGE'!$BH$5&lt;&gt;"",--('POINTAGE'!BH176="Présent"),0),IF('POINTAGE'!$BJ$5&lt;&gt;"",--('POINTAGE'!BJ176="Présent"),0),IF('POINTAGE'!$BL$5&lt;&gt;"",--('POINTAGE'!BL176="Présent"),0)))</f>
      </c>
      <c r="O176" s="22">
        <f>IF($A176="","",SUM(IF('POINTAGE'!$AH$5&lt;&gt;"",--('POINTAGE'!AH176="Absent"),0),IF('POINTAGE'!$AJ$5&lt;&gt;"",--('POINTAGE'!AJ176="Absent"),0),IF('POINTAGE'!$AL$5&lt;&gt;"",--('POINTAGE'!AL176="Absent"),0),IF('POINTAGE'!$AN$5&lt;&gt;"",--('POINTAGE'!AN176="Absent"),0),IF('POINTAGE'!$AP$5&lt;&gt;"",--('POINTAGE'!AP176="Absent"),0),IF('POINTAGE'!$AR$5&lt;&gt;"",--('POINTAGE'!AR176="Absent"),0),IF('POINTAGE'!$AT$5&lt;&gt;"",--('POINTAGE'!AT176="Absent"),0),IF('POINTAGE'!$AV$5&lt;&gt;"",--('POINTAGE'!AV176="Absent"),0),IF('POINTAGE'!$AX$5&lt;&gt;"",--('POINTAGE'!AX176="Absent"),0),IF('POINTAGE'!$AZ$5&lt;&gt;"",--('POINTAGE'!AZ176="Absent"),0),IF('POINTAGE'!$BB$5&lt;&gt;"",--('POINTAGE'!BB176="Absent"),0),IF('POINTAGE'!$BD$5&lt;&gt;"",--('POINTAGE'!BD176="Absent"),0),IF('POINTAGE'!$BF$5&lt;&gt;"",--('POINTAGE'!BF176="Absent"),0),IF('POINTAGE'!$BH$5&lt;&gt;"",--('POINTAGE'!BH176="Absent"),0),IF('POINTAGE'!$BJ$5&lt;&gt;"",--('POINTAGE'!BJ176="Absent"),0),IF('POINTAGE'!$BL$5&lt;&gt;"",--('POINTAGE'!BL176="Absent"),0)))</f>
      </c>
      <c r="P176" s="23">
        <f>IF($A176="","",SUM(IF('POINTAGE'!$AH$5&lt;&gt;"",IF('POINTAGE'!AH176="Présent",'POINTAGE'!AI176,0),0),IF('POINTAGE'!$AJ$5&lt;&gt;"",IF('POINTAGE'!AJ176="Présent",'POINTAGE'!AK176,0),0),IF('POINTAGE'!$AL$5&lt;&gt;"",IF('POINTAGE'!AL176="Présent",'POINTAGE'!AM176,0),0),IF('POINTAGE'!$AN$5&lt;&gt;"",IF('POINTAGE'!AN176="Présent",'POINTAGE'!AO176,0),0),IF('POINTAGE'!$AP$5&lt;&gt;"",IF('POINTAGE'!AP176="Présent",'POINTAGE'!AQ176,0),0),IF('POINTAGE'!$AR$5&lt;&gt;"",IF('POINTAGE'!AR176="Présent",'POINTAGE'!AS176,0),0),IF('POINTAGE'!$AT$5&lt;&gt;"",IF('POINTAGE'!AT176="Présent",'POINTAGE'!AU176,0),0),IF('POINTAGE'!$AV$5&lt;&gt;"",IF('POINTAGE'!AV176="Présent",'POINTAGE'!AW176,0),0),IF('POINTAGE'!$AX$5&lt;&gt;"",IF('POINTAGE'!AX176="Présent",'POINTAGE'!AY176,0),0),IF('POINTAGE'!$AZ$5&lt;&gt;"",IF('POINTAGE'!AZ176="Présent",'POINTAGE'!BA176,0),0),IF('POINTAGE'!$BB$5&lt;&gt;"",IF('POINTAGE'!BB176="Présent",'POINTAGE'!BC176,0),0),IF('POINTAGE'!$BD$5&lt;&gt;"",IF('POINTAGE'!BD176="Présent",'POINTAGE'!BE176,0),0),IF('POINTAGE'!$BF$5&lt;&gt;"",IF('POINTAGE'!BF176="Présent",'POINTAGE'!BG176,0),0),IF('POINTAGE'!$BH$5&lt;&gt;"",IF('POINTAGE'!BH176="Présent",'POINTAGE'!BI176,0),0),IF('POINTAGE'!$BJ$5&lt;&gt;"",IF('POINTAGE'!BJ176="Présent",'POINTAGE'!BK176,0),0),IF('POINTAGE'!$BL$5&lt;&gt;"",IF('POINTAGE'!BL176="Présent",'POINTAGE'!BM176,0),0)))</f>
      </c>
      <c r="Q176" s="24">
        <f>IF($A176="","",$N176*$D176)</f>
      </c>
      <c r="R176" s="24">
        <f>IF($A176="","",$P176*$E176)</f>
      </c>
      <c r="S176" s="25">
        <f>IF($A176="","",$Q176+$R176)</f>
      </c>
      <c r="T176" s="18"/>
      <c r="U176" s="25">
        <f>IF($A176="","",MAX(0,$S176-$T176))</f>
      </c>
      <c r="V176" s="25">
        <f>IF($A176="","",$K176+$S176)</f>
      </c>
      <c r="W176" s="24">
        <f>IF($A176="","",$L176+$T176)</f>
      </c>
      <c r="X176" s="25">
        <f>IF($A176="","",$M176+$U176)</f>
      </c>
      <c r="Y176" s="29">
        <f>IF($A176="","",$J176+$R176)</f>
      </c>
    </row>
    <row r="177">
      <c r="A177" s="20">
        <f>IF('POINTAGE'!A177="","",'POINTAGE'!A177)</f>
      </c>
      <c r="B177" s="19">
        <f>IF($A177="","",'POINTAGE'!B177)</f>
      </c>
      <c r="C177" s="20">
        <f>IF($A177="","",'POINTAGE'!C177)</f>
      </c>
      <c r="D177" s="24">
        <f>IF($A177="","",IFERROR(INDEX(Categories_Salaire,MATCH($C177,ListeCategories,0)),0))</f>
      </c>
      <c r="E177" s="24">
        <f>IF($A177="","",IF(IFERROR(INDEX(Categories_TauxHS,MATCH($C177,ListeCategories,0)),0)&gt;0,IFERROR(INDEX(Categories_TauxHS,MATCH($C177,ListeCategories,0)),0),TauxHSDefaut))</f>
      </c>
      <c r="F177" s="22">
        <f>IF($A177="","",SUM(IF('POINTAGE'!$D$5&lt;&gt;"",--('POINTAGE'!D177="Présent"),0),IF('POINTAGE'!$F$5&lt;&gt;"",--('POINTAGE'!F177="Présent"),0),IF('POINTAGE'!$H$5&lt;&gt;"",--('POINTAGE'!H177="Présent"),0),IF('POINTAGE'!$J$5&lt;&gt;"",--('POINTAGE'!J177="Présent"),0),IF('POINTAGE'!$L$5&lt;&gt;"",--('POINTAGE'!L177="Présent"),0),IF('POINTAGE'!$N$5&lt;&gt;"",--('POINTAGE'!N177="Présent"),0),IF('POINTAGE'!$P$5&lt;&gt;"",--('POINTAGE'!P177="Présent"),0),IF('POINTAGE'!$R$5&lt;&gt;"",--('POINTAGE'!R177="Présent"),0),IF('POINTAGE'!$T$5&lt;&gt;"",--('POINTAGE'!T177="Présent"),0),IF('POINTAGE'!$V$5&lt;&gt;"",--('POINTAGE'!V177="Présent"),0),IF('POINTAGE'!$X$5&lt;&gt;"",--('POINTAGE'!X177="Présent"),0),IF('POINTAGE'!$Z$5&lt;&gt;"",--('POINTAGE'!Z177="Présent"),0),IF('POINTAGE'!$AB$5&lt;&gt;"",--('POINTAGE'!AB177="Présent"),0),IF('POINTAGE'!$AD$5&lt;&gt;"",--('POINTAGE'!AD177="Présent"),0),IF('POINTAGE'!$AF$5&lt;&gt;"",--('POINTAGE'!AF177="Présent"),0)))</f>
      </c>
      <c r="G177" s="22">
        <f>IF($A177="","",SUM(IF('POINTAGE'!$D$5&lt;&gt;"",--('POINTAGE'!D177="Absent"),0),IF('POINTAGE'!$F$5&lt;&gt;"",--('POINTAGE'!F177="Absent"),0),IF('POINTAGE'!$H$5&lt;&gt;"",--('POINTAGE'!H177="Absent"),0),IF('POINTAGE'!$J$5&lt;&gt;"",--('POINTAGE'!J177="Absent"),0),IF('POINTAGE'!$L$5&lt;&gt;"",--('POINTAGE'!L177="Absent"),0),IF('POINTAGE'!$N$5&lt;&gt;"",--('POINTAGE'!N177="Absent"),0),IF('POINTAGE'!$P$5&lt;&gt;"",--('POINTAGE'!P177="Absent"),0),IF('POINTAGE'!$R$5&lt;&gt;"",--('POINTAGE'!R177="Absent"),0),IF('POINTAGE'!$T$5&lt;&gt;"",--('POINTAGE'!T177="Absent"),0),IF('POINTAGE'!$V$5&lt;&gt;"",--('POINTAGE'!V177="Absent"),0),IF('POINTAGE'!$X$5&lt;&gt;"",--('POINTAGE'!X177="Absent"),0),IF('POINTAGE'!$Z$5&lt;&gt;"",--('POINTAGE'!Z177="Absent"),0),IF('POINTAGE'!$AB$5&lt;&gt;"",--('POINTAGE'!AB177="Absent"),0),IF('POINTAGE'!$AD$5&lt;&gt;"",--('POINTAGE'!AD177="Absent"),0),IF('POINTAGE'!$AF$5&lt;&gt;"",--('POINTAGE'!AF177="Absent"),0)))</f>
      </c>
      <c r="H177" s="23">
        <f>IF($A177="","",SUM(IF('POINTAGE'!$D$5&lt;&gt;"",IF('POINTAGE'!D177="Présent",'POINTAGE'!E177,0),0),IF('POINTAGE'!$F$5&lt;&gt;"",IF('POINTAGE'!F177="Présent",'POINTAGE'!G177,0),0),IF('POINTAGE'!$H$5&lt;&gt;"",IF('POINTAGE'!H177="Présent",'POINTAGE'!I177,0),0),IF('POINTAGE'!$J$5&lt;&gt;"",IF('POINTAGE'!J177="Présent",'POINTAGE'!K177,0),0),IF('POINTAGE'!$L$5&lt;&gt;"",IF('POINTAGE'!L177="Présent",'POINTAGE'!M177,0),0),IF('POINTAGE'!$N$5&lt;&gt;"",IF('POINTAGE'!N177="Présent",'POINTAGE'!O177,0),0),IF('POINTAGE'!$P$5&lt;&gt;"",IF('POINTAGE'!P177="Présent",'POINTAGE'!Q177,0),0),IF('POINTAGE'!$R$5&lt;&gt;"",IF('POINTAGE'!R177="Présent",'POINTAGE'!S177,0),0),IF('POINTAGE'!$T$5&lt;&gt;"",IF('POINTAGE'!T177="Présent",'POINTAGE'!U177,0),0),IF('POINTAGE'!$V$5&lt;&gt;"",IF('POINTAGE'!V177="Présent",'POINTAGE'!W177,0),0),IF('POINTAGE'!$X$5&lt;&gt;"",IF('POINTAGE'!X177="Présent",'POINTAGE'!Y177,0),0),IF('POINTAGE'!$Z$5&lt;&gt;"",IF('POINTAGE'!Z177="Présent",'POINTAGE'!AA177,0),0),IF('POINTAGE'!$AB$5&lt;&gt;"",IF('POINTAGE'!AB177="Présent",'POINTAGE'!AC177,0),0),IF('POINTAGE'!$AD$5&lt;&gt;"",IF('POINTAGE'!AD177="Présent",'POINTAGE'!AE177,0),0),IF('POINTAGE'!$AF$5&lt;&gt;"",IF('POINTAGE'!AF177="Présent",'POINTAGE'!AG177,0),0)))</f>
      </c>
      <c r="I177" s="24">
        <f>IF($A177="","",$F177*$D177)</f>
      </c>
      <c r="J177" s="24">
        <f>IF($A177="","",$H177*$E177)</f>
      </c>
      <c r="K177" s="25">
        <f>IF($A177="","",$I177+$J177)</f>
      </c>
      <c r="L177" s="18"/>
      <c r="M177" s="25">
        <f>IF($A177="","",MAX(0,$K177-$L177))</f>
      </c>
      <c r="N177" s="22">
        <f>IF($A177="","",SUM(IF('POINTAGE'!$AH$5&lt;&gt;"",--('POINTAGE'!AH177="Présent"),0),IF('POINTAGE'!$AJ$5&lt;&gt;"",--('POINTAGE'!AJ177="Présent"),0),IF('POINTAGE'!$AL$5&lt;&gt;"",--('POINTAGE'!AL177="Présent"),0),IF('POINTAGE'!$AN$5&lt;&gt;"",--('POINTAGE'!AN177="Présent"),0),IF('POINTAGE'!$AP$5&lt;&gt;"",--('POINTAGE'!AP177="Présent"),0),IF('POINTAGE'!$AR$5&lt;&gt;"",--('POINTAGE'!AR177="Présent"),0),IF('POINTAGE'!$AT$5&lt;&gt;"",--('POINTAGE'!AT177="Présent"),0),IF('POINTAGE'!$AV$5&lt;&gt;"",--('POINTAGE'!AV177="Présent"),0),IF('POINTAGE'!$AX$5&lt;&gt;"",--('POINTAGE'!AX177="Présent"),0),IF('POINTAGE'!$AZ$5&lt;&gt;"",--('POINTAGE'!AZ177="Présent"),0),IF('POINTAGE'!$BB$5&lt;&gt;"",--('POINTAGE'!BB177="Présent"),0),IF('POINTAGE'!$BD$5&lt;&gt;"",--('POINTAGE'!BD177="Présent"),0),IF('POINTAGE'!$BF$5&lt;&gt;"",--('POINTAGE'!BF177="Présent"),0),IF('POINTAGE'!$BH$5&lt;&gt;"",--('POINTAGE'!BH177="Présent"),0),IF('POINTAGE'!$BJ$5&lt;&gt;"",--('POINTAGE'!BJ177="Présent"),0),IF('POINTAGE'!$BL$5&lt;&gt;"",--('POINTAGE'!BL177="Présent"),0)))</f>
      </c>
      <c r="O177" s="22">
        <f>IF($A177="","",SUM(IF('POINTAGE'!$AH$5&lt;&gt;"",--('POINTAGE'!AH177="Absent"),0),IF('POINTAGE'!$AJ$5&lt;&gt;"",--('POINTAGE'!AJ177="Absent"),0),IF('POINTAGE'!$AL$5&lt;&gt;"",--('POINTAGE'!AL177="Absent"),0),IF('POINTAGE'!$AN$5&lt;&gt;"",--('POINTAGE'!AN177="Absent"),0),IF('POINTAGE'!$AP$5&lt;&gt;"",--('POINTAGE'!AP177="Absent"),0),IF('POINTAGE'!$AR$5&lt;&gt;"",--('POINTAGE'!AR177="Absent"),0),IF('POINTAGE'!$AT$5&lt;&gt;"",--('POINTAGE'!AT177="Absent"),0),IF('POINTAGE'!$AV$5&lt;&gt;"",--('POINTAGE'!AV177="Absent"),0),IF('POINTAGE'!$AX$5&lt;&gt;"",--('POINTAGE'!AX177="Absent"),0),IF('POINTAGE'!$AZ$5&lt;&gt;"",--('POINTAGE'!AZ177="Absent"),0),IF('POINTAGE'!$BB$5&lt;&gt;"",--('POINTAGE'!BB177="Absent"),0),IF('POINTAGE'!$BD$5&lt;&gt;"",--('POINTAGE'!BD177="Absent"),0),IF('POINTAGE'!$BF$5&lt;&gt;"",--('POINTAGE'!BF177="Absent"),0),IF('POINTAGE'!$BH$5&lt;&gt;"",--('POINTAGE'!BH177="Absent"),0),IF('POINTAGE'!$BJ$5&lt;&gt;"",--('POINTAGE'!BJ177="Absent"),0),IF('POINTAGE'!$BL$5&lt;&gt;"",--('POINTAGE'!BL177="Absent"),0)))</f>
      </c>
      <c r="P177" s="23">
        <f>IF($A177="","",SUM(IF('POINTAGE'!$AH$5&lt;&gt;"",IF('POINTAGE'!AH177="Présent",'POINTAGE'!AI177,0),0),IF('POINTAGE'!$AJ$5&lt;&gt;"",IF('POINTAGE'!AJ177="Présent",'POINTAGE'!AK177,0),0),IF('POINTAGE'!$AL$5&lt;&gt;"",IF('POINTAGE'!AL177="Présent",'POINTAGE'!AM177,0),0),IF('POINTAGE'!$AN$5&lt;&gt;"",IF('POINTAGE'!AN177="Présent",'POINTAGE'!AO177,0),0),IF('POINTAGE'!$AP$5&lt;&gt;"",IF('POINTAGE'!AP177="Présent",'POINTAGE'!AQ177,0),0),IF('POINTAGE'!$AR$5&lt;&gt;"",IF('POINTAGE'!AR177="Présent",'POINTAGE'!AS177,0),0),IF('POINTAGE'!$AT$5&lt;&gt;"",IF('POINTAGE'!AT177="Présent",'POINTAGE'!AU177,0),0),IF('POINTAGE'!$AV$5&lt;&gt;"",IF('POINTAGE'!AV177="Présent",'POINTAGE'!AW177,0),0),IF('POINTAGE'!$AX$5&lt;&gt;"",IF('POINTAGE'!AX177="Présent",'POINTAGE'!AY177,0),0),IF('POINTAGE'!$AZ$5&lt;&gt;"",IF('POINTAGE'!AZ177="Présent",'POINTAGE'!BA177,0),0),IF('POINTAGE'!$BB$5&lt;&gt;"",IF('POINTAGE'!BB177="Présent",'POINTAGE'!BC177,0),0),IF('POINTAGE'!$BD$5&lt;&gt;"",IF('POINTAGE'!BD177="Présent",'POINTAGE'!BE177,0),0),IF('POINTAGE'!$BF$5&lt;&gt;"",IF('POINTAGE'!BF177="Présent",'POINTAGE'!BG177,0),0),IF('POINTAGE'!$BH$5&lt;&gt;"",IF('POINTAGE'!BH177="Présent",'POINTAGE'!BI177,0),0),IF('POINTAGE'!$BJ$5&lt;&gt;"",IF('POINTAGE'!BJ177="Présent",'POINTAGE'!BK177,0),0),IF('POINTAGE'!$BL$5&lt;&gt;"",IF('POINTAGE'!BL177="Présent",'POINTAGE'!BM177,0),0)))</f>
      </c>
      <c r="Q177" s="24">
        <f>IF($A177="","",$N177*$D177)</f>
      </c>
      <c r="R177" s="24">
        <f>IF($A177="","",$P177*$E177)</f>
      </c>
      <c r="S177" s="25">
        <f>IF($A177="","",$Q177+$R177)</f>
      </c>
      <c r="T177" s="18"/>
      <c r="U177" s="25">
        <f>IF($A177="","",MAX(0,$S177-$T177))</f>
      </c>
      <c r="V177" s="25">
        <f>IF($A177="","",$K177+$S177)</f>
      </c>
      <c r="W177" s="24">
        <f>IF($A177="","",$L177+$T177)</f>
      </c>
      <c r="X177" s="25">
        <f>IF($A177="","",$M177+$U177)</f>
      </c>
      <c r="Y177" s="29">
        <f>IF($A177="","",$J177+$R177)</f>
      </c>
    </row>
    <row r="178">
      <c r="A178" s="20">
        <f>IF('POINTAGE'!A178="","",'POINTAGE'!A178)</f>
      </c>
      <c r="B178" s="19">
        <f>IF($A178="","",'POINTAGE'!B178)</f>
      </c>
      <c r="C178" s="20">
        <f>IF($A178="","",'POINTAGE'!C178)</f>
      </c>
      <c r="D178" s="24">
        <f>IF($A178="","",IFERROR(INDEX(Categories_Salaire,MATCH($C178,ListeCategories,0)),0))</f>
      </c>
      <c r="E178" s="24">
        <f>IF($A178="","",IF(IFERROR(INDEX(Categories_TauxHS,MATCH($C178,ListeCategories,0)),0)&gt;0,IFERROR(INDEX(Categories_TauxHS,MATCH($C178,ListeCategories,0)),0),TauxHSDefaut))</f>
      </c>
      <c r="F178" s="22">
        <f>IF($A178="","",SUM(IF('POINTAGE'!$D$5&lt;&gt;"",--('POINTAGE'!D178="Présent"),0),IF('POINTAGE'!$F$5&lt;&gt;"",--('POINTAGE'!F178="Présent"),0),IF('POINTAGE'!$H$5&lt;&gt;"",--('POINTAGE'!H178="Présent"),0),IF('POINTAGE'!$J$5&lt;&gt;"",--('POINTAGE'!J178="Présent"),0),IF('POINTAGE'!$L$5&lt;&gt;"",--('POINTAGE'!L178="Présent"),0),IF('POINTAGE'!$N$5&lt;&gt;"",--('POINTAGE'!N178="Présent"),0),IF('POINTAGE'!$P$5&lt;&gt;"",--('POINTAGE'!P178="Présent"),0),IF('POINTAGE'!$R$5&lt;&gt;"",--('POINTAGE'!R178="Présent"),0),IF('POINTAGE'!$T$5&lt;&gt;"",--('POINTAGE'!T178="Présent"),0),IF('POINTAGE'!$V$5&lt;&gt;"",--('POINTAGE'!V178="Présent"),0),IF('POINTAGE'!$X$5&lt;&gt;"",--('POINTAGE'!X178="Présent"),0),IF('POINTAGE'!$Z$5&lt;&gt;"",--('POINTAGE'!Z178="Présent"),0),IF('POINTAGE'!$AB$5&lt;&gt;"",--('POINTAGE'!AB178="Présent"),0),IF('POINTAGE'!$AD$5&lt;&gt;"",--('POINTAGE'!AD178="Présent"),0),IF('POINTAGE'!$AF$5&lt;&gt;"",--('POINTAGE'!AF178="Présent"),0)))</f>
      </c>
      <c r="G178" s="22">
        <f>IF($A178="","",SUM(IF('POINTAGE'!$D$5&lt;&gt;"",--('POINTAGE'!D178="Absent"),0),IF('POINTAGE'!$F$5&lt;&gt;"",--('POINTAGE'!F178="Absent"),0),IF('POINTAGE'!$H$5&lt;&gt;"",--('POINTAGE'!H178="Absent"),0),IF('POINTAGE'!$J$5&lt;&gt;"",--('POINTAGE'!J178="Absent"),0),IF('POINTAGE'!$L$5&lt;&gt;"",--('POINTAGE'!L178="Absent"),0),IF('POINTAGE'!$N$5&lt;&gt;"",--('POINTAGE'!N178="Absent"),0),IF('POINTAGE'!$P$5&lt;&gt;"",--('POINTAGE'!P178="Absent"),0),IF('POINTAGE'!$R$5&lt;&gt;"",--('POINTAGE'!R178="Absent"),0),IF('POINTAGE'!$T$5&lt;&gt;"",--('POINTAGE'!T178="Absent"),0),IF('POINTAGE'!$V$5&lt;&gt;"",--('POINTAGE'!V178="Absent"),0),IF('POINTAGE'!$X$5&lt;&gt;"",--('POINTAGE'!X178="Absent"),0),IF('POINTAGE'!$Z$5&lt;&gt;"",--('POINTAGE'!Z178="Absent"),0),IF('POINTAGE'!$AB$5&lt;&gt;"",--('POINTAGE'!AB178="Absent"),0),IF('POINTAGE'!$AD$5&lt;&gt;"",--('POINTAGE'!AD178="Absent"),0),IF('POINTAGE'!$AF$5&lt;&gt;"",--('POINTAGE'!AF178="Absent"),0)))</f>
      </c>
      <c r="H178" s="23">
        <f>IF($A178="","",SUM(IF('POINTAGE'!$D$5&lt;&gt;"",IF('POINTAGE'!D178="Présent",'POINTAGE'!E178,0),0),IF('POINTAGE'!$F$5&lt;&gt;"",IF('POINTAGE'!F178="Présent",'POINTAGE'!G178,0),0),IF('POINTAGE'!$H$5&lt;&gt;"",IF('POINTAGE'!H178="Présent",'POINTAGE'!I178,0),0),IF('POINTAGE'!$J$5&lt;&gt;"",IF('POINTAGE'!J178="Présent",'POINTAGE'!K178,0),0),IF('POINTAGE'!$L$5&lt;&gt;"",IF('POINTAGE'!L178="Présent",'POINTAGE'!M178,0),0),IF('POINTAGE'!$N$5&lt;&gt;"",IF('POINTAGE'!N178="Présent",'POINTAGE'!O178,0),0),IF('POINTAGE'!$P$5&lt;&gt;"",IF('POINTAGE'!P178="Présent",'POINTAGE'!Q178,0),0),IF('POINTAGE'!$R$5&lt;&gt;"",IF('POINTAGE'!R178="Présent",'POINTAGE'!S178,0),0),IF('POINTAGE'!$T$5&lt;&gt;"",IF('POINTAGE'!T178="Présent",'POINTAGE'!U178,0),0),IF('POINTAGE'!$V$5&lt;&gt;"",IF('POINTAGE'!V178="Présent",'POINTAGE'!W178,0),0),IF('POINTAGE'!$X$5&lt;&gt;"",IF('POINTAGE'!X178="Présent",'POINTAGE'!Y178,0),0),IF('POINTAGE'!$Z$5&lt;&gt;"",IF('POINTAGE'!Z178="Présent",'POINTAGE'!AA178,0),0),IF('POINTAGE'!$AB$5&lt;&gt;"",IF('POINTAGE'!AB178="Présent",'POINTAGE'!AC178,0),0),IF('POINTAGE'!$AD$5&lt;&gt;"",IF('POINTAGE'!AD178="Présent",'POINTAGE'!AE178,0),0),IF('POINTAGE'!$AF$5&lt;&gt;"",IF('POINTAGE'!AF178="Présent",'POINTAGE'!AG178,0),0)))</f>
      </c>
      <c r="I178" s="24">
        <f>IF($A178="","",$F178*$D178)</f>
      </c>
      <c r="J178" s="24">
        <f>IF($A178="","",$H178*$E178)</f>
      </c>
      <c r="K178" s="25">
        <f>IF($A178="","",$I178+$J178)</f>
      </c>
      <c r="L178" s="18"/>
      <c r="M178" s="25">
        <f>IF($A178="","",MAX(0,$K178-$L178))</f>
      </c>
      <c r="N178" s="22">
        <f>IF($A178="","",SUM(IF('POINTAGE'!$AH$5&lt;&gt;"",--('POINTAGE'!AH178="Présent"),0),IF('POINTAGE'!$AJ$5&lt;&gt;"",--('POINTAGE'!AJ178="Présent"),0),IF('POINTAGE'!$AL$5&lt;&gt;"",--('POINTAGE'!AL178="Présent"),0),IF('POINTAGE'!$AN$5&lt;&gt;"",--('POINTAGE'!AN178="Présent"),0),IF('POINTAGE'!$AP$5&lt;&gt;"",--('POINTAGE'!AP178="Présent"),0),IF('POINTAGE'!$AR$5&lt;&gt;"",--('POINTAGE'!AR178="Présent"),0),IF('POINTAGE'!$AT$5&lt;&gt;"",--('POINTAGE'!AT178="Présent"),0),IF('POINTAGE'!$AV$5&lt;&gt;"",--('POINTAGE'!AV178="Présent"),0),IF('POINTAGE'!$AX$5&lt;&gt;"",--('POINTAGE'!AX178="Présent"),0),IF('POINTAGE'!$AZ$5&lt;&gt;"",--('POINTAGE'!AZ178="Présent"),0),IF('POINTAGE'!$BB$5&lt;&gt;"",--('POINTAGE'!BB178="Présent"),0),IF('POINTAGE'!$BD$5&lt;&gt;"",--('POINTAGE'!BD178="Présent"),0),IF('POINTAGE'!$BF$5&lt;&gt;"",--('POINTAGE'!BF178="Présent"),0),IF('POINTAGE'!$BH$5&lt;&gt;"",--('POINTAGE'!BH178="Présent"),0),IF('POINTAGE'!$BJ$5&lt;&gt;"",--('POINTAGE'!BJ178="Présent"),0),IF('POINTAGE'!$BL$5&lt;&gt;"",--('POINTAGE'!BL178="Présent"),0)))</f>
      </c>
      <c r="O178" s="22">
        <f>IF($A178="","",SUM(IF('POINTAGE'!$AH$5&lt;&gt;"",--('POINTAGE'!AH178="Absent"),0),IF('POINTAGE'!$AJ$5&lt;&gt;"",--('POINTAGE'!AJ178="Absent"),0),IF('POINTAGE'!$AL$5&lt;&gt;"",--('POINTAGE'!AL178="Absent"),0),IF('POINTAGE'!$AN$5&lt;&gt;"",--('POINTAGE'!AN178="Absent"),0),IF('POINTAGE'!$AP$5&lt;&gt;"",--('POINTAGE'!AP178="Absent"),0),IF('POINTAGE'!$AR$5&lt;&gt;"",--('POINTAGE'!AR178="Absent"),0),IF('POINTAGE'!$AT$5&lt;&gt;"",--('POINTAGE'!AT178="Absent"),0),IF('POINTAGE'!$AV$5&lt;&gt;"",--('POINTAGE'!AV178="Absent"),0),IF('POINTAGE'!$AX$5&lt;&gt;"",--('POINTAGE'!AX178="Absent"),0),IF('POINTAGE'!$AZ$5&lt;&gt;"",--('POINTAGE'!AZ178="Absent"),0),IF('POINTAGE'!$BB$5&lt;&gt;"",--('POINTAGE'!BB178="Absent"),0),IF('POINTAGE'!$BD$5&lt;&gt;"",--('POINTAGE'!BD178="Absent"),0),IF('POINTAGE'!$BF$5&lt;&gt;"",--('POINTAGE'!BF178="Absent"),0),IF('POINTAGE'!$BH$5&lt;&gt;"",--('POINTAGE'!BH178="Absent"),0),IF('POINTAGE'!$BJ$5&lt;&gt;"",--('POINTAGE'!BJ178="Absent"),0),IF('POINTAGE'!$BL$5&lt;&gt;"",--('POINTAGE'!BL178="Absent"),0)))</f>
      </c>
      <c r="P178" s="23">
        <f>IF($A178="","",SUM(IF('POINTAGE'!$AH$5&lt;&gt;"",IF('POINTAGE'!AH178="Présent",'POINTAGE'!AI178,0),0),IF('POINTAGE'!$AJ$5&lt;&gt;"",IF('POINTAGE'!AJ178="Présent",'POINTAGE'!AK178,0),0),IF('POINTAGE'!$AL$5&lt;&gt;"",IF('POINTAGE'!AL178="Présent",'POINTAGE'!AM178,0),0),IF('POINTAGE'!$AN$5&lt;&gt;"",IF('POINTAGE'!AN178="Présent",'POINTAGE'!AO178,0),0),IF('POINTAGE'!$AP$5&lt;&gt;"",IF('POINTAGE'!AP178="Présent",'POINTAGE'!AQ178,0),0),IF('POINTAGE'!$AR$5&lt;&gt;"",IF('POINTAGE'!AR178="Présent",'POINTAGE'!AS178,0),0),IF('POINTAGE'!$AT$5&lt;&gt;"",IF('POINTAGE'!AT178="Présent",'POINTAGE'!AU178,0),0),IF('POINTAGE'!$AV$5&lt;&gt;"",IF('POINTAGE'!AV178="Présent",'POINTAGE'!AW178,0),0),IF('POINTAGE'!$AX$5&lt;&gt;"",IF('POINTAGE'!AX178="Présent",'POINTAGE'!AY178,0),0),IF('POINTAGE'!$AZ$5&lt;&gt;"",IF('POINTAGE'!AZ178="Présent",'POINTAGE'!BA178,0),0),IF('POINTAGE'!$BB$5&lt;&gt;"",IF('POINTAGE'!BB178="Présent",'POINTAGE'!BC178,0),0),IF('POINTAGE'!$BD$5&lt;&gt;"",IF('POINTAGE'!BD178="Présent",'POINTAGE'!BE178,0),0),IF('POINTAGE'!$BF$5&lt;&gt;"",IF('POINTAGE'!BF178="Présent",'POINTAGE'!BG178,0),0),IF('POINTAGE'!$BH$5&lt;&gt;"",IF('POINTAGE'!BH178="Présent",'POINTAGE'!BI178,0),0),IF('POINTAGE'!$BJ$5&lt;&gt;"",IF('POINTAGE'!BJ178="Présent",'POINTAGE'!BK178,0),0),IF('POINTAGE'!$BL$5&lt;&gt;"",IF('POINTAGE'!BL178="Présent",'POINTAGE'!BM178,0),0)))</f>
      </c>
      <c r="Q178" s="24">
        <f>IF($A178="","",$N178*$D178)</f>
      </c>
      <c r="R178" s="24">
        <f>IF($A178="","",$P178*$E178)</f>
      </c>
      <c r="S178" s="25">
        <f>IF($A178="","",$Q178+$R178)</f>
      </c>
      <c r="T178" s="18"/>
      <c r="U178" s="25">
        <f>IF($A178="","",MAX(0,$S178-$T178))</f>
      </c>
      <c r="V178" s="25">
        <f>IF($A178="","",$K178+$S178)</f>
      </c>
      <c r="W178" s="24">
        <f>IF($A178="","",$L178+$T178)</f>
      </c>
      <c r="X178" s="25">
        <f>IF($A178="","",$M178+$U178)</f>
      </c>
      <c r="Y178" s="29">
        <f>IF($A178="","",$J178+$R178)</f>
      </c>
    </row>
    <row r="179">
      <c r="A179" s="20">
        <f>IF('POINTAGE'!A179="","",'POINTAGE'!A179)</f>
      </c>
      <c r="B179" s="19">
        <f>IF($A179="","",'POINTAGE'!B179)</f>
      </c>
      <c r="C179" s="20">
        <f>IF($A179="","",'POINTAGE'!C179)</f>
      </c>
      <c r="D179" s="24">
        <f>IF($A179="","",IFERROR(INDEX(Categories_Salaire,MATCH($C179,ListeCategories,0)),0))</f>
      </c>
      <c r="E179" s="24">
        <f>IF($A179="","",IF(IFERROR(INDEX(Categories_TauxHS,MATCH($C179,ListeCategories,0)),0)&gt;0,IFERROR(INDEX(Categories_TauxHS,MATCH($C179,ListeCategories,0)),0),TauxHSDefaut))</f>
      </c>
      <c r="F179" s="22">
        <f>IF($A179="","",SUM(IF('POINTAGE'!$D$5&lt;&gt;"",--('POINTAGE'!D179="Présent"),0),IF('POINTAGE'!$F$5&lt;&gt;"",--('POINTAGE'!F179="Présent"),0),IF('POINTAGE'!$H$5&lt;&gt;"",--('POINTAGE'!H179="Présent"),0),IF('POINTAGE'!$J$5&lt;&gt;"",--('POINTAGE'!J179="Présent"),0),IF('POINTAGE'!$L$5&lt;&gt;"",--('POINTAGE'!L179="Présent"),0),IF('POINTAGE'!$N$5&lt;&gt;"",--('POINTAGE'!N179="Présent"),0),IF('POINTAGE'!$P$5&lt;&gt;"",--('POINTAGE'!P179="Présent"),0),IF('POINTAGE'!$R$5&lt;&gt;"",--('POINTAGE'!R179="Présent"),0),IF('POINTAGE'!$T$5&lt;&gt;"",--('POINTAGE'!T179="Présent"),0),IF('POINTAGE'!$V$5&lt;&gt;"",--('POINTAGE'!V179="Présent"),0),IF('POINTAGE'!$X$5&lt;&gt;"",--('POINTAGE'!X179="Présent"),0),IF('POINTAGE'!$Z$5&lt;&gt;"",--('POINTAGE'!Z179="Présent"),0),IF('POINTAGE'!$AB$5&lt;&gt;"",--('POINTAGE'!AB179="Présent"),0),IF('POINTAGE'!$AD$5&lt;&gt;"",--('POINTAGE'!AD179="Présent"),0),IF('POINTAGE'!$AF$5&lt;&gt;"",--('POINTAGE'!AF179="Présent"),0)))</f>
      </c>
      <c r="G179" s="22">
        <f>IF($A179="","",SUM(IF('POINTAGE'!$D$5&lt;&gt;"",--('POINTAGE'!D179="Absent"),0),IF('POINTAGE'!$F$5&lt;&gt;"",--('POINTAGE'!F179="Absent"),0),IF('POINTAGE'!$H$5&lt;&gt;"",--('POINTAGE'!H179="Absent"),0),IF('POINTAGE'!$J$5&lt;&gt;"",--('POINTAGE'!J179="Absent"),0),IF('POINTAGE'!$L$5&lt;&gt;"",--('POINTAGE'!L179="Absent"),0),IF('POINTAGE'!$N$5&lt;&gt;"",--('POINTAGE'!N179="Absent"),0),IF('POINTAGE'!$P$5&lt;&gt;"",--('POINTAGE'!P179="Absent"),0),IF('POINTAGE'!$R$5&lt;&gt;"",--('POINTAGE'!R179="Absent"),0),IF('POINTAGE'!$T$5&lt;&gt;"",--('POINTAGE'!T179="Absent"),0),IF('POINTAGE'!$V$5&lt;&gt;"",--('POINTAGE'!V179="Absent"),0),IF('POINTAGE'!$X$5&lt;&gt;"",--('POINTAGE'!X179="Absent"),0),IF('POINTAGE'!$Z$5&lt;&gt;"",--('POINTAGE'!Z179="Absent"),0),IF('POINTAGE'!$AB$5&lt;&gt;"",--('POINTAGE'!AB179="Absent"),0),IF('POINTAGE'!$AD$5&lt;&gt;"",--('POINTAGE'!AD179="Absent"),0),IF('POINTAGE'!$AF$5&lt;&gt;"",--('POINTAGE'!AF179="Absent"),0)))</f>
      </c>
      <c r="H179" s="23">
        <f>IF($A179="","",SUM(IF('POINTAGE'!$D$5&lt;&gt;"",IF('POINTAGE'!D179="Présent",'POINTAGE'!E179,0),0),IF('POINTAGE'!$F$5&lt;&gt;"",IF('POINTAGE'!F179="Présent",'POINTAGE'!G179,0),0),IF('POINTAGE'!$H$5&lt;&gt;"",IF('POINTAGE'!H179="Présent",'POINTAGE'!I179,0),0),IF('POINTAGE'!$J$5&lt;&gt;"",IF('POINTAGE'!J179="Présent",'POINTAGE'!K179,0),0),IF('POINTAGE'!$L$5&lt;&gt;"",IF('POINTAGE'!L179="Présent",'POINTAGE'!M179,0),0),IF('POINTAGE'!$N$5&lt;&gt;"",IF('POINTAGE'!N179="Présent",'POINTAGE'!O179,0),0),IF('POINTAGE'!$P$5&lt;&gt;"",IF('POINTAGE'!P179="Présent",'POINTAGE'!Q179,0),0),IF('POINTAGE'!$R$5&lt;&gt;"",IF('POINTAGE'!R179="Présent",'POINTAGE'!S179,0),0),IF('POINTAGE'!$T$5&lt;&gt;"",IF('POINTAGE'!T179="Présent",'POINTAGE'!U179,0),0),IF('POINTAGE'!$V$5&lt;&gt;"",IF('POINTAGE'!V179="Présent",'POINTAGE'!W179,0),0),IF('POINTAGE'!$X$5&lt;&gt;"",IF('POINTAGE'!X179="Présent",'POINTAGE'!Y179,0),0),IF('POINTAGE'!$Z$5&lt;&gt;"",IF('POINTAGE'!Z179="Présent",'POINTAGE'!AA179,0),0),IF('POINTAGE'!$AB$5&lt;&gt;"",IF('POINTAGE'!AB179="Présent",'POINTAGE'!AC179,0),0),IF('POINTAGE'!$AD$5&lt;&gt;"",IF('POINTAGE'!AD179="Présent",'POINTAGE'!AE179,0),0),IF('POINTAGE'!$AF$5&lt;&gt;"",IF('POINTAGE'!AF179="Présent",'POINTAGE'!AG179,0),0)))</f>
      </c>
      <c r="I179" s="24">
        <f>IF($A179="","",$F179*$D179)</f>
      </c>
      <c r="J179" s="24">
        <f>IF($A179="","",$H179*$E179)</f>
      </c>
      <c r="K179" s="25">
        <f>IF($A179="","",$I179+$J179)</f>
      </c>
      <c r="L179" s="18"/>
      <c r="M179" s="25">
        <f>IF($A179="","",MAX(0,$K179-$L179))</f>
      </c>
      <c r="N179" s="22">
        <f>IF($A179="","",SUM(IF('POINTAGE'!$AH$5&lt;&gt;"",--('POINTAGE'!AH179="Présent"),0),IF('POINTAGE'!$AJ$5&lt;&gt;"",--('POINTAGE'!AJ179="Présent"),0),IF('POINTAGE'!$AL$5&lt;&gt;"",--('POINTAGE'!AL179="Présent"),0),IF('POINTAGE'!$AN$5&lt;&gt;"",--('POINTAGE'!AN179="Présent"),0),IF('POINTAGE'!$AP$5&lt;&gt;"",--('POINTAGE'!AP179="Présent"),0),IF('POINTAGE'!$AR$5&lt;&gt;"",--('POINTAGE'!AR179="Présent"),0),IF('POINTAGE'!$AT$5&lt;&gt;"",--('POINTAGE'!AT179="Présent"),0),IF('POINTAGE'!$AV$5&lt;&gt;"",--('POINTAGE'!AV179="Présent"),0),IF('POINTAGE'!$AX$5&lt;&gt;"",--('POINTAGE'!AX179="Présent"),0),IF('POINTAGE'!$AZ$5&lt;&gt;"",--('POINTAGE'!AZ179="Présent"),0),IF('POINTAGE'!$BB$5&lt;&gt;"",--('POINTAGE'!BB179="Présent"),0),IF('POINTAGE'!$BD$5&lt;&gt;"",--('POINTAGE'!BD179="Présent"),0),IF('POINTAGE'!$BF$5&lt;&gt;"",--('POINTAGE'!BF179="Présent"),0),IF('POINTAGE'!$BH$5&lt;&gt;"",--('POINTAGE'!BH179="Présent"),0),IF('POINTAGE'!$BJ$5&lt;&gt;"",--('POINTAGE'!BJ179="Présent"),0),IF('POINTAGE'!$BL$5&lt;&gt;"",--('POINTAGE'!BL179="Présent"),0)))</f>
      </c>
      <c r="O179" s="22">
        <f>IF($A179="","",SUM(IF('POINTAGE'!$AH$5&lt;&gt;"",--('POINTAGE'!AH179="Absent"),0),IF('POINTAGE'!$AJ$5&lt;&gt;"",--('POINTAGE'!AJ179="Absent"),0),IF('POINTAGE'!$AL$5&lt;&gt;"",--('POINTAGE'!AL179="Absent"),0),IF('POINTAGE'!$AN$5&lt;&gt;"",--('POINTAGE'!AN179="Absent"),0),IF('POINTAGE'!$AP$5&lt;&gt;"",--('POINTAGE'!AP179="Absent"),0),IF('POINTAGE'!$AR$5&lt;&gt;"",--('POINTAGE'!AR179="Absent"),0),IF('POINTAGE'!$AT$5&lt;&gt;"",--('POINTAGE'!AT179="Absent"),0),IF('POINTAGE'!$AV$5&lt;&gt;"",--('POINTAGE'!AV179="Absent"),0),IF('POINTAGE'!$AX$5&lt;&gt;"",--('POINTAGE'!AX179="Absent"),0),IF('POINTAGE'!$AZ$5&lt;&gt;"",--('POINTAGE'!AZ179="Absent"),0),IF('POINTAGE'!$BB$5&lt;&gt;"",--('POINTAGE'!BB179="Absent"),0),IF('POINTAGE'!$BD$5&lt;&gt;"",--('POINTAGE'!BD179="Absent"),0),IF('POINTAGE'!$BF$5&lt;&gt;"",--('POINTAGE'!BF179="Absent"),0),IF('POINTAGE'!$BH$5&lt;&gt;"",--('POINTAGE'!BH179="Absent"),0),IF('POINTAGE'!$BJ$5&lt;&gt;"",--('POINTAGE'!BJ179="Absent"),0),IF('POINTAGE'!$BL$5&lt;&gt;"",--('POINTAGE'!BL179="Absent"),0)))</f>
      </c>
      <c r="P179" s="23">
        <f>IF($A179="","",SUM(IF('POINTAGE'!$AH$5&lt;&gt;"",IF('POINTAGE'!AH179="Présent",'POINTAGE'!AI179,0),0),IF('POINTAGE'!$AJ$5&lt;&gt;"",IF('POINTAGE'!AJ179="Présent",'POINTAGE'!AK179,0),0),IF('POINTAGE'!$AL$5&lt;&gt;"",IF('POINTAGE'!AL179="Présent",'POINTAGE'!AM179,0),0),IF('POINTAGE'!$AN$5&lt;&gt;"",IF('POINTAGE'!AN179="Présent",'POINTAGE'!AO179,0),0),IF('POINTAGE'!$AP$5&lt;&gt;"",IF('POINTAGE'!AP179="Présent",'POINTAGE'!AQ179,0),0),IF('POINTAGE'!$AR$5&lt;&gt;"",IF('POINTAGE'!AR179="Présent",'POINTAGE'!AS179,0),0),IF('POINTAGE'!$AT$5&lt;&gt;"",IF('POINTAGE'!AT179="Présent",'POINTAGE'!AU179,0),0),IF('POINTAGE'!$AV$5&lt;&gt;"",IF('POINTAGE'!AV179="Présent",'POINTAGE'!AW179,0),0),IF('POINTAGE'!$AX$5&lt;&gt;"",IF('POINTAGE'!AX179="Présent",'POINTAGE'!AY179,0),0),IF('POINTAGE'!$AZ$5&lt;&gt;"",IF('POINTAGE'!AZ179="Présent",'POINTAGE'!BA179,0),0),IF('POINTAGE'!$BB$5&lt;&gt;"",IF('POINTAGE'!BB179="Présent",'POINTAGE'!BC179,0),0),IF('POINTAGE'!$BD$5&lt;&gt;"",IF('POINTAGE'!BD179="Présent",'POINTAGE'!BE179,0),0),IF('POINTAGE'!$BF$5&lt;&gt;"",IF('POINTAGE'!BF179="Présent",'POINTAGE'!BG179,0),0),IF('POINTAGE'!$BH$5&lt;&gt;"",IF('POINTAGE'!BH179="Présent",'POINTAGE'!BI179,0),0),IF('POINTAGE'!$BJ$5&lt;&gt;"",IF('POINTAGE'!BJ179="Présent",'POINTAGE'!BK179,0),0),IF('POINTAGE'!$BL$5&lt;&gt;"",IF('POINTAGE'!BL179="Présent",'POINTAGE'!BM179,0),0)))</f>
      </c>
      <c r="Q179" s="24">
        <f>IF($A179="","",$N179*$D179)</f>
      </c>
      <c r="R179" s="24">
        <f>IF($A179="","",$P179*$E179)</f>
      </c>
      <c r="S179" s="25">
        <f>IF($A179="","",$Q179+$R179)</f>
      </c>
      <c r="T179" s="18"/>
      <c r="U179" s="25">
        <f>IF($A179="","",MAX(0,$S179-$T179))</f>
      </c>
      <c r="V179" s="25">
        <f>IF($A179="","",$K179+$S179)</f>
      </c>
      <c r="W179" s="24">
        <f>IF($A179="","",$L179+$T179)</f>
      </c>
      <c r="X179" s="25">
        <f>IF($A179="","",$M179+$U179)</f>
      </c>
      <c r="Y179" s="29">
        <f>IF($A179="","",$J179+$R179)</f>
      </c>
    </row>
    <row r="180">
      <c r="A180" s="20">
        <f>IF('POINTAGE'!A180="","",'POINTAGE'!A180)</f>
      </c>
      <c r="B180" s="19">
        <f>IF($A180="","",'POINTAGE'!B180)</f>
      </c>
      <c r="C180" s="20">
        <f>IF($A180="","",'POINTAGE'!C180)</f>
      </c>
      <c r="D180" s="24">
        <f>IF($A180="","",IFERROR(INDEX(Categories_Salaire,MATCH($C180,ListeCategories,0)),0))</f>
      </c>
      <c r="E180" s="24">
        <f>IF($A180="","",IF(IFERROR(INDEX(Categories_TauxHS,MATCH($C180,ListeCategories,0)),0)&gt;0,IFERROR(INDEX(Categories_TauxHS,MATCH($C180,ListeCategories,0)),0),TauxHSDefaut))</f>
      </c>
      <c r="F180" s="22">
        <f>IF($A180="","",SUM(IF('POINTAGE'!$D$5&lt;&gt;"",--('POINTAGE'!D180="Présent"),0),IF('POINTAGE'!$F$5&lt;&gt;"",--('POINTAGE'!F180="Présent"),0),IF('POINTAGE'!$H$5&lt;&gt;"",--('POINTAGE'!H180="Présent"),0),IF('POINTAGE'!$J$5&lt;&gt;"",--('POINTAGE'!J180="Présent"),0),IF('POINTAGE'!$L$5&lt;&gt;"",--('POINTAGE'!L180="Présent"),0),IF('POINTAGE'!$N$5&lt;&gt;"",--('POINTAGE'!N180="Présent"),0),IF('POINTAGE'!$P$5&lt;&gt;"",--('POINTAGE'!P180="Présent"),0),IF('POINTAGE'!$R$5&lt;&gt;"",--('POINTAGE'!R180="Présent"),0),IF('POINTAGE'!$T$5&lt;&gt;"",--('POINTAGE'!T180="Présent"),0),IF('POINTAGE'!$V$5&lt;&gt;"",--('POINTAGE'!V180="Présent"),0),IF('POINTAGE'!$X$5&lt;&gt;"",--('POINTAGE'!X180="Présent"),0),IF('POINTAGE'!$Z$5&lt;&gt;"",--('POINTAGE'!Z180="Présent"),0),IF('POINTAGE'!$AB$5&lt;&gt;"",--('POINTAGE'!AB180="Présent"),0),IF('POINTAGE'!$AD$5&lt;&gt;"",--('POINTAGE'!AD180="Présent"),0),IF('POINTAGE'!$AF$5&lt;&gt;"",--('POINTAGE'!AF180="Présent"),0)))</f>
      </c>
      <c r="G180" s="22">
        <f>IF($A180="","",SUM(IF('POINTAGE'!$D$5&lt;&gt;"",--('POINTAGE'!D180="Absent"),0),IF('POINTAGE'!$F$5&lt;&gt;"",--('POINTAGE'!F180="Absent"),0),IF('POINTAGE'!$H$5&lt;&gt;"",--('POINTAGE'!H180="Absent"),0),IF('POINTAGE'!$J$5&lt;&gt;"",--('POINTAGE'!J180="Absent"),0),IF('POINTAGE'!$L$5&lt;&gt;"",--('POINTAGE'!L180="Absent"),0),IF('POINTAGE'!$N$5&lt;&gt;"",--('POINTAGE'!N180="Absent"),0),IF('POINTAGE'!$P$5&lt;&gt;"",--('POINTAGE'!P180="Absent"),0),IF('POINTAGE'!$R$5&lt;&gt;"",--('POINTAGE'!R180="Absent"),0),IF('POINTAGE'!$T$5&lt;&gt;"",--('POINTAGE'!T180="Absent"),0),IF('POINTAGE'!$V$5&lt;&gt;"",--('POINTAGE'!V180="Absent"),0),IF('POINTAGE'!$X$5&lt;&gt;"",--('POINTAGE'!X180="Absent"),0),IF('POINTAGE'!$Z$5&lt;&gt;"",--('POINTAGE'!Z180="Absent"),0),IF('POINTAGE'!$AB$5&lt;&gt;"",--('POINTAGE'!AB180="Absent"),0),IF('POINTAGE'!$AD$5&lt;&gt;"",--('POINTAGE'!AD180="Absent"),0),IF('POINTAGE'!$AF$5&lt;&gt;"",--('POINTAGE'!AF180="Absent"),0)))</f>
      </c>
      <c r="H180" s="23">
        <f>IF($A180="","",SUM(IF('POINTAGE'!$D$5&lt;&gt;"",IF('POINTAGE'!D180="Présent",'POINTAGE'!E180,0),0),IF('POINTAGE'!$F$5&lt;&gt;"",IF('POINTAGE'!F180="Présent",'POINTAGE'!G180,0),0),IF('POINTAGE'!$H$5&lt;&gt;"",IF('POINTAGE'!H180="Présent",'POINTAGE'!I180,0),0),IF('POINTAGE'!$J$5&lt;&gt;"",IF('POINTAGE'!J180="Présent",'POINTAGE'!K180,0),0),IF('POINTAGE'!$L$5&lt;&gt;"",IF('POINTAGE'!L180="Présent",'POINTAGE'!M180,0),0),IF('POINTAGE'!$N$5&lt;&gt;"",IF('POINTAGE'!N180="Présent",'POINTAGE'!O180,0),0),IF('POINTAGE'!$P$5&lt;&gt;"",IF('POINTAGE'!P180="Présent",'POINTAGE'!Q180,0),0),IF('POINTAGE'!$R$5&lt;&gt;"",IF('POINTAGE'!R180="Présent",'POINTAGE'!S180,0),0),IF('POINTAGE'!$T$5&lt;&gt;"",IF('POINTAGE'!T180="Présent",'POINTAGE'!U180,0),0),IF('POINTAGE'!$V$5&lt;&gt;"",IF('POINTAGE'!V180="Présent",'POINTAGE'!W180,0),0),IF('POINTAGE'!$X$5&lt;&gt;"",IF('POINTAGE'!X180="Présent",'POINTAGE'!Y180,0),0),IF('POINTAGE'!$Z$5&lt;&gt;"",IF('POINTAGE'!Z180="Présent",'POINTAGE'!AA180,0),0),IF('POINTAGE'!$AB$5&lt;&gt;"",IF('POINTAGE'!AB180="Présent",'POINTAGE'!AC180,0),0),IF('POINTAGE'!$AD$5&lt;&gt;"",IF('POINTAGE'!AD180="Présent",'POINTAGE'!AE180,0),0),IF('POINTAGE'!$AF$5&lt;&gt;"",IF('POINTAGE'!AF180="Présent",'POINTAGE'!AG180,0),0)))</f>
      </c>
      <c r="I180" s="24">
        <f>IF($A180="","",$F180*$D180)</f>
      </c>
      <c r="J180" s="24">
        <f>IF($A180="","",$H180*$E180)</f>
      </c>
      <c r="K180" s="25">
        <f>IF($A180="","",$I180+$J180)</f>
      </c>
      <c r="L180" s="18"/>
      <c r="M180" s="25">
        <f>IF($A180="","",MAX(0,$K180-$L180))</f>
      </c>
      <c r="N180" s="22">
        <f>IF($A180="","",SUM(IF('POINTAGE'!$AH$5&lt;&gt;"",--('POINTAGE'!AH180="Présent"),0),IF('POINTAGE'!$AJ$5&lt;&gt;"",--('POINTAGE'!AJ180="Présent"),0),IF('POINTAGE'!$AL$5&lt;&gt;"",--('POINTAGE'!AL180="Présent"),0),IF('POINTAGE'!$AN$5&lt;&gt;"",--('POINTAGE'!AN180="Présent"),0),IF('POINTAGE'!$AP$5&lt;&gt;"",--('POINTAGE'!AP180="Présent"),0),IF('POINTAGE'!$AR$5&lt;&gt;"",--('POINTAGE'!AR180="Présent"),0),IF('POINTAGE'!$AT$5&lt;&gt;"",--('POINTAGE'!AT180="Présent"),0),IF('POINTAGE'!$AV$5&lt;&gt;"",--('POINTAGE'!AV180="Présent"),0),IF('POINTAGE'!$AX$5&lt;&gt;"",--('POINTAGE'!AX180="Présent"),0),IF('POINTAGE'!$AZ$5&lt;&gt;"",--('POINTAGE'!AZ180="Présent"),0),IF('POINTAGE'!$BB$5&lt;&gt;"",--('POINTAGE'!BB180="Présent"),0),IF('POINTAGE'!$BD$5&lt;&gt;"",--('POINTAGE'!BD180="Présent"),0),IF('POINTAGE'!$BF$5&lt;&gt;"",--('POINTAGE'!BF180="Présent"),0),IF('POINTAGE'!$BH$5&lt;&gt;"",--('POINTAGE'!BH180="Présent"),0),IF('POINTAGE'!$BJ$5&lt;&gt;"",--('POINTAGE'!BJ180="Présent"),0),IF('POINTAGE'!$BL$5&lt;&gt;"",--('POINTAGE'!BL180="Présent"),0)))</f>
      </c>
      <c r="O180" s="22">
        <f>IF($A180="","",SUM(IF('POINTAGE'!$AH$5&lt;&gt;"",--('POINTAGE'!AH180="Absent"),0),IF('POINTAGE'!$AJ$5&lt;&gt;"",--('POINTAGE'!AJ180="Absent"),0),IF('POINTAGE'!$AL$5&lt;&gt;"",--('POINTAGE'!AL180="Absent"),0),IF('POINTAGE'!$AN$5&lt;&gt;"",--('POINTAGE'!AN180="Absent"),0),IF('POINTAGE'!$AP$5&lt;&gt;"",--('POINTAGE'!AP180="Absent"),0),IF('POINTAGE'!$AR$5&lt;&gt;"",--('POINTAGE'!AR180="Absent"),0),IF('POINTAGE'!$AT$5&lt;&gt;"",--('POINTAGE'!AT180="Absent"),0),IF('POINTAGE'!$AV$5&lt;&gt;"",--('POINTAGE'!AV180="Absent"),0),IF('POINTAGE'!$AX$5&lt;&gt;"",--('POINTAGE'!AX180="Absent"),0),IF('POINTAGE'!$AZ$5&lt;&gt;"",--('POINTAGE'!AZ180="Absent"),0),IF('POINTAGE'!$BB$5&lt;&gt;"",--('POINTAGE'!BB180="Absent"),0),IF('POINTAGE'!$BD$5&lt;&gt;"",--('POINTAGE'!BD180="Absent"),0),IF('POINTAGE'!$BF$5&lt;&gt;"",--('POINTAGE'!BF180="Absent"),0),IF('POINTAGE'!$BH$5&lt;&gt;"",--('POINTAGE'!BH180="Absent"),0),IF('POINTAGE'!$BJ$5&lt;&gt;"",--('POINTAGE'!BJ180="Absent"),0),IF('POINTAGE'!$BL$5&lt;&gt;"",--('POINTAGE'!BL180="Absent"),0)))</f>
      </c>
      <c r="P180" s="23">
        <f>IF($A180="","",SUM(IF('POINTAGE'!$AH$5&lt;&gt;"",IF('POINTAGE'!AH180="Présent",'POINTAGE'!AI180,0),0),IF('POINTAGE'!$AJ$5&lt;&gt;"",IF('POINTAGE'!AJ180="Présent",'POINTAGE'!AK180,0),0),IF('POINTAGE'!$AL$5&lt;&gt;"",IF('POINTAGE'!AL180="Présent",'POINTAGE'!AM180,0),0),IF('POINTAGE'!$AN$5&lt;&gt;"",IF('POINTAGE'!AN180="Présent",'POINTAGE'!AO180,0),0),IF('POINTAGE'!$AP$5&lt;&gt;"",IF('POINTAGE'!AP180="Présent",'POINTAGE'!AQ180,0),0),IF('POINTAGE'!$AR$5&lt;&gt;"",IF('POINTAGE'!AR180="Présent",'POINTAGE'!AS180,0),0),IF('POINTAGE'!$AT$5&lt;&gt;"",IF('POINTAGE'!AT180="Présent",'POINTAGE'!AU180,0),0),IF('POINTAGE'!$AV$5&lt;&gt;"",IF('POINTAGE'!AV180="Présent",'POINTAGE'!AW180,0),0),IF('POINTAGE'!$AX$5&lt;&gt;"",IF('POINTAGE'!AX180="Présent",'POINTAGE'!AY180,0),0),IF('POINTAGE'!$AZ$5&lt;&gt;"",IF('POINTAGE'!AZ180="Présent",'POINTAGE'!BA180,0),0),IF('POINTAGE'!$BB$5&lt;&gt;"",IF('POINTAGE'!BB180="Présent",'POINTAGE'!BC180,0),0),IF('POINTAGE'!$BD$5&lt;&gt;"",IF('POINTAGE'!BD180="Présent",'POINTAGE'!BE180,0),0),IF('POINTAGE'!$BF$5&lt;&gt;"",IF('POINTAGE'!BF180="Présent",'POINTAGE'!BG180,0),0),IF('POINTAGE'!$BH$5&lt;&gt;"",IF('POINTAGE'!BH180="Présent",'POINTAGE'!BI180,0),0),IF('POINTAGE'!$BJ$5&lt;&gt;"",IF('POINTAGE'!BJ180="Présent",'POINTAGE'!BK180,0),0),IF('POINTAGE'!$BL$5&lt;&gt;"",IF('POINTAGE'!BL180="Présent",'POINTAGE'!BM180,0),0)))</f>
      </c>
      <c r="Q180" s="24">
        <f>IF($A180="","",$N180*$D180)</f>
      </c>
      <c r="R180" s="24">
        <f>IF($A180="","",$P180*$E180)</f>
      </c>
      <c r="S180" s="25">
        <f>IF($A180="","",$Q180+$R180)</f>
      </c>
      <c r="T180" s="18"/>
      <c r="U180" s="25">
        <f>IF($A180="","",MAX(0,$S180-$T180))</f>
      </c>
      <c r="V180" s="25">
        <f>IF($A180="","",$K180+$S180)</f>
      </c>
      <c r="W180" s="24">
        <f>IF($A180="","",$L180+$T180)</f>
      </c>
      <c r="X180" s="25">
        <f>IF($A180="","",$M180+$U180)</f>
      </c>
      <c r="Y180" s="29">
        <f>IF($A180="","",$J180+$R180)</f>
      </c>
    </row>
    <row r="181">
      <c r="A181" s="20">
        <f>IF('POINTAGE'!A181="","",'POINTAGE'!A181)</f>
      </c>
      <c r="B181" s="19">
        <f>IF($A181="","",'POINTAGE'!B181)</f>
      </c>
      <c r="C181" s="20">
        <f>IF($A181="","",'POINTAGE'!C181)</f>
      </c>
      <c r="D181" s="24">
        <f>IF($A181="","",IFERROR(INDEX(Categories_Salaire,MATCH($C181,ListeCategories,0)),0))</f>
      </c>
      <c r="E181" s="24">
        <f>IF($A181="","",IF(IFERROR(INDEX(Categories_TauxHS,MATCH($C181,ListeCategories,0)),0)&gt;0,IFERROR(INDEX(Categories_TauxHS,MATCH($C181,ListeCategories,0)),0),TauxHSDefaut))</f>
      </c>
      <c r="F181" s="22">
        <f>IF($A181="","",SUM(IF('POINTAGE'!$D$5&lt;&gt;"",--('POINTAGE'!D181="Présent"),0),IF('POINTAGE'!$F$5&lt;&gt;"",--('POINTAGE'!F181="Présent"),0),IF('POINTAGE'!$H$5&lt;&gt;"",--('POINTAGE'!H181="Présent"),0),IF('POINTAGE'!$J$5&lt;&gt;"",--('POINTAGE'!J181="Présent"),0),IF('POINTAGE'!$L$5&lt;&gt;"",--('POINTAGE'!L181="Présent"),0),IF('POINTAGE'!$N$5&lt;&gt;"",--('POINTAGE'!N181="Présent"),0),IF('POINTAGE'!$P$5&lt;&gt;"",--('POINTAGE'!P181="Présent"),0),IF('POINTAGE'!$R$5&lt;&gt;"",--('POINTAGE'!R181="Présent"),0),IF('POINTAGE'!$T$5&lt;&gt;"",--('POINTAGE'!T181="Présent"),0),IF('POINTAGE'!$V$5&lt;&gt;"",--('POINTAGE'!V181="Présent"),0),IF('POINTAGE'!$X$5&lt;&gt;"",--('POINTAGE'!X181="Présent"),0),IF('POINTAGE'!$Z$5&lt;&gt;"",--('POINTAGE'!Z181="Présent"),0),IF('POINTAGE'!$AB$5&lt;&gt;"",--('POINTAGE'!AB181="Présent"),0),IF('POINTAGE'!$AD$5&lt;&gt;"",--('POINTAGE'!AD181="Présent"),0),IF('POINTAGE'!$AF$5&lt;&gt;"",--('POINTAGE'!AF181="Présent"),0)))</f>
      </c>
      <c r="G181" s="22">
        <f>IF($A181="","",SUM(IF('POINTAGE'!$D$5&lt;&gt;"",--('POINTAGE'!D181="Absent"),0),IF('POINTAGE'!$F$5&lt;&gt;"",--('POINTAGE'!F181="Absent"),0),IF('POINTAGE'!$H$5&lt;&gt;"",--('POINTAGE'!H181="Absent"),0),IF('POINTAGE'!$J$5&lt;&gt;"",--('POINTAGE'!J181="Absent"),0),IF('POINTAGE'!$L$5&lt;&gt;"",--('POINTAGE'!L181="Absent"),0),IF('POINTAGE'!$N$5&lt;&gt;"",--('POINTAGE'!N181="Absent"),0),IF('POINTAGE'!$P$5&lt;&gt;"",--('POINTAGE'!P181="Absent"),0),IF('POINTAGE'!$R$5&lt;&gt;"",--('POINTAGE'!R181="Absent"),0),IF('POINTAGE'!$T$5&lt;&gt;"",--('POINTAGE'!T181="Absent"),0),IF('POINTAGE'!$V$5&lt;&gt;"",--('POINTAGE'!V181="Absent"),0),IF('POINTAGE'!$X$5&lt;&gt;"",--('POINTAGE'!X181="Absent"),0),IF('POINTAGE'!$Z$5&lt;&gt;"",--('POINTAGE'!Z181="Absent"),0),IF('POINTAGE'!$AB$5&lt;&gt;"",--('POINTAGE'!AB181="Absent"),0),IF('POINTAGE'!$AD$5&lt;&gt;"",--('POINTAGE'!AD181="Absent"),0),IF('POINTAGE'!$AF$5&lt;&gt;"",--('POINTAGE'!AF181="Absent"),0)))</f>
      </c>
      <c r="H181" s="23">
        <f>IF($A181="","",SUM(IF('POINTAGE'!$D$5&lt;&gt;"",IF('POINTAGE'!D181="Présent",'POINTAGE'!E181,0),0),IF('POINTAGE'!$F$5&lt;&gt;"",IF('POINTAGE'!F181="Présent",'POINTAGE'!G181,0),0),IF('POINTAGE'!$H$5&lt;&gt;"",IF('POINTAGE'!H181="Présent",'POINTAGE'!I181,0),0),IF('POINTAGE'!$J$5&lt;&gt;"",IF('POINTAGE'!J181="Présent",'POINTAGE'!K181,0),0),IF('POINTAGE'!$L$5&lt;&gt;"",IF('POINTAGE'!L181="Présent",'POINTAGE'!M181,0),0),IF('POINTAGE'!$N$5&lt;&gt;"",IF('POINTAGE'!N181="Présent",'POINTAGE'!O181,0),0),IF('POINTAGE'!$P$5&lt;&gt;"",IF('POINTAGE'!P181="Présent",'POINTAGE'!Q181,0),0),IF('POINTAGE'!$R$5&lt;&gt;"",IF('POINTAGE'!R181="Présent",'POINTAGE'!S181,0),0),IF('POINTAGE'!$T$5&lt;&gt;"",IF('POINTAGE'!T181="Présent",'POINTAGE'!U181,0),0),IF('POINTAGE'!$V$5&lt;&gt;"",IF('POINTAGE'!V181="Présent",'POINTAGE'!W181,0),0),IF('POINTAGE'!$X$5&lt;&gt;"",IF('POINTAGE'!X181="Présent",'POINTAGE'!Y181,0),0),IF('POINTAGE'!$Z$5&lt;&gt;"",IF('POINTAGE'!Z181="Présent",'POINTAGE'!AA181,0),0),IF('POINTAGE'!$AB$5&lt;&gt;"",IF('POINTAGE'!AB181="Présent",'POINTAGE'!AC181,0),0),IF('POINTAGE'!$AD$5&lt;&gt;"",IF('POINTAGE'!AD181="Présent",'POINTAGE'!AE181,0),0),IF('POINTAGE'!$AF$5&lt;&gt;"",IF('POINTAGE'!AF181="Présent",'POINTAGE'!AG181,0),0)))</f>
      </c>
      <c r="I181" s="24">
        <f>IF($A181="","",$F181*$D181)</f>
      </c>
      <c r="J181" s="24">
        <f>IF($A181="","",$H181*$E181)</f>
      </c>
      <c r="K181" s="25">
        <f>IF($A181="","",$I181+$J181)</f>
      </c>
      <c r="L181" s="18"/>
      <c r="M181" s="25">
        <f>IF($A181="","",MAX(0,$K181-$L181))</f>
      </c>
      <c r="N181" s="22">
        <f>IF($A181="","",SUM(IF('POINTAGE'!$AH$5&lt;&gt;"",--('POINTAGE'!AH181="Présent"),0),IF('POINTAGE'!$AJ$5&lt;&gt;"",--('POINTAGE'!AJ181="Présent"),0),IF('POINTAGE'!$AL$5&lt;&gt;"",--('POINTAGE'!AL181="Présent"),0),IF('POINTAGE'!$AN$5&lt;&gt;"",--('POINTAGE'!AN181="Présent"),0),IF('POINTAGE'!$AP$5&lt;&gt;"",--('POINTAGE'!AP181="Présent"),0),IF('POINTAGE'!$AR$5&lt;&gt;"",--('POINTAGE'!AR181="Présent"),0),IF('POINTAGE'!$AT$5&lt;&gt;"",--('POINTAGE'!AT181="Présent"),0),IF('POINTAGE'!$AV$5&lt;&gt;"",--('POINTAGE'!AV181="Présent"),0),IF('POINTAGE'!$AX$5&lt;&gt;"",--('POINTAGE'!AX181="Présent"),0),IF('POINTAGE'!$AZ$5&lt;&gt;"",--('POINTAGE'!AZ181="Présent"),0),IF('POINTAGE'!$BB$5&lt;&gt;"",--('POINTAGE'!BB181="Présent"),0),IF('POINTAGE'!$BD$5&lt;&gt;"",--('POINTAGE'!BD181="Présent"),0),IF('POINTAGE'!$BF$5&lt;&gt;"",--('POINTAGE'!BF181="Présent"),0),IF('POINTAGE'!$BH$5&lt;&gt;"",--('POINTAGE'!BH181="Présent"),0),IF('POINTAGE'!$BJ$5&lt;&gt;"",--('POINTAGE'!BJ181="Présent"),0),IF('POINTAGE'!$BL$5&lt;&gt;"",--('POINTAGE'!BL181="Présent"),0)))</f>
      </c>
      <c r="O181" s="22">
        <f>IF($A181="","",SUM(IF('POINTAGE'!$AH$5&lt;&gt;"",--('POINTAGE'!AH181="Absent"),0),IF('POINTAGE'!$AJ$5&lt;&gt;"",--('POINTAGE'!AJ181="Absent"),0),IF('POINTAGE'!$AL$5&lt;&gt;"",--('POINTAGE'!AL181="Absent"),0),IF('POINTAGE'!$AN$5&lt;&gt;"",--('POINTAGE'!AN181="Absent"),0),IF('POINTAGE'!$AP$5&lt;&gt;"",--('POINTAGE'!AP181="Absent"),0),IF('POINTAGE'!$AR$5&lt;&gt;"",--('POINTAGE'!AR181="Absent"),0),IF('POINTAGE'!$AT$5&lt;&gt;"",--('POINTAGE'!AT181="Absent"),0),IF('POINTAGE'!$AV$5&lt;&gt;"",--('POINTAGE'!AV181="Absent"),0),IF('POINTAGE'!$AX$5&lt;&gt;"",--('POINTAGE'!AX181="Absent"),0),IF('POINTAGE'!$AZ$5&lt;&gt;"",--('POINTAGE'!AZ181="Absent"),0),IF('POINTAGE'!$BB$5&lt;&gt;"",--('POINTAGE'!BB181="Absent"),0),IF('POINTAGE'!$BD$5&lt;&gt;"",--('POINTAGE'!BD181="Absent"),0),IF('POINTAGE'!$BF$5&lt;&gt;"",--('POINTAGE'!BF181="Absent"),0),IF('POINTAGE'!$BH$5&lt;&gt;"",--('POINTAGE'!BH181="Absent"),0),IF('POINTAGE'!$BJ$5&lt;&gt;"",--('POINTAGE'!BJ181="Absent"),0),IF('POINTAGE'!$BL$5&lt;&gt;"",--('POINTAGE'!BL181="Absent"),0)))</f>
      </c>
      <c r="P181" s="23">
        <f>IF($A181="","",SUM(IF('POINTAGE'!$AH$5&lt;&gt;"",IF('POINTAGE'!AH181="Présent",'POINTAGE'!AI181,0),0),IF('POINTAGE'!$AJ$5&lt;&gt;"",IF('POINTAGE'!AJ181="Présent",'POINTAGE'!AK181,0),0),IF('POINTAGE'!$AL$5&lt;&gt;"",IF('POINTAGE'!AL181="Présent",'POINTAGE'!AM181,0),0),IF('POINTAGE'!$AN$5&lt;&gt;"",IF('POINTAGE'!AN181="Présent",'POINTAGE'!AO181,0),0),IF('POINTAGE'!$AP$5&lt;&gt;"",IF('POINTAGE'!AP181="Présent",'POINTAGE'!AQ181,0),0),IF('POINTAGE'!$AR$5&lt;&gt;"",IF('POINTAGE'!AR181="Présent",'POINTAGE'!AS181,0),0),IF('POINTAGE'!$AT$5&lt;&gt;"",IF('POINTAGE'!AT181="Présent",'POINTAGE'!AU181,0),0),IF('POINTAGE'!$AV$5&lt;&gt;"",IF('POINTAGE'!AV181="Présent",'POINTAGE'!AW181,0),0),IF('POINTAGE'!$AX$5&lt;&gt;"",IF('POINTAGE'!AX181="Présent",'POINTAGE'!AY181,0),0),IF('POINTAGE'!$AZ$5&lt;&gt;"",IF('POINTAGE'!AZ181="Présent",'POINTAGE'!BA181,0),0),IF('POINTAGE'!$BB$5&lt;&gt;"",IF('POINTAGE'!BB181="Présent",'POINTAGE'!BC181,0),0),IF('POINTAGE'!$BD$5&lt;&gt;"",IF('POINTAGE'!BD181="Présent",'POINTAGE'!BE181,0),0),IF('POINTAGE'!$BF$5&lt;&gt;"",IF('POINTAGE'!BF181="Présent",'POINTAGE'!BG181,0),0),IF('POINTAGE'!$BH$5&lt;&gt;"",IF('POINTAGE'!BH181="Présent",'POINTAGE'!BI181,0),0),IF('POINTAGE'!$BJ$5&lt;&gt;"",IF('POINTAGE'!BJ181="Présent",'POINTAGE'!BK181,0),0),IF('POINTAGE'!$BL$5&lt;&gt;"",IF('POINTAGE'!BL181="Présent",'POINTAGE'!BM181,0),0)))</f>
      </c>
      <c r="Q181" s="24">
        <f>IF($A181="","",$N181*$D181)</f>
      </c>
      <c r="R181" s="24">
        <f>IF($A181="","",$P181*$E181)</f>
      </c>
      <c r="S181" s="25">
        <f>IF($A181="","",$Q181+$R181)</f>
      </c>
      <c r="T181" s="18"/>
      <c r="U181" s="25">
        <f>IF($A181="","",MAX(0,$S181-$T181))</f>
      </c>
      <c r="V181" s="25">
        <f>IF($A181="","",$K181+$S181)</f>
      </c>
      <c r="W181" s="24">
        <f>IF($A181="","",$L181+$T181)</f>
      </c>
      <c r="X181" s="25">
        <f>IF($A181="","",$M181+$U181)</f>
      </c>
      <c r="Y181" s="29">
        <f>IF($A181="","",$J181+$R181)</f>
      </c>
    </row>
    <row r="182">
      <c r="A182" s="20">
        <f>IF('POINTAGE'!A182="","",'POINTAGE'!A182)</f>
      </c>
      <c r="B182" s="19">
        <f>IF($A182="","",'POINTAGE'!B182)</f>
      </c>
      <c r="C182" s="20">
        <f>IF($A182="","",'POINTAGE'!C182)</f>
      </c>
      <c r="D182" s="24">
        <f>IF($A182="","",IFERROR(INDEX(Categories_Salaire,MATCH($C182,ListeCategories,0)),0))</f>
      </c>
      <c r="E182" s="24">
        <f>IF($A182="","",IF(IFERROR(INDEX(Categories_TauxHS,MATCH($C182,ListeCategories,0)),0)&gt;0,IFERROR(INDEX(Categories_TauxHS,MATCH($C182,ListeCategories,0)),0),TauxHSDefaut))</f>
      </c>
      <c r="F182" s="22">
        <f>IF($A182="","",SUM(IF('POINTAGE'!$D$5&lt;&gt;"",--('POINTAGE'!D182="Présent"),0),IF('POINTAGE'!$F$5&lt;&gt;"",--('POINTAGE'!F182="Présent"),0),IF('POINTAGE'!$H$5&lt;&gt;"",--('POINTAGE'!H182="Présent"),0),IF('POINTAGE'!$J$5&lt;&gt;"",--('POINTAGE'!J182="Présent"),0),IF('POINTAGE'!$L$5&lt;&gt;"",--('POINTAGE'!L182="Présent"),0),IF('POINTAGE'!$N$5&lt;&gt;"",--('POINTAGE'!N182="Présent"),0),IF('POINTAGE'!$P$5&lt;&gt;"",--('POINTAGE'!P182="Présent"),0),IF('POINTAGE'!$R$5&lt;&gt;"",--('POINTAGE'!R182="Présent"),0),IF('POINTAGE'!$T$5&lt;&gt;"",--('POINTAGE'!T182="Présent"),0),IF('POINTAGE'!$V$5&lt;&gt;"",--('POINTAGE'!V182="Présent"),0),IF('POINTAGE'!$X$5&lt;&gt;"",--('POINTAGE'!X182="Présent"),0),IF('POINTAGE'!$Z$5&lt;&gt;"",--('POINTAGE'!Z182="Présent"),0),IF('POINTAGE'!$AB$5&lt;&gt;"",--('POINTAGE'!AB182="Présent"),0),IF('POINTAGE'!$AD$5&lt;&gt;"",--('POINTAGE'!AD182="Présent"),0),IF('POINTAGE'!$AF$5&lt;&gt;"",--('POINTAGE'!AF182="Présent"),0)))</f>
      </c>
      <c r="G182" s="22">
        <f>IF($A182="","",SUM(IF('POINTAGE'!$D$5&lt;&gt;"",--('POINTAGE'!D182="Absent"),0),IF('POINTAGE'!$F$5&lt;&gt;"",--('POINTAGE'!F182="Absent"),0),IF('POINTAGE'!$H$5&lt;&gt;"",--('POINTAGE'!H182="Absent"),0),IF('POINTAGE'!$J$5&lt;&gt;"",--('POINTAGE'!J182="Absent"),0),IF('POINTAGE'!$L$5&lt;&gt;"",--('POINTAGE'!L182="Absent"),0),IF('POINTAGE'!$N$5&lt;&gt;"",--('POINTAGE'!N182="Absent"),0),IF('POINTAGE'!$P$5&lt;&gt;"",--('POINTAGE'!P182="Absent"),0),IF('POINTAGE'!$R$5&lt;&gt;"",--('POINTAGE'!R182="Absent"),0),IF('POINTAGE'!$T$5&lt;&gt;"",--('POINTAGE'!T182="Absent"),0),IF('POINTAGE'!$V$5&lt;&gt;"",--('POINTAGE'!V182="Absent"),0),IF('POINTAGE'!$X$5&lt;&gt;"",--('POINTAGE'!X182="Absent"),0),IF('POINTAGE'!$Z$5&lt;&gt;"",--('POINTAGE'!Z182="Absent"),0),IF('POINTAGE'!$AB$5&lt;&gt;"",--('POINTAGE'!AB182="Absent"),0),IF('POINTAGE'!$AD$5&lt;&gt;"",--('POINTAGE'!AD182="Absent"),0),IF('POINTAGE'!$AF$5&lt;&gt;"",--('POINTAGE'!AF182="Absent"),0)))</f>
      </c>
      <c r="H182" s="23">
        <f>IF($A182="","",SUM(IF('POINTAGE'!$D$5&lt;&gt;"",IF('POINTAGE'!D182="Présent",'POINTAGE'!E182,0),0),IF('POINTAGE'!$F$5&lt;&gt;"",IF('POINTAGE'!F182="Présent",'POINTAGE'!G182,0),0),IF('POINTAGE'!$H$5&lt;&gt;"",IF('POINTAGE'!H182="Présent",'POINTAGE'!I182,0),0),IF('POINTAGE'!$J$5&lt;&gt;"",IF('POINTAGE'!J182="Présent",'POINTAGE'!K182,0),0),IF('POINTAGE'!$L$5&lt;&gt;"",IF('POINTAGE'!L182="Présent",'POINTAGE'!M182,0),0),IF('POINTAGE'!$N$5&lt;&gt;"",IF('POINTAGE'!N182="Présent",'POINTAGE'!O182,0),0),IF('POINTAGE'!$P$5&lt;&gt;"",IF('POINTAGE'!P182="Présent",'POINTAGE'!Q182,0),0),IF('POINTAGE'!$R$5&lt;&gt;"",IF('POINTAGE'!R182="Présent",'POINTAGE'!S182,0),0),IF('POINTAGE'!$T$5&lt;&gt;"",IF('POINTAGE'!T182="Présent",'POINTAGE'!U182,0),0),IF('POINTAGE'!$V$5&lt;&gt;"",IF('POINTAGE'!V182="Présent",'POINTAGE'!W182,0),0),IF('POINTAGE'!$X$5&lt;&gt;"",IF('POINTAGE'!X182="Présent",'POINTAGE'!Y182,0),0),IF('POINTAGE'!$Z$5&lt;&gt;"",IF('POINTAGE'!Z182="Présent",'POINTAGE'!AA182,0),0),IF('POINTAGE'!$AB$5&lt;&gt;"",IF('POINTAGE'!AB182="Présent",'POINTAGE'!AC182,0),0),IF('POINTAGE'!$AD$5&lt;&gt;"",IF('POINTAGE'!AD182="Présent",'POINTAGE'!AE182,0),0),IF('POINTAGE'!$AF$5&lt;&gt;"",IF('POINTAGE'!AF182="Présent",'POINTAGE'!AG182,0),0)))</f>
      </c>
      <c r="I182" s="24">
        <f>IF($A182="","",$F182*$D182)</f>
      </c>
      <c r="J182" s="24">
        <f>IF($A182="","",$H182*$E182)</f>
      </c>
      <c r="K182" s="25">
        <f>IF($A182="","",$I182+$J182)</f>
      </c>
      <c r="L182" s="18"/>
      <c r="M182" s="25">
        <f>IF($A182="","",MAX(0,$K182-$L182))</f>
      </c>
      <c r="N182" s="22">
        <f>IF($A182="","",SUM(IF('POINTAGE'!$AH$5&lt;&gt;"",--('POINTAGE'!AH182="Présent"),0),IF('POINTAGE'!$AJ$5&lt;&gt;"",--('POINTAGE'!AJ182="Présent"),0),IF('POINTAGE'!$AL$5&lt;&gt;"",--('POINTAGE'!AL182="Présent"),0),IF('POINTAGE'!$AN$5&lt;&gt;"",--('POINTAGE'!AN182="Présent"),0),IF('POINTAGE'!$AP$5&lt;&gt;"",--('POINTAGE'!AP182="Présent"),0),IF('POINTAGE'!$AR$5&lt;&gt;"",--('POINTAGE'!AR182="Présent"),0),IF('POINTAGE'!$AT$5&lt;&gt;"",--('POINTAGE'!AT182="Présent"),0),IF('POINTAGE'!$AV$5&lt;&gt;"",--('POINTAGE'!AV182="Présent"),0),IF('POINTAGE'!$AX$5&lt;&gt;"",--('POINTAGE'!AX182="Présent"),0),IF('POINTAGE'!$AZ$5&lt;&gt;"",--('POINTAGE'!AZ182="Présent"),0),IF('POINTAGE'!$BB$5&lt;&gt;"",--('POINTAGE'!BB182="Présent"),0),IF('POINTAGE'!$BD$5&lt;&gt;"",--('POINTAGE'!BD182="Présent"),0),IF('POINTAGE'!$BF$5&lt;&gt;"",--('POINTAGE'!BF182="Présent"),0),IF('POINTAGE'!$BH$5&lt;&gt;"",--('POINTAGE'!BH182="Présent"),0),IF('POINTAGE'!$BJ$5&lt;&gt;"",--('POINTAGE'!BJ182="Présent"),0),IF('POINTAGE'!$BL$5&lt;&gt;"",--('POINTAGE'!BL182="Présent"),0)))</f>
      </c>
      <c r="O182" s="22">
        <f>IF($A182="","",SUM(IF('POINTAGE'!$AH$5&lt;&gt;"",--('POINTAGE'!AH182="Absent"),0),IF('POINTAGE'!$AJ$5&lt;&gt;"",--('POINTAGE'!AJ182="Absent"),0),IF('POINTAGE'!$AL$5&lt;&gt;"",--('POINTAGE'!AL182="Absent"),0),IF('POINTAGE'!$AN$5&lt;&gt;"",--('POINTAGE'!AN182="Absent"),0),IF('POINTAGE'!$AP$5&lt;&gt;"",--('POINTAGE'!AP182="Absent"),0),IF('POINTAGE'!$AR$5&lt;&gt;"",--('POINTAGE'!AR182="Absent"),0),IF('POINTAGE'!$AT$5&lt;&gt;"",--('POINTAGE'!AT182="Absent"),0),IF('POINTAGE'!$AV$5&lt;&gt;"",--('POINTAGE'!AV182="Absent"),0),IF('POINTAGE'!$AX$5&lt;&gt;"",--('POINTAGE'!AX182="Absent"),0),IF('POINTAGE'!$AZ$5&lt;&gt;"",--('POINTAGE'!AZ182="Absent"),0),IF('POINTAGE'!$BB$5&lt;&gt;"",--('POINTAGE'!BB182="Absent"),0),IF('POINTAGE'!$BD$5&lt;&gt;"",--('POINTAGE'!BD182="Absent"),0),IF('POINTAGE'!$BF$5&lt;&gt;"",--('POINTAGE'!BF182="Absent"),0),IF('POINTAGE'!$BH$5&lt;&gt;"",--('POINTAGE'!BH182="Absent"),0),IF('POINTAGE'!$BJ$5&lt;&gt;"",--('POINTAGE'!BJ182="Absent"),0),IF('POINTAGE'!$BL$5&lt;&gt;"",--('POINTAGE'!BL182="Absent"),0)))</f>
      </c>
      <c r="P182" s="23">
        <f>IF($A182="","",SUM(IF('POINTAGE'!$AH$5&lt;&gt;"",IF('POINTAGE'!AH182="Présent",'POINTAGE'!AI182,0),0),IF('POINTAGE'!$AJ$5&lt;&gt;"",IF('POINTAGE'!AJ182="Présent",'POINTAGE'!AK182,0),0),IF('POINTAGE'!$AL$5&lt;&gt;"",IF('POINTAGE'!AL182="Présent",'POINTAGE'!AM182,0),0),IF('POINTAGE'!$AN$5&lt;&gt;"",IF('POINTAGE'!AN182="Présent",'POINTAGE'!AO182,0),0),IF('POINTAGE'!$AP$5&lt;&gt;"",IF('POINTAGE'!AP182="Présent",'POINTAGE'!AQ182,0),0),IF('POINTAGE'!$AR$5&lt;&gt;"",IF('POINTAGE'!AR182="Présent",'POINTAGE'!AS182,0),0),IF('POINTAGE'!$AT$5&lt;&gt;"",IF('POINTAGE'!AT182="Présent",'POINTAGE'!AU182,0),0),IF('POINTAGE'!$AV$5&lt;&gt;"",IF('POINTAGE'!AV182="Présent",'POINTAGE'!AW182,0),0),IF('POINTAGE'!$AX$5&lt;&gt;"",IF('POINTAGE'!AX182="Présent",'POINTAGE'!AY182,0),0),IF('POINTAGE'!$AZ$5&lt;&gt;"",IF('POINTAGE'!AZ182="Présent",'POINTAGE'!BA182,0),0),IF('POINTAGE'!$BB$5&lt;&gt;"",IF('POINTAGE'!BB182="Présent",'POINTAGE'!BC182,0),0),IF('POINTAGE'!$BD$5&lt;&gt;"",IF('POINTAGE'!BD182="Présent",'POINTAGE'!BE182,0),0),IF('POINTAGE'!$BF$5&lt;&gt;"",IF('POINTAGE'!BF182="Présent",'POINTAGE'!BG182,0),0),IF('POINTAGE'!$BH$5&lt;&gt;"",IF('POINTAGE'!BH182="Présent",'POINTAGE'!BI182,0),0),IF('POINTAGE'!$BJ$5&lt;&gt;"",IF('POINTAGE'!BJ182="Présent",'POINTAGE'!BK182,0),0),IF('POINTAGE'!$BL$5&lt;&gt;"",IF('POINTAGE'!BL182="Présent",'POINTAGE'!BM182,0),0)))</f>
      </c>
      <c r="Q182" s="24">
        <f>IF($A182="","",$N182*$D182)</f>
      </c>
      <c r="R182" s="24">
        <f>IF($A182="","",$P182*$E182)</f>
      </c>
      <c r="S182" s="25">
        <f>IF($A182="","",$Q182+$R182)</f>
      </c>
      <c r="T182" s="18"/>
      <c r="U182" s="25">
        <f>IF($A182="","",MAX(0,$S182-$T182))</f>
      </c>
      <c r="V182" s="25">
        <f>IF($A182="","",$K182+$S182)</f>
      </c>
      <c r="W182" s="24">
        <f>IF($A182="","",$L182+$T182)</f>
      </c>
      <c r="X182" s="25">
        <f>IF($A182="","",$M182+$U182)</f>
      </c>
      <c r="Y182" s="29">
        <f>IF($A182="","",$J182+$R182)</f>
      </c>
    </row>
    <row r="183">
      <c r="A183" s="20">
        <f>IF('POINTAGE'!A183="","",'POINTAGE'!A183)</f>
      </c>
      <c r="B183" s="19">
        <f>IF($A183="","",'POINTAGE'!B183)</f>
      </c>
      <c r="C183" s="20">
        <f>IF($A183="","",'POINTAGE'!C183)</f>
      </c>
      <c r="D183" s="24">
        <f>IF($A183="","",IFERROR(INDEX(Categories_Salaire,MATCH($C183,ListeCategories,0)),0))</f>
      </c>
      <c r="E183" s="24">
        <f>IF($A183="","",IF(IFERROR(INDEX(Categories_TauxHS,MATCH($C183,ListeCategories,0)),0)&gt;0,IFERROR(INDEX(Categories_TauxHS,MATCH($C183,ListeCategories,0)),0),TauxHSDefaut))</f>
      </c>
      <c r="F183" s="22">
        <f>IF($A183="","",SUM(IF('POINTAGE'!$D$5&lt;&gt;"",--('POINTAGE'!D183="Présent"),0),IF('POINTAGE'!$F$5&lt;&gt;"",--('POINTAGE'!F183="Présent"),0),IF('POINTAGE'!$H$5&lt;&gt;"",--('POINTAGE'!H183="Présent"),0),IF('POINTAGE'!$J$5&lt;&gt;"",--('POINTAGE'!J183="Présent"),0),IF('POINTAGE'!$L$5&lt;&gt;"",--('POINTAGE'!L183="Présent"),0),IF('POINTAGE'!$N$5&lt;&gt;"",--('POINTAGE'!N183="Présent"),0),IF('POINTAGE'!$P$5&lt;&gt;"",--('POINTAGE'!P183="Présent"),0),IF('POINTAGE'!$R$5&lt;&gt;"",--('POINTAGE'!R183="Présent"),0),IF('POINTAGE'!$T$5&lt;&gt;"",--('POINTAGE'!T183="Présent"),0),IF('POINTAGE'!$V$5&lt;&gt;"",--('POINTAGE'!V183="Présent"),0),IF('POINTAGE'!$X$5&lt;&gt;"",--('POINTAGE'!X183="Présent"),0),IF('POINTAGE'!$Z$5&lt;&gt;"",--('POINTAGE'!Z183="Présent"),0),IF('POINTAGE'!$AB$5&lt;&gt;"",--('POINTAGE'!AB183="Présent"),0),IF('POINTAGE'!$AD$5&lt;&gt;"",--('POINTAGE'!AD183="Présent"),0),IF('POINTAGE'!$AF$5&lt;&gt;"",--('POINTAGE'!AF183="Présent"),0)))</f>
      </c>
      <c r="G183" s="22">
        <f>IF($A183="","",SUM(IF('POINTAGE'!$D$5&lt;&gt;"",--('POINTAGE'!D183="Absent"),0),IF('POINTAGE'!$F$5&lt;&gt;"",--('POINTAGE'!F183="Absent"),0),IF('POINTAGE'!$H$5&lt;&gt;"",--('POINTAGE'!H183="Absent"),0),IF('POINTAGE'!$J$5&lt;&gt;"",--('POINTAGE'!J183="Absent"),0),IF('POINTAGE'!$L$5&lt;&gt;"",--('POINTAGE'!L183="Absent"),0),IF('POINTAGE'!$N$5&lt;&gt;"",--('POINTAGE'!N183="Absent"),0),IF('POINTAGE'!$P$5&lt;&gt;"",--('POINTAGE'!P183="Absent"),0),IF('POINTAGE'!$R$5&lt;&gt;"",--('POINTAGE'!R183="Absent"),0),IF('POINTAGE'!$T$5&lt;&gt;"",--('POINTAGE'!T183="Absent"),0),IF('POINTAGE'!$V$5&lt;&gt;"",--('POINTAGE'!V183="Absent"),0),IF('POINTAGE'!$X$5&lt;&gt;"",--('POINTAGE'!X183="Absent"),0),IF('POINTAGE'!$Z$5&lt;&gt;"",--('POINTAGE'!Z183="Absent"),0),IF('POINTAGE'!$AB$5&lt;&gt;"",--('POINTAGE'!AB183="Absent"),0),IF('POINTAGE'!$AD$5&lt;&gt;"",--('POINTAGE'!AD183="Absent"),0),IF('POINTAGE'!$AF$5&lt;&gt;"",--('POINTAGE'!AF183="Absent"),0)))</f>
      </c>
      <c r="H183" s="23">
        <f>IF($A183="","",SUM(IF('POINTAGE'!$D$5&lt;&gt;"",IF('POINTAGE'!D183="Présent",'POINTAGE'!E183,0),0),IF('POINTAGE'!$F$5&lt;&gt;"",IF('POINTAGE'!F183="Présent",'POINTAGE'!G183,0),0),IF('POINTAGE'!$H$5&lt;&gt;"",IF('POINTAGE'!H183="Présent",'POINTAGE'!I183,0),0),IF('POINTAGE'!$J$5&lt;&gt;"",IF('POINTAGE'!J183="Présent",'POINTAGE'!K183,0),0),IF('POINTAGE'!$L$5&lt;&gt;"",IF('POINTAGE'!L183="Présent",'POINTAGE'!M183,0),0),IF('POINTAGE'!$N$5&lt;&gt;"",IF('POINTAGE'!N183="Présent",'POINTAGE'!O183,0),0),IF('POINTAGE'!$P$5&lt;&gt;"",IF('POINTAGE'!P183="Présent",'POINTAGE'!Q183,0),0),IF('POINTAGE'!$R$5&lt;&gt;"",IF('POINTAGE'!R183="Présent",'POINTAGE'!S183,0),0),IF('POINTAGE'!$T$5&lt;&gt;"",IF('POINTAGE'!T183="Présent",'POINTAGE'!U183,0),0),IF('POINTAGE'!$V$5&lt;&gt;"",IF('POINTAGE'!V183="Présent",'POINTAGE'!W183,0),0),IF('POINTAGE'!$X$5&lt;&gt;"",IF('POINTAGE'!X183="Présent",'POINTAGE'!Y183,0),0),IF('POINTAGE'!$Z$5&lt;&gt;"",IF('POINTAGE'!Z183="Présent",'POINTAGE'!AA183,0),0),IF('POINTAGE'!$AB$5&lt;&gt;"",IF('POINTAGE'!AB183="Présent",'POINTAGE'!AC183,0),0),IF('POINTAGE'!$AD$5&lt;&gt;"",IF('POINTAGE'!AD183="Présent",'POINTAGE'!AE183,0),0),IF('POINTAGE'!$AF$5&lt;&gt;"",IF('POINTAGE'!AF183="Présent",'POINTAGE'!AG183,0),0)))</f>
      </c>
      <c r="I183" s="24">
        <f>IF($A183="","",$F183*$D183)</f>
      </c>
      <c r="J183" s="24">
        <f>IF($A183="","",$H183*$E183)</f>
      </c>
      <c r="K183" s="25">
        <f>IF($A183="","",$I183+$J183)</f>
      </c>
      <c r="L183" s="18"/>
      <c r="M183" s="25">
        <f>IF($A183="","",MAX(0,$K183-$L183))</f>
      </c>
      <c r="N183" s="22">
        <f>IF($A183="","",SUM(IF('POINTAGE'!$AH$5&lt;&gt;"",--('POINTAGE'!AH183="Présent"),0),IF('POINTAGE'!$AJ$5&lt;&gt;"",--('POINTAGE'!AJ183="Présent"),0),IF('POINTAGE'!$AL$5&lt;&gt;"",--('POINTAGE'!AL183="Présent"),0),IF('POINTAGE'!$AN$5&lt;&gt;"",--('POINTAGE'!AN183="Présent"),0),IF('POINTAGE'!$AP$5&lt;&gt;"",--('POINTAGE'!AP183="Présent"),0),IF('POINTAGE'!$AR$5&lt;&gt;"",--('POINTAGE'!AR183="Présent"),0),IF('POINTAGE'!$AT$5&lt;&gt;"",--('POINTAGE'!AT183="Présent"),0),IF('POINTAGE'!$AV$5&lt;&gt;"",--('POINTAGE'!AV183="Présent"),0),IF('POINTAGE'!$AX$5&lt;&gt;"",--('POINTAGE'!AX183="Présent"),0),IF('POINTAGE'!$AZ$5&lt;&gt;"",--('POINTAGE'!AZ183="Présent"),0),IF('POINTAGE'!$BB$5&lt;&gt;"",--('POINTAGE'!BB183="Présent"),0),IF('POINTAGE'!$BD$5&lt;&gt;"",--('POINTAGE'!BD183="Présent"),0),IF('POINTAGE'!$BF$5&lt;&gt;"",--('POINTAGE'!BF183="Présent"),0),IF('POINTAGE'!$BH$5&lt;&gt;"",--('POINTAGE'!BH183="Présent"),0),IF('POINTAGE'!$BJ$5&lt;&gt;"",--('POINTAGE'!BJ183="Présent"),0),IF('POINTAGE'!$BL$5&lt;&gt;"",--('POINTAGE'!BL183="Présent"),0)))</f>
      </c>
      <c r="O183" s="22">
        <f>IF($A183="","",SUM(IF('POINTAGE'!$AH$5&lt;&gt;"",--('POINTAGE'!AH183="Absent"),0),IF('POINTAGE'!$AJ$5&lt;&gt;"",--('POINTAGE'!AJ183="Absent"),0),IF('POINTAGE'!$AL$5&lt;&gt;"",--('POINTAGE'!AL183="Absent"),0),IF('POINTAGE'!$AN$5&lt;&gt;"",--('POINTAGE'!AN183="Absent"),0),IF('POINTAGE'!$AP$5&lt;&gt;"",--('POINTAGE'!AP183="Absent"),0),IF('POINTAGE'!$AR$5&lt;&gt;"",--('POINTAGE'!AR183="Absent"),0),IF('POINTAGE'!$AT$5&lt;&gt;"",--('POINTAGE'!AT183="Absent"),0),IF('POINTAGE'!$AV$5&lt;&gt;"",--('POINTAGE'!AV183="Absent"),0),IF('POINTAGE'!$AX$5&lt;&gt;"",--('POINTAGE'!AX183="Absent"),0),IF('POINTAGE'!$AZ$5&lt;&gt;"",--('POINTAGE'!AZ183="Absent"),0),IF('POINTAGE'!$BB$5&lt;&gt;"",--('POINTAGE'!BB183="Absent"),0),IF('POINTAGE'!$BD$5&lt;&gt;"",--('POINTAGE'!BD183="Absent"),0),IF('POINTAGE'!$BF$5&lt;&gt;"",--('POINTAGE'!BF183="Absent"),0),IF('POINTAGE'!$BH$5&lt;&gt;"",--('POINTAGE'!BH183="Absent"),0),IF('POINTAGE'!$BJ$5&lt;&gt;"",--('POINTAGE'!BJ183="Absent"),0),IF('POINTAGE'!$BL$5&lt;&gt;"",--('POINTAGE'!BL183="Absent"),0)))</f>
      </c>
      <c r="P183" s="23">
        <f>IF($A183="","",SUM(IF('POINTAGE'!$AH$5&lt;&gt;"",IF('POINTAGE'!AH183="Présent",'POINTAGE'!AI183,0),0),IF('POINTAGE'!$AJ$5&lt;&gt;"",IF('POINTAGE'!AJ183="Présent",'POINTAGE'!AK183,0),0),IF('POINTAGE'!$AL$5&lt;&gt;"",IF('POINTAGE'!AL183="Présent",'POINTAGE'!AM183,0),0),IF('POINTAGE'!$AN$5&lt;&gt;"",IF('POINTAGE'!AN183="Présent",'POINTAGE'!AO183,0),0),IF('POINTAGE'!$AP$5&lt;&gt;"",IF('POINTAGE'!AP183="Présent",'POINTAGE'!AQ183,0),0),IF('POINTAGE'!$AR$5&lt;&gt;"",IF('POINTAGE'!AR183="Présent",'POINTAGE'!AS183,0),0),IF('POINTAGE'!$AT$5&lt;&gt;"",IF('POINTAGE'!AT183="Présent",'POINTAGE'!AU183,0),0),IF('POINTAGE'!$AV$5&lt;&gt;"",IF('POINTAGE'!AV183="Présent",'POINTAGE'!AW183,0),0),IF('POINTAGE'!$AX$5&lt;&gt;"",IF('POINTAGE'!AX183="Présent",'POINTAGE'!AY183,0),0),IF('POINTAGE'!$AZ$5&lt;&gt;"",IF('POINTAGE'!AZ183="Présent",'POINTAGE'!BA183,0),0),IF('POINTAGE'!$BB$5&lt;&gt;"",IF('POINTAGE'!BB183="Présent",'POINTAGE'!BC183,0),0),IF('POINTAGE'!$BD$5&lt;&gt;"",IF('POINTAGE'!BD183="Présent",'POINTAGE'!BE183,0),0),IF('POINTAGE'!$BF$5&lt;&gt;"",IF('POINTAGE'!BF183="Présent",'POINTAGE'!BG183,0),0),IF('POINTAGE'!$BH$5&lt;&gt;"",IF('POINTAGE'!BH183="Présent",'POINTAGE'!BI183,0),0),IF('POINTAGE'!$BJ$5&lt;&gt;"",IF('POINTAGE'!BJ183="Présent",'POINTAGE'!BK183,0),0),IF('POINTAGE'!$BL$5&lt;&gt;"",IF('POINTAGE'!BL183="Présent",'POINTAGE'!BM183,0),0)))</f>
      </c>
      <c r="Q183" s="24">
        <f>IF($A183="","",$N183*$D183)</f>
      </c>
      <c r="R183" s="24">
        <f>IF($A183="","",$P183*$E183)</f>
      </c>
      <c r="S183" s="25">
        <f>IF($A183="","",$Q183+$R183)</f>
      </c>
      <c r="T183" s="18"/>
      <c r="U183" s="25">
        <f>IF($A183="","",MAX(0,$S183-$T183))</f>
      </c>
      <c r="V183" s="25">
        <f>IF($A183="","",$K183+$S183)</f>
      </c>
      <c r="W183" s="24">
        <f>IF($A183="","",$L183+$T183)</f>
      </c>
      <c r="X183" s="25">
        <f>IF($A183="","",$M183+$U183)</f>
      </c>
      <c r="Y183" s="29">
        <f>IF($A183="","",$J183+$R183)</f>
      </c>
    </row>
    <row r="184">
      <c r="A184" s="20">
        <f>IF('POINTAGE'!A184="","",'POINTAGE'!A184)</f>
      </c>
      <c r="B184" s="19">
        <f>IF($A184="","",'POINTAGE'!B184)</f>
      </c>
      <c r="C184" s="20">
        <f>IF($A184="","",'POINTAGE'!C184)</f>
      </c>
      <c r="D184" s="24">
        <f>IF($A184="","",IFERROR(INDEX(Categories_Salaire,MATCH($C184,ListeCategories,0)),0))</f>
      </c>
      <c r="E184" s="24">
        <f>IF($A184="","",IF(IFERROR(INDEX(Categories_TauxHS,MATCH($C184,ListeCategories,0)),0)&gt;0,IFERROR(INDEX(Categories_TauxHS,MATCH($C184,ListeCategories,0)),0),TauxHSDefaut))</f>
      </c>
      <c r="F184" s="22">
        <f>IF($A184="","",SUM(IF('POINTAGE'!$D$5&lt;&gt;"",--('POINTAGE'!D184="Présent"),0),IF('POINTAGE'!$F$5&lt;&gt;"",--('POINTAGE'!F184="Présent"),0),IF('POINTAGE'!$H$5&lt;&gt;"",--('POINTAGE'!H184="Présent"),0),IF('POINTAGE'!$J$5&lt;&gt;"",--('POINTAGE'!J184="Présent"),0),IF('POINTAGE'!$L$5&lt;&gt;"",--('POINTAGE'!L184="Présent"),0),IF('POINTAGE'!$N$5&lt;&gt;"",--('POINTAGE'!N184="Présent"),0),IF('POINTAGE'!$P$5&lt;&gt;"",--('POINTAGE'!P184="Présent"),0),IF('POINTAGE'!$R$5&lt;&gt;"",--('POINTAGE'!R184="Présent"),0),IF('POINTAGE'!$T$5&lt;&gt;"",--('POINTAGE'!T184="Présent"),0),IF('POINTAGE'!$V$5&lt;&gt;"",--('POINTAGE'!V184="Présent"),0),IF('POINTAGE'!$X$5&lt;&gt;"",--('POINTAGE'!X184="Présent"),0),IF('POINTAGE'!$Z$5&lt;&gt;"",--('POINTAGE'!Z184="Présent"),0),IF('POINTAGE'!$AB$5&lt;&gt;"",--('POINTAGE'!AB184="Présent"),0),IF('POINTAGE'!$AD$5&lt;&gt;"",--('POINTAGE'!AD184="Présent"),0),IF('POINTAGE'!$AF$5&lt;&gt;"",--('POINTAGE'!AF184="Présent"),0)))</f>
      </c>
      <c r="G184" s="22">
        <f>IF($A184="","",SUM(IF('POINTAGE'!$D$5&lt;&gt;"",--('POINTAGE'!D184="Absent"),0),IF('POINTAGE'!$F$5&lt;&gt;"",--('POINTAGE'!F184="Absent"),0),IF('POINTAGE'!$H$5&lt;&gt;"",--('POINTAGE'!H184="Absent"),0),IF('POINTAGE'!$J$5&lt;&gt;"",--('POINTAGE'!J184="Absent"),0),IF('POINTAGE'!$L$5&lt;&gt;"",--('POINTAGE'!L184="Absent"),0),IF('POINTAGE'!$N$5&lt;&gt;"",--('POINTAGE'!N184="Absent"),0),IF('POINTAGE'!$P$5&lt;&gt;"",--('POINTAGE'!P184="Absent"),0),IF('POINTAGE'!$R$5&lt;&gt;"",--('POINTAGE'!R184="Absent"),0),IF('POINTAGE'!$T$5&lt;&gt;"",--('POINTAGE'!T184="Absent"),0),IF('POINTAGE'!$V$5&lt;&gt;"",--('POINTAGE'!V184="Absent"),0),IF('POINTAGE'!$X$5&lt;&gt;"",--('POINTAGE'!X184="Absent"),0),IF('POINTAGE'!$Z$5&lt;&gt;"",--('POINTAGE'!Z184="Absent"),0),IF('POINTAGE'!$AB$5&lt;&gt;"",--('POINTAGE'!AB184="Absent"),0),IF('POINTAGE'!$AD$5&lt;&gt;"",--('POINTAGE'!AD184="Absent"),0),IF('POINTAGE'!$AF$5&lt;&gt;"",--('POINTAGE'!AF184="Absent"),0)))</f>
      </c>
      <c r="H184" s="23">
        <f>IF($A184="","",SUM(IF('POINTAGE'!$D$5&lt;&gt;"",IF('POINTAGE'!D184="Présent",'POINTAGE'!E184,0),0),IF('POINTAGE'!$F$5&lt;&gt;"",IF('POINTAGE'!F184="Présent",'POINTAGE'!G184,0),0),IF('POINTAGE'!$H$5&lt;&gt;"",IF('POINTAGE'!H184="Présent",'POINTAGE'!I184,0),0),IF('POINTAGE'!$J$5&lt;&gt;"",IF('POINTAGE'!J184="Présent",'POINTAGE'!K184,0),0),IF('POINTAGE'!$L$5&lt;&gt;"",IF('POINTAGE'!L184="Présent",'POINTAGE'!M184,0),0),IF('POINTAGE'!$N$5&lt;&gt;"",IF('POINTAGE'!N184="Présent",'POINTAGE'!O184,0),0),IF('POINTAGE'!$P$5&lt;&gt;"",IF('POINTAGE'!P184="Présent",'POINTAGE'!Q184,0),0),IF('POINTAGE'!$R$5&lt;&gt;"",IF('POINTAGE'!R184="Présent",'POINTAGE'!S184,0),0),IF('POINTAGE'!$T$5&lt;&gt;"",IF('POINTAGE'!T184="Présent",'POINTAGE'!U184,0),0),IF('POINTAGE'!$V$5&lt;&gt;"",IF('POINTAGE'!V184="Présent",'POINTAGE'!W184,0),0),IF('POINTAGE'!$X$5&lt;&gt;"",IF('POINTAGE'!X184="Présent",'POINTAGE'!Y184,0),0),IF('POINTAGE'!$Z$5&lt;&gt;"",IF('POINTAGE'!Z184="Présent",'POINTAGE'!AA184,0),0),IF('POINTAGE'!$AB$5&lt;&gt;"",IF('POINTAGE'!AB184="Présent",'POINTAGE'!AC184,0),0),IF('POINTAGE'!$AD$5&lt;&gt;"",IF('POINTAGE'!AD184="Présent",'POINTAGE'!AE184,0),0),IF('POINTAGE'!$AF$5&lt;&gt;"",IF('POINTAGE'!AF184="Présent",'POINTAGE'!AG184,0),0)))</f>
      </c>
      <c r="I184" s="24">
        <f>IF($A184="","",$F184*$D184)</f>
      </c>
      <c r="J184" s="24">
        <f>IF($A184="","",$H184*$E184)</f>
      </c>
      <c r="K184" s="25">
        <f>IF($A184="","",$I184+$J184)</f>
      </c>
      <c r="L184" s="18"/>
      <c r="M184" s="25">
        <f>IF($A184="","",MAX(0,$K184-$L184))</f>
      </c>
      <c r="N184" s="22">
        <f>IF($A184="","",SUM(IF('POINTAGE'!$AH$5&lt;&gt;"",--('POINTAGE'!AH184="Présent"),0),IF('POINTAGE'!$AJ$5&lt;&gt;"",--('POINTAGE'!AJ184="Présent"),0),IF('POINTAGE'!$AL$5&lt;&gt;"",--('POINTAGE'!AL184="Présent"),0),IF('POINTAGE'!$AN$5&lt;&gt;"",--('POINTAGE'!AN184="Présent"),0),IF('POINTAGE'!$AP$5&lt;&gt;"",--('POINTAGE'!AP184="Présent"),0),IF('POINTAGE'!$AR$5&lt;&gt;"",--('POINTAGE'!AR184="Présent"),0),IF('POINTAGE'!$AT$5&lt;&gt;"",--('POINTAGE'!AT184="Présent"),0),IF('POINTAGE'!$AV$5&lt;&gt;"",--('POINTAGE'!AV184="Présent"),0),IF('POINTAGE'!$AX$5&lt;&gt;"",--('POINTAGE'!AX184="Présent"),0),IF('POINTAGE'!$AZ$5&lt;&gt;"",--('POINTAGE'!AZ184="Présent"),0),IF('POINTAGE'!$BB$5&lt;&gt;"",--('POINTAGE'!BB184="Présent"),0),IF('POINTAGE'!$BD$5&lt;&gt;"",--('POINTAGE'!BD184="Présent"),0),IF('POINTAGE'!$BF$5&lt;&gt;"",--('POINTAGE'!BF184="Présent"),0),IF('POINTAGE'!$BH$5&lt;&gt;"",--('POINTAGE'!BH184="Présent"),0),IF('POINTAGE'!$BJ$5&lt;&gt;"",--('POINTAGE'!BJ184="Présent"),0),IF('POINTAGE'!$BL$5&lt;&gt;"",--('POINTAGE'!BL184="Présent"),0)))</f>
      </c>
      <c r="O184" s="22">
        <f>IF($A184="","",SUM(IF('POINTAGE'!$AH$5&lt;&gt;"",--('POINTAGE'!AH184="Absent"),0),IF('POINTAGE'!$AJ$5&lt;&gt;"",--('POINTAGE'!AJ184="Absent"),0),IF('POINTAGE'!$AL$5&lt;&gt;"",--('POINTAGE'!AL184="Absent"),0),IF('POINTAGE'!$AN$5&lt;&gt;"",--('POINTAGE'!AN184="Absent"),0),IF('POINTAGE'!$AP$5&lt;&gt;"",--('POINTAGE'!AP184="Absent"),0),IF('POINTAGE'!$AR$5&lt;&gt;"",--('POINTAGE'!AR184="Absent"),0),IF('POINTAGE'!$AT$5&lt;&gt;"",--('POINTAGE'!AT184="Absent"),0),IF('POINTAGE'!$AV$5&lt;&gt;"",--('POINTAGE'!AV184="Absent"),0),IF('POINTAGE'!$AX$5&lt;&gt;"",--('POINTAGE'!AX184="Absent"),0),IF('POINTAGE'!$AZ$5&lt;&gt;"",--('POINTAGE'!AZ184="Absent"),0),IF('POINTAGE'!$BB$5&lt;&gt;"",--('POINTAGE'!BB184="Absent"),0),IF('POINTAGE'!$BD$5&lt;&gt;"",--('POINTAGE'!BD184="Absent"),0),IF('POINTAGE'!$BF$5&lt;&gt;"",--('POINTAGE'!BF184="Absent"),0),IF('POINTAGE'!$BH$5&lt;&gt;"",--('POINTAGE'!BH184="Absent"),0),IF('POINTAGE'!$BJ$5&lt;&gt;"",--('POINTAGE'!BJ184="Absent"),0),IF('POINTAGE'!$BL$5&lt;&gt;"",--('POINTAGE'!BL184="Absent"),0)))</f>
      </c>
      <c r="P184" s="23">
        <f>IF($A184="","",SUM(IF('POINTAGE'!$AH$5&lt;&gt;"",IF('POINTAGE'!AH184="Présent",'POINTAGE'!AI184,0),0),IF('POINTAGE'!$AJ$5&lt;&gt;"",IF('POINTAGE'!AJ184="Présent",'POINTAGE'!AK184,0),0),IF('POINTAGE'!$AL$5&lt;&gt;"",IF('POINTAGE'!AL184="Présent",'POINTAGE'!AM184,0),0),IF('POINTAGE'!$AN$5&lt;&gt;"",IF('POINTAGE'!AN184="Présent",'POINTAGE'!AO184,0),0),IF('POINTAGE'!$AP$5&lt;&gt;"",IF('POINTAGE'!AP184="Présent",'POINTAGE'!AQ184,0),0),IF('POINTAGE'!$AR$5&lt;&gt;"",IF('POINTAGE'!AR184="Présent",'POINTAGE'!AS184,0),0),IF('POINTAGE'!$AT$5&lt;&gt;"",IF('POINTAGE'!AT184="Présent",'POINTAGE'!AU184,0),0),IF('POINTAGE'!$AV$5&lt;&gt;"",IF('POINTAGE'!AV184="Présent",'POINTAGE'!AW184,0),0),IF('POINTAGE'!$AX$5&lt;&gt;"",IF('POINTAGE'!AX184="Présent",'POINTAGE'!AY184,0),0),IF('POINTAGE'!$AZ$5&lt;&gt;"",IF('POINTAGE'!AZ184="Présent",'POINTAGE'!BA184,0),0),IF('POINTAGE'!$BB$5&lt;&gt;"",IF('POINTAGE'!BB184="Présent",'POINTAGE'!BC184,0),0),IF('POINTAGE'!$BD$5&lt;&gt;"",IF('POINTAGE'!BD184="Présent",'POINTAGE'!BE184,0),0),IF('POINTAGE'!$BF$5&lt;&gt;"",IF('POINTAGE'!BF184="Présent",'POINTAGE'!BG184,0),0),IF('POINTAGE'!$BH$5&lt;&gt;"",IF('POINTAGE'!BH184="Présent",'POINTAGE'!BI184,0),0),IF('POINTAGE'!$BJ$5&lt;&gt;"",IF('POINTAGE'!BJ184="Présent",'POINTAGE'!BK184,0),0),IF('POINTAGE'!$BL$5&lt;&gt;"",IF('POINTAGE'!BL184="Présent",'POINTAGE'!BM184,0),0)))</f>
      </c>
      <c r="Q184" s="24">
        <f>IF($A184="","",$N184*$D184)</f>
      </c>
      <c r="R184" s="24">
        <f>IF($A184="","",$P184*$E184)</f>
      </c>
      <c r="S184" s="25">
        <f>IF($A184="","",$Q184+$R184)</f>
      </c>
      <c r="T184" s="18"/>
      <c r="U184" s="25">
        <f>IF($A184="","",MAX(0,$S184-$T184))</f>
      </c>
      <c r="V184" s="25">
        <f>IF($A184="","",$K184+$S184)</f>
      </c>
      <c r="W184" s="24">
        <f>IF($A184="","",$L184+$T184)</f>
      </c>
      <c r="X184" s="25">
        <f>IF($A184="","",$M184+$U184)</f>
      </c>
      <c r="Y184" s="29">
        <f>IF($A184="","",$J184+$R184)</f>
      </c>
    </row>
    <row r="185">
      <c r="A185" s="20">
        <f>IF('POINTAGE'!A185="","",'POINTAGE'!A185)</f>
      </c>
      <c r="B185" s="19">
        <f>IF($A185="","",'POINTAGE'!B185)</f>
      </c>
      <c r="C185" s="20">
        <f>IF($A185="","",'POINTAGE'!C185)</f>
      </c>
      <c r="D185" s="24">
        <f>IF($A185="","",IFERROR(INDEX(Categories_Salaire,MATCH($C185,ListeCategories,0)),0))</f>
      </c>
      <c r="E185" s="24">
        <f>IF($A185="","",IF(IFERROR(INDEX(Categories_TauxHS,MATCH($C185,ListeCategories,0)),0)&gt;0,IFERROR(INDEX(Categories_TauxHS,MATCH($C185,ListeCategories,0)),0),TauxHSDefaut))</f>
      </c>
      <c r="F185" s="22">
        <f>IF($A185="","",SUM(IF('POINTAGE'!$D$5&lt;&gt;"",--('POINTAGE'!D185="Présent"),0),IF('POINTAGE'!$F$5&lt;&gt;"",--('POINTAGE'!F185="Présent"),0),IF('POINTAGE'!$H$5&lt;&gt;"",--('POINTAGE'!H185="Présent"),0),IF('POINTAGE'!$J$5&lt;&gt;"",--('POINTAGE'!J185="Présent"),0),IF('POINTAGE'!$L$5&lt;&gt;"",--('POINTAGE'!L185="Présent"),0),IF('POINTAGE'!$N$5&lt;&gt;"",--('POINTAGE'!N185="Présent"),0),IF('POINTAGE'!$P$5&lt;&gt;"",--('POINTAGE'!P185="Présent"),0),IF('POINTAGE'!$R$5&lt;&gt;"",--('POINTAGE'!R185="Présent"),0),IF('POINTAGE'!$T$5&lt;&gt;"",--('POINTAGE'!T185="Présent"),0),IF('POINTAGE'!$V$5&lt;&gt;"",--('POINTAGE'!V185="Présent"),0),IF('POINTAGE'!$X$5&lt;&gt;"",--('POINTAGE'!X185="Présent"),0),IF('POINTAGE'!$Z$5&lt;&gt;"",--('POINTAGE'!Z185="Présent"),0),IF('POINTAGE'!$AB$5&lt;&gt;"",--('POINTAGE'!AB185="Présent"),0),IF('POINTAGE'!$AD$5&lt;&gt;"",--('POINTAGE'!AD185="Présent"),0),IF('POINTAGE'!$AF$5&lt;&gt;"",--('POINTAGE'!AF185="Présent"),0)))</f>
      </c>
      <c r="G185" s="22">
        <f>IF($A185="","",SUM(IF('POINTAGE'!$D$5&lt;&gt;"",--('POINTAGE'!D185="Absent"),0),IF('POINTAGE'!$F$5&lt;&gt;"",--('POINTAGE'!F185="Absent"),0),IF('POINTAGE'!$H$5&lt;&gt;"",--('POINTAGE'!H185="Absent"),0),IF('POINTAGE'!$J$5&lt;&gt;"",--('POINTAGE'!J185="Absent"),0),IF('POINTAGE'!$L$5&lt;&gt;"",--('POINTAGE'!L185="Absent"),0),IF('POINTAGE'!$N$5&lt;&gt;"",--('POINTAGE'!N185="Absent"),0),IF('POINTAGE'!$P$5&lt;&gt;"",--('POINTAGE'!P185="Absent"),0),IF('POINTAGE'!$R$5&lt;&gt;"",--('POINTAGE'!R185="Absent"),0),IF('POINTAGE'!$T$5&lt;&gt;"",--('POINTAGE'!T185="Absent"),0),IF('POINTAGE'!$V$5&lt;&gt;"",--('POINTAGE'!V185="Absent"),0),IF('POINTAGE'!$X$5&lt;&gt;"",--('POINTAGE'!X185="Absent"),0),IF('POINTAGE'!$Z$5&lt;&gt;"",--('POINTAGE'!Z185="Absent"),0),IF('POINTAGE'!$AB$5&lt;&gt;"",--('POINTAGE'!AB185="Absent"),0),IF('POINTAGE'!$AD$5&lt;&gt;"",--('POINTAGE'!AD185="Absent"),0),IF('POINTAGE'!$AF$5&lt;&gt;"",--('POINTAGE'!AF185="Absent"),0)))</f>
      </c>
      <c r="H185" s="23">
        <f>IF($A185="","",SUM(IF('POINTAGE'!$D$5&lt;&gt;"",IF('POINTAGE'!D185="Présent",'POINTAGE'!E185,0),0),IF('POINTAGE'!$F$5&lt;&gt;"",IF('POINTAGE'!F185="Présent",'POINTAGE'!G185,0),0),IF('POINTAGE'!$H$5&lt;&gt;"",IF('POINTAGE'!H185="Présent",'POINTAGE'!I185,0),0),IF('POINTAGE'!$J$5&lt;&gt;"",IF('POINTAGE'!J185="Présent",'POINTAGE'!K185,0),0),IF('POINTAGE'!$L$5&lt;&gt;"",IF('POINTAGE'!L185="Présent",'POINTAGE'!M185,0),0),IF('POINTAGE'!$N$5&lt;&gt;"",IF('POINTAGE'!N185="Présent",'POINTAGE'!O185,0),0),IF('POINTAGE'!$P$5&lt;&gt;"",IF('POINTAGE'!P185="Présent",'POINTAGE'!Q185,0),0),IF('POINTAGE'!$R$5&lt;&gt;"",IF('POINTAGE'!R185="Présent",'POINTAGE'!S185,0),0),IF('POINTAGE'!$T$5&lt;&gt;"",IF('POINTAGE'!T185="Présent",'POINTAGE'!U185,0),0),IF('POINTAGE'!$V$5&lt;&gt;"",IF('POINTAGE'!V185="Présent",'POINTAGE'!W185,0),0),IF('POINTAGE'!$X$5&lt;&gt;"",IF('POINTAGE'!X185="Présent",'POINTAGE'!Y185,0),0),IF('POINTAGE'!$Z$5&lt;&gt;"",IF('POINTAGE'!Z185="Présent",'POINTAGE'!AA185,0),0),IF('POINTAGE'!$AB$5&lt;&gt;"",IF('POINTAGE'!AB185="Présent",'POINTAGE'!AC185,0),0),IF('POINTAGE'!$AD$5&lt;&gt;"",IF('POINTAGE'!AD185="Présent",'POINTAGE'!AE185,0),0),IF('POINTAGE'!$AF$5&lt;&gt;"",IF('POINTAGE'!AF185="Présent",'POINTAGE'!AG185,0),0)))</f>
      </c>
      <c r="I185" s="24">
        <f>IF($A185="","",$F185*$D185)</f>
      </c>
      <c r="J185" s="24">
        <f>IF($A185="","",$H185*$E185)</f>
      </c>
      <c r="K185" s="25">
        <f>IF($A185="","",$I185+$J185)</f>
      </c>
      <c r="L185" s="18"/>
      <c r="M185" s="25">
        <f>IF($A185="","",MAX(0,$K185-$L185))</f>
      </c>
      <c r="N185" s="22">
        <f>IF($A185="","",SUM(IF('POINTAGE'!$AH$5&lt;&gt;"",--('POINTAGE'!AH185="Présent"),0),IF('POINTAGE'!$AJ$5&lt;&gt;"",--('POINTAGE'!AJ185="Présent"),0),IF('POINTAGE'!$AL$5&lt;&gt;"",--('POINTAGE'!AL185="Présent"),0),IF('POINTAGE'!$AN$5&lt;&gt;"",--('POINTAGE'!AN185="Présent"),0),IF('POINTAGE'!$AP$5&lt;&gt;"",--('POINTAGE'!AP185="Présent"),0),IF('POINTAGE'!$AR$5&lt;&gt;"",--('POINTAGE'!AR185="Présent"),0),IF('POINTAGE'!$AT$5&lt;&gt;"",--('POINTAGE'!AT185="Présent"),0),IF('POINTAGE'!$AV$5&lt;&gt;"",--('POINTAGE'!AV185="Présent"),0),IF('POINTAGE'!$AX$5&lt;&gt;"",--('POINTAGE'!AX185="Présent"),0),IF('POINTAGE'!$AZ$5&lt;&gt;"",--('POINTAGE'!AZ185="Présent"),0),IF('POINTAGE'!$BB$5&lt;&gt;"",--('POINTAGE'!BB185="Présent"),0),IF('POINTAGE'!$BD$5&lt;&gt;"",--('POINTAGE'!BD185="Présent"),0),IF('POINTAGE'!$BF$5&lt;&gt;"",--('POINTAGE'!BF185="Présent"),0),IF('POINTAGE'!$BH$5&lt;&gt;"",--('POINTAGE'!BH185="Présent"),0),IF('POINTAGE'!$BJ$5&lt;&gt;"",--('POINTAGE'!BJ185="Présent"),0),IF('POINTAGE'!$BL$5&lt;&gt;"",--('POINTAGE'!BL185="Présent"),0)))</f>
      </c>
      <c r="O185" s="22">
        <f>IF($A185="","",SUM(IF('POINTAGE'!$AH$5&lt;&gt;"",--('POINTAGE'!AH185="Absent"),0),IF('POINTAGE'!$AJ$5&lt;&gt;"",--('POINTAGE'!AJ185="Absent"),0),IF('POINTAGE'!$AL$5&lt;&gt;"",--('POINTAGE'!AL185="Absent"),0),IF('POINTAGE'!$AN$5&lt;&gt;"",--('POINTAGE'!AN185="Absent"),0),IF('POINTAGE'!$AP$5&lt;&gt;"",--('POINTAGE'!AP185="Absent"),0),IF('POINTAGE'!$AR$5&lt;&gt;"",--('POINTAGE'!AR185="Absent"),0),IF('POINTAGE'!$AT$5&lt;&gt;"",--('POINTAGE'!AT185="Absent"),0),IF('POINTAGE'!$AV$5&lt;&gt;"",--('POINTAGE'!AV185="Absent"),0),IF('POINTAGE'!$AX$5&lt;&gt;"",--('POINTAGE'!AX185="Absent"),0),IF('POINTAGE'!$AZ$5&lt;&gt;"",--('POINTAGE'!AZ185="Absent"),0),IF('POINTAGE'!$BB$5&lt;&gt;"",--('POINTAGE'!BB185="Absent"),0),IF('POINTAGE'!$BD$5&lt;&gt;"",--('POINTAGE'!BD185="Absent"),0),IF('POINTAGE'!$BF$5&lt;&gt;"",--('POINTAGE'!BF185="Absent"),0),IF('POINTAGE'!$BH$5&lt;&gt;"",--('POINTAGE'!BH185="Absent"),0),IF('POINTAGE'!$BJ$5&lt;&gt;"",--('POINTAGE'!BJ185="Absent"),0),IF('POINTAGE'!$BL$5&lt;&gt;"",--('POINTAGE'!BL185="Absent"),0)))</f>
      </c>
      <c r="P185" s="23">
        <f>IF($A185="","",SUM(IF('POINTAGE'!$AH$5&lt;&gt;"",IF('POINTAGE'!AH185="Présent",'POINTAGE'!AI185,0),0),IF('POINTAGE'!$AJ$5&lt;&gt;"",IF('POINTAGE'!AJ185="Présent",'POINTAGE'!AK185,0),0),IF('POINTAGE'!$AL$5&lt;&gt;"",IF('POINTAGE'!AL185="Présent",'POINTAGE'!AM185,0),0),IF('POINTAGE'!$AN$5&lt;&gt;"",IF('POINTAGE'!AN185="Présent",'POINTAGE'!AO185,0),0),IF('POINTAGE'!$AP$5&lt;&gt;"",IF('POINTAGE'!AP185="Présent",'POINTAGE'!AQ185,0),0),IF('POINTAGE'!$AR$5&lt;&gt;"",IF('POINTAGE'!AR185="Présent",'POINTAGE'!AS185,0),0),IF('POINTAGE'!$AT$5&lt;&gt;"",IF('POINTAGE'!AT185="Présent",'POINTAGE'!AU185,0),0),IF('POINTAGE'!$AV$5&lt;&gt;"",IF('POINTAGE'!AV185="Présent",'POINTAGE'!AW185,0),0),IF('POINTAGE'!$AX$5&lt;&gt;"",IF('POINTAGE'!AX185="Présent",'POINTAGE'!AY185,0),0),IF('POINTAGE'!$AZ$5&lt;&gt;"",IF('POINTAGE'!AZ185="Présent",'POINTAGE'!BA185,0),0),IF('POINTAGE'!$BB$5&lt;&gt;"",IF('POINTAGE'!BB185="Présent",'POINTAGE'!BC185,0),0),IF('POINTAGE'!$BD$5&lt;&gt;"",IF('POINTAGE'!BD185="Présent",'POINTAGE'!BE185,0),0),IF('POINTAGE'!$BF$5&lt;&gt;"",IF('POINTAGE'!BF185="Présent",'POINTAGE'!BG185,0),0),IF('POINTAGE'!$BH$5&lt;&gt;"",IF('POINTAGE'!BH185="Présent",'POINTAGE'!BI185,0),0),IF('POINTAGE'!$BJ$5&lt;&gt;"",IF('POINTAGE'!BJ185="Présent",'POINTAGE'!BK185,0),0),IF('POINTAGE'!$BL$5&lt;&gt;"",IF('POINTAGE'!BL185="Présent",'POINTAGE'!BM185,0),0)))</f>
      </c>
      <c r="Q185" s="24">
        <f>IF($A185="","",$N185*$D185)</f>
      </c>
      <c r="R185" s="24">
        <f>IF($A185="","",$P185*$E185)</f>
      </c>
      <c r="S185" s="25">
        <f>IF($A185="","",$Q185+$R185)</f>
      </c>
      <c r="T185" s="18"/>
      <c r="U185" s="25">
        <f>IF($A185="","",MAX(0,$S185-$T185))</f>
      </c>
      <c r="V185" s="25">
        <f>IF($A185="","",$K185+$S185)</f>
      </c>
      <c r="W185" s="24">
        <f>IF($A185="","",$L185+$T185)</f>
      </c>
      <c r="X185" s="25">
        <f>IF($A185="","",$M185+$U185)</f>
      </c>
      <c r="Y185" s="29">
        <f>IF($A185="","",$J185+$R185)</f>
      </c>
    </row>
    <row r="186">
      <c r="A186" s="20">
        <f>IF('POINTAGE'!A186="","",'POINTAGE'!A186)</f>
      </c>
      <c r="B186" s="19">
        <f>IF($A186="","",'POINTAGE'!B186)</f>
      </c>
      <c r="C186" s="20">
        <f>IF($A186="","",'POINTAGE'!C186)</f>
      </c>
      <c r="D186" s="24">
        <f>IF($A186="","",IFERROR(INDEX(Categories_Salaire,MATCH($C186,ListeCategories,0)),0))</f>
      </c>
      <c r="E186" s="24">
        <f>IF($A186="","",IF(IFERROR(INDEX(Categories_TauxHS,MATCH($C186,ListeCategories,0)),0)&gt;0,IFERROR(INDEX(Categories_TauxHS,MATCH($C186,ListeCategories,0)),0),TauxHSDefaut))</f>
      </c>
      <c r="F186" s="22">
        <f>IF($A186="","",SUM(IF('POINTAGE'!$D$5&lt;&gt;"",--('POINTAGE'!D186="Présent"),0),IF('POINTAGE'!$F$5&lt;&gt;"",--('POINTAGE'!F186="Présent"),0),IF('POINTAGE'!$H$5&lt;&gt;"",--('POINTAGE'!H186="Présent"),0),IF('POINTAGE'!$J$5&lt;&gt;"",--('POINTAGE'!J186="Présent"),0),IF('POINTAGE'!$L$5&lt;&gt;"",--('POINTAGE'!L186="Présent"),0),IF('POINTAGE'!$N$5&lt;&gt;"",--('POINTAGE'!N186="Présent"),0),IF('POINTAGE'!$P$5&lt;&gt;"",--('POINTAGE'!P186="Présent"),0),IF('POINTAGE'!$R$5&lt;&gt;"",--('POINTAGE'!R186="Présent"),0),IF('POINTAGE'!$T$5&lt;&gt;"",--('POINTAGE'!T186="Présent"),0),IF('POINTAGE'!$V$5&lt;&gt;"",--('POINTAGE'!V186="Présent"),0),IF('POINTAGE'!$X$5&lt;&gt;"",--('POINTAGE'!X186="Présent"),0),IF('POINTAGE'!$Z$5&lt;&gt;"",--('POINTAGE'!Z186="Présent"),0),IF('POINTAGE'!$AB$5&lt;&gt;"",--('POINTAGE'!AB186="Présent"),0),IF('POINTAGE'!$AD$5&lt;&gt;"",--('POINTAGE'!AD186="Présent"),0),IF('POINTAGE'!$AF$5&lt;&gt;"",--('POINTAGE'!AF186="Présent"),0)))</f>
      </c>
      <c r="G186" s="22">
        <f>IF($A186="","",SUM(IF('POINTAGE'!$D$5&lt;&gt;"",--('POINTAGE'!D186="Absent"),0),IF('POINTAGE'!$F$5&lt;&gt;"",--('POINTAGE'!F186="Absent"),0),IF('POINTAGE'!$H$5&lt;&gt;"",--('POINTAGE'!H186="Absent"),0),IF('POINTAGE'!$J$5&lt;&gt;"",--('POINTAGE'!J186="Absent"),0),IF('POINTAGE'!$L$5&lt;&gt;"",--('POINTAGE'!L186="Absent"),0),IF('POINTAGE'!$N$5&lt;&gt;"",--('POINTAGE'!N186="Absent"),0),IF('POINTAGE'!$P$5&lt;&gt;"",--('POINTAGE'!P186="Absent"),0),IF('POINTAGE'!$R$5&lt;&gt;"",--('POINTAGE'!R186="Absent"),0),IF('POINTAGE'!$T$5&lt;&gt;"",--('POINTAGE'!T186="Absent"),0),IF('POINTAGE'!$V$5&lt;&gt;"",--('POINTAGE'!V186="Absent"),0),IF('POINTAGE'!$X$5&lt;&gt;"",--('POINTAGE'!X186="Absent"),0),IF('POINTAGE'!$Z$5&lt;&gt;"",--('POINTAGE'!Z186="Absent"),0),IF('POINTAGE'!$AB$5&lt;&gt;"",--('POINTAGE'!AB186="Absent"),0),IF('POINTAGE'!$AD$5&lt;&gt;"",--('POINTAGE'!AD186="Absent"),0),IF('POINTAGE'!$AF$5&lt;&gt;"",--('POINTAGE'!AF186="Absent"),0)))</f>
      </c>
      <c r="H186" s="23">
        <f>IF($A186="","",SUM(IF('POINTAGE'!$D$5&lt;&gt;"",IF('POINTAGE'!D186="Présent",'POINTAGE'!E186,0),0),IF('POINTAGE'!$F$5&lt;&gt;"",IF('POINTAGE'!F186="Présent",'POINTAGE'!G186,0),0),IF('POINTAGE'!$H$5&lt;&gt;"",IF('POINTAGE'!H186="Présent",'POINTAGE'!I186,0),0),IF('POINTAGE'!$J$5&lt;&gt;"",IF('POINTAGE'!J186="Présent",'POINTAGE'!K186,0),0),IF('POINTAGE'!$L$5&lt;&gt;"",IF('POINTAGE'!L186="Présent",'POINTAGE'!M186,0),0),IF('POINTAGE'!$N$5&lt;&gt;"",IF('POINTAGE'!N186="Présent",'POINTAGE'!O186,0),0),IF('POINTAGE'!$P$5&lt;&gt;"",IF('POINTAGE'!P186="Présent",'POINTAGE'!Q186,0),0),IF('POINTAGE'!$R$5&lt;&gt;"",IF('POINTAGE'!R186="Présent",'POINTAGE'!S186,0),0),IF('POINTAGE'!$T$5&lt;&gt;"",IF('POINTAGE'!T186="Présent",'POINTAGE'!U186,0),0),IF('POINTAGE'!$V$5&lt;&gt;"",IF('POINTAGE'!V186="Présent",'POINTAGE'!W186,0),0),IF('POINTAGE'!$X$5&lt;&gt;"",IF('POINTAGE'!X186="Présent",'POINTAGE'!Y186,0),0),IF('POINTAGE'!$Z$5&lt;&gt;"",IF('POINTAGE'!Z186="Présent",'POINTAGE'!AA186,0),0),IF('POINTAGE'!$AB$5&lt;&gt;"",IF('POINTAGE'!AB186="Présent",'POINTAGE'!AC186,0),0),IF('POINTAGE'!$AD$5&lt;&gt;"",IF('POINTAGE'!AD186="Présent",'POINTAGE'!AE186,0),0),IF('POINTAGE'!$AF$5&lt;&gt;"",IF('POINTAGE'!AF186="Présent",'POINTAGE'!AG186,0),0)))</f>
      </c>
      <c r="I186" s="24">
        <f>IF($A186="","",$F186*$D186)</f>
      </c>
      <c r="J186" s="24">
        <f>IF($A186="","",$H186*$E186)</f>
      </c>
      <c r="K186" s="25">
        <f>IF($A186="","",$I186+$J186)</f>
      </c>
      <c r="L186" s="18"/>
      <c r="M186" s="25">
        <f>IF($A186="","",MAX(0,$K186-$L186))</f>
      </c>
      <c r="N186" s="22">
        <f>IF($A186="","",SUM(IF('POINTAGE'!$AH$5&lt;&gt;"",--('POINTAGE'!AH186="Présent"),0),IF('POINTAGE'!$AJ$5&lt;&gt;"",--('POINTAGE'!AJ186="Présent"),0),IF('POINTAGE'!$AL$5&lt;&gt;"",--('POINTAGE'!AL186="Présent"),0),IF('POINTAGE'!$AN$5&lt;&gt;"",--('POINTAGE'!AN186="Présent"),0),IF('POINTAGE'!$AP$5&lt;&gt;"",--('POINTAGE'!AP186="Présent"),0),IF('POINTAGE'!$AR$5&lt;&gt;"",--('POINTAGE'!AR186="Présent"),0),IF('POINTAGE'!$AT$5&lt;&gt;"",--('POINTAGE'!AT186="Présent"),0),IF('POINTAGE'!$AV$5&lt;&gt;"",--('POINTAGE'!AV186="Présent"),0),IF('POINTAGE'!$AX$5&lt;&gt;"",--('POINTAGE'!AX186="Présent"),0),IF('POINTAGE'!$AZ$5&lt;&gt;"",--('POINTAGE'!AZ186="Présent"),0),IF('POINTAGE'!$BB$5&lt;&gt;"",--('POINTAGE'!BB186="Présent"),0),IF('POINTAGE'!$BD$5&lt;&gt;"",--('POINTAGE'!BD186="Présent"),0),IF('POINTAGE'!$BF$5&lt;&gt;"",--('POINTAGE'!BF186="Présent"),0),IF('POINTAGE'!$BH$5&lt;&gt;"",--('POINTAGE'!BH186="Présent"),0),IF('POINTAGE'!$BJ$5&lt;&gt;"",--('POINTAGE'!BJ186="Présent"),0),IF('POINTAGE'!$BL$5&lt;&gt;"",--('POINTAGE'!BL186="Présent"),0)))</f>
      </c>
      <c r="O186" s="22">
        <f>IF($A186="","",SUM(IF('POINTAGE'!$AH$5&lt;&gt;"",--('POINTAGE'!AH186="Absent"),0),IF('POINTAGE'!$AJ$5&lt;&gt;"",--('POINTAGE'!AJ186="Absent"),0),IF('POINTAGE'!$AL$5&lt;&gt;"",--('POINTAGE'!AL186="Absent"),0),IF('POINTAGE'!$AN$5&lt;&gt;"",--('POINTAGE'!AN186="Absent"),0),IF('POINTAGE'!$AP$5&lt;&gt;"",--('POINTAGE'!AP186="Absent"),0),IF('POINTAGE'!$AR$5&lt;&gt;"",--('POINTAGE'!AR186="Absent"),0),IF('POINTAGE'!$AT$5&lt;&gt;"",--('POINTAGE'!AT186="Absent"),0),IF('POINTAGE'!$AV$5&lt;&gt;"",--('POINTAGE'!AV186="Absent"),0),IF('POINTAGE'!$AX$5&lt;&gt;"",--('POINTAGE'!AX186="Absent"),0),IF('POINTAGE'!$AZ$5&lt;&gt;"",--('POINTAGE'!AZ186="Absent"),0),IF('POINTAGE'!$BB$5&lt;&gt;"",--('POINTAGE'!BB186="Absent"),0),IF('POINTAGE'!$BD$5&lt;&gt;"",--('POINTAGE'!BD186="Absent"),0),IF('POINTAGE'!$BF$5&lt;&gt;"",--('POINTAGE'!BF186="Absent"),0),IF('POINTAGE'!$BH$5&lt;&gt;"",--('POINTAGE'!BH186="Absent"),0),IF('POINTAGE'!$BJ$5&lt;&gt;"",--('POINTAGE'!BJ186="Absent"),0),IF('POINTAGE'!$BL$5&lt;&gt;"",--('POINTAGE'!BL186="Absent"),0)))</f>
      </c>
      <c r="P186" s="23">
        <f>IF($A186="","",SUM(IF('POINTAGE'!$AH$5&lt;&gt;"",IF('POINTAGE'!AH186="Présent",'POINTAGE'!AI186,0),0),IF('POINTAGE'!$AJ$5&lt;&gt;"",IF('POINTAGE'!AJ186="Présent",'POINTAGE'!AK186,0),0),IF('POINTAGE'!$AL$5&lt;&gt;"",IF('POINTAGE'!AL186="Présent",'POINTAGE'!AM186,0),0),IF('POINTAGE'!$AN$5&lt;&gt;"",IF('POINTAGE'!AN186="Présent",'POINTAGE'!AO186,0),0),IF('POINTAGE'!$AP$5&lt;&gt;"",IF('POINTAGE'!AP186="Présent",'POINTAGE'!AQ186,0),0),IF('POINTAGE'!$AR$5&lt;&gt;"",IF('POINTAGE'!AR186="Présent",'POINTAGE'!AS186,0),0),IF('POINTAGE'!$AT$5&lt;&gt;"",IF('POINTAGE'!AT186="Présent",'POINTAGE'!AU186,0),0),IF('POINTAGE'!$AV$5&lt;&gt;"",IF('POINTAGE'!AV186="Présent",'POINTAGE'!AW186,0),0),IF('POINTAGE'!$AX$5&lt;&gt;"",IF('POINTAGE'!AX186="Présent",'POINTAGE'!AY186,0),0),IF('POINTAGE'!$AZ$5&lt;&gt;"",IF('POINTAGE'!AZ186="Présent",'POINTAGE'!BA186,0),0),IF('POINTAGE'!$BB$5&lt;&gt;"",IF('POINTAGE'!BB186="Présent",'POINTAGE'!BC186,0),0),IF('POINTAGE'!$BD$5&lt;&gt;"",IF('POINTAGE'!BD186="Présent",'POINTAGE'!BE186,0),0),IF('POINTAGE'!$BF$5&lt;&gt;"",IF('POINTAGE'!BF186="Présent",'POINTAGE'!BG186,0),0),IF('POINTAGE'!$BH$5&lt;&gt;"",IF('POINTAGE'!BH186="Présent",'POINTAGE'!BI186,0),0),IF('POINTAGE'!$BJ$5&lt;&gt;"",IF('POINTAGE'!BJ186="Présent",'POINTAGE'!BK186,0),0),IF('POINTAGE'!$BL$5&lt;&gt;"",IF('POINTAGE'!BL186="Présent",'POINTAGE'!BM186,0),0)))</f>
      </c>
      <c r="Q186" s="24">
        <f>IF($A186="","",$N186*$D186)</f>
      </c>
      <c r="R186" s="24">
        <f>IF($A186="","",$P186*$E186)</f>
      </c>
      <c r="S186" s="25">
        <f>IF($A186="","",$Q186+$R186)</f>
      </c>
      <c r="T186" s="18"/>
      <c r="U186" s="25">
        <f>IF($A186="","",MAX(0,$S186-$T186))</f>
      </c>
      <c r="V186" s="25">
        <f>IF($A186="","",$K186+$S186)</f>
      </c>
      <c r="W186" s="24">
        <f>IF($A186="","",$L186+$T186)</f>
      </c>
      <c r="X186" s="25">
        <f>IF($A186="","",$M186+$U186)</f>
      </c>
      <c r="Y186" s="29">
        <f>IF($A186="","",$J186+$R186)</f>
      </c>
    </row>
    <row r="187">
      <c r="A187" s="20">
        <f>IF('POINTAGE'!A187="","",'POINTAGE'!A187)</f>
      </c>
      <c r="B187" s="19">
        <f>IF($A187="","",'POINTAGE'!B187)</f>
      </c>
      <c r="C187" s="20">
        <f>IF($A187="","",'POINTAGE'!C187)</f>
      </c>
      <c r="D187" s="24">
        <f>IF($A187="","",IFERROR(INDEX(Categories_Salaire,MATCH($C187,ListeCategories,0)),0))</f>
      </c>
      <c r="E187" s="24">
        <f>IF($A187="","",IF(IFERROR(INDEX(Categories_TauxHS,MATCH($C187,ListeCategories,0)),0)&gt;0,IFERROR(INDEX(Categories_TauxHS,MATCH($C187,ListeCategories,0)),0),TauxHSDefaut))</f>
      </c>
      <c r="F187" s="22">
        <f>IF($A187="","",SUM(IF('POINTAGE'!$D$5&lt;&gt;"",--('POINTAGE'!D187="Présent"),0),IF('POINTAGE'!$F$5&lt;&gt;"",--('POINTAGE'!F187="Présent"),0),IF('POINTAGE'!$H$5&lt;&gt;"",--('POINTAGE'!H187="Présent"),0),IF('POINTAGE'!$J$5&lt;&gt;"",--('POINTAGE'!J187="Présent"),0),IF('POINTAGE'!$L$5&lt;&gt;"",--('POINTAGE'!L187="Présent"),0),IF('POINTAGE'!$N$5&lt;&gt;"",--('POINTAGE'!N187="Présent"),0),IF('POINTAGE'!$P$5&lt;&gt;"",--('POINTAGE'!P187="Présent"),0),IF('POINTAGE'!$R$5&lt;&gt;"",--('POINTAGE'!R187="Présent"),0),IF('POINTAGE'!$T$5&lt;&gt;"",--('POINTAGE'!T187="Présent"),0),IF('POINTAGE'!$V$5&lt;&gt;"",--('POINTAGE'!V187="Présent"),0),IF('POINTAGE'!$X$5&lt;&gt;"",--('POINTAGE'!X187="Présent"),0),IF('POINTAGE'!$Z$5&lt;&gt;"",--('POINTAGE'!Z187="Présent"),0),IF('POINTAGE'!$AB$5&lt;&gt;"",--('POINTAGE'!AB187="Présent"),0),IF('POINTAGE'!$AD$5&lt;&gt;"",--('POINTAGE'!AD187="Présent"),0),IF('POINTAGE'!$AF$5&lt;&gt;"",--('POINTAGE'!AF187="Présent"),0)))</f>
      </c>
      <c r="G187" s="22">
        <f>IF($A187="","",SUM(IF('POINTAGE'!$D$5&lt;&gt;"",--('POINTAGE'!D187="Absent"),0),IF('POINTAGE'!$F$5&lt;&gt;"",--('POINTAGE'!F187="Absent"),0),IF('POINTAGE'!$H$5&lt;&gt;"",--('POINTAGE'!H187="Absent"),0),IF('POINTAGE'!$J$5&lt;&gt;"",--('POINTAGE'!J187="Absent"),0),IF('POINTAGE'!$L$5&lt;&gt;"",--('POINTAGE'!L187="Absent"),0),IF('POINTAGE'!$N$5&lt;&gt;"",--('POINTAGE'!N187="Absent"),0),IF('POINTAGE'!$P$5&lt;&gt;"",--('POINTAGE'!P187="Absent"),0),IF('POINTAGE'!$R$5&lt;&gt;"",--('POINTAGE'!R187="Absent"),0),IF('POINTAGE'!$T$5&lt;&gt;"",--('POINTAGE'!T187="Absent"),0),IF('POINTAGE'!$V$5&lt;&gt;"",--('POINTAGE'!V187="Absent"),0),IF('POINTAGE'!$X$5&lt;&gt;"",--('POINTAGE'!X187="Absent"),0),IF('POINTAGE'!$Z$5&lt;&gt;"",--('POINTAGE'!Z187="Absent"),0),IF('POINTAGE'!$AB$5&lt;&gt;"",--('POINTAGE'!AB187="Absent"),0),IF('POINTAGE'!$AD$5&lt;&gt;"",--('POINTAGE'!AD187="Absent"),0),IF('POINTAGE'!$AF$5&lt;&gt;"",--('POINTAGE'!AF187="Absent"),0)))</f>
      </c>
      <c r="H187" s="23">
        <f>IF($A187="","",SUM(IF('POINTAGE'!$D$5&lt;&gt;"",IF('POINTAGE'!D187="Présent",'POINTAGE'!E187,0),0),IF('POINTAGE'!$F$5&lt;&gt;"",IF('POINTAGE'!F187="Présent",'POINTAGE'!G187,0),0),IF('POINTAGE'!$H$5&lt;&gt;"",IF('POINTAGE'!H187="Présent",'POINTAGE'!I187,0),0),IF('POINTAGE'!$J$5&lt;&gt;"",IF('POINTAGE'!J187="Présent",'POINTAGE'!K187,0),0),IF('POINTAGE'!$L$5&lt;&gt;"",IF('POINTAGE'!L187="Présent",'POINTAGE'!M187,0),0),IF('POINTAGE'!$N$5&lt;&gt;"",IF('POINTAGE'!N187="Présent",'POINTAGE'!O187,0),0),IF('POINTAGE'!$P$5&lt;&gt;"",IF('POINTAGE'!P187="Présent",'POINTAGE'!Q187,0),0),IF('POINTAGE'!$R$5&lt;&gt;"",IF('POINTAGE'!R187="Présent",'POINTAGE'!S187,0),0),IF('POINTAGE'!$T$5&lt;&gt;"",IF('POINTAGE'!T187="Présent",'POINTAGE'!U187,0),0),IF('POINTAGE'!$V$5&lt;&gt;"",IF('POINTAGE'!V187="Présent",'POINTAGE'!W187,0),0),IF('POINTAGE'!$X$5&lt;&gt;"",IF('POINTAGE'!X187="Présent",'POINTAGE'!Y187,0),0),IF('POINTAGE'!$Z$5&lt;&gt;"",IF('POINTAGE'!Z187="Présent",'POINTAGE'!AA187,0),0),IF('POINTAGE'!$AB$5&lt;&gt;"",IF('POINTAGE'!AB187="Présent",'POINTAGE'!AC187,0),0),IF('POINTAGE'!$AD$5&lt;&gt;"",IF('POINTAGE'!AD187="Présent",'POINTAGE'!AE187,0),0),IF('POINTAGE'!$AF$5&lt;&gt;"",IF('POINTAGE'!AF187="Présent",'POINTAGE'!AG187,0),0)))</f>
      </c>
      <c r="I187" s="24">
        <f>IF($A187="","",$F187*$D187)</f>
      </c>
      <c r="J187" s="24">
        <f>IF($A187="","",$H187*$E187)</f>
      </c>
      <c r="K187" s="25">
        <f>IF($A187="","",$I187+$J187)</f>
      </c>
      <c r="L187" s="18"/>
      <c r="M187" s="25">
        <f>IF($A187="","",MAX(0,$K187-$L187))</f>
      </c>
      <c r="N187" s="22">
        <f>IF($A187="","",SUM(IF('POINTAGE'!$AH$5&lt;&gt;"",--('POINTAGE'!AH187="Présent"),0),IF('POINTAGE'!$AJ$5&lt;&gt;"",--('POINTAGE'!AJ187="Présent"),0),IF('POINTAGE'!$AL$5&lt;&gt;"",--('POINTAGE'!AL187="Présent"),0),IF('POINTAGE'!$AN$5&lt;&gt;"",--('POINTAGE'!AN187="Présent"),0),IF('POINTAGE'!$AP$5&lt;&gt;"",--('POINTAGE'!AP187="Présent"),0),IF('POINTAGE'!$AR$5&lt;&gt;"",--('POINTAGE'!AR187="Présent"),0),IF('POINTAGE'!$AT$5&lt;&gt;"",--('POINTAGE'!AT187="Présent"),0),IF('POINTAGE'!$AV$5&lt;&gt;"",--('POINTAGE'!AV187="Présent"),0),IF('POINTAGE'!$AX$5&lt;&gt;"",--('POINTAGE'!AX187="Présent"),0),IF('POINTAGE'!$AZ$5&lt;&gt;"",--('POINTAGE'!AZ187="Présent"),0),IF('POINTAGE'!$BB$5&lt;&gt;"",--('POINTAGE'!BB187="Présent"),0),IF('POINTAGE'!$BD$5&lt;&gt;"",--('POINTAGE'!BD187="Présent"),0),IF('POINTAGE'!$BF$5&lt;&gt;"",--('POINTAGE'!BF187="Présent"),0),IF('POINTAGE'!$BH$5&lt;&gt;"",--('POINTAGE'!BH187="Présent"),0),IF('POINTAGE'!$BJ$5&lt;&gt;"",--('POINTAGE'!BJ187="Présent"),0),IF('POINTAGE'!$BL$5&lt;&gt;"",--('POINTAGE'!BL187="Présent"),0)))</f>
      </c>
      <c r="O187" s="22">
        <f>IF($A187="","",SUM(IF('POINTAGE'!$AH$5&lt;&gt;"",--('POINTAGE'!AH187="Absent"),0),IF('POINTAGE'!$AJ$5&lt;&gt;"",--('POINTAGE'!AJ187="Absent"),0),IF('POINTAGE'!$AL$5&lt;&gt;"",--('POINTAGE'!AL187="Absent"),0),IF('POINTAGE'!$AN$5&lt;&gt;"",--('POINTAGE'!AN187="Absent"),0),IF('POINTAGE'!$AP$5&lt;&gt;"",--('POINTAGE'!AP187="Absent"),0),IF('POINTAGE'!$AR$5&lt;&gt;"",--('POINTAGE'!AR187="Absent"),0),IF('POINTAGE'!$AT$5&lt;&gt;"",--('POINTAGE'!AT187="Absent"),0),IF('POINTAGE'!$AV$5&lt;&gt;"",--('POINTAGE'!AV187="Absent"),0),IF('POINTAGE'!$AX$5&lt;&gt;"",--('POINTAGE'!AX187="Absent"),0),IF('POINTAGE'!$AZ$5&lt;&gt;"",--('POINTAGE'!AZ187="Absent"),0),IF('POINTAGE'!$BB$5&lt;&gt;"",--('POINTAGE'!BB187="Absent"),0),IF('POINTAGE'!$BD$5&lt;&gt;"",--('POINTAGE'!BD187="Absent"),0),IF('POINTAGE'!$BF$5&lt;&gt;"",--('POINTAGE'!BF187="Absent"),0),IF('POINTAGE'!$BH$5&lt;&gt;"",--('POINTAGE'!BH187="Absent"),0),IF('POINTAGE'!$BJ$5&lt;&gt;"",--('POINTAGE'!BJ187="Absent"),0),IF('POINTAGE'!$BL$5&lt;&gt;"",--('POINTAGE'!BL187="Absent"),0)))</f>
      </c>
      <c r="P187" s="23">
        <f>IF($A187="","",SUM(IF('POINTAGE'!$AH$5&lt;&gt;"",IF('POINTAGE'!AH187="Présent",'POINTAGE'!AI187,0),0),IF('POINTAGE'!$AJ$5&lt;&gt;"",IF('POINTAGE'!AJ187="Présent",'POINTAGE'!AK187,0),0),IF('POINTAGE'!$AL$5&lt;&gt;"",IF('POINTAGE'!AL187="Présent",'POINTAGE'!AM187,0),0),IF('POINTAGE'!$AN$5&lt;&gt;"",IF('POINTAGE'!AN187="Présent",'POINTAGE'!AO187,0),0),IF('POINTAGE'!$AP$5&lt;&gt;"",IF('POINTAGE'!AP187="Présent",'POINTAGE'!AQ187,0),0),IF('POINTAGE'!$AR$5&lt;&gt;"",IF('POINTAGE'!AR187="Présent",'POINTAGE'!AS187,0),0),IF('POINTAGE'!$AT$5&lt;&gt;"",IF('POINTAGE'!AT187="Présent",'POINTAGE'!AU187,0),0),IF('POINTAGE'!$AV$5&lt;&gt;"",IF('POINTAGE'!AV187="Présent",'POINTAGE'!AW187,0),0),IF('POINTAGE'!$AX$5&lt;&gt;"",IF('POINTAGE'!AX187="Présent",'POINTAGE'!AY187,0),0),IF('POINTAGE'!$AZ$5&lt;&gt;"",IF('POINTAGE'!AZ187="Présent",'POINTAGE'!BA187,0),0),IF('POINTAGE'!$BB$5&lt;&gt;"",IF('POINTAGE'!BB187="Présent",'POINTAGE'!BC187,0),0),IF('POINTAGE'!$BD$5&lt;&gt;"",IF('POINTAGE'!BD187="Présent",'POINTAGE'!BE187,0),0),IF('POINTAGE'!$BF$5&lt;&gt;"",IF('POINTAGE'!BF187="Présent",'POINTAGE'!BG187,0),0),IF('POINTAGE'!$BH$5&lt;&gt;"",IF('POINTAGE'!BH187="Présent",'POINTAGE'!BI187,0),0),IF('POINTAGE'!$BJ$5&lt;&gt;"",IF('POINTAGE'!BJ187="Présent",'POINTAGE'!BK187,0),0),IF('POINTAGE'!$BL$5&lt;&gt;"",IF('POINTAGE'!BL187="Présent",'POINTAGE'!BM187,0),0)))</f>
      </c>
      <c r="Q187" s="24">
        <f>IF($A187="","",$N187*$D187)</f>
      </c>
      <c r="R187" s="24">
        <f>IF($A187="","",$P187*$E187)</f>
      </c>
      <c r="S187" s="25">
        <f>IF($A187="","",$Q187+$R187)</f>
      </c>
      <c r="T187" s="18"/>
      <c r="U187" s="25">
        <f>IF($A187="","",MAX(0,$S187-$T187))</f>
      </c>
      <c r="V187" s="25">
        <f>IF($A187="","",$K187+$S187)</f>
      </c>
      <c r="W187" s="24">
        <f>IF($A187="","",$L187+$T187)</f>
      </c>
      <c r="X187" s="25">
        <f>IF($A187="","",$M187+$U187)</f>
      </c>
      <c r="Y187" s="29">
        <f>IF($A187="","",$J187+$R187)</f>
      </c>
    </row>
    <row r="188">
      <c r="A188" s="20">
        <f>IF('POINTAGE'!A188="","",'POINTAGE'!A188)</f>
      </c>
      <c r="B188" s="19">
        <f>IF($A188="","",'POINTAGE'!B188)</f>
      </c>
      <c r="C188" s="20">
        <f>IF($A188="","",'POINTAGE'!C188)</f>
      </c>
      <c r="D188" s="24">
        <f>IF($A188="","",IFERROR(INDEX(Categories_Salaire,MATCH($C188,ListeCategories,0)),0))</f>
      </c>
      <c r="E188" s="24">
        <f>IF($A188="","",IF(IFERROR(INDEX(Categories_TauxHS,MATCH($C188,ListeCategories,0)),0)&gt;0,IFERROR(INDEX(Categories_TauxHS,MATCH($C188,ListeCategories,0)),0),TauxHSDefaut))</f>
      </c>
      <c r="F188" s="22">
        <f>IF($A188="","",SUM(IF('POINTAGE'!$D$5&lt;&gt;"",--('POINTAGE'!D188="Présent"),0),IF('POINTAGE'!$F$5&lt;&gt;"",--('POINTAGE'!F188="Présent"),0),IF('POINTAGE'!$H$5&lt;&gt;"",--('POINTAGE'!H188="Présent"),0),IF('POINTAGE'!$J$5&lt;&gt;"",--('POINTAGE'!J188="Présent"),0),IF('POINTAGE'!$L$5&lt;&gt;"",--('POINTAGE'!L188="Présent"),0),IF('POINTAGE'!$N$5&lt;&gt;"",--('POINTAGE'!N188="Présent"),0),IF('POINTAGE'!$P$5&lt;&gt;"",--('POINTAGE'!P188="Présent"),0),IF('POINTAGE'!$R$5&lt;&gt;"",--('POINTAGE'!R188="Présent"),0),IF('POINTAGE'!$T$5&lt;&gt;"",--('POINTAGE'!T188="Présent"),0),IF('POINTAGE'!$V$5&lt;&gt;"",--('POINTAGE'!V188="Présent"),0),IF('POINTAGE'!$X$5&lt;&gt;"",--('POINTAGE'!X188="Présent"),0),IF('POINTAGE'!$Z$5&lt;&gt;"",--('POINTAGE'!Z188="Présent"),0),IF('POINTAGE'!$AB$5&lt;&gt;"",--('POINTAGE'!AB188="Présent"),0),IF('POINTAGE'!$AD$5&lt;&gt;"",--('POINTAGE'!AD188="Présent"),0),IF('POINTAGE'!$AF$5&lt;&gt;"",--('POINTAGE'!AF188="Présent"),0)))</f>
      </c>
      <c r="G188" s="22">
        <f>IF($A188="","",SUM(IF('POINTAGE'!$D$5&lt;&gt;"",--('POINTAGE'!D188="Absent"),0),IF('POINTAGE'!$F$5&lt;&gt;"",--('POINTAGE'!F188="Absent"),0),IF('POINTAGE'!$H$5&lt;&gt;"",--('POINTAGE'!H188="Absent"),0),IF('POINTAGE'!$J$5&lt;&gt;"",--('POINTAGE'!J188="Absent"),0),IF('POINTAGE'!$L$5&lt;&gt;"",--('POINTAGE'!L188="Absent"),0),IF('POINTAGE'!$N$5&lt;&gt;"",--('POINTAGE'!N188="Absent"),0),IF('POINTAGE'!$P$5&lt;&gt;"",--('POINTAGE'!P188="Absent"),0),IF('POINTAGE'!$R$5&lt;&gt;"",--('POINTAGE'!R188="Absent"),0),IF('POINTAGE'!$T$5&lt;&gt;"",--('POINTAGE'!T188="Absent"),0),IF('POINTAGE'!$V$5&lt;&gt;"",--('POINTAGE'!V188="Absent"),0),IF('POINTAGE'!$X$5&lt;&gt;"",--('POINTAGE'!X188="Absent"),0),IF('POINTAGE'!$Z$5&lt;&gt;"",--('POINTAGE'!Z188="Absent"),0),IF('POINTAGE'!$AB$5&lt;&gt;"",--('POINTAGE'!AB188="Absent"),0),IF('POINTAGE'!$AD$5&lt;&gt;"",--('POINTAGE'!AD188="Absent"),0),IF('POINTAGE'!$AF$5&lt;&gt;"",--('POINTAGE'!AF188="Absent"),0)))</f>
      </c>
      <c r="H188" s="23">
        <f>IF($A188="","",SUM(IF('POINTAGE'!$D$5&lt;&gt;"",IF('POINTAGE'!D188="Présent",'POINTAGE'!E188,0),0),IF('POINTAGE'!$F$5&lt;&gt;"",IF('POINTAGE'!F188="Présent",'POINTAGE'!G188,0),0),IF('POINTAGE'!$H$5&lt;&gt;"",IF('POINTAGE'!H188="Présent",'POINTAGE'!I188,0),0),IF('POINTAGE'!$J$5&lt;&gt;"",IF('POINTAGE'!J188="Présent",'POINTAGE'!K188,0),0),IF('POINTAGE'!$L$5&lt;&gt;"",IF('POINTAGE'!L188="Présent",'POINTAGE'!M188,0),0),IF('POINTAGE'!$N$5&lt;&gt;"",IF('POINTAGE'!N188="Présent",'POINTAGE'!O188,0),0),IF('POINTAGE'!$P$5&lt;&gt;"",IF('POINTAGE'!P188="Présent",'POINTAGE'!Q188,0),0),IF('POINTAGE'!$R$5&lt;&gt;"",IF('POINTAGE'!R188="Présent",'POINTAGE'!S188,0),0),IF('POINTAGE'!$T$5&lt;&gt;"",IF('POINTAGE'!T188="Présent",'POINTAGE'!U188,0),0),IF('POINTAGE'!$V$5&lt;&gt;"",IF('POINTAGE'!V188="Présent",'POINTAGE'!W188,0),0),IF('POINTAGE'!$X$5&lt;&gt;"",IF('POINTAGE'!X188="Présent",'POINTAGE'!Y188,0),0),IF('POINTAGE'!$Z$5&lt;&gt;"",IF('POINTAGE'!Z188="Présent",'POINTAGE'!AA188,0),0),IF('POINTAGE'!$AB$5&lt;&gt;"",IF('POINTAGE'!AB188="Présent",'POINTAGE'!AC188,0),0),IF('POINTAGE'!$AD$5&lt;&gt;"",IF('POINTAGE'!AD188="Présent",'POINTAGE'!AE188,0),0),IF('POINTAGE'!$AF$5&lt;&gt;"",IF('POINTAGE'!AF188="Présent",'POINTAGE'!AG188,0),0)))</f>
      </c>
      <c r="I188" s="24">
        <f>IF($A188="","",$F188*$D188)</f>
      </c>
      <c r="J188" s="24">
        <f>IF($A188="","",$H188*$E188)</f>
      </c>
      <c r="K188" s="25">
        <f>IF($A188="","",$I188+$J188)</f>
      </c>
      <c r="L188" s="18"/>
      <c r="M188" s="25">
        <f>IF($A188="","",MAX(0,$K188-$L188))</f>
      </c>
      <c r="N188" s="22">
        <f>IF($A188="","",SUM(IF('POINTAGE'!$AH$5&lt;&gt;"",--('POINTAGE'!AH188="Présent"),0),IF('POINTAGE'!$AJ$5&lt;&gt;"",--('POINTAGE'!AJ188="Présent"),0),IF('POINTAGE'!$AL$5&lt;&gt;"",--('POINTAGE'!AL188="Présent"),0),IF('POINTAGE'!$AN$5&lt;&gt;"",--('POINTAGE'!AN188="Présent"),0),IF('POINTAGE'!$AP$5&lt;&gt;"",--('POINTAGE'!AP188="Présent"),0),IF('POINTAGE'!$AR$5&lt;&gt;"",--('POINTAGE'!AR188="Présent"),0),IF('POINTAGE'!$AT$5&lt;&gt;"",--('POINTAGE'!AT188="Présent"),0),IF('POINTAGE'!$AV$5&lt;&gt;"",--('POINTAGE'!AV188="Présent"),0),IF('POINTAGE'!$AX$5&lt;&gt;"",--('POINTAGE'!AX188="Présent"),0),IF('POINTAGE'!$AZ$5&lt;&gt;"",--('POINTAGE'!AZ188="Présent"),0),IF('POINTAGE'!$BB$5&lt;&gt;"",--('POINTAGE'!BB188="Présent"),0),IF('POINTAGE'!$BD$5&lt;&gt;"",--('POINTAGE'!BD188="Présent"),0),IF('POINTAGE'!$BF$5&lt;&gt;"",--('POINTAGE'!BF188="Présent"),0),IF('POINTAGE'!$BH$5&lt;&gt;"",--('POINTAGE'!BH188="Présent"),0),IF('POINTAGE'!$BJ$5&lt;&gt;"",--('POINTAGE'!BJ188="Présent"),0),IF('POINTAGE'!$BL$5&lt;&gt;"",--('POINTAGE'!BL188="Présent"),0)))</f>
      </c>
      <c r="O188" s="22">
        <f>IF($A188="","",SUM(IF('POINTAGE'!$AH$5&lt;&gt;"",--('POINTAGE'!AH188="Absent"),0),IF('POINTAGE'!$AJ$5&lt;&gt;"",--('POINTAGE'!AJ188="Absent"),0),IF('POINTAGE'!$AL$5&lt;&gt;"",--('POINTAGE'!AL188="Absent"),0),IF('POINTAGE'!$AN$5&lt;&gt;"",--('POINTAGE'!AN188="Absent"),0),IF('POINTAGE'!$AP$5&lt;&gt;"",--('POINTAGE'!AP188="Absent"),0),IF('POINTAGE'!$AR$5&lt;&gt;"",--('POINTAGE'!AR188="Absent"),0),IF('POINTAGE'!$AT$5&lt;&gt;"",--('POINTAGE'!AT188="Absent"),0),IF('POINTAGE'!$AV$5&lt;&gt;"",--('POINTAGE'!AV188="Absent"),0),IF('POINTAGE'!$AX$5&lt;&gt;"",--('POINTAGE'!AX188="Absent"),0),IF('POINTAGE'!$AZ$5&lt;&gt;"",--('POINTAGE'!AZ188="Absent"),0),IF('POINTAGE'!$BB$5&lt;&gt;"",--('POINTAGE'!BB188="Absent"),0),IF('POINTAGE'!$BD$5&lt;&gt;"",--('POINTAGE'!BD188="Absent"),0),IF('POINTAGE'!$BF$5&lt;&gt;"",--('POINTAGE'!BF188="Absent"),0),IF('POINTAGE'!$BH$5&lt;&gt;"",--('POINTAGE'!BH188="Absent"),0),IF('POINTAGE'!$BJ$5&lt;&gt;"",--('POINTAGE'!BJ188="Absent"),0),IF('POINTAGE'!$BL$5&lt;&gt;"",--('POINTAGE'!BL188="Absent"),0)))</f>
      </c>
      <c r="P188" s="23">
        <f>IF($A188="","",SUM(IF('POINTAGE'!$AH$5&lt;&gt;"",IF('POINTAGE'!AH188="Présent",'POINTAGE'!AI188,0),0),IF('POINTAGE'!$AJ$5&lt;&gt;"",IF('POINTAGE'!AJ188="Présent",'POINTAGE'!AK188,0),0),IF('POINTAGE'!$AL$5&lt;&gt;"",IF('POINTAGE'!AL188="Présent",'POINTAGE'!AM188,0),0),IF('POINTAGE'!$AN$5&lt;&gt;"",IF('POINTAGE'!AN188="Présent",'POINTAGE'!AO188,0),0),IF('POINTAGE'!$AP$5&lt;&gt;"",IF('POINTAGE'!AP188="Présent",'POINTAGE'!AQ188,0),0),IF('POINTAGE'!$AR$5&lt;&gt;"",IF('POINTAGE'!AR188="Présent",'POINTAGE'!AS188,0),0),IF('POINTAGE'!$AT$5&lt;&gt;"",IF('POINTAGE'!AT188="Présent",'POINTAGE'!AU188,0),0),IF('POINTAGE'!$AV$5&lt;&gt;"",IF('POINTAGE'!AV188="Présent",'POINTAGE'!AW188,0),0),IF('POINTAGE'!$AX$5&lt;&gt;"",IF('POINTAGE'!AX188="Présent",'POINTAGE'!AY188,0),0),IF('POINTAGE'!$AZ$5&lt;&gt;"",IF('POINTAGE'!AZ188="Présent",'POINTAGE'!BA188,0),0),IF('POINTAGE'!$BB$5&lt;&gt;"",IF('POINTAGE'!BB188="Présent",'POINTAGE'!BC188,0),0),IF('POINTAGE'!$BD$5&lt;&gt;"",IF('POINTAGE'!BD188="Présent",'POINTAGE'!BE188,0),0),IF('POINTAGE'!$BF$5&lt;&gt;"",IF('POINTAGE'!BF188="Présent",'POINTAGE'!BG188,0),0),IF('POINTAGE'!$BH$5&lt;&gt;"",IF('POINTAGE'!BH188="Présent",'POINTAGE'!BI188,0),0),IF('POINTAGE'!$BJ$5&lt;&gt;"",IF('POINTAGE'!BJ188="Présent",'POINTAGE'!BK188,0),0),IF('POINTAGE'!$BL$5&lt;&gt;"",IF('POINTAGE'!BL188="Présent",'POINTAGE'!BM188,0),0)))</f>
      </c>
      <c r="Q188" s="24">
        <f>IF($A188="","",$N188*$D188)</f>
      </c>
      <c r="R188" s="24">
        <f>IF($A188="","",$P188*$E188)</f>
      </c>
      <c r="S188" s="25">
        <f>IF($A188="","",$Q188+$R188)</f>
      </c>
      <c r="T188" s="18"/>
      <c r="U188" s="25">
        <f>IF($A188="","",MAX(0,$S188-$T188))</f>
      </c>
      <c r="V188" s="25">
        <f>IF($A188="","",$K188+$S188)</f>
      </c>
      <c r="W188" s="24">
        <f>IF($A188="","",$L188+$T188)</f>
      </c>
      <c r="X188" s="25">
        <f>IF($A188="","",$M188+$U188)</f>
      </c>
      <c r="Y188" s="29">
        <f>IF($A188="","",$J188+$R188)</f>
      </c>
    </row>
    <row r="189">
      <c r="A189" s="20">
        <f>IF('POINTAGE'!A189="","",'POINTAGE'!A189)</f>
      </c>
      <c r="B189" s="19">
        <f>IF($A189="","",'POINTAGE'!B189)</f>
      </c>
      <c r="C189" s="20">
        <f>IF($A189="","",'POINTAGE'!C189)</f>
      </c>
      <c r="D189" s="24">
        <f>IF($A189="","",IFERROR(INDEX(Categories_Salaire,MATCH($C189,ListeCategories,0)),0))</f>
      </c>
      <c r="E189" s="24">
        <f>IF($A189="","",IF(IFERROR(INDEX(Categories_TauxHS,MATCH($C189,ListeCategories,0)),0)&gt;0,IFERROR(INDEX(Categories_TauxHS,MATCH($C189,ListeCategories,0)),0),TauxHSDefaut))</f>
      </c>
      <c r="F189" s="22">
        <f>IF($A189="","",SUM(IF('POINTAGE'!$D$5&lt;&gt;"",--('POINTAGE'!D189="Présent"),0),IF('POINTAGE'!$F$5&lt;&gt;"",--('POINTAGE'!F189="Présent"),0),IF('POINTAGE'!$H$5&lt;&gt;"",--('POINTAGE'!H189="Présent"),0),IF('POINTAGE'!$J$5&lt;&gt;"",--('POINTAGE'!J189="Présent"),0),IF('POINTAGE'!$L$5&lt;&gt;"",--('POINTAGE'!L189="Présent"),0),IF('POINTAGE'!$N$5&lt;&gt;"",--('POINTAGE'!N189="Présent"),0),IF('POINTAGE'!$P$5&lt;&gt;"",--('POINTAGE'!P189="Présent"),0),IF('POINTAGE'!$R$5&lt;&gt;"",--('POINTAGE'!R189="Présent"),0),IF('POINTAGE'!$T$5&lt;&gt;"",--('POINTAGE'!T189="Présent"),0),IF('POINTAGE'!$V$5&lt;&gt;"",--('POINTAGE'!V189="Présent"),0),IF('POINTAGE'!$X$5&lt;&gt;"",--('POINTAGE'!X189="Présent"),0),IF('POINTAGE'!$Z$5&lt;&gt;"",--('POINTAGE'!Z189="Présent"),0),IF('POINTAGE'!$AB$5&lt;&gt;"",--('POINTAGE'!AB189="Présent"),0),IF('POINTAGE'!$AD$5&lt;&gt;"",--('POINTAGE'!AD189="Présent"),0),IF('POINTAGE'!$AF$5&lt;&gt;"",--('POINTAGE'!AF189="Présent"),0)))</f>
      </c>
      <c r="G189" s="22">
        <f>IF($A189="","",SUM(IF('POINTAGE'!$D$5&lt;&gt;"",--('POINTAGE'!D189="Absent"),0),IF('POINTAGE'!$F$5&lt;&gt;"",--('POINTAGE'!F189="Absent"),0),IF('POINTAGE'!$H$5&lt;&gt;"",--('POINTAGE'!H189="Absent"),0),IF('POINTAGE'!$J$5&lt;&gt;"",--('POINTAGE'!J189="Absent"),0),IF('POINTAGE'!$L$5&lt;&gt;"",--('POINTAGE'!L189="Absent"),0),IF('POINTAGE'!$N$5&lt;&gt;"",--('POINTAGE'!N189="Absent"),0),IF('POINTAGE'!$P$5&lt;&gt;"",--('POINTAGE'!P189="Absent"),0),IF('POINTAGE'!$R$5&lt;&gt;"",--('POINTAGE'!R189="Absent"),0),IF('POINTAGE'!$T$5&lt;&gt;"",--('POINTAGE'!T189="Absent"),0),IF('POINTAGE'!$V$5&lt;&gt;"",--('POINTAGE'!V189="Absent"),0),IF('POINTAGE'!$X$5&lt;&gt;"",--('POINTAGE'!X189="Absent"),0),IF('POINTAGE'!$Z$5&lt;&gt;"",--('POINTAGE'!Z189="Absent"),0),IF('POINTAGE'!$AB$5&lt;&gt;"",--('POINTAGE'!AB189="Absent"),0),IF('POINTAGE'!$AD$5&lt;&gt;"",--('POINTAGE'!AD189="Absent"),0),IF('POINTAGE'!$AF$5&lt;&gt;"",--('POINTAGE'!AF189="Absent"),0)))</f>
      </c>
      <c r="H189" s="23">
        <f>IF($A189="","",SUM(IF('POINTAGE'!$D$5&lt;&gt;"",IF('POINTAGE'!D189="Présent",'POINTAGE'!E189,0),0),IF('POINTAGE'!$F$5&lt;&gt;"",IF('POINTAGE'!F189="Présent",'POINTAGE'!G189,0),0),IF('POINTAGE'!$H$5&lt;&gt;"",IF('POINTAGE'!H189="Présent",'POINTAGE'!I189,0),0),IF('POINTAGE'!$J$5&lt;&gt;"",IF('POINTAGE'!J189="Présent",'POINTAGE'!K189,0),0),IF('POINTAGE'!$L$5&lt;&gt;"",IF('POINTAGE'!L189="Présent",'POINTAGE'!M189,0),0),IF('POINTAGE'!$N$5&lt;&gt;"",IF('POINTAGE'!N189="Présent",'POINTAGE'!O189,0),0),IF('POINTAGE'!$P$5&lt;&gt;"",IF('POINTAGE'!P189="Présent",'POINTAGE'!Q189,0),0),IF('POINTAGE'!$R$5&lt;&gt;"",IF('POINTAGE'!R189="Présent",'POINTAGE'!S189,0),0),IF('POINTAGE'!$T$5&lt;&gt;"",IF('POINTAGE'!T189="Présent",'POINTAGE'!U189,0),0),IF('POINTAGE'!$V$5&lt;&gt;"",IF('POINTAGE'!V189="Présent",'POINTAGE'!W189,0),0),IF('POINTAGE'!$X$5&lt;&gt;"",IF('POINTAGE'!X189="Présent",'POINTAGE'!Y189,0),0),IF('POINTAGE'!$Z$5&lt;&gt;"",IF('POINTAGE'!Z189="Présent",'POINTAGE'!AA189,0),0),IF('POINTAGE'!$AB$5&lt;&gt;"",IF('POINTAGE'!AB189="Présent",'POINTAGE'!AC189,0),0),IF('POINTAGE'!$AD$5&lt;&gt;"",IF('POINTAGE'!AD189="Présent",'POINTAGE'!AE189,0),0),IF('POINTAGE'!$AF$5&lt;&gt;"",IF('POINTAGE'!AF189="Présent",'POINTAGE'!AG189,0),0)))</f>
      </c>
      <c r="I189" s="24">
        <f>IF($A189="","",$F189*$D189)</f>
      </c>
      <c r="J189" s="24">
        <f>IF($A189="","",$H189*$E189)</f>
      </c>
      <c r="K189" s="25">
        <f>IF($A189="","",$I189+$J189)</f>
      </c>
      <c r="L189" s="18"/>
      <c r="M189" s="25">
        <f>IF($A189="","",MAX(0,$K189-$L189))</f>
      </c>
      <c r="N189" s="22">
        <f>IF($A189="","",SUM(IF('POINTAGE'!$AH$5&lt;&gt;"",--('POINTAGE'!AH189="Présent"),0),IF('POINTAGE'!$AJ$5&lt;&gt;"",--('POINTAGE'!AJ189="Présent"),0),IF('POINTAGE'!$AL$5&lt;&gt;"",--('POINTAGE'!AL189="Présent"),0),IF('POINTAGE'!$AN$5&lt;&gt;"",--('POINTAGE'!AN189="Présent"),0),IF('POINTAGE'!$AP$5&lt;&gt;"",--('POINTAGE'!AP189="Présent"),0),IF('POINTAGE'!$AR$5&lt;&gt;"",--('POINTAGE'!AR189="Présent"),0),IF('POINTAGE'!$AT$5&lt;&gt;"",--('POINTAGE'!AT189="Présent"),0),IF('POINTAGE'!$AV$5&lt;&gt;"",--('POINTAGE'!AV189="Présent"),0),IF('POINTAGE'!$AX$5&lt;&gt;"",--('POINTAGE'!AX189="Présent"),0),IF('POINTAGE'!$AZ$5&lt;&gt;"",--('POINTAGE'!AZ189="Présent"),0),IF('POINTAGE'!$BB$5&lt;&gt;"",--('POINTAGE'!BB189="Présent"),0),IF('POINTAGE'!$BD$5&lt;&gt;"",--('POINTAGE'!BD189="Présent"),0),IF('POINTAGE'!$BF$5&lt;&gt;"",--('POINTAGE'!BF189="Présent"),0),IF('POINTAGE'!$BH$5&lt;&gt;"",--('POINTAGE'!BH189="Présent"),0),IF('POINTAGE'!$BJ$5&lt;&gt;"",--('POINTAGE'!BJ189="Présent"),0),IF('POINTAGE'!$BL$5&lt;&gt;"",--('POINTAGE'!BL189="Présent"),0)))</f>
      </c>
      <c r="O189" s="22">
        <f>IF($A189="","",SUM(IF('POINTAGE'!$AH$5&lt;&gt;"",--('POINTAGE'!AH189="Absent"),0),IF('POINTAGE'!$AJ$5&lt;&gt;"",--('POINTAGE'!AJ189="Absent"),0),IF('POINTAGE'!$AL$5&lt;&gt;"",--('POINTAGE'!AL189="Absent"),0),IF('POINTAGE'!$AN$5&lt;&gt;"",--('POINTAGE'!AN189="Absent"),0),IF('POINTAGE'!$AP$5&lt;&gt;"",--('POINTAGE'!AP189="Absent"),0),IF('POINTAGE'!$AR$5&lt;&gt;"",--('POINTAGE'!AR189="Absent"),0),IF('POINTAGE'!$AT$5&lt;&gt;"",--('POINTAGE'!AT189="Absent"),0),IF('POINTAGE'!$AV$5&lt;&gt;"",--('POINTAGE'!AV189="Absent"),0),IF('POINTAGE'!$AX$5&lt;&gt;"",--('POINTAGE'!AX189="Absent"),0),IF('POINTAGE'!$AZ$5&lt;&gt;"",--('POINTAGE'!AZ189="Absent"),0),IF('POINTAGE'!$BB$5&lt;&gt;"",--('POINTAGE'!BB189="Absent"),0),IF('POINTAGE'!$BD$5&lt;&gt;"",--('POINTAGE'!BD189="Absent"),0),IF('POINTAGE'!$BF$5&lt;&gt;"",--('POINTAGE'!BF189="Absent"),0),IF('POINTAGE'!$BH$5&lt;&gt;"",--('POINTAGE'!BH189="Absent"),0),IF('POINTAGE'!$BJ$5&lt;&gt;"",--('POINTAGE'!BJ189="Absent"),0),IF('POINTAGE'!$BL$5&lt;&gt;"",--('POINTAGE'!BL189="Absent"),0)))</f>
      </c>
      <c r="P189" s="23">
        <f>IF($A189="","",SUM(IF('POINTAGE'!$AH$5&lt;&gt;"",IF('POINTAGE'!AH189="Présent",'POINTAGE'!AI189,0),0),IF('POINTAGE'!$AJ$5&lt;&gt;"",IF('POINTAGE'!AJ189="Présent",'POINTAGE'!AK189,0),0),IF('POINTAGE'!$AL$5&lt;&gt;"",IF('POINTAGE'!AL189="Présent",'POINTAGE'!AM189,0),0),IF('POINTAGE'!$AN$5&lt;&gt;"",IF('POINTAGE'!AN189="Présent",'POINTAGE'!AO189,0),0),IF('POINTAGE'!$AP$5&lt;&gt;"",IF('POINTAGE'!AP189="Présent",'POINTAGE'!AQ189,0),0),IF('POINTAGE'!$AR$5&lt;&gt;"",IF('POINTAGE'!AR189="Présent",'POINTAGE'!AS189,0),0),IF('POINTAGE'!$AT$5&lt;&gt;"",IF('POINTAGE'!AT189="Présent",'POINTAGE'!AU189,0),0),IF('POINTAGE'!$AV$5&lt;&gt;"",IF('POINTAGE'!AV189="Présent",'POINTAGE'!AW189,0),0),IF('POINTAGE'!$AX$5&lt;&gt;"",IF('POINTAGE'!AX189="Présent",'POINTAGE'!AY189,0),0),IF('POINTAGE'!$AZ$5&lt;&gt;"",IF('POINTAGE'!AZ189="Présent",'POINTAGE'!BA189,0),0),IF('POINTAGE'!$BB$5&lt;&gt;"",IF('POINTAGE'!BB189="Présent",'POINTAGE'!BC189,0),0),IF('POINTAGE'!$BD$5&lt;&gt;"",IF('POINTAGE'!BD189="Présent",'POINTAGE'!BE189,0),0),IF('POINTAGE'!$BF$5&lt;&gt;"",IF('POINTAGE'!BF189="Présent",'POINTAGE'!BG189,0),0),IF('POINTAGE'!$BH$5&lt;&gt;"",IF('POINTAGE'!BH189="Présent",'POINTAGE'!BI189,0),0),IF('POINTAGE'!$BJ$5&lt;&gt;"",IF('POINTAGE'!BJ189="Présent",'POINTAGE'!BK189,0),0),IF('POINTAGE'!$BL$5&lt;&gt;"",IF('POINTAGE'!BL189="Présent",'POINTAGE'!BM189,0),0)))</f>
      </c>
      <c r="Q189" s="24">
        <f>IF($A189="","",$N189*$D189)</f>
      </c>
      <c r="R189" s="24">
        <f>IF($A189="","",$P189*$E189)</f>
      </c>
      <c r="S189" s="25">
        <f>IF($A189="","",$Q189+$R189)</f>
      </c>
      <c r="T189" s="18"/>
      <c r="U189" s="25">
        <f>IF($A189="","",MAX(0,$S189-$T189))</f>
      </c>
      <c r="V189" s="25">
        <f>IF($A189="","",$K189+$S189)</f>
      </c>
      <c r="W189" s="24">
        <f>IF($A189="","",$L189+$T189)</f>
      </c>
      <c r="X189" s="25">
        <f>IF($A189="","",$M189+$U189)</f>
      </c>
      <c r="Y189" s="29">
        <f>IF($A189="","",$J189+$R189)</f>
      </c>
    </row>
    <row r="190">
      <c r="A190" s="20">
        <f>IF('POINTAGE'!A190="","",'POINTAGE'!A190)</f>
      </c>
      <c r="B190" s="19">
        <f>IF($A190="","",'POINTAGE'!B190)</f>
      </c>
      <c r="C190" s="20">
        <f>IF($A190="","",'POINTAGE'!C190)</f>
      </c>
      <c r="D190" s="24">
        <f>IF($A190="","",IFERROR(INDEX(Categories_Salaire,MATCH($C190,ListeCategories,0)),0))</f>
      </c>
      <c r="E190" s="24">
        <f>IF($A190="","",IF(IFERROR(INDEX(Categories_TauxHS,MATCH($C190,ListeCategories,0)),0)&gt;0,IFERROR(INDEX(Categories_TauxHS,MATCH($C190,ListeCategories,0)),0),TauxHSDefaut))</f>
      </c>
      <c r="F190" s="22">
        <f>IF($A190="","",SUM(IF('POINTAGE'!$D$5&lt;&gt;"",--('POINTAGE'!D190="Présent"),0),IF('POINTAGE'!$F$5&lt;&gt;"",--('POINTAGE'!F190="Présent"),0),IF('POINTAGE'!$H$5&lt;&gt;"",--('POINTAGE'!H190="Présent"),0),IF('POINTAGE'!$J$5&lt;&gt;"",--('POINTAGE'!J190="Présent"),0),IF('POINTAGE'!$L$5&lt;&gt;"",--('POINTAGE'!L190="Présent"),0),IF('POINTAGE'!$N$5&lt;&gt;"",--('POINTAGE'!N190="Présent"),0),IF('POINTAGE'!$P$5&lt;&gt;"",--('POINTAGE'!P190="Présent"),0),IF('POINTAGE'!$R$5&lt;&gt;"",--('POINTAGE'!R190="Présent"),0),IF('POINTAGE'!$T$5&lt;&gt;"",--('POINTAGE'!T190="Présent"),0),IF('POINTAGE'!$V$5&lt;&gt;"",--('POINTAGE'!V190="Présent"),0),IF('POINTAGE'!$X$5&lt;&gt;"",--('POINTAGE'!X190="Présent"),0),IF('POINTAGE'!$Z$5&lt;&gt;"",--('POINTAGE'!Z190="Présent"),0),IF('POINTAGE'!$AB$5&lt;&gt;"",--('POINTAGE'!AB190="Présent"),0),IF('POINTAGE'!$AD$5&lt;&gt;"",--('POINTAGE'!AD190="Présent"),0),IF('POINTAGE'!$AF$5&lt;&gt;"",--('POINTAGE'!AF190="Présent"),0)))</f>
      </c>
      <c r="G190" s="22">
        <f>IF($A190="","",SUM(IF('POINTAGE'!$D$5&lt;&gt;"",--('POINTAGE'!D190="Absent"),0),IF('POINTAGE'!$F$5&lt;&gt;"",--('POINTAGE'!F190="Absent"),0),IF('POINTAGE'!$H$5&lt;&gt;"",--('POINTAGE'!H190="Absent"),0),IF('POINTAGE'!$J$5&lt;&gt;"",--('POINTAGE'!J190="Absent"),0),IF('POINTAGE'!$L$5&lt;&gt;"",--('POINTAGE'!L190="Absent"),0),IF('POINTAGE'!$N$5&lt;&gt;"",--('POINTAGE'!N190="Absent"),0),IF('POINTAGE'!$P$5&lt;&gt;"",--('POINTAGE'!P190="Absent"),0),IF('POINTAGE'!$R$5&lt;&gt;"",--('POINTAGE'!R190="Absent"),0),IF('POINTAGE'!$T$5&lt;&gt;"",--('POINTAGE'!T190="Absent"),0),IF('POINTAGE'!$V$5&lt;&gt;"",--('POINTAGE'!V190="Absent"),0),IF('POINTAGE'!$X$5&lt;&gt;"",--('POINTAGE'!X190="Absent"),0),IF('POINTAGE'!$Z$5&lt;&gt;"",--('POINTAGE'!Z190="Absent"),0),IF('POINTAGE'!$AB$5&lt;&gt;"",--('POINTAGE'!AB190="Absent"),0),IF('POINTAGE'!$AD$5&lt;&gt;"",--('POINTAGE'!AD190="Absent"),0),IF('POINTAGE'!$AF$5&lt;&gt;"",--('POINTAGE'!AF190="Absent"),0)))</f>
      </c>
      <c r="H190" s="23">
        <f>IF($A190="","",SUM(IF('POINTAGE'!$D$5&lt;&gt;"",IF('POINTAGE'!D190="Présent",'POINTAGE'!E190,0),0),IF('POINTAGE'!$F$5&lt;&gt;"",IF('POINTAGE'!F190="Présent",'POINTAGE'!G190,0),0),IF('POINTAGE'!$H$5&lt;&gt;"",IF('POINTAGE'!H190="Présent",'POINTAGE'!I190,0),0),IF('POINTAGE'!$J$5&lt;&gt;"",IF('POINTAGE'!J190="Présent",'POINTAGE'!K190,0),0),IF('POINTAGE'!$L$5&lt;&gt;"",IF('POINTAGE'!L190="Présent",'POINTAGE'!M190,0),0),IF('POINTAGE'!$N$5&lt;&gt;"",IF('POINTAGE'!N190="Présent",'POINTAGE'!O190,0),0),IF('POINTAGE'!$P$5&lt;&gt;"",IF('POINTAGE'!P190="Présent",'POINTAGE'!Q190,0),0),IF('POINTAGE'!$R$5&lt;&gt;"",IF('POINTAGE'!R190="Présent",'POINTAGE'!S190,0),0),IF('POINTAGE'!$T$5&lt;&gt;"",IF('POINTAGE'!T190="Présent",'POINTAGE'!U190,0),0),IF('POINTAGE'!$V$5&lt;&gt;"",IF('POINTAGE'!V190="Présent",'POINTAGE'!W190,0),0),IF('POINTAGE'!$X$5&lt;&gt;"",IF('POINTAGE'!X190="Présent",'POINTAGE'!Y190,0),0),IF('POINTAGE'!$Z$5&lt;&gt;"",IF('POINTAGE'!Z190="Présent",'POINTAGE'!AA190,0),0),IF('POINTAGE'!$AB$5&lt;&gt;"",IF('POINTAGE'!AB190="Présent",'POINTAGE'!AC190,0),0),IF('POINTAGE'!$AD$5&lt;&gt;"",IF('POINTAGE'!AD190="Présent",'POINTAGE'!AE190,0),0),IF('POINTAGE'!$AF$5&lt;&gt;"",IF('POINTAGE'!AF190="Présent",'POINTAGE'!AG190,0),0)))</f>
      </c>
      <c r="I190" s="24">
        <f>IF($A190="","",$F190*$D190)</f>
      </c>
      <c r="J190" s="24">
        <f>IF($A190="","",$H190*$E190)</f>
      </c>
      <c r="K190" s="25">
        <f>IF($A190="","",$I190+$J190)</f>
      </c>
      <c r="L190" s="18"/>
      <c r="M190" s="25">
        <f>IF($A190="","",MAX(0,$K190-$L190))</f>
      </c>
      <c r="N190" s="22">
        <f>IF($A190="","",SUM(IF('POINTAGE'!$AH$5&lt;&gt;"",--('POINTAGE'!AH190="Présent"),0),IF('POINTAGE'!$AJ$5&lt;&gt;"",--('POINTAGE'!AJ190="Présent"),0),IF('POINTAGE'!$AL$5&lt;&gt;"",--('POINTAGE'!AL190="Présent"),0),IF('POINTAGE'!$AN$5&lt;&gt;"",--('POINTAGE'!AN190="Présent"),0),IF('POINTAGE'!$AP$5&lt;&gt;"",--('POINTAGE'!AP190="Présent"),0),IF('POINTAGE'!$AR$5&lt;&gt;"",--('POINTAGE'!AR190="Présent"),0),IF('POINTAGE'!$AT$5&lt;&gt;"",--('POINTAGE'!AT190="Présent"),0),IF('POINTAGE'!$AV$5&lt;&gt;"",--('POINTAGE'!AV190="Présent"),0),IF('POINTAGE'!$AX$5&lt;&gt;"",--('POINTAGE'!AX190="Présent"),0),IF('POINTAGE'!$AZ$5&lt;&gt;"",--('POINTAGE'!AZ190="Présent"),0),IF('POINTAGE'!$BB$5&lt;&gt;"",--('POINTAGE'!BB190="Présent"),0),IF('POINTAGE'!$BD$5&lt;&gt;"",--('POINTAGE'!BD190="Présent"),0),IF('POINTAGE'!$BF$5&lt;&gt;"",--('POINTAGE'!BF190="Présent"),0),IF('POINTAGE'!$BH$5&lt;&gt;"",--('POINTAGE'!BH190="Présent"),0),IF('POINTAGE'!$BJ$5&lt;&gt;"",--('POINTAGE'!BJ190="Présent"),0),IF('POINTAGE'!$BL$5&lt;&gt;"",--('POINTAGE'!BL190="Présent"),0)))</f>
      </c>
      <c r="O190" s="22">
        <f>IF($A190="","",SUM(IF('POINTAGE'!$AH$5&lt;&gt;"",--('POINTAGE'!AH190="Absent"),0),IF('POINTAGE'!$AJ$5&lt;&gt;"",--('POINTAGE'!AJ190="Absent"),0),IF('POINTAGE'!$AL$5&lt;&gt;"",--('POINTAGE'!AL190="Absent"),0),IF('POINTAGE'!$AN$5&lt;&gt;"",--('POINTAGE'!AN190="Absent"),0),IF('POINTAGE'!$AP$5&lt;&gt;"",--('POINTAGE'!AP190="Absent"),0),IF('POINTAGE'!$AR$5&lt;&gt;"",--('POINTAGE'!AR190="Absent"),0),IF('POINTAGE'!$AT$5&lt;&gt;"",--('POINTAGE'!AT190="Absent"),0),IF('POINTAGE'!$AV$5&lt;&gt;"",--('POINTAGE'!AV190="Absent"),0),IF('POINTAGE'!$AX$5&lt;&gt;"",--('POINTAGE'!AX190="Absent"),0),IF('POINTAGE'!$AZ$5&lt;&gt;"",--('POINTAGE'!AZ190="Absent"),0),IF('POINTAGE'!$BB$5&lt;&gt;"",--('POINTAGE'!BB190="Absent"),0),IF('POINTAGE'!$BD$5&lt;&gt;"",--('POINTAGE'!BD190="Absent"),0),IF('POINTAGE'!$BF$5&lt;&gt;"",--('POINTAGE'!BF190="Absent"),0),IF('POINTAGE'!$BH$5&lt;&gt;"",--('POINTAGE'!BH190="Absent"),0),IF('POINTAGE'!$BJ$5&lt;&gt;"",--('POINTAGE'!BJ190="Absent"),0),IF('POINTAGE'!$BL$5&lt;&gt;"",--('POINTAGE'!BL190="Absent"),0)))</f>
      </c>
      <c r="P190" s="23">
        <f>IF($A190="","",SUM(IF('POINTAGE'!$AH$5&lt;&gt;"",IF('POINTAGE'!AH190="Présent",'POINTAGE'!AI190,0),0),IF('POINTAGE'!$AJ$5&lt;&gt;"",IF('POINTAGE'!AJ190="Présent",'POINTAGE'!AK190,0),0),IF('POINTAGE'!$AL$5&lt;&gt;"",IF('POINTAGE'!AL190="Présent",'POINTAGE'!AM190,0),0),IF('POINTAGE'!$AN$5&lt;&gt;"",IF('POINTAGE'!AN190="Présent",'POINTAGE'!AO190,0),0),IF('POINTAGE'!$AP$5&lt;&gt;"",IF('POINTAGE'!AP190="Présent",'POINTAGE'!AQ190,0),0),IF('POINTAGE'!$AR$5&lt;&gt;"",IF('POINTAGE'!AR190="Présent",'POINTAGE'!AS190,0),0),IF('POINTAGE'!$AT$5&lt;&gt;"",IF('POINTAGE'!AT190="Présent",'POINTAGE'!AU190,0),0),IF('POINTAGE'!$AV$5&lt;&gt;"",IF('POINTAGE'!AV190="Présent",'POINTAGE'!AW190,0),0),IF('POINTAGE'!$AX$5&lt;&gt;"",IF('POINTAGE'!AX190="Présent",'POINTAGE'!AY190,0),0),IF('POINTAGE'!$AZ$5&lt;&gt;"",IF('POINTAGE'!AZ190="Présent",'POINTAGE'!BA190,0),0),IF('POINTAGE'!$BB$5&lt;&gt;"",IF('POINTAGE'!BB190="Présent",'POINTAGE'!BC190,0),0),IF('POINTAGE'!$BD$5&lt;&gt;"",IF('POINTAGE'!BD190="Présent",'POINTAGE'!BE190,0),0),IF('POINTAGE'!$BF$5&lt;&gt;"",IF('POINTAGE'!BF190="Présent",'POINTAGE'!BG190,0),0),IF('POINTAGE'!$BH$5&lt;&gt;"",IF('POINTAGE'!BH190="Présent",'POINTAGE'!BI190,0),0),IF('POINTAGE'!$BJ$5&lt;&gt;"",IF('POINTAGE'!BJ190="Présent",'POINTAGE'!BK190,0),0),IF('POINTAGE'!$BL$5&lt;&gt;"",IF('POINTAGE'!BL190="Présent",'POINTAGE'!BM190,0),0)))</f>
      </c>
      <c r="Q190" s="24">
        <f>IF($A190="","",$N190*$D190)</f>
      </c>
      <c r="R190" s="24">
        <f>IF($A190="","",$P190*$E190)</f>
      </c>
      <c r="S190" s="25">
        <f>IF($A190="","",$Q190+$R190)</f>
      </c>
      <c r="T190" s="18"/>
      <c r="U190" s="25">
        <f>IF($A190="","",MAX(0,$S190-$T190))</f>
      </c>
      <c r="V190" s="25">
        <f>IF($A190="","",$K190+$S190)</f>
      </c>
      <c r="W190" s="24">
        <f>IF($A190="","",$L190+$T190)</f>
      </c>
      <c r="X190" s="25">
        <f>IF($A190="","",$M190+$U190)</f>
      </c>
      <c r="Y190" s="29">
        <f>IF($A190="","",$J190+$R190)</f>
      </c>
    </row>
    <row r="191">
      <c r="A191" s="20">
        <f>IF('POINTAGE'!A191="","",'POINTAGE'!A191)</f>
      </c>
      <c r="B191" s="19">
        <f>IF($A191="","",'POINTAGE'!B191)</f>
      </c>
      <c r="C191" s="20">
        <f>IF($A191="","",'POINTAGE'!C191)</f>
      </c>
      <c r="D191" s="24">
        <f>IF($A191="","",IFERROR(INDEX(Categories_Salaire,MATCH($C191,ListeCategories,0)),0))</f>
      </c>
      <c r="E191" s="24">
        <f>IF($A191="","",IF(IFERROR(INDEX(Categories_TauxHS,MATCH($C191,ListeCategories,0)),0)&gt;0,IFERROR(INDEX(Categories_TauxHS,MATCH($C191,ListeCategories,0)),0),TauxHSDefaut))</f>
      </c>
      <c r="F191" s="22">
        <f>IF($A191="","",SUM(IF('POINTAGE'!$D$5&lt;&gt;"",--('POINTAGE'!D191="Présent"),0),IF('POINTAGE'!$F$5&lt;&gt;"",--('POINTAGE'!F191="Présent"),0),IF('POINTAGE'!$H$5&lt;&gt;"",--('POINTAGE'!H191="Présent"),0),IF('POINTAGE'!$J$5&lt;&gt;"",--('POINTAGE'!J191="Présent"),0),IF('POINTAGE'!$L$5&lt;&gt;"",--('POINTAGE'!L191="Présent"),0),IF('POINTAGE'!$N$5&lt;&gt;"",--('POINTAGE'!N191="Présent"),0),IF('POINTAGE'!$P$5&lt;&gt;"",--('POINTAGE'!P191="Présent"),0),IF('POINTAGE'!$R$5&lt;&gt;"",--('POINTAGE'!R191="Présent"),0),IF('POINTAGE'!$T$5&lt;&gt;"",--('POINTAGE'!T191="Présent"),0),IF('POINTAGE'!$V$5&lt;&gt;"",--('POINTAGE'!V191="Présent"),0),IF('POINTAGE'!$X$5&lt;&gt;"",--('POINTAGE'!X191="Présent"),0),IF('POINTAGE'!$Z$5&lt;&gt;"",--('POINTAGE'!Z191="Présent"),0),IF('POINTAGE'!$AB$5&lt;&gt;"",--('POINTAGE'!AB191="Présent"),0),IF('POINTAGE'!$AD$5&lt;&gt;"",--('POINTAGE'!AD191="Présent"),0),IF('POINTAGE'!$AF$5&lt;&gt;"",--('POINTAGE'!AF191="Présent"),0)))</f>
      </c>
      <c r="G191" s="22">
        <f>IF($A191="","",SUM(IF('POINTAGE'!$D$5&lt;&gt;"",--('POINTAGE'!D191="Absent"),0),IF('POINTAGE'!$F$5&lt;&gt;"",--('POINTAGE'!F191="Absent"),0),IF('POINTAGE'!$H$5&lt;&gt;"",--('POINTAGE'!H191="Absent"),0),IF('POINTAGE'!$J$5&lt;&gt;"",--('POINTAGE'!J191="Absent"),0),IF('POINTAGE'!$L$5&lt;&gt;"",--('POINTAGE'!L191="Absent"),0),IF('POINTAGE'!$N$5&lt;&gt;"",--('POINTAGE'!N191="Absent"),0),IF('POINTAGE'!$P$5&lt;&gt;"",--('POINTAGE'!P191="Absent"),0),IF('POINTAGE'!$R$5&lt;&gt;"",--('POINTAGE'!R191="Absent"),0),IF('POINTAGE'!$T$5&lt;&gt;"",--('POINTAGE'!T191="Absent"),0),IF('POINTAGE'!$V$5&lt;&gt;"",--('POINTAGE'!V191="Absent"),0),IF('POINTAGE'!$X$5&lt;&gt;"",--('POINTAGE'!X191="Absent"),0),IF('POINTAGE'!$Z$5&lt;&gt;"",--('POINTAGE'!Z191="Absent"),0),IF('POINTAGE'!$AB$5&lt;&gt;"",--('POINTAGE'!AB191="Absent"),0),IF('POINTAGE'!$AD$5&lt;&gt;"",--('POINTAGE'!AD191="Absent"),0),IF('POINTAGE'!$AF$5&lt;&gt;"",--('POINTAGE'!AF191="Absent"),0)))</f>
      </c>
      <c r="H191" s="23">
        <f>IF($A191="","",SUM(IF('POINTAGE'!$D$5&lt;&gt;"",IF('POINTAGE'!D191="Présent",'POINTAGE'!E191,0),0),IF('POINTAGE'!$F$5&lt;&gt;"",IF('POINTAGE'!F191="Présent",'POINTAGE'!G191,0),0),IF('POINTAGE'!$H$5&lt;&gt;"",IF('POINTAGE'!H191="Présent",'POINTAGE'!I191,0),0),IF('POINTAGE'!$J$5&lt;&gt;"",IF('POINTAGE'!J191="Présent",'POINTAGE'!K191,0),0),IF('POINTAGE'!$L$5&lt;&gt;"",IF('POINTAGE'!L191="Présent",'POINTAGE'!M191,0),0),IF('POINTAGE'!$N$5&lt;&gt;"",IF('POINTAGE'!N191="Présent",'POINTAGE'!O191,0),0),IF('POINTAGE'!$P$5&lt;&gt;"",IF('POINTAGE'!P191="Présent",'POINTAGE'!Q191,0),0),IF('POINTAGE'!$R$5&lt;&gt;"",IF('POINTAGE'!R191="Présent",'POINTAGE'!S191,0),0),IF('POINTAGE'!$T$5&lt;&gt;"",IF('POINTAGE'!T191="Présent",'POINTAGE'!U191,0),0),IF('POINTAGE'!$V$5&lt;&gt;"",IF('POINTAGE'!V191="Présent",'POINTAGE'!W191,0),0),IF('POINTAGE'!$X$5&lt;&gt;"",IF('POINTAGE'!X191="Présent",'POINTAGE'!Y191,0),0),IF('POINTAGE'!$Z$5&lt;&gt;"",IF('POINTAGE'!Z191="Présent",'POINTAGE'!AA191,0),0),IF('POINTAGE'!$AB$5&lt;&gt;"",IF('POINTAGE'!AB191="Présent",'POINTAGE'!AC191,0),0),IF('POINTAGE'!$AD$5&lt;&gt;"",IF('POINTAGE'!AD191="Présent",'POINTAGE'!AE191,0),0),IF('POINTAGE'!$AF$5&lt;&gt;"",IF('POINTAGE'!AF191="Présent",'POINTAGE'!AG191,0),0)))</f>
      </c>
      <c r="I191" s="24">
        <f>IF($A191="","",$F191*$D191)</f>
      </c>
      <c r="J191" s="24">
        <f>IF($A191="","",$H191*$E191)</f>
      </c>
      <c r="K191" s="25">
        <f>IF($A191="","",$I191+$J191)</f>
      </c>
      <c r="L191" s="18"/>
      <c r="M191" s="25">
        <f>IF($A191="","",MAX(0,$K191-$L191))</f>
      </c>
      <c r="N191" s="22">
        <f>IF($A191="","",SUM(IF('POINTAGE'!$AH$5&lt;&gt;"",--('POINTAGE'!AH191="Présent"),0),IF('POINTAGE'!$AJ$5&lt;&gt;"",--('POINTAGE'!AJ191="Présent"),0),IF('POINTAGE'!$AL$5&lt;&gt;"",--('POINTAGE'!AL191="Présent"),0),IF('POINTAGE'!$AN$5&lt;&gt;"",--('POINTAGE'!AN191="Présent"),0),IF('POINTAGE'!$AP$5&lt;&gt;"",--('POINTAGE'!AP191="Présent"),0),IF('POINTAGE'!$AR$5&lt;&gt;"",--('POINTAGE'!AR191="Présent"),0),IF('POINTAGE'!$AT$5&lt;&gt;"",--('POINTAGE'!AT191="Présent"),0),IF('POINTAGE'!$AV$5&lt;&gt;"",--('POINTAGE'!AV191="Présent"),0),IF('POINTAGE'!$AX$5&lt;&gt;"",--('POINTAGE'!AX191="Présent"),0),IF('POINTAGE'!$AZ$5&lt;&gt;"",--('POINTAGE'!AZ191="Présent"),0),IF('POINTAGE'!$BB$5&lt;&gt;"",--('POINTAGE'!BB191="Présent"),0),IF('POINTAGE'!$BD$5&lt;&gt;"",--('POINTAGE'!BD191="Présent"),0),IF('POINTAGE'!$BF$5&lt;&gt;"",--('POINTAGE'!BF191="Présent"),0),IF('POINTAGE'!$BH$5&lt;&gt;"",--('POINTAGE'!BH191="Présent"),0),IF('POINTAGE'!$BJ$5&lt;&gt;"",--('POINTAGE'!BJ191="Présent"),0),IF('POINTAGE'!$BL$5&lt;&gt;"",--('POINTAGE'!BL191="Présent"),0)))</f>
      </c>
      <c r="O191" s="22">
        <f>IF($A191="","",SUM(IF('POINTAGE'!$AH$5&lt;&gt;"",--('POINTAGE'!AH191="Absent"),0),IF('POINTAGE'!$AJ$5&lt;&gt;"",--('POINTAGE'!AJ191="Absent"),0),IF('POINTAGE'!$AL$5&lt;&gt;"",--('POINTAGE'!AL191="Absent"),0),IF('POINTAGE'!$AN$5&lt;&gt;"",--('POINTAGE'!AN191="Absent"),0),IF('POINTAGE'!$AP$5&lt;&gt;"",--('POINTAGE'!AP191="Absent"),0),IF('POINTAGE'!$AR$5&lt;&gt;"",--('POINTAGE'!AR191="Absent"),0),IF('POINTAGE'!$AT$5&lt;&gt;"",--('POINTAGE'!AT191="Absent"),0),IF('POINTAGE'!$AV$5&lt;&gt;"",--('POINTAGE'!AV191="Absent"),0),IF('POINTAGE'!$AX$5&lt;&gt;"",--('POINTAGE'!AX191="Absent"),0),IF('POINTAGE'!$AZ$5&lt;&gt;"",--('POINTAGE'!AZ191="Absent"),0),IF('POINTAGE'!$BB$5&lt;&gt;"",--('POINTAGE'!BB191="Absent"),0),IF('POINTAGE'!$BD$5&lt;&gt;"",--('POINTAGE'!BD191="Absent"),0),IF('POINTAGE'!$BF$5&lt;&gt;"",--('POINTAGE'!BF191="Absent"),0),IF('POINTAGE'!$BH$5&lt;&gt;"",--('POINTAGE'!BH191="Absent"),0),IF('POINTAGE'!$BJ$5&lt;&gt;"",--('POINTAGE'!BJ191="Absent"),0),IF('POINTAGE'!$BL$5&lt;&gt;"",--('POINTAGE'!BL191="Absent"),0)))</f>
      </c>
      <c r="P191" s="23">
        <f>IF($A191="","",SUM(IF('POINTAGE'!$AH$5&lt;&gt;"",IF('POINTAGE'!AH191="Présent",'POINTAGE'!AI191,0),0),IF('POINTAGE'!$AJ$5&lt;&gt;"",IF('POINTAGE'!AJ191="Présent",'POINTAGE'!AK191,0),0),IF('POINTAGE'!$AL$5&lt;&gt;"",IF('POINTAGE'!AL191="Présent",'POINTAGE'!AM191,0),0),IF('POINTAGE'!$AN$5&lt;&gt;"",IF('POINTAGE'!AN191="Présent",'POINTAGE'!AO191,0),0),IF('POINTAGE'!$AP$5&lt;&gt;"",IF('POINTAGE'!AP191="Présent",'POINTAGE'!AQ191,0),0),IF('POINTAGE'!$AR$5&lt;&gt;"",IF('POINTAGE'!AR191="Présent",'POINTAGE'!AS191,0),0),IF('POINTAGE'!$AT$5&lt;&gt;"",IF('POINTAGE'!AT191="Présent",'POINTAGE'!AU191,0),0),IF('POINTAGE'!$AV$5&lt;&gt;"",IF('POINTAGE'!AV191="Présent",'POINTAGE'!AW191,0),0),IF('POINTAGE'!$AX$5&lt;&gt;"",IF('POINTAGE'!AX191="Présent",'POINTAGE'!AY191,0),0),IF('POINTAGE'!$AZ$5&lt;&gt;"",IF('POINTAGE'!AZ191="Présent",'POINTAGE'!BA191,0),0),IF('POINTAGE'!$BB$5&lt;&gt;"",IF('POINTAGE'!BB191="Présent",'POINTAGE'!BC191,0),0),IF('POINTAGE'!$BD$5&lt;&gt;"",IF('POINTAGE'!BD191="Présent",'POINTAGE'!BE191,0),0),IF('POINTAGE'!$BF$5&lt;&gt;"",IF('POINTAGE'!BF191="Présent",'POINTAGE'!BG191,0),0),IF('POINTAGE'!$BH$5&lt;&gt;"",IF('POINTAGE'!BH191="Présent",'POINTAGE'!BI191,0),0),IF('POINTAGE'!$BJ$5&lt;&gt;"",IF('POINTAGE'!BJ191="Présent",'POINTAGE'!BK191,0),0),IF('POINTAGE'!$BL$5&lt;&gt;"",IF('POINTAGE'!BL191="Présent",'POINTAGE'!BM191,0),0)))</f>
      </c>
      <c r="Q191" s="24">
        <f>IF($A191="","",$N191*$D191)</f>
      </c>
      <c r="R191" s="24">
        <f>IF($A191="","",$P191*$E191)</f>
      </c>
      <c r="S191" s="25">
        <f>IF($A191="","",$Q191+$R191)</f>
      </c>
      <c r="T191" s="18"/>
      <c r="U191" s="25">
        <f>IF($A191="","",MAX(0,$S191-$T191))</f>
      </c>
      <c r="V191" s="25">
        <f>IF($A191="","",$K191+$S191)</f>
      </c>
      <c r="W191" s="24">
        <f>IF($A191="","",$L191+$T191)</f>
      </c>
      <c r="X191" s="25">
        <f>IF($A191="","",$M191+$U191)</f>
      </c>
      <c r="Y191" s="29">
        <f>IF($A191="","",$J191+$R191)</f>
      </c>
    </row>
    <row r="192">
      <c r="A192" s="20">
        <f>IF('POINTAGE'!A192="","",'POINTAGE'!A192)</f>
      </c>
      <c r="B192" s="19">
        <f>IF($A192="","",'POINTAGE'!B192)</f>
      </c>
      <c r="C192" s="20">
        <f>IF($A192="","",'POINTAGE'!C192)</f>
      </c>
      <c r="D192" s="24">
        <f>IF($A192="","",IFERROR(INDEX(Categories_Salaire,MATCH($C192,ListeCategories,0)),0))</f>
      </c>
      <c r="E192" s="24">
        <f>IF($A192="","",IF(IFERROR(INDEX(Categories_TauxHS,MATCH($C192,ListeCategories,0)),0)&gt;0,IFERROR(INDEX(Categories_TauxHS,MATCH($C192,ListeCategories,0)),0),TauxHSDefaut))</f>
      </c>
      <c r="F192" s="22">
        <f>IF($A192="","",SUM(IF('POINTAGE'!$D$5&lt;&gt;"",--('POINTAGE'!D192="Présent"),0),IF('POINTAGE'!$F$5&lt;&gt;"",--('POINTAGE'!F192="Présent"),0),IF('POINTAGE'!$H$5&lt;&gt;"",--('POINTAGE'!H192="Présent"),0),IF('POINTAGE'!$J$5&lt;&gt;"",--('POINTAGE'!J192="Présent"),0),IF('POINTAGE'!$L$5&lt;&gt;"",--('POINTAGE'!L192="Présent"),0),IF('POINTAGE'!$N$5&lt;&gt;"",--('POINTAGE'!N192="Présent"),0),IF('POINTAGE'!$P$5&lt;&gt;"",--('POINTAGE'!P192="Présent"),0),IF('POINTAGE'!$R$5&lt;&gt;"",--('POINTAGE'!R192="Présent"),0),IF('POINTAGE'!$T$5&lt;&gt;"",--('POINTAGE'!T192="Présent"),0),IF('POINTAGE'!$V$5&lt;&gt;"",--('POINTAGE'!V192="Présent"),0),IF('POINTAGE'!$X$5&lt;&gt;"",--('POINTAGE'!X192="Présent"),0),IF('POINTAGE'!$Z$5&lt;&gt;"",--('POINTAGE'!Z192="Présent"),0),IF('POINTAGE'!$AB$5&lt;&gt;"",--('POINTAGE'!AB192="Présent"),0),IF('POINTAGE'!$AD$5&lt;&gt;"",--('POINTAGE'!AD192="Présent"),0),IF('POINTAGE'!$AF$5&lt;&gt;"",--('POINTAGE'!AF192="Présent"),0)))</f>
      </c>
      <c r="G192" s="22">
        <f>IF($A192="","",SUM(IF('POINTAGE'!$D$5&lt;&gt;"",--('POINTAGE'!D192="Absent"),0),IF('POINTAGE'!$F$5&lt;&gt;"",--('POINTAGE'!F192="Absent"),0),IF('POINTAGE'!$H$5&lt;&gt;"",--('POINTAGE'!H192="Absent"),0),IF('POINTAGE'!$J$5&lt;&gt;"",--('POINTAGE'!J192="Absent"),0),IF('POINTAGE'!$L$5&lt;&gt;"",--('POINTAGE'!L192="Absent"),0),IF('POINTAGE'!$N$5&lt;&gt;"",--('POINTAGE'!N192="Absent"),0),IF('POINTAGE'!$P$5&lt;&gt;"",--('POINTAGE'!P192="Absent"),0),IF('POINTAGE'!$R$5&lt;&gt;"",--('POINTAGE'!R192="Absent"),0),IF('POINTAGE'!$T$5&lt;&gt;"",--('POINTAGE'!T192="Absent"),0),IF('POINTAGE'!$V$5&lt;&gt;"",--('POINTAGE'!V192="Absent"),0),IF('POINTAGE'!$X$5&lt;&gt;"",--('POINTAGE'!X192="Absent"),0),IF('POINTAGE'!$Z$5&lt;&gt;"",--('POINTAGE'!Z192="Absent"),0),IF('POINTAGE'!$AB$5&lt;&gt;"",--('POINTAGE'!AB192="Absent"),0),IF('POINTAGE'!$AD$5&lt;&gt;"",--('POINTAGE'!AD192="Absent"),0),IF('POINTAGE'!$AF$5&lt;&gt;"",--('POINTAGE'!AF192="Absent"),0)))</f>
      </c>
      <c r="H192" s="23">
        <f>IF($A192="","",SUM(IF('POINTAGE'!$D$5&lt;&gt;"",IF('POINTAGE'!D192="Présent",'POINTAGE'!E192,0),0),IF('POINTAGE'!$F$5&lt;&gt;"",IF('POINTAGE'!F192="Présent",'POINTAGE'!G192,0),0),IF('POINTAGE'!$H$5&lt;&gt;"",IF('POINTAGE'!H192="Présent",'POINTAGE'!I192,0),0),IF('POINTAGE'!$J$5&lt;&gt;"",IF('POINTAGE'!J192="Présent",'POINTAGE'!K192,0),0),IF('POINTAGE'!$L$5&lt;&gt;"",IF('POINTAGE'!L192="Présent",'POINTAGE'!M192,0),0),IF('POINTAGE'!$N$5&lt;&gt;"",IF('POINTAGE'!N192="Présent",'POINTAGE'!O192,0),0),IF('POINTAGE'!$P$5&lt;&gt;"",IF('POINTAGE'!P192="Présent",'POINTAGE'!Q192,0),0),IF('POINTAGE'!$R$5&lt;&gt;"",IF('POINTAGE'!R192="Présent",'POINTAGE'!S192,0),0),IF('POINTAGE'!$T$5&lt;&gt;"",IF('POINTAGE'!T192="Présent",'POINTAGE'!U192,0),0),IF('POINTAGE'!$V$5&lt;&gt;"",IF('POINTAGE'!V192="Présent",'POINTAGE'!W192,0),0),IF('POINTAGE'!$X$5&lt;&gt;"",IF('POINTAGE'!X192="Présent",'POINTAGE'!Y192,0),0),IF('POINTAGE'!$Z$5&lt;&gt;"",IF('POINTAGE'!Z192="Présent",'POINTAGE'!AA192,0),0),IF('POINTAGE'!$AB$5&lt;&gt;"",IF('POINTAGE'!AB192="Présent",'POINTAGE'!AC192,0),0),IF('POINTAGE'!$AD$5&lt;&gt;"",IF('POINTAGE'!AD192="Présent",'POINTAGE'!AE192,0),0),IF('POINTAGE'!$AF$5&lt;&gt;"",IF('POINTAGE'!AF192="Présent",'POINTAGE'!AG192,0),0)))</f>
      </c>
      <c r="I192" s="24">
        <f>IF($A192="","",$F192*$D192)</f>
      </c>
      <c r="J192" s="24">
        <f>IF($A192="","",$H192*$E192)</f>
      </c>
      <c r="K192" s="25">
        <f>IF($A192="","",$I192+$J192)</f>
      </c>
      <c r="L192" s="18"/>
      <c r="M192" s="25">
        <f>IF($A192="","",MAX(0,$K192-$L192))</f>
      </c>
      <c r="N192" s="22">
        <f>IF($A192="","",SUM(IF('POINTAGE'!$AH$5&lt;&gt;"",--('POINTAGE'!AH192="Présent"),0),IF('POINTAGE'!$AJ$5&lt;&gt;"",--('POINTAGE'!AJ192="Présent"),0),IF('POINTAGE'!$AL$5&lt;&gt;"",--('POINTAGE'!AL192="Présent"),0),IF('POINTAGE'!$AN$5&lt;&gt;"",--('POINTAGE'!AN192="Présent"),0),IF('POINTAGE'!$AP$5&lt;&gt;"",--('POINTAGE'!AP192="Présent"),0),IF('POINTAGE'!$AR$5&lt;&gt;"",--('POINTAGE'!AR192="Présent"),0),IF('POINTAGE'!$AT$5&lt;&gt;"",--('POINTAGE'!AT192="Présent"),0),IF('POINTAGE'!$AV$5&lt;&gt;"",--('POINTAGE'!AV192="Présent"),0),IF('POINTAGE'!$AX$5&lt;&gt;"",--('POINTAGE'!AX192="Présent"),0),IF('POINTAGE'!$AZ$5&lt;&gt;"",--('POINTAGE'!AZ192="Présent"),0),IF('POINTAGE'!$BB$5&lt;&gt;"",--('POINTAGE'!BB192="Présent"),0),IF('POINTAGE'!$BD$5&lt;&gt;"",--('POINTAGE'!BD192="Présent"),0),IF('POINTAGE'!$BF$5&lt;&gt;"",--('POINTAGE'!BF192="Présent"),0),IF('POINTAGE'!$BH$5&lt;&gt;"",--('POINTAGE'!BH192="Présent"),0),IF('POINTAGE'!$BJ$5&lt;&gt;"",--('POINTAGE'!BJ192="Présent"),0),IF('POINTAGE'!$BL$5&lt;&gt;"",--('POINTAGE'!BL192="Présent"),0)))</f>
      </c>
      <c r="O192" s="22">
        <f>IF($A192="","",SUM(IF('POINTAGE'!$AH$5&lt;&gt;"",--('POINTAGE'!AH192="Absent"),0),IF('POINTAGE'!$AJ$5&lt;&gt;"",--('POINTAGE'!AJ192="Absent"),0),IF('POINTAGE'!$AL$5&lt;&gt;"",--('POINTAGE'!AL192="Absent"),0),IF('POINTAGE'!$AN$5&lt;&gt;"",--('POINTAGE'!AN192="Absent"),0),IF('POINTAGE'!$AP$5&lt;&gt;"",--('POINTAGE'!AP192="Absent"),0),IF('POINTAGE'!$AR$5&lt;&gt;"",--('POINTAGE'!AR192="Absent"),0),IF('POINTAGE'!$AT$5&lt;&gt;"",--('POINTAGE'!AT192="Absent"),0),IF('POINTAGE'!$AV$5&lt;&gt;"",--('POINTAGE'!AV192="Absent"),0),IF('POINTAGE'!$AX$5&lt;&gt;"",--('POINTAGE'!AX192="Absent"),0),IF('POINTAGE'!$AZ$5&lt;&gt;"",--('POINTAGE'!AZ192="Absent"),0),IF('POINTAGE'!$BB$5&lt;&gt;"",--('POINTAGE'!BB192="Absent"),0),IF('POINTAGE'!$BD$5&lt;&gt;"",--('POINTAGE'!BD192="Absent"),0),IF('POINTAGE'!$BF$5&lt;&gt;"",--('POINTAGE'!BF192="Absent"),0),IF('POINTAGE'!$BH$5&lt;&gt;"",--('POINTAGE'!BH192="Absent"),0),IF('POINTAGE'!$BJ$5&lt;&gt;"",--('POINTAGE'!BJ192="Absent"),0),IF('POINTAGE'!$BL$5&lt;&gt;"",--('POINTAGE'!BL192="Absent"),0)))</f>
      </c>
      <c r="P192" s="23">
        <f>IF($A192="","",SUM(IF('POINTAGE'!$AH$5&lt;&gt;"",IF('POINTAGE'!AH192="Présent",'POINTAGE'!AI192,0),0),IF('POINTAGE'!$AJ$5&lt;&gt;"",IF('POINTAGE'!AJ192="Présent",'POINTAGE'!AK192,0),0),IF('POINTAGE'!$AL$5&lt;&gt;"",IF('POINTAGE'!AL192="Présent",'POINTAGE'!AM192,0),0),IF('POINTAGE'!$AN$5&lt;&gt;"",IF('POINTAGE'!AN192="Présent",'POINTAGE'!AO192,0),0),IF('POINTAGE'!$AP$5&lt;&gt;"",IF('POINTAGE'!AP192="Présent",'POINTAGE'!AQ192,0),0),IF('POINTAGE'!$AR$5&lt;&gt;"",IF('POINTAGE'!AR192="Présent",'POINTAGE'!AS192,0),0),IF('POINTAGE'!$AT$5&lt;&gt;"",IF('POINTAGE'!AT192="Présent",'POINTAGE'!AU192,0),0),IF('POINTAGE'!$AV$5&lt;&gt;"",IF('POINTAGE'!AV192="Présent",'POINTAGE'!AW192,0),0),IF('POINTAGE'!$AX$5&lt;&gt;"",IF('POINTAGE'!AX192="Présent",'POINTAGE'!AY192,0),0),IF('POINTAGE'!$AZ$5&lt;&gt;"",IF('POINTAGE'!AZ192="Présent",'POINTAGE'!BA192,0),0),IF('POINTAGE'!$BB$5&lt;&gt;"",IF('POINTAGE'!BB192="Présent",'POINTAGE'!BC192,0),0),IF('POINTAGE'!$BD$5&lt;&gt;"",IF('POINTAGE'!BD192="Présent",'POINTAGE'!BE192,0),0),IF('POINTAGE'!$BF$5&lt;&gt;"",IF('POINTAGE'!BF192="Présent",'POINTAGE'!BG192,0),0),IF('POINTAGE'!$BH$5&lt;&gt;"",IF('POINTAGE'!BH192="Présent",'POINTAGE'!BI192,0),0),IF('POINTAGE'!$BJ$5&lt;&gt;"",IF('POINTAGE'!BJ192="Présent",'POINTAGE'!BK192,0),0),IF('POINTAGE'!$BL$5&lt;&gt;"",IF('POINTAGE'!BL192="Présent",'POINTAGE'!BM192,0),0)))</f>
      </c>
      <c r="Q192" s="24">
        <f>IF($A192="","",$N192*$D192)</f>
      </c>
      <c r="R192" s="24">
        <f>IF($A192="","",$P192*$E192)</f>
      </c>
      <c r="S192" s="25">
        <f>IF($A192="","",$Q192+$R192)</f>
      </c>
      <c r="T192" s="18"/>
      <c r="U192" s="25">
        <f>IF($A192="","",MAX(0,$S192-$T192))</f>
      </c>
      <c r="V192" s="25">
        <f>IF($A192="","",$K192+$S192)</f>
      </c>
      <c r="W192" s="24">
        <f>IF($A192="","",$L192+$T192)</f>
      </c>
      <c r="X192" s="25">
        <f>IF($A192="","",$M192+$U192)</f>
      </c>
      <c r="Y192" s="29">
        <f>IF($A192="","",$J192+$R192)</f>
      </c>
    </row>
    <row r="193">
      <c r="A193" s="20">
        <f>IF('POINTAGE'!A193="","",'POINTAGE'!A193)</f>
      </c>
      <c r="B193" s="19">
        <f>IF($A193="","",'POINTAGE'!B193)</f>
      </c>
      <c r="C193" s="20">
        <f>IF($A193="","",'POINTAGE'!C193)</f>
      </c>
      <c r="D193" s="24">
        <f>IF($A193="","",IFERROR(INDEX(Categories_Salaire,MATCH($C193,ListeCategories,0)),0))</f>
      </c>
      <c r="E193" s="24">
        <f>IF($A193="","",IF(IFERROR(INDEX(Categories_TauxHS,MATCH($C193,ListeCategories,0)),0)&gt;0,IFERROR(INDEX(Categories_TauxHS,MATCH($C193,ListeCategories,0)),0),TauxHSDefaut))</f>
      </c>
      <c r="F193" s="22">
        <f>IF($A193="","",SUM(IF('POINTAGE'!$D$5&lt;&gt;"",--('POINTAGE'!D193="Présent"),0),IF('POINTAGE'!$F$5&lt;&gt;"",--('POINTAGE'!F193="Présent"),0),IF('POINTAGE'!$H$5&lt;&gt;"",--('POINTAGE'!H193="Présent"),0),IF('POINTAGE'!$J$5&lt;&gt;"",--('POINTAGE'!J193="Présent"),0),IF('POINTAGE'!$L$5&lt;&gt;"",--('POINTAGE'!L193="Présent"),0),IF('POINTAGE'!$N$5&lt;&gt;"",--('POINTAGE'!N193="Présent"),0),IF('POINTAGE'!$P$5&lt;&gt;"",--('POINTAGE'!P193="Présent"),0),IF('POINTAGE'!$R$5&lt;&gt;"",--('POINTAGE'!R193="Présent"),0),IF('POINTAGE'!$T$5&lt;&gt;"",--('POINTAGE'!T193="Présent"),0),IF('POINTAGE'!$V$5&lt;&gt;"",--('POINTAGE'!V193="Présent"),0),IF('POINTAGE'!$X$5&lt;&gt;"",--('POINTAGE'!X193="Présent"),0),IF('POINTAGE'!$Z$5&lt;&gt;"",--('POINTAGE'!Z193="Présent"),0),IF('POINTAGE'!$AB$5&lt;&gt;"",--('POINTAGE'!AB193="Présent"),0),IF('POINTAGE'!$AD$5&lt;&gt;"",--('POINTAGE'!AD193="Présent"),0),IF('POINTAGE'!$AF$5&lt;&gt;"",--('POINTAGE'!AF193="Présent"),0)))</f>
      </c>
      <c r="G193" s="22">
        <f>IF($A193="","",SUM(IF('POINTAGE'!$D$5&lt;&gt;"",--('POINTAGE'!D193="Absent"),0),IF('POINTAGE'!$F$5&lt;&gt;"",--('POINTAGE'!F193="Absent"),0),IF('POINTAGE'!$H$5&lt;&gt;"",--('POINTAGE'!H193="Absent"),0),IF('POINTAGE'!$J$5&lt;&gt;"",--('POINTAGE'!J193="Absent"),0),IF('POINTAGE'!$L$5&lt;&gt;"",--('POINTAGE'!L193="Absent"),0),IF('POINTAGE'!$N$5&lt;&gt;"",--('POINTAGE'!N193="Absent"),0),IF('POINTAGE'!$P$5&lt;&gt;"",--('POINTAGE'!P193="Absent"),0),IF('POINTAGE'!$R$5&lt;&gt;"",--('POINTAGE'!R193="Absent"),0),IF('POINTAGE'!$T$5&lt;&gt;"",--('POINTAGE'!T193="Absent"),0),IF('POINTAGE'!$V$5&lt;&gt;"",--('POINTAGE'!V193="Absent"),0),IF('POINTAGE'!$X$5&lt;&gt;"",--('POINTAGE'!X193="Absent"),0),IF('POINTAGE'!$Z$5&lt;&gt;"",--('POINTAGE'!Z193="Absent"),0),IF('POINTAGE'!$AB$5&lt;&gt;"",--('POINTAGE'!AB193="Absent"),0),IF('POINTAGE'!$AD$5&lt;&gt;"",--('POINTAGE'!AD193="Absent"),0),IF('POINTAGE'!$AF$5&lt;&gt;"",--('POINTAGE'!AF193="Absent"),0)))</f>
      </c>
      <c r="H193" s="23">
        <f>IF($A193="","",SUM(IF('POINTAGE'!$D$5&lt;&gt;"",IF('POINTAGE'!D193="Présent",'POINTAGE'!E193,0),0),IF('POINTAGE'!$F$5&lt;&gt;"",IF('POINTAGE'!F193="Présent",'POINTAGE'!G193,0),0),IF('POINTAGE'!$H$5&lt;&gt;"",IF('POINTAGE'!H193="Présent",'POINTAGE'!I193,0),0),IF('POINTAGE'!$J$5&lt;&gt;"",IF('POINTAGE'!J193="Présent",'POINTAGE'!K193,0),0),IF('POINTAGE'!$L$5&lt;&gt;"",IF('POINTAGE'!L193="Présent",'POINTAGE'!M193,0),0),IF('POINTAGE'!$N$5&lt;&gt;"",IF('POINTAGE'!N193="Présent",'POINTAGE'!O193,0),0),IF('POINTAGE'!$P$5&lt;&gt;"",IF('POINTAGE'!P193="Présent",'POINTAGE'!Q193,0),0),IF('POINTAGE'!$R$5&lt;&gt;"",IF('POINTAGE'!R193="Présent",'POINTAGE'!S193,0),0),IF('POINTAGE'!$T$5&lt;&gt;"",IF('POINTAGE'!T193="Présent",'POINTAGE'!U193,0),0),IF('POINTAGE'!$V$5&lt;&gt;"",IF('POINTAGE'!V193="Présent",'POINTAGE'!W193,0),0),IF('POINTAGE'!$X$5&lt;&gt;"",IF('POINTAGE'!X193="Présent",'POINTAGE'!Y193,0),0),IF('POINTAGE'!$Z$5&lt;&gt;"",IF('POINTAGE'!Z193="Présent",'POINTAGE'!AA193,0),0),IF('POINTAGE'!$AB$5&lt;&gt;"",IF('POINTAGE'!AB193="Présent",'POINTAGE'!AC193,0),0),IF('POINTAGE'!$AD$5&lt;&gt;"",IF('POINTAGE'!AD193="Présent",'POINTAGE'!AE193,0),0),IF('POINTAGE'!$AF$5&lt;&gt;"",IF('POINTAGE'!AF193="Présent",'POINTAGE'!AG193,0),0)))</f>
      </c>
      <c r="I193" s="24">
        <f>IF($A193="","",$F193*$D193)</f>
      </c>
      <c r="J193" s="24">
        <f>IF($A193="","",$H193*$E193)</f>
      </c>
      <c r="K193" s="25">
        <f>IF($A193="","",$I193+$J193)</f>
      </c>
      <c r="L193" s="18"/>
      <c r="M193" s="25">
        <f>IF($A193="","",MAX(0,$K193-$L193))</f>
      </c>
      <c r="N193" s="22">
        <f>IF($A193="","",SUM(IF('POINTAGE'!$AH$5&lt;&gt;"",--('POINTAGE'!AH193="Présent"),0),IF('POINTAGE'!$AJ$5&lt;&gt;"",--('POINTAGE'!AJ193="Présent"),0),IF('POINTAGE'!$AL$5&lt;&gt;"",--('POINTAGE'!AL193="Présent"),0),IF('POINTAGE'!$AN$5&lt;&gt;"",--('POINTAGE'!AN193="Présent"),0),IF('POINTAGE'!$AP$5&lt;&gt;"",--('POINTAGE'!AP193="Présent"),0),IF('POINTAGE'!$AR$5&lt;&gt;"",--('POINTAGE'!AR193="Présent"),0),IF('POINTAGE'!$AT$5&lt;&gt;"",--('POINTAGE'!AT193="Présent"),0),IF('POINTAGE'!$AV$5&lt;&gt;"",--('POINTAGE'!AV193="Présent"),0),IF('POINTAGE'!$AX$5&lt;&gt;"",--('POINTAGE'!AX193="Présent"),0),IF('POINTAGE'!$AZ$5&lt;&gt;"",--('POINTAGE'!AZ193="Présent"),0),IF('POINTAGE'!$BB$5&lt;&gt;"",--('POINTAGE'!BB193="Présent"),0),IF('POINTAGE'!$BD$5&lt;&gt;"",--('POINTAGE'!BD193="Présent"),0),IF('POINTAGE'!$BF$5&lt;&gt;"",--('POINTAGE'!BF193="Présent"),0),IF('POINTAGE'!$BH$5&lt;&gt;"",--('POINTAGE'!BH193="Présent"),0),IF('POINTAGE'!$BJ$5&lt;&gt;"",--('POINTAGE'!BJ193="Présent"),0),IF('POINTAGE'!$BL$5&lt;&gt;"",--('POINTAGE'!BL193="Présent"),0)))</f>
      </c>
      <c r="O193" s="22">
        <f>IF($A193="","",SUM(IF('POINTAGE'!$AH$5&lt;&gt;"",--('POINTAGE'!AH193="Absent"),0),IF('POINTAGE'!$AJ$5&lt;&gt;"",--('POINTAGE'!AJ193="Absent"),0),IF('POINTAGE'!$AL$5&lt;&gt;"",--('POINTAGE'!AL193="Absent"),0),IF('POINTAGE'!$AN$5&lt;&gt;"",--('POINTAGE'!AN193="Absent"),0),IF('POINTAGE'!$AP$5&lt;&gt;"",--('POINTAGE'!AP193="Absent"),0),IF('POINTAGE'!$AR$5&lt;&gt;"",--('POINTAGE'!AR193="Absent"),0),IF('POINTAGE'!$AT$5&lt;&gt;"",--('POINTAGE'!AT193="Absent"),0),IF('POINTAGE'!$AV$5&lt;&gt;"",--('POINTAGE'!AV193="Absent"),0),IF('POINTAGE'!$AX$5&lt;&gt;"",--('POINTAGE'!AX193="Absent"),0),IF('POINTAGE'!$AZ$5&lt;&gt;"",--('POINTAGE'!AZ193="Absent"),0),IF('POINTAGE'!$BB$5&lt;&gt;"",--('POINTAGE'!BB193="Absent"),0),IF('POINTAGE'!$BD$5&lt;&gt;"",--('POINTAGE'!BD193="Absent"),0),IF('POINTAGE'!$BF$5&lt;&gt;"",--('POINTAGE'!BF193="Absent"),0),IF('POINTAGE'!$BH$5&lt;&gt;"",--('POINTAGE'!BH193="Absent"),0),IF('POINTAGE'!$BJ$5&lt;&gt;"",--('POINTAGE'!BJ193="Absent"),0),IF('POINTAGE'!$BL$5&lt;&gt;"",--('POINTAGE'!BL193="Absent"),0)))</f>
      </c>
      <c r="P193" s="23">
        <f>IF($A193="","",SUM(IF('POINTAGE'!$AH$5&lt;&gt;"",IF('POINTAGE'!AH193="Présent",'POINTAGE'!AI193,0),0),IF('POINTAGE'!$AJ$5&lt;&gt;"",IF('POINTAGE'!AJ193="Présent",'POINTAGE'!AK193,0),0),IF('POINTAGE'!$AL$5&lt;&gt;"",IF('POINTAGE'!AL193="Présent",'POINTAGE'!AM193,0),0),IF('POINTAGE'!$AN$5&lt;&gt;"",IF('POINTAGE'!AN193="Présent",'POINTAGE'!AO193,0),0),IF('POINTAGE'!$AP$5&lt;&gt;"",IF('POINTAGE'!AP193="Présent",'POINTAGE'!AQ193,0),0),IF('POINTAGE'!$AR$5&lt;&gt;"",IF('POINTAGE'!AR193="Présent",'POINTAGE'!AS193,0),0),IF('POINTAGE'!$AT$5&lt;&gt;"",IF('POINTAGE'!AT193="Présent",'POINTAGE'!AU193,0),0),IF('POINTAGE'!$AV$5&lt;&gt;"",IF('POINTAGE'!AV193="Présent",'POINTAGE'!AW193,0),0),IF('POINTAGE'!$AX$5&lt;&gt;"",IF('POINTAGE'!AX193="Présent",'POINTAGE'!AY193,0),0),IF('POINTAGE'!$AZ$5&lt;&gt;"",IF('POINTAGE'!AZ193="Présent",'POINTAGE'!BA193,0),0),IF('POINTAGE'!$BB$5&lt;&gt;"",IF('POINTAGE'!BB193="Présent",'POINTAGE'!BC193,0),0),IF('POINTAGE'!$BD$5&lt;&gt;"",IF('POINTAGE'!BD193="Présent",'POINTAGE'!BE193,0),0),IF('POINTAGE'!$BF$5&lt;&gt;"",IF('POINTAGE'!BF193="Présent",'POINTAGE'!BG193,0),0),IF('POINTAGE'!$BH$5&lt;&gt;"",IF('POINTAGE'!BH193="Présent",'POINTAGE'!BI193,0),0),IF('POINTAGE'!$BJ$5&lt;&gt;"",IF('POINTAGE'!BJ193="Présent",'POINTAGE'!BK193,0),0),IF('POINTAGE'!$BL$5&lt;&gt;"",IF('POINTAGE'!BL193="Présent",'POINTAGE'!BM193,0),0)))</f>
      </c>
      <c r="Q193" s="24">
        <f>IF($A193="","",$N193*$D193)</f>
      </c>
      <c r="R193" s="24">
        <f>IF($A193="","",$P193*$E193)</f>
      </c>
      <c r="S193" s="25">
        <f>IF($A193="","",$Q193+$R193)</f>
      </c>
      <c r="T193" s="18"/>
      <c r="U193" s="25">
        <f>IF($A193="","",MAX(0,$S193-$T193))</f>
      </c>
      <c r="V193" s="25">
        <f>IF($A193="","",$K193+$S193)</f>
      </c>
      <c r="W193" s="24">
        <f>IF($A193="","",$L193+$T193)</f>
      </c>
      <c r="X193" s="25">
        <f>IF($A193="","",$M193+$U193)</f>
      </c>
      <c r="Y193" s="29">
        <f>IF($A193="","",$J193+$R193)</f>
      </c>
    </row>
    <row r="194">
      <c r="A194" s="20">
        <f>IF('POINTAGE'!A194="","",'POINTAGE'!A194)</f>
      </c>
      <c r="B194" s="19">
        <f>IF($A194="","",'POINTAGE'!B194)</f>
      </c>
      <c r="C194" s="20">
        <f>IF($A194="","",'POINTAGE'!C194)</f>
      </c>
      <c r="D194" s="24">
        <f>IF($A194="","",IFERROR(INDEX(Categories_Salaire,MATCH($C194,ListeCategories,0)),0))</f>
      </c>
      <c r="E194" s="24">
        <f>IF($A194="","",IF(IFERROR(INDEX(Categories_TauxHS,MATCH($C194,ListeCategories,0)),0)&gt;0,IFERROR(INDEX(Categories_TauxHS,MATCH($C194,ListeCategories,0)),0),TauxHSDefaut))</f>
      </c>
      <c r="F194" s="22">
        <f>IF($A194="","",SUM(IF('POINTAGE'!$D$5&lt;&gt;"",--('POINTAGE'!D194="Présent"),0),IF('POINTAGE'!$F$5&lt;&gt;"",--('POINTAGE'!F194="Présent"),0),IF('POINTAGE'!$H$5&lt;&gt;"",--('POINTAGE'!H194="Présent"),0),IF('POINTAGE'!$J$5&lt;&gt;"",--('POINTAGE'!J194="Présent"),0),IF('POINTAGE'!$L$5&lt;&gt;"",--('POINTAGE'!L194="Présent"),0),IF('POINTAGE'!$N$5&lt;&gt;"",--('POINTAGE'!N194="Présent"),0),IF('POINTAGE'!$P$5&lt;&gt;"",--('POINTAGE'!P194="Présent"),0),IF('POINTAGE'!$R$5&lt;&gt;"",--('POINTAGE'!R194="Présent"),0),IF('POINTAGE'!$T$5&lt;&gt;"",--('POINTAGE'!T194="Présent"),0),IF('POINTAGE'!$V$5&lt;&gt;"",--('POINTAGE'!V194="Présent"),0),IF('POINTAGE'!$X$5&lt;&gt;"",--('POINTAGE'!X194="Présent"),0),IF('POINTAGE'!$Z$5&lt;&gt;"",--('POINTAGE'!Z194="Présent"),0),IF('POINTAGE'!$AB$5&lt;&gt;"",--('POINTAGE'!AB194="Présent"),0),IF('POINTAGE'!$AD$5&lt;&gt;"",--('POINTAGE'!AD194="Présent"),0),IF('POINTAGE'!$AF$5&lt;&gt;"",--('POINTAGE'!AF194="Présent"),0)))</f>
      </c>
      <c r="G194" s="22">
        <f>IF($A194="","",SUM(IF('POINTAGE'!$D$5&lt;&gt;"",--('POINTAGE'!D194="Absent"),0),IF('POINTAGE'!$F$5&lt;&gt;"",--('POINTAGE'!F194="Absent"),0),IF('POINTAGE'!$H$5&lt;&gt;"",--('POINTAGE'!H194="Absent"),0),IF('POINTAGE'!$J$5&lt;&gt;"",--('POINTAGE'!J194="Absent"),0),IF('POINTAGE'!$L$5&lt;&gt;"",--('POINTAGE'!L194="Absent"),0),IF('POINTAGE'!$N$5&lt;&gt;"",--('POINTAGE'!N194="Absent"),0),IF('POINTAGE'!$P$5&lt;&gt;"",--('POINTAGE'!P194="Absent"),0),IF('POINTAGE'!$R$5&lt;&gt;"",--('POINTAGE'!R194="Absent"),0),IF('POINTAGE'!$T$5&lt;&gt;"",--('POINTAGE'!T194="Absent"),0),IF('POINTAGE'!$V$5&lt;&gt;"",--('POINTAGE'!V194="Absent"),0),IF('POINTAGE'!$X$5&lt;&gt;"",--('POINTAGE'!X194="Absent"),0),IF('POINTAGE'!$Z$5&lt;&gt;"",--('POINTAGE'!Z194="Absent"),0),IF('POINTAGE'!$AB$5&lt;&gt;"",--('POINTAGE'!AB194="Absent"),0),IF('POINTAGE'!$AD$5&lt;&gt;"",--('POINTAGE'!AD194="Absent"),0),IF('POINTAGE'!$AF$5&lt;&gt;"",--('POINTAGE'!AF194="Absent"),0)))</f>
      </c>
      <c r="H194" s="23">
        <f>IF($A194="","",SUM(IF('POINTAGE'!$D$5&lt;&gt;"",IF('POINTAGE'!D194="Présent",'POINTAGE'!E194,0),0),IF('POINTAGE'!$F$5&lt;&gt;"",IF('POINTAGE'!F194="Présent",'POINTAGE'!G194,0),0),IF('POINTAGE'!$H$5&lt;&gt;"",IF('POINTAGE'!H194="Présent",'POINTAGE'!I194,0),0),IF('POINTAGE'!$J$5&lt;&gt;"",IF('POINTAGE'!J194="Présent",'POINTAGE'!K194,0),0),IF('POINTAGE'!$L$5&lt;&gt;"",IF('POINTAGE'!L194="Présent",'POINTAGE'!M194,0),0),IF('POINTAGE'!$N$5&lt;&gt;"",IF('POINTAGE'!N194="Présent",'POINTAGE'!O194,0),0),IF('POINTAGE'!$P$5&lt;&gt;"",IF('POINTAGE'!P194="Présent",'POINTAGE'!Q194,0),0),IF('POINTAGE'!$R$5&lt;&gt;"",IF('POINTAGE'!R194="Présent",'POINTAGE'!S194,0),0),IF('POINTAGE'!$T$5&lt;&gt;"",IF('POINTAGE'!T194="Présent",'POINTAGE'!U194,0),0),IF('POINTAGE'!$V$5&lt;&gt;"",IF('POINTAGE'!V194="Présent",'POINTAGE'!W194,0),0),IF('POINTAGE'!$X$5&lt;&gt;"",IF('POINTAGE'!X194="Présent",'POINTAGE'!Y194,0),0),IF('POINTAGE'!$Z$5&lt;&gt;"",IF('POINTAGE'!Z194="Présent",'POINTAGE'!AA194,0),0),IF('POINTAGE'!$AB$5&lt;&gt;"",IF('POINTAGE'!AB194="Présent",'POINTAGE'!AC194,0),0),IF('POINTAGE'!$AD$5&lt;&gt;"",IF('POINTAGE'!AD194="Présent",'POINTAGE'!AE194,0),0),IF('POINTAGE'!$AF$5&lt;&gt;"",IF('POINTAGE'!AF194="Présent",'POINTAGE'!AG194,0),0)))</f>
      </c>
      <c r="I194" s="24">
        <f>IF($A194="","",$F194*$D194)</f>
      </c>
      <c r="J194" s="24">
        <f>IF($A194="","",$H194*$E194)</f>
      </c>
      <c r="K194" s="25">
        <f>IF($A194="","",$I194+$J194)</f>
      </c>
      <c r="L194" s="18"/>
      <c r="M194" s="25">
        <f>IF($A194="","",MAX(0,$K194-$L194))</f>
      </c>
      <c r="N194" s="22">
        <f>IF($A194="","",SUM(IF('POINTAGE'!$AH$5&lt;&gt;"",--('POINTAGE'!AH194="Présent"),0),IF('POINTAGE'!$AJ$5&lt;&gt;"",--('POINTAGE'!AJ194="Présent"),0),IF('POINTAGE'!$AL$5&lt;&gt;"",--('POINTAGE'!AL194="Présent"),0),IF('POINTAGE'!$AN$5&lt;&gt;"",--('POINTAGE'!AN194="Présent"),0),IF('POINTAGE'!$AP$5&lt;&gt;"",--('POINTAGE'!AP194="Présent"),0),IF('POINTAGE'!$AR$5&lt;&gt;"",--('POINTAGE'!AR194="Présent"),0),IF('POINTAGE'!$AT$5&lt;&gt;"",--('POINTAGE'!AT194="Présent"),0),IF('POINTAGE'!$AV$5&lt;&gt;"",--('POINTAGE'!AV194="Présent"),0),IF('POINTAGE'!$AX$5&lt;&gt;"",--('POINTAGE'!AX194="Présent"),0),IF('POINTAGE'!$AZ$5&lt;&gt;"",--('POINTAGE'!AZ194="Présent"),0),IF('POINTAGE'!$BB$5&lt;&gt;"",--('POINTAGE'!BB194="Présent"),0),IF('POINTAGE'!$BD$5&lt;&gt;"",--('POINTAGE'!BD194="Présent"),0),IF('POINTAGE'!$BF$5&lt;&gt;"",--('POINTAGE'!BF194="Présent"),0),IF('POINTAGE'!$BH$5&lt;&gt;"",--('POINTAGE'!BH194="Présent"),0),IF('POINTAGE'!$BJ$5&lt;&gt;"",--('POINTAGE'!BJ194="Présent"),0),IF('POINTAGE'!$BL$5&lt;&gt;"",--('POINTAGE'!BL194="Présent"),0)))</f>
      </c>
      <c r="O194" s="22">
        <f>IF($A194="","",SUM(IF('POINTAGE'!$AH$5&lt;&gt;"",--('POINTAGE'!AH194="Absent"),0),IF('POINTAGE'!$AJ$5&lt;&gt;"",--('POINTAGE'!AJ194="Absent"),0),IF('POINTAGE'!$AL$5&lt;&gt;"",--('POINTAGE'!AL194="Absent"),0),IF('POINTAGE'!$AN$5&lt;&gt;"",--('POINTAGE'!AN194="Absent"),0),IF('POINTAGE'!$AP$5&lt;&gt;"",--('POINTAGE'!AP194="Absent"),0),IF('POINTAGE'!$AR$5&lt;&gt;"",--('POINTAGE'!AR194="Absent"),0),IF('POINTAGE'!$AT$5&lt;&gt;"",--('POINTAGE'!AT194="Absent"),0),IF('POINTAGE'!$AV$5&lt;&gt;"",--('POINTAGE'!AV194="Absent"),0),IF('POINTAGE'!$AX$5&lt;&gt;"",--('POINTAGE'!AX194="Absent"),0),IF('POINTAGE'!$AZ$5&lt;&gt;"",--('POINTAGE'!AZ194="Absent"),0),IF('POINTAGE'!$BB$5&lt;&gt;"",--('POINTAGE'!BB194="Absent"),0),IF('POINTAGE'!$BD$5&lt;&gt;"",--('POINTAGE'!BD194="Absent"),0),IF('POINTAGE'!$BF$5&lt;&gt;"",--('POINTAGE'!BF194="Absent"),0),IF('POINTAGE'!$BH$5&lt;&gt;"",--('POINTAGE'!BH194="Absent"),0),IF('POINTAGE'!$BJ$5&lt;&gt;"",--('POINTAGE'!BJ194="Absent"),0),IF('POINTAGE'!$BL$5&lt;&gt;"",--('POINTAGE'!BL194="Absent"),0)))</f>
      </c>
      <c r="P194" s="23">
        <f>IF($A194="","",SUM(IF('POINTAGE'!$AH$5&lt;&gt;"",IF('POINTAGE'!AH194="Présent",'POINTAGE'!AI194,0),0),IF('POINTAGE'!$AJ$5&lt;&gt;"",IF('POINTAGE'!AJ194="Présent",'POINTAGE'!AK194,0),0),IF('POINTAGE'!$AL$5&lt;&gt;"",IF('POINTAGE'!AL194="Présent",'POINTAGE'!AM194,0),0),IF('POINTAGE'!$AN$5&lt;&gt;"",IF('POINTAGE'!AN194="Présent",'POINTAGE'!AO194,0),0),IF('POINTAGE'!$AP$5&lt;&gt;"",IF('POINTAGE'!AP194="Présent",'POINTAGE'!AQ194,0),0),IF('POINTAGE'!$AR$5&lt;&gt;"",IF('POINTAGE'!AR194="Présent",'POINTAGE'!AS194,0),0),IF('POINTAGE'!$AT$5&lt;&gt;"",IF('POINTAGE'!AT194="Présent",'POINTAGE'!AU194,0),0),IF('POINTAGE'!$AV$5&lt;&gt;"",IF('POINTAGE'!AV194="Présent",'POINTAGE'!AW194,0),0),IF('POINTAGE'!$AX$5&lt;&gt;"",IF('POINTAGE'!AX194="Présent",'POINTAGE'!AY194,0),0),IF('POINTAGE'!$AZ$5&lt;&gt;"",IF('POINTAGE'!AZ194="Présent",'POINTAGE'!BA194,0),0),IF('POINTAGE'!$BB$5&lt;&gt;"",IF('POINTAGE'!BB194="Présent",'POINTAGE'!BC194,0),0),IF('POINTAGE'!$BD$5&lt;&gt;"",IF('POINTAGE'!BD194="Présent",'POINTAGE'!BE194,0),0),IF('POINTAGE'!$BF$5&lt;&gt;"",IF('POINTAGE'!BF194="Présent",'POINTAGE'!BG194,0),0),IF('POINTAGE'!$BH$5&lt;&gt;"",IF('POINTAGE'!BH194="Présent",'POINTAGE'!BI194,0),0),IF('POINTAGE'!$BJ$5&lt;&gt;"",IF('POINTAGE'!BJ194="Présent",'POINTAGE'!BK194,0),0),IF('POINTAGE'!$BL$5&lt;&gt;"",IF('POINTAGE'!BL194="Présent",'POINTAGE'!BM194,0),0)))</f>
      </c>
      <c r="Q194" s="24">
        <f>IF($A194="","",$N194*$D194)</f>
      </c>
      <c r="R194" s="24">
        <f>IF($A194="","",$P194*$E194)</f>
      </c>
      <c r="S194" s="25">
        <f>IF($A194="","",$Q194+$R194)</f>
      </c>
      <c r="T194" s="18"/>
      <c r="U194" s="25">
        <f>IF($A194="","",MAX(0,$S194-$T194))</f>
      </c>
      <c r="V194" s="25">
        <f>IF($A194="","",$K194+$S194)</f>
      </c>
      <c r="W194" s="24">
        <f>IF($A194="","",$L194+$T194)</f>
      </c>
      <c r="X194" s="25">
        <f>IF($A194="","",$M194+$U194)</f>
      </c>
      <c r="Y194" s="29">
        <f>IF($A194="","",$J194+$R194)</f>
      </c>
    </row>
    <row r="195">
      <c r="A195" s="20">
        <f>IF('POINTAGE'!A195="","",'POINTAGE'!A195)</f>
      </c>
      <c r="B195" s="19">
        <f>IF($A195="","",'POINTAGE'!B195)</f>
      </c>
      <c r="C195" s="20">
        <f>IF($A195="","",'POINTAGE'!C195)</f>
      </c>
      <c r="D195" s="24">
        <f>IF($A195="","",IFERROR(INDEX(Categories_Salaire,MATCH($C195,ListeCategories,0)),0))</f>
      </c>
      <c r="E195" s="24">
        <f>IF($A195="","",IF(IFERROR(INDEX(Categories_TauxHS,MATCH($C195,ListeCategories,0)),0)&gt;0,IFERROR(INDEX(Categories_TauxHS,MATCH($C195,ListeCategories,0)),0),TauxHSDefaut))</f>
      </c>
      <c r="F195" s="22">
        <f>IF($A195="","",SUM(IF('POINTAGE'!$D$5&lt;&gt;"",--('POINTAGE'!D195="Présent"),0),IF('POINTAGE'!$F$5&lt;&gt;"",--('POINTAGE'!F195="Présent"),0),IF('POINTAGE'!$H$5&lt;&gt;"",--('POINTAGE'!H195="Présent"),0),IF('POINTAGE'!$J$5&lt;&gt;"",--('POINTAGE'!J195="Présent"),0),IF('POINTAGE'!$L$5&lt;&gt;"",--('POINTAGE'!L195="Présent"),0),IF('POINTAGE'!$N$5&lt;&gt;"",--('POINTAGE'!N195="Présent"),0),IF('POINTAGE'!$P$5&lt;&gt;"",--('POINTAGE'!P195="Présent"),0),IF('POINTAGE'!$R$5&lt;&gt;"",--('POINTAGE'!R195="Présent"),0),IF('POINTAGE'!$T$5&lt;&gt;"",--('POINTAGE'!T195="Présent"),0),IF('POINTAGE'!$V$5&lt;&gt;"",--('POINTAGE'!V195="Présent"),0),IF('POINTAGE'!$X$5&lt;&gt;"",--('POINTAGE'!X195="Présent"),0),IF('POINTAGE'!$Z$5&lt;&gt;"",--('POINTAGE'!Z195="Présent"),0),IF('POINTAGE'!$AB$5&lt;&gt;"",--('POINTAGE'!AB195="Présent"),0),IF('POINTAGE'!$AD$5&lt;&gt;"",--('POINTAGE'!AD195="Présent"),0),IF('POINTAGE'!$AF$5&lt;&gt;"",--('POINTAGE'!AF195="Présent"),0)))</f>
      </c>
      <c r="G195" s="22">
        <f>IF($A195="","",SUM(IF('POINTAGE'!$D$5&lt;&gt;"",--('POINTAGE'!D195="Absent"),0),IF('POINTAGE'!$F$5&lt;&gt;"",--('POINTAGE'!F195="Absent"),0),IF('POINTAGE'!$H$5&lt;&gt;"",--('POINTAGE'!H195="Absent"),0),IF('POINTAGE'!$J$5&lt;&gt;"",--('POINTAGE'!J195="Absent"),0),IF('POINTAGE'!$L$5&lt;&gt;"",--('POINTAGE'!L195="Absent"),0),IF('POINTAGE'!$N$5&lt;&gt;"",--('POINTAGE'!N195="Absent"),0),IF('POINTAGE'!$P$5&lt;&gt;"",--('POINTAGE'!P195="Absent"),0),IF('POINTAGE'!$R$5&lt;&gt;"",--('POINTAGE'!R195="Absent"),0),IF('POINTAGE'!$T$5&lt;&gt;"",--('POINTAGE'!T195="Absent"),0),IF('POINTAGE'!$V$5&lt;&gt;"",--('POINTAGE'!V195="Absent"),0),IF('POINTAGE'!$X$5&lt;&gt;"",--('POINTAGE'!X195="Absent"),0),IF('POINTAGE'!$Z$5&lt;&gt;"",--('POINTAGE'!Z195="Absent"),0),IF('POINTAGE'!$AB$5&lt;&gt;"",--('POINTAGE'!AB195="Absent"),0),IF('POINTAGE'!$AD$5&lt;&gt;"",--('POINTAGE'!AD195="Absent"),0),IF('POINTAGE'!$AF$5&lt;&gt;"",--('POINTAGE'!AF195="Absent"),0)))</f>
      </c>
      <c r="H195" s="23">
        <f>IF($A195="","",SUM(IF('POINTAGE'!$D$5&lt;&gt;"",IF('POINTAGE'!D195="Présent",'POINTAGE'!E195,0),0),IF('POINTAGE'!$F$5&lt;&gt;"",IF('POINTAGE'!F195="Présent",'POINTAGE'!G195,0),0),IF('POINTAGE'!$H$5&lt;&gt;"",IF('POINTAGE'!H195="Présent",'POINTAGE'!I195,0),0),IF('POINTAGE'!$J$5&lt;&gt;"",IF('POINTAGE'!J195="Présent",'POINTAGE'!K195,0),0),IF('POINTAGE'!$L$5&lt;&gt;"",IF('POINTAGE'!L195="Présent",'POINTAGE'!M195,0),0),IF('POINTAGE'!$N$5&lt;&gt;"",IF('POINTAGE'!N195="Présent",'POINTAGE'!O195,0),0),IF('POINTAGE'!$P$5&lt;&gt;"",IF('POINTAGE'!P195="Présent",'POINTAGE'!Q195,0),0),IF('POINTAGE'!$R$5&lt;&gt;"",IF('POINTAGE'!R195="Présent",'POINTAGE'!S195,0),0),IF('POINTAGE'!$T$5&lt;&gt;"",IF('POINTAGE'!T195="Présent",'POINTAGE'!U195,0),0),IF('POINTAGE'!$V$5&lt;&gt;"",IF('POINTAGE'!V195="Présent",'POINTAGE'!W195,0),0),IF('POINTAGE'!$X$5&lt;&gt;"",IF('POINTAGE'!X195="Présent",'POINTAGE'!Y195,0),0),IF('POINTAGE'!$Z$5&lt;&gt;"",IF('POINTAGE'!Z195="Présent",'POINTAGE'!AA195,0),0),IF('POINTAGE'!$AB$5&lt;&gt;"",IF('POINTAGE'!AB195="Présent",'POINTAGE'!AC195,0),0),IF('POINTAGE'!$AD$5&lt;&gt;"",IF('POINTAGE'!AD195="Présent",'POINTAGE'!AE195,0),0),IF('POINTAGE'!$AF$5&lt;&gt;"",IF('POINTAGE'!AF195="Présent",'POINTAGE'!AG195,0),0)))</f>
      </c>
      <c r="I195" s="24">
        <f>IF($A195="","",$F195*$D195)</f>
      </c>
      <c r="J195" s="24">
        <f>IF($A195="","",$H195*$E195)</f>
      </c>
      <c r="K195" s="25">
        <f>IF($A195="","",$I195+$J195)</f>
      </c>
      <c r="L195" s="18"/>
      <c r="M195" s="25">
        <f>IF($A195="","",MAX(0,$K195-$L195))</f>
      </c>
      <c r="N195" s="22">
        <f>IF($A195="","",SUM(IF('POINTAGE'!$AH$5&lt;&gt;"",--('POINTAGE'!AH195="Présent"),0),IF('POINTAGE'!$AJ$5&lt;&gt;"",--('POINTAGE'!AJ195="Présent"),0),IF('POINTAGE'!$AL$5&lt;&gt;"",--('POINTAGE'!AL195="Présent"),0),IF('POINTAGE'!$AN$5&lt;&gt;"",--('POINTAGE'!AN195="Présent"),0),IF('POINTAGE'!$AP$5&lt;&gt;"",--('POINTAGE'!AP195="Présent"),0),IF('POINTAGE'!$AR$5&lt;&gt;"",--('POINTAGE'!AR195="Présent"),0),IF('POINTAGE'!$AT$5&lt;&gt;"",--('POINTAGE'!AT195="Présent"),0),IF('POINTAGE'!$AV$5&lt;&gt;"",--('POINTAGE'!AV195="Présent"),0),IF('POINTAGE'!$AX$5&lt;&gt;"",--('POINTAGE'!AX195="Présent"),0),IF('POINTAGE'!$AZ$5&lt;&gt;"",--('POINTAGE'!AZ195="Présent"),0),IF('POINTAGE'!$BB$5&lt;&gt;"",--('POINTAGE'!BB195="Présent"),0),IF('POINTAGE'!$BD$5&lt;&gt;"",--('POINTAGE'!BD195="Présent"),0),IF('POINTAGE'!$BF$5&lt;&gt;"",--('POINTAGE'!BF195="Présent"),0),IF('POINTAGE'!$BH$5&lt;&gt;"",--('POINTAGE'!BH195="Présent"),0),IF('POINTAGE'!$BJ$5&lt;&gt;"",--('POINTAGE'!BJ195="Présent"),0),IF('POINTAGE'!$BL$5&lt;&gt;"",--('POINTAGE'!BL195="Présent"),0)))</f>
      </c>
      <c r="O195" s="22">
        <f>IF($A195="","",SUM(IF('POINTAGE'!$AH$5&lt;&gt;"",--('POINTAGE'!AH195="Absent"),0),IF('POINTAGE'!$AJ$5&lt;&gt;"",--('POINTAGE'!AJ195="Absent"),0),IF('POINTAGE'!$AL$5&lt;&gt;"",--('POINTAGE'!AL195="Absent"),0),IF('POINTAGE'!$AN$5&lt;&gt;"",--('POINTAGE'!AN195="Absent"),0),IF('POINTAGE'!$AP$5&lt;&gt;"",--('POINTAGE'!AP195="Absent"),0),IF('POINTAGE'!$AR$5&lt;&gt;"",--('POINTAGE'!AR195="Absent"),0),IF('POINTAGE'!$AT$5&lt;&gt;"",--('POINTAGE'!AT195="Absent"),0),IF('POINTAGE'!$AV$5&lt;&gt;"",--('POINTAGE'!AV195="Absent"),0),IF('POINTAGE'!$AX$5&lt;&gt;"",--('POINTAGE'!AX195="Absent"),0),IF('POINTAGE'!$AZ$5&lt;&gt;"",--('POINTAGE'!AZ195="Absent"),0),IF('POINTAGE'!$BB$5&lt;&gt;"",--('POINTAGE'!BB195="Absent"),0),IF('POINTAGE'!$BD$5&lt;&gt;"",--('POINTAGE'!BD195="Absent"),0),IF('POINTAGE'!$BF$5&lt;&gt;"",--('POINTAGE'!BF195="Absent"),0),IF('POINTAGE'!$BH$5&lt;&gt;"",--('POINTAGE'!BH195="Absent"),0),IF('POINTAGE'!$BJ$5&lt;&gt;"",--('POINTAGE'!BJ195="Absent"),0),IF('POINTAGE'!$BL$5&lt;&gt;"",--('POINTAGE'!BL195="Absent"),0)))</f>
      </c>
      <c r="P195" s="23">
        <f>IF($A195="","",SUM(IF('POINTAGE'!$AH$5&lt;&gt;"",IF('POINTAGE'!AH195="Présent",'POINTAGE'!AI195,0),0),IF('POINTAGE'!$AJ$5&lt;&gt;"",IF('POINTAGE'!AJ195="Présent",'POINTAGE'!AK195,0),0),IF('POINTAGE'!$AL$5&lt;&gt;"",IF('POINTAGE'!AL195="Présent",'POINTAGE'!AM195,0),0),IF('POINTAGE'!$AN$5&lt;&gt;"",IF('POINTAGE'!AN195="Présent",'POINTAGE'!AO195,0),0),IF('POINTAGE'!$AP$5&lt;&gt;"",IF('POINTAGE'!AP195="Présent",'POINTAGE'!AQ195,0),0),IF('POINTAGE'!$AR$5&lt;&gt;"",IF('POINTAGE'!AR195="Présent",'POINTAGE'!AS195,0),0),IF('POINTAGE'!$AT$5&lt;&gt;"",IF('POINTAGE'!AT195="Présent",'POINTAGE'!AU195,0),0),IF('POINTAGE'!$AV$5&lt;&gt;"",IF('POINTAGE'!AV195="Présent",'POINTAGE'!AW195,0),0),IF('POINTAGE'!$AX$5&lt;&gt;"",IF('POINTAGE'!AX195="Présent",'POINTAGE'!AY195,0),0),IF('POINTAGE'!$AZ$5&lt;&gt;"",IF('POINTAGE'!AZ195="Présent",'POINTAGE'!BA195,0),0),IF('POINTAGE'!$BB$5&lt;&gt;"",IF('POINTAGE'!BB195="Présent",'POINTAGE'!BC195,0),0),IF('POINTAGE'!$BD$5&lt;&gt;"",IF('POINTAGE'!BD195="Présent",'POINTAGE'!BE195,0),0),IF('POINTAGE'!$BF$5&lt;&gt;"",IF('POINTAGE'!BF195="Présent",'POINTAGE'!BG195,0),0),IF('POINTAGE'!$BH$5&lt;&gt;"",IF('POINTAGE'!BH195="Présent",'POINTAGE'!BI195,0),0),IF('POINTAGE'!$BJ$5&lt;&gt;"",IF('POINTAGE'!BJ195="Présent",'POINTAGE'!BK195,0),0),IF('POINTAGE'!$BL$5&lt;&gt;"",IF('POINTAGE'!BL195="Présent",'POINTAGE'!BM195,0),0)))</f>
      </c>
      <c r="Q195" s="24">
        <f>IF($A195="","",$N195*$D195)</f>
      </c>
      <c r="R195" s="24">
        <f>IF($A195="","",$P195*$E195)</f>
      </c>
      <c r="S195" s="25">
        <f>IF($A195="","",$Q195+$R195)</f>
      </c>
      <c r="T195" s="18"/>
      <c r="U195" s="25">
        <f>IF($A195="","",MAX(0,$S195-$T195))</f>
      </c>
      <c r="V195" s="25">
        <f>IF($A195="","",$K195+$S195)</f>
      </c>
      <c r="W195" s="24">
        <f>IF($A195="","",$L195+$T195)</f>
      </c>
      <c r="X195" s="25">
        <f>IF($A195="","",$M195+$U195)</f>
      </c>
      <c r="Y195" s="29">
        <f>IF($A195="","",$J195+$R195)</f>
      </c>
    </row>
    <row r="196">
      <c r="A196" s="20">
        <f>IF('POINTAGE'!A196="","",'POINTAGE'!A196)</f>
      </c>
      <c r="B196" s="19">
        <f>IF($A196="","",'POINTAGE'!B196)</f>
      </c>
      <c r="C196" s="20">
        <f>IF($A196="","",'POINTAGE'!C196)</f>
      </c>
      <c r="D196" s="24">
        <f>IF($A196="","",IFERROR(INDEX(Categories_Salaire,MATCH($C196,ListeCategories,0)),0))</f>
      </c>
      <c r="E196" s="24">
        <f>IF($A196="","",IF(IFERROR(INDEX(Categories_TauxHS,MATCH($C196,ListeCategories,0)),0)&gt;0,IFERROR(INDEX(Categories_TauxHS,MATCH($C196,ListeCategories,0)),0),TauxHSDefaut))</f>
      </c>
      <c r="F196" s="22">
        <f>IF($A196="","",SUM(IF('POINTAGE'!$D$5&lt;&gt;"",--('POINTAGE'!D196="Présent"),0),IF('POINTAGE'!$F$5&lt;&gt;"",--('POINTAGE'!F196="Présent"),0),IF('POINTAGE'!$H$5&lt;&gt;"",--('POINTAGE'!H196="Présent"),0),IF('POINTAGE'!$J$5&lt;&gt;"",--('POINTAGE'!J196="Présent"),0),IF('POINTAGE'!$L$5&lt;&gt;"",--('POINTAGE'!L196="Présent"),0),IF('POINTAGE'!$N$5&lt;&gt;"",--('POINTAGE'!N196="Présent"),0),IF('POINTAGE'!$P$5&lt;&gt;"",--('POINTAGE'!P196="Présent"),0),IF('POINTAGE'!$R$5&lt;&gt;"",--('POINTAGE'!R196="Présent"),0),IF('POINTAGE'!$T$5&lt;&gt;"",--('POINTAGE'!T196="Présent"),0),IF('POINTAGE'!$V$5&lt;&gt;"",--('POINTAGE'!V196="Présent"),0),IF('POINTAGE'!$X$5&lt;&gt;"",--('POINTAGE'!X196="Présent"),0),IF('POINTAGE'!$Z$5&lt;&gt;"",--('POINTAGE'!Z196="Présent"),0),IF('POINTAGE'!$AB$5&lt;&gt;"",--('POINTAGE'!AB196="Présent"),0),IF('POINTAGE'!$AD$5&lt;&gt;"",--('POINTAGE'!AD196="Présent"),0),IF('POINTAGE'!$AF$5&lt;&gt;"",--('POINTAGE'!AF196="Présent"),0)))</f>
      </c>
      <c r="G196" s="22">
        <f>IF($A196="","",SUM(IF('POINTAGE'!$D$5&lt;&gt;"",--('POINTAGE'!D196="Absent"),0),IF('POINTAGE'!$F$5&lt;&gt;"",--('POINTAGE'!F196="Absent"),0),IF('POINTAGE'!$H$5&lt;&gt;"",--('POINTAGE'!H196="Absent"),0),IF('POINTAGE'!$J$5&lt;&gt;"",--('POINTAGE'!J196="Absent"),0),IF('POINTAGE'!$L$5&lt;&gt;"",--('POINTAGE'!L196="Absent"),0),IF('POINTAGE'!$N$5&lt;&gt;"",--('POINTAGE'!N196="Absent"),0),IF('POINTAGE'!$P$5&lt;&gt;"",--('POINTAGE'!P196="Absent"),0),IF('POINTAGE'!$R$5&lt;&gt;"",--('POINTAGE'!R196="Absent"),0),IF('POINTAGE'!$T$5&lt;&gt;"",--('POINTAGE'!T196="Absent"),0),IF('POINTAGE'!$V$5&lt;&gt;"",--('POINTAGE'!V196="Absent"),0),IF('POINTAGE'!$X$5&lt;&gt;"",--('POINTAGE'!X196="Absent"),0),IF('POINTAGE'!$Z$5&lt;&gt;"",--('POINTAGE'!Z196="Absent"),0),IF('POINTAGE'!$AB$5&lt;&gt;"",--('POINTAGE'!AB196="Absent"),0),IF('POINTAGE'!$AD$5&lt;&gt;"",--('POINTAGE'!AD196="Absent"),0),IF('POINTAGE'!$AF$5&lt;&gt;"",--('POINTAGE'!AF196="Absent"),0)))</f>
      </c>
      <c r="H196" s="23">
        <f>IF($A196="","",SUM(IF('POINTAGE'!$D$5&lt;&gt;"",IF('POINTAGE'!D196="Présent",'POINTAGE'!E196,0),0),IF('POINTAGE'!$F$5&lt;&gt;"",IF('POINTAGE'!F196="Présent",'POINTAGE'!G196,0),0),IF('POINTAGE'!$H$5&lt;&gt;"",IF('POINTAGE'!H196="Présent",'POINTAGE'!I196,0),0),IF('POINTAGE'!$J$5&lt;&gt;"",IF('POINTAGE'!J196="Présent",'POINTAGE'!K196,0),0),IF('POINTAGE'!$L$5&lt;&gt;"",IF('POINTAGE'!L196="Présent",'POINTAGE'!M196,0),0),IF('POINTAGE'!$N$5&lt;&gt;"",IF('POINTAGE'!N196="Présent",'POINTAGE'!O196,0),0),IF('POINTAGE'!$P$5&lt;&gt;"",IF('POINTAGE'!P196="Présent",'POINTAGE'!Q196,0),0),IF('POINTAGE'!$R$5&lt;&gt;"",IF('POINTAGE'!R196="Présent",'POINTAGE'!S196,0),0),IF('POINTAGE'!$T$5&lt;&gt;"",IF('POINTAGE'!T196="Présent",'POINTAGE'!U196,0),0),IF('POINTAGE'!$V$5&lt;&gt;"",IF('POINTAGE'!V196="Présent",'POINTAGE'!W196,0),0),IF('POINTAGE'!$X$5&lt;&gt;"",IF('POINTAGE'!X196="Présent",'POINTAGE'!Y196,0),0),IF('POINTAGE'!$Z$5&lt;&gt;"",IF('POINTAGE'!Z196="Présent",'POINTAGE'!AA196,0),0),IF('POINTAGE'!$AB$5&lt;&gt;"",IF('POINTAGE'!AB196="Présent",'POINTAGE'!AC196,0),0),IF('POINTAGE'!$AD$5&lt;&gt;"",IF('POINTAGE'!AD196="Présent",'POINTAGE'!AE196,0),0),IF('POINTAGE'!$AF$5&lt;&gt;"",IF('POINTAGE'!AF196="Présent",'POINTAGE'!AG196,0),0)))</f>
      </c>
      <c r="I196" s="24">
        <f>IF($A196="","",$F196*$D196)</f>
      </c>
      <c r="J196" s="24">
        <f>IF($A196="","",$H196*$E196)</f>
      </c>
      <c r="K196" s="25">
        <f>IF($A196="","",$I196+$J196)</f>
      </c>
      <c r="L196" s="18"/>
      <c r="M196" s="25">
        <f>IF($A196="","",MAX(0,$K196-$L196))</f>
      </c>
      <c r="N196" s="22">
        <f>IF($A196="","",SUM(IF('POINTAGE'!$AH$5&lt;&gt;"",--('POINTAGE'!AH196="Présent"),0),IF('POINTAGE'!$AJ$5&lt;&gt;"",--('POINTAGE'!AJ196="Présent"),0),IF('POINTAGE'!$AL$5&lt;&gt;"",--('POINTAGE'!AL196="Présent"),0),IF('POINTAGE'!$AN$5&lt;&gt;"",--('POINTAGE'!AN196="Présent"),0),IF('POINTAGE'!$AP$5&lt;&gt;"",--('POINTAGE'!AP196="Présent"),0),IF('POINTAGE'!$AR$5&lt;&gt;"",--('POINTAGE'!AR196="Présent"),0),IF('POINTAGE'!$AT$5&lt;&gt;"",--('POINTAGE'!AT196="Présent"),0),IF('POINTAGE'!$AV$5&lt;&gt;"",--('POINTAGE'!AV196="Présent"),0),IF('POINTAGE'!$AX$5&lt;&gt;"",--('POINTAGE'!AX196="Présent"),0),IF('POINTAGE'!$AZ$5&lt;&gt;"",--('POINTAGE'!AZ196="Présent"),0),IF('POINTAGE'!$BB$5&lt;&gt;"",--('POINTAGE'!BB196="Présent"),0),IF('POINTAGE'!$BD$5&lt;&gt;"",--('POINTAGE'!BD196="Présent"),0),IF('POINTAGE'!$BF$5&lt;&gt;"",--('POINTAGE'!BF196="Présent"),0),IF('POINTAGE'!$BH$5&lt;&gt;"",--('POINTAGE'!BH196="Présent"),0),IF('POINTAGE'!$BJ$5&lt;&gt;"",--('POINTAGE'!BJ196="Présent"),0),IF('POINTAGE'!$BL$5&lt;&gt;"",--('POINTAGE'!BL196="Présent"),0)))</f>
      </c>
      <c r="O196" s="22">
        <f>IF($A196="","",SUM(IF('POINTAGE'!$AH$5&lt;&gt;"",--('POINTAGE'!AH196="Absent"),0),IF('POINTAGE'!$AJ$5&lt;&gt;"",--('POINTAGE'!AJ196="Absent"),0),IF('POINTAGE'!$AL$5&lt;&gt;"",--('POINTAGE'!AL196="Absent"),0),IF('POINTAGE'!$AN$5&lt;&gt;"",--('POINTAGE'!AN196="Absent"),0),IF('POINTAGE'!$AP$5&lt;&gt;"",--('POINTAGE'!AP196="Absent"),0),IF('POINTAGE'!$AR$5&lt;&gt;"",--('POINTAGE'!AR196="Absent"),0),IF('POINTAGE'!$AT$5&lt;&gt;"",--('POINTAGE'!AT196="Absent"),0),IF('POINTAGE'!$AV$5&lt;&gt;"",--('POINTAGE'!AV196="Absent"),0),IF('POINTAGE'!$AX$5&lt;&gt;"",--('POINTAGE'!AX196="Absent"),0),IF('POINTAGE'!$AZ$5&lt;&gt;"",--('POINTAGE'!AZ196="Absent"),0),IF('POINTAGE'!$BB$5&lt;&gt;"",--('POINTAGE'!BB196="Absent"),0),IF('POINTAGE'!$BD$5&lt;&gt;"",--('POINTAGE'!BD196="Absent"),0),IF('POINTAGE'!$BF$5&lt;&gt;"",--('POINTAGE'!BF196="Absent"),0),IF('POINTAGE'!$BH$5&lt;&gt;"",--('POINTAGE'!BH196="Absent"),0),IF('POINTAGE'!$BJ$5&lt;&gt;"",--('POINTAGE'!BJ196="Absent"),0),IF('POINTAGE'!$BL$5&lt;&gt;"",--('POINTAGE'!BL196="Absent"),0)))</f>
      </c>
      <c r="P196" s="23">
        <f>IF($A196="","",SUM(IF('POINTAGE'!$AH$5&lt;&gt;"",IF('POINTAGE'!AH196="Présent",'POINTAGE'!AI196,0),0),IF('POINTAGE'!$AJ$5&lt;&gt;"",IF('POINTAGE'!AJ196="Présent",'POINTAGE'!AK196,0),0),IF('POINTAGE'!$AL$5&lt;&gt;"",IF('POINTAGE'!AL196="Présent",'POINTAGE'!AM196,0),0),IF('POINTAGE'!$AN$5&lt;&gt;"",IF('POINTAGE'!AN196="Présent",'POINTAGE'!AO196,0),0),IF('POINTAGE'!$AP$5&lt;&gt;"",IF('POINTAGE'!AP196="Présent",'POINTAGE'!AQ196,0),0),IF('POINTAGE'!$AR$5&lt;&gt;"",IF('POINTAGE'!AR196="Présent",'POINTAGE'!AS196,0),0),IF('POINTAGE'!$AT$5&lt;&gt;"",IF('POINTAGE'!AT196="Présent",'POINTAGE'!AU196,0),0),IF('POINTAGE'!$AV$5&lt;&gt;"",IF('POINTAGE'!AV196="Présent",'POINTAGE'!AW196,0),0),IF('POINTAGE'!$AX$5&lt;&gt;"",IF('POINTAGE'!AX196="Présent",'POINTAGE'!AY196,0),0),IF('POINTAGE'!$AZ$5&lt;&gt;"",IF('POINTAGE'!AZ196="Présent",'POINTAGE'!BA196,0),0),IF('POINTAGE'!$BB$5&lt;&gt;"",IF('POINTAGE'!BB196="Présent",'POINTAGE'!BC196,0),0),IF('POINTAGE'!$BD$5&lt;&gt;"",IF('POINTAGE'!BD196="Présent",'POINTAGE'!BE196,0),0),IF('POINTAGE'!$BF$5&lt;&gt;"",IF('POINTAGE'!BF196="Présent",'POINTAGE'!BG196,0),0),IF('POINTAGE'!$BH$5&lt;&gt;"",IF('POINTAGE'!BH196="Présent",'POINTAGE'!BI196,0),0),IF('POINTAGE'!$BJ$5&lt;&gt;"",IF('POINTAGE'!BJ196="Présent",'POINTAGE'!BK196,0),0),IF('POINTAGE'!$BL$5&lt;&gt;"",IF('POINTAGE'!BL196="Présent",'POINTAGE'!BM196,0),0)))</f>
      </c>
      <c r="Q196" s="24">
        <f>IF($A196="","",$N196*$D196)</f>
      </c>
      <c r="R196" s="24">
        <f>IF($A196="","",$P196*$E196)</f>
      </c>
      <c r="S196" s="25">
        <f>IF($A196="","",$Q196+$R196)</f>
      </c>
      <c r="T196" s="18"/>
      <c r="U196" s="25">
        <f>IF($A196="","",MAX(0,$S196-$T196))</f>
      </c>
      <c r="V196" s="25">
        <f>IF($A196="","",$K196+$S196)</f>
      </c>
      <c r="W196" s="24">
        <f>IF($A196="","",$L196+$T196)</f>
      </c>
      <c r="X196" s="25">
        <f>IF($A196="","",$M196+$U196)</f>
      </c>
      <c r="Y196" s="29">
        <f>IF($A196="","",$J196+$R196)</f>
      </c>
    </row>
    <row r="197">
      <c r="A197" s="20">
        <f>IF('POINTAGE'!A197="","",'POINTAGE'!A197)</f>
      </c>
      <c r="B197" s="19">
        <f>IF($A197="","",'POINTAGE'!B197)</f>
      </c>
      <c r="C197" s="20">
        <f>IF($A197="","",'POINTAGE'!C197)</f>
      </c>
      <c r="D197" s="24">
        <f>IF($A197="","",IFERROR(INDEX(Categories_Salaire,MATCH($C197,ListeCategories,0)),0))</f>
      </c>
      <c r="E197" s="24">
        <f>IF($A197="","",IF(IFERROR(INDEX(Categories_TauxHS,MATCH($C197,ListeCategories,0)),0)&gt;0,IFERROR(INDEX(Categories_TauxHS,MATCH($C197,ListeCategories,0)),0),TauxHSDefaut))</f>
      </c>
      <c r="F197" s="22">
        <f>IF($A197="","",SUM(IF('POINTAGE'!$D$5&lt;&gt;"",--('POINTAGE'!D197="Présent"),0),IF('POINTAGE'!$F$5&lt;&gt;"",--('POINTAGE'!F197="Présent"),0),IF('POINTAGE'!$H$5&lt;&gt;"",--('POINTAGE'!H197="Présent"),0),IF('POINTAGE'!$J$5&lt;&gt;"",--('POINTAGE'!J197="Présent"),0),IF('POINTAGE'!$L$5&lt;&gt;"",--('POINTAGE'!L197="Présent"),0),IF('POINTAGE'!$N$5&lt;&gt;"",--('POINTAGE'!N197="Présent"),0),IF('POINTAGE'!$P$5&lt;&gt;"",--('POINTAGE'!P197="Présent"),0),IF('POINTAGE'!$R$5&lt;&gt;"",--('POINTAGE'!R197="Présent"),0),IF('POINTAGE'!$T$5&lt;&gt;"",--('POINTAGE'!T197="Présent"),0),IF('POINTAGE'!$V$5&lt;&gt;"",--('POINTAGE'!V197="Présent"),0),IF('POINTAGE'!$X$5&lt;&gt;"",--('POINTAGE'!X197="Présent"),0),IF('POINTAGE'!$Z$5&lt;&gt;"",--('POINTAGE'!Z197="Présent"),0),IF('POINTAGE'!$AB$5&lt;&gt;"",--('POINTAGE'!AB197="Présent"),0),IF('POINTAGE'!$AD$5&lt;&gt;"",--('POINTAGE'!AD197="Présent"),0),IF('POINTAGE'!$AF$5&lt;&gt;"",--('POINTAGE'!AF197="Présent"),0)))</f>
      </c>
      <c r="G197" s="22">
        <f>IF($A197="","",SUM(IF('POINTAGE'!$D$5&lt;&gt;"",--('POINTAGE'!D197="Absent"),0),IF('POINTAGE'!$F$5&lt;&gt;"",--('POINTAGE'!F197="Absent"),0),IF('POINTAGE'!$H$5&lt;&gt;"",--('POINTAGE'!H197="Absent"),0),IF('POINTAGE'!$J$5&lt;&gt;"",--('POINTAGE'!J197="Absent"),0),IF('POINTAGE'!$L$5&lt;&gt;"",--('POINTAGE'!L197="Absent"),0),IF('POINTAGE'!$N$5&lt;&gt;"",--('POINTAGE'!N197="Absent"),0),IF('POINTAGE'!$P$5&lt;&gt;"",--('POINTAGE'!P197="Absent"),0),IF('POINTAGE'!$R$5&lt;&gt;"",--('POINTAGE'!R197="Absent"),0),IF('POINTAGE'!$T$5&lt;&gt;"",--('POINTAGE'!T197="Absent"),0),IF('POINTAGE'!$V$5&lt;&gt;"",--('POINTAGE'!V197="Absent"),0),IF('POINTAGE'!$X$5&lt;&gt;"",--('POINTAGE'!X197="Absent"),0),IF('POINTAGE'!$Z$5&lt;&gt;"",--('POINTAGE'!Z197="Absent"),0),IF('POINTAGE'!$AB$5&lt;&gt;"",--('POINTAGE'!AB197="Absent"),0),IF('POINTAGE'!$AD$5&lt;&gt;"",--('POINTAGE'!AD197="Absent"),0),IF('POINTAGE'!$AF$5&lt;&gt;"",--('POINTAGE'!AF197="Absent"),0)))</f>
      </c>
      <c r="H197" s="23">
        <f>IF($A197="","",SUM(IF('POINTAGE'!$D$5&lt;&gt;"",IF('POINTAGE'!D197="Présent",'POINTAGE'!E197,0),0),IF('POINTAGE'!$F$5&lt;&gt;"",IF('POINTAGE'!F197="Présent",'POINTAGE'!G197,0),0),IF('POINTAGE'!$H$5&lt;&gt;"",IF('POINTAGE'!H197="Présent",'POINTAGE'!I197,0),0),IF('POINTAGE'!$J$5&lt;&gt;"",IF('POINTAGE'!J197="Présent",'POINTAGE'!K197,0),0),IF('POINTAGE'!$L$5&lt;&gt;"",IF('POINTAGE'!L197="Présent",'POINTAGE'!M197,0),0),IF('POINTAGE'!$N$5&lt;&gt;"",IF('POINTAGE'!N197="Présent",'POINTAGE'!O197,0),0),IF('POINTAGE'!$P$5&lt;&gt;"",IF('POINTAGE'!P197="Présent",'POINTAGE'!Q197,0),0),IF('POINTAGE'!$R$5&lt;&gt;"",IF('POINTAGE'!R197="Présent",'POINTAGE'!S197,0),0),IF('POINTAGE'!$T$5&lt;&gt;"",IF('POINTAGE'!T197="Présent",'POINTAGE'!U197,0),0),IF('POINTAGE'!$V$5&lt;&gt;"",IF('POINTAGE'!V197="Présent",'POINTAGE'!W197,0),0),IF('POINTAGE'!$X$5&lt;&gt;"",IF('POINTAGE'!X197="Présent",'POINTAGE'!Y197,0),0),IF('POINTAGE'!$Z$5&lt;&gt;"",IF('POINTAGE'!Z197="Présent",'POINTAGE'!AA197,0),0),IF('POINTAGE'!$AB$5&lt;&gt;"",IF('POINTAGE'!AB197="Présent",'POINTAGE'!AC197,0),0),IF('POINTAGE'!$AD$5&lt;&gt;"",IF('POINTAGE'!AD197="Présent",'POINTAGE'!AE197,0),0),IF('POINTAGE'!$AF$5&lt;&gt;"",IF('POINTAGE'!AF197="Présent",'POINTAGE'!AG197,0),0)))</f>
      </c>
      <c r="I197" s="24">
        <f>IF($A197="","",$F197*$D197)</f>
      </c>
      <c r="J197" s="24">
        <f>IF($A197="","",$H197*$E197)</f>
      </c>
      <c r="K197" s="25">
        <f>IF($A197="","",$I197+$J197)</f>
      </c>
      <c r="L197" s="18"/>
      <c r="M197" s="25">
        <f>IF($A197="","",MAX(0,$K197-$L197))</f>
      </c>
      <c r="N197" s="22">
        <f>IF($A197="","",SUM(IF('POINTAGE'!$AH$5&lt;&gt;"",--('POINTAGE'!AH197="Présent"),0),IF('POINTAGE'!$AJ$5&lt;&gt;"",--('POINTAGE'!AJ197="Présent"),0),IF('POINTAGE'!$AL$5&lt;&gt;"",--('POINTAGE'!AL197="Présent"),0),IF('POINTAGE'!$AN$5&lt;&gt;"",--('POINTAGE'!AN197="Présent"),0),IF('POINTAGE'!$AP$5&lt;&gt;"",--('POINTAGE'!AP197="Présent"),0),IF('POINTAGE'!$AR$5&lt;&gt;"",--('POINTAGE'!AR197="Présent"),0),IF('POINTAGE'!$AT$5&lt;&gt;"",--('POINTAGE'!AT197="Présent"),0),IF('POINTAGE'!$AV$5&lt;&gt;"",--('POINTAGE'!AV197="Présent"),0),IF('POINTAGE'!$AX$5&lt;&gt;"",--('POINTAGE'!AX197="Présent"),0),IF('POINTAGE'!$AZ$5&lt;&gt;"",--('POINTAGE'!AZ197="Présent"),0),IF('POINTAGE'!$BB$5&lt;&gt;"",--('POINTAGE'!BB197="Présent"),0),IF('POINTAGE'!$BD$5&lt;&gt;"",--('POINTAGE'!BD197="Présent"),0),IF('POINTAGE'!$BF$5&lt;&gt;"",--('POINTAGE'!BF197="Présent"),0),IF('POINTAGE'!$BH$5&lt;&gt;"",--('POINTAGE'!BH197="Présent"),0),IF('POINTAGE'!$BJ$5&lt;&gt;"",--('POINTAGE'!BJ197="Présent"),0),IF('POINTAGE'!$BL$5&lt;&gt;"",--('POINTAGE'!BL197="Présent"),0)))</f>
      </c>
      <c r="O197" s="22">
        <f>IF($A197="","",SUM(IF('POINTAGE'!$AH$5&lt;&gt;"",--('POINTAGE'!AH197="Absent"),0),IF('POINTAGE'!$AJ$5&lt;&gt;"",--('POINTAGE'!AJ197="Absent"),0),IF('POINTAGE'!$AL$5&lt;&gt;"",--('POINTAGE'!AL197="Absent"),0),IF('POINTAGE'!$AN$5&lt;&gt;"",--('POINTAGE'!AN197="Absent"),0),IF('POINTAGE'!$AP$5&lt;&gt;"",--('POINTAGE'!AP197="Absent"),0),IF('POINTAGE'!$AR$5&lt;&gt;"",--('POINTAGE'!AR197="Absent"),0),IF('POINTAGE'!$AT$5&lt;&gt;"",--('POINTAGE'!AT197="Absent"),0),IF('POINTAGE'!$AV$5&lt;&gt;"",--('POINTAGE'!AV197="Absent"),0),IF('POINTAGE'!$AX$5&lt;&gt;"",--('POINTAGE'!AX197="Absent"),0),IF('POINTAGE'!$AZ$5&lt;&gt;"",--('POINTAGE'!AZ197="Absent"),0),IF('POINTAGE'!$BB$5&lt;&gt;"",--('POINTAGE'!BB197="Absent"),0),IF('POINTAGE'!$BD$5&lt;&gt;"",--('POINTAGE'!BD197="Absent"),0),IF('POINTAGE'!$BF$5&lt;&gt;"",--('POINTAGE'!BF197="Absent"),0),IF('POINTAGE'!$BH$5&lt;&gt;"",--('POINTAGE'!BH197="Absent"),0),IF('POINTAGE'!$BJ$5&lt;&gt;"",--('POINTAGE'!BJ197="Absent"),0),IF('POINTAGE'!$BL$5&lt;&gt;"",--('POINTAGE'!BL197="Absent"),0)))</f>
      </c>
      <c r="P197" s="23">
        <f>IF($A197="","",SUM(IF('POINTAGE'!$AH$5&lt;&gt;"",IF('POINTAGE'!AH197="Présent",'POINTAGE'!AI197,0),0),IF('POINTAGE'!$AJ$5&lt;&gt;"",IF('POINTAGE'!AJ197="Présent",'POINTAGE'!AK197,0),0),IF('POINTAGE'!$AL$5&lt;&gt;"",IF('POINTAGE'!AL197="Présent",'POINTAGE'!AM197,0),0),IF('POINTAGE'!$AN$5&lt;&gt;"",IF('POINTAGE'!AN197="Présent",'POINTAGE'!AO197,0),0),IF('POINTAGE'!$AP$5&lt;&gt;"",IF('POINTAGE'!AP197="Présent",'POINTAGE'!AQ197,0),0),IF('POINTAGE'!$AR$5&lt;&gt;"",IF('POINTAGE'!AR197="Présent",'POINTAGE'!AS197,0),0),IF('POINTAGE'!$AT$5&lt;&gt;"",IF('POINTAGE'!AT197="Présent",'POINTAGE'!AU197,0),0),IF('POINTAGE'!$AV$5&lt;&gt;"",IF('POINTAGE'!AV197="Présent",'POINTAGE'!AW197,0),0),IF('POINTAGE'!$AX$5&lt;&gt;"",IF('POINTAGE'!AX197="Présent",'POINTAGE'!AY197,0),0),IF('POINTAGE'!$AZ$5&lt;&gt;"",IF('POINTAGE'!AZ197="Présent",'POINTAGE'!BA197,0),0),IF('POINTAGE'!$BB$5&lt;&gt;"",IF('POINTAGE'!BB197="Présent",'POINTAGE'!BC197,0),0),IF('POINTAGE'!$BD$5&lt;&gt;"",IF('POINTAGE'!BD197="Présent",'POINTAGE'!BE197,0),0),IF('POINTAGE'!$BF$5&lt;&gt;"",IF('POINTAGE'!BF197="Présent",'POINTAGE'!BG197,0),0),IF('POINTAGE'!$BH$5&lt;&gt;"",IF('POINTAGE'!BH197="Présent",'POINTAGE'!BI197,0),0),IF('POINTAGE'!$BJ$5&lt;&gt;"",IF('POINTAGE'!BJ197="Présent",'POINTAGE'!BK197,0),0),IF('POINTAGE'!$BL$5&lt;&gt;"",IF('POINTAGE'!BL197="Présent",'POINTAGE'!BM197,0),0)))</f>
      </c>
      <c r="Q197" s="24">
        <f>IF($A197="","",$N197*$D197)</f>
      </c>
      <c r="R197" s="24">
        <f>IF($A197="","",$P197*$E197)</f>
      </c>
      <c r="S197" s="25">
        <f>IF($A197="","",$Q197+$R197)</f>
      </c>
      <c r="T197" s="18"/>
      <c r="U197" s="25">
        <f>IF($A197="","",MAX(0,$S197-$T197))</f>
      </c>
      <c r="V197" s="25">
        <f>IF($A197="","",$K197+$S197)</f>
      </c>
      <c r="W197" s="24">
        <f>IF($A197="","",$L197+$T197)</f>
      </c>
      <c r="X197" s="25">
        <f>IF($A197="","",$M197+$U197)</f>
      </c>
      <c r="Y197" s="29">
        <f>IF($A197="","",$J197+$R197)</f>
      </c>
    </row>
    <row r="198">
      <c r="A198" s="20">
        <f>IF('POINTAGE'!A198="","",'POINTAGE'!A198)</f>
      </c>
      <c r="B198" s="19">
        <f>IF($A198="","",'POINTAGE'!B198)</f>
      </c>
      <c r="C198" s="20">
        <f>IF($A198="","",'POINTAGE'!C198)</f>
      </c>
      <c r="D198" s="24">
        <f>IF($A198="","",IFERROR(INDEX(Categories_Salaire,MATCH($C198,ListeCategories,0)),0))</f>
      </c>
      <c r="E198" s="24">
        <f>IF($A198="","",IF(IFERROR(INDEX(Categories_TauxHS,MATCH($C198,ListeCategories,0)),0)&gt;0,IFERROR(INDEX(Categories_TauxHS,MATCH($C198,ListeCategories,0)),0),TauxHSDefaut))</f>
      </c>
      <c r="F198" s="22">
        <f>IF($A198="","",SUM(IF('POINTAGE'!$D$5&lt;&gt;"",--('POINTAGE'!D198="Présent"),0),IF('POINTAGE'!$F$5&lt;&gt;"",--('POINTAGE'!F198="Présent"),0),IF('POINTAGE'!$H$5&lt;&gt;"",--('POINTAGE'!H198="Présent"),0),IF('POINTAGE'!$J$5&lt;&gt;"",--('POINTAGE'!J198="Présent"),0),IF('POINTAGE'!$L$5&lt;&gt;"",--('POINTAGE'!L198="Présent"),0),IF('POINTAGE'!$N$5&lt;&gt;"",--('POINTAGE'!N198="Présent"),0),IF('POINTAGE'!$P$5&lt;&gt;"",--('POINTAGE'!P198="Présent"),0),IF('POINTAGE'!$R$5&lt;&gt;"",--('POINTAGE'!R198="Présent"),0),IF('POINTAGE'!$T$5&lt;&gt;"",--('POINTAGE'!T198="Présent"),0),IF('POINTAGE'!$V$5&lt;&gt;"",--('POINTAGE'!V198="Présent"),0),IF('POINTAGE'!$X$5&lt;&gt;"",--('POINTAGE'!X198="Présent"),0),IF('POINTAGE'!$Z$5&lt;&gt;"",--('POINTAGE'!Z198="Présent"),0),IF('POINTAGE'!$AB$5&lt;&gt;"",--('POINTAGE'!AB198="Présent"),0),IF('POINTAGE'!$AD$5&lt;&gt;"",--('POINTAGE'!AD198="Présent"),0),IF('POINTAGE'!$AF$5&lt;&gt;"",--('POINTAGE'!AF198="Présent"),0)))</f>
      </c>
      <c r="G198" s="22">
        <f>IF($A198="","",SUM(IF('POINTAGE'!$D$5&lt;&gt;"",--('POINTAGE'!D198="Absent"),0),IF('POINTAGE'!$F$5&lt;&gt;"",--('POINTAGE'!F198="Absent"),0),IF('POINTAGE'!$H$5&lt;&gt;"",--('POINTAGE'!H198="Absent"),0),IF('POINTAGE'!$J$5&lt;&gt;"",--('POINTAGE'!J198="Absent"),0),IF('POINTAGE'!$L$5&lt;&gt;"",--('POINTAGE'!L198="Absent"),0),IF('POINTAGE'!$N$5&lt;&gt;"",--('POINTAGE'!N198="Absent"),0),IF('POINTAGE'!$P$5&lt;&gt;"",--('POINTAGE'!P198="Absent"),0),IF('POINTAGE'!$R$5&lt;&gt;"",--('POINTAGE'!R198="Absent"),0),IF('POINTAGE'!$T$5&lt;&gt;"",--('POINTAGE'!T198="Absent"),0),IF('POINTAGE'!$V$5&lt;&gt;"",--('POINTAGE'!V198="Absent"),0),IF('POINTAGE'!$X$5&lt;&gt;"",--('POINTAGE'!X198="Absent"),0),IF('POINTAGE'!$Z$5&lt;&gt;"",--('POINTAGE'!Z198="Absent"),0),IF('POINTAGE'!$AB$5&lt;&gt;"",--('POINTAGE'!AB198="Absent"),0),IF('POINTAGE'!$AD$5&lt;&gt;"",--('POINTAGE'!AD198="Absent"),0),IF('POINTAGE'!$AF$5&lt;&gt;"",--('POINTAGE'!AF198="Absent"),0)))</f>
      </c>
      <c r="H198" s="23">
        <f>IF($A198="","",SUM(IF('POINTAGE'!$D$5&lt;&gt;"",IF('POINTAGE'!D198="Présent",'POINTAGE'!E198,0),0),IF('POINTAGE'!$F$5&lt;&gt;"",IF('POINTAGE'!F198="Présent",'POINTAGE'!G198,0),0),IF('POINTAGE'!$H$5&lt;&gt;"",IF('POINTAGE'!H198="Présent",'POINTAGE'!I198,0),0),IF('POINTAGE'!$J$5&lt;&gt;"",IF('POINTAGE'!J198="Présent",'POINTAGE'!K198,0),0),IF('POINTAGE'!$L$5&lt;&gt;"",IF('POINTAGE'!L198="Présent",'POINTAGE'!M198,0),0),IF('POINTAGE'!$N$5&lt;&gt;"",IF('POINTAGE'!N198="Présent",'POINTAGE'!O198,0),0),IF('POINTAGE'!$P$5&lt;&gt;"",IF('POINTAGE'!P198="Présent",'POINTAGE'!Q198,0),0),IF('POINTAGE'!$R$5&lt;&gt;"",IF('POINTAGE'!R198="Présent",'POINTAGE'!S198,0),0),IF('POINTAGE'!$T$5&lt;&gt;"",IF('POINTAGE'!T198="Présent",'POINTAGE'!U198,0),0),IF('POINTAGE'!$V$5&lt;&gt;"",IF('POINTAGE'!V198="Présent",'POINTAGE'!W198,0),0),IF('POINTAGE'!$X$5&lt;&gt;"",IF('POINTAGE'!X198="Présent",'POINTAGE'!Y198,0),0),IF('POINTAGE'!$Z$5&lt;&gt;"",IF('POINTAGE'!Z198="Présent",'POINTAGE'!AA198,0),0),IF('POINTAGE'!$AB$5&lt;&gt;"",IF('POINTAGE'!AB198="Présent",'POINTAGE'!AC198,0),0),IF('POINTAGE'!$AD$5&lt;&gt;"",IF('POINTAGE'!AD198="Présent",'POINTAGE'!AE198,0),0),IF('POINTAGE'!$AF$5&lt;&gt;"",IF('POINTAGE'!AF198="Présent",'POINTAGE'!AG198,0),0)))</f>
      </c>
      <c r="I198" s="24">
        <f>IF($A198="","",$F198*$D198)</f>
      </c>
      <c r="J198" s="24">
        <f>IF($A198="","",$H198*$E198)</f>
      </c>
      <c r="K198" s="25">
        <f>IF($A198="","",$I198+$J198)</f>
      </c>
      <c r="L198" s="18"/>
      <c r="M198" s="25">
        <f>IF($A198="","",MAX(0,$K198-$L198))</f>
      </c>
      <c r="N198" s="22">
        <f>IF($A198="","",SUM(IF('POINTAGE'!$AH$5&lt;&gt;"",--('POINTAGE'!AH198="Présent"),0),IF('POINTAGE'!$AJ$5&lt;&gt;"",--('POINTAGE'!AJ198="Présent"),0),IF('POINTAGE'!$AL$5&lt;&gt;"",--('POINTAGE'!AL198="Présent"),0),IF('POINTAGE'!$AN$5&lt;&gt;"",--('POINTAGE'!AN198="Présent"),0),IF('POINTAGE'!$AP$5&lt;&gt;"",--('POINTAGE'!AP198="Présent"),0),IF('POINTAGE'!$AR$5&lt;&gt;"",--('POINTAGE'!AR198="Présent"),0),IF('POINTAGE'!$AT$5&lt;&gt;"",--('POINTAGE'!AT198="Présent"),0),IF('POINTAGE'!$AV$5&lt;&gt;"",--('POINTAGE'!AV198="Présent"),0),IF('POINTAGE'!$AX$5&lt;&gt;"",--('POINTAGE'!AX198="Présent"),0),IF('POINTAGE'!$AZ$5&lt;&gt;"",--('POINTAGE'!AZ198="Présent"),0),IF('POINTAGE'!$BB$5&lt;&gt;"",--('POINTAGE'!BB198="Présent"),0),IF('POINTAGE'!$BD$5&lt;&gt;"",--('POINTAGE'!BD198="Présent"),0),IF('POINTAGE'!$BF$5&lt;&gt;"",--('POINTAGE'!BF198="Présent"),0),IF('POINTAGE'!$BH$5&lt;&gt;"",--('POINTAGE'!BH198="Présent"),0),IF('POINTAGE'!$BJ$5&lt;&gt;"",--('POINTAGE'!BJ198="Présent"),0),IF('POINTAGE'!$BL$5&lt;&gt;"",--('POINTAGE'!BL198="Présent"),0)))</f>
      </c>
      <c r="O198" s="22">
        <f>IF($A198="","",SUM(IF('POINTAGE'!$AH$5&lt;&gt;"",--('POINTAGE'!AH198="Absent"),0),IF('POINTAGE'!$AJ$5&lt;&gt;"",--('POINTAGE'!AJ198="Absent"),0),IF('POINTAGE'!$AL$5&lt;&gt;"",--('POINTAGE'!AL198="Absent"),0),IF('POINTAGE'!$AN$5&lt;&gt;"",--('POINTAGE'!AN198="Absent"),0),IF('POINTAGE'!$AP$5&lt;&gt;"",--('POINTAGE'!AP198="Absent"),0),IF('POINTAGE'!$AR$5&lt;&gt;"",--('POINTAGE'!AR198="Absent"),0),IF('POINTAGE'!$AT$5&lt;&gt;"",--('POINTAGE'!AT198="Absent"),0),IF('POINTAGE'!$AV$5&lt;&gt;"",--('POINTAGE'!AV198="Absent"),0),IF('POINTAGE'!$AX$5&lt;&gt;"",--('POINTAGE'!AX198="Absent"),0),IF('POINTAGE'!$AZ$5&lt;&gt;"",--('POINTAGE'!AZ198="Absent"),0),IF('POINTAGE'!$BB$5&lt;&gt;"",--('POINTAGE'!BB198="Absent"),0),IF('POINTAGE'!$BD$5&lt;&gt;"",--('POINTAGE'!BD198="Absent"),0),IF('POINTAGE'!$BF$5&lt;&gt;"",--('POINTAGE'!BF198="Absent"),0),IF('POINTAGE'!$BH$5&lt;&gt;"",--('POINTAGE'!BH198="Absent"),0),IF('POINTAGE'!$BJ$5&lt;&gt;"",--('POINTAGE'!BJ198="Absent"),0),IF('POINTAGE'!$BL$5&lt;&gt;"",--('POINTAGE'!BL198="Absent"),0)))</f>
      </c>
      <c r="P198" s="23">
        <f>IF($A198="","",SUM(IF('POINTAGE'!$AH$5&lt;&gt;"",IF('POINTAGE'!AH198="Présent",'POINTAGE'!AI198,0),0),IF('POINTAGE'!$AJ$5&lt;&gt;"",IF('POINTAGE'!AJ198="Présent",'POINTAGE'!AK198,0),0),IF('POINTAGE'!$AL$5&lt;&gt;"",IF('POINTAGE'!AL198="Présent",'POINTAGE'!AM198,0),0),IF('POINTAGE'!$AN$5&lt;&gt;"",IF('POINTAGE'!AN198="Présent",'POINTAGE'!AO198,0),0),IF('POINTAGE'!$AP$5&lt;&gt;"",IF('POINTAGE'!AP198="Présent",'POINTAGE'!AQ198,0),0),IF('POINTAGE'!$AR$5&lt;&gt;"",IF('POINTAGE'!AR198="Présent",'POINTAGE'!AS198,0),0),IF('POINTAGE'!$AT$5&lt;&gt;"",IF('POINTAGE'!AT198="Présent",'POINTAGE'!AU198,0),0),IF('POINTAGE'!$AV$5&lt;&gt;"",IF('POINTAGE'!AV198="Présent",'POINTAGE'!AW198,0),0),IF('POINTAGE'!$AX$5&lt;&gt;"",IF('POINTAGE'!AX198="Présent",'POINTAGE'!AY198,0),0),IF('POINTAGE'!$AZ$5&lt;&gt;"",IF('POINTAGE'!AZ198="Présent",'POINTAGE'!BA198,0),0),IF('POINTAGE'!$BB$5&lt;&gt;"",IF('POINTAGE'!BB198="Présent",'POINTAGE'!BC198,0),0),IF('POINTAGE'!$BD$5&lt;&gt;"",IF('POINTAGE'!BD198="Présent",'POINTAGE'!BE198,0),0),IF('POINTAGE'!$BF$5&lt;&gt;"",IF('POINTAGE'!BF198="Présent",'POINTAGE'!BG198,0),0),IF('POINTAGE'!$BH$5&lt;&gt;"",IF('POINTAGE'!BH198="Présent",'POINTAGE'!BI198,0),0),IF('POINTAGE'!$BJ$5&lt;&gt;"",IF('POINTAGE'!BJ198="Présent",'POINTAGE'!BK198,0),0),IF('POINTAGE'!$BL$5&lt;&gt;"",IF('POINTAGE'!BL198="Présent",'POINTAGE'!BM198,0),0)))</f>
      </c>
      <c r="Q198" s="24">
        <f>IF($A198="","",$N198*$D198)</f>
      </c>
      <c r="R198" s="24">
        <f>IF($A198="","",$P198*$E198)</f>
      </c>
      <c r="S198" s="25">
        <f>IF($A198="","",$Q198+$R198)</f>
      </c>
      <c r="T198" s="18"/>
      <c r="U198" s="25">
        <f>IF($A198="","",MAX(0,$S198-$T198))</f>
      </c>
      <c r="V198" s="25">
        <f>IF($A198="","",$K198+$S198)</f>
      </c>
      <c r="W198" s="24">
        <f>IF($A198="","",$L198+$T198)</f>
      </c>
      <c r="X198" s="25">
        <f>IF($A198="","",$M198+$U198)</f>
      </c>
      <c r="Y198" s="29">
        <f>IF($A198="","",$J198+$R198)</f>
      </c>
    </row>
    <row r="199">
      <c r="A199" s="20">
        <f>IF('POINTAGE'!A199="","",'POINTAGE'!A199)</f>
      </c>
      <c r="B199" s="19">
        <f>IF($A199="","",'POINTAGE'!B199)</f>
      </c>
      <c r="C199" s="20">
        <f>IF($A199="","",'POINTAGE'!C199)</f>
      </c>
      <c r="D199" s="24">
        <f>IF($A199="","",IFERROR(INDEX(Categories_Salaire,MATCH($C199,ListeCategories,0)),0))</f>
      </c>
      <c r="E199" s="24">
        <f>IF($A199="","",IF(IFERROR(INDEX(Categories_TauxHS,MATCH($C199,ListeCategories,0)),0)&gt;0,IFERROR(INDEX(Categories_TauxHS,MATCH($C199,ListeCategories,0)),0),TauxHSDefaut))</f>
      </c>
      <c r="F199" s="22">
        <f>IF($A199="","",SUM(IF('POINTAGE'!$D$5&lt;&gt;"",--('POINTAGE'!D199="Présent"),0),IF('POINTAGE'!$F$5&lt;&gt;"",--('POINTAGE'!F199="Présent"),0),IF('POINTAGE'!$H$5&lt;&gt;"",--('POINTAGE'!H199="Présent"),0),IF('POINTAGE'!$J$5&lt;&gt;"",--('POINTAGE'!J199="Présent"),0),IF('POINTAGE'!$L$5&lt;&gt;"",--('POINTAGE'!L199="Présent"),0),IF('POINTAGE'!$N$5&lt;&gt;"",--('POINTAGE'!N199="Présent"),0),IF('POINTAGE'!$P$5&lt;&gt;"",--('POINTAGE'!P199="Présent"),0),IF('POINTAGE'!$R$5&lt;&gt;"",--('POINTAGE'!R199="Présent"),0),IF('POINTAGE'!$T$5&lt;&gt;"",--('POINTAGE'!T199="Présent"),0),IF('POINTAGE'!$V$5&lt;&gt;"",--('POINTAGE'!V199="Présent"),0),IF('POINTAGE'!$X$5&lt;&gt;"",--('POINTAGE'!X199="Présent"),0),IF('POINTAGE'!$Z$5&lt;&gt;"",--('POINTAGE'!Z199="Présent"),0),IF('POINTAGE'!$AB$5&lt;&gt;"",--('POINTAGE'!AB199="Présent"),0),IF('POINTAGE'!$AD$5&lt;&gt;"",--('POINTAGE'!AD199="Présent"),0),IF('POINTAGE'!$AF$5&lt;&gt;"",--('POINTAGE'!AF199="Présent"),0)))</f>
      </c>
      <c r="G199" s="22">
        <f>IF($A199="","",SUM(IF('POINTAGE'!$D$5&lt;&gt;"",--('POINTAGE'!D199="Absent"),0),IF('POINTAGE'!$F$5&lt;&gt;"",--('POINTAGE'!F199="Absent"),0),IF('POINTAGE'!$H$5&lt;&gt;"",--('POINTAGE'!H199="Absent"),0),IF('POINTAGE'!$J$5&lt;&gt;"",--('POINTAGE'!J199="Absent"),0),IF('POINTAGE'!$L$5&lt;&gt;"",--('POINTAGE'!L199="Absent"),0),IF('POINTAGE'!$N$5&lt;&gt;"",--('POINTAGE'!N199="Absent"),0),IF('POINTAGE'!$P$5&lt;&gt;"",--('POINTAGE'!P199="Absent"),0),IF('POINTAGE'!$R$5&lt;&gt;"",--('POINTAGE'!R199="Absent"),0),IF('POINTAGE'!$T$5&lt;&gt;"",--('POINTAGE'!T199="Absent"),0),IF('POINTAGE'!$V$5&lt;&gt;"",--('POINTAGE'!V199="Absent"),0),IF('POINTAGE'!$X$5&lt;&gt;"",--('POINTAGE'!X199="Absent"),0),IF('POINTAGE'!$Z$5&lt;&gt;"",--('POINTAGE'!Z199="Absent"),0),IF('POINTAGE'!$AB$5&lt;&gt;"",--('POINTAGE'!AB199="Absent"),0),IF('POINTAGE'!$AD$5&lt;&gt;"",--('POINTAGE'!AD199="Absent"),0),IF('POINTAGE'!$AF$5&lt;&gt;"",--('POINTAGE'!AF199="Absent"),0)))</f>
      </c>
      <c r="H199" s="23">
        <f>IF($A199="","",SUM(IF('POINTAGE'!$D$5&lt;&gt;"",IF('POINTAGE'!D199="Présent",'POINTAGE'!E199,0),0),IF('POINTAGE'!$F$5&lt;&gt;"",IF('POINTAGE'!F199="Présent",'POINTAGE'!G199,0),0),IF('POINTAGE'!$H$5&lt;&gt;"",IF('POINTAGE'!H199="Présent",'POINTAGE'!I199,0),0),IF('POINTAGE'!$J$5&lt;&gt;"",IF('POINTAGE'!J199="Présent",'POINTAGE'!K199,0),0),IF('POINTAGE'!$L$5&lt;&gt;"",IF('POINTAGE'!L199="Présent",'POINTAGE'!M199,0),0),IF('POINTAGE'!$N$5&lt;&gt;"",IF('POINTAGE'!N199="Présent",'POINTAGE'!O199,0),0),IF('POINTAGE'!$P$5&lt;&gt;"",IF('POINTAGE'!P199="Présent",'POINTAGE'!Q199,0),0),IF('POINTAGE'!$R$5&lt;&gt;"",IF('POINTAGE'!R199="Présent",'POINTAGE'!S199,0),0),IF('POINTAGE'!$T$5&lt;&gt;"",IF('POINTAGE'!T199="Présent",'POINTAGE'!U199,0),0),IF('POINTAGE'!$V$5&lt;&gt;"",IF('POINTAGE'!V199="Présent",'POINTAGE'!W199,0),0),IF('POINTAGE'!$X$5&lt;&gt;"",IF('POINTAGE'!X199="Présent",'POINTAGE'!Y199,0),0),IF('POINTAGE'!$Z$5&lt;&gt;"",IF('POINTAGE'!Z199="Présent",'POINTAGE'!AA199,0),0),IF('POINTAGE'!$AB$5&lt;&gt;"",IF('POINTAGE'!AB199="Présent",'POINTAGE'!AC199,0),0),IF('POINTAGE'!$AD$5&lt;&gt;"",IF('POINTAGE'!AD199="Présent",'POINTAGE'!AE199,0),0),IF('POINTAGE'!$AF$5&lt;&gt;"",IF('POINTAGE'!AF199="Présent",'POINTAGE'!AG199,0),0)))</f>
      </c>
      <c r="I199" s="24">
        <f>IF($A199="","",$F199*$D199)</f>
      </c>
      <c r="J199" s="24">
        <f>IF($A199="","",$H199*$E199)</f>
      </c>
      <c r="K199" s="25">
        <f>IF($A199="","",$I199+$J199)</f>
      </c>
      <c r="L199" s="18"/>
      <c r="M199" s="25">
        <f>IF($A199="","",MAX(0,$K199-$L199))</f>
      </c>
      <c r="N199" s="22">
        <f>IF($A199="","",SUM(IF('POINTAGE'!$AH$5&lt;&gt;"",--('POINTAGE'!AH199="Présent"),0),IF('POINTAGE'!$AJ$5&lt;&gt;"",--('POINTAGE'!AJ199="Présent"),0),IF('POINTAGE'!$AL$5&lt;&gt;"",--('POINTAGE'!AL199="Présent"),0),IF('POINTAGE'!$AN$5&lt;&gt;"",--('POINTAGE'!AN199="Présent"),0),IF('POINTAGE'!$AP$5&lt;&gt;"",--('POINTAGE'!AP199="Présent"),0),IF('POINTAGE'!$AR$5&lt;&gt;"",--('POINTAGE'!AR199="Présent"),0),IF('POINTAGE'!$AT$5&lt;&gt;"",--('POINTAGE'!AT199="Présent"),0),IF('POINTAGE'!$AV$5&lt;&gt;"",--('POINTAGE'!AV199="Présent"),0),IF('POINTAGE'!$AX$5&lt;&gt;"",--('POINTAGE'!AX199="Présent"),0),IF('POINTAGE'!$AZ$5&lt;&gt;"",--('POINTAGE'!AZ199="Présent"),0),IF('POINTAGE'!$BB$5&lt;&gt;"",--('POINTAGE'!BB199="Présent"),0),IF('POINTAGE'!$BD$5&lt;&gt;"",--('POINTAGE'!BD199="Présent"),0),IF('POINTAGE'!$BF$5&lt;&gt;"",--('POINTAGE'!BF199="Présent"),0),IF('POINTAGE'!$BH$5&lt;&gt;"",--('POINTAGE'!BH199="Présent"),0),IF('POINTAGE'!$BJ$5&lt;&gt;"",--('POINTAGE'!BJ199="Présent"),0),IF('POINTAGE'!$BL$5&lt;&gt;"",--('POINTAGE'!BL199="Présent"),0)))</f>
      </c>
      <c r="O199" s="22">
        <f>IF($A199="","",SUM(IF('POINTAGE'!$AH$5&lt;&gt;"",--('POINTAGE'!AH199="Absent"),0),IF('POINTAGE'!$AJ$5&lt;&gt;"",--('POINTAGE'!AJ199="Absent"),0),IF('POINTAGE'!$AL$5&lt;&gt;"",--('POINTAGE'!AL199="Absent"),0),IF('POINTAGE'!$AN$5&lt;&gt;"",--('POINTAGE'!AN199="Absent"),0),IF('POINTAGE'!$AP$5&lt;&gt;"",--('POINTAGE'!AP199="Absent"),0),IF('POINTAGE'!$AR$5&lt;&gt;"",--('POINTAGE'!AR199="Absent"),0),IF('POINTAGE'!$AT$5&lt;&gt;"",--('POINTAGE'!AT199="Absent"),0),IF('POINTAGE'!$AV$5&lt;&gt;"",--('POINTAGE'!AV199="Absent"),0),IF('POINTAGE'!$AX$5&lt;&gt;"",--('POINTAGE'!AX199="Absent"),0),IF('POINTAGE'!$AZ$5&lt;&gt;"",--('POINTAGE'!AZ199="Absent"),0),IF('POINTAGE'!$BB$5&lt;&gt;"",--('POINTAGE'!BB199="Absent"),0),IF('POINTAGE'!$BD$5&lt;&gt;"",--('POINTAGE'!BD199="Absent"),0),IF('POINTAGE'!$BF$5&lt;&gt;"",--('POINTAGE'!BF199="Absent"),0),IF('POINTAGE'!$BH$5&lt;&gt;"",--('POINTAGE'!BH199="Absent"),0),IF('POINTAGE'!$BJ$5&lt;&gt;"",--('POINTAGE'!BJ199="Absent"),0),IF('POINTAGE'!$BL$5&lt;&gt;"",--('POINTAGE'!BL199="Absent"),0)))</f>
      </c>
      <c r="P199" s="23">
        <f>IF($A199="","",SUM(IF('POINTAGE'!$AH$5&lt;&gt;"",IF('POINTAGE'!AH199="Présent",'POINTAGE'!AI199,0),0),IF('POINTAGE'!$AJ$5&lt;&gt;"",IF('POINTAGE'!AJ199="Présent",'POINTAGE'!AK199,0),0),IF('POINTAGE'!$AL$5&lt;&gt;"",IF('POINTAGE'!AL199="Présent",'POINTAGE'!AM199,0),0),IF('POINTAGE'!$AN$5&lt;&gt;"",IF('POINTAGE'!AN199="Présent",'POINTAGE'!AO199,0),0),IF('POINTAGE'!$AP$5&lt;&gt;"",IF('POINTAGE'!AP199="Présent",'POINTAGE'!AQ199,0),0),IF('POINTAGE'!$AR$5&lt;&gt;"",IF('POINTAGE'!AR199="Présent",'POINTAGE'!AS199,0),0),IF('POINTAGE'!$AT$5&lt;&gt;"",IF('POINTAGE'!AT199="Présent",'POINTAGE'!AU199,0),0),IF('POINTAGE'!$AV$5&lt;&gt;"",IF('POINTAGE'!AV199="Présent",'POINTAGE'!AW199,0),0),IF('POINTAGE'!$AX$5&lt;&gt;"",IF('POINTAGE'!AX199="Présent",'POINTAGE'!AY199,0),0),IF('POINTAGE'!$AZ$5&lt;&gt;"",IF('POINTAGE'!AZ199="Présent",'POINTAGE'!BA199,0),0),IF('POINTAGE'!$BB$5&lt;&gt;"",IF('POINTAGE'!BB199="Présent",'POINTAGE'!BC199,0),0),IF('POINTAGE'!$BD$5&lt;&gt;"",IF('POINTAGE'!BD199="Présent",'POINTAGE'!BE199,0),0),IF('POINTAGE'!$BF$5&lt;&gt;"",IF('POINTAGE'!BF199="Présent",'POINTAGE'!BG199,0),0),IF('POINTAGE'!$BH$5&lt;&gt;"",IF('POINTAGE'!BH199="Présent",'POINTAGE'!BI199,0),0),IF('POINTAGE'!$BJ$5&lt;&gt;"",IF('POINTAGE'!BJ199="Présent",'POINTAGE'!BK199,0),0),IF('POINTAGE'!$BL$5&lt;&gt;"",IF('POINTAGE'!BL199="Présent",'POINTAGE'!BM199,0),0)))</f>
      </c>
      <c r="Q199" s="24">
        <f>IF($A199="","",$N199*$D199)</f>
      </c>
      <c r="R199" s="24">
        <f>IF($A199="","",$P199*$E199)</f>
      </c>
      <c r="S199" s="25">
        <f>IF($A199="","",$Q199+$R199)</f>
      </c>
      <c r="T199" s="18"/>
      <c r="U199" s="25">
        <f>IF($A199="","",MAX(0,$S199-$T199))</f>
      </c>
      <c r="V199" s="25">
        <f>IF($A199="","",$K199+$S199)</f>
      </c>
      <c r="W199" s="24">
        <f>IF($A199="","",$L199+$T199)</f>
      </c>
      <c r="X199" s="25">
        <f>IF($A199="","",$M199+$U199)</f>
      </c>
      <c r="Y199" s="29">
        <f>IF($A199="","",$J199+$R199)</f>
      </c>
    </row>
    <row r="200">
      <c r="A200" s="20">
        <f>IF('POINTAGE'!A200="","",'POINTAGE'!A200)</f>
      </c>
      <c r="B200" s="19">
        <f>IF($A200="","",'POINTAGE'!B200)</f>
      </c>
      <c r="C200" s="20">
        <f>IF($A200="","",'POINTAGE'!C200)</f>
      </c>
      <c r="D200" s="24">
        <f>IF($A200="","",IFERROR(INDEX(Categories_Salaire,MATCH($C200,ListeCategories,0)),0))</f>
      </c>
      <c r="E200" s="24">
        <f>IF($A200="","",IF(IFERROR(INDEX(Categories_TauxHS,MATCH($C200,ListeCategories,0)),0)&gt;0,IFERROR(INDEX(Categories_TauxHS,MATCH($C200,ListeCategories,0)),0),TauxHSDefaut))</f>
      </c>
      <c r="F200" s="22">
        <f>IF($A200="","",SUM(IF('POINTAGE'!$D$5&lt;&gt;"",--('POINTAGE'!D200="Présent"),0),IF('POINTAGE'!$F$5&lt;&gt;"",--('POINTAGE'!F200="Présent"),0),IF('POINTAGE'!$H$5&lt;&gt;"",--('POINTAGE'!H200="Présent"),0),IF('POINTAGE'!$J$5&lt;&gt;"",--('POINTAGE'!J200="Présent"),0),IF('POINTAGE'!$L$5&lt;&gt;"",--('POINTAGE'!L200="Présent"),0),IF('POINTAGE'!$N$5&lt;&gt;"",--('POINTAGE'!N200="Présent"),0),IF('POINTAGE'!$P$5&lt;&gt;"",--('POINTAGE'!P200="Présent"),0),IF('POINTAGE'!$R$5&lt;&gt;"",--('POINTAGE'!R200="Présent"),0),IF('POINTAGE'!$T$5&lt;&gt;"",--('POINTAGE'!T200="Présent"),0),IF('POINTAGE'!$V$5&lt;&gt;"",--('POINTAGE'!V200="Présent"),0),IF('POINTAGE'!$X$5&lt;&gt;"",--('POINTAGE'!X200="Présent"),0),IF('POINTAGE'!$Z$5&lt;&gt;"",--('POINTAGE'!Z200="Présent"),0),IF('POINTAGE'!$AB$5&lt;&gt;"",--('POINTAGE'!AB200="Présent"),0),IF('POINTAGE'!$AD$5&lt;&gt;"",--('POINTAGE'!AD200="Présent"),0),IF('POINTAGE'!$AF$5&lt;&gt;"",--('POINTAGE'!AF200="Présent"),0)))</f>
      </c>
      <c r="G200" s="22">
        <f>IF($A200="","",SUM(IF('POINTAGE'!$D$5&lt;&gt;"",--('POINTAGE'!D200="Absent"),0),IF('POINTAGE'!$F$5&lt;&gt;"",--('POINTAGE'!F200="Absent"),0),IF('POINTAGE'!$H$5&lt;&gt;"",--('POINTAGE'!H200="Absent"),0),IF('POINTAGE'!$J$5&lt;&gt;"",--('POINTAGE'!J200="Absent"),0),IF('POINTAGE'!$L$5&lt;&gt;"",--('POINTAGE'!L200="Absent"),0),IF('POINTAGE'!$N$5&lt;&gt;"",--('POINTAGE'!N200="Absent"),0),IF('POINTAGE'!$P$5&lt;&gt;"",--('POINTAGE'!P200="Absent"),0),IF('POINTAGE'!$R$5&lt;&gt;"",--('POINTAGE'!R200="Absent"),0),IF('POINTAGE'!$T$5&lt;&gt;"",--('POINTAGE'!T200="Absent"),0),IF('POINTAGE'!$V$5&lt;&gt;"",--('POINTAGE'!V200="Absent"),0),IF('POINTAGE'!$X$5&lt;&gt;"",--('POINTAGE'!X200="Absent"),0),IF('POINTAGE'!$Z$5&lt;&gt;"",--('POINTAGE'!Z200="Absent"),0),IF('POINTAGE'!$AB$5&lt;&gt;"",--('POINTAGE'!AB200="Absent"),0),IF('POINTAGE'!$AD$5&lt;&gt;"",--('POINTAGE'!AD200="Absent"),0),IF('POINTAGE'!$AF$5&lt;&gt;"",--('POINTAGE'!AF200="Absent"),0)))</f>
      </c>
      <c r="H200" s="23">
        <f>IF($A200="","",SUM(IF('POINTAGE'!$D$5&lt;&gt;"",IF('POINTAGE'!D200="Présent",'POINTAGE'!E200,0),0),IF('POINTAGE'!$F$5&lt;&gt;"",IF('POINTAGE'!F200="Présent",'POINTAGE'!G200,0),0),IF('POINTAGE'!$H$5&lt;&gt;"",IF('POINTAGE'!H200="Présent",'POINTAGE'!I200,0),0),IF('POINTAGE'!$J$5&lt;&gt;"",IF('POINTAGE'!J200="Présent",'POINTAGE'!K200,0),0),IF('POINTAGE'!$L$5&lt;&gt;"",IF('POINTAGE'!L200="Présent",'POINTAGE'!M200,0),0),IF('POINTAGE'!$N$5&lt;&gt;"",IF('POINTAGE'!N200="Présent",'POINTAGE'!O200,0),0),IF('POINTAGE'!$P$5&lt;&gt;"",IF('POINTAGE'!P200="Présent",'POINTAGE'!Q200,0),0),IF('POINTAGE'!$R$5&lt;&gt;"",IF('POINTAGE'!R200="Présent",'POINTAGE'!S200,0),0),IF('POINTAGE'!$T$5&lt;&gt;"",IF('POINTAGE'!T200="Présent",'POINTAGE'!U200,0),0),IF('POINTAGE'!$V$5&lt;&gt;"",IF('POINTAGE'!V200="Présent",'POINTAGE'!W200,0),0),IF('POINTAGE'!$X$5&lt;&gt;"",IF('POINTAGE'!X200="Présent",'POINTAGE'!Y200,0),0),IF('POINTAGE'!$Z$5&lt;&gt;"",IF('POINTAGE'!Z200="Présent",'POINTAGE'!AA200,0),0),IF('POINTAGE'!$AB$5&lt;&gt;"",IF('POINTAGE'!AB200="Présent",'POINTAGE'!AC200,0),0),IF('POINTAGE'!$AD$5&lt;&gt;"",IF('POINTAGE'!AD200="Présent",'POINTAGE'!AE200,0),0),IF('POINTAGE'!$AF$5&lt;&gt;"",IF('POINTAGE'!AF200="Présent",'POINTAGE'!AG200,0),0)))</f>
      </c>
      <c r="I200" s="24">
        <f>IF($A200="","",$F200*$D200)</f>
      </c>
      <c r="J200" s="24">
        <f>IF($A200="","",$H200*$E200)</f>
      </c>
      <c r="K200" s="25">
        <f>IF($A200="","",$I200+$J200)</f>
      </c>
      <c r="L200" s="18"/>
      <c r="M200" s="25">
        <f>IF($A200="","",MAX(0,$K200-$L200))</f>
      </c>
      <c r="N200" s="22">
        <f>IF($A200="","",SUM(IF('POINTAGE'!$AH$5&lt;&gt;"",--('POINTAGE'!AH200="Présent"),0),IF('POINTAGE'!$AJ$5&lt;&gt;"",--('POINTAGE'!AJ200="Présent"),0),IF('POINTAGE'!$AL$5&lt;&gt;"",--('POINTAGE'!AL200="Présent"),0),IF('POINTAGE'!$AN$5&lt;&gt;"",--('POINTAGE'!AN200="Présent"),0),IF('POINTAGE'!$AP$5&lt;&gt;"",--('POINTAGE'!AP200="Présent"),0),IF('POINTAGE'!$AR$5&lt;&gt;"",--('POINTAGE'!AR200="Présent"),0),IF('POINTAGE'!$AT$5&lt;&gt;"",--('POINTAGE'!AT200="Présent"),0),IF('POINTAGE'!$AV$5&lt;&gt;"",--('POINTAGE'!AV200="Présent"),0),IF('POINTAGE'!$AX$5&lt;&gt;"",--('POINTAGE'!AX200="Présent"),0),IF('POINTAGE'!$AZ$5&lt;&gt;"",--('POINTAGE'!AZ200="Présent"),0),IF('POINTAGE'!$BB$5&lt;&gt;"",--('POINTAGE'!BB200="Présent"),0),IF('POINTAGE'!$BD$5&lt;&gt;"",--('POINTAGE'!BD200="Présent"),0),IF('POINTAGE'!$BF$5&lt;&gt;"",--('POINTAGE'!BF200="Présent"),0),IF('POINTAGE'!$BH$5&lt;&gt;"",--('POINTAGE'!BH200="Présent"),0),IF('POINTAGE'!$BJ$5&lt;&gt;"",--('POINTAGE'!BJ200="Présent"),0),IF('POINTAGE'!$BL$5&lt;&gt;"",--('POINTAGE'!BL200="Présent"),0)))</f>
      </c>
      <c r="O200" s="22">
        <f>IF($A200="","",SUM(IF('POINTAGE'!$AH$5&lt;&gt;"",--('POINTAGE'!AH200="Absent"),0),IF('POINTAGE'!$AJ$5&lt;&gt;"",--('POINTAGE'!AJ200="Absent"),0),IF('POINTAGE'!$AL$5&lt;&gt;"",--('POINTAGE'!AL200="Absent"),0),IF('POINTAGE'!$AN$5&lt;&gt;"",--('POINTAGE'!AN200="Absent"),0),IF('POINTAGE'!$AP$5&lt;&gt;"",--('POINTAGE'!AP200="Absent"),0),IF('POINTAGE'!$AR$5&lt;&gt;"",--('POINTAGE'!AR200="Absent"),0),IF('POINTAGE'!$AT$5&lt;&gt;"",--('POINTAGE'!AT200="Absent"),0),IF('POINTAGE'!$AV$5&lt;&gt;"",--('POINTAGE'!AV200="Absent"),0),IF('POINTAGE'!$AX$5&lt;&gt;"",--('POINTAGE'!AX200="Absent"),0),IF('POINTAGE'!$AZ$5&lt;&gt;"",--('POINTAGE'!AZ200="Absent"),0),IF('POINTAGE'!$BB$5&lt;&gt;"",--('POINTAGE'!BB200="Absent"),0),IF('POINTAGE'!$BD$5&lt;&gt;"",--('POINTAGE'!BD200="Absent"),0),IF('POINTAGE'!$BF$5&lt;&gt;"",--('POINTAGE'!BF200="Absent"),0),IF('POINTAGE'!$BH$5&lt;&gt;"",--('POINTAGE'!BH200="Absent"),0),IF('POINTAGE'!$BJ$5&lt;&gt;"",--('POINTAGE'!BJ200="Absent"),0),IF('POINTAGE'!$BL$5&lt;&gt;"",--('POINTAGE'!BL200="Absent"),0)))</f>
      </c>
      <c r="P200" s="23">
        <f>IF($A200="","",SUM(IF('POINTAGE'!$AH$5&lt;&gt;"",IF('POINTAGE'!AH200="Présent",'POINTAGE'!AI200,0),0),IF('POINTAGE'!$AJ$5&lt;&gt;"",IF('POINTAGE'!AJ200="Présent",'POINTAGE'!AK200,0),0),IF('POINTAGE'!$AL$5&lt;&gt;"",IF('POINTAGE'!AL200="Présent",'POINTAGE'!AM200,0),0),IF('POINTAGE'!$AN$5&lt;&gt;"",IF('POINTAGE'!AN200="Présent",'POINTAGE'!AO200,0),0),IF('POINTAGE'!$AP$5&lt;&gt;"",IF('POINTAGE'!AP200="Présent",'POINTAGE'!AQ200,0),0),IF('POINTAGE'!$AR$5&lt;&gt;"",IF('POINTAGE'!AR200="Présent",'POINTAGE'!AS200,0),0),IF('POINTAGE'!$AT$5&lt;&gt;"",IF('POINTAGE'!AT200="Présent",'POINTAGE'!AU200,0),0),IF('POINTAGE'!$AV$5&lt;&gt;"",IF('POINTAGE'!AV200="Présent",'POINTAGE'!AW200,0),0),IF('POINTAGE'!$AX$5&lt;&gt;"",IF('POINTAGE'!AX200="Présent",'POINTAGE'!AY200,0),0),IF('POINTAGE'!$AZ$5&lt;&gt;"",IF('POINTAGE'!AZ200="Présent",'POINTAGE'!BA200,0),0),IF('POINTAGE'!$BB$5&lt;&gt;"",IF('POINTAGE'!BB200="Présent",'POINTAGE'!BC200,0),0),IF('POINTAGE'!$BD$5&lt;&gt;"",IF('POINTAGE'!BD200="Présent",'POINTAGE'!BE200,0),0),IF('POINTAGE'!$BF$5&lt;&gt;"",IF('POINTAGE'!BF200="Présent",'POINTAGE'!BG200,0),0),IF('POINTAGE'!$BH$5&lt;&gt;"",IF('POINTAGE'!BH200="Présent",'POINTAGE'!BI200,0),0),IF('POINTAGE'!$BJ$5&lt;&gt;"",IF('POINTAGE'!BJ200="Présent",'POINTAGE'!BK200,0),0),IF('POINTAGE'!$BL$5&lt;&gt;"",IF('POINTAGE'!BL200="Présent",'POINTAGE'!BM200,0),0)))</f>
      </c>
      <c r="Q200" s="24">
        <f>IF($A200="","",$N200*$D200)</f>
      </c>
      <c r="R200" s="24">
        <f>IF($A200="","",$P200*$E200)</f>
      </c>
      <c r="S200" s="25">
        <f>IF($A200="","",$Q200+$R200)</f>
      </c>
      <c r="T200" s="18"/>
      <c r="U200" s="25">
        <f>IF($A200="","",MAX(0,$S200-$T200))</f>
      </c>
      <c r="V200" s="25">
        <f>IF($A200="","",$K200+$S200)</f>
      </c>
      <c r="W200" s="24">
        <f>IF($A200="","",$L200+$T200)</f>
      </c>
      <c r="X200" s="25">
        <f>IF($A200="","",$M200+$U200)</f>
      </c>
      <c r="Y200" s="29">
        <f>IF($A200="","",$J200+$R200)</f>
      </c>
    </row>
    <row r="201">
      <c r="A201" s="20">
        <f>IF('POINTAGE'!A201="","",'POINTAGE'!A201)</f>
      </c>
      <c r="B201" s="19">
        <f>IF($A201="","",'POINTAGE'!B201)</f>
      </c>
      <c r="C201" s="20">
        <f>IF($A201="","",'POINTAGE'!C201)</f>
      </c>
      <c r="D201" s="24">
        <f>IF($A201="","",IFERROR(INDEX(Categories_Salaire,MATCH($C201,ListeCategories,0)),0))</f>
      </c>
      <c r="E201" s="24">
        <f>IF($A201="","",IF(IFERROR(INDEX(Categories_TauxHS,MATCH($C201,ListeCategories,0)),0)&gt;0,IFERROR(INDEX(Categories_TauxHS,MATCH($C201,ListeCategories,0)),0),TauxHSDefaut))</f>
      </c>
      <c r="F201" s="22">
        <f>IF($A201="","",SUM(IF('POINTAGE'!$D$5&lt;&gt;"",--('POINTAGE'!D201="Présent"),0),IF('POINTAGE'!$F$5&lt;&gt;"",--('POINTAGE'!F201="Présent"),0),IF('POINTAGE'!$H$5&lt;&gt;"",--('POINTAGE'!H201="Présent"),0),IF('POINTAGE'!$J$5&lt;&gt;"",--('POINTAGE'!J201="Présent"),0),IF('POINTAGE'!$L$5&lt;&gt;"",--('POINTAGE'!L201="Présent"),0),IF('POINTAGE'!$N$5&lt;&gt;"",--('POINTAGE'!N201="Présent"),0),IF('POINTAGE'!$P$5&lt;&gt;"",--('POINTAGE'!P201="Présent"),0),IF('POINTAGE'!$R$5&lt;&gt;"",--('POINTAGE'!R201="Présent"),0),IF('POINTAGE'!$T$5&lt;&gt;"",--('POINTAGE'!T201="Présent"),0),IF('POINTAGE'!$V$5&lt;&gt;"",--('POINTAGE'!V201="Présent"),0),IF('POINTAGE'!$X$5&lt;&gt;"",--('POINTAGE'!X201="Présent"),0),IF('POINTAGE'!$Z$5&lt;&gt;"",--('POINTAGE'!Z201="Présent"),0),IF('POINTAGE'!$AB$5&lt;&gt;"",--('POINTAGE'!AB201="Présent"),0),IF('POINTAGE'!$AD$5&lt;&gt;"",--('POINTAGE'!AD201="Présent"),0),IF('POINTAGE'!$AF$5&lt;&gt;"",--('POINTAGE'!AF201="Présent"),0)))</f>
      </c>
      <c r="G201" s="22">
        <f>IF($A201="","",SUM(IF('POINTAGE'!$D$5&lt;&gt;"",--('POINTAGE'!D201="Absent"),0),IF('POINTAGE'!$F$5&lt;&gt;"",--('POINTAGE'!F201="Absent"),0),IF('POINTAGE'!$H$5&lt;&gt;"",--('POINTAGE'!H201="Absent"),0),IF('POINTAGE'!$J$5&lt;&gt;"",--('POINTAGE'!J201="Absent"),0),IF('POINTAGE'!$L$5&lt;&gt;"",--('POINTAGE'!L201="Absent"),0),IF('POINTAGE'!$N$5&lt;&gt;"",--('POINTAGE'!N201="Absent"),0),IF('POINTAGE'!$P$5&lt;&gt;"",--('POINTAGE'!P201="Absent"),0),IF('POINTAGE'!$R$5&lt;&gt;"",--('POINTAGE'!R201="Absent"),0),IF('POINTAGE'!$T$5&lt;&gt;"",--('POINTAGE'!T201="Absent"),0),IF('POINTAGE'!$V$5&lt;&gt;"",--('POINTAGE'!V201="Absent"),0),IF('POINTAGE'!$X$5&lt;&gt;"",--('POINTAGE'!X201="Absent"),0),IF('POINTAGE'!$Z$5&lt;&gt;"",--('POINTAGE'!Z201="Absent"),0),IF('POINTAGE'!$AB$5&lt;&gt;"",--('POINTAGE'!AB201="Absent"),0),IF('POINTAGE'!$AD$5&lt;&gt;"",--('POINTAGE'!AD201="Absent"),0),IF('POINTAGE'!$AF$5&lt;&gt;"",--('POINTAGE'!AF201="Absent"),0)))</f>
      </c>
      <c r="H201" s="23">
        <f>IF($A201="","",SUM(IF('POINTAGE'!$D$5&lt;&gt;"",IF('POINTAGE'!D201="Présent",'POINTAGE'!E201,0),0),IF('POINTAGE'!$F$5&lt;&gt;"",IF('POINTAGE'!F201="Présent",'POINTAGE'!G201,0),0),IF('POINTAGE'!$H$5&lt;&gt;"",IF('POINTAGE'!H201="Présent",'POINTAGE'!I201,0),0),IF('POINTAGE'!$J$5&lt;&gt;"",IF('POINTAGE'!J201="Présent",'POINTAGE'!K201,0),0),IF('POINTAGE'!$L$5&lt;&gt;"",IF('POINTAGE'!L201="Présent",'POINTAGE'!M201,0),0),IF('POINTAGE'!$N$5&lt;&gt;"",IF('POINTAGE'!N201="Présent",'POINTAGE'!O201,0),0),IF('POINTAGE'!$P$5&lt;&gt;"",IF('POINTAGE'!P201="Présent",'POINTAGE'!Q201,0),0),IF('POINTAGE'!$R$5&lt;&gt;"",IF('POINTAGE'!R201="Présent",'POINTAGE'!S201,0),0),IF('POINTAGE'!$T$5&lt;&gt;"",IF('POINTAGE'!T201="Présent",'POINTAGE'!U201,0),0),IF('POINTAGE'!$V$5&lt;&gt;"",IF('POINTAGE'!V201="Présent",'POINTAGE'!W201,0),0),IF('POINTAGE'!$X$5&lt;&gt;"",IF('POINTAGE'!X201="Présent",'POINTAGE'!Y201,0),0),IF('POINTAGE'!$Z$5&lt;&gt;"",IF('POINTAGE'!Z201="Présent",'POINTAGE'!AA201,0),0),IF('POINTAGE'!$AB$5&lt;&gt;"",IF('POINTAGE'!AB201="Présent",'POINTAGE'!AC201,0),0),IF('POINTAGE'!$AD$5&lt;&gt;"",IF('POINTAGE'!AD201="Présent",'POINTAGE'!AE201,0),0),IF('POINTAGE'!$AF$5&lt;&gt;"",IF('POINTAGE'!AF201="Présent",'POINTAGE'!AG201,0),0)))</f>
      </c>
      <c r="I201" s="24">
        <f>IF($A201="","",$F201*$D201)</f>
      </c>
      <c r="J201" s="24">
        <f>IF($A201="","",$H201*$E201)</f>
      </c>
      <c r="K201" s="25">
        <f>IF($A201="","",$I201+$J201)</f>
      </c>
      <c r="L201" s="18"/>
      <c r="M201" s="25">
        <f>IF($A201="","",MAX(0,$K201-$L201))</f>
      </c>
      <c r="N201" s="22">
        <f>IF($A201="","",SUM(IF('POINTAGE'!$AH$5&lt;&gt;"",--('POINTAGE'!AH201="Présent"),0),IF('POINTAGE'!$AJ$5&lt;&gt;"",--('POINTAGE'!AJ201="Présent"),0),IF('POINTAGE'!$AL$5&lt;&gt;"",--('POINTAGE'!AL201="Présent"),0),IF('POINTAGE'!$AN$5&lt;&gt;"",--('POINTAGE'!AN201="Présent"),0),IF('POINTAGE'!$AP$5&lt;&gt;"",--('POINTAGE'!AP201="Présent"),0),IF('POINTAGE'!$AR$5&lt;&gt;"",--('POINTAGE'!AR201="Présent"),0),IF('POINTAGE'!$AT$5&lt;&gt;"",--('POINTAGE'!AT201="Présent"),0),IF('POINTAGE'!$AV$5&lt;&gt;"",--('POINTAGE'!AV201="Présent"),0),IF('POINTAGE'!$AX$5&lt;&gt;"",--('POINTAGE'!AX201="Présent"),0),IF('POINTAGE'!$AZ$5&lt;&gt;"",--('POINTAGE'!AZ201="Présent"),0),IF('POINTAGE'!$BB$5&lt;&gt;"",--('POINTAGE'!BB201="Présent"),0),IF('POINTAGE'!$BD$5&lt;&gt;"",--('POINTAGE'!BD201="Présent"),0),IF('POINTAGE'!$BF$5&lt;&gt;"",--('POINTAGE'!BF201="Présent"),0),IF('POINTAGE'!$BH$5&lt;&gt;"",--('POINTAGE'!BH201="Présent"),0),IF('POINTAGE'!$BJ$5&lt;&gt;"",--('POINTAGE'!BJ201="Présent"),0),IF('POINTAGE'!$BL$5&lt;&gt;"",--('POINTAGE'!BL201="Présent"),0)))</f>
      </c>
      <c r="O201" s="22">
        <f>IF($A201="","",SUM(IF('POINTAGE'!$AH$5&lt;&gt;"",--('POINTAGE'!AH201="Absent"),0),IF('POINTAGE'!$AJ$5&lt;&gt;"",--('POINTAGE'!AJ201="Absent"),0),IF('POINTAGE'!$AL$5&lt;&gt;"",--('POINTAGE'!AL201="Absent"),0),IF('POINTAGE'!$AN$5&lt;&gt;"",--('POINTAGE'!AN201="Absent"),0),IF('POINTAGE'!$AP$5&lt;&gt;"",--('POINTAGE'!AP201="Absent"),0),IF('POINTAGE'!$AR$5&lt;&gt;"",--('POINTAGE'!AR201="Absent"),0),IF('POINTAGE'!$AT$5&lt;&gt;"",--('POINTAGE'!AT201="Absent"),0),IF('POINTAGE'!$AV$5&lt;&gt;"",--('POINTAGE'!AV201="Absent"),0),IF('POINTAGE'!$AX$5&lt;&gt;"",--('POINTAGE'!AX201="Absent"),0),IF('POINTAGE'!$AZ$5&lt;&gt;"",--('POINTAGE'!AZ201="Absent"),0),IF('POINTAGE'!$BB$5&lt;&gt;"",--('POINTAGE'!BB201="Absent"),0),IF('POINTAGE'!$BD$5&lt;&gt;"",--('POINTAGE'!BD201="Absent"),0),IF('POINTAGE'!$BF$5&lt;&gt;"",--('POINTAGE'!BF201="Absent"),0),IF('POINTAGE'!$BH$5&lt;&gt;"",--('POINTAGE'!BH201="Absent"),0),IF('POINTAGE'!$BJ$5&lt;&gt;"",--('POINTAGE'!BJ201="Absent"),0),IF('POINTAGE'!$BL$5&lt;&gt;"",--('POINTAGE'!BL201="Absent"),0)))</f>
      </c>
      <c r="P201" s="23">
        <f>IF($A201="","",SUM(IF('POINTAGE'!$AH$5&lt;&gt;"",IF('POINTAGE'!AH201="Présent",'POINTAGE'!AI201,0),0),IF('POINTAGE'!$AJ$5&lt;&gt;"",IF('POINTAGE'!AJ201="Présent",'POINTAGE'!AK201,0),0),IF('POINTAGE'!$AL$5&lt;&gt;"",IF('POINTAGE'!AL201="Présent",'POINTAGE'!AM201,0),0),IF('POINTAGE'!$AN$5&lt;&gt;"",IF('POINTAGE'!AN201="Présent",'POINTAGE'!AO201,0),0),IF('POINTAGE'!$AP$5&lt;&gt;"",IF('POINTAGE'!AP201="Présent",'POINTAGE'!AQ201,0),0),IF('POINTAGE'!$AR$5&lt;&gt;"",IF('POINTAGE'!AR201="Présent",'POINTAGE'!AS201,0),0),IF('POINTAGE'!$AT$5&lt;&gt;"",IF('POINTAGE'!AT201="Présent",'POINTAGE'!AU201,0),0),IF('POINTAGE'!$AV$5&lt;&gt;"",IF('POINTAGE'!AV201="Présent",'POINTAGE'!AW201,0),0),IF('POINTAGE'!$AX$5&lt;&gt;"",IF('POINTAGE'!AX201="Présent",'POINTAGE'!AY201,0),0),IF('POINTAGE'!$AZ$5&lt;&gt;"",IF('POINTAGE'!AZ201="Présent",'POINTAGE'!BA201,0),0),IF('POINTAGE'!$BB$5&lt;&gt;"",IF('POINTAGE'!BB201="Présent",'POINTAGE'!BC201,0),0),IF('POINTAGE'!$BD$5&lt;&gt;"",IF('POINTAGE'!BD201="Présent",'POINTAGE'!BE201,0),0),IF('POINTAGE'!$BF$5&lt;&gt;"",IF('POINTAGE'!BF201="Présent",'POINTAGE'!BG201,0),0),IF('POINTAGE'!$BH$5&lt;&gt;"",IF('POINTAGE'!BH201="Présent",'POINTAGE'!BI201,0),0),IF('POINTAGE'!$BJ$5&lt;&gt;"",IF('POINTAGE'!BJ201="Présent",'POINTAGE'!BK201,0),0),IF('POINTAGE'!$BL$5&lt;&gt;"",IF('POINTAGE'!BL201="Présent",'POINTAGE'!BM201,0),0)))</f>
      </c>
      <c r="Q201" s="24">
        <f>IF($A201="","",$N201*$D201)</f>
      </c>
      <c r="R201" s="24">
        <f>IF($A201="","",$P201*$E201)</f>
      </c>
      <c r="S201" s="25">
        <f>IF($A201="","",$Q201+$R201)</f>
      </c>
      <c r="T201" s="18"/>
      <c r="U201" s="25">
        <f>IF($A201="","",MAX(0,$S201-$T201))</f>
      </c>
      <c r="V201" s="25">
        <f>IF($A201="","",$K201+$S201)</f>
      </c>
      <c r="W201" s="24">
        <f>IF($A201="","",$L201+$T201)</f>
      </c>
      <c r="X201" s="25">
        <f>IF($A201="","",$M201+$U201)</f>
      </c>
      <c r="Y201" s="29">
        <f>IF($A201="","",$J201+$R201)</f>
      </c>
    </row>
    <row r="202">
      <c r="A202" s="20">
        <f>IF('POINTAGE'!A202="","",'POINTAGE'!A202)</f>
      </c>
      <c r="B202" s="19">
        <f>IF($A202="","",'POINTAGE'!B202)</f>
      </c>
      <c r="C202" s="20">
        <f>IF($A202="","",'POINTAGE'!C202)</f>
      </c>
      <c r="D202" s="24">
        <f>IF($A202="","",IFERROR(INDEX(Categories_Salaire,MATCH($C202,ListeCategories,0)),0))</f>
      </c>
      <c r="E202" s="24">
        <f>IF($A202="","",IF(IFERROR(INDEX(Categories_TauxHS,MATCH($C202,ListeCategories,0)),0)&gt;0,IFERROR(INDEX(Categories_TauxHS,MATCH($C202,ListeCategories,0)),0),TauxHSDefaut))</f>
      </c>
      <c r="F202" s="22">
        <f>IF($A202="","",SUM(IF('POINTAGE'!$D$5&lt;&gt;"",--('POINTAGE'!D202="Présent"),0),IF('POINTAGE'!$F$5&lt;&gt;"",--('POINTAGE'!F202="Présent"),0),IF('POINTAGE'!$H$5&lt;&gt;"",--('POINTAGE'!H202="Présent"),0),IF('POINTAGE'!$J$5&lt;&gt;"",--('POINTAGE'!J202="Présent"),0),IF('POINTAGE'!$L$5&lt;&gt;"",--('POINTAGE'!L202="Présent"),0),IF('POINTAGE'!$N$5&lt;&gt;"",--('POINTAGE'!N202="Présent"),0),IF('POINTAGE'!$P$5&lt;&gt;"",--('POINTAGE'!P202="Présent"),0),IF('POINTAGE'!$R$5&lt;&gt;"",--('POINTAGE'!R202="Présent"),0),IF('POINTAGE'!$T$5&lt;&gt;"",--('POINTAGE'!T202="Présent"),0),IF('POINTAGE'!$V$5&lt;&gt;"",--('POINTAGE'!V202="Présent"),0),IF('POINTAGE'!$X$5&lt;&gt;"",--('POINTAGE'!X202="Présent"),0),IF('POINTAGE'!$Z$5&lt;&gt;"",--('POINTAGE'!Z202="Présent"),0),IF('POINTAGE'!$AB$5&lt;&gt;"",--('POINTAGE'!AB202="Présent"),0),IF('POINTAGE'!$AD$5&lt;&gt;"",--('POINTAGE'!AD202="Présent"),0),IF('POINTAGE'!$AF$5&lt;&gt;"",--('POINTAGE'!AF202="Présent"),0)))</f>
      </c>
      <c r="G202" s="22">
        <f>IF($A202="","",SUM(IF('POINTAGE'!$D$5&lt;&gt;"",--('POINTAGE'!D202="Absent"),0),IF('POINTAGE'!$F$5&lt;&gt;"",--('POINTAGE'!F202="Absent"),0),IF('POINTAGE'!$H$5&lt;&gt;"",--('POINTAGE'!H202="Absent"),0),IF('POINTAGE'!$J$5&lt;&gt;"",--('POINTAGE'!J202="Absent"),0),IF('POINTAGE'!$L$5&lt;&gt;"",--('POINTAGE'!L202="Absent"),0),IF('POINTAGE'!$N$5&lt;&gt;"",--('POINTAGE'!N202="Absent"),0),IF('POINTAGE'!$P$5&lt;&gt;"",--('POINTAGE'!P202="Absent"),0),IF('POINTAGE'!$R$5&lt;&gt;"",--('POINTAGE'!R202="Absent"),0),IF('POINTAGE'!$T$5&lt;&gt;"",--('POINTAGE'!T202="Absent"),0),IF('POINTAGE'!$V$5&lt;&gt;"",--('POINTAGE'!V202="Absent"),0),IF('POINTAGE'!$X$5&lt;&gt;"",--('POINTAGE'!X202="Absent"),0),IF('POINTAGE'!$Z$5&lt;&gt;"",--('POINTAGE'!Z202="Absent"),0),IF('POINTAGE'!$AB$5&lt;&gt;"",--('POINTAGE'!AB202="Absent"),0),IF('POINTAGE'!$AD$5&lt;&gt;"",--('POINTAGE'!AD202="Absent"),0),IF('POINTAGE'!$AF$5&lt;&gt;"",--('POINTAGE'!AF202="Absent"),0)))</f>
      </c>
      <c r="H202" s="23">
        <f>IF($A202="","",SUM(IF('POINTAGE'!$D$5&lt;&gt;"",IF('POINTAGE'!D202="Présent",'POINTAGE'!E202,0),0),IF('POINTAGE'!$F$5&lt;&gt;"",IF('POINTAGE'!F202="Présent",'POINTAGE'!G202,0),0),IF('POINTAGE'!$H$5&lt;&gt;"",IF('POINTAGE'!H202="Présent",'POINTAGE'!I202,0),0),IF('POINTAGE'!$J$5&lt;&gt;"",IF('POINTAGE'!J202="Présent",'POINTAGE'!K202,0),0),IF('POINTAGE'!$L$5&lt;&gt;"",IF('POINTAGE'!L202="Présent",'POINTAGE'!M202,0),0),IF('POINTAGE'!$N$5&lt;&gt;"",IF('POINTAGE'!N202="Présent",'POINTAGE'!O202,0),0),IF('POINTAGE'!$P$5&lt;&gt;"",IF('POINTAGE'!P202="Présent",'POINTAGE'!Q202,0),0),IF('POINTAGE'!$R$5&lt;&gt;"",IF('POINTAGE'!R202="Présent",'POINTAGE'!S202,0),0),IF('POINTAGE'!$T$5&lt;&gt;"",IF('POINTAGE'!T202="Présent",'POINTAGE'!U202,0),0),IF('POINTAGE'!$V$5&lt;&gt;"",IF('POINTAGE'!V202="Présent",'POINTAGE'!W202,0),0),IF('POINTAGE'!$X$5&lt;&gt;"",IF('POINTAGE'!X202="Présent",'POINTAGE'!Y202,0),0),IF('POINTAGE'!$Z$5&lt;&gt;"",IF('POINTAGE'!Z202="Présent",'POINTAGE'!AA202,0),0),IF('POINTAGE'!$AB$5&lt;&gt;"",IF('POINTAGE'!AB202="Présent",'POINTAGE'!AC202,0),0),IF('POINTAGE'!$AD$5&lt;&gt;"",IF('POINTAGE'!AD202="Présent",'POINTAGE'!AE202,0),0),IF('POINTAGE'!$AF$5&lt;&gt;"",IF('POINTAGE'!AF202="Présent",'POINTAGE'!AG202,0),0)))</f>
      </c>
      <c r="I202" s="24">
        <f>IF($A202="","",$F202*$D202)</f>
      </c>
      <c r="J202" s="24">
        <f>IF($A202="","",$H202*$E202)</f>
      </c>
      <c r="K202" s="25">
        <f>IF($A202="","",$I202+$J202)</f>
      </c>
      <c r="L202" s="18"/>
      <c r="M202" s="25">
        <f>IF($A202="","",MAX(0,$K202-$L202))</f>
      </c>
      <c r="N202" s="22">
        <f>IF($A202="","",SUM(IF('POINTAGE'!$AH$5&lt;&gt;"",--('POINTAGE'!AH202="Présent"),0),IF('POINTAGE'!$AJ$5&lt;&gt;"",--('POINTAGE'!AJ202="Présent"),0),IF('POINTAGE'!$AL$5&lt;&gt;"",--('POINTAGE'!AL202="Présent"),0),IF('POINTAGE'!$AN$5&lt;&gt;"",--('POINTAGE'!AN202="Présent"),0),IF('POINTAGE'!$AP$5&lt;&gt;"",--('POINTAGE'!AP202="Présent"),0),IF('POINTAGE'!$AR$5&lt;&gt;"",--('POINTAGE'!AR202="Présent"),0),IF('POINTAGE'!$AT$5&lt;&gt;"",--('POINTAGE'!AT202="Présent"),0),IF('POINTAGE'!$AV$5&lt;&gt;"",--('POINTAGE'!AV202="Présent"),0),IF('POINTAGE'!$AX$5&lt;&gt;"",--('POINTAGE'!AX202="Présent"),0),IF('POINTAGE'!$AZ$5&lt;&gt;"",--('POINTAGE'!AZ202="Présent"),0),IF('POINTAGE'!$BB$5&lt;&gt;"",--('POINTAGE'!BB202="Présent"),0),IF('POINTAGE'!$BD$5&lt;&gt;"",--('POINTAGE'!BD202="Présent"),0),IF('POINTAGE'!$BF$5&lt;&gt;"",--('POINTAGE'!BF202="Présent"),0),IF('POINTAGE'!$BH$5&lt;&gt;"",--('POINTAGE'!BH202="Présent"),0),IF('POINTAGE'!$BJ$5&lt;&gt;"",--('POINTAGE'!BJ202="Présent"),0),IF('POINTAGE'!$BL$5&lt;&gt;"",--('POINTAGE'!BL202="Présent"),0)))</f>
      </c>
      <c r="O202" s="22">
        <f>IF($A202="","",SUM(IF('POINTAGE'!$AH$5&lt;&gt;"",--('POINTAGE'!AH202="Absent"),0),IF('POINTAGE'!$AJ$5&lt;&gt;"",--('POINTAGE'!AJ202="Absent"),0),IF('POINTAGE'!$AL$5&lt;&gt;"",--('POINTAGE'!AL202="Absent"),0),IF('POINTAGE'!$AN$5&lt;&gt;"",--('POINTAGE'!AN202="Absent"),0),IF('POINTAGE'!$AP$5&lt;&gt;"",--('POINTAGE'!AP202="Absent"),0),IF('POINTAGE'!$AR$5&lt;&gt;"",--('POINTAGE'!AR202="Absent"),0),IF('POINTAGE'!$AT$5&lt;&gt;"",--('POINTAGE'!AT202="Absent"),0),IF('POINTAGE'!$AV$5&lt;&gt;"",--('POINTAGE'!AV202="Absent"),0),IF('POINTAGE'!$AX$5&lt;&gt;"",--('POINTAGE'!AX202="Absent"),0),IF('POINTAGE'!$AZ$5&lt;&gt;"",--('POINTAGE'!AZ202="Absent"),0),IF('POINTAGE'!$BB$5&lt;&gt;"",--('POINTAGE'!BB202="Absent"),0),IF('POINTAGE'!$BD$5&lt;&gt;"",--('POINTAGE'!BD202="Absent"),0),IF('POINTAGE'!$BF$5&lt;&gt;"",--('POINTAGE'!BF202="Absent"),0),IF('POINTAGE'!$BH$5&lt;&gt;"",--('POINTAGE'!BH202="Absent"),0),IF('POINTAGE'!$BJ$5&lt;&gt;"",--('POINTAGE'!BJ202="Absent"),0),IF('POINTAGE'!$BL$5&lt;&gt;"",--('POINTAGE'!BL202="Absent"),0)))</f>
      </c>
      <c r="P202" s="23">
        <f>IF($A202="","",SUM(IF('POINTAGE'!$AH$5&lt;&gt;"",IF('POINTAGE'!AH202="Présent",'POINTAGE'!AI202,0),0),IF('POINTAGE'!$AJ$5&lt;&gt;"",IF('POINTAGE'!AJ202="Présent",'POINTAGE'!AK202,0),0),IF('POINTAGE'!$AL$5&lt;&gt;"",IF('POINTAGE'!AL202="Présent",'POINTAGE'!AM202,0),0),IF('POINTAGE'!$AN$5&lt;&gt;"",IF('POINTAGE'!AN202="Présent",'POINTAGE'!AO202,0),0),IF('POINTAGE'!$AP$5&lt;&gt;"",IF('POINTAGE'!AP202="Présent",'POINTAGE'!AQ202,0),0),IF('POINTAGE'!$AR$5&lt;&gt;"",IF('POINTAGE'!AR202="Présent",'POINTAGE'!AS202,0),0),IF('POINTAGE'!$AT$5&lt;&gt;"",IF('POINTAGE'!AT202="Présent",'POINTAGE'!AU202,0),0),IF('POINTAGE'!$AV$5&lt;&gt;"",IF('POINTAGE'!AV202="Présent",'POINTAGE'!AW202,0),0),IF('POINTAGE'!$AX$5&lt;&gt;"",IF('POINTAGE'!AX202="Présent",'POINTAGE'!AY202,0),0),IF('POINTAGE'!$AZ$5&lt;&gt;"",IF('POINTAGE'!AZ202="Présent",'POINTAGE'!BA202,0),0),IF('POINTAGE'!$BB$5&lt;&gt;"",IF('POINTAGE'!BB202="Présent",'POINTAGE'!BC202,0),0),IF('POINTAGE'!$BD$5&lt;&gt;"",IF('POINTAGE'!BD202="Présent",'POINTAGE'!BE202,0),0),IF('POINTAGE'!$BF$5&lt;&gt;"",IF('POINTAGE'!BF202="Présent",'POINTAGE'!BG202,0),0),IF('POINTAGE'!$BH$5&lt;&gt;"",IF('POINTAGE'!BH202="Présent",'POINTAGE'!BI202,0),0),IF('POINTAGE'!$BJ$5&lt;&gt;"",IF('POINTAGE'!BJ202="Présent",'POINTAGE'!BK202,0),0),IF('POINTAGE'!$BL$5&lt;&gt;"",IF('POINTAGE'!BL202="Présent",'POINTAGE'!BM202,0),0)))</f>
      </c>
      <c r="Q202" s="24">
        <f>IF($A202="","",$N202*$D202)</f>
      </c>
      <c r="R202" s="24">
        <f>IF($A202="","",$P202*$E202)</f>
      </c>
      <c r="S202" s="25">
        <f>IF($A202="","",$Q202+$R202)</f>
      </c>
      <c r="T202" s="18"/>
      <c r="U202" s="25">
        <f>IF($A202="","",MAX(0,$S202-$T202))</f>
      </c>
      <c r="V202" s="25">
        <f>IF($A202="","",$K202+$S202)</f>
      </c>
      <c r="W202" s="24">
        <f>IF($A202="","",$L202+$T202)</f>
      </c>
      <c r="X202" s="25">
        <f>IF($A202="","",$M202+$U202)</f>
      </c>
      <c r="Y202" s="29">
        <f>IF($A202="","",$J202+$R202)</f>
      </c>
    </row>
    <row r="203">
      <c r="A203" s="20">
        <f>IF('POINTAGE'!A203="","",'POINTAGE'!A203)</f>
      </c>
      <c r="B203" s="19">
        <f>IF($A203="","",'POINTAGE'!B203)</f>
      </c>
      <c r="C203" s="20">
        <f>IF($A203="","",'POINTAGE'!C203)</f>
      </c>
      <c r="D203" s="24">
        <f>IF($A203="","",IFERROR(INDEX(Categories_Salaire,MATCH($C203,ListeCategories,0)),0))</f>
      </c>
      <c r="E203" s="24">
        <f>IF($A203="","",IF(IFERROR(INDEX(Categories_TauxHS,MATCH($C203,ListeCategories,0)),0)&gt;0,IFERROR(INDEX(Categories_TauxHS,MATCH($C203,ListeCategories,0)),0),TauxHSDefaut))</f>
      </c>
      <c r="F203" s="22">
        <f>IF($A203="","",SUM(IF('POINTAGE'!$D$5&lt;&gt;"",--('POINTAGE'!D203="Présent"),0),IF('POINTAGE'!$F$5&lt;&gt;"",--('POINTAGE'!F203="Présent"),0),IF('POINTAGE'!$H$5&lt;&gt;"",--('POINTAGE'!H203="Présent"),0),IF('POINTAGE'!$J$5&lt;&gt;"",--('POINTAGE'!J203="Présent"),0),IF('POINTAGE'!$L$5&lt;&gt;"",--('POINTAGE'!L203="Présent"),0),IF('POINTAGE'!$N$5&lt;&gt;"",--('POINTAGE'!N203="Présent"),0),IF('POINTAGE'!$P$5&lt;&gt;"",--('POINTAGE'!P203="Présent"),0),IF('POINTAGE'!$R$5&lt;&gt;"",--('POINTAGE'!R203="Présent"),0),IF('POINTAGE'!$T$5&lt;&gt;"",--('POINTAGE'!T203="Présent"),0),IF('POINTAGE'!$V$5&lt;&gt;"",--('POINTAGE'!V203="Présent"),0),IF('POINTAGE'!$X$5&lt;&gt;"",--('POINTAGE'!X203="Présent"),0),IF('POINTAGE'!$Z$5&lt;&gt;"",--('POINTAGE'!Z203="Présent"),0),IF('POINTAGE'!$AB$5&lt;&gt;"",--('POINTAGE'!AB203="Présent"),0),IF('POINTAGE'!$AD$5&lt;&gt;"",--('POINTAGE'!AD203="Présent"),0),IF('POINTAGE'!$AF$5&lt;&gt;"",--('POINTAGE'!AF203="Présent"),0)))</f>
      </c>
      <c r="G203" s="22">
        <f>IF($A203="","",SUM(IF('POINTAGE'!$D$5&lt;&gt;"",--('POINTAGE'!D203="Absent"),0),IF('POINTAGE'!$F$5&lt;&gt;"",--('POINTAGE'!F203="Absent"),0),IF('POINTAGE'!$H$5&lt;&gt;"",--('POINTAGE'!H203="Absent"),0),IF('POINTAGE'!$J$5&lt;&gt;"",--('POINTAGE'!J203="Absent"),0),IF('POINTAGE'!$L$5&lt;&gt;"",--('POINTAGE'!L203="Absent"),0),IF('POINTAGE'!$N$5&lt;&gt;"",--('POINTAGE'!N203="Absent"),0),IF('POINTAGE'!$P$5&lt;&gt;"",--('POINTAGE'!P203="Absent"),0),IF('POINTAGE'!$R$5&lt;&gt;"",--('POINTAGE'!R203="Absent"),0),IF('POINTAGE'!$T$5&lt;&gt;"",--('POINTAGE'!T203="Absent"),0),IF('POINTAGE'!$V$5&lt;&gt;"",--('POINTAGE'!V203="Absent"),0),IF('POINTAGE'!$X$5&lt;&gt;"",--('POINTAGE'!X203="Absent"),0),IF('POINTAGE'!$Z$5&lt;&gt;"",--('POINTAGE'!Z203="Absent"),0),IF('POINTAGE'!$AB$5&lt;&gt;"",--('POINTAGE'!AB203="Absent"),0),IF('POINTAGE'!$AD$5&lt;&gt;"",--('POINTAGE'!AD203="Absent"),0),IF('POINTAGE'!$AF$5&lt;&gt;"",--('POINTAGE'!AF203="Absent"),0)))</f>
      </c>
      <c r="H203" s="23">
        <f>IF($A203="","",SUM(IF('POINTAGE'!$D$5&lt;&gt;"",IF('POINTAGE'!D203="Présent",'POINTAGE'!E203,0),0),IF('POINTAGE'!$F$5&lt;&gt;"",IF('POINTAGE'!F203="Présent",'POINTAGE'!G203,0),0),IF('POINTAGE'!$H$5&lt;&gt;"",IF('POINTAGE'!H203="Présent",'POINTAGE'!I203,0),0),IF('POINTAGE'!$J$5&lt;&gt;"",IF('POINTAGE'!J203="Présent",'POINTAGE'!K203,0),0),IF('POINTAGE'!$L$5&lt;&gt;"",IF('POINTAGE'!L203="Présent",'POINTAGE'!M203,0),0),IF('POINTAGE'!$N$5&lt;&gt;"",IF('POINTAGE'!N203="Présent",'POINTAGE'!O203,0),0),IF('POINTAGE'!$P$5&lt;&gt;"",IF('POINTAGE'!P203="Présent",'POINTAGE'!Q203,0),0),IF('POINTAGE'!$R$5&lt;&gt;"",IF('POINTAGE'!R203="Présent",'POINTAGE'!S203,0),0),IF('POINTAGE'!$T$5&lt;&gt;"",IF('POINTAGE'!T203="Présent",'POINTAGE'!U203,0),0),IF('POINTAGE'!$V$5&lt;&gt;"",IF('POINTAGE'!V203="Présent",'POINTAGE'!W203,0),0),IF('POINTAGE'!$X$5&lt;&gt;"",IF('POINTAGE'!X203="Présent",'POINTAGE'!Y203,0),0),IF('POINTAGE'!$Z$5&lt;&gt;"",IF('POINTAGE'!Z203="Présent",'POINTAGE'!AA203,0),0),IF('POINTAGE'!$AB$5&lt;&gt;"",IF('POINTAGE'!AB203="Présent",'POINTAGE'!AC203,0),0),IF('POINTAGE'!$AD$5&lt;&gt;"",IF('POINTAGE'!AD203="Présent",'POINTAGE'!AE203,0),0),IF('POINTAGE'!$AF$5&lt;&gt;"",IF('POINTAGE'!AF203="Présent",'POINTAGE'!AG203,0),0)))</f>
      </c>
      <c r="I203" s="24">
        <f>IF($A203="","",$F203*$D203)</f>
      </c>
      <c r="J203" s="24">
        <f>IF($A203="","",$H203*$E203)</f>
      </c>
      <c r="K203" s="25">
        <f>IF($A203="","",$I203+$J203)</f>
      </c>
      <c r="L203" s="18"/>
      <c r="M203" s="25">
        <f>IF($A203="","",MAX(0,$K203-$L203))</f>
      </c>
      <c r="N203" s="22">
        <f>IF($A203="","",SUM(IF('POINTAGE'!$AH$5&lt;&gt;"",--('POINTAGE'!AH203="Présent"),0),IF('POINTAGE'!$AJ$5&lt;&gt;"",--('POINTAGE'!AJ203="Présent"),0),IF('POINTAGE'!$AL$5&lt;&gt;"",--('POINTAGE'!AL203="Présent"),0),IF('POINTAGE'!$AN$5&lt;&gt;"",--('POINTAGE'!AN203="Présent"),0),IF('POINTAGE'!$AP$5&lt;&gt;"",--('POINTAGE'!AP203="Présent"),0),IF('POINTAGE'!$AR$5&lt;&gt;"",--('POINTAGE'!AR203="Présent"),0),IF('POINTAGE'!$AT$5&lt;&gt;"",--('POINTAGE'!AT203="Présent"),0),IF('POINTAGE'!$AV$5&lt;&gt;"",--('POINTAGE'!AV203="Présent"),0),IF('POINTAGE'!$AX$5&lt;&gt;"",--('POINTAGE'!AX203="Présent"),0),IF('POINTAGE'!$AZ$5&lt;&gt;"",--('POINTAGE'!AZ203="Présent"),0),IF('POINTAGE'!$BB$5&lt;&gt;"",--('POINTAGE'!BB203="Présent"),0),IF('POINTAGE'!$BD$5&lt;&gt;"",--('POINTAGE'!BD203="Présent"),0),IF('POINTAGE'!$BF$5&lt;&gt;"",--('POINTAGE'!BF203="Présent"),0),IF('POINTAGE'!$BH$5&lt;&gt;"",--('POINTAGE'!BH203="Présent"),0),IF('POINTAGE'!$BJ$5&lt;&gt;"",--('POINTAGE'!BJ203="Présent"),0),IF('POINTAGE'!$BL$5&lt;&gt;"",--('POINTAGE'!BL203="Présent"),0)))</f>
      </c>
      <c r="O203" s="22">
        <f>IF($A203="","",SUM(IF('POINTAGE'!$AH$5&lt;&gt;"",--('POINTAGE'!AH203="Absent"),0),IF('POINTAGE'!$AJ$5&lt;&gt;"",--('POINTAGE'!AJ203="Absent"),0),IF('POINTAGE'!$AL$5&lt;&gt;"",--('POINTAGE'!AL203="Absent"),0),IF('POINTAGE'!$AN$5&lt;&gt;"",--('POINTAGE'!AN203="Absent"),0),IF('POINTAGE'!$AP$5&lt;&gt;"",--('POINTAGE'!AP203="Absent"),0),IF('POINTAGE'!$AR$5&lt;&gt;"",--('POINTAGE'!AR203="Absent"),0),IF('POINTAGE'!$AT$5&lt;&gt;"",--('POINTAGE'!AT203="Absent"),0),IF('POINTAGE'!$AV$5&lt;&gt;"",--('POINTAGE'!AV203="Absent"),0),IF('POINTAGE'!$AX$5&lt;&gt;"",--('POINTAGE'!AX203="Absent"),0),IF('POINTAGE'!$AZ$5&lt;&gt;"",--('POINTAGE'!AZ203="Absent"),0),IF('POINTAGE'!$BB$5&lt;&gt;"",--('POINTAGE'!BB203="Absent"),0),IF('POINTAGE'!$BD$5&lt;&gt;"",--('POINTAGE'!BD203="Absent"),0),IF('POINTAGE'!$BF$5&lt;&gt;"",--('POINTAGE'!BF203="Absent"),0),IF('POINTAGE'!$BH$5&lt;&gt;"",--('POINTAGE'!BH203="Absent"),0),IF('POINTAGE'!$BJ$5&lt;&gt;"",--('POINTAGE'!BJ203="Absent"),0),IF('POINTAGE'!$BL$5&lt;&gt;"",--('POINTAGE'!BL203="Absent"),0)))</f>
      </c>
      <c r="P203" s="23">
        <f>IF($A203="","",SUM(IF('POINTAGE'!$AH$5&lt;&gt;"",IF('POINTAGE'!AH203="Présent",'POINTAGE'!AI203,0),0),IF('POINTAGE'!$AJ$5&lt;&gt;"",IF('POINTAGE'!AJ203="Présent",'POINTAGE'!AK203,0),0),IF('POINTAGE'!$AL$5&lt;&gt;"",IF('POINTAGE'!AL203="Présent",'POINTAGE'!AM203,0),0),IF('POINTAGE'!$AN$5&lt;&gt;"",IF('POINTAGE'!AN203="Présent",'POINTAGE'!AO203,0),0),IF('POINTAGE'!$AP$5&lt;&gt;"",IF('POINTAGE'!AP203="Présent",'POINTAGE'!AQ203,0),0),IF('POINTAGE'!$AR$5&lt;&gt;"",IF('POINTAGE'!AR203="Présent",'POINTAGE'!AS203,0),0),IF('POINTAGE'!$AT$5&lt;&gt;"",IF('POINTAGE'!AT203="Présent",'POINTAGE'!AU203,0),0),IF('POINTAGE'!$AV$5&lt;&gt;"",IF('POINTAGE'!AV203="Présent",'POINTAGE'!AW203,0),0),IF('POINTAGE'!$AX$5&lt;&gt;"",IF('POINTAGE'!AX203="Présent",'POINTAGE'!AY203,0),0),IF('POINTAGE'!$AZ$5&lt;&gt;"",IF('POINTAGE'!AZ203="Présent",'POINTAGE'!BA203,0),0),IF('POINTAGE'!$BB$5&lt;&gt;"",IF('POINTAGE'!BB203="Présent",'POINTAGE'!BC203,0),0),IF('POINTAGE'!$BD$5&lt;&gt;"",IF('POINTAGE'!BD203="Présent",'POINTAGE'!BE203,0),0),IF('POINTAGE'!$BF$5&lt;&gt;"",IF('POINTAGE'!BF203="Présent",'POINTAGE'!BG203,0),0),IF('POINTAGE'!$BH$5&lt;&gt;"",IF('POINTAGE'!BH203="Présent",'POINTAGE'!BI203,0),0),IF('POINTAGE'!$BJ$5&lt;&gt;"",IF('POINTAGE'!BJ203="Présent",'POINTAGE'!BK203,0),0),IF('POINTAGE'!$BL$5&lt;&gt;"",IF('POINTAGE'!BL203="Présent",'POINTAGE'!BM203,0),0)))</f>
      </c>
      <c r="Q203" s="24">
        <f>IF($A203="","",$N203*$D203)</f>
      </c>
      <c r="R203" s="24">
        <f>IF($A203="","",$P203*$E203)</f>
      </c>
      <c r="S203" s="25">
        <f>IF($A203="","",$Q203+$R203)</f>
      </c>
      <c r="T203" s="18"/>
      <c r="U203" s="25">
        <f>IF($A203="","",MAX(0,$S203-$T203))</f>
      </c>
      <c r="V203" s="25">
        <f>IF($A203="","",$K203+$S203)</f>
      </c>
      <c r="W203" s="24">
        <f>IF($A203="","",$L203+$T203)</f>
      </c>
      <c r="X203" s="25">
        <f>IF($A203="","",$M203+$U203)</f>
      </c>
      <c r="Y203" s="29">
        <f>IF($A203="","",$J203+$R203)</f>
      </c>
    </row>
    <row r="204">
      <c r="A204" s="20">
        <f>IF('POINTAGE'!A204="","",'POINTAGE'!A204)</f>
      </c>
      <c r="B204" s="19">
        <f>IF($A204="","",'POINTAGE'!B204)</f>
      </c>
      <c r="C204" s="20">
        <f>IF($A204="","",'POINTAGE'!C204)</f>
      </c>
      <c r="D204" s="24">
        <f>IF($A204="","",IFERROR(INDEX(Categories_Salaire,MATCH($C204,ListeCategories,0)),0))</f>
      </c>
      <c r="E204" s="24">
        <f>IF($A204="","",IF(IFERROR(INDEX(Categories_TauxHS,MATCH($C204,ListeCategories,0)),0)&gt;0,IFERROR(INDEX(Categories_TauxHS,MATCH($C204,ListeCategories,0)),0),TauxHSDefaut))</f>
      </c>
      <c r="F204" s="22">
        <f>IF($A204="","",SUM(IF('POINTAGE'!$D$5&lt;&gt;"",--('POINTAGE'!D204="Présent"),0),IF('POINTAGE'!$F$5&lt;&gt;"",--('POINTAGE'!F204="Présent"),0),IF('POINTAGE'!$H$5&lt;&gt;"",--('POINTAGE'!H204="Présent"),0),IF('POINTAGE'!$J$5&lt;&gt;"",--('POINTAGE'!J204="Présent"),0),IF('POINTAGE'!$L$5&lt;&gt;"",--('POINTAGE'!L204="Présent"),0),IF('POINTAGE'!$N$5&lt;&gt;"",--('POINTAGE'!N204="Présent"),0),IF('POINTAGE'!$P$5&lt;&gt;"",--('POINTAGE'!P204="Présent"),0),IF('POINTAGE'!$R$5&lt;&gt;"",--('POINTAGE'!R204="Présent"),0),IF('POINTAGE'!$T$5&lt;&gt;"",--('POINTAGE'!T204="Présent"),0),IF('POINTAGE'!$V$5&lt;&gt;"",--('POINTAGE'!V204="Présent"),0),IF('POINTAGE'!$X$5&lt;&gt;"",--('POINTAGE'!X204="Présent"),0),IF('POINTAGE'!$Z$5&lt;&gt;"",--('POINTAGE'!Z204="Présent"),0),IF('POINTAGE'!$AB$5&lt;&gt;"",--('POINTAGE'!AB204="Présent"),0),IF('POINTAGE'!$AD$5&lt;&gt;"",--('POINTAGE'!AD204="Présent"),0),IF('POINTAGE'!$AF$5&lt;&gt;"",--('POINTAGE'!AF204="Présent"),0)))</f>
      </c>
      <c r="G204" s="22">
        <f>IF($A204="","",SUM(IF('POINTAGE'!$D$5&lt;&gt;"",--('POINTAGE'!D204="Absent"),0),IF('POINTAGE'!$F$5&lt;&gt;"",--('POINTAGE'!F204="Absent"),0),IF('POINTAGE'!$H$5&lt;&gt;"",--('POINTAGE'!H204="Absent"),0),IF('POINTAGE'!$J$5&lt;&gt;"",--('POINTAGE'!J204="Absent"),0),IF('POINTAGE'!$L$5&lt;&gt;"",--('POINTAGE'!L204="Absent"),0),IF('POINTAGE'!$N$5&lt;&gt;"",--('POINTAGE'!N204="Absent"),0),IF('POINTAGE'!$P$5&lt;&gt;"",--('POINTAGE'!P204="Absent"),0),IF('POINTAGE'!$R$5&lt;&gt;"",--('POINTAGE'!R204="Absent"),0),IF('POINTAGE'!$T$5&lt;&gt;"",--('POINTAGE'!T204="Absent"),0),IF('POINTAGE'!$V$5&lt;&gt;"",--('POINTAGE'!V204="Absent"),0),IF('POINTAGE'!$X$5&lt;&gt;"",--('POINTAGE'!X204="Absent"),0),IF('POINTAGE'!$Z$5&lt;&gt;"",--('POINTAGE'!Z204="Absent"),0),IF('POINTAGE'!$AB$5&lt;&gt;"",--('POINTAGE'!AB204="Absent"),0),IF('POINTAGE'!$AD$5&lt;&gt;"",--('POINTAGE'!AD204="Absent"),0),IF('POINTAGE'!$AF$5&lt;&gt;"",--('POINTAGE'!AF204="Absent"),0)))</f>
      </c>
      <c r="H204" s="23">
        <f>IF($A204="","",SUM(IF('POINTAGE'!$D$5&lt;&gt;"",IF('POINTAGE'!D204="Présent",'POINTAGE'!E204,0),0),IF('POINTAGE'!$F$5&lt;&gt;"",IF('POINTAGE'!F204="Présent",'POINTAGE'!G204,0),0),IF('POINTAGE'!$H$5&lt;&gt;"",IF('POINTAGE'!H204="Présent",'POINTAGE'!I204,0),0),IF('POINTAGE'!$J$5&lt;&gt;"",IF('POINTAGE'!J204="Présent",'POINTAGE'!K204,0),0),IF('POINTAGE'!$L$5&lt;&gt;"",IF('POINTAGE'!L204="Présent",'POINTAGE'!M204,0),0),IF('POINTAGE'!$N$5&lt;&gt;"",IF('POINTAGE'!N204="Présent",'POINTAGE'!O204,0),0),IF('POINTAGE'!$P$5&lt;&gt;"",IF('POINTAGE'!P204="Présent",'POINTAGE'!Q204,0),0),IF('POINTAGE'!$R$5&lt;&gt;"",IF('POINTAGE'!R204="Présent",'POINTAGE'!S204,0),0),IF('POINTAGE'!$T$5&lt;&gt;"",IF('POINTAGE'!T204="Présent",'POINTAGE'!U204,0),0),IF('POINTAGE'!$V$5&lt;&gt;"",IF('POINTAGE'!V204="Présent",'POINTAGE'!W204,0),0),IF('POINTAGE'!$X$5&lt;&gt;"",IF('POINTAGE'!X204="Présent",'POINTAGE'!Y204,0),0),IF('POINTAGE'!$Z$5&lt;&gt;"",IF('POINTAGE'!Z204="Présent",'POINTAGE'!AA204,0),0),IF('POINTAGE'!$AB$5&lt;&gt;"",IF('POINTAGE'!AB204="Présent",'POINTAGE'!AC204,0),0),IF('POINTAGE'!$AD$5&lt;&gt;"",IF('POINTAGE'!AD204="Présent",'POINTAGE'!AE204,0),0),IF('POINTAGE'!$AF$5&lt;&gt;"",IF('POINTAGE'!AF204="Présent",'POINTAGE'!AG204,0),0)))</f>
      </c>
      <c r="I204" s="24">
        <f>IF($A204="","",$F204*$D204)</f>
      </c>
      <c r="J204" s="24">
        <f>IF($A204="","",$H204*$E204)</f>
      </c>
      <c r="K204" s="25">
        <f>IF($A204="","",$I204+$J204)</f>
      </c>
      <c r="L204" s="18"/>
      <c r="M204" s="25">
        <f>IF($A204="","",MAX(0,$K204-$L204))</f>
      </c>
      <c r="N204" s="22">
        <f>IF($A204="","",SUM(IF('POINTAGE'!$AH$5&lt;&gt;"",--('POINTAGE'!AH204="Présent"),0),IF('POINTAGE'!$AJ$5&lt;&gt;"",--('POINTAGE'!AJ204="Présent"),0),IF('POINTAGE'!$AL$5&lt;&gt;"",--('POINTAGE'!AL204="Présent"),0),IF('POINTAGE'!$AN$5&lt;&gt;"",--('POINTAGE'!AN204="Présent"),0),IF('POINTAGE'!$AP$5&lt;&gt;"",--('POINTAGE'!AP204="Présent"),0),IF('POINTAGE'!$AR$5&lt;&gt;"",--('POINTAGE'!AR204="Présent"),0),IF('POINTAGE'!$AT$5&lt;&gt;"",--('POINTAGE'!AT204="Présent"),0),IF('POINTAGE'!$AV$5&lt;&gt;"",--('POINTAGE'!AV204="Présent"),0),IF('POINTAGE'!$AX$5&lt;&gt;"",--('POINTAGE'!AX204="Présent"),0),IF('POINTAGE'!$AZ$5&lt;&gt;"",--('POINTAGE'!AZ204="Présent"),0),IF('POINTAGE'!$BB$5&lt;&gt;"",--('POINTAGE'!BB204="Présent"),0),IF('POINTAGE'!$BD$5&lt;&gt;"",--('POINTAGE'!BD204="Présent"),0),IF('POINTAGE'!$BF$5&lt;&gt;"",--('POINTAGE'!BF204="Présent"),0),IF('POINTAGE'!$BH$5&lt;&gt;"",--('POINTAGE'!BH204="Présent"),0),IF('POINTAGE'!$BJ$5&lt;&gt;"",--('POINTAGE'!BJ204="Présent"),0),IF('POINTAGE'!$BL$5&lt;&gt;"",--('POINTAGE'!BL204="Présent"),0)))</f>
      </c>
      <c r="O204" s="22">
        <f>IF($A204="","",SUM(IF('POINTAGE'!$AH$5&lt;&gt;"",--('POINTAGE'!AH204="Absent"),0),IF('POINTAGE'!$AJ$5&lt;&gt;"",--('POINTAGE'!AJ204="Absent"),0),IF('POINTAGE'!$AL$5&lt;&gt;"",--('POINTAGE'!AL204="Absent"),0),IF('POINTAGE'!$AN$5&lt;&gt;"",--('POINTAGE'!AN204="Absent"),0),IF('POINTAGE'!$AP$5&lt;&gt;"",--('POINTAGE'!AP204="Absent"),0),IF('POINTAGE'!$AR$5&lt;&gt;"",--('POINTAGE'!AR204="Absent"),0),IF('POINTAGE'!$AT$5&lt;&gt;"",--('POINTAGE'!AT204="Absent"),0),IF('POINTAGE'!$AV$5&lt;&gt;"",--('POINTAGE'!AV204="Absent"),0),IF('POINTAGE'!$AX$5&lt;&gt;"",--('POINTAGE'!AX204="Absent"),0),IF('POINTAGE'!$AZ$5&lt;&gt;"",--('POINTAGE'!AZ204="Absent"),0),IF('POINTAGE'!$BB$5&lt;&gt;"",--('POINTAGE'!BB204="Absent"),0),IF('POINTAGE'!$BD$5&lt;&gt;"",--('POINTAGE'!BD204="Absent"),0),IF('POINTAGE'!$BF$5&lt;&gt;"",--('POINTAGE'!BF204="Absent"),0),IF('POINTAGE'!$BH$5&lt;&gt;"",--('POINTAGE'!BH204="Absent"),0),IF('POINTAGE'!$BJ$5&lt;&gt;"",--('POINTAGE'!BJ204="Absent"),0),IF('POINTAGE'!$BL$5&lt;&gt;"",--('POINTAGE'!BL204="Absent"),0)))</f>
      </c>
      <c r="P204" s="23">
        <f>IF($A204="","",SUM(IF('POINTAGE'!$AH$5&lt;&gt;"",IF('POINTAGE'!AH204="Présent",'POINTAGE'!AI204,0),0),IF('POINTAGE'!$AJ$5&lt;&gt;"",IF('POINTAGE'!AJ204="Présent",'POINTAGE'!AK204,0),0),IF('POINTAGE'!$AL$5&lt;&gt;"",IF('POINTAGE'!AL204="Présent",'POINTAGE'!AM204,0),0),IF('POINTAGE'!$AN$5&lt;&gt;"",IF('POINTAGE'!AN204="Présent",'POINTAGE'!AO204,0),0),IF('POINTAGE'!$AP$5&lt;&gt;"",IF('POINTAGE'!AP204="Présent",'POINTAGE'!AQ204,0),0),IF('POINTAGE'!$AR$5&lt;&gt;"",IF('POINTAGE'!AR204="Présent",'POINTAGE'!AS204,0),0),IF('POINTAGE'!$AT$5&lt;&gt;"",IF('POINTAGE'!AT204="Présent",'POINTAGE'!AU204,0),0),IF('POINTAGE'!$AV$5&lt;&gt;"",IF('POINTAGE'!AV204="Présent",'POINTAGE'!AW204,0),0),IF('POINTAGE'!$AX$5&lt;&gt;"",IF('POINTAGE'!AX204="Présent",'POINTAGE'!AY204,0),0),IF('POINTAGE'!$AZ$5&lt;&gt;"",IF('POINTAGE'!AZ204="Présent",'POINTAGE'!BA204,0),0),IF('POINTAGE'!$BB$5&lt;&gt;"",IF('POINTAGE'!BB204="Présent",'POINTAGE'!BC204,0),0),IF('POINTAGE'!$BD$5&lt;&gt;"",IF('POINTAGE'!BD204="Présent",'POINTAGE'!BE204,0),0),IF('POINTAGE'!$BF$5&lt;&gt;"",IF('POINTAGE'!BF204="Présent",'POINTAGE'!BG204,0),0),IF('POINTAGE'!$BH$5&lt;&gt;"",IF('POINTAGE'!BH204="Présent",'POINTAGE'!BI204,0),0),IF('POINTAGE'!$BJ$5&lt;&gt;"",IF('POINTAGE'!BJ204="Présent",'POINTAGE'!BK204,0),0),IF('POINTAGE'!$BL$5&lt;&gt;"",IF('POINTAGE'!BL204="Présent",'POINTAGE'!BM204,0),0)))</f>
      </c>
      <c r="Q204" s="24">
        <f>IF($A204="","",$N204*$D204)</f>
      </c>
      <c r="R204" s="24">
        <f>IF($A204="","",$P204*$E204)</f>
      </c>
      <c r="S204" s="25">
        <f>IF($A204="","",$Q204+$R204)</f>
      </c>
      <c r="T204" s="18"/>
      <c r="U204" s="25">
        <f>IF($A204="","",MAX(0,$S204-$T204))</f>
      </c>
      <c r="V204" s="25">
        <f>IF($A204="","",$K204+$S204)</f>
      </c>
      <c r="W204" s="24">
        <f>IF($A204="","",$L204+$T204)</f>
      </c>
      <c r="X204" s="25">
        <f>IF($A204="","",$M204+$U204)</f>
      </c>
      <c r="Y204" s="29">
        <f>IF($A204="","",$J204+$R204)</f>
      </c>
    </row>
    <row r="205">
      <c r="A205" s="20">
        <f>IF('POINTAGE'!A205="","",'POINTAGE'!A205)</f>
      </c>
      <c r="B205" s="19">
        <f>IF($A205="","",'POINTAGE'!B205)</f>
      </c>
      <c r="C205" s="20">
        <f>IF($A205="","",'POINTAGE'!C205)</f>
      </c>
      <c r="D205" s="24">
        <f>IF($A205="","",IFERROR(INDEX(Categories_Salaire,MATCH($C205,ListeCategories,0)),0))</f>
      </c>
      <c r="E205" s="24">
        <f>IF($A205="","",IF(IFERROR(INDEX(Categories_TauxHS,MATCH($C205,ListeCategories,0)),0)&gt;0,IFERROR(INDEX(Categories_TauxHS,MATCH($C205,ListeCategories,0)),0),TauxHSDefaut))</f>
      </c>
      <c r="F205" s="22">
        <f>IF($A205="","",SUM(IF('POINTAGE'!$D$5&lt;&gt;"",--('POINTAGE'!D205="Présent"),0),IF('POINTAGE'!$F$5&lt;&gt;"",--('POINTAGE'!F205="Présent"),0),IF('POINTAGE'!$H$5&lt;&gt;"",--('POINTAGE'!H205="Présent"),0),IF('POINTAGE'!$J$5&lt;&gt;"",--('POINTAGE'!J205="Présent"),0),IF('POINTAGE'!$L$5&lt;&gt;"",--('POINTAGE'!L205="Présent"),0),IF('POINTAGE'!$N$5&lt;&gt;"",--('POINTAGE'!N205="Présent"),0),IF('POINTAGE'!$P$5&lt;&gt;"",--('POINTAGE'!P205="Présent"),0),IF('POINTAGE'!$R$5&lt;&gt;"",--('POINTAGE'!R205="Présent"),0),IF('POINTAGE'!$T$5&lt;&gt;"",--('POINTAGE'!T205="Présent"),0),IF('POINTAGE'!$V$5&lt;&gt;"",--('POINTAGE'!V205="Présent"),0),IF('POINTAGE'!$X$5&lt;&gt;"",--('POINTAGE'!X205="Présent"),0),IF('POINTAGE'!$Z$5&lt;&gt;"",--('POINTAGE'!Z205="Présent"),0),IF('POINTAGE'!$AB$5&lt;&gt;"",--('POINTAGE'!AB205="Présent"),0),IF('POINTAGE'!$AD$5&lt;&gt;"",--('POINTAGE'!AD205="Présent"),0),IF('POINTAGE'!$AF$5&lt;&gt;"",--('POINTAGE'!AF205="Présent"),0)))</f>
      </c>
      <c r="G205" s="22">
        <f>IF($A205="","",SUM(IF('POINTAGE'!$D$5&lt;&gt;"",--('POINTAGE'!D205="Absent"),0),IF('POINTAGE'!$F$5&lt;&gt;"",--('POINTAGE'!F205="Absent"),0),IF('POINTAGE'!$H$5&lt;&gt;"",--('POINTAGE'!H205="Absent"),0),IF('POINTAGE'!$J$5&lt;&gt;"",--('POINTAGE'!J205="Absent"),0),IF('POINTAGE'!$L$5&lt;&gt;"",--('POINTAGE'!L205="Absent"),0),IF('POINTAGE'!$N$5&lt;&gt;"",--('POINTAGE'!N205="Absent"),0),IF('POINTAGE'!$P$5&lt;&gt;"",--('POINTAGE'!P205="Absent"),0),IF('POINTAGE'!$R$5&lt;&gt;"",--('POINTAGE'!R205="Absent"),0),IF('POINTAGE'!$T$5&lt;&gt;"",--('POINTAGE'!T205="Absent"),0),IF('POINTAGE'!$V$5&lt;&gt;"",--('POINTAGE'!V205="Absent"),0),IF('POINTAGE'!$X$5&lt;&gt;"",--('POINTAGE'!X205="Absent"),0),IF('POINTAGE'!$Z$5&lt;&gt;"",--('POINTAGE'!Z205="Absent"),0),IF('POINTAGE'!$AB$5&lt;&gt;"",--('POINTAGE'!AB205="Absent"),0),IF('POINTAGE'!$AD$5&lt;&gt;"",--('POINTAGE'!AD205="Absent"),0),IF('POINTAGE'!$AF$5&lt;&gt;"",--('POINTAGE'!AF205="Absent"),0)))</f>
      </c>
      <c r="H205" s="23">
        <f>IF($A205="","",SUM(IF('POINTAGE'!$D$5&lt;&gt;"",IF('POINTAGE'!D205="Présent",'POINTAGE'!E205,0),0),IF('POINTAGE'!$F$5&lt;&gt;"",IF('POINTAGE'!F205="Présent",'POINTAGE'!G205,0),0),IF('POINTAGE'!$H$5&lt;&gt;"",IF('POINTAGE'!H205="Présent",'POINTAGE'!I205,0),0),IF('POINTAGE'!$J$5&lt;&gt;"",IF('POINTAGE'!J205="Présent",'POINTAGE'!K205,0),0),IF('POINTAGE'!$L$5&lt;&gt;"",IF('POINTAGE'!L205="Présent",'POINTAGE'!M205,0),0),IF('POINTAGE'!$N$5&lt;&gt;"",IF('POINTAGE'!N205="Présent",'POINTAGE'!O205,0),0),IF('POINTAGE'!$P$5&lt;&gt;"",IF('POINTAGE'!P205="Présent",'POINTAGE'!Q205,0),0),IF('POINTAGE'!$R$5&lt;&gt;"",IF('POINTAGE'!R205="Présent",'POINTAGE'!S205,0),0),IF('POINTAGE'!$T$5&lt;&gt;"",IF('POINTAGE'!T205="Présent",'POINTAGE'!U205,0),0),IF('POINTAGE'!$V$5&lt;&gt;"",IF('POINTAGE'!V205="Présent",'POINTAGE'!W205,0),0),IF('POINTAGE'!$X$5&lt;&gt;"",IF('POINTAGE'!X205="Présent",'POINTAGE'!Y205,0),0),IF('POINTAGE'!$Z$5&lt;&gt;"",IF('POINTAGE'!Z205="Présent",'POINTAGE'!AA205,0),0),IF('POINTAGE'!$AB$5&lt;&gt;"",IF('POINTAGE'!AB205="Présent",'POINTAGE'!AC205,0),0),IF('POINTAGE'!$AD$5&lt;&gt;"",IF('POINTAGE'!AD205="Présent",'POINTAGE'!AE205,0),0),IF('POINTAGE'!$AF$5&lt;&gt;"",IF('POINTAGE'!AF205="Présent",'POINTAGE'!AG205,0),0)))</f>
      </c>
      <c r="I205" s="24">
        <f>IF($A205="","",$F205*$D205)</f>
      </c>
      <c r="J205" s="24">
        <f>IF($A205="","",$H205*$E205)</f>
      </c>
      <c r="K205" s="25">
        <f>IF($A205="","",$I205+$J205)</f>
      </c>
      <c r="L205" s="18"/>
      <c r="M205" s="25">
        <f>IF($A205="","",MAX(0,$K205-$L205))</f>
      </c>
      <c r="N205" s="22">
        <f>IF($A205="","",SUM(IF('POINTAGE'!$AH$5&lt;&gt;"",--('POINTAGE'!AH205="Présent"),0),IF('POINTAGE'!$AJ$5&lt;&gt;"",--('POINTAGE'!AJ205="Présent"),0),IF('POINTAGE'!$AL$5&lt;&gt;"",--('POINTAGE'!AL205="Présent"),0),IF('POINTAGE'!$AN$5&lt;&gt;"",--('POINTAGE'!AN205="Présent"),0),IF('POINTAGE'!$AP$5&lt;&gt;"",--('POINTAGE'!AP205="Présent"),0),IF('POINTAGE'!$AR$5&lt;&gt;"",--('POINTAGE'!AR205="Présent"),0),IF('POINTAGE'!$AT$5&lt;&gt;"",--('POINTAGE'!AT205="Présent"),0),IF('POINTAGE'!$AV$5&lt;&gt;"",--('POINTAGE'!AV205="Présent"),0),IF('POINTAGE'!$AX$5&lt;&gt;"",--('POINTAGE'!AX205="Présent"),0),IF('POINTAGE'!$AZ$5&lt;&gt;"",--('POINTAGE'!AZ205="Présent"),0),IF('POINTAGE'!$BB$5&lt;&gt;"",--('POINTAGE'!BB205="Présent"),0),IF('POINTAGE'!$BD$5&lt;&gt;"",--('POINTAGE'!BD205="Présent"),0),IF('POINTAGE'!$BF$5&lt;&gt;"",--('POINTAGE'!BF205="Présent"),0),IF('POINTAGE'!$BH$5&lt;&gt;"",--('POINTAGE'!BH205="Présent"),0),IF('POINTAGE'!$BJ$5&lt;&gt;"",--('POINTAGE'!BJ205="Présent"),0),IF('POINTAGE'!$BL$5&lt;&gt;"",--('POINTAGE'!BL205="Présent"),0)))</f>
      </c>
      <c r="O205" s="22">
        <f>IF($A205="","",SUM(IF('POINTAGE'!$AH$5&lt;&gt;"",--('POINTAGE'!AH205="Absent"),0),IF('POINTAGE'!$AJ$5&lt;&gt;"",--('POINTAGE'!AJ205="Absent"),0),IF('POINTAGE'!$AL$5&lt;&gt;"",--('POINTAGE'!AL205="Absent"),0),IF('POINTAGE'!$AN$5&lt;&gt;"",--('POINTAGE'!AN205="Absent"),0),IF('POINTAGE'!$AP$5&lt;&gt;"",--('POINTAGE'!AP205="Absent"),0),IF('POINTAGE'!$AR$5&lt;&gt;"",--('POINTAGE'!AR205="Absent"),0),IF('POINTAGE'!$AT$5&lt;&gt;"",--('POINTAGE'!AT205="Absent"),0),IF('POINTAGE'!$AV$5&lt;&gt;"",--('POINTAGE'!AV205="Absent"),0),IF('POINTAGE'!$AX$5&lt;&gt;"",--('POINTAGE'!AX205="Absent"),0),IF('POINTAGE'!$AZ$5&lt;&gt;"",--('POINTAGE'!AZ205="Absent"),0),IF('POINTAGE'!$BB$5&lt;&gt;"",--('POINTAGE'!BB205="Absent"),0),IF('POINTAGE'!$BD$5&lt;&gt;"",--('POINTAGE'!BD205="Absent"),0),IF('POINTAGE'!$BF$5&lt;&gt;"",--('POINTAGE'!BF205="Absent"),0),IF('POINTAGE'!$BH$5&lt;&gt;"",--('POINTAGE'!BH205="Absent"),0),IF('POINTAGE'!$BJ$5&lt;&gt;"",--('POINTAGE'!BJ205="Absent"),0),IF('POINTAGE'!$BL$5&lt;&gt;"",--('POINTAGE'!BL205="Absent"),0)))</f>
      </c>
      <c r="P205" s="23">
        <f>IF($A205="","",SUM(IF('POINTAGE'!$AH$5&lt;&gt;"",IF('POINTAGE'!AH205="Présent",'POINTAGE'!AI205,0),0),IF('POINTAGE'!$AJ$5&lt;&gt;"",IF('POINTAGE'!AJ205="Présent",'POINTAGE'!AK205,0),0),IF('POINTAGE'!$AL$5&lt;&gt;"",IF('POINTAGE'!AL205="Présent",'POINTAGE'!AM205,0),0),IF('POINTAGE'!$AN$5&lt;&gt;"",IF('POINTAGE'!AN205="Présent",'POINTAGE'!AO205,0),0),IF('POINTAGE'!$AP$5&lt;&gt;"",IF('POINTAGE'!AP205="Présent",'POINTAGE'!AQ205,0),0),IF('POINTAGE'!$AR$5&lt;&gt;"",IF('POINTAGE'!AR205="Présent",'POINTAGE'!AS205,0),0),IF('POINTAGE'!$AT$5&lt;&gt;"",IF('POINTAGE'!AT205="Présent",'POINTAGE'!AU205,0),0),IF('POINTAGE'!$AV$5&lt;&gt;"",IF('POINTAGE'!AV205="Présent",'POINTAGE'!AW205,0),0),IF('POINTAGE'!$AX$5&lt;&gt;"",IF('POINTAGE'!AX205="Présent",'POINTAGE'!AY205,0),0),IF('POINTAGE'!$AZ$5&lt;&gt;"",IF('POINTAGE'!AZ205="Présent",'POINTAGE'!BA205,0),0),IF('POINTAGE'!$BB$5&lt;&gt;"",IF('POINTAGE'!BB205="Présent",'POINTAGE'!BC205,0),0),IF('POINTAGE'!$BD$5&lt;&gt;"",IF('POINTAGE'!BD205="Présent",'POINTAGE'!BE205,0),0),IF('POINTAGE'!$BF$5&lt;&gt;"",IF('POINTAGE'!BF205="Présent",'POINTAGE'!BG205,0),0),IF('POINTAGE'!$BH$5&lt;&gt;"",IF('POINTAGE'!BH205="Présent",'POINTAGE'!BI205,0),0),IF('POINTAGE'!$BJ$5&lt;&gt;"",IF('POINTAGE'!BJ205="Présent",'POINTAGE'!BK205,0),0),IF('POINTAGE'!$BL$5&lt;&gt;"",IF('POINTAGE'!BL205="Présent",'POINTAGE'!BM205,0),0)))</f>
      </c>
      <c r="Q205" s="24">
        <f>IF($A205="","",$N205*$D205)</f>
      </c>
      <c r="R205" s="24">
        <f>IF($A205="","",$P205*$E205)</f>
      </c>
      <c r="S205" s="25">
        <f>IF($A205="","",$Q205+$R205)</f>
      </c>
      <c r="T205" s="18"/>
      <c r="U205" s="25">
        <f>IF($A205="","",MAX(0,$S205-$T205))</f>
      </c>
      <c r="V205" s="25">
        <f>IF($A205="","",$K205+$S205)</f>
      </c>
      <c r="W205" s="24">
        <f>IF($A205="","",$L205+$T205)</f>
      </c>
      <c r="X205" s="25">
        <f>IF($A205="","",$M205+$U205)</f>
      </c>
      <c r="Y205" s="29">
        <f>IF($A205="","",$J205+$R205)</f>
      </c>
    </row>
    <row r="206">
      <c r="A206" s="20">
        <f>IF('POINTAGE'!A206="","",'POINTAGE'!A206)</f>
      </c>
      <c r="B206" s="19">
        <f>IF($A206="","",'POINTAGE'!B206)</f>
      </c>
      <c r="C206" s="20">
        <f>IF($A206="","",'POINTAGE'!C206)</f>
      </c>
      <c r="D206" s="24">
        <f>IF($A206="","",IFERROR(INDEX(Categories_Salaire,MATCH($C206,ListeCategories,0)),0))</f>
      </c>
      <c r="E206" s="24">
        <f>IF($A206="","",IF(IFERROR(INDEX(Categories_TauxHS,MATCH($C206,ListeCategories,0)),0)&gt;0,IFERROR(INDEX(Categories_TauxHS,MATCH($C206,ListeCategories,0)),0),TauxHSDefaut))</f>
      </c>
      <c r="F206" s="22">
        <f>IF($A206="","",SUM(IF('POINTAGE'!$D$5&lt;&gt;"",--('POINTAGE'!D206="Présent"),0),IF('POINTAGE'!$F$5&lt;&gt;"",--('POINTAGE'!F206="Présent"),0),IF('POINTAGE'!$H$5&lt;&gt;"",--('POINTAGE'!H206="Présent"),0),IF('POINTAGE'!$J$5&lt;&gt;"",--('POINTAGE'!J206="Présent"),0),IF('POINTAGE'!$L$5&lt;&gt;"",--('POINTAGE'!L206="Présent"),0),IF('POINTAGE'!$N$5&lt;&gt;"",--('POINTAGE'!N206="Présent"),0),IF('POINTAGE'!$P$5&lt;&gt;"",--('POINTAGE'!P206="Présent"),0),IF('POINTAGE'!$R$5&lt;&gt;"",--('POINTAGE'!R206="Présent"),0),IF('POINTAGE'!$T$5&lt;&gt;"",--('POINTAGE'!T206="Présent"),0),IF('POINTAGE'!$V$5&lt;&gt;"",--('POINTAGE'!V206="Présent"),0),IF('POINTAGE'!$X$5&lt;&gt;"",--('POINTAGE'!X206="Présent"),0),IF('POINTAGE'!$Z$5&lt;&gt;"",--('POINTAGE'!Z206="Présent"),0),IF('POINTAGE'!$AB$5&lt;&gt;"",--('POINTAGE'!AB206="Présent"),0),IF('POINTAGE'!$AD$5&lt;&gt;"",--('POINTAGE'!AD206="Présent"),0),IF('POINTAGE'!$AF$5&lt;&gt;"",--('POINTAGE'!AF206="Présent"),0)))</f>
      </c>
      <c r="G206" s="22">
        <f>IF($A206="","",SUM(IF('POINTAGE'!$D$5&lt;&gt;"",--('POINTAGE'!D206="Absent"),0),IF('POINTAGE'!$F$5&lt;&gt;"",--('POINTAGE'!F206="Absent"),0),IF('POINTAGE'!$H$5&lt;&gt;"",--('POINTAGE'!H206="Absent"),0),IF('POINTAGE'!$J$5&lt;&gt;"",--('POINTAGE'!J206="Absent"),0),IF('POINTAGE'!$L$5&lt;&gt;"",--('POINTAGE'!L206="Absent"),0),IF('POINTAGE'!$N$5&lt;&gt;"",--('POINTAGE'!N206="Absent"),0),IF('POINTAGE'!$P$5&lt;&gt;"",--('POINTAGE'!P206="Absent"),0),IF('POINTAGE'!$R$5&lt;&gt;"",--('POINTAGE'!R206="Absent"),0),IF('POINTAGE'!$T$5&lt;&gt;"",--('POINTAGE'!T206="Absent"),0),IF('POINTAGE'!$V$5&lt;&gt;"",--('POINTAGE'!V206="Absent"),0),IF('POINTAGE'!$X$5&lt;&gt;"",--('POINTAGE'!X206="Absent"),0),IF('POINTAGE'!$Z$5&lt;&gt;"",--('POINTAGE'!Z206="Absent"),0),IF('POINTAGE'!$AB$5&lt;&gt;"",--('POINTAGE'!AB206="Absent"),0),IF('POINTAGE'!$AD$5&lt;&gt;"",--('POINTAGE'!AD206="Absent"),0),IF('POINTAGE'!$AF$5&lt;&gt;"",--('POINTAGE'!AF206="Absent"),0)))</f>
      </c>
      <c r="H206" s="23">
        <f>IF($A206="","",SUM(IF('POINTAGE'!$D$5&lt;&gt;"",IF('POINTAGE'!D206="Présent",'POINTAGE'!E206,0),0),IF('POINTAGE'!$F$5&lt;&gt;"",IF('POINTAGE'!F206="Présent",'POINTAGE'!G206,0),0),IF('POINTAGE'!$H$5&lt;&gt;"",IF('POINTAGE'!H206="Présent",'POINTAGE'!I206,0),0),IF('POINTAGE'!$J$5&lt;&gt;"",IF('POINTAGE'!J206="Présent",'POINTAGE'!K206,0),0),IF('POINTAGE'!$L$5&lt;&gt;"",IF('POINTAGE'!L206="Présent",'POINTAGE'!M206,0),0),IF('POINTAGE'!$N$5&lt;&gt;"",IF('POINTAGE'!N206="Présent",'POINTAGE'!O206,0),0),IF('POINTAGE'!$P$5&lt;&gt;"",IF('POINTAGE'!P206="Présent",'POINTAGE'!Q206,0),0),IF('POINTAGE'!$R$5&lt;&gt;"",IF('POINTAGE'!R206="Présent",'POINTAGE'!S206,0),0),IF('POINTAGE'!$T$5&lt;&gt;"",IF('POINTAGE'!T206="Présent",'POINTAGE'!U206,0),0),IF('POINTAGE'!$V$5&lt;&gt;"",IF('POINTAGE'!V206="Présent",'POINTAGE'!W206,0),0),IF('POINTAGE'!$X$5&lt;&gt;"",IF('POINTAGE'!X206="Présent",'POINTAGE'!Y206,0),0),IF('POINTAGE'!$Z$5&lt;&gt;"",IF('POINTAGE'!Z206="Présent",'POINTAGE'!AA206,0),0),IF('POINTAGE'!$AB$5&lt;&gt;"",IF('POINTAGE'!AB206="Présent",'POINTAGE'!AC206,0),0),IF('POINTAGE'!$AD$5&lt;&gt;"",IF('POINTAGE'!AD206="Présent",'POINTAGE'!AE206,0),0),IF('POINTAGE'!$AF$5&lt;&gt;"",IF('POINTAGE'!AF206="Présent",'POINTAGE'!AG206,0),0)))</f>
      </c>
      <c r="I206" s="24">
        <f>IF($A206="","",$F206*$D206)</f>
      </c>
      <c r="J206" s="24">
        <f>IF($A206="","",$H206*$E206)</f>
      </c>
      <c r="K206" s="25">
        <f>IF($A206="","",$I206+$J206)</f>
      </c>
      <c r="L206" s="18"/>
      <c r="M206" s="25">
        <f>IF($A206="","",MAX(0,$K206-$L206))</f>
      </c>
      <c r="N206" s="22">
        <f>IF($A206="","",SUM(IF('POINTAGE'!$AH$5&lt;&gt;"",--('POINTAGE'!AH206="Présent"),0),IF('POINTAGE'!$AJ$5&lt;&gt;"",--('POINTAGE'!AJ206="Présent"),0),IF('POINTAGE'!$AL$5&lt;&gt;"",--('POINTAGE'!AL206="Présent"),0),IF('POINTAGE'!$AN$5&lt;&gt;"",--('POINTAGE'!AN206="Présent"),0),IF('POINTAGE'!$AP$5&lt;&gt;"",--('POINTAGE'!AP206="Présent"),0),IF('POINTAGE'!$AR$5&lt;&gt;"",--('POINTAGE'!AR206="Présent"),0),IF('POINTAGE'!$AT$5&lt;&gt;"",--('POINTAGE'!AT206="Présent"),0),IF('POINTAGE'!$AV$5&lt;&gt;"",--('POINTAGE'!AV206="Présent"),0),IF('POINTAGE'!$AX$5&lt;&gt;"",--('POINTAGE'!AX206="Présent"),0),IF('POINTAGE'!$AZ$5&lt;&gt;"",--('POINTAGE'!AZ206="Présent"),0),IF('POINTAGE'!$BB$5&lt;&gt;"",--('POINTAGE'!BB206="Présent"),0),IF('POINTAGE'!$BD$5&lt;&gt;"",--('POINTAGE'!BD206="Présent"),0),IF('POINTAGE'!$BF$5&lt;&gt;"",--('POINTAGE'!BF206="Présent"),0),IF('POINTAGE'!$BH$5&lt;&gt;"",--('POINTAGE'!BH206="Présent"),0),IF('POINTAGE'!$BJ$5&lt;&gt;"",--('POINTAGE'!BJ206="Présent"),0),IF('POINTAGE'!$BL$5&lt;&gt;"",--('POINTAGE'!BL206="Présent"),0)))</f>
      </c>
      <c r="O206" s="22">
        <f>IF($A206="","",SUM(IF('POINTAGE'!$AH$5&lt;&gt;"",--('POINTAGE'!AH206="Absent"),0),IF('POINTAGE'!$AJ$5&lt;&gt;"",--('POINTAGE'!AJ206="Absent"),0),IF('POINTAGE'!$AL$5&lt;&gt;"",--('POINTAGE'!AL206="Absent"),0),IF('POINTAGE'!$AN$5&lt;&gt;"",--('POINTAGE'!AN206="Absent"),0),IF('POINTAGE'!$AP$5&lt;&gt;"",--('POINTAGE'!AP206="Absent"),0),IF('POINTAGE'!$AR$5&lt;&gt;"",--('POINTAGE'!AR206="Absent"),0),IF('POINTAGE'!$AT$5&lt;&gt;"",--('POINTAGE'!AT206="Absent"),0),IF('POINTAGE'!$AV$5&lt;&gt;"",--('POINTAGE'!AV206="Absent"),0),IF('POINTAGE'!$AX$5&lt;&gt;"",--('POINTAGE'!AX206="Absent"),0),IF('POINTAGE'!$AZ$5&lt;&gt;"",--('POINTAGE'!AZ206="Absent"),0),IF('POINTAGE'!$BB$5&lt;&gt;"",--('POINTAGE'!BB206="Absent"),0),IF('POINTAGE'!$BD$5&lt;&gt;"",--('POINTAGE'!BD206="Absent"),0),IF('POINTAGE'!$BF$5&lt;&gt;"",--('POINTAGE'!BF206="Absent"),0),IF('POINTAGE'!$BH$5&lt;&gt;"",--('POINTAGE'!BH206="Absent"),0),IF('POINTAGE'!$BJ$5&lt;&gt;"",--('POINTAGE'!BJ206="Absent"),0),IF('POINTAGE'!$BL$5&lt;&gt;"",--('POINTAGE'!BL206="Absent"),0)))</f>
      </c>
      <c r="P206" s="23">
        <f>IF($A206="","",SUM(IF('POINTAGE'!$AH$5&lt;&gt;"",IF('POINTAGE'!AH206="Présent",'POINTAGE'!AI206,0),0),IF('POINTAGE'!$AJ$5&lt;&gt;"",IF('POINTAGE'!AJ206="Présent",'POINTAGE'!AK206,0),0),IF('POINTAGE'!$AL$5&lt;&gt;"",IF('POINTAGE'!AL206="Présent",'POINTAGE'!AM206,0),0),IF('POINTAGE'!$AN$5&lt;&gt;"",IF('POINTAGE'!AN206="Présent",'POINTAGE'!AO206,0),0),IF('POINTAGE'!$AP$5&lt;&gt;"",IF('POINTAGE'!AP206="Présent",'POINTAGE'!AQ206,0),0),IF('POINTAGE'!$AR$5&lt;&gt;"",IF('POINTAGE'!AR206="Présent",'POINTAGE'!AS206,0),0),IF('POINTAGE'!$AT$5&lt;&gt;"",IF('POINTAGE'!AT206="Présent",'POINTAGE'!AU206,0),0),IF('POINTAGE'!$AV$5&lt;&gt;"",IF('POINTAGE'!AV206="Présent",'POINTAGE'!AW206,0),0),IF('POINTAGE'!$AX$5&lt;&gt;"",IF('POINTAGE'!AX206="Présent",'POINTAGE'!AY206,0),0),IF('POINTAGE'!$AZ$5&lt;&gt;"",IF('POINTAGE'!AZ206="Présent",'POINTAGE'!BA206,0),0),IF('POINTAGE'!$BB$5&lt;&gt;"",IF('POINTAGE'!BB206="Présent",'POINTAGE'!BC206,0),0),IF('POINTAGE'!$BD$5&lt;&gt;"",IF('POINTAGE'!BD206="Présent",'POINTAGE'!BE206,0),0),IF('POINTAGE'!$BF$5&lt;&gt;"",IF('POINTAGE'!BF206="Présent",'POINTAGE'!BG206,0),0),IF('POINTAGE'!$BH$5&lt;&gt;"",IF('POINTAGE'!BH206="Présent",'POINTAGE'!BI206,0),0),IF('POINTAGE'!$BJ$5&lt;&gt;"",IF('POINTAGE'!BJ206="Présent",'POINTAGE'!BK206,0),0),IF('POINTAGE'!$BL$5&lt;&gt;"",IF('POINTAGE'!BL206="Présent",'POINTAGE'!BM206,0),0)))</f>
      </c>
      <c r="Q206" s="24">
        <f>IF($A206="","",$N206*$D206)</f>
      </c>
      <c r="R206" s="24">
        <f>IF($A206="","",$P206*$E206)</f>
      </c>
      <c r="S206" s="25">
        <f>IF($A206="","",$Q206+$R206)</f>
      </c>
      <c r="T206" s="18"/>
      <c r="U206" s="25">
        <f>IF($A206="","",MAX(0,$S206-$T206))</f>
      </c>
      <c r="V206" s="25">
        <f>IF($A206="","",$K206+$S206)</f>
      </c>
      <c r="W206" s="24">
        <f>IF($A206="","",$L206+$T206)</f>
      </c>
      <c r="X206" s="25">
        <f>IF($A206="","",$M206+$U206)</f>
      </c>
      <c r="Y206" s="29">
        <f>IF($A206="","",$J206+$R206)</f>
      </c>
    </row>
    <row r="207">
      <c r="A207" s="20">
        <f>IF('POINTAGE'!A207="","",'POINTAGE'!A207)</f>
      </c>
      <c r="B207" s="19">
        <f>IF($A207="","",'POINTAGE'!B207)</f>
      </c>
      <c r="C207" s="20">
        <f>IF($A207="","",'POINTAGE'!C207)</f>
      </c>
      <c r="D207" s="24">
        <f>IF($A207="","",IFERROR(INDEX(Categories_Salaire,MATCH($C207,ListeCategories,0)),0))</f>
      </c>
      <c r="E207" s="24">
        <f>IF($A207="","",IF(IFERROR(INDEX(Categories_TauxHS,MATCH($C207,ListeCategories,0)),0)&gt;0,IFERROR(INDEX(Categories_TauxHS,MATCH($C207,ListeCategories,0)),0),TauxHSDefaut))</f>
      </c>
      <c r="F207" s="22">
        <f>IF($A207="","",SUM(IF('POINTAGE'!$D$5&lt;&gt;"",--('POINTAGE'!D207="Présent"),0),IF('POINTAGE'!$F$5&lt;&gt;"",--('POINTAGE'!F207="Présent"),0),IF('POINTAGE'!$H$5&lt;&gt;"",--('POINTAGE'!H207="Présent"),0),IF('POINTAGE'!$J$5&lt;&gt;"",--('POINTAGE'!J207="Présent"),0),IF('POINTAGE'!$L$5&lt;&gt;"",--('POINTAGE'!L207="Présent"),0),IF('POINTAGE'!$N$5&lt;&gt;"",--('POINTAGE'!N207="Présent"),0),IF('POINTAGE'!$P$5&lt;&gt;"",--('POINTAGE'!P207="Présent"),0),IF('POINTAGE'!$R$5&lt;&gt;"",--('POINTAGE'!R207="Présent"),0),IF('POINTAGE'!$T$5&lt;&gt;"",--('POINTAGE'!T207="Présent"),0),IF('POINTAGE'!$V$5&lt;&gt;"",--('POINTAGE'!V207="Présent"),0),IF('POINTAGE'!$X$5&lt;&gt;"",--('POINTAGE'!X207="Présent"),0),IF('POINTAGE'!$Z$5&lt;&gt;"",--('POINTAGE'!Z207="Présent"),0),IF('POINTAGE'!$AB$5&lt;&gt;"",--('POINTAGE'!AB207="Présent"),0),IF('POINTAGE'!$AD$5&lt;&gt;"",--('POINTAGE'!AD207="Présent"),0),IF('POINTAGE'!$AF$5&lt;&gt;"",--('POINTAGE'!AF207="Présent"),0)))</f>
      </c>
      <c r="G207" s="22">
        <f>IF($A207="","",SUM(IF('POINTAGE'!$D$5&lt;&gt;"",--('POINTAGE'!D207="Absent"),0),IF('POINTAGE'!$F$5&lt;&gt;"",--('POINTAGE'!F207="Absent"),0),IF('POINTAGE'!$H$5&lt;&gt;"",--('POINTAGE'!H207="Absent"),0),IF('POINTAGE'!$J$5&lt;&gt;"",--('POINTAGE'!J207="Absent"),0),IF('POINTAGE'!$L$5&lt;&gt;"",--('POINTAGE'!L207="Absent"),0),IF('POINTAGE'!$N$5&lt;&gt;"",--('POINTAGE'!N207="Absent"),0),IF('POINTAGE'!$P$5&lt;&gt;"",--('POINTAGE'!P207="Absent"),0),IF('POINTAGE'!$R$5&lt;&gt;"",--('POINTAGE'!R207="Absent"),0),IF('POINTAGE'!$T$5&lt;&gt;"",--('POINTAGE'!T207="Absent"),0),IF('POINTAGE'!$V$5&lt;&gt;"",--('POINTAGE'!V207="Absent"),0),IF('POINTAGE'!$X$5&lt;&gt;"",--('POINTAGE'!X207="Absent"),0),IF('POINTAGE'!$Z$5&lt;&gt;"",--('POINTAGE'!Z207="Absent"),0),IF('POINTAGE'!$AB$5&lt;&gt;"",--('POINTAGE'!AB207="Absent"),0),IF('POINTAGE'!$AD$5&lt;&gt;"",--('POINTAGE'!AD207="Absent"),0),IF('POINTAGE'!$AF$5&lt;&gt;"",--('POINTAGE'!AF207="Absent"),0)))</f>
      </c>
      <c r="H207" s="23">
        <f>IF($A207="","",SUM(IF('POINTAGE'!$D$5&lt;&gt;"",IF('POINTAGE'!D207="Présent",'POINTAGE'!E207,0),0),IF('POINTAGE'!$F$5&lt;&gt;"",IF('POINTAGE'!F207="Présent",'POINTAGE'!G207,0),0),IF('POINTAGE'!$H$5&lt;&gt;"",IF('POINTAGE'!H207="Présent",'POINTAGE'!I207,0),0),IF('POINTAGE'!$J$5&lt;&gt;"",IF('POINTAGE'!J207="Présent",'POINTAGE'!K207,0),0),IF('POINTAGE'!$L$5&lt;&gt;"",IF('POINTAGE'!L207="Présent",'POINTAGE'!M207,0),0),IF('POINTAGE'!$N$5&lt;&gt;"",IF('POINTAGE'!N207="Présent",'POINTAGE'!O207,0),0),IF('POINTAGE'!$P$5&lt;&gt;"",IF('POINTAGE'!P207="Présent",'POINTAGE'!Q207,0),0),IF('POINTAGE'!$R$5&lt;&gt;"",IF('POINTAGE'!R207="Présent",'POINTAGE'!S207,0),0),IF('POINTAGE'!$T$5&lt;&gt;"",IF('POINTAGE'!T207="Présent",'POINTAGE'!U207,0),0),IF('POINTAGE'!$V$5&lt;&gt;"",IF('POINTAGE'!V207="Présent",'POINTAGE'!W207,0),0),IF('POINTAGE'!$X$5&lt;&gt;"",IF('POINTAGE'!X207="Présent",'POINTAGE'!Y207,0),0),IF('POINTAGE'!$Z$5&lt;&gt;"",IF('POINTAGE'!Z207="Présent",'POINTAGE'!AA207,0),0),IF('POINTAGE'!$AB$5&lt;&gt;"",IF('POINTAGE'!AB207="Présent",'POINTAGE'!AC207,0),0),IF('POINTAGE'!$AD$5&lt;&gt;"",IF('POINTAGE'!AD207="Présent",'POINTAGE'!AE207,0),0),IF('POINTAGE'!$AF$5&lt;&gt;"",IF('POINTAGE'!AF207="Présent",'POINTAGE'!AG207,0),0)))</f>
      </c>
      <c r="I207" s="24">
        <f>IF($A207="","",$F207*$D207)</f>
      </c>
      <c r="J207" s="24">
        <f>IF($A207="","",$H207*$E207)</f>
      </c>
      <c r="K207" s="25">
        <f>IF($A207="","",$I207+$J207)</f>
      </c>
      <c r="L207" s="18"/>
      <c r="M207" s="25">
        <f>IF($A207="","",MAX(0,$K207-$L207))</f>
      </c>
      <c r="N207" s="22">
        <f>IF($A207="","",SUM(IF('POINTAGE'!$AH$5&lt;&gt;"",--('POINTAGE'!AH207="Présent"),0),IF('POINTAGE'!$AJ$5&lt;&gt;"",--('POINTAGE'!AJ207="Présent"),0),IF('POINTAGE'!$AL$5&lt;&gt;"",--('POINTAGE'!AL207="Présent"),0),IF('POINTAGE'!$AN$5&lt;&gt;"",--('POINTAGE'!AN207="Présent"),0),IF('POINTAGE'!$AP$5&lt;&gt;"",--('POINTAGE'!AP207="Présent"),0),IF('POINTAGE'!$AR$5&lt;&gt;"",--('POINTAGE'!AR207="Présent"),0),IF('POINTAGE'!$AT$5&lt;&gt;"",--('POINTAGE'!AT207="Présent"),0),IF('POINTAGE'!$AV$5&lt;&gt;"",--('POINTAGE'!AV207="Présent"),0),IF('POINTAGE'!$AX$5&lt;&gt;"",--('POINTAGE'!AX207="Présent"),0),IF('POINTAGE'!$AZ$5&lt;&gt;"",--('POINTAGE'!AZ207="Présent"),0),IF('POINTAGE'!$BB$5&lt;&gt;"",--('POINTAGE'!BB207="Présent"),0),IF('POINTAGE'!$BD$5&lt;&gt;"",--('POINTAGE'!BD207="Présent"),0),IF('POINTAGE'!$BF$5&lt;&gt;"",--('POINTAGE'!BF207="Présent"),0),IF('POINTAGE'!$BH$5&lt;&gt;"",--('POINTAGE'!BH207="Présent"),0),IF('POINTAGE'!$BJ$5&lt;&gt;"",--('POINTAGE'!BJ207="Présent"),0),IF('POINTAGE'!$BL$5&lt;&gt;"",--('POINTAGE'!BL207="Présent"),0)))</f>
      </c>
      <c r="O207" s="22">
        <f>IF($A207="","",SUM(IF('POINTAGE'!$AH$5&lt;&gt;"",--('POINTAGE'!AH207="Absent"),0),IF('POINTAGE'!$AJ$5&lt;&gt;"",--('POINTAGE'!AJ207="Absent"),0),IF('POINTAGE'!$AL$5&lt;&gt;"",--('POINTAGE'!AL207="Absent"),0),IF('POINTAGE'!$AN$5&lt;&gt;"",--('POINTAGE'!AN207="Absent"),0),IF('POINTAGE'!$AP$5&lt;&gt;"",--('POINTAGE'!AP207="Absent"),0),IF('POINTAGE'!$AR$5&lt;&gt;"",--('POINTAGE'!AR207="Absent"),0),IF('POINTAGE'!$AT$5&lt;&gt;"",--('POINTAGE'!AT207="Absent"),0),IF('POINTAGE'!$AV$5&lt;&gt;"",--('POINTAGE'!AV207="Absent"),0),IF('POINTAGE'!$AX$5&lt;&gt;"",--('POINTAGE'!AX207="Absent"),0),IF('POINTAGE'!$AZ$5&lt;&gt;"",--('POINTAGE'!AZ207="Absent"),0),IF('POINTAGE'!$BB$5&lt;&gt;"",--('POINTAGE'!BB207="Absent"),0),IF('POINTAGE'!$BD$5&lt;&gt;"",--('POINTAGE'!BD207="Absent"),0),IF('POINTAGE'!$BF$5&lt;&gt;"",--('POINTAGE'!BF207="Absent"),0),IF('POINTAGE'!$BH$5&lt;&gt;"",--('POINTAGE'!BH207="Absent"),0),IF('POINTAGE'!$BJ$5&lt;&gt;"",--('POINTAGE'!BJ207="Absent"),0),IF('POINTAGE'!$BL$5&lt;&gt;"",--('POINTAGE'!BL207="Absent"),0)))</f>
      </c>
      <c r="P207" s="23">
        <f>IF($A207="","",SUM(IF('POINTAGE'!$AH$5&lt;&gt;"",IF('POINTAGE'!AH207="Présent",'POINTAGE'!AI207,0),0),IF('POINTAGE'!$AJ$5&lt;&gt;"",IF('POINTAGE'!AJ207="Présent",'POINTAGE'!AK207,0),0),IF('POINTAGE'!$AL$5&lt;&gt;"",IF('POINTAGE'!AL207="Présent",'POINTAGE'!AM207,0),0),IF('POINTAGE'!$AN$5&lt;&gt;"",IF('POINTAGE'!AN207="Présent",'POINTAGE'!AO207,0),0),IF('POINTAGE'!$AP$5&lt;&gt;"",IF('POINTAGE'!AP207="Présent",'POINTAGE'!AQ207,0),0),IF('POINTAGE'!$AR$5&lt;&gt;"",IF('POINTAGE'!AR207="Présent",'POINTAGE'!AS207,0),0),IF('POINTAGE'!$AT$5&lt;&gt;"",IF('POINTAGE'!AT207="Présent",'POINTAGE'!AU207,0),0),IF('POINTAGE'!$AV$5&lt;&gt;"",IF('POINTAGE'!AV207="Présent",'POINTAGE'!AW207,0),0),IF('POINTAGE'!$AX$5&lt;&gt;"",IF('POINTAGE'!AX207="Présent",'POINTAGE'!AY207,0),0),IF('POINTAGE'!$AZ$5&lt;&gt;"",IF('POINTAGE'!AZ207="Présent",'POINTAGE'!BA207,0),0),IF('POINTAGE'!$BB$5&lt;&gt;"",IF('POINTAGE'!BB207="Présent",'POINTAGE'!BC207,0),0),IF('POINTAGE'!$BD$5&lt;&gt;"",IF('POINTAGE'!BD207="Présent",'POINTAGE'!BE207,0),0),IF('POINTAGE'!$BF$5&lt;&gt;"",IF('POINTAGE'!BF207="Présent",'POINTAGE'!BG207,0),0),IF('POINTAGE'!$BH$5&lt;&gt;"",IF('POINTAGE'!BH207="Présent",'POINTAGE'!BI207,0),0),IF('POINTAGE'!$BJ$5&lt;&gt;"",IF('POINTAGE'!BJ207="Présent",'POINTAGE'!BK207,0),0),IF('POINTAGE'!$BL$5&lt;&gt;"",IF('POINTAGE'!BL207="Présent",'POINTAGE'!BM207,0),0)))</f>
      </c>
      <c r="Q207" s="24">
        <f>IF($A207="","",$N207*$D207)</f>
      </c>
      <c r="R207" s="24">
        <f>IF($A207="","",$P207*$E207)</f>
      </c>
      <c r="S207" s="25">
        <f>IF($A207="","",$Q207+$R207)</f>
      </c>
      <c r="T207" s="18"/>
      <c r="U207" s="25">
        <f>IF($A207="","",MAX(0,$S207-$T207))</f>
      </c>
      <c r="V207" s="25">
        <f>IF($A207="","",$K207+$S207)</f>
      </c>
      <c r="W207" s="24">
        <f>IF($A207="","",$L207+$T207)</f>
      </c>
      <c r="X207" s="25">
        <f>IF($A207="","",$M207+$U207)</f>
      </c>
      <c r="Y207" s="29">
        <f>IF($A207="","",$J207+$R207)</f>
      </c>
    </row>
    <row r="208">
      <c r="A208" s="20">
        <f>IF('POINTAGE'!A208="","",'POINTAGE'!A208)</f>
      </c>
      <c r="B208" s="19">
        <f>IF($A208="","",'POINTAGE'!B208)</f>
      </c>
      <c r="C208" s="20">
        <f>IF($A208="","",'POINTAGE'!C208)</f>
      </c>
      <c r="D208" s="24">
        <f>IF($A208="","",IFERROR(INDEX(Categories_Salaire,MATCH($C208,ListeCategories,0)),0))</f>
      </c>
      <c r="E208" s="24">
        <f>IF($A208="","",IF(IFERROR(INDEX(Categories_TauxHS,MATCH($C208,ListeCategories,0)),0)&gt;0,IFERROR(INDEX(Categories_TauxHS,MATCH($C208,ListeCategories,0)),0),TauxHSDefaut))</f>
      </c>
      <c r="F208" s="22">
        <f>IF($A208="","",SUM(IF('POINTAGE'!$D$5&lt;&gt;"",--('POINTAGE'!D208="Présent"),0),IF('POINTAGE'!$F$5&lt;&gt;"",--('POINTAGE'!F208="Présent"),0),IF('POINTAGE'!$H$5&lt;&gt;"",--('POINTAGE'!H208="Présent"),0),IF('POINTAGE'!$J$5&lt;&gt;"",--('POINTAGE'!J208="Présent"),0),IF('POINTAGE'!$L$5&lt;&gt;"",--('POINTAGE'!L208="Présent"),0),IF('POINTAGE'!$N$5&lt;&gt;"",--('POINTAGE'!N208="Présent"),0),IF('POINTAGE'!$P$5&lt;&gt;"",--('POINTAGE'!P208="Présent"),0),IF('POINTAGE'!$R$5&lt;&gt;"",--('POINTAGE'!R208="Présent"),0),IF('POINTAGE'!$T$5&lt;&gt;"",--('POINTAGE'!T208="Présent"),0),IF('POINTAGE'!$V$5&lt;&gt;"",--('POINTAGE'!V208="Présent"),0),IF('POINTAGE'!$X$5&lt;&gt;"",--('POINTAGE'!X208="Présent"),0),IF('POINTAGE'!$Z$5&lt;&gt;"",--('POINTAGE'!Z208="Présent"),0),IF('POINTAGE'!$AB$5&lt;&gt;"",--('POINTAGE'!AB208="Présent"),0),IF('POINTAGE'!$AD$5&lt;&gt;"",--('POINTAGE'!AD208="Présent"),0),IF('POINTAGE'!$AF$5&lt;&gt;"",--('POINTAGE'!AF208="Présent"),0)))</f>
      </c>
      <c r="G208" s="22">
        <f>IF($A208="","",SUM(IF('POINTAGE'!$D$5&lt;&gt;"",--('POINTAGE'!D208="Absent"),0),IF('POINTAGE'!$F$5&lt;&gt;"",--('POINTAGE'!F208="Absent"),0),IF('POINTAGE'!$H$5&lt;&gt;"",--('POINTAGE'!H208="Absent"),0),IF('POINTAGE'!$J$5&lt;&gt;"",--('POINTAGE'!J208="Absent"),0),IF('POINTAGE'!$L$5&lt;&gt;"",--('POINTAGE'!L208="Absent"),0),IF('POINTAGE'!$N$5&lt;&gt;"",--('POINTAGE'!N208="Absent"),0),IF('POINTAGE'!$P$5&lt;&gt;"",--('POINTAGE'!P208="Absent"),0),IF('POINTAGE'!$R$5&lt;&gt;"",--('POINTAGE'!R208="Absent"),0),IF('POINTAGE'!$T$5&lt;&gt;"",--('POINTAGE'!T208="Absent"),0),IF('POINTAGE'!$V$5&lt;&gt;"",--('POINTAGE'!V208="Absent"),0),IF('POINTAGE'!$X$5&lt;&gt;"",--('POINTAGE'!X208="Absent"),0),IF('POINTAGE'!$Z$5&lt;&gt;"",--('POINTAGE'!Z208="Absent"),0),IF('POINTAGE'!$AB$5&lt;&gt;"",--('POINTAGE'!AB208="Absent"),0),IF('POINTAGE'!$AD$5&lt;&gt;"",--('POINTAGE'!AD208="Absent"),0),IF('POINTAGE'!$AF$5&lt;&gt;"",--('POINTAGE'!AF208="Absent"),0)))</f>
      </c>
      <c r="H208" s="23">
        <f>IF($A208="","",SUM(IF('POINTAGE'!$D$5&lt;&gt;"",IF('POINTAGE'!D208="Présent",'POINTAGE'!E208,0),0),IF('POINTAGE'!$F$5&lt;&gt;"",IF('POINTAGE'!F208="Présent",'POINTAGE'!G208,0),0),IF('POINTAGE'!$H$5&lt;&gt;"",IF('POINTAGE'!H208="Présent",'POINTAGE'!I208,0),0),IF('POINTAGE'!$J$5&lt;&gt;"",IF('POINTAGE'!J208="Présent",'POINTAGE'!K208,0),0),IF('POINTAGE'!$L$5&lt;&gt;"",IF('POINTAGE'!L208="Présent",'POINTAGE'!M208,0),0),IF('POINTAGE'!$N$5&lt;&gt;"",IF('POINTAGE'!N208="Présent",'POINTAGE'!O208,0),0),IF('POINTAGE'!$P$5&lt;&gt;"",IF('POINTAGE'!P208="Présent",'POINTAGE'!Q208,0),0),IF('POINTAGE'!$R$5&lt;&gt;"",IF('POINTAGE'!R208="Présent",'POINTAGE'!S208,0),0),IF('POINTAGE'!$T$5&lt;&gt;"",IF('POINTAGE'!T208="Présent",'POINTAGE'!U208,0),0),IF('POINTAGE'!$V$5&lt;&gt;"",IF('POINTAGE'!V208="Présent",'POINTAGE'!W208,0),0),IF('POINTAGE'!$X$5&lt;&gt;"",IF('POINTAGE'!X208="Présent",'POINTAGE'!Y208,0),0),IF('POINTAGE'!$Z$5&lt;&gt;"",IF('POINTAGE'!Z208="Présent",'POINTAGE'!AA208,0),0),IF('POINTAGE'!$AB$5&lt;&gt;"",IF('POINTAGE'!AB208="Présent",'POINTAGE'!AC208,0),0),IF('POINTAGE'!$AD$5&lt;&gt;"",IF('POINTAGE'!AD208="Présent",'POINTAGE'!AE208,0),0),IF('POINTAGE'!$AF$5&lt;&gt;"",IF('POINTAGE'!AF208="Présent",'POINTAGE'!AG208,0),0)))</f>
      </c>
      <c r="I208" s="24">
        <f>IF($A208="","",$F208*$D208)</f>
      </c>
      <c r="J208" s="24">
        <f>IF($A208="","",$H208*$E208)</f>
      </c>
      <c r="K208" s="25">
        <f>IF($A208="","",$I208+$J208)</f>
      </c>
      <c r="L208" s="18"/>
      <c r="M208" s="25">
        <f>IF($A208="","",MAX(0,$K208-$L208))</f>
      </c>
      <c r="N208" s="22">
        <f>IF($A208="","",SUM(IF('POINTAGE'!$AH$5&lt;&gt;"",--('POINTAGE'!AH208="Présent"),0),IF('POINTAGE'!$AJ$5&lt;&gt;"",--('POINTAGE'!AJ208="Présent"),0),IF('POINTAGE'!$AL$5&lt;&gt;"",--('POINTAGE'!AL208="Présent"),0),IF('POINTAGE'!$AN$5&lt;&gt;"",--('POINTAGE'!AN208="Présent"),0),IF('POINTAGE'!$AP$5&lt;&gt;"",--('POINTAGE'!AP208="Présent"),0),IF('POINTAGE'!$AR$5&lt;&gt;"",--('POINTAGE'!AR208="Présent"),0),IF('POINTAGE'!$AT$5&lt;&gt;"",--('POINTAGE'!AT208="Présent"),0),IF('POINTAGE'!$AV$5&lt;&gt;"",--('POINTAGE'!AV208="Présent"),0),IF('POINTAGE'!$AX$5&lt;&gt;"",--('POINTAGE'!AX208="Présent"),0),IF('POINTAGE'!$AZ$5&lt;&gt;"",--('POINTAGE'!AZ208="Présent"),0),IF('POINTAGE'!$BB$5&lt;&gt;"",--('POINTAGE'!BB208="Présent"),0),IF('POINTAGE'!$BD$5&lt;&gt;"",--('POINTAGE'!BD208="Présent"),0),IF('POINTAGE'!$BF$5&lt;&gt;"",--('POINTAGE'!BF208="Présent"),0),IF('POINTAGE'!$BH$5&lt;&gt;"",--('POINTAGE'!BH208="Présent"),0),IF('POINTAGE'!$BJ$5&lt;&gt;"",--('POINTAGE'!BJ208="Présent"),0),IF('POINTAGE'!$BL$5&lt;&gt;"",--('POINTAGE'!BL208="Présent"),0)))</f>
      </c>
      <c r="O208" s="22">
        <f>IF($A208="","",SUM(IF('POINTAGE'!$AH$5&lt;&gt;"",--('POINTAGE'!AH208="Absent"),0),IF('POINTAGE'!$AJ$5&lt;&gt;"",--('POINTAGE'!AJ208="Absent"),0),IF('POINTAGE'!$AL$5&lt;&gt;"",--('POINTAGE'!AL208="Absent"),0),IF('POINTAGE'!$AN$5&lt;&gt;"",--('POINTAGE'!AN208="Absent"),0),IF('POINTAGE'!$AP$5&lt;&gt;"",--('POINTAGE'!AP208="Absent"),0),IF('POINTAGE'!$AR$5&lt;&gt;"",--('POINTAGE'!AR208="Absent"),0),IF('POINTAGE'!$AT$5&lt;&gt;"",--('POINTAGE'!AT208="Absent"),0),IF('POINTAGE'!$AV$5&lt;&gt;"",--('POINTAGE'!AV208="Absent"),0),IF('POINTAGE'!$AX$5&lt;&gt;"",--('POINTAGE'!AX208="Absent"),0),IF('POINTAGE'!$AZ$5&lt;&gt;"",--('POINTAGE'!AZ208="Absent"),0),IF('POINTAGE'!$BB$5&lt;&gt;"",--('POINTAGE'!BB208="Absent"),0),IF('POINTAGE'!$BD$5&lt;&gt;"",--('POINTAGE'!BD208="Absent"),0),IF('POINTAGE'!$BF$5&lt;&gt;"",--('POINTAGE'!BF208="Absent"),0),IF('POINTAGE'!$BH$5&lt;&gt;"",--('POINTAGE'!BH208="Absent"),0),IF('POINTAGE'!$BJ$5&lt;&gt;"",--('POINTAGE'!BJ208="Absent"),0),IF('POINTAGE'!$BL$5&lt;&gt;"",--('POINTAGE'!BL208="Absent"),0)))</f>
      </c>
      <c r="P208" s="23">
        <f>IF($A208="","",SUM(IF('POINTAGE'!$AH$5&lt;&gt;"",IF('POINTAGE'!AH208="Présent",'POINTAGE'!AI208,0),0),IF('POINTAGE'!$AJ$5&lt;&gt;"",IF('POINTAGE'!AJ208="Présent",'POINTAGE'!AK208,0),0),IF('POINTAGE'!$AL$5&lt;&gt;"",IF('POINTAGE'!AL208="Présent",'POINTAGE'!AM208,0),0),IF('POINTAGE'!$AN$5&lt;&gt;"",IF('POINTAGE'!AN208="Présent",'POINTAGE'!AO208,0),0),IF('POINTAGE'!$AP$5&lt;&gt;"",IF('POINTAGE'!AP208="Présent",'POINTAGE'!AQ208,0),0),IF('POINTAGE'!$AR$5&lt;&gt;"",IF('POINTAGE'!AR208="Présent",'POINTAGE'!AS208,0),0),IF('POINTAGE'!$AT$5&lt;&gt;"",IF('POINTAGE'!AT208="Présent",'POINTAGE'!AU208,0),0),IF('POINTAGE'!$AV$5&lt;&gt;"",IF('POINTAGE'!AV208="Présent",'POINTAGE'!AW208,0),0),IF('POINTAGE'!$AX$5&lt;&gt;"",IF('POINTAGE'!AX208="Présent",'POINTAGE'!AY208,0),0),IF('POINTAGE'!$AZ$5&lt;&gt;"",IF('POINTAGE'!AZ208="Présent",'POINTAGE'!BA208,0),0),IF('POINTAGE'!$BB$5&lt;&gt;"",IF('POINTAGE'!BB208="Présent",'POINTAGE'!BC208,0),0),IF('POINTAGE'!$BD$5&lt;&gt;"",IF('POINTAGE'!BD208="Présent",'POINTAGE'!BE208,0),0),IF('POINTAGE'!$BF$5&lt;&gt;"",IF('POINTAGE'!BF208="Présent",'POINTAGE'!BG208,0),0),IF('POINTAGE'!$BH$5&lt;&gt;"",IF('POINTAGE'!BH208="Présent",'POINTAGE'!BI208,0),0),IF('POINTAGE'!$BJ$5&lt;&gt;"",IF('POINTAGE'!BJ208="Présent",'POINTAGE'!BK208,0),0),IF('POINTAGE'!$BL$5&lt;&gt;"",IF('POINTAGE'!BL208="Présent",'POINTAGE'!BM208,0),0)))</f>
      </c>
      <c r="Q208" s="24">
        <f>IF($A208="","",$N208*$D208)</f>
      </c>
      <c r="R208" s="24">
        <f>IF($A208="","",$P208*$E208)</f>
      </c>
      <c r="S208" s="25">
        <f>IF($A208="","",$Q208+$R208)</f>
      </c>
      <c r="T208" s="18"/>
      <c r="U208" s="25">
        <f>IF($A208="","",MAX(0,$S208-$T208))</f>
      </c>
      <c r="V208" s="25">
        <f>IF($A208="","",$K208+$S208)</f>
      </c>
      <c r="W208" s="24">
        <f>IF($A208="","",$L208+$T208)</f>
      </c>
      <c r="X208" s="25">
        <f>IF($A208="","",$M208+$U208)</f>
      </c>
      <c r="Y208" s="29">
        <f>IF($A208="","",$J208+$R208)</f>
      </c>
    </row>
    <row r="209">
      <c r="A209" s="20">
        <f>IF('POINTAGE'!A209="","",'POINTAGE'!A209)</f>
      </c>
      <c r="B209" s="19">
        <f>IF($A209="","",'POINTAGE'!B209)</f>
      </c>
      <c r="C209" s="20">
        <f>IF($A209="","",'POINTAGE'!C209)</f>
      </c>
      <c r="D209" s="24">
        <f>IF($A209="","",IFERROR(INDEX(Categories_Salaire,MATCH($C209,ListeCategories,0)),0))</f>
      </c>
      <c r="E209" s="24">
        <f>IF($A209="","",IF(IFERROR(INDEX(Categories_TauxHS,MATCH($C209,ListeCategories,0)),0)&gt;0,IFERROR(INDEX(Categories_TauxHS,MATCH($C209,ListeCategories,0)),0),TauxHSDefaut))</f>
      </c>
      <c r="F209" s="22">
        <f>IF($A209="","",SUM(IF('POINTAGE'!$D$5&lt;&gt;"",--('POINTAGE'!D209="Présent"),0),IF('POINTAGE'!$F$5&lt;&gt;"",--('POINTAGE'!F209="Présent"),0),IF('POINTAGE'!$H$5&lt;&gt;"",--('POINTAGE'!H209="Présent"),0),IF('POINTAGE'!$J$5&lt;&gt;"",--('POINTAGE'!J209="Présent"),0),IF('POINTAGE'!$L$5&lt;&gt;"",--('POINTAGE'!L209="Présent"),0),IF('POINTAGE'!$N$5&lt;&gt;"",--('POINTAGE'!N209="Présent"),0),IF('POINTAGE'!$P$5&lt;&gt;"",--('POINTAGE'!P209="Présent"),0),IF('POINTAGE'!$R$5&lt;&gt;"",--('POINTAGE'!R209="Présent"),0),IF('POINTAGE'!$T$5&lt;&gt;"",--('POINTAGE'!T209="Présent"),0),IF('POINTAGE'!$V$5&lt;&gt;"",--('POINTAGE'!V209="Présent"),0),IF('POINTAGE'!$X$5&lt;&gt;"",--('POINTAGE'!X209="Présent"),0),IF('POINTAGE'!$Z$5&lt;&gt;"",--('POINTAGE'!Z209="Présent"),0),IF('POINTAGE'!$AB$5&lt;&gt;"",--('POINTAGE'!AB209="Présent"),0),IF('POINTAGE'!$AD$5&lt;&gt;"",--('POINTAGE'!AD209="Présent"),0),IF('POINTAGE'!$AF$5&lt;&gt;"",--('POINTAGE'!AF209="Présent"),0)))</f>
      </c>
      <c r="G209" s="22">
        <f>IF($A209="","",SUM(IF('POINTAGE'!$D$5&lt;&gt;"",--('POINTAGE'!D209="Absent"),0),IF('POINTAGE'!$F$5&lt;&gt;"",--('POINTAGE'!F209="Absent"),0),IF('POINTAGE'!$H$5&lt;&gt;"",--('POINTAGE'!H209="Absent"),0),IF('POINTAGE'!$J$5&lt;&gt;"",--('POINTAGE'!J209="Absent"),0),IF('POINTAGE'!$L$5&lt;&gt;"",--('POINTAGE'!L209="Absent"),0),IF('POINTAGE'!$N$5&lt;&gt;"",--('POINTAGE'!N209="Absent"),0),IF('POINTAGE'!$P$5&lt;&gt;"",--('POINTAGE'!P209="Absent"),0),IF('POINTAGE'!$R$5&lt;&gt;"",--('POINTAGE'!R209="Absent"),0),IF('POINTAGE'!$T$5&lt;&gt;"",--('POINTAGE'!T209="Absent"),0),IF('POINTAGE'!$V$5&lt;&gt;"",--('POINTAGE'!V209="Absent"),0),IF('POINTAGE'!$X$5&lt;&gt;"",--('POINTAGE'!X209="Absent"),0),IF('POINTAGE'!$Z$5&lt;&gt;"",--('POINTAGE'!Z209="Absent"),0),IF('POINTAGE'!$AB$5&lt;&gt;"",--('POINTAGE'!AB209="Absent"),0),IF('POINTAGE'!$AD$5&lt;&gt;"",--('POINTAGE'!AD209="Absent"),0),IF('POINTAGE'!$AF$5&lt;&gt;"",--('POINTAGE'!AF209="Absent"),0)))</f>
      </c>
      <c r="H209" s="23">
        <f>IF($A209="","",SUM(IF('POINTAGE'!$D$5&lt;&gt;"",IF('POINTAGE'!D209="Présent",'POINTAGE'!E209,0),0),IF('POINTAGE'!$F$5&lt;&gt;"",IF('POINTAGE'!F209="Présent",'POINTAGE'!G209,0),0),IF('POINTAGE'!$H$5&lt;&gt;"",IF('POINTAGE'!H209="Présent",'POINTAGE'!I209,0),0),IF('POINTAGE'!$J$5&lt;&gt;"",IF('POINTAGE'!J209="Présent",'POINTAGE'!K209,0),0),IF('POINTAGE'!$L$5&lt;&gt;"",IF('POINTAGE'!L209="Présent",'POINTAGE'!M209,0),0),IF('POINTAGE'!$N$5&lt;&gt;"",IF('POINTAGE'!N209="Présent",'POINTAGE'!O209,0),0),IF('POINTAGE'!$P$5&lt;&gt;"",IF('POINTAGE'!P209="Présent",'POINTAGE'!Q209,0),0),IF('POINTAGE'!$R$5&lt;&gt;"",IF('POINTAGE'!R209="Présent",'POINTAGE'!S209,0),0),IF('POINTAGE'!$T$5&lt;&gt;"",IF('POINTAGE'!T209="Présent",'POINTAGE'!U209,0),0),IF('POINTAGE'!$V$5&lt;&gt;"",IF('POINTAGE'!V209="Présent",'POINTAGE'!W209,0),0),IF('POINTAGE'!$X$5&lt;&gt;"",IF('POINTAGE'!X209="Présent",'POINTAGE'!Y209,0),0),IF('POINTAGE'!$Z$5&lt;&gt;"",IF('POINTAGE'!Z209="Présent",'POINTAGE'!AA209,0),0),IF('POINTAGE'!$AB$5&lt;&gt;"",IF('POINTAGE'!AB209="Présent",'POINTAGE'!AC209,0),0),IF('POINTAGE'!$AD$5&lt;&gt;"",IF('POINTAGE'!AD209="Présent",'POINTAGE'!AE209,0),0),IF('POINTAGE'!$AF$5&lt;&gt;"",IF('POINTAGE'!AF209="Présent",'POINTAGE'!AG209,0),0)))</f>
      </c>
      <c r="I209" s="24">
        <f>IF($A209="","",$F209*$D209)</f>
      </c>
      <c r="J209" s="24">
        <f>IF($A209="","",$H209*$E209)</f>
      </c>
      <c r="K209" s="25">
        <f>IF($A209="","",$I209+$J209)</f>
      </c>
      <c r="L209" s="18"/>
      <c r="M209" s="25">
        <f>IF($A209="","",MAX(0,$K209-$L209))</f>
      </c>
      <c r="N209" s="22">
        <f>IF($A209="","",SUM(IF('POINTAGE'!$AH$5&lt;&gt;"",--('POINTAGE'!AH209="Présent"),0),IF('POINTAGE'!$AJ$5&lt;&gt;"",--('POINTAGE'!AJ209="Présent"),0),IF('POINTAGE'!$AL$5&lt;&gt;"",--('POINTAGE'!AL209="Présent"),0),IF('POINTAGE'!$AN$5&lt;&gt;"",--('POINTAGE'!AN209="Présent"),0),IF('POINTAGE'!$AP$5&lt;&gt;"",--('POINTAGE'!AP209="Présent"),0),IF('POINTAGE'!$AR$5&lt;&gt;"",--('POINTAGE'!AR209="Présent"),0),IF('POINTAGE'!$AT$5&lt;&gt;"",--('POINTAGE'!AT209="Présent"),0),IF('POINTAGE'!$AV$5&lt;&gt;"",--('POINTAGE'!AV209="Présent"),0),IF('POINTAGE'!$AX$5&lt;&gt;"",--('POINTAGE'!AX209="Présent"),0),IF('POINTAGE'!$AZ$5&lt;&gt;"",--('POINTAGE'!AZ209="Présent"),0),IF('POINTAGE'!$BB$5&lt;&gt;"",--('POINTAGE'!BB209="Présent"),0),IF('POINTAGE'!$BD$5&lt;&gt;"",--('POINTAGE'!BD209="Présent"),0),IF('POINTAGE'!$BF$5&lt;&gt;"",--('POINTAGE'!BF209="Présent"),0),IF('POINTAGE'!$BH$5&lt;&gt;"",--('POINTAGE'!BH209="Présent"),0),IF('POINTAGE'!$BJ$5&lt;&gt;"",--('POINTAGE'!BJ209="Présent"),0),IF('POINTAGE'!$BL$5&lt;&gt;"",--('POINTAGE'!BL209="Présent"),0)))</f>
      </c>
      <c r="O209" s="22">
        <f>IF($A209="","",SUM(IF('POINTAGE'!$AH$5&lt;&gt;"",--('POINTAGE'!AH209="Absent"),0),IF('POINTAGE'!$AJ$5&lt;&gt;"",--('POINTAGE'!AJ209="Absent"),0),IF('POINTAGE'!$AL$5&lt;&gt;"",--('POINTAGE'!AL209="Absent"),0),IF('POINTAGE'!$AN$5&lt;&gt;"",--('POINTAGE'!AN209="Absent"),0),IF('POINTAGE'!$AP$5&lt;&gt;"",--('POINTAGE'!AP209="Absent"),0),IF('POINTAGE'!$AR$5&lt;&gt;"",--('POINTAGE'!AR209="Absent"),0),IF('POINTAGE'!$AT$5&lt;&gt;"",--('POINTAGE'!AT209="Absent"),0),IF('POINTAGE'!$AV$5&lt;&gt;"",--('POINTAGE'!AV209="Absent"),0),IF('POINTAGE'!$AX$5&lt;&gt;"",--('POINTAGE'!AX209="Absent"),0),IF('POINTAGE'!$AZ$5&lt;&gt;"",--('POINTAGE'!AZ209="Absent"),0),IF('POINTAGE'!$BB$5&lt;&gt;"",--('POINTAGE'!BB209="Absent"),0),IF('POINTAGE'!$BD$5&lt;&gt;"",--('POINTAGE'!BD209="Absent"),0),IF('POINTAGE'!$BF$5&lt;&gt;"",--('POINTAGE'!BF209="Absent"),0),IF('POINTAGE'!$BH$5&lt;&gt;"",--('POINTAGE'!BH209="Absent"),0),IF('POINTAGE'!$BJ$5&lt;&gt;"",--('POINTAGE'!BJ209="Absent"),0),IF('POINTAGE'!$BL$5&lt;&gt;"",--('POINTAGE'!BL209="Absent"),0)))</f>
      </c>
      <c r="P209" s="23">
        <f>IF($A209="","",SUM(IF('POINTAGE'!$AH$5&lt;&gt;"",IF('POINTAGE'!AH209="Présent",'POINTAGE'!AI209,0),0),IF('POINTAGE'!$AJ$5&lt;&gt;"",IF('POINTAGE'!AJ209="Présent",'POINTAGE'!AK209,0),0),IF('POINTAGE'!$AL$5&lt;&gt;"",IF('POINTAGE'!AL209="Présent",'POINTAGE'!AM209,0),0),IF('POINTAGE'!$AN$5&lt;&gt;"",IF('POINTAGE'!AN209="Présent",'POINTAGE'!AO209,0),0),IF('POINTAGE'!$AP$5&lt;&gt;"",IF('POINTAGE'!AP209="Présent",'POINTAGE'!AQ209,0),0),IF('POINTAGE'!$AR$5&lt;&gt;"",IF('POINTAGE'!AR209="Présent",'POINTAGE'!AS209,0),0),IF('POINTAGE'!$AT$5&lt;&gt;"",IF('POINTAGE'!AT209="Présent",'POINTAGE'!AU209,0),0),IF('POINTAGE'!$AV$5&lt;&gt;"",IF('POINTAGE'!AV209="Présent",'POINTAGE'!AW209,0),0),IF('POINTAGE'!$AX$5&lt;&gt;"",IF('POINTAGE'!AX209="Présent",'POINTAGE'!AY209,0),0),IF('POINTAGE'!$AZ$5&lt;&gt;"",IF('POINTAGE'!AZ209="Présent",'POINTAGE'!BA209,0),0),IF('POINTAGE'!$BB$5&lt;&gt;"",IF('POINTAGE'!BB209="Présent",'POINTAGE'!BC209,0),0),IF('POINTAGE'!$BD$5&lt;&gt;"",IF('POINTAGE'!BD209="Présent",'POINTAGE'!BE209,0),0),IF('POINTAGE'!$BF$5&lt;&gt;"",IF('POINTAGE'!BF209="Présent",'POINTAGE'!BG209,0),0),IF('POINTAGE'!$BH$5&lt;&gt;"",IF('POINTAGE'!BH209="Présent",'POINTAGE'!BI209,0),0),IF('POINTAGE'!$BJ$5&lt;&gt;"",IF('POINTAGE'!BJ209="Présent",'POINTAGE'!BK209,0),0),IF('POINTAGE'!$BL$5&lt;&gt;"",IF('POINTAGE'!BL209="Présent",'POINTAGE'!BM209,0),0)))</f>
      </c>
      <c r="Q209" s="24">
        <f>IF($A209="","",$N209*$D209)</f>
      </c>
      <c r="R209" s="24">
        <f>IF($A209="","",$P209*$E209)</f>
      </c>
      <c r="S209" s="25">
        <f>IF($A209="","",$Q209+$R209)</f>
      </c>
      <c r="T209" s="18"/>
      <c r="U209" s="25">
        <f>IF($A209="","",MAX(0,$S209-$T209))</f>
      </c>
      <c r="V209" s="25">
        <f>IF($A209="","",$K209+$S209)</f>
      </c>
      <c r="W209" s="24">
        <f>IF($A209="","",$L209+$T209)</f>
      </c>
      <c r="X209" s="25">
        <f>IF($A209="","",$M209+$U209)</f>
      </c>
      <c r="Y209" s="29">
        <f>IF($A209="","",$J209+$R209)</f>
      </c>
    </row>
    <row r="210">
      <c r="A210" s="20">
        <f>IF('POINTAGE'!A210="","",'POINTAGE'!A210)</f>
      </c>
      <c r="B210" s="19">
        <f>IF($A210="","",'POINTAGE'!B210)</f>
      </c>
      <c r="C210" s="20">
        <f>IF($A210="","",'POINTAGE'!C210)</f>
      </c>
      <c r="D210" s="24">
        <f>IF($A210="","",IFERROR(INDEX(Categories_Salaire,MATCH($C210,ListeCategories,0)),0))</f>
      </c>
      <c r="E210" s="24">
        <f>IF($A210="","",IF(IFERROR(INDEX(Categories_TauxHS,MATCH($C210,ListeCategories,0)),0)&gt;0,IFERROR(INDEX(Categories_TauxHS,MATCH($C210,ListeCategories,0)),0),TauxHSDefaut))</f>
      </c>
      <c r="F210" s="22">
        <f>IF($A210="","",SUM(IF('POINTAGE'!$D$5&lt;&gt;"",--('POINTAGE'!D210="Présent"),0),IF('POINTAGE'!$F$5&lt;&gt;"",--('POINTAGE'!F210="Présent"),0),IF('POINTAGE'!$H$5&lt;&gt;"",--('POINTAGE'!H210="Présent"),0),IF('POINTAGE'!$J$5&lt;&gt;"",--('POINTAGE'!J210="Présent"),0),IF('POINTAGE'!$L$5&lt;&gt;"",--('POINTAGE'!L210="Présent"),0),IF('POINTAGE'!$N$5&lt;&gt;"",--('POINTAGE'!N210="Présent"),0),IF('POINTAGE'!$P$5&lt;&gt;"",--('POINTAGE'!P210="Présent"),0),IF('POINTAGE'!$R$5&lt;&gt;"",--('POINTAGE'!R210="Présent"),0),IF('POINTAGE'!$T$5&lt;&gt;"",--('POINTAGE'!T210="Présent"),0),IF('POINTAGE'!$V$5&lt;&gt;"",--('POINTAGE'!V210="Présent"),0),IF('POINTAGE'!$X$5&lt;&gt;"",--('POINTAGE'!X210="Présent"),0),IF('POINTAGE'!$Z$5&lt;&gt;"",--('POINTAGE'!Z210="Présent"),0),IF('POINTAGE'!$AB$5&lt;&gt;"",--('POINTAGE'!AB210="Présent"),0),IF('POINTAGE'!$AD$5&lt;&gt;"",--('POINTAGE'!AD210="Présent"),0),IF('POINTAGE'!$AF$5&lt;&gt;"",--('POINTAGE'!AF210="Présent"),0)))</f>
      </c>
      <c r="G210" s="22">
        <f>IF($A210="","",SUM(IF('POINTAGE'!$D$5&lt;&gt;"",--('POINTAGE'!D210="Absent"),0),IF('POINTAGE'!$F$5&lt;&gt;"",--('POINTAGE'!F210="Absent"),0),IF('POINTAGE'!$H$5&lt;&gt;"",--('POINTAGE'!H210="Absent"),0),IF('POINTAGE'!$J$5&lt;&gt;"",--('POINTAGE'!J210="Absent"),0),IF('POINTAGE'!$L$5&lt;&gt;"",--('POINTAGE'!L210="Absent"),0),IF('POINTAGE'!$N$5&lt;&gt;"",--('POINTAGE'!N210="Absent"),0),IF('POINTAGE'!$P$5&lt;&gt;"",--('POINTAGE'!P210="Absent"),0),IF('POINTAGE'!$R$5&lt;&gt;"",--('POINTAGE'!R210="Absent"),0),IF('POINTAGE'!$T$5&lt;&gt;"",--('POINTAGE'!T210="Absent"),0),IF('POINTAGE'!$V$5&lt;&gt;"",--('POINTAGE'!V210="Absent"),0),IF('POINTAGE'!$X$5&lt;&gt;"",--('POINTAGE'!X210="Absent"),0),IF('POINTAGE'!$Z$5&lt;&gt;"",--('POINTAGE'!Z210="Absent"),0),IF('POINTAGE'!$AB$5&lt;&gt;"",--('POINTAGE'!AB210="Absent"),0),IF('POINTAGE'!$AD$5&lt;&gt;"",--('POINTAGE'!AD210="Absent"),0),IF('POINTAGE'!$AF$5&lt;&gt;"",--('POINTAGE'!AF210="Absent"),0)))</f>
      </c>
      <c r="H210" s="23">
        <f>IF($A210="","",SUM(IF('POINTAGE'!$D$5&lt;&gt;"",IF('POINTAGE'!D210="Présent",'POINTAGE'!E210,0),0),IF('POINTAGE'!$F$5&lt;&gt;"",IF('POINTAGE'!F210="Présent",'POINTAGE'!G210,0),0),IF('POINTAGE'!$H$5&lt;&gt;"",IF('POINTAGE'!H210="Présent",'POINTAGE'!I210,0),0),IF('POINTAGE'!$J$5&lt;&gt;"",IF('POINTAGE'!J210="Présent",'POINTAGE'!K210,0),0),IF('POINTAGE'!$L$5&lt;&gt;"",IF('POINTAGE'!L210="Présent",'POINTAGE'!M210,0),0),IF('POINTAGE'!$N$5&lt;&gt;"",IF('POINTAGE'!N210="Présent",'POINTAGE'!O210,0),0),IF('POINTAGE'!$P$5&lt;&gt;"",IF('POINTAGE'!P210="Présent",'POINTAGE'!Q210,0),0),IF('POINTAGE'!$R$5&lt;&gt;"",IF('POINTAGE'!R210="Présent",'POINTAGE'!S210,0),0),IF('POINTAGE'!$T$5&lt;&gt;"",IF('POINTAGE'!T210="Présent",'POINTAGE'!U210,0),0),IF('POINTAGE'!$V$5&lt;&gt;"",IF('POINTAGE'!V210="Présent",'POINTAGE'!W210,0),0),IF('POINTAGE'!$X$5&lt;&gt;"",IF('POINTAGE'!X210="Présent",'POINTAGE'!Y210,0),0),IF('POINTAGE'!$Z$5&lt;&gt;"",IF('POINTAGE'!Z210="Présent",'POINTAGE'!AA210,0),0),IF('POINTAGE'!$AB$5&lt;&gt;"",IF('POINTAGE'!AB210="Présent",'POINTAGE'!AC210,0),0),IF('POINTAGE'!$AD$5&lt;&gt;"",IF('POINTAGE'!AD210="Présent",'POINTAGE'!AE210,0),0),IF('POINTAGE'!$AF$5&lt;&gt;"",IF('POINTAGE'!AF210="Présent",'POINTAGE'!AG210,0),0)))</f>
      </c>
      <c r="I210" s="24">
        <f>IF($A210="","",$F210*$D210)</f>
      </c>
      <c r="J210" s="24">
        <f>IF($A210="","",$H210*$E210)</f>
      </c>
      <c r="K210" s="25">
        <f>IF($A210="","",$I210+$J210)</f>
      </c>
      <c r="L210" s="18"/>
      <c r="M210" s="25">
        <f>IF($A210="","",MAX(0,$K210-$L210))</f>
      </c>
      <c r="N210" s="22">
        <f>IF($A210="","",SUM(IF('POINTAGE'!$AH$5&lt;&gt;"",--('POINTAGE'!AH210="Présent"),0),IF('POINTAGE'!$AJ$5&lt;&gt;"",--('POINTAGE'!AJ210="Présent"),0),IF('POINTAGE'!$AL$5&lt;&gt;"",--('POINTAGE'!AL210="Présent"),0),IF('POINTAGE'!$AN$5&lt;&gt;"",--('POINTAGE'!AN210="Présent"),0),IF('POINTAGE'!$AP$5&lt;&gt;"",--('POINTAGE'!AP210="Présent"),0),IF('POINTAGE'!$AR$5&lt;&gt;"",--('POINTAGE'!AR210="Présent"),0),IF('POINTAGE'!$AT$5&lt;&gt;"",--('POINTAGE'!AT210="Présent"),0),IF('POINTAGE'!$AV$5&lt;&gt;"",--('POINTAGE'!AV210="Présent"),0),IF('POINTAGE'!$AX$5&lt;&gt;"",--('POINTAGE'!AX210="Présent"),0),IF('POINTAGE'!$AZ$5&lt;&gt;"",--('POINTAGE'!AZ210="Présent"),0),IF('POINTAGE'!$BB$5&lt;&gt;"",--('POINTAGE'!BB210="Présent"),0),IF('POINTAGE'!$BD$5&lt;&gt;"",--('POINTAGE'!BD210="Présent"),0),IF('POINTAGE'!$BF$5&lt;&gt;"",--('POINTAGE'!BF210="Présent"),0),IF('POINTAGE'!$BH$5&lt;&gt;"",--('POINTAGE'!BH210="Présent"),0),IF('POINTAGE'!$BJ$5&lt;&gt;"",--('POINTAGE'!BJ210="Présent"),0),IF('POINTAGE'!$BL$5&lt;&gt;"",--('POINTAGE'!BL210="Présent"),0)))</f>
      </c>
      <c r="O210" s="22">
        <f>IF($A210="","",SUM(IF('POINTAGE'!$AH$5&lt;&gt;"",--('POINTAGE'!AH210="Absent"),0),IF('POINTAGE'!$AJ$5&lt;&gt;"",--('POINTAGE'!AJ210="Absent"),0),IF('POINTAGE'!$AL$5&lt;&gt;"",--('POINTAGE'!AL210="Absent"),0),IF('POINTAGE'!$AN$5&lt;&gt;"",--('POINTAGE'!AN210="Absent"),0),IF('POINTAGE'!$AP$5&lt;&gt;"",--('POINTAGE'!AP210="Absent"),0),IF('POINTAGE'!$AR$5&lt;&gt;"",--('POINTAGE'!AR210="Absent"),0),IF('POINTAGE'!$AT$5&lt;&gt;"",--('POINTAGE'!AT210="Absent"),0),IF('POINTAGE'!$AV$5&lt;&gt;"",--('POINTAGE'!AV210="Absent"),0),IF('POINTAGE'!$AX$5&lt;&gt;"",--('POINTAGE'!AX210="Absent"),0),IF('POINTAGE'!$AZ$5&lt;&gt;"",--('POINTAGE'!AZ210="Absent"),0),IF('POINTAGE'!$BB$5&lt;&gt;"",--('POINTAGE'!BB210="Absent"),0),IF('POINTAGE'!$BD$5&lt;&gt;"",--('POINTAGE'!BD210="Absent"),0),IF('POINTAGE'!$BF$5&lt;&gt;"",--('POINTAGE'!BF210="Absent"),0),IF('POINTAGE'!$BH$5&lt;&gt;"",--('POINTAGE'!BH210="Absent"),0),IF('POINTAGE'!$BJ$5&lt;&gt;"",--('POINTAGE'!BJ210="Absent"),0),IF('POINTAGE'!$BL$5&lt;&gt;"",--('POINTAGE'!BL210="Absent"),0)))</f>
      </c>
      <c r="P210" s="23">
        <f>IF($A210="","",SUM(IF('POINTAGE'!$AH$5&lt;&gt;"",IF('POINTAGE'!AH210="Présent",'POINTAGE'!AI210,0),0),IF('POINTAGE'!$AJ$5&lt;&gt;"",IF('POINTAGE'!AJ210="Présent",'POINTAGE'!AK210,0),0),IF('POINTAGE'!$AL$5&lt;&gt;"",IF('POINTAGE'!AL210="Présent",'POINTAGE'!AM210,0),0),IF('POINTAGE'!$AN$5&lt;&gt;"",IF('POINTAGE'!AN210="Présent",'POINTAGE'!AO210,0),0),IF('POINTAGE'!$AP$5&lt;&gt;"",IF('POINTAGE'!AP210="Présent",'POINTAGE'!AQ210,0),0),IF('POINTAGE'!$AR$5&lt;&gt;"",IF('POINTAGE'!AR210="Présent",'POINTAGE'!AS210,0),0),IF('POINTAGE'!$AT$5&lt;&gt;"",IF('POINTAGE'!AT210="Présent",'POINTAGE'!AU210,0),0),IF('POINTAGE'!$AV$5&lt;&gt;"",IF('POINTAGE'!AV210="Présent",'POINTAGE'!AW210,0),0),IF('POINTAGE'!$AX$5&lt;&gt;"",IF('POINTAGE'!AX210="Présent",'POINTAGE'!AY210,0),0),IF('POINTAGE'!$AZ$5&lt;&gt;"",IF('POINTAGE'!AZ210="Présent",'POINTAGE'!BA210,0),0),IF('POINTAGE'!$BB$5&lt;&gt;"",IF('POINTAGE'!BB210="Présent",'POINTAGE'!BC210,0),0),IF('POINTAGE'!$BD$5&lt;&gt;"",IF('POINTAGE'!BD210="Présent",'POINTAGE'!BE210,0),0),IF('POINTAGE'!$BF$5&lt;&gt;"",IF('POINTAGE'!BF210="Présent",'POINTAGE'!BG210,0),0),IF('POINTAGE'!$BH$5&lt;&gt;"",IF('POINTAGE'!BH210="Présent",'POINTAGE'!BI210,0),0),IF('POINTAGE'!$BJ$5&lt;&gt;"",IF('POINTAGE'!BJ210="Présent",'POINTAGE'!BK210,0),0),IF('POINTAGE'!$BL$5&lt;&gt;"",IF('POINTAGE'!BL210="Présent",'POINTAGE'!BM210,0),0)))</f>
      </c>
      <c r="Q210" s="24">
        <f>IF($A210="","",$N210*$D210)</f>
      </c>
      <c r="R210" s="24">
        <f>IF($A210="","",$P210*$E210)</f>
      </c>
      <c r="S210" s="25">
        <f>IF($A210="","",$Q210+$R210)</f>
      </c>
      <c r="T210" s="18"/>
      <c r="U210" s="25">
        <f>IF($A210="","",MAX(0,$S210-$T210))</f>
      </c>
      <c r="V210" s="25">
        <f>IF($A210="","",$K210+$S210)</f>
      </c>
      <c r="W210" s="24">
        <f>IF($A210="","",$L210+$T210)</f>
      </c>
      <c r="X210" s="25">
        <f>IF($A210="","",$M210+$U210)</f>
      </c>
      <c r="Y210" s="29">
        <f>IF($A210="","",$J210+$R210)</f>
      </c>
    </row>
    <row r="211">
      <c r="A211" s="20">
        <f>IF('POINTAGE'!A211="","",'POINTAGE'!A211)</f>
      </c>
      <c r="B211" s="19">
        <f>IF($A211="","",'POINTAGE'!B211)</f>
      </c>
      <c r="C211" s="20">
        <f>IF($A211="","",'POINTAGE'!C211)</f>
      </c>
      <c r="D211" s="24">
        <f>IF($A211="","",IFERROR(INDEX(Categories_Salaire,MATCH($C211,ListeCategories,0)),0))</f>
      </c>
      <c r="E211" s="24">
        <f>IF($A211="","",IF(IFERROR(INDEX(Categories_TauxHS,MATCH($C211,ListeCategories,0)),0)&gt;0,IFERROR(INDEX(Categories_TauxHS,MATCH($C211,ListeCategories,0)),0),TauxHSDefaut))</f>
      </c>
      <c r="F211" s="22">
        <f>IF($A211="","",SUM(IF('POINTAGE'!$D$5&lt;&gt;"",--('POINTAGE'!D211="Présent"),0),IF('POINTAGE'!$F$5&lt;&gt;"",--('POINTAGE'!F211="Présent"),0),IF('POINTAGE'!$H$5&lt;&gt;"",--('POINTAGE'!H211="Présent"),0),IF('POINTAGE'!$J$5&lt;&gt;"",--('POINTAGE'!J211="Présent"),0),IF('POINTAGE'!$L$5&lt;&gt;"",--('POINTAGE'!L211="Présent"),0),IF('POINTAGE'!$N$5&lt;&gt;"",--('POINTAGE'!N211="Présent"),0),IF('POINTAGE'!$P$5&lt;&gt;"",--('POINTAGE'!P211="Présent"),0),IF('POINTAGE'!$R$5&lt;&gt;"",--('POINTAGE'!R211="Présent"),0),IF('POINTAGE'!$T$5&lt;&gt;"",--('POINTAGE'!T211="Présent"),0),IF('POINTAGE'!$V$5&lt;&gt;"",--('POINTAGE'!V211="Présent"),0),IF('POINTAGE'!$X$5&lt;&gt;"",--('POINTAGE'!X211="Présent"),0),IF('POINTAGE'!$Z$5&lt;&gt;"",--('POINTAGE'!Z211="Présent"),0),IF('POINTAGE'!$AB$5&lt;&gt;"",--('POINTAGE'!AB211="Présent"),0),IF('POINTAGE'!$AD$5&lt;&gt;"",--('POINTAGE'!AD211="Présent"),0),IF('POINTAGE'!$AF$5&lt;&gt;"",--('POINTAGE'!AF211="Présent"),0)))</f>
      </c>
      <c r="G211" s="22">
        <f>IF($A211="","",SUM(IF('POINTAGE'!$D$5&lt;&gt;"",--('POINTAGE'!D211="Absent"),0),IF('POINTAGE'!$F$5&lt;&gt;"",--('POINTAGE'!F211="Absent"),0),IF('POINTAGE'!$H$5&lt;&gt;"",--('POINTAGE'!H211="Absent"),0),IF('POINTAGE'!$J$5&lt;&gt;"",--('POINTAGE'!J211="Absent"),0),IF('POINTAGE'!$L$5&lt;&gt;"",--('POINTAGE'!L211="Absent"),0),IF('POINTAGE'!$N$5&lt;&gt;"",--('POINTAGE'!N211="Absent"),0),IF('POINTAGE'!$P$5&lt;&gt;"",--('POINTAGE'!P211="Absent"),0),IF('POINTAGE'!$R$5&lt;&gt;"",--('POINTAGE'!R211="Absent"),0),IF('POINTAGE'!$T$5&lt;&gt;"",--('POINTAGE'!T211="Absent"),0),IF('POINTAGE'!$V$5&lt;&gt;"",--('POINTAGE'!V211="Absent"),0),IF('POINTAGE'!$X$5&lt;&gt;"",--('POINTAGE'!X211="Absent"),0),IF('POINTAGE'!$Z$5&lt;&gt;"",--('POINTAGE'!Z211="Absent"),0),IF('POINTAGE'!$AB$5&lt;&gt;"",--('POINTAGE'!AB211="Absent"),0),IF('POINTAGE'!$AD$5&lt;&gt;"",--('POINTAGE'!AD211="Absent"),0),IF('POINTAGE'!$AF$5&lt;&gt;"",--('POINTAGE'!AF211="Absent"),0)))</f>
      </c>
      <c r="H211" s="23">
        <f>IF($A211="","",SUM(IF('POINTAGE'!$D$5&lt;&gt;"",IF('POINTAGE'!D211="Présent",'POINTAGE'!E211,0),0),IF('POINTAGE'!$F$5&lt;&gt;"",IF('POINTAGE'!F211="Présent",'POINTAGE'!G211,0),0),IF('POINTAGE'!$H$5&lt;&gt;"",IF('POINTAGE'!H211="Présent",'POINTAGE'!I211,0),0),IF('POINTAGE'!$J$5&lt;&gt;"",IF('POINTAGE'!J211="Présent",'POINTAGE'!K211,0),0),IF('POINTAGE'!$L$5&lt;&gt;"",IF('POINTAGE'!L211="Présent",'POINTAGE'!M211,0),0),IF('POINTAGE'!$N$5&lt;&gt;"",IF('POINTAGE'!N211="Présent",'POINTAGE'!O211,0),0),IF('POINTAGE'!$P$5&lt;&gt;"",IF('POINTAGE'!P211="Présent",'POINTAGE'!Q211,0),0),IF('POINTAGE'!$R$5&lt;&gt;"",IF('POINTAGE'!R211="Présent",'POINTAGE'!S211,0),0),IF('POINTAGE'!$T$5&lt;&gt;"",IF('POINTAGE'!T211="Présent",'POINTAGE'!U211,0),0),IF('POINTAGE'!$V$5&lt;&gt;"",IF('POINTAGE'!V211="Présent",'POINTAGE'!W211,0),0),IF('POINTAGE'!$X$5&lt;&gt;"",IF('POINTAGE'!X211="Présent",'POINTAGE'!Y211,0),0),IF('POINTAGE'!$Z$5&lt;&gt;"",IF('POINTAGE'!Z211="Présent",'POINTAGE'!AA211,0),0),IF('POINTAGE'!$AB$5&lt;&gt;"",IF('POINTAGE'!AB211="Présent",'POINTAGE'!AC211,0),0),IF('POINTAGE'!$AD$5&lt;&gt;"",IF('POINTAGE'!AD211="Présent",'POINTAGE'!AE211,0),0),IF('POINTAGE'!$AF$5&lt;&gt;"",IF('POINTAGE'!AF211="Présent",'POINTAGE'!AG211,0),0)))</f>
      </c>
      <c r="I211" s="24">
        <f>IF($A211="","",$F211*$D211)</f>
      </c>
      <c r="J211" s="24">
        <f>IF($A211="","",$H211*$E211)</f>
      </c>
      <c r="K211" s="25">
        <f>IF($A211="","",$I211+$J211)</f>
      </c>
      <c r="L211" s="18"/>
      <c r="M211" s="25">
        <f>IF($A211="","",MAX(0,$K211-$L211))</f>
      </c>
      <c r="N211" s="22">
        <f>IF($A211="","",SUM(IF('POINTAGE'!$AH$5&lt;&gt;"",--('POINTAGE'!AH211="Présent"),0),IF('POINTAGE'!$AJ$5&lt;&gt;"",--('POINTAGE'!AJ211="Présent"),0),IF('POINTAGE'!$AL$5&lt;&gt;"",--('POINTAGE'!AL211="Présent"),0),IF('POINTAGE'!$AN$5&lt;&gt;"",--('POINTAGE'!AN211="Présent"),0),IF('POINTAGE'!$AP$5&lt;&gt;"",--('POINTAGE'!AP211="Présent"),0),IF('POINTAGE'!$AR$5&lt;&gt;"",--('POINTAGE'!AR211="Présent"),0),IF('POINTAGE'!$AT$5&lt;&gt;"",--('POINTAGE'!AT211="Présent"),0),IF('POINTAGE'!$AV$5&lt;&gt;"",--('POINTAGE'!AV211="Présent"),0),IF('POINTAGE'!$AX$5&lt;&gt;"",--('POINTAGE'!AX211="Présent"),0),IF('POINTAGE'!$AZ$5&lt;&gt;"",--('POINTAGE'!AZ211="Présent"),0),IF('POINTAGE'!$BB$5&lt;&gt;"",--('POINTAGE'!BB211="Présent"),0),IF('POINTAGE'!$BD$5&lt;&gt;"",--('POINTAGE'!BD211="Présent"),0),IF('POINTAGE'!$BF$5&lt;&gt;"",--('POINTAGE'!BF211="Présent"),0),IF('POINTAGE'!$BH$5&lt;&gt;"",--('POINTAGE'!BH211="Présent"),0),IF('POINTAGE'!$BJ$5&lt;&gt;"",--('POINTAGE'!BJ211="Présent"),0),IF('POINTAGE'!$BL$5&lt;&gt;"",--('POINTAGE'!BL211="Présent"),0)))</f>
      </c>
      <c r="O211" s="22">
        <f>IF($A211="","",SUM(IF('POINTAGE'!$AH$5&lt;&gt;"",--('POINTAGE'!AH211="Absent"),0),IF('POINTAGE'!$AJ$5&lt;&gt;"",--('POINTAGE'!AJ211="Absent"),0),IF('POINTAGE'!$AL$5&lt;&gt;"",--('POINTAGE'!AL211="Absent"),0),IF('POINTAGE'!$AN$5&lt;&gt;"",--('POINTAGE'!AN211="Absent"),0),IF('POINTAGE'!$AP$5&lt;&gt;"",--('POINTAGE'!AP211="Absent"),0),IF('POINTAGE'!$AR$5&lt;&gt;"",--('POINTAGE'!AR211="Absent"),0),IF('POINTAGE'!$AT$5&lt;&gt;"",--('POINTAGE'!AT211="Absent"),0),IF('POINTAGE'!$AV$5&lt;&gt;"",--('POINTAGE'!AV211="Absent"),0),IF('POINTAGE'!$AX$5&lt;&gt;"",--('POINTAGE'!AX211="Absent"),0),IF('POINTAGE'!$AZ$5&lt;&gt;"",--('POINTAGE'!AZ211="Absent"),0),IF('POINTAGE'!$BB$5&lt;&gt;"",--('POINTAGE'!BB211="Absent"),0),IF('POINTAGE'!$BD$5&lt;&gt;"",--('POINTAGE'!BD211="Absent"),0),IF('POINTAGE'!$BF$5&lt;&gt;"",--('POINTAGE'!BF211="Absent"),0),IF('POINTAGE'!$BH$5&lt;&gt;"",--('POINTAGE'!BH211="Absent"),0),IF('POINTAGE'!$BJ$5&lt;&gt;"",--('POINTAGE'!BJ211="Absent"),0),IF('POINTAGE'!$BL$5&lt;&gt;"",--('POINTAGE'!BL211="Absent"),0)))</f>
      </c>
      <c r="P211" s="23">
        <f>IF($A211="","",SUM(IF('POINTAGE'!$AH$5&lt;&gt;"",IF('POINTAGE'!AH211="Présent",'POINTAGE'!AI211,0),0),IF('POINTAGE'!$AJ$5&lt;&gt;"",IF('POINTAGE'!AJ211="Présent",'POINTAGE'!AK211,0),0),IF('POINTAGE'!$AL$5&lt;&gt;"",IF('POINTAGE'!AL211="Présent",'POINTAGE'!AM211,0),0),IF('POINTAGE'!$AN$5&lt;&gt;"",IF('POINTAGE'!AN211="Présent",'POINTAGE'!AO211,0),0),IF('POINTAGE'!$AP$5&lt;&gt;"",IF('POINTAGE'!AP211="Présent",'POINTAGE'!AQ211,0),0),IF('POINTAGE'!$AR$5&lt;&gt;"",IF('POINTAGE'!AR211="Présent",'POINTAGE'!AS211,0),0),IF('POINTAGE'!$AT$5&lt;&gt;"",IF('POINTAGE'!AT211="Présent",'POINTAGE'!AU211,0),0),IF('POINTAGE'!$AV$5&lt;&gt;"",IF('POINTAGE'!AV211="Présent",'POINTAGE'!AW211,0),0),IF('POINTAGE'!$AX$5&lt;&gt;"",IF('POINTAGE'!AX211="Présent",'POINTAGE'!AY211,0),0),IF('POINTAGE'!$AZ$5&lt;&gt;"",IF('POINTAGE'!AZ211="Présent",'POINTAGE'!BA211,0),0),IF('POINTAGE'!$BB$5&lt;&gt;"",IF('POINTAGE'!BB211="Présent",'POINTAGE'!BC211,0),0),IF('POINTAGE'!$BD$5&lt;&gt;"",IF('POINTAGE'!BD211="Présent",'POINTAGE'!BE211,0),0),IF('POINTAGE'!$BF$5&lt;&gt;"",IF('POINTAGE'!BF211="Présent",'POINTAGE'!BG211,0),0),IF('POINTAGE'!$BH$5&lt;&gt;"",IF('POINTAGE'!BH211="Présent",'POINTAGE'!BI211,0),0),IF('POINTAGE'!$BJ$5&lt;&gt;"",IF('POINTAGE'!BJ211="Présent",'POINTAGE'!BK211,0),0),IF('POINTAGE'!$BL$5&lt;&gt;"",IF('POINTAGE'!BL211="Présent",'POINTAGE'!BM211,0),0)))</f>
      </c>
      <c r="Q211" s="24">
        <f>IF($A211="","",$N211*$D211)</f>
      </c>
      <c r="R211" s="24">
        <f>IF($A211="","",$P211*$E211)</f>
      </c>
      <c r="S211" s="25">
        <f>IF($A211="","",$Q211+$R211)</f>
      </c>
      <c r="T211" s="18"/>
      <c r="U211" s="25">
        <f>IF($A211="","",MAX(0,$S211-$T211))</f>
      </c>
      <c r="V211" s="25">
        <f>IF($A211="","",$K211+$S211)</f>
      </c>
      <c r="W211" s="24">
        <f>IF($A211="","",$L211+$T211)</f>
      </c>
      <c r="X211" s="25">
        <f>IF($A211="","",$M211+$U211)</f>
      </c>
      <c r="Y211" s="29">
        <f>IF($A211="","",$J211+$R211)</f>
      </c>
    </row>
    <row r="212">
      <c r="A212" s="20">
        <f>IF('POINTAGE'!A212="","",'POINTAGE'!A212)</f>
      </c>
      <c r="B212" s="19">
        <f>IF($A212="","",'POINTAGE'!B212)</f>
      </c>
      <c r="C212" s="20">
        <f>IF($A212="","",'POINTAGE'!C212)</f>
      </c>
      <c r="D212" s="24">
        <f>IF($A212="","",IFERROR(INDEX(Categories_Salaire,MATCH($C212,ListeCategories,0)),0))</f>
      </c>
      <c r="E212" s="24">
        <f>IF($A212="","",IF(IFERROR(INDEX(Categories_TauxHS,MATCH($C212,ListeCategories,0)),0)&gt;0,IFERROR(INDEX(Categories_TauxHS,MATCH($C212,ListeCategories,0)),0),TauxHSDefaut))</f>
      </c>
      <c r="F212" s="22">
        <f>IF($A212="","",SUM(IF('POINTAGE'!$D$5&lt;&gt;"",--('POINTAGE'!D212="Présent"),0),IF('POINTAGE'!$F$5&lt;&gt;"",--('POINTAGE'!F212="Présent"),0),IF('POINTAGE'!$H$5&lt;&gt;"",--('POINTAGE'!H212="Présent"),0),IF('POINTAGE'!$J$5&lt;&gt;"",--('POINTAGE'!J212="Présent"),0),IF('POINTAGE'!$L$5&lt;&gt;"",--('POINTAGE'!L212="Présent"),0),IF('POINTAGE'!$N$5&lt;&gt;"",--('POINTAGE'!N212="Présent"),0),IF('POINTAGE'!$P$5&lt;&gt;"",--('POINTAGE'!P212="Présent"),0),IF('POINTAGE'!$R$5&lt;&gt;"",--('POINTAGE'!R212="Présent"),0),IF('POINTAGE'!$T$5&lt;&gt;"",--('POINTAGE'!T212="Présent"),0),IF('POINTAGE'!$V$5&lt;&gt;"",--('POINTAGE'!V212="Présent"),0),IF('POINTAGE'!$X$5&lt;&gt;"",--('POINTAGE'!X212="Présent"),0),IF('POINTAGE'!$Z$5&lt;&gt;"",--('POINTAGE'!Z212="Présent"),0),IF('POINTAGE'!$AB$5&lt;&gt;"",--('POINTAGE'!AB212="Présent"),0),IF('POINTAGE'!$AD$5&lt;&gt;"",--('POINTAGE'!AD212="Présent"),0),IF('POINTAGE'!$AF$5&lt;&gt;"",--('POINTAGE'!AF212="Présent"),0)))</f>
      </c>
      <c r="G212" s="22">
        <f>IF($A212="","",SUM(IF('POINTAGE'!$D$5&lt;&gt;"",--('POINTAGE'!D212="Absent"),0),IF('POINTAGE'!$F$5&lt;&gt;"",--('POINTAGE'!F212="Absent"),0),IF('POINTAGE'!$H$5&lt;&gt;"",--('POINTAGE'!H212="Absent"),0),IF('POINTAGE'!$J$5&lt;&gt;"",--('POINTAGE'!J212="Absent"),0),IF('POINTAGE'!$L$5&lt;&gt;"",--('POINTAGE'!L212="Absent"),0),IF('POINTAGE'!$N$5&lt;&gt;"",--('POINTAGE'!N212="Absent"),0),IF('POINTAGE'!$P$5&lt;&gt;"",--('POINTAGE'!P212="Absent"),0),IF('POINTAGE'!$R$5&lt;&gt;"",--('POINTAGE'!R212="Absent"),0),IF('POINTAGE'!$T$5&lt;&gt;"",--('POINTAGE'!T212="Absent"),0),IF('POINTAGE'!$V$5&lt;&gt;"",--('POINTAGE'!V212="Absent"),0),IF('POINTAGE'!$X$5&lt;&gt;"",--('POINTAGE'!X212="Absent"),0),IF('POINTAGE'!$Z$5&lt;&gt;"",--('POINTAGE'!Z212="Absent"),0),IF('POINTAGE'!$AB$5&lt;&gt;"",--('POINTAGE'!AB212="Absent"),0),IF('POINTAGE'!$AD$5&lt;&gt;"",--('POINTAGE'!AD212="Absent"),0),IF('POINTAGE'!$AF$5&lt;&gt;"",--('POINTAGE'!AF212="Absent"),0)))</f>
      </c>
      <c r="H212" s="23">
        <f>IF($A212="","",SUM(IF('POINTAGE'!$D$5&lt;&gt;"",IF('POINTAGE'!D212="Présent",'POINTAGE'!E212,0),0),IF('POINTAGE'!$F$5&lt;&gt;"",IF('POINTAGE'!F212="Présent",'POINTAGE'!G212,0),0),IF('POINTAGE'!$H$5&lt;&gt;"",IF('POINTAGE'!H212="Présent",'POINTAGE'!I212,0),0),IF('POINTAGE'!$J$5&lt;&gt;"",IF('POINTAGE'!J212="Présent",'POINTAGE'!K212,0),0),IF('POINTAGE'!$L$5&lt;&gt;"",IF('POINTAGE'!L212="Présent",'POINTAGE'!M212,0),0),IF('POINTAGE'!$N$5&lt;&gt;"",IF('POINTAGE'!N212="Présent",'POINTAGE'!O212,0),0),IF('POINTAGE'!$P$5&lt;&gt;"",IF('POINTAGE'!P212="Présent",'POINTAGE'!Q212,0),0),IF('POINTAGE'!$R$5&lt;&gt;"",IF('POINTAGE'!R212="Présent",'POINTAGE'!S212,0),0),IF('POINTAGE'!$T$5&lt;&gt;"",IF('POINTAGE'!T212="Présent",'POINTAGE'!U212,0),0),IF('POINTAGE'!$V$5&lt;&gt;"",IF('POINTAGE'!V212="Présent",'POINTAGE'!W212,0),0),IF('POINTAGE'!$X$5&lt;&gt;"",IF('POINTAGE'!X212="Présent",'POINTAGE'!Y212,0),0),IF('POINTAGE'!$Z$5&lt;&gt;"",IF('POINTAGE'!Z212="Présent",'POINTAGE'!AA212,0),0),IF('POINTAGE'!$AB$5&lt;&gt;"",IF('POINTAGE'!AB212="Présent",'POINTAGE'!AC212,0),0),IF('POINTAGE'!$AD$5&lt;&gt;"",IF('POINTAGE'!AD212="Présent",'POINTAGE'!AE212,0),0),IF('POINTAGE'!$AF$5&lt;&gt;"",IF('POINTAGE'!AF212="Présent",'POINTAGE'!AG212,0),0)))</f>
      </c>
      <c r="I212" s="24">
        <f>IF($A212="","",$F212*$D212)</f>
      </c>
      <c r="J212" s="24">
        <f>IF($A212="","",$H212*$E212)</f>
      </c>
      <c r="K212" s="25">
        <f>IF($A212="","",$I212+$J212)</f>
      </c>
      <c r="L212" s="18"/>
      <c r="M212" s="25">
        <f>IF($A212="","",MAX(0,$K212-$L212))</f>
      </c>
      <c r="N212" s="22">
        <f>IF($A212="","",SUM(IF('POINTAGE'!$AH$5&lt;&gt;"",--('POINTAGE'!AH212="Présent"),0),IF('POINTAGE'!$AJ$5&lt;&gt;"",--('POINTAGE'!AJ212="Présent"),0),IF('POINTAGE'!$AL$5&lt;&gt;"",--('POINTAGE'!AL212="Présent"),0),IF('POINTAGE'!$AN$5&lt;&gt;"",--('POINTAGE'!AN212="Présent"),0),IF('POINTAGE'!$AP$5&lt;&gt;"",--('POINTAGE'!AP212="Présent"),0),IF('POINTAGE'!$AR$5&lt;&gt;"",--('POINTAGE'!AR212="Présent"),0),IF('POINTAGE'!$AT$5&lt;&gt;"",--('POINTAGE'!AT212="Présent"),0),IF('POINTAGE'!$AV$5&lt;&gt;"",--('POINTAGE'!AV212="Présent"),0),IF('POINTAGE'!$AX$5&lt;&gt;"",--('POINTAGE'!AX212="Présent"),0),IF('POINTAGE'!$AZ$5&lt;&gt;"",--('POINTAGE'!AZ212="Présent"),0),IF('POINTAGE'!$BB$5&lt;&gt;"",--('POINTAGE'!BB212="Présent"),0),IF('POINTAGE'!$BD$5&lt;&gt;"",--('POINTAGE'!BD212="Présent"),0),IF('POINTAGE'!$BF$5&lt;&gt;"",--('POINTAGE'!BF212="Présent"),0),IF('POINTAGE'!$BH$5&lt;&gt;"",--('POINTAGE'!BH212="Présent"),0),IF('POINTAGE'!$BJ$5&lt;&gt;"",--('POINTAGE'!BJ212="Présent"),0),IF('POINTAGE'!$BL$5&lt;&gt;"",--('POINTAGE'!BL212="Présent"),0)))</f>
      </c>
      <c r="O212" s="22">
        <f>IF($A212="","",SUM(IF('POINTAGE'!$AH$5&lt;&gt;"",--('POINTAGE'!AH212="Absent"),0),IF('POINTAGE'!$AJ$5&lt;&gt;"",--('POINTAGE'!AJ212="Absent"),0),IF('POINTAGE'!$AL$5&lt;&gt;"",--('POINTAGE'!AL212="Absent"),0),IF('POINTAGE'!$AN$5&lt;&gt;"",--('POINTAGE'!AN212="Absent"),0),IF('POINTAGE'!$AP$5&lt;&gt;"",--('POINTAGE'!AP212="Absent"),0),IF('POINTAGE'!$AR$5&lt;&gt;"",--('POINTAGE'!AR212="Absent"),0),IF('POINTAGE'!$AT$5&lt;&gt;"",--('POINTAGE'!AT212="Absent"),0),IF('POINTAGE'!$AV$5&lt;&gt;"",--('POINTAGE'!AV212="Absent"),0),IF('POINTAGE'!$AX$5&lt;&gt;"",--('POINTAGE'!AX212="Absent"),0),IF('POINTAGE'!$AZ$5&lt;&gt;"",--('POINTAGE'!AZ212="Absent"),0),IF('POINTAGE'!$BB$5&lt;&gt;"",--('POINTAGE'!BB212="Absent"),0),IF('POINTAGE'!$BD$5&lt;&gt;"",--('POINTAGE'!BD212="Absent"),0),IF('POINTAGE'!$BF$5&lt;&gt;"",--('POINTAGE'!BF212="Absent"),0),IF('POINTAGE'!$BH$5&lt;&gt;"",--('POINTAGE'!BH212="Absent"),0),IF('POINTAGE'!$BJ$5&lt;&gt;"",--('POINTAGE'!BJ212="Absent"),0),IF('POINTAGE'!$BL$5&lt;&gt;"",--('POINTAGE'!BL212="Absent"),0)))</f>
      </c>
      <c r="P212" s="23">
        <f>IF($A212="","",SUM(IF('POINTAGE'!$AH$5&lt;&gt;"",IF('POINTAGE'!AH212="Présent",'POINTAGE'!AI212,0),0),IF('POINTAGE'!$AJ$5&lt;&gt;"",IF('POINTAGE'!AJ212="Présent",'POINTAGE'!AK212,0),0),IF('POINTAGE'!$AL$5&lt;&gt;"",IF('POINTAGE'!AL212="Présent",'POINTAGE'!AM212,0),0),IF('POINTAGE'!$AN$5&lt;&gt;"",IF('POINTAGE'!AN212="Présent",'POINTAGE'!AO212,0),0),IF('POINTAGE'!$AP$5&lt;&gt;"",IF('POINTAGE'!AP212="Présent",'POINTAGE'!AQ212,0),0),IF('POINTAGE'!$AR$5&lt;&gt;"",IF('POINTAGE'!AR212="Présent",'POINTAGE'!AS212,0),0),IF('POINTAGE'!$AT$5&lt;&gt;"",IF('POINTAGE'!AT212="Présent",'POINTAGE'!AU212,0),0),IF('POINTAGE'!$AV$5&lt;&gt;"",IF('POINTAGE'!AV212="Présent",'POINTAGE'!AW212,0),0),IF('POINTAGE'!$AX$5&lt;&gt;"",IF('POINTAGE'!AX212="Présent",'POINTAGE'!AY212,0),0),IF('POINTAGE'!$AZ$5&lt;&gt;"",IF('POINTAGE'!AZ212="Présent",'POINTAGE'!BA212,0),0),IF('POINTAGE'!$BB$5&lt;&gt;"",IF('POINTAGE'!BB212="Présent",'POINTAGE'!BC212,0),0),IF('POINTAGE'!$BD$5&lt;&gt;"",IF('POINTAGE'!BD212="Présent",'POINTAGE'!BE212,0),0),IF('POINTAGE'!$BF$5&lt;&gt;"",IF('POINTAGE'!BF212="Présent",'POINTAGE'!BG212,0),0),IF('POINTAGE'!$BH$5&lt;&gt;"",IF('POINTAGE'!BH212="Présent",'POINTAGE'!BI212,0),0),IF('POINTAGE'!$BJ$5&lt;&gt;"",IF('POINTAGE'!BJ212="Présent",'POINTAGE'!BK212,0),0),IF('POINTAGE'!$BL$5&lt;&gt;"",IF('POINTAGE'!BL212="Présent",'POINTAGE'!BM212,0),0)))</f>
      </c>
      <c r="Q212" s="24">
        <f>IF($A212="","",$N212*$D212)</f>
      </c>
      <c r="R212" s="24">
        <f>IF($A212="","",$P212*$E212)</f>
      </c>
      <c r="S212" s="25">
        <f>IF($A212="","",$Q212+$R212)</f>
      </c>
      <c r="T212" s="18"/>
      <c r="U212" s="25">
        <f>IF($A212="","",MAX(0,$S212-$T212))</f>
      </c>
      <c r="V212" s="25">
        <f>IF($A212="","",$K212+$S212)</f>
      </c>
      <c r="W212" s="24">
        <f>IF($A212="","",$L212+$T212)</f>
      </c>
      <c r="X212" s="25">
        <f>IF($A212="","",$M212+$U212)</f>
      </c>
      <c r="Y212" s="29">
        <f>IF($A212="","",$J212+$R212)</f>
      </c>
    </row>
    <row r="213">
      <c r="A213" s="20">
        <f>IF('POINTAGE'!A213="","",'POINTAGE'!A213)</f>
      </c>
      <c r="B213" s="19">
        <f>IF($A213="","",'POINTAGE'!B213)</f>
      </c>
      <c r="C213" s="20">
        <f>IF($A213="","",'POINTAGE'!C213)</f>
      </c>
      <c r="D213" s="24">
        <f>IF($A213="","",IFERROR(INDEX(Categories_Salaire,MATCH($C213,ListeCategories,0)),0))</f>
      </c>
      <c r="E213" s="24">
        <f>IF($A213="","",IF(IFERROR(INDEX(Categories_TauxHS,MATCH($C213,ListeCategories,0)),0)&gt;0,IFERROR(INDEX(Categories_TauxHS,MATCH($C213,ListeCategories,0)),0),TauxHSDefaut))</f>
      </c>
      <c r="F213" s="22">
        <f>IF($A213="","",SUM(IF('POINTAGE'!$D$5&lt;&gt;"",--('POINTAGE'!D213="Présent"),0),IF('POINTAGE'!$F$5&lt;&gt;"",--('POINTAGE'!F213="Présent"),0),IF('POINTAGE'!$H$5&lt;&gt;"",--('POINTAGE'!H213="Présent"),0),IF('POINTAGE'!$J$5&lt;&gt;"",--('POINTAGE'!J213="Présent"),0),IF('POINTAGE'!$L$5&lt;&gt;"",--('POINTAGE'!L213="Présent"),0),IF('POINTAGE'!$N$5&lt;&gt;"",--('POINTAGE'!N213="Présent"),0),IF('POINTAGE'!$P$5&lt;&gt;"",--('POINTAGE'!P213="Présent"),0),IF('POINTAGE'!$R$5&lt;&gt;"",--('POINTAGE'!R213="Présent"),0),IF('POINTAGE'!$T$5&lt;&gt;"",--('POINTAGE'!T213="Présent"),0),IF('POINTAGE'!$V$5&lt;&gt;"",--('POINTAGE'!V213="Présent"),0),IF('POINTAGE'!$X$5&lt;&gt;"",--('POINTAGE'!X213="Présent"),0),IF('POINTAGE'!$Z$5&lt;&gt;"",--('POINTAGE'!Z213="Présent"),0),IF('POINTAGE'!$AB$5&lt;&gt;"",--('POINTAGE'!AB213="Présent"),0),IF('POINTAGE'!$AD$5&lt;&gt;"",--('POINTAGE'!AD213="Présent"),0),IF('POINTAGE'!$AF$5&lt;&gt;"",--('POINTAGE'!AF213="Présent"),0)))</f>
      </c>
      <c r="G213" s="22">
        <f>IF($A213="","",SUM(IF('POINTAGE'!$D$5&lt;&gt;"",--('POINTAGE'!D213="Absent"),0),IF('POINTAGE'!$F$5&lt;&gt;"",--('POINTAGE'!F213="Absent"),0),IF('POINTAGE'!$H$5&lt;&gt;"",--('POINTAGE'!H213="Absent"),0),IF('POINTAGE'!$J$5&lt;&gt;"",--('POINTAGE'!J213="Absent"),0),IF('POINTAGE'!$L$5&lt;&gt;"",--('POINTAGE'!L213="Absent"),0),IF('POINTAGE'!$N$5&lt;&gt;"",--('POINTAGE'!N213="Absent"),0),IF('POINTAGE'!$P$5&lt;&gt;"",--('POINTAGE'!P213="Absent"),0),IF('POINTAGE'!$R$5&lt;&gt;"",--('POINTAGE'!R213="Absent"),0),IF('POINTAGE'!$T$5&lt;&gt;"",--('POINTAGE'!T213="Absent"),0),IF('POINTAGE'!$V$5&lt;&gt;"",--('POINTAGE'!V213="Absent"),0),IF('POINTAGE'!$X$5&lt;&gt;"",--('POINTAGE'!X213="Absent"),0),IF('POINTAGE'!$Z$5&lt;&gt;"",--('POINTAGE'!Z213="Absent"),0),IF('POINTAGE'!$AB$5&lt;&gt;"",--('POINTAGE'!AB213="Absent"),0),IF('POINTAGE'!$AD$5&lt;&gt;"",--('POINTAGE'!AD213="Absent"),0),IF('POINTAGE'!$AF$5&lt;&gt;"",--('POINTAGE'!AF213="Absent"),0)))</f>
      </c>
      <c r="H213" s="23">
        <f>IF($A213="","",SUM(IF('POINTAGE'!$D$5&lt;&gt;"",IF('POINTAGE'!D213="Présent",'POINTAGE'!E213,0),0),IF('POINTAGE'!$F$5&lt;&gt;"",IF('POINTAGE'!F213="Présent",'POINTAGE'!G213,0),0),IF('POINTAGE'!$H$5&lt;&gt;"",IF('POINTAGE'!H213="Présent",'POINTAGE'!I213,0),0),IF('POINTAGE'!$J$5&lt;&gt;"",IF('POINTAGE'!J213="Présent",'POINTAGE'!K213,0),0),IF('POINTAGE'!$L$5&lt;&gt;"",IF('POINTAGE'!L213="Présent",'POINTAGE'!M213,0),0),IF('POINTAGE'!$N$5&lt;&gt;"",IF('POINTAGE'!N213="Présent",'POINTAGE'!O213,0),0),IF('POINTAGE'!$P$5&lt;&gt;"",IF('POINTAGE'!P213="Présent",'POINTAGE'!Q213,0),0),IF('POINTAGE'!$R$5&lt;&gt;"",IF('POINTAGE'!R213="Présent",'POINTAGE'!S213,0),0),IF('POINTAGE'!$T$5&lt;&gt;"",IF('POINTAGE'!T213="Présent",'POINTAGE'!U213,0),0),IF('POINTAGE'!$V$5&lt;&gt;"",IF('POINTAGE'!V213="Présent",'POINTAGE'!W213,0),0),IF('POINTAGE'!$X$5&lt;&gt;"",IF('POINTAGE'!X213="Présent",'POINTAGE'!Y213,0),0),IF('POINTAGE'!$Z$5&lt;&gt;"",IF('POINTAGE'!Z213="Présent",'POINTAGE'!AA213,0),0),IF('POINTAGE'!$AB$5&lt;&gt;"",IF('POINTAGE'!AB213="Présent",'POINTAGE'!AC213,0),0),IF('POINTAGE'!$AD$5&lt;&gt;"",IF('POINTAGE'!AD213="Présent",'POINTAGE'!AE213,0),0),IF('POINTAGE'!$AF$5&lt;&gt;"",IF('POINTAGE'!AF213="Présent",'POINTAGE'!AG213,0),0)))</f>
      </c>
      <c r="I213" s="24">
        <f>IF($A213="","",$F213*$D213)</f>
      </c>
      <c r="J213" s="24">
        <f>IF($A213="","",$H213*$E213)</f>
      </c>
      <c r="K213" s="25">
        <f>IF($A213="","",$I213+$J213)</f>
      </c>
      <c r="L213" s="18"/>
      <c r="M213" s="25">
        <f>IF($A213="","",MAX(0,$K213-$L213))</f>
      </c>
      <c r="N213" s="22">
        <f>IF($A213="","",SUM(IF('POINTAGE'!$AH$5&lt;&gt;"",--('POINTAGE'!AH213="Présent"),0),IF('POINTAGE'!$AJ$5&lt;&gt;"",--('POINTAGE'!AJ213="Présent"),0),IF('POINTAGE'!$AL$5&lt;&gt;"",--('POINTAGE'!AL213="Présent"),0),IF('POINTAGE'!$AN$5&lt;&gt;"",--('POINTAGE'!AN213="Présent"),0),IF('POINTAGE'!$AP$5&lt;&gt;"",--('POINTAGE'!AP213="Présent"),0),IF('POINTAGE'!$AR$5&lt;&gt;"",--('POINTAGE'!AR213="Présent"),0),IF('POINTAGE'!$AT$5&lt;&gt;"",--('POINTAGE'!AT213="Présent"),0),IF('POINTAGE'!$AV$5&lt;&gt;"",--('POINTAGE'!AV213="Présent"),0),IF('POINTAGE'!$AX$5&lt;&gt;"",--('POINTAGE'!AX213="Présent"),0),IF('POINTAGE'!$AZ$5&lt;&gt;"",--('POINTAGE'!AZ213="Présent"),0),IF('POINTAGE'!$BB$5&lt;&gt;"",--('POINTAGE'!BB213="Présent"),0),IF('POINTAGE'!$BD$5&lt;&gt;"",--('POINTAGE'!BD213="Présent"),0),IF('POINTAGE'!$BF$5&lt;&gt;"",--('POINTAGE'!BF213="Présent"),0),IF('POINTAGE'!$BH$5&lt;&gt;"",--('POINTAGE'!BH213="Présent"),0),IF('POINTAGE'!$BJ$5&lt;&gt;"",--('POINTAGE'!BJ213="Présent"),0),IF('POINTAGE'!$BL$5&lt;&gt;"",--('POINTAGE'!BL213="Présent"),0)))</f>
      </c>
      <c r="O213" s="22">
        <f>IF($A213="","",SUM(IF('POINTAGE'!$AH$5&lt;&gt;"",--('POINTAGE'!AH213="Absent"),0),IF('POINTAGE'!$AJ$5&lt;&gt;"",--('POINTAGE'!AJ213="Absent"),0),IF('POINTAGE'!$AL$5&lt;&gt;"",--('POINTAGE'!AL213="Absent"),0),IF('POINTAGE'!$AN$5&lt;&gt;"",--('POINTAGE'!AN213="Absent"),0),IF('POINTAGE'!$AP$5&lt;&gt;"",--('POINTAGE'!AP213="Absent"),0),IF('POINTAGE'!$AR$5&lt;&gt;"",--('POINTAGE'!AR213="Absent"),0),IF('POINTAGE'!$AT$5&lt;&gt;"",--('POINTAGE'!AT213="Absent"),0),IF('POINTAGE'!$AV$5&lt;&gt;"",--('POINTAGE'!AV213="Absent"),0),IF('POINTAGE'!$AX$5&lt;&gt;"",--('POINTAGE'!AX213="Absent"),0),IF('POINTAGE'!$AZ$5&lt;&gt;"",--('POINTAGE'!AZ213="Absent"),0),IF('POINTAGE'!$BB$5&lt;&gt;"",--('POINTAGE'!BB213="Absent"),0),IF('POINTAGE'!$BD$5&lt;&gt;"",--('POINTAGE'!BD213="Absent"),0),IF('POINTAGE'!$BF$5&lt;&gt;"",--('POINTAGE'!BF213="Absent"),0),IF('POINTAGE'!$BH$5&lt;&gt;"",--('POINTAGE'!BH213="Absent"),0),IF('POINTAGE'!$BJ$5&lt;&gt;"",--('POINTAGE'!BJ213="Absent"),0),IF('POINTAGE'!$BL$5&lt;&gt;"",--('POINTAGE'!BL213="Absent"),0)))</f>
      </c>
      <c r="P213" s="23">
        <f>IF($A213="","",SUM(IF('POINTAGE'!$AH$5&lt;&gt;"",IF('POINTAGE'!AH213="Présent",'POINTAGE'!AI213,0),0),IF('POINTAGE'!$AJ$5&lt;&gt;"",IF('POINTAGE'!AJ213="Présent",'POINTAGE'!AK213,0),0),IF('POINTAGE'!$AL$5&lt;&gt;"",IF('POINTAGE'!AL213="Présent",'POINTAGE'!AM213,0),0),IF('POINTAGE'!$AN$5&lt;&gt;"",IF('POINTAGE'!AN213="Présent",'POINTAGE'!AO213,0),0),IF('POINTAGE'!$AP$5&lt;&gt;"",IF('POINTAGE'!AP213="Présent",'POINTAGE'!AQ213,0),0),IF('POINTAGE'!$AR$5&lt;&gt;"",IF('POINTAGE'!AR213="Présent",'POINTAGE'!AS213,0),0),IF('POINTAGE'!$AT$5&lt;&gt;"",IF('POINTAGE'!AT213="Présent",'POINTAGE'!AU213,0),0),IF('POINTAGE'!$AV$5&lt;&gt;"",IF('POINTAGE'!AV213="Présent",'POINTAGE'!AW213,0),0),IF('POINTAGE'!$AX$5&lt;&gt;"",IF('POINTAGE'!AX213="Présent",'POINTAGE'!AY213,0),0),IF('POINTAGE'!$AZ$5&lt;&gt;"",IF('POINTAGE'!AZ213="Présent",'POINTAGE'!BA213,0),0),IF('POINTAGE'!$BB$5&lt;&gt;"",IF('POINTAGE'!BB213="Présent",'POINTAGE'!BC213,0),0),IF('POINTAGE'!$BD$5&lt;&gt;"",IF('POINTAGE'!BD213="Présent",'POINTAGE'!BE213,0),0),IF('POINTAGE'!$BF$5&lt;&gt;"",IF('POINTAGE'!BF213="Présent",'POINTAGE'!BG213,0),0),IF('POINTAGE'!$BH$5&lt;&gt;"",IF('POINTAGE'!BH213="Présent",'POINTAGE'!BI213,0),0),IF('POINTAGE'!$BJ$5&lt;&gt;"",IF('POINTAGE'!BJ213="Présent",'POINTAGE'!BK213,0),0),IF('POINTAGE'!$BL$5&lt;&gt;"",IF('POINTAGE'!BL213="Présent",'POINTAGE'!BM213,0),0)))</f>
      </c>
      <c r="Q213" s="24">
        <f>IF($A213="","",$N213*$D213)</f>
      </c>
      <c r="R213" s="24">
        <f>IF($A213="","",$P213*$E213)</f>
      </c>
      <c r="S213" s="25">
        <f>IF($A213="","",$Q213+$R213)</f>
      </c>
      <c r="T213" s="18"/>
      <c r="U213" s="25">
        <f>IF($A213="","",MAX(0,$S213-$T213))</f>
      </c>
      <c r="V213" s="25">
        <f>IF($A213="","",$K213+$S213)</f>
      </c>
      <c r="W213" s="24">
        <f>IF($A213="","",$L213+$T213)</f>
      </c>
      <c r="X213" s="25">
        <f>IF($A213="","",$M213+$U213)</f>
      </c>
      <c r="Y213" s="29">
        <f>IF($A213="","",$J213+$R213)</f>
      </c>
    </row>
    <row r="214">
      <c r="A214" s="20">
        <f>IF('POINTAGE'!A214="","",'POINTAGE'!A214)</f>
      </c>
      <c r="B214" s="19">
        <f>IF($A214="","",'POINTAGE'!B214)</f>
      </c>
      <c r="C214" s="20">
        <f>IF($A214="","",'POINTAGE'!C214)</f>
      </c>
      <c r="D214" s="24">
        <f>IF($A214="","",IFERROR(INDEX(Categories_Salaire,MATCH($C214,ListeCategories,0)),0))</f>
      </c>
      <c r="E214" s="24">
        <f>IF($A214="","",IF(IFERROR(INDEX(Categories_TauxHS,MATCH($C214,ListeCategories,0)),0)&gt;0,IFERROR(INDEX(Categories_TauxHS,MATCH($C214,ListeCategories,0)),0),TauxHSDefaut))</f>
      </c>
      <c r="F214" s="22">
        <f>IF($A214="","",SUM(IF('POINTAGE'!$D$5&lt;&gt;"",--('POINTAGE'!D214="Présent"),0),IF('POINTAGE'!$F$5&lt;&gt;"",--('POINTAGE'!F214="Présent"),0),IF('POINTAGE'!$H$5&lt;&gt;"",--('POINTAGE'!H214="Présent"),0),IF('POINTAGE'!$J$5&lt;&gt;"",--('POINTAGE'!J214="Présent"),0),IF('POINTAGE'!$L$5&lt;&gt;"",--('POINTAGE'!L214="Présent"),0),IF('POINTAGE'!$N$5&lt;&gt;"",--('POINTAGE'!N214="Présent"),0),IF('POINTAGE'!$P$5&lt;&gt;"",--('POINTAGE'!P214="Présent"),0),IF('POINTAGE'!$R$5&lt;&gt;"",--('POINTAGE'!R214="Présent"),0),IF('POINTAGE'!$T$5&lt;&gt;"",--('POINTAGE'!T214="Présent"),0),IF('POINTAGE'!$V$5&lt;&gt;"",--('POINTAGE'!V214="Présent"),0),IF('POINTAGE'!$X$5&lt;&gt;"",--('POINTAGE'!X214="Présent"),0),IF('POINTAGE'!$Z$5&lt;&gt;"",--('POINTAGE'!Z214="Présent"),0),IF('POINTAGE'!$AB$5&lt;&gt;"",--('POINTAGE'!AB214="Présent"),0),IF('POINTAGE'!$AD$5&lt;&gt;"",--('POINTAGE'!AD214="Présent"),0),IF('POINTAGE'!$AF$5&lt;&gt;"",--('POINTAGE'!AF214="Présent"),0)))</f>
      </c>
      <c r="G214" s="22">
        <f>IF($A214="","",SUM(IF('POINTAGE'!$D$5&lt;&gt;"",--('POINTAGE'!D214="Absent"),0),IF('POINTAGE'!$F$5&lt;&gt;"",--('POINTAGE'!F214="Absent"),0),IF('POINTAGE'!$H$5&lt;&gt;"",--('POINTAGE'!H214="Absent"),0),IF('POINTAGE'!$J$5&lt;&gt;"",--('POINTAGE'!J214="Absent"),0),IF('POINTAGE'!$L$5&lt;&gt;"",--('POINTAGE'!L214="Absent"),0),IF('POINTAGE'!$N$5&lt;&gt;"",--('POINTAGE'!N214="Absent"),0),IF('POINTAGE'!$P$5&lt;&gt;"",--('POINTAGE'!P214="Absent"),0),IF('POINTAGE'!$R$5&lt;&gt;"",--('POINTAGE'!R214="Absent"),0),IF('POINTAGE'!$T$5&lt;&gt;"",--('POINTAGE'!T214="Absent"),0),IF('POINTAGE'!$V$5&lt;&gt;"",--('POINTAGE'!V214="Absent"),0),IF('POINTAGE'!$X$5&lt;&gt;"",--('POINTAGE'!X214="Absent"),0),IF('POINTAGE'!$Z$5&lt;&gt;"",--('POINTAGE'!Z214="Absent"),0),IF('POINTAGE'!$AB$5&lt;&gt;"",--('POINTAGE'!AB214="Absent"),0),IF('POINTAGE'!$AD$5&lt;&gt;"",--('POINTAGE'!AD214="Absent"),0),IF('POINTAGE'!$AF$5&lt;&gt;"",--('POINTAGE'!AF214="Absent"),0)))</f>
      </c>
      <c r="H214" s="23">
        <f>IF($A214="","",SUM(IF('POINTAGE'!$D$5&lt;&gt;"",IF('POINTAGE'!D214="Présent",'POINTAGE'!E214,0),0),IF('POINTAGE'!$F$5&lt;&gt;"",IF('POINTAGE'!F214="Présent",'POINTAGE'!G214,0),0),IF('POINTAGE'!$H$5&lt;&gt;"",IF('POINTAGE'!H214="Présent",'POINTAGE'!I214,0),0),IF('POINTAGE'!$J$5&lt;&gt;"",IF('POINTAGE'!J214="Présent",'POINTAGE'!K214,0),0),IF('POINTAGE'!$L$5&lt;&gt;"",IF('POINTAGE'!L214="Présent",'POINTAGE'!M214,0),0),IF('POINTAGE'!$N$5&lt;&gt;"",IF('POINTAGE'!N214="Présent",'POINTAGE'!O214,0),0),IF('POINTAGE'!$P$5&lt;&gt;"",IF('POINTAGE'!P214="Présent",'POINTAGE'!Q214,0),0),IF('POINTAGE'!$R$5&lt;&gt;"",IF('POINTAGE'!R214="Présent",'POINTAGE'!S214,0),0),IF('POINTAGE'!$T$5&lt;&gt;"",IF('POINTAGE'!T214="Présent",'POINTAGE'!U214,0),0),IF('POINTAGE'!$V$5&lt;&gt;"",IF('POINTAGE'!V214="Présent",'POINTAGE'!W214,0),0),IF('POINTAGE'!$X$5&lt;&gt;"",IF('POINTAGE'!X214="Présent",'POINTAGE'!Y214,0),0),IF('POINTAGE'!$Z$5&lt;&gt;"",IF('POINTAGE'!Z214="Présent",'POINTAGE'!AA214,0),0),IF('POINTAGE'!$AB$5&lt;&gt;"",IF('POINTAGE'!AB214="Présent",'POINTAGE'!AC214,0),0),IF('POINTAGE'!$AD$5&lt;&gt;"",IF('POINTAGE'!AD214="Présent",'POINTAGE'!AE214,0),0),IF('POINTAGE'!$AF$5&lt;&gt;"",IF('POINTAGE'!AF214="Présent",'POINTAGE'!AG214,0),0)))</f>
      </c>
      <c r="I214" s="24">
        <f>IF($A214="","",$F214*$D214)</f>
      </c>
      <c r="J214" s="24">
        <f>IF($A214="","",$H214*$E214)</f>
      </c>
      <c r="K214" s="25">
        <f>IF($A214="","",$I214+$J214)</f>
      </c>
      <c r="L214" s="18"/>
      <c r="M214" s="25">
        <f>IF($A214="","",MAX(0,$K214-$L214))</f>
      </c>
      <c r="N214" s="22">
        <f>IF($A214="","",SUM(IF('POINTAGE'!$AH$5&lt;&gt;"",--('POINTAGE'!AH214="Présent"),0),IF('POINTAGE'!$AJ$5&lt;&gt;"",--('POINTAGE'!AJ214="Présent"),0),IF('POINTAGE'!$AL$5&lt;&gt;"",--('POINTAGE'!AL214="Présent"),0),IF('POINTAGE'!$AN$5&lt;&gt;"",--('POINTAGE'!AN214="Présent"),0),IF('POINTAGE'!$AP$5&lt;&gt;"",--('POINTAGE'!AP214="Présent"),0),IF('POINTAGE'!$AR$5&lt;&gt;"",--('POINTAGE'!AR214="Présent"),0),IF('POINTAGE'!$AT$5&lt;&gt;"",--('POINTAGE'!AT214="Présent"),0),IF('POINTAGE'!$AV$5&lt;&gt;"",--('POINTAGE'!AV214="Présent"),0),IF('POINTAGE'!$AX$5&lt;&gt;"",--('POINTAGE'!AX214="Présent"),0),IF('POINTAGE'!$AZ$5&lt;&gt;"",--('POINTAGE'!AZ214="Présent"),0),IF('POINTAGE'!$BB$5&lt;&gt;"",--('POINTAGE'!BB214="Présent"),0),IF('POINTAGE'!$BD$5&lt;&gt;"",--('POINTAGE'!BD214="Présent"),0),IF('POINTAGE'!$BF$5&lt;&gt;"",--('POINTAGE'!BF214="Présent"),0),IF('POINTAGE'!$BH$5&lt;&gt;"",--('POINTAGE'!BH214="Présent"),0),IF('POINTAGE'!$BJ$5&lt;&gt;"",--('POINTAGE'!BJ214="Présent"),0),IF('POINTAGE'!$BL$5&lt;&gt;"",--('POINTAGE'!BL214="Présent"),0)))</f>
      </c>
      <c r="O214" s="22">
        <f>IF($A214="","",SUM(IF('POINTAGE'!$AH$5&lt;&gt;"",--('POINTAGE'!AH214="Absent"),0),IF('POINTAGE'!$AJ$5&lt;&gt;"",--('POINTAGE'!AJ214="Absent"),0),IF('POINTAGE'!$AL$5&lt;&gt;"",--('POINTAGE'!AL214="Absent"),0),IF('POINTAGE'!$AN$5&lt;&gt;"",--('POINTAGE'!AN214="Absent"),0),IF('POINTAGE'!$AP$5&lt;&gt;"",--('POINTAGE'!AP214="Absent"),0),IF('POINTAGE'!$AR$5&lt;&gt;"",--('POINTAGE'!AR214="Absent"),0),IF('POINTAGE'!$AT$5&lt;&gt;"",--('POINTAGE'!AT214="Absent"),0),IF('POINTAGE'!$AV$5&lt;&gt;"",--('POINTAGE'!AV214="Absent"),0),IF('POINTAGE'!$AX$5&lt;&gt;"",--('POINTAGE'!AX214="Absent"),0),IF('POINTAGE'!$AZ$5&lt;&gt;"",--('POINTAGE'!AZ214="Absent"),0),IF('POINTAGE'!$BB$5&lt;&gt;"",--('POINTAGE'!BB214="Absent"),0),IF('POINTAGE'!$BD$5&lt;&gt;"",--('POINTAGE'!BD214="Absent"),0),IF('POINTAGE'!$BF$5&lt;&gt;"",--('POINTAGE'!BF214="Absent"),0),IF('POINTAGE'!$BH$5&lt;&gt;"",--('POINTAGE'!BH214="Absent"),0),IF('POINTAGE'!$BJ$5&lt;&gt;"",--('POINTAGE'!BJ214="Absent"),0),IF('POINTAGE'!$BL$5&lt;&gt;"",--('POINTAGE'!BL214="Absent"),0)))</f>
      </c>
      <c r="P214" s="23">
        <f>IF($A214="","",SUM(IF('POINTAGE'!$AH$5&lt;&gt;"",IF('POINTAGE'!AH214="Présent",'POINTAGE'!AI214,0),0),IF('POINTAGE'!$AJ$5&lt;&gt;"",IF('POINTAGE'!AJ214="Présent",'POINTAGE'!AK214,0),0),IF('POINTAGE'!$AL$5&lt;&gt;"",IF('POINTAGE'!AL214="Présent",'POINTAGE'!AM214,0),0),IF('POINTAGE'!$AN$5&lt;&gt;"",IF('POINTAGE'!AN214="Présent",'POINTAGE'!AO214,0),0),IF('POINTAGE'!$AP$5&lt;&gt;"",IF('POINTAGE'!AP214="Présent",'POINTAGE'!AQ214,0),0),IF('POINTAGE'!$AR$5&lt;&gt;"",IF('POINTAGE'!AR214="Présent",'POINTAGE'!AS214,0),0),IF('POINTAGE'!$AT$5&lt;&gt;"",IF('POINTAGE'!AT214="Présent",'POINTAGE'!AU214,0),0),IF('POINTAGE'!$AV$5&lt;&gt;"",IF('POINTAGE'!AV214="Présent",'POINTAGE'!AW214,0),0),IF('POINTAGE'!$AX$5&lt;&gt;"",IF('POINTAGE'!AX214="Présent",'POINTAGE'!AY214,0),0),IF('POINTAGE'!$AZ$5&lt;&gt;"",IF('POINTAGE'!AZ214="Présent",'POINTAGE'!BA214,0),0),IF('POINTAGE'!$BB$5&lt;&gt;"",IF('POINTAGE'!BB214="Présent",'POINTAGE'!BC214,0),0),IF('POINTAGE'!$BD$5&lt;&gt;"",IF('POINTAGE'!BD214="Présent",'POINTAGE'!BE214,0),0),IF('POINTAGE'!$BF$5&lt;&gt;"",IF('POINTAGE'!BF214="Présent",'POINTAGE'!BG214,0),0),IF('POINTAGE'!$BH$5&lt;&gt;"",IF('POINTAGE'!BH214="Présent",'POINTAGE'!BI214,0),0),IF('POINTAGE'!$BJ$5&lt;&gt;"",IF('POINTAGE'!BJ214="Présent",'POINTAGE'!BK214,0),0),IF('POINTAGE'!$BL$5&lt;&gt;"",IF('POINTAGE'!BL214="Présent",'POINTAGE'!BM214,0),0)))</f>
      </c>
      <c r="Q214" s="24">
        <f>IF($A214="","",$N214*$D214)</f>
      </c>
      <c r="R214" s="24">
        <f>IF($A214="","",$P214*$E214)</f>
      </c>
      <c r="S214" s="25">
        <f>IF($A214="","",$Q214+$R214)</f>
      </c>
      <c r="T214" s="18"/>
      <c r="U214" s="25">
        <f>IF($A214="","",MAX(0,$S214-$T214))</f>
      </c>
      <c r="V214" s="25">
        <f>IF($A214="","",$K214+$S214)</f>
      </c>
      <c r="W214" s="24">
        <f>IF($A214="","",$L214+$T214)</f>
      </c>
      <c r="X214" s="25">
        <f>IF($A214="","",$M214+$U214)</f>
      </c>
      <c r="Y214" s="29">
        <f>IF($A214="","",$J214+$R214)</f>
      </c>
    </row>
    <row r="215">
      <c r="A215" s="20">
        <f>IF('POINTAGE'!A215="","",'POINTAGE'!A215)</f>
      </c>
      <c r="B215" s="19">
        <f>IF($A215="","",'POINTAGE'!B215)</f>
      </c>
      <c r="C215" s="20">
        <f>IF($A215="","",'POINTAGE'!C215)</f>
      </c>
      <c r="D215" s="24">
        <f>IF($A215="","",IFERROR(INDEX(Categories_Salaire,MATCH($C215,ListeCategories,0)),0))</f>
      </c>
      <c r="E215" s="24">
        <f>IF($A215="","",IF(IFERROR(INDEX(Categories_TauxHS,MATCH($C215,ListeCategories,0)),0)&gt;0,IFERROR(INDEX(Categories_TauxHS,MATCH($C215,ListeCategories,0)),0),TauxHSDefaut))</f>
      </c>
      <c r="F215" s="22">
        <f>IF($A215="","",SUM(IF('POINTAGE'!$D$5&lt;&gt;"",--('POINTAGE'!D215="Présent"),0),IF('POINTAGE'!$F$5&lt;&gt;"",--('POINTAGE'!F215="Présent"),0),IF('POINTAGE'!$H$5&lt;&gt;"",--('POINTAGE'!H215="Présent"),0),IF('POINTAGE'!$J$5&lt;&gt;"",--('POINTAGE'!J215="Présent"),0),IF('POINTAGE'!$L$5&lt;&gt;"",--('POINTAGE'!L215="Présent"),0),IF('POINTAGE'!$N$5&lt;&gt;"",--('POINTAGE'!N215="Présent"),0),IF('POINTAGE'!$P$5&lt;&gt;"",--('POINTAGE'!P215="Présent"),0),IF('POINTAGE'!$R$5&lt;&gt;"",--('POINTAGE'!R215="Présent"),0),IF('POINTAGE'!$T$5&lt;&gt;"",--('POINTAGE'!T215="Présent"),0),IF('POINTAGE'!$V$5&lt;&gt;"",--('POINTAGE'!V215="Présent"),0),IF('POINTAGE'!$X$5&lt;&gt;"",--('POINTAGE'!X215="Présent"),0),IF('POINTAGE'!$Z$5&lt;&gt;"",--('POINTAGE'!Z215="Présent"),0),IF('POINTAGE'!$AB$5&lt;&gt;"",--('POINTAGE'!AB215="Présent"),0),IF('POINTAGE'!$AD$5&lt;&gt;"",--('POINTAGE'!AD215="Présent"),0),IF('POINTAGE'!$AF$5&lt;&gt;"",--('POINTAGE'!AF215="Présent"),0)))</f>
      </c>
      <c r="G215" s="22">
        <f>IF($A215="","",SUM(IF('POINTAGE'!$D$5&lt;&gt;"",--('POINTAGE'!D215="Absent"),0),IF('POINTAGE'!$F$5&lt;&gt;"",--('POINTAGE'!F215="Absent"),0),IF('POINTAGE'!$H$5&lt;&gt;"",--('POINTAGE'!H215="Absent"),0),IF('POINTAGE'!$J$5&lt;&gt;"",--('POINTAGE'!J215="Absent"),0),IF('POINTAGE'!$L$5&lt;&gt;"",--('POINTAGE'!L215="Absent"),0),IF('POINTAGE'!$N$5&lt;&gt;"",--('POINTAGE'!N215="Absent"),0),IF('POINTAGE'!$P$5&lt;&gt;"",--('POINTAGE'!P215="Absent"),0),IF('POINTAGE'!$R$5&lt;&gt;"",--('POINTAGE'!R215="Absent"),0),IF('POINTAGE'!$T$5&lt;&gt;"",--('POINTAGE'!T215="Absent"),0),IF('POINTAGE'!$V$5&lt;&gt;"",--('POINTAGE'!V215="Absent"),0),IF('POINTAGE'!$X$5&lt;&gt;"",--('POINTAGE'!X215="Absent"),0),IF('POINTAGE'!$Z$5&lt;&gt;"",--('POINTAGE'!Z215="Absent"),0),IF('POINTAGE'!$AB$5&lt;&gt;"",--('POINTAGE'!AB215="Absent"),0),IF('POINTAGE'!$AD$5&lt;&gt;"",--('POINTAGE'!AD215="Absent"),0),IF('POINTAGE'!$AF$5&lt;&gt;"",--('POINTAGE'!AF215="Absent"),0)))</f>
      </c>
      <c r="H215" s="23">
        <f>IF($A215="","",SUM(IF('POINTAGE'!$D$5&lt;&gt;"",IF('POINTAGE'!D215="Présent",'POINTAGE'!E215,0),0),IF('POINTAGE'!$F$5&lt;&gt;"",IF('POINTAGE'!F215="Présent",'POINTAGE'!G215,0),0),IF('POINTAGE'!$H$5&lt;&gt;"",IF('POINTAGE'!H215="Présent",'POINTAGE'!I215,0),0),IF('POINTAGE'!$J$5&lt;&gt;"",IF('POINTAGE'!J215="Présent",'POINTAGE'!K215,0),0),IF('POINTAGE'!$L$5&lt;&gt;"",IF('POINTAGE'!L215="Présent",'POINTAGE'!M215,0),0),IF('POINTAGE'!$N$5&lt;&gt;"",IF('POINTAGE'!N215="Présent",'POINTAGE'!O215,0),0),IF('POINTAGE'!$P$5&lt;&gt;"",IF('POINTAGE'!P215="Présent",'POINTAGE'!Q215,0),0),IF('POINTAGE'!$R$5&lt;&gt;"",IF('POINTAGE'!R215="Présent",'POINTAGE'!S215,0),0),IF('POINTAGE'!$T$5&lt;&gt;"",IF('POINTAGE'!T215="Présent",'POINTAGE'!U215,0),0),IF('POINTAGE'!$V$5&lt;&gt;"",IF('POINTAGE'!V215="Présent",'POINTAGE'!W215,0),0),IF('POINTAGE'!$X$5&lt;&gt;"",IF('POINTAGE'!X215="Présent",'POINTAGE'!Y215,0),0),IF('POINTAGE'!$Z$5&lt;&gt;"",IF('POINTAGE'!Z215="Présent",'POINTAGE'!AA215,0),0),IF('POINTAGE'!$AB$5&lt;&gt;"",IF('POINTAGE'!AB215="Présent",'POINTAGE'!AC215,0),0),IF('POINTAGE'!$AD$5&lt;&gt;"",IF('POINTAGE'!AD215="Présent",'POINTAGE'!AE215,0),0),IF('POINTAGE'!$AF$5&lt;&gt;"",IF('POINTAGE'!AF215="Présent",'POINTAGE'!AG215,0),0)))</f>
      </c>
      <c r="I215" s="24">
        <f>IF($A215="","",$F215*$D215)</f>
      </c>
      <c r="J215" s="24">
        <f>IF($A215="","",$H215*$E215)</f>
      </c>
      <c r="K215" s="25">
        <f>IF($A215="","",$I215+$J215)</f>
      </c>
      <c r="L215" s="18"/>
      <c r="M215" s="25">
        <f>IF($A215="","",MAX(0,$K215-$L215))</f>
      </c>
      <c r="N215" s="22">
        <f>IF($A215="","",SUM(IF('POINTAGE'!$AH$5&lt;&gt;"",--('POINTAGE'!AH215="Présent"),0),IF('POINTAGE'!$AJ$5&lt;&gt;"",--('POINTAGE'!AJ215="Présent"),0),IF('POINTAGE'!$AL$5&lt;&gt;"",--('POINTAGE'!AL215="Présent"),0),IF('POINTAGE'!$AN$5&lt;&gt;"",--('POINTAGE'!AN215="Présent"),0),IF('POINTAGE'!$AP$5&lt;&gt;"",--('POINTAGE'!AP215="Présent"),0),IF('POINTAGE'!$AR$5&lt;&gt;"",--('POINTAGE'!AR215="Présent"),0),IF('POINTAGE'!$AT$5&lt;&gt;"",--('POINTAGE'!AT215="Présent"),0),IF('POINTAGE'!$AV$5&lt;&gt;"",--('POINTAGE'!AV215="Présent"),0),IF('POINTAGE'!$AX$5&lt;&gt;"",--('POINTAGE'!AX215="Présent"),0),IF('POINTAGE'!$AZ$5&lt;&gt;"",--('POINTAGE'!AZ215="Présent"),0),IF('POINTAGE'!$BB$5&lt;&gt;"",--('POINTAGE'!BB215="Présent"),0),IF('POINTAGE'!$BD$5&lt;&gt;"",--('POINTAGE'!BD215="Présent"),0),IF('POINTAGE'!$BF$5&lt;&gt;"",--('POINTAGE'!BF215="Présent"),0),IF('POINTAGE'!$BH$5&lt;&gt;"",--('POINTAGE'!BH215="Présent"),0),IF('POINTAGE'!$BJ$5&lt;&gt;"",--('POINTAGE'!BJ215="Présent"),0),IF('POINTAGE'!$BL$5&lt;&gt;"",--('POINTAGE'!BL215="Présent"),0)))</f>
      </c>
      <c r="O215" s="22">
        <f>IF($A215="","",SUM(IF('POINTAGE'!$AH$5&lt;&gt;"",--('POINTAGE'!AH215="Absent"),0),IF('POINTAGE'!$AJ$5&lt;&gt;"",--('POINTAGE'!AJ215="Absent"),0),IF('POINTAGE'!$AL$5&lt;&gt;"",--('POINTAGE'!AL215="Absent"),0),IF('POINTAGE'!$AN$5&lt;&gt;"",--('POINTAGE'!AN215="Absent"),0),IF('POINTAGE'!$AP$5&lt;&gt;"",--('POINTAGE'!AP215="Absent"),0),IF('POINTAGE'!$AR$5&lt;&gt;"",--('POINTAGE'!AR215="Absent"),0),IF('POINTAGE'!$AT$5&lt;&gt;"",--('POINTAGE'!AT215="Absent"),0),IF('POINTAGE'!$AV$5&lt;&gt;"",--('POINTAGE'!AV215="Absent"),0),IF('POINTAGE'!$AX$5&lt;&gt;"",--('POINTAGE'!AX215="Absent"),0),IF('POINTAGE'!$AZ$5&lt;&gt;"",--('POINTAGE'!AZ215="Absent"),0),IF('POINTAGE'!$BB$5&lt;&gt;"",--('POINTAGE'!BB215="Absent"),0),IF('POINTAGE'!$BD$5&lt;&gt;"",--('POINTAGE'!BD215="Absent"),0),IF('POINTAGE'!$BF$5&lt;&gt;"",--('POINTAGE'!BF215="Absent"),0),IF('POINTAGE'!$BH$5&lt;&gt;"",--('POINTAGE'!BH215="Absent"),0),IF('POINTAGE'!$BJ$5&lt;&gt;"",--('POINTAGE'!BJ215="Absent"),0),IF('POINTAGE'!$BL$5&lt;&gt;"",--('POINTAGE'!BL215="Absent"),0)))</f>
      </c>
      <c r="P215" s="23">
        <f>IF($A215="","",SUM(IF('POINTAGE'!$AH$5&lt;&gt;"",IF('POINTAGE'!AH215="Présent",'POINTAGE'!AI215,0),0),IF('POINTAGE'!$AJ$5&lt;&gt;"",IF('POINTAGE'!AJ215="Présent",'POINTAGE'!AK215,0),0),IF('POINTAGE'!$AL$5&lt;&gt;"",IF('POINTAGE'!AL215="Présent",'POINTAGE'!AM215,0),0),IF('POINTAGE'!$AN$5&lt;&gt;"",IF('POINTAGE'!AN215="Présent",'POINTAGE'!AO215,0),0),IF('POINTAGE'!$AP$5&lt;&gt;"",IF('POINTAGE'!AP215="Présent",'POINTAGE'!AQ215,0),0),IF('POINTAGE'!$AR$5&lt;&gt;"",IF('POINTAGE'!AR215="Présent",'POINTAGE'!AS215,0),0),IF('POINTAGE'!$AT$5&lt;&gt;"",IF('POINTAGE'!AT215="Présent",'POINTAGE'!AU215,0),0),IF('POINTAGE'!$AV$5&lt;&gt;"",IF('POINTAGE'!AV215="Présent",'POINTAGE'!AW215,0),0),IF('POINTAGE'!$AX$5&lt;&gt;"",IF('POINTAGE'!AX215="Présent",'POINTAGE'!AY215,0),0),IF('POINTAGE'!$AZ$5&lt;&gt;"",IF('POINTAGE'!AZ215="Présent",'POINTAGE'!BA215,0),0),IF('POINTAGE'!$BB$5&lt;&gt;"",IF('POINTAGE'!BB215="Présent",'POINTAGE'!BC215,0),0),IF('POINTAGE'!$BD$5&lt;&gt;"",IF('POINTAGE'!BD215="Présent",'POINTAGE'!BE215,0),0),IF('POINTAGE'!$BF$5&lt;&gt;"",IF('POINTAGE'!BF215="Présent",'POINTAGE'!BG215,0),0),IF('POINTAGE'!$BH$5&lt;&gt;"",IF('POINTAGE'!BH215="Présent",'POINTAGE'!BI215,0),0),IF('POINTAGE'!$BJ$5&lt;&gt;"",IF('POINTAGE'!BJ215="Présent",'POINTAGE'!BK215,0),0),IF('POINTAGE'!$BL$5&lt;&gt;"",IF('POINTAGE'!BL215="Présent",'POINTAGE'!BM215,0),0)))</f>
      </c>
      <c r="Q215" s="24">
        <f>IF($A215="","",$N215*$D215)</f>
      </c>
      <c r="R215" s="24">
        <f>IF($A215="","",$P215*$E215)</f>
      </c>
      <c r="S215" s="25">
        <f>IF($A215="","",$Q215+$R215)</f>
      </c>
      <c r="T215" s="18"/>
      <c r="U215" s="25">
        <f>IF($A215="","",MAX(0,$S215-$T215))</f>
      </c>
      <c r="V215" s="25">
        <f>IF($A215="","",$K215+$S215)</f>
      </c>
      <c r="W215" s="24">
        <f>IF($A215="","",$L215+$T215)</f>
      </c>
      <c r="X215" s="25">
        <f>IF($A215="","",$M215+$U215)</f>
      </c>
      <c r="Y215" s="29">
        <f>IF($A215="","",$J215+$R215)</f>
      </c>
    </row>
    <row r="216">
      <c r="A216" s="20">
        <f>IF('POINTAGE'!A216="","",'POINTAGE'!A216)</f>
      </c>
      <c r="B216" s="19">
        <f>IF($A216="","",'POINTAGE'!B216)</f>
      </c>
      <c r="C216" s="20">
        <f>IF($A216="","",'POINTAGE'!C216)</f>
      </c>
      <c r="D216" s="24">
        <f>IF($A216="","",IFERROR(INDEX(Categories_Salaire,MATCH($C216,ListeCategories,0)),0))</f>
      </c>
      <c r="E216" s="24">
        <f>IF($A216="","",IF(IFERROR(INDEX(Categories_TauxHS,MATCH($C216,ListeCategories,0)),0)&gt;0,IFERROR(INDEX(Categories_TauxHS,MATCH($C216,ListeCategories,0)),0),TauxHSDefaut))</f>
      </c>
      <c r="F216" s="22">
        <f>IF($A216="","",SUM(IF('POINTAGE'!$D$5&lt;&gt;"",--('POINTAGE'!D216="Présent"),0),IF('POINTAGE'!$F$5&lt;&gt;"",--('POINTAGE'!F216="Présent"),0),IF('POINTAGE'!$H$5&lt;&gt;"",--('POINTAGE'!H216="Présent"),0),IF('POINTAGE'!$J$5&lt;&gt;"",--('POINTAGE'!J216="Présent"),0),IF('POINTAGE'!$L$5&lt;&gt;"",--('POINTAGE'!L216="Présent"),0),IF('POINTAGE'!$N$5&lt;&gt;"",--('POINTAGE'!N216="Présent"),0),IF('POINTAGE'!$P$5&lt;&gt;"",--('POINTAGE'!P216="Présent"),0),IF('POINTAGE'!$R$5&lt;&gt;"",--('POINTAGE'!R216="Présent"),0),IF('POINTAGE'!$T$5&lt;&gt;"",--('POINTAGE'!T216="Présent"),0),IF('POINTAGE'!$V$5&lt;&gt;"",--('POINTAGE'!V216="Présent"),0),IF('POINTAGE'!$X$5&lt;&gt;"",--('POINTAGE'!X216="Présent"),0),IF('POINTAGE'!$Z$5&lt;&gt;"",--('POINTAGE'!Z216="Présent"),0),IF('POINTAGE'!$AB$5&lt;&gt;"",--('POINTAGE'!AB216="Présent"),0),IF('POINTAGE'!$AD$5&lt;&gt;"",--('POINTAGE'!AD216="Présent"),0),IF('POINTAGE'!$AF$5&lt;&gt;"",--('POINTAGE'!AF216="Présent"),0)))</f>
      </c>
      <c r="G216" s="22">
        <f>IF($A216="","",SUM(IF('POINTAGE'!$D$5&lt;&gt;"",--('POINTAGE'!D216="Absent"),0),IF('POINTAGE'!$F$5&lt;&gt;"",--('POINTAGE'!F216="Absent"),0),IF('POINTAGE'!$H$5&lt;&gt;"",--('POINTAGE'!H216="Absent"),0),IF('POINTAGE'!$J$5&lt;&gt;"",--('POINTAGE'!J216="Absent"),0),IF('POINTAGE'!$L$5&lt;&gt;"",--('POINTAGE'!L216="Absent"),0),IF('POINTAGE'!$N$5&lt;&gt;"",--('POINTAGE'!N216="Absent"),0),IF('POINTAGE'!$P$5&lt;&gt;"",--('POINTAGE'!P216="Absent"),0),IF('POINTAGE'!$R$5&lt;&gt;"",--('POINTAGE'!R216="Absent"),0),IF('POINTAGE'!$T$5&lt;&gt;"",--('POINTAGE'!T216="Absent"),0),IF('POINTAGE'!$V$5&lt;&gt;"",--('POINTAGE'!V216="Absent"),0),IF('POINTAGE'!$X$5&lt;&gt;"",--('POINTAGE'!X216="Absent"),0),IF('POINTAGE'!$Z$5&lt;&gt;"",--('POINTAGE'!Z216="Absent"),0),IF('POINTAGE'!$AB$5&lt;&gt;"",--('POINTAGE'!AB216="Absent"),0),IF('POINTAGE'!$AD$5&lt;&gt;"",--('POINTAGE'!AD216="Absent"),0),IF('POINTAGE'!$AF$5&lt;&gt;"",--('POINTAGE'!AF216="Absent"),0)))</f>
      </c>
      <c r="H216" s="23">
        <f>IF($A216="","",SUM(IF('POINTAGE'!$D$5&lt;&gt;"",IF('POINTAGE'!D216="Présent",'POINTAGE'!E216,0),0),IF('POINTAGE'!$F$5&lt;&gt;"",IF('POINTAGE'!F216="Présent",'POINTAGE'!G216,0),0),IF('POINTAGE'!$H$5&lt;&gt;"",IF('POINTAGE'!H216="Présent",'POINTAGE'!I216,0),0),IF('POINTAGE'!$J$5&lt;&gt;"",IF('POINTAGE'!J216="Présent",'POINTAGE'!K216,0),0),IF('POINTAGE'!$L$5&lt;&gt;"",IF('POINTAGE'!L216="Présent",'POINTAGE'!M216,0),0),IF('POINTAGE'!$N$5&lt;&gt;"",IF('POINTAGE'!N216="Présent",'POINTAGE'!O216,0),0),IF('POINTAGE'!$P$5&lt;&gt;"",IF('POINTAGE'!P216="Présent",'POINTAGE'!Q216,0),0),IF('POINTAGE'!$R$5&lt;&gt;"",IF('POINTAGE'!R216="Présent",'POINTAGE'!S216,0),0),IF('POINTAGE'!$T$5&lt;&gt;"",IF('POINTAGE'!T216="Présent",'POINTAGE'!U216,0),0),IF('POINTAGE'!$V$5&lt;&gt;"",IF('POINTAGE'!V216="Présent",'POINTAGE'!W216,0),0),IF('POINTAGE'!$X$5&lt;&gt;"",IF('POINTAGE'!X216="Présent",'POINTAGE'!Y216,0),0),IF('POINTAGE'!$Z$5&lt;&gt;"",IF('POINTAGE'!Z216="Présent",'POINTAGE'!AA216,0),0),IF('POINTAGE'!$AB$5&lt;&gt;"",IF('POINTAGE'!AB216="Présent",'POINTAGE'!AC216,0),0),IF('POINTAGE'!$AD$5&lt;&gt;"",IF('POINTAGE'!AD216="Présent",'POINTAGE'!AE216,0),0),IF('POINTAGE'!$AF$5&lt;&gt;"",IF('POINTAGE'!AF216="Présent",'POINTAGE'!AG216,0),0)))</f>
      </c>
      <c r="I216" s="24">
        <f>IF($A216="","",$F216*$D216)</f>
      </c>
      <c r="J216" s="24">
        <f>IF($A216="","",$H216*$E216)</f>
      </c>
      <c r="K216" s="25">
        <f>IF($A216="","",$I216+$J216)</f>
      </c>
      <c r="L216" s="18"/>
      <c r="M216" s="25">
        <f>IF($A216="","",MAX(0,$K216-$L216))</f>
      </c>
      <c r="N216" s="22">
        <f>IF($A216="","",SUM(IF('POINTAGE'!$AH$5&lt;&gt;"",--('POINTAGE'!AH216="Présent"),0),IF('POINTAGE'!$AJ$5&lt;&gt;"",--('POINTAGE'!AJ216="Présent"),0),IF('POINTAGE'!$AL$5&lt;&gt;"",--('POINTAGE'!AL216="Présent"),0),IF('POINTAGE'!$AN$5&lt;&gt;"",--('POINTAGE'!AN216="Présent"),0),IF('POINTAGE'!$AP$5&lt;&gt;"",--('POINTAGE'!AP216="Présent"),0),IF('POINTAGE'!$AR$5&lt;&gt;"",--('POINTAGE'!AR216="Présent"),0),IF('POINTAGE'!$AT$5&lt;&gt;"",--('POINTAGE'!AT216="Présent"),0),IF('POINTAGE'!$AV$5&lt;&gt;"",--('POINTAGE'!AV216="Présent"),0),IF('POINTAGE'!$AX$5&lt;&gt;"",--('POINTAGE'!AX216="Présent"),0),IF('POINTAGE'!$AZ$5&lt;&gt;"",--('POINTAGE'!AZ216="Présent"),0),IF('POINTAGE'!$BB$5&lt;&gt;"",--('POINTAGE'!BB216="Présent"),0),IF('POINTAGE'!$BD$5&lt;&gt;"",--('POINTAGE'!BD216="Présent"),0),IF('POINTAGE'!$BF$5&lt;&gt;"",--('POINTAGE'!BF216="Présent"),0),IF('POINTAGE'!$BH$5&lt;&gt;"",--('POINTAGE'!BH216="Présent"),0),IF('POINTAGE'!$BJ$5&lt;&gt;"",--('POINTAGE'!BJ216="Présent"),0),IF('POINTAGE'!$BL$5&lt;&gt;"",--('POINTAGE'!BL216="Présent"),0)))</f>
      </c>
      <c r="O216" s="22">
        <f>IF($A216="","",SUM(IF('POINTAGE'!$AH$5&lt;&gt;"",--('POINTAGE'!AH216="Absent"),0),IF('POINTAGE'!$AJ$5&lt;&gt;"",--('POINTAGE'!AJ216="Absent"),0),IF('POINTAGE'!$AL$5&lt;&gt;"",--('POINTAGE'!AL216="Absent"),0),IF('POINTAGE'!$AN$5&lt;&gt;"",--('POINTAGE'!AN216="Absent"),0),IF('POINTAGE'!$AP$5&lt;&gt;"",--('POINTAGE'!AP216="Absent"),0),IF('POINTAGE'!$AR$5&lt;&gt;"",--('POINTAGE'!AR216="Absent"),0),IF('POINTAGE'!$AT$5&lt;&gt;"",--('POINTAGE'!AT216="Absent"),0),IF('POINTAGE'!$AV$5&lt;&gt;"",--('POINTAGE'!AV216="Absent"),0),IF('POINTAGE'!$AX$5&lt;&gt;"",--('POINTAGE'!AX216="Absent"),0),IF('POINTAGE'!$AZ$5&lt;&gt;"",--('POINTAGE'!AZ216="Absent"),0),IF('POINTAGE'!$BB$5&lt;&gt;"",--('POINTAGE'!BB216="Absent"),0),IF('POINTAGE'!$BD$5&lt;&gt;"",--('POINTAGE'!BD216="Absent"),0),IF('POINTAGE'!$BF$5&lt;&gt;"",--('POINTAGE'!BF216="Absent"),0),IF('POINTAGE'!$BH$5&lt;&gt;"",--('POINTAGE'!BH216="Absent"),0),IF('POINTAGE'!$BJ$5&lt;&gt;"",--('POINTAGE'!BJ216="Absent"),0),IF('POINTAGE'!$BL$5&lt;&gt;"",--('POINTAGE'!BL216="Absent"),0)))</f>
      </c>
      <c r="P216" s="23">
        <f>IF($A216="","",SUM(IF('POINTAGE'!$AH$5&lt;&gt;"",IF('POINTAGE'!AH216="Présent",'POINTAGE'!AI216,0),0),IF('POINTAGE'!$AJ$5&lt;&gt;"",IF('POINTAGE'!AJ216="Présent",'POINTAGE'!AK216,0),0),IF('POINTAGE'!$AL$5&lt;&gt;"",IF('POINTAGE'!AL216="Présent",'POINTAGE'!AM216,0),0),IF('POINTAGE'!$AN$5&lt;&gt;"",IF('POINTAGE'!AN216="Présent",'POINTAGE'!AO216,0),0),IF('POINTAGE'!$AP$5&lt;&gt;"",IF('POINTAGE'!AP216="Présent",'POINTAGE'!AQ216,0),0),IF('POINTAGE'!$AR$5&lt;&gt;"",IF('POINTAGE'!AR216="Présent",'POINTAGE'!AS216,0),0),IF('POINTAGE'!$AT$5&lt;&gt;"",IF('POINTAGE'!AT216="Présent",'POINTAGE'!AU216,0),0),IF('POINTAGE'!$AV$5&lt;&gt;"",IF('POINTAGE'!AV216="Présent",'POINTAGE'!AW216,0),0),IF('POINTAGE'!$AX$5&lt;&gt;"",IF('POINTAGE'!AX216="Présent",'POINTAGE'!AY216,0),0),IF('POINTAGE'!$AZ$5&lt;&gt;"",IF('POINTAGE'!AZ216="Présent",'POINTAGE'!BA216,0),0),IF('POINTAGE'!$BB$5&lt;&gt;"",IF('POINTAGE'!BB216="Présent",'POINTAGE'!BC216,0),0),IF('POINTAGE'!$BD$5&lt;&gt;"",IF('POINTAGE'!BD216="Présent",'POINTAGE'!BE216,0),0),IF('POINTAGE'!$BF$5&lt;&gt;"",IF('POINTAGE'!BF216="Présent",'POINTAGE'!BG216,0),0),IF('POINTAGE'!$BH$5&lt;&gt;"",IF('POINTAGE'!BH216="Présent",'POINTAGE'!BI216,0),0),IF('POINTAGE'!$BJ$5&lt;&gt;"",IF('POINTAGE'!BJ216="Présent",'POINTAGE'!BK216,0),0),IF('POINTAGE'!$BL$5&lt;&gt;"",IF('POINTAGE'!BL216="Présent",'POINTAGE'!BM216,0),0)))</f>
      </c>
      <c r="Q216" s="24">
        <f>IF($A216="","",$N216*$D216)</f>
      </c>
      <c r="R216" s="24">
        <f>IF($A216="","",$P216*$E216)</f>
      </c>
      <c r="S216" s="25">
        <f>IF($A216="","",$Q216+$R216)</f>
      </c>
      <c r="T216" s="18"/>
      <c r="U216" s="25">
        <f>IF($A216="","",MAX(0,$S216-$T216))</f>
      </c>
      <c r="V216" s="25">
        <f>IF($A216="","",$K216+$S216)</f>
      </c>
      <c r="W216" s="24">
        <f>IF($A216="","",$L216+$T216)</f>
      </c>
      <c r="X216" s="25">
        <f>IF($A216="","",$M216+$U216)</f>
      </c>
      <c r="Y216" s="29">
        <f>IF($A216="","",$J216+$R216)</f>
      </c>
    </row>
    <row r="217">
      <c r="A217" s="20">
        <f>IF('POINTAGE'!A217="","",'POINTAGE'!A217)</f>
      </c>
      <c r="B217" s="19">
        <f>IF($A217="","",'POINTAGE'!B217)</f>
      </c>
      <c r="C217" s="20">
        <f>IF($A217="","",'POINTAGE'!C217)</f>
      </c>
      <c r="D217" s="24">
        <f>IF($A217="","",IFERROR(INDEX(Categories_Salaire,MATCH($C217,ListeCategories,0)),0))</f>
      </c>
      <c r="E217" s="24">
        <f>IF($A217="","",IF(IFERROR(INDEX(Categories_TauxHS,MATCH($C217,ListeCategories,0)),0)&gt;0,IFERROR(INDEX(Categories_TauxHS,MATCH($C217,ListeCategories,0)),0),TauxHSDefaut))</f>
      </c>
      <c r="F217" s="22">
        <f>IF($A217="","",SUM(IF('POINTAGE'!$D$5&lt;&gt;"",--('POINTAGE'!D217="Présent"),0),IF('POINTAGE'!$F$5&lt;&gt;"",--('POINTAGE'!F217="Présent"),0),IF('POINTAGE'!$H$5&lt;&gt;"",--('POINTAGE'!H217="Présent"),0),IF('POINTAGE'!$J$5&lt;&gt;"",--('POINTAGE'!J217="Présent"),0),IF('POINTAGE'!$L$5&lt;&gt;"",--('POINTAGE'!L217="Présent"),0),IF('POINTAGE'!$N$5&lt;&gt;"",--('POINTAGE'!N217="Présent"),0),IF('POINTAGE'!$P$5&lt;&gt;"",--('POINTAGE'!P217="Présent"),0),IF('POINTAGE'!$R$5&lt;&gt;"",--('POINTAGE'!R217="Présent"),0),IF('POINTAGE'!$T$5&lt;&gt;"",--('POINTAGE'!T217="Présent"),0),IF('POINTAGE'!$V$5&lt;&gt;"",--('POINTAGE'!V217="Présent"),0),IF('POINTAGE'!$X$5&lt;&gt;"",--('POINTAGE'!X217="Présent"),0),IF('POINTAGE'!$Z$5&lt;&gt;"",--('POINTAGE'!Z217="Présent"),0),IF('POINTAGE'!$AB$5&lt;&gt;"",--('POINTAGE'!AB217="Présent"),0),IF('POINTAGE'!$AD$5&lt;&gt;"",--('POINTAGE'!AD217="Présent"),0),IF('POINTAGE'!$AF$5&lt;&gt;"",--('POINTAGE'!AF217="Présent"),0)))</f>
      </c>
      <c r="G217" s="22">
        <f>IF($A217="","",SUM(IF('POINTAGE'!$D$5&lt;&gt;"",--('POINTAGE'!D217="Absent"),0),IF('POINTAGE'!$F$5&lt;&gt;"",--('POINTAGE'!F217="Absent"),0),IF('POINTAGE'!$H$5&lt;&gt;"",--('POINTAGE'!H217="Absent"),0),IF('POINTAGE'!$J$5&lt;&gt;"",--('POINTAGE'!J217="Absent"),0),IF('POINTAGE'!$L$5&lt;&gt;"",--('POINTAGE'!L217="Absent"),0),IF('POINTAGE'!$N$5&lt;&gt;"",--('POINTAGE'!N217="Absent"),0),IF('POINTAGE'!$P$5&lt;&gt;"",--('POINTAGE'!P217="Absent"),0),IF('POINTAGE'!$R$5&lt;&gt;"",--('POINTAGE'!R217="Absent"),0),IF('POINTAGE'!$T$5&lt;&gt;"",--('POINTAGE'!T217="Absent"),0),IF('POINTAGE'!$V$5&lt;&gt;"",--('POINTAGE'!V217="Absent"),0),IF('POINTAGE'!$X$5&lt;&gt;"",--('POINTAGE'!X217="Absent"),0),IF('POINTAGE'!$Z$5&lt;&gt;"",--('POINTAGE'!Z217="Absent"),0),IF('POINTAGE'!$AB$5&lt;&gt;"",--('POINTAGE'!AB217="Absent"),0),IF('POINTAGE'!$AD$5&lt;&gt;"",--('POINTAGE'!AD217="Absent"),0),IF('POINTAGE'!$AF$5&lt;&gt;"",--('POINTAGE'!AF217="Absent"),0)))</f>
      </c>
      <c r="H217" s="23">
        <f>IF($A217="","",SUM(IF('POINTAGE'!$D$5&lt;&gt;"",IF('POINTAGE'!D217="Présent",'POINTAGE'!E217,0),0),IF('POINTAGE'!$F$5&lt;&gt;"",IF('POINTAGE'!F217="Présent",'POINTAGE'!G217,0),0),IF('POINTAGE'!$H$5&lt;&gt;"",IF('POINTAGE'!H217="Présent",'POINTAGE'!I217,0),0),IF('POINTAGE'!$J$5&lt;&gt;"",IF('POINTAGE'!J217="Présent",'POINTAGE'!K217,0),0),IF('POINTAGE'!$L$5&lt;&gt;"",IF('POINTAGE'!L217="Présent",'POINTAGE'!M217,0),0),IF('POINTAGE'!$N$5&lt;&gt;"",IF('POINTAGE'!N217="Présent",'POINTAGE'!O217,0),0),IF('POINTAGE'!$P$5&lt;&gt;"",IF('POINTAGE'!P217="Présent",'POINTAGE'!Q217,0),0),IF('POINTAGE'!$R$5&lt;&gt;"",IF('POINTAGE'!R217="Présent",'POINTAGE'!S217,0),0),IF('POINTAGE'!$T$5&lt;&gt;"",IF('POINTAGE'!T217="Présent",'POINTAGE'!U217,0),0),IF('POINTAGE'!$V$5&lt;&gt;"",IF('POINTAGE'!V217="Présent",'POINTAGE'!W217,0),0),IF('POINTAGE'!$X$5&lt;&gt;"",IF('POINTAGE'!X217="Présent",'POINTAGE'!Y217,0),0),IF('POINTAGE'!$Z$5&lt;&gt;"",IF('POINTAGE'!Z217="Présent",'POINTAGE'!AA217,0),0),IF('POINTAGE'!$AB$5&lt;&gt;"",IF('POINTAGE'!AB217="Présent",'POINTAGE'!AC217,0),0),IF('POINTAGE'!$AD$5&lt;&gt;"",IF('POINTAGE'!AD217="Présent",'POINTAGE'!AE217,0),0),IF('POINTAGE'!$AF$5&lt;&gt;"",IF('POINTAGE'!AF217="Présent",'POINTAGE'!AG217,0),0)))</f>
      </c>
      <c r="I217" s="24">
        <f>IF($A217="","",$F217*$D217)</f>
      </c>
      <c r="J217" s="24">
        <f>IF($A217="","",$H217*$E217)</f>
      </c>
      <c r="K217" s="25">
        <f>IF($A217="","",$I217+$J217)</f>
      </c>
      <c r="L217" s="18"/>
      <c r="M217" s="25">
        <f>IF($A217="","",MAX(0,$K217-$L217))</f>
      </c>
      <c r="N217" s="22">
        <f>IF($A217="","",SUM(IF('POINTAGE'!$AH$5&lt;&gt;"",--('POINTAGE'!AH217="Présent"),0),IF('POINTAGE'!$AJ$5&lt;&gt;"",--('POINTAGE'!AJ217="Présent"),0),IF('POINTAGE'!$AL$5&lt;&gt;"",--('POINTAGE'!AL217="Présent"),0),IF('POINTAGE'!$AN$5&lt;&gt;"",--('POINTAGE'!AN217="Présent"),0),IF('POINTAGE'!$AP$5&lt;&gt;"",--('POINTAGE'!AP217="Présent"),0),IF('POINTAGE'!$AR$5&lt;&gt;"",--('POINTAGE'!AR217="Présent"),0),IF('POINTAGE'!$AT$5&lt;&gt;"",--('POINTAGE'!AT217="Présent"),0),IF('POINTAGE'!$AV$5&lt;&gt;"",--('POINTAGE'!AV217="Présent"),0),IF('POINTAGE'!$AX$5&lt;&gt;"",--('POINTAGE'!AX217="Présent"),0),IF('POINTAGE'!$AZ$5&lt;&gt;"",--('POINTAGE'!AZ217="Présent"),0),IF('POINTAGE'!$BB$5&lt;&gt;"",--('POINTAGE'!BB217="Présent"),0),IF('POINTAGE'!$BD$5&lt;&gt;"",--('POINTAGE'!BD217="Présent"),0),IF('POINTAGE'!$BF$5&lt;&gt;"",--('POINTAGE'!BF217="Présent"),0),IF('POINTAGE'!$BH$5&lt;&gt;"",--('POINTAGE'!BH217="Présent"),0),IF('POINTAGE'!$BJ$5&lt;&gt;"",--('POINTAGE'!BJ217="Présent"),0),IF('POINTAGE'!$BL$5&lt;&gt;"",--('POINTAGE'!BL217="Présent"),0)))</f>
      </c>
      <c r="O217" s="22">
        <f>IF($A217="","",SUM(IF('POINTAGE'!$AH$5&lt;&gt;"",--('POINTAGE'!AH217="Absent"),0),IF('POINTAGE'!$AJ$5&lt;&gt;"",--('POINTAGE'!AJ217="Absent"),0),IF('POINTAGE'!$AL$5&lt;&gt;"",--('POINTAGE'!AL217="Absent"),0),IF('POINTAGE'!$AN$5&lt;&gt;"",--('POINTAGE'!AN217="Absent"),0),IF('POINTAGE'!$AP$5&lt;&gt;"",--('POINTAGE'!AP217="Absent"),0),IF('POINTAGE'!$AR$5&lt;&gt;"",--('POINTAGE'!AR217="Absent"),0),IF('POINTAGE'!$AT$5&lt;&gt;"",--('POINTAGE'!AT217="Absent"),0),IF('POINTAGE'!$AV$5&lt;&gt;"",--('POINTAGE'!AV217="Absent"),0),IF('POINTAGE'!$AX$5&lt;&gt;"",--('POINTAGE'!AX217="Absent"),0),IF('POINTAGE'!$AZ$5&lt;&gt;"",--('POINTAGE'!AZ217="Absent"),0),IF('POINTAGE'!$BB$5&lt;&gt;"",--('POINTAGE'!BB217="Absent"),0),IF('POINTAGE'!$BD$5&lt;&gt;"",--('POINTAGE'!BD217="Absent"),0),IF('POINTAGE'!$BF$5&lt;&gt;"",--('POINTAGE'!BF217="Absent"),0),IF('POINTAGE'!$BH$5&lt;&gt;"",--('POINTAGE'!BH217="Absent"),0),IF('POINTAGE'!$BJ$5&lt;&gt;"",--('POINTAGE'!BJ217="Absent"),0),IF('POINTAGE'!$BL$5&lt;&gt;"",--('POINTAGE'!BL217="Absent"),0)))</f>
      </c>
      <c r="P217" s="23">
        <f>IF($A217="","",SUM(IF('POINTAGE'!$AH$5&lt;&gt;"",IF('POINTAGE'!AH217="Présent",'POINTAGE'!AI217,0),0),IF('POINTAGE'!$AJ$5&lt;&gt;"",IF('POINTAGE'!AJ217="Présent",'POINTAGE'!AK217,0),0),IF('POINTAGE'!$AL$5&lt;&gt;"",IF('POINTAGE'!AL217="Présent",'POINTAGE'!AM217,0),0),IF('POINTAGE'!$AN$5&lt;&gt;"",IF('POINTAGE'!AN217="Présent",'POINTAGE'!AO217,0),0),IF('POINTAGE'!$AP$5&lt;&gt;"",IF('POINTAGE'!AP217="Présent",'POINTAGE'!AQ217,0),0),IF('POINTAGE'!$AR$5&lt;&gt;"",IF('POINTAGE'!AR217="Présent",'POINTAGE'!AS217,0),0),IF('POINTAGE'!$AT$5&lt;&gt;"",IF('POINTAGE'!AT217="Présent",'POINTAGE'!AU217,0),0),IF('POINTAGE'!$AV$5&lt;&gt;"",IF('POINTAGE'!AV217="Présent",'POINTAGE'!AW217,0),0),IF('POINTAGE'!$AX$5&lt;&gt;"",IF('POINTAGE'!AX217="Présent",'POINTAGE'!AY217,0),0),IF('POINTAGE'!$AZ$5&lt;&gt;"",IF('POINTAGE'!AZ217="Présent",'POINTAGE'!BA217,0),0),IF('POINTAGE'!$BB$5&lt;&gt;"",IF('POINTAGE'!BB217="Présent",'POINTAGE'!BC217,0),0),IF('POINTAGE'!$BD$5&lt;&gt;"",IF('POINTAGE'!BD217="Présent",'POINTAGE'!BE217,0),0),IF('POINTAGE'!$BF$5&lt;&gt;"",IF('POINTAGE'!BF217="Présent",'POINTAGE'!BG217,0),0),IF('POINTAGE'!$BH$5&lt;&gt;"",IF('POINTAGE'!BH217="Présent",'POINTAGE'!BI217,0),0),IF('POINTAGE'!$BJ$5&lt;&gt;"",IF('POINTAGE'!BJ217="Présent",'POINTAGE'!BK217,0),0),IF('POINTAGE'!$BL$5&lt;&gt;"",IF('POINTAGE'!BL217="Présent",'POINTAGE'!BM217,0),0)))</f>
      </c>
      <c r="Q217" s="24">
        <f>IF($A217="","",$N217*$D217)</f>
      </c>
      <c r="R217" s="24">
        <f>IF($A217="","",$P217*$E217)</f>
      </c>
      <c r="S217" s="25">
        <f>IF($A217="","",$Q217+$R217)</f>
      </c>
      <c r="T217" s="18"/>
      <c r="U217" s="25">
        <f>IF($A217="","",MAX(0,$S217-$T217))</f>
      </c>
      <c r="V217" s="25">
        <f>IF($A217="","",$K217+$S217)</f>
      </c>
      <c r="W217" s="24">
        <f>IF($A217="","",$L217+$T217)</f>
      </c>
      <c r="X217" s="25">
        <f>IF($A217="","",$M217+$U217)</f>
      </c>
      <c r="Y217" s="29">
        <f>IF($A217="","",$J217+$R217)</f>
      </c>
    </row>
    <row r="218">
      <c r="A218" s="20">
        <f>IF('POINTAGE'!A218="","",'POINTAGE'!A218)</f>
      </c>
      <c r="B218" s="19">
        <f>IF($A218="","",'POINTAGE'!B218)</f>
      </c>
      <c r="C218" s="20">
        <f>IF($A218="","",'POINTAGE'!C218)</f>
      </c>
      <c r="D218" s="24">
        <f>IF($A218="","",IFERROR(INDEX(Categories_Salaire,MATCH($C218,ListeCategories,0)),0))</f>
      </c>
      <c r="E218" s="24">
        <f>IF($A218="","",IF(IFERROR(INDEX(Categories_TauxHS,MATCH($C218,ListeCategories,0)),0)&gt;0,IFERROR(INDEX(Categories_TauxHS,MATCH($C218,ListeCategories,0)),0),TauxHSDefaut))</f>
      </c>
      <c r="F218" s="22">
        <f>IF($A218="","",SUM(IF('POINTAGE'!$D$5&lt;&gt;"",--('POINTAGE'!D218="Présent"),0),IF('POINTAGE'!$F$5&lt;&gt;"",--('POINTAGE'!F218="Présent"),0),IF('POINTAGE'!$H$5&lt;&gt;"",--('POINTAGE'!H218="Présent"),0),IF('POINTAGE'!$J$5&lt;&gt;"",--('POINTAGE'!J218="Présent"),0),IF('POINTAGE'!$L$5&lt;&gt;"",--('POINTAGE'!L218="Présent"),0),IF('POINTAGE'!$N$5&lt;&gt;"",--('POINTAGE'!N218="Présent"),0),IF('POINTAGE'!$P$5&lt;&gt;"",--('POINTAGE'!P218="Présent"),0),IF('POINTAGE'!$R$5&lt;&gt;"",--('POINTAGE'!R218="Présent"),0),IF('POINTAGE'!$T$5&lt;&gt;"",--('POINTAGE'!T218="Présent"),0),IF('POINTAGE'!$V$5&lt;&gt;"",--('POINTAGE'!V218="Présent"),0),IF('POINTAGE'!$X$5&lt;&gt;"",--('POINTAGE'!X218="Présent"),0),IF('POINTAGE'!$Z$5&lt;&gt;"",--('POINTAGE'!Z218="Présent"),0),IF('POINTAGE'!$AB$5&lt;&gt;"",--('POINTAGE'!AB218="Présent"),0),IF('POINTAGE'!$AD$5&lt;&gt;"",--('POINTAGE'!AD218="Présent"),0),IF('POINTAGE'!$AF$5&lt;&gt;"",--('POINTAGE'!AF218="Présent"),0)))</f>
      </c>
      <c r="G218" s="22">
        <f>IF($A218="","",SUM(IF('POINTAGE'!$D$5&lt;&gt;"",--('POINTAGE'!D218="Absent"),0),IF('POINTAGE'!$F$5&lt;&gt;"",--('POINTAGE'!F218="Absent"),0),IF('POINTAGE'!$H$5&lt;&gt;"",--('POINTAGE'!H218="Absent"),0),IF('POINTAGE'!$J$5&lt;&gt;"",--('POINTAGE'!J218="Absent"),0),IF('POINTAGE'!$L$5&lt;&gt;"",--('POINTAGE'!L218="Absent"),0),IF('POINTAGE'!$N$5&lt;&gt;"",--('POINTAGE'!N218="Absent"),0),IF('POINTAGE'!$P$5&lt;&gt;"",--('POINTAGE'!P218="Absent"),0),IF('POINTAGE'!$R$5&lt;&gt;"",--('POINTAGE'!R218="Absent"),0),IF('POINTAGE'!$T$5&lt;&gt;"",--('POINTAGE'!T218="Absent"),0),IF('POINTAGE'!$V$5&lt;&gt;"",--('POINTAGE'!V218="Absent"),0),IF('POINTAGE'!$X$5&lt;&gt;"",--('POINTAGE'!X218="Absent"),0),IF('POINTAGE'!$Z$5&lt;&gt;"",--('POINTAGE'!Z218="Absent"),0),IF('POINTAGE'!$AB$5&lt;&gt;"",--('POINTAGE'!AB218="Absent"),0),IF('POINTAGE'!$AD$5&lt;&gt;"",--('POINTAGE'!AD218="Absent"),0),IF('POINTAGE'!$AF$5&lt;&gt;"",--('POINTAGE'!AF218="Absent"),0)))</f>
      </c>
      <c r="H218" s="23">
        <f>IF($A218="","",SUM(IF('POINTAGE'!$D$5&lt;&gt;"",IF('POINTAGE'!D218="Présent",'POINTAGE'!E218,0),0),IF('POINTAGE'!$F$5&lt;&gt;"",IF('POINTAGE'!F218="Présent",'POINTAGE'!G218,0),0),IF('POINTAGE'!$H$5&lt;&gt;"",IF('POINTAGE'!H218="Présent",'POINTAGE'!I218,0),0),IF('POINTAGE'!$J$5&lt;&gt;"",IF('POINTAGE'!J218="Présent",'POINTAGE'!K218,0),0),IF('POINTAGE'!$L$5&lt;&gt;"",IF('POINTAGE'!L218="Présent",'POINTAGE'!M218,0),0),IF('POINTAGE'!$N$5&lt;&gt;"",IF('POINTAGE'!N218="Présent",'POINTAGE'!O218,0),0),IF('POINTAGE'!$P$5&lt;&gt;"",IF('POINTAGE'!P218="Présent",'POINTAGE'!Q218,0),0),IF('POINTAGE'!$R$5&lt;&gt;"",IF('POINTAGE'!R218="Présent",'POINTAGE'!S218,0),0),IF('POINTAGE'!$T$5&lt;&gt;"",IF('POINTAGE'!T218="Présent",'POINTAGE'!U218,0),0),IF('POINTAGE'!$V$5&lt;&gt;"",IF('POINTAGE'!V218="Présent",'POINTAGE'!W218,0),0),IF('POINTAGE'!$X$5&lt;&gt;"",IF('POINTAGE'!X218="Présent",'POINTAGE'!Y218,0),0),IF('POINTAGE'!$Z$5&lt;&gt;"",IF('POINTAGE'!Z218="Présent",'POINTAGE'!AA218,0),0),IF('POINTAGE'!$AB$5&lt;&gt;"",IF('POINTAGE'!AB218="Présent",'POINTAGE'!AC218,0),0),IF('POINTAGE'!$AD$5&lt;&gt;"",IF('POINTAGE'!AD218="Présent",'POINTAGE'!AE218,0),0),IF('POINTAGE'!$AF$5&lt;&gt;"",IF('POINTAGE'!AF218="Présent",'POINTAGE'!AG218,0),0)))</f>
      </c>
      <c r="I218" s="24">
        <f>IF($A218="","",$F218*$D218)</f>
      </c>
      <c r="J218" s="24">
        <f>IF($A218="","",$H218*$E218)</f>
      </c>
      <c r="K218" s="25">
        <f>IF($A218="","",$I218+$J218)</f>
      </c>
      <c r="L218" s="18"/>
      <c r="M218" s="25">
        <f>IF($A218="","",MAX(0,$K218-$L218))</f>
      </c>
      <c r="N218" s="22">
        <f>IF($A218="","",SUM(IF('POINTAGE'!$AH$5&lt;&gt;"",--('POINTAGE'!AH218="Présent"),0),IF('POINTAGE'!$AJ$5&lt;&gt;"",--('POINTAGE'!AJ218="Présent"),0),IF('POINTAGE'!$AL$5&lt;&gt;"",--('POINTAGE'!AL218="Présent"),0),IF('POINTAGE'!$AN$5&lt;&gt;"",--('POINTAGE'!AN218="Présent"),0),IF('POINTAGE'!$AP$5&lt;&gt;"",--('POINTAGE'!AP218="Présent"),0),IF('POINTAGE'!$AR$5&lt;&gt;"",--('POINTAGE'!AR218="Présent"),0),IF('POINTAGE'!$AT$5&lt;&gt;"",--('POINTAGE'!AT218="Présent"),0),IF('POINTAGE'!$AV$5&lt;&gt;"",--('POINTAGE'!AV218="Présent"),0),IF('POINTAGE'!$AX$5&lt;&gt;"",--('POINTAGE'!AX218="Présent"),0),IF('POINTAGE'!$AZ$5&lt;&gt;"",--('POINTAGE'!AZ218="Présent"),0),IF('POINTAGE'!$BB$5&lt;&gt;"",--('POINTAGE'!BB218="Présent"),0),IF('POINTAGE'!$BD$5&lt;&gt;"",--('POINTAGE'!BD218="Présent"),0),IF('POINTAGE'!$BF$5&lt;&gt;"",--('POINTAGE'!BF218="Présent"),0),IF('POINTAGE'!$BH$5&lt;&gt;"",--('POINTAGE'!BH218="Présent"),0),IF('POINTAGE'!$BJ$5&lt;&gt;"",--('POINTAGE'!BJ218="Présent"),0),IF('POINTAGE'!$BL$5&lt;&gt;"",--('POINTAGE'!BL218="Présent"),0)))</f>
      </c>
      <c r="O218" s="22">
        <f>IF($A218="","",SUM(IF('POINTAGE'!$AH$5&lt;&gt;"",--('POINTAGE'!AH218="Absent"),0),IF('POINTAGE'!$AJ$5&lt;&gt;"",--('POINTAGE'!AJ218="Absent"),0),IF('POINTAGE'!$AL$5&lt;&gt;"",--('POINTAGE'!AL218="Absent"),0),IF('POINTAGE'!$AN$5&lt;&gt;"",--('POINTAGE'!AN218="Absent"),0),IF('POINTAGE'!$AP$5&lt;&gt;"",--('POINTAGE'!AP218="Absent"),0),IF('POINTAGE'!$AR$5&lt;&gt;"",--('POINTAGE'!AR218="Absent"),0),IF('POINTAGE'!$AT$5&lt;&gt;"",--('POINTAGE'!AT218="Absent"),0),IF('POINTAGE'!$AV$5&lt;&gt;"",--('POINTAGE'!AV218="Absent"),0),IF('POINTAGE'!$AX$5&lt;&gt;"",--('POINTAGE'!AX218="Absent"),0),IF('POINTAGE'!$AZ$5&lt;&gt;"",--('POINTAGE'!AZ218="Absent"),0),IF('POINTAGE'!$BB$5&lt;&gt;"",--('POINTAGE'!BB218="Absent"),0),IF('POINTAGE'!$BD$5&lt;&gt;"",--('POINTAGE'!BD218="Absent"),0),IF('POINTAGE'!$BF$5&lt;&gt;"",--('POINTAGE'!BF218="Absent"),0),IF('POINTAGE'!$BH$5&lt;&gt;"",--('POINTAGE'!BH218="Absent"),0),IF('POINTAGE'!$BJ$5&lt;&gt;"",--('POINTAGE'!BJ218="Absent"),0),IF('POINTAGE'!$BL$5&lt;&gt;"",--('POINTAGE'!BL218="Absent"),0)))</f>
      </c>
      <c r="P218" s="23">
        <f>IF($A218="","",SUM(IF('POINTAGE'!$AH$5&lt;&gt;"",IF('POINTAGE'!AH218="Présent",'POINTAGE'!AI218,0),0),IF('POINTAGE'!$AJ$5&lt;&gt;"",IF('POINTAGE'!AJ218="Présent",'POINTAGE'!AK218,0),0),IF('POINTAGE'!$AL$5&lt;&gt;"",IF('POINTAGE'!AL218="Présent",'POINTAGE'!AM218,0),0),IF('POINTAGE'!$AN$5&lt;&gt;"",IF('POINTAGE'!AN218="Présent",'POINTAGE'!AO218,0),0),IF('POINTAGE'!$AP$5&lt;&gt;"",IF('POINTAGE'!AP218="Présent",'POINTAGE'!AQ218,0),0),IF('POINTAGE'!$AR$5&lt;&gt;"",IF('POINTAGE'!AR218="Présent",'POINTAGE'!AS218,0),0),IF('POINTAGE'!$AT$5&lt;&gt;"",IF('POINTAGE'!AT218="Présent",'POINTAGE'!AU218,0),0),IF('POINTAGE'!$AV$5&lt;&gt;"",IF('POINTAGE'!AV218="Présent",'POINTAGE'!AW218,0),0),IF('POINTAGE'!$AX$5&lt;&gt;"",IF('POINTAGE'!AX218="Présent",'POINTAGE'!AY218,0),0),IF('POINTAGE'!$AZ$5&lt;&gt;"",IF('POINTAGE'!AZ218="Présent",'POINTAGE'!BA218,0),0),IF('POINTAGE'!$BB$5&lt;&gt;"",IF('POINTAGE'!BB218="Présent",'POINTAGE'!BC218,0),0),IF('POINTAGE'!$BD$5&lt;&gt;"",IF('POINTAGE'!BD218="Présent",'POINTAGE'!BE218,0),0),IF('POINTAGE'!$BF$5&lt;&gt;"",IF('POINTAGE'!BF218="Présent",'POINTAGE'!BG218,0),0),IF('POINTAGE'!$BH$5&lt;&gt;"",IF('POINTAGE'!BH218="Présent",'POINTAGE'!BI218,0),0),IF('POINTAGE'!$BJ$5&lt;&gt;"",IF('POINTAGE'!BJ218="Présent",'POINTAGE'!BK218,0),0),IF('POINTAGE'!$BL$5&lt;&gt;"",IF('POINTAGE'!BL218="Présent",'POINTAGE'!BM218,0),0)))</f>
      </c>
      <c r="Q218" s="24">
        <f>IF($A218="","",$N218*$D218)</f>
      </c>
      <c r="R218" s="24">
        <f>IF($A218="","",$P218*$E218)</f>
      </c>
      <c r="S218" s="25">
        <f>IF($A218="","",$Q218+$R218)</f>
      </c>
      <c r="T218" s="18"/>
      <c r="U218" s="25">
        <f>IF($A218="","",MAX(0,$S218-$T218))</f>
      </c>
      <c r="V218" s="25">
        <f>IF($A218="","",$K218+$S218)</f>
      </c>
      <c r="W218" s="24">
        <f>IF($A218="","",$L218+$T218)</f>
      </c>
      <c r="X218" s="25">
        <f>IF($A218="","",$M218+$U218)</f>
      </c>
      <c r="Y218" s="29">
        <f>IF($A218="","",$J218+$R218)</f>
      </c>
    </row>
    <row r="219">
      <c r="A219" s="20">
        <f>IF('POINTAGE'!A219="","",'POINTAGE'!A219)</f>
      </c>
      <c r="B219" s="19">
        <f>IF($A219="","",'POINTAGE'!B219)</f>
      </c>
      <c r="C219" s="20">
        <f>IF($A219="","",'POINTAGE'!C219)</f>
      </c>
      <c r="D219" s="24">
        <f>IF($A219="","",IFERROR(INDEX(Categories_Salaire,MATCH($C219,ListeCategories,0)),0))</f>
      </c>
      <c r="E219" s="24">
        <f>IF($A219="","",IF(IFERROR(INDEX(Categories_TauxHS,MATCH($C219,ListeCategories,0)),0)&gt;0,IFERROR(INDEX(Categories_TauxHS,MATCH($C219,ListeCategories,0)),0),TauxHSDefaut))</f>
      </c>
      <c r="F219" s="22">
        <f>IF($A219="","",SUM(IF('POINTAGE'!$D$5&lt;&gt;"",--('POINTAGE'!D219="Présent"),0),IF('POINTAGE'!$F$5&lt;&gt;"",--('POINTAGE'!F219="Présent"),0),IF('POINTAGE'!$H$5&lt;&gt;"",--('POINTAGE'!H219="Présent"),0),IF('POINTAGE'!$J$5&lt;&gt;"",--('POINTAGE'!J219="Présent"),0),IF('POINTAGE'!$L$5&lt;&gt;"",--('POINTAGE'!L219="Présent"),0),IF('POINTAGE'!$N$5&lt;&gt;"",--('POINTAGE'!N219="Présent"),0),IF('POINTAGE'!$P$5&lt;&gt;"",--('POINTAGE'!P219="Présent"),0),IF('POINTAGE'!$R$5&lt;&gt;"",--('POINTAGE'!R219="Présent"),0),IF('POINTAGE'!$T$5&lt;&gt;"",--('POINTAGE'!T219="Présent"),0),IF('POINTAGE'!$V$5&lt;&gt;"",--('POINTAGE'!V219="Présent"),0),IF('POINTAGE'!$X$5&lt;&gt;"",--('POINTAGE'!X219="Présent"),0),IF('POINTAGE'!$Z$5&lt;&gt;"",--('POINTAGE'!Z219="Présent"),0),IF('POINTAGE'!$AB$5&lt;&gt;"",--('POINTAGE'!AB219="Présent"),0),IF('POINTAGE'!$AD$5&lt;&gt;"",--('POINTAGE'!AD219="Présent"),0),IF('POINTAGE'!$AF$5&lt;&gt;"",--('POINTAGE'!AF219="Présent"),0)))</f>
      </c>
      <c r="G219" s="22">
        <f>IF($A219="","",SUM(IF('POINTAGE'!$D$5&lt;&gt;"",--('POINTAGE'!D219="Absent"),0),IF('POINTAGE'!$F$5&lt;&gt;"",--('POINTAGE'!F219="Absent"),0),IF('POINTAGE'!$H$5&lt;&gt;"",--('POINTAGE'!H219="Absent"),0),IF('POINTAGE'!$J$5&lt;&gt;"",--('POINTAGE'!J219="Absent"),0),IF('POINTAGE'!$L$5&lt;&gt;"",--('POINTAGE'!L219="Absent"),0),IF('POINTAGE'!$N$5&lt;&gt;"",--('POINTAGE'!N219="Absent"),0),IF('POINTAGE'!$P$5&lt;&gt;"",--('POINTAGE'!P219="Absent"),0),IF('POINTAGE'!$R$5&lt;&gt;"",--('POINTAGE'!R219="Absent"),0),IF('POINTAGE'!$T$5&lt;&gt;"",--('POINTAGE'!T219="Absent"),0),IF('POINTAGE'!$V$5&lt;&gt;"",--('POINTAGE'!V219="Absent"),0),IF('POINTAGE'!$X$5&lt;&gt;"",--('POINTAGE'!X219="Absent"),0),IF('POINTAGE'!$Z$5&lt;&gt;"",--('POINTAGE'!Z219="Absent"),0),IF('POINTAGE'!$AB$5&lt;&gt;"",--('POINTAGE'!AB219="Absent"),0),IF('POINTAGE'!$AD$5&lt;&gt;"",--('POINTAGE'!AD219="Absent"),0),IF('POINTAGE'!$AF$5&lt;&gt;"",--('POINTAGE'!AF219="Absent"),0)))</f>
      </c>
      <c r="H219" s="23">
        <f>IF($A219="","",SUM(IF('POINTAGE'!$D$5&lt;&gt;"",IF('POINTAGE'!D219="Présent",'POINTAGE'!E219,0),0),IF('POINTAGE'!$F$5&lt;&gt;"",IF('POINTAGE'!F219="Présent",'POINTAGE'!G219,0),0),IF('POINTAGE'!$H$5&lt;&gt;"",IF('POINTAGE'!H219="Présent",'POINTAGE'!I219,0),0),IF('POINTAGE'!$J$5&lt;&gt;"",IF('POINTAGE'!J219="Présent",'POINTAGE'!K219,0),0),IF('POINTAGE'!$L$5&lt;&gt;"",IF('POINTAGE'!L219="Présent",'POINTAGE'!M219,0),0),IF('POINTAGE'!$N$5&lt;&gt;"",IF('POINTAGE'!N219="Présent",'POINTAGE'!O219,0),0),IF('POINTAGE'!$P$5&lt;&gt;"",IF('POINTAGE'!P219="Présent",'POINTAGE'!Q219,0),0),IF('POINTAGE'!$R$5&lt;&gt;"",IF('POINTAGE'!R219="Présent",'POINTAGE'!S219,0),0),IF('POINTAGE'!$T$5&lt;&gt;"",IF('POINTAGE'!T219="Présent",'POINTAGE'!U219,0),0),IF('POINTAGE'!$V$5&lt;&gt;"",IF('POINTAGE'!V219="Présent",'POINTAGE'!W219,0),0),IF('POINTAGE'!$X$5&lt;&gt;"",IF('POINTAGE'!X219="Présent",'POINTAGE'!Y219,0),0),IF('POINTAGE'!$Z$5&lt;&gt;"",IF('POINTAGE'!Z219="Présent",'POINTAGE'!AA219,0),0),IF('POINTAGE'!$AB$5&lt;&gt;"",IF('POINTAGE'!AB219="Présent",'POINTAGE'!AC219,0),0),IF('POINTAGE'!$AD$5&lt;&gt;"",IF('POINTAGE'!AD219="Présent",'POINTAGE'!AE219,0),0),IF('POINTAGE'!$AF$5&lt;&gt;"",IF('POINTAGE'!AF219="Présent",'POINTAGE'!AG219,0),0)))</f>
      </c>
      <c r="I219" s="24">
        <f>IF($A219="","",$F219*$D219)</f>
      </c>
      <c r="J219" s="24">
        <f>IF($A219="","",$H219*$E219)</f>
      </c>
      <c r="K219" s="25">
        <f>IF($A219="","",$I219+$J219)</f>
      </c>
      <c r="L219" s="18"/>
      <c r="M219" s="25">
        <f>IF($A219="","",MAX(0,$K219-$L219))</f>
      </c>
      <c r="N219" s="22">
        <f>IF($A219="","",SUM(IF('POINTAGE'!$AH$5&lt;&gt;"",--('POINTAGE'!AH219="Présent"),0),IF('POINTAGE'!$AJ$5&lt;&gt;"",--('POINTAGE'!AJ219="Présent"),0),IF('POINTAGE'!$AL$5&lt;&gt;"",--('POINTAGE'!AL219="Présent"),0),IF('POINTAGE'!$AN$5&lt;&gt;"",--('POINTAGE'!AN219="Présent"),0),IF('POINTAGE'!$AP$5&lt;&gt;"",--('POINTAGE'!AP219="Présent"),0),IF('POINTAGE'!$AR$5&lt;&gt;"",--('POINTAGE'!AR219="Présent"),0),IF('POINTAGE'!$AT$5&lt;&gt;"",--('POINTAGE'!AT219="Présent"),0),IF('POINTAGE'!$AV$5&lt;&gt;"",--('POINTAGE'!AV219="Présent"),0),IF('POINTAGE'!$AX$5&lt;&gt;"",--('POINTAGE'!AX219="Présent"),0),IF('POINTAGE'!$AZ$5&lt;&gt;"",--('POINTAGE'!AZ219="Présent"),0),IF('POINTAGE'!$BB$5&lt;&gt;"",--('POINTAGE'!BB219="Présent"),0),IF('POINTAGE'!$BD$5&lt;&gt;"",--('POINTAGE'!BD219="Présent"),0),IF('POINTAGE'!$BF$5&lt;&gt;"",--('POINTAGE'!BF219="Présent"),0),IF('POINTAGE'!$BH$5&lt;&gt;"",--('POINTAGE'!BH219="Présent"),0),IF('POINTAGE'!$BJ$5&lt;&gt;"",--('POINTAGE'!BJ219="Présent"),0),IF('POINTAGE'!$BL$5&lt;&gt;"",--('POINTAGE'!BL219="Présent"),0)))</f>
      </c>
      <c r="O219" s="22">
        <f>IF($A219="","",SUM(IF('POINTAGE'!$AH$5&lt;&gt;"",--('POINTAGE'!AH219="Absent"),0),IF('POINTAGE'!$AJ$5&lt;&gt;"",--('POINTAGE'!AJ219="Absent"),0),IF('POINTAGE'!$AL$5&lt;&gt;"",--('POINTAGE'!AL219="Absent"),0),IF('POINTAGE'!$AN$5&lt;&gt;"",--('POINTAGE'!AN219="Absent"),0),IF('POINTAGE'!$AP$5&lt;&gt;"",--('POINTAGE'!AP219="Absent"),0),IF('POINTAGE'!$AR$5&lt;&gt;"",--('POINTAGE'!AR219="Absent"),0),IF('POINTAGE'!$AT$5&lt;&gt;"",--('POINTAGE'!AT219="Absent"),0),IF('POINTAGE'!$AV$5&lt;&gt;"",--('POINTAGE'!AV219="Absent"),0),IF('POINTAGE'!$AX$5&lt;&gt;"",--('POINTAGE'!AX219="Absent"),0),IF('POINTAGE'!$AZ$5&lt;&gt;"",--('POINTAGE'!AZ219="Absent"),0),IF('POINTAGE'!$BB$5&lt;&gt;"",--('POINTAGE'!BB219="Absent"),0),IF('POINTAGE'!$BD$5&lt;&gt;"",--('POINTAGE'!BD219="Absent"),0),IF('POINTAGE'!$BF$5&lt;&gt;"",--('POINTAGE'!BF219="Absent"),0),IF('POINTAGE'!$BH$5&lt;&gt;"",--('POINTAGE'!BH219="Absent"),0),IF('POINTAGE'!$BJ$5&lt;&gt;"",--('POINTAGE'!BJ219="Absent"),0),IF('POINTAGE'!$BL$5&lt;&gt;"",--('POINTAGE'!BL219="Absent"),0)))</f>
      </c>
      <c r="P219" s="23">
        <f>IF($A219="","",SUM(IF('POINTAGE'!$AH$5&lt;&gt;"",IF('POINTAGE'!AH219="Présent",'POINTAGE'!AI219,0),0),IF('POINTAGE'!$AJ$5&lt;&gt;"",IF('POINTAGE'!AJ219="Présent",'POINTAGE'!AK219,0),0),IF('POINTAGE'!$AL$5&lt;&gt;"",IF('POINTAGE'!AL219="Présent",'POINTAGE'!AM219,0),0),IF('POINTAGE'!$AN$5&lt;&gt;"",IF('POINTAGE'!AN219="Présent",'POINTAGE'!AO219,0),0),IF('POINTAGE'!$AP$5&lt;&gt;"",IF('POINTAGE'!AP219="Présent",'POINTAGE'!AQ219,0),0),IF('POINTAGE'!$AR$5&lt;&gt;"",IF('POINTAGE'!AR219="Présent",'POINTAGE'!AS219,0),0),IF('POINTAGE'!$AT$5&lt;&gt;"",IF('POINTAGE'!AT219="Présent",'POINTAGE'!AU219,0),0),IF('POINTAGE'!$AV$5&lt;&gt;"",IF('POINTAGE'!AV219="Présent",'POINTAGE'!AW219,0),0),IF('POINTAGE'!$AX$5&lt;&gt;"",IF('POINTAGE'!AX219="Présent",'POINTAGE'!AY219,0),0),IF('POINTAGE'!$AZ$5&lt;&gt;"",IF('POINTAGE'!AZ219="Présent",'POINTAGE'!BA219,0),0),IF('POINTAGE'!$BB$5&lt;&gt;"",IF('POINTAGE'!BB219="Présent",'POINTAGE'!BC219,0),0),IF('POINTAGE'!$BD$5&lt;&gt;"",IF('POINTAGE'!BD219="Présent",'POINTAGE'!BE219,0),0),IF('POINTAGE'!$BF$5&lt;&gt;"",IF('POINTAGE'!BF219="Présent",'POINTAGE'!BG219,0),0),IF('POINTAGE'!$BH$5&lt;&gt;"",IF('POINTAGE'!BH219="Présent",'POINTAGE'!BI219,0),0),IF('POINTAGE'!$BJ$5&lt;&gt;"",IF('POINTAGE'!BJ219="Présent",'POINTAGE'!BK219,0),0),IF('POINTAGE'!$BL$5&lt;&gt;"",IF('POINTAGE'!BL219="Présent",'POINTAGE'!BM219,0),0)))</f>
      </c>
      <c r="Q219" s="24">
        <f>IF($A219="","",$N219*$D219)</f>
      </c>
      <c r="R219" s="24">
        <f>IF($A219="","",$P219*$E219)</f>
      </c>
      <c r="S219" s="25">
        <f>IF($A219="","",$Q219+$R219)</f>
      </c>
      <c r="T219" s="18"/>
      <c r="U219" s="25">
        <f>IF($A219="","",MAX(0,$S219-$T219))</f>
      </c>
      <c r="V219" s="25">
        <f>IF($A219="","",$K219+$S219)</f>
      </c>
      <c r="W219" s="24">
        <f>IF($A219="","",$L219+$T219)</f>
      </c>
      <c r="X219" s="25">
        <f>IF($A219="","",$M219+$U219)</f>
      </c>
      <c r="Y219" s="29">
        <f>IF($A219="","",$J219+$R219)</f>
      </c>
    </row>
    <row r="220">
      <c r="A220" s="20">
        <f>IF('POINTAGE'!A220="","",'POINTAGE'!A220)</f>
      </c>
      <c r="B220" s="19">
        <f>IF($A220="","",'POINTAGE'!B220)</f>
      </c>
      <c r="C220" s="20">
        <f>IF($A220="","",'POINTAGE'!C220)</f>
      </c>
      <c r="D220" s="24">
        <f>IF($A220="","",IFERROR(INDEX(Categories_Salaire,MATCH($C220,ListeCategories,0)),0))</f>
      </c>
      <c r="E220" s="24">
        <f>IF($A220="","",IF(IFERROR(INDEX(Categories_TauxHS,MATCH($C220,ListeCategories,0)),0)&gt;0,IFERROR(INDEX(Categories_TauxHS,MATCH($C220,ListeCategories,0)),0),TauxHSDefaut))</f>
      </c>
      <c r="F220" s="22">
        <f>IF($A220="","",SUM(IF('POINTAGE'!$D$5&lt;&gt;"",--('POINTAGE'!D220="Présent"),0),IF('POINTAGE'!$F$5&lt;&gt;"",--('POINTAGE'!F220="Présent"),0),IF('POINTAGE'!$H$5&lt;&gt;"",--('POINTAGE'!H220="Présent"),0),IF('POINTAGE'!$J$5&lt;&gt;"",--('POINTAGE'!J220="Présent"),0),IF('POINTAGE'!$L$5&lt;&gt;"",--('POINTAGE'!L220="Présent"),0),IF('POINTAGE'!$N$5&lt;&gt;"",--('POINTAGE'!N220="Présent"),0),IF('POINTAGE'!$P$5&lt;&gt;"",--('POINTAGE'!P220="Présent"),0),IF('POINTAGE'!$R$5&lt;&gt;"",--('POINTAGE'!R220="Présent"),0),IF('POINTAGE'!$T$5&lt;&gt;"",--('POINTAGE'!T220="Présent"),0),IF('POINTAGE'!$V$5&lt;&gt;"",--('POINTAGE'!V220="Présent"),0),IF('POINTAGE'!$X$5&lt;&gt;"",--('POINTAGE'!X220="Présent"),0),IF('POINTAGE'!$Z$5&lt;&gt;"",--('POINTAGE'!Z220="Présent"),0),IF('POINTAGE'!$AB$5&lt;&gt;"",--('POINTAGE'!AB220="Présent"),0),IF('POINTAGE'!$AD$5&lt;&gt;"",--('POINTAGE'!AD220="Présent"),0),IF('POINTAGE'!$AF$5&lt;&gt;"",--('POINTAGE'!AF220="Présent"),0)))</f>
      </c>
      <c r="G220" s="22">
        <f>IF($A220="","",SUM(IF('POINTAGE'!$D$5&lt;&gt;"",--('POINTAGE'!D220="Absent"),0),IF('POINTAGE'!$F$5&lt;&gt;"",--('POINTAGE'!F220="Absent"),0),IF('POINTAGE'!$H$5&lt;&gt;"",--('POINTAGE'!H220="Absent"),0),IF('POINTAGE'!$J$5&lt;&gt;"",--('POINTAGE'!J220="Absent"),0),IF('POINTAGE'!$L$5&lt;&gt;"",--('POINTAGE'!L220="Absent"),0),IF('POINTAGE'!$N$5&lt;&gt;"",--('POINTAGE'!N220="Absent"),0),IF('POINTAGE'!$P$5&lt;&gt;"",--('POINTAGE'!P220="Absent"),0),IF('POINTAGE'!$R$5&lt;&gt;"",--('POINTAGE'!R220="Absent"),0),IF('POINTAGE'!$T$5&lt;&gt;"",--('POINTAGE'!T220="Absent"),0),IF('POINTAGE'!$V$5&lt;&gt;"",--('POINTAGE'!V220="Absent"),0),IF('POINTAGE'!$X$5&lt;&gt;"",--('POINTAGE'!X220="Absent"),0),IF('POINTAGE'!$Z$5&lt;&gt;"",--('POINTAGE'!Z220="Absent"),0),IF('POINTAGE'!$AB$5&lt;&gt;"",--('POINTAGE'!AB220="Absent"),0),IF('POINTAGE'!$AD$5&lt;&gt;"",--('POINTAGE'!AD220="Absent"),0),IF('POINTAGE'!$AF$5&lt;&gt;"",--('POINTAGE'!AF220="Absent"),0)))</f>
      </c>
      <c r="H220" s="23">
        <f>IF($A220="","",SUM(IF('POINTAGE'!$D$5&lt;&gt;"",IF('POINTAGE'!D220="Présent",'POINTAGE'!E220,0),0),IF('POINTAGE'!$F$5&lt;&gt;"",IF('POINTAGE'!F220="Présent",'POINTAGE'!G220,0),0),IF('POINTAGE'!$H$5&lt;&gt;"",IF('POINTAGE'!H220="Présent",'POINTAGE'!I220,0),0),IF('POINTAGE'!$J$5&lt;&gt;"",IF('POINTAGE'!J220="Présent",'POINTAGE'!K220,0),0),IF('POINTAGE'!$L$5&lt;&gt;"",IF('POINTAGE'!L220="Présent",'POINTAGE'!M220,0),0),IF('POINTAGE'!$N$5&lt;&gt;"",IF('POINTAGE'!N220="Présent",'POINTAGE'!O220,0),0),IF('POINTAGE'!$P$5&lt;&gt;"",IF('POINTAGE'!P220="Présent",'POINTAGE'!Q220,0),0),IF('POINTAGE'!$R$5&lt;&gt;"",IF('POINTAGE'!R220="Présent",'POINTAGE'!S220,0),0),IF('POINTAGE'!$T$5&lt;&gt;"",IF('POINTAGE'!T220="Présent",'POINTAGE'!U220,0),0),IF('POINTAGE'!$V$5&lt;&gt;"",IF('POINTAGE'!V220="Présent",'POINTAGE'!W220,0),0),IF('POINTAGE'!$X$5&lt;&gt;"",IF('POINTAGE'!X220="Présent",'POINTAGE'!Y220,0),0),IF('POINTAGE'!$Z$5&lt;&gt;"",IF('POINTAGE'!Z220="Présent",'POINTAGE'!AA220,0),0),IF('POINTAGE'!$AB$5&lt;&gt;"",IF('POINTAGE'!AB220="Présent",'POINTAGE'!AC220,0),0),IF('POINTAGE'!$AD$5&lt;&gt;"",IF('POINTAGE'!AD220="Présent",'POINTAGE'!AE220,0),0),IF('POINTAGE'!$AF$5&lt;&gt;"",IF('POINTAGE'!AF220="Présent",'POINTAGE'!AG220,0),0)))</f>
      </c>
      <c r="I220" s="24">
        <f>IF($A220="","",$F220*$D220)</f>
      </c>
      <c r="J220" s="24">
        <f>IF($A220="","",$H220*$E220)</f>
      </c>
      <c r="K220" s="25">
        <f>IF($A220="","",$I220+$J220)</f>
      </c>
      <c r="L220" s="18"/>
      <c r="M220" s="25">
        <f>IF($A220="","",MAX(0,$K220-$L220))</f>
      </c>
      <c r="N220" s="22">
        <f>IF($A220="","",SUM(IF('POINTAGE'!$AH$5&lt;&gt;"",--('POINTAGE'!AH220="Présent"),0),IF('POINTAGE'!$AJ$5&lt;&gt;"",--('POINTAGE'!AJ220="Présent"),0),IF('POINTAGE'!$AL$5&lt;&gt;"",--('POINTAGE'!AL220="Présent"),0),IF('POINTAGE'!$AN$5&lt;&gt;"",--('POINTAGE'!AN220="Présent"),0),IF('POINTAGE'!$AP$5&lt;&gt;"",--('POINTAGE'!AP220="Présent"),0),IF('POINTAGE'!$AR$5&lt;&gt;"",--('POINTAGE'!AR220="Présent"),0),IF('POINTAGE'!$AT$5&lt;&gt;"",--('POINTAGE'!AT220="Présent"),0),IF('POINTAGE'!$AV$5&lt;&gt;"",--('POINTAGE'!AV220="Présent"),0),IF('POINTAGE'!$AX$5&lt;&gt;"",--('POINTAGE'!AX220="Présent"),0),IF('POINTAGE'!$AZ$5&lt;&gt;"",--('POINTAGE'!AZ220="Présent"),0),IF('POINTAGE'!$BB$5&lt;&gt;"",--('POINTAGE'!BB220="Présent"),0),IF('POINTAGE'!$BD$5&lt;&gt;"",--('POINTAGE'!BD220="Présent"),0),IF('POINTAGE'!$BF$5&lt;&gt;"",--('POINTAGE'!BF220="Présent"),0),IF('POINTAGE'!$BH$5&lt;&gt;"",--('POINTAGE'!BH220="Présent"),0),IF('POINTAGE'!$BJ$5&lt;&gt;"",--('POINTAGE'!BJ220="Présent"),0),IF('POINTAGE'!$BL$5&lt;&gt;"",--('POINTAGE'!BL220="Présent"),0)))</f>
      </c>
      <c r="O220" s="22">
        <f>IF($A220="","",SUM(IF('POINTAGE'!$AH$5&lt;&gt;"",--('POINTAGE'!AH220="Absent"),0),IF('POINTAGE'!$AJ$5&lt;&gt;"",--('POINTAGE'!AJ220="Absent"),0),IF('POINTAGE'!$AL$5&lt;&gt;"",--('POINTAGE'!AL220="Absent"),0),IF('POINTAGE'!$AN$5&lt;&gt;"",--('POINTAGE'!AN220="Absent"),0),IF('POINTAGE'!$AP$5&lt;&gt;"",--('POINTAGE'!AP220="Absent"),0),IF('POINTAGE'!$AR$5&lt;&gt;"",--('POINTAGE'!AR220="Absent"),0),IF('POINTAGE'!$AT$5&lt;&gt;"",--('POINTAGE'!AT220="Absent"),0),IF('POINTAGE'!$AV$5&lt;&gt;"",--('POINTAGE'!AV220="Absent"),0),IF('POINTAGE'!$AX$5&lt;&gt;"",--('POINTAGE'!AX220="Absent"),0),IF('POINTAGE'!$AZ$5&lt;&gt;"",--('POINTAGE'!AZ220="Absent"),0),IF('POINTAGE'!$BB$5&lt;&gt;"",--('POINTAGE'!BB220="Absent"),0),IF('POINTAGE'!$BD$5&lt;&gt;"",--('POINTAGE'!BD220="Absent"),0),IF('POINTAGE'!$BF$5&lt;&gt;"",--('POINTAGE'!BF220="Absent"),0),IF('POINTAGE'!$BH$5&lt;&gt;"",--('POINTAGE'!BH220="Absent"),0),IF('POINTAGE'!$BJ$5&lt;&gt;"",--('POINTAGE'!BJ220="Absent"),0),IF('POINTAGE'!$BL$5&lt;&gt;"",--('POINTAGE'!BL220="Absent"),0)))</f>
      </c>
      <c r="P220" s="23">
        <f>IF($A220="","",SUM(IF('POINTAGE'!$AH$5&lt;&gt;"",IF('POINTAGE'!AH220="Présent",'POINTAGE'!AI220,0),0),IF('POINTAGE'!$AJ$5&lt;&gt;"",IF('POINTAGE'!AJ220="Présent",'POINTAGE'!AK220,0),0),IF('POINTAGE'!$AL$5&lt;&gt;"",IF('POINTAGE'!AL220="Présent",'POINTAGE'!AM220,0),0),IF('POINTAGE'!$AN$5&lt;&gt;"",IF('POINTAGE'!AN220="Présent",'POINTAGE'!AO220,0),0),IF('POINTAGE'!$AP$5&lt;&gt;"",IF('POINTAGE'!AP220="Présent",'POINTAGE'!AQ220,0),0),IF('POINTAGE'!$AR$5&lt;&gt;"",IF('POINTAGE'!AR220="Présent",'POINTAGE'!AS220,0),0),IF('POINTAGE'!$AT$5&lt;&gt;"",IF('POINTAGE'!AT220="Présent",'POINTAGE'!AU220,0),0),IF('POINTAGE'!$AV$5&lt;&gt;"",IF('POINTAGE'!AV220="Présent",'POINTAGE'!AW220,0),0),IF('POINTAGE'!$AX$5&lt;&gt;"",IF('POINTAGE'!AX220="Présent",'POINTAGE'!AY220,0),0),IF('POINTAGE'!$AZ$5&lt;&gt;"",IF('POINTAGE'!AZ220="Présent",'POINTAGE'!BA220,0),0),IF('POINTAGE'!$BB$5&lt;&gt;"",IF('POINTAGE'!BB220="Présent",'POINTAGE'!BC220,0),0),IF('POINTAGE'!$BD$5&lt;&gt;"",IF('POINTAGE'!BD220="Présent",'POINTAGE'!BE220,0),0),IF('POINTAGE'!$BF$5&lt;&gt;"",IF('POINTAGE'!BF220="Présent",'POINTAGE'!BG220,0),0),IF('POINTAGE'!$BH$5&lt;&gt;"",IF('POINTAGE'!BH220="Présent",'POINTAGE'!BI220,0),0),IF('POINTAGE'!$BJ$5&lt;&gt;"",IF('POINTAGE'!BJ220="Présent",'POINTAGE'!BK220,0),0),IF('POINTAGE'!$BL$5&lt;&gt;"",IF('POINTAGE'!BL220="Présent",'POINTAGE'!BM220,0),0)))</f>
      </c>
      <c r="Q220" s="24">
        <f>IF($A220="","",$N220*$D220)</f>
      </c>
      <c r="R220" s="24">
        <f>IF($A220="","",$P220*$E220)</f>
      </c>
      <c r="S220" s="25">
        <f>IF($A220="","",$Q220+$R220)</f>
      </c>
      <c r="T220" s="18"/>
      <c r="U220" s="25">
        <f>IF($A220="","",MAX(0,$S220-$T220))</f>
      </c>
      <c r="V220" s="25">
        <f>IF($A220="","",$K220+$S220)</f>
      </c>
      <c r="W220" s="24">
        <f>IF($A220="","",$L220+$T220)</f>
      </c>
      <c r="X220" s="25">
        <f>IF($A220="","",$M220+$U220)</f>
      </c>
      <c r="Y220" s="29">
        <f>IF($A220="","",$J220+$R220)</f>
      </c>
    </row>
    <row r="221">
      <c r="A221" s="20">
        <f>IF('POINTAGE'!A221="","",'POINTAGE'!A221)</f>
      </c>
      <c r="B221" s="19">
        <f>IF($A221="","",'POINTAGE'!B221)</f>
      </c>
      <c r="C221" s="20">
        <f>IF($A221="","",'POINTAGE'!C221)</f>
      </c>
      <c r="D221" s="24">
        <f>IF($A221="","",IFERROR(INDEX(Categories_Salaire,MATCH($C221,ListeCategories,0)),0))</f>
      </c>
      <c r="E221" s="24">
        <f>IF($A221="","",IF(IFERROR(INDEX(Categories_TauxHS,MATCH($C221,ListeCategories,0)),0)&gt;0,IFERROR(INDEX(Categories_TauxHS,MATCH($C221,ListeCategories,0)),0),TauxHSDefaut))</f>
      </c>
      <c r="F221" s="22">
        <f>IF($A221="","",SUM(IF('POINTAGE'!$D$5&lt;&gt;"",--('POINTAGE'!D221="Présent"),0),IF('POINTAGE'!$F$5&lt;&gt;"",--('POINTAGE'!F221="Présent"),0),IF('POINTAGE'!$H$5&lt;&gt;"",--('POINTAGE'!H221="Présent"),0),IF('POINTAGE'!$J$5&lt;&gt;"",--('POINTAGE'!J221="Présent"),0),IF('POINTAGE'!$L$5&lt;&gt;"",--('POINTAGE'!L221="Présent"),0),IF('POINTAGE'!$N$5&lt;&gt;"",--('POINTAGE'!N221="Présent"),0),IF('POINTAGE'!$P$5&lt;&gt;"",--('POINTAGE'!P221="Présent"),0),IF('POINTAGE'!$R$5&lt;&gt;"",--('POINTAGE'!R221="Présent"),0),IF('POINTAGE'!$T$5&lt;&gt;"",--('POINTAGE'!T221="Présent"),0),IF('POINTAGE'!$V$5&lt;&gt;"",--('POINTAGE'!V221="Présent"),0),IF('POINTAGE'!$X$5&lt;&gt;"",--('POINTAGE'!X221="Présent"),0),IF('POINTAGE'!$Z$5&lt;&gt;"",--('POINTAGE'!Z221="Présent"),0),IF('POINTAGE'!$AB$5&lt;&gt;"",--('POINTAGE'!AB221="Présent"),0),IF('POINTAGE'!$AD$5&lt;&gt;"",--('POINTAGE'!AD221="Présent"),0),IF('POINTAGE'!$AF$5&lt;&gt;"",--('POINTAGE'!AF221="Présent"),0)))</f>
      </c>
      <c r="G221" s="22">
        <f>IF($A221="","",SUM(IF('POINTAGE'!$D$5&lt;&gt;"",--('POINTAGE'!D221="Absent"),0),IF('POINTAGE'!$F$5&lt;&gt;"",--('POINTAGE'!F221="Absent"),0),IF('POINTAGE'!$H$5&lt;&gt;"",--('POINTAGE'!H221="Absent"),0),IF('POINTAGE'!$J$5&lt;&gt;"",--('POINTAGE'!J221="Absent"),0),IF('POINTAGE'!$L$5&lt;&gt;"",--('POINTAGE'!L221="Absent"),0),IF('POINTAGE'!$N$5&lt;&gt;"",--('POINTAGE'!N221="Absent"),0),IF('POINTAGE'!$P$5&lt;&gt;"",--('POINTAGE'!P221="Absent"),0),IF('POINTAGE'!$R$5&lt;&gt;"",--('POINTAGE'!R221="Absent"),0),IF('POINTAGE'!$T$5&lt;&gt;"",--('POINTAGE'!T221="Absent"),0),IF('POINTAGE'!$V$5&lt;&gt;"",--('POINTAGE'!V221="Absent"),0),IF('POINTAGE'!$X$5&lt;&gt;"",--('POINTAGE'!X221="Absent"),0),IF('POINTAGE'!$Z$5&lt;&gt;"",--('POINTAGE'!Z221="Absent"),0),IF('POINTAGE'!$AB$5&lt;&gt;"",--('POINTAGE'!AB221="Absent"),0),IF('POINTAGE'!$AD$5&lt;&gt;"",--('POINTAGE'!AD221="Absent"),0),IF('POINTAGE'!$AF$5&lt;&gt;"",--('POINTAGE'!AF221="Absent"),0)))</f>
      </c>
      <c r="H221" s="23">
        <f>IF($A221="","",SUM(IF('POINTAGE'!$D$5&lt;&gt;"",IF('POINTAGE'!D221="Présent",'POINTAGE'!E221,0),0),IF('POINTAGE'!$F$5&lt;&gt;"",IF('POINTAGE'!F221="Présent",'POINTAGE'!G221,0),0),IF('POINTAGE'!$H$5&lt;&gt;"",IF('POINTAGE'!H221="Présent",'POINTAGE'!I221,0),0),IF('POINTAGE'!$J$5&lt;&gt;"",IF('POINTAGE'!J221="Présent",'POINTAGE'!K221,0),0),IF('POINTAGE'!$L$5&lt;&gt;"",IF('POINTAGE'!L221="Présent",'POINTAGE'!M221,0),0),IF('POINTAGE'!$N$5&lt;&gt;"",IF('POINTAGE'!N221="Présent",'POINTAGE'!O221,0),0),IF('POINTAGE'!$P$5&lt;&gt;"",IF('POINTAGE'!P221="Présent",'POINTAGE'!Q221,0),0),IF('POINTAGE'!$R$5&lt;&gt;"",IF('POINTAGE'!R221="Présent",'POINTAGE'!S221,0),0),IF('POINTAGE'!$T$5&lt;&gt;"",IF('POINTAGE'!T221="Présent",'POINTAGE'!U221,0),0),IF('POINTAGE'!$V$5&lt;&gt;"",IF('POINTAGE'!V221="Présent",'POINTAGE'!W221,0),0),IF('POINTAGE'!$X$5&lt;&gt;"",IF('POINTAGE'!X221="Présent",'POINTAGE'!Y221,0),0),IF('POINTAGE'!$Z$5&lt;&gt;"",IF('POINTAGE'!Z221="Présent",'POINTAGE'!AA221,0),0),IF('POINTAGE'!$AB$5&lt;&gt;"",IF('POINTAGE'!AB221="Présent",'POINTAGE'!AC221,0),0),IF('POINTAGE'!$AD$5&lt;&gt;"",IF('POINTAGE'!AD221="Présent",'POINTAGE'!AE221,0),0),IF('POINTAGE'!$AF$5&lt;&gt;"",IF('POINTAGE'!AF221="Présent",'POINTAGE'!AG221,0),0)))</f>
      </c>
      <c r="I221" s="24">
        <f>IF($A221="","",$F221*$D221)</f>
      </c>
      <c r="J221" s="24">
        <f>IF($A221="","",$H221*$E221)</f>
      </c>
      <c r="K221" s="25">
        <f>IF($A221="","",$I221+$J221)</f>
      </c>
      <c r="L221" s="18"/>
      <c r="M221" s="25">
        <f>IF($A221="","",MAX(0,$K221-$L221))</f>
      </c>
      <c r="N221" s="22">
        <f>IF($A221="","",SUM(IF('POINTAGE'!$AH$5&lt;&gt;"",--('POINTAGE'!AH221="Présent"),0),IF('POINTAGE'!$AJ$5&lt;&gt;"",--('POINTAGE'!AJ221="Présent"),0),IF('POINTAGE'!$AL$5&lt;&gt;"",--('POINTAGE'!AL221="Présent"),0),IF('POINTAGE'!$AN$5&lt;&gt;"",--('POINTAGE'!AN221="Présent"),0),IF('POINTAGE'!$AP$5&lt;&gt;"",--('POINTAGE'!AP221="Présent"),0),IF('POINTAGE'!$AR$5&lt;&gt;"",--('POINTAGE'!AR221="Présent"),0),IF('POINTAGE'!$AT$5&lt;&gt;"",--('POINTAGE'!AT221="Présent"),0),IF('POINTAGE'!$AV$5&lt;&gt;"",--('POINTAGE'!AV221="Présent"),0),IF('POINTAGE'!$AX$5&lt;&gt;"",--('POINTAGE'!AX221="Présent"),0),IF('POINTAGE'!$AZ$5&lt;&gt;"",--('POINTAGE'!AZ221="Présent"),0),IF('POINTAGE'!$BB$5&lt;&gt;"",--('POINTAGE'!BB221="Présent"),0),IF('POINTAGE'!$BD$5&lt;&gt;"",--('POINTAGE'!BD221="Présent"),0),IF('POINTAGE'!$BF$5&lt;&gt;"",--('POINTAGE'!BF221="Présent"),0),IF('POINTAGE'!$BH$5&lt;&gt;"",--('POINTAGE'!BH221="Présent"),0),IF('POINTAGE'!$BJ$5&lt;&gt;"",--('POINTAGE'!BJ221="Présent"),0),IF('POINTAGE'!$BL$5&lt;&gt;"",--('POINTAGE'!BL221="Présent"),0)))</f>
      </c>
      <c r="O221" s="22">
        <f>IF($A221="","",SUM(IF('POINTAGE'!$AH$5&lt;&gt;"",--('POINTAGE'!AH221="Absent"),0),IF('POINTAGE'!$AJ$5&lt;&gt;"",--('POINTAGE'!AJ221="Absent"),0),IF('POINTAGE'!$AL$5&lt;&gt;"",--('POINTAGE'!AL221="Absent"),0),IF('POINTAGE'!$AN$5&lt;&gt;"",--('POINTAGE'!AN221="Absent"),0),IF('POINTAGE'!$AP$5&lt;&gt;"",--('POINTAGE'!AP221="Absent"),0),IF('POINTAGE'!$AR$5&lt;&gt;"",--('POINTAGE'!AR221="Absent"),0),IF('POINTAGE'!$AT$5&lt;&gt;"",--('POINTAGE'!AT221="Absent"),0),IF('POINTAGE'!$AV$5&lt;&gt;"",--('POINTAGE'!AV221="Absent"),0),IF('POINTAGE'!$AX$5&lt;&gt;"",--('POINTAGE'!AX221="Absent"),0),IF('POINTAGE'!$AZ$5&lt;&gt;"",--('POINTAGE'!AZ221="Absent"),0),IF('POINTAGE'!$BB$5&lt;&gt;"",--('POINTAGE'!BB221="Absent"),0),IF('POINTAGE'!$BD$5&lt;&gt;"",--('POINTAGE'!BD221="Absent"),0),IF('POINTAGE'!$BF$5&lt;&gt;"",--('POINTAGE'!BF221="Absent"),0),IF('POINTAGE'!$BH$5&lt;&gt;"",--('POINTAGE'!BH221="Absent"),0),IF('POINTAGE'!$BJ$5&lt;&gt;"",--('POINTAGE'!BJ221="Absent"),0),IF('POINTAGE'!$BL$5&lt;&gt;"",--('POINTAGE'!BL221="Absent"),0)))</f>
      </c>
      <c r="P221" s="23">
        <f>IF($A221="","",SUM(IF('POINTAGE'!$AH$5&lt;&gt;"",IF('POINTAGE'!AH221="Présent",'POINTAGE'!AI221,0),0),IF('POINTAGE'!$AJ$5&lt;&gt;"",IF('POINTAGE'!AJ221="Présent",'POINTAGE'!AK221,0),0),IF('POINTAGE'!$AL$5&lt;&gt;"",IF('POINTAGE'!AL221="Présent",'POINTAGE'!AM221,0),0),IF('POINTAGE'!$AN$5&lt;&gt;"",IF('POINTAGE'!AN221="Présent",'POINTAGE'!AO221,0),0),IF('POINTAGE'!$AP$5&lt;&gt;"",IF('POINTAGE'!AP221="Présent",'POINTAGE'!AQ221,0),0),IF('POINTAGE'!$AR$5&lt;&gt;"",IF('POINTAGE'!AR221="Présent",'POINTAGE'!AS221,0),0),IF('POINTAGE'!$AT$5&lt;&gt;"",IF('POINTAGE'!AT221="Présent",'POINTAGE'!AU221,0),0),IF('POINTAGE'!$AV$5&lt;&gt;"",IF('POINTAGE'!AV221="Présent",'POINTAGE'!AW221,0),0),IF('POINTAGE'!$AX$5&lt;&gt;"",IF('POINTAGE'!AX221="Présent",'POINTAGE'!AY221,0),0),IF('POINTAGE'!$AZ$5&lt;&gt;"",IF('POINTAGE'!AZ221="Présent",'POINTAGE'!BA221,0),0),IF('POINTAGE'!$BB$5&lt;&gt;"",IF('POINTAGE'!BB221="Présent",'POINTAGE'!BC221,0),0),IF('POINTAGE'!$BD$5&lt;&gt;"",IF('POINTAGE'!BD221="Présent",'POINTAGE'!BE221,0),0),IF('POINTAGE'!$BF$5&lt;&gt;"",IF('POINTAGE'!BF221="Présent",'POINTAGE'!BG221,0),0),IF('POINTAGE'!$BH$5&lt;&gt;"",IF('POINTAGE'!BH221="Présent",'POINTAGE'!BI221,0),0),IF('POINTAGE'!$BJ$5&lt;&gt;"",IF('POINTAGE'!BJ221="Présent",'POINTAGE'!BK221,0),0),IF('POINTAGE'!$BL$5&lt;&gt;"",IF('POINTAGE'!BL221="Présent",'POINTAGE'!BM221,0),0)))</f>
      </c>
      <c r="Q221" s="24">
        <f>IF($A221="","",$N221*$D221)</f>
      </c>
      <c r="R221" s="24">
        <f>IF($A221="","",$P221*$E221)</f>
      </c>
      <c r="S221" s="25">
        <f>IF($A221="","",$Q221+$R221)</f>
      </c>
      <c r="T221" s="18"/>
      <c r="U221" s="25">
        <f>IF($A221="","",MAX(0,$S221-$T221))</f>
      </c>
      <c r="V221" s="25">
        <f>IF($A221="","",$K221+$S221)</f>
      </c>
      <c r="W221" s="24">
        <f>IF($A221="","",$L221+$T221)</f>
      </c>
      <c r="X221" s="25">
        <f>IF($A221="","",$M221+$U221)</f>
      </c>
      <c r="Y221" s="29">
        <f>IF($A221="","",$J221+$R221)</f>
      </c>
    </row>
    <row r="222">
      <c r="A222" s="20">
        <f>IF('POINTAGE'!A222="","",'POINTAGE'!A222)</f>
      </c>
      <c r="B222" s="19">
        <f>IF($A222="","",'POINTAGE'!B222)</f>
      </c>
      <c r="C222" s="20">
        <f>IF($A222="","",'POINTAGE'!C222)</f>
      </c>
      <c r="D222" s="24">
        <f>IF($A222="","",IFERROR(INDEX(Categories_Salaire,MATCH($C222,ListeCategories,0)),0))</f>
      </c>
      <c r="E222" s="24">
        <f>IF($A222="","",IF(IFERROR(INDEX(Categories_TauxHS,MATCH($C222,ListeCategories,0)),0)&gt;0,IFERROR(INDEX(Categories_TauxHS,MATCH($C222,ListeCategories,0)),0),TauxHSDefaut))</f>
      </c>
      <c r="F222" s="22">
        <f>IF($A222="","",SUM(IF('POINTAGE'!$D$5&lt;&gt;"",--('POINTAGE'!D222="Présent"),0),IF('POINTAGE'!$F$5&lt;&gt;"",--('POINTAGE'!F222="Présent"),0),IF('POINTAGE'!$H$5&lt;&gt;"",--('POINTAGE'!H222="Présent"),0),IF('POINTAGE'!$J$5&lt;&gt;"",--('POINTAGE'!J222="Présent"),0),IF('POINTAGE'!$L$5&lt;&gt;"",--('POINTAGE'!L222="Présent"),0),IF('POINTAGE'!$N$5&lt;&gt;"",--('POINTAGE'!N222="Présent"),0),IF('POINTAGE'!$P$5&lt;&gt;"",--('POINTAGE'!P222="Présent"),0),IF('POINTAGE'!$R$5&lt;&gt;"",--('POINTAGE'!R222="Présent"),0),IF('POINTAGE'!$T$5&lt;&gt;"",--('POINTAGE'!T222="Présent"),0),IF('POINTAGE'!$V$5&lt;&gt;"",--('POINTAGE'!V222="Présent"),0),IF('POINTAGE'!$X$5&lt;&gt;"",--('POINTAGE'!X222="Présent"),0),IF('POINTAGE'!$Z$5&lt;&gt;"",--('POINTAGE'!Z222="Présent"),0),IF('POINTAGE'!$AB$5&lt;&gt;"",--('POINTAGE'!AB222="Présent"),0),IF('POINTAGE'!$AD$5&lt;&gt;"",--('POINTAGE'!AD222="Présent"),0),IF('POINTAGE'!$AF$5&lt;&gt;"",--('POINTAGE'!AF222="Présent"),0)))</f>
      </c>
      <c r="G222" s="22">
        <f>IF($A222="","",SUM(IF('POINTAGE'!$D$5&lt;&gt;"",--('POINTAGE'!D222="Absent"),0),IF('POINTAGE'!$F$5&lt;&gt;"",--('POINTAGE'!F222="Absent"),0),IF('POINTAGE'!$H$5&lt;&gt;"",--('POINTAGE'!H222="Absent"),0),IF('POINTAGE'!$J$5&lt;&gt;"",--('POINTAGE'!J222="Absent"),0),IF('POINTAGE'!$L$5&lt;&gt;"",--('POINTAGE'!L222="Absent"),0),IF('POINTAGE'!$N$5&lt;&gt;"",--('POINTAGE'!N222="Absent"),0),IF('POINTAGE'!$P$5&lt;&gt;"",--('POINTAGE'!P222="Absent"),0),IF('POINTAGE'!$R$5&lt;&gt;"",--('POINTAGE'!R222="Absent"),0),IF('POINTAGE'!$T$5&lt;&gt;"",--('POINTAGE'!T222="Absent"),0),IF('POINTAGE'!$V$5&lt;&gt;"",--('POINTAGE'!V222="Absent"),0),IF('POINTAGE'!$X$5&lt;&gt;"",--('POINTAGE'!X222="Absent"),0),IF('POINTAGE'!$Z$5&lt;&gt;"",--('POINTAGE'!Z222="Absent"),0),IF('POINTAGE'!$AB$5&lt;&gt;"",--('POINTAGE'!AB222="Absent"),0),IF('POINTAGE'!$AD$5&lt;&gt;"",--('POINTAGE'!AD222="Absent"),0),IF('POINTAGE'!$AF$5&lt;&gt;"",--('POINTAGE'!AF222="Absent"),0)))</f>
      </c>
      <c r="H222" s="23">
        <f>IF($A222="","",SUM(IF('POINTAGE'!$D$5&lt;&gt;"",IF('POINTAGE'!D222="Présent",'POINTAGE'!E222,0),0),IF('POINTAGE'!$F$5&lt;&gt;"",IF('POINTAGE'!F222="Présent",'POINTAGE'!G222,0),0),IF('POINTAGE'!$H$5&lt;&gt;"",IF('POINTAGE'!H222="Présent",'POINTAGE'!I222,0),0),IF('POINTAGE'!$J$5&lt;&gt;"",IF('POINTAGE'!J222="Présent",'POINTAGE'!K222,0),0),IF('POINTAGE'!$L$5&lt;&gt;"",IF('POINTAGE'!L222="Présent",'POINTAGE'!M222,0),0),IF('POINTAGE'!$N$5&lt;&gt;"",IF('POINTAGE'!N222="Présent",'POINTAGE'!O222,0),0),IF('POINTAGE'!$P$5&lt;&gt;"",IF('POINTAGE'!P222="Présent",'POINTAGE'!Q222,0),0),IF('POINTAGE'!$R$5&lt;&gt;"",IF('POINTAGE'!R222="Présent",'POINTAGE'!S222,0),0),IF('POINTAGE'!$T$5&lt;&gt;"",IF('POINTAGE'!T222="Présent",'POINTAGE'!U222,0),0),IF('POINTAGE'!$V$5&lt;&gt;"",IF('POINTAGE'!V222="Présent",'POINTAGE'!W222,0),0),IF('POINTAGE'!$X$5&lt;&gt;"",IF('POINTAGE'!X222="Présent",'POINTAGE'!Y222,0),0),IF('POINTAGE'!$Z$5&lt;&gt;"",IF('POINTAGE'!Z222="Présent",'POINTAGE'!AA222,0),0),IF('POINTAGE'!$AB$5&lt;&gt;"",IF('POINTAGE'!AB222="Présent",'POINTAGE'!AC222,0),0),IF('POINTAGE'!$AD$5&lt;&gt;"",IF('POINTAGE'!AD222="Présent",'POINTAGE'!AE222,0),0),IF('POINTAGE'!$AF$5&lt;&gt;"",IF('POINTAGE'!AF222="Présent",'POINTAGE'!AG222,0),0)))</f>
      </c>
      <c r="I222" s="24">
        <f>IF($A222="","",$F222*$D222)</f>
      </c>
      <c r="J222" s="24">
        <f>IF($A222="","",$H222*$E222)</f>
      </c>
      <c r="K222" s="25">
        <f>IF($A222="","",$I222+$J222)</f>
      </c>
      <c r="L222" s="18"/>
      <c r="M222" s="25">
        <f>IF($A222="","",MAX(0,$K222-$L222))</f>
      </c>
      <c r="N222" s="22">
        <f>IF($A222="","",SUM(IF('POINTAGE'!$AH$5&lt;&gt;"",--('POINTAGE'!AH222="Présent"),0),IF('POINTAGE'!$AJ$5&lt;&gt;"",--('POINTAGE'!AJ222="Présent"),0),IF('POINTAGE'!$AL$5&lt;&gt;"",--('POINTAGE'!AL222="Présent"),0),IF('POINTAGE'!$AN$5&lt;&gt;"",--('POINTAGE'!AN222="Présent"),0),IF('POINTAGE'!$AP$5&lt;&gt;"",--('POINTAGE'!AP222="Présent"),0),IF('POINTAGE'!$AR$5&lt;&gt;"",--('POINTAGE'!AR222="Présent"),0),IF('POINTAGE'!$AT$5&lt;&gt;"",--('POINTAGE'!AT222="Présent"),0),IF('POINTAGE'!$AV$5&lt;&gt;"",--('POINTAGE'!AV222="Présent"),0),IF('POINTAGE'!$AX$5&lt;&gt;"",--('POINTAGE'!AX222="Présent"),0),IF('POINTAGE'!$AZ$5&lt;&gt;"",--('POINTAGE'!AZ222="Présent"),0),IF('POINTAGE'!$BB$5&lt;&gt;"",--('POINTAGE'!BB222="Présent"),0),IF('POINTAGE'!$BD$5&lt;&gt;"",--('POINTAGE'!BD222="Présent"),0),IF('POINTAGE'!$BF$5&lt;&gt;"",--('POINTAGE'!BF222="Présent"),0),IF('POINTAGE'!$BH$5&lt;&gt;"",--('POINTAGE'!BH222="Présent"),0),IF('POINTAGE'!$BJ$5&lt;&gt;"",--('POINTAGE'!BJ222="Présent"),0),IF('POINTAGE'!$BL$5&lt;&gt;"",--('POINTAGE'!BL222="Présent"),0)))</f>
      </c>
      <c r="O222" s="22">
        <f>IF($A222="","",SUM(IF('POINTAGE'!$AH$5&lt;&gt;"",--('POINTAGE'!AH222="Absent"),0),IF('POINTAGE'!$AJ$5&lt;&gt;"",--('POINTAGE'!AJ222="Absent"),0),IF('POINTAGE'!$AL$5&lt;&gt;"",--('POINTAGE'!AL222="Absent"),0),IF('POINTAGE'!$AN$5&lt;&gt;"",--('POINTAGE'!AN222="Absent"),0),IF('POINTAGE'!$AP$5&lt;&gt;"",--('POINTAGE'!AP222="Absent"),0),IF('POINTAGE'!$AR$5&lt;&gt;"",--('POINTAGE'!AR222="Absent"),0),IF('POINTAGE'!$AT$5&lt;&gt;"",--('POINTAGE'!AT222="Absent"),0),IF('POINTAGE'!$AV$5&lt;&gt;"",--('POINTAGE'!AV222="Absent"),0),IF('POINTAGE'!$AX$5&lt;&gt;"",--('POINTAGE'!AX222="Absent"),0),IF('POINTAGE'!$AZ$5&lt;&gt;"",--('POINTAGE'!AZ222="Absent"),0),IF('POINTAGE'!$BB$5&lt;&gt;"",--('POINTAGE'!BB222="Absent"),0),IF('POINTAGE'!$BD$5&lt;&gt;"",--('POINTAGE'!BD222="Absent"),0),IF('POINTAGE'!$BF$5&lt;&gt;"",--('POINTAGE'!BF222="Absent"),0),IF('POINTAGE'!$BH$5&lt;&gt;"",--('POINTAGE'!BH222="Absent"),0),IF('POINTAGE'!$BJ$5&lt;&gt;"",--('POINTAGE'!BJ222="Absent"),0),IF('POINTAGE'!$BL$5&lt;&gt;"",--('POINTAGE'!BL222="Absent"),0)))</f>
      </c>
      <c r="P222" s="23">
        <f>IF($A222="","",SUM(IF('POINTAGE'!$AH$5&lt;&gt;"",IF('POINTAGE'!AH222="Présent",'POINTAGE'!AI222,0),0),IF('POINTAGE'!$AJ$5&lt;&gt;"",IF('POINTAGE'!AJ222="Présent",'POINTAGE'!AK222,0),0),IF('POINTAGE'!$AL$5&lt;&gt;"",IF('POINTAGE'!AL222="Présent",'POINTAGE'!AM222,0),0),IF('POINTAGE'!$AN$5&lt;&gt;"",IF('POINTAGE'!AN222="Présent",'POINTAGE'!AO222,0),0),IF('POINTAGE'!$AP$5&lt;&gt;"",IF('POINTAGE'!AP222="Présent",'POINTAGE'!AQ222,0),0),IF('POINTAGE'!$AR$5&lt;&gt;"",IF('POINTAGE'!AR222="Présent",'POINTAGE'!AS222,0),0),IF('POINTAGE'!$AT$5&lt;&gt;"",IF('POINTAGE'!AT222="Présent",'POINTAGE'!AU222,0),0),IF('POINTAGE'!$AV$5&lt;&gt;"",IF('POINTAGE'!AV222="Présent",'POINTAGE'!AW222,0),0),IF('POINTAGE'!$AX$5&lt;&gt;"",IF('POINTAGE'!AX222="Présent",'POINTAGE'!AY222,0),0),IF('POINTAGE'!$AZ$5&lt;&gt;"",IF('POINTAGE'!AZ222="Présent",'POINTAGE'!BA222,0),0),IF('POINTAGE'!$BB$5&lt;&gt;"",IF('POINTAGE'!BB222="Présent",'POINTAGE'!BC222,0),0),IF('POINTAGE'!$BD$5&lt;&gt;"",IF('POINTAGE'!BD222="Présent",'POINTAGE'!BE222,0),0),IF('POINTAGE'!$BF$5&lt;&gt;"",IF('POINTAGE'!BF222="Présent",'POINTAGE'!BG222,0),0),IF('POINTAGE'!$BH$5&lt;&gt;"",IF('POINTAGE'!BH222="Présent",'POINTAGE'!BI222,0),0),IF('POINTAGE'!$BJ$5&lt;&gt;"",IF('POINTAGE'!BJ222="Présent",'POINTAGE'!BK222,0),0),IF('POINTAGE'!$BL$5&lt;&gt;"",IF('POINTAGE'!BL222="Présent",'POINTAGE'!BM222,0),0)))</f>
      </c>
      <c r="Q222" s="24">
        <f>IF($A222="","",$N222*$D222)</f>
      </c>
      <c r="R222" s="24">
        <f>IF($A222="","",$P222*$E222)</f>
      </c>
      <c r="S222" s="25">
        <f>IF($A222="","",$Q222+$R222)</f>
      </c>
      <c r="T222" s="18"/>
      <c r="U222" s="25">
        <f>IF($A222="","",MAX(0,$S222-$T222))</f>
      </c>
      <c r="V222" s="25">
        <f>IF($A222="","",$K222+$S222)</f>
      </c>
      <c r="W222" s="24">
        <f>IF($A222="","",$L222+$T222)</f>
      </c>
      <c r="X222" s="25">
        <f>IF($A222="","",$M222+$U222)</f>
      </c>
      <c r="Y222" s="29">
        <f>IF($A222="","",$J222+$R222)</f>
      </c>
    </row>
    <row r="223">
      <c r="A223" s="20">
        <f>IF('POINTAGE'!A223="","",'POINTAGE'!A223)</f>
      </c>
      <c r="B223" s="19">
        <f>IF($A223="","",'POINTAGE'!B223)</f>
      </c>
      <c r="C223" s="20">
        <f>IF($A223="","",'POINTAGE'!C223)</f>
      </c>
      <c r="D223" s="24">
        <f>IF($A223="","",IFERROR(INDEX(Categories_Salaire,MATCH($C223,ListeCategories,0)),0))</f>
      </c>
      <c r="E223" s="24">
        <f>IF($A223="","",IF(IFERROR(INDEX(Categories_TauxHS,MATCH($C223,ListeCategories,0)),0)&gt;0,IFERROR(INDEX(Categories_TauxHS,MATCH($C223,ListeCategories,0)),0),TauxHSDefaut))</f>
      </c>
      <c r="F223" s="22">
        <f>IF($A223="","",SUM(IF('POINTAGE'!$D$5&lt;&gt;"",--('POINTAGE'!D223="Présent"),0),IF('POINTAGE'!$F$5&lt;&gt;"",--('POINTAGE'!F223="Présent"),0),IF('POINTAGE'!$H$5&lt;&gt;"",--('POINTAGE'!H223="Présent"),0),IF('POINTAGE'!$J$5&lt;&gt;"",--('POINTAGE'!J223="Présent"),0),IF('POINTAGE'!$L$5&lt;&gt;"",--('POINTAGE'!L223="Présent"),0),IF('POINTAGE'!$N$5&lt;&gt;"",--('POINTAGE'!N223="Présent"),0),IF('POINTAGE'!$P$5&lt;&gt;"",--('POINTAGE'!P223="Présent"),0),IF('POINTAGE'!$R$5&lt;&gt;"",--('POINTAGE'!R223="Présent"),0),IF('POINTAGE'!$T$5&lt;&gt;"",--('POINTAGE'!T223="Présent"),0),IF('POINTAGE'!$V$5&lt;&gt;"",--('POINTAGE'!V223="Présent"),0),IF('POINTAGE'!$X$5&lt;&gt;"",--('POINTAGE'!X223="Présent"),0),IF('POINTAGE'!$Z$5&lt;&gt;"",--('POINTAGE'!Z223="Présent"),0),IF('POINTAGE'!$AB$5&lt;&gt;"",--('POINTAGE'!AB223="Présent"),0),IF('POINTAGE'!$AD$5&lt;&gt;"",--('POINTAGE'!AD223="Présent"),0),IF('POINTAGE'!$AF$5&lt;&gt;"",--('POINTAGE'!AF223="Présent"),0)))</f>
      </c>
      <c r="G223" s="22">
        <f>IF($A223="","",SUM(IF('POINTAGE'!$D$5&lt;&gt;"",--('POINTAGE'!D223="Absent"),0),IF('POINTAGE'!$F$5&lt;&gt;"",--('POINTAGE'!F223="Absent"),0),IF('POINTAGE'!$H$5&lt;&gt;"",--('POINTAGE'!H223="Absent"),0),IF('POINTAGE'!$J$5&lt;&gt;"",--('POINTAGE'!J223="Absent"),0),IF('POINTAGE'!$L$5&lt;&gt;"",--('POINTAGE'!L223="Absent"),0),IF('POINTAGE'!$N$5&lt;&gt;"",--('POINTAGE'!N223="Absent"),0),IF('POINTAGE'!$P$5&lt;&gt;"",--('POINTAGE'!P223="Absent"),0),IF('POINTAGE'!$R$5&lt;&gt;"",--('POINTAGE'!R223="Absent"),0),IF('POINTAGE'!$T$5&lt;&gt;"",--('POINTAGE'!T223="Absent"),0),IF('POINTAGE'!$V$5&lt;&gt;"",--('POINTAGE'!V223="Absent"),0),IF('POINTAGE'!$X$5&lt;&gt;"",--('POINTAGE'!X223="Absent"),0),IF('POINTAGE'!$Z$5&lt;&gt;"",--('POINTAGE'!Z223="Absent"),0),IF('POINTAGE'!$AB$5&lt;&gt;"",--('POINTAGE'!AB223="Absent"),0),IF('POINTAGE'!$AD$5&lt;&gt;"",--('POINTAGE'!AD223="Absent"),0),IF('POINTAGE'!$AF$5&lt;&gt;"",--('POINTAGE'!AF223="Absent"),0)))</f>
      </c>
      <c r="H223" s="23">
        <f>IF($A223="","",SUM(IF('POINTAGE'!$D$5&lt;&gt;"",IF('POINTAGE'!D223="Présent",'POINTAGE'!E223,0),0),IF('POINTAGE'!$F$5&lt;&gt;"",IF('POINTAGE'!F223="Présent",'POINTAGE'!G223,0),0),IF('POINTAGE'!$H$5&lt;&gt;"",IF('POINTAGE'!H223="Présent",'POINTAGE'!I223,0),0),IF('POINTAGE'!$J$5&lt;&gt;"",IF('POINTAGE'!J223="Présent",'POINTAGE'!K223,0),0),IF('POINTAGE'!$L$5&lt;&gt;"",IF('POINTAGE'!L223="Présent",'POINTAGE'!M223,0),0),IF('POINTAGE'!$N$5&lt;&gt;"",IF('POINTAGE'!N223="Présent",'POINTAGE'!O223,0),0),IF('POINTAGE'!$P$5&lt;&gt;"",IF('POINTAGE'!P223="Présent",'POINTAGE'!Q223,0),0),IF('POINTAGE'!$R$5&lt;&gt;"",IF('POINTAGE'!R223="Présent",'POINTAGE'!S223,0),0),IF('POINTAGE'!$T$5&lt;&gt;"",IF('POINTAGE'!T223="Présent",'POINTAGE'!U223,0),0),IF('POINTAGE'!$V$5&lt;&gt;"",IF('POINTAGE'!V223="Présent",'POINTAGE'!W223,0),0),IF('POINTAGE'!$X$5&lt;&gt;"",IF('POINTAGE'!X223="Présent",'POINTAGE'!Y223,0),0),IF('POINTAGE'!$Z$5&lt;&gt;"",IF('POINTAGE'!Z223="Présent",'POINTAGE'!AA223,0),0),IF('POINTAGE'!$AB$5&lt;&gt;"",IF('POINTAGE'!AB223="Présent",'POINTAGE'!AC223,0),0),IF('POINTAGE'!$AD$5&lt;&gt;"",IF('POINTAGE'!AD223="Présent",'POINTAGE'!AE223,0),0),IF('POINTAGE'!$AF$5&lt;&gt;"",IF('POINTAGE'!AF223="Présent",'POINTAGE'!AG223,0),0)))</f>
      </c>
      <c r="I223" s="24">
        <f>IF($A223="","",$F223*$D223)</f>
      </c>
      <c r="J223" s="24">
        <f>IF($A223="","",$H223*$E223)</f>
      </c>
      <c r="K223" s="25">
        <f>IF($A223="","",$I223+$J223)</f>
      </c>
      <c r="L223" s="18"/>
      <c r="M223" s="25">
        <f>IF($A223="","",MAX(0,$K223-$L223))</f>
      </c>
      <c r="N223" s="22">
        <f>IF($A223="","",SUM(IF('POINTAGE'!$AH$5&lt;&gt;"",--('POINTAGE'!AH223="Présent"),0),IF('POINTAGE'!$AJ$5&lt;&gt;"",--('POINTAGE'!AJ223="Présent"),0),IF('POINTAGE'!$AL$5&lt;&gt;"",--('POINTAGE'!AL223="Présent"),0),IF('POINTAGE'!$AN$5&lt;&gt;"",--('POINTAGE'!AN223="Présent"),0),IF('POINTAGE'!$AP$5&lt;&gt;"",--('POINTAGE'!AP223="Présent"),0),IF('POINTAGE'!$AR$5&lt;&gt;"",--('POINTAGE'!AR223="Présent"),0),IF('POINTAGE'!$AT$5&lt;&gt;"",--('POINTAGE'!AT223="Présent"),0),IF('POINTAGE'!$AV$5&lt;&gt;"",--('POINTAGE'!AV223="Présent"),0),IF('POINTAGE'!$AX$5&lt;&gt;"",--('POINTAGE'!AX223="Présent"),0),IF('POINTAGE'!$AZ$5&lt;&gt;"",--('POINTAGE'!AZ223="Présent"),0),IF('POINTAGE'!$BB$5&lt;&gt;"",--('POINTAGE'!BB223="Présent"),0),IF('POINTAGE'!$BD$5&lt;&gt;"",--('POINTAGE'!BD223="Présent"),0),IF('POINTAGE'!$BF$5&lt;&gt;"",--('POINTAGE'!BF223="Présent"),0),IF('POINTAGE'!$BH$5&lt;&gt;"",--('POINTAGE'!BH223="Présent"),0),IF('POINTAGE'!$BJ$5&lt;&gt;"",--('POINTAGE'!BJ223="Présent"),0),IF('POINTAGE'!$BL$5&lt;&gt;"",--('POINTAGE'!BL223="Présent"),0)))</f>
      </c>
      <c r="O223" s="22">
        <f>IF($A223="","",SUM(IF('POINTAGE'!$AH$5&lt;&gt;"",--('POINTAGE'!AH223="Absent"),0),IF('POINTAGE'!$AJ$5&lt;&gt;"",--('POINTAGE'!AJ223="Absent"),0),IF('POINTAGE'!$AL$5&lt;&gt;"",--('POINTAGE'!AL223="Absent"),0),IF('POINTAGE'!$AN$5&lt;&gt;"",--('POINTAGE'!AN223="Absent"),0),IF('POINTAGE'!$AP$5&lt;&gt;"",--('POINTAGE'!AP223="Absent"),0),IF('POINTAGE'!$AR$5&lt;&gt;"",--('POINTAGE'!AR223="Absent"),0),IF('POINTAGE'!$AT$5&lt;&gt;"",--('POINTAGE'!AT223="Absent"),0),IF('POINTAGE'!$AV$5&lt;&gt;"",--('POINTAGE'!AV223="Absent"),0),IF('POINTAGE'!$AX$5&lt;&gt;"",--('POINTAGE'!AX223="Absent"),0),IF('POINTAGE'!$AZ$5&lt;&gt;"",--('POINTAGE'!AZ223="Absent"),0),IF('POINTAGE'!$BB$5&lt;&gt;"",--('POINTAGE'!BB223="Absent"),0),IF('POINTAGE'!$BD$5&lt;&gt;"",--('POINTAGE'!BD223="Absent"),0),IF('POINTAGE'!$BF$5&lt;&gt;"",--('POINTAGE'!BF223="Absent"),0),IF('POINTAGE'!$BH$5&lt;&gt;"",--('POINTAGE'!BH223="Absent"),0),IF('POINTAGE'!$BJ$5&lt;&gt;"",--('POINTAGE'!BJ223="Absent"),0),IF('POINTAGE'!$BL$5&lt;&gt;"",--('POINTAGE'!BL223="Absent"),0)))</f>
      </c>
      <c r="P223" s="23">
        <f>IF($A223="","",SUM(IF('POINTAGE'!$AH$5&lt;&gt;"",IF('POINTAGE'!AH223="Présent",'POINTAGE'!AI223,0),0),IF('POINTAGE'!$AJ$5&lt;&gt;"",IF('POINTAGE'!AJ223="Présent",'POINTAGE'!AK223,0),0),IF('POINTAGE'!$AL$5&lt;&gt;"",IF('POINTAGE'!AL223="Présent",'POINTAGE'!AM223,0),0),IF('POINTAGE'!$AN$5&lt;&gt;"",IF('POINTAGE'!AN223="Présent",'POINTAGE'!AO223,0),0),IF('POINTAGE'!$AP$5&lt;&gt;"",IF('POINTAGE'!AP223="Présent",'POINTAGE'!AQ223,0),0),IF('POINTAGE'!$AR$5&lt;&gt;"",IF('POINTAGE'!AR223="Présent",'POINTAGE'!AS223,0),0),IF('POINTAGE'!$AT$5&lt;&gt;"",IF('POINTAGE'!AT223="Présent",'POINTAGE'!AU223,0),0),IF('POINTAGE'!$AV$5&lt;&gt;"",IF('POINTAGE'!AV223="Présent",'POINTAGE'!AW223,0),0),IF('POINTAGE'!$AX$5&lt;&gt;"",IF('POINTAGE'!AX223="Présent",'POINTAGE'!AY223,0),0),IF('POINTAGE'!$AZ$5&lt;&gt;"",IF('POINTAGE'!AZ223="Présent",'POINTAGE'!BA223,0),0),IF('POINTAGE'!$BB$5&lt;&gt;"",IF('POINTAGE'!BB223="Présent",'POINTAGE'!BC223,0),0),IF('POINTAGE'!$BD$5&lt;&gt;"",IF('POINTAGE'!BD223="Présent",'POINTAGE'!BE223,0),0),IF('POINTAGE'!$BF$5&lt;&gt;"",IF('POINTAGE'!BF223="Présent",'POINTAGE'!BG223,0),0),IF('POINTAGE'!$BH$5&lt;&gt;"",IF('POINTAGE'!BH223="Présent",'POINTAGE'!BI223,0),0),IF('POINTAGE'!$BJ$5&lt;&gt;"",IF('POINTAGE'!BJ223="Présent",'POINTAGE'!BK223,0),0),IF('POINTAGE'!$BL$5&lt;&gt;"",IF('POINTAGE'!BL223="Présent",'POINTAGE'!BM223,0),0)))</f>
      </c>
      <c r="Q223" s="24">
        <f>IF($A223="","",$N223*$D223)</f>
      </c>
      <c r="R223" s="24">
        <f>IF($A223="","",$P223*$E223)</f>
      </c>
      <c r="S223" s="25">
        <f>IF($A223="","",$Q223+$R223)</f>
      </c>
      <c r="T223" s="18"/>
      <c r="U223" s="25">
        <f>IF($A223="","",MAX(0,$S223-$T223))</f>
      </c>
      <c r="V223" s="25">
        <f>IF($A223="","",$K223+$S223)</f>
      </c>
      <c r="W223" s="24">
        <f>IF($A223="","",$L223+$T223)</f>
      </c>
      <c r="X223" s="25">
        <f>IF($A223="","",$M223+$U223)</f>
      </c>
      <c r="Y223" s="29">
        <f>IF($A223="","",$J223+$R223)</f>
      </c>
    </row>
    <row r="224">
      <c r="A224" s="20">
        <f>IF('POINTAGE'!A224="","",'POINTAGE'!A224)</f>
      </c>
      <c r="B224" s="19">
        <f>IF($A224="","",'POINTAGE'!B224)</f>
      </c>
      <c r="C224" s="20">
        <f>IF($A224="","",'POINTAGE'!C224)</f>
      </c>
      <c r="D224" s="24">
        <f>IF($A224="","",IFERROR(INDEX(Categories_Salaire,MATCH($C224,ListeCategories,0)),0))</f>
      </c>
      <c r="E224" s="24">
        <f>IF($A224="","",IF(IFERROR(INDEX(Categories_TauxHS,MATCH($C224,ListeCategories,0)),0)&gt;0,IFERROR(INDEX(Categories_TauxHS,MATCH($C224,ListeCategories,0)),0),TauxHSDefaut))</f>
      </c>
      <c r="F224" s="22">
        <f>IF($A224="","",SUM(IF('POINTAGE'!$D$5&lt;&gt;"",--('POINTAGE'!D224="Présent"),0),IF('POINTAGE'!$F$5&lt;&gt;"",--('POINTAGE'!F224="Présent"),0),IF('POINTAGE'!$H$5&lt;&gt;"",--('POINTAGE'!H224="Présent"),0),IF('POINTAGE'!$J$5&lt;&gt;"",--('POINTAGE'!J224="Présent"),0),IF('POINTAGE'!$L$5&lt;&gt;"",--('POINTAGE'!L224="Présent"),0),IF('POINTAGE'!$N$5&lt;&gt;"",--('POINTAGE'!N224="Présent"),0),IF('POINTAGE'!$P$5&lt;&gt;"",--('POINTAGE'!P224="Présent"),0),IF('POINTAGE'!$R$5&lt;&gt;"",--('POINTAGE'!R224="Présent"),0),IF('POINTAGE'!$T$5&lt;&gt;"",--('POINTAGE'!T224="Présent"),0),IF('POINTAGE'!$V$5&lt;&gt;"",--('POINTAGE'!V224="Présent"),0),IF('POINTAGE'!$X$5&lt;&gt;"",--('POINTAGE'!X224="Présent"),0),IF('POINTAGE'!$Z$5&lt;&gt;"",--('POINTAGE'!Z224="Présent"),0),IF('POINTAGE'!$AB$5&lt;&gt;"",--('POINTAGE'!AB224="Présent"),0),IF('POINTAGE'!$AD$5&lt;&gt;"",--('POINTAGE'!AD224="Présent"),0),IF('POINTAGE'!$AF$5&lt;&gt;"",--('POINTAGE'!AF224="Présent"),0)))</f>
      </c>
      <c r="G224" s="22">
        <f>IF($A224="","",SUM(IF('POINTAGE'!$D$5&lt;&gt;"",--('POINTAGE'!D224="Absent"),0),IF('POINTAGE'!$F$5&lt;&gt;"",--('POINTAGE'!F224="Absent"),0),IF('POINTAGE'!$H$5&lt;&gt;"",--('POINTAGE'!H224="Absent"),0),IF('POINTAGE'!$J$5&lt;&gt;"",--('POINTAGE'!J224="Absent"),0),IF('POINTAGE'!$L$5&lt;&gt;"",--('POINTAGE'!L224="Absent"),0),IF('POINTAGE'!$N$5&lt;&gt;"",--('POINTAGE'!N224="Absent"),0),IF('POINTAGE'!$P$5&lt;&gt;"",--('POINTAGE'!P224="Absent"),0),IF('POINTAGE'!$R$5&lt;&gt;"",--('POINTAGE'!R224="Absent"),0),IF('POINTAGE'!$T$5&lt;&gt;"",--('POINTAGE'!T224="Absent"),0),IF('POINTAGE'!$V$5&lt;&gt;"",--('POINTAGE'!V224="Absent"),0),IF('POINTAGE'!$X$5&lt;&gt;"",--('POINTAGE'!X224="Absent"),0),IF('POINTAGE'!$Z$5&lt;&gt;"",--('POINTAGE'!Z224="Absent"),0),IF('POINTAGE'!$AB$5&lt;&gt;"",--('POINTAGE'!AB224="Absent"),0),IF('POINTAGE'!$AD$5&lt;&gt;"",--('POINTAGE'!AD224="Absent"),0),IF('POINTAGE'!$AF$5&lt;&gt;"",--('POINTAGE'!AF224="Absent"),0)))</f>
      </c>
      <c r="H224" s="23">
        <f>IF($A224="","",SUM(IF('POINTAGE'!$D$5&lt;&gt;"",IF('POINTAGE'!D224="Présent",'POINTAGE'!E224,0),0),IF('POINTAGE'!$F$5&lt;&gt;"",IF('POINTAGE'!F224="Présent",'POINTAGE'!G224,0),0),IF('POINTAGE'!$H$5&lt;&gt;"",IF('POINTAGE'!H224="Présent",'POINTAGE'!I224,0),0),IF('POINTAGE'!$J$5&lt;&gt;"",IF('POINTAGE'!J224="Présent",'POINTAGE'!K224,0),0),IF('POINTAGE'!$L$5&lt;&gt;"",IF('POINTAGE'!L224="Présent",'POINTAGE'!M224,0),0),IF('POINTAGE'!$N$5&lt;&gt;"",IF('POINTAGE'!N224="Présent",'POINTAGE'!O224,0),0),IF('POINTAGE'!$P$5&lt;&gt;"",IF('POINTAGE'!P224="Présent",'POINTAGE'!Q224,0),0),IF('POINTAGE'!$R$5&lt;&gt;"",IF('POINTAGE'!R224="Présent",'POINTAGE'!S224,0),0),IF('POINTAGE'!$T$5&lt;&gt;"",IF('POINTAGE'!T224="Présent",'POINTAGE'!U224,0),0),IF('POINTAGE'!$V$5&lt;&gt;"",IF('POINTAGE'!V224="Présent",'POINTAGE'!W224,0),0),IF('POINTAGE'!$X$5&lt;&gt;"",IF('POINTAGE'!X224="Présent",'POINTAGE'!Y224,0),0),IF('POINTAGE'!$Z$5&lt;&gt;"",IF('POINTAGE'!Z224="Présent",'POINTAGE'!AA224,0),0),IF('POINTAGE'!$AB$5&lt;&gt;"",IF('POINTAGE'!AB224="Présent",'POINTAGE'!AC224,0),0),IF('POINTAGE'!$AD$5&lt;&gt;"",IF('POINTAGE'!AD224="Présent",'POINTAGE'!AE224,0),0),IF('POINTAGE'!$AF$5&lt;&gt;"",IF('POINTAGE'!AF224="Présent",'POINTAGE'!AG224,0),0)))</f>
      </c>
      <c r="I224" s="24">
        <f>IF($A224="","",$F224*$D224)</f>
      </c>
      <c r="J224" s="24">
        <f>IF($A224="","",$H224*$E224)</f>
      </c>
      <c r="K224" s="25">
        <f>IF($A224="","",$I224+$J224)</f>
      </c>
      <c r="L224" s="18"/>
      <c r="M224" s="25">
        <f>IF($A224="","",MAX(0,$K224-$L224))</f>
      </c>
      <c r="N224" s="22">
        <f>IF($A224="","",SUM(IF('POINTAGE'!$AH$5&lt;&gt;"",--('POINTAGE'!AH224="Présent"),0),IF('POINTAGE'!$AJ$5&lt;&gt;"",--('POINTAGE'!AJ224="Présent"),0),IF('POINTAGE'!$AL$5&lt;&gt;"",--('POINTAGE'!AL224="Présent"),0),IF('POINTAGE'!$AN$5&lt;&gt;"",--('POINTAGE'!AN224="Présent"),0),IF('POINTAGE'!$AP$5&lt;&gt;"",--('POINTAGE'!AP224="Présent"),0),IF('POINTAGE'!$AR$5&lt;&gt;"",--('POINTAGE'!AR224="Présent"),0),IF('POINTAGE'!$AT$5&lt;&gt;"",--('POINTAGE'!AT224="Présent"),0),IF('POINTAGE'!$AV$5&lt;&gt;"",--('POINTAGE'!AV224="Présent"),0),IF('POINTAGE'!$AX$5&lt;&gt;"",--('POINTAGE'!AX224="Présent"),0),IF('POINTAGE'!$AZ$5&lt;&gt;"",--('POINTAGE'!AZ224="Présent"),0),IF('POINTAGE'!$BB$5&lt;&gt;"",--('POINTAGE'!BB224="Présent"),0),IF('POINTAGE'!$BD$5&lt;&gt;"",--('POINTAGE'!BD224="Présent"),0),IF('POINTAGE'!$BF$5&lt;&gt;"",--('POINTAGE'!BF224="Présent"),0),IF('POINTAGE'!$BH$5&lt;&gt;"",--('POINTAGE'!BH224="Présent"),0),IF('POINTAGE'!$BJ$5&lt;&gt;"",--('POINTAGE'!BJ224="Présent"),0),IF('POINTAGE'!$BL$5&lt;&gt;"",--('POINTAGE'!BL224="Présent"),0)))</f>
      </c>
      <c r="O224" s="22">
        <f>IF($A224="","",SUM(IF('POINTAGE'!$AH$5&lt;&gt;"",--('POINTAGE'!AH224="Absent"),0),IF('POINTAGE'!$AJ$5&lt;&gt;"",--('POINTAGE'!AJ224="Absent"),0),IF('POINTAGE'!$AL$5&lt;&gt;"",--('POINTAGE'!AL224="Absent"),0),IF('POINTAGE'!$AN$5&lt;&gt;"",--('POINTAGE'!AN224="Absent"),0),IF('POINTAGE'!$AP$5&lt;&gt;"",--('POINTAGE'!AP224="Absent"),0),IF('POINTAGE'!$AR$5&lt;&gt;"",--('POINTAGE'!AR224="Absent"),0),IF('POINTAGE'!$AT$5&lt;&gt;"",--('POINTAGE'!AT224="Absent"),0),IF('POINTAGE'!$AV$5&lt;&gt;"",--('POINTAGE'!AV224="Absent"),0),IF('POINTAGE'!$AX$5&lt;&gt;"",--('POINTAGE'!AX224="Absent"),0),IF('POINTAGE'!$AZ$5&lt;&gt;"",--('POINTAGE'!AZ224="Absent"),0),IF('POINTAGE'!$BB$5&lt;&gt;"",--('POINTAGE'!BB224="Absent"),0),IF('POINTAGE'!$BD$5&lt;&gt;"",--('POINTAGE'!BD224="Absent"),0),IF('POINTAGE'!$BF$5&lt;&gt;"",--('POINTAGE'!BF224="Absent"),0),IF('POINTAGE'!$BH$5&lt;&gt;"",--('POINTAGE'!BH224="Absent"),0),IF('POINTAGE'!$BJ$5&lt;&gt;"",--('POINTAGE'!BJ224="Absent"),0),IF('POINTAGE'!$BL$5&lt;&gt;"",--('POINTAGE'!BL224="Absent"),0)))</f>
      </c>
      <c r="P224" s="23">
        <f>IF($A224="","",SUM(IF('POINTAGE'!$AH$5&lt;&gt;"",IF('POINTAGE'!AH224="Présent",'POINTAGE'!AI224,0),0),IF('POINTAGE'!$AJ$5&lt;&gt;"",IF('POINTAGE'!AJ224="Présent",'POINTAGE'!AK224,0),0),IF('POINTAGE'!$AL$5&lt;&gt;"",IF('POINTAGE'!AL224="Présent",'POINTAGE'!AM224,0),0),IF('POINTAGE'!$AN$5&lt;&gt;"",IF('POINTAGE'!AN224="Présent",'POINTAGE'!AO224,0),0),IF('POINTAGE'!$AP$5&lt;&gt;"",IF('POINTAGE'!AP224="Présent",'POINTAGE'!AQ224,0),0),IF('POINTAGE'!$AR$5&lt;&gt;"",IF('POINTAGE'!AR224="Présent",'POINTAGE'!AS224,0),0),IF('POINTAGE'!$AT$5&lt;&gt;"",IF('POINTAGE'!AT224="Présent",'POINTAGE'!AU224,0),0),IF('POINTAGE'!$AV$5&lt;&gt;"",IF('POINTAGE'!AV224="Présent",'POINTAGE'!AW224,0),0),IF('POINTAGE'!$AX$5&lt;&gt;"",IF('POINTAGE'!AX224="Présent",'POINTAGE'!AY224,0),0),IF('POINTAGE'!$AZ$5&lt;&gt;"",IF('POINTAGE'!AZ224="Présent",'POINTAGE'!BA224,0),0),IF('POINTAGE'!$BB$5&lt;&gt;"",IF('POINTAGE'!BB224="Présent",'POINTAGE'!BC224,0),0),IF('POINTAGE'!$BD$5&lt;&gt;"",IF('POINTAGE'!BD224="Présent",'POINTAGE'!BE224,0),0),IF('POINTAGE'!$BF$5&lt;&gt;"",IF('POINTAGE'!BF224="Présent",'POINTAGE'!BG224,0),0),IF('POINTAGE'!$BH$5&lt;&gt;"",IF('POINTAGE'!BH224="Présent",'POINTAGE'!BI224,0),0),IF('POINTAGE'!$BJ$5&lt;&gt;"",IF('POINTAGE'!BJ224="Présent",'POINTAGE'!BK224,0),0),IF('POINTAGE'!$BL$5&lt;&gt;"",IF('POINTAGE'!BL224="Présent",'POINTAGE'!BM224,0),0)))</f>
      </c>
      <c r="Q224" s="24">
        <f>IF($A224="","",$N224*$D224)</f>
      </c>
      <c r="R224" s="24">
        <f>IF($A224="","",$P224*$E224)</f>
      </c>
      <c r="S224" s="25">
        <f>IF($A224="","",$Q224+$R224)</f>
      </c>
      <c r="T224" s="18"/>
      <c r="U224" s="25">
        <f>IF($A224="","",MAX(0,$S224-$T224))</f>
      </c>
      <c r="V224" s="25">
        <f>IF($A224="","",$K224+$S224)</f>
      </c>
      <c r="W224" s="24">
        <f>IF($A224="","",$L224+$T224)</f>
      </c>
      <c r="X224" s="25">
        <f>IF($A224="","",$M224+$U224)</f>
      </c>
      <c r="Y224" s="29">
        <f>IF($A224="","",$J224+$R224)</f>
      </c>
    </row>
    <row r="225">
      <c r="A225" s="20">
        <f>IF('POINTAGE'!A225="","",'POINTAGE'!A225)</f>
      </c>
      <c r="B225" s="19">
        <f>IF($A225="","",'POINTAGE'!B225)</f>
      </c>
      <c r="C225" s="20">
        <f>IF($A225="","",'POINTAGE'!C225)</f>
      </c>
      <c r="D225" s="24">
        <f>IF($A225="","",IFERROR(INDEX(Categories_Salaire,MATCH($C225,ListeCategories,0)),0))</f>
      </c>
      <c r="E225" s="24">
        <f>IF($A225="","",IF(IFERROR(INDEX(Categories_TauxHS,MATCH($C225,ListeCategories,0)),0)&gt;0,IFERROR(INDEX(Categories_TauxHS,MATCH($C225,ListeCategories,0)),0),TauxHSDefaut))</f>
      </c>
      <c r="F225" s="22">
        <f>IF($A225="","",SUM(IF('POINTAGE'!$D$5&lt;&gt;"",--('POINTAGE'!D225="Présent"),0),IF('POINTAGE'!$F$5&lt;&gt;"",--('POINTAGE'!F225="Présent"),0),IF('POINTAGE'!$H$5&lt;&gt;"",--('POINTAGE'!H225="Présent"),0),IF('POINTAGE'!$J$5&lt;&gt;"",--('POINTAGE'!J225="Présent"),0),IF('POINTAGE'!$L$5&lt;&gt;"",--('POINTAGE'!L225="Présent"),0),IF('POINTAGE'!$N$5&lt;&gt;"",--('POINTAGE'!N225="Présent"),0),IF('POINTAGE'!$P$5&lt;&gt;"",--('POINTAGE'!P225="Présent"),0),IF('POINTAGE'!$R$5&lt;&gt;"",--('POINTAGE'!R225="Présent"),0),IF('POINTAGE'!$T$5&lt;&gt;"",--('POINTAGE'!T225="Présent"),0),IF('POINTAGE'!$V$5&lt;&gt;"",--('POINTAGE'!V225="Présent"),0),IF('POINTAGE'!$X$5&lt;&gt;"",--('POINTAGE'!X225="Présent"),0),IF('POINTAGE'!$Z$5&lt;&gt;"",--('POINTAGE'!Z225="Présent"),0),IF('POINTAGE'!$AB$5&lt;&gt;"",--('POINTAGE'!AB225="Présent"),0),IF('POINTAGE'!$AD$5&lt;&gt;"",--('POINTAGE'!AD225="Présent"),0),IF('POINTAGE'!$AF$5&lt;&gt;"",--('POINTAGE'!AF225="Présent"),0)))</f>
      </c>
      <c r="G225" s="22">
        <f>IF($A225="","",SUM(IF('POINTAGE'!$D$5&lt;&gt;"",--('POINTAGE'!D225="Absent"),0),IF('POINTAGE'!$F$5&lt;&gt;"",--('POINTAGE'!F225="Absent"),0),IF('POINTAGE'!$H$5&lt;&gt;"",--('POINTAGE'!H225="Absent"),0),IF('POINTAGE'!$J$5&lt;&gt;"",--('POINTAGE'!J225="Absent"),0),IF('POINTAGE'!$L$5&lt;&gt;"",--('POINTAGE'!L225="Absent"),0),IF('POINTAGE'!$N$5&lt;&gt;"",--('POINTAGE'!N225="Absent"),0),IF('POINTAGE'!$P$5&lt;&gt;"",--('POINTAGE'!P225="Absent"),0),IF('POINTAGE'!$R$5&lt;&gt;"",--('POINTAGE'!R225="Absent"),0),IF('POINTAGE'!$T$5&lt;&gt;"",--('POINTAGE'!T225="Absent"),0),IF('POINTAGE'!$V$5&lt;&gt;"",--('POINTAGE'!V225="Absent"),0),IF('POINTAGE'!$X$5&lt;&gt;"",--('POINTAGE'!X225="Absent"),0),IF('POINTAGE'!$Z$5&lt;&gt;"",--('POINTAGE'!Z225="Absent"),0),IF('POINTAGE'!$AB$5&lt;&gt;"",--('POINTAGE'!AB225="Absent"),0),IF('POINTAGE'!$AD$5&lt;&gt;"",--('POINTAGE'!AD225="Absent"),0),IF('POINTAGE'!$AF$5&lt;&gt;"",--('POINTAGE'!AF225="Absent"),0)))</f>
      </c>
      <c r="H225" s="23">
        <f>IF($A225="","",SUM(IF('POINTAGE'!$D$5&lt;&gt;"",IF('POINTAGE'!D225="Présent",'POINTAGE'!E225,0),0),IF('POINTAGE'!$F$5&lt;&gt;"",IF('POINTAGE'!F225="Présent",'POINTAGE'!G225,0),0),IF('POINTAGE'!$H$5&lt;&gt;"",IF('POINTAGE'!H225="Présent",'POINTAGE'!I225,0),0),IF('POINTAGE'!$J$5&lt;&gt;"",IF('POINTAGE'!J225="Présent",'POINTAGE'!K225,0),0),IF('POINTAGE'!$L$5&lt;&gt;"",IF('POINTAGE'!L225="Présent",'POINTAGE'!M225,0),0),IF('POINTAGE'!$N$5&lt;&gt;"",IF('POINTAGE'!N225="Présent",'POINTAGE'!O225,0),0),IF('POINTAGE'!$P$5&lt;&gt;"",IF('POINTAGE'!P225="Présent",'POINTAGE'!Q225,0),0),IF('POINTAGE'!$R$5&lt;&gt;"",IF('POINTAGE'!R225="Présent",'POINTAGE'!S225,0),0),IF('POINTAGE'!$T$5&lt;&gt;"",IF('POINTAGE'!T225="Présent",'POINTAGE'!U225,0),0),IF('POINTAGE'!$V$5&lt;&gt;"",IF('POINTAGE'!V225="Présent",'POINTAGE'!W225,0),0),IF('POINTAGE'!$X$5&lt;&gt;"",IF('POINTAGE'!X225="Présent",'POINTAGE'!Y225,0),0),IF('POINTAGE'!$Z$5&lt;&gt;"",IF('POINTAGE'!Z225="Présent",'POINTAGE'!AA225,0),0),IF('POINTAGE'!$AB$5&lt;&gt;"",IF('POINTAGE'!AB225="Présent",'POINTAGE'!AC225,0),0),IF('POINTAGE'!$AD$5&lt;&gt;"",IF('POINTAGE'!AD225="Présent",'POINTAGE'!AE225,0),0),IF('POINTAGE'!$AF$5&lt;&gt;"",IF('POINTAGE'!AF225="Présent",'POINTAGE'!AG225,0),0)))</f>
      </c>
      <c r="I225" s="24">
        <f>IF($A225="","",$F225*$D225)</f>
      </c>
      <c r="J225" s="24">
        <f>IF($A225="","",$H225*$E225)</f>
      </c>
      <c r="K225" s="25">
        <f>IF($A225="","",$I225+$J225)</f>
      </c>
      <c r="L225" s="18"/>
      <c r="M225" s="25">
        <f>IF($A225="","",MAX(0,$K225-$L225))</f>
      </c>
      <c r="N225" s="22">
        <f>IF($A225="","",SUM(IF('POINTAGE'!$AH$5&lt;&gt;"",--('POINTAGE'!AH225="Présent"),0),IF('POINTAGE'!$AJ$5&lt;&gt;"",--('POINTAGE'!AJ225="Présent"),0),IF('POINTAGE'!$AL$5&lt;&gt;"",--('POINTAGE'!AL225="Présent"),0),IF('POINTAGE'!$AN$5&lt;&gt;"",--('POINTAGE'!AN225="Présent"),0),IF('POINTAGE'!$AP$5&lt;&gt;"",--('POINTAGE'!AP225="Présent"),0),IF('POINTAGE'!$AR$5&lt;&gt;"",--('POINTAGE'!AR225="Présent"),0),IF('POINTAGE'!$AT$5&lt;&gt;"",--('POINTAGE'!AT225="Présent"),0),IF('POINTAGE'!$AV$5&lt;&gt;"",--('POINTAGE'!AV225="Présent"),0),IF('POINTAGE'!$AX$5&lt;&gt;"",--('POINTAGE'!AX225="Présent"),0),IF('POINTAGE'!$AZ$5&lt;&gt;"",--('POINTAGE'!AZ225="Présent"),0),IF('POINTAGE'!$BB$5&lt;&gt;"",--('POINTAGE'!BB225="Présent"),0),IF('POINTAGE'!$BD$5&lt;&gt;"",--('POINTAGE'!BD225="Présent"),0),IF('POINTAGE'!$BF$5&lt;&gt;"",--('POINTAGE'!BF225="Présent"),0),IF('POINTAGE'!$BH$5&lt;&gt;"",--('POINTAGE'!BH225="Présent"),0),IF('POINTAGE'!$BJ$5&lt;&gt;"",--('POINTAGE'!BJ225="Présent"),0),IF('POINTAGE'!$BL$5&lt;&gt;"",--('POINTAGE'!BL225="Présent"),0)))</f>
      </c>
      <c r="O225" s="22">
        <f>IF($A225="","",SUM(IF('POINTAGE'!$AH$5&lt;&gt;"",--('POINTAGE'!AH225="Absent"),0),IF('POINTAGE'!$AJ$5&lt;&gt;"",--('POINTAGE'!AJ225="Absent"),0),IF('POINTAGE'!$AL$5&lt;&gt;"",--('POINTAGE'!AL225="Absent"),0),IF('POINTAGE'!$AN$5&lt;&gt;"",--('POINTAGE'!AN225="Absent"),0),IF('POINTAGE'!$AP$5&lt;&gt;"",--('POINTAGE'!AP225="Absent"),0),IF('POINTAGE'!$AR$5&lt;&gt;"",--('POINTAGE'!AR225="Absent"),0),IF('POINTAGE'!$AT$5&lt;&gt;"",--('POINTAGE'!AT225="Absent"),0),IF('POINTAGE'!$AV$5&lt;&gt;"",--('POINTAGE'!AV225="Absent"),0),IF('POINTAGE'!$AX$5&lt;&gt;"",--('POINTAGE'!AX225="Absent"),0),IF('POINTAGE'!$AZ$5&lt;&gt;"",--('POINTAGE'!AZ225="Absent"),0),IF('POINTAGE'!$BB$5&lt;&gt;"",--('POINTAGE'!BB225="Absent"),0),IF('POINTAGE'!$BD$5&lt;&gt;"",--('POINTAGE'!BD225="Absent"),0),IF('POINTAGE'!$BF$5&lt;&gt;"",--('POINTAGE'!BF225="Absent"),0),IF('POINTAGE'!$BH$5&lt;&gt;"",--('POINTAGE'!BH225="Absent"),0),IF('POINTAGE'!$BJ$5&lt;&gt;"",--('POINTAGE'!BJ225="Absent"),0),IF('POINTAGE'!$BL$5&lt;&gt;"",--('POINTAGE'!BL225="Absent"),0)))</f>
      </c>
      <c r="P225" s="23">
        <f>IF($A225="","",SUM(IF('POINTAGE'!$AH$5&lt;&gt;"",IF('POINTAGE'!AH225="Présent",'POINTAGE'!AI225,0),0),IF('POINTAGE'!$AJ$5&lt;&gt;"",IF('POINTAGE'!AJ225="Présent",'POINTAGE'!AK225,0),0),IF('POINTAGE'!$AL$5&lt;&gt;"",IF('POINTAGE'!AL225="Présent",'POINTAGE'!AM225,0),0),IF('POINTAGE'!$AN$5&lt;&gt;"",IF('POINTAGE'!AN225="Présent",'POINTAGE'!AO225,0),0),IF('POINTAGE'!$AP$5&lt;&gt;"",IF('POINTAGE'!AP225="Présent",'POINTAGE'!AQ225,0),0),IF('POINTAGE'!$AR$5&lt;&gt;"",IF('POINTAGE'!AR225="Présent",'POINTAGE'!AS225,0),0),IF('POINTAGE'!$AT$5&lt;&gt;"",IF('POINTAGE'!AT225="Présent",'POINTAGE'!AU225,0),0),IF('POINTAGE'!$AV$5&lt;&gt;"",IF('POINTAGE'!AV225="Présent",'POINTAGE'!AW225,0),0),IF('POINTAGE'!$AX$5&lt;&gt;"",IF('POINTAGE'!AX225="Présent",'POINTAGE'!AY225,0),0),IF('POINTAGE'!$AZ$5&lt;&gt;"",IF('POINTAGE'!AZ225="Présent",'POINTAGE'!BA225,0),0),IF('POINTAGE'!$BB$5&lt;&gt;"",IF('POINTAGE'!BB225="Présent",'POINTAGE'!BC225,0),0),IF('POINTAGE'!$BD$5&lt;&gt;"",IF('POINTAGE'!BD225="Présent",'POINTAGE'!BE225,0),0),IF('POINTAGE'!$BF$5&lt;&gt;"",IF('POINTAGE'!BF225="Présent",'POINTAGE'!BG225,0),0),IF('POINTAGE'!$BH$5&lt;&gt;"",IF('POINTAGE'!BH225="Présent",'POINTAGE'!BI225,0),0),IF('POINTAGE'!$BJ$5&lt;&gt;"",IF('POINTAGE'!BJ225="Présent",'POINTAGE'!BK225,0),0),IF('POINTAGE'!$BL$5&lt;&gt;"",IF('POINTAGE'!BL225="Présent",'POINTAGE'!BM225,0),0)))</f>
      </c>
      <c r="Q225" s="24">
        <f>IF($A225="","",$N225*$D225)</f>
      </c>
      <c r="R225" s="24">
        <f>IF($A225="","",$P225*$E225)</f>
      </c>
      <c r="S225" s="25">
        <f>IF($A225="","",$Q225+$R225)</f>
      </c>
      <c r="T225" s="18"/>
      <c r="U225" s="25">
        <f>IF($A225="","",MAX(0,$S225-$T225))</f>
      </c>
      <c r="V225" s="25">
        <f>IF($A225="","",$K225+$S225)</f>
      </c>
      <c r="W225" s="24">
        <f>IF($A225="","",$L225+$T225)</f>
      </c>
      <c r="X225" s="25">
        <f>IF($A225="","",$M225+$U225)</f>
      </c>
      <c r="Y225" s="29">
        <f>IF($A225="","",$J225+$R225)</f>
      </c>
    </row>
    <row r="226">
      <c r="A226" s="20">
        <f>IF('POINTAGE'!A226="","",'POINTAGE'!A226)</f>
      </c>
      <c r="B226" s="19">
        <f>IF($A226="","",'POINTAGE'!B226)</f>
      </c>
      <c r="C226" s="20">
        <f>IF($A226="","",'POINTAGE'!C226)</f>
      </c>
      <c r="D226" s="24">
        <f>IF($A226="","",IFERROR(INDEX(Categories_Salaire,MATCH($C226,ListeCategories,0)),0))</f>
      </c>
      <c r="E226" s="24">
        <f>IF($A226="","",IF(IFERROR(INDEX(Categories_TauxHS,MATCH($C226,ListeCategories,0)),0)&gt;0,IFERROR(INDEX(Categories_TauxHS,MATCH($C226,ListeCategories,0)),0),TauxHSDefaut))</f>
      </c>
      <c r="F226" s="22">
        <f>IF($A226="","",SUM(IF('POINTAGE'!$D$5&lt;&gt;"",--('POINTAGE'!D226="Présent"),0),IF('POINTAGE'!$F$5&lt;&gt;"",--('POINTAGE'!F226="Présent"),0),IF('POINTAGE'!$H$5&lt;&gt;"",--('POINTAGE'!H226="Présent"),0),IF('POINTAGE'!$J$5&lt;&gt;"",--('POINTAGE'!J226="Présent"),0),IF('POINTAGE'!$L$5&lt;&gt;"",--('POINTAGE'!L226="Présent"),0),IF('POINTAGE'!$N$5&lt;&gt;"",--('POINTAGE'!N226="Présent"),0),IF('POINTAGE'!$P$5&lt;&gt;"",--('POINTAGE'!P226="Présent"),0),IF('POINTAGE'!$R$5&lt;&gt;"",--('POINTAGE'!R226="Présent"),0),IF('POINTAGE'!$T$5&lt;&gt;"",--('POINTAGE'!T226="Présent"),0),IF('POINTAGE'!$V$5&lt;&gt;"",--('POINTAGE'!V226="Présent"),0),IF('POINTAGE'!$X$5&lt;&gt;"",--('POINTAGE'!X226="Présent"),0),IF('POINTAGE'!$Z$5&lt;&gt;"",--('POINTAGE'!Z226="Présent"),0),IF('POINTAGE'!$AB$5&lt;&gt;"",--('POINTAGE'!AB226="Présent"),0),IF('POINTAGE'!$AD$5&lt;&gt;"",--('POINTAGE'!AD226="Présent"),0),IF('POINTAGE'!$AF$5&lt;&gt;"",--('POINTAGE'!AF226="Présent"),0)))</f>
      </c>
      <c r="G226" s="22">
        <f>IF($A226="","",SUM(IF('POINTAGE'!$D$5&lt;&gt;"",--('POINTAGE'!D226="Absent"),0),IF('POINTAGE'!$F$5&lt;&gt;"",--('POINTAGE'!F226="Absent"),0),IF('POINTAGE'!$H$5&lt;&gt;"",--('POINTAGE'!H226="Absent"),0),IF('POINTAGE'!$J$5&lt;&gt;"",--('POINTAGE'!J226="Absent"),0),IF('POINTAGE'!$L$5&lt;&gt;"",--('POINTAGE'!L226="Absent"),0),IF('POINTAGE'!$N$5&lt;&gt;"",--('POINTAGE'!N226="Absent"),0),IF('POINTAGE'!$P$5&lt;&gt;"",--('POINTAGE'!P226="Absent"),0),IF('POINTAGE'!$R$5&lt;&gt;"",--('POINTAGE'!R226="Absent"),0),IF('POINTAGE'!$T$5&lt;&gt;"",--('POINTAGE'!T226="Absent"),0),IF('POINTAGE'!$V$5&lt;&gt;"",--('POINTAGE'!V226="Absent"),0),IF('POINTAGE'!$X$5&lt;&gt;"",--('POINTAGE'!X226="Absent"),0),IF('POINTAGE'!$Z$5&lt;&gt;"",--('POINTAGE'!Z226="Absent"),0),IF('POINTAGE'!$AB$5&lt;&gt;"",--('POINTAGE'!AB226="Absent"),0),IF('POINTAGE'!$AD$5&lt;&gt;"",--('POINTAGE'!AD226="Absent"),0),IF('POINTAGE'!$AF$5&lt;&gt;"",--('POINTAGE'!AF226="Absent"),0)))</f>
      </c>
      <c r="H226" s="23">
        <f>IF($A226="","",SUM(IF('POINTAGE'!$D$5&lt;&gt;"",IF('POINTAGE'!D226="Présent",'POINTAGE'!E226,0),0),IF('POINTAGE'!$F$5&lt;&gt;"",IF('POINTAGE'!F226="Présent",'POINTAGE'!G226,0),0),IF('POINTAGE'!$H$5&lt;&gt;"",IF('POINTAGE'!H226="Présent",'POINTAGE'!I226,0),0),IF('POINTAGE'!$J$5&lt;&gt;"",IF('POINTAGE'!J226="Présent",'POINTAGE'!K226,0),0),IF('POINTAGE'!$L$5&lt;&gt;"",IF('POINTAGE'!L226="Présent",'POINTAGE'!M226,0),0),IF('POINTAGE'!$N$5&lt;&gt;"",IF('POINTAGE'!N226="Présent",'POINTAGE'!O226,0),0),IF('POINTAGE'!$P$5&lt;&gt;"",IF('POINTAGE'!P226="Présent",'POINTAGE'!Q226,0),0),IF('POINTAGE'!$R$5&lt;&gt;"",IF('POINTAGE'!R226="Présent",'POINTAGE'!S226,0),0),IF('POINTAGE'!$T$5&lt;&gt;"",IF('POINTAGE'!T226="Présent",'POINTAGE'!U226,0),0),IF('POINTAGE'!$V$5&lt;&gt;"",IF('POINTAGE'!V226="Présent",'POINTAGE'!W226,0),0),IF('POINTAGE'!$X$5&lt;&gt;"",IF('POINTAGE'!X226="Présent",'POINTAGE'!Y226,0),0),IF('POINTAGE'!$Z$5&lt;&gt;"",IF('POINTAGE'!Z226="Présent",'POINTAGE'!AA226,0),0),IF('POINTAGE'!$AB$5&lt;&gt;"",IF('POINTAGE'!AB226="Présent",'POINTAGE'!AC226,0),0),IF('POINTAGE'!$AD$5&lt;&gt;"",IF('POINTAGE'!AD226="Présent",'POINTAGE'!AE226,0),0),IF('POINTAGE'!$AF$5&lt;&gt;"",IF('POINTAGE'!AF226="Présent",'POINTAGE'!AG226,0),0)))</f>
      </c>
      <c r="I226" s="24">
        <f>IF($A226="","",$F226*$D226)</f>
      </c>
      <c r="J226" s="24">
        <f>IF($A226="","",$H226*$E226)</f>
      </c>
      <c r="K226" s="25">
        <f>IF($A226="","",$I226+$J226)</f>
      </c>
      <c r="L226" s="18"/>
      <c r="M226" s="25">
        <f>IF($A226="","",MAX(0,$K226-$L226))</f>
      </c>
      <c r="N226" s="22">
        <f>IF($A226="","",SUM(IF('POINTAGE'!$AH$5&lt;&gt;"",--('POINTAGE'!AH226="Présent"),0),IF('POINTAGE'!$AJ$5&lt;&gt;"",--('POINTAGE'!AJ226="Présent"),0),IF('POINTAGE'!$AL$5&lt;&gt;"",--('POINTAGE'!AL226="Présent"),0),IF('POINTAGE'!$AN$5&lt;&gt;"",--('POINTAGE'!AN226="Présent"),0),IF('POINTAGE'!$AP$5&lt;&gt;"",--('POINTAGE'!AP226="Présent"),0),IF('POINTAGE'!$AR$5&lt;&gt;"",--('POINTAGE'!AR226="Présent"),0),IF('POINTAGE'!$AT$5&lt;&gt;"",--('POINTAGE'!AT226="Présent"),0),IF('POINTAGE'!$AV$5&lt;&gt;"",--('POINTAGE'!AV226="Présent"),0),IF('POINTAGE'!$AX$5&lt;&gt;"",--('POINTAGE'!AX226="Présent"),0),IF('POINTAGE'!$AZ$5&lt;&gt;"",--('POINTAGE'!AZ226="Présent"),0),IF('POINTAGE'!$BB$5&lt;&gt;"",--('POINTAGE'!BB226="Présent"),0),IF('POINTAGE'!$BD$5&lt;&gt;"",--('POINTAGE'!BD226="Présent"),0),IF('POINTAGE'!$BF$5&lt;&gt;"",--('POINTAGE'!BF226="Présent"),0),IF('POINTAGE'!$BH$5&lt;&gt;"",--('POINTAGE'!BH226="Présent"),0),IF('POINTAGE'!$BJ$5&lt;&gt;"",--('POINTAGE'!BJ226="Présent"),0),IF('POINTAGE'!$BL$5&lt;&gt;"",--('POINTAGE'!BL226="Présent"),0)))</f>
      </c>
      <c r="O226" s="22">
        <f>IF($A226="","",SUM(IF('POINTAGE'!$AH$5&lt;&gt;"",--('POINTAGE'!AH226="Absent"),0),IF('POINTAGE'!$AJ$5&lt;&gt;"",--('POINTAGE'!AJ226="Absent"),0),IF('POINTAGE'!$AL$5&lt;&gt;"",--('POINTAGE'!AL226="Absent"),0),IF('POINTAGE'!$AN$5&lt;&gt;"",--('POINTAGE'!AN226="Absent"),0),IF('POINTAGE'!$AP$5&lt;&gt;"",--('POINTAGE'!AP226="Absent"),0),IF('POINTAGE'!$AR$5&lt;&gt;"",--('POINTAGE'!AR226="Absent"),0),IF('POINTAGE'!$AT$5&lt;&gt;"",--('POINTAGE'!AT226="Absent"),0),IF('POINTAGE'!$AV$5&lt;&gt;"",--('POINTAGE'!AV226="Absent"),0),IF('POINTAGE'!$AX$5&lt;&gt;"",--('POINTAGE'!AX226="Absent"),0),IF('POINTAGE'!$AZ$5&lt;&gt;"",--('POINTAGE'!AZ226="Absent"),0),IF('POINTAGE'!$BB$5&lt;&gt;"",--('POINTAGE'!BB226="Absent"),0),IF('POINTAGE'!$BD$5&lt;&gt;"",--('POINTAGE'!BD226="Absent"),0),IF('POINTAGE'!$BF$5&lt;&gt;"",--('POINTAGE'!BF226="Absent"),0),IF('POINTAGE'!$BH$5&lt;&gt;"",--('POINTAGE'!BH226="Absent"),0),IF('POINTAGE'!$BJ$5&lt;&gt;"",--('POINTAGE'!BJ226="Absent"),0),IF('POINTAGE'!$BL$5&lt;&gt;"",--('POINTAGE'!BL226="Absent"),0)))</f>
      </c>
      <c r="P226" s="23">
        <f>IF($A226="","",SUM(IF('POINTAGE'!$AH$5&lt;&gt;"",IF('POINTAGE'!AH226="Présent",'POINTAGE'!AI226,0),0),IF('POINTAGE'!$AJ$5&lt;&gt;"",IF('POINTAGE'!AJ226="Présent",'POINTAGE'!AK226,0),0),IF('POINTAGE'!$AL$5&lt;&gt;"",IF('POINTAGE'!AL226="Présent",'POINTAGE'!AM226,0),0),IF('POINTAGE'!$AN$5&lt;&gt;"",IF('POINTAGE'!AN226="Présent",'POINTAGE'!AO226,0),0),IF('POINTAGE'!$AP$5&lt;&gt;"",IF('POINTAGE'!AP226="Présent",'POINTAGE'!AQ226,0),0),IF('POINTAGE'!$AR$5&lt;&gt;"",IF('POINTAGE'!AR226="Présent",'POINTAGE'!AS226,0),0),IF('POINTAGE'!$AT$5&lt;&gt;"",IF('POINTAGE'!AT226="Présent",'POINTAGE'!AU226,0),0),IF('POINTAGE'!$AV$5&lt;&gt;"",IF('POINTAGE'!AV226="Présent",'POINTAGE'!AW226,0),0),IF('POINTAGE'!$AX$5&lt;&gt;"",IF('POINTAGE'!AX226="Présent",'POINTAGE'!AY226,0),0),IF('POINTAGE'!$AZ$5&lt;&gt;"",IF('POINTAGE'!AZ226="Présent",'POINTAGE'!BA226,0),0),IF('POINTAGE'!$BB$5&lt;&gt;"",IF('POINTAGE'!BB226="Présent",'POINTAGE'!BC226,0),0),IF('POINTAGE'!$BD$5&lt;&gt;"",IF('POINTAGE'!BD226="Présent",'POINTAGE'!BE226,0),0),IF('POINTAGE'!$BF$5&lt;&gt;"",IF('POINTAGE'!BF226="Présent",'POINTAGE'!BG226,0),0),IF('POINTAGE'!$BH$5&lt;&gt;"",IF('POINTAGE'!BH226="Présent",'POINTAGE'!BI226,0),0),IF('POINTAGE'!$BJ$5&lt;&gt;"",IF('POINTAGE'!BJ226="Présent",'POINTAGE'!BK226,0),0),IF('POINTAGE'!$BL$5&lt;&gt;"",IF('POINTAGE'!BL226="Présent",'POINTAGE'!BM226,0),0)))</f>
      </c>
      <c r="Q226" s="24">
        <f>IF($A226="","",$N226*$D226)</f>
      </c>
      <c r="R226" s="24">
        <f>IF($A226="","",$P226*$E226)</f>
      </c>
      <c r="S226" s="25">
        <f>IF($A226="","",$Q226+$R226)</f>
      </c>
      <c r="T226" s="18"/>
      <c r="U226" s="25">
        <f>IF($A226="","",MAX(0,$S226-$T226))</f>
      </c>
      <c r="V226" s="25">
        <f>IF($A226="","",$K226+$S226)</f>
      </c>
      <c r="W226" s="24">
        <f>IF($A226="","",$L226+$T226)</f>
      </c>
      <c r="X226" s="25">
        <f>IF($A226="","",$M226+$U226)</f>
      </c>
      <c r="Y226" s="29">
        <f>IF($A226="","",$J226+$R226)</f>
      </c>
    </row>
    <row r="227">
      <c r="A227" s="20">
        <f>IF('POINTAGE'!A227="","",'POINTAGE'!A227)</f>
      </c>
      <c r="B227" s="19">
        <f>IF($A227="","",'POINTAGE'!B227)</f>
      </c>
      <c r="C227" s="20">
        <f>IF($A227="","",'POINTAGE'!C227)</f>
      </c>
      <c r="D227" s="24">
        <f>IF($A227="","",IFERROR(INDEX(Categories_Salaire,MATCH($C227,ListeCategories,0)),0))</f>
      </c>
      <c r="E227" s="24">
        <f>IF($A227="","",IF(IFERROR(INDEX(Categories_TauxHS,MATCH($C227,ListeCategories,0)),0)&gt;0,IFERROR(INDEX(Categories_TauxHS,MATCH($C227,ListeCategories,0)),0),TauxHSDefaut))</f>
      </c>
      <c r="F227" s="22">
        <f>IF($A227="","",SUM(IF('POINTAGE'!$D$5&lt;&gt;"",--('POINTAGE'!D227="Présent"),0),IF('POINTAGE'!$F$5&lt;&gt;"",--('POINTAGE'!F227="Présent"),0),IF('POINTAGE'!$H$5&lt;&gt;"",--('POINTAGE'!H227="Présent"),0),IF('POINTAGE'!$J$5&lt;&gt;"",--('POINTAGE'!J227="Présent"),0),IF('POINTAGE'!$L$5&lt;&gt;"",--('POINTAGE'!L227="Présent"),0),IF('POINTAGE'!$N$5&lt;&gt;"",--('POINTAGE'!N227="Présent"),0),IF('POINTAGE'!$P$5&lt;&gt;"",--('POINTAGE'!P227="Présent"),0),IF('POINTAGE'!$R$5&lt;&gt;"",--('POINTAGE'!R227="Présent"),0),IF('POINTAGE'!$T$5&lt;&gt;"",--('POINTAGE'!T227="Présent"),0),IF('POINTAGE'!$V$5&lt;&gt;"",--('POINTAGE'!V227="Présent"),0),IF('POINTAGE'!$X$5&lt;&gt;"",--('POINTAGE'!X227="Présent"),0),IF('POINTAGE'!$Z$5&lt;&gt;"",--('POINTAGE'!Z227="Présent"),0),IF('POINTAGE'!$AB$5&lt;&gt;"",--('POINTAGE'!AB227="Présent"),0),IF('POINTAGE'!$AD$5&lt;&gt;"",--('POINTAGE'!AD227="Présent"),0),IF('POINTAGE'!$AF$5&lt;&gt;"",--('POINTAGE'!AF227="Présent"),0)))</f>
      </c>
      <c r="G227" s="22">
        <f>IF($A227="","",SUM(IF('POINTAGE'!$D$5&lt;&gt;"",--('POINTAGE'!D227="Absent"),0),IF('POINTAGE'!$F$5&lt;&gt;"",--('POINTAGE'!F227="Absent"),0),IF('POINTAGE'!$H$5&lt;&gt;"",--('POINTAGE'!H227="Absent"),0),IF('POINTAGE'!$J$5&lt;&gt;"",--('POINTAGE'!J227="Absent"),0),IF('POINTAGE'!$L$5&lt;&gt;"",--('POINTAGE'!L227="Absent"),0),IF('POINTAGE'!$N$5&lt;&gt;"",--('POINTAGE'!N227="Absent"),0),IF('POINTAGE'!$P$5&lt;&gt;"",--('POINTAGE'!P227="Absent"),0),IF('POINTAGE'!$R$5&lt;&gt;"",--('POINTAGE'!R227="Absent"),0),IF('POINTAGE'!$T$5&lt;&gt;"",--('POINTAGE'!T227="Absent"),0),IF('POINTAGE'!$V$5&lt;&gt;"",--('POINTAGE'!V227="Absent"),0),IF('POINTAGE'!$X$5&lt;&gt;"",--('POINTAGE'!X227="Absent"),0),IF('POINTAGE'!$Z$5&lt;&gt;"",--('POINTAGE'!Z227="Absent"),0),IF('POINTAGE'!$AB$5&lt;&gt;"",--('POINTAGE'!AB227="Absent"),0),IF('POINTAGE'!$AD$5&lt;&gt;"",--('POINTAGE'!AD227="Absent"),0),IF('POINTAGE'!$AF$5&lt;&gt;"",--('POINTAGE'!AF227="Absent"),0)))</f>
      </c>
      <c r="H227" s="23">
        <f>IF($A227="","",SUM(IF('POINTAGE'!$D$5&lt;&gt;"",IF('POINTAGE'!D227="Présent",'POINTAGE'!E227,0),0),IF('POINTAGE'!$F$5&lt;&gt;"",IF('POINTAGE'!F227="Présent",'POINTAGE'!G227,0),0),IF('POINTAGE'!$H$5&lt;&gt;"",IF('POINTAGE'!H227="Présent",'POINTAGE'!I227,0),0),IF('POINTAGE'!$J$5&lt;&gt;"",IF('POINTAGE'!J227="Présent",'POINTAGE'!K227,0),0),IF('POINTAGE'!$L$5&lt;&gt;"",IF('POINTAGE'!L227="Présent",'POINTAGE'!M227,0),0),IF('POINTAGE'!$N$5&lt;&gt;"",IF('POINTAGE'!N227="Présent",'POINTAGE'!O227,0),0),IF('POINTAGE'!$P$5&lt;&gt;"",IF('POINTAGE'!P227="Présent",'POINTAGE'!Q227,0),0),IF('POINTAGE'!$R$5&lt;&gt;"",IF('POINTAGE'!R227="Présent",'POINTAGE'!S227,0),0),IF('POINTAGE'!$T$5&lt;&gt;"",IF('POINTAGE'!T227="Présent",'POINTAGE'!U227,0),0),IF('POINTAGE'!$V$5&lt;&gt;"",IF('POINTAGE'!V227="Présent",'POINTAGE'!W227,0),0),IF('POINTAGE'!$X$5&lt;&gt;"",IF('POINTAGE'!X227="Présent",'POINTAGE'!Y227,0),0),IF('POINTAGE'!$Z$5&lt;&gt;"",IF('POINTAGE'!Z227="Présent",'POINTAGE'!AA227,0),0),IF('POINTAGE'!$AB$5&lt;&gt;"",IF('POINTAGE'!AB227="Présent",'POINTAGE'!AC227,0),0),IF('POINTAGE'!$AD$5&lt;&gt;"",IF('POINTAGE'!AD227="Présent",'POINTAGE'!AE227,0),0),IF('POINTAGE'!$AF$5&lt;&gt;"",IF('POINTAGE'!AF227="Présent",'POINTAGE'!AG227,0),0)))</f>
      </c>
      <c r="I227" s="24">
        <f>IF($A227="","",$F227*$D227)</f>
      </c>
      <c r="J227" s="24">
        <f>IF($A227="","",$H227*$E227)</f>
      </c>
      <c r="K227" s="25">
        <f>IF($A227="","",$I227+$J227)</f>
      </c>
      <c r="L227" s="18"/>
      <c r="M227" s="25">
        <f>IF($A227="","",MAX(0,$K227-$L227))</f>
      </c>
      <c r="N227" s="22">
        <f>IF($A227="","",SUM(IF('POINTAGE'!$AH$5&lt;&gt;"",--('POINTAGE'!AH227="Présent"),0),IF('POINTAGE'!$AJ$5&lt;&gt;"",--('POINTAGE'!AJ227="Présent"),0),IF('POINTAGE'!$AL$5&lt;&gt;"",--('POINTAGE'!AL227="Présent"),0),IF('POINTAGE'!$AN$5&lt;&gt;"",--('POINTAGE'!AN227="Présent"),0),IF('POINTAGE'!$AP$5&lt;&gt;"",--('POINTAGE'!AP227="Présent"),0),IF('POINTAGE'!$AR$5&lt;&gt;"",--('POINTAGE'!AR227="Présent"),0),IF('POINTAGE'!$AT$5&lt;&gt;"",--('POINTAGE'!AT227="Présent"),0),IF('POINTAGE'!$AV$5&lt;&gt;"",--('POINTAGE'!AV227="Présent"),0),IF('POINTAGE'!$AX$5&lt;&gt;"",--('POINTAGE'!AX227="Présent"),0),IF('POINTAGE'!$AZ$5&lt;&gt;"",--('POINTAGE'!AZ227="Présent"),0),IF('POINTAGE'!$BB$5&lt;&gt;"",--('POINTAGE'!BB227="Présent"),0),IF('POINTAGE'!$BD$5&lt;&gt;"",--('POINTAGE'!BD227="Présent"),0),IF('POINTAGE'!$BF$5&lt;&gt;"",--('POINTAGE'!BF227="Présent"),0),IF('POINTAGE'!$BH$5&lt;&gt;"",--('POINTAGE'!BH227="Présent"),0),IF('POINTAGE'!$BJ$5&lt;&gt;"",--('POINTAGE'!BJ227="Présent"),0),IF('POINTAGE'!$BL$5&lt;&gt;"",--('POINTAGE'!BL227="Présent"),0)))</f>
      </c>
      <c r="O227" s="22">
        <f>IF($A227="","",SUM(IF('POINTAGE'!$AH$5&lt;&gt;"",--('POINTAGE'!AH227="Absent"),0),IF('POINTAGE'!$AJ$5&lt;&gt;"",--('POINTAGE'!AJ227="Absent"),0),IF('POINTAGE'!$AL$5&lt;&gt;"",--('POINTAGE'!AL227="Absent"),0),IF('POINTAGE'!$AN$5&lt;&gt;"",--('POINTAGE'!AN227="Absent"),0),IF('POINTAGE'!$AP$5&lt;&gt;"",--('POINTAGE'!AP227="Absent"),0),IF('POINTAGE'!$AR$5&lt;&gt;"",--('POINTAGE'!AR227="Absent"),0),IF('POINTAGE'!$AT$5&lt;&gt;"",--('POINTAGE'!AT227="Absent"),0),IF('POINTAGE'!$AV$5&lt;&gt;"",--('POINTAGE'!AV227="Absent"),0),IF('POINTAGE'!$AX$5&lt;&gt;"",--('POINTAGE'!AX227="Absent"),0),IF('POINTAGE'!$AZ$5&lt;&gt;"",--('POINTAGE'!AZ227="Absent"),0),IF('POINTAGE'!$BB$5&lt;&gt;"",--('POINTAGE'!BB227="Absent"),0),IF('POINTAGE'!$BD$5&lt;&gt;"",--('POINTAGE'!BD227="Absent"),0),IF('POINTAGE'!$BF$5&lt;&gt;"",--('POINTAGE'!BF227="Absent"),0),IF('POINTAGE'!$BH$5&lt;&gt;"",--('POINTAGE'!BH227="Absent"),0),IF('POINTAGE'!$BJ$5&lt;&gt;"",--('POINTAGE'!BJ227="Absent"),0),IF('POINTAGE'!$BL$5&lt;&gt;"",--('POINTAGE'!BL227="Absent"),0)))</f>
      </c>
      <c r="P227" s="23">
        <f>IF($A227="","",SUM(IF('POINTAGE'!$AH$5&lt;&gt;"",IF('POINTAGE'!AH227="Présent",'POINTAGE'!AI227,0),0),IF('POINTAGE'!$AJ$5&lt;&gt;"",IF('POINTAGE'!AJ227="Présent",'POINTAGE'!AK227,0),0),IF('POINTAGE'!$AL$5&lt;&gt;"",IF('POINTAGE'!AL227="Présent",'POINTAGE'!AM227,0),0),IF('POINTAGE'!$AN$5&lt;&gt;"",IF('POINTAGE'!AN227="Présent",'POINTAGE'!AO227,0),0),IF('POINTAGE'!$AP$5&lt;&gt;"",IF('POINTAGE'!AP227="Présent",'POINTAGE'!AQ227,0),0),IF('POINTAGE'!$AR$5&lt;&gt;"",IF('POINTAGE'!AR227="Présent",'POINTAGE'!AS227,0),0),IF('POINTAGE'!$AT$5&lt;&gt;"",IF('POINTAGE'!AT227="Présent",'POINTAGE'!AU227,0),0),IF('POINTAGE'!$AV$5&lt;&gt;"",IF('POINTAGE'!AV227="Présent",'POINTAGE'!AW227,0),0),IF('POINTAGE'!$AX$5&lt;&gt;"",IF('POINTAGE'!AX227="Présent",'POINTAGE'!AY227,0),0),IF('POINTAGE'!$AZ$5&lt;&gt;"",IF('POINTAGE'!AZ227="Présent",'POINTAGE'!BA227,0),0),IF('POINTAGE'!$BB$5&lt;&gt;"",IF('POINTAGE'!BB227="Présent",'POINTAGE'!BC227,0),0),IF('POINTAGE'!$BD$5&lt;&gt;"",IF('POINTAGE'!BD227="Présent",'POINTAGE'!BE227,0),0),IF('POINTAGE'!$BF$5&lt;&gt;"",IF('POINTAGE'!BF227="Présent",'POINTAGE'!BG227,0),0),IF('POINTAGE'!$BH$5&lt;&gt;"",IF('POINTAGE'!BH227="Présent",'POINTAGE'!BI227,0),0),IF('POINTAGE'!$BJ$5&lt;&gt;"",IF('POINTAGE'!BJ227="Présent",'POINTAGE'!BK227,0),0),IF('POINTAGE'!$BL$5&lt;&gt;"",IF('POINTAGE'!BL227="Présent",'POINTAGE'!BM227,0),0)))</f>
      </c>
      <c r="Q227" s="24">
        <f>IF($A227="","",$N227*$D227)</f>
      </c>
      <c r="R227" s="24">
        <f>IF($A227="","",$P227*$E227)</f>
      </c>
      <c r="S227" s="25">
        <f>IF($A227="","",$Q227+$R227)</f>
      </c>
      <c r="T227" s="18"/>
      <c r="U227" s="25">
        <f>IF($A227="","",MAX(0,$S227-$T227))</f>
      </c>
      <c r="V227" s="25">
        <f>IF($A227="","",$K227+$S227)</f>
      </c>
      <c r="W227" s="24">
        <f>IF($A227="","",$L227+$T227)</f>
      </c>
      <c r="X227" s="25">
        <f>IF($A227="","",$M227+$U227)</f>
      </c>
      <c r="Y227" s="29">
        <f>IF($A227="","",$J227+$R227)</f>
      </c>
    </row>
    <row r="228">
      <c r="A228" s="20">
        <f>IF('POINTAGE'!A228="","",'POINTAGE'!A228)</f>
      </c>
      <c r="B228" s="19">
        <f>IF($A228="","",'POINTAGE'!B228)</f>
      </c>
      <c r="C228" s="20">
        <f>IF($A228="","",'POINTAGE'!C228)</f>
      </c>
      <c r="D228" s="24">
        <f>IF($A228="","",IFERROR(INDEX(Categories_Salaire,MATCH($C228,ListeCategories,0)),0))</f>
      </c>
      <c r="E228" s="24">
        <f>IF($A228="","",IF(IFERROR(INDEX(Categories_TauxHS,MATCH($C228,ListeCategories,0)),0)&gt;0,IFERROR(INDEX(Categories_TauxHS,MATCH($C228,ListeCategories,0)),0),TauxHSDefaut))</f>
      </c>
      <c r="F228" s="22">
        <f>IF($A228="","",SUM(IF('POINTAGE'!$D$5&lt;&gt;"",--('POINTAGE'!D228="Présent"),0),IF('POINTAGE'!$F$5&lt;&gt;"",--('POINTAGE'!F228="Présent"),0),IF('POINTAGE'!$H$5&lt;&gt;"",--('POINTAGE'!H228="Présent"),0),IF('POINTAGE'!$J$5&lt;&gt;"",--('POINTAGE'!J228="Présent"),0),IF('POINTAGE'!$L$5&lt;&gt;"",--('POINTAGE'!L228="Présent"),0),IF('POINTAGE'!$N$5&lt;&gt;"",--('POINTAGE'!N228="Présent"),0),IF('POINTAGE'!$P$5&lt;&gt;"",--('POINTAGE'!P228="Présent"),0),IF('POINTAGE'!$R$5&lt;&gt;"",--('POINTAGE'!R228="Présent"),0),IF('POINTAGE'!$T$5&lt;&gt;"",--('POINTAGE'!T228="Présent"),0),IF('POINTAGE'!$V$5&lt;&gt;"",--('POINTAGE'!V228="Présent"),0),IF('POINTAGE'!$X$5&lt;&gt;"",--('POINTAGE'!X228="Présent"),0),IF('POINTAGE'!$Z$5&lt;&gt;"",--('POINTAGE'!Z228="Présent"),0),IF('POINTAGE'!$AB$5&lt;&gt;"",--('POINTAGE'!AB228="Présent"),0),IF('POINTAGE'!$AD$5&lt;&gt;"",--('POINTAGE'!AD228="Présent"),0),IF('POINTAGE'!$AF$5&lt;&gt;"",--('POINTAGE'!AF228="Présent"),0)))</f>
      </c>
      <c r="G228" s="22">
        <f>IF($A228="","",SUM(IF('POINTAGE'!$D$5&lt;&gt;"",--('POINTAGE'!D228="Absent"),0),IF('POINTAGE'!$F$5&lt;&gt;"",--('POINTAGE'!F228="Absent"),0),IF('POINTAGE'!$H$5&lt;&gt;"",--('POINTAGE'!H228="Absent"),0),IF('POINTAGE'!$J$5&lt;&gt;"",--('POINTAGE'!J228="Absent"),0),IF('POINTAGE'!$L$5&lt;&gt;"",--('POINTAGE'!L228="Absent"),0),IF('POINTAGE'!$N$5&lt;&gt;"",--('POINTAGE'!N228="Absent"),0),IF('POINTAGE'!$P$5&lt;&gt;"",--('POINTAGE'!P228="Absent"),0),IF('POINTAGE'!$R$5&lt;&gt;"",--('POINTAGE'!R228="Absent"),0),IF('POINTAGE'!$T$5&lt;&gt;"",--('POINTAGE'!T228="Absent"),0),IF('POINTAGE'!$V$5&lt;&gt;"",--('POINTAGE'!V228="Absent"),0),IF('POINTAGE'!$X$5&lt;&gt;"",--('POINTAGE'!X228="Absent"),0),IF('POINTAGE'!$Z$5&lt;&gt;"",--('POINTAGE'!Z228="Absent"),0),IF('POINTAGE'!$AB$5&lt;&gt;"",--('POINTAGE'!AB228="Absent"),0),IF('POINTAGE'!$AD$5&lt;&gt;"",--('POINTAGE'!AD228="Absent"),0),IF('POINTAGE'!$AF$5&lt;&gt;"",--('POINTAGE'!AF228="Absent"),0)))</f>
      </c>
      <c r="H228" s="23">
        <f>IF($A228="","",SUM(IF('POINTAGE'!$D$5&lt;&gt;"",IF('POINTAGE'!D228="Présent",'POINTAGE'!E228,0),0),IF('POINTAGE'!$F$5&lt;&gt;"",IF('POINTAGE'!F228="Présent",'POINTAGE'!G228,0),0),IF('POINTAGE'!$H$5&lt;&gt;"",IF('POINTAGE'!H228="Présent",'POINTAGE'!I228,0),0),IF('POINTAGE'!$J$5&lt;&gt;"",IF('POINTAGE'!J228="Présent",'POINTAGE'!K228,0),0),IF('POINTAGE'!$L$5&lt;&gt;"",IF('POINTAGE'!L228="Présent",'POINTAGE'!M228,0),0),IF('POINTAGE'!$N$5&lt;&gt;"",IF('POINTAGE'!N228="Présent",'POINTAGE'!O228,0),0),IF('POINTAGE'!$P$5&lt;&gt;"",IF('POINTAGE'!P228="Présent",'POINTAGE'!Q228,0),0),IF('POINTAGE'!$R$5&lt;&gt;"",IF('POINTAGE'!R228="Présent",'POINTAGE'!S228,0),0),IF('POINTAGE'!$T$5&lt;&gt;"",IF('POINTAGE'!T228="Présent",'POINTAGE'!U228,0),0),IF('POINTAGE'!$V$5&lt;&gt;"",IF('POINTAGE'!V228="Présent",'POINTAGE'!W228,0),0),IF('POINTAGE'!$X$5&lt;&gt;"",IF('POINTAGE'!X228="Présent",'POINTAGE'!Y228,0),0),IF('POINTAGE'!$Z$5&lt;&gt;"",IF('POINTAGE'!Z228="Présent",'POINTAGE'!AA228,0),0),IF('POINTAGE'!$AB$5&lt;&gt;"",IF('POINTAGE'!AB228="Présent",'POINTAGE'!AC228,0),0),IF('POINTAGE'!$AD$5&lt;&gt;"",IF('POINTAGE'!AD228="Présent",'POINTAGE'!AE228,0),0),IF('POINTAGE'!$AF$5&lt;&gt;"",IF('POINTAGE'!AF228="Présent",'POINTAGE'!AG228,0),0)))</f>
      </c>
      <c r="I228" s="24">
        <f>IF($A228="","",$F228*$D228)</f>
      </c>
      <c r="J228" s="24">
        <f>IF($A228="","",$H228*$E228)</f>
      </c>
      <c r="K228" s="25">
        <f>IF($A228="","",$I228+$J228)</f>
      </c>
      <c r="L228" s="18"/>
      <c r="M228" s="25">
        <f>IF($A228="","",MAX(0,$K228-$L228))</f>
      </c>
      <c r="N228" s="22">
        <f>IF($A228="","",SUM(IF('POINTAGE'!$AH$5&lt;&gt;"",--('POINTAGE'!AH228="Présent"),0),IF('POINTAGE'!$AJ$5&lt;&gt;"",--('POINTAGE'!AJ228="Présent"),0),IF('POINTAGE'!$AL$5&lt;&gt;"",--('POINTAGE'!AL228="Présent"),0),IF('POINTAGE'!$AN$5&lt;&gt;"",--('POINTAGE'!AN228="Présent"),0),IF('POINTAGE'!$AP$5&lt;&gt;"",--('POINTAGE'!AP228="Présent"),0),IF('POINTAGE'!$AR$5&lt;&gt;"",--('POINTAGE'!AR228="Présent"),0),IF('POINTAGE'!$AT$5&lt;&gt;"",--('POINTAGE'!AT228="Présent"),0),IF('POINTAGE'!$AV$5&lt;&gt;"",--('POINTAGE'!AV228="Présent"),0),IF('POINTAGE'!$AX$5&lt;&gt;"",--('POINTAGE'!AX228="Présent"),0),IF('POINTAGE'!$AZ$5&lt;&gt;"",--('POINTAGE'!AZ228="Présent"),0),IF('POINTAGE'!$BB$5&lt;&gt;"",--('POINTAGE'!BB228="Présent"),0),IF('POINTAGE'!$BD$5&lt;&gt;"",--('POINTAGE'!BD228="Présent"),0),IF('POINTAGE'!$BF$5&lt;&gt;"",--('POINTAGE'!BF228="Présent"),0),IF('POINTAGE'!$BH$5&lt;&gt;"",--('POINTAGE'!BH228="Présent"),0),IF('POINTAGE'!$BJ$5&lt;&gt;"",--('POINTAGE'!BJ228="Présent"),0),IF('POINTAGE'!$BL$5&lt;&gt;"",--('POINTAGE'!BL228="Présent"),0)))</f>
      </c>
      <c r="O228" s="22">
        <f>IF($A228="","",SUM(IF('POINTAGE'!$AH$5&lt;&gt;"",--('POINTAGE'!AH228="Absent"),0),IF('POINTAGE'!$AJ$5&lt;&gt;"",--('POINTAGE'!AJ228="Absent"),0),IF('POINTAGE'!$AL$5&lt;&gt;"",--('POINTAGE'!AL228="Absent"),0),IF('POINTAGE'!$AN$5&lt;&gt;"",--('POINTAGE'!AN228="Absent"),0),IF('POINTAGE'!$AP$5&lt;&gt;"",--('POINTAGE'!AP228="Absent"),0),IF('POINTAGE'!$AR$5&lt;&gt;"",--('POINTAGE'!AR228="Absent"),0),IF('POINTAGE'!$AT$5&lt;&gt;"",--('POINTAGE'!AT228="Absent"),0),IF('POINTAGE'!$AV$5&lt;&gt;"",--('POINTAGE'!AV228="Absent"),0),IF('POINTAGE'!$AX$5&lt;&gt;"",--('POINTAGE'!AX228="Absent"),0),IF('POINTAGE'!$AZ$5&lt;&gt;"",--('POINTAGE'!AZ228="Absent"),0),IF('POINTAGE'!$BB$5&lt;&gt;"",--('POINTAGE'!BB228="Absent"),0),IF('POINTAGE'!$BD$5&lt;&gt;"",--('POINTAGE'!BD228="Absent"),0),IF('POINTAGE'!$BF$5&lt;&gt;"",--('POINTAGE'!BF228="Absent"),0),IF('POINTAGE'!$BH$5&lt;&gt;"",--('POINTAGE'!BH228="Absent"),0),IF('POINTAGE'!$BJ$5&lt;&gt;"",--('POINTAGE'!BJ228="Absent"),0),IF('POINTAGE'!$BL$5&lt;&gt;"",--('POINTAGE'!BL228="Absent"),0)))</f>
      </c>
      <c r="P228" s="23">
        <f>IF($A228="","",SUM(IF('POINTAGE'!$AH$5&lt;&gt;"",IF('POINTAGE'!AH228="Présent",'POINTAGE'!AI228,0),0),IF('POINTAGE'!$AJ$5&lt;&gt;"",IF('POINTAGE'!AJ228="Présent",'POINTAGE'!AK228,0),0),IF('POINTAGE'!$AL$5&lt;&gt;"",IF('POINTAGE'!AL228="Présent",'POINTAGE'!AM228,0),0),IF('POINTAGE'!$AN$5&lt;&gt;"",IF('POINTAGE'!AN228="Présent",'POINTAGE'!AO228,0),0),IF('POINTAGE'!$AP$5&lt;&gt;"",IF('POINTAGE'!AP228="Présent",'POINTAGE'!AQ228,0),0),IF('POINTAGE'!$AR$5&lt;&gt;"",IF('POINTAGE'!AR228="Présent",'POINTAGE'!AS228,0),0),IF('POINTAGE'!$AT$5&lt;&gt;"",IF('POINTAGE'!AT228="Présent",'POINTAGE'!AU228,0),0),IF('POINTAGE'!$AV$5&lt;&gt;"",IF('POINTAGE'!AV228="Présent",'POINTAGE'!AW228,0),0),IF('POINTAGE'!$AX$5&lt;&gt;"",IF('POINTAGE'!AX228="Présent",'POINTAGE'!AY228,0),0),IF('POINTAGE'!$AZ$5&lt;&gt;"",IF('POINTAGE'!AZ228="Présent",'POINTAGE'!BA228,0),0),IF('POINTAGE'!$BB$5&lt;&gt;"",IF('POINTAGE'!BB228="Présent",'POINTAGE'!BC228,0),0),IF('POINTAGE'!$BD$5&lt;&gt;"",IF('POINTAGE'!BD228="Présent",'POINTAGE'!BE228,0),0),IF('POINTAGE'!$BF$5&lt;&gt;"",IF('POINTAGE'!BF228="Présent",'POINTAGE'!BG228,0),0),IF('POINTAGE'!$BH$5&lt;&gt;"",IF('POINTAGE'!BH228="Présent",'POINTAGE'!BI228,0),0),IF('POINTAGE'!$BJ$5&lt;&gt;"",IF('POINTAGE'!BJ228="Présent",'POINTAGE'!BK228,0),0),IF('POINTAGE'!$BL$5&lt;&gt;"",IF('POINTAGE'!BL228="Présent",'POINTAGE'!BM228,0),0)))</f>
      </c>
      <c r="Q228" s="24">
        <f>IF($A228="","",$N228*$D228)</f>
      </c>
      <c r="R228" s="24">
        <f>IF($A228="","",$P228*$E228)</f>
      </c>
      <c r="S228" s="25">
        <f>IF($A228="","",$Q228+$R228)</f>
      </c>
      <c r="T228" s="18"/>
      <c r="U228" s="25">
        <f>IF($A228="","",MAX(0,$S228-$T228))</f>
      </c>
      <c r="V228" s="25">
        <f>IF($A228="","",$K228+$S228)</f>
      </c>
      <c r="W228" s="24">
        <f>IF($A228="","",$L228+$T228)</f>
      </c>
      <c r="X228" s="25">
        <f>IF($A228="","",$M228+$U228)</f>
      </c>
      <c r="Y228" s="29">
        <f>IF($A228="","",$J228+$R228)</f>
      </c>
    </row>
    <row r="229">
      <c r="A229" s="20">
        <f>IF('POINTAGE'!A229="","",'POINTAGE'!A229)</f>
      </c>
      <c r="B229" s="19">
        <f>IF($A229="","",'POINTAGE'!B229)</f>
      </c>
      <c r="C229" s="20">
        <f>IF($A229="","",'POINTAGE'!C229)</f>
      </c>
      <c r="D229" s="24">
        <f>IF($A229="","",IFERROR(INDEX(Categories_Salaire,MATCH($C229,ListeCategories,0)),0))</f>
      </c>
      <c r="E229" s="24">
        <f>IF($A229="","",IF(IFERROR(INDEX(Categories_TauxHS,MATCH($C229,ListeCategories,0)),0)&gt;0,IFERROR(INDEX(Categories_TauxHS,MATCH($C229,ListeCategories,0)),0),TauxHSDefaut))</f>
      </c>
      <c r="F229" s="22">
        <f>IF($A229="","",SUM(IF('POINTAGE'!$D$5&lt;&gt;"",--('POINTAGE'!D229="Présent"),0),IF('POINTAGE'!$F$5&lt;&gt;"",--('POINTAGE'!F229="Présent"),0),IF('POINTAGE'!$H$5&lt;&gt;"",--('POINTAGE'!H229="Présent"),0),IF('POINTAGE'!$J$5&lt;&gt;"",--('POINTAGE'!J229="Présent"),0),IF('POINTAGE'!$L$5&lt;&gt;"",--('POINTAGE'!L229="Présent"),0),IF('POINTAGE'!$N$5&lt;&gt;"",--('POINTAGE'!N229="Présent"),0),IF('POINTAGE'!$P$5&lt;&gt;"",--('POINTAGE'!P229="Présent"),0),IF('POINTAGE'!$R$5&lt;&gt;"",--('POINTAGE'!R229="Présent"),0),IF('POINTAGE'!$T$5&lt;&gt;"",--('POINTAGE'!T229="Présent"),0),IF('POINTAGE'!$V$5&lt;&gt;"",--('POINTAGE'!V229="Présent"),0),IF('POINTAGE'!$X$5&lt;&gt;"",--('POINTAGE'!X229="Présent"),0),IF('POINTAGE'!$Z$5&lt;&gt;"",--('POINTAGE'!Z229="Présent"),0),IF('POINTAGE'!$AB$5&lt;&gt;"",--('POINTAGE'!AB229="Présent"),0),IF('POINTAGE'!$AD$5&lt;&gt;"",--('POINTAGE'!AD229="Présent"),0),IF('POINTAGE'!$AF$5&lt;&gt;"",--('POINTAGE'!AF229="Présent"),0)))</f>
      </c>
      <c r="G229" s="22">
        <f>IF($A229="","",SUM(IF('POINTAGE'!$D$5&lt;&gt;"",--('POINTAGE'!D229="Absent"),0),IF('POINTAGE'!$F$5&lt;&gt;"",--('POINTAGE'!F229="Absent"),0),IF('POINTAGE'!$H$5&lt;&gt;"",--('POINTAGE'!H229="Absent"),0),IF('POINTAGE'!$J$5&lt;&gt;"",--('POINTAGE'!J229="Absent"),0),IF('POINTAGE'!$L$5&lt;&gt;"",--('POINTAGE'!L229="Absent"),0),IF('POINTAGE'!$N$5&lt;&gt;"",--('POINTAGE'!N229="Absent"),0),IF('POINTAGE'!$P$5&lt;&gt;"",--('POINTAGE'!P229="Absent"),0),IF('POINTAGE'!$R$5&lt;&gt;"",--('POINTAGE'!R229="Absent"),0),IF('POINTAGE'!$T$5&lt;&gt;"",--('POINTAGE'!T229="Absent"),0),IF('POINTAGE'!$V$5&lt;&gt;"",--('POINTAGE'!V229="Absent"),0),IF('POINTAGE'!$X$5&lt;&gt;"",--('POINTAGE'!X229="Absent"),0),IF('POINTAGE'!$Z$5&lt;&gt;"",--('POINTAGE'!Z229="Absent"),0),IF('POINTAGE'!$AB$5&lt;&gt;"",--('POINTAGE'!AB229="Absent"),0),IF('POINTAGE'!$AD$5&lt;&gt;"",--('POINTAGE'!AD229="Absent"),0),IF('POINTAGE'!$AF$5&lt;&gt;"",--('POINTAGE'!AF229="Absent"),0)))</f>
      </c>
      <c r="H229" s="23">
        <f>IF($A229="","",SUM(IF('POINTAGE'!$D$5&lt;&gt;"",IF('POINTAGE'!D229="Présent",'POINTAGE'!E229,0),0),IF('POINTAGE'!$F$5&lt;&gt;"",IF('POINTAGE'!F229="Présent",'POINTAGE'!G229,0),0),IF('POINTAGE'!$H$5&lt;&gt;"",IF('POINTAGE'!H229="Présent",'POINTAGE'!I229,0),0),IF('POINTAGE'!$J$5&lt;&gt;"",IF('POINTAGE'!J229="Présent",'POINTAGE'!K229,0),0),IF('POINTAGE'!$L$5&lt;&gt;"",IF('POINTAGE'!L229="Présent",'POINTAGE'!M229,0),0),IF('POINTAGE'!$N$5&lt;&gt;"",IF('POINTAGE'!N229="Présent",'POINTAGE'!O229,0),0),IF('POINTAGE'!$P$5&lt;&gt;"",IF('POINTAGE'!P229="Présent",'POINTAGE'!Q229,0),0),IF('POINTAGE'!$R$5&lt;&gt;"",IF('POINTAGE'!R229="Présent",'POINTAGE'!S229,0),0),IF('POINTAGE'!$T$5&lt;&gt;"",IF('POINTAGE'!T229="Présent",'POINTAGE'!U229,0),0),IF('POINTAGE'!$V$5&lt;&gt;"",IF('POINTAGE'!V229="Présent",'POINTAGE'!W229,0),0),IF('POINTAGE'!$X$5&lt;&gt;"",IF('POINTAGE'!X229="Présent",'POINTAGE'!Y229,0),0),IF('POINTAGE'!$Z$5&lt;&gt;"",IF('POINTAGE'!Z229="Présent",'POINTAGE'!AA229,0),0),IF('POINTAGE'!$AB$5&lt;&gt;"",IF('POINTAGE'!AB229="Présent",'POINTAGE'!AC229,0),0),IF('POINTAGE'!$AD$5&lt;&gt;"",IF('POINTAGE'!AD229="Présent",'POINTAGE'!AE229,0),0),IF('POINTAGE'!$AF$5&lt;&gt;"",IF('POINTAGE'!AF229="Présent",'POINTAGE'!AG229,0),0)))</f>
      </c>
      <c r="I229" s="24">
        <f>IF($A229="","",$F229*$D229)</f>
      </c>
      <c r="J229" s="24">
        <f>IF($A229="","",$H229*$E229)</f>
      </c>
      <c r="K229" s="25">
        <f>IF($A229="","",$I229+$J229)</f>
      </c>
      <c r="L229" s="18"/>
      <c r="M229" s="25">
        <f>IF($A229="","",MAX(0,$K229-$L229))</f>
      </c>
      <c r="N229" s="22">
        <f>IF($A229="","",SUM(IF('POINTAGE'!$AH$5&lt;&gt;"",--('POINTAGE'!AH229="Présent"),0),IF('POINTAGE'!$AJ$5&lt;&gt;"",--('POINTAGE'!AJ229="Présent"),0),IF('POINTAGE'!$AL$5&lt;&gt;"",--('POINTAGE'!AL229="Présent"),0),IF('POINTAGE'!$AN$5&lt;&gt;"",--('POINTAGE'!AN229="Présent"),0),IF('POINTAGE'!$AP$5&lt;&gt;"",--('POINTAGE'!AP229="Présent"),0),IF('POINTAGE'!$AR$5&lt;&gt;"",--('POINTAGE'!AR229="Présent"),0),IF('POINTAGE'!$AT$5&lt;&gt;"",--('POINTAGE'!AT229="Présent"),0),IF('POINTAGE'!$AV$5&lt;&gt;"",--('POINTAGE'!AV229="Présent"),0),IF('POINTAGE'!$AX$5&lt;&gt;"",--('POINTAGE'!AX229="Présent"),0),IF('POINTAGE'!$AZ$5&lt;&gt;"",--('POINTAGE'!AZ229="Présent"),0),IF('POINTAGE'!$BB$5&lt;&gt;"",--('POINTAGE'!BB229="Présent"),0),IF('POINTAGE'!$BD$5&lt;&gt;"",--('POINTAGE'!BD229="Présent"),0),IF('POINTAGE'!$BF$5&lt;&gt;"",--('POINTAGE'!BF229="Présent"),0),IF('POINTAGE'!$BH$5&lt;&gt;"",--('POINTAGE'!BH229="Présent"),0),IF('POINTAGE'!$BJ$5&lt;&gt;"",--('POINTAGE'!BJ229="Présent"),0),IF('POINTAGE'!$BL$5&lt;&gt;"",--('POINTAGE'!BL229="Présent"),0)))</f>
      </c>
      <c r="O229" s="22">
        <f>IF($A229="","",SUM(IF('POINTAGE'!$AH$5&lt;&gt;"",--('POINTAGE'!AH229="Absent"),0),IF('POINTAGE'!$AJ$5&lt;&gt;"",--('POINTAGE'!AJ229="Absent"),0),IF('POINTAGE'!$AL$5&lt;&gt;"",--('POINTAGE'!AL229="Absent"),0),IF('POINTAGE'!$AN$5&lt;&gt;"",--('POINTAGE'!AN229="Absent"),0),IF('POINTAGE'!$AP$5&lt;&gt;"",--('POINTAGE'!AP229="Absent"),0),IF('POINTAGE'!$AR$5&lt;&gt;"",--('POINTAGE'!AR229="Absent"),0),IF('POINTAGE'!$AT$5&lt;&gt;"",--('POINTAGE'!AT229="Absent"),0),IF('POINTAGE'!$AV$5&lt;&gt;"",--('POINTAGE'!AV229="Absent"),0),IF('POINTAGE'!$AX$5&lt;&gt;"",--('POINTAGE'!AX229="Absent"),0),IF('POINTAGE'!$AZ$5&lt;&gt;"",--('POINTAGE'!AZ229="Absent"),0),IF('POINTAGE'!$BB$5&lt;&gt;"",--('POINTAGE'!BB229="Absent"),0),IF('POINTAGE'!$BD$5&lt;&gt;"",--('POINTAGE'!BD229="Absent"),0),IF('POINTAGE'!$BF$5&lt;&gt;"",--('POINTAGE'!BF229="Absent"),0),IF('POINTAGE'!$BH$5&lt;&gt;"",--('POINTAGE'!BH229="Absent"),0),IF('POINTAGE'!$BJ$5&lt;&gt;"",--('POINTAGE'!BJ229="Absent"),0),IF('POINTAGE'!$BL$5&lt;&gt;"",--('POINTAGE'!BL229="Absent"),0)))</f>
      </c>
      <c r="P229" s="23">
        <f>IF($A229="","",SUM(IF('POINTAGE'!$AH$5&lt;&gt;"",IF('POINTAGE'!AH229="Présent",'POINTAGE'!AI229,0),0),IF('POINTAGE'!$AJ$5&lt;&gt;"",IF('POINTAGE'!AJ229="Présent",'POINTAGE'!AK229,0),0),IF('POINTAGE'!$AL$5&lt;&gt;"",IF('POINTAGE'!AL229="Présent",'POINTAGE'!AM229,0),0),IF('POINTAGE'!$AN$5&lt;&gt;"",IF('POINTAGE'!AN229="Présent",'POINTAGE'!AO229,0),0),IF('POINTAGE'!$AP$5&lt;&gt;"",IF('POINTAGE'!AP229="Présent",'POINTAGE'!AQ229,0),0),IF('POINTAGE'!$AR$5&lt;&gt;"",IF('POINTAGE'!AR229="Présent",'POINTAGE'!AS229,0),0),IF('POINTAGE'!$AT$5&lt;&gt;"",IF('POINTAGE'!AT229="Présent",'POINTAGE'!AU229,0),0),IF('POINTAGE'!$AV$5&lt;&gt;"",IF('POINTAGE'!AV229="Présent",'POINTAGE'!AW229,0),0),IF('POINTAGE'!$AX$5&lt;&gt;"",IF('POINTAGE'!AX229="Présent",'POINTAGE'!AY229,0),0),IF('POINTAGE'!$AZ$5&lt;&gt;"",IF('POINTAGE'!AZ229="Présent",'POINTAGE'!BA229,0),0),IF('POINTAGE'!$BB$5&lt;&gt;"",IF('POINTAGE'!BB229="Présent",'POINTAGE'!BC229,0),0),IF('POINTAGE'!$BD$5&lt;&gt;"",IF('POINTAGE'!BD229="Présent",'POINTAGE'!BE229,0),0),IF('POINTAGE'!$BF$5&lt;&gt;"",IF('POINTAGE'!BF229="Présent",'POINTAGE'!BG229,0),0),IF('POINTAGE'!$BH$5&lt;&gt;"",IF('POINTAGE'!BH229="Présent",'POINTAGE'!BI229,0),0),IF('POINTAGE'!$BJ$5&lt;&gt;"",IF('POINTAGE'!BJ229="Présent",'POINTAGE'!BK229,0),0),IF('POINTAGE'!$BL$5&lt;&gt;"",IF('POINTAGE'!BL229="Présent",'POINTAGE'!BM229,0),0)))</f>
      </c>
      <c r="Q229" s="24">
        <f>IF($A229="","",$N229*$D229)</f>
      </c>
      <c r="R229" s="24">
        <f>IF($A229="","",$P229*$E229)</f>
      </c>
      <c r="S229" s="25">
        <f>IF($A229="","",$Q229+$R229)</f>
      </c>
      <c r="T229" s="18"/>
      <c r="U229" s="25">
        <f>IF($A229="","",MAX(0,$S229-$T229))</f>
      </c>
      <c r="V229" s="25">
        <f>IF($A229="","",$K229+$S229)</f>
      </c>
      <c r="W229" s="24">
        <f>IF($A229="","",$L229+$T229)</f>
      </c>
      <c r="X229" s="25">
        <f>IF($A229="","",$M229+$U229)</f>
      </c>
      <c r="Y229" s="29">
        <f>IF($A229="","",$J229+$R229)</f>
      </c>
    </row>
    <row r="230">
      <c r="A230" s="20">
        <f>IF('POINTAGE'!A230="","",'POINTAGE'!A230)</f>
      </c>
      <c r="B230" s="19">
        <f>IF($A230="","",'POINTAGE'!B230)</f>
      </c>
      <c r="C230" s="20">
        <f>IF($A230="","",'POINTAGE'!C230)</f>
      </c>
      <c r="D230" s="24">
        <f>IF($A230="","",IFERROR(INDEX(Categories_Salaire,MATCH($C230,ListeCategories,0)),0))</f>
      </c>
      <c r="E230" s="24">
        <f>IF($A230="","",IF(IFERROR(INDEX(Categories_TauxHS,MATCH($C230,ListeCategories,0)),0)&gt;0,IFERROR(INDEX(Categories_TauxHS,MATCH($C230,ListeCategories,0)),0),TauxHSDefaut))</f>
      </c>
      <c r="F230" s="22">
        <f>IF($A230="","",SUM(IF('POINTAGE'!$D$5&lt;&gt;"",--('POINTAGE'!D230="Présent"),0),IF('POINTAGE'!$F$5&lt;&gt;"",--('POINTAGE'!F230="Présent"),0),IF('POINTAGE'!$H$5&lt;&gt;"",--('POINTAGE'!H230="Présent"),0),IF('POINTAGE'!$J$5&lt;&gt;"",--('POINTAGE'!J230="Présent"),0),IF('POINTAGE'!$L$5&lt;&gt;"",--('POINTAGE'!L230="Présent"),0),IF('POINTAGE'!$N$5&lt;&gt;"",--('POINTAGE'!N230="Présent"),0),IF('POINTAGE'!$P$5&lt;&gt;"",--('POINTAGE'!P230="Présent"),0),IF('POINTAGE'!$R$5&lt;&gt;"",--('POINTAGE'!R230="Présent"),0),IF('POINTAGE'!$T$5&lt;&gt;"",--('POINTAGE'!T230="Présent"),0),IF('POINTAGE'!$V$5&lt;&gt;"",--('POINTAGE'!V230="Présent"),0),IF('POINTAGE'!$X$5&lt;&gt;"",--('POINTAGE'!X230="Présent"),0),IF('POINTAGE'!$Z$5&lt;&gt;"",--('POINTAGE'!Z230="Présent"),0),IF('POINTAGE'!$AB$5&lt;&gt;"",--('POINTAGE'!AB230="Présent"),0),IF('POINTAGE'!$AD$5&lt;&gt;"",--('POINTAGE'!AD230="Présent"),0),IF('POINTAGE'!$AF$5&lt;&gt;"",--('POINTAGE'!AF230="Présent"),0)))</f>
      </c>
      <c r="G230" s="22">
        <f>IF($A230="","",SUM(IF('POINTAGE'!$D$5&lt;&gt;"",--('POINTAGE'!D230="Absent"),0),IF('POINTAGE'!$F$5&lt;&gt;"",--('POINTAGE'!F230="Absent"),0),IF('POINTAGE'!$H$5&lt;&gt;"",--('POINTAGE'!H230="Absent"),0),IF('POINTAGE'!$J$5&lt;&gt;"",--('POINTAGE'!J230="Absent"),0),IF('POINTAGE'!$L$5&lt;&gt;"",--('POINTAGE'!L230="Absent"),0),IF('POINTAGE'!$N$5&lt;&gt;"",--('POINTAGE'!N230="Absent"),0),IF('POINTAGE'!$P$5&lt;&gt;"",--('POINTAGE'!P230="Absent"),0),IF('POINTAGE'!$R$5&lt;&gt;"",--('POINTAGE'!R230="Absent"),0),IF('POINTAGE'!$T$5&lt;&gt;"",--('POINTAGE'!T230="Absent"),0),IF('POINTAGE'!$V$5&lt;&gt;"",--('POINTAGE'!V230="Absent"),0),IF('POINTAGE'!$X$5&lt;&gt;"",--('POINTAGE'!X230="Absent"),0),IF('POINTAGE'!$Z$5&lt;&gt;"",--('POINTAGE'!Z230="Absent"),0),IF('POINTAGE'!$AB$5&lt;&gt;"",--('POINTAGE'!AB230="Absent"),0),IF('POINTAGE'!$AD$5&lt;&gt;"",--('POINTAGE'!AD230="Absent"),0),IF('POINTAGE'!$AF$5&lt;&gt;"",--('POINTAGE'!AF230="Absent"),0)))</f>
      </c>
      <c r="H230" s="23">
        <f>IF($A230="","",SUM(IF('POINTAGE'!$D$5&lt;&gt;"",IF('POINTAGE'!D230="Présent",'POINTAGE'!E230,0),0),IF('POINTAGE'!$F$5&lt;&gt;"",IF('POINTAGE'!F230="Présent",'POINTAGE'!G230,0),0),IF('POINTAGE'!$H$5&lt;&gt;"",IF('POINTAGE'!H230="Présent",'POINTAGE'!I230,0),0),IF('POINTAGE'!$J$5&lt;&gt;"",IF('POINTAGE'!J230="Présent",'POINTAGE'!K230,0),0),IF('POINTAGE'!$L$5&lt;&gt;"",IF('POINTAGE'!L230="Présent",'POINTAGE'!M230,0),0),IF('POINTAGE'!$N$5&lt;&gt;"",IF('POINTAGE'!N230="Présent",'POINTAGE'!O230,0),0),IF('POINTAGE'!$P$5&lt;&gt;"",IF('POINTAGE'!P230="Présent",'POINTAGE'!Q230,0),0),IF('POINTAGE'!$R$5&lt;&gt;"",IF('POINTAGE'!R230="Présent",'POINTAGE'!S230,0),0),IF('POINTAGE'!$T$5&lt;&gt;"",IF('POINTAGE'!T230="Présent",'POINTAGE'!U230,0),0),IF('POINTAGE'!$V$5&lt;&gt;"",IF('POINTAGE'!V230="Présent",'POINTAGE'!W230,0),0),IF('POINTAGE'!$X$5&lt;&gt;"",IF('POINTAGE'!X230="Présent",'POINTAGE'!Y230,0),0),IF('POINTAGE'!$Z$5&lt;&gt;"",IF('POINTAGE'!Z230="Présent",'POINTAGE'!AA230,0),0),IF('POINTAGE'!$AB$5&lt;&gt;"",IF('POINTAGE'!AB230="Présent",'POINTAGE'!AC230,0),0),IF('POINTAGE'!$AD$5&lt;&gt;"",IF('POINTAGE'!AD230="Présent",'POINTAGE'!AE230,0),0),IF('POINTAGE'!$AF$5&lt;&gt;"",IF('POINTAGE'!AF230="Présent",'POINTAGE'!AG230,0),0)))</f>
      </c>
      <c r="I230" s="24">
        <f>IF($A230="","",$F230*$D230)</f>
      </c>
      <c r="J230" s="24">
        <f>IF($A230="","",$H230*$E230)</f>
      </c>
      <c r="K230" s="25">
        <f>IF($A230="","",$I230+$J230)</f>
      </c>
      <c r="L230" s="18"/>
      <c r="M230" s="25">
        <f>IF($A230="","",MAX(0,$K230-$L230))</f>
      </c>
      <c r="N230" s="22">
        <f>IF($A230="","",SUM(IF('POINTAGE'!$AH$5&lt;&gt;"",--('POINTAGE'!AH230="Présent"),0),IF('POINTAGE'!$AJ$5&lt;&gt;"",--('POINTAGE'!AJ230="Présent"),0),IF('POINTAGE'!$AL$5&lt;&gt;"",--('POINTAGE'!AL230="Présent"),0),IF('POINTAGE'!$AN$5&lt;&gt;"",--('POINTAGE'!AN230="Présent"),0),IF('POINTAGE'!$AP$5&lt;&gt;"",--('POINTAGE'!AP230="Présent"),0),IF('POINTAGE'!$AR$5&lt;&gt;"",--('POINTAGE'!AR230="Présent"),0),IF('POINTAGE'!$AT$5&lt;&gt;"",--('POINTAGE'!AT230="Présent"),0),IF('POINTAGE'!$AV$5&lt;&gt;"",--('POINTAGE'!AV230="Présent"),0),IF('POINTAGE'!$AX$5&lt;&gt;"",--('POINTAGE'!AX230="Présent"),0),IF('POINTAGE'!$AZ$5&lt;&gt;"",--('POINTAGE'!AZ230="Présent"),0),IF('POINTAGE'!$BB$5&lt;&gt;"",--('POINTAGE'!BB230="Présent"),0),IF('POINTAGE'!$BD$5&lt;&gt;"",--('POINTAGE'!BD230="Présent"),0),IF('POINTAGE'!$BF$5&lt;&gt;"",--('POINTAGE'!BF230="Présent"),0),IF('POINTAGE'!$BH$5&lt;&gt;"",--('POINTAGE'!BH230="Présent"),0),IF('POINTAGE'!$BJ$5&lt;&gt;"",--('POINTAGE'!BJ230="Présent"),0),IF('POINTAGE'!$BL$5&lt;&gt;"",--('POINTAGE'!BL230="Présent"),0)))</f>
      </c>
      <c r="O230" s="22">
        <f>IF($A230="","",SUM(IF('POINTAGE'!$AH$5&lt;&gt;"",--('POINTAGE'!AH230="Absent"),0),IF('POINTAGE'!$AJ$5&lt;&gt;"",--('POINTAGE'!AJ230="Absent"),0),IF('POINTAGE'!$AL$5&lt;&gt;"",--('POINTAGE'!AL230="Absent"),0),IF('POINTAGE'!$AN$5&lt;&gt;"",--('POINTAGE'!AN230="Absent"),0),IF('POINTAGE'!$AP$5&lt;&gt;"",--('POINTAGE'!AP230="Absent"),0),IF('POINTAGE'!$AR$5&lt;&gt;"",--('POINTAGE'!AR230="Absent"),0),IF('POINTAGE'!$AT$5&lt;&gt;"",--('POINTAGE'!AT230="Absent"),0),IF('POINTAGE'!$AV$5&lt;&gt;"",--('POINTAGE'!AV230="Absent"),0),IF('POINTAGE'!$AX$5&lt;&gt;"",--('POINTAGE'!AX230="Absent"),0),IF('POINTAGE'!$AZ$5&lt;&gt;"",--('POINTAGE'!AZ230="Absent"),0),IF('POINTAGE'!$BB$5&lt;&gt;"",--('POINTAGE'!BB230="Absent"),0),IF('POINTAGE'!$BD$5&lt;&gt;"",--('POINTAGE'!BD230="Absent"),0),IF('POINTAGE'!$BF$5&lt;&gt;"",--('POINTAGE'!BF230="Absent"),0),IF('POINTAGE'!$BH$5&lt;&gt;"",--('POINTAGE'!BH230="Absent"),0),IF('POINTAGE'!$BJ$5&lt;&gt;"",--('POINTAGE'!BJ230="Absent"),0),IF('POINTAGE'!$BL$5&lt;&gt;"",--('POINTAGE'!BL230="Absent"),0)))</f>
      </c>
      <c r="P230" s="23">
        <f>IF($A230="","",SUM(IF('POINTAGE'!$AH$5&lt;&gt;"",IF('POINTAGE'!AH230="Présent",'POINTAGE'!AI230,0),0),IF('POINTAGE'!$AJ$5&lt;&gt;"",IF('POINTAGE'!AJ230="Présent",'POINTAGE'!AK230,0),0),IF('POINTAGE'!$AL$5&lt;&gt;"",IF('POINTAGE'!AL230="Présent",'POINTAGE'!AM230,0),0),IF('POINTAGE'!$AN$5&lt;&gt;"",IF('POINTAGE'!AN230="Présent",'POINTAGE'!AO230,0),0),IF('POINTAGE'!$AP$5&lt;&gt;"",IF('POINTAGE'!AP230="Présent",'POINTAGE'!AQ230,0),0),IF('POINTAGE'!$AR$5&lt;&gt;"",IF('POINTAGE'!AR230="Présent",'POINTAGE'!AS230,0),0),IF('POINTAGE'!$AT$5&lt;&gt;"",IF('POINTAGE'!AT230="Présent",'POINTAGE'!AU230,0),0),IF('POINTAGE'!$AV$5&lt;&gt;"",IF('POINTAGE'!AV230="Présent",'POINTAGE'!AW230,0),0),IF('POINTAGE'!$AX$5&lt;&gt;"",IF('POINTAGE'!AX230="Présent",'POINTAGE'!AY230,0),0),IF('POINTAGE'!$AZ$5&lt;&gt;"",IF('POINTAGE'!AZ230="Présent",'POINTAGE'!BA230,0),0),IF('POINTAGE'!$BB$5&lt;&gt;"",IF('POINTAGE'!BB230="Présent",'POINTAGE'!BC230,0),0),IF('POINTAGE'!$BD$5&lt;&gt;"",IF('POINTAGE'!BD230="Présent",'POINTAGE'!BE230,0),0),IF('POINTAGE'!$BF$5&lt;&gt;"",IF('POINTAGE'!BF230="Présent",'POINTAGE'!BG230,0),0),IF('POINTAGE'!$BH$5&lt;&gt;"",IF('POINTAGE'!BH230="Présent",'POINTAGE'!BI230,0),0),IF('POINTAGE'!$BJ$5&lt;&gt;"",IF('POINTAGE'!BJ230="Présent",'POINTAGE'!BK230,0),0),IF('POINTAGE'!$BL$5&lt;&gt;"",IF('POINTAGE'!BL230="Présent",'POINTAGE'!BM230,0),0)))</f>
      </c>
      <c r="Q230" s="24">
        <f>IF($A230="","",$N230*$D230)</f>
      </c>
      <c r="R230" s="24">
        <f>IF($A230="","",$P230*$E230)</f>
      </c>
      <c r="S230" s="25">
        <f>IF($A230="","",$Q230+$R230)</f>
      </c>
      <c r="T230" s="18"/>
      <c r="U230" s="25">
        <f>IF($A230="","",MAX(0,$S230-$T230))</f>
      </c>
      <c r="V230" s="25">
        <f>IF($A230="","",$K230+$S230)</f>
      </c>
      <c r="W230" s="24">
        <f>IF($A230="","",$L230+$T230)</f>
      </c>
      <c r="X230" s="25">
        <f>IF($A230="","",$M230+$U230)</f>
      </c>
      <c r="Y230" s="29">
        <f>IF($A230="","",$J230+$R230)</f>
      </c>
    </row>
    <row r="231">
      <c r="A231" s="20">
        <f>IF('POINTAGE'!A231="","",'POINTAGE'!A231)</f>
      </c>
      <c r="B231" s="19">
        <f>IF($A231="","",'POINTAGE'!B231)</f>
      </c>
      <c r="C231" s="20">
        <f>IF($A231="","",'POINTAGE'!C231)</f>
      </c>
      <c r="D231" s="24">
        <f>IF($A231="","",IFERROR(INDEX(Categories_Salaire,MATCH($C231,ListeCategories,0)),0))</f>
      </c>
      <c r="E231" s="24">
        <f>IF($A231="","",IF(IFERROR(INDEX(Categories_TauxHS,MATCH($C231,ListeCategories,0)),0)&gt;0,IFERROR(INDEX(Categories_TauxHS,MATCH($C231,ListeCategories,0)),0),TauxHSDefaut))</f>
      </c>
      <c r="F231" s="22">
        <f>IF($A231="","",SUM(IF('POINTAGE'!$D$5&lt;&gt;"",--('POINTAGE'!D231="Présent"),0),IF('POINTAGE'!$F$5&lt;&gt;"",--('POINTAGE'!F231="Présent"),0),IF('POINTAGE'!$H$5&lt;&gt;"",--('POINTAGE'!H231="Présent"),0),IF('POINTAGE'!$J$5&lt;&gt;"",--('POINTAGE'!J231="Présent"),0),IF('POINTAGE'!$L$5&lt;&gt;"",--('POINTAGE'!L231="Présent"),0),IF('POINTAGE'!$N$5&lt;&gt;"",--('POINTAGE'!N231="Présent"),0),IF('POINTAGE'!$P$5&lt;&gt;"",--('POINTAGE'!P231="Présent"),0),IF('POINTAGE'!$R$5&lt;&gt;"",--('POINTAGE'!R231="Présent"),0),IF('POINTAGE'!$T$5&lt;&gt;"",--('POINTAGE'!T231="Présent"),0),IF('POINTAGE'!$V$5&lt;&gt;"",--('POINTAGE'!V231="Présent"),0),IF('POINTAGE'!$X$5&lt;&gt;"",--('POINTAGE'!X231="Présent"),0),IF('POINTAGE'!$Z$5&lt;&gt;"",--('POINTAGE'!Z231="Présent"),0),IF('POINTAGE'!$AB$5&lt;&gt;"",--('POINTAGE'!AB231="Présent"),0),IF('POINTAGE'!$AD$5&lt;&gt;"",--('POINTAGE'!AD231="Présent"),0),IF('POINTAGE'!$AF$5&lt;&gt;"",--('POINTAGE'!AF231="Présent"),0)))</f>
      </c>
      <c r="G231" s="22">
        <f>IF($A231="","",SUM(IF('POINTAGE'!$D$5&lt;&gt;"",--('POINTAGE'!D231="Absent"),0),IF('POINTAGE'!$F$5&lt;&gt;"",--('POINTAGE'!F231="Absent"),0),IF('POINTAGE'!$H$5&lt;&gt;"",--('POINTAGE'!H231="Absent"),0),IF('POINTAGE'!$J$5&lt;&gt;"",--('POINTAGE'!J231="Absent"),0),IF('POINTAGE'!$L$5&lt;&gt;"",--('POINTAGE'!L231="Absent"),0),IF('POINTAGE'!$N$5&lt;&gt;"",--('POINTAGE'!N231="Absent"),0),IF('POINTAGE'!$P$5&lt;&gt;"",--('POINTAGE'!P231="Absent"),0),IF('POINTAGE'!$R$5&lt;&gt;"",--('POINTAGE'!R231="Absent"),0),IF('POINTAGE'!$T$5&lt;&gt;"",--('POINTAGE'!T231="Absent"),0),IF('POINTAGE'!$V$5&lt;&gt;"",--('POINTAGE'!V231="Absent"),0),IF('POINTAGE'!$X$5&lt;&gt;"",--('POINTAGE'!X231="Absent"),0),IF('POINTAGE'!$Z$5&lt;&gt;"",--('POINTAGE'!Z231="Absent"),0),IF('POINTAGE'!$AB$5&lt;&gt;"",--('POINTAGE'!AB231="Absent"),0),IF('POINTAGE'!$AD$5&lt;&gt;"",--('POINTAGE'!AD231="Absent"),0),IF('POINTAGE'!$AF$5&lt;&gt;"",--('POINTAGE'!AF231="Absent"),0)))</f>
      </c>
      <c r="H231" s="23">
        <f>IF($A231="","",SUM(IF('POINTAGE'!$D$5&lt;&gt;"",IF('POINTAGE'!D231="Présent",'POINTAGE'!E231,0),0),IF('POINTAGE'!$F$5&lt;&gt;"",IF('POINTAGE'!F231="Présent",'POINTAGE'!G231,0),0),IF('POINTAGE'!$H$5&lt;&gt;"",IF('POINTAGE'!H231="Présent",'POINTAGE'!I231,0),0),IF('POINTAGE'!$J$5&lt;&gt;"",IF('POINTAGE'!J231="Présent",'POINTAGE'!K231,0),0),IF('POINTAGE'!$L$5&lt;&gt;"",IF('POINTAGE'!L231="Présent",'POINTAGE'!M231,0),0),IF('POINTAGE'!$N$5&lt;&gt;"",IF('POINTAGE'!N231="Présent",'POINTAGE'!O231,0),0),IF('POINTAGE'!$P$5&lt;&gt;"",IF('POINTAGE'!P231="Présent",'POINTAGE'!Q231,0),0),IF('POINTAGE'!$R$5&lt;&gt;"",IF('POINTAGE'!R231="Présent",'POINTAGE'!S231,0),0),IF('POINTAGE'!$T$5&lt;&gt;"",IF('POINTAGE'!T231="Présent",'POINTAGE'!U231,0),0),IF('POINTAGE'!$V$5&lt;&gt;"",IF('POINTAGE'!V231="Présent",'POINTAGE'!W231,0),0),IF('POINTAGE'!$X$5&lt;&gt;"",IF('POINTAGE'!X231="Présent",'POINTAGE'!Y231,0),0),IF('POINTAGE'!$Z$5&lt;&gt;"",IF('POINTAGE'!Z231="Présent",'POINTAGE'!AA231,0),0),IF('POINTAGE'!$AB$5&lt;&gt;"",IF('POINTAGE'!AB231="Présent",'POINTAGE'!AC231,0),0),IF('POINTAGE'!$AD$5&lt;&gt;"",IF('POINTAGE'!AD231="Présent",'POINTAGE'!AE231,0),0),IF('POINTAGE'!$AF$5&lt;&gt;"",IF('POINTAGE'!AF231="Présent",'POINTAGE'!AG231,0),0)))</f>
      </c>
      <c r="I231" s="24">
        <f>IF($A231="","",$F231*$D231)</f>
      </c>
      <c r="J231" s="24">
        <f>IF($A231="","",$H231*$E231)</f>
      </c>
      <c r="K231" s="25">
        <f>IF($A231="","",$I231+$J231)</f>
      </c>
      <c r="L231" s="18"/>
      <c r="M231" s="25">
        <f>IF($A231="","",MAX(0,$K231-$L231))</f>
      </c>
      <c r="N231" s="22">
        <f>IF($A231="","",SUM(IF('POINTAGE'!$AH$5&lt;&gt;"",--('POINTAGE'!AH231="Présent"),0),IF('POINTAGE'!$AJ$5&lt;&gt;"",--('POINTAGE'!AJ231="Présent"),0),IF('POINTAGE'!$AL$5&lt;&gt;"",--('POINTAGE'!AL231="Présent"),0),IF('POINTAGE'!$AN$5&lt;&gt;"",--('POINTAGE'!AN231="Présent"),0),IF('POINTAGE'!$AP$5&lt;&gt;"",--('POINTAGE'!AP231="Présent"),0),IF('POINTAGE'!$AR$5&lt;&gt;"",--('POINTAGE'!AR231="Présent"),0),IF('POINTAGE'!$AT$5&lt;&gt;"",--('POINTAGE'!AT231="Présent"),0),IF('POINTAGE'!$AV$5&lt;&gt;"",--('POINTAGE'!AV231="Présent"),0),IF('POINTAGE'!$AX$5&lt;&gt;"",--('POINTAGE'!AX231="Présent"),0),IF('POINTAGE'!$AZ$5&lt;&gt;"",--('POINTAGE'!AZ231="Présent"),0),IF('POINTAGE'!$BB$5&lt;&gt;"",--('POINTAGE'!BB231="Présent"),0),IF('POINTAGE'!$BD$5&lt;&gt;"",--('POINTAGE'!BD231="Présent"),0),IF('POINTAGE'!$BF$5&lt;&gt;"",--('POINTAGE'!BF231="Présent"),0),IF('POINTAGE'!$BH$5&lt;&gt;"",--('POINTAGE'!BH231="Présent"),0),IF('POINTAGE'!$BJ$5&lt;&gt;"",--('POINTAGE'!BJ231="Présent"),0),IF('POINTAGE'!$BL$5&lt;&gt;"",--('POINTAGE'!BL231="Présent"),0)))</f>
      </c>
      <c r="O231" s="22">
        <f>IF($A231="","",SUM(IF('POINTAGE'!$AH$5&lt;&gt;"",--('POINTAGE'!AH231="Absent"),0),IF('POINTAGE'!$AJ$5&lt;&gt;"",--('POINTAGE'!AJ231="Absent"),0),IF('POINTAGE'!$AL$5&lt;&gt;"",--('POINTAGE'!AL231="Absent"),0),IF('POINTAGE'!$AN$5&lt;&gt;"",--('POINTAGE'!AN231="Absent"),0),IF('POINTAGE'!$AP$5&lt;&gt;"",--('POINTAGE'!AP231="Absent"),0),IF('POINTAGE'!$AR$5&lt;&gt;"",--('POINTAGE'!AR231="Absent"),0),IF('POINTAGE'!$AT$5&lt;&gt;"",--('POINTAGE'!AT231="Absent"),0),IF('POINTAGE'!$AV$5&lt;&gt;"",--('POINTAGE'!AV231="Absent"),0),IF('POINTAGE'!$AX$5&lt;&gt;"",--('POINTAGE'!AX231="Absent"),0),IF('POINTAGE'!$AZ$5&lt;&gt;"",--('POINTAGE'!AZ231="Absent"),0),IF('POINTAGE'!$BB$5&lt;&gt;"",--('POINTAGE'!BB231="Absent"),0),IF('POINTAGE'!$BD$5&lt;&gt;"",--('POINTAGE'!BD231="Absent"),0),IF('POINTAGE'!$BF$5&lt;&gt;"",--('POINTAGE'!BF231="Absent"),0),IF('POINTAGE'!$BH$5&lt;&gt;"",--('POINTAGE'!BH231="Absent"),0),IF('POINTAGE'!$BJ$5&lt;&gt;"",--('POINTAGE'!BJ231="Absent"),0),IF('POINTAGE'!$BL$5&lt;&gt;"",--('POINTAGE'!BL231="Absent"),0)))</f>
      </c>
      <c r="P231" s="23">
        <f>IF($A231="","",SUM(IF('POINTAGE'!$AH$5&lt;&gt;"",IF('POINTAGE'!AH231="Présent",'POINTAGE'!AI231,0),0),IF('POINTAGE'!$AJ$5&lt;&gt;"",IF('POINTAGE'!AJ231="Présent",'POINTAGE'!AK231,0),0),IF('POINTAGE'!$AL$5&lt;&gt;"",IF('POINTAGE'!AL231="Présent",'POINTAGE'!AM231,0),0),IF('POINTAGE'!$AN$5&lt;&gt;"",IF('POINTAGE'!AN231="Présent",'POINTAGE'!AO231,0),0),IF('POINTAGE'!$AP$5&lt;&gt;"",IF('POINTAGE'!AP231="Présent",'POINTAGE'!AQ231,0),0),IF('POINTAGE'!$AR$5&lt;&gt;"",IF('POINTAGE'!AR231="Présent",'POINTAGE'!AS231,0),0),IF('POINTAGE'!$AT$5&lt;&gt;"",IF('POINTAGE'!AT231="Présent",'POINTAGE'!AU231,0),0),IF('POINTAGE'!$AV$5&lt;&gt;"",IF('POINTAGE'!AV231="Présent",'POINTAGE'!AW231,0),0),IF('POINTAGE'!$AX$5&lt;&gt;"",IF('POINTAGE'!AX231="Présent",'POINTAGE'!AY231,0),0),IF('POINTAGE'!$AZ$5&lt;&gt;"",IF('POINTAGE'!AZ231="Présent",'POINTAGE'!BA231,0),0),IF('POINTAGE'!$BB$5&lt;&gt;"",IF('POINTAGE'!BB231="Présent",'POINTAGE'!BC231,0),0),IF('POINTAGE'!$BD$5&lt;&gt;"",IF('POINTAGE'!BD231="Présent",'POINTAGE'!BE231,0),0),IF('POINTAGE'!$BF$5&lt;&gt;"",IF('POINTAGE'!BF231="Présent",'POINTAGE'!BG231,0),0),IF('POINTAGE'!$BH$5&lt;&gt;"",IF('POINTAGE'!BH231="Présent",'POINTAGE'!BI231,0),0),IF('POINTAGE'!$BJ$5&lt;&gt;"",IF('POINTAGE'!BJ231="Présent",'POINTAGE'!BK231,0),0),IF('POINTAGE'!$BL$5&lt;&gt;"",IF('POINTAGE'!BL231="Présent",'POINTAGE'!BM231,0),0)))</f>
      </c>
      <c r="Q231" s="24">
        <f>IF($A231="","",$N231*$D231)</f>
      </c>
      <c r="R231" s="24">
        <f>IF($A231="","",$P231*$E231)</f>
      </c>
      <c r="S231" s="25">
        <f>IF($A231="","",$Q231+$R231)</f>
      </c>
      <c r="T231" s="18"/>
      <c r="U231" s="25">
        <f>IF($A231="","",MAX(0,$S231-$T231))</f>
      </c>
      <c r="V231" s="25">
        <f>IF($A231="","",$K231+$S231)</f>
      </c>
      <c r="W231" s="24">
        <f>IF($A231="","",$L231+$T231)</f>
      </c>
      <c r="X231" s="25">
        <f>IF($A231="","",$M231+$U231)</f>
      </c>
      <c r="Y231" s="29">
        <f>IF($A231="","",$J231+$R231)</f>
      </c>
    </row>
    <row r="232">
      <c r="A232" s="20">
        <f>IF('POINTAGE'!A232="","",'POINTAGE'!A232)</f>
      </c>
      <c r="B232" s="19">
        <f>IF($A232="","",'POINTAGE'!B232)</f>
      </c>
      <c r="C232" s="20">
        <f>IF($A232="","",'POINTAGE'!C232)</f>
      </c>
      <c r="D232" s="24">
        <f>IF($A232="","",IFERROR(INDEX(Categories_Salaire,MATCH($C232,ListeCategories,0)),0))</f>
      </c>
      <c r="E232" s="24">
        <f>IF($A232="","",IF(IFERROR(INDEX(Categories_TauxHS,MATCH($C232,ListeCategories,0)),0)&gt;0,IFERROR(INDEX(Categories_TauxHS,MATCH($C232,ListeCategories,0)),0),TauxHSDefaut))</f>
      </c>
      <c r="F232" s="22">
        <f>IF($A232="","",SUM(IF('POINTAGE'!$D$5&lt;&gt;"",--('POINTAGE'!D232="Présent"),0),IF('POINTAGE'!$F$5&lt;&gt;"",--('POINTAGE'!F232="Présent"),0),IF('POINTAGE'!$H$5&lt;&gt;"",--('POINTAGE'!H232="Présent"),0),IF('POINTAGE'!$J$5&lt;&gt;"",--('POINTAGE'!J232="Présent"),0),IF('POINTAGE'!$L$5&lt;&gt;"",--('POINTAGE'!L232="Présent"),0),IF('POINTAGE'!$N$5&lt;&gt;"",--('POINTAGE'!N232="Présent"),0),IF('POINTAGE'!$P$5&lt;&gt;"",--('POINTAGE'!P232="Présent"),0),IF('POINTAGE'!$R$5&lt;&gt;"",--('POINTAGE'!R232="Présent"),0),IF('POINTAGE'!$T$5&lt;&gt;"",--('POINTAGE'!T232="Présent"),0),IF('POINTAGE'!$V$5&lt;&gt;"",--('POINTAGE'!V232="Présent"),0),IF('POINTAGE'!$X$5&lt;&gt;"",--('POINTAGE'!X232="Présent"),0),IF('POINTAGE'!$Z$5&lt;&gt;"",--('POINTAGE'!Z232="Présent"),0),IF('POINTAGE'!$AB$5&lt;&gt;"",--('POINTAGE'!AB232="Présent"),0),IF('POINTAGE'!$AD$5&lt;&gt;"",--('POINTAGE'!AD232="Présent"),0),IF('POINTAGE'!$AF$5&lt;&gt;"",--('POINTAGE'!AF232="Présent"),0)))</f>
      </c>
      <c r="G232" s="22">
        <f>IF($A232="","",SUM(IF('POINTAGE'!$D$5&lt;&gt;"",--('POINTAGE'!D232="Absent"),0),IF('POINTAGE'!$F$5&lt;&gt;"",--('POINTAGE'!F232="Absent"),0),IF('POINTAGE'!$H$5&lt;&gt;"",--('POINTAGE'!H232="Absent"),0),IF('POINTAGE'!$J$5&lt;&gt;"",--('POINTAGE'!J232="Absent"),0),IF('POINTAGE'!$L$5&lt;&gt;"",--('POINTAGE'!L232="Absent"),0),IF('POINTAGE'!$N$5&lt;&gt;"",--('POINTAGE'!N232="Absent"),0),IF('POINTAGE'!$P$5&lt;&gt;"",--('POINTAGE'!P232="Absent"),0),IF('POINTAGE'!$R$5&lt;&gt;"",--('POINTAGE'!R232="Absent"),0),IF('POINTAGE'!$T$5&lt;&gt;"",--('POINTAGE'!T232="Absent"),0),IF('POINTAGE'!$V$5&lt;&gt;"",--('POINTAGE'!V232="Absent"),0),IF('POINTAGE'!$X$5&lt;&gt;"",--('POINTAGE'!X232="Absent"),0),IF('POINTAGE'!$Z$5&lt;&gt;"",--('POINTAGE'!Z232="Absent"),0),IF('POINTAGE'!$AB$5&lt;&gt;"",--('POINTAGE'!AB232="Absent"),0),IF('POINTAGE'!$AD$5&lt;&gt;"",--('POINTAGE'!AD232="Absent"),0),IF('POINTAGE'!$AF$5&lt;&gt;"",--('POINTAGE'!AF232="Absent"),0)))</f>
      </c>
      <c r="H232" s="23">
        <f>IF($A232="","",SUM(IF('POINTAGE'!$D$5&lt;&gt;"",IF('POINTAGE'!D232="Présent",'POINTAGE'!E232,0),0),IF('POINTAGE'!$F$5&lt;&gt;"",IF('POINTAGE'!F232="Présent",'POINTAGE'!G232,0),0),IF('POINTAGE'!$H$5&lt;&gt;"",IF('POINTAGE'!H232="Présent",'POINTAGE'!I232,0),0),IF('POINTAGE'!$J$5&lt;&gt;"",IF('POINTAGE'!J232="Présent",'POINTAGE'!K232,0),0),IF('POINTAGE'!$L$5&lt;&gt;"",IF('POINTAGE'!L232="Présent",'POINTAGE'!M232,0),0),IF('POINTAGE'!$N$5&lt;&gt;"",IF('POINTAGE'!N232="Présent",'POINTAGE'!O232,0),0),IF('POINTAGE'!$P$5&lt;&gt;"",IF('POINTAGE'!P232="Présent",'POINTAGE'!Q232,0),0),IF('POINTAGE'!$R$5&lt;&gt;"",IF('POINTAGE'!R232="Présent",'POINTAGE'!S232,0),0),IF('POINTAGE'!$T$5&lt;&gt;"",IF('POINTAGE'!T232="Présent",'POINTAGE'!U232,0),0),IF('POINTAGE'!$V$5&lt;&gt;"",IF('POINTAGE'!V232="Présent",'POINTAGE'!W232,0),0),IF('POINTAGE'!$X$5&lt;&gt;"",IF('POINTAGE'!X232="Présent",'POINTAGE'!Y232,0),0),IF('POINTAGE'!$Z$5&lt;&gt;"",IF('POINTAGE'!Z232="Présent",'POINTAGE'!AA232,0),0),IF('POINTAGE'!$AB$5&lt;&gt;"",IF('POINTAGE'!AB232="Présent",'POINTAGE'!AC232,0),0),IF('POINTAGE'!$AD$5&lt;&gt;"",IF('POINTAGE'!AD232="Présent",'POINTAGE'!AE232,0),0),IF('POINTAGE'!$AF$5&lt;&gt;"",IF('POINTAGE'!AF232="Présent",'POINTAGE'!AG232,0),0)))</f>
      </c>
      <c r="I232" s="24">
        <f>IF($A232="","",$F232*$D232)</f>
      </c>
      <c r="J232" s="24">
        <f>IF($A232="","",$H232*$E232)</f>
      </c>
      <c r="K232" s="25">
        <f>IF($A232="","",$I232+$J232)</f>
      </c>
      <c r="L232" s="18"/>
      <c r="M232" s="25">
        <f>IF($A232="","",MAX(0,$K232-$L232))</f>
      </c>
      <c r="N232" s="22">
        <f>IF($A232="","",SUM(IF('POINTAGE'!$AH$5&lt;&gt;"",--('POINTAGE'!AH232="Présent"),0),IF('POINTAGE'!$AJ$5&lt;&gt;"",--('POINTAGE'!AJ232="Présent"),0),IF('POINTAGE'!$AL$5&lt;&gt;"",--('POINTAGE'!AL232="Présent"),0),IF('POINTAGE'!$AN$5&lt;&gt;"",--('POINTAGE'!AN232="Présent"),0),IF('POINTAGE'!$AP$5&lt;&gt;"",--('POINTAGE'!AP232="Présent"),0),IF('POINTAGE'!$AR$5&lt;&gt;"",--('POINTAGE'!AR232="Présent"),0),IF('POINTAGE'!$AT$5&lt;&gt;"",--('POINTAGE'!AT232="Présent"),0),IF('POINTAGE'!$AV$5&lt;&gt;"",--('POINTAGE'!AV232="Présent"),0),IF('POINTAGE'!$AX$5&lt;&gt;"",--('POINTAGE'!AX232="Présent"),0),IF('POINTAGE'!$AZ$5&lt;&gt;"",--('POINTAGE'!AZ232="Présent"),0),IF('POINTAGE'!$BB$5&lt;&gt;"",--('POINTAGE'!BB232="Présent"),0),IF('POINTAGE'!$BD$5&lt;&gt;"",--('POINTAGE'!BD232="Présent"),0),IF('POINTAGE'!$BF$5&lt;&gt;"",--('POINTAGE'!BF232="Présent"),0),IF('POINTAGE'!$BH$5&lt;&gt;"",--('POINTAGE'!BH232="Présent"),0),IF('POINTAGE'!$BJ$5&lt;&gt;"",--('POINTAGE'!BJ232="Présent"),0),IF('POINTAGE'!$BL$5&lt;&gt;"",--('POINTAGE'!BL232="Présent"),0)))</f>
      </c>
      <c r="O232" s="22">
        <f>IF($A232="","",SUM(IF('POINTAGE'!$AH$5&lt;&gt;"",--('POINTAGE'!AH232="Absent"),0),IF('POINTAGE'!$AJ$5&lt;&gt;"",--('POINTAGE'!AJ232="Absent"),0),IF('POINTAGE'!$AL$5&lt;&gt;"",--('POINTAGE'!AL232="Absent"),0),IF('POINTAGE'!$AN$5&lt;&gt;"",--('POINTAGE'!AN232="Absent"),0),IF('POINTAGE'!$AP$5&lt;&gt;"",--('POINTAGE'!AP232="Absent"),0),IF('POINTAGE'!$AR$5&lt;&gt;"",--('POINTAGE'!AR232="Absent"),0),IF('POINTAGE'!$AT$5&lt;&gt;"",--('POINTAGE'!AT232="Absent"),0),IF('POINTAGE'!$AV$5&lt;&gt;"",--('POINTAGE'!AV232="Absent"),0),IF('POINTAGE'!$AX$5&lt;&gt;"",--('POINTAGE'!AX232="Absent"),0),IF('POINTAGE'!$AZ$5&lt;&gt;"",--('POINTAGE'!AZ232="Absent"),0),IF('POINTAGE'!$BB$5&lt;&gt;"",--('POINTAGE'!BB232="Absent"),0),IF('POINTAGE'!$BD$5&lt;&gt;"",--('POINTAGE'!BD232="Absent"),0),IF('POINTAGE'!$BF$5&lt;&gt;"",--('POINTAGE'!BF232="Absent"),0),IF('POINTAGE'!$BH$5&lt;&gt;"",--('POINTAGE'!BH232="Absent"),0),IF('POINTAGE'!$BJ$5&lt;&gt;"",--('POINTAGE'!BJ232="Absent"),0),IF('POINTAGE'!$BL$5&lt;&gt;"",--('POINTAGE'!BL232="Absent"),0)))</f>
      </c>
      <c r="P232" s="23">
        <f>IF($A232="","",SUM(IF('POINTAGE'!$AH$5&lt;&gt;"",IF('POINTAGE'!AH232="Présent",'POINTAGE'!AI232,0),0),IF('POINTAGE'!$AJ$5&lt;&gt;"",IF('POINTAGE'!AJ232="Présent",'POINTAGE'!AK232,0),0),IF('POINTAGE'!$AL$5&lt;&gt;"",IF('POINTAGE'!AL232="Présent",'POINTAGE'!AM232,0),0),IF('POINTAGE'!$AN$5&lt;&gt;"",IF('POINTAGE'!AN232="Présent",'POINTAGE'!AO232,0),0),IF('POINTAGE'!$AP$5&lt;&gt;"",IF('POINTAGE'!AP232="Présent",'POINTAGE'!AQ232,0),0),IF('POINTAGE'!$AR$5&lt;&gt;"",IF('POINTAGE'!AR232="Présent",'POINTAGE'!AS232,0),0),IF('POINTAGE'!$AT$5&lt;&gt;"",IF('POINTAGE'!AT232="Présent",'POINTAGE'!AU232,0),0),IF('POINTAGE'!$AV$5&lt;&gt;"",IF('POINTAGE'!AV232="Présent",'POINTAGE'!AW232,0),0),IF('POINTAGE'!$AX$5&lt;&gt;"",IF('POINTAGE'!AX232="Présent",'POINTAGE'!AY232,0),0),IF('POINTAGE'!$AZ$5&lt;&gt;"",IF('POINTAGE'!AZ232="Présent",'POINTAGE'!BA232,0),0),IF('POINTAGE'!$BB$5&lt;&gt;"",IF('POINTAGE'!BB232="Présent",'POINTAGE'!BC232,0),0),IF('POINTAGE'!$BD$5&lt;&gt;"",IF('POINTAGE'!BD232="Présent",'POINTAGE'!BE232,0),0),IF('POINTAGE'!$BF$5&lt;&gt;"",IF('POINTAGE'!BF232="Présent",'POINTAGE'!BG232,0),0),IF('POINTAGE'!$BH$5&lt;&gt;"",IF('POINTAGE'!BH232="Présent",'POINTAGE'!BI232,0),0),IF('POINTAGE'!$BJ$5&lt;&gt;"",IF('POINTAGE'!BJ232="Présent",'POINTAGE'!BK232,0),0),IF('POINTAGE'!$BL$5&lt;&gt;"",IF('POINTAGE'!BL232="Présent",'POINTAGE'!BM232,0),0)))</f>
      </c>
      <c r="Q232" s="24">
        <f>IF($A232="","",$N232*$D232)</f>
      </c>
      <c r="R232" s="24">
        <f>IF($A232="","",$P232*$E232)</f>
      </c>
      <c r="S232" s="25">
        <f>IF($A232="","",$Q232+$R232)</f>
      </c>
      <c r="T232" s="18"/>
      <c r="U232" s="25">
        <f>IF($A232="","",MAX(0,$S232-$T232))</f>
      </c>
      <c r="V232" s="25">
        <f>IF($A232="","",$K232+$S232)</f>
      </c>
      <c r="W232" s="24">
        <f>IF($A232="","",$L232+$T232)</f>
      </c>
      <c r="X232" s="25">
        <f>IF($A232="","",$M232+$U232)</f>
      </c>
      <c r="Y232" s="29">
        <f>IF($A232="","",$J232+$R232)</f>
      </c>
    </row>
    <row r="233">
      <c r="A233" s="20">
        <f>IF('POINTAGE'!A233="","",'POINTAGE'!A233)</f>
      </c>
      <c r="B233" s="19">
        <f>IF($A233="","",'POINTAGE'!B233)</f>
      </c>
      <c r="C233" s="20">
        <f>IF($A233="","",'POINTAGE'!C233)</f>
      </c>
      <c r="D233" s="24">
        <f>IF($A233="","",IFERROR(INDEX(Categories_Salaire,MATCH($C233,ListeCategories,0)),0))</f>
      </c>
      <c r="E233" s="24">
        <f>IF($A233="","",IF(IFERROR(INDEX(Categories_TauxHS,MATCH($C233,ListeCategories,0)),0)&gt;0,IFERROR(INDEX(Categories_TauxHS,MATCH($C233,ListeCategories,0)),0),TauxHSDefaut))</f>
      </c>
      <c r="F233" s="22">
        <f>IF($A233="","",SUM(IF('POINTAGE'!$D$5&lt;&gt;"",--('POINTAGE'!D233="Présent"),0),IF('POINTAGE'!$F$5&lt;&gt;"",--('POINTAGE'!F233="Présent"),0),IF('POINTAGE'!$H$5&lt;&gt;"",--('POINTAGE'!H233="Présent"),0),IF('POINTAGE'!$J$5&lt;&gt;"",--('POINTAGE'!J233="Présent"),0),IF('POINTAGE'!$L$5&lt;&gt;"",--('POINTAGE'!L233="Présent"),0),IF('POINTAGE'!$N$5&lt;&gt;"",--('POINTAGE'!N233="Présent"),0),IF('POINTAGE'!$P$5&lt;&gt;"",--('POINTAGE'!P233="Présent"),0),IF('POINTAGE'!$R$5&lt;&gt;"",--('POINTAGE'!R233="Présent"),0),IF('POINTAGE'!$T$5&lt;&gt;"",--('POINTAGE'!T233="Présent"),0),IF('POINTAGE'!$V$5&lt;&gt;"",--('POINTAGE'!V233="Présent"),0),IF('POINTAGE'!$X$5&lt;&gt;"",--('POINTAGE'!X233="Présent"),0),IF('POINTAGE'!$Z$5&lt;&gt;"",--('POINTAGE'!Z233="Présent"),0),IF('POINTAGE'!$AB$5&lt;&gt;"",--('POINTAGE'!AB233="Présent"),0),IF('POINTAGE'!$AD$5&lt;&gt;"",--('POINTAGE'!AD233="Présent"),0),IF('POINTAGE'!$AF$5&lt;&gt;"",--('POINTAGE'!AF233="Présent"),0)))</f>
      </c>
      <c r="G233" s="22">
        <f>IF($A233="","",SUM(IF('POINTAGE'!$D$5&lt;&gt;"",--('POINTAGE'!D233="Absent"),0),IF('POINTAGE'!$F$5&lt;&gt;"",--('POINTAGE'!F233="Absent"),0),IF('POINTAGE'!$H$5&lt;&gt;"",--('POINTAGE'!H233="Absent"),0),IF('POINTAGE'!$J$5&lt;&gt;"",--('POINTAGE'!J233="Absent"),0),IF('POINTAGE'!$L$5&lt;&gt;"",--('POINTAGE'!L233="Absent"),0),IF('POINTAGE'!$N$5&lt;&gt;"",--('POINTAGE'!N233="Absent"),0),IF('POINTAGE'!$P$5&lt;&gt;"",--('POINTAGE'!P233="Absent"),0),IF('POINTAGE'!$R$5&lt;&gt;"",--('POINTAGE'!R233="Absent"),0),IF('POINTAGE'!$T$5&lt;&gt;"",--('POINTAGE'!T233="Absent"),0),IF('POINTAGE'!$V$5&lt;&gt;"",--('POINTAGE'!V233="Absent"),0),IF('POINTAGE'!$X$5&lt;&gt;"",--('POINTAGE'!X233="Absent"),0),IF('POINTAGE'!$Z$5&lt;&gt;"",--('POINTAGE'!Z233="Absent"),0),IF('POINTAGE'!$AB$5&lt;&gt;"",--('POINTAGE'!AB233="Absent"),0),IF('POINTAGE'!$AD$5&lt;&gt;"",--('POINTAGE'!AD233="Absent"),0),IF('POINTAGE'!$AF$5&lt;&gt;"",--('POINTAGE'!AF233="Absent"),0)))</f>
      </c>
      <c r="H233" s="23">
        <f>IF($A233="","",SUM(IF('POINTAGE'!$D$5&lt;&gt;"",IF('POINTAGE'!D233="Présent",'POINTAGE'!E233,0),0),IF('POINTAGE'!$F$5&lt;&gt;"",IF('POINTAGE'!F233="Présent",'POINTAGE'!G233,0),0),IF('POINTAGE'!$H$5&lt;&gt;"",IF('POINTAGE'!H233="Présent",'POINTAGE'!I233,0),0),IF('POINTAGE'!$J$5&lt;&gt;"",IF('POINTAGE'!J233="Présent",'POINTAGE'!K233,0),0),IF('POINTAGE'!$L$5&lt;&gt;"",IF('POINTAGE'!L233="Présent",'POINTAGE'!M233,0),0),IF('POINTAGE'!$N$5&lt;&gt;"",IF('POINTAGE'!N233="Présent",'POINTAGE'!O233,0),0),IF('POINTAGE'!$P$5&lt;&gt;"",IF('POINTAGE'!P233="Présent",'POINTAGE'!Q233,0),0),IF('POINTAGE'!$R$5&lt;&gt;"",IF('POINTAGE'!R233="Présent",'POINTAGE'!S233,0),0),IF('POINTAGE'!$T$5&lt;&gt;"",IF('POINTAGE'!T233="Présent",'POINTAGE'!U233,0),0),IF('POINTAGE'!$V$5&lt;&gt;"",IF('POINTAGE'!V233="Présent",'POINTAGE'!W233,0),0),IF('POINTAGE'!$X$5&lt;&gt;"",IF('POINTAGE'!X233="Présent",'POINTAGE'!Y233,0),0),IF('POINTAGE'!$Z$5&lt;&gt;"",IF('POINTAGE'!Z233="Présent",'POINTAGE'!AA233,0),0),IF('POINTAGE'!$AB$5&lt;&gt;"",IF('POINTAGE'!AB233="Présent",'POINTAGE'!AC233,0),0),IF('POINTAGE'!$AD$5&lt;&gt;"",IF('POINTAGE'!AD233="Présent",'POINTAGE'!AE233,0),0),IF('POINTAGE'!$AF$5&lt;&gt;"",IF('POINTAGE'!AF233="Présent",'POINTAGE'!AG233,0),0)))</f>
      </c>
      <c r="I233" s="24">
        <f>IF($A233="","",$F233*$D233)</f>
      </c>
      <c r="J233" s="24">
        <f>IF($A233="","",$H233*$E233)</f>
      </c>
      <c r="K233" s="25">
        <f>IF($A233="","",$I233+$J233)</f>
      </c>
      <c r="L233" s="18"/>
      <c r="M233" s="25">
        <f>IF($A233="","",MAX(0,$K233-$L233))</f>
      </c>
      <c r="N233" s="22">
        <f>IF($A233="","",SUM(IF('POINTAGE'!$AH$5&lt;&gt;"",--('POINTAGE'!AH233="Présent"),0),IF('POINTAGE'!$AJ$5&lt;&gt;"",--('POINTAGE'!AJ233="Présent"),0),IF('POINTAGE'!$AL$5&lt;&gt;"",--('POINTAGE'!AL233="Présent"),0),IF('POINTAGE'!$AN$5&lt;&gt;"",--('POINTAGE'!AN233="Présent"),0),IF('POINTAGE'!$AP$5&lt;&gt;"",--('POINTAGE'!AP233="Présent"),0),IF('POINTAGE'!$AR$5&lt;&gt;"",--('POINTAGE'!AR233="Présent"),0),IF('POINTAGE'!$AT$5&lt;&gt;"",--('POINTAGE'!AT233="Présent"),0),IF('POINTAGE'!$AV$5&lt;&gt;"",--('POINTAGE'!AV233="Présent"),0),IF('POINTAGE'!$AX$5&lt;&gt;"",--('POINTAGE'!AX233="Présent"),0),IF('POINTAGE'!$AZ$5&lt;&gt;"",--('POINTAGE'!AZ233="Présent"),0),IF('POINTAGE'!$BB$5&lt;&gt;"",--('POINTAGE'!BB233="Présent"),0),IF('POINTAGE'!$BD$5&lt;&gt;"",--('POINTAGE'!BD233="Présent"),0),IF('POINTAGE'!$BF$5&lt;&gt;"",--('POINTAGE'!BF233="Présent"),0),IF('POINTAGE'!$BH$5&lt;&gt;"",--('POINTAGE'!BH233="Présent"),0),IF('POINTAGE'!$BJ$5&lt;&gt;"",--('POINTAGE'!BJ233="Présent"),0),IF('POINTAGE'!$BL$5&lt;&gt;"",--('POINTAGE'!BL233="Présent"),0)))</f>
      </c>
      <c r="O233" s="22">
        <f>IF($A233="","",SUM(IF('POINTAGE'!$AH$5&lt;&gt;"",--('POINTAGE'!AH233="Absent"),0),IF('POINTAGE'!$AJ$5&lt;&gt;"",--('POINTAGE'!AJ233="Absent"),0),IF('POINTAGE'!$AL$5&lt;&gt;"",--('POINTAGE'!AL233="Absent"),0),IF('POINTAGE'!$AN$5&lt;&gt;"",--('POINTAGE'!AN233="Absent"),0),IF('POINTAGE'!$AP$5&lt;&gt;"",--('POINTAGE'!AP233="Absent"),0),IF('POINTAGE'!$AR$5&lt;&gt;"",--('POINTAGE'!AR233="Absent"),0),IF('POINTAGE'!$AT$5&lt;&gt;"",--('POINTAGE'!AT233="Absent"),0),IF('POINTAGE'!$AV$5&lt;&gt;"",--('POINTAGE'!AV233="Absent"),0),IF('POINTAGE'!$AX$5&lt;&gt;"",--('POINTAGE'!AX233="Absent"),0),IF('POINTAGE'!$AZ$5&lt;&gt;"",--('POINTAGE'!AZ233="Absent"),0),IF('POINTAGE'!$BB$5&lt;&gt;"",--('POINTAGE'!BB233="Absent"),0),IF('POINTAGE'!$BD$5&lt;&gt;"",--('POINTAGE'!BD233="Absent"),0),IF('POINTAGE'!$BF$5&lt;&gt;"",--('POINTAGE'!BF233="Absent"),0),IF('POINTAGE'!$BH$5&lt;&gt;"",--('POINTAGE'!BH233="Absent"),0),IF('POINTAGE'!$BJ$5&lt;&gt;"",--('POINTAGE'!BJ233="Absent"),0),IF('POINTAGE'!$BL$5&lt;&gt;"",--('POINTAGE'!BL233="Absent"),0)))</f>
      </c>
      <c r="P233" s="23">
        <f>IF($A233="","",SUM(IF('POINTAGE'!$AH$5&lt;&gt;"",IF('POINTAGE'!AH233="Présent",'POINTAGE'!AI233,0),0),IF('POINTAGE'!$AJ$5&lt;&gt;"",IF('POINTAGE'!AJ233="Présent",'POINTAGE'!AK233,0),0),IF('POINTAGE'!$AL$5&lt;&gt;"",IF('POINTAGE'!AL233="Présent",'POINTAGE'!AM233,0),0),IF('POINTAGE'!$AN$5&lt;&gt;"",IF('POINTAGE'!AN233="Présent",'POINTAGE'!AO233,0),0),IF('POINTAGE'!$AP$5&lt;&gt;"",IF('POINTAGE'!AP233="Présent",'POINTAGE'!AQ233,0),0),IF('POINTAGE'!$AR$5&lt;&gt;"",IF('POINTAGE'!AR233="Présent",'POINTAGE'!AS233,0),0),IF('POINTAGE'!$AT$5&lt;&gt;"",IF('POINTAGE'!AT233="Présent",'POINTAGE'!AU233,0),0),IF('POINTAGE'!$AV$5&lt;&gt;"",IF('POINTAGE'!AV233="Présent",'POINTAGE'!AW233,0),0),IF('POINTAGE'!$AX$5&lt;&gt;"",IF('POINTAGE'!AX233="Présent",'POINTAGE'!AY233,0),0),IF('POINTAGE'!$AZ$5&lt;&gt;"",IF('POINTAGE'!AZ233="Présent",'POINTAGE'!BA233,0),0),IF('POINTAGE'!$BB$5&lt;&gt;"",IF('POINTAGE'!BB233="Présent",'POINTAGE'!BC233,0),0),IF('POINTAGE'!$BD$5&lt;&gt;"",IF('POINTAGE'!BD233="Présent",'POINTAGE'!BE233,0),0),IF('POINTAGE'!$BF$5&lt;&gt;"",IF('POINTAGE'!BF233="Présent",'POINTAGE'!BG233,0),0),IF('POINTAGE'!$BH$5&lt;&gt;"",IF('POINTAGE'!BH233="Présent",'POINTAGE'!BI233,0),0),IF('POINTAGE'!$BJ$5&lt;&gt;"",IF('POINTAGE'!BJ233="Présent",'POINTAGE'!BK233,0),0),IF('POINTAGE'!$BL$5&lt;&gt;"",IF('POINTAGE'!BL233="Présent",'POINTAGE'!BM233,0),0)))</f>
      </c>
      <c r="Q233" s="24">
        <f>IF($A233="","",$N233*$D233)</f>
      </c>
      <c r="R233" s="24">
        <f>IF($A233="","",$P233*$E233)</f>
      </c>
      <c r="S233" s="25">
        <f>IF($A233="","",$Q233+$R233)</f>
      </c>
      <c r="T233" s="18"/>
      <c r="U233" s="25">
        <f>IF($A233="","",MAX(0,$S233-$T233))</f>
      </c>
      <c r="V233" s="25">
        <f>IF($A233="","",$K233+$S233)</f>
      </c>
      <c r="W233" s="24">
        <f>IF($A233="","",$L233+$T233)</f>
      </c>
      <c r="X233" s="25">
        <f>IF($A233="","",$M233+$U233)</f>
      </c>
      <c r="Y233" s="29">
        <f>IF($A233="","",$J233+$R233)</f>
      </c>
    </row>
    <row r="234">
      <c r="A234" s="20">
        <f>IF('POINTAGE'!A234="","",'POINTAGE'!A234)</f>
      </c>
      <c r="B234" s="19">
        <f>IF($A234="","",'POINTAGE'!B234)</f>
      </c>
      <c r="C234" s="20">
        <f>IF($A234="","",'POINTAGE'!C234)</f>
      </c>
      <c r="D234" s="24">
        <f>IF($A234="","",IFERROR(INDEX(Categories_Salaire,MATCH($C234,ListeCategories,0)),0))</f>
      </c>
      <c r="E234" s="24">
        <f>IF($A234="","",IF(IFERROR(INDEX(Categories_TauxHS,MATCH($C234,ListeCategories,0)),0)&gt;0,IFERROR(INDEX(Categories_TauxHS,MATCH($C234,ListeCategories,0)),0),TauxHSDefaut))</f>
      </c>
      <c r="F234" s="22">
        <f>IF($A234="","",SUM(IF('POINTAGE'!$D$5&lt;&gt;"",--('POINTAGE'!D234="Présent"),0),IF('POINTAGE'!$F$5&lt;&gt;"",--('POINTAGE'!F234="Présent"),0),IF('POINTAGE'!$H$5&lt;&gt;"",--('POINTAGE'!H234="Présent"),0),IF('POINTAGE'!$J$5&lt;&gt;"",--('POINTAGE'!J234="Présent"),0),IF('POINTAGE'!$L$5&lt;&gt;"",--('POINTAGE'!L234="Présent"),0),IF('POINTAGE'!$N$5&lt;&gt;"",--('POINTAGE'!N234="Présent"),0),IF('POINTAGE'!$P$5&lt;&gt;"",--('POINTAGE'!P234="Présent"),0),IF('POINTAGE'!$R$5&lt;&gt;"",--('POINTAGE'!R234="Présent"),0),IF('POINTAGE'!$T$5&lt;&gt;"",--('POINTAGE'!T234="Présent"),0),IF('POINTAGE'!$V$5&lt;&gt;"",--('POINTAGE'!V234="Présent"),0),IF('POINTAGE'!$X$5&lt;&gt;"",--('POINTAGE'!X234="Présent"),0),IF('POINTAGE'!$Z$5&lt;&gt;"",--('POINTAGE'!Z234="Présent"),0),IF('POINTAGE'!$AB$5&lt;&gt;"",--('POINTAGE'!AB234="Présent"),0),IF('POINTAGE'!$AD$5&lt;&gt;"",--('POINTAGE'!AD234="Présent"),0),IF('POINTAGE'!$AF$5&lt;&gt;"",--('POINTAGE'!AF234="Présent"),0)))</f>
      </c>
      <c r="G234" s="22">
        <f>IF($A234="","",SUM(IF('POINTAGE'!$D$5&lt;&gt;"",--('POINTAGE'!D234="Absent"),0),IF('POINTAGE'!$F$5&lt;&gt;"",--('POINTAGE'!F234="Absent"),0),IF('POINTAGE'!$H$5&lt;&gt;"",--('POINTAGE'!H234="Absent"),0),IF('POINTAGE'!$J$5&lt;&gt;"",--('POINTAGE'!J234="Absent"),0),IF('POINTAGE'!$L$5&lt;&gt;"",--('POINTAGE'!L234="Absent"),0),IF('POINTAGE'!$N$5&lt;&gt;"",--('POINTAGE'!N234="Absent"),0),IF('POINTAGE'!$P$5&lt;&gt;"",--('POINTAGE'!P234="Absent"),0),IF('POINTAGE'!$R$5&lt;&gt;"",--('POINTAGE'!R234="Absent"),0),IF('POINTAGE'!$T$5&lt;&gt;"",--('POINTAGE'!T234="Absent"),0),IF('POINTAGE'!$V$5&lt;&gt;"",--('POINTAGE'!V234="Absent"),0),IF('POINTAGE'!$X$5&lt;&gt;"",--('POINTAGE'!X234="Absent"),0),IF('POINTAGE'!$Z$5&lt;&gt;"",--('POINTAGE'!Z234="Absent"),0),IF('POINTAGE'!$AB$5&lt;&gt;"",--('POINTAGE'!AB234="Absent"),0),IF('POINTAGE'!$AD$5&lt;&gt;"",--('POINTAGE'!AD234="Absent"),0),IF('POINTAGE'!$AF$5&lt;&gt;"",--('POINTAGE'!AF234="Absent"),0)))</f>
      </c>
      <c r="H234" s="23">
        <f>IF($A234="","",SUM(IF('POINTAGE'!$D$5&lt;&gt;"",IF('POINTAGE'!D234="Présent",'POINTAGE'!E234,0),0),IF('POINTAGE'!$F$5&lt;&gt;"",IF('POINTAGE'!F234="Présent",'POINTAGE'!G234,0),0),IF('POINTAGE'!$H$5&lt;&gt;"",IF('POINTAGE'!H234="Présent",'POINTAGE'!I234,0),0),IF('POINTAGE'!$J$5&lt;&gt;"",IF('POINTAGE'!J234="Présent",'POINTAGE'!K234,0),0),IF('POINTAGE'!$L$5&lt;&gt;"",IF('POINTAGE'!L234="Présent",'POINTAGE'!M234,0),0),IF('POINTAGE'!$N$5&lt;&gt;"",IF('POINTAGE'!N234="Présent",'POINTAGE'!O234,0),0),IF('POINTAGE'!$P$5&lt;&gt;"",IF('POINTAGE'!P234="Présent",'POINTAGE'!Q234,0),0),IF('POINTAGE'!$R$5&lt;&gt;"",IF('POINTAGE'!R234="Présent",'POINTAGE'!S234,0),0),IF('POINTAGE'!$T$5&lt;&gt;"",IF('POINTAGE'!T234="Présent",'POINTAGE'!U234,0),0),IF('POINTAGE'!$V$5&lt;&gt;"",IF('POINTAGE'!V234="Présent",'POINTAGE'!W234,0),0),IF('POINTAGE'!$X$5&lt;&gt;"",IF('POINTAGE'!X234="Présent",'POINTAGE'!Y234,0),0),IF('POINTAGE'!$Z$5&lt;&gt;"",IF('POINTAGE'!Z234="Présent",'POINTAGE'!AA234,0),0),IF('POINTAGE'!$AB$5&lt;&gt;"",IF('POINTAGE'!AB234="Présent",'POINTAGE'!AC234,0),0),IF('POINTAGE'!$AD$5&lt;&gt;"",IF('POINTAGE'!AD234="Présent",'POINTAGE'!AE234,0),0),IF('POINTAGE'!$AF$5&lt;&gt;"",IF('POINTAGE'!AF234="Présent",'POINTAGE'!AG234,0),0)))</f>
      </c>
      <c r="I234" s="24">
        <f>IF($A234="","",$F234*$D234)</f>
      </c>
      <c r="J234" s="24">
        <f>IF($A234="","",$H234*$E234)</f>
      </c>
      <c r="K234" s="25">
        <f>IF($A234="","",$I234+$J234)</f>
      </c>
      <c r="L234" s="18"/>
      <c r="M234" s="25">
        <f>IF($A234="","",MAX(0,$K234-$L234))</f>
      </c>
      <c r="N234" s="22">
        <f>IF($A234="","",SUM(IF('POINTAGE'!$AH$5&lt;&gt;"",--('POINTAGE'!AH234="Présent"),0),IF('POINTAGE'!$AJ$5&lt;&gt;"",--('POINTAGE'!AJ234="Présent"),0),IF('POINTAGE'!$AL$5&lt;&gt;"",--('POINTAGE'!AL234="Présent"),0),IF('POINTAGE'!$AN$5&lt;&gt;"",--('POINTAGE'!AN234="Présent"),0),IF('POINTAGE'!$AP$5&lt;&gt;"",--('POINTAGE'!AP234="Présent"),0),IF('POINTAGE'!$AR$5&lt;&gt;"",--('POINTAGE'!AR234="Présent"),0),IF('POINTAGE'!$AT$5&lt;&gt;"",--('POINTAGE'!AT234="Présent"),0),IF('POINTAGE'!$AV$5&lt;&gt;"",--('POINTAGE'!AV234="Présent"),0),IF('POINTAGE'!$AX$5&lt;&gt;"",--('POINTAGE'!AX234="Présent"),0),IF('POINTAGE'!$AZ$5&lt;&gt;"",--('POINTAGE'!AZ234="Présent"),0),IF('POINTAGE'!$BB$5&lt;&gt;"",--('POINTAGE'!BB234="Présent"),0),IF('POINTAGE'!$BD$5&lt;&gt;"",--('POINTAGE'!BD234="Présent"),0),IF('POINTAGE'!$BF$5&lt;&gt;"",--('POINTAGE'!BF234="Présent"),0),IF('POINTAGE'!$BH$5&lt;&gt;"",--('POINTAGE'!BH234="Présent"),0),IF('POINTAGE'!$BJ$5&lt;&gt;"",--('POINTAGE'!BJ234="Présent"),0),IF('POINTAGE'!$BL$5&lt;&gt;"",--('POINTAGE'!BL234="Présent"),0)))</f>
      </c>
      <c r="O234" s="22">
        <f>IF($A234="","",SUM(IF('POINTAGE'!$AH$5&lt;&gt;"",--('POINTAGE'!AH234="Absent"),0),IF('POINTAGE'!$AJ$5&lt;&gt;"",--('POINTAGE'!AJ234="Absent"),0),IF('POINTAGE'!$AL$5&lt;&gt;"",--('POINTAGE'!AL234="Absent"),0),IF('POINTAGE'!$AN$5&lt;&gt;"",--('POINTAGE'!AN234="Absent"),0),IF('POINTAGE'!$AP$5&lt;&gt;"",--('POINTAGE'!AP234="Absent"),0),IF('POINTAGE'!$AR$5&lt;&gt;"",--('POINTAGE'!AR234="Absent"),0),IF('POINTAGE'!$AT$5&lt;&gt;"",--('POINTAGE'!AT234="Absent"),0),IF('POINTAGE'!$AV$5&lt;&gt;"",--('POINTAGE'!AV234="Absent"),0),IF('POINTAGE'!$AX$5&lt;&gt;"",--('POINTAGE'!AX234="Absent"),0),IF('POINTAGE'!$AZ$5&lt;&gt;"",--('POINTAGE'!AZ234="Absent"),0),IF('POINTAGE'!$BB$5&lt;&gt;"",--('POINTAGE'!BB234="Absent"),0),IF('POINTAGE'!$BD$5&lt;&gt;"",--('POINTAGE'!BD234="Absent"),0),IF('POINTAGE'!$BF$5&lt;&gt;"",--('POINTAGE'!BF234="Absent"),0),IF('POINTAGE'!$BH$5&lt;&gt;"",--('POINTAGE'!BH234="Absent"),0),IF('POINTAGE'!$BJ$5&lt;&gt;"",--('POINTAGE'!BJ234="Absent"),0),IF('POINTAGE'!$BL$5&lt;&gt;"",--('POINTAGE'!BL234="Absent"),0)))</f>
      </c>
      <c r="P234" s="23">
        <f>IF($A234="","",SUM(IF('POINTAGE'!$AH$5&lt;&gt;"",IF('POINTAGE'!AH234="Présent",'POINTAGE'!AI234,0),0),IF('POINTAGE'!$AJ$5&lt;&gt;"",IF('POINTAGE'!AJ234="Présent",'POINTAGE'!AK234,0),0),IF('POINTAGE'!$AL$5&lt;&gt;"",IF('POINTAGE'!AL234="Présent",'POINTAGE'!AM234,0),0),IF('POINTAGE'!$AN$5&lt;&gt;"",IF('POINTAGE'!AN234="Présent",'POINTAGE'!AO234,0),0),IF('POINTAGE'!$AP$5&lt;&gt;"",IF('POINTAGE'!AP234="Présent",'POINTAGE'!AQ234,0),0),IF('POINTAGE'!$AR$5&lt;&gt;"",IF('POINTAGE'!AR234="Présent",'POINTAGE'!AS234,0),0),IF('POINTAGE'!$AT$5&lt;&gt;"",IF('POINTAGE'!AT234="Présent",'POINTAGE'!AU234,0),0),IF('POINTAGE'!$AV$5&lt;&gt;"",IF('POINTAGE'!AV234="Présent",'POINTAGE'!AW234,0),0),IF('POINTAGE'!$AX$5&lt;&gt;"",IF('POINTAGE'!AX234="Présent",'POINTAGE'!AY234,0),0),IF('POINTAGE'!$AZ$5&lt;&gt;"",IF('POINTAGE'!AZ234="Présent",'POINTAGE'!BA234,0),0),IF('POINTAGE'!$BB$5&lt;&gt;"",IF('POINTAGE'!BB234="Présent",'POINTAGE'!BC234,0),0),IF('POINTAGE'!$BD$5&lt;&gt;"",IF('POINTAGE'!BD234="Présent",'POINTAGE'!BE234,0),0),IF('POINTAGE'!$BF$5&lt;&gt;"",IF('POINTAGE'!BF234="Présent",'POINTAGE'!BG234,0),0),IF('POINTAGE'!$BH$5&lt;&gt;"",IF('POINTAGE'!BH234="Présent",'POINTAGE'!BI234,0),0),IF('POINTAGE'!$BJ$5&lt;&gt;"",IF('POINTAGE'!BJ234="Présent",'POINTAGE'!BK234,0),0),IF('POINTAGE'!$BL$5&lt;&gt;"",IF('POINTAGE'!BL234="Présent",'POINTAGE'!BM234,0),0)))</f>
      </c>
      <c r="Q234" s="24">
        <f>IF($A234="","",$N234*$D234)</f>
      </c>
      <c r="R234" s="24">
        <f>IF($A234="","",$P234*$E234)</f>
      </c>
      <c r="S234" s="25">
        <f>IF($A234="","",$Q234+$R234)</f>
      </c>
      <c r="T234" s="18"/>
      <c r="U234" s="25">
        <f>IF($A234="","",MAX(0,$S234-$T234))</f>
      </c>
      <c r="V234" s="25">
        <f>IF($A234="","",$K234+$S234)</f>
      </c>
      <c r="W234" s="24">
        <f>IF($A234="","",$L234+$T234)</f>
      </c>
      <c r="X234" s="25">
        <f>IF($A234="","",$M234+$U234)</f>
      </c>
      <c r="Y234" s="29">
        <f>IF($A234="","",$J234+$R234)</f>
      </c>
    </row>
    <row r="235">
      <c r="A235" s="20">
        <f>IF('POINTAGE'!A235="","",'POINTAGE'!A235)</f>
      </c>
      <c r="B235" s="19">
        <f>IF($A235="","",'POINTAGE'!B235)</f>
      </c>
      <c r="C235" s="20">
        <f>IF($A235="","",'POINTAGE'!C235)</f>
      </c>
      <c r="D235" s="24">
        <f>IF($A235="","",IFERROR(INDEX(Categories_Salaire,MATCH($C235,ListeCategories,0)),0))</f>
      </c>
      <c r="E235" s="24">
        <f>IF($A235="","",IF(IFERROR(INDEX(Categories_TauxHS,MATCH($C235,ListeCategories,0)),0)&gt;0,IFERROR(INDEX(Categories_TauxHS,MATCH($C235,ListeCategories,0)),0),TauxHSDefaut))</f>
      </c>
      <c r="F235" s="22">
        <f>IF($A235="","",SUM(IF('POINTAGE'!$D$5&lt;&gt;"",--('POINTAGE'!D235="Présent"),0),IF('POINTAGE'!$F$5&lt;&gt;"",--('POINTAGE'!F235="Présent"),0),IF('POINTAGE'!$H$5&lt;&gt;"",--('POINTAGE'!H235="Présent"),0),IF('POINTAGE'!$J$5&lt;&gt;"",--('POINTAGE'!J235="Présent"),0),IF('POINTAGE'!$L$5&lt;&gt;"",--('POINTAGE'!L235="Présent"),0),IF('POINTAGE'!$N$5&lt;&gt;"",--('POINTAGE'!N235="Présent"),0),IF('POINTAGE'!$P$5&lt;&gt;"",--('POINTAGE'!P235="Présent"),0),IF('POINTAGE'!$R$5&lt;&gt;"",--('POINTAGE'!R235="Présent"),0),IF('POINTAGE'!$T$5&lt;&gt;"",--('POINTAGE'!T235="Présent"),0),IF('POINTAGE'!$V$5&lt;&gt;"",--('POINTAGE'!V235="Présent"),0),IF('POINTAGE'!$X$5&lt;&gt;"",--('POINTAGE'!X235="Présent"),0),IF('POINTAGE'!$Z$5&lt;&gt;"",--('POINTAGE'!Z235="Présent"),0),IF('POINTAGE'!$AB$5&lt;&gt;"",--('POINTAGE'!AB235="Présent"),0),IF('POINTAGE'!$AD$5&lt;&gt;"",--('POINTAGE'!AD235="Présent"),0),IF('POINTAGE'!$AF$5&lt;&gt;"",--('POINTAGE'!AF235="Présent"),0)))</f>
      </c>
      <c r="G235" s="22">
        <f>IF($A235="","",SUM(IF('POINTAGE'!$D$5&lt;&gt;"",--('POINTAGE'!D235="Absent"),0),IF('POINTAGE'!$F$5&lt;&gt;"",--('POINTAGE'!F235="Absent"),0),IF('POINTAGE'!$H$5&lt;&gt;"",--('POINTAGE'!H235="Absent"),0),IF('POINTAGE'!$J$5&lt;&gt;"",--('POINTAGE'!J235="Absent"),0),IF('POINTAGE'!$L$5&lt;&gt;"",--('POINTAGE'!L235="Absent"),0),IF('POINTAGE'!$N$5&lt;&gt;"",--('POINTAGE'!N235="Absent"),0),IF('POINTAGE'!$P$5&lt;&gt;"",--('POINTAGE'!P235="Absent"),0),IF('POINTAGE'!$R$5&lt;&gt;"",--('POINTAGE'!R235="Absent"),0),IF('POINTAGE'!$T$5&lt;&gt;"",--('POINTAGE'!T235="Absent"),0),IF('POINTAGE'!$V$5&lt;&gt;"",--('POINTAGE'!V235="Absent"),0),IF('POINTAGE'!$X$5&lt;&gt;"",--('POINTAGE'!X235="Absent"),0),IF('POINTAGE'!$Z$5&lt;&gt;"",--('POINTAGE'!Z235="Absent"),0),IF('POINTAGE'!$AB$5&lt;&gt;"",--('POINTAGE'!AB235="Absent"),0),IF('POINTAGE'!$AD$5&lt;&gt;"",--('POINTAGE'!AD235="Absent"),0),IF('POINTAGE'!$AF$5&lt;&gt;"",--('POINTAGE'!AF235="Absent"),0)))</f>
      </c>
      <c r="H235" s="23">
        <f>IF($A235="","",SUM(IF('POINTAGE'!$D$5&lt;&gt;"",IF('POINTAGE'!D235="Présent",'POINTAGE'!E235,0),0),IF('POINTAGE'!$F$5&lt;&gt;"",IF('POINTAGE'!F235="Présent",'POINTAGE'!G235,0),0),IF('POINTAGE'!$H$5&lt;&gt;"",IF('POINTAGE'!H235="Présent",'POINTAGE'!I235,0),0),IF('POINTAGE'!$J$5&lt;&gt;"",IF('POINTAGE'!J235="Présent",'POINTAGE'!K235,0),0),IF('POINTAGE'!$L$5&lt;&gt;"",IF('POINTAGE'!L235="Présent",'POINTAGE'!M235,0),0),IF('POINTAGE'!$N$5&lt;&gt;"",IF('POINTAGE'!N235="Présent",'POINTAGE'!O235,0),0),IF('POINTAGE'!$P$5&lt;&gt;"",IF('POINTAGE'!P235="Présent",'POINTAGE'!Q235,0),0),IF('POINTAGE'!$R$5&lt;&gt;"",IF('POINTAGE'!R235="Présent",'POINTAGE'!S235,0),0),IF('POINTAGE'!$T$5&lt;&gt;"",IF('POINTAGE'!T235="Présent",'POINTAGE'!U235,0),0),IF('POINTAGE'!$V$5&lt;&gt;"",IF('POINTAGE'!V235="Présent",'POINTAGE'!W235,0),0),IF('POINTAGE'!$X$5&lt;&gt;"",IF('POINTAGE'!X235="Présent",'POINTAGE'!Y235,0),0),IF('POINTAGE'!$Z$5&lt;&gt;"",IF('POINTAGE'!Z235="Présent",'POINTAGE'!AA235,0),0),IF('POINTAGE'!$AB$5&lt;&gt;"",IF('POINTAGE'!AB235="Présent",'POINTAGE'!AC235,0),0),IF('POINTAGE'!$AD$5&lt;&gt;"",IF('POINTAGE'!AD235="Présent",'POINTAGE'!AE235,0),0),IF('POINTAGE'!$AF$5&lt;&gt;"",IF('POINTAGE'!AF235="Présent",'POINTAGE'!AG235,0),0)))</f>
      </c>
      <c r="I235" s="24">
        <f>IF($A235="","",$F235*$D235)</f>
      </c>
      <c r="J235" s="24">
        <f>IF($A235="","",$H235*$E235)</f>
      </c>
      <c r="K235" s="25">
        <f>IF($A235="","",$I235+$J235)</f>
      </c>
      <c r="L235" s="18"/>
      <c r="M235" s="25">
        <f>IF($A235="","",MAX(0,$K235-$L235))</f>
      </c>
      <c r="N235" s="22">
        <f>IF($A235="","",SUM(IF('POINTAGE'!$AH$5&lt;&gt;"",--('POINTAGE'!AH235="Présent"),0),IF('POINTAGE'!$AJ$5&lt;&gt;"",--('POINTAGE'!AJ235="Présent"),0),IF('POINTAGE'!$AL$5&lt;&gt;"",--('POINTAGE'!AL235="Présent"),0),IF('POINTAGE'!$AN$5&lt;&gt;"",--('POINTAGE'!AN235="Présent"),0),IF('POINTAGE'!$AP$5&lt;&gt;"",--('POINTAGE'!AP235="Présent"),0),IF('POINTAGE'!$AR$5&lt;&gt;"",--('POINTAGE'!AR235="Présent"),0),IF('POINTAGE'!$AT$5&lt;&gt;"",--('POINTAGE'!AT235="Présent"),0),IF('POINTAGE'!$AV$5&lt;&gt;"",--('POINTAGE'!AV235="Présent"),0),IF('POINTAGE'!$AX$5&lt;&gt;"",--('POINTAGE'!AX235="Présent"),0),IF('POINTAGE'!$AZ$5&lt;&gt;"",--('POINTAGE'!AZ235="Présent"),0),IF('POINTAGE'!$BB$5&lt;&gt;"",--('POINTAGE'!BB235="Présent"),0),IF('POINTAGE'!$BD$5&lt;&gt;"",--('POINTAGE'!BD235="Présent"),0),IF('POINTAGE'!$BF$5&lt;&gt;"",--('POINTAGE'!BF235="Présent"),0),IF('POINTAGE'!$BH$5&lt;&gt;"",--('POINTAGE'!BH235="Présent"),0),IF('POINTAGE'!$BJ$5&lt;&gt;"",--('POINTAGE'!BJ235="Présent"),0),IF('POINTAGE'!$BL$5&lt;&gt;"",--('POINTAGE'!BL235="Présent"),0)))</f>
      </c>
      <c r="O235" s="22">
        <f>IF($A235="","",SUM(IF('POINTAGE'!$AH$5&lt;&gt;"",--('POINTAGE'!AH235="Absent"),0),IF('POINTAGE'!$AJ$5&lt;&gt;"",--('POINTAGE'!AJ235="Absent"),0),IF('POINTAGE'!$AL$5&lt;&gt;"",--('POINTAGE'!AL235="Absent"),0),IF('POINTAGE'!$AN$5&lt;&gt;"",--('POINTAGE'!AN235="Absent"),0),IF('POINTAGE'!$AP$5&lt;&gt;"",--('POINTAGE'!AP235="Absent"),0),IF('POINTAGE'!$AR$5&lt;&gt;"",--('POINTAGE'!AR235="Absent"),0),IF('POINTAGE'!$AT$5&lt;&gt;"",--('POINTAGE'!AT235="Absent"),0),IF('POINTAGE'!$AV$5&lt;&gt;"",--('POINTAGE'!AV235="Absent"),0),IF('POINTAGE'!$AX$5&lt;&gt;"",--('POINTAGE'!AX235="Absent"),0),IF('POINTAGE'!$AZ$5&lt;&gt;"",--('POINTAGE'!AZ235="Absent"),0),IF('POINTAGE'!$BB$5&lt;&gt;"",--('POINTAGE'!BB235="Absent"),0),IF('POINTAGE'!$BD$5&lt;&gt;"",--('POINTAGE'!BD235="Absent"),0),IF('POINTAGE'!$BF$5&lt;&gt;"",--('POINTAGE'!BF235="Absent"),0),IF('POINTAGE'!$BH$5&lt;&gt;"",--('POINTAGE'!BH235="Absent"),0),IF('POINTAGE'!$BJ$5&lt;&gt;"",--('POINTAGE'!BJ235="Absent"),0),IF('POINTAGE'!$BL$5&lt;&gt;"",--('POINTAGE'!BL235="Absent"),0)))</f>
      </c>
      <c r="P235" s="23">
        <f>IF($A235="","",SUM(IF('POINTAGE'!$AH$5&lt;&gt;"",IF('POINTAGE'!AH235="Présent",'POINTAGE'!AI235,0),0),IF('POINTAGE'!$AJ$5&lt;&gt;"",IF('POINTAGE'!AJ235="Présent",'POINTAGE'!AK235,0),0),IF('POINTAGE'!$AL$5&lt;&gt;"",IF('POINTAGE'!AL235="Présent",'POINTAGE'!AM235,0),0),IF('POINTAGE'!$AN$5&lt;&gt;"",IF('POINTAGE'!AN235="Présent",'POINTAGE'!AO235,0),0),IF('POINTAGE'!$AP$5&lt;&gt;"",IF('POINTAGE'!AP235="Présent",'POINTAGE'!AQ235,0),0),IF('POINTAGE'!$AR$5&lt;&gt;"",IF('POINTAGE'!AR235="Présent",'POINTAGE'!AS235,0),0),IF('POINTAGE'!$AT$5&lt;&gt;"",IF('POINTAGE'!AT235="Présent",'POINTAGE'!AU235,0),0),IF('POINTAGE'!$AV$5&lt;&gt;"",IF('POINTAGE'!AV235="Présent",'POINTAGE'!AW235,0),0),IF('POINTAGE'!$AX$5&lt;&gt;"",IF('POINTAGE'!AX235="Présent",'POINTAGE'!AY235,0),0),IF('POINTAGE'!$AZ$5&lt;&gt;"",IF('POINTAGE'!AZ235="Présent",'POINTAGE'!BA235,0),0),IF('POINTAGE'!$BB$5&lt;&gt;"",IF('POINTAGE'!BB235="Présent",'POINTAGE'!BC235,0),0),IF('POINTAGE'!$BD$5&lt;&gt;"",IF('POINTAGE'!BD235="Présent",'POINTAGE'!BE235,0),0),IF('POINTAGE'!$BF$5&lt;&gt;"",IF('POINTAGE'!BF235="Présent",'POINTAGE'!BG235,0),0),IF('POINTAGE'!$BH$5&lt;&gt;"",IF('POINTAGE'!BH235="Présent",'POINTAGE'!BI235,0),0),IF('POINTAGE'!$BJ$5&lt;&gt;"",IF('POINTAGE'!BJ235="Présent",'POINTAGE'!BK235,0),0),IF('POINTAGE'!$BL$5&lt;&gt;"",IF('POINTAGE'!BL235="Présent",'POINTAGE'!BM235,0),0)))</f>
      </c>
      <c r="Q235" s="24">
        <f>IF($A235="","",$N235*$D235)</f>
      </c>
      <c r="R235" s="24">
        <f>IF($A235="","",$P235*$E235)</f>
      </c>
      <c r="S235" s="25">
        <f>IF($A235="","",$Q235+$R235)</f>
      </c>
      <c r="T235" s="18"/>
      <c r="U235" s="25">
        <f>IF($A235="","",MAX(0,$S235-$T235))</f>
      </c>
      <c r="V235" s="25">
        <f>IF($A235="","",$K235+$S235)</f>
      </c>
      <c r="W235" s="24">
        <f>IF($A235="","",$L235+$T235)</f>
      </c>
      <c r="X235" s="25">
        <f>IF($A235="","",$M235+$U235)</f>
      </c>
      <c r="Y235" s="29">
        <f>IF($A235="","",$J235+$R235)</f>
      </c>
    </row>
    <row r="236">
      <c r="A236" s="20">
        <f>IF('POINTAGE'!A236="","",'POINTAGE'!A236)</f>
      </c>
      <c r="B236" s="19">
        <f>IF($A236="","",'POINTAGE'!B236)</f>
      </c>
      <c r="C236" s="20">
        <f>IF($A236="","",'POINTAGE'!C236)</f>
      </c>
      <c r="D236" s="24">
        <f>IF($A236="","",IFERROR(INDEX(Categories_Salaire,MATCH($C236,ListeCategories,0)),0))</f>
      </c>
      <c r="E236" s="24">
        <f>IF($A236="","",IF(IFERROR(INDEX(Categories_TauxHS,MATCH($C236,ListeCategories,0)),0)&gt;0,IFERROR(INDEX(Categories_TauxHS,MATCH($C236,ListeCategories,0)),0),TauxHSDefaut))</f>
      </c>
      <c r="F236" s="22">
        <f>IF($A236="","",SUM(IF('POINTAGE'!$D$5&lt;&gt;"",--('POINTAGE'!D236="Présent"),0),IF('POINTAGE'!$F$5&lt;&gt;"",--('POINTAGE'!F236="Présent"),0),IF('POINTAGE'!$H$5&lt;&gt;"",--('POINTAGE'!H236="Présent"),0),IF('POINTAGE'!$J$5&lt;&gt;"",--('POINTAGE'!J236="Présent"),0),IF('POINTAGE'!$L$5&lt;&gt;"",--('POINTAGE'!L236="Présent"),0),IF('POINTAGE'!$N$5&lt;&gt;"",--('POINTAGE'!N236="Présent"),0),IF('POINTAGE'!$P$5&lt;&gt;"",--('POINTAGE'!P236="Présent"),0),IF('POINTAGE'!$R$5&lt;&gt;"",--('POINTAGE'!R236="Présent"),0),IF('POINTAGE'!$T$5&lt;&gt;"",--('POINTAGE'!T236="Présent"),0),IF('POINTAGE'!$V$5&lt;&gt;"",--('POINTAGE'!V236="Présent"),0),IF('POINTAGE'!$X$5&lt;&gt;"",--('POINTAGE'!X236="Présent"),0),IF('POINTAGE'!$Z$5&lt;&gt;"",--('POINTAGE'!Z236="Présent"),0),IF('POINTAGE'!$AB$5&lt;&gt;"",--('POINTAGE'!AB236="Présent"),0),IF('POINTAGE'!$AD$5&lt;&gt;"",--('POINTAGE'!AD236="Présent"),0),IF('POINTAGE'!$AF$5&lt;&gt;"",--('POINTAGE'!AF236="Présent"),0)))</f>
      </c>
      <c r="G236" s="22">
        <f>IF($A236="","",SUM(IF('POINTAGE'!$D$5&lt;&gt;"",--('POINTAGE'!D236="Absent"),0),IF('POINTAGE'!$F$5&lt;&gt;"",--('POINTAGE'!F236="Absent"),0),IF('POINTAGE'!$H$5&lt;&gt;"",--('POINTAGE'!H236="Absent"),0),IF('POINTAGE'!$J$5&lt;&gt;"",--('POINTAGE'!J236="Absent"),0),IF('POINTAGE'!$L$5&lt;&gt;"",--('POINTAGE'!L236="Absent"),0),IF('POINTAGE'!$N$5&lt;&gt;"",--('POINTAGE'!N236="Absent"),0),IF('POINTAGE'!$P$5&lt;&gt;"",--('POINTAGE'!P236="Absent"),0),IF('POINTAGE'!$R$5&lt;&gt;"",--('POINTAGE'!R236="Absent"),0),IF('POINTAGE'!$T$5&lt;&gt;"",--('POINTAGE'!T236="Absent"),0),IF('POINTAGE'!$V$5&lt;&gt;"",--('POINTAGE'!V236="Absent"),0),IF('POINTAGE'!$X$5&lt;&gt;"",--('POINTAGE'!X236="Absent"),0),IF('POINTAGE'!$Z$5&lt;&gt;"",--('POINTAGE'!Z236="Absent"),0),IF('POINTAGE'!$AB$5&lt;&gt;"",--('POINTAGE'!AB236="Absent"),0),IF('POINTAGE'!$AD$5&lt;&gt;"",--('POINTAGE'!AD236="Absent"),0),IF('POINTAGE'!$AF$5&lt;&gt;"",--('POINTAGE'!AF236="Absent"),0)))</f>
      </c>
      <c r="H236" s="23">
        <f>IF($A236="","",SUM(IF('POINTAGE'!$D$5&lt;&gt;"",IF('POINTAGE'!D236="Présent",'POINTAGE'!E236,0),0),IF('POINTAGE'!$F$5&lt;&gt;"",IF('POINTAGE'!F236="Présent",'POINTAGE'!G236,0),0),IF('POINTAGE'!$H$5&lt;&gt;"",IF('POINTAGE'!H236="Présent",'POINTAGE'!I236,0),0),IF('POINTAGE'!$J$5&lt;&gt;"",IF('POINTAGE'!J236="Présent",'POINTAGE'!K236,0),0),IF('POINTAGE'!$L$5&lt;&gt;"",IF('POINTAGE'!L236="Présent",'POINTAGE'!M236,0),0),IF('POINTAGE'!$N$5&lt;&gt;"",IF('POINTAGE'!N236="Présent",'POINTAGE'!O236,0),0),IF('POINTAGE'!$P$5&lt;&gt;"",IF('POINTAGE'!P236="Présent",'POINTAGE'!Q236,0),0),IF('POINTAGE'!$R$5&lt;&gt;"",IF('POINTAGE'!R236="Présent",'POINTAGE'!S236,0),0),IF('POINTAGE'!$T$5&lt;&gt;"",IF('POINTAGE'!T236="Présent",'POINTAGE'!U236,0),0),IF('POINTAGE'!$V$5&lt;&gt;"",IF('POINTAGE'!V236="Présent",'POINTAGE'!W236,0),0),IF('POINTAGE'!$X$5&lt;&gt;"",IF('POINTAGE'!X236="Présent",'POINTAGE'!Y236,0),0),IF('POINTAGE'!$Z$5&lt;&gt;"",IF('POINTAGE'!Z236="Présent",'POINTAGE'!AA236,0),0),IF('POINTAGE'!$AB$5&lt;&gt;"",IF('POINTAGE'!AB236="Présent",'POINTAGE'!AC236,0),0),IF('POINTAGE'!$AD$5&lt;&gt;"",IF('POINTAGE'!AD236="Présent",'POINTAGE'!AE236,0),0),IF('POINTAGE'!$AF$5&lt;&gt;"",IF('POINTAGE'!AF236="Présent",'POINTAGE'!AG236,0),0)))</f>
      </c>
      <c r="I236" s="24">
        <f>IF($A236="","",$F236*$D236)</f>
      </c>
      <c r="J236" s="24">
        <f>IF($A236="","",$H236*$E236)</f>
      </c>
      <c r="K236" s="25">
        <f>IF($A236="","",$I236+$J236)</f>
      </c>
      <c r="L236" s="18"/>
      <c r="M236" s="25">
        <f>IF($A236="","",MAX(0,$K236-$L236))</f>
      </c>
      <c r="N236" s="22">
        <f>IF($A236="","",SUM(IF('POINTAGE'!$AH$5&lt;&gt;"",--('POINTAGE'!AH236="Présent"),0),IF('POINTAGE'!$AJ$5&lt;&gt;"",--('POINTAGE'!AJ236="Présent"),0),IF('POINTAGE'!$AL$5&lt;&gt;"",--('POINTAGE'!AL236="Présent"),0),IF('POINTAGE'!$AN$5&lt;&gt;"",--('POINTAGE'!AN236="Présent"),0),IF('POINTAGE'!$AP$5&lt;&gt;"",--('POINTAGE'!AP236="Présent"),0),IF('POINTAGE'!$AR$5&lt;&gt;"",--('POINTAGE'!AR236="Présent"),0),IF('POINTAGE'!$AT$5&lt;&gt;"",--('POINTAGE'!AT236="Présent"),0),IF('POINTAGE'!$AV$5&lt;&gt;"",--('POINTAGE'!AV236="Présent"),0),IF('POINTAGE'!$AX$5&lt;&gt;"",--('POINTAGE'!AX236="Présent"),0),IF('POINTAGE'!$AZ$5&lt;&gt;"",--('POINTAGE'!AZ236="Présent"),0),IF('POINTAGE'!$BB$5&lt;&gt;"",--('POINTAGE'!BB236="Présent"),0),IF('POINTAGE'!$BD$5&lt;&gt;"",--('POINTAGE'!BD236="Présent"),0),IF('POINTAGE'!$BF$5&lt;&gt;"",--('POINTAGE'!BF236="Présent"),0),IF('POINTAGE'!$BH$5&lt;&gt;"",--('POINTAGE'!BH236="Présent"),0),IF('POINTAGE'!$BJ$5&lt;&gt;"",--('POINTAGE'!BJ236="Présent"),0),IF('POINTAGE'!$BL$5&lt;&gt;"",--('POINTAGE'!BL236="Présent"),0)))</f>
      </c>
      <c r="O236" s="22">
        <f>IF($A236="","",SUM(IF('POINTAGE'!$AH$5&lt;&gt;"",--('POINTAGE'!AH236="Absent"),0),IF('POINTAGE'!$AJ$5&lt;&gt;"",--('POINTAGE'!AJ236="Absent"),0),IF('POINTAGE'!$AL$5&lt;&gt;"",--('POINTAGE'!AL236="Absent"),0),IF('POINTAGE'!$AN$5&lt;&gt;"",--('POINTAGE'!AN236="Absent"),0),IF('POINTAGE'!$AP$5&lt;&gt;"",--('POINTAGE'!AP236="Absent"),0),IF('POINTAGE'!$AR$5&lt;&gt;"",--('POINTAGE'!AR236="Absent"),0),IF('POINTAGE'!$AT$5&lt;&gt;"",--('POINTAGE'!AT236="Absent"),0),IF('POINTAGE'!$AV$5&lt;&gt;"",--('POINTAGE'!AV236="Absent"),0),IF('POINTAGE'!$AX$5&lt;&gt;"",--('POINTAGE'!AX236="Absent"),0),IF('POINTAGE'!$AZ$5&lt;&gt;"",--('POINTAGE'!AZ236="Absent"),0),IF('POINTAGE'!$BB$5&lt;&gt;"",--('POINTAGE'!BB236="Absent"),0),IF('POINTAGE'!$BD$5&lt;&gt;"",--('POINTAGE'!BD236="Absent"),0),IF('POINTAGE'!$BF$5&lt;&gt;"",--('POINTAGE'!BF236="Absent"),0),IF('POINTAGE'!$BH$5&lt;&gt;"",--('POINTAGE'!BH236="Absent"),0),IF('POINTAGE'!$BJ$5&lt;&gt;"",--('POINTAGE'!BJ236="Absent"),0),IF('POINTAGE'!$BL$5&lt;&gt;"",--('POINTAGE'!BL236="Absent"),0)))</f>
      </c>
      <c r="P236" s="23">
        <f>IF($A236="","",SUM(IF('POINTAGE'!$AH$5&lt;&gt;"",IF('POINTAGE'!AH236="Présent",'POINTAGE'!AI236,0),0),IF('POINTAGE'!$AJ$5&lt;&gt;"",IF('POINTAGE'!AJ236="Présent",'POINTAGE'!AK236,0),0),IF('POINTAGE'!$AL$5&lt;&gt;"",IF('POINTAGE'!AL236="Présent",'POINTAGE'!AM236,0),0),IF('POINTAGE'!$AN$5&lt;&gt;"",IF('POINTAGE'!AN236="Présent",'POINTAGE'!AO236,0),0),IF('POINTAGE'!$AP$5&lt;&gt;"",IF('POINTAGE'!AP236="Présent",'POINTAGE'!AQ236,0),0),IF('POINTAGE'!$AR$5&lt;&gt;"",IF('POINTAGE'!AR236="Présent",'POINTAGE'!AS236,0),0),IF('POINTAGE'!$AT$5&lt;&gt;"",IF('POINTAGE'!AT236="Présent",'POINTAGE'!AU236,0),0),IF('POINTAGE'!$AV$5&lt;&gt;"",IF('POINTAGE'!AV236="Présent",'POINTAGE'!AW236,0),0),IF('POINTAGE'!$AX$5&lt;&gt;"",IF('POINTAGE'!AX236="Présent",'POINTAGE'!AY236,0),0),IF('POINTAGE'!$AZ$5&lt;&gt;"",IF('POINTAGE'!AZ236="Présent",'POINTAGE'!BA236,0),0),IF('POINTAGE'!$BB$5&lt;&gt;"",IF('POINTAGE'!BB236="Présent",'POINTAGE'!BC236,0),0),IF('POINTAGE'!$BD$5&lt;&gt;"",IF('POINTAGE'!BD236="Présent",'POINTAGE'!BE236,0),0),IF('POINTAGE'!$BF$5&lt;&gt;"",IF('POINTAGE'!BF236="Présent",'POINTAGE'!BG236,0),0),IF('POINTAGE'!$BH$5&lt;&gt;"",IF('POINTAGE'!BH236="Présent",'POINTAGE'!BI236,0),0),IF('POINTAGE'!$BJ$5&lt;&gt;"",IF('POINTAGE'!BJ236="Présent",'POINTAGE'!BK236,0),0),IF('POINTAGE'!$BL$5&lt;&gt;"",IF('POINTAGE'!BL236="Présent",'POINTAGE'!BM236,0),0)))</f>
      </c>
      <c r="Q236" s="24">
        <f>IF($A236="","",$N236*$D236)</f>
      </c>
      <c r="R236" s="24">
        <f>IF($A236="","",$P236*$E236)</f>
      </c>
      <c r="S236" s="25">
        <f>IF($A236="","",$Q236+$R236)</f>
      </c>
      <c r="T236" s="18"/>
      <c r="U236" s="25">
        <f>IF($A236="","",MAX(0,$S236-$T236))</f>
      </c>
      <c r="V236" s="25">
        <f>IF($A236="","",$K236+$S236)</f>
      </c>
      <c r="W236" s="24">
        <f>IF($A236="","",$L236+$T236)</f>
      </c>
      <c r="X236" s="25">
        <f>IF($A236="","",$M236+$U236)</f>
      </c>
      <c r="Y236" s="29">
        <f>IF($A236="","",$J236+$R236)</f>
      </c>
    </row>
    <row r="237">
      <c r="A237" s="20">
        <f>IF('POINTAGE'!A237="","",'POINTAGE'!A237)</f>
      </c>
      <c r="B237" s="19">
        <f>IF($A237="","",'POINTAGE'!B237)</f>
      </c>
      <c r="C237" s="20">
        <f>IF($A237="","",'POINTAGE'!C237)</f>
      </c>
      <c r="D237" s="24">
        <f>IF($A237="","",IFERROR(INDEX(Categories_Salaire,MATCH($C237,ListeCategories,0)),0))</f>
      </c>
      <c r="E237" s="24">
        <f>IF($A237="","",IF(IFERROR(INDEX(Categories_TauxHS,MATCH($C237,ListeCategories,0)),0)&gt;0,IFERROR(INDEX(Categories_TauxHS,MATCH($C237,ListeCategories,0)),0),TauxHSDefaut))</f>
      </c>
      <c r="F237" s="22">
        <f>IF($A237="","",SUM(IF('POINTAGE'!$D$5&lt;&gt;"",--('POINTAGE'!D237="Présent"),0),IF('POINTAGE'!$F$5&lt;&gt;"",--('POINTAGE'!F237="Présent"),0),IF('POINTAGE'!$H$5&lt;&gt;"",--('POINTAGE'!H237="Présent"),0),IF('POINTAGE'!$J$5&lt;&gt;"",--('POINTAGE'!J237="Présent"),0),IF('POINTAGE'!$L$5&lt;&gt;"",--('POINTAGE'!L237="Présent"),0),IF('POINTAGE'!$N$5&lt;&gt;"",--('POINTAGE'!N237="Présent"),0),IF('POINTAGE'!$P$5&lt;&gt;"",--('POINTAGE'!P237="Présent"),0),IF('POINTAGE'!$R$5&lt;&gt;"",--('POINTAGE'!R237="Présent"),0),IF('POINTAGE'!$T$5&lt;&gt;"",--('POINTAGE'!T237="Présent"),0),IF('POINTAGE'!$V$5&lt;&gt;"",--('POINTAGE'!V237="Présent"),0),IF('POINTAGE'!$X$5&lt;&gt;"",--('POINTAGE'!X237="Présent"),0),IF('POINTAGE'!$Z$5&lt;&gt;"",--('POINTAGE'!Z237="Présent"),0),IF('POINTAGE'!$AB$5&lt;&gt;"",--('POINTAGE'!AB237="Présent"),0),IF('POINTAGE'!$AD$5&lt;&gt;"",--('POINTAGE'!AD237="Présent"),0),IF('POINTAGE'!$AF$5&lt;&gt;"",--('POINTAGE'!AF237="Présent"),0)))</f>
      </c>
      <c r="G237" s="22">
        <f>IF($A237="","",SUM(IF('POINTAGE'!$D$5&lt;&gt;"",--('POINTAGE'!D237="Absent"),0),IF('POINTAGE'!$F$5&lt;&gt;"",--('POINTAGE'!F237="Absent"),0),IF('POINTAGE'!$H$5&lt;&gt;"",--('POINTAGE'!H237="Absent"),0),IF('POINTAGE'!$J$5&lt;&gt;"",--('POINTAGE'!J237="Absent"),0),IF('POINTAGE'!$L$5&lt;&gt;"",--('POINTAGE'!L237="Absent"),0),IF('POINTAGE'!$N$5&lt;&gt;"",--('POINTAGE'!N237="Absent"),0),IF('POINTAGE'!$P$5&lt;&gt;"",--('POINTAGE'!P237="Absent"),0),IF('POINTAGE'!$R$5&lt;&gt;"",--('POINTAGE'!R237="Absent"),0),IF('POINTAGE'!$T$5&lt;&gt;"",--('POINTAGE'!T237="Absent"),0),IF('POINTAGE'!$V$5&lt;&gt;"",--('POINTAGE'!V237="Absent"),0),IF('POINTAGE'!$X$5&lt;&gt;"",--('POINTAGE'!X237="Absent"),0),IF('POINTAGE'!$Z$5&lt;&gt;"",--('POINTAGE'!Z237="Absent"),0),IF('POINTAGE'!$AB$5&lt;&gt;"",--('POINTAGE'!AB237="Absent"),0),IF('POINTAGE'!$AD$5&lt;&gt;"",--('POINTAGE'!AD237="Absent"),0),IF('POINTAGE'!$AF$5&lt;&gt;"",--('POINTAGE'!AF237="Absent"),0)))</f>
      </c>
      <c r="H237" s="23">
        <f>IF($A237="","",SUM(IF('POINTAGE'!$D$5&lt;&gt;"",IF('POINTAGE'!D237="Présent",'POINTAGE'!E237,0),0),IF('POINTAGE'!$F$5&lt;&gt;"",IF('POINTAGE'!F237="Présent",'POINTAGE'!G237,0),0),IF('POINTAGE'!$H$5&lt;&gt;"",IF('POINTAGE'!H237="Présent",'POINTAGE'!I237,0),0),IF('POINTAGE'!$J$5&lt;&gt;"",IF('POINTAGE'!J237="Présent",'POINTAGE'!K237,0),0),IF('POINTAGE'!$L$5&lt;&gt;"",IF('POINTAGE'!L237="Présent",'POINTAGE'!M237,0),0),IF('POINTAGE'!$N$5&lt;&gt;"",IF('POINTAGE'!N237="Présent",'POINTAGE'!O237,0),0),IF('POINTAGE'!$P$5&lt;&gt;"",IF('POINTAGE'!P237="Présent",'POINTAGE'!Q237,0),0),IF('POINTAGE'!$R$5&lt;&gt;"",IF('POINTAGE'!R237="Présent",'POINTAGE'!S237,0),0),IF('POINTAGE'!$T$5&lt;&gt;"",IF('POINTAGE'!T237="Présent",'POINTAGE'!U237,0),0),IF('POINTAGE'!$V$5&lt;&gt;"",IF('POINTAGE'!V237="Présent",'POINTAGE'!W237,0),0),IF('POINTAGE'!$X$5&lt;&gt;"",IF('POINTAGE'!X237="Présent",'POINTAGE'!Y237,0),0),IF('POINTAGE'!$Z$5&lt;&gt;"",IF('POINTAGE'!Z237="Présent",'POINTAGE'!AA237,0),0),IF('POINTAGE'!$AB$5&lt;&gt;"",IF('POINTAGE'!AB237="Présent",'POINTAGE'!AC237,0),0),IF('POINTAGE'!$AD$5&lt;&gt;"",IF('POINTAGE'!AD237="Présent",'POINTAGE'!AE237,0),0),IF('POINTAGE'!$AF$5&lt;&gt;"",IF('POINTAGE'!AF237="Présent",'POINTAGE'!AG237,0),0)))</f>
      </c>
      <c r="I237" s="24">
        <f>IF($A237="","",$F237*$D237)</f>
      </c>
      <c r="J237" s="24">
        <f>IF($A237="","",$H237*$E237)</f>
      </c>
      <c r="K237" s="25">
        <f>IF($A237="","",$I237+$J237)</f>
      </c>
      <c r="L237" s="18"/>
      <c r="M237" s="25">
        <f>IF($A237="","",MAX(0,$K237-$L237))</f>
      </c>
      <c r="N237" s="22">
        <f>IF($A237="","",SUM(IF('POINTAGE'!$AH$5&lt;&gt;"",--('POINTAGE'!AH237="Présent"),0),IF('POINTAGE'!$AJ$5&lt;&gt;"",--('POINTAGE'!AJ237="Présent"),0),IF('POINTAGE'!$AL$5&lt;&gt;"",--('POINTAGE'!AL237="Présent"),0),IF('POINTAGE'!$AN$5&lt;&gt;"",--('POINTAGE'!AN237="Présent"),0),IF('POINTAGE'!$AP$5&lt;&gt;"",--('POINTAGE'!AP237="Présent"),0),IF('POINTAGE'!$AR$5&lt;&gt;"",--('POINTAGE'!AR237="Présent"),0),IF('POINTAGE'!$AT$5&lt;&gt;"",--('POINTAGE'!AT237="Présent"),0),IF('POINTAGE'!$AV$5&lt;&gt;"",--('POINTAGE'!AV237="Présent"),0),IF('POINTAGE'!$AX$5&lt;&gt;"",--('POINTAGE'!AX237="Présent"),0),IF('POINTAGE'!$AZ$5&lt;&gt;"",--('POINTAGE'!AZ237="Présent"),0),IF('POINTAGE'!$BB$5&lt;&gt;"",--('POINTAGE'!BB237="Présent"),0),IF('POINTAGE'!$BD$5&lt;&gt;"",--('POINTAGE'!BD237="Présent"),0),IF('POINTAGE'!$BF$5&lt;&gt;"",--('POINTAGE'!BF237="Présent"),0),IF('POINTAGE'!$BH$5&lt;&gt;"",--('POINTAGE'!BH237="Présent"),0),IF('POINTAGE'!$BJ$5&lt;&gt;"",--('POINTAGE'!BJ237="Présent"),0),IF('POINTAGE'!$BL$5&lt;&gt;"",--('POINTAGE'!BL237="Présent"),0)))</f>
      </c>
      <c r="O237" s="22">
        <f>IF($A237="","",SUM(IF('POINTAGE'!$AH$5&lt;&gt;"",--('POINTAGE'!AH237="Absent"),0),IF('POINTAGE'!$AJ$5&lt;&gt;"",--('POINTAGE'!AJ237="Absent"),0),IF('POINTAGE'!$AL$5&lt;&gt;"",--('POINTAGE'!AL237="Absent"),0),IF('POINTAGE'!$AN$5&lt;&gt;"",--('POINTAGE'!AN237="Absent"),0),IF('POINTAGE'!$AP$5&lt;&gt;"",--('POINTAGE'!AP237="Absent"),0),IF('POINTAGE'!$AR$5&lt;&gt;"",--('POINTAGE'!AR237="Absent"),0),IF('POINTAGE'!$AT$5&lt;&gt;"",--('POINTAGE'!AT237="Absent"),0),IF('POINTAGE'!$AV$5&lt;&gt;"",--('POINTAGE'!AV237="Absent"),0),IF('POINTAGE'!$AX$5&lt;&gt;"",--('POINTAGE'!AX237="Absent"),0),IF('POINTAGE'!$AZ$5&lt;&gt;"",--('POINTAGE'!AZ237="Absent"),0),IF('POINTAGE'!$BB$5&lt;&gt;"",--('POINTAGE'!BB237="Absent"),0),IF('POINTAGE'!$BD$5&lt;&gt;"",--('POINTAGE'!BD237="Absent"),0),IF('POINTAGE'!$BF$5&lt;&gt;"",--('POINTAGE'!BF237="Absent"),0),IF('POINTAGE'!$BH$5&lt;&gt;"",--('POINTAGE'!BH237="Absent"),0),IF('POINTAGE'!$BJ$5&lt;&gt;"",--('POINTAGE'!BJ237="Absent"),0),IF('POINTAGE'!$BL$5&lt;&gt;"",--('POINTAGE'!BL237="Absent"),0)))</f>
      </c>
      <c r="P237" s="23">
        <f>IF($A237="","",SUM(IF('POINTAGE'!$AH$5&lt;&gt;"",IF('POINTAGE'!AH237="Présent",'POINTAGE'!AI237,0),0),IF('POINTAGE'!$AJ$5&lt;&gt;"",IF('POINTAGE'!AJ237="Présent",'POINTAGE'!AK237,0),0),IF('POINTAGE'!$AL$5&lt;&gt;"",IF('POINTAGE'!AL237="Présent",'POINTAGE'!AM237,0),0),IF('POINTAGE'!$AN$5&lt;&gt;"",IF('POINTAGE'!AN237="Présent",'POINTAGE'!AO237,0),0),IF('POINTAGE'!$AP$5&lt;&gt;"",IF('POINTAGE'!AP237="Présent",'POINTAGE'!AQ237,0),0),IF('POINTAGE'!$AR$5&lt;&gt;"",IF('POINTAGE'!AR237="Présent",'POINTAGE'!AS237,0),0),IF('POINTAGE'!$AT$5&lt;&gt;"",IF('POINTAGE'!AT237="Présent",'POINTAGE'!AU237,0),0),IF('POINTAGE'!$AV$5&lt;&gt;"",IF('POINTAGE'!AV237="Présent",'POINTAGE'!AW237,0),0),IF('POINTAGE'!$AX$5&lt;&gt;"",IF('POINTAGE'!AX237="Présent",'POINTAGE'!AY237,0),0),IF('POINTAGE'!$AZ$5&lt;&gt;"",IF('POINTAGE'!AZ237="Présent",'POINTAGE'!BA237,0),0),IF('POINTAGE'!$BB$5&lt;&gt;"",IF('POINTAGE'!BB237="Présent",'POINTAGE'!BC237,0),0),IF('POINTAGE'!$BD$5&lt;&gt;"",IF('POINTAGE'!BD237="Présent",'POINTAGE'!BE237,0),0),IF('POINTAGE'!$BF$5&lt;&gt;"",IF('POINTAGE'!BF237="Présent",'POINTAGE'!BG237,0),0),IF('POINTAGE'!$BH$5&lt;&gt;"",IF('POINTAGE'!BH237="Présent",'POINTAGE'!BI237,0),0),IF('POINTAGE'!$BJ$5&lt;&gt;"",IF('POINTAGE'!BJ237="Présent",'POINTAGE'!BK237,0),0),IF('POINTAGE'!$BL$5&lt;&gt;"",IF('POINTAGE'!BL237="Présent",'POINTAGE'!BM237,0),0)))</f>
      </c>
      <c r="Q237" s="24">
        <f>IF($A237="","",$N237*$D237)</f>
      </c>
      <c r="R237" s="24">
        <f>IF($A237="","",$P237*$E237)</f>
      </c>
      <c r="S237" s="25">
        <f>IF($A237="","",$Q237+$R237)</f>
      </c>
      <c r="T237" s="18"/>
      <c r="U237" s="25">
        <f>IF($A237="","",MAX(0,$S237-$T237))</f>
      </c>
      <c r="V237" s="25">
        <f>IF($A237="","",$K237+$S237)</f>
      </c>
      <c r="W237" s="24">
        <f>IF($A237="","",$L237+$T237)</f>
      </c>
      <c r="X237" s="25">
        <f>IF($A237="","",$M237+$U237)</f>
      </c>
      <c r="Y237" s="29">
        <f>IF($A237="","",$J237+$R237)</f>
      </c>
    </row>
    <row r="238">
      <c r="A238" s="20">
        <f>IF('POINTAGE'!A238="","",'POINTAGE'!A238)</f>
      </c>
      <c r="B238" s="19">
        <f>IF($A238="","",'POINTAGE'!B238)</f>
      </c>
      <c r="C238" s="20">
        <f>IF($A238="","",'POINTAGE'!C238)</f>
      </c>
      <c r="D238" s="24">
        <f>IF($A238="","",IFERROR(INDEX(Categories_Salaire,MATCH($C238,ListeCategories,0)),0))</f>
      </c>
      <c r="E238" s="24">
        <f>IF($A238="","",IF(IFERROR(INDEX(Categories_TauxHS,MATCH($C238,ListeCategories,0)),0)&gt;0,IFERROR(INDEX(Categories_TauxHS,MATCH($C238,ListeCategories,0)),0),TauxHSDefaut))</f>
      </c>
      <c r="F238" s="22">
        <f>IF($A238="","",SUM(IF('POINTAGE'!$D$5&lt;&gt;"",--('POINTAGE'!D238="Présent"),0),IF('POINTAGE'!$F$5&lt;&gt;"",--('POINTAGE'!F238="Présent"),0),IF('POINTAGE'!$H$5&lt;&gt;"",--('POINTAGE'!H238="Présent"),0),IF('POINTAGE'!$J$5&lt;&gt;"",--('POINTAGE'!J238="Présent"),0),IF('POINTAGE'!$L$5&lt;&gt;"",--('POINTAGE'!L238="Présent"),0),IF('POINTAGE'!$N$5&lt;&gt;"",--('POINTAGE'!N238="Présent"),0),IF('POINTAGE'!$P$5&lt;&gt;"",--('POINTAGE'!P238="Présent"),0),IF('POINTAGE'!$R$5&lt;&gt;"",--('POINTAGE'!R238="Présent"),0),IF('POINTAGE'!$T$5&lt;&gt;"",--('POINTAGE'!T238="Présent"),0),IF('POINTAGE'!$V$5&lt;&gt;"",--('POINTAGE'!V238="Présent"),0),IF('POINTAGE'!$X$5&lt;&gt;"",--('POINTAGE'!X238="Présent"),0),IF('POINTAGE'!$Z$5&lt;&gt;"",--('POINTAGE'!Z238="Présent"),0),IF('POINTAGE'!$AB$5&lt;&gt;"",--('POINTAGE'!AB238="Présent"),0),IF('POINTAGE'!$AD$5&lt;&gt;"",--('POINTAGE'!AD238="Présent"),0),IF('POINTAGE'!$AF$5&lt;&gt;"",--('POINTAGE'!AF238="Présent"),0)))</f>
      </c>
      <c r="G238" s="22">
        <f>IF($A238="","",SUM(IF('POINTAGE'!$D$5&lt;&gt;"",--('POINTAGE'!D238="Absent"),0),IF('POINTAGE'!$F$5&lt;&gt;"",--('POINTAGE'!F238="Absent"),0),IF('POINTAGE'!$H$5&lt;&gt;"",--('POINTAGE'!H238="Absent"),0),IF('POINTAGE'!$J$5&lt;&gt;"",--('POINTAGE'!J238="Absent"),0),IF('POINTAGE'!$L$5&lt;&gt;"",--('POINTAGE'!L238="Absent"),0),IF('POINTAGE'!$N$5&lt;&gt;"",--('POINTAGE'!N238="Absent"),0),IF('POINTAGE'!$P$5&lt;&gt;"",--('POINTAGE'!P238="Absent"),0),IF('POINTAGE'!$R$5&lt;&gt;"",--('POINTAGE'!R238="Absent"),0),IF('POINTAGE'!$T$5&lt;&gt;"",--('POINTAGE'!T238="Absent"),0),IF('POINTAGE'!$V$5&lt;&gt;"",--('POINTAGE'!V238="Absent"),0),IF('POINTAGE'!$X$5&lt;&gt;"",--('POINTAGE'!X238="Absent"),0),IF('POINTAGE'!$Z$5&lt;&gt;"",--('POINTAGE'!Z238="Absent"),0),IF('POINTAGE'!$AB$5&lt;&gt;"",--('POINTAGE'!AB238="Absent"),0),IF('POINTAGE'!$AD$5&lt;&gt;"",--('POINTAGE'!AD238="Absent"),0),IF('POINTAGE'!$AF$5&lt;&gt;"",--('POINTAGE'!AF238="Absent"),0)))</f>
      </c>
      <c r="H238" s="23">
        <f>IF($A238="","",SUM(IF('POINTAGE'!$D$5&lt;&gt;"",IF('POINTAGE'!D238="Présent",'POINTAGE'!E238,0),0),IF('POINTAGE'!$F$5&lt;&gt;"",IF('POINTAGE'!F238="Présent",'POINTAGE'!G238,0),0),IF('POINTAGE'!$H$5&lt;&gt;"",IF('POINTAGE'!H238="Présent",'POINTAGE'!I238,0),0),IF('POINTAGE'!$J$5&lt;&gt;"",IF('POINTAGE'!J238="Présent",'POINTAGE'!K238,0),0),IF('POINTAGE'!$L$5&lt;&gt;"",IF('POINTAGE'!L238="Présent",'POINTAGE'!M238,0),0),IF('POINTAGE'!$N$5&lt;&gt;"",IF('POINTAGE'!N238="Présent",'POINTAGE'!O238,0),0),IF('POINTAGE'!$P$5&lt;&gt;"",IF('POINTAGE'!P238="Présent",'POINTAGE'!Q238,0),0),IF('POINTAGE'!$R$5&lt;&gt;"",IF('POINTAGE'!R238="Présent",'POINTAGE'!S238,0),0),IF('POINTAGE'!$T$5&lt;&gt;"",IF('POINTAGE'!T238="Présent",'POINTAGE'!U238,0),0),IF('POINTAGE'!$V$5&lt;&gt;"",IF('POINTAGE'!V238="Présent",'POINTAGE'!W238,0),0),IF('POINTAGE'!$X$5&lt;&gt;"",IF('POINTAGE'!X238="Présent",'POINTAGE'!Y238,0),0),IF('POINTAGE'!$Z$5&lt;&gt;"",IF('POINTAGE'!Z238="Présent",'POINTAGE'!AA238,0),0),IF('POINTAGE'!$AB$5&lt;&gt;"",IF('POINTAGE'!AB238="Présent",'POINTAGE'!AC238,0),0),IF('POINTAGE'!$AD$5&lt;&gt;"",IF('POINTAGE'!AD238="Présent",'POINTAGE'!AE238,0),0),IF('POINTAGE'!$AF$5&lt;&gt;"",IF('POINTAGE'!AF238="Présent",'POINTAGE'!AG238,0),0)))</f>
      </c>
      <c r="I238" s="24">
        <f>IF($A238="","",$F238*$D238)</f>
      </c>
      <c r="J238" s="24">
        <f>IF($A238="","",$H238*$E238)</f>
      </c>
      <c r="K238" s="25">
        <f>IF($A238="","",$I238+$J238)</f>
      </c>
      <c r="L238" s="18"/>
      <c r="M238" s="25">
        <f>IF($A238="","",MAX(0,$K238-$L238))</f>
      </c>
      <c r="N238" s="22">
        <f>IF($A238="","",SUM(IF('POINTAGE'!$AH$5&lt;&gt;"",--('POINTAGE'!AH238="Présent"),0),IF('POINTAGE'!$AJ$5&lt;&gt;"",--('POINTAGE'!AJ238="Présent"),0),IF('POINTAGE'!$AL$5&lt;&gt;"",--('POINTAGE'!AL238="Présent"),0),IF('POINTAGE'!$AN$5&lt;&gt;"",--('POINTAGE'!AN238="Présent"),0),IF('POINTAGE'!$AP$5&lt;&gt;"",--('POINTAGE'!AP238="Présent"),0),IF('POINTAGE'!$AR$5&lt;&gt;"",--('POINTAGE'!AR238="Présent"),0),IF('POINTAGE'!$AT$5&lt;&gt;"",--('POINTAGE'!AT238="Présent"),0),IF('POINTAGE'!$AV$5&lt;&gt;"",--('POINTAGE'!AV238="Présent"),0),IF('POINTAGE'!$AX$5&lt;&gt;"",--('POINTAGE'!AX238="Présent"),0),IF('POINTAGE'!$AZ$5&lt;&gt;"",--('POINTAGE'!AZ238="Présent"),0),IF('POINTAGE'!$BB$5&lt;&gt;"",--('POINTAGE'!BB238="Présent"),0),IF('POINTAGE'!$BD$5&lt;&gt;"",--('POINTAGE'!BD238="Présent"),0),IF('POINTAGE'!$BF$5&lt;&gt;"",--('POINTAGE'!BF238="Présent"),0),IF('POINTAGE'!$BH$5&lt;&gt;"",--('POINTAGE'!BH238="Présent"),0),IF('POINTAGE'!$BJ$5&lt;&gt;"",--('POINTAGE'!BJ238="Présent"),0),IF('POINTAGE'!$BL$5&lt;&gt;"",--('POINTAGE'!BL238="Présent"),0)))</f>
      </c>
      <c r="O238" s="22">
        <f>IF($A238="","",SUM(IF('POINTAGE'!$AH$5&lt;&gt;"",--('POINTAGE'!AH238="Absent"),0),IF('POINTAGE'!$AJ$5&lt;&gt;"",--('POINTAGE'!AJ238="Absent"),0),IF('POINTAGE'!$AL$5&lt;&gt;"",--('POINTAGE'!AL238="Absent"),0),IF('POINTAGE'!$AN$5&lt;&gt;"",--('POINTAGE'!AN238="Absent"),0),IF('POINTAGE'!$AP$5&lt;&gt;"",--('POINTAGE'!AP238="Absent"),0),IF('POINTAGE'!$AR$5&lt;&gt;"",--('POINTAGE'!AR238="Absent"),0),IF('POINTAGE'!$AT$5&lt;&gt;"",--('POINTAGE'!AT238="Absent"),0),IF('POINTAGE'!$AV$5&lt;&gt;"",--('POINTAGE'!AV238="Absent"),0),IF('POINTAGE'!$AX$5&lt;&gt;"",--('POINTAGE'!AX238="Absent"),0),IF('POINTAGE'!$AZ$5&lt;&gt;"",--('POINTAGE'!AZ238="Absent"),0),IF('POINTAGE'!$BB$5&lt;&gt;"",--('POINTAGE'!BB238="Absent"),0),IF('POINTAGE'!$BD$5&lt;&gt;"",--('POINTAGE'!BD238="Absent"),0),IF('POINTAGE'!$BF$5&lt;&gt;"",--('POINTAGE'!BF238="Absent"),0),IF('POINTAGE'!$BH$5&lt;&gt;"",--('POINTAGE'!BH238="Absent"),0),IF('POINTAGE'!$BJ$5&lt;&gt;"",--('POINTAGE'!BJ238="Absent"),0),IF('POINTAGE'!$BL$5&lt;&gt;"",--('POINTAGE'!BL238="Absent"),0)))</f>
      </c>
      <c r="P238" s="23">
        <f>IF($A238="","",SUM(IF('POINTAGE'!$AH$5&lt;&gt;"",IF('POINTAGE'!AH238="Présent",'POINTAGE'!AI238,0),0),IF('POINTAGE'!$AJ$5&lt;&gt;"",IF('POINTAGE'!AJ238="Présent",'POINTAGE'!AK238,0),0),IF('POINTAGE'!$AL$5&lt;&gt;"",IF('POINTAGE'!AL238="Présent",'POINTAGE'!AM238,0),0),IF('POINTAGE'!$AN$5&lt;&gt;"",IF('POINTAGE'!AN238="Présent",'POINTAGE'!AO238,0),0),IF('POINTAGE'!$AP$5&lt;&gt;"",IF('POINTAGE'!AP238="Présent",'POINTAGE'!AQ238,0),0),IF('POINTAGE'!$AR$5&lt;&gt;"",IF('POINTAGE'!AR238="Présent",'POINTAGE'!AS238,0),0),IF('POINTAGE'!$AT$5&lt;&gt;"",IF('POINTAGE'!AT238="Présent",'POINTAGE'!AU238,0),0),IF('POINTAGE'!$AV$5&lt;&gt;"",IF('POINTAGE'!AV238="Présent",'POINTAGE'!AW238,0),0),IF('POINTAGE'!$AX$5&lt;&gt;"",IF('POINTAGE'!AX238="Présent",'POINTAGE'!AY238,0),0),IF('POINTAGE'!$AZ$5&lt;&gt;"",IF('POINTAGE'!AZ238="Présent",'POINTAGE'!BA238,0),0),IF('POINTAGE'!$BB$5&lt;&gt;"",IF('POINTAGE'!BB238="Présent",'POINTAGE'!BC238,0),0),IF('POINTAGE'!$BD$5&lt;&gt;"",IF('POINTAGE'!BD238="Présent",'POINTAGE'!BE238,0),0),IF('POINTAGE'!$BF$5&lt;&gt;"",IF('POINTAGE'!BF238="Présent",'POINTAGE'!BG238,0),0),IF('POINTAGE'!$BH$5&lt;&gt;"",IF('POINTAGE'!BH238="Présent",'POINTAGE'!BI238,0),0),IF('POINTAGE'!$BJ$5&lt;&gt;"",IF('POINTAGE'!BJ238="Présent",'POINTAGE'!BK238,0),0),IF('POINTAGE'!$BL$5&lt;&gt;"",IF('POINTAGE'!BL238="Présent",'POINTAGE'!BM238,0),0)))</f>
      </c>
      <c r="Q238" s="24">
        <f>IF($A238="","",$N238*$D238)</f>
      </c>
      <c r="R238" s="24">
        <f>IF($A238="","",$P238*$E238)</f>
      </c>
      <c r="S238" s="25">
        <f>IF($A238="","",$Q238+$R238)</f>
      </c>
      <c r="T238" s="18"/>
      <c r="U238" s="25">
        <f>IF($A238="","",MAX(0,$S238-$T238))</f>
      </c>
      <c r="V238" s="25">
        <f>IF($A238="","",$K238+$S238)</f>
      </c>
      <c r="W238" s="24">
        <f>IF($A238="","",$L238+$T238)</f>
      </c>
      <c r="X238" s="25">
        <f>IF($A238="","",$M238+$U238)</f>
      </c>
      <c r="Y238" s="29">
        <f>IF($A238="","",$J238+$R238)</f>
      </c>
    </row>
    <row r="239">
      <c r="A239" s="20">
        <f>IF('POINTAGE'!A239="","",'POINTAGE'!A239)</f>
      </c>
      <c r="B239" s="19">
        <f>IF($A239="","",'POINTAGE'!B239)</f>
      </c>
      <c r="C239" s="20">
        <f>IF($A239="","",'POINTAGE'!C239)</f>
      </c>
      <c r="D239" s="24">
        <f>IF($A239="","",IFERROR(INDEX(Categories_Salaire,MATCH($C239,ListeCategories,0)),0))</f>
      </c>
      <c r="E239" s="24">
        <f>IF($A239="","",IF(IFERROR(INDEX(Categories_TauxHS,MATCH($C239,ListeCategories,0)),0)&gt;0,IFERROR(INDEX(Categories_TauxHS,MATCH($C239,ListeCategories,0)),0),TauxHSDefaut))</f>
      </c>
      <c r="F239" s="22">
        <f>IF($A239="","",SUM(IF('POINTAGE'!$D$5&lt;&gt;"",--('POINTAGE'!D239="Présent"),0),IF('POINTAGE'!$F$5&lt;&gt;"",--('POINTAGE'!F239="Présent"),0),IF('POINTAGE'!$H$5&lt;&gt;"",--('POINTAGE'!H239="Présent"),0),IF('POINTAGE'!$J$5&lt;&gt;"",--('POINTAGE'!J239="Présent"),0),IF('POINTAGE'!$L$5&lt;&gt;"",--('POINTAGE'!L239="Présent"),0),IF('POINTAGE'!$N$5&lt;&gt;"",--('POINTAGE'!N239="Présent"),0),IF('POINTAGE'!$P$5&lt;&gt;"",--('POINTAGE'!P239="Présent"),0),IF('POINTAGE'!$R$5&lt;&gt;"",--('POINTAGE'!R239="Présent"),0),IF('POINTAGE'!$T$5&lt;&gt;"",--('POINTAGE'!T239="Présent"),0),IF('POINTAGE'!$V$5&lt;&gt;"",--('POINTAGE'!V239="Présent"),0),IF('POINTAGE'!$X$5&lt;&gt;"",--('POINTAGE'!X239="Présent"),0),IF('POINTAGE'!$Z$5&lt;&gt;"",--('POINTAGE'!Z239="Présent"),0),IF('POINTAGE'!$AB$5&lt;&gt;"",--('POINTAGE'!AB239="Présent"),0),IF('POINTAGE'!$AD$5&lt;&gt;"",--('POINTAGE'!AD239="Présent"),0),IF('POINTAGE'!$AF$5&lt;&gt;"",--('POINTAGE'!AF239="Présent"),0)))</f>
      </c>
      <c r="G239" s="22">
        <f>IF($A239="","",SUM(IF('POINTAGE'!$D$5&lt;&gt;"",--('POINTAGE'!D239="Absent"),0),IF('POINTAGE'!$F$5&lt;&gt;"",--('POINTAGE'!F239="Absent"),0),IF('POINTAGE'!$H$5&lt;&gt;"",--('POINTAGE'!H239="Absent"),0),IF('POINTAGE'!$J$5&lt;&gt;"",--('POINTAGE'!J239="Absent"),0),IF('POINTAGE'!$L$5&lt;&gt;"",--('POINTAGE'!L239="Absent"),0),IF('POINTAGE'!$N$5&lt;&gt;"",--('POINTAGE'!N239="Absent"),0),IF('POINTAGE'!$P$5&lt;&gt;"",--('POINTAGE'!P239="Absent"),0),IF('POINTAGE'!$R$5&lt;&gt;"",--('POINTAGE'!R239="Absent"),0),IF('POINTAGE'!$T$5&lt;&gt;"",--('POINTAGE'!T239="Absent"),0),IF('POINTAGE'!$V$5&lt;&gt;"",--('POINTAGE'!V239="Absent"),0),IF('POINTAGE'!$X$5&lt;&gt;"",--('POINTAGE'!X239="Absent"),0),IF('POINTAGE'!$Z$5&lt;&gt;"",--('POINTAGE'!Z239="Absent"),0),IF('POINTAGE'!$AB$5&lt;&gt;"",--('POINTAGE'!AB239="Absent"),0),IF('POINTAGE'!$AD$5&lt;&gt;"",--('POINTAGE'!AD239="Absent"),0),IF('POINTAGE'!$AF$5&lt;&gt;"",--('POINTAGE'!AF239="Absent"),0)))</f>
      </c>
      <c r="H239" s="23">
        <f>IF($A239="","",SUM(IF('POINTAGE'!$D$5&lt;&gt;"",IF('POINTAGE'!D239="Présent",'POINTAGE'!E239,0),0),IF('POINTAGE'!$F$5&lt;&gt;"",IF('POINTAGE'!F239="Présent",'POINTAGE'!G239,0),0),IF('POINTAGE'!$H$5&lt;&gt;"",IF('POINTAGE'!H239="Présent",'POINTAGE'!I239,0),0),IF('POINTAGE'!$J$5&lt;&gt;"",IF('POINTAGE'!J239="Présent",'POINTAGE'!K239,0),0),IF('POINTAGE'!$L$5&lt;&gt;"",IF('POINTAGE'!L239="Présent",'POINTAGE'!M239,0),0),IF('POINTAGE'!$N$5&lt;&gt;"",IF('POINTAGE'!N239="Présent",'POINTAGE'!O239,0),0),IF('POINTAGE'!$P$5&lt;&gt;"",IF('POINTAGE'!P239="Présent",'POINTAGE'!Q239,0),0),IF('POINTAGE'!$R$5&lt;&gt;"",IF('POINTAGE'!R239="Présent",'POINTAGE'!S239,0),0),IF('POINTAGE'!$T$5&lt;&gt;"",IF('POINTAGE'!T239="Présent",'POINTAGE'!U239,0),0),IF('POINTAGE'!$V$5&lt;&gt;"",IF('POINTAGE'!V239="Présent",'POINTAGE'!W239,0),0),IF('POINTAGE'!$X$5&lt;&gt;"",IF('POINTAGE'!X239="Présent",'POINTAGE'!Y239,0),0),IF('POINTAGE'!$Z$5&lt;&gt;"",IF('POINTAGE'!Z239="Présent",'POINTAGE'!AA239,0),0),IF('POINTAGE'!$AB$5&lt;&gt;"",IF('POINTAGE'!AB239="Présent",'POINTAGE'!AC239,0),0),IF('POINTAGE'!$AD$5&lt;&gt;"",IF('POINTAGE'!AD239="Présent",'POINTAGE'!AE239,0),0),IF('POINTAGE'!$AF$5&lt;&gt;"",IF('POINTAGE'!AF239="Présent",'POINTAGE'!AG239,0),0)))</f>
      </c>
      <c r="I239" s="24">
        <f>IF($A239="","",$F239*$D239)</f>
      </c>
      <c r="J239" s="24">
        <f>IF($A239="","",$H239*$E239)</f>
      </c>
      <c r="K239" s="25">
        <f>IF($A239="","",$I239+$J239)</f>
      </c>
      <c r="L239" s="18"/>
      <c r="M239" s="25">
        <f>IF($A239="","",MAX(0,$K239-$L239))</f>
      </c>
      <c r="N239" s="22">
        <f>IF($A239="","",SUM(IF('POINTAGE'!$AH$5&lt;&gt;"",--('POINTAGE'!AH239="Présent"),0),IF('POINTAGE'!$AJ$5&lt;&gt;"",--('POINTAGE'!AJ239="Présent"),0),IF('POINTAGE'!$AL$5&lt;&gt;"",--('POINTAGE'!AL239="Présent"),0),IF('POINTAGE'!$AN$5&lt;&gt;"",--('POINTAGE'!AN239="Présent"),0),IF('POINTAGE'!$AP$5&lt;&gt;"",--('POINTAGE'!AP239="Présent"),0),IF('POINTAGE'!$AR$5&lt;&gt;"",--('POINTAGE'!AR239="Présent"),0),IF('POINTAGE'!$AT$5&lt;&gt;"",--('POINTAGE'!AT239="Présent"),0),IF('POINTAGE'!$AV$5&lt;&gt;"",--('POINTAGE'!AV239="Présent"),0),IF('POINTAGE'!$AX$5&lt;&gt;"",--('POINTAGE'!AX239="Présent"),0),IF('POINTAGE'!$AZ$5&lt;&gt;"",--('POINTAGE'!AZ239="Présent"),0),IF('POINTAGE'!$BB$5&lt;&gt;"",--('POINTAGE'!BB239="Présent"),0),IF('POINTAGE'!$BD$5&lt;&gt;"",--('POINTAGE'!BD239="Présent"),0),IF('POINTAGE'!$BF$5&lt;&gt;"",--('POINTAGE'!BF239="Présent"),0),IF('POINTAGE'!$BH$5&lt;&gt;"",--('POINTAGE'!BH239="Présent"),0),IF('POINTAGE'!$BJ$5&lt;&gt;"",--('POINTAGE'!BJ239="Présent"),0),IF('POINTAGE'!$BL$5&lt;&gt;"",--('POINTAGE'!BL239="Présent"),0)))</f>
      </c>
      <c r="O239" s="22">
        <f>IF($A239="","",SUM(IF('POINTAGE'!$AH$5&lt;&gt;"",--('POINTAGE'!AH239="Absent"),0),IF('POINTAGE'!$AJ$5&lt;&gt;"",--('POINTAGE'!AJ239="Absent"),0),IF('POINTAGE'!$AL$5&lt;&gt;"",--('POINTAGE'!AL239="Absent"),0),IF('POINTAGE'!$AN$5&lt;&gt;"",--('POINTAGE'!AN239="Absent"),0),IF('POINTAGE'!$AP$5&lt;&gt;"",--('POINTAGE'!AP239="Absent"),0),IF('POINTAGE'!$AR$5&lt;&gt;"",--('POINTAGE'!AR239="Absent"),0),IF('POINTAGE'!$AT$5&lt;&gt;"",--('POINTAGE'!AT239="Absent"),0),IF('POINTAGE'!$AV$5&lt;&gt;"",--('POINTAGE'!AV239="Absent"),0),IF('POINTAGE'!$AX$5&lt;&gt;"",--('POINTAGE'!AX239="Absent"),0),IF('POINTAGE'!$AZ$5&lt;&gt;"",--('POINTAGE'!AZ239="Absent"),0),IF('POINTAGE'!$BB$5&lt;&gt;"",--('POINTAGE'!BB239="Absent"),0),IF('POINTAGE'!$BD$5&lt;&gt;"",--('POINTAGE'!BD239="Absent"),0),IF('POINTAGE'!$BF$5&lt;&gt;"",--('POINTAGE'!BF239="Absent"),0),IF('POINTAGE'!$BH$5&lt;&gt;"",--('POINTAGE'!BH239="Absent"),0),IF('POINTAGE'!$BJ$5&lt;&gt;"",--('POINTAGE'!BJ239="Absent"),0),IF('POINTAGE'!$BL$5&lt;&gt;"",--('POINTAGE'!BL239="Absent"),0)))</f>
      </c>
      <c r="P239" s="23">
        <f>IF($A239="","",SUM(IF('POINTAGE'!$AH$5&lt;&gt;"",IF('POINTAGE'!AH239="Présent",'POINTAGE'!AI239,0),0),IF('POINTAGE'!$AJ$5&lt;&gt;"",IF('POINTAGE'!AJ239="Présent",'POINTAGE'!AK239,0),0),IF('POINTAGE'!$AL$5&lt;&gt;"",IF('POINTAGE'!AL239="Présent",'POINTAGE'!AM239,0),0),IF('POINTAGE'!$AN$5&lt;&gt;"",IF('POINTAGE'!AN239="Présent",'POINTAGE'!AO239,0),0),IF('POINTAGE'!$AP$5&lt;&gt;"",IF('POINTAGE'!AP239="Présent",'POINTAGE'!AQ239,0),0),IF('POINTAGE'!$AR$5&lt;&gt;"",IF('POINTAGE'!AR239="Présent",'POINTAGE'!AS239,0),0),IF('POINTAGE'!$AT$5&lt;&gt;"",IF('POINTAGE'!AT239="Présent",'POINTAGE'!AU239,0),0),IF('POINTAGE'!$AV$5&lt;&gt;"",IF('POINTAGE'!AV239="Présent",'POINTAGE'!AW239,0),0),IF('POINTAGE'!$AX$5&lt;&gt;"",IF('POINTAGE'!AX239="Présent",'POINTAGE'!AY239,0),0),IF('POINTAGE'!$AZ$5&lt;&gt;"",IF('POINTAGE'!AZ239="Présent",'POINTAGE'!BA239,0),0),IF('POINTAGE'!$BB$5&lt;&gt;"",IF('POINTAGE'!BB239="Présent",'POINTAGE'!BC239,0),0),IF('POINTAGE'!$BD$5&lt;&gt;"",IF('POINTAGE'!BD239="Présent",'POINTAGE'!BE239,0),0),IF('POINTAGE'!$BF$5&lt;&gt;"",IF('POINTAGE'!BF239="Présent",'POINTAGE'!BG239,0),0),IF('POINTAGE'!$BH$5&lt;&gt;"",IF('POINTAGE'!BH239="Présent",'POINTAGE'!BI239,0),0),IF('POINTAGE'!$BJ$5&lt;&gt;"",IF('POINTAGE'!BJ239="Présent",'POINTAGE'!BK239,0),0),IF('POINTAGE'!$BL$5&lt;&gt;"",IF('POINTAGE'!BL239="Présent",'POINTAGE'!BM239,0),0)))</f>
      </c>
      <c r="Q239" s="24">
        <f>IF($A239="","",$N239*$D239)</f>
      </c>
      <c r="R239" s="24">
        <f>IF($A239="","",$P239*$E239)</f>
      </c>
      <c r="S239" s="25">
        <f>IF($A239="","",$Q239+$R239)</f>
      </c>
      <c r="T239" s="18"/>
      <c r="U239" s="25">
        <f>IF($A239="","",MAX(0,$S239-$T239))</f>
      </c>
      <c r="V239" s="25">
        <f>IF($A239="","",$K239+$S239)</f>
      </c>
      <c r="W239" s="24">
        <f>IF($A239="","",$L239+$T239)</f>
      </c>
      <c r="X239" s="25">
        <f>IF($A239="","",$M239+$U239)</f>
      </c>
      <c r="Y239" s="29">
        <f>IF($A239="","",$J239+$R239)</f>
      </c>
    </row>
    <row r="240">
      <c r="A240" s="20">
        <f>IF('POINTAGE'!A240="","",'POINTAGE'!A240)</f>
      </c>
      <c r="B240" s="19">
        <f>IF($A240="","",'POINTAGE'!B240)</f>
      </c>
      <c r="C240" s="20">
        <f>IF($A240="","",'POINTAGE'!C240)</f>
      </c>
      <c r="D240" s="24">
        <f>IF($A240="","",IFERROR(INDEX(Categories_Salaire,MATCH($C240,ListeCategories,0)),0))</f>
      </c>
      <c r="E240" s="24">
        <f>IF($A240="","",IF(IFERROR(INDEX(Categories_TauxHS,MATCH($C240,ListeCategories,0)),0)&gt;0,IFERROR(INDEX(Categories_TauxHS,MATCH($C240,ListeCategories,0)),0),TauxHSDefaut))</f>
      </c>
      <c r="F240" s="22">
        <f>IF($A240="","",SUM(IF('POINTAGE'!$D$5&lt;&gt;"",--('POINTAGE'!D240="Présent"),0),IF('POINTAGE'!$F$5&lt;&gt;"",--('POINTAGE'!F240="Présent"),0),IF('POINTAGE'!$H$5&lt;&gt;"",--('POINTAGE'!H240="Présent"),0),IF('POINTAGE'!$J$5&lt;&gt;"",--('POINTAGE'!J240="Présent"),0),IF('POINTAGE'!$L$5&lt;&gt;"",--('POINTAGE'!L240="Présent"),0),IF('POINTAGE'!$N$5&lt;&gt;"",--('POINTAGE'!N240="Présent"),0),IF('POINTAGE'!$P$5&lt;&gt;"",--('POINTAGE'!P240="Présent"),0),IF('POINTAGE'!$R$5&lt;&gt;"",--('POINTAGE'!R240="Présent"),0),IF('POINTAGE'!$T$5&lt;&gt;"",--('POINTAGE'!T240="Présent"),0),IF('POINTAGE'!$V$5&lt;&gt;"",--('POINTAGE'!V240="Présent"),0),IF('POINTAGE'!$X$5&lt;&gt;"",--('POINTAGE'!X240="Présent"),0),IF('POINTAGE'!$Z$5&lt;&gt;"",--('POINTAGE'!Z240="Présent"),0),IF('POINTAGE'!$AB$5&lt;&gt;"",--('POINTAGE'!AB240="Présent"),0),IF('POINTAGE'!$AD$5&lt;&gt;"",--('POINTAGE'!AD240="Présent"),0),IF('POINTAGE'!$AF$5&lt;&gt;"",--('POINTAGE'!AF240="Présent"),0)))</f>
      </c>
      <c r="G240" s="22">
        <f>IF($A240="","",SUM(IF('POINTAGE'!$D$5&lt;&gt;"",--('POINTAGE'!D240="Absent"),0),IF('POINTAGE'!$F$5&lt;&gt;"",--('POINTAGE'!F240="Absent"),0),IF('POINTAGE'!$H$5&lt;&gt;"",--('POINTAGE'!H240="Absent"),0),IF('POINTAGE'!$J$5&lt;&gt;"",--('POINTAGE'!J240="Absent"),0),IF('POINTAGE'!$L$5&lt;&gt;"",--('POINTAGE'!L240="Absent"),0),IF('POINTAGE'!$N$5&lt;&gt;"",--('POINTAGE'!N240="Absent"),0),IF('POINTAGE'!$P$5&lt;&gt;"",--('POINTAGE'!P240="Absent"),0),IF('POINTAGE'!$R$5&lt;&gt;"",--('POINTAGE'!R240="Absent"),0),IF('POINTAGE'!$T$5&lt;&gt;"",--('POINTAGE'!T240="Absent"),0),IF('POINTAGE'!$V$5&lt;&gt;"",--('POINTAGE'!V240="Absent"),0),IF('POINTAGE'!$X$5&lt;&gt;"",--('POINTAGE'!X240="Absent"),0),IF('POINTAGE'!$Z$5&lt;&gt;"",--('POINTAGE'!Z240="Absent"),0),IF('POINTAGE'!$AB$5&lt;&gt;"",--('POINTAGE'!AB240="Absent"),0),IF('POINTAGE'!$AD$5&lt;&gt;"",--('POINTAGE'!AD240="Absent"),0),IF('POINTAGE'!$AF$5&lt;&gt;"",--('POINTAGE'!AF240="Absent"),0)))</f>
      </c>
      <c r="H240" s="23">
        <f>IF($A240="","",SUM(IF('POINTAGE'!$D$5&lt;&gt;"",IF('POINTAGE'!D240="Présent",'POINTAGE'!E240,0),0),IF('POINTAGE'!$F$5&lt;&gt;"",IF('POINTAGE'!F240="Présent",'POINTAGE'!G240,0),0),IF('POINTAGE'!$H$5&lt;&gt;"",IF('POINTAGE'!H240="Présent",'POINTAGE'!I240,0),0),IF('POINTAGE'!$J$5&lt;&gt;"",IF('POINTAGE'!J240="Présent",'POINTAGE'!K240,0),0),IF('POINTAGE'!$L$5&lt;&gt;"",IF('POINTAGE'!L240="Présent",'POINTAGE'!M240,0),0),IF('POINTAGE'!$N$5&lt;&gt;"",IF('POINTAGE'!N240="Présent",'POINTAGE'!O240,0),0),IF('POINTAGE'!$P$5&lt;&gt;"",IF('POINTAGE'!P240="Présent",'POINTAGE'!Q240,0),0),IF('POINTAGE'!$R$5&lt;&gt;"",IF('POINTAGE'!R240="Présent",'POINTAGE'!S240,0),0),IF('POINTAGE'!$T$5&lt;&gt;"",IF('POINTAGE'!T240="Présent",'POINTAGE'!U240,0),0),IF('POINTAGE'!$V$5&lt;&gt;"",IF('POINTAGE'!V240="Présent",'POINTAGE'!W240,0),0),IF('POINTAGE'!$X$5&lt;&gt;"",IF('POINTAGE'!X240="Présent",'POINTAGE'!Y240,0),0),IF('POINTAGE'!$Z$5&lt;&gt;"",IF('POINTAGE'!Z240="Présent",'POINTAGE'!AA240,0),0),IF('POINTAGE'!$AB$5&lt;&gt;"",IF('POINTAGE'!AB240="Présent",'POINTAGE'!AC240,0),0),IF('POINTAGE'!$AD$5&lt;&gt;"",IF('POINTAGE'!AD240="Présent",'POINTAGE'!AE240,0),0),IF('POINTAGE'!$AF$5&lt;&gt;"",IF('POINTAGE'!AF240="Présent",'POINTAGE'!AG240,0),0)))</f>
      </c>
      <c r="I240" s="24">
        <f>IF($A240="","",$F240*$D240)</f>
      </c>
      <c r="J240" s="24">
        <f>IF($A240="","",$H240*$E240)</f>
      </c>
      <c r="K240" s="25">
        <f>IF($A240="","",$I240+$J240)</f>
      </c>
      <c r="L240" s="18"/>
      <c r="M240" s="25">
        <f>IF($A240="","",MAX(0,$K240-$L240))</f>
      </c>
      <c r="N240" s="22">
        <f>IF($A240="","",SUM(IF('POINTAGE'!$AH$5&lt;&gt;"",--('POINTAGE'!AH240="Présent"),0),IF('POINTAGE'!$AJ$5&lt;&gt;"",--('POINTAGE'!AJ240="Présent"),0),IF('POINTAGE'!$AL$5&lt;&gt;"",--('POINTAGE'!AL240="Présent"),0),IF('POINTAGE'!$AN$5&lt;&gt;"",--('POINTAGE'!AN240="Présent"),0),IF('POINTAGE'!$AP$5&lt;&gt;"",--('POINTAGE'!AP240="Présent"),0),IF('POINTAGE'!$AR$5&lt;&gt;"",--('POINTAGE'!AR240="Présent"),0),IF('POINTAGE'!$AT$5&lt;&gt;"",--('POINTAGE'!AT240="Présent"),0),IF('POINTAGE'!$AV$5&lt;&gt;"",--('POINTAGE'!AV240="Présent"),0),IF('POINTAGE'!$AX$5&lt;&gt;"",--('POINTAGE'!AX240="Présent"),0),IF('POINTAGE'!$AZ$5&lt;&gt;"",--('POINTAGE'!AZ240="Présent"),0),IF('POINTAGE'!$BB$5&lt;&gt;"",--('POINTAGE'!BB240="Présent"),0),IF('POINTAGE'!$BD$5&lt;&gt;"",--('POINTAGE'!BD240="Présent"),0),IF('POINTAGE'!$BF$5&lt;&gt;"",--('POINTAGE'!BF240="Présent"),0),IF('POINTAGE'!$BH$5&lt;&gt;"",--('POINTAGE'!BH240="Présent"),0),IF('POINTAGE'!$BJ$5&lt;&gt;"",--('POINTAGE'!BJ240="Présent"),0),IF('POINTAGE'!$BL$5&lt;&gt;"",--('POINTAGE'!BL240="Présent"),0)))</f>
      </c>
      <c r="O240" s="22">
        <f>IF($A240="","",SUM(IF('POINTAGE'!$AH$5&lt;&gt;"",--('POINTAGE'!AH240="Absent"),0),IF('POINTAGE'!$AJ$5&lt;&gt;"",--('POINTAGE'!AJ240="Absent"),0),IF('POINTAGE'!$AL$5&lt;&gt;"",--('POINTAGE'!AL240="Absent"),0),IF('POINTAGE'!$AN$5&lt;&gt;"",--('POINTAGE'!AN240="Absent"),0),IF('POINTAGE'!$AP$5&lt;&gt;"",--('POINTAGE'!AP240="Absent"),0),IF('POINTAGE'!$AR$5&lt;&gt;"",--('POINTAGE'!AR240="Absent"),0),IF('POINTAGE'!$AT$5&lt;&gt;"",--('POINTAGE'!AT240="Absent"),0),IF('POINTAGE'!$AV$5&lt;&gt;"",--('POINTAGE'!AV240="Absent"),0),IF('POINTAGE'!$AX$5&lt;&gt;"",--('POINTAGE'!AX240="Absent"),0),IF('POINTAGE'!$AZ$5&lt;&gt;"",--('POINTAGE'!AZ240="Absent"),0),IF('POINTAGE'!$BB$5&lt;&gt;"",--('POINTAGE'!BB240="Absent"),0),IF('POINTAGE'!$BD$5&lt;&gt;"",--('POINTAGE'!BD240="Absent"),0),IF('POINTAGE'!$BF$5&lt;&gt;"",--('POINTAGE'!BF240="Absent"),0),IF('POINTAGE'!$BH$5&lt;&gt;"",--('POINTAGE'!BH240="Absent"),0),IF('POINTAGE'!$BJ$5&lt;&gt;"",--('POINTAGE'!BJ240="Absent"),0),IF('POINTAGE'!$BL$5&lt;&gt;"",--('POINTAGE'!BL240="Absent"),0)))</f>
      </c>
      <c r="P240" s="23">
        <f>IF($A240="","",SUM(IF('POINTAGE'!$AH$5&lt;&gt;"",IF('POINTAGE'!AH240="Présent",'POINTAGE'!AI240,0),0),IF('POINTAGE'!$AJ$5&lt;&gt;"",IF('POINTAGE'!AJ240="Présent",'POINTAGE'!AK240,0),0),IF('POINTAGE'!$AL$5&lt;&gt;"",IF('POINTAGE'!AL240="Présent",'POINTAGE'!AM240,0),0),IF('POINTAGE'!$AN$5&lt;&gt;"",IF('POINTAGE'!AN240="Présent",'POINTAGE'!AO240,0),0),IF('POINTAGE'!$AP$5&lt;&gt;"",IF('POINTAGE'!AP240="Présent",'POINTAGE'!AQ240,0),0),IF('POINTAGE'!$AR$5&lt;&gt;"",IF('POINTAGE'!AR240="Présent",'POINTAGE'!AS240,0),0),IF('POINTAGE'!$AT$5&lt;&gt;"",IF('POINTAGE'!AT240="Présent",'POINTAGE'!AU240,0),0),IF('POINTAGE'!$AV$5&lt;&gt;"",IF('POINTAGE'!AV240="Présent",'POINTAGE'!AW240,0),0),IF('POINTAGE'!$AX$5&lt;&gt;"",IF('POINTAGE'!AX240="Présent",'POINTAGE'!AY240,0),0),IF('POINTAGE'!$AZ$5&lt;&gt;"",IF('POINTAGE'!AZ240="Présent",'POINTAGE'!BA240,0),0),IF('POINTAGE'!$BB$5&lt;&gt;"",IF('POINTAGE'!BB240="Présent",'POINTAGE'!BC240,0),0),IF('POINTAGE'!$BD$5&lt;&gt;"",IF('POINTAGE'!BD240="Présent",'POINTAGE'!BE240,0),0),IF('POINTAGE'!$BF$5&lt;&gt;"",IF('POINTAGE'!BF240="Présent",'POINTAGE'!BG240,0),0),IF('POINTAGE'!$BH$5&lt;&gt;"",IF('POINTAGE'!BH240="Présent",'POINTAGE'!BI240,0),0),IF('POINTAGE'!$BJ$5&lt;&gt;"",IF('POINTAGE'!BJ240="Présent",'POINTAGE'!BK240,0),0),IF('POINTAGE'!$BL$5&lt;&gt;"",IF('POINTAGE'!BL240="Présent",'POINTAGE'!BM240,0),0)))</f>
      </c>
      <c r="Q240" s="24">
        <f>IF($A240="","",$N240*$D240)</f>
      </c>
      <c r="R240" s="24">
        <f>IF($A240="","",$P240*$E240)</f>
      </c>
      <c r="S240" s="25">
        <f>IF($A240="","",$Q240+$R240)</f>
      </c>
      <c r="T240" s="18"/>
      <c r="U240" s="25">
        <f>IF($A240="","",MAX(0,$S240-$T240))</f>
      </c>
      <c r="V240" s="25">
        <f>IF($A240="","",$K240+$S240)</f>
      </c>
      <c r="W240" s="24">
        <f>IF($A240="","",$L240+$T240)</f>
      </c>
      <c r="X240" s="25">
        <f>IF($A240="","",$M240+$U240)</f>
      </c>
      <c r="Y240" s="29">
        <f>IF($A240="","",$J240+$R240)</f>
      </c>
    </row>
    <row r="241">
      <c r="A241" s="20">
        <f>IF('POINTAGE'!A241="","",'POINTAGE'!A241)</f>
      </c>
      <c r="B241" s="19">
        <f>IF($A241="","",'POINTAGE'!B241)</f>
      </c>
      <c r="C241" s="20">
        <f>IF($A241="","",'POINTAGE'!C241)</f>
      </c>
      <c r="D241" s="24">
        <f>IF($A241="","",IFERROR(INDEX(Categories_Salaire,MATCH($C241,ListeCategories,0)),0))</f>
      </c>
      <c r="E241" s="24">
        <f>IF($A241="","",IF(IFERROR(INDEX(Categories_TauxHS,MATCH($C241,ListeCategories,0)),0)&gt;0,IFERROR(INDEX(Categories_TauxHS,MATCH($C241,ListeCategories,0)),0),TauxHSDefaut))</f>
      </c>
      <c r="F241" s="22">
        <f>IF($A241="","",SUM(IF('POINTAGE'!$D$5&lt;&gt;"",--('POINTAGE'!D241="Présent"),0),IF('POINTAGE'!$F$5&lt;&gt;"",--('POINTAGE'!F241="Présent"),0),IF('POINTAGE'!$H$5&lt;&gt;"",--('POINTAGE'!H241="Présent"),0),IF('POINTAGE'!$J$5&lt;&gt;"",--('POINTAGE'!J241="Présent"),0),IF('POINTAGE'!$L$5&lt;&gt;"",--('POINTAGE'!L241="Présent"),0),IF('POINTAGE'!$N$5&lt;&gt;"",--('POINTAGE'!N241="Présent"),0),IF('POINTAGE'!$P$5&lt;&gt;"",--('POINTAGE'!P241="Présent"),0),IF('POINTAGE'!$R$5&lt;&gt;"",--('POINTAGE'!R241="Présent"),0),IF('POINTAGE'!$T$5&lt;&gt;"",--('POINTAGE'!T241="Présent"),0),IF('POINTAGE'!$V$5&lt;&gt;"",--('POINTAGE'!V241="Présent"),0),IF('POINTAGE'!$X$5&lt;&gt;"",--('POINTAGE'!X241="Présent"),0),IF('POINTAGE'!$Z$5&lt;&gt;"",--('POINTAGE'!Z241="Présent"),0),IF('POINTAGE'!$AB$5&lt;&gt;"",--('POINTAGE'!AB241="Présent"),0),IF('POINTAGE'!$AD$5&lt;&gt;"",--('POINTAGE'!AD241="Présent"),0),IF('POINTAGE'!$AF$5&lt;&gt;"",--('POINTAGE'!AF241="Présent"),0)))</f>
      </c>
      <c r="G241" s="22">
        <f>IF($A241="","",SUM(IF('POINTAGE'!$D$5&lt;&gt;"",--('POINTAGE'!D241="Absent"),0),IF('POINTAGE'!$F$5&lt;&gt;"",--('POINTAGE'!F241="Absent"),0),IF('POINTAGE'!$H$5&lt;&gt;"",--('POINTAGE'!H241="Absent"),0),IF('POINTAGE'!$J$5&lt;&gt;"",--('POINTAGE'!J241="Absent"),0),IF('POINTAGE'!$L$5&lt;&gt;"",--('POINTAGE'!L241="Absent"),0),IF('POINTAGE'!$N$5&lt;&gt;"",--('POINTAGE'!N241="Absent"),0),IF('POINTAGE'!$P$5&lt;&gt;"",--('POINTAGE'!P241="Absent"),0),IF('POINTAGE'!$R$5&lt;&gt;"",--('POINTAGE'!R241="Absent"),0),IF('POINTAGE'!$T$5&lt;&gt;"",--('POINTAGE'!T241="Absent"),0),IF('POINTAGE'!$V$5&lt;&gt;"",--('POINTAGE'!V241="Absent"),0),IF('POINTAGE'!$X$5&lt;&gt;"",--('POINTAGE'!X241="Absent"),0),IF('POINTAGE'!$Z$5&lt;&gt;"",--('POINTAGE'!Z241="Absent"),0),IF('POINTAGE'!$AB$5&lt;&gt;"",--('POINTAGE'!AB241="Absent"),0),IF('POINTAGE'!$AD$5&lt;&gt;"",--('POINTAGE'!AD241="Absent"),0),IF('POINTAGE'!$AF$5&lt;&gt;"",--('POINTAGE'!AF241="Absent"),0)))</f>
      </c>
      <c r="H241" s="23">
        <f>IF($A241="","",SUM(IF('POINTAGE'!$D$5&lt;&gt;"",IF('POINTAGE'!D241="Présent",'POINTAGE'!E241,0),0),IF('POINTAGE'!$F$5&lt;&gt;"",IF('POINTAGE'!F241="Présent",'POINTAGE'!G241,0),0),IF('POINTAGE'!$H$5&lt;&gt;"",IF('POINTAGE'!H241="Présent",'POINTAGE'!I241,0),0),IF('POINTAGE'!$J$5&lt;&gt;"",IF('POINTAGE'!J241="Présent",'POINTAGE'!K241,0),0),IF('POINTAGE'!$L$5&lt;&gt;"",IF('POINTAGE'!L241="Présent",'POINTAGE'!M241,0),0),IF('POINTAGE'!$N$5&lt;&gt;"",IF('POINTAGE'!N241="Présent",'POINTAGE'!O241,0),0),IF('POINTAGE'!$P$5&lt;&gt;"",IF('POINTAGE'!P241="Présent",'POINTAGE'!Q241,0),0),IF('POINTAGE'!$R$5&lt;&gt;"",IF('POINTAGE'!R241="Présent",'POINTAGE'!S241,0),0),IF('POINTAGE'!$T$5&lt;&gt;"",IF('POINTAGE'!T241="Présent",'POINTAGE'!U241,0),0),IF('POINTAGE'!$V$5&lt;&gt;"",IF('POINTAGE'!V241="Présent",'POINTAGE'!W241,0),0),IF('POINTAGE'!$X$5&lt;&gt;"",IF('POINTAGE'!X241="Présent",'POINTAGE'!Y241,0),0),IF('POINTAGE'!$Z$5&lt;&gt;"",IF('POINTAGE'!Z241="Présent",'POINTAGE'!AA241,0),0),IF('POINTAGE'!$AB$5&lt;&gt;"",IF('POINTAGE'!AB241="Présent",'POINTAGE'!AC241,0),0),IF('POINTAGE'!$AD$5&lt;&gt;"",IF('POINTAGE'!AD241="Présent",'POINTAGE'!AE241,0),0),IF('POINTAGE'!$AF$5&lt;&gt;"",IF('POINTAGE'!AF241="Présent",'POINTAGE'!AG241,0),0)))</f>
      </c>
      <c r="I241" s="24">
        <f>IF($A241="","",$F241*$D241)</f>
      </c>
      <c r="J241" s="24">
        <f>IF($A241="","",$H241*$E241)</f>
      </c>
      <c r="K241" s="25">
        <f>IF($A241="","",$I241+$J241)</f>
      </c>
      <c r="L241" s="18"/>
      <c r="M241" s="25">
        <f>IF($A241="","",MAX(0,$K241-$L241))</f>
      </c>
      <c r="N241" s="22">
        <f>IF($A241="","",SUM(IF('POINTAGE'!$AH$5&lt;&gt;"",--('POINTAGE'!AH241="Présent"),0),IF('POINTAGE'!$AJ$5&lt;&gt;"",--('POINTAGE'!AJ241="Présent"),0),IF('POINTAGE'!$AL$5&lt;&gt;"",--('POINTAGE'!AL241="Présent"),0),IF('POINTAGE'!$AN$5&lt;&gt;"",--('POINTAGE'!AN241="Présent"),0),IF('POINTAGE'!$AP$5&lt;&gt;"",--('POINTAGE'!AP241="Présent"),0),IF('POINTAGE'!$AR$5&lt;&gt;"",--('POINTAGE'!AR241="Présent"),0),IF('POINTAGE'!$AT$5&lt;&gt;"",--('POINTAGE'!AT241="Présent"),0),IF('POINTAGE'!$AV$5&lt;&gt;"",--('POINTAGE'!AV241="Présent"),0),IF('POINTAGE'!$AX$5&lt;&gt;"",--('POINTAGE'!AX241="Présent"),0),IF('POINTAGE'!$AZ$5&lt;&gt;"",--('POINTAGE'!AZ241="Présent"),0),IF('POINTAGE'!$BB$5&lt;&gt;"",--('POINTAGE'!BB241="Présent"),0),IF('POINTAGE'!$BD$5&lt;&gt;"",--('POINTAGE'!BD241="Présent"),0),IF('POINTAGE'!$BF$5&lt;&gt;"",--('POINTAGE'!BF241="Présent"),0),IF('POINTAGE'!$BH$5&lt;&gt;"",--('POINTAGE'!BH241="Présent"),0),IF('POINTAGE'!$BJ$5&lt;&gt;"",--('POINTAGE'!BJ241="Présent"),0),IF('POINTAGE'!$BL$5&lt;&gt;"",--('POINTAGE'!BL241="Présent"),0)))</f>
      </c>
      <c r="O241" s="22">
        <f>IF($A241="","",SUM(IF('POINTAGE'!$AH$5&lt;&gt;"",--('POINTAGE'!AH241="Absent"),0),IF('POINTAGE'!$AJ$5&lt;&gt;"",--('POINTAGE'!AJ241="Absent"),0),IF('POINTAGE'!$AL$5&lt;&gt;"",--('POINTAGE'!AL241="Absent"),0),IF('POINTAGE'!$AN$5&lt;&gt;"",--('POINTAGE'!AN241="Absent"),0),IF('POINTAGE'!$AP$5&lt;&gt;"",--('POINTAGE'!AP241="Absent"),0),IF('POINTAGE'!$AR$5&lt;&gt;"",--('POINTAGE'!AR241="Absent"),0),IF('POINTAGE'!$AT$5&lt;&gt;"",--('POINTAGE'!AT241="Absent"),0),IF('POINTAGE'!$AV$5&lt;&gt;"",--('POINTAGE'!AV241="Absent"),0),IF('POINTAGE'!$AX$5&lt;&gt;"",--('POINTAGE'!AX241="Absent"),0),IF('POINTAGE'!$AZ$5&lt;&gt;"",--('POINTAGE'!AZ241="Absent"),0),IF('POINTAGE'!$BB$5&lt;&gt;"",--('POINTAGE'!BB241="Absent"),0),IF('POINTAGE'!$BD$5&lt;&gt;"",--('POINTAGE'!BD241="Absent"),0),IF('POINTAGE'!$BF$5&lt;&gt;"",--('POINTAGE'!BF241="Absent"),0),IF('POINTAGE'!$BH$5&lt;&gt;"",--('POINTAGE'!BH241="Absent"),0),IF('POINTAGE'!$BJ$5&lt;&gt;"",--('POINTAGE'!BJ241="Absent"),0),IF('POINTAGE'!$BL$5&lt;&gt;"",--('POINTAGE'!BL241="Absent"),0)))</f>
      </c>
      <c r="P241" s="23">
        <f>IF($A241="","",SUM(IF('POINTAGE'!$AH$5&lt;&gt;"",IF('POINTAGE'!AH241="Présent",'POINTAGE'!AI241,0),0),IF('POINTAGE'!$AJ$5&lt;&gt;"",IF('POINTAGE'!AJ241="Présent",'POINTAGE'!AK241,0),0),IF('POINTAGE'!$AL$5&lt;&gt;"",IF('POINTAGE'!AL241="Présent",'POINTAGE'!AM241,0),0),IF('POINTAGE'!$AN$5&lt;&gt;"",IF('POINTAGE'!AN241="Présent",'POINTAGE'!AO241,0),0),IF('POINTAGE'!$AP$5&lt;&gt;"",IF('POINTAGE'!AP241="Présent",'POINTAGE'!AQ241,0),0),IF('POINTAGE'!$AR$5&lt;&gt;"",IF('POINTAGE'!AR241="Présent",'POINTAGE'!AS241,0),0),IF('POINTAGE'!$AT$5&lt;&gt;"",IF('POINTAGE'!AT241="Présent",'POINTAGE'!AU241,0),0),IF('POINTAGE'!$AV$5&lt;&gt;"",IF('POINTAGE'!AV241="Présent",'POINTAGE'!AW241,0),0),IF('POINTAGE'!$AX$5&lt;&gt;"",IF('POINTAGE'!AX241="Présent",'POINTAGE'!AY241,0),0),IF('POINTAGE'!$AZ$5&lt;&gt;"",IF('POINTAGE'!AZ241="Présent",'POINTAGE'!BA241,0),0),IF('POINTAGE'!$BB$5&lt;&gt;"",IF('POINTAGE'!BB241="Présent",'POINTAGE'!BC241,0),0),IF('POINTAGE'!$BD$5&lt;&gt;"",IF('POINTAGE'!BD241="Présent",'POINTAGE'!BE241,0),0),IF('POINTAGE'!$BF$5&lt;&gt;"",IF('POINTAGE'!BF241="Présent",'POINTAGE'!BG241,0),0),IF('POINTAGE'!$BH$5&lt;&gt;"",IF('POINTAGE'!BH241="Présent",'POINTAGE'!BI241,0),0),IF('POINTAGE'!$BJ$5&lt;&gt;"",IF('POINTAGE'!BJ241="Présent",'POINTAGE'!BK241,0),0),IF('POINTAGE'!$BL$5&lt;&gt;"",IF('POINTAGE'!BL241="Présent",'POINTAGE'!BM241,0),0)))</f>
      </c>
      <c r="Q241" s="24">
        <f>IF($A241="","",$N241*$D241)</f>
      </c>
      <c r="R241" s="24">
        <f>IF($A241="","",$P241*$E241)</f>
      </c>
      <c r="S241" s="25">
        <f>IF($A241="","",$Q241+$R241)</f>
      </c>
      <c r="T241" s="18"/>
      <c r="U241" s="25">
        <f>IF($A241="","",MAX(0,$S241-$T241))</f>
      </c>
      <c r="V241" s="25">
        <f>IF($A241="","",$K241+$S241)</f>
      </c>
      <c r="W241" s="24">
        <f>IF($A241="","",$L241+$T241)</f>
      </c>
      <c r="X241" s="25">
        <f>IF($A241="","",$M241+$U241)</f>
      </c>
      <c r="Y241" s="29">
        <f>IF($A241="","",$J241+$R241)</f>
      </c>
    </row>
    <row r="242">
      <c r="A242" s="20">
        <f>IF('POINTAGE'!A242="","",'POINTAGE'!A242)</f>
      </c>
      <c r="B242" s="19">
        <f>IF($A242="","",'POINTAGE'!B242)</f>
      </c>
      <c r="C242" s="20">
        <f>IF($A242="","",'POINTAGE'!C242)</f>
      </c>
      <c r="D242" s="24">
        <f>IF($A242="","",IFERROR(INDEX(Categories_Salaire,MATCH($C242,ListeCategories,0)),0))</f>
      </c>
      <c r="E242" s="24">
        <f>IF($A242="","",IF(IFERROR(INDEX(Categories_TauxHS,MATCH($C242,ListeCategories,0)),0)&gt;0,IFERROR(INDEX(Categories_TauxHS,MATCH($C242,ListeCategories,0)),0),TauxHSDefaut))</f>
      </c>
      <c r="F242" s="22">
        <f>IF($A242="","",SUM(IF('POINTAGE'!$D$5&lt;&gt;"",--('POINTAGE'!D242="Présent"),0),IF('POINTAGE'!$F$5&lt;&gt;"",--('POINTAGE'!F242="Présent"),0),IF('POINTAGE'!$H$5&lt;&gt;"",--('POINTAGE'!H242="Présent"),0),IF('POINTAGE'!$J$5&lt;&gt;"",--('POINTAGE'!J242="Présent"),0),IF('POINTAGE'!$L$5&lt;&gt;"",--('POINTAGE'!L242="Présent"),0),IF('POINTAGE'!$N$5&lt;&gt;"",--('POINTAGE'!N242="Présent"),0),IF('POINTAGE'!$P$5&lt;&gt;"",--('POINTAGE'!P242="Présent"),0),IF('POINTAGE'!$R$5&lt;&gt;"",--('POINTAGE'!R242="Présent"),0),IF('POINTAGE'!$T$5&lt;&gt;"",--('POINTAGE'!T242="Présent"),0),IF('POINTAGE'!$V$5&lt;&gt;"",--('POINTAGE'!V242="Présent"),0),IF('POINTAGE'!$X$5&lt;&gt;"",--('POINTAGE'!X242="Présent"),0),IF('POINTAGE'!$Z$5&lt;&gt;"",--('POINTAGE'!Z242="Présent"),0),IF('POINTAGE'!$AB$5&lt;&gt;"",--('POINTAGE'!AB242="Présent"),0),IF('POINTAGE'!$AD$5&lt;&gt;"",--('POINTAGE'!AD242="Présent"),0),IF('POINTAGE'!$AF$5&lt;&gt;"",--('POINTAGE'!AF242="Présent"),0)))</f>
      </c>
      <c r="G242" s="22">
        <f>IF($A242="","",SUM(IF('POINTAGE'!$D$5&lt;&gt;"",--('POINTAGE'!D242="Absent"),0),IF('POINTAGE'!$F$5&lt;&gt;"",--('POINTAGE'!F242="Absent"),0),IF('POINTAGE'!$H$5&lt;&gt;"",--('POINTAGE'!H242="Absent"),0),IF('POINTAGE'!$J$5&lt;&gt;"",--('POINTAGE'!J242="Absent"),0),IF('POINTAGE'!$L$5&lt;&gt;"",--('POINTAGE'!L242="Absent"),0),IF('POINTAGE'!$N$5&lt;&gt;"",--('POINTAGE'!N242="Absent"),0),IF('POINTAGE'!$P$5&lt;&gt;"",--('POINTAGE'!P242="Absent"),0),IF('POINTAGE'!$R$5&lt;&gt;"",--('POINTAGE'!R242="Absent"),0),IF('POINTAGE'!$T$5&lt;&gt;"",--('POINTAGE'!T242="Absent"),0),IF('POINTAGE'!$V$5&lt;&gt;"",--('POINTAGE'!V242="Absent"),0),IF('POINTAGE'!$X$5&lt;&gt;"",--('POINTAGE'!X242="Absent"),0),IF('POINTAGE'!$Z$5&lt;&gt;"",--('POINTAGE'!Z242="Absent"),0),IF('POINTAGE'!$AB$5&lt;&gt;"",--('POINTAGE'!AB242="Absent"),0),IF('POINTAGE'!$AD$5&lt;&gt;"",--('POINTAGE'!AD242="Absent"),0),IF('POINTAGE'!$AF$5&lt;&gt;"",--('POINTAGE'!AF242="Absent"),0)))</f>
      </c>
      <c r="H242" s="23">
        <f>IF($A242="","",SUM(IF('POINTAGE'!$D$5&lt;&gt;"",IF('POINTAGE'!D242="Présent",'POINTAGE'!E242,0),0),IF('POINTAGE'!$F$5&lt;&gt;"",IF('POINTAGE'!F242="Présent",'POINTAGE'!G242,0),0),IF('POINTAGE'!$H$5&lt;&gt;"",IF('POINTAGE'!H242="Présent",'POINTAGE'!I242,0),0),IF('POINTAGE'!$J$5&lt;&gt;"",IF('POINTAGE'!J242="Présent",'POINTAGE'!K242,0),0),IF('POINTAGE'!$L$5&lt;&gt;"",IF('POINTAGE'!L242="Présent",'POINTAGE'!M242,0),0),IF('POINTAGE'!$N$5&lt;&gt;"",IF('POINTAGE'!N242="Présent",'POINTAGE'!O242,0),0),IF('POINTAGE'!$P$5&lt;&gt;"",IF('POINTAGE'!P242="Présent",'POINTAGE'!Q242,0),0),IF('POINTAGE'!$R$5&lt;&gt;"",IF('POINTAGE'!R242="Présent",'POINTAGE'!S242,0),0),IF('POINTAGE'!$T$5&lt;&gt;"",IF('POINTAGE'!T242="Présent",'POINTAGE'!U242,0),0),IF('POINTAGE'!$V$5&lt;&gt;"",IF('POINTAGE'!V242="Présent",'POINTAGE'!W242,0),0),IF('POINTAGE'!$X$5&lt;&gt;"",IF('POINTAGE'!X242="Présent",'POINTAGE'!Y242,0),0),IF('POINTAGE'!$Z$5&lt;&gt;"",IF('POINTAGE'!Z242="Présent",'POINTAGE'!AA242,0),0),IF('POINTAGE'!$AB$5&lt;&gt;"",IF('POINTAGE'!AB242="Présent",'POINTAGE'!AC242,0),0),IF('POINTAGE'!$AD$5&lt;&gt;"",IF('POINTAGE'!AD242="Présent",'POINTAGE'!AE242,0),0),IF('POINTAGE'!$AF$5&lt;&gt;"",IF('POINTAGE'!AF242="Présent",'POINTAGE'!AG242,0),0)))</f>
      </c>
      <c r="I242" s="24">
        <f>IF($A242="","",$F242*$D242)</f>
      </c>
      <c r="J242" s="24">
        <f>IF($A242="","",$H242*$E242)</f>
      </c>
      <c r="K242" s="25">
        <f>IF($A242="","",$I242+$J242)</f>
      </c>
      <c r="L242" s="18"/>
      <c r="M242" s="25">
        <f>IF($A242="","",MAX(0,$K242-$L242))</f>
      </c>
      <c r="N242" s="22">
        <f>IF($A242="","",SUM(IF('POINTAGE'!$AH$5&lt;&gt;"",--('POINTAGE'!AH242="Présent"),0),IF('POINTAGE'!$AJ$5&lt;&gt;"",--('POINTAGE'!AJ242="Présent"),0),IF('POINTAGE'!$AL$5&lt;&gt;"",--('POINTAGE'!AL242="Présent"),0),IF('POINTAGE'!$AN$5&lt;&gt;"",--('POINTAGE'!AN242="Présent"),0),IF('POINTAGE'!$AP$5&lt;&gt;"",--('POINTAGE'!AP242="Présent"),0),IF('POINTAGE'!$AR$5&lt;&gt;"",--('POINTAGE'!AR242="Présent"),0),IF('POINTAGE'!$AT$5&lt;&gt;"",--('POINTAGE'!AT242="Présent"),0),IF('POINTAGE'!$AV$5&lt;&gt;"",--('POINTAGE'!AV242="Présent"),0),IF('POINTAGE'!$AX$5&lt;&gt;"",--('POINTAGE'!AX242="Présent"),0),IF('POINTAGE'!$AZ$5&lt;&gt;"",--('POINTAGE'!AZ242="Présent"),0),IF('POINTAGE'!$BB$5&lt;&gt;"",--('POINTAGE'!BB242="Présent"),0),IF('POINTAGE'!$BD$5&lt;&gt;"",--('POINTAGE'!BD242="Présent"),0),IF('POINTAGE'!$BF$5&lt;&gt;"",--('POINTAGE'!BF242="Présent"),0),IF('POINTAGE'!$BH$5&lt;&gt;"",--('POINTAGE'!BH242="Présent"),0),IF('POINTAGE'!$BJ$5&lt;&gt;"",--('POINTAGE'!BJ242="Présent"),0),IF('POINTAGE'!$BL$5&lt;&gt;"",--('POINTAGE'!BL242="Présent"),0)))</f>
      </c>
      <c r="O242" s="22">
        <f>IF($A242="","",SUM(IF('POINTAGE'!$AH$5&lt;&gt;"",--('POINTAGE'!AH242="Absent"),0),IF('POINTAGE'!$AJ$5&lt;&gt;"",--('POINTAGE'!AJ242="Absent"),0),IF('POINTAGE'!$AL$5&lt;&gt;"",--('POINTAGE'!AL242="Absent"),0),IF('POINTAGE'!$AN$5&lt;&gt;"",--('POINTAGE'!AN242="Absent"),0),IF('POINTAGE'!$AP$5&lt;&gt;"",--('POINTAGE'!AP242="Absent"),0),IF('POINTAGE'!$AR$5&lt;&gt;"",--('POINTAGE'!AR242="Absent"),0),IF('POINTAGE'!$AT$5&lt;&gt;"",--('POINTAGE'!AT242="Absent"),0),IF('POINTAGE'!$AV$5&lt;&gt;"",--('POINTAGE'!AV242="Absent"),0),IF('POINTAGE'!$AX$5&lt;&gt;"",--('POINTAGE'!AX242="Absent"),0),IF('POINTAGE'!$AZ$5&lt;&gt;"",--('POINTAGE'!AZ242="Absent"),0),IF('POINTAGE'!$BB$5&lt;&gt;"",--('POINTAGE'!BB242="Absent"),0),IF('POINTAGE'!$BD$5&lt;&gt;"",--('POINTAGE'!BD242="Absent"),0),IF('POINTAGE'!$BF$5&lt;&gt;"",--('POINTAGE'!BF242="Absent"),0),IF('POINTAGE'!$BH$5&lt;&gt;"",--('POINTAGE'!BH242="Absent"),0),IF('POINTAGE'!$BJ$5&lt;&gt;"",--('POINTAGE'!BJ242="Absent"),0),IF('POINTAGE'!$BL$5&lt;&gt;"",--('POINTAGE'!BL242="Absent"),0)))</f>
      </c>
      <c r="P242" s="23">
        <f>IF($A242="","",SUM(IF('POINTAGE'!$AH$5&lt;&gt;"",IF('POINTAGE'!AH242="Présent",'POINTAGE'!AI242,0),0),IF('POINTAGE'!$AJ$5&lt;&gt;"",IF('POINTAGE'!AJ242="Présent",'POINTAGE'!AK242,0),0),IF('POINTAGE'!$AL$5&lt;&gt;"",IF('POINTAGE'!AL242="Présent",'POINTAGE'!AM242,0),0),IF('POINTAGE'!$AN$5&lt;&gt;"",IF('POINTAGE'!AN242="Présent",'POINTAGE'!AO242,0),0),IF('POINTAGE'!$AP$5&lt;&gt;"",IF('POINTAGE'!AP242="Présent",'POINTAGE'!AQ242,0),0),IF('POINTAGE'!$AR$5&lt;&gt;"",IF('POINTAGE'!AR242="Présent",'POINTAGE'!AS242,0),0),IF('POINTAGE'!$AT$5&lt;&gt;"",IF('POINTAGE'!AT242="Présent",'POINTAGE'!AU242,0),0),IF('POINTAGE'!$AV$5&lt;&gt;"",IF('POINTAGE'!AV242="Présent",'POINTAGE'!AW242,0),0),IF('POINTAGE'!$AX$5&lt;&gt;"",IF('POINTAGE'!AX242="Présent",'POINTAGE'!AY242,0),0),IF('POINTAGE'!$AZ$5&lt;&gt;"",IF('POINTAGE'!AZ242="Présent",'POINTAGE'!BA242,0),0),IF('POINTAGE'!$BB$5&lt;&gt;"",IF('POINTAGE'!BB242="Présent",'POINTAGE'!BC242,0),0),IF('POINTAGE'!$BD$5&lt;&gt;"",IF('POINTAGE'!BD242="Présent",'POINTAGE'!BE242,0),0),IF('POINTAGE'!$BF$5&lt;&gt;"",IF('POINTAGE'!BF242="Présent",'POINTAGE'!BG242,0),0),IF('POINTAGE'!$BH$5&lt;&gt;"",IF('POINTAGE'!BH242="Présent",'POINTAGE'!BI242,0),0),IF('POINTAGE'!$BJ$5&lt;&gt;"",IF('POINTAGE'!BJ242="Présent",'POINTAGE'!BK242,0),0),IF('POINTAGE'!$BL$5&lt;&gt;"",IF('POINTAGE'!BL242="Présent",'POINTAGE'!BM242,0),0)))</f>
      </c>
      <c r="Q242" s="24">
        <f>IF($A242="","",$N242*$D242)</f>
      </c>
      <c r="R242" s="24">
        <f>IF($A242="","",$P242*$E242)</f>
      </c>
      <c r="S242" s="25">
        <f>IF($A242="","",$Q242+$R242)</f>
      </c>
      <c r="T242" s="18"/>
      <c r="U242" s="25">
        <f>IF($A242="","",MAX(0,$S242-$T242))</f>
      </c>
      <c r="V242" s="25">
        <f>IF($A242="","",$K242+$S242)</f>
      </c>
      <c r="W242" s="24">
        <f>IF($A242="","",$L242+$T242)</f>
      </c>
      <c r="X242" s="25">
        <f>IF($A242="","",$M242+$U242)</f>
      </c>
      <c r="Y242" s="29">
        <f>IF($A242="","",$J242+$R242)</f>
      </c>
    </row>
    <row r="243">
      <c r="A243" s="20">
        <f>IF('POINTAGE'!A243="","",'POINTAGE'!A243)</f>
      </c>
      <c r="B243" s="19">
        <f>IF($A243="","",'POINTAGE'!B243)</f>
      </c>
      <c r="C243" s="20">
        <f>IF($A243="","",'POINTAGE'!C243)</f>
      </c>
      <c r="D243" s="24">
        <f>IF($A243="","",IFERROR(INDEX(Categories_Salaire,MATCH($C243,ListeCategories,0)),0))</f>
      </c>
      <c r="E243" s="24">
        <f>IF($A243="","",IF(IFERROR(INDEX(Categories_TauxHS,MATCH($C243,ListeCategories,0)),0)&gt;0,IFERROR(INDEX(Categories_TauxHS,MATCH($C243,ListeCategories,0)),0),TauxHSDefaut))</f>
      </c>
      <c r="F243" s="22">
        <f>IF($A243="","",SUM(IF('POINTAGE'!$D$5&lt;&gt;"",--('POINTAGE'!D243="Présent"),0),IF('POINTAGE'!$F$5&lt;&gt;"",--('POINTAGE'!F243="Présent"),0),IF('POINTAGE'!$H$5&lt;&gt;"",--('POINTAGE'!H243="Présent"),0),IF('POINTAGE'!$J$5&lt;&gt;"",--('POINTAGE'!J243="Présent"),0),IF('POINTAGE'!$L$5&lt;&gt;"",--('POINTAGE'!L243="Présent"),0),IF('POINTAGE'!$N$5&lt;&gt;"",--('POINTAGE'!N243="Présent"),0),IF('POINTAGE'!$P$5&lt;&gt;"",--('POINTAGE'!P243="Présent"),0),IF('POINTAGE'!$R$5&lt;&gt;"",--('POINTAGE'!R243="Présent"),0),IF('POINTAGE'!$T$5&lt;&gt;"",--('POINTAGE'!T243="Présent"),0),IF('POINTAGE'!$V$5&lt;&gt;"",--('POINTAGE'!V243="Présent"),0),IF('POINTAGE'!$X$5&lt;&gt;"",--('POINTAGE'!X243="Présent"),0),IF('POINTAGE'!$Z$5&lt;&gt;"",--('POINTAGE'!Z243="Présent"),0),IF('POINTAGE'!$AB$5&lt;&gt;"",--('POINTAGE'!AB243="Présent"),0),IF('POINTAGE'!$AD$5&lt;&gt;"",--('POINTAGE'!AD243="Présent"),0),IF('POINTAGE'!$AF$5&lt;&gt;"",--('POINTAGE'!AF243="Présent"),0)))</f>
      </c>
      <c r="G243" s="22">
        <f>IF($A243="","",SUM(IF('POINTAGE'!$D$5&lt;&gt;"",--('POINTAGE'!D243="Absent"),0),IF('POINTAGE'!$F$5&lt;&gt;"",--('POINTAGE'!F243="Absent"),0),IF('POINTAGE'!$H$5&lt;&gt;"",--('POINTAGE'!H243="Absent"),0),IF('POINTAGE'!$J$5&lt;&gt;"",--('POINTAGE'!J243="Absent"),0),IF('POINTAGE'!$L$5&lt;&gt;"",--('POINTAGE'!L243="Absent"),0),IF('POINTAGE'!$N$5&lt;&gt;"",--('POINTAGE'!N243="Absent"),0),IF('POINTAGE'!$P$5&lt;&gt;"",--('POINTAGE'!P243="Absent"),0),IF('POINTAGE'!$R$5&lt;&gt;"",--('POINTAGE'!R243="Absent"),0),IF('POINTAGE'!$T$5&lt;&gt;"",--('POINTAGE'!T243="Absent"),0),IF('POINTAGE'!$V$5&lt;&gt;"",--('POINTAGE'!V243="Absent"),0),IF('POINTAGE'!$X$5&lt;&gt;"",--('POINTAGE'!X243="Absent"),0),IF('POINTAGE'!$Z$5&lt;&gt;"",--('POINTAGE'!Z243="Absent"),0),IF('POINTAGE'!$AB$5&lt;&gt;"",--('POINTAGE'!AB243="Absent"),0),IF('POINTAGE'!$AD$5&lt;&gt;"",--('POINTAGE'!AD243="Absent"),0),IF('POINTAGE'!$AF$5&lt;&gt;"",--('POINTAGE'!AF243="Absent"),0)))</f>
      </c>
      <c r="H243" s="23">
        <f>IF($A243="","",SUM(IF('POINTAGE'!$D$5&lt;&gt;"",IF('POINTAGE'!D243="Présent",'POINTAGE'!E243,0),0),IF('POINTAGE'!$F$5&lt;&gt;"",IF('POINTAGE'!F243="Présent",'POINTAGE'!G243,0),0),IF('POINTAGE'!$H$5&lt;&gt;"",IF('POINTAGE'!H243="Présent",'POINTAGE'!I243,0),0),IF('POINTAGE'!$J$5&lt;&gt;"",IF('POINTAGE'!J243="Présent",'POINTAGE'!K243,0),0),IF('POINTAGE'!$L$5&lt;&gt;"",IF('POINTAGE'!L243="Présent",'POINTAGE'!M243,0),0),IF('POINTAGE'!$N$5&lt;&gt;"",IF('POINTAGE'!N243="Présent",'POINTAGE'!O243,0),0),IF('POINTAGE'!$P$5&lt;&gt;"",IF('POINTAGE'!P243="Présent",'POINTAGE'!Q243,0),0),IF('POINTAGE'!$R$5&lt;&gt;"",IF('POINTAGE'!R243="Présent",'POINTAGE'!S243,0),0),IF('POINTAGE'!$T$5&lt;&gt;"",IF('POINTAGE'!T243="Présent",'POINTAGE'!U243,0),0),IF('POINTAGE'!$V$5&lt;&gt;"",IF('POINTAGE'!V243="Présent",'POINTAGE'!W243,0),0),IF('POINTAGE'!$X$5&lt;&gt;"",IF('POINTAGE'!X243="Présent",'POINTAGE'!Y243,0),0),IF('POINTAGE'!$Z$5&lt;&gt;"",IF('POINTAGE'!Z243="Présent",'POINTAGE'!AA243,0),0),IF('POINTAGE'!$AB$5&lt;&gt;"",IF('POINTAGE'!AB243="Présent",'POINTAGE'!AC243,0),0),IF('POINTAGE'!$AD$5&lt;&gt;"",IF('POINTAGE'!AD243="Présent",'POINTAGE'!AE243,0),0),IF('POINTAGE'!$AF$5&lt;&gt;"",IF('POINTAGE'!AF243="Présent",'POINTAGE'!AG243,0),0)))</f>
      </c>
      <c r="I243" s="24">
        <f>IF($A243="","",$F243*$D243)</f>
      </c>
      <c r="J243" s="24">
        <f>IF($A243="","",$H243*$E243)</f>
      </c>
      <c r="K243" s="25">
        <f>IF($A243="","",$I243+$J243)</f>
      </c>
      <c r="L243" s="18"/>
      <c r="M243" s="25">
        <f>IF($A243="","",MAX(0,$K243-$L243))</f>
      </c>
      <c r="N243" s="22">
        <f>IF($A243="","",SUM(IF('POINTAGE'!$AH$5&lt;&gt;"",--('POINTAGE'!AH243="Présent"),0),IF('POINTAGE'!$AJ$5&lt;&gt;"",--('POINTAGE'!AJ243="Présent"),0),IF('POINTAGE'!$AL$5&lt;&gt;"",--('POINTAGE'!AL243="Présent"),0),IF('POINTAGE'!$AN$5&lt;&gt;"",--('POINTAGE'!AN243="Présent"),0),IF('POINTAGE'!$AP$5&lt;&gt;"",--('POINTAGE'!AP243="Présent"),0),IF('POINTAGE'!$AR$5&lt;&gt;"",--('POINTAGE'!AR243="Présent"),0),IF('POINTAGE'!$AT$5&lt;&gt;"",--('POINTAGE'!AT243="Présent"),0),IF('POINTAGE'!$AV$5&lt;&gt;"",--('POINTAGE'!AV243="Présent"),0),IF('POINTAGE'!$AX$5&lt;&gt;"",--('POINTAGE'!AX243="Présent"),0),IF('POINTAGE'!$AZ$5&lt;&gt;"",--('POINTAGE'!AZ243="Présent"),0),IF('POINTAGE'!$BB$5&lt;&gt;"",--('POINTAGE'!BB243="Présent"),0),IF('POINTAGE'!$BD$5&lt;&gt;"",--('POINTAGE'!BD243="Présent"),0),IF('POINTAGE'!$BF$5&lt;&gt;"",--('POINTAGE'!BF243="Présent"),0),IF('POINTAGE'!$BH$5&lt;&gt;"",--('POINTAGE'!BH243="Présent"),0),IF('POINTAGE'!$BJ$5&lt;&gt;"",--('POINTAGE'!BJ243="Présent"),0),IF('POINTAGE'!$BL$5&lt;&gt;"",--('POINTAGE'!BL243="Présent"),0)))</f>
      </c>
      <c r="O243" s="22">
        <f>IF($A243="","",SUM(IF('POINTAGE'!$AH$5&lt;&gt;"",--('POINTAGE'!AH243="Absent"),0),IF('POINTAGE'!$AJ$5&lt;&gt;"",--('POINTAGE'!AJ243="Absent"),0),IF('POINTAGE'!$AL$5&lt;&gt;"",--('POINTAGE'!AL243="Absent"),0),IF('POINTAGE'!$AN$5&lt;&gt;"",--('POINTAGE'!AN243="Absent"),0),IF('POINTAGE'!$AP$5&lt;&gt;"",--('POINTAGE'!AP243="Absent"),0),IF('POINTAGE'!$AR$5&lt;&gt;"",--('POINTAGE'!AR243="Absent"),0),IF('POINTAGE'!$AT$5&lt;&gt;"",--('POINTAGE'!AT243="Absent"),0),IF('POINTAGE'!$AV$5&lt;&gt;"",--('POINTAGE'!AV243="Absent"),0),IF('POINTAGE'!$AX$5&lt;&gt;"",--('POINTAGE'!AX243="Absent"),0),IF('POINTAGE'!$AZ$5&lt;&gt;"",--('POINTAGE'!AZ243="Absent"),0),IF('POINTAGE'!$BB$5&lt;&gt;"",--('POINTAGE'!BB243="Absent"),0),IF('POINTAGE'!$BD$5&lt;&gt;"",--('POINTAGE'!BD243="Absent"),0),IF('POINTAGE'!$BF$5&lt;&gt;"",--('POINTAGE'!BF243="Absent"),0),IF('POINTAGE'!$BH$5&lt;&gt;"",--('POINTAGE'!BH243="Absent"),0),IF('POINTAGE'!$BJ$5&lt;&gt;"",--('POINTAGE'!BJ243="Absent"),0),IF('POINTAGE'!$BL$5&lt;&gt;"",--('POINTAGE'!BL243="Absent"),0)))</f>
      </c>
      <c r="P243" s="23">
        <f>IF($A243="","",SUM(IF('POINTAGE'!$AH$5&lt;&gt;"",IF('POINTAGE'!AH243="Présent",'POINTAGE'!AI243,0),0),IF('POINTAGE'!$AJ$5&lt;&gt;"",IF('POINTAGE'!AJ243="Présent",'POINTAGE'!AK243,0),0),IF('POINTAGE'!$AL$5&lt;&gt;"",IF('POINTAGE'!AL243="Présent",'POINTAGE'!AM243,0),0),IF('POINTAGE'!$AN$5&lt;&gt;"",IF('POINTAGE'!AN243="Présent",'POINTAGE'!AO243,0),0),IF('POINTAGE'!$AP$5&lt;&gt;"",IF('POINTAGE'!AP243="Présent",'POINTAGE'!AQ243,0),0),IF('POINTAGE'!$AR$5&lt;&gt;"",IF('POINTAGE'!AR243="Présent",'POINTAGE'!AS243,0),0),IF('POINTAGE'!$AT$5&lt;&gt;"",IF('POINTAGE'!AT243="Présent",'POINTAGE'!AU243,0),0),IF('POINTAGE'!$AV$5&lt;&gt;"",IF('POINTAGE'!AV243="Présent",'POINTAGE'!AW243,0),0),IF('POINTAGE'!$AX$5&lt;&gt;"",IF('POINTAGE'!AX243="Présent",'POINTAGE'!AY243,0),0),IF('POINTAGE'!$AZ$5&lt;&gt;"",IF('POINTAGE'!AZ243="Présent",'POINTAGE'!BA243,0),0),IF('POINTAGE'!$BB$5&lt;&gt;"",IF('POINTAGE'!BB243="Présent",'POINTAGE'!BC243,0),0),IF('POINTAGE'!$BD$5&lt;&gt;"",IF('POINTAGE'!BD243="Présent",'POINTAGE'!BE243,0),0),IF('POINTAGE'!$BF$5&lt;&gt;"",IF('POINTAGE'!BF243="Présent",'POINTAGE'!BG243,0),0),IF('POINTAGE'!$BH$5&lt;&gt;"",IF('POINTAGE'!BH243="Présent",'POINTAGE'!BI243,0),0),IF('POINTAGE'!$BJ$5&lt;&gt;"",IF('POINTAGE'!BJ243="Présent",'POINTAGE'!BK243,0),0),IF('POINTAGE'!$BL$5&lt;&gt;"",IF('POINTAGE'!BL243="Présent",'POINTAGE'!BM243,0),0)))</f>
      </c>
      <c r="Q243" s="24">
        <f>IF($A243="","",$N243*$D243)</f>
      </c>
      <c r="R243" s="24">
        <f>IF($A243="","",$P243*$E243)</f>
      </c>
      <c r="S243" s="25">
        <f>IF($A243="","",$Q243+$R243)</f>
      </c>
      <c r="T243" s="18"/>
      <c r="U243" s="25">
        <f>IF($A243="","",MAX(0,$S243-$T243))</f>
      </c>
      <c r="V243" s="25">
        <f>IF($A243="","",$K243+$S243)</f>
      </c>
      <c r="W243" s="24">
        <f>IF($A243="","",$L243+$T243)</f>
      </c>
      <c r="X243" s="25">
        <f>IF($A243="","",$M243+$U243)</f>
      </c>
      <c r="Y243" s="29">
        <f>IF($A243="","",$J243+$R243)</f>
      </c>
    </row>
    <row r="244">
      <c r="A244" s="20">
        <f>IF('POINTAGE'!A244="","",'POINTAGE'!A244)</f>
      </c>
      <c r="B244" s="19">
        <f>IF($A244="","",'POINTAGE'!B244)</f>
      </c>
      <c r="C244" s="20">
        <f>IF($A244="","",'POINTAGE'!C244)</f>
      </c>
      <c r="D244" s="24">
        <f>IF($A244="","",IFERROR(INDEX(Categories_Salaire,MATCH($C244,ListeCategories,0)),0))</f>
      </c>
      <c r="E244" s="24">
        <f>IF($A244="","",IF(IFERROR(INDEX(Categories_TauxHS,MATCH($C244,ListeCategories,0)),0)&gt;0,IFERROR(INDEX(Categories_TauxHS,MATCH($C244,ListeCategories,0)),0),TauxHSDefaut))</f>
      </c>
      <c r="F244" s="22">
        <f>IF($A244="","",SUM(IF('POINTAGE'!$D$5&lt;&gt;"",--('POINTAGE'!D244="Présent"),0),IF('POINTAGE'!$F$5&lt;&gt;"",--('POINTAGE'!F244="Présent"),0),IF('POINTAGE'!$H$5&lt;&gt;"",--('POINTAGE'!H244="Présent"),0),IF('POINTAGE'!$J$5&lt;&gt;"",--('POINTAGE'!J244="Présent"),0),IF('POINTAGE'!$L$5&lt;&gt;"",--('POINTAGE'!L244="Présent"),0),IF('POINTAGE'!$N$5&lt;&gt;"",--('POINTAGE'!N244="Présent"),0),IF('POINTAGE'!$P$5&lt;&gt;"",--('POINTAGE'!P244="Présent"),0),IF('POINTAGE'!$R$5&lt;&gt;"",--('POINTAGE'!R244="Présent"),0),IF('POINTAGE'!$T$5&lt;&gt;"",--('POINTAGE'!T244="Présent"),0),IF('POINTAGE'!$V$5&lt;&gt;"",--('POINTAGE'!V244="Présent"),0),IF('POINTAGE'!$X$5&lt;&gt;"",--('POINTAGE'!X244="Présent"),0),IF('POINTAGE'!$Z$5&lt;&gt;"",--('POINTAGE'!Z244="Présent"),0),IF('POINTAGE'!$AB$5&lt;&gt;"",--('POINTAGE'!AB244="Présent"),0),IF('POINTAGE'!$AD$5&lt;&gt;"",--('POINTAGE'!AD244="Présent"),0),IF('POINTAGE'!$AF$5&lt;&gt;"",--('POINTAGE'!AF244="Présent"),0)))</f>
      </c>
      <c r="G244" s="22">
        <f>IF($A244="","",SUM(IF('POINTAGE'!$D$5&lt;&gt;"",--('POINTAGE'!D244="Absent"),0),IF('POINTAGE'!$F$5&lt;&gt;"",--('POINTAGE'!F244="Absent"),0),IF('POINTAGE'!$H$5&lt;&gt;"",--('POINTAGE'!H244="Absent"),0),IF('POINTAGE'!$J$5&lt;&gt;"",--('POINTAGE'!J244="Absent"),0),IF('POINTAGE'!$L$5&lt;&gt;"",--('POINTAGE'!L244="Absent"),0),IF('POINTAGE'!$N$5&lt;&gt;"",--('POINTAGE'!N244="Absent"),0),IF('POINTAGE'!$P$5&lt;&gt;"",--('POINTAGE'!P244="Absent"),0),IF('POINTAGE'!$R$5&lt;&gt;"",--('POINTAGE'!R244="Absent"),0),IF('POINTAGE'!$T$5&lt;&gt;"",--('POINTAGE'!T244="Absent"),0),IF('POINTAGE'!$V$5&lt;&gt;"",--('POINTAGE'!V244="Absent"),0),IF('POINTAGE'!$X$5&lt;&gt;"",--('POINTAGE'!X244="Absent"),0),IF('POINTAGE'!$Z$5&lt;&gt;"",--('POINTAGE'!Z244="Absent"),0),IF('POINTAGE'!$AB$5&lt;&gt;"",--('POINTAGE'!AB244="Absent"),0),IF('POINTAGE'!$AD$5&lt;&gt;"",--('POINTAGE'!AD244="Absent"),0),IF('POINTAGE'!$AF$5&lt;&gt;"",--('POINTAGE'!AF244="Absent"),0)))</f>
      </c>
      <c r="H244" s="23">
        <f>IF($A244="","",SUM(IF('POINTAGE'!$D$5&lt;&gt;"",IF('POINTAGE'!D244="Présent",'POINTAGE'!E244,0),0),IF('POINTAGE'!$F$5&lt;&gt;"",IF('POINTAGE'!F244="Présent",'POINTAGE'!G244,0),0),IF('POINTAGE'!$H$5&lt;&gt;"",IF('POINTAGE'!H244="Présent",'POINTAGE'!I244,0),0),IF('POINTAGE'!$J$5&lt;&gt;"",IF('POINTAGE'!J244="Présent",'POINTAGE'!K244,0),0),IF('POINTAGE'!$L$5&lt;&gt;"",IF('POINTAGE'!L244="Présent",'POINTAGE'!M244,0),0),IF('POINTAGE'!$N$5&lt;&gt;"",IF('POINTAGE'!N244="Présent",'POINTAGE'!O244,0),0),IF('POINTAGE'!$P$5&lt;&gt;"",IF('POINTAGE'!P244="Présent",'POINTAGE'!Q244,0),0),IF('POINTAGE'!$R$5&lt;&gt;"",IF('POINTAGE'!R244="Présent",'POINTAGE'!S244,0),0),IF('POINTAGE'!$T$5&lt;&gt;"",IF('POINTAGE'!T244="Présent",'POINTAGE'!U244,0),0),IF('POINTAGE'!$V$5&lt;&gt;"",IF('POINTAGE'!V244="Présent",'POINTAGE'!W244,0),0),IF('POINTAGE'!$X$5&lt;&gt;"",IF('POINTAGE'!X244="Présent",'POINTAGE'!Y244,0),0),IF('POINTAGE'!$Z$5&lt;&gt;"",IF('POINTAGE'!Z244="Présent",'POINTAGE'!AA244,0),0),IF('POINTAGE'!$AB$5&lt;&gt;"",IF('POINTAGE'!AB244="Présent",'POINTAGE'!AC244,0),0),IF('POINTAGE'!$AD$5&lt;&gt;"",IF('POINTAGE'!AD244="Présent",'POINTAGE'!AE244,0),0),IF('POINTAGE'!$AF$5&lt;&gt;"",IF('POINTAGE'!AF244="Présent",'POINTAGE'!AG244,0),0)))</f>
      </c>
      <c r="I244" s="24">
        <f>IF($A244="","",$F244*$D244)</f>
      </c>
      <c r="J244" s="24">
        <f>IF($A244="","",$H244*$E244)</f>
      </c>
      <c r="K244" s="25">
        <f>IF($A244="","",$I244+$J244)</f>
      </c>
      <c r="L244" s="18"/>
      <c r="M244" s="25">
        <f>IF($A244="","",MAX(0,$K244-$L244))</f>
      </c>
      <c r="N244" s="22">
        <f>IF($A244="","",SUM(IF('POINTAGE'!$AH$5&lt;&gt;"",--('POINTAGE'!AH244="Présent"),0),IF('POINTAGE'!$AJ$5&lt;&gt;"",--('POINTAGE'!AJ244="Présent"),0),IF('POINTAGE'!$AL$5&lt;&gt;"",--('POINTAGE'!AL244="Présent"),0),IF('POINTAGE'!$AN$5&lt;&gt;"",--('POINTAGE'!AN244="Présent"),0),IF('POINTAGE'!$AP$5&lt;&gt;"",--('POINTAGE'!AP244="Présent"),0),IF('POINTAGE'!$AR$5&lt;&gt;"",--('POINTAGE'!AR244="Présent"),0),IF('POINTAGE'!$AT$5&lt;&gt;"",--('POINTAGE'!AT244="Présent"),0),IF('POINTAGE'!$AV$5&lt;&gt;"",--('POINTAGE'!AV244="Présent"),0),IF('POINTAGE'!$AX$5&lt;&gt;"",--('POINTAGE'!AX244="Présent"),0),IF('POINTAGE'!$AZ$5&lt;&gt;"",--('POINTAGE'!AZ244="Présent"),0),IF('POINTAGE'!$BB$5&lt;&gt;"",--('POINTAGE'!BB244="Présent"),0),IF('POINTAGE'!$BD$5&lt;&gt;"",--('POINTAGE'!BD244="Présent"),0),IF('POINTAGE'!$BF$5&lt;&gt;"",--('POINTAGE'!BF244="Présent"),0),IF('POINTAGE'!$BH$5&lt;&gt;"",--('POINTAGE'!BH244="Présent"),0),IF('POINTAGE'!$BJ$5&lt;&gt;"",--('POINTAGE'!BJ244="Présent"),0),IF('POINTAGE'!$BL$5&lt;&gt;"",--('POINTAGE'!BL244="Présent"),0)))</f>
      </c>
      <c r="O244" s="22">
        <f>IF($A244="","",SUM(IF('POINTAGE'!$AH$5&lt;&gt;"",--('POINTAGE'!AH244="Absent"),0),IF('POINTAGE'!$AJ$5&lt;&gt;"",--('POINTAGE'!AJ244="Absent"),0),IF('POINTAGE'!$AL$5&lt;&gt;"",--('POINTAGE'!AL244="Absent"),0),IF('POINTAGE'!$AN$5&lt;&gt;"",--('POINTAGE'!AN244="Absent"),0),IF('POINTAGE'!$AP$5&lt;&gt;"",--('POINTAGE'!AP244="Absent"),0),IF('POINTAGE'!$AR$5&lt;&gt;"",--('POINTAGE'!AR244="Absent"),0),IF('POINTAGE'!$AT$5&lt;&gt;"",--('POINTAGE'!AT244="Absent"),0),IF('POINTAGE'!$AV$5&lt;&gt;"",--('POINTAGE'!AV244="Absent"),0),IF('POINTAGE'!$AX$5&lt;&gt;"",--('POINTAGE'!AX244="Absent"),0),IF('POINTAGE'!$AZ$5&lt;&gt;"",--('POINTAGE'!AZ244="Absent"),0),IF('POINTAGE'!$BB$5&lt;&gt;"",--('POINTAGE'!BB244="Absent"),0),IF('POINTAGE'!$BD$5&lt;&gt;"",--('POINTAGE'!BD244="Absent"),0),IF('POINTAGE'!$BF$5&lt;&gt;"",--('POINTAGE'!BF244="Absent"),0),IF('POINTAGE'!$BH$5&lt;&gt;"",--('POINTAGE'!BH244="Absent"),0),IF('POINTAGE'!$BJ$5&lt;&gt;"",--('POINTAGE'!BJ244="Absent"),0),IF('POINTAGE'!$BL$5&lt;&gt;"",--('POINTAGE'!BL244="Absent"),0)))</f>
      </c>
      <c r="P244" s="23">
        <f>IF($A244="","",SUM(IF('POINTAGE'!$AH$5&lt;&gt;"",IF('POINTAGE'!AH244="Présent",'POINTAGE'!AI244,0),0),IF('POINTAGE'!$AJ$5&lt;&gt;"",IF('POINTAGE'!AJ244="Présent",'POINTAGE'!AK244,0),0),IF('POINTAGE'!$AL$5&lt;&gt;"",IF('POINTAGE'!AL244="Présent",'POINTAGE'!AM244,0),0),IF('POINTAGE'!$AN$5&lt;&gt;"",IF('POINTAGE'!AN244="Présent",'POINTAGE'!AO244,0),0),IF('POINTAGE'!$AP$5&lt;&gt;"",IF('POINTAGE'!AP244="Présent",'POINTAGE'!AQ244,0),0),IF('POINTAGE'!$AR$5&lt;&gt;"",IF('POINTAGE'!AR244="Présent",'POINTAGE'!AS244,0),0),IF('POINTAGE'!$AT$5&lt;&gt;"",IF('POINTAGE'!AT244="Présent",'POINTAGE'!AU244,0),0),IF('POINTAGE'!$AV$5&lt;&gt;"",IF('POINTAGE'!AV244="Présent",'POINTAGE'!AW244,0),0),IF('POINTAGE'!$AX$5&lt;&gt;"",IF('POINTAGE'!AX244="Présent",'POINTAGE'!AY244,0),0),IF('POINTAGE'!$AZ$5&lt;&gt;"",IF('POINTAGE'!AZ244="Présent",'POINTAGE'!BA244,0),0),IF('POINTAGE'!$BB$5&lt;&gt;"",IF('POINTAGE'!BB244="Présent",'POINTAGE'!BC244,0),0),IF('POINTAGE'!$BD$5&lt;&gt;"",IF('POINTAGE'!BD244="Présent",'POINTAGE'!BE244,0),0),IF('POINTAGE'!$BF$5&lt;&gt;"",IF('POINTAGE'!BF244="Présent",'POINTAGE'!BG244,0),0),IF('POINTAGE'!$BH$5&lt;&gt;"",IF('POINTAGE'!BH244="Présent",'POINTAGE'!BI244,0),0),IF('POINTAGE'!$BJ$5&lt;&gt;"",IF('POINTAGE'!BJ244="Présent",'POINTAGE'!BK244,0),0),IF('POINTAGE'!$BL$5&lt;&gt;"",IF('POINTAGE'!BL244="Présent",'POINTAGE'!BM244,0),0)))</f>
      </c>
      <c r="Q244" s="24">
        <f>IF($A244="","",$N244*$D244)</f>
      </c>
      <c r="R244" s="24">
        <f>IF($A244="","",$P244*$E244)</f>
      </c>
      <c r="S244" s="25">
        <f>IF($A244="","",$Q244+$R244)</f>
      </c>
      <c r="T244" s="18"/>
      <c r="U244" s="25">
        <f>IF($A244="","",MAX(0,$S244-$T244))</f>
      </c>
      <c r="V244" s="25">
        <f>IF($A244="","",$K244+$S244)</f>
      </c>
      <c r="W244" s="24">
        <f>IF($A244="","",$L244+$T244)</f>
      </c>
      <c r="X244" s="25">
        <f>IF($A244="","",$M244+$U244)</f>
      </c>
      <c r="Y244" s="29">
        <f>IF($A244="","",$J244+$R244)</f>
      </c>
    </row>
    <row r="245">
      <c r="A245" s="20">
        <f>IF('POINTAGE'!A245="","",'POINTAGE'!A245)</f>
      </c>
      <c r="B245" s="19">
        <f>IF($A245="","",'POINTAGE'!B245)</f>
      </c>
      <c r="C245" s="20">
        <f>IF($A245="","",'POINTAGE'!C245)</f>
      </c>
      <c r="D245" s="24">
        <f>IF($A245="","",IFERROR(INDEX(Categories_Salaire,MATCH($C245,ListeCategories,0)),0))</f>
      </c>
      <c r="E245" s="24">
        <f>IF($A245="","",IF(IFERROR(INDEX(Categories_TauxHS,MATCH($C245,ListeCategories,0)),0)&gt;0,IFERROR(INDEX(Categories_TauxHS,MATCH($C245,ListeCategories,0)),0),TauxHSDefaut))</f>
      </c>
      <c r="F245" s="22">
        <f>IF($A245="","",SUM(IF('POINTAGE'!$D$5&lt;&gt;"",--('POINTAGE'!D245="Présent"),0),IF('POINTAGE'!$F$5&lt;&gt;"",--('POINTAGE'!F245="Présent"),0),IF('POINTAGE'!$H$5&lt;&gt;"",--('POINTAGE'!H245="Présent"),0),IF('POINTAGE'!$J$5&lt;&gt;"",--('POINTAGE'!J245="Présent"),0),IF('POINTAGE'!$L$5&lt;&gt;"",--('POINTAGE'!L245="Présent"),0),IF('POINTAGE'!$N$5&lt;&gt;"",--('POINTAGE'!N245="Présent"),0),IF('POINTAGE'!$P$5&lt;&gt;"",--('POINTAGE'!P245="Présent"),0),IF('POINTAGE'!$R$5&lt;&gt;"",--('POINTAGE'!R245="Présent"),0),IF('POINTAGE'!$T$5&lt;&gt;"",--('POINTAGE'!T245="Présent"),0),IF('POINTAGE'!$V$5&lt;&gt;"",--('POINTAGE'!V245="Présent"),0),IF('POINTAGE'!$X$5&lt;&gt;"",--('POINTAGE'!X245="Présent"),0),IF('POINTAGE'!$Z$5&lt;&gt;"",--('POINTAGE'!Z245="Présent"),0),IF('POINTAGE'!$AB$5&lt;&gt;"",--('POINTAGE'!AB245="Présent"),0),IF('POINTAGE'!$AD$5&lt;&gt;"",--('POINTAGE'!AD245="Présent"),0),IF('POINTAGE'!$AF$5&lt;&gt;"",--('POINTAGE'!AF245="Présent"),0)))</f>
      </c>
      <c r="G245" s="22">
        <f>IF($A245="","",SUM(IF('POINTAGE'!$D$5&lt;&gt;"",--('POINTAGE'!D245="Absent"),0),IF('POINTAGE'!$F$5&lt;&gt;"",--('POINTAGE'!F245="Absent"),0),IF('POINTAGE'!$H$5&lt;&gt;"",--('POINTAGE'!H245="Absent"),0),IF('POINTAGE'!$J$5&lt;&gt;"",--('POINTAGE'!J245="Absent"),0),IF('POINTAGE'!$L$5&lt;&gt;"",--('POINTAGE'!L245="Absent"),0),IF('POINTAGE'!$N$5&lt;&gt;"",--('POINTAGE'!N245="Absent"),0),IF('POINTAGE'!$P$5&lt;&gt;"",--('POINTAGE'!P245="Absent"),0),IF('POINTAGE'!$R$5&lt;&gt;"",--('POINTAGE'!R245="Absent"),0),IF('POINTAGE'!$T$5&lt;&gt;"",--('POINTAGE'!T245="Absent"),0),IF('POINTAGE'!$V$5&lt;&gt;"",--('POINTAGE'!V245="Absent"),0),IF('POINTAGE'!$X$5&lt;&gt;"",--('POINTAGE'!X245="Absent"),0),IF('POINTAGE'!$Z$5&lt;&gt;"",--('POINTAGE'!Z245="Absent"),0),IF('POINTAGE'!$AB$5&lt;&gt;"",--('POINTAGE'!AB245="Absent"),0),IF('POINTAGE'!$AD$5&lt;&gt;"",--('POINTAGE'!AD245="Absent"),0),IF('POINTAGE'!$AF$5&lt;&gt;"",--('POINTAGE'!AF245="Absent"),0)))</f>
      </c>
      <c r="H245" s="23">
        <f>IF($A245="","",SUM(IF('POINTAGE'!$D$5&lt;&gt;"",IF('POINTAGE'!D245="Présent",'POINTAGE'!E245,0),0),IF('POINTAGE'!$F$5&lt;&gt;"",IF('POINTAGE'!F245="Présent",'POINTAGE'!G245,0),0),IF('POINTAGE'!$H$5&lt;&gt;"",IF('POINTAGE'!H245="Présent",'POINTAGE'!I245,0),0),IF('POINTAGE'!$J$5&lt;&gt;"",IF('POINTAGE'!J245="Présent",'POINTAGE'!K245,0),0),IF('POINTAGE'!$L$5&lt;&gt;"",IF('POINTAGE'!L245="Présent",'POINTAGE'!M245,0),0),IF('POINTAGE'!$N$5&lt;&gt;"",IF('POINTAGE'!N245="Présent",'POINTAGE'!O245,0),0),IF('POINTAGE'!$P$5&lt;&gt;"",IF('POINTAGE'!P245="Présent",'POINTAGE'!Q245,0),0),IF('POINTAGE'!$R$5&lt;&gt;"",IF('POINTAGE'!R245="Présent",'POINTAGE'!S245,0),0),IF('POINTAGE'!$T$5&lt;&gt;"",IF('POINTAGE'!T245="Présent",'POINTAGE'!U245,0),0),IF('POINTAGE'!$V$5&lt;&gt;"",IF('POINTAGE'!V245="Présent",'POINTAGE'!W245,0),0),IF('POINTAGE'!$X$5&lt;&gt;"",IF('POINTAGE'!X245="Présent",'POINTAGE'!Y245,0),0),IF('POINTAGE'!$Z$5&lt;&gt;"",IF('POINTAGE'!Z245="Présent",'POINTAGE'!AA245,0),0),IF('POINTAGE'!$AB$5&lt;&gt;"",IF('POINTAGE'!AB245="Présent",'POINTAGE'!AC245,0),0),IF('POINTAGE'!$AD$5&lt;&gt;"",IF('POINTAGE'!AD245="Présent",'POINTAGE'!AE245,0),0),IF('POINTAGE'!$AF$5&lt;&gt;"",IF('POINTAGE'!AF245="Présent",'POINTAGE'!AG245,0),0)))</f>
      </c>
      <c r="I245" s="24">
        <f>IF($A245="","",$F245*$D245)</f>
      </c>
      <c r="J245" s="24">
        <f>IF($A245="","",$H245*$E245)</f>
      </c>
      <c r="K245" s="25">
        <f>IF($A245="","",$I245+$J245)</f>
      </c>
      <c r="L245" s="18"/>
      <c r="M245" s="25">
        <f>IF($A245="","",MAX(0,$K245-$L245))</f>
      </c>
      <c r="N245" s="22">
        <f>IF($A245="","",SUM(IF('POINTAGE'!$AH$5&lt;&gt;"",--('POINTAGE'!AH245="Présent"),0),IF('POINTAGE'!$AJ$5&lt;&gt;"",--('POINTAGE'!AJ245="Présent"),0),IF('POINTAGE'!$AL$5&lt;&gt;"",--('POINTAGE'!AL245="Présent"),0),IF('POINTAGE'!$AN$5&lt;&gt;"",--('POINTAGE'!AN245="Présent"),0),IF('POINTAGE'!$AP$5&lt;&gt;"",--('POINTAGE'!AP245="Présent"),0),IF('POINTAGE'!$AR$5&lt;&gt;"",--('POINTAGE'!AR245="Présent"),0),IF('POINTAGE'!$AT$5&lt;&gt;"",--('POINTAGE'!AT245="Présent"),0),IF('POINTAGE'!$AV$5&lt;&gt;"",--('POINTAGE'!AV245="Présent"),0),IF('POINTAGE'!$AX$5&lt;&gt;"",--('POINTAGE'!AX245="Présent"),0),IF('POINTAGE'!$AZ$5&lt;&gt;"",--('POINTAGE'!AZ245="Présent"),0),IF('POINTAGE'!$BB$5&lt;&gt;"",--('POINTAGE'!BB245="Présent"),0),IF('POINTAGE'!$BD$5&lt;&gt;"",--('POINTAGE'!BD245="Présent"),0),IF('POINTAGE'!$BF$5&lt;&gt;"",--('POINTAGE'!BF245="Présent"),0),IF('POINTAGE'!$BH$5&lt;&gt;"",--('POINTAGE'!BH245="Présent"),0),IF('POINTAGE'!$BJ$5&lt;&gt;"",--('POINTAGE'!BJ245="Présent"),0),IF('POINTAGE'!$BL$5&lt;&gt;"",--('POINTAGE'!BL245="Présent"),0)))</f>
      </c>
      <c r="O245" s="22">
        <f>IF($A245="","",SUM(IF('POINTAGE'!$AH$5&lt;&gt;"",--('POINTAGE'!AH245="Absent"),0),IF('POINTAGE'!$AJ$5&lt;&gt;"",--('POINTAGE'!AJ245="Absent"),0),IF('POINTAGE'!$AL$5&lt;&gt;"",--('POINTAGE'!AL245="Absent"),0),IF('POINTAGE'!$AN$5&lt;&gt;"",--('POINTAGE'!AN245="Absent"),0),IF('POINTAGE'!$AP$5&lt;&gt;"",--('POINTAGE'!AP245="Absent"),0),IF('POINTAGE'!$AR$5&lt;&gt;"",--('POINTAGE'!AR245="Absent"),0),IF('POINTAGE'!$AT$5&lt;&gt;"",--('POINTAGE'!AT245="Absent"),0),IF('POINTAGE'!$AV$5&lt;&gt;"",--('POINTAGE'!AV245="Absent"),0),IF('POINTAGE'!$AX$5&lt;&gt;"",--('POINTAGE'!AX245="Absent"),0),IF('POINTAGE'!$AZ$5&lt;&gt;"",--('POINTAGE'!AZ245="Absent"),0),IF('POINTAGE'!$BB$5&lt;&gt;"",--('POINTAGE'!BB245="Absent"),0),IF('POINTAGE'!$BD$5&lt;&gt;"",--('POINTAGE'!BD245="Absent"),0),IF('POINTAGE'!$BF$5&lt;&gt;"",--('POINTAGE'!BF245="Absent"),0),IF('POINTAGE'!$BH$5&lt;&gt;"",--('POINTAGE'!BH245="Absent"),0),IF('POINTAGE'!$BJ$5&lt;&gt;"",--('POINTAGE'!BJ245="Absent"),0),IF('POINTAGE'!$BL$5&lt;&gt;"",--('POINTAGE'!BL245="Absent"),0)))</f>
      </c>
      <c r="P245" s="23">
        <f>IF($A245="","",SUM(IF('POINTAGE'!$AH$5&lt;&gt;"",IF('POINTAGE'!AH245="Présent",'POINTAGE'!AI245,0),0),IF('POINTAGE'!$AJ$5&lt;&gt;"",IF('POINTAGE'!AJ245="Présent",'POINTAGE'!AK245,0),0),IF('POINTAGE'!$AL$5&lt;&gt;"",IF('POINTAGE'!AL245="Présent",'POINTAGE'!AM245,0),0),IF('POINTAGE'!$AN$5&lt;&gt;"",IF('POINTAGE'!AN245="Présent",'POINTAGE'!AO245,0),0),IF('POINTAGE'!$AP$5&lt;&gt;"",IF('POINTAGE'!AP245="Présent",'POINTAGE'!AQ245,0),0),IF('POINTAGE'!$AR$5&lt;&gt;"",IF('POINTAGE'!AR245="Présent",'POINTAGE'!AS245,0),0),IF('POINTAGE'!$AT$5&lt;&gt;"",IF('POINTAGE'!AT245="Présent",'POINTAGE'!AU245,0),0),IF('POINTAGE'!$AV$5&lt;&gt;"",IF('POINTAGE'!AV245="Présent",'POINTAGE'!AW245,0),0),IF('POINTAGE'!$AX$5&lt;&gt;"",IF('POINTAGE'!AX245="Présent",'POINTAGE'!AY245,0),0),IF('POINTAGE'!$AZ$5&lt;&gt;"",IF('POINTAGE'!AZ245="Présent",'POINTAGE'!BA245,0),0),IF('POINTAGE'!$BB$5&lt;&gt;"",IF('POINTAGE'!BB245="Présent",'POINTAGE'!BC245,0),0),IF('POINTAGE'!$BD$5&lt;&gt;"",IF('POINTAGE'!BD245="Présent",'POINTAGE'!BE245,0),0),IF('POINTAGE'!$BF$5&lt;&gt;"",IF('POINTAGE'!BF245="Présent",'POINTAGE'!BG245,0),0),IF('POINTAGE'!$BH$5&lt;&gt;"",IF('POINTAGE'!BH245="Présent",'POINTAGE'!BI245,0),0),IF('POINTAGE'!$BJ$5&lt;&gt;"",IF('POINTAGE'!BJ245="Présent",'POINTAGE'!BK245,0),0),IF('POINTAGE'!$BL$5&lt;&gt;"",IF('POINTAGE'!BL245="Présent",'POINTAGE'!BM245,0),0)))</f>
      </c>
      <c r="Q245" s="24">
        <f>IF($A245="","",$N245*$D245)</f>
      </c>
      <c r="R245" s="24">
        <f>IF($A245="","",$P245*$E245)</f>
      </c>
      <c r="S245" s="25">
        <f>IF($A245="","",$Q245+$R245)</f>
      </c>
      <c r="T245" s="18"/>
      <c r="U245" s="25">
        <f>IF($A245="","",MAX(0,$S245-$T245))</f>
      </c>
      <c r="V245" s="25">
        <f>IF($A245="","",$K245+$S245)</f>
      </c>
      <c r="W245" s="24">
        <f>IF($A245="","",$L245+$T245)</f>
      </c>
      <c r="X245" s="25">
        <f>IF($A245="","",$M245+$U245)</f>
      </c>
      <c r="Y245" s="29">
        <f>IF($A245="","",$J245+$R245)</f>
      </c>
    </row>
    <row r="246">
      <c r="A246" s="20">
        <f>IF('POINTAGE'!A246="","",'POINTAGE'!A246)</f>
      </c>
      <c r="B246" s="19">
        <f>IF($A246="","",'POINTAGE'!B246)</f>
      </c>
      <c r="C246" s="20">
        <f>IF($A246="","",'POINTAGE'!C246)</f>
      </c>
      <c r="D246" s="24">
        <f>IF($A246="","",IFERROR(INDEX(Categories_Salaire,MATCH($C246,ListeCategories,0)),0))</f>
      </c>
      <c r="E246" s="24">
        <f>IF($A246="","",IF(IFERROR(INDEX(Categories_TauxHS,MATCH($C246,ListeCategories,0)),0)&gt;0,IFERROR(INDEX(Categories_TauxHS,MATCH($C246,ListeCategories,0)),0),TauxHSDefaut))</f>
      </c>
      <c r="F246" s="22">
        <f>IF($A246="","",SUM(IF('POINTAGE'!$D$5&lt;&gt;"",--('POINTAGE'!D246="Présent"),0),IF('POINTAGE'!$F$5&lt;&gt;"",--('POINTAGE'!F246="Présent"),0),IF('POINTAGE'!$H$5&lt;&gt;"",--('POINTAGE'!H246="Présent"),0),IF('POINTAGE'!$J$5&lt;&gt;"",--('POINTAGE'!J246="Présent"),0),IF('POINTAGE'!$L$5&lt;&gt;"",--('POINTAGE'!L246="Présent"),0),IF('POINTAGE'!$N$5&lt;&gt;"",--('POINTAGE'!N246="Présent"),0),IF('POINTAGE'!$P$5&lt;&gt;"",--('POINTAGE'!P246="Présent"),0),IF('POINTAGE'!$R$5&lt;&gt;"",--('POINTAGE'!R246="Présent"),0),IF('POINTAGE'!$T$5&lt;&gt;"",--('POINTAGE'!T246="Présent"),0),IF('POINTAGE'!$V$5&lt;&gt;"",--('POINTAGE'!V246="Présent"),0),IF('POINTAGE'!$X$5&lt;&gt;"",--('POINTAGE'!X246="Présent"),0),IF('POINTAGE'!$Z$5&lt;&gt;"",--('POINTAGE'!Z246="Présent"),0),IF('POINTAGE'!$AB$5&lt;&gt;"",--('POINTAGE'!AB246="Présent"),0),IF('POINTAGE'!$AD$5&lt;&gt;"",--('POINTAGE'!AD246="Présent"),0),IF('POINTAGE'!$AF$5&lt;&gt;"",--('POINTAGE'!AF246="Présent"),0)))</f>
      </c>
      <c r="G246" s="22">
        <f>IF($A246="","",SUM(IF('POINTAGE'!$D$5&lt;&gt;"",--('POINTAGE'!D246="Absent"),0),IF('POINTAGE'!$F$5&lt;&gt;"",--('POINTAGE'!F246="Absent"),0),IF('POINTAGE'!$H$5&lt;&gt;"",--('POINTAGE'!H246="Absent"),0),IF('POINTAGE'!$J$5&lt;&gt;"",--('POINTAGE'!J246="Absent"),0),IF('POINTAGE'!$L$5&lt;&gt;"",--('POINTAGE'!L246="Absent"),0),IF('POINTAGE'!$N$5&lt;&gt;"",--('POINTAGE'!N246="Absent"),0),IF('POINTAGE'!$P$5&lt;&gt;"",--('POINTAGE'!P246="Absent"),0),IF('POINTAGE'!$R$5&lt;&gt;"",--('POINTAGE'!R246="Absent"),0),IF('POINTAGE'!$T$5&lt;&gt;"",--('POINTAGE'!T246="Absent"),0),IF('POINTAGE'!$V$5&lt;&gt;"",--('POINTAGE'!V246="Absent"),0),IF('POINTAGE'!$X$5&lt;&gt;"",--('POINTAGE'!X246="Absent"),0),IF('POINTAGE'!$Z$5&lt;&gt;"",--('POINTAGE'!Z246="Absent"),0),IF('POINTAGE'!$AB$5&lt;&gt;"",--('POINTAGE'!AB246="Absent"),0),IF('POINTAGE'!$AD$5&lt;&gt;"",--('POINTAGE'!AD246="Absent"),0),IF('POINTAGE'!$AF$5&lt;&gt;"",--('POINTAGE'!AF246="Absent"),0)))</f>
      </c>
      <c r="H246" s="23">
        <f>IF($A246="","",SUM(IF('POINTAGE'!$D$5&lt;&gt;"",IF('POINTAGE'!D246="Présent",'POINTAGE'!E246,0),0),IF('POINTAGE'!$F$5&lt;&gt;"",IF('POINTAGE'!F246="Présent",'POINTAGE'!G246,0),0),IF('POINTAGE'!$H$5&lt;&gt;"",IF('POINTAGE'!H246="Présent",'POINTAGE'!I246,0),0),IF('POINTAGE'!$J$5&lt;&gt;"",IF('POINTAGE'!J246="Présent",'POINTAGE'!K246,0),0),IF('POINTAGE'!$L$5&lt;&gt;"",IF('POINTAGE'!L246="Présent",'POINTAGE'!M246,0),0),IF('POINTAGE'!$N$5&lt;&gt;"",IF('POINTAGE'!N246="Présent",'POINTAGE'!O246,0),0),IF('POINTAGE'!$P$5&lt;&gt;"",IF('POINTAGE'!P246="Présent",'POINTAGE'!Q246,0),0),IF('POINTAGE'!$R$5&lt;&gt;"",IF('POINTAGE'!R246="Présent",'POINTAGE'!S246,0),0),IF('POINTAGE'!$T$5&lt;&gt;"",IF('POINTAGE'!T246="Présent",'POINTAGE'!U246,0),0),IF('POINTAGE'!$V$5&lt;&gt;"",IF('POINTAGE'!V246="Présent",'POINTAGE'!W246,0),0),IF('POINTAGE'!$X$5&lt;&gt;"",IF('POINTAGE'!X246="Présent",'POINTAGE'!Y246,0),0),IF('POINTAGE'!$Z$5&lt;&gt;"",IF('POINTAGE'!Z246="Présent",'POINTAGE'!AA246,0),0),IF('POINTAGE'!$AB$5&lt;&gt;"",IF('POINTAGE'!AB246="Présent",'POINTAGE'!AC246,0),0),IF('POINTAGE'!$AD$5&lt;&gt;"",IF('POINTAGE'!AD246="Présent",'POINTAGE'!AE246,0),0),IF('POINTAGE'!$AF$5&lt;&gt;"",IF('POINTAGE'!AF246="Présent",'POINTAGE'!AG246,0),0)))</f>
      </c>
      <c r="I246" s="24">
        <f>IF($A246="","",$F246*$D246)</f>
      </c>
      <c r="J246" s="24">
        <f>IF($A246="","",$H246*$E246)</f>
      </c>
      <c r="K246" s="25">
        <f>IF($A246="","",$I246+$J246)</f>
      </c>
      <c r="L246" s="18"/>
      <c r="M246" s="25">
        <f>IF($A246="","",MAX(0,$K246-$L246))</f>
      </c>
      <c r="N246" s="22">
        <f>IF($A246="","",SUM(IF('POINTAGE'!$AH$5&lt;&gt;"",--('POINTAGE'!AH246="Présent"),0),IF('POINTAGE'!$AJ$5&lt;&gt;"",--('POINTAGE'!AJ246="Présent"),0),IF('POINTAGE'!$AL$5&lt;&gt;"",--('POINTAGE'!AL246="Présent"),0),IF('POINTAGE'!$AN$5&lt;&gt;"",--('POINTAGE'!AN246="Présent"),0),IF('POINTAGE'!$AP$5&lt;&gt;"",--('POINTAGE'!AP246="Présent"),0),IF('POINTAGE'!$AR$5&lt;&gt;"",--('POINTAGE'!AR246="Présent"),0),IF('POINTAGE'!$AT$5&lt;&gt;"",--('POINTAGE'!AT246="Présent"),0),IF('POINTAGE'!$AV$5&lt;&gt;"",--('POINTAGE'!AV246="Présent"),0),IF('POINTAGE'!$AX$5&lt;&gt;"",--('POINTAGE'!AX246="Présent"),0),IF('POINTAGE'!$AZ$5&lt;&gt;"",--('POINTAGE'!AZ246="Présent"),0),IF('POINTAGE'!$BB$5&lt;&gt;"",--('POINTAGE'!BB246="Présent"),0),IF('POINTAGE'!$BD$5&lt;&gt;"",--('POINTAGE'!BD246="Présent"),0),IF('POINTAGE'!$BF$5&lt;&gt;"",--('POINTAGE'!BF246="Présent"),0),IF('POINTAGE'!$BH$5&lt;&gt;"",--('POINTAGE'!BH246="Présent"),0),IF('POINTAGE'!$BJ$5&lt;&gt;"",--('POINTAGE'!BJ246="Présent"),0),IF('POINTAGE'!$BL$5&lt;&gt;"",--('POINTAGE'!BL246="Présent"),0)))</f>
      </c>
      <c r="O246" s="22">
        <f>IF($A246="","",SUM(IF('POINTAGE'!$AH$5&lt;&gt;"",--('POINTAGE'!AH246="Absent"),0),IF('POINTAGE'!$AJ$5&lt;&gt;"",--('POINTAGE'!AJ246="Absent"),0),IF('POINTAGE'!$AL$5&lt;&gt;"",--('POINTAGE'!AL246="Absent"),0),IF('POINTAGE'!$AN$5&lt;&gt;"",--('POINTAGE'!AN246="Absent"),0),IF('POINTAGE'!$AP$5&lt;&gt;"",--('POINTAGE'!AP246="Absent"),0),IF('POINTAGE'!$AR$5&lt;&gt;"",--('POINTAGE'!AR246="Absent"),0),IF('POINTAGE'!$AT$5&lt;&gt;"",--('POINTAGE'!AT246="Absent"),0),IF('POINTAGE'!$AV$5&lt;&gt;"",--('POINTAGE'!AV246="Absent"),0),IF('POINTAGE'!$AX$5&lt;&gt;"",--('POINTAGE'!AX246="Absent"),0),IF('POINTAGE'!$AZ$5&lt;&gt;"",--('POINTAGE'!AZ246="Absent"),0),IF('POINTAGE'!$BB$5&lt;&gt;"",--('POINTAGE'!BB246="Absent"),0),IF('POINTAGE'!$BD$5&lt;&gt;"",--('POINTAGE'!BD246="Absent"),0),IF('POINTAGE'!$BF$5&lt;&gt;"",--('POINTAGE'!BF246="Absent"),0),IF('POINTAGE'!$BH$5&lt;&gt;"",--('POINTAGE'!BH246="Absent"),0),IF('POINTAGE'!$BJ$5&lt;&gt;"",--('POINTAGE'!BJ246="Absent"),0),IF('POINTAGE'!$BL$5&lt;&gt;"",--('POINTAGE'!BL246="Absent"),0)))</f>
      </c>
      <c r="P246" s="23">
        <f>IF($A246="","",SUM(IF('POINTAGE'!$AH$5&lt;&gt;"",IF('POINTAGE'!AH246="Présent",'POINTAGE'!AI246,0),0),IF('POINTAGE'!$AJ$5&lt;&gt;"",IF('POINTAGE'!AJ246="Présent",'POINTAGE'!AK246,0),0),IF('POINTAGE'!$AL$5&lt;&gt;"",IF('POINTAGE'!AL246="Présent",'POINTAGE'!AM246,0),0),IF('POINTAGE'!$AN$5&lt;&gt;"",IF('POINTAGE'!AN246="Présent",'POINTAGE'!AO246,0),0),IF('POINTAGE'!$AP$5&lt;&gt;"",IF('POINTAGE'!AP246="Présent",'POINTAGE'!AQ246,0),0),IF('POINTAGE'!$AR$5&lt;&gt;"",IF('POINTAGE'!AR246="Présent",'POINTAGE'!AS246,0),0),IF('POINTAGE'!$AT$5&lt;&gt;"",IF('POINTAGE'!AT246="Présent",'POINTAGE'!AU246,0),0),IF('POINTAGE'!$AV$5&lt;&gt;"",IF('POINTAGE'!AV246="Présent",'POINTAGE'!AW246,0),0),IF('POINTAGE'!$AX$5&lt;&gt;"",IF('POINTAGE'!AX246="Présent",'POINTAGE'!AY246,0),0),IF('POINTAGE'!$AZ$5&lt;&gt;"",IF('POINTAGE'!AZ246="Présent",'POINTAGE'!BA246,0),0),IF('POINTAGE'!$BB$5&lt;&gt;"",IF('POINTAGE'!BB246="Présent",'POINTAGE'!BC246,0),0),IF('POINTAGE'!$BD$5&lt;&gt;"",IF('POINTAGE'!BD246="Présent",'POINTAGE'!BE246,0),0),IF('POINTAGE'!$BF$5&lt;&gt;"",IF('POINTAGE'!BF246="Présent",'POINTAGE'!BG246,0),0),IF('POINTAGE'!$BH$5&lt;&gt;"",IF('POINTAGE'!BH246="Présent",'POINTAGE'!BI246,0),0),IF('POINTAGE'!$BJ$5&lt;&gt;"",IF('POINTAGE'!BJ246="Présent",'POINTAGE'!BK246,0),0),IF('POINTAGE'!$BL$5&lt;&gt;"",IF('POINTAGE'!BL246="Présent",'POINTAGE'!BM246,0),0)))</f>
      </c>
      <c r="Q246" s="24">
        <f>IF($A246="","",$N246*$D246)</f>
      </c>
      <c r="R246" s="24">
        <f>IF($A246="","",$P246*$E246)</f>
      </c>
      <c r="S246" s="25">
        <f>IF($A246="","",$Q246+$R246)</f>
      </c>
      <c r="T246" s="18"/>
      <c r="U246" s="25">
        <f>IF($A246="","",MAX(0,$S246-$T246))</f>
      </c>
      <c r="V246" s="25">
        <f>IF($A246="","",$K246+$S246)</f>
      </c>
      <c r="W246" s="24">
        <f>IF($A246="","",$L246+$T246)</f>
      </c>
      <c r="X246" s="25">
        <f>IF($A246="","",$M246+$U246)</f>
      </c>
      <c r="Y246" s="29">
        <f>IF($A246="","",$J246+$R246)</f>
      </c>
    </row>
    <row r="247">
      <c r="A247" s="20">
        <f>IF('POINTAGE'!A247="","",'POINTAGE'!A247)</f>
      </c>
      <c r="B247" s="19">
        <f>IF($A247="","",'POINTAGE'!B247)</f>
      </c>
      <c r="C247" s="20">
        <f>IF($A247="","",'POINTAGE'!C247)</f>
      </c>
      <c r="D247" s="24">
        <f>IF($A247="","",IFERROR(INDEX(Categories_Salaire,MATCH($C247,ListeCategories,0)),0))</f>
      </c>
      <c r="E247" s="24">
        <f>IF($A247="","",IF(IFERROR(INDEX(Categories_TauxHS,MATCH($C247,ListeCategories,0)),0)&gt;0,IFERROR(INDEX(Categories_TauxHS,MATCH($C247,ListeCategories,0)),0),TauxHSDefaut))</f>
      </c>
      <c r="F247" s="22">
        <f>IF($A247="","",SUM(IF('POINTAGE'!$D$5&lt;&gt;"",--('POINTAGE'!D247="Présent"),0),IF('POINTAGE'!$F$5&lt;&gt;"",--('POINTAGE'!F247="Présent"),0),IF('POINTAGE'!$H$5&lt;&gt;"",--('POINTAGE'!H247="Présent"),0),IF('POINTAGE'!$J$5&lt;&gt;"",--('POINTAGE'!J247="Présent"),0),IF('POINTAGE'!$L$5&lt;&gt;"",--('POINTAGE'!L247="Présent"),0),IF('POINTAGE'!$N$5&lt;&gt;"",--('POINTAGE'!N247="Présent"),0),IF('POINTAGE'!$P$5&lt;&gt;"",--('POINTAGE'!P247="Présent"),0),IF('POINTAGE'!$R$5&lt;&gt;"",--('POINTAGE'!R247="Présent"),0),IF('POINTAGE'!$T$5&lt;&gt;"",--('POINTAGE'!T247="Présent"),0),IF('POINTAGE'!$V$5&lt;&gt;"",--('POINTAGE'!V247="Présent"),0),IF('POINTAGE'!$X$5&lt;&gt;"",--('POINTAGE'!X247="Présent"),0),IF('POINTAGE'!$Z$5&lt;&gt;"",--('POINTAGE'!Z247="Présent"),0),IF('POINTAGE'!$AB$5&lt;&gt;"",--('POINTAGE'!AB247="Présent"),0),IF('POINTAGE'!$AD$5&lt;&gt;"",--('POINTAGE'!AD247="Présent"),0),IF('POINTAGE'!$AF$5&lt;&gt;"",--('POINTAGE'!AF247="Présent"),0)))</f>
      </c>
      <c r="G247" s="22">
        <f>IF($A247="","",SUM(IF('POINTAGE'!$D$5&lt;&gt;"",--('POINTAGE'!D247="Absent"),0),IF('POINTAGE'!$F$5&lt;&gt;"",--('POINTAGE'!F247="Absent"),0),IF('POINTAGE'!$H$5&lt;&gt;"",--('POINTAGE'!H247="Absent"),0),IF('POINTAGE'!$J$5&lt;&gt;"",--('POINTAGE'!J247="Absent"),0),IF('POINTAGE'!$L$5&lt;&gt;"",--('POINTAGE'!L247="Absent"),0),IF('POINTAGE'!$N$5&lt;&gt;"",--('POINTAGE'!N247="Absent"),0),IF('POINTAGE'!$P$5&lt;&gt;"",--('POINTAGE'!P247="Absent"),0),IF('POINTAGE'!$R$5&lt;&gt;"",--('POINTAGE'!R247="Absent"),0),IF('POINTAGE'!$T$5&lt;&gt;"",--('POINTAGE'!T247="Absent"),0),IF('POINTAGE'!$V$5&lt;&gt;"",--('POINTAGE'!V247="Absent"),0),IF('POINTAGE'!$X$5&lt;&gt;"",--('POINTAGE'!X247="Absent"),0),IF('POINTAGE'!$Z$5&lt;&gt;"",--('POINTAGE'!Z247="Absent"),0),IF('POINTAGE'!$AB$5&lt;&gt;"",--('POINTAGE'!AB247="Absent"),0),IF('POINTAGE'!$AD$5&lt;&gt;"",--('POINTAGE'!AD247="Absent"),0),IF('POINTAGE'!$AF$5&lt;&gt;"",--('POINTAGE'!AF247="Absent"),0)))</f>
      </c>
      <c r="H247" s="23">
        <f>IF($A247="","",SUM(IF('POINTAGE'!$D$5&lt;&gt;"",IF('POINTAGE'!D247="Présent",'POINTAGE'!E247,0),0),IF('POINTAGE'!$F$5&lt;&gt;"",IF('POINTAGE'!F247="Présent",'POINTAGE'!G247,0),0),IF('POINTAGE'!$H$5&lt;&gt;"",IF('POINTAGE'!H247="Présent",'POINTAGE'!I247,0),0),IF('POINTAGE'!$J$5&lt;&gt;"",IF('POINTAGE'!J247="Présent",'POINTAGE'!K247,0),0),IF('POINTAGE'!$L$5&lt;&gt;"",IF('POINTAGE'!L247="Présent",'POINTAGE'!M247,0),0),IF('POINTAGE'!$N$5&lt;&gt;"",IF('POINTAGE'!N247="Présent",'POINTAGE'!O247,0),0),IF('POINTAGE'!$P$5&lt;&gt;"",IF('POINTAGE'!P247="Présent",'POINTAGE'!Q247,0),0),IF('POINTAGE'!$R$5&lt;&gt;"",IF('POINTAGE'!R247="Présent",'POINTAGE'!S247,0),0),IF('POINTAGE'!$T$5&lt;&gt;"",IF('POINTAGE'!T247="Présent",'POINTAGE'!U247,0),0),IF('POINTAGE'!$V$5&lt;&gt;"",IF('POINTAGE'!V247="Présent",'POINTAGE'!W247,0),0),IF('POINTAGE'!$X$5&lt;&gt;"",IF('POINTAGE'!X247="Présent",'POINTAGE'!Y247,0),0),IF('POINTAGE'!$Z$5&lt;&gt;"",IF('POINTAGE'!Z247="Présent",'POINTAGE'!AA247,0),0),IF('POINTAGE'!$AB$5&lt;&gt;"",IF('POINTAGE'!AB247="Présent",'POINTAGE'!AC247,0),0),IF('POINTAGE'!$AD$5&lt;&gt;"",IF('POINTAGE'!AD247="Présent",'POINTAGE'!AE247,0),0),IF('POINTAGE'!$AF$5&lt;&gt;"",IF('POINTAGE'!AF247="Présent",'POINTAGE'!AG247,0),0)))</f>
      </c>
      <c r="I247" s="24">
        <f>IF($A247="","",$F247*$D247)</f>
      </c>
      <c r="J247" s="24">
        <f>IF($A247="","",$H247*$E247)</f>
      </c>
      <c r="K247" s="25">
        <f>IF($A247="","",$I247+$J247)</f>
      </c>
      <c r="L247" s="18"/>
      <c r="M247" s="25">
        <f>IF($A247="","",MAX(0,$K247-$L247))</f>
      </c>
      <c r="N247" s="22">
        <f>IF($A247="","",SUM(IF('POINTAGE'!$AH$5&lt;&gt;"",--('POINTAGE'!AH247="Présent"),0),IF('POINTAGE'!$AJ$5&lt;&gt;"",--('POINTAGE'!AJ247="Présent"),0),IF('POINTAGE'!$AL$5&lt;&gt;"",--('POINTAGE'!AL247="Présent"),0),IF('POINTAGE'!$AN$5&lt;&gt;"",--('POINTAGE'!AN247="Présent"),0),IF('POINTAGE'!$AP$5&lt;&gt;"",--('POINTAGE'!AP247="Présent"),0),IF('POINTAGE'!$AR$5&lt;&gt;"",--('POINTAGE'!AR247="Présent"),0),IF('POINTAGE'!$AT$5&lt;&gt;"",--('POINTAGE'!AT247="Présent"),0),IF('POINTAGE'!$AV$5&lt;&gt;"",--('POINTAGE'!AV247="Présent"),0),IF('POINTAGE'!$AX$5&lt;&gt;"",--('POINTAGE'!AX247="Présent"),0),IF('POINTAGE'!$AZ$5&lt;&gt;"",--('POINTAGE'!AZ247="Présent"),0),IF('POINTAGE'!$BB$5&lt;&gt;"",--('POINTAGE'!BB247="Présent"),0),IF('POINTAGE'!$BD$5&lt;&gt;"",--('POINTAGE'!BD247="Présent"),0),IF('POINTAGE'!$BF$5&lt;&gt;"",--('POINTAGE'!BF247="Présent"),0),IF('POINTAGE'!$BH$5&lt;&gt;"",--('POINTAGE'!BH247="Présent"),0),IF('POINTAGE'!$BJ$5&lt;&gt;"",--('POINTAGE'!BJ247="Présent"),0),IF('POINTAGE'!$BL$5&lt;&gt;"",--('POINTAGE'!BL247="Présent"),0)))</f>
      </c>
      <c r="O247" s="22">
        <f>IF($A247="","",SUM(IF('POINTAGE'!$AH$5&lt;&gt;"",--('POINTAGE'!AH247="Absent"),0),IF('POINTAGE'!$AJ$5&lt;&gt;"",--('POINTAGE'!AJ247="Absent"),0),IF('POINTAGE'!$AL$5&lt;&gt;"",--('POINTAGE'!AL247="Absent"),0),IF('POINTAGE'!$AN$5&lt;&gt;"",--('POINTAGE'!AN247="Absent"),0),IF('POINTAGE'!$AP$5&lt;&gt;"",--('POINTAGE'!AP247="Absent"),0),IF('POINTAGE'!$AR$5&lt;&gt;"",--('POINTAGE'!AR247="Absent"),0),IF('POINTAGE'!$AT$5&lt;&gt;"",--('POINTAGE'!AT247="Absent"),0),IF('POINTAGE'!$AV$5&lt;&gt;"",--('POINTAGE'!AV247="Absent"),0),IF('POINTAGE'!$AX$5&lt;&gt;"",--('POINTAGE'!AX247="Absent"),0),IF('POINTAGE'!$AZ$5&lt;&gt;"",--('POINTAGE'!AZ247="Absent"),0),IF('POINTAGE'!$BB$5&lt;&gt;"",--('POINTAGE'!BB247="Absent"),0),IF('POINTAGE'!$BD$5&lt;&gt;"",--('POINTAGE'!BD247="Absent"),0),IF('POINTAGE'!$BF$5&lt;&gt;"",--('POINTAGE'!BF247="Absent"),0),IF('POINTAGE'!$BH$5&lt;&gt;"",--('POINTAGE'!BH247="Absent"),0),IF('POINTAGE'!$BJ$5&lt;&gt;"",--('POINTAGE'!BJ247="Absent"),0),IF('POINTAGE'!$BL$5&lt;&gt;"",--('POINTAGE'!BL247="Absent"),0)))</f>
      </c>
      <c r="P247" s="23">
        <f>IF($A247="","",SUM(IF('POINTAGE'!$AH$5&lt;&gt;"",IF('POINTAGE'!AH247="Présent",'POINTAGE'!AI247,0),0),IF('POINTAGE'!$AJ$5&lt;&gt;"",IF('POINTAGE'!AJ247="Présent",'POINTAGE'!AK247,0),0),IF('POINTAGE'!$AL$5&lt;&gt;"",IF('POINTAGE'!AL247="Présent",'POINTAGE'!AM247,0),0),IF('POINTAGE'!$AN$5&lt;&gt;"",IF('POINTAGE'!AN247="Présent",'POINTAGE'!AO247,0),0),IF('POINTAGE'!$AP$5&lt;&gt;"",IF('POINTAGE'!AP247="Présent",'POINTAGE'!AQ247,0),0),IF('POINTAGE'!$AR$5&lt;&gt;"",IF('POINTAGE'!AR247="Présent",'POINTAGE'!AS247,0),0),IF('POINTAGE'!$AT$5&lt;&gt;"",IF('POINTAGE'!AT247="Présent",'POINTAGE'!AU247,0),0),IF('POINTAGE'!$AV$5&lt;&gt;"",IF('POINTAGE'!AV247="Présent",'POINTAGE'!AW247,0),0),IF('POINTAGE'!$AX$5&lt;&gt;"",IF('POINTAGE'!AX247="Présent",'POINTAGE'!AY247,0),0),IF('POINTAGE'!$AZ$5&lt;&gt;"",IF('POINTAGE'!AZ247="Présent",'POINTAGE'!BA247,0),0),IF('POINTAGE'!$BB$5&lt;&gt;"",IF('POINTAGE'!BB247="Présent",'POINTAGE'!BC247,0),0),IF('POINTAGE'!$BD$5&lt;&gt;"",IF('POINTAGE'!BD247="Présent",'POINTAGE'!BE247,0),0),IF('POINTAGE'!$BF$5&lt;&gt;"",IF('POINTAGE'!BF247="Présent",'POINTAGE'!BG247,0),0),IF('POINTAGE'!$BH$5&lt;&gt;"",IF('POINTAGE'!BH247="Présent",'POINTAGE'!BI247,0),0),IF('POINTAGE'!$BJ$5&lt;&gt;"",IF('POINTAGE'!BJ247="Présent",'POINTAGE'!BK247,0),0),IF('POINTAGE'!$BL$5&lt;&gt;"",IF('POINTAGE'!BL247="Présent",'POINTAGE'!BM247,0),0)))</f>
      </c>
      <c r="Q247" s="24">
        <f>IF($A247="","",$N247*$D247)</f>
      </c>
      <c r="R247" s="24">
        <f>IF($A247="","",$P247*$E247)</f>
      </c>
      <c r="S247" s="25">
        <f>IF($A247="","",$Q247+$R247)</f>
      </c>
      <c r="T247" s="18"/>
      <c r="U247" s="25">
        <f>IF($A247="","",MAX(0,$S247-$T247))</f>
      </c>
      <c r="V247" s="25">
        <f>IF($A247="","",$K247+$S247)</f>
      </c>
      <c r="W247" s="24">
        <f>IF($A247="","",$L247+$T247)</f>
      </c>
      <c r="X247" s="25">
        <f>IF($A247="","",$M247+$U247)</f>
      </c>
      <c r="Y247" s="29">
        <f>IF($A247="","",$J247+$R247)</f>
      </c>
    </row>
    <row r="248">
      <c r="A248" s="20">
        <f>IF('POINTAGE'!A248="","",'POINTAGE'!A248)</f>
      </c>
      <c r="B248" s="19">
        <f>IF($A248="","",'POINTAGE'!B248)</f>
      </c>
      <c r="C248" s="20">
        <f>IF($A248="","",'POINTAGE'!C248)</f>
      </c>
      <c r="D248" s="24">
        <f>IF($A248="","",IFERROR(INDEX(Categories_Salaire,MATCH($C248,ListeCategories,0)),0))</f>
      </c>
      <c r="E248" s="24">
        <f>IF($A248="","",IF(IFERROR(INDEX(Categories_TauxHS,MATCH($C248,ListeCategories,0)),0)&gt;0,IFERROR(INDEX(Categories_TauxHS,MATCH($C248,ListeCategories,0)),0),TauxHSDefaut))</f>
      </c>
      <c r="F248" s="22">
        <f>IF($A248="","",SUM(IF('POINTAGE'!$D$5&lt;&gt;"",--('POINTAGE'!D248="Présent"),0),IF('POINTAGE'!$F$5&lt;&gt;"",--('POINTAGE'!F248="Présent"),0),IF('POINTAGE'!$H$5&lt;&gt;"",--('POINTAGE'!H248="Présent"),0),IF('POINTAGE'!$J$5&lt;&gt;"",--('POINTAGE'!J248="Présent"),0),IF('POINTAGE'!$L$5&lt;&gt;"",--('POINTAGE'!L248="Présent"),0),IF('POINTAGE'!$N$5&lt;&gt;"",--('POINTAGE'!N248="Présent"),0),IF('POINTAGE'!$P$5&lt;&gt;"",--('POINTAGE'!P248="Présent"),0),IF('POINTAGE'!$R$5&lt;&gt;"",--('POINTAGE'!R248="Présent"),0),IF('POINTAGE'!$T$5&lt;&gt;"",--('POINTAGE'!T248="Présent"),0),IF('POINTAGE'!$V$5&lt;&gt;"",--('POINTAGE'!V248="Présent"),0),IF('POINTAGE'!$X$5&lt;&gt;"",--('POINTAGE'!X248="Présent"),0),IF('POINTAGE'!$Z$5&lt;&gt;"",--('POINTAGE'!Z248="Présent"),0),IF('POINTAGE'!$AB$5&lt;&gt;"",--('POINTAGE'!AB248="Présent"),0),IF('POINTAGE'!$AD$5&lt;&gt;"",--('POINTAGE'!AD248="Présent"),0),IF('POINTAGE'!$AF$5&lt;&gt;"",--('POINTAGE'!AF248="Présent"),0)))</f>
      </c>
      <c r="G248" s="22">
        <f>IF($A248="","",SUM(IF('POINTAGE'!$D$5&lt;&gt;"",--('POINTAGE'!D248="Absent"),0),IF('POINTAGE'!$F$5&lt;&gt;"",--('POINTAGE'!F248="Absent"),0),IF('POINTAGE'!$H$5&lt;&gt;"",--('POINTAGE'!H248="Absent"),0),IF('POINTAGE'!$J$5&lt;&gt;"",--('POINTAGE'!J248="Absent"),0),IF('POINTAGE'!$L$5&lt;&gt;"",--('POINTAGE'!L248="Absent"),0),IF('POINTAGE'!$N$5&lt;&gt;"",--('POINTAGE'!N248="Absent"),0),IF('POINTAGE'!$P$5&lt;&gt;"",--('POINTAGE'!P248="Absent"),0),IF('POINTAGE'!$R$5&lt;&gt;"",--('POINTAGE'!R248="Absent"),0),IF('POINTAGE'!$T$5&lt;&gt;"",--('POINTAGE'!T248="Absent"),0),IF('POINTAGE'!$V$5&lt;&gt;"",--('POINTAGE'!V248="Absent"),0),IF('POINTAGE'!$X$5&lt;&gt;"",--('POINTAGE'!X248="Absent"),0),IF('POINTAGE'!$Z$5&lt;&gt;"",--('POINTAGE'!Z248="Absent"),0),IF('POINTAGE'!$AB$5&lt;&gt;"",--('POINTAGE'!AB248="Absent"),0),IF('POINTAGE'!$AD$5&lt;&gt;"",--('POINTAGE'!AD248="Absent"),0),IF('POINTAGE'!$AF$5&lt;&gt;"",--('POINTAGE'!AF248="Absent"),0)))</f>
      </c>
      <c r="H248" s="23">
        <f>IF($A248="","",SUM(IF('POINTAGE'!$D$5&lt;&gt;"",IF('POINTAGE'!D248="Présent",'POINTAGE'!E248,0),0),IF('POINTAGE'!$F$5&lt;&gt;"",IF('POINTAGE'!F248="Présent",'POINTAGE'!G248,0),0),IF('POINTAGE'!$H$5&lt;&gt;"",IF('POINTAGE'!H248="Présent",'POINTAGE'!I248,0),0),IF('POINTAGE'!$J$5&lt;&gt;"",IF('POINTAGE'!J248="Présent",'POINTAGE'!K248,0),0),IF('POINTAGE'!$L$5&lt;&gt;"",IF('POINTAGE'!L248="Présent",'POINTAGE'!M248,0),0),IF('POINTAGE'!$N$5&lt;&gt;"",IF('POINTAGE'!N248="Présent",'POINTAGE'!O248,0),0),IF('POINTAGE'!$P$5&lt;&gt;"",IF('POINTAGE'!P248="Présent",'POINTAGE'!Q248,0),0),IF('POINTAGE'!$R$5&lt;&gt;"",IF('POINTAGE'!R248="Présent",'POINTAGE'!S248,0),0),IF('POINTAGE'!$T$5&lt;&gt;"",IF('POINTAGE'!T248="Présent",'POINTAGE'!U248,0),0),IF('POINTAGE'!$V$5&lt;&gt;"",IF('POINTAGE'!V248="Présent",'POINTAGE'!W248,0),0),IF('POINTAGE'!$X$5&lt;&gt;"",IF('POINTAGE'!X248="Présent",'POINTAGE'!Y248,0),0),IF('POINTAGE'!$Z$5&lt;&gt;"",IF('POINTAGE'!Z248="Présent",'POINTAGE'!AA248,0),0),IF('POINTAGE'!$AB$5&lt;&gt;"",IF('POINTAGE'!AB248="Présent",'POINTAGE'!AC248,0),0),IF('POINTAGE'!$AD$5&lt;&gt;"",IF('POINTAGE'!AD248="Présent",'POINTAGE'!AE248,0),0),IF('POINTAGE'!$AF$5&lt;&gt;"",IF('POINTAGE'!AF248="Présent",'POINTAGE'!AG248,0),0)))</f>
      </c>
      <c r="I248" s="24">
        <f>IF($A248="","",$F248*$D248)</f>
      </c>
      <c r="J248" s="24">
        <f>IF($A248="","",$H248*$E248)</f>
      </c>
      <c r="K248" s="25">
        <f>IF($A248="","",$I248+$J248)</f>
      </c>
      <c r="L248" s="18"/>
      <c r="M248" s="25">
        <f>IF($A248="","",MAX(0,$K248-$L248))</f>
      </c>
      <c r="N248" s="22">
        <f>IF($A248="","",SUM(IF('POINTAGE'!$AH$5&lt;&gt;"",--('POINTAGE'!AH248="Présent"),0),IF('POINTAGE'!$AJ$5&lt;&gt;"",--('POINTAGE'!AJ248="Présent"),0),IF('POINTAGE'!$AL$5&lt;&gt;"",--('POINTAGE'!AL248="Présent"),0),IF('POINTAGE'!$AN$5&lt;&gt;"",--('POINTAGE'!AN248="Présent"),0),IF('POINTAGE'!$AP$5&lt;&gt;"",--('POINTAGE'!AP248="Présent"),0),IF('POINTAGE'!$AR$5&lt;&gt;"",--('POINTAGE'!AR248="Présent"),0),IF('POINTAGE'!$AT$5&lt;&gt;"",--('POINTAGE'!AT248="Présent"),0),IF('POINTAGE'!$AV$5&lt;&gt;"",--('POINTAGE'!AV248="Présent"),0),IF('POINTAGE'!$AX$5&lt;&gt;"",--('POINTAGE'!AX248="Présent"),0),IF('POINTAGE'!$AZ$5&lt;&gt;"",--('POINTAGE'!AZ248="Présent"),0),IF('POINTAGE'!$BB$5&lt;&gt;"",--('POINTAGE'!BB248="Présent"),0),IF('POINTAGE'!$BD$5&lt;&gt;"",--('POINTAGE'!BD248="Présent"),0),IF('POINTAGE'!$BF$5&lt;&gt;"",--('POINTAGE'!BF248="Présent"),0),IF('POINTAGE'!$BH$5&lt;&gt;"",--('POINTAGE'!BH248="Présent"),0),IF('POINTAGE'!$BJ$5&lt;&gt;"",--('POINTAGE'!BJ248="Présent"),0),IF('POINTAGE'!$BL$5&lt;&gt;"",--('POINTAGE'!BL248="Présent"),0)))</f>
      </c>
      <c r="O248" s="22">
        <f>IF($A248="","",SUM(IF('POINTAGE'!$AH$5&lt;&gt;"",--('POINTAGE'!AH248="Absent"),0),IF('POINTAGE'!$AJ$5&lt;&gt;"",--('POINTAGE'!AJ248="Absent"),0),IF('POINTAGE'!$AL$5&lt;&gt;"",--('POINTAGE'!AL248="Absent"),0),IF('POINTAGE'!$AN$5&lt;&gt;"",--('POINTAGE'!AN248="Absent"),0),IF('POINTAGE'!$AP$5&lt;&gt;"",--('POINTAGE'!AP248="Absent"),0),IF('POINTAGE'!$AR$5&lt;&gt;"",--('POINTAGE'!AR248="Absent"),0),IF('POINTAGE'!$AT$5&lt;&gt;"",--('POINTAGE'!AT248="Absent"),0),IF('POINTAGE'!$AV$5&lt;&gt;"",--('POINTAGE'!AV248="Absent"),0),IF('POINTAGE'!$AX$5&lt;&gt;"",--('POINTAGE'!AX248="Absent"),0),IF('POINTAGE'!$AZ$5&lt;&gt;"",--('POINTAGE'!AZ248="Absent"),0),IF('POINTAGE'!$BB$5&lt;&gt;"",--('POINTAGE'!BB248="Absent"),0),IF('POINTAGE'!$BD$5&lt;&gt;"",--('POINTAGE'!BD248="Absent"),0),IF('POINTAGE'!$BF$5&lt;&gt;"",--('POINTAGE'!BF248="Absent"),0),IF('POINTAGE'!$BH$5&lt;&gt;"",--('POINTAGE'!BH248="Absent"),0),IF('POINTAGE'!$BJ$5&lt;&gt;"",--('POINTAGE'!BJ248="Absent"),0),IF('POINTAGE'!$BL$5&lt;&gt;"",--('POINTAGE'!BL248="Absent"),0)))</f>
      </c>
      <c r="P248" s="23">
        <f>IF($A248="","",SUM(IF('POINTAGE'!$AH$5&lt;&gt;"",IF('POINTAGE'!AH248="Présent",'POINTAGE'!AI248,0),0),IF('POINTAGE'!$AJ$5&lt;&gt;"",IF('POINTAGE'!AJ248="Présent",'POINTAGE'!AK248,0),0),IF('POINTAGE'!$AL$5&lt;&gt;"",IF('POINTAGE'!AL248="Présent",'POINTAGE'!AM248,0),0),IF('POINTAGE'!$AN$5&lt;&gt;"",IF('POINTAGE'!AN248="Présent",'POINTAGE'!AO248,0),0),IF('POINTAGE'!$AP$5&lt;&gt;"",IF('POINTAGE'!AP248="Présent",'POINTAGE'!AQ248,0),0),IF('POINTAGE'!$AR$5&lt;&gt;"",IF('POINTAGE'!AR248="Présent",'POINTAGE'!AS248,0),0),IF('POINTAGE'!$AT$5&lt;&gt;"",IF('POINTAGE'!AT248="Présent",'POINTAGE'!AU248,0),0),IF('POINTAGE'!$AV$5&lt;&gt;"",IF('POINTAGE'!AV248="Présent",'POINTAGE'!AW248,0),0),IF('POINTAGE'!$AX$5&lt;&gt;"",IF('POINTAGE'!AX248="Présent",'POINTAGE'!AY248,0),0),IF('POINTAGE'!$AZ$5&lt;&gt;"",IF('POINTAGE'!AZ248="Présent",'POINTAGE'!BA248,0),0),IF('POINTAGE'!$BB$5&lt;&gt;"",IF('POINTAGE'!BB248="Présent",'POINTAGE'!BC248,0),0),IF('POINTAGE'!$BD$5&lt;&gt;"",IF('POINTAGE'!BD248="Présent",'POINTAGE'!BE248,0),0),IF('POINTAGE'!$BF$5&lt;&gt;"",IF('POINTAGE'!BF248="Présent",'POINTAGE'!BG248,0),0),IF('POINTAGE'!$BH$5&lt;&gt;"",IF('POINTAGE'!BH248="Présent",'POINTAGE'!BI248,0),0),IF('POINTAGE'!$BJ$5&lt;&gt;"",IF('POINTAGE'!BJ248="Présent",'POINTAGE'!BK248,0),0),IF('POINTAGE'!$BL$5&lt;&gt;"",IF('POINTAGE'!BL248="Présent",'POINTAGE'!BM248,0),0)))</f>
      </c>
      <c r="Q248" s="24">
        <f>IF($A248="","",$N248*$D248)</f>
      </c>
      <c r="R248" s="24">
        <f>IF($A248="","",$P248*$E248)</f>
      </c>
      <c r="S248" s="25">
        <f>IF($A248="","",$Q248+$R248)</f>
      </c>
      <c r="T248" s="18"/>
      <c r="U248" s="25">
        <f>IF($A248="","",MAX(0,$S248-$T248))</f>
      </c>
      <c r="V248" s="25">
        <f>IF($A248="","",$K248+$S248)</f>
      </c>
      <c r="W248" s="24">
        <f>IF($A248="","",$L248+$T248)</f>
      </c>
      <c r="X248" s="25">
        <f>IF($A248="","",$M248+$U248)</f>
      </c>
      <c r="Y248" s="29">
        <f>IF($A248="","",$J248+$R248)</f>
      </c>
    </row>
    <row r="249">
      <c r="A249" s="20">
        <f>IF('POINTAGE'!A249="","",'POINTAGE'!A249)</f>
      </c>
      <c r="B249" s="19">
        <f>IF($A249="","",'POINTAGE'!B249)</f>
      </c>
      <c r="C249" s="20">
        <f>IF($A249="","",'POINTAGE'!C249)</f>
      </c>
      <c r="D249" s="24">
        <f>IF($A249="","",IFERROR(INDEX(Categories_Salaire,MATCH($C249,ListeCategories,0)),0))</f>
      </c>
      <c r="E249" s="24">
        <f>IF($A249="","",IF(IFERROR(INDEX(Categories_TauxHS,MATCH($C249,ListeCategories,0)),0)&gt;0,IFERROR(INDEX(Categories_TauxHS,MATCH($C249,ListeCategories,0)),0),TauxHSDefaut))</f>
      </c>
      <c r="F249" s="22">
        <f>IF($A249="","",SUM(IF('POINTAGE'!$D$5&lt;&gt;"",--('POINTAGE'!D249="Présent"),0),IF('POINTAGE'!$F$5&lt;&gt;"",--('POINTAGE'!F249="Présent"),0),IF('POINTAGE'!$H$5&lt;&gt;"",--('POINTAGE'!H249="Présent"),0),IF('POINTAGE'!$J$5&lt;&gt;"",--('POINTAGE'!J249="Présent"),0),IF('POINTAGE'!$L$5&lt;&gt;"",--('POINTAGE'!L249="Présent"),0),IF('POINTAGE'!$N$5&lt;&gt;"",--('POINTAGE'!N249="Présent"),0),IF('POINTAGE'!$P$5&lt;&gt;"",--('POINTAGE'!P249="Présent"),0),IF('POINTAGE'!$R$5&lt;&gt;"",--('POINTAGE'!R249="Présent"),0),IF('POINTAGE'!$T$5&lt;&gt;"",--('POINTAGE'!T249="Présent"),0),IF('POINTAGE'!$V$5&lt;&gt;"",--('POINTAGE'!V249="Présent"),0),IF('POINTAGE'!$X$5&lt;&gt;"",--('POINTAGE'!X249="Présent"),0),IF('POINTAGE'!$Z$5&lt;&gt;"",--('POINTAGE'!Z249="Présent"),0),IF('POINTAGE'!$AB$5&lt;&gt;"",--('POINTAGE'!AB249="Présent"),0),IF('POINTAGE'!$AD$5&lt;&gt;"",--('POINTAGE'!AD249="Présent"),0),IF('POINTAGE'!$AF$5&lt;&gt;"",--('POINTAGE'!AF249="Présent"),0)))</f>
      </c>
      <c r="G249" s="22">
        <f>IF($A249="","",SUM(IF('POINTAGE'!$D$5&lt;&gt;"",--('POINTAGE'!D249="Absent"),0),IF('POINTAGE'!$F$5&lt;&gt;"",--('POINTAGE'!F249="Absent"),0),IF('POINTAGE'!$H$5&lt;&gt;"",--('POINTAGE'!H249="Absent"),0),IF('POINTAGE'!$J$5&lt;&gt;"",--('POINTAGE'!J249="Absent"),0),IF('POINTAGE'!$L$5&lt;&gt;"",--('POINTAGE'!L249="Absent"),0),IF('POINTAGE'!$N$5&lt;&gt;"",--('POINTAGE'!N249="Absent"),0),IF('POINTAGE'!$P$5&lt;&gt;"",--('POINTAGE'!P249="Absent"),0),IF('POINTAGE'!$R$5&lt;&gt;"",--('POINTAGE'!R249="Absent"),0),IF('POINTAGE'!$T$5&lt;&gt;"",--('POINTAGE'!T249="Absent"),0),IF('POINTAGE'!$V$5&lt;&gt;"",--('POINTAGE'!V249="Absent"),0),IF('POINTAGE'!$X$5&lt;&gt;"",--('POINTAGE'!X249="Absent"),0),IF('POINTAGE'!$Z$5&lt;&gt;"",--('POINTAGE'!Z249="Absent"),0),IF('POINTAGE'!$AB$5&lt;&gt;"",--('POINTAGE'!AB249="Absent"),0),IF('POINTAGE'!$AD$5&lt;&gt;"",--('POINTAGE'!AD249="Absent"),0),IF('POINTAGE'!$AF$5&lt;&gt;"",--('POINTAGE'!AF249="Absent"),0)))</f>
      </c>
      <c r="H249" s="23">
        <f>IF($A249="","",SUM(IF('POINTAGE'!$D$5&lt;&gt;"",IF('POINTAGE'!D249="Présent",'POINTAGE'!E249,0),0),IF('POINTAGE'!$F$5&lt;&gt;"",IF('POINTAGE'!F249="Présent",'POINTAGE'!G249,0),0),IF('POINTAGE'!$H$5&lt;&gt;"",IF('POINTAGE'!H249="Présent",'POINTAGE'!I249,0),0),IF('POINTAGE'!$J$5&lt;&gt;"",IF('POINTAGE'!J249="Présent",'POINTAGE'!K249,0),0),IF('POINTAGE'!$L$5&lt;&gt;"",IF('POINTAGE'!L249="Présent",'POINTAGE'!M249,0),0),IF('POINTAGE'!$N$5&lt;&gt;"",IF('POINTAGE'!N249="Présent",'POINTAGE'!O249,0),0),IF('POINTAGE'!$P$5&lt;&gt;"",IF('POINTAGE'!P249="Présent",'POINTAGE'!Q249,0),0),IF('POINTAGE'!$R$5&lt;&gt;"",IF('POINTAGE'!R249="Présent",'POINTAGE'!S249,0),0),IF('POINTAGE'!$T$5&lt;&gt;"",IF('POINTAGE'!T249="Présent",'POINTAGE'!U249,0),0),IF('POINTAGE'!$V$5&lt;&gt;"",IF('POINTAGE'!V249="Présent",'POINTAGE'!W249,0),0),IF('POINTAGE'!$X$5&lt;&gt;"",IF('POINTAGE'!X249="Présent",'POINTAGE'!Y249,0),0),IF('POINTAGE'!$Z$5&lt;&gt;"",IF('POINTAGE'!Z249="Présent",'POINTAGE'!AA249,0),0),IF('POINTAGE'!$AB$5&lt;&gt;"",IF('POINTAGE'!AB249="Présent",'POINTAGE'!AC249,0),0),IF('POINTAGE'!$AD$5&lt;&gt;"",IF('POINTAGE'!AD249="Présent",'POINTAGE'!AE249,0),0),IF('POINTAGE'!$AF$5&lt;&gt;"",IF('POINTAGE'!AF249="Présent",'POINTAGE'!AG249,0),0)))</f>
      </c>
      <c r="I249" s="24">
        <f>IF($A249="","",$F249*$D249)</f>
      </c>
      <c r="J249" s="24">
        <f>IF($A249="","",$H249*$E249)</f>
      </c>
      <c r="K249" s="25">
        <f>IF($A249="","",$I249+$J249)</f>
      </c>
      <c r="L249" s="18"/>
      <c r="M249" s="25">
        <f>IF($A249="","",MAX(0,$K249-$L249))</f>
      </c>
      <c r="N249" s="22">
        <f>IF($A249="","",SUM(IF('POINTAGE'!$AH$5&lt;&gt;"",--('POINTAGE'!AH249="Présent"),0),IF('POINTAGE'!$AJ$5&lt;&gt;"",--('POINTAGE'!AJ249="Présent"),0),IF('POINTAGE'!$AL$5&lt;&gt;"",--('POINTAGE'!AL249="Présent"),0),IF('POINTAGE'!$AN$5&lt;&gt;"",--('POINTAGE'!AN249="Présent"),0),IF('POINTAGE'!$AP$5&lt;&gt;"",--('POINTAGE'!AP249="Présent"),0),IF('POINTAGE'!$AR$5&lt;&gt;"",--('POINTAGE'!AR249="Présent"),0),IF('POINTAGE'!$AT$5&lt;&gt;"",--('POINTAGE'!AT249="Présent"),0),IF('POINTAGE'!$AV$5&lt;&gt;"",--('POINTAGE'!AV249="Présent"),0),IF('POINTAGE'!$AX$5&lt;&gt;"",--('POINTAGE'!AX249="Présent"),0),IF('POINTAGE'!$AZ$5&lt;&gt;"",--('POINTAGE'!AZ249="Présent"),0),IF('POINTAGE'!$BB$5&lt;&gt;"",--('POINTAGE'!BB249="Présent"),0),IF('POINTAGE'!$BD$5&lt;&gt;"",--('POINTAGE'!BD249="Présent"),0),IF('POINTAGE'!$BF$5&lt;&gt;"",--('POINTAGE'!BF249="Présent"),0),IF('POINTAGE'!$BH$5&lt;&gt;"",--('POINTAGE'!BH249="Présent"),0),IF('POINTAGE'!$BJ$5&lt;&gt;"",--('POINTAGE'!BJ249="Présent"),0),IF('POINTAGE'!$BL$5&lt;&gt;"",--('POINTAGE'!BL249="Présent"),0)))</f>
      </c>
      <c r="O249" s="22">
        <f>IF($A249="","",SUM(IF('POINTAGE'!$AH$5&lt;&gt;"",--('POINTAGE'!AH249="Absent"),0),IF('POINTAGE'!$AJ$5&lt;&gt;"",--('POINTAGE'!AJ249="Absent"),0),IF('POINTAGE'!$AL$5&lt;&gt;"",--('POINTAGE'!AL249="Absent"),0),IF('POINTAGE'!$AN$5&lt;&gt;"",--('POINTAGE'!AN249="Absent"),0),IF('POINTAGE'!$AP$5&lt;&gt;"",--('POINTAGE'!AP249="Absent"),0),IF('POINTAGE'!$AR$5&lt;&gt;"",--('POINTAGE'!AR249="Absent"),0),IF('POINTAGE'!$AT$5&lt;&gt;"",--('POINTAGE'!AT249="Absent"),0),IF('POINTAGE'!$AV$5&lt;&gt;"",--('POINTAGE'!AV249="Absent"),0),IF('POINTAGE'!$AX$5&lt;&gt;"",--('POINTAGE'!AX249="Absent"),0),IF('POINTAGE'!$AZ$5&lt;&gt;"",--('POINTAGE'!AZ249="Absent"),0),IF('POINTAGE'!$BB$5&lt;&gt;"",--('POINTAGE'!BB249="Absent"),0),IF('POINTAGE'!$BD$5&lt;&gt;"",--('POINTAGE'!BD249="Absent"),0),IF('POINTAGE'!$BF$5&lt;&gt;"",--('POINTAGE'!BF249="Absent"),0),IF('POINTAGE'!$BH$5&lt;&gt;"",--('POINTAGE'!BH249="Absent"),0),IF('POINTAGE'!$BJ$5&lt;&gt;"",--('POINTAGE'!BJ249="Absent"),0),IF('POINTAGE'!$BL$5&lt;&gt;"",--('POINTAGE'!BL249="Absent"),0)))</f>
      </c>
      <c r="P249" s="23">
        <f>IF($A249="","",SUM(IF('POINTAGE'!$AH$5&lt;&gt;"",IF('POINTAGE'!AH249="Présent",'POINTAGE'!AI249,0),0),IF('POINTAGE'!$AJ$5&lt;&gt;"",IF('POINTAGE'!AJ249="Présent",'POINTAGE'!AK249,0),0),IF('POINTAGE'!$AL$5&lt;&gt;"",IF('POINTAGE'!AL249="Présent",'POINTAGE'!AM249,0),0),IF('POINTAGE'!$AN$5&lt;&gt;"",IF('POINTAGE'!AN249="Présent",'POINTAGE'!AO249,0),0),IF('POINTAGE'!$AP$5&lt;&gt;"",IF('POINTAGE'!AP249="Présent",'POINTAGE'!AQ249,0),0),IF('POINTAGE'!$AR$5&lt;&gt;"",IF('POINTAGE'!AR249="Présent",'POINTAGE'!AS249,0),0),IF('POINTAGE'!$AT$5&lt;&gt;"",IF('POINTAGE'!AT249="Présent",'POINTAGE'!AU249,0),0),IF('POINTAGE'!$AV$5&lt;&gt;"",IF('POINTAGE'!AV249="Présent",'POINTAGE'!AW249,0),0),IF('POINTAGE'!$AX$5&lt;&gt;"",IF('POINTAGE'!AX249="Présent",'POINTAGE'!AY249,0),0),IF('POINTAGE'!$AZ$5&lt;&gt;"",IF('POINTAGE'!AZ249="Présent",'POINTAGE'!BA249,0),0),IF('POINTAGE'!$BB$5&lt;&gt;"",IF('POINTAGE'!BB249="Présent",'POINTAGE'!BC249,0),0),IF('POINTAGE'!$BD$5&lt;&gt;"",IF('POINTAGE'!BD249="Présent",'POINTAGE'!BE249,0),0),IF('POINTAGE'!$BF$5&lt;&gt;"",IF('POINTAGE'!BF249="Présent",'POINTAGE'!BG249,0),0),IF('POINTAGE'!$BH$5&lt;&gt;"",IF('POINTAGE'!BH249="Présent",'POINTAGE'!BI249,0),0),IF('POINTAGE'!$BJ$5&lt;&gt;"",IF('POINTAGE'!BJ249="Présent",'POINTAGE'!BK249,0),0),IF('POINTAGE'!$BL$5&lt;&gt;"",IF('POINTAGE'!BL249="Présent",'POINTAGE'!BM249,0),0)))</f>
      </c>
      <c r="Q249" s="24">
        <f>IF($A249="","",$N249*$D249)</f>
      </c>
      <c r="R249" s="24">
        <f>IF($A249="","",$P249*$E249)</f>
      </c>
      <c r="S249" s="25">
        <f>IF($A249="","",$Q249+$R249)</f>
      </c>
      <c r="T249" s="18"/>
      <c r="U249" s="25">
        <f>IF($A249="","",MAX(0,$S249-$T249))</f>
      </c>
      <c r="V249" s="25">
        <f>IF($A249="","",$K249+$S249)</f>
      </c>
      <c r="W249" s="24">
        <f>IF($A249="","",$L249+$T249)</f>
      </c>
      <c r="X249" s="25">
        <f>IF($A249="","",$M249+$U249)</f>
      </c>
      <c r="Y249" s="29">
        <f>IF($A249="","",$J249+$R249)</f>
      </c>
    </row>
    <row r="250">
      <c r="A250" s="20">
        <f>IF('POINTAGE'!A250="","",'POINTAGE'!A250)</f>
      </c>
      <c r="B250" s="19">
        <f>IF($A250="","",'POINTAGE'!B250)</f>
      </c>
      <c r="C250" s="20">
        <f>IF($A250="","",'POINTAGE'!C250)</f>
      </c>
      <c r="D250" s="24">
        <f>IF($A250="","",IFERROR(INDEX(Categories_Salaire,MATCH($C250,ListeCategories,0)),0))</f>
      </c>
      <c r="E250" s="24">
        <f>IF($A250="","",IF(IFERROR(INDEX(Categories_TauxHS,MATCH($C250,ListeCategories,0)),0)&gt;0,IFERROR(INDEX(Categories_TauxHS,MATCH($C250,ListeCategories,0)),0),TauxHSDefaut))</f>
      </c>
      <c r="F250" s="22">
        <f>IF($A250="","",SUM(IF('POINTAGE'!$D$5&lt;&gt;"",--('POINTAGE'!D250="Présent"),0),IF('POINTAGE'!$F$5&lt;&gt;"",--('POINTAGE'!F250="Présent"),0),IF('POINTAGE'!$H$5&lt;&gt;"",--('POINTAGE'!H250="Présent"),0),IF('POINTAGE'!$J$5&lt;&gt;"",--('POINTAGE'!J250="Présent"),0),IF('POINTAGE'!$L$5&lt;&gt;"",--('POINTAGE'!L250="Présent"),0),IF('POINTAGE'!$N$5&lt;&gt;"",--('POINTAGE'!N250="Présent"),0),IF('POINTAGE'!$P$5&lt;&gt;"",--('POINTAGE'!P250="Présent"),0),IF('POINTAGE'!$R$5&lt;&gt;"",--('POINTAGE'!R250="Présent"),0),IF('POINTAGE'!$T$5&lt;&gt;"",--('POINTAGE'!T250="Présent"),0),IF('POINTAGE'!$V$5&lt;&gt;"",--('POINTAGE'!V250="Présent"),0),IF('POINTAGE'!$X$5&lt;&gt;"",--('POINTAGE'!X250="Présent"),0),IF('POINTAGE'!$Z$5&lt;&gt;"",--('POINTAGE'!Z250="Présent"),0),IF('POINTAGE'!$AB$5&lt;&gt;"",--('POINTAGE'!AB250="Présent"),0),IF('POINTAGE'!$AD$5&lt;&gt;"",--('POINTAGE'!AD250="Présent"),0),IF('POINTAGE'!$AF$5&lt;&gt;"",--('POINTAGE'!AF250="Présent"),0)))</f>
      </c>
      <c r="G250" s="22">
        <f>IF($A250="","",SUM(IF('POINTAGE'!$D$5&lt;&gt;"",--('POINTAGE'!D250="Absent"),0),IF('POINTAGE'!$F$5&lt;&gt;"",--('POINTAGE'!F250="Absent"),0),IF('POINTAGE'!$H$5&lt;&gt;"",--('POINTAGE'!H250="Absent"),0),IF('POINTAGE'!$J$5&lt;&gt;"",--('POINTAGE'!J250="Absent"),0),IF('POINTAGE'!$L$5&lt;&gt;"",--('POINTAGE'!L250="Absent"),0),IF('POINTAGE'!$N$5&lt;&gt;"",--('POINTAGE'!N250="Absent"),0),IF('POINTAGE'!$P$5&lt;&gt;"",--('POINTAGE'!P250="Absent"),0),IF('POINTAGE'!$R$5&lt;&gt;"",--('POINTAGE'!R250="Absent"),0),IF('POINTAGE'!$T$5&lt;&gt;"",--('POINTAGE'!T250="Absent"),0),IF('POINTAGE'!$V$5&lt;&gt;"",--('POINTAGE'!V250="Absent"),0),IF('POINTAGE'!$X$5&lt;&gt;"",--('POINTAGE'!X250="Absent"),0),IF('POINTAGE'!$Z$5&lt;&gt;"",--('POINTAGE'!Z250="Absent"),0),IF('POINTAGE'!$AB$5&lt;&gt;"",--('POINTAGE'!AB250="Absent"),0),IF('POINTAGE'!$AD$5&lt;&gt;"",--('POINTAGE'!AD250="Absent"),0),IF('POINTAGE'!$AF$5&lt;&gt;"",--('POINTAGE'!AF250="Absent"),0)))</f>
      </c>
      <c r="H250" s="23">
        <f>IF($A250="","",SUM(IF('POINTAGE'!$D$5&lt;&gt;"",IF('POINTAGE'!D250="Présent",'POINTAGE'!E250,0),0),IF('POINTAGE'!$F$5&lt;&gt;"",IF('POINTAGE'!F250="Présent",'POINTAGE'!G250,0),0),IF('POINTAGE'!$H$5&lt;&gt;"",IF('POINTAGE'!H250="Présent",'POINTAGE'!I250,0),0),IF('POINTAGE'!$J$5&lt;&gt;"",IF('POINTAGE'!J250="Présent",'POINTAGE'!K250,0),0),IF('POINTAGE'!$L$5&lt;&gt;"",IF('POINTAGE'!L250="Présent",'POINTAGE'!M250,0),0),IF('POINTAGE'!$N$5&lt;&gt;"",IF('POINTAGE'!N250="Présent",'POINTAGE'!O250,0),0),IF('POINTAGE'!$P$5&lt;&gt;"",IF('POINTAGE'!P250="Présent",'POINTAGE'!Q250,0),0),IF('POINTAGE'!$R$5&lt;&gt;"",IF('POINTAGE'!R250="Présent",'POINTAGE'!S250,0),0),IF('POINTAGE'!$T$5&lt;&gt;"",IF('POINTAGE'!T250="Présent",'POINTAGE'!U250,0),0),IF('POINTAGE'!$V$5&lt;&gt;"",IF('POINTAGE'!V250="Présent",'POINTAGE'!W250,0),0),IF('POINTAGE'!$X$5&lt;&gt;"",IF('POINTAGE'!X250="Présent",'POINTAGE'!Y250,0),0),IF('POINTAGE'!$Z$5&lt;&gt;"",IF('POINTAGE'!Z250="Présent",'POINTAGE'!AA250,0),0),IF('POINTAGE'!$AB$5&lt;&gt;"",IF('POINTAGE'!AB250="Présent",'POINTAGE'!AC250,0),0),IF('POINTAGE'!$AD$5&lt;&gt;"",IF('POINTAGE'!AD250="Présent",'POINTAGE'!AE250,0),0),IF('POINTAGE'!$AF$5&lt;&gt;"",IF('POINTAGE'!AF250="Présent",'POINTAGE'!AG250,0),0)))</f>
      </c>
      <c r="I250" s="24">
        <f>IF($A250="","",$F250*$D250)</f>
      </c>
      <c r="J250" s="24">
        <f>IF($A250="","",$H250*$E250)</f>
      </c>
      <c r="K250" s="25">
        <f>IF($A250="","",$I250+$J250)</f>
      </c>
      <c r="L250" s="18"/>
      <c r="M250" s="25">
        <f>IF($A250="","",MAX(0,$K250-$L250))</f>
      </c>
      <c r="N250" s="22">
        <f>IF($A250="","",SUM(IF('POINTAGE'!$AH$5&lt;&gt;"",--('POINTAGE'!AH250="Présent"),0),IF('POINTAGE'!$AJ$5&lt;&gt;"",--('POINTAGE'!AJ250="Présent"),0),IF('POINTAGE'!$AL$5&lt;&gt;"",--('POINTAGE'!AL250="Présent"),0),IF('POINTAGE'!$AN$5&lt;&gt;"",--('POINTAGE'!AN250="Présent"),0),IF('POINTAGE'!$AP$5&lt;&gt;"",--('POINTAGE'!AP250="Présent"),0),IF('POINTAGE'!$AR$5&lt;&gt;"",--('POINTAGE'!AR250="Présent"),0),IF('POINTAGE'!$AT$5&lt;&gt;"",--('POINTAGE'!AT250="Présent"),0),IF('POINTAGE'!$AV$5&lt;&gt;"",--('POINTAGE'!AV250="Présent"),0),IF('POINTAGE'!$AX$5&lt;&gt;"",--('POINTAGE'!AX250="Présent"),0),IF('POINTAGE'!$AZ$5&lt;&gt;"",--('POINTAGE'!AZ250="Présent"),0),IF('POINTAGE'!$BB$5&lt;&gt;"",--('POINTAGE'!BB250="Présent"),0),IF('POINTAGE'!$BD$5&lt;&gt;"",--('POINTAGE'!BD250="Présent"),0),IF('POINTAGE'!$BF$5&lt;&gt;"",--('POINTAGE'!BF250="Présent"),0),IF('POINTAGE'!$BH$5&lt;&gt;"",--('POINTAGE'!BH250="Présent"),0),IF('POINTAGE'!$BJ$5&lt;&gt;"",--('POINTAGE'!BJ250="Présent"),0),IF('POINTAGE'!$BL$5&lt;&gt;"",--('POINTAGE'!BL250="Présent"),0)))</f>
      </c>
      <c r="O250" s="22">
        <f>IF($A250="","",SUM(IF('POINTAGE'!$AH$5&lt;&gt;"",--('POINTAGE'!AH250="Absent"),0),IF('POINTAGE'!$AJ$5&lt;&gt;"",--('POINTAGE'!AJ250="Absent"),0),IF('POINTAGE'!$AL$5&lt;&gt;"",--('POINTAGE'!AL250="Absent"),0),IF('POINTAGE'!$AN$5&lt;&gt;"",--('POINTAGE'!AN250="Absent"),0),IF('POINTAGE'!$AP$5&lt;&gt;"",--('POINTAGE'!AP250="Absent"),0),IF('POINTAGE'!$AR$5&lt;&gt;"",--('POINTAGE'!AR250="Absent"),0),IF('POINTAGE'!$AT$5&lt;&gt;"",--('POINTAGE'!AT250="Absent"),0),IF('POINTAGE'!$AV$5&lt;&gt;"",--('POINTAGE'!AV250="Absent"),0),IF('POINTAGE'!$AX$5&lt;&gt;"",--('POINTAGE'!AX250="Absent"),0),IF('POINTAGE'!$AZ$5&lt;&gt;"",--('POINTAGE'!AZ250="Absent"),0),IF('POINTAGE'!$BB$5&lt;&gt;"",--('POINTAGE'!BB250="Absent"),0),IF('POINTAGE'!$BD$5&lt;&gt;"",--('POINTAGE'!BD250="Absent"),0),IF('POINTAGE'!$BF$5&lt;&gt;"",--('POINTAGE'!BF250="Absent"),0),IF('POINTAGE'!$BH$5&lt;&gt;"",--('POINTAGE'!BH250="Absent"),0),IF('POINTAGE'!$BJ$5&lt;&gt;"",--('POINTAGE'!BJ250="Absent"),0),IF('POINTAGE'!$BL$5&lt;&gt;"",--('POINTAGE'!BL250="Absent"),0)))</f>
      </c>
      <c r="P250" s="23">
        <f>IF($A250="","",SUM(IF('POINTAGE'!$AH$5&lt;&gt;"",IF('POINTAGE'!AH250="Présent",'POINTAGE'!AI250,0),0),IF('POINTAGE'!$AJ$5&lt;&gt;"",IF('POINTAGE'!AJ250="Présent",'POINTAGE'!AK250,0),0),IF('POINTAGE'!$AL$5&lt;&gt;"",IF('POINTAGE'!AL250="Présent",'POINTAGE'!AM250,0),0),IF('POINTAGE'!$AN$5&lt;&gt;"",IF('POINTAGE'!AN250="Présent",'POINTAGE'!AO250,0),0),IF('POINTAGE'!$AP$5&lt;&gt;"",IF('POINTAGE'!AP250="Présent",'POINTAGE'!AQ250,0),0),IF('POINTAGE'!$AR$5&lt;&gt;"",IF('POINTAGE'!AR250="Présent",'POINTAGE'!AS250,0),0),IF('POINTAGE'!$AT$5&lt;&gt;"",IF('POINTAGE'!AT250="Présent",'POINTAGE'!AU250,0),0),IF('POINTAGE'!$AV$5&lt;&gt;"",IF('POINTAGE'!AV250="Présent",'POINTAGE'!AW250,0),0),IF('POINTAGE'!$AX$5&lt;&gt;"",IF('POINTAGE'!AX250="Présent",'POINTAGE'!AY250,0),0),IF('POINTAGE'!$AZ$5&lt;&gt;"",IF('POINTAGE'!AZ250="Présent",'POINTAGE'!BA250,0),0),IF('POINTAGE'!$BB$5&lt;&gt;"",IF('POINTAGE'!BB250="Présent",'POINTAGE'!BC250,0),0),IF('POINTAGE'!$BD$5&lt;&gt;"",IF('POINTAGE'!BD250="Présent",'POINTAGE'!BE250,0),0),IF('POINTAGE'!$BF$5&lt;&gt;"",IF('POINTAGE'!BF250="Présent",'POINTAGE'!BG250,0),0),IF('POINTAGE'!$BH$5&lt;&gt;"",IF('POINTAGE'!BH250="Présent",'POINTAGE'!BI250,0),0),IF('POINTAGE'!$BJ$5&lt;&gt;"",IF('POINTAGE'!BJ250="Présent",'POINTAGE'!BK250,0),0),IF('POINTAGE'!$BL$5&lt;&gt;"",IF('POINTAGE'!BL250="Présent",'POINTAGE'!BM250,0),0)))</f>
      </c>
      <c r="Q250" s="24">
        <f>IF($A250="","",$N250*$D250)</f>
      </c>
      <c r="R250" s="24">
        <f>IF($A250="","",$P250*$E250)</f>
      </c>
      <c r="S250" s="25">
        <f>IF($A250="","",$Q250+$R250)</f>
      </c>
      <c r="T250" s="18"/>
      <c r="U250" s="25">
        <f>IF($A250="","",MAX(0,$S250-$T250))</f>
      </c>
      <c r="V250" s="25">
        <f>IF($A250="","",$K250+$S250)</f>
      </c>
      <c r="W250" s="24">
        <f>IF($A250="","",$L250+$T250)</f>
      </c>
      <c r="X250" s="25">
        <f>IF($A250="","",$M250+$U250)</f>
      </c>
      <c r="Y250" s="29">
        <f>IF($A250="","",$J250+$R250)</f>
      </c>
    </row>
    <row r="251">
      <c r="A251" s="20">
        <f>IF('POINTAGE'!A251="","",'POINTAGE'!A251)</f>
      </c>
      <c r="B251" s="19">
        <f>IF($A251="","",'POINTAGE'!B251)</f>
      </c>
      <c r="C251" s="20">
        <f>IF($A251="","",'POINTAGE'!C251)</f>
      </c>
      <c r="D251" s="24">
        <f>IF($A251="","",IFERROR(INDEX(Categories_Salaire,MATCH($C251,ListeCategories,0)),0))</f>
      </c>
      <c r="E251" s="24">
        <f>IF($A251="","",IF(IFERROR(INDEX(Categories_TauxHS,MATCH($C251,ListeCategories,0)),0)&gt;0,IFERROR(INDEX(Categories_TauxHS,MATCH($C251,ListeCategories,0)),0),TauxHSDefaut))</f>
      </c>
      <c r="F251" s="22">
        <f>IF($A251="","",SUM(IF('POINTAGE'!$D$5&lt;&gt;"",--('POINTAGE'!D251="Présent"),0),IF('POINTAGE'!$F$5&lt;&gt;"",--('POINTAGE'!F251="Présent"),0),IF('POINTAGE'!$H$5&lt;&gt;"",--('POINTAGE'!H251="Présent"),0),IF('POINTAGE'!$J$5&lt;&gt;"",--('POINTAGE'!J251="Présent"),0),IF('POINTAGE'!$L$5&lt;&gt;"",--('POINTAGE'!L251="Présent"),0),IF('POINTAGE'!$N$5&lt;&gt;"",--('POINTAGE'!N251="Présent"),0),IF('POINTAGE'!$P$5&lt;&gt;"",--('POINTAGE'!P251="Présent"),0),IF('POINTAGE'!$R$5&lt;&gt;"",--('POINTAGE'!R251="Présent"),0),IF('POINTAGE'!$T$5&lt;&gt;"",--('POINTAGE'!T251="Présent"),0),IF('POINTAGE'!$V$5&lt;&gt;"",--('POINTAGE'!V251="Présent"),0),IF('POINTAGE'!$X$5&lt;&gt;"",--('POINTAGE'!X251="Présent"),0),IF('POINTAGE'!$Z$5&lt;&gt;"",--('POINTAGE'!Z251="Présent"),0),IF('POINTAGE'!$AB$5&lt;&gt;"",--('POINTAGE'!AB251="Présent"),0),IF('POINTAGE'!$AD$5&lt;&gt;"",--('POINTAGE'!AD251="Présent"),0),IF('POINTAGE'!$AF$5&lt;&gt;"",--('POINTAGE'!AF251="Présent"),0)))</f>
      </c>
      <c r="G251" s="22">
        <f>IF($A251="","",SUM(IF('POINTAGE'!$D$5&lt;&gt;"",--('POINTAGE'!D251="Absent"),0),IF('POINTAGE'!$F$5&lt;&gt;"",--('POINTAGE'!F251="Absent"),0),IF('POINTAGE'!$H$5&lt;&gt;"",--('POINTAGE'!H251="Absent"),0),IF('POINTAGE'!$J$5&lt;&gt;"",--('POINTAGE'!J251="Absent"),0),IF('POINTAGE'!$L$5&lt;&gt;"",--('POINTAGE'!L251="Absent"),0),IF('POINTAGE'!$N$5&lt;&gt;"",--('POINTAGE'!N251="Absent"),0),IF('POINTAGE'!$P$5&lt;&gt;"",--('POINTAGE'!P251="Absent"),0),IF('POINTAGE'!$R$5&lt;&gt;"",--('POINTAGE'!R251="Absent"),0),IF('POINTAGE'!$T$5&lt;&gt;"",--('POINTAGE'!T251="Absent"),0),IF('POINTAGE'!$V$5&lt;&gt;"",--('POINTAGE'!V251="Absent"),0),IF('POINTAGE'!$X$5&lt;&gt;"",--('POINTAGE'!X251="Absent"),0),IF('POINTAGE'!$Z$5&lt;&gt;"",--('POINTAGE'!Z251="Absent"),0),IF('POINTAGE'!$AB$5&lt;&gt;"",--('POINTAGE'!AB251="Absent"),0),IF('POINTAGE'!$AD$5&lt;&gt;"",--('POINTAGE'!AD251="Absent"),0),IF('POINTAGE'!$AF$5&lt;&gt;"",--('POINTAGE'!AF251="Absent"),0)))</f>
      </c>
      <c r="H251" s="23">
        <f>IF($A251="","",SUM(IF('POINTAGE'!$D$5&lt;&gt;"",IF('POINTAGE'!D251="Présent",'POINTAGE'!E251,0),0),IF('POINTAGE'!$F$5&lt;&gt;"",IF('POINTAGE'!F251="Présent",'POINTAGE'!G251,0),0),IF('POINTAGE'!$H$5&lt;&gt;"",IF('POINTAGE'!H251="Présent",'POINTAGE'!I251,0),0),IF('POINTAGE'!$J$5&lt;&gt;"",IF('POINTAGE'!J251="Présent",'POINTAGE'!K251,0),0),IF('POINTAGE'!$L$5&lt;&gt;"",IF('POINTAGE'!L251="Présent",'POINTAGE'!M251,0),0),IF('POINTAGE'!$N$5&lt;&gt;"",IF('POINTAGE'!N251="Présent",'POINTAGE'!O251,0),0),IF('POINTAGE'!$P$5&lt;&gt;"",IF('POINTAGE'!P251="Présent",'POINTAGE'!Q251,0),0),IF('POINTAGE'!$R$5&lt;&gt;"",IF('POINTAGE'!R251="Présent",'POINTAGE'!S251,0),0),IF('POINTAGE'!$T$5&lt;&gt;"",IF('POINTAGE'!T251="Présent",'POINTAGE'!U251,0),0),IF('POINTAGE'!$V$5&lt;&gt;"",IF('POINTAGE'!V251="Présent",'POINTAGE'!W251,0),0),IF('POINTAGE'!$X$5&lt;&gt;"",IF('POINTAGE'!X251="Présent",'POINTAGE'!Y251,0),0),IF('POINTAGE'!$Z$5&lt;&gt;"",IF('POINTAGE'!Z251="Présent",'POINTAGE'!AA251,0),0),IF('POINTAGE'!$AB$5&lt;&gt;"",IF('POINTAGE'!AB251="Présent",'POINTAGE'!AC251,0),0),IF('POINTAGE'!$AD$5&lt;&gt;"",IF('POINTAGE'!AD251="Présent",'POINTAGE'!AE251,0),0),IF('POINTAGE'!$AF$5&lt;&gt;"",IF('POINTAGE'!AF251="Présent",'POINTAGE'!AG251,0),0)))</f>
      </c>
      <c r="I251" s="24">
        <f>IF($A251="","",$F251*$D251)</f>
      </c>
      <c r="J251" s="24">
        <f>IF($A251="","",$H251*$E251)</f>
      </c>
      <c r="K251" s="25">
        <f>IF($A251="","",$I251+$J251)</f>
      </c>
      <c r="L251" s="18"/>
      <c r="M251" s="25">
        <f>IF($A251="","",MAX(0,$K251-$L251))</f>
      </c>
      <c r="N251" s="22">
        <f>IF($A251="","",SUM(IF('POINTAGE'!$AH$5&lt;&gt;"",--('POINTAGE'!AH251="Présent"),0),IF('POINTAGE'!$AJ$5&lt;&gt;"",--('POINTAGE'!AJ251="Présent"),0),IF('POINTAGE'!$AL$5&lt;&gt;"",--('POINTAGE'!AL251="Présent"),0),IF('POINTAGE'!$AN$5&lt;&gt;"",--('POINTAGE'!AN251="Présent"),0),IF('POINTAGE'!$AP$5&lt;&gt;"",--('POINTAGE'!AP251="Présent"),0),IF('POINTAGE'!$AR$5&lt;&gt;"",--('POINTAGE'!AR251="Présent"),0),IF('POINTAGE'!$AT$5&lt;&gt;"",--('POINTAGE'!AT251="Présent"),0),IF('POINTAGE'!$AV$5&lt;&gt;"",--('POINTAGE'!AV251="Présent"),0),IF('POINTAGE'!$AX$5&lt;&gt;"",--('POINTAGE'!AX251="Présent"),0),IF('POINTAGE'!$AZ$5&lt;&gt;"",--('POINTAGE'!AZ251="Présent"),0),IF('POINTAGE'!$BB$5&lt;&gt;"",--('POINTAGE'!BB251="Présent"),0),IF('POINTAGE'!$BD$5&lt;&gt;"",--('POINTAGE'!BD251="Présent"),0),IF('POINTAGE'!$BF$5&lt;&gt;"",--('POINTAGE'!BF251="Présent"),0),IF('POINTAGE'!$BH$5&lt;&gt;"",--('POINTAGE'!BH251="Présent"),0),IF('POINTAGE'!$BJ$5&lt;&gt;"",--('POINTAGE'!BJ251="Présent"),0),IF('POINTAGE'!$BL$5&lt;&gt;"",--('POINTAGE'!BL251="Présent"),0)))</f>
      </c>
      <c r="O251" s="22">
        <f>IF($A251="","",SUM(IF('POINTAGE'!$AH$5&lt;&gt;"",--('POINTAGE'!AH251="Absent"),0),IF('POINTAGE'!$AJ$5&lt;&gt;"",--('POINTAGE'!AJ251="Absent"),0),IF('POINTAGE'!$AL$5&lt;&gt;"",--('POINTAGE'!AL251="Absent"),0),IF('POINTAGE'!$AN$5&lt;&gt;"",--('POINTAGE'!AN251="Absent"),0),IF('POINTAGE'!$AP$5&lt;&gt;"",--('POINTAGE'!AP251="Absent"),0),IF('POINTAGE'!$AR$5&lt;&gt;"",--('POINTAGE'!AR251="Absent"),0),IF('POINTAGE'!$AT$5&lt;&gt;"",--('POINTAGE'!AT251="Absent"),0),IF('POINTAGE'!$AV$5&lt;&gt;"",--('POINTAGE'!AV251="Absent"),0),IF('POINTAGE'!$AX$5&lt;&gt;"",--('POINTAGE'!AX251="Absent"),0),IF('POINTAGE'!$AZ$5&lt;&gt;"",--('POINTAGE'!AZ251="Absent"),0),IF('POINTAGE'!$BB$5&lt;&gt;"",--('POINTAGE'!BB251="Absent"),0),IF('POINTAGE'!$BD$5&lt;&gt;"",--('POINTAGE'!BD251="Absent"),0),IF('POINTAGE'!$BF$5&lt;&gt;"",--('POINTAGE'!BF251="Absent"),0),IF('POINTAGE'!$BH$5&lt;&gt;"",--('POINTAGE'!BH251="Absent"),0),IF('POINTAGE'!$BJ$5&lt;&gt;"",--('POINTAGE'!BJ251="Absent"),0),IF('POINTAGE'!$BL$5&lt;&gt;"",--('POINTAGE'!BL251="Absent"),0)))</f>
      </c>
      <c r="P251" s="23">
        <f>IF($A251="","",SUM(IF('POINTAGE'!$AH$5&lt;&gt;"",IF('POINTAGE'!AH251="Présent",'POINTAGE'!AI251,0),0),IF('POINTAGE'!$AJ$5&lt;&gt;"",IF('POINTAGE'!AJ251="Présent",'POINTAGE'!AK251,0),0),IF('POINTAGE'!$AL$5&lt;&gt;"",IF('POINTAGE'!AL251="Présent",'POINTAGE'!AM251,0),0),IF('POINTAGE'!$AN$5&lt;&gt;"",IF('POINTAGE'!AN251="Présent",'POINTAGE'!AO251,0),0),IF('POINTAGE'!$AP$5&lt;&gt;"",IF('POINTAGE'!AP251="Présent",'POINTAGE'!AQ251,0),0),IF('POINTAGE'!$AR$5&lt;&gt;"",IF('POINTAGE'!AR251="Présent",'POINTAGE'!AS251,0),0),IF('POINTAGE'!$AT$5&lt;&gt;"",IF('POINTAGE'!AT251="Présent",'POINTAGE'!AU251,0),0),IF('POINTAGE'!$AV$5&lt;&gt;"",IF('POINTAGE'!AV251="Présent",'POINTAGE'!AW251,0),0),IF('POINTAGE'!$AX$5&lt;&gt;"",IF('POINTAGE'!AX251="Présent",'POINTAGE'!AY251,0),0),IF('POINTAGE'!$AZ$5&lt;&gt;"",IF('POINTAGE'!AZ251="Présent",'POINTAGE'!BA251,0),0),IF('POINTAGE'!$BB$5&lt;&gt;"",IF('POINTAGE'!BB251="Présent",'POINTAGE'!BC251,0),0),IF('POINTAGE'!$BD$5&lt;&gt;"",IF('POINTAGE'!BD251="Présent",'POINTAGE'!BE251,0),0),IF('POINTAGE'!$BF$5&lt;&gt;"",IF('POINTAGE'!BF251="Présent",'POINTAGE'!BG251,0),0),IF('POINTAGE'!$BH$5&lt;&gt;"",IF('POINTAGE'!BH251="Présent",'POINTAGE'!BI251,0),0),IF('POINTAGE'!$BJ$5&lt;&gt;"",IF('POINTAGE'!BJ251="Présent",'POINTAGE'!BK251,0),0),IF('POINTAGE'!$BL$5&lt;&gt;"",IF('POINTAGE'!BL251="Présent",'POINTAGE'!BM251,0),0)))</f>
      </c>
      <c r="Q251" s="24">
        <f>IF($A251="","",$N251*$D251)</f>
      </c>
      <c r="R251" s="24">
        <f>IF($A251="","",$P251*$E251)</f>
      </c>
      <c r="S251" s="25">
        <f>IF($A251="","",$Q251+$R251)</f>
      </c>
      <c r="T251" s="18"/>
      <c r="U251" s="25">
        <f>IF($A251="","",MAX(0,$S251-$T251))</f>
      </c>
      <c r="V251" s="25">
        <f>IF($A251="","",$K251+$S251)</f>
      </c>
      <c r="W251" s="24">
        <f>IF($A251="","",$L251+$T251)</f>
      </c>
      <c r="X251" s="25">
        <f>IF($A251="","",$M251+$U251)</f>
      </c>
      <c r="Y251" s="29">
        <f>IF($A251="","",$J251+$R251)</f>
      </c>
    </row>
    <row r="252">
      <c r="A252" s="20">
        <f>IF('POINTAGE'!A252="","",'POINTAGE'!A252)</f>
      </c>
      <c r="B252" s="19">
        <f>IF($A252="","",'POINTAGE'!B252)</f>
      </c>
      <c r="C252" s="20">
        <f>IF($A252="","",'POINTAGE'!C252)</f>
      </c>
      <c r="D252" s="24">
        <f>IF($A252="","",IFERROR(INDEX(Categories_Salaire,MATCH($C252,ListeCategories,0)),0))</f>
      </c>
      <c r="E252" s="24">
        <f>IF($A252="","",IF(IFERROR(INDEX(Categories_TauxHS,MATCH($C252,ListeCategories,0)),0)&gt;0,IFERROR(INDEX(Categories_TauxHS,MATCH($C252,ListeCategories,0)),0),TauxHSDefaut))</f>
      </c>
      <c r="F252" s="22">
        <f>IF($A252="","",SUM(IF('POINTAGE'!$D$5&lt;&gt;"",--('POINTAGE'!D252="Présent"),0),IF('POINTAGE'!$F$5&lt;&gt;"",--('POINTAGE'!F252="Présent"),0),IF('POINTAGE'!$H$5&lt;&gt;"",--('POINTAGE'!H252="Présent"),0),IF('POINTAGE'!$J$5&lt;&gt;"",--('POINTAGE'!J252="Présent"),0),IF('POINTAGE'!$L$5&lt;&gt;"",--('POINTAGE'!L252="Présent"),0),IF('POINTAGE'!$N$5&lt;&gt;"",--('POINTAGE'!N252="Présent"),0),IF('POINTAGE'!$P$5&lt;&gt;"",--('POINTAGE'!P252="Présent"),0),IF('POINTAGE'!$R$5&lt;&gt;"",--('POINTAGE'!R252="Présent"),0),IF('POINTAGE'!$T$5&lt;&gt;"",--('POINTAGE'!T252="Présent"),0),IF('POINTAGE'!$V$5&lt;&gt;"",--('POINTAGE'!V252="Présent"),0),IF('POINTAGE'!$X$5&lt;&gt;"",--('POINTAGE'!X252="Présent"),0),IF('POINTAGE'!$Z$5&lt;&gt;"",--('POINTAGE'!Z252="Présent"),0),IF('POINTAGE'!$AB$5&lt;&gt;"",--('POINTAGE'!AB252="Présent"),0),IF('POINTAGE'!$AD$5&lt;&gt;"",--('POINTAGE'!AD252="Présent"),0),IF('POINTAGE'!$AF$5&lt;&gt;"",--('POINTAGE'!AF252="Présent"),0)))</f>
      </c>
      <c r="G252" s="22">
        <f>IF($A252="","",SUM(IF('POINTAGE'!$D$5&lt;&gt;"",--('POINTAGE'!D252="Absent"),0),IF('POINTAGE'!$F$5&lt;&gt;"",--('POINTAGE'!F252="Absent"),0),IF('POINTAGE'!$H$5&lt;&gt;"",--('POINTAGE'!H252="Absent"),0),IF('POINTAGE'!$J$5&lt;&gt;"",--('POINTAGE'!J252="Absent"),0),IF('POINTAGE'!$L$5&lt;&gt;"",--('POINTAGE'!L252="Absent"),0),IF('POINTAGE'!$N$5&lt;&gt;"",--('POINTAGE'!N252="Absent"),0),IF('POINTAGE'!$P$5&lt;&gt;"",--('POINTAGE'!P252="Absent"),0),IF('POINTAGE'!$R$5&lt;&gt;"",--('POINTAGE'!R252="Absent"),0),IF('POINTAGE'!$T$5&lt;&gt;"",--('POINTAGE'!T252="Absent"),0),IF('POINTAGE'!$V$5&lt;&gt;"",--('POINTAGE'!V252="Absent"),0),IF('POINTAGE'!$X$5&lt;&gt;"",--('POINTAGE'!X252="Absent"),0),IF('POINTAGE'!$Z$5&lt;&gt;"",--('POINTAGE'!Z252="Absent"),0),IF('POINTAGE'!$AB$5&lt;&gt;"",--('POINTAGE'!AB252="Absent"),0),IF('POINTAGE'!$AD$5&lt;&gt;"",--('POINTAGE'!AD252="Absent"),0),IF('POINTAGE'!$AF$5&lt;&gt;"",--('POINTAGE'!AF252="Absent"),0)))</f>
      </c>
      <c r="H252" s="23">
        <f>IF($A252="","",SUM(IF('POINTAGE'!$D$5&lt;&gt;"",IF('POINTAGE'!D252="Présent",'POINTAGE'!E252,0),0),IF('POINTAGE'!$F$5&lt;&gt;"",IF('POINTAGE'!F252="Présent",'POINTAGE'!G252,0),0),IF('POINTAGE'!$H$5&lt;&gt;"",IF('POINTAGE'!H252="Présent",'POINTAGE'!I252,0),0),IF('POINTAGE'!$J$5&lt;&gt;"",IF('POINTAGE'!J252="Présent",'POINTAGE'!K252,0),0),IF('POINTAGE'!$L$5&lt;&gt;"",IF('POINTAGE'!L252="Présent",'POINTAGE'!M252,0),0),IF('POINTAGE'!$N$5&lt;&gt;"",IF('POINTAGE'!N252="Présent",'POINTAGE'!O252,0),0),IF('POINTAGE'!$P$5&lt;&gt;"",IF('POINTAGE'!P252="Présent",'POINTAGE'!Q252,0),0),IF('POINTAGE'!$R$5&lt;&gt;"",IF('POINTAGE'!R252="Présent",'POINTAGE'!S252,0),0),IF('POINTAGE'!$T$5&lt;&gt;"",IF('POINTAGE'!T252="Présent",'POINTAGE'!U252,0),0),IF('POINTAGE'!$V$5&lt;&gt;"",IF('POINTAGE'!V252="Présent",'POINTAGE'!W252,0),0),IF('POINTAGE'!$X$5&lt;&gt;"",IF('POINTAGE'!X252="Présent",'POINTAGE'!Y252,0),0),IF('POINTAGE'!$Z$5&lt;&gt;"",IF('POINTAGE'!Z252="Présent",'POINTAGE'!AA252,0),0),IF('POINTAGE'!$AB$5&lt;&gt;"",IF('POINTAGE'!AB252="Présent",'POINTAGE'!AC252,0),0),IF('POINTAGE'!$AD$5&lt;&gt;"",IF('POINTAGE'!AD252="Présent",'POINTAGE'!AE252,0),0),IF('POINTAGE'!$AF$5&lt;&gt;"",IF('POINTAGE'!AF252="Présent",'POINTAGE'!AG252,0),0)))</f>
      </c>
      <c r="I252" s="24">
        <f>IF($A252="","",$F252*$D252)</f>
      </c>
      <c r="J252" s="24">
        <f>IF($A252="","",$H252*$E252)</f>
      </c>
      <c r="K252" s="25">
        <f>IF($A252="","",$I252+$J252)</f>
      </c>
      <c r="L252" s="18"/>
      <c r="M252" s="25">
        <f>IF($A252="","",MAX(0,$K252-$L252))</f>
      </c>
      <c r="N252" s="22">
        <f>IF($A252="","",SUM(IF('POINTAGE'!$AH$5&lt;&gt;"",--('POINTAGE'!AH252="Présent"),0),IF('POINTAGE'!$AJ$5&lt;&gt;"",--('POINTAGE'!AJ252="Présent"),0),IF('POINTAGE'!$AL$5&lt;&gt;"",--('POINTAGE'!AL252="Présent"),0),IF('POINTAGE'!$AN$5&lt;&gt;"",--('POINTAGE'!AN252="Présent"),0),IF('POINTAGE'!$AP$5&lt;&gt;"",--('POINTAGE'!AP252="Présent"),0),IF('POINTAGE'!$AR$5&lt;&gt;"",--('POINTAGE'!AR252="Présent"),0),IF('POINTAGE'!$AT$5&lt;&gt;"",--('POINTAGE'!AT252="Présent"),0),IF('POINTAGE'!$AV$5&lt;&gt;"",--('POINTAGE'!AV252="Présent"),0),IF('POINTAGE'!$AX$5&lt;&gt;"",--('POINTAGE'!AX252="Présent"),0),IF('POINTAGE'!$AZ$5&lt;&gt;"",--('POINTAGE'!AZ252="Présent"),0),IF('POINTAGE'!$BB$5&lt;&gt;"",--('POINTAGE'!BB252="Présent"),0),IF('POINTAGE'!$BD$5&lt;&gt;"",--('POINTAGE'!BD252="Présent"),0),IF('POINTAGE'!$BF$5&lt;&gt;"",--('POINTAGE'!BF252="Présent"),0),IF('POINTAGE'!$BH$5&lt;&gt;"",--('POINTAGE'!BH252="Présent"),0),IF('POINTAGE'!$BJ$5&lt;&gt;"",--('POINTAGE'!BJ252="Présent"),0),IF('POINTAGE'!$BL$5&lt;&gt;"",--('POINTAGE'!BL252="Présent"),0)))</f>
      </c>
      <c r="O252" s="22">
        <f>IF($A252="","",SUM(IF('POINTAGE'!$AH$5&lt;&gt;"",--('POINTAGE'!AH252="Absent"),0),IF('POINTAGE'!$AJ$5&lt;&gt;"",--('POINTAGE'!AJ252="Absent"),0),IF('POINTAGE'!$AL$5&lt;&gt;"",--('POINTAGE'!AL252="Absent"),0),IF('POINTAGE'!$AN$5&lt;&gt;"",--('POINTAGE'!AN252="Absent"),0),IF('POINTAGE'!$AP$5&lt;&gt;"",--('POINTAGE'!AP252="Absent"),0),IF('POINTAGE'!$AR$5&lt;&gt;"",--('POINTAGE'!AR252="Absent"),0),IF('POINTAGE'!$AT$5&lt;&gt;"",--('POINTAGE'!AT252="Absent"),0),IF('POINTAGE'!$AV$5&lt;&gt;"",--('POINTAGE'!AV252="Absent"),0),IF('POINTAGE'!$AX$5&lt;&gt;"",--('POINTAGE'!AX252="Absent"),0),IF('POINTAGE'!$AZ$5&lt;&gt;"",--('POINTAGE'!AZ252="Absent"),0),IF('POINTAGE'!$BB$5&lt;&gt;"",--('POINTAGE'!BB252="Absent"),0),IF('POINTAGE'!$BD$5&lt;&gt;"",--('POINTAGE'!BD252="Absent"),0),IF('POINTAGE'!$BF$5&lt;&gt;"",--('POINTAGE'!BF252="Absent"),0),IF('POINTAGE'!$BH$5&lt;&gt;"",--('POINTAGE'!BH252="Absent"),0),IF('POINTAGE'!$BJ$5&lt;&gt;"",--('POINTAGE'!BJ252="Absent"),0),IF('POINTAGE'!$BL$5&lt;&gt;"",--('POINTAGE'!BL252="Absent"),0)))</f>
      </c>
      <c r="P252" s="23">
        <f>IF($A252="","",SUM(IF('POINTAGE'!$AH$5&lt;&gt;"",IF('POINTAGE'!AH252="Présent",'POINTAGE'!AI252,0),0),IF('POINTAGE'!$AJ$5&lt;&gt;"",IF('POINTAGE'!AJ252="Présent",'POINTAGE'!AK252,0),0),IF('POINTAGE'!$AL$5&lt;&gt;"",IF('POINTAGE'!AL252="Présent",'POINTAGE'!AM252,0),0),IF('POINTAGE'!$AN$5&lt;&gt;"",IF('POINTAGE'!AN252="Présent",'POINTAGE'!AO252,0),0),IF('POINTAGE'!$AP$5&lt;&gt;"",IF('POINTAGE'!AP252="Présent",'POINTAGE'!AQ252,0),0),IF('POINTAGE'!$AR$5&lt;&gt;"",IF('POINTAGE'!AR252="Présent",'POINTAGE'!AS252,0),0),IF('POINTAGE'!$AT$5&lt;&gt;"",IF('POINTAGE'!AT252="Présent",'POINTAGE'!AU252,0),0),IF('POINTAGE'!$AV$5&lt;&gt;"",IF('POINTAGE'!AV252="Présent",'POINTAGE'!AW252,0),0),IF('POINTAGE'!$AX$5&lt;&gt;"",IF('POINTAGE'!AX252="Présent",'POINTAGE'!AY252,0),0),IF('POINTAGE'!$AZ$5&lt;&gt;"",IF('POINTAGE'!AZ252="Présent",'POINTAGE'!BA252,0),0),IF('POINTAGE'!$BB$5&lt;&gt;"",IF('POINTAGE'!BB252="Présent",'POINTAGE'!BC252,0),0),IF('POINTAGE'!$BD$5&lt;&gt;"",IF('POINTAGE'!BD252="Présent",'POINTAGE'!BE252,0),0),IF('POINTAGE'!$BF$5&lt;&gt;"",IF('POINTAGE'!BF252="Présent",'POINTAGE'!BG252,0),0),IF('POINTAGE'!$BH$5&lt;&gt;"",IF('POINTAGE'!BH252="Présent",'POINTAGE'!BI252,0),0),IF('POINTAGE'!$BJ$5&lt;&gt;"",IF('POINTAGE'!BJ252="Présent",'POINTAGE'!BK252,0),0),IF('POINTAGE'!$BL$5&lt;&gt;"",IF('POINTAGE'!BL252="Présent",'POINTAGE'!BM252,0),0)))</f>
      </c>
      <c r="Q252" s="24">
        <f>IF($A252="","",$N252*$D252)</f>
      </c>
      <c r="R252" s="24">
        <f>IF($A252="","",$P252*$E252)</f>
      </c>
      <c r="S252" s="25">
        <f>IF($A252="","",$Q252+$R252)</f>
      </c>
      <c r="T252" s="18"/>
      <c r="U252" s="25">
        <f>IF($A252="","",MAX(0,$S252-$T252))</f>
      </c>
      <c r="V252" s="25">
        <f>IF($A252="","",$K252+$S252)</f>
      </c>
      <c r="W252" s="24">
        <f>IF($A252="","",$L252+$T252)</f>
      </c>
      <c r="X252" s="25">
        <f>IF($A252="","",$M252+$U252)</f>
      </c>
      <c r="Y252" s="29">
        <f>IF($A252="","",$J252+$R252)</f>
      </c>
    </row>
    <row r="253">
      <c r="A253" s="20">
        <f>IF('POINTAGE'!A253="","",'POINTAGE'!A253)</f>
      </c>
      <c r="B253" s="19">
        <f>IF($A253="","",'POINTAGE'!B253)</f>
      </c>
      <c r="C253" s="20">
        <f>IF($A253="","",'POINTAGE'!C253)</f>
      </c>
      <c r="D253" s="24">
        <f>IF($A253="","",IFERROR(INDEX(Categories_Salaire,MATCH($C253,ListeCategories,0)),0))</f>
      </c>
      <c r="E253" s="24">
        <f>IF($A253="","",IF(IFERROR(INDEX(Categories_TauxHS,MATCH($C253,ListeCategories,0)),0)&gt;0,IFERROR(INDEX(Categories_TauxHS,MATCH($C253,ListeCategories,0)),0),TauxHSDefaut))</f>
      </c>
      <c r="F253" s="22">
        <f>IF($A253="","",SUM(IF('POINTAGE'!$D$5&lt;&gt;"",--('POINTAGE'!D253="Présent"),0),IF('POINTAGE'!$F$5&lt;&gt;"",--('POINTAGE'!F253="Présent"),0),IF('POINTAGE'!$H$5&lt;&gt;"",--('POINTAGE'!H253="Présent"),0),IF('POINTAGE'!$J$5&lt;&gt;"",--('POINTAGE'!J253="Présent"),0),IF('POINTAGE'!$L$5&lt;&gt;"",--('POINTAGE'!L253="Présent"),0),IF('POINTAGE'!$N$5&lt;&gt;"",--('POINTAGE'!N253="Présent"),0),IF('POINTAGE'!$P$5&lt;&gt;"",--('POINTAGE'!P253="Présent"),0),IF('POINTAGE'!$R$5&lt;&gt;"",--('POINTAGE'!R253="Présent"),0),IF('POINTAGE'!$T$5&lt;&gt;"",--('POINTAGE'!T253="Présent"),0),IF('POINTAGE'!$V$5&lt;&gt;"",--('POINTAGE'!V253="Présent"),0),IF('POINTAGE'!$X$5&lt;&gt;"",--('POINTAGE'!X253="Présent"),0),IF('POINTAGE'!$Z$5&lt;&gt;"",--('POINTAGE'!Z253="Présent"),0),IF('POINTAGE'!$AB$5&lt;&gt;"",--('POINTAGE'!AB253="Présent"),0),IF('POINTAGE'!$AD$5&lt;&gt;"",--('POINTAGE'!AD253="Présent"),0),IF('POINTAGE'!$AF$5&lt;&gt;"",--('POINTAGE'!AF253="Présent"),0)))</f>
      </c>
      <c r="G253" s="22">
        <f>IF($A253="","",SUM(IF('POINTAGE'!$D$5&lt;&gt;"",--('POINTAGE'!D253="Absent"),0),IF('POINTAGE'!$F$5&lt;&gt;"",--('POINTAGE'!F253="Absent"),0),IF('POINTAGE'!$H$5&lt;&gt;"",--('POINTAGE'!H253="Absent"),0),IF('POINTAGE'!$J$5&lt;&gt;"",--('POINTAGE'!J253="Absent"),0),IF('POINTAGE'!$L$5&lt;&gt;"",--('POINTAGE'!L253="Absent"),0),IF('POINTAGE'!$N$5&lt;&gt;"",--('POINTAGE'!N253="Absent"),0),IF('POINTAGE'!$P$5&lt;&gt;"",--('POINTAGE'!P253="Absent"),0),IF('POINTAGE'!$R$5&lt;&gt;"",--('POINTAGE'!R253="Absent"),0),IF('POINTAGE'!$T$5&lt;&gt;"",--('POINTAGE'!T253="Absent"),0),IF('POINTAGE'!$V$5&lt;&gt;"",--('POINTAGE'!V253="Absent"),0),IF('POINTAGE'!$X$5&lt;&gt;"",--('POINTAGE'!X253="Absent"),0),IF('POINTAGE'!$Z$5&lt;&gt;"",--('POINTAGE'!Z253="Absent"),0),IF('POINTAGE'!$AB$5&lt;&gt;"",--('POINTAGE'!AB253="Absent"),0),IF('POINTAGE'!$AD$5&lt;&gt;"",--('POINTAGE'!AD253="Absent"),0),IF('POINTAGE'!$AF$5&lt;&gt;"",--('POINTAGE'!AF253="Absent"),0)))</f>
      </c>
      <c r="H253" s="23">
        <f>IF($A253="","",SUM(IF('POINTAGE'!$D$5&lt;&gt;"",IF('POINTAGE'!D253="Présent",'POINTAGE'!E253,0),0),IF('POINTAGE'!$F$5&lt;&gt;"",IF('POINTAGE'!F253="Présent",'POINTAGE'!G253,0),0),IF('POINTAGE'!$H$5&lt;&gt;"",IF('POINTAGE'!H253="Présent",'POINTAGE'!I253,0),0),IF('POINTAGE'!$J$5&lt;&gt;"",IF('POINTAGE'!J253="Présent",'POINTAGE'!K253,0),0),IF('POINTAGE'!$L$5&lt;&gt;"",IF('POINTAGE'!L253="Présent",'POINTAGE'!M253,0),0),IF('POINTAGE'!$N$5&lt;&gt;"",IF('POINTAGE'!N253="Présent",'POINTAGE'!O253,0),0),IF('POINTAGE'!$P$5&lt;&gt;"",IF('POINTAGE'!P253="Présent",'POINTAGE'!Q253,0),0),IF('POINTAGE'!$R$5&lt;&gt;"",IF('POINTAGE'!R253="Présent",'POINTAGE'!S253,0),0),IF('POINTAGE'!$T$5&lt;&gt;"",IF('POINTAGE'!T253="Présent",'POINTAGE'!U253,0),0),IF('POINTAGE'!$V$5&lt;&gt;"",IF('POINTAGE'!V253="Présent",'POINTAGE'!W253,0),0),IF('POINTAGE'!$X$5&lt;&gt;"",IF('POINTAGE'!X253="Présent",'POINTAGE'!Y253,0),0),IF('POINTAGE'!$Z$5&lt;&gt;"",IF('POINTAGE'!Z253="Présent",'POINTAGE'!AA253,0),0),IF('POINTAGE'!$AB$5&lt;&gt;"",IF('POINTAGE'!AB253="Présent",'POINTAGE'!AC253,0),0),IF('POINTAGE'!$AD$5&lt;&gt;"",IF('POINTAGE'!AD253="Présent",'POINTAGE'!AE253,0),0),IF('POINTAGE'!$AF$5&lt;&gt;"",IF('POINTAGE'!AF253="Présent",'POINTAGE'!AG253,0),0)))</f>
      </c>
      <c r="I253" s="24">
        <f>IF($A253="","",$F253*$D253)</f>
      </c>
      <c r="J253" s="24">
        <f>IF($A253="","",$H253*$E253)</f>
      </c>
      <c r="K253" s="25">
        <f>IF($A253="","",$I253+$J253)</f>
      </c>
      <c r="L253" s="18"/>
      <c r="M253" s="25">
        <f>IF($A253="","",MAX(0,$K253-$L253))</f>
      </c>
      <c r="N253" s="22">
        <f>IF($A253="","",SUM(IF('POINTAGE'!$AH$5&lt;&gt;"",--('POINTAGE'!AH253="Présent"),0),IF('POINTAGE'!$AJ$5&lt;&gt;"",--('POINTAGE'!AJ253="Présent"),0),IF('POINTAGE'!$AL$5&lt;&gt;"",--('POINTAGE'!AL253="Présent"),0),IF('POINTAGE'!$AN$5&lt;&gt;"",--('POINTAGE'!AN253="Présent"),0),IF('POINTAGE'!$AP$5&lt;&gt;"",--('POINTAGE'!AP253="Présent"),0),IF('POINTAGE'!$AR$5&lt;&gt;"",--('POINTAGE'!AR253="Présent"),0),IF('POINTAGE'!$AT$5&lt;&gt;"",--('POINTAGE'!AT253="Présent"),0),IF('POINTAGE'!$AV$5&lt;&gt;"",--('POINTAGE'!AV253="Présent"),0),IF('POINTAGE'!$AX$5&lt;&gt;"",--('POINTAGE'!AX253="Présent"),0),IF('POINTAGE'!$AZ$5&lt;&gt;"",--('POINTAGE'!AZ253="Présent"),0),IF('POINTAGE'!$BB$5&lt;&gt;"",--('POINTAGE'!BB253="Présent"),0),IF('POINTAGE'!$BD$5&lt;&gt;"",--('POINTAGE'!BD253="Présent"),0),IF('POINTAGE'!$BF$5&lt;&gt;"",--('POINTAGE'!BF253="Présent"),0),IF('POINTAGE'!$BH$5&lt;&gt;"",--('POINTAGE'!BH253="Présent"),0),IF('POINTAGE'!$BJ$5&lt;&gt;"",--('POINTAGE'!BJ253="Présent"),0),IF('POINTAGE'!$BL$5&lt;&gt;"",--('POINTAGE'!BL253="Présent"),0)))</f>
      </c>
      <c r="O253" s="22">
        <f>IF($A253="","",SUM(IF('POINTAGE'!$AH$5&lt;&gt;"",--('POINTAGE'!AH253="Absent"),0),IF('POINTAGE'!$AJ$5&lt;&gt;"",--('POINTAGE'!AJ253="Absent"),0),IF('POINTAGE'!$AL$5&lt;&gt;"",--('POINTAGE'!AL253="Absent"),0),IF('POINTAGE'!$AN$5&lt;&gt;"",--('POINTAGE'!AN253="Absent"),0),IF('POINTAGE'!$AP$5&lt;&gt;"",--('POINTAGE'!AP253="Absent"),0),IF('POINTAGE'!$AR$5&lt;&gt;"",--('POINTAGE'!AR253="Absent"),0),IF('POINTAGE'!$AT$5&lt;&gt;"",--('POINTAGE'!AT253="Absent"),0),IF('POINTAGE'!$AV$5&lt;&gt;"",--('POINTAGE'!AV253="Absent"),0),IF('POINTAGE'!$AX$5&lt;&gt;"",--('POINTAGE'!AX253="Absent"),0),IF('POINTAGE'!$AZ$5&lt;&gt;"",--('POINTAGE'!AZ253="Absent"),0),IF('POINTAGE'!$BB$5&lt;&gt;"",--('POINTAGE'!BB253="Absent"),0),IF('POINTAGE'!$BD$5&lt;&gt;"",--('POINTAGE'!BD253="Absent"),0),IF('POINTAGE'!$BF$5&lt;&gt;"",--('POINTAGE'!BF253="Absent"),0),IF('POINTAGE'!$BH$5&lt;&gt;"",--('POINTAGE'!BH253="Absent"),0),IF('POINTAGE'!$BJ$5&lt;&gt;"",--('POINTAGE'!BJ253="Absent"),0),IF('POINTAGE'!$BL$5&lt;&gt;"",--('POINTAGE'!BL253="Absent"),0)))</f>
      </c>
      <c r="P253" s="23">
        <f>IF($A253="","",SUM(IF('POINTAGE'!$AH$5&lt;&gt;"",IF('POINTAGE'!AH253="Présent",'POINTAGE'!AI253,0),0),IF('POINTAGE'!$AJ$5&lt;&gt;"",IF('POINTAGE'!AJ253="Présent",'POINTAGE'!AK253,0),0),IF('POINTAGE'!$AL$5&lt;&gt;"",IF('POINTAGE'!AL253="Présent",'POINTAGE'!AM253,0),0),IF('POINTAGE'!$AN$5&lt;&gt;"",IF('POINTAGE'!AN253="Présent",'POINTAGE'!AO253,0),0),IF('POINTAGE'!$AP$5&lt;&gt;"",IF('POINTAGE'!AP253="Présent",'POINTAGE'!AQ253,0),0),IF('POINTAGE'!$AR$5&lt;&gt;"",IF('POINTAGE'!AR253="Présent",'POINTAGE'!AS253,0),0),IF('POINTAGE'!$AT$5&lt;&gt;"",IF('POINTAGE'!AT253="Présent",'POINTAGE'!AU253,0),0),IF('POINTAGE'!$AV$5&lt;&gt;"",IF('POINTAGE'!AV253="Présent",'POINTAGE'!AW253,0),0),IF('POINTAGE'!$AX$5&lt;&gt;"",IF('POINTAGE'!AX253="Présent",'POINTAGE'!AY253,0),0),IF('POINTAGE'!$AZ$5&lt;&gt;"",IF('POINTAGE'!AZ253="Présent",'POINTAGE'!BA253,0),0),IF('POINTAGE'!$BB$5&lt;&gt;"",IF('POINTAGE'!BB253="Présent",'POINTAGE'!BC253,0),0),IF('POINTAGE'!$BD$5&lt;&gt;"",IF('POINTAGE'!BD253="Présent",'POINTAGE'!BE253,0),0),IF('POINTAGE'!$BF$5&lt;&gt;"",IF('POINTAGE'!BF253="Présent",'POINTAGE'!BG253,0),0),IF('POINTAGE'!$BH$5&lt;&gt;"",IF('POINTAGE'!BH253="Présent",'POINTAGE'!BI253,0),0),IF('POINTAGE'!$BJ$5&lt;&gt;"",IF('POINTAGE'!BJ253="Présent",'POINTAGE'!BK253,0),0),IF('POINTAGE'!$BL$5&lt;&gt;"",IF('POINTAGE'!BL253="Présent",'POINTAGE'!BM253,0),0)))</f>
      </c>
      <c r="Q253" s="24">
        <f>IF($A253="","",$N253*$D253)</f>
      </c>
      <c r="R253" s="24">
        <f>IF($A253="","",$P253*$E253)</f>
      </c>
      <c r="S253" s="25">
        <f>IF($A253="","",$Q253+$R253)</f>
      </c>
      <c r="T253" s="18"/>
      <c r="U253" s="25">
        <f>IF($A253="","",MAX(0,$S253-$T253))</f>
      </c>
      <c r="V253" s="25">
        <f>IF($A253="","",$K253+$S253)</f>
      </c>
      <c r="W253" s="24">
        <f>IF($A253="","",$L253+$T253)</f>
      </c>
      <c r="X253" s="25">
        <f>IF($A253="","",$M253+$U253)</f>
      </c>
      <c r="Y253" s="29">
        <f>IF($A253="","",$J253+$R253)</f>
      </c>
    </row>
    <row r="254">
      <c r="A254" s="20">
        <f>IF('POINTAGE'!A254="","",'POINTAGE'!A254)</f>
      </c>
      <c r="B254" s="19">
        <f>IF($A254="","",'POINTAGE'!B254)</f>
      </c>
      <c r="C254" s="20">
        <f>IF($A254="","",'POINTAGE'!C254)</f>
      </c>
      <c r="D254" s="24">
        <f>IF($A254="","",IFERROR(INDEX(Categories_Salaire,MATCH($C254,ListeCategories,0)),0))</f>
      </c>
      <c r="E254" s="24">
        <f>IF($A254="","",IF(IFERROR(INDEX(Categories_TauxHS,MATCH($C254,ListeCategories,0)),0)&gt;0,IFERROR(INDEX(Categories_TauxHS,MATCH($C254,ListeCategories,0)),0),TauxHSDefaut))</f>
      </c>
      <c r="F254" s="22">
        <f>IF($A254="","",SUM(IF('POINTAGE'!$D$5&lt;&gt;"",--('POINTAGE'!D254="Présent"),0),IF('POINTAGE'!$F$5&lt;&gt;"",--('POINTAGE'!F254="Présent"),0),IF('POINTAGE'!$H$5&lt;&gt;"",--('POINTAGE'!H254="Présent"),0),IF('POINTAGE'!$J$5&lt;&gt;"",--('POINTAGE'!J254="Présent"),0),IF('POINTAGE'!$L$5&lt;&gt;"",--('POINTAGE'!L254="Présent"),0),IF('POINTAGE'!$N$5&lt;&gt;"",--('POINTAGE'!N254="Présent"),0),IF('POINTAGE'!$P$5&lt;&gt;"",--('POINTAGE'!P254="Présent"),0),IF('POINTAGE'!$R$5&lt;&gt;"",--('POINTAGE'!R254="Présent"),0),IF('POINTAGE'!$T$5&lt;&gt;"",--('POINTAGE'!T254="Présent"),0),IF('POINTAGE'!$V$5&lt;&gt;"",--('POINTAGE'!V254="Présent"),0),IF('POINTAGE'!$X$5&lt;&gt;"",--('POINTAGE'!X254="Présent"),0),IF('POINTAGE'!$Z$5&lt;&gt;"",--('POINTAGE'!Z254="Présent"),0),IF('POINTAGE'!$AB$5&lt;&gt;"",--('POINTAGE'!AB254="Présent"),0),IF('POINTAGE'!$AD$5&lt;&gt;"",--('POINTAGE'!AD254="Présent"),0),IF('POINTAGE'!$AF$5&lt;&gt;"",--('POINTAGE'!AF254="Présent"),0)))</f>
      </c>
      <c r="G254" s="22">
        <f>IF($A254="","",SUM(IF('POINTAGE'!$D$5&lt;&gt;"",--('POINTAGE'!D254="Absent"),0),IF('POINTAGE'!$F$5&lt;&gt;"",--('POINTAGE'!F254="Absent"),0),IF('POINTAGE'!$H$5&lt;&gt;"",--('POINTAGE'!H254="Absent"),0),IF('POINTAGE'!$J$5&lt;&gt;"",--('POINTAGE'!J254="Absent"),0),IF('POINTAGE'!$L$5&lt;&gt;"",--('POINTAGE'!L254="Absent"),0),IF('POINTAGE'!$N$5&lt;&gt;"",--('POINTAGE'!N254="Absent"),0),IF('POINTAGE'!$P$5&lt;&gt;"",--('POINTAGE'!P254="Absent"),0),IF('POINTAGE'!$R$5&lt;&gt;"",--('POINTAGE'!R254="Absent"),0),IF('POINTAGE'!$T$5&lt;&gt;"",--('POINTAGE'!T254="Absent"),0),IF('POINTAGE'!$V$5&lt;&gt;"",--('POINTAGE'!V254="Absent"),0),IF('POINTAGE'!$X$5&lt;&gt;"",--('POINTAGE'!X254="Absent"),0),IF('POINTAGE'!$Z$5&lt;&gt;"",--('POINTAGE'!Z254="Absent"),0),IF('POINTAGE'!$AB$5&lt;&gt;"",--('POINTAGE'!AB254="Absent"),0),IF('POINTAGE'!$AD$5&lt;&gt;"",--('POINTAGE'!AD254="Absent"),0),IF('POINTAGE'!$AF$5&lt;&gt;"",--('POINTAGE'!AF254="Absent"),0)))</f>
      </c>
      <c r="H254" s="23">
        <f>IF($A254="","",SUM(IF('POINTAGE'!$D$5&lt;&gt;"",IF('POINTAGE'!D254="Présent",'POINTAGE'!E254,0),0),IF('POINTAGE'!$F$5&lt;&gt;"",IF('POINTAGE'!F254="Présent",'POINTAGE'!G254,0),0),IF('POINTAGE'!$H$5&lt;&gt;"",IF('POINTAGE'!H254="Présent",'POINTAGE'!I254,0),0),IF('POINTAGE'!$J$5&lt;&gt;"",IF('POINTAGE'!J254="Présent",'POINTAGE'!K254,0),0),IF('POINTAGE'!$L$5&lt;&gt;"",IF('POINTAGE'!L254="Présent",'POINTAGE'!M254,0),0),IF('POINTAGE'!$N$5&lt;&gt;"",IF('POINTAGE'!N254="Présent",'POINTAGE'!O254,0),0),IF('POINTAGE'!$P$5&lt;&gt;"",IF('POINTAGE'!P254="Présent",'POINTAGE'!Q254,0),0),IF('POINTAGE'!$R$5&lt;&gt;"",IF('POINTAGE'!R254="Présent",'POINTAGE'!S254,0),0),IF('POINTAGE'!$T$5&lt;&gt;"",IF('POINTAGE'!T254="Présent",'POINTAGE'!U254,0),0),IF('POINTAGE'!$V$5&lt;&gt;"",IF('POINTAGE'!V254="Présent",'POINTAGE'!W254,0),0),IF('POINTAGE'!$X$5&lt;&gt;"",IF('POINTAGE'!X254="Présent",'POINTAGE'!Y254,0),0),IF('POINTAGE'!$Z$5&lt;&gt;"",IF('POINTAGE'!Z254="Présent",'POINTAGE'!AA254,0),0),IF('POINTAGE'!$AB$5&lt;&gt;"",IF('POINTAGE'!AB254="Présent",'POINTAGE'!AC254,0),0),IF('POINTAGE'!$AD$5&lt;&gt;"",IF('POINTAGE'!AD254="Présent",'POINTAGE'!AE254,0),0),IF('POINTAGE'!$AF$5&lt;&gt;"",IF('POINTAGE'!AF254="Présent",'POINTAGE'!AG254,0),0)))</f>
      </c>
      <c r="I254" s="24">
        <f>IF($A254="","",$F254*$D254)</f>
      </c>
      <c r="J254" s="24">
        <f>IF($A254="","",$H254*$E254)</f>
      </c>
      <c r="K254" s="25">
        <f>IF($A254="","",$I254+$J254)</f>
      </c>
      <c r="L254" s="18"/>
      <c r="M254" s="25">
        <f>IF($A254="","",MAX(0,$K254-$L254))</f>
      </c>
      <c r="N254" s="22">
        <f>IF($A254="","",SUM(IF('POINTAGE'!$AH$5&lt;&gt;"",--('POINTAGE'!AH254="Présent"),0),IF('POINTAGE'!$AJ$5&lt;&gt;"",--('POINTAGE'!AJ254="Présent"),0),IF('POINTAGE'!$AL$5&lt;&gt;"",--('POINTAGE'!AL254="Présent"),0),IF('POINTAGE'!$AN$5&lt;&gt;"",--('POINTAGE'!AN254="Présent"),0),IF('POINTAGE'!$AP$5&lt;&gt;"",--('POINTAGE'!AP254="Présent"),0),IF('POINTAGE'!$AR$5&lt;&gt;"",--('POINTAGE'!AR254="Présent"),0),IF('POINTAGE'!$AT$5&lt;&gt;"",--('POINTAGE'!AT254="Présent"),0),IF('POINTAGE'!$AV$5&lt;&gt;"",--('POINTAGE'!AV254="Présent"),0),IF('POINTAGE'!$AX$5&lt;&gt;"",--('POINTAGE'!AX254="Présent"),0),IF('POINTAGE'!$AZ$5&lt;&gt;"",--('POINTAGE'!AZ254="Présent"),0),IF('POINTAGE'!$BB$5&lt;&gt;"",--('POINTAGE'!BB254="Présent"),0),IF('POINTAGE'!$BD$5&lt;&gt;"",--('POINTAGE'!BD254="Présent"),0),IF('POINTAGE'!$BF$5&lt;&gt;"",--('POINTAGE'!BF254="Présent"),0),IF('POINTAGE'!$BH$5&lt;&gt;"",--('POINTAGE'!BH254="Présent"),0),IF('POINTAGE'!$BJ$5&lt;&gt;"",--('POINTAGE'!BJ254="Présent"),0),IF('POINTAGE'!$BL$5&lt;&gt;"",--('POINTAGE'!BL254="Présent"),0)))</f>
      </c>
      <c r="O254" s="22">
        <f>IF($A254="","",SUM(IF('POINTAGE'!$AH$5&lt;&gt;"",--('POINTAGE'!AH254="Absent"),0),IF('POINTAGE'!$AJ$5&lt;&gt;"",--('POINTAGE'!AJ254="Absent"),0),IF('POINTAGE'!$AL$5&lt;&gt;"",--('POINTAGE'!AL254="Absent"),0),IF('POINTAGE'!$AN$5&lt;&gt;"",--('POINTAGE'!AN254="Absent"),0),IF('POINTAGE'!$AP$5&lt;&gt;"",--('POINTAGE'!AP254="Absent"),0),IF('POINTAGE'!$AR$5&lt;&gt;"",--('POINTAGE'!AR254="Absent"),0),IF('POINTAGE'!$AT$5&lt;&gt;"",--('POINTAGE'!AT254="Absent"),0),IF('POINTAGE'!$AV$5&lt;&gt;"",--('POINTAGE'!AV254="Absent"),0),IF('POINTAGE'!$AX$5&lt;&gt;"",--('POINTAGE'!AX254="Absent"),0),IF('POINTAGE'!$AZ$5&lt;&gt;"",--('POINTAGE'!AZ254="Absent"),0),IF('POINTAGE'!$BB$5&lt;&gt;"",--('POINTAGE'!BB254="Absent"),0),IF('POINTAGE'!$BD$5&lt;&gt;"",--('POINTAGE'!BD254="Absent"),0),IF('POINTAGE'!$BF$5&lt;&gt;"",--('POINTAGE'!BF254="Absent"),0),IF('POINTAGE'!$BH$5&lt;&gt;"",--('POINTAGE'!BH254="Absent"),0),IF('POINTAGE'!$BJ$5&lt;&gt;"",--('POINTAGE'!BJ254="Absent"),0),IF('POINTAGE'!$BL$5&lt;&gt;"",--('POINTAGE'!BL254="Absent"),0)))</f>
      </c>
      <c r="P254" s="23">
        <f>IF($A254="","",SUM(IF('POINTAGE'!$AH$5&lt;&gt;"",IF('POINTAGE'!AH254="Présent",'POINTAGE'!AI254,0),0),IF('POINTAGE'!$AJ$5&lt;&gt;"",IF('POINTAGE'!AJ254="Présent",'POINTAGE'!AK254,0),0),IF('POINTAGE'!$AL$5&lt;&gt;"",IF('POINTAGE'!AL254="Présent",'POINTAGE'!AM254,0),0),IF('POINTAGE'!$AN$5&lt;&gt;"",IF('POINTAGE'!AN254="Présent",'POINTAGE'!AO254,0),0),IF('POINTAGE'!$AP$5&lt;&gt;"",IF('POINTAGE'!AP254="Présent",'POINTAGE'!AQ254,0),0),IF('POINTAGE'!$AR$5&lt;&gt;"",IF('POINTAGE'!AR254="Présent",'POINTAGE'!AS254,0),0),IF('POINTAGE'!$AT$5&lt;&gt;"",IF('POINTAGE'!AT254="Présent",'POINTAGE'!AU254,0),0),IF('POINTAGE'!$AV$5&lt;&gt;"",IF('POINTAGE'!AV254="Présent",'POINTAGE'!AW254,0),0),IF('POINTAGE'!$AX$5&lt;&gt;"",IF('POINTAGE'!AX254="Présent",'POINTAGE'!AY254,0),0),IF('POINTAGE'!$AZ$5&lt;&gt;"",IF('POINTAGE'!AZ254="Présent",'POINTAGE'!BA254,0),0),IF('POINTAGE'!$BB$5&lt;&gt;"",IF('POINTAGE'!BB254="Présent",'POINTAGE'!BC254,0),0),IF('POINTAGE'!$BD$5&lt;&gt;"",IF('POINTAGE'!BD254="Présent",'POINTAGE'!BE254,0),0),IF('POINTAGE'!$BF$5&lt;&gt;"",IF('POINTAGE'!BF254="Présent",'POINTAGE'!BG254,0),0),IF('POINTAGE'!$BH$5&lt;&gt;"",IF('POINTAGE'!BH254="Présent",'POINTAGE'!BI254,0),0),IF('POINTAGE'!$BJ$5&lt;&gt;"",IF('POINTAGE'!BJ254="Présent",'POINTAGE'!BK254,0),0),IF('POINTAGE'!$BL$5&lt;&gt;"",IF('POINTAGE'!BL254="Présent",'POINTAGE'!BM254,0),0)))</f>
      </c>
      <c r="Q254" s="24">
        <f>IF($A254="","",$N254*$D254)</f>
      </c>
      <c r="R254" s="24">
        <f>IF($A254="","",$P254*$E254)</f>
      </c>
      <c r="S254" s="25">
        <f>IF($A254="","",$Q254+$R254)</f>
      </c>
      <c r="T254" s="18"/>
      <c r="U254" s="25">
        <f>IF($A254="","",MAX(0,$S254-$T254))</f>
      </c>
      <c r="V254" s="25">
        <f>IF($A254="","",$K254+$S254)</f>
      </c>
      <c r="W254" s="24">
        <f>IF($A254="","",$L254+$T254)</f>
      </c>
      <c r="X254" s="25">
        <f>IF($A254="","",$M254+$U254)</f>
      </c>
      <c r="Y254" s="29">
        <f>IF($A254="","",$J254+$R254)</f>
      </c>
    </row>
    <row r="255">
      <c r="A255" s="20">
        <f>IF('POINTAGE'!A255="","",'POINTAGE'!A255)</f>
      </c>
      <c r="B255" s="19">
        <f>IF($A255="","",'POINTAGE'!B255)</f>
      </c>
      <c r="C255" s="20">
        <f>IF($A255="","",'POINTAGE'!C255)</f>
      </c>
      <c r="D255" s="24">
        <f>IF($A255="","",IFERROR(INDEX(Categories_Salaire,MATCH($C255,ListeCategories,0)),0))</f>
      </c>
      <c r="E255" s="24">
        <f>IF($A255="","",IF(IFERROR(INDEX(Categories_TauxHS,MATCH($C255,ListeCategories,0)),0)&gt;0,IFERROR(INDEX(Categories_TauxHS,MATCH($C255,ListeCategories,0)),0),TauxHSDefaut))</f>
      </c>
      <c r="F255" s="22">
        <f>IF($A255="","",SUM(IF('POINTAGE'!$D$5&lt;&gt;"",--('POINTAGE'!D255="Présent"),0),IF('POINTAGE'!$F$5&lt;&gt;"",--('POINTAGE'!F255="Présent"),0),IF('POINTAGE'!$H$5&lt;&gt;"",--('POINTAGE'!H255="Présent"),0),IF('POINTAGE'!$J$5&lt;&gt;"",--('POINTAGE'!J255="Présent"),0),IF('POINTAGE'!$L$5&lt;&gt;"",--('POINTAGE'!L255="Présent"),0),IF('POINTAGE'!$N$5&lt;&gt;"",--('POINTAGE'!N255="Présent"),0),IF('POINTAGE'!$P$5&lt;&gt;"",--('POINTAGE'!P255="Présent"),0),IF('POINTAGE'!$R$5&lt;&gt;"",--('POINTAGE'!R255="Présent"),0),IF('POINTAGE'!$T$5&lt;&gt;"",--('POINTAGE'!T255="Présent"),0),IF('POINTAGE'!$V$5&lt;&gt;"",--('POINTAGE'!V255="Présent"),0),IF('POINTAGE'!$X$5&lt;&gt;"",--('POINTAGE'!X255="Présent"),0),IF('POINTAGE'!$Z$5&lt;&gt;"",--('POINTAGE'!Z255="Présent"),0),IF('POINTAGE'!$AB$5&lt;&gt;"",--('POINTAGE'!AB255="Présent"),0),IF('POINTAGE'!$AD$5&lt;&gt;"",--('POINTAGE'!AD255="Présent"),0),IF('POINTAGE'!$AF$5&lt;&gt;"",--('POINTAGE'!AF255="Présent"),0)))</f>
      </c>
      <c r="G255" s="22">
        <f>IF($A255="","",SUM(IF('POINTAGE'!$D$5&lt;&gt;"",--('POINTAGE'!D255="Absent"),0),IF('POINTAGE'!$F$5&lt;&gt;"",--('POINTAGE'!F255="Absent"),0),IF('POINTAGE'!$H$5&lt;&gt;"",--('POINTAGE'!H255="Absent"),0),IF('POINTAGE'!$J$5&lt;&gt;"",--('POINTAGE'!J255="Absent"),0),IF('POINTAGE'!$L$5&lt;&gt;"",--('POINTAGE'!L255="Absent"),0),IF('POINTAGE'!$N$5&lt;&gt;"",--('POINTAGE'!N255="Absent"),0),IF('POINTAGE'!$P$5&lt;&gt;"",--('POINTAGE'!P255="Absent"),0),IF('POINTAGE'!$R$5&lt;&gt;"",--('POINTAGE'!R255="Absent"),0),IF('POINTAGE'!$T$5&lt;&gt;"",--('POINTAGE'!T255="Absent"),0),IF('POINTAGE'!$V$5&lt;&gt;"",--('POINTAGE'!V255="Absent"),0),IF('POINTAGE'!$X$5&lt;&gt;"",--('POINTAGE'!X255="Absent"),0),IF('POINTAGE'!$Z$5&lt;&gt;"",--('POINTAGE'!Z255="Absent"),0),IF('POINTAGE'!$AB$5&lt;&gt;"",--('POINTAGE'!AB255="Absent"),0),IF('POINTAGE'!$AD$5&lt;&gt;"",--('POINTAGE'!AD255="Absent"),0),IF('POINTAGE'!$AF$5&lt;&gt;"",--('POINTAGE'!AF255="Absent"),0)))</f>
      </c>
      <c r="H255" s="23">
        <f>IF($A255="","",SUM(IF('POINTAGE'!$D$5&lt;&gt;"",IF('POINTAGE'!D255="Présent",'POINTAGE'!E255,0),0),IF('POINTAGE'!$F$5&lt;&gt;"",IF('POINTAGE'!F255="Présent",'POINTAGE'!G255,0),0),IF('POINTAGE'!$H$5&lt;&gt;"",IF('POINTAGE'!H255="Présent",'POINTAGE'!I255,0),0),IF('POINTAGE'!$J$5&lt;&gt;"",IF('POINTAGE'!J255="Présent",'POINTAGE'!K255,0),0),IF('POINTAGE'!$L$5&lt;&gt;"",IF('POINTAGE'!L255="Présent",'POINTAGE'!M255,0),0),IF('POINTAGE'!$N$5&lt;&gt;"",IF('POINTAGE'!N255="Présent",'POINTAGE'!O255,0),0),IF('POINTAGE'!$P$5&lt;&gt;"",IF('POINTAGE'!P255="Présent",'POINTAGE'!Q255,0),0),IF('POINTAGE'!$R$5&lt;&gt;"",IF('POINTAGE'!R255="Présent",'POINTAGE'!S255,0),0),IF('POINTAGE'!$T$5&lt;&gt;"",IF('POINTAGE'!T255="Présent",'POINTAGE'!U255,0),0),IF('POINTAGE'!$V$5&lt;&gt;"",IF('POINTAGE'!V255="Présent",'POINTAGE'!W255,0),0),IF('POINTAGE'!$X$5&lt;&gt;"",IF('POINTAGE'!X255="Présent",'POINTAGE'!Y255,0),0),IF('POINTAGE'!$Z$5&lt;&gt;"",IF('POINTAGE'!Z255="Présent",'POINTAGE'!AA255,0),0),IF('POINTAGE'!$AB$5&lt;&gt;"",IF('POINTAGE'!AB255="Présent",'POINTAGE'!AC255,0),0),IF('POINTAGE'!$AD$5&lt;&gt;"",IF('POINTAGE'!AD255="Présent",'POINTAGE'!AE255,0),0),IF('POINTAGE'!$AF$5&lt;&gt;"",IF('POINTAGE'!AF255="Présent",'POINTAGE'!AG255,0),0)))</f>
      </c>
      <c r="I255" s="24">
        <f>IF($A255="","",$F255*$D255)</f>
      </c>
      <c r="J255" s="24">
        <f>IF($A255="","",$H255*$E255)</f>
      </c>
      <c r="K255" s="25">
        <f>IF($A255="","",$I255+$J255)</f>
      </c>
      <c r="L255" s="18"/>
      <c r="M255" s="25">
        <f>IF($A255="","",MAX(0,$K255-$L255))</f>
      </c>
      <c r="N255" s="22">
        <f>IF($A255="","",SUM(IF('POINTAGE'!$AH$5&lt;&gt;"",--('POINTAGE'!AH255="Présent"),0),IF('POINTAGE'!$AJ$5&lt;&gt;"",--('POINTAGE'!AJ255="Présent"),0),IF('POINTAGE'!$AL$5&lt;&gt;"",--('POINTAGE'!AL255="Présent"),0),IF('POINTAGE'!$AN$5&lt;&gt;"",--('POINTAGE'!AN255="Présent"),0),IF('POINTAGE'!$AP$5&lt;&gt;"",--('POINTAGE'!AP255="Présent"),0),IF('POINTAGE'!$AR$5&lt;&gt;"",--('POINTAGE'!AR255="Présent"),0),IF('POINTAGE'!$AT$5&lt;&gt;"",--('POINTAGE'!AT255="Présent"),0),IF('POINTAGE'!$AV$5&lt;&gt;"",--('POINTAGE'!AV255="Présent"),0),IF('POINTAGE'!$AX$5&lt;&gt;"",--('POINTAGE'!AX255="Présent"),0),IF('POINTAGE'!$AZ$5&lt;&gt;"",--('POINTAGE'!AZ255="Présent"),0),IF('POINTAGE'!$BB$5&lt;&gt;"",--('POINTAGE'!BB255="Présent"),0),IF('POINTAGE'!$BD$5&lt;&gt;"",--('POINTAGE'!BD255="Présent"),0),IF('POINTAGE'!$BF$5&lt;&gt;"",--('POINTAGE'!BF255="Présent"),0),IF('POINTAGE'!$BH$5&lt;&gt;"",--('POINTAGE'!BH255="Présent"),0),IF('POINTAGE'!$BJ$5&lt;&gt;"",--('POINTAGE'!BJ255="Présent"),0),IF('POINTAGE'!$BL$5&lt;&gt;"",--('POINTAGE'!BL255="Présent"),0)))</f>
      </c>
      <c r="O255" s="22">
        <f>IF($A255="","",SUM(IF('POINTAGE'!$AH$5&lt;&gt;"",--('POINTAGE'!AH255="Absent"),0),IF('POINTAGE'!$AJ$5&lt;&gt;"",--('POINTAGE'!AJ255="Absent"),0),IF('POINTAGE'!$AL$5&lt;&gt;"",--('POINTAGE'!AL255="Absent"),0),IF('POINTAGE'!$AN$5&lt;&gt;"",--('POINTAGE'!AN255="Absent"),0),IF('POINTAGE'!$AP$5&lt;&gt;"",--('POINTAGE'!AP255="Absent"),0),IF('POINTAGE'!$AR$5&lt;&gt;"",--('POINTAGE'!AR255="Absent"),0),IF('POINTAGE'!$AT$5&lt;&gt;"",--('POINTAGE'!AT255="Absent"),0),IF('POINTAGE'!$AV$5&lt;&gt;"",--('POINTAGE'!AV255="Absent"),0),IF('POINTAGE'!$AX$5&lt;&gt;"",--('POINTAGE'!AX255="Absent"),0),IF('POINTAGE'!$AZ$5&lt;&gt;"",--('POINTAGE'!AZ255="Absent"),0),IF('POINTAGE'!$BB$5&lt;&gt;"",--('POINTAGE'!BB255="Absent"),0),IF('POINTAGE'!$BD$5&lt;&gt;"",--('POINTAGE'!BD255="Absent"),0),IF('POINTAGE'!$BF$5&lt;&gt;"",--('POINTAGE'!BF255="Absent"),0),IF('POINTAGE'!$BH$5&lt;&gt;"",--('POINTAGE'!BH255="Absent"),0),IF('POINTAGE'!$BJ$5&lt;&gt;"",--('POINTAGE'!BJ255="Absent"),0),IF('POINTAGE'!$BL$5&lt;&gt;"",--('POINTAGE'!BL255="Absent"),0)))</f>
      </c>
      <c r="P255" s="23">
        <f>IF($A255="","",SUM(IF('POINTAGE'!$AH$5&lt;&gt;"",IF('POINTAGE'!AH255="Présent",'POINTAGE'!AI255,0),0),IF('POINTAGE'!$AJ$5&lt;&gt;"",IF('POINTAGE'!AJ255="Présent",'POINTAGE'!AK255,0),0),IF('POINTAGE'!$AL$5&lt;&gt;"",IF('POINTAGE'!AL255="Présent",'POINTAGE'!AM255,0),0),IF('POINTAGE'!$AN$5&lt;&gt;"",IF('POINTAGE'!AN255="Présent",'POINTAGE'!AO255,0),0),IF('POINTAGE'!$AP$5&lt;&gt;"",IF('POINTAGE'!AP255="Présent",'POINTAGE'!AQ255,0),0),IF('POINTAGE'!$AR$5&lt;&gt;"",IF('POINTAGE'!AR255="Présent",'POINTAGE'!AS255,0),0),IF('POINTAGE'!$AT$5&lt;&gt;"",IF('POINTAGE'!AT255="Présent",'POINTAGE'!AU255,0),0),IF('POINTAGE'!$AV$5&lt;&gt;"",IF('POINTAGE'!AV255="Présent",'POINTAGE'!AW255,0),0),IF('POINTAGE'!$AX$5&lt;&gt;"",IF('POINTAGE'!AX255="Présent",'POINTAGE'!AY255,0),0),IF('POINTAGE'!$AZ$5&lt;&gt;"",IF('POINTAGE'!AZ255="Présent",'POINTAGE'!BA255,0),0),IF('POINTAGE'!$BB$5&lt;&gt;"",IF('POINTAGE'!BB255="Présent",'POINTAGE'!BC255,0),0),IF('POINTAGE'!$BD$5&lt;&gt;"",IF('POINTAGE'!BD255="Présent",'POINTAGE'!BE255,0),0),IF('POINTAGE'!$BF$5&lt;&gt;"",IF('POINTAGE'!BF255="Présent",'POINTAGE'!BG255,0),0),IF('POINTAGE'!$BH$5&lt;&gt;"",IF('POINTAGE'!BH255="Présent",'POINTAGE'!BI255,0),0),IF('POINTAGE'!$BJ$5&lt;&gt;"",IF('POINTAGE'!BJ255="Présent",'POINTAGE'!BK255,0),0),IF('POINTAGE'!$BL$5&lt;&gt;"",IF('POINTAGE'!BL255="Présent",'POINTAGE'!BM255,0),0)))</f>
      </c>
      <c r="Q255" s="24">
        <f>IF($A255="","",$N255*$D255)</f>
      </c>
      <c r="R255" s="24">
        <f>IF($A255="","",$P255*$E255)</f>
      </c>
      <c r="S255" s="25">
        <f>IF($A255="","",$Q255+$R255)</f>
      </c>
      <c r="T255" s="18"/>
      <c r="U255" s="25">
        <f>IF($A255="","",MAX(0,$S255-$T255))</f>
      </c>
      <c r="V255" s="25">
        <f>IF($A255="","",$K255+$S255)</f>
      </c>
      <c r="W255" s="24">
        <f>IF($A255="","",$L255+$T255)</f>
      </c>
      <c r="X255" s="25">
        <f>IF($A255="","",$M255+$U255)</f>
      </c>
      <c r="Y255" s="29">
        <f>IF($A255="","",$J255+$R255)</f>
      </c>
    </row>
    <row r="256">
      <c r="A256" s="20">
        <f>IF('POINTAGE'!A256="","",'POINTAGE'!A256)</f>
      </c>
      <c r="B256" s="19">
        <f>IF($A256="","",'POINTAGE'!B256)</f>
      </c>
      <c r="C256" s="20">
        <f>IF($A256="","",'POINTAGE'!C256)</f>
      </c>
      <c r="D256" s="24">
        <f>IF($A256="","",IFERROR(INDEX(Categories_Salaire,MATCH($C256,ListeCategories,0)),0))</f>
      </c>
      <c r="E256" s="24">
        <f>IF($A256="","",IF(IFERROR(INDEX(Categories_TauxHS,MATCH($C256,ListeCategories,0)),0)&gt;0,IFERROR(INDEX(Categories_TauxHS,MATCH($C256,ListeCategories,0)),0),TauxHSDefaut))</f>
      </c>
      <c r="F256" s="22">
        <f>IF($A256="","",SUM(IF('POINTAGE'!$D$5&lt;&gt;"",--('POINTAGE'!D256="Présent"),0),IF('POINTAGE'!$F$5&lt;&gt;"",--('POINTAGE'!F256="Présent"),0),IF('POINTAGE'!$H$5&lt;&gt;"",--('POINTAGE'!H256="Présent"),0),IF('POINTAGE'!$J$5&lt;&gt;"",--('POINTAGE'!J256="Présent"),0),IF('POINTAGE'!$L$5&lt;&gt;"",--('POINTAGE'!L256="Présent"),0),IF('POINTAGE'!$N$5&lt;&gt;"",--('POINTAGE'!N256="Présent"),0),IF('POINTAGE'!$P$5&lt;&gt;"",--('POINTAGE'!P256="Présent"),0),IF('POINTAGE'!$R$5&lt;&gt;"",--('POINTAGE'!R256="Présent"),0),IF('POINTAGE'!$T$5&lt;&gt;"",--('POINTAGE'!T256="Présent"),0),IF('POINTAGE'!$V$5&lt;&gt;"",--('POINTAGE'!V256="Présent"),0),IF('POINTAGE'!$X$5&lt;&gt;"",--('POINTAGE'!X256="Présent"),0),IF('POINTAGE'!$Z$5&lt;&gt;"",--('POINTAGE'!Z256="Présent"),0),IF('POINTAGE'!$AB$5&lt;&gt;"",--('POINTAGE'!AB256="Présent"),0),IF('POINTAGE'!$AD$5&lt;&gt;"",--('POINTAGE'!AD256="Présent"),0),IF('POINTAGE'!$AF$5&lt;&gt;"",--('POINTAGE'!AF256="Présent"),0)))</f>
      </c>
      <c r="G256" s="22">
        <f>IF($A256="","",SUM(IF('POINTAGE'!$D$5&lt;&gt;"",--('POINTAGE'!D256="Absent"),0),IF('POINTAGE'!$F$5&lt;&gt;"",--('POINTAGE'!F256="Absent"),0),IF('POINTAGE'!$H$5&lt;&gt;"",--('POINTAGE'!H256="Absent"),0),IF('POINTAGE'!$J$5&lt;&gt;"",--('POINTAGE'!J256="Absent"),0),IF('POINTAGE'!$L$5&lt;&gt;"",--('POINTAGE'!L256="Absent"),0),IF('POINTAGE'!$N$5&lt;&gt;"",--('POINTAGE'!N256="Absent"),0),IF('POINTAGE'!$P$5&lt;&gt;"",--('POINTAGE'!P256="Absent"),0),IF('POINTAGE'!$R$5&lt;&gt;"",--('POINTAGE'!R256="Absent"),0),IF('POINTAGE'!$T$5&lt;&gt;"",--('POINTAGE'!T256="Absent"),0),IF('POINTAGE'!$V$5&lt;&gt;"",--('POINTAGE'!V256="Absent"),0),IF('POINTAGE'!$X$5&lt;&gt;"",--('POINTAGE'!X256="Absent"),0),IF('POINTAGE'!$Z$5&lt;&gt;"",--('POINTAGE'!Z256="Absent"),0),IF('POINTAGE'!$AB$5&lt;&gt;"",--('POINTAGE'!AB256="Absent"),0),IF('POINTAGE'!$AD$5&lt;&gt;"",--('POINTAGE'!AD256="Absent"),0),IF('POINTAGE'!$AF$5&lt;&gt;"",--('POINTAGE'!AF256="Absent"),0)))</f>
      </c>
      <c r="H256" s="23">
        <f>IF($A256="","",SUM(IF('POINTAGE'!$D$5&lt;&gt;"",IF('POINTAGE'!D256="Présent",'POINTAGE'!E256,0),0),IF('POINTAGE'!$F$5&lt;&gt;"",IF('POINTAGE'!F256="Présent",'POINTAGE'!G256,0),0),IF('POINTAGE'!$H$5&lt;&gt;"",IF('POINTAGE'!H256="Présent",'POINTAGE'!I256,0),0),IF('POINTAGE'!$J$5&lt;&gt;"",IF('POINTAGE'!J256="Présent",'POINTAGE'!K256,0),0),IF('POINTAGE'!$L$5&lt;&gt;"",IF('POINTAGE'!L256="Présent",'POINTAGE'!M256,0),0),IF('POINTAGE'!$N$5&lt;&gt;"",IF('POINTAGE'!N256="Présent",'POINTAGE'!O256,0),0),IF('POINTAGE'!$P$5&lt;&gt;"",IF('POINTAGE'!P256="Présent",'POINTAGE'!Q256,0),0),IF('POINTAGE'!$R$5&lt;&gt;"",IF('POINTAGE'!R256="Présent",'POINTAGE'!S256,0),0),IF('POINTAGE'!$T$5&lt;&gt;"",IF('POINTAGE'!T256="Présent",'POINTAGE'!U256,0),0),IF('POINTAGE'!$V$5&lt;&gt;"",IF('POINTAGE'!V256="Présent",'POINTAGE'!W256,0),0),IF('POINTAGE'!$X$5&lt;&gt;"",IF('POINTAGE'!X256="Présent",'POINTAGE'!Y256,0),0),IF('POINTAGE'!$Z$5&lt;&gt;"",IF('POINTAGE'!Z256="Présent",'POINTAGE'!AA256,0),0),IF('POINTAGE'!$AB$5&lt;&gt;"",IF('POINTAGE'!AB256="Présent",'POINTAGE'!AC256,0),0),IF('POINTAGE'!$AD$5&lt;&gt;"",IF('POINTAGE'!AD256="Présent",'POINTAGE'!AE256,0),0),IF('POINTAGE'!$AF$5&lt;&gt;"",IF('POINTAGE'!AF256="Présent",'POINTAGE'!AG256,0),0)))</f>
      </c>
      <c r="I256" s="24">
        <f>IF($A256="","",$F256*$D256)</f>
      </c>
      <c r="J256" s="24">
        <f>IF($A256="","",$H256*$E256)</f>
      </c>
      <c r="K256" s="25">
        <f>IF($A256="","",$I256+$J256)</f>
      </c>
      <c r="L256" s="18"/>
      <c r="M256" s="25">
        <f>IF($A256="","",MAX(0,$K256-$L256))</f>
      </c>
      <c r="N256" s="22">
        <f>IF($A256="","",SUM(IF('POINTAGE'!$AH$5&lt;&gt;"",--('POINTAGE'!AH256="Présent"),0),IF('POINTAGE'!$AJ$5&lt;&gt;"",--('POINTAGE'!AJ256="Présent"),0),IF('POINTAGE'!$AL$5&lt;&gt;"",--('POINTAGE'!AL256="Présent"),0),IF('POINTAGE'!$AN$5&lt;&gt;"",--('POINTAGE'!AN256="Présent"),0),IF('POINTAGE'!$AP$5&lt;&gt;"",--('POINTAGE'!AP256="Présent"),0),IF('POINTAGE'!$AR$5&lt;&gt;"",--('POINTAGE'!AR256="Présent"),0),IF('POINTAGE'!$AT$5&lt;&gt;"",--('POINTAGE'!AT256="Présent"),0),IF('POINTAGE'!$AV$5&lt;&gt;"",--('POINTAGE'!AV256="Présent"),0),IF('POINTAGE'!$AX$5&lt;&gt;"",--('POINTAGE'!AX256="Présent"),0),IF('POINTAGE'!$AZ$5&lt;&gt;"",--('POINTAGE'!AZ256="Présent"),0),IF('POINTAGE'!$BB$5&lt;&gt;"",--('POINTAGE'!BB256="Présent"),0),IF('POINTAGE'!$BD$5&lt;&gt;"",--('POINTAGE'!BD256="Présent"),0),IF('POINTAGE'!$BF$5&lt;&gt;"",--('POINTAGE'!BF256="Présent"),0),IF('POINTAGE'!$BH$5&lt;&gt;"",--('POINTAGE'!BH256="Présent"),0),IF('POINTAGE'!$BJ$5&lt;&gt;"",--('POINTAGE'!BJ256="Présent"),0),IF('POINTAGE'!$BL$5&lt;&gt;"",--('POINTAGE'!BL256="Présent"),0)))</f>
      </c>
      <c r="O256" s="22">
        <f>IF($A256="","",SUM(IF('POINTAGE'!$AH$5&lt;&gt;"",--('POINTAGE'!AH256="Absent"),0),IF('POINTAGE'!$AJ$5&lt;&gt;"",--('POINTAGE'!AJ256="Absent"),0),IF('POINTAGE'!$AL$5&lt;&gt;"",--('POINTAGE'!AL256="Absent"),0),IF('POINTAGE'!$AN$5&lt;&gt;"",--('POINTAGE'!AN256="Absent"),0),IF('POINTAGE'!$AP$5&lt;&gt;"",--('POINTAGE'!AP256="Absent"),0),IF('POINTAGE'!$AR$5&lt;&gt;"",--('POINTAGE'!AR256="Absent"),0),IF('POINTAGE'!$AT$5&lt;&gt;"",--('POINTAGE'!AT256="Absent"),0),IF('POINTAGE'!$AV$5&lt;&gt;"",--('POINTAGE'!AV256="Absent"),0),IF('POINTAGE'!$AX$5&lt;&gt;"",--('POINTAGE'!AX256="Absent"),0),IF('POINTAGE'!$AZ$5&lt;&gt;"",--('POINTAGE'!AZ256="Absent"),0),IF('POINTAGE'!$BB$5&lt;&gt;"",--('POINTAGE'!BB256="Absent"),0),IF('POINTAGE'!$BD$5&lt;&gt;"",--('POINTAGE'!BD256="Absent"),0),IF('POINTAGE'!$BF$5&lt;&gt;"",--('POINTAGE'!BF256="Absent"),0),IF('POINTAGE'!$BH$5&lt;&gt;"",--('POINTAGE'!BH256="Absent"),0),IF('POINTAGE'!$BJ$5&lt;&gt;"",--('POINTAGE'!BJ256="Absent"),0),IF('POINTAGE'!$BL$5&lt;&gt;"",--('POINTAGE'!BL256="Absent"),0)))</f>
      </c>
      <c r="P256" s="23">
        <f>IF($A256="","",SUM(IF('POINTAGE'!$AH$5&lt;&gt;"",IF('POINTAGE'!AH256="Présent",'POINTAGE'!AI256,0),0),IF('POINTAGE'!$AJ$5&lt;&gt;"",IF('POINTAGE'!AJ256="Présent",'POINTAGE'!AK256,0),0),IF('POINTAGE'!$AL$5&lt;&gt;"",IF('POINTAGE'!AL256="Présent",'POINTAGE'!AM256,0),0),IF('POINTAGE'!$AN$5&lt;&gt;"",IF('POINTAGE'!AN256="Présent",'POINTAGE'!AO256,0),0),IF('POINTAGE'!$AP$5&lt;&gt;"",IF('POINTAGE'!AP256="Présent",'POINTAGE'!AQ256,0),0),IF('POINTAGE'!$AR$5&lt;&gt;"",IF('POINTAGE'!AR256="Présent",'POINTAGE'!AS256,0),0),IF('POINTAGE'!$AT$5&lt;&gt;"",IF('POINTAGE'!AT256="Présent",'POINTAGE'!AU256,0),0),IF('POINTAGE'!$AV$5&lt;&gt;"",IF('POINTAGE'!AV256="Présent",'POINTAGE'!AW256,0),0),IF('POINTAGE'!$AX$5&lt;&gt;"",IF('POINTAGE'!AX256="Présent",'POINTAGE'!AY256,0),0),IF('POINTAGE'!$AZ$5&lt;&gt;"",IF('POINTAGE'!AZ256="Présent",'POINTAGE'!BA256,0),0),IF('POINTAGE'!$BB$5&lt;&gt;"",IF('POINTAGE'!BB256="Présent",'POINTAGE'!BC256,0),0),IF('POINTAGE'!$BD$5&lt;&gt;"",IF('POINTAGE'!BD256="Présent",'POINTAGE'!BE256,0),0),IF('POINTAGE'!$BF$5&lt;&gt;"",IF('POINTAGE'!BF256="Présent",'POINTAGE'!BG256,0),0),IF('POINTAGE'!$BH$5&lt;&gt;"",IF('POINTAGE'!BH256="Présent",'POINTAGE'!BI256,0),0),IF('POINTAGE'!$BJ$5&lt;&gt;"",IF('POINTAGE'!BJ256="Présent",'POINTAGE'!BK256,0),0),IF('POINTAGE'!$BL$5&lt;&gt;"",IF('POINTAGE'!BL256="Présent",'POINTAGE'!BM256,0),0)))</f>
      </c>
      <c r="Q256" s="24">
        <f>IF($A256="","",$N256*$D256)</f>
      </c>
      <c r="R256" s="24">
        <f>IF($A256="","",$P256*$E256)</f>
      </c>
      <c r="S256" s="25">
        <f>IF($A256="","",$Q256+$R256)</f>
      </c>
      <c r="T256" s="18"/>
      <c r="U256" s="25">
        <f>IF($A256="","",MAX(0,$S256-$T256))</f>
      </c>
      <c r="V256" s="25">
        <f>IF($A256="","",$K256+$S256)</f>
      </c>
      <c r="W256" s="24">
        <f>IF($A256="","",$L256+$T256)</f>
      </c>
      <c r="X256" s="25">
        <f>IF($A256="","",$M256+$U256)</f>
      </c>
      <c r="Y256" s="29">
        <f>IF($A256="","",$J256+$R256)</f>
      </c>
    </row>
    <row r="257">
      <c r="A257" s="20">
        <f>IF('POINTAGE'!A257="","",'POINTAGE'!A257)</f>
      </c>
      <c r="B257" s="19">
        <f>IF($A257="","",'POINTAGE'!B257)</f>
      </c>
      <c r="C257" s="20">
        <f>IF($A257="","",'POINTAGE'!C257)</f>
      </c>
      <c r="D257" s="24">
        <f>IF($A257="","",IFERROR(INDEX(Categories_Salaire,MATCH($C257,ListeCategories,0)),0))</f>
      </c>
      <c r="E257" s="24">
        <f>IF($A257="","",IF(IFERROR(INDEX(Categories_TauxHS,MATCH($C257,ListeCategories,0)),0)&gt;0,IFERROR(INDEX(Categories_TauxHS,MATCH($C257,ListeCategories,0)),0),TauxHSDefaut))</f>
      </c>
      <c r="F257" s="22">
        <f>IF($A257="","",SUM(IF('POINTAGE'!$D$5&lt;&gt;"",--('POINTAGE'!D257="Présent"),0),IF('POINTAGE'!$F$5&lt;&gt;"",--('POINTAGE'!F257="Présent"),0),IF('POINTAGE'!$H$5&lt;&gt;"",--('POINTAGE'!H257="Présent"),0),IF('POINTAGE'!$J$5&lt;&gt;"",--('POINTAGE'!J257="Présent"),0),IF('POINTAGE'!$L$5&lt;&gt;"",--('POINTAGE'!L257="Présent"),0),IF('POINTAGE'!$N$5&lt;&gt;"",--('POINTAGE'!N257="Présent"),0),IF('POINTAGE'!$P$5&lt;&gt;"",--('POINTAGE'!P257="Présent"),0),IF('POINTAGE'!$R$5&lt;&gt;"",--('POINTAGE'!R257="Présent"),0),IF('POINTAGE'!$T$5&lt;&gt;"",--('POINTAGE'!T257="Présent"),0),IF('POINTAGE'!$V$5&lt;&gt;"",--('POINTAGE'!V257="Présent"),0),IF('POINTAGE'!$X$5&lt;&gt;"",--('POINTAGE'!X257="Présent"),0),IF('POINTAGE'!$Z$5&lt;&gt;"",--('POINTAGE'!Z257="Présent"),0),IF('POINTAGE'!$AB$5&lt;&gt;"",--('POINTAGE'!AB257="Présent"),0),IF('POINTAGE'!$AD$5&lt;&gt;"",--('POINTAGE'!AD257="Présent"),0),IF('POINTAGE'!$AF$5&lt;&gt;"",--('POINTAGE'!AF257="Présent"),0)))</f>
      </c>
      <c r="G257" s="22">
        <f>IF($A257="","",SUM(IF('POINTAGE'!$D$5&lt;&gt;"",--('POINTAGE'!D257="Absent"),0),IF('POINTAGE'!$F$5&lt;&gt;"",--('POINTAGE'!F257="Absent"),0),IF('POINTAGE'!$H$5&lt;&gt;"",--('POINTAGE'!H257="Absent"),0),IF('POINTAGE'!$J$5&lt;&gt;"",--('POINTAGE'!J257="Absent"),0),IF('POINTAGE'!$L$5&lt;&gt;"",--('POINTAGE'!L257="Absent"),0),IF('POINTAGE'!$N$5&lt;&gt;"",--('POINTAGE'!N257="Absent"),0),IF('POINTAGE'!$P$5&lt;&gt;"",--('POINTAGE'!P257="Absent"),0),IF('POINTAGE'!$R$5&lt;&gt;"",--('POINTAGE'!R257="Absent"),0),IF('POINTAGE'!$T$5&lt;&gt;"",--('POINTAGE'!T257="Absent"),0),IF('POINTAGE'!$V$5&lt;&gt;"",--('POINTAGE'!V257="Absent"),0),IF('POINTAGE'!$X$5&lt;&gt;"",--('POINTAGE'!X257="Absent"),0),IF('POINTAGE'!$Z$5&lt;&gt;"",--('POINTAGE'!Z257="Absent"),0),IF('POINTAGE'!$AB$5&lt;&gt;"",--('POINTAGE'!AB257="Absent"),0),IF('POINTAGE'!$AD$5&lt;&gt;"",--('POINTAGE'!AD257="Absent"),0),IF('POINTAGE'!$AF$5&lt;&gt;"",--('POINTAGE'!AF257="Absent"),0)))</f>
      </c>
      <c r="H257" s="23">
        <f>IF($A257="","",SUM(IF('POINTAGE'!$D$5&lt;&gt;"",IF('POINTAGE'!D257="Présent",'POINTAGE'!E257,0),0),IF('POINTAGE'!$F$5&lt;&gt;"",IF('POINTAGE'!F257="Présent",'POINTAGE'!G257,0),0),IF('POINTAGE'!$H$5&lt;&gt;"",IF('POINTAGE'!H257="Présent",'POINTAGE'!I257,0),0),IF('POINTAGE'!$J$5&lt;&gt;"",IF('POINTAGE'!J257="Présent",'POINTAGE'!K257,0),0),IF('POINTAGE'!$L$5&lt;&gt;"",IF('POINTAGE'!L257="Présent",'POINTAGE'!M257,0),0),IF('POINTAGE'!$N$5&lt;&gt;"",IF('POINTAGE'!N257="Présent",'POINTAGE'!O257,0),0),IF('POINTAGE'!$P$5&lt;&gt;"",IF('POINTAGE'!P257="Présent",'POINTAGE'!Q257,0),0),IF('POINTAGE'!$R$5&lt;&gt;"",IF('POINTAGE'!R257="Présent",'POINTAGE'!S257,0),0),IF('POINTAGE'!$T$5&lt;&gt;"",IF('POINTAGE'!T257="Présent",'POINTAGE'!U257,0),0),IF('POINTAGE'!$V$5&lt;&gt;"",IF('POINTAGE'!V257="Présent",'POINTAGE'!W257,0),0),IF('POINTAGE'!$X$5&lt;&gt;"",IF('POINTAGE'!X257="Présent",'POINTAGE'!Y257,0),0),IF('POINTAGE'!$Z$5&lt;&gt;"",IF('POINTAGE'!Z257="Présent",'POINTAGE'!AA257,0),0),IF('POINTAGE'!$AB$5&lt;&gt;"",IF('POINTAGE'!AB257="Présent",'POINTAGE'!AC257,0),0),IF('POINTAGE'!$AD$5&lt;&gt;"",IF('POINTAGE'!AD257="Présent",'POINTAGE'!AE257,0),0),IF('POINTAGE'!$AF$5&lt;&gt;"",IF('POINTAGE'!AF257="Présent",'POINTAGE'!AG257,0),0)))</f>
      </c>
      <c r="I257" s="24">
        <f>IF($A257="","",$F257*$D257)</f>
      </c>
      <c r="J257" s="24">
        <f>IF($A257="","",$H257*$E257)</f>
      </c>
      <c r="K257" s="25">
        <f>IF($A257="","",$I257+$J257)</f>
      </c>
      <c r="L257" s="18"/>
      <c r="M257" s="25">
        <f>IF($A257="","",MAX(0,$K257-$L257))</f>
      </c>
      <c r="N257" s="22">
        <f>IF($A257="","",SUM(IF('POINTAGE'!$AH$5&lt;&gt;"",--('POINTAGE'!AH257="Présent"),0),IF('POINTAGE'!$AJ$5&lt;&gt;"",--('POINTAGE'!AJ257="Présent"),0),IF('POINTAGE'!$AL$5&lt;&gt;"",--('POINTAGE'!AL257="Présent"),0),IF('POINTAGE'!$AN$5&lt;&gt;"",--('POINTAGE'!AN257="Présent"),0),IF('POINTAGE'!$AP$5&lt;&gt;"",--('POINTAGE'!AP257="Présent"),0),IF('POINTAGE'!$AR$5&lt;&gt;"",--('POINTAGE'!AR257="Présent"),0),IF('POINTAGE'!$AT$5&lt;&gt;"",--('POINTAGE'!AT257="Présent"),0),IF('POINTAGE'!$AV$5&lt;&gt;"",--('POINTAGE'!AV257="Présent"),0),IF('POINTAGE'!$AX$5&lt;&gt;"",--('POINTAGE'!AX257="Présent"),0),IF('POINTAGE'!$AZ$5&lt;&gt;"",--('POINTAGE'!AZ257="Présent"),0),IF('POINTAGE'!$BB$5&lt;&gt;"",--('POINTAGE'!BB257="Présent"),0),IF('POINTAGE'!$BD$5&lt;&gt;"",--('POINTAGE'!BD257="Présent"),0),IF('POINTAGE'!$BF$5&lt;&gt;"",--('POINTAGE'!BF257="Présent"),0),IF('POINTAGE'!$BH$5&lt;&gt;"",--('POINTAGE'!BH257="Présent"),0),IF('POINTAGE'!$BJ$5&lt;&gt;"",--('POINTAGE'!BJ257="Présent"),0),IF('POINTAGE'!$BL$5&lt;&gt;"",--('POINTAGE'!BL257="Présent"),0)))</f>
      </c>
      <c r="O257" s="22">
        <f>IF($A257="","",SUM(IF('POINTAGE'!$AH$5&lt;&gt;"",--('POINTAGE'!AH257="Absent"),0),IF('POINTAGE'!$AJ$5&lt;&gt;"",--('POINTAGE'!AJ257="Absent"),0),IF('POINTAGE'!$AL$5&lt;&gt;"",--('POINTAGE'!AL257="Absent"),0),IF('POINTAGE'!$AN$5&lt;&gt;"",--('POINTAGE'!AN257="Absent"),0),IF('POINTAGE'!$AP$5&lt;&gt;"",--('POINTAGE'!AP257="Absent"),0),IF('POINTAGE'!$AR$5&lt;&gt;"",--('POINTAGE'!AR257="Absent"),0),IF('POINTAGE'!$AT$5&lt;&gt;"",--('POINTAGE'!AT257="Absent"),0),IF('POINTAGE'!$AV$5&lt;&gt;"",--('POINTAGE'!AV257="Absent"),0),IF('POINTAGE'!$AX$5&lt;&gt;"",--('POINTAGE'!AX257="Absent"),0),IF('POINTAGE'!$AZ$5&lt;&gt;"",--('POINTAGE'!AZ257="Absent"),0),IF('POINTAGE'!$BB$5&lt;&gt;"",--('POINTAGE'!BB257="Absent"),0),IF('POINTAGE'!$BD$5&lt;&gt;"",--('POINTAGE'!BD257="Absent"),0),IF('POINTAGE'!$BF$5&lt;&gt;"",--('POINTAGE'!BF257="Absent"),0),IF('POINTAGE'!$BH$5&lt;&gt;"",--('POINTAGE'!BH257="Absent"),0),IF('POINTAGE'!$BJ$5&lt;&gt;"",--('POINTAGE'!BJ257="Absent"),0),IF('POINTAGE'!$BL$5&lt;&gt;"",--('POINTAGE'!BL257="Absent"),0)))</f>
      </c>
      <c r="P257" s="23">
        <f>IF($A257="","",SUM(IF('POINTAGE'!$AH$5&lt;&gt;"",IF('POINTAGE'!AH257="Présent",'POINTAGE'!AI257,0),0),IF('POINTAGE'!$AJ$5&lt;&gt;"",IF('POINTAGE'!AJ257="Présent",'POINTAGE'!AK257,0),0),IF('POINTAGE'!$AL$5&lt;&gt;"",IF('POINTAGE'!AL257="Présent",'POINTAGE'!AM257,0),0),IF('POINTAGE'!$AN$5&lt;&gt;"",IF('POINTAGE'!AN257="Présent",'POINTAGE'!AO257,0),0),IF('POINTAGE'!$AP$5&lt;&gt;"",IF('POINTAGE'!AP257="Présent",'POINTAGE'!AQ257,0),0),IF('POINTAGE'!$AR$5&lt;&gt;"",IF('POINTAGE'!AR257="Présent",'POINTAGE'!AS257,0),0),IF('POINTAGE'!$AT$5&lt;&gt;"",IF('POINTAGE'!AT257="Présent",'POINTAGE'!AU257,0),0),IF('POINTAGE'!$AV$5&lt;&gt;"",IF('POINTAGE'!AV257="Présent",'POINTAGE'!AW257,0),0),IF('POINTAGE'!$AX$5&lt;&gt;"",IF('POINTAGE'!AX257="Présent",'POINTAGE'!AY257,0),0),IF('POINTAGE'!$AZ$5&lt;&gt;"",IF('POINTAGE'!AZ257="Présent",'POINTAGE'!BA257,0),0),IF('POINTAGE'!$BB$5&lt;&gt;"",IF('POINTAGE'!BB257="Présent",'POINTAGE'!BC257,0),0),IF('POINTAGE'!$BD$5&lt;&gt;"",IF('POINTAGE'!BD257="Présent",'POINTAGE'!BE257,0),0),IF('POINTAGE'!$BF$5&lt;&gt;"",IF('POINTAGE'!BF257="Présent",'POINTAGE'!BG257,0),0),IF('POINTAGE'!$BH$5&lt;&gt;"",IF('POINTAGE'!BH257="Présent",'POINTAGE'!BI257,0),0),IF('POINTAGE'!$BJ$5&lt;&gt;"",IF('POINTAGE'!BJ257="Présent",'POINTAGE'!BK257,0),0),IF('POINTAGE'!$BL$5&lt;&gt;"",IF('POINTAGE'!BL257="Présent",'POINTAGE'!BM257,0),0)))</f>
      </c>
      <c r="Q257" s="24">
        <f>IF($A257="","",$N257*$D257)</f>
      </c>
      <c r="R257" s="24">
        <f>IF($A257="","",$P257*$E257)</f>
      </c>
      <c r="S257" s="25">
        <f>IF($A257="","",$Q257+$R257)</f>
      </c>
      <c r="T257" s="18"/>
      <c r="U257" s="25">
        <f>IF($A257="","",MAX(0,$S257-$T257))</f>
      </c>
      <c r="V257" s="25">
        <f>IF($A257="","",$K257+$S257)</f>
      </c>
      <c r="W257" s="24">
        <f>IF($A257="","",$L257+$T257)</f>
      </c>
      <c r="X257" s="25">
        <f>IF($A257="","",$M257+$U257)</f>
      </c>
      <c r="Y257" s="29">
        <f>IF($A257="","",$J257+$R257)</f>
      </c>
    </row>
    <row r="258">
      <c r="A258" s="20">
        <f>IF('POINTAGE'!A258="","",'POINTAGE'!A258)</f>
      </c>
      <c r="B258" s="19">
        <f>IF($A258="","",'POINTAGE'!B258)</f>
      </c>
      <c r="C258" s="20">
        <f>IF($A258="","",'POINTAGE'!C258)</f>
      </c>
      <c r="D258" s="24">
        <f>IF($A258="","",IFERROR(INDEX(Categories_Salaire,MATCH($C258,ListeCategories,0)),0))</f>
      </c>
      <c r="E258" s="24">
        <f>IF($A258="","",IF(IFERROR(INDEX(Categories_TauxHS,MATCH($C258,ListeCategories,0)),0)&gt;0,IFERROR(INDEX(Categories_TauxHS,MATCH($C258,ListeCategories,0)),0),TauxHSDefaut))</f>
      </c>
      <c r="F258" s="22">
        <f>IF($A258="","",SUM(IF('POINTAGE'!$D$5&lt;&gt;"",--('POINTAGE'!D258="Présent"),0),IF('POINTAGE'!$F$5&lt;&gt;"",--('POINTAGE'!F258="Présent"),0),IF('POINTAGE'!$H$5&lt;&gt;"",--('POINTAGE'!H258="Présent"),0),IF('POINTAGE'!$J$5&lt;&gt;"",--('POINTAGE'!J258="Présent"),0),IF('POINTAGE'!$L$5&lt;&gt;"",--('POINTAGE'!L258="Présent"),0),IF('POINTAGE'!$N$5&lt;&gt;"",--('POINTAGE'!N258="Présent"),0),IF('POINTAGE'!$P$5&lt;&gt;"",--('POINTAGE'!P258="Présent"),0),IF('POINTAGE'!$R$5&lt;&gt;"",--('POINTAGE'!R258="Présent"),0),IF('POINTAGE'!$T$5&lt;&gt;"",--('POINTAGE'!T258="Présent"),0),IF('POINTAGE'!$V$5&lt;&gt;"",--('POINTAGE'!V258="Présent"),0),IF('POINTAGE'!$X$5&lt;&gt;"",--('POINTAGE'!X258="Présent"),0),IF('POINTAGE'!$Z$5&lt;&gt;"",--('POINTAGE'!Z258="Présent"),0),IF('POINTAGE'!$AB$5&lt;&gt;"",--('POINTAGE'!AB258="Présent"),0),IF('POINTAGE'!$AD$5&lt;&gt;"",--('POINTAGE'!AD258="Présent"),0),IF('POINTAGE'!$AF$5&lt;&gt;"",--('POINTAGE'!AF258="Présent"),0)))</f>
      </c>
      <c r="G258" s="22">
        <f>IF($A258="","",SUM(IF('POINTAGE'!$D$5&lt;&gt;"",--('POINTAGE'!D258="Absent"),0),IF('POINTAGE'!$F$5&lt;&gt;"",--('POINTAGE'!F258="Absent"),0),IF('POINTAGE'!$H$5&lt;&gt;"",--('POINTAGE'!H258="Absent"),0),IF('POINTAGE'!$J$5&lt;&gt;"",--('POINTAGE'!J258="Absent"),0),IF('POINTAGE'!$L$5&lt;&gt;"",--('POINTAGE'!L258="Absent"),0),IF('POINTAGE'!$N$5&lt;&gt;"",--('POINTAGE'!N258="Absent"),0),IF('POINTAGE'!$P$5&lt;&gt;"",--('POINTAGE'!P258="Absent"),0),IF('POINTAGE'!$R$5&lt;&gt;"",--('POINTAGE'!R258="Absent"),0),IF('POINTAGE'!$T$5&lt;&gt;"",--('POINTAGE'!T258="Absent"),0),IF('POINTAGE'!$V$5&lt;&gt;"",--('POINTAGE'!V258="Absent"),0),IF('POINTAGE'!$X$5&lt;&gt;"",--('POINTAGE'!X258="Absent"),0),IF('POINTAGE'!$Z$5&lt;&gt;"",--('POINTAGE'!Z258="Absent"),0),IF('POINTAGE'!$AB$5&lt;&gt;"",--('POINTAGE'!AB258="Absent"),0),IF('POINTAGE'!$AD$5&lt;&gt;"",--('POINTAGE'!AD258="Absent"),0),IF('POINTAGE'!$AF$5&lt;&gt;"",--('POINTAGE'!AF258="Absent"),0)))</f>
      </c>
      <c r="H258" s="23">
        <f>IF($A258="","",SUM(IF('POINTAGE'!$D$5&lt;&gt;"",IF('POINTAGE'!D258="Présent",'POINTAGE'!E258,0),0),IF('POINTAGE'!$F$5&lt;&gt;"",IF('POINTAGE'!F258="Présent",'POINTAGE'!G258,0),0),IF('POINTAGE'!$H$5&lt;&gt;"",IF('POINTAGE'!H258="Présent",'POINTAGE'!I258,0),0),IF('POINTAGE'!$J$5&lt;&gt;"",IF('POINTAGE'!J258="Présent",'POINTAGE'!K258,0),0),IF('POINTAGE'!$L$5&lt;&gt;"",IF('POINTAGE'!L258="Présent",'POINTAGE'!M258,0),0),IF('POINTAGE'!$N$5&lt;&gt;"",IF('POINTAGE'!N258="Présent",'POINTAGE'!O258,0),0),IF('POINTAGE'!$P$5&lt;&gt;"",IF('POINTAGE'!P258="Présent",'POINTAGE'!Q258,0),0),IF('POINTAGE'!$R$5&lt;&gt;"",IF('POINTAGE'!R258="Présent",'POINTAGE'!S258,0),0),IF('POINTAGE'!$T$5&lt;&gt;"",IF('POINTAGE'!T258="Présent",'POINTAGE'!U258,0),0),IF('POINTAGE'!$V$5&lt;&gt;"",IF('POINTAGE'!V258="Présent",'POINTAGE'!W258,0),0),IF('POINTAGE'!$X$5&lt;&gt;"",IF('POINTAGE'!X258="Présent",'POINTAGE'!Y258,0),0),IF('POINTAGE'!$Z$5&lt;&gt;"",IF('POINTAGE'!Z258="Présent",'POINTAGE'!AA258,0),0),IF('POINTAGE'!$AB$5&lt;&gt;"",IF('POINTAGE'!AB258="Présent",'POINTAGE'!AC258,0),0),IF('POINTAGE'!$AD$5&lt;&gt;"",IF('POINTAGE'!AD258="Présent",'POINTAGE'!AE258,0),0),IF('POINTAGE'!$AF$5&lt;&gt;"",IF('POINTAGE'!AF258="Présent",'POINTAGE'!AG258,0),0)))</f>
      </c>
      <c r="I258" s="24">
        <f>IF($A258="","",$F258*$D258)</f>
      </c>
      <c r="J258" s="24">
        <f>IF($A258="","",$H258*$E258)</f>
      </c>
      <c r="K258" s="25">
        <f>IF($A258="","",$I258+$J258)</f>
      </c>
      <c r="L258" s="18"/>
      <c r="M258" s="25">
        <f>IF($A258="","",MAX(0,$K258-$L258))</f>
      </c>
      <c r="N258" s="22">
        <f>IF($A258="","",SUM(IF('POINTAGE'!$AH$5&lt;&gt;"",--('POINTAGE'!AH258="Présent"),0),IF('POINTAGE'!$AJ$5&lt;&gt;"",--('POINTAGE'!AJ258="Présent"),0),IF('POINTAGE'!$AL$5&lt;&gt;"",--('POINTAGE'!AL258="Présent"),0),IF('POINTAGE'!$AN$5&lt;&gt;"",--('POINTAGE'!AN258="Présent"),0),IF('POINTAGE'!$AP$5&lt;&gt;"",--('POINTAGE'!AP258="Présent"),0),IF('POINTAGE'!$AR$5&lt;&gt;"",--('POINTAGE'!AR258="Présent"),0),IF('POINTAGE'!$AT$5&lt;&gt;"",--('POINTAGE'!AT258="Présent"),0),IF('POINTAGE'!$AV$5&lt;&gt;"",--('POINTAGE'!AV258="Présent"),0),IF('POINTAGE'!$AX$5&lt;&gt;"",--('POINTAGE'!AX258="Présent"),0),IF('POINTAGE'!$AZ$5&lt;&gt;"",--('POINTAGE'!AZ258="Présent"),0),IF('POINTAGE'!$BB$5&lt;&gt;"",--('POINTAGE'!BB258="Présent"),0),IF('POINTAGE'!$BD$5&lt;&gt;"",--('POINTAGE'!BD258="Présent"),0),IF('POINTAGE'!$BF$5&lt;&gt;"",--('POINTAGE'!BF258="Présent"),0),IF('POINTAGE'!$BH$5&lt;&gt;"",--('POINTAGE'!BH258="Présent"),0),IF('POINTAGE'!$BJ$5&lt;&gt;"",--('POINTAGE'!BJ258="Présent"),0),IF('POINTAGE'!$BL$5&lt;&gt;"",--('POINTAGE'!BL258="Présent"),0)))</f>
      </c>
      <c r="O258" s="22">
        <f>IF($A258="","",SUM(IF('POINTAGE'!$AH$5&lt;&gt;"",--('POINTAGE'!AH258="Absent"),0),IF('POINTAGE'!$AJ$5&lt;&gt;"",--('POINTAGE'!AJ258="Absent"),0),IF('POINTAGE'!$AL$5&lt;&gt;"",--('POINTAGE'!AL258="Absent"),0),IF('POINTAGE'!$AN$5&lt;&gt;"",--('POINTAGE'!AN258="Absent"),0),IF('POINTAGE'!$AP$5&lt;&gt;"",--('POINTAGE'!AP258="Absent"),0),IF('POINTAGE'!$AR$5&lt;&gt;"",--('POINTAGE'!AR258="Absent"),0),IF('POINTAGE'!$AT$5&lt;&gt;"",--('POINTAGE'!AT258="Absent"),0),IF('POINTAGE'!$AV$5&lt;&gt;"",--('POINTAGE'!AV258="Absent"),0),IF('POINTAGE'!$AX$5&lt;&gt;"",--('POINTAGE'!AX258="Absent"),0),IF('POINTAGE'!$AZ$5&lt;&gt;"",--('POINTAGE'!AZ258="Absent"),0),IF('POINTAGE'!$BB$5&lt;&gt;"",--('POINTAGE'!BB258="Absent"),0),IF('POINTAGE'!$BD$5&lt;&gt;"",--('POINTAGE'!BD258="Absent"),0),IF('POINTAGE'!$BF$5&lt;&gt;"",--('POINTAGE'!BF258="Absent"),0),IF('POINTAGE'!$BH$5&lt;&gt;"",--('POINTAGE'!BH258="Absent"),0),IF('POINTAGE'!$BJ$5&lt;&gt;"",--('POINTAGE'!BJ258="Absent"),0),IF('POINTAGE'!$BL$5&lt;&gt;"",--('POINTAGE'!BL258="Absent"),0)))</f>
      </c>
      <c r="P258" s="23">
        <f>IF($A258="","",SUM(IF('POINTAGE'!$AH$5&lt;&gt;"",IF('POINTAGE'!AH258="Présent",'POINTAGE'!AI258,0),0),IF('POINTAGE'!$AJ$5&lt;&gt;"",IF('POINTAGE'!AJ258="Présent",'POINTAGE'!AK258,0),0),IF('POINTAGE'!$AL$5&lt;&gt;"",IF('POINTAGE'!AL258="Présent",'POINTAGE'!AM258,0),0),IF('POINTAGE'!$AN$5&lt;&gt;"",IF('POINTAGE'!AN258="Présent",'POINTAGE'!AO258,0),0),IF('POINTAGE'!$AP$5&lt;&gt;"",IF('POINTAGE'!AP258="Présent",'POINTAGE'!AQ258,0),0),IF('POINTAGE'!$AR$5&lt;&gt;"",IF('POINTAGE'!AR258="Présent",'POINTAGE'!AS258,0),0),IF('POINTAGE'!$AT$5&lt;&gt;"",IF('POINTAGE'!AT258="Présent",'POINTAGE'!AU258,0),0),IF('POINTAGE'!$AV$5&lt;&gt;"",IF('POINTAGE'!AV258="Présent",'POINTAGE'!AW258,0),0),IF('POINTAGE'!$AX$5&lt;&gt;"",IF('POINTAGE'!AX258="Présent",'POINTAGE'!AY258,0),0),IF('POINTAGE'!$AZ$5&lt;&gt;"",IF('POINTAGE'!AZ258="Présent",'POINTAGE'!BA258,0),0),IF('POINTAGE'!$BB$5&lt;&gt;"",IF('POINTAGE'!BB258="Présent",'POINTAGE'!BC258,0),0),IF('POINTAGE'!$BD$5&lt;&gt;"",IF('POINTAGE'!BD258="Présent",'POINTAGE'!BE258,0),0),IF('POINTAGE'!$BF$5&lt;&gt;"",IF('POINTAGE'!BF258="Présent",'POINTAGE'!BG258,0),0),IF('POINTAGE'!$BH$5&lt;&gt;"",IF('POINTAGE'!BH258="Présent",'POINTAGE'!BI258,0),0),IF('POINTAGE'!$BJ$5&lt;&gt;"",IF('POINTAGE'!BJ258="Présent",'POINTAGE'!BK258,0),0),IF('POINTAGE'!$BL$5&lt;&gt;"",IF('POINTAGE'!BL258="Présent",'POINTAGE'!BM258,0),0)))</f>
      </c>
      <c r="Q258" s="24">
        <f>IF($A258="","",$N258*$D258)</f>
      </c>
      <c r="R258" s="24">
        <f>IF($A258="","",$P258*$E258)</f>
      </c>
      <c r="S258" s="25">
        <f>IF($A258="","",$Q258+$R258)</f>
      </c>
      <c r="T258" s="18"/>
      <c r="U258" s="25">
        <f>IF($A258="","",MAX(0,$S258-$T258))</f>
      </c>
      <c r="V258" s="25">
        <f>IF($A258="","",$K258+$S258)</f>
      </c>
      <c r="W258" s="24">
        <f>IF($A258="","",$L258+$T258)</f>
      </c>
      <c r="X258" s="25">
        <f>IF($A258="","",$M258+$U258)</f>
      </c>
      <c r="Y258" s="29">
        <f>IF($A258="","",$J258+$R258)</f>
      </c>
    </row>
    <row r="259">
      <c r="A259" s="20">
        <f>IF('POINTAGE'!A259="","",'POINTAGE'!A259)</f>
      </c>
      <c r="B259" s="19">
        <f>IF($A259="","",'POINTAGE'!B259)</f>
      </c>
      <c r="C259" s="20">
        <f>IF($A259="","",'POINTAGE'!C259)</f>
      </c>
      <c r="D259" s="24">
        <f>IF($A259="","",IFERROR(INDEX(Categories_Salaire,MATCH($C259,ListeCategories,0)),0))</f>
      </c>
      <c r="E259" s="24">
        <f>IF($A259="","",IF(IFERROR(INDEX(Categories_TauxHS,MATCH($C259,ListeCategories,0)),0)&gt;0,IFERROR(INDEX(Categories_TauxHS,MATCH($C259,ListeCategories,0)),0),TauxHSDefaut))</f>
      </c>
      <c r="F259" s="22">
        <f>IF($A259="","",SUM(IF('POINTAGE'!$D$5&lt;&gt;"",--('POINTAGE'!D259="Présent"),0),IF('POINTAGE'!$F$5&lt;&gt;"",--('POINTAGE'!F259="Présent"),0),IF('POINTAGE'!$H$5&lt;&gt;"",--('POINTAGE'!H259="Présent"),0),IF('POINTAGE'!$J$5&lt;&gt;"",--('POINTAGE'!J259="Présent"),0),IF('POINTAGE'!$L$5&lt;&gt;"",--('POINTAGE'!L259="Présent"),0),IF('POINTAGE'!$N$5&lt;&gt;"",--('POINTAGE'!N259="Présent"),0),IF('POINTAGE'!$P$5&lt;&gt;"",--('POINTAGE'!P259="Présent"),0),IF('POINTAGE'!$R$5&lt;&gt;"",--('POINTAGE'!R259="Présent"),0),IF('POINTAGE'!$T$5&lt;&gt;"",--('POINTAGE'!T259="Présent"),0),IF('POINTAGE'!$V$5&lt;&gt;"",--('POINTAGE'!V259="Présent"),0),IF('POINTAGE'!$X$5&lt;&gt;"",--('POINTAGE'!X259="Présent"),0),IF('POINTAGE'!$Z$5&lt;&gt;"",--('POINTAGE'!Z259="Présent"),0),IF('POINTAGE'!$AB$5&lt;&gt;"",--('POINTAGE'!AB259="Présent"),0),IF('POINTAGE'!$AD$5&lt;&gt;"",--('POINTAGE'!AD259="Présent"),0),IF('POINTAGE'!$AF$5&lt;&gt;"",--('POINTAGE'!AF259="Présent"),0)))</f>
      </c>
      <c r="G259" s="22">
        <f>IF($A259="","",SUM(IF('POINTAGE'!$D$5&lt;&gt;"",--('POINTAGE'!D259="Absent"),0),IF('POINTAGE'!$F$5&lt;&gt;"",--('POINTAGE'!F259="Absent"),0),IF('POINTAGE'!$H$5&lt;&gt;"",--('POINTAGE'!H259="Absent"),0),IF('POINTAGE'!$J$5&lt;&gt;"",--('POINTAGE'!J259="Absent"),0),IF('POINTAGE'!$L$5&lt;&gt;"",--('POINTAGE'!L259="Absent"),0),IF('POINTAGE'!$N$5&lt;&gt;"",--('POINTAGE'!N259="Absent"),0),IF('POINTAGE'!$P$5&lt;&gt;"",--('POINTAGE'!P259="Absent"),0),IF('POINTAGE'!$R$5&lt;&gt;"",--('POINTAGE'!R259="Absent"),0),IF('POINTAGE'!$T$5&lt;&gt;"",--('POINTAGE'!T259="Absent"),0),IF('POINTAGE'!$V$5&lt;&gt;"",--('POINTAGE'!V259="Absent"),0),IF('POINTAGE'!$X$5&lt;&gt;"",--('POINTAGE'!X259="Absent"),0),IF('POINTAGE'!$Z$5&lt;&gt;"",--('POINTAGE'!Z259="Absent"),0),IF('POINTAGE'!$AB$5&lt;&gt;"",--('POINTAGE'!AB259="Absent"),0),IF('POINTAGE'!$AD$5&lt;&gt;"",--('POINTAGE'!AD259="Absent"),0),IF('POINTAGE'!$AF$5&lt;&gt;"",--('POINTAGE'!AF259="Absent"),0)))</f>
      </c>
      <c r="H259" s="23">
        <f>IF($A259="","",SUM(IF('POINTAGE'!$D$5&lt;&gt;"",IF('POINTAGE'!D259="Présent",'POINTAGE'!E259,0),0),IF('POINTAGE'!$F$5&lt;&gt;"",IF('POINTAGE'!F259="Présent",'POINTAGE'!G259,0),0),IF('POINTAGE'!$H$5&lt;&gt;"",IF('POINTAGE'!H259="Présent",'POINTAGE'!I259,0),0),IF('POINTAGE'!$J$5&lt;&gt;"",IF('POINTAGE'!J259="Présent",'POINTAGE'!K259,0),0),IF('POINTAGE'!$L$5&lt;&gt;"",IF('POINTAGE'!L259="Présent",'POINTAGE'!M259,0),0),IF('POINTAGE'!$N$5&lt;&gt;"",IF('POINTAGE'!N259="Présent",'POINTAGE'!O259,0),0),IF('POINTAGE'!$P$5&lt;&gt;"",IF('POINTAGE'!P259="Présent",'POINTAGE'!Q259,0),0),IF('POINTAGE'!$R$5&lt;&gt;"",IF('POINTAGE'!R259="Présent",'POINTAGE'!S259,0),0),IF('POINTAGE'!$T$5&lt;&gt;"",IF('POINTAGE'!T259="Présent",'POINTAGE'!U259,0),0),IF('POINTAGE'!$V$5&lt;&gt;"",IF('POINTAGE'!V259="Présent",'POINTAGE'!W259,0),0),IF('POINTAGE'!$X$5&lt;&gt;"",IF('POINTAGE'!X259="Présent",'POINTAGE'!Y259,0),0),IF('POINTAGE'!$Z$5&lt;&gt;"",IF('POINTAGE'!Z259="Présent",'POINTAGE'!AA259,0),0),IF('POINTAGE'!$AB$5&lt;&gt;"",IF('POINTAGE'!AB259="Présent",'POINTAGE'!AC259,0),0),IF('POINTAGE'!$AD$5&lt;&gt;"",IF('POINTAGE'!AD259="Présent",'POINTAGE'!AE259,0),0),IF('POINTAGE'!$AF$5&lt;&gt;"",IF('POINTAGE'!AF259="Présent",'POINTAGE'!AG259,0),0)))</f>
      </c>
      <c r="I259" s="24">
        <f>IF($A259="","",$F259*$D259)</f>
      </c>
      <c r="J259" s="24">
        <f>IF($A259="","",$H259*$E259)</f>
      </c>
      <c r="K259" s="25">
        <f>IF($A259="","",$I259+$J259)</f>
      </c>
      <c r="L259" s="18"/>
      <c r="M259" s="25">
        <f>IF($A259="","",MAX(0,$K259-$L259))</f>
      </c>
      <c r="N259" s="22">
        <f>IF($A259="","",SUM(IF('POINTAGE'!$AH$5&lt;&gt;"",--('POINTAGE'!AH259="Présent"),0),IF('POINTAGE'!$AJ$5&lt;&gt;"",--('POINTAGE'!AJ259="Présent"),0),IF('POINTAGE'!$AL$5&lt;&gt;"",--('POINTAGE'!AL259="Présent"),0),IF('POINTAGE'!$AN$5&lt;&gt;"",--('POINTAGE'!AN259="Présent"),0),IF('POINTAGE'!$AP$5&lt;&gt;"",--('POINTAGE'!AP259="Présent"),0),IF('POINTAGE'!$AR$5&lt;&gt;"",--('POINTAGE'!AR259="Présent"),0),IF('POINTAGE'!$AT$5&lt;&gt;"",--('POINTAGE'!AT259="Présent"),0),IF('POINTAGE'!$AV$5&lt;&gt;"",--('POINTAGE'!AV259="Présent"),0),IF('POINTAGE'!$AX$5&lt;&gt;"",--('POINTAGE'!AX259="Présent"),0),IF('POINTAGE'!$AZ$5&lt;&gt;"",--('POINTAGE'!AZ259="Présent"),0),IF('POINTAGE'!$BB$5&lt;&gt;"",--('POINTAGE'!BB259="Présent"),0),IF('POINTAGE'!$BD$5&lt;&gt;"",--('POINTAGE'!BD259="Présent"),0),IF('POINTAGE'!$BF$5&lt;&gt;"",--('POINTAGE'!BF259="Présent"),0),IF('POINTAGE'!$BH$5&lt;&gt;"",--('POINTAGE'!BH259="Présent"),0),IF('POINTAGE'!$BJ$5&lt;&gt;"",--('POINTAGE'!BJ259="Présent"),0),IF('POINTAGE'!$BL$5&lt;&gt;"",--('POINTAGE'!BL259="Présent"),0)))</f>
      </c>
      <c r="O259" s="22">
        <f>IF($A259="","",SUM(IF('POINTAGE'!$AH$5&lt;&gt;"",--('POINTAGE'!AH259="Absent"),0),IF('POINTAGE'!$AJ$5&lt;&gt;"",--('POINTAGE'!AJ259="Absent"),0),IF('POINTAGE'!$AL$5&lt;&gt;"",--('POINTAGE'!AL259="Absent"),0),IF('POINTAGE'!$AN$5&lt;&gt;"",--('POINTAGE'!AN259="Absent"),0),IF('POINTAGE'!$AP$5&lt;&gt;"",--('POINTAGE'!AP259="Absent"),0),IF('POINTAGE'!$AR$5&lt;&gt;"",--('POINTAGE'!AR259="Absent"),0),IF('POINTAGE'!$AT$5&lt;&gt;"",--('POINTAGE'!AT259="Absent"),0),IF('POINTAGE'!$AV$5&lt;&gt;"",--('POINTAGE'!AV259="Absent"),0),IF('POINTAGE'!$AX$5&lt;&gt;"",--('POINTAGE'!AX259="Absent"),0),IF('POINTAGE'!$AZ$5&lt;&gt;"",--('POINTAGE'!AZ259="Absent"),0),IF('POINTAGE'!$BB$5&lt;&gt;"",--('POINTAGE'!BB259="Absent"),0),IF('POINTAGE'!$BD$5&lt;&gt;"",--('POINTAGE'!BD259="Absent"),0),IF('POINTAGE'!$BF$5&lt;&gt;"",--('POINTAGE'!BF259="Absent"),0),IF('POINTAGE'!$BH$5&lt;&gt;"",--('POINTAGE'!BH259="Absent"),0),IF('POINTAGE'!$BJ$5&lt;&gt;"",--('POINTAGE'!BJ259="Absent"),0),IF('POINTAGE'!$BL$5&lt;&gt;"",--('POINTAGE'!BL259="Absent"),0)))</f>
      </c>
      <c r="P259" s="23">
        <f>IF($A259="","",SUM(IF('POINTAGE'!$AH$5&lt;&gt;"",IF('POINTAGE'!AH259="Présent",'POINTAGE'!AI259,0),0),IF('POINTAGE'!$AJ$5&lt;&gt;"",IF('POINTAGE'!AJ259="Présent",'POINTAGE'!AK259,0),0),IF('POINTAGE'!$AL$5&lt;&gt;"",IF('POINTAGE'!AL259="Présent",'POINTAGE'!AM259,0),0),IF('POINTAGE'!$AN$5&lt;&gt;"",IF('POINTAGE'!AN259="Présent",'POINTAGE'!AO259,0),0),IF('POINTAGE'!$AP$5&lt;&gt;"",IF('POINTAGE'!AP259="Présent",'POINTAGE'!AQ259,0),0),IF('POINTAGE'!$AR$5&lt;&gt;"",IF('POINTAGE'!AR259="Présent",'POINTAGE'!AS259,0),0),IF('POINTAGE'!$AT$5&lt;&gt;"",IF('POINTAGE'!AT259="Présent",'POINTAGE'!AU259,0),0),IF('POINTAGE'!$AV$5&lt;&gt;"",IF('POINTAGE'!AV259="Présent",'POINTAGE'!AW259,0),0),IF('POINTAGE'!$AX$5&lt;&gt;"",IF('POINTAGE'!AX259="Présent",'POINTAGE'!AY259,0),0),IF('POINTAGE'!$AZ$5&lt;&gt;"",IF('POINTAGE'!AZ259="Présent",'POINTAGE'!BA259,0),0),IF('POINTAGE'!$BB$5&lt;&gt;"",IF('POINTAGE'!BB259="Présent",'POINTAGE'!BC259,0),0),IF('POINTAGE'!$BD$5&lt;&gt;"",IF('POINTAGE'!BD259="Présent",'POINTAGE'!BE259,0),0),IF('POINTAGE'!$BF$5&lt;&gt;"",IF('POINTAGE'!BF259="Présent",'POINTAGE'!BG259,0),0),IF('POINTAGE'!$BH$5&lt;&gt;"",IF('POINTAGE'!BH259="Présent",'POINTAGE'!BI259,0),0),IF('POINTAGE'!$BJ$5&lt;&gt;"",IF('POINTAGE'!BJ259="Présent",'POINTAGE'!BK259,0),0),IF('POINTAGE'!$BL$5&lt;&gt;"",IF('POINTAGE'!BL259="Présent",'POINTAGE'!BM259,0),0)))</f>
      </c>
      <c r="Q259" s="24">
        <f>IF($A259="","",$N259*$D259)</f>
      </c>
      <c r="R259" s="24">
        <f>IF($A259="","",$P259*$E259)</f>
      </c>
      <c r="S259" s="25">
        <f>IF($A259="","",$Q259+$R259)</f>
      </c>
      <c r="T259" s="18"/>
      <c r="U259" s="25">
        <f>IF($A259="","",MAX(0,$S259-$T259))</f>
      </c>
      <c r="V259" s="25">
        <f>IF($A259="","",$K259+$S259)</f>
      </c>
      <c r="W259" s="24">
        <f>IF($A259="","",$L259+$T259)</f>
      </c>
      <c r="X259" s="25">
        <f>IF($A259="","",$M259+$U259)</f>
      </c>
      <c r="Y259" s="29">
        <f>IF($A259="","",$J259+$R259)</f>
      </c>
    </row>
    <row r="260">
      <c r="A260" s="20">
        <f>IF('POINTAGE'!A260="","",'POINTAGE'!A260)</f>
      </c>
      <c r="B260" s="19">
        <f>IF($A260="","",'POINTAGE'!B260)</f>
      </c>
      <c r="C260" s="20">
        <f>IF($A260="","",'POINTAGE'!C260)</f>
      </c>
      <c r="D260" s="24">
        <f>IF($A260="","",IFERROR(INDEX(Categories_Salaire,MATCH($C260,ListeCategories,0)),0))</f>
      </c>
      <c r="E260" s="24">
        <f>IF($A260="","",IF(IFERROR(INDEX(Categories_TauxHS,MATCH($C260,ListeCategories,0)),0)&gt;0,IFERROR(INDEX(Categories_TauxHS,MATCH($C260,ListeCategories,0)),0),TauxHSDefaut))</f>
      </c>
      <c r="F260" s="22">
        <f>IF($A260="","",SUM(IF('POINTAGE'!$D$5&lt;&gt;"",--('POINTAGE'!D260="Présent"),0),IF('POINTAGE'!$F$5&lt;&gt;"",--('POINTAGE'!F260="Présent"),0),IF('POINTAGE'!$H$5&lt;&gt;"",--('POINTAGE'!H260="Présent"),0),IF('POINTAGE'!$J$5&lt;&gt;"",--('POINTAGE'!J260="Présent"),0),IF('POINTAGE'!$L$5&lt;&gt;"",--('POINTAGE'!L260="Présent"),0),IF('POINTAGE'!$N$5&lt;&gt;"",--('POINTAGE'!N260="Présent"),0),IF('POINTAGE'!$P$5&lt;&gt;"",--('POINTAGE'!P260="Présent"),0),IF('POINTAGE'!$R$5&lt;&gt;"",--('POINTAGE'!R260="Présent"),0),IF('POINTAGE'!$T$5&lt;&gt;"",--('POINTAGE'!T260="Présent"),0),IF('POINTAGE'!$V$5&lt;&gt;"",--('POINTAGE'!V260="Présent"),0),IF('POINTAGE'!$X$5&lt;&gt;"",--('POINTAGE'!X260="Présent"),0),IF('POINTAGE'!$Z$5&lt;&gt;"",--('POINTAGE'!Z260="Présent"),0),IF('POINTAGE'!$AB$5&lt;&gt;"",--('POINTAGE'!AB260="Présent"),0),IF('POINTAGE'!$AD$5&lt;&gt;"",--('POINTAGE'!AD260="Présent"),0),IF('POINTAGE'!$AF$5&lt;&gt;"",--('POINTAGE'!AF260="Présent"),0)))</f>
      </c>
      <c r="G260" s="22">
        <f>IF($A260="","",SUM(IF('POINTAGE'!$D$5&lt;&gt;"",--('POINTAGE'!D260="Absent"),0),IF('POINTAGE'!$F$5&lt;&gt;"",--('POINTAGE'!F260="Absent"),0),IF('POINTAGE'!$H$5&lt;&gt;"",--('POINTAGE'!H260="Absent"),0),IF('POINTAGE'!$J$5&lt;&gt;"",--('POINTAGE'!J260="Absent"),0),IF('POINTAGE'!$L$5&lt;&gt;"",--('POINTAGE'!L260="Absent"),0),IF('POINTAGE'!$N$5&lt;&gt;"",--('POINTAGE'!N260="Absent"),0),IF('POINTAGE'!$P$5&lt;&gt;"",--('POINTAGE'!P260="Absent"),0),IF('POINTAGE'!$R$5&lt;&gt;"",--('POINTAGE'!R260="Absent"),0),IF('POINTAGE'!$T$5&lt;&gt;"",--('POINTAGE'!T260="Absent"),0),IF('POINTAGE'!$V$5&lt;&gt;"",--('POINTAGE'!V260="Absent"),0),IF('POINTAGE'!$X$5&lt;&gt;"",--('POINTAGE'!X260="Absent"),0),IF('POINTAGE'!$Z$5&lt;&gt;"",--('POINTAGE'!Z260="Absent"),0),IF('POINTAGE'!$AB$5&lt;&gt;"",--('POINTAGE'!AB260="Absent"),0),IF('POINTAGE'!$AD$5&lt;&gt;"",--('POINTAGE'!AD260="Absent"),0),IF('POINTAGE'!$AF$5&lt;&gt;"",--('POINTAGE'!AF260="Absent"),0)))</f>
      </c>
      <c r="H260" s="23">
        <f>IF($A260="","",SUM(IF('POINTAGE'!$D$5&lt;&gt;"",IF('POINTAGE'!D260="Présent",'POINTAGE'!E260,0),0),IF('POINTAGE'!$F$5&lt;&gt;"",IF('POINTAGE'!F260="Présent",'POINTAGE'!G260,0),0),IF('POINTAGE'!$H$5&lt;&gt;"",IF('POINTAGE'!H260="Présent",'POINTAGE'!I260,0),0),IF('POINTAGE'!$J$5&lt;&gt;"",IF('POINTAGE'!J260="Présent",'POINTAGE'!K260,0),0),IF('POINTAGE'!$L$5&lt;&gt;"",IF('POINTAGE'!L260="Présent",'POINTAGE'!M260,0),0),IF('POINTAGE'!$N$5&lt;&gt;"",IF('POINTAGE'!N260="Présent",'POINTAGE'!O260,0),0),IF('POINTAGE'!$P$5&lt;&gt;"",IF('POINTAGE'!P260="Présent",'POINTAGE'!Q260,0),0),IF('POINTAGE'!$R$5&lt;&gt;"",IF('POINTAGE'!R260="Présent",'POINTAGE'!S260,0),0),IF('POINTAGE'!$T$5&lt;&gt;"",IF('POINTAGE'!T260="Présent",'POINTAGE'!U260,0),0),IF('POINTAGE'!$V$5&lt;&gt;"",IF('POINTAGE'!V260="Présent",'POINTAGE'!W260,0),0),IF('POINTAGE'!$X$5&lt;&gt;"",IF('POINTAGE'!X260="Présent",'POINTAGE'!Y260,0),0),IF('POINTAGE'!$Z$5&lt;&gt;"",IF('POINTAGE'!Z260="Présent",'POINTAGE'!AA260,0),0),IF('POINTAGE'!$AB$5&lt;&gt;"",IF('POINTAGE'!AB260="Présent",'POINTAGE'!AC260,0),0),IF('POINTAGE'!$AD$5&lt;&gt;"",IF('POINTAGE'!AD260="Présent",'POINTAGE'!AE260,0),0),IF('POINTAGE'!$AF$5&lt;&gt;"",IF('POINTAGE'!AF260="Présent",'POINTAGE'!AG260,0),0)))</f>
      </c>
      <c r="I260" s="24">
        <f>IF($A260="","",$F260*$D260)</f>
      </c>
      <c r="J260" s="24">
        <f>IF($A260="","",$H260*$E260)</f>
      </c>
      <c r="K260" s="25">
        <f>IF($A260="","",$I260+$J260)</f>
      </c>
      <c r="L260" s="18"/>
      <c r="M260" s="25">
        <f>IF($A260="","",MAX(0,$K260-$L260))</f>
      </c>
      <c r="N260" s="22">
        <f>IF($A260="","",SUM(IF('POINTAGE'!$AH$5&lt;&gt;"",--('POINTAGE'!AH260="Présent"),0),IF('POINTAGE'!$AJ$5&lt;&gt;"",--('POINTAGE'!AJ260="Présent"),0),IF('POINTAGE'!$AL$5&lt;&gt;"",--('POINTAGE'!AL260="Présent"),0),IF('POINTAGE'!$AN$5&lt;&gt;"",--('POINTAGE'!AN260="Présent"),0),IF('POINTAGE'!$AP$5&lt;&gt;"",--('POINTAGE'!AP260="Présent"),0),IF('POINTAGE'!$AR$5&lt;&gt;"",--('POINTAGE'!AR260="Présent"),0),IF('POINTAGE'!$AT$5&lt;&gt;"",--('POINTAGE'!AT260="Présent"),0),IF('POINTAGE'!$AV$5&lt;&gt;"",--('POINTAGE'!AV260="Présent"),0),IF('POINTAGE'!$AX$5&lt;&gt;"",--('POINTAGE'!AX260="Présent"),0),IF('POINTAGE'!$AZ$5&lt;&gt;"",--('POINTAGE'!AZ260="Présent"),0),IF('POINTAGE'!$BB$5&lt;&gt;"",--('POINTAGE'!BB260="Présent"),0),IF('POINTAGE'!$BD$5&lt;&gt;"",--('POINTAGE'!BD260="Présent"),0),IF('POINTAGE'!$BF$5&lt;&gt;"",--('POINTAGE'!BF260="Présent"),0),IF('POINTAGE'!$BH$5&lt;&gt;"",--('POINTAGE'!BH260="Présent"),0),IF('POINTAGE'!$BJ$5&lt;&gt;"",--('POINTAGE'!BJ260="Présent"),0),IF('POINTAGE'!$BL$5&lt;&gt;"",--('POINTAGE'!BL260="Présent"),0)))</f>
      </c>
      <c r="O260" s="22">
        <f>IF($A260="","",SUM(IF('POINTAGE'!$AH$5&lt;&gt;"",--('POINTAGE'!AH260="Absent"),0),IF('POINTAGE'!$AJ$5&lt;&gt;"",--('POINTAGE'!AJ260="Absent"),0),IF('POINTAGE'!$AL$5&lt;&gt;"",--('POINTAGE'!AL260="Absent"),0),IF('POINTAGE'!$AN$5&lt;&gt;"",--('POINTAGE'!AN260="Absent"),0),IF('POINTAGE'!$AP$5&lt;&gt;"",--('POINTAGE'!AP260="Absent"),0),IF('POINTAGE'!$AR$5&lt;&gt;"",--('POINTAGE'!AR260="Absent"),0),IF('POINTAGE'!$AT$5&lt;&gt;"",--('POINTAGE'!AT260="Absent"),0),IF('POINTAGE'!$AV$5&lt;&gt;"",--('POINTAGE'!AV260="Absent"),0),IF('POINTAGE'!$AX$5&lt;&gt;"",--('POINTAGE'!AX260="Absent"),0),IF('POINTAGE'!$AZ$5&lt;&gt;"",--('POINTAGE'!AZ260="Absent"),0),IF('POINTAGE'!$BB$5&lt;&gt;"",--('POINTAGE'!BB260="Absent"),0),IF('POINTAGE'!$BD$5&lt;&gt;"",--('POINTAGE'!BD260="Absent"),0),IF('POINTAGE'!$BF$5&lt;&gt;"",--('POINTAGE'!BF260="Absent"),0),IF('POINTAGE'!$BH$5&lt;&gt;"",--('POINTAGE'!BH260="Absent"),0),IF('POINTAGE'!$BJ$5&lt;&gt;"",--('POINTAGE'!BJ260="Absent"),0),IF('POINTAGE'!$BL$5&lt;&gt;"",--('POINTAGE'!BL260="Absent"),0)))</f>
      </c>
      <c r="P260" s="23">
        <f>IF($A260="","",SUM(IF('POINTAGE'!$AH$5&lt;&gt;"",IF('POINTAGE'!AH260="Présent",'POINTAGE'!AI260,0),0),IF('POINTAGE'!$AJ$5&lt;&gt;"",IF('POINTAGE'!AJ260="Présent",'POINTAGE'!AK260,0),0),IF('POINTAGE'!$AL$5&lt;&gt;"",IF('POINTAGE'!AL260="Présent",'POINTAGE'!AM260,0),0),IF('POINTAGE'!$AN$5&lt;&gt;"",IF('POINTAGE'!AN260="Présent",'POINTAGE'!AO260,0),0),IF('POINTAGE'!$AP$5&lt;&gt;"",IF('POINTAGE'!AP260="Présent",'POINTAGE'!AQ260,0),0),IF('POINTAGE'!$AR$5&lt;&gt;"",IF('POINTAGE'!AR260="Présent",'POINTAGE'!AS260,0),0),IF('POINTAGE'!$AT$5&lt;&gt;"",IF('POINTAGE'!AT260="Présent",'POINTAGE'!AU260,0),0),IF('POINTAGE'!$AV$5&lt;&gt;"",IF('POINTAGE'!AV260="Présent",'POINTAGE'!AW260,0),0),IF('POINTAGE'!$AX$5&lt;&gt;"",IF('POINTAGE'!AX260="Présent",'POINTAGE'!AY260,0),0),IF('POINTAGE'!$AZ$5&lt;&gt;"",IF('POINTAGE'!AZ260="Présent",'POINTAGE'!BA260,0),0),IF('POINTAGE'!$BB$5&lt;&gt;"",IF('POINTAGE'!BB260="Présent",'POINTAGE'!BC260,0),0),IF('POINTAGE'!$BD$5&lt;&gt;"",IF('POINTAGE'!BD260="Présent",'POINTAGE'!BE260,0),0),IF('POINTAGE'!$BF$5&lt;&gt;"",IF('POINTAGE'!BF260="Présent",'POINTAGE'!BG260,0),0),IF('POINTAGE'!$BH$5&lt;&gt;"",IF('POINTAGE'!BH260="Présent",'POINTAGE'!BI260,0),0),IF('POINTAGE'!$BJ$5&lt;&gt;"",IF('POINTAGE'!BJ260="Présent",'POINTAGE'!BK260,0),0),IF('POINTAGE'!$BL$5&lt;&gt;"",IF('POINTAGE'!BL260="Présent",'POINTAGE'!BM260,0),0)))</f>
      </c>
      <c r="Q260" s="24">
        <f>IF($A260="","",$N260*$D260)</f>
      </c>
      <c r="R260" s="24">
        <f>IF($A260="","",$P260*$E260)</f>
      </c>
      <c r="S260" s="25">
        <f>IF($A260="","",$Q260+$R260)</f>
      </c>
      <c r="T260" s="18"/>
      <c r="U260" s="25">
        <f>IF($A260="","",MAX(0,$S260-$T260))</f>
      </c>
      <c r="V260" s="25">
        <f>IF($A260="","",$K260+$S260)</f>
      </c>
      <c r="W260" s="24">
        <f>IF($A260="","",$L260+$T260)</f>
      </c>
      <c r="X260" s="25">
        <f>IF($A260="","",$M260+$U260)</f>
      </c>
      <c r="Y260" s="29">
        <f>IF($A260="","",$J260+$R260)</f>
      </c>
    </row>
    <row r="261">
      <c r="A261" s="20">
        <f>IF('POINTAGE'!A261="","",'POINTAGE'!A261)</f>
      </c>
      <c r="B261" s="19">
        <f>IF($A261="","",'POINTAGE'!B261)</f>
      </c>
      <c r="C261" s="20">
        <f>IF($A261="","",'POINTAGE'!C261)</f>
      </c>
      <c r="D261" s="24">
        <f>IF($A261="","",IFERROR(INDEX(Categories_Salaire,MATCH($C261,ListeCategories,0)),0))</f>
      </c>
      <c r="E261" s="24">
        <f>IF($A261="","",IF(IFERROR(INDEX(Categories_TauxHS,MATCH($C261,ListeCategories,0)),0)&gt;0,IFERROR(INDEX(Categories_TauxHS,MATCH($C261,ListeCategories,0)),0),TauxHSDefaut))</f>
      </c>
      <c r="F261" s="22">
        <f>IF($A261="","",SUM(IF('POINTAGE'!$D$5&lt;&gt;"",--('POINTAGE'!D261="Présent"),0),IF('POINTAGE'!$F$5&lt;&gt;"",--('POINTAGE'!F261="Présent"),0),IF('POINTAGE'!$H$5&lt;&gt;"",--('POINTAGE'!H261="Présent"),0),IF('POINTAGE'!$J$5&lt;&gt;"",--('POINTAGE'!J261="Présent"),0),IF('POINTAGE'!$L$5&lt;&gt;"",--('POINTAGE'!L261="Présent"),0),IF('POINTAGE'!$N$5&lt;&gt;"",--('POINTAGE'!N261="Présent"),0),IF('POINTAGE'!$P$5&lt;&gt;"",--('POINTAGE'!P261="Présent"),0),IF('POINTAGE'!$R$5&lt;&gt;"",--('POINTAGE'!R261="Présent"),0),IF('POINTAGE'!$T$5&lt;&gt;"",--('POINTAGE'!T261="Présent"),0),IF('POINTAGE'!$V$5&lt;&gt;"",--('POINTAGE'!V261="Présent"),0),IF('POINTAGE'!$X$5&lt;&gt;"",--('POINTAGE'!X261="Présent"),0),IF('POINTAGE'!$Z$5&lt;&gt;"",--('POINTAGE'!Z261="Présent"),0),IF('POINTAGE'!$AB$5&lt;&gt;"",--('POINTAGE'!AB261="Présent"),0),IF('POINTAGE'!$AD$5&lt;&gt;"",--('POINTAGE'!AD261="Présent"),0),IF('POINTAGE'!$AF$5&lt;&gt;"",--('POINTAGE'!AF261="Présent"),0)))</f>
      </c>
      <c r="G261" s="22">
        <f>IF($A261="","",SUM(IF('POINTAGE'!$D$5&lt;&gt;"",--('POINTAGE'!D261="Absent"),0),IF('POINTAGE'!$F$5&lt;&gt;"",--('POINTAGE'!F261="Absent"),0),IF('POINTAGE'!$H$5&lt;&gt;"",--('POINTAGE'!H261="Absent"),0),IF('POINTAGE'!$J$5&lt;&gt;"",--('POINTAGE'!J261="Absent"),0),IF('POINTAGE'!$L$5&lt;&gt;"",--('POINTAGE'!L261="Absent"),0),IF('POINTAGE'!$N$5&lt;&gt;"",--('POINTAGE'!N261="Absent"),0),IF('POINTAGE'!$P$5&lt;&gt;"",--('POINTAGE'!P261="Absent"),0),IF('POINTAGE'!$R$5&lt;&gt;"",--('POINTAGE'!R261="Absent"),0),IF('POINTAGE'!$T$5&lt;&gt;"",--('POINTAGE'!T261="Absent"),0),IF('POINTAGE'!$V$5&lt;&gt;"",--('POINTAGE'!V261="Absent"),0),IF('POINTAGE'!$X$5&lt;&gt;"",--('POINTAGE'!X261="Absent"),0),IF('POINTAGE'!$Z$5&lt;&gt;"",--('POINTAGE'!Z261="Absent"),0),IF('POINTAGE'!$AB$5&lt;&gt;"",--('POINTAGE'!AB261="Absent"),0),IF('POINTAGE'!$AD$5&lt;&gt;"",--('POINTAGE'!AD261="Absent"),0),IF('POINTAGE'!$AF$5&lt;&gt;"",--('POINTAGE'!AF261="Absent"),0)))</f>
      </c>
      <c r="H261" s="23">
        <f>IF($A261="","",SUM(IF('POINTAGE'!$D$5&lt;&gt;"",IF('POINTAGE'!D261="Présent",'POINTAGE'!E261,0),0),IF('POINTAGE'!$F$5&lt;&gt;"",IF('POINTAGE'!F261="Présent",'POINTAGE'!G261,0),0),IF('POINTAGE'!$H$5&lt;&gt;"",IF('POINTAGE'!H261="Présent",'POINTAGE'!I261,0),0),IF('POINTAGE'!$J$5&lt;&gt;"",IF('POINTAGE'!J261="Présent",'POINTAGE'!K261,0),0),IF('POINTAGE'!$L$5&lt;&gt;"",IF('POINTAGE'!L261="Présent",'POINTAGE'!M261,0),0),IF('POINTAGE'!$N$5&lt;&gt;"",IF('POINTAGE'!N261="Présent",'POINTAGE'!O261,0),0),IF('POINTAGE'!$P$5&lt;&gt;"",IF('POINTAGE'!P261="Présent",'POINTAGE'!Q261,0),0),IF('POINTAGE'!$R$5&lt;&gt;"",IF('POINTAGE'!R261="Présent",'POINTAGE'!S261,0),0),IF('POINTAGE'!$T$5&lt;&gt;"",IF('POINTAGE'!T261="Présent",'POINTAGE'!U261,0),0),IF('POINTAGE'!$V$5&lt;&gt;"",IF('POINTAGE'!V261="Présent",'POINTAGE'!W261,0),0),IF('POINTAGE'!$X$5&lt;&gt;"",IF('POINTAGE'!X261="Présent",'POINTAGE'!Y261,0),0),IF('POINTAGE'!$Z$5&lt;&gt;"",IF('POINTAGE'!Z261="Présent",'POINTAGE'!AA261,0),0),IF('POINTAGE'!$AB$5&lt;&gt;"",IF('POINTAGE'!AB261="Présent",'POINTAGE'!AC261,0),0),IF('POINTAGE'!$AD$5&lt;&gt;"",IF('POINTAGE'!AD261="Présent",'POINTAGE'!AE261,0),0),IF('POINTAGE'!$AF$5&lt;&gt;"",IF('POINTAGE'!AF261="Présent",'POINTAGE'!AG261,0),0)))</f>
      </c>
      <c r="I261" s="24">
        <f>IF($A261="","",$F261*$D261)</f>
      </c>
      <c r="J261" s="24">
        <f>IF($A261="","",$H261*$E261)</f>
      </c>
      <c r="K261" s="25">
        <f>IF($A261="","",$I261+$J261)</f>
      </c>
      <c r="L261" s="18"/>
      <c r="M261" s="25">
        <f>IF($A261="","",MAX(0,$K261-$L261))</f>
      </c>
      <c r="N261" s="22">
        <f>IF($A261="","",SUM(IF('POINTAGE'!$AH$5&lt;&gt;"",--('POINTAGE'!AH261="Présent"),0),IF('POINTAGE'!$AJ$5&lt;&gt;"",--('POINTAGE'!AJ261="Présent"),0),IF('POINTAGE'!$AL$5&lt;&gt;"",--('POINTAGE'!AL261="Présent"),0),IF('POINTAGE'!$AN$5&lt;&gt;"",--('POINTAGE'!AN261="Présent"),0),IF('POINTAGE'!$AP$5&lt;&gt;"",--('POINTAGE'!AP261="Présent"),0),IF('POINTAGE'!$AR$5&lt;&gt;"",--('POINTAGE'!AR261="Présent"),0),IF('POINTAGE'!$AT$5&lt;&gt;"",--('POINTAGE'!AT261="Présent"),0),IF('POINTAGE'!$AV$5&lt;&gt;"",--('POINTAGE'!AV261="Présent"),0),IF('POINTAGE'!$AX$5&lt;&gt;"",--('POINTAGE'!AX261="Présent"),0),IF('POINTAGE'!$AZ$5&lt;&gt;"",--('POINTAGE'!AZ261="Présent"),0),IF('POINTAGE'!$BB$5&lt;&gt;"",--('POINTAGE'!BB261="Présent"),0),IF('POINTAGE'!$BD$5&lt;&gt;"",--('POINTAGE'!BD261="Présent"),0),IF('POINTAGE'!$BF$5&lt;&gt;"",--('POINTAGE'!BF261="Présent"),0),IF('POINTAGE'!$BH$5&lt;&gt;"",--('POINTAGE'!BH261="Présent"),0),IF('POINTAGE'!$BJ$5&lt;&gt;"",--('POINTAGE'!BJ261="Présent"),0),IF('POINTAGE'!$BL$5&lt;&gt;"",--('POINTAGE'!BL261="Présent"),0)))</f>
      </c>
      <c r="O261" s="22">
        <f>IF($A261="","",SUM(IF('POINTAGE'!$AH$5&lt;&gt;"",--('POINTAGE'!AH261="Absent"),0),IF('POINTAGE'!$AJ$5&lt;&gt;"",--('POINTAGE'!AJ261="Absent"),0),IF('POINTAGE'!$AL$5&lt;&gt;"",--('POINTAGE'!AL261="Absent"),0),IF('POINTAGE'!$AN$5&lt;&gt;"",--('POINTAGE'!AN261="Absent"),0),IF('POINTAGE'!$AP$5&lt;&gt;"",--('POINTAGE'!AP261="Absent"),0),IF('POINTAGE'!$AR$5&lt;&gt;"",--('POINTAGE'!AR261="Absent"),0),IF('POINTAGE'!$AT$5&lt;&gt;"",--('POINTAGE'!AT261="Absent"),0),IF('POINTAGE'!$AV$5&lt;&gt;"",--('POINTAGE'!AV261="Absent"),0),IF('POINTAGE'!$AX$5&lt;&gt;"",--('POINTAGE'!AX261="Absent"),0),IF('POINTAGE'!$AZ$5&lt;&gt;"",--('POINTAGE'!AZ261="Absent"),0),IF('POINTAGE'!$BB$5&lt;&gt;"",--('POINTAGE'!BB261="Absent"),0),IF('POINTAGE'!$BD$5&lt;&gt;"",--('POINTAGE'!BD261="Absent"),0),IF('POINTAGE'!$BF$5&lt;&gt;"",--('POINTAGE'!BF261="Absent"),0),IF('POINTAGE'!$BH$5&lt;&gt;"",--('POINTAGE'!BH261="Absent"),0),IF('POINTAGE'!$BJ$5&lt;&gt;"",--('POINTAGE'!BJ261="Absent"),0),IF('POINTAGE'!$BL$5&lt;&gt;"",--('POINTAGE'!BL261="Absent"),0)))</f>
      </c>
      <c r="P261" s="23">
        <f>IF($A261="","",SUM(IF('POINTAGE'!$AH$5&lt;&gt;"",IF('POINTAGE'!AH261="Présent",'POINTAGE'!AI261,0),0),IF('POINTAGE'!$AJ$5&lt;&gt;"",IF('POINTAGE'!AJ261="Présent",'POINTAGE'!AK261,0),0),IF('POINTAGE'!$AL$5&lt;&gt;"",IF('POINTAGE'!AL261="Présent",'POINTAGE'!AM261,0),0),IF('POINTAGE'!$AN$5&lt;&gt;"",IF('POINTAGE'!AN261="Présent",'POINTAGE'!AO261,0),0),IF('POINTAGE'!$AP$5&lt;&gt;"",IF('POINTAGE'!AP261="Présent",'POINTAGE'!AQ261,0),0),IF('POINTAGE'!$AR$5&lt;&gt;"",IF('POINTAGE'!AR261="Présent",'POINTAGE'!AS261,0),0),IF('POINTAGE'!$AT$5&lt;&gt;"",IF('POINTAGE'!AT261="Présent",'POINTAGE'!AU261,0),0),IF('POINTAGE'!$AV$5&lt;&gt;"",IF('POINTAGE'!AV261="Présent",'POINTAGE'!AW261,0),0),IF('POINTAGE'!$AX$5&lt;&gt;"",IF('POINTAGE'!AX261="Présent",'POINTAGE'!AY261,0),0),IF('POINTAGE'!$AZ$5&lt;&gt;"",IF('POINTAGE'!AZ261="Présent",'POINTAGE'!BA261,0),0),IF('POINTAGE'!$BB$5&lt;&gt;"",IF('POINTAGE'!BB261="Présent",'POINTAGE'!BC261,0),0),IF('POINTAGE'!$BD$5&lt;&gt;"",IF('POINTAGE'!BD261="Présent",'POINTAGE'!BE261,0),0),IF('POINTAGE'!$BF$5&lt;&gt;"",IF('POINTAGE'!BF261="Présent",'POINTAGE'!BG261,0),0),IF('POINTAGE'!$BH$5&lt;&gt;"",IF('POINTAGE'!BH261="Présent",'POINTAGE'!BI261,0),0),IF('POINTAGE'!$BJ$5&lt;&gt;"",IF('POINTAGE'!BJ261="Présent",'POINTAGE'!BK261,0),0),IF('POINTAGE'!$BL$5&lt;&gt;"",IF('POINTAGE'!BL261="Présent",'POINTAGE'!BM261,0),0)))</f>
      </c>
      <c r="Q261" s="24">
        <f>IF($A261="","",$N261*$D261)</f>
      </c>
      <c r="R261" s="24">
        <f>IF($A261="","",$P261*$E261)</f>
      </c>
      <c r="S261" s="25">
        <f>IF($A261="","",$Q261+$R261)</f>
      </c>
      <c r="T261" s="18"/>
      <c r="U261" s="25">
        <f>IF($A261="","",MAX(0,$S261-$T261))</f>
      </c>
      <c r="V261" s="25">
        <f>IF($A261="","",$K261+$S261)</f>
      </c>
      <c r="W261" s="24">
        <f>IF($A261="","",$L261+$T261)</f>
      </c>
      <c r="X261" s="25">
        <f>IF($A261="","",$M261+$U261)</f>
      </c>
      <c r="Y261" s="29">
        <f>IF($A261="","",$J261+$R261)</f>
      </c>
    </row>
    <row r="262">
      <c r="A262" s="20">
        <f>IF('POINTAGE'!A262="","",'POINTAGE'!A262)</f>
      </c>
      <c r="B262" s="19">
        <f>IF($A262="","",'POINTAGE'!B262)</f>
      </c>
      <c r="C262" s="20">
        <f>IF($A262="","",'POINTAGE'!C262)</f>
      </c>
      <c r="D262" s="24">
        <f>IF($A262="","",IFERROR(INDEX(Categories_Salaire,MATCH($C262,ListeCategories,0)),0))</f>
      </c>
      <c r="E262" s="24">
        <f>IF($A262="","",IF(IFERROR(INDEX(Categories_TauxHS,MATCH($C262,ListeCategories,0)),0)&gt;0,IFERROR(INDEX(Categories_TauxHS,MATCH($C262,ListeCategories,0)),0),TauxHSDefaut))</f>
      </c>
      <c r="F262" s="22">
        <f>IF($A262="","",SUM(IF('POINTAGE'!$D$5&lt;&gt;"",--('POINTAGE'!D262="Présent"),0),IF('POINTAGE'!$F$5&lt;&gt;"",--('POINTAGE'!F262="Présent"),0),IF('POINTAGE'!$H$5&lt;&gt;"",--('POINTAGE'!H262="Présent"),0),IF('POINTAGE'!$J$5&lt;&gt;"",--('POINTAGE'!J262="Présent"),0),IF('POINTAGE'!$L$5&lt;&gt;"",--('POINTAGE'!L262="Présent"),0),IF('POINTAGE'!$N$5&lt;&gt;"",--('POINTAGE'!N262="Présent"),0),IF('POINTAGE'!$P$5&lt;&gt;"",--('POINTAGE'!P262="Présent"),0),IF('POINTAGE'!$R$5&lt;&gt;"",--('POINTAGE'!R262="Présent"),0),IF('POINTAGE'!$T$5&lt;&gt;"",--('POINTAGE'!T262="Présent"),0),IF('POINTAGE'!$V$5&lt;&gt;"",--('POINTAGE'!V262="Présent"),0),IF('POINTAGE'!$X$5&lt;&gt;"",--('POINTAGE'!X262="Présent"),0),IF('POINTAGE'!$Z$5&lt;&gt;"",--('POINTAGE'!Z262="Présent"),0),IF('POINTAGE'!$AB$5&lt;&gt;"",--('POINTAGE'!AB262="Présent"),0),IF('POINTAGE'!$AD$5&lt;&gt;"",--('POINTAGE'!AD262="Présent"),0),IF('POINTAGE'!$AF$5&lt;&gt;"",--('POINTAGE'!AF262="Présent"),0)))</f>
      </c>
      <c r="G262" s="22">
        <f>IF($A262="","",SUM(IF('POINTAGE'!$D$5&lt;&gt;"",--('POINTAGE'!D262="Absent"),0),IF('POINTAGE'!$F$5&lt;&gt;"",--('POINTAGE'!F262="Absent"),0),IF('POINTAGE'!$H$5&lt;&gt;"",--('POINTAGE'!H262="Absent"),0),IF('POINTAGE'!$J$5&lt;&gt;"",--('POINTAGE'!J262="Absent"),0),IF('POINTAGE'!$L$5&lt;&gt;"",--('POINTAGE'!L262="Absent"),0),IF('POINTAGE'!$N$5&lt;&gt;"",--('POINTAGE'!N262="Absent"),0),IF('POINTAGE'!$P$5&lt;&gt;"",--('POINTAGE'!P262="Absent"),0),IF('POINTAGE'!$R$5&lt;&gt;"",--('POINTAGE'!R262="Absent"),0),IF('POINTAGE'!$T$5&lt;&gt;"",--('POINTAGE'!T262="Absent"),0),IF('POINTAGE'!$V$5&lt;&gt;"",--('POINTAGE'!V262="Absent"),0),IF('POINTAGE'!$X$5&lt;&gt;"",--('POINTAGE'!X262="Absent"),0),IF('POINTAGE'!$Z$5&lt;&gt;"",--('POINTAGE'!Z262="Absent"),0),IF('POINTAGE'!$AB$5&lt;&gt;"",--('POINTAGE'!AB262="Absent"),0),IF('POINTAGE'!$AD$5&lt;&gt;"",--('POINTAGE'!AD262="Absent"),0),IF('POINTAGE'!$AF$5&lt;&gt;"",--('POINTAGE'!AF262="Absent"),0)))</f>
      </c>
      <c r="H262" s="23">
        <f>IF($A262="","",SUM(IF('POINTAGE'!$D$5&lt;&gt;"",IF('POINTAGE'!D262="Présent",'POINTAGE'!E262,0),0),IF('POINTAGE'!$F$5&lt;&gt;"",IF('POINTAGE'!F262="Présent",'POINTAGE'!G262,0),0),IF('POINTAGE'!$H$5&lt;&gt;"",IF('POINTAGE'!H262="Présent",'POINTAGE'!I262,0),0),IF('POINTAGE'!$J$5&lt;&gt;"",IF('POINTAGE'!J262="Présent",'POINTAGE'!K262,0),0),IF('POINTAGE'!$L$5&lt;&gt;"",IF('POINTAGE'!L262="Présent",'POINTAGE'!M262,0),0),IF('POINTAGE'!$N$5&lt;&gt;"",IF('POINTAGE'!N262="Présent",'POINTAGE'!O262,0),0),IF('POINTAGE'!$P$5&lt;&gt;"",IF('POINTAGE'!P262="Présent",'POINTAGE'!Q262,0),0),IF('POINTAGE'!$R$5&lt;&gt;"",IF('POINTAGE'!R262="Présent",'POINTAGE'!S262,0),0),IF('POINTAGE'!$T$5&lt;&gt;"",IF('POINTAGE'!T262="Présent",'POINTAGE'!U262,0),0),IF('POINTAGE'!$V$5&lt;&gt;"",IF('POINTAGE'!V262="Présent",'POINTAGE'!W262,0),0),IF('POINTAGE'!$X$5&lt;&gt;"",IF('POINTAGE'!X262="Présent",'POINTAGE'!Y262,0),0),IF('POINTAGE'!$Z$5&lt;&gt;"",IF('POINTAGE'!Z262="Présent",'POINTAGE'!AA262,0),0),IF('POINTAGE'!$AB$5&lt;&gt;"",IF('POINTAGE'!AB262="Présent",'POINTAGE'!AC262,0),0),IF('POINTAGE'!$AD$5&lt;&gt;"",IF('POINTAGE'!AD262="Présent",'POINTAGE'!AE262,0),0),IF('POINTAGE'!$AF$5&lt;&gt;"",IF('POINTAGE'!AF262="Présent",'POINTAGE'!AG262,0),0)))</f>
      </c>
      <c r="I262" s="24">
        <f>IF($A262="","",$F262*$D262)</f>
      </c>
      <c r="J262" s="24">
        <f>IF($A262="","",$H262*$E262)</f>
      </c>
      <c r="K262" s="25">
        <f>IF($A262="","",$I262+$J262)</f>
      </c>
      <c r="L262" s="18"/>
      <c r="M262" s="25">
        <f>IF($A262="","",MAX(0,$K262-$L262))</f>
      </c>
      <c r="N262" s="22">
        <f>IF($A262="","",SUM(IF('POINTAGE'!$AH$5&lt;&gt;"",--('POINTAGE'!AH262="Présent"),0),IF('POINTAGE'!$AJ$5&lt;&gt;"",--('POINTAGE'!AJ262="Présent"),0),IF('POINTAGE'!$AL$5&lt;&gt;"",--('POINTAGE'!AL262="Présent"),0),IF('POINTAGE'!$AN$5&lt;&gt;"",--('POINTAGE'!AN262="Présent"),0),IF('POINTAGE'!$AP$5&lt;&gt;"",--('POINTAGE'!AP262="Présent"),0),IF('POINTAGE'!$AR$5&lt;&gt;"",--('POINTAGE'!AR262="Présent"),0),IF('POINTAGE'!$AT$5&lt;&gt;"",--('POINTAGE'!AT262="Présent"),0),IF('POINTAGE'!$AV$5&lt;&gt;"",--('POINTAGE'!AV262="Présent"),0),IF('POINTAGE'!$AX$5&lt;&gt;"",--('POINTAGE'!AX262="Présent"),0),IF('POINTAGE'!$AZ$5&lt;&gt;"",--('POINTAGE'!AZ262="Présent"),0),IF('POINTAGE'!$BB$5&lt;&gt;"",--('POINTAGE'!BB262="Présent"),0),IF('POINTAGE'!$BD$5&lt;&gt;"",--('POINTAGE'!BD262="Présent"),0),IF('POINTAGE'!$BF$5&lt;&gt;"",--('POINTAGE'!BF262="Présent"),0),IF('POINTAGE'!$BH$5&lt;&gt;"",--('POINTAGE'!BH262="Présent"),0),IF('POINTAGE'!$BJ$5&lt;&gt;"",--('POINTAGE'!BJ262="Présent"),0),IF('POINTAGE'!$BL$5&lt;&gt;"",--('POINTAGE'!BL262="Présent"),0)))</f>
      </c>
      <c r="O262" s="22">
        <f>IF($A262="","",SUM(IF('POINTAGE'!$AH$5&lt;&gt;"",--('POINTAGE'!AH262="Absent"),0),IF('POINTAGE'!$AJ$5&lt;&gt;"",--('POINTAGE'!AJ262="Absent"),0),IF('POINTAGE'!$AL$5&lt;&gt;"",--('POINTAGE'!AL262="Absent"),0),IF('POINTAGE'!$AN$5&lt;&gt;"",--('POINTAGE'!AN262="Absent"),0),IF('POINTAGE'!$AP$5&lt;&gt;"",--('POINTAGE'!AP262="Absent"),0),IF('POINTAGE'!$AR$5&lt;&gt;"",--('POINTAGE'!AR262="Absent"),0),IF('POINTAGE'!$AT$5&lt;&gt;"",--('POINTAGE'!AT262="Absent"),0),IF('POINTAGE'!$AV$5&lt;&gt;"",--('POINTAGE'!AV262="Absent"),0),IF('POINTAGE'!$AX$5&lt;&gt;"",--('POINTAGE'!AX262="Absent"),0),IF('POINTAGE'!$AZ$5&lt;&gt;"",--('POINTAGE'!AZ262="Absent"),0),IF('POINTAGE'!$BB$5&lt;&gt;"",--('POINTAGE'!BB262="Absent"),0),IF('POINTAGE'!$BD$5&lt;&gt;"",--('POINTAGE'!BD262="Absent"),0),IF('POINTAGE'!$BF$5&lt;&gt;"",--('POINTAGE'!BF262="Absent"),0),IF('POINTAGE'!$BH$5&lt;&gt;"",--('POINTAGE'!BH262="Absent"),0),IF('POINTAGE'!$BJ$5&lt;&gt;"",--('POINTAGE'!BJ262="Absent"),0),IF('POINTAGE'!$BL$5&lt;&gt;"",--('POINTAGE'!BL262="Absent"),0)))</f>
      </c>
      <c r="P262" s="23">
        <f>IF($A262="","",SUM(IF('POINTAGE'!$AH$5&lt;&gt;"",IF('POINTAGE'!AH262="Présent",'POINTAGE'!AI262,0),0),IF('POINTAGE'!$AJ$5&lt;&gt;"",IF('POINTAGE'!AJ262="Présent",'POINTAGE'!AK262,0),0),IF('POINTAGE'!$AL$5&lt;&gt;"",IF('POINTAGE'!AL262="Présent",'POINTAGE'!AM262,0),0),IF('POINTAGE'!$AN$5&lt;&gt;"",IF('POINTAGE'!AN262="Présent",'POINTAGE'!AO262,0),0),IF('POINTAGE'!$AP$5&lt;&gt;"",IF('POINTAGE'!AP262="Présent",'POINTAGE'!AQ262,0),0),IF('POINTAGE'!$AR$5&lt;&gt;"",IF('POINTAGE'!AR262="Présent",'POINTAGE'!AS262,0),0),IF('POINTAGE'!$AT$5&lt;&gt;"",IF('POINTAGE'!AT262="Présent",'POINTAGE'!AU262,0),0),IF('POINTAGE'!$AV$5&lt;&gt;"",IF('POINTAGE'!AV262="Présent",'POINTAGE'!AW262,0),0),IF('POINTAGE'!$AX$5&lt;&gt;"",IF('POINTAGE'!AX262="Présent",'POINTAGE'!AY262,0),0),IF('POINTAGE'!$AZ$5&lt;&gt;"",IF('POINTAGE'!AZ262="Présent",'POINTAGE'!BA262,0),0),IF('POINTAGE'!$BB$5&lt;&gt;"",IF('POINTAGE'!BB262="Présent",'POINTAGE'!BC262,0),0),IF('POINTAGE'!$BD$5&lt;&gt;"",IF('POINTAGE'!BD262="Présent",'POINTAGE'!BE262,0),0),IF('POINTAGE'!$BF$5&lt;&gt;"",IF('POINTAGE'!BF262="Présent",'POINTAGE'!BG262,0),0),IF('POINTAGE'!$BH$5&lt;&gt;"",IF('POINTAGE'!BH262="Présent",'POINTAGE'!BI262,0),0),IF('POINTAGE'!$BJ$5&lt;&gt;"",IF('POINTAGE'!BJ262="Présent",'POINTAGE'!BK262,0),0),IF('POINTAGE'!$BL$5&lt;&gt;"",IF('POINTAGE'!BL262="Présent",'POINTAGE'!BM262,0),0)))</f>
      </c>
      <c r="Q262" s="24">
        <f>IF($A262="","",$N262*$D262)</f>
      </c>
      <c r="R262" s="24">
        <f>IF($A262="","",$P262*$E262)</f>
      </c>
      <c r="S262" s="25">
        <f>IF($A262="","",$Q262+$R262)</f>
      </c>
      <c r="T262" s="18"/>
      <c r="U262" s="25">
        <f>IF($A262="","",MAX(0,$S262-$T262))</f>
      </c>
      <c r="V262" s="25">
        <f>IF($A262="","",$K262+$S262)</f>
      </c>
      <c r="W262" s="24">
        <f>IF($A262="","",$L262+$T262)</f>
      </c>
      <c r="X262" s="25">
        <f>IF($A262="","",$M262+$U262)</f>
      </c>
      <c r="Y262" s="29">
        <f>IF($A262="","",$J262+$R262)</f>
      </c>
    </row>
    <row r="263">
      <c r="A263" s="20">
        <f>IF('POINTAGE'!A263="","",'POINTAGE'!A263)</f>
      </c>
      <c r="B263" s="19">
        <f>IF($A263="","",'POINTAGE'!B263)</f>
      </c>
      <c r="C263" s="20">
        <f>IF($A263="","",'POINTAGE'!C263)</f>
      </c>
      <c r="D263" s="24">
        <f>IF($A263="","",IFERROR(INDEX(Categories_Salaire,MATCH($C263,ListeCategories,0)),0))</f>
      </c>
      <c r="E263" s="24">
        <f>IF($A263="","",IF(IFERROR(INDEX(Categories_TauxHS,MATCH($C263,ListeCategories,0)),0)&gt;0,IFERROR(INDEX(Categories_TauxHS,MATCH($C263,ListeCategories,0)),0),TauxHSDefaut))</f>
      </c>
      <c r="F263" s="22">
        <f>IF($A263="","",SUM(IF('POINTAGE'!$D$5&lt;&gt;"",--('POINTAGE'!D263="Présent"),0),IF('POINTAGE'!$F$5&lt;&gt;"",--('POINTAGE'!F263="Présent"),0),IF('POINTAGE'!$H$5&lt;&gt;"",--('POINTAGE'!H263="Présent"),0),IF('POINTAGE'!$J$5&lt;&gt;"",--('POINTAGE'!J263="Présent"),0),IF('POINTAGE'!$L$5&lt;&gt;"",--('POINTAGE'!L263="Présent"),0),IF('POINTAGE'!$N$5&lt;&gt;"",--('POINTAGE'!N263="Présent"),0),IF('POINTAGE'!$P$5&lt;&gt;"",--('POINTAGE'!P263="Présent"),0),IF('POINTAGE'!$R$5&lt;&gt;"",--('POINTAGE'!R263="Présent"),0),IF('POINTAGE'!$T$5&lt;&gt;"",--('POINTAGE'!T263="Présent"),0),IF('POINTAGE'!$V$5&lt;&gt;"",--('POINTAGE'!V263="Présent"),0),IF('POINTAGE'!$X$5&lt;&gt;"",--('POINTAGE'!X263="Présent"),0),IF('POINTAGE'!$Z$5&lt;&gt;"",--('POINTAGE'!Z263="Présent"),0),IF('POINTAGE'!$AB$5&lt;&gt;"",--('POINTAGE'!AB263="Présent"),0),IF('POINTAGE'!$AD$5&lt;&gt;"",--('POINTAGE'!AD263="Présent"),0),IF('POINTAGE'!$AF$5&lt;&gt;"",--('POINTAGE'!AF263="Présent"),0)))</f>
      </c>
      <c r="G263" s="22">
        <f>IF($A263="","",SUM(IF('POINTAGE'!$D$5&lt;&gt;"",--('POINTAGE'!D263="Absent"),0),IF('POINTAGE'!$F$5&lt;&gt;"",--('POINTAGE'!F263="Absent"),0),IF('POINTAGE'!$H$5&lt;&gt;"",--('POINTAGE'!H263="Absent"),0),IF('POINTAGE'!$J$5&lt;&gt;"",--('POINTAGE'!J263="Absent"),0),IF('POINTAGE'!$L$5&lt;&gt;"",--('POINTAGE'!L263="Absent"),0),IF('POINTAGE'!$N$5&lt;&gt;"",--('POINTAGE'!N263="Absent"),0),IF('POINTAGE'!$P$5&lt;&gt;"",--('POINTAGE'!P263="Absent"),0),IF('POINTAGE'!$R$5&lt;&gt;"",--('POINTAGE'!R263="Absent"),0),IF('POINTAGE'!$T$5&lt;&gt;"",--('POINTAGE'!T263="Absent"),0),IF('POINTAGE'!$V$5&lt;&gt;"",--('POINTAGE'!V263="Absent"),0),IF('POINTAGE'!$X$5&lt;&gt;"",--('POINTAGE'!X263="Absent"),0),IF('POINTAGE'!$Z$5&lt;&gt;"",--('POINTAGE'!Z263="Absent"),0),IF('POINTAGE'!$AB$5&lt;&gt;"",--('POINTAGE'!AB263="Absent"),0),IF('POINTAGE'!$AD$5&lt;&gt;"",--('POINTAGE'!AD263="Absent"),0),IF('POINTAGE'!$AF$5&lt;&gt;"",--('POINTAGE'!AF263="Absent"),0)))</f>
      </c>
      <c r="H263" s="23">
        <f>IF($A263="","",SUM(IF('POINTAGE'!$D$5&lt;&gt;"",IF('POINTAGE'!D263="Présent",'POINTAGE'!E263,0),0),IF('POINTAGE'!$F$5&lt;&gt;"",IF('POINTAGE'!F263="Présent",'POINTAGE'!G263,0),0),IF('POINTAGE'!$H$5&lt;&gt;"",IF('POINTAGE'!H263="Présent",'POINTAGE'!I263,0),0),IF('POINTAGE'!$J$5&lt;&gt;"",IF('POINTAGE'!J263="Présent",'POINTAGE'!K263,0),0),IF('POINTAGE'!$L$5&lt;&gt;"",IF('POINTAGE'!L263="Présent",'POINTAGE'!M263,0),0),IF('POINTAGE'!$N$5&lt;&gt;"",IF('POINTAGE'!N263="Présent",'POINTAGE'!O263,0),0),IF('POINTAGE'!$P$5&lt;&gt;"",IF('POINTAGE'!P263="Présent",'POINTAGE'!Q263,0),0),IF('POINTAGE'!$R$5&lt;&gt;"",IF('POINTAGE'!R263="Présent",'POINTAGE'!S263,0),0),IF('POINTAGE'!$T$5&lt;&gt;"",IF('POINTAGE'!T263="Présent",'POINTAGE'!U263,0),0),IF('POINTAGE'!$V$5&lt;&gt;"",IF('POINTAGE'!V263="Présent",'POINTAGE'!W263,0),0),IF('POINTAGE'!$X$5&lt;&gt;"",IF('POINTAGE'!X263="Présent",'POINTAGE'!Y263,0),0),IF('POINTAGE'!$Z$5&lt;&gt;"",IF('POINTAGE'!Z263="Présent",'POINTAGE'!AA263,0),0),IF('POINTAGE'!$AB$5&lt;&gt;"",IF('POINTAGE'!AB263="Présent",'POINTAGE'!AC263,0),0),IF('POINTAGE'!$AD$5&lt;&gt;"",IF('POINTAGE'!AD263="Présent",'POINTAGE'!AE263,0),0),IF('POINTAGE'!$AF$5&lt;&gt;"",IF('POINTAGE'!AF263="Présent",'POINTAGE'!AG263,0),0)))</f>
      </c>
      <c r="I263" s="24">
        <f>IF($A263="","",$F263*$D263)</f>
      </c>
      <c r="J263" s="24">
        <f>IF($A263="","",$H263*$E263)</f>
      </c>
      <c r="K263" s="25">
        <f>IF($A263="","",$I263+$J263)</f>
      </c>
      <c r="L263" s="18"/>
      <c r="M263" s="25">
        <f>IF($A263="","",MAX(0,$K263-$L263))</f>
      </c>
      <c r="N263" s="22">
        <f>IF($A263="","",SUM(IF('POINTAGE'!$AH$5&lt;&gt;"",--('POINTAGE'!AH263="Présent"),0),IF('POINTAGE'!$AJ$5&lt;&gt;"",--('POINTAGE'!AJ263="Présent"),0),IF('POINTAGE'!$AL$5&lt;&gt;"",--('POINTAGE'!AL263="Présent"),0),IF('POINTAGE'!$AN$5&lt;&gt;"",--('POINTAGE'!AN263="Présent"),0),IF('POINTAGE'!$AP$5&lt;&gt;"",--('POINTAGE'!AP263="Présent"),0),IF('POINTAGE'!$AR$5&lt;&gt;"",--('POINTAGE'!AR263="Présent"),0),IF('POINTAGE'!$AT$5&lt;&gt;"",--('POINTAGE'!AT263="Présent"),0),IF('POINTAGE'!$AV$5&lt;&gt;"",--('POINTAGE'!AV263="Présent"),0),IF('POINTAGE'!$AX$5&lt;&gt;"",--('POINTAGE'!AX263="Présent"),0),IF('POINTAGE'!$AZ$5&lt;&gt;"",--('POINTAGE'!AZ263="Présent"),0),IF('POINTAGE'!$BB$5&lt;&gt;"",--('POINTAGE'!BB263="Présent"),0),IF('POINTAGE'!$BD$5&lt;&gt;"",--('POINTAGE'!BD263="Présent"),0),IF('POINTAGE'!$BF$5&lt;&gt;"",--('POINTAGE'!BF263="Présent"),0),IF('POINTAGE'!$BH$5&lt;&gt;"",--('POINTAGE'!BH263="Présent"),0),IF('POINTAGE'!$BJ$5&lt;&gt;"",--('POINTAGE'!BJ263="Présent"),0),IF('POINTAGE'!$BL$5&lt;&gt;"",--('POINTAGE'!BL263="Présent"),0)))</f>
      </c>
      <c r="O263" s="22">
        <f>IF($A263="","",SUM(IF('POINTAGE'!$AH$5&lt;&gt;"",--('POINTAGE'!AH263="Absent"),0),IF('POINTAGE'!$AJ$5&lt;&gt;"",--('POINTAGE'!AJ263="Absent"),0),IF('POINTAGE'!$AL$5&lt;&gt;"",--('POINTAGE'!AL263="Absent"),0),IF('POINTAGE'!$AN$5&lt;&gt;"",--('POINTAGE'!AN263="Absent"),0),IF('POINTAGE'!$AP$5&lt;&gt;"",--('POINTAGE'!AP263="Absent"),0),IF('POINTAGE'!$AR$5&lt;&gt;"",--('POINTAGE'!AR263="Absent"),0),IF('POINTAGE'!$AT$5&lt;&gt;"",--('POINTAGE'!AT263="Absent"),0),IF('POINTAGE'!$AV$5&lt;&gt;"",--('POINTAGE'!AV263="Absent"),0),IF('POINTAGE'!$AX$5&lt;&gt;"",--('POINTAGE'!AX263="Absent"),0),IF('POINTAGE'!$AZ$5&lt;&gt;"",--('POINTAGE'!AZ263="Absent"),0),IF('POINTAGE'!$BB$5&lt;&gt;"",--('POINTAGE'!BB263="Absent"),0),IF('POINTAGE'!$BD$5&lt;&gt;"",--('POINTAGE'!BD263="Absent"),0),IF('POINTAGE'!$BF$5&lt;&gt;"",--('POINTAGE'!BF263="Absent"),0),IF('POINTAGE'!$BH$5&lt;&gt;"",--('POINTAGE'!BH263="Absent"),0),IF('POINTAGE'!$BJ$5&lt;&gt;"",--('POINTAGE'!BJ263="Absent"),0),IF('POINTAGE'!$BL$5&lt;&gt;"",--('POINTAGE'!BL263="Absent"),0)))</f>
      </c>
      <c r="P263" s="23">
        <f>IF($A263="","",SUM(IF('POINTAGE'!$AH$5&lt;&gt;"",IF('POINTAGE'!AH263="Présent",'POINTAGE'!AI263,0),0),IF('POINTAGE'!$AJ$5&lt;&gt;"",IF('POINTAGE'!AJ263="Présent",'POINTAGE'!AK263,0),0),IF('POINTAGE'!$AL$5&lt;&gt;"",IF('POINTAGE'!AL263="Présent",'POINTAGE'!AM263,0),0),IF('POINTAGE'!$AN$5&lt;&gt;"",IF('POINTAGE'!AN263="Présent",'POINTAGE'!AO263,0),0),IF('POINTAGE'!$AP$5&lt;&gt;"",IF('POINTAGE'!AP263="Présent",'POINTAGE'!AQ263,0),0),IF('POINTAGE'!$AR$5&lt;&gt;"",IF('POINTAGE'!AR263="Présent",'POINTAGE'!AS263,0),0),IF('POINTAGE'!$AT$5&lt;&gt;"",IF('POINTAGE'!AT263="Présent",'POINTAGE'!AU263,0),0),IF('POINTAGE'!$AV$5&lt;&gt;"",IF('POINTAGE'!AV263="Présent",'POINTAGE'!AW263,0),0),IF('POINTAGE'!$AX$5&lt;&gt;"",IF('POINTAGE'!AX263="Présent",'POINTAGE'!AY263,0),0),IF('POINTAGE'!$AZ$5&lt;&gt;"",IF('POINTAGE'!AZ263="Présent",'POINTAGE'!BA263,0),0),IF('POINTAGE'!$BB$5&lt;&gt;"",IF('POINTAGE'!BB263="Présent",'POINTAGE'!BC263,0),0),IF('POINTAGE'!$BD$5&lt;&gt;"",IF('POINTAGE'!BD263="Présent",'POINTAGE'!BE263,0),0),IF('POINTAGE'!$BF$5&lt;&gt;"",IF('POINTAGE'!BF263="Présent",'POINTAGE'!BG263,0),0),IF('POINTAGE'!$BH$5&lt;&gt;"",IF('POINTAGE'!BH263="Présent",'POINTAGE'!BI263,0),0),IF('POINTAGE'!$BJ$5&lt;&gt;"",IF('POINTAGE'!BJ263="Présent",'POINTAGE'!BK263,0),0),IF('POINTAGE'!$BL$5&lt;&gt;"",IF('POINTAGE'!BL263="Présent",'POINTAGE'!BM263,0),0)))</f>
      </c>
      <c r="Q263" s="24">
        <f>IF($A263="","",$N263*$D263)</f>
      </c>
      <c r="R263" s="24">
        <f>IF($A263="","",$P263*$E263)</f>
      </c>
      <c r="S263" s="25">
        <f>IF($A263="","",$Q263+$R263)</f>
      </c>
      <c r="T263" s="18"/>
      <c r="U263" s="25">
        <f>IF($A263="","",MAX(0,$S263-$T263))</f>
      </c>
      <c r="V263" s="25">
        <f>IF($A263="","",$K263+$S263)</f>
      </c>
      <c r="W263" s="24">
        <f>IF($A263="","",$L263+$T263)</f>
      </c>
      <c r="X263" s="25">
        <f>IF($A263="","",$M263+$U263)</f>
      </c>
      <c r="Y263" s="29">
        <f>IF($A263="","",$J263+$R263)</f>
      </c>
    </row>
    <row r="264">
      <c r="A264" s="20">
        <f>IF('POINTAGE'!A264="","",'POINTAGE'!A264)</f>
      </c>
      <c r="B264" s="19">
        <f>IF($A264="","",'POINTAGE'!B264)</f>
      </c>
      <c r="C264" s="20">
        <f>IF($A264="","",'POINTAGE'!C264)</f>
      </c>
      <c r="D264" s="24">
        <f>IF($A264="","",IFERROR(INDEX(Categories_Salaire,MATCH($C264,ListeCategories,0)),0))</f>
      </c>
      <c r="E264" s="24">
        <f>IF($A264="","",IF(IFERROR(INDEX(Categories_TauxHS,MATCH($C264,ListeCategories,0)),0)&gt;0,IFERROR(INDEX(Categories_TauxHS,MATCH($C264,ListeCategories,0)),0),TauxHSDefaut))</f>
      </c>
      <c r="F264" s="22">
        <f>IF($A264="","",SUM(IF('POINTAGE'!$D$5&lt;&gt;"",--('POINTAGE'!D264="Présent"),0),IF('POINTAGE'!$F$5&lt;&gt;"",--('POINTAGE'!F264="Présent"),0),IF('POINTAGE'!$H$5&lt;&gt;"",--('POINTAGE'!H264="Présent"),0),IF('POINTAGE'!$J$5&lt;&gt;"",--('POINTAGE'!J264="Présent"),0),IF('POINTAGE'!$L$5&lt;&gt;"",--('POINTAGE'!L264="Présent"),0),IF('POINTAGE'!$N$5&lt;&gt;"",--('POINTAGE'!N264="Présent"),0),IF('POINTAGE'!$P$5&lt;&gt;"",--('POINTAGE'!P264="Présent"),0),IF('POINTAGE'!$R$5&lt;&gt;"",--('POINTAGE'!R264="Présent"),0),IF('POINTAGE'!$T$5&lt;&gt;"",--('POINTAGE'!T264="Présent"),0),IF('POINTAGE'!$V$5&lt;&gt;"",--('POINTAGE'!V264="Présent"),0),IF('POINTAGE'!$X$5&lt;&gt;"",--('POINTAGE'!X264="Présent"),0),IF('POINTAGE'!$Z$5&lt;&gt;"",--('POINTAGE'!Z264="Présent"),0),IF('POINTAGE'!$AB$5&lt;&gt;"",--('POINTAGE'!AB264="Présent"),0),IF('POINTAGE'!$AD$5&lt;&gt;"",--('POINTAGE'!AD264="Présent"),0),IF('POINTAGE'!$AF$5&lt;&gt;"",--('POINTAGE'!AF264="Présent"),0)))</f>
      </c>
      <c r="G264" s="22">
        <f>IF($A264="","",SUM(IF('POINTAGE'!$D$5&lt;&gt;"",--('POINTAGE'!D264="Absent"),0),IF('POINTAGE'!$F$5&lt;&gt;"",--('POINTAGE'!F264="Absent"),0),IF('POINTAGE'!$H$5&lt;&gt;"",--('POINTAGE'!H264="Absent"),0),IF('POINTAGE'!$J$5&lt;&gt;"",--('POINTAGE'!J264="Absent"),0),IF('POINTAGE'!$L$5&lt;&gt;"",--('POINTAGE'!L264="Absent"),0),IF('POINTAGE'!$N$5&lt;&gt;"",--('POINTAGE'!N264="Absent"),0),IF('POINTAGE'!$P$5&lt;&gt;"",--('POINTAGE'!P264="Absent"),0),IF('POINTAGE'!$R$5&lt;&gt;"",--('POINTAGE'!R264="Absent"),0),IF('POINTAGE'!$T$5&lt;&gt;"",--('POINTAGE'!T264="Absent"),0),IF('POINTAGE'!$V$5&lt;&gt;"",--('POINTAGE'!V264="Absent"),0),IF('POINTAGE'!$X$5&lt;&gt;"",--('POINTAGE'!X264="Absent"),0),IF('POINTAGE'!$Z$5&lt;&gt;"",--('POINTAGE'!Z264="Absent"),0),IF('POINTAGE'!$AB$5&lt;&gt;"",--('POINTAGE'!AB264="Absent"),0),IF('POINTAGE'!$AD$5&lt;&gt;"",--('POINTAGE'!AD264="Absent"),0),IF('POINTAGE'!$AF$5&lt;&gt;"",--('POINTAGE'!AF264="Absent"),0)))</f>
      </c>
      <c r="H264" s="23">
        <f>IF($A264="","",SUM(IF('POINTAGE'!$D$5&lt;&gt;"",IF('POINTAGE'!D264="Présent",'POINTAGE'!E264,0),0),IF('POINTAGE'!$F$5&lt;&gt;"",IF('POINTAGE'!F264="Présent",'POINTAGE'!G264,0),0),IF('POINTAGE'!$H$5&lt;&gt;"",IF('POINTAGE'!H264="Présent",'POINTAGE'!I264,0),0),IF('POINTAGE'!$J$5&lt;&gt;"",IF('POINTAGE'!J264="Présent",'POINTAGE'!K264,0),0),IF('POINTAGE'!$L$5&lt;&gt;"",IF('POINTAGE'!L264="Présent",'POINTAGE'!M264,0),0),IF('POINTAGE'!$N$5&lt;&gt;"",IF('POINTAGE'!N264="Présent",'POINTAGE'!O264,0),0),IF('POINTAGE'!$P$5&lt;&gt;"",IF('POINTAGE'!P264="Présent",'POINTAGE'!Q264,0),0),IF('POINTAGE'!$R$5&lt;&gt;"",IF('POINTAGE'!R264="Présent",'POINTAGE'!S264,0),0),IF('POINTAGE'!$T$5&lt;&gt;"",IF('POINTAGE'!T264="Présent",'POINTAGE'!U264,0),0),IF('POINTAGE'!$V$5&lt;&gt;"",IF('POINTAGE'!V264="Présent",'POINTAGE'!W264,0),0),IF('POINTAGE'!$X$5&lt;&gt;"",IF('POINTAGE'!X264="Présent",'POINTAGE'!Y264,0),0),IF('POINTAGE'!$Z$5&lt;&gt;"",IF('POINTAGE'!Z264="Présent",'POINTAGE'!AA264,0),0),IF('POINTAGE'!$AB$5&lt;&gt;"",IF('POINTAGE'!AB264="Présent",'POINTAGE'!AC264,0),0),IF('POINTAGE'!$AD$5&lt;&gt;"",IF('POINTAGE'!AD264="Présent",'POINTAGE'!AE264,0),0),IF('POINTAGE'!$AF$5&lt;&gt;"",IF('POINTAGE'!AF264="Présent",'POINTAGE'!AG264,0),0)))</f>
      </c>
      <c r="I264" s="24">
        <f>IF($A264="","",$F264*$D264)</f>
      </c>
      <c r="J264" s="24">
        <f>IF($A264="","",$H264*$E264)</f>
      </c>
      <c r="K264" s="25">
        <f>IF($A264="","",$I264+$J264)</f>
      </c>
      <c r="L264" s="18"/>
      <c r="M264" s="25">
        <f>IF($A264="","",MAX(0,$K264-$L264))</f>
      </c>
      <c r="N264" s="22">
        <f>IF($A264="","",SUM(IF('POINTAGE'!$AH$5&lt;&gt;"",--('POINTAGE'!AH264="Présent"),0),IF('POINTAGE'!$AJ$5&lt;&gt;"",--('POINTAGE'!AJ264="Présent"),0),IF('POINTAGE'!$AL$5&lt;&gt;"",--('POINTAGE'!AL264="Présent"),0),IF('POINTAGE'!$AN$5&lt;&gt;"",--('POINTAGE'!AN264="Présent"),0),IF('POINTAGE'!$AP$5&lt;&gt;"",--('POINTAGE'!AP264="Présent"),0),IF('POINTAGE'!$AR$5&lt;&gt;"",--('POINTAGE'!AR264="Présent"),0),IF('POINTAGE'!$AT$5&lt;&gt;"",--('POINTAGE'!AT264="Présent"),0),IF('POINTAGE'!$AV$5&lt;&gt;"",--('POINTAGE'!AV264="Présent"),0),IF('POINTAGE'!$AX$5&lt;&gt;"",--('POINTAGE'!AX264="Présent"),0),IF('POINTAGE'!$AZ$5&lt;&gt;"",--('POINTAGE'!AZ264="Présent"),0),IF('POINTAGE'!$BB$5&lt;&gt;"",--('POINTAGE'!BB264="Présent"),0),IF('POINTAGE'!$BD$5&lt;&gt;"",--('POINTAGE'!BD264="Présent"),0),IF('POINTAGE'!$BF$5&lt;&gt;"",--('POINTAGE'!BF264="Présent"),0),IF('POINTAGE'!$BH$5&lt;&gt;"",--('POINTAGE'!BH264="Présent"),0),IF('POINTAGE'!$BJ$5&lt;&gt;"",--('POINTAGE'!BJ264="Présent"),0),IF('POINTAGE'!$BL$5&lt;&gt;"",--('POINTAGE'!BL264="Présent"),0)))</f>
      </c>
      <c r="O264" s="22">
        <f>IF($A264="","",SUM(IF('POINTAGE'!$AH$5&lt;&gt;"",--('POINTAGE'!AH264="Absent"),0),IF('POINTAGE'!$AJ$5&lt;&gt;"",--('POINTAGE'!AJ264="Absent"),0),IF('POINTAGE'!$AL$5&lt;&gt;"",--('POINTAGE'!AL264="Absent"),0),IF('POINTAGE'!$AN$5&lt;&gt;"",--('POINTAGE'!AN264="Absent"),0),IF('POINTAGE'!$AP$5&lt;&gt;"",--('POINTAGE'!AP264="Absent"),0),IF('POINTAGE'!$AR$5&lt;&gt;"",--('POINTAGE'!AR264="Absent"),0),IF('POINTAGE'!$AT$5&lt;&gt;"",--('POINTAGE'!AT264="Absent"),0),IF('POINTAGE'!$AV$5&lt;&gt;"",--('POINTAGE'!AV264="Absent"),0),IF('POINTAGE'!$AX$5&lt;&gt;"",--('POINTAGE'!AX264="Absent"),0),IF('POINTAGE'!$AZ$5&lt;&gt;"",--('POINTAGE'!AZ264="Absent"),0),IF('POINTAGE'!$BB$5&lt;&gt;"",--('POINTAGE'!BB264="Absent"),0),IF('POINTAGE'!$BD$5&lt;&gt;"",--('POINTAGE'!BD264="Absent"),0),IF('POINTAGE'!$BF$5&lt;&gt;"",--('POINTAGE'!BF264="Absent"),0),IF('POINTAGE'!$BH$5&lt;&gt;"",--('POINTAGE'!BH264="Absent"),0),IF('POINTAGE'!$BJ$5&lt;&gt;"",--('POINTAGE'!BJ264="Absent"),0),IF('POINTAGE'!$BL$5&lt;&gt;"",--('POINTAGE'!BL264="Absent"),0)))</f>
      </c>
      <c r="P264" s="23">
        <f>IF($A264="","",SUM(IF('POINTAGE'!$AH$5&lt;&gt;"",IF('POINTAGE'!AH264="Présent",'POINTAGE'!AI264,0),0),IF('POINTAGE'!$AJ$5&lt;&gt;"",IF('POINTAGE'!AJ264="Présent",'POINTAGE'!AK264,0),0),IF('POINTAGE'!$AL$5&lt;&gt;"",IF('POINTAGE'!AL264="Présent",'POINTAGE'!AM264,0),0),IF('POINTAGE'!$AN$5&lt;&gt;"",IF('POINTAGE'!AN264="Présent",'POINTAGE'!AO264,0),0),IF('POINTAGE'!$AP$5&lt;&gt;"",IF('POINTAGE'!AP264="Présent",'POINTAGE'!AQ264,0),0),IF('POINTAGE'!$AR$5&lt;&gt;"",IF('POINTAGE'!AR264="Présent",'POINTAGE'!AS264,0),0),IF('POINTAGE'!$AT$5&lt;&gt;"",IF('POINTAGE'!AT264="Présent",'POINTAGE'!AU264,0),0),IF('POINTAGE'!$AV$5&lt;&gt;"",IF('POINTAGE'!AV264="Présent",'POINTAGE'!AW264,0),0),IF('POINTAGE'!$AX$5&lt;&gt;"",IF('POINTAGE'!AX264="Présent",'POINTAGE'!AY264,0),0),IF('POINTAGE'!$AZ$5&lt;&gt;"",IF('POINTAGE'!AZ264="Présent",'POINTAGE'!BA264,0),0),IF('POINTAGE'!$BB$5&lt;&gt;"",IF('POINTAGE'!BB264="Présent",'POINTAGE'!BC264,0),0),IF('POINTAGE'!$BD$5&lt;&gt;"",IF('POINTAGE'!BD264="Présent",'POINTAGE'!BE264,0),0),IF('POINTAGE'!$BF$5&lt;&gt;"",IF('POINTAGE'!BF264="Présent",'POINTAGE'!BG264,0),0),IF('POINTAGE'!$BH$5&lt;&gt;"",IF('POINTAGE'!BH264="Présent",'POINTAGE'!BI264,0),0),IF('POINTAGE'!$BJ$5&lt;&gt;"",IF('POINTAGE'!BJ264="Présent",'POINTAGE'!BK264,0),0),IF('POINTAGE'!$BL$5&lt;&gt;"",IF('POINTAGE'!BL264="Présent",'POINTAGE'!BM264,0),0)))</f>
      </c>
      <c r="Q264" s="24">
        <f>IF($A264="","",$N264*$D264)</f>
      </c>
      <c r="R264" s="24">
        <f>IF($A264="","",$P264*$E264)</f>
      </c>
      <c r="S264" s="25">
        <f>IF($A264="","",$Q264+$R264)</f>
      </c>
      <c r="T264" s="18"/>
      <c r="U264" s="25">
        <f>IF($A264="","",MAX(0,$S264-$T264))</f>
      </c>
      <c r="V264" s="25">
        <f>IF($A264="","",$K264+$S264)</f>
      </c>
      <c r="W264" s="24">
        <f>IF($A264="","",$L264+$T264)</f>
      </c>
      <c r="X264" s="25">
        <f>IF($A264="","",$M264+$U264)</f>
      </c>
      <c r="Y264" s="29">
        <f>IF($A264="","",$J264+$R264)</f>
      </c>
    </row>
    <row r="265">
      <c r="A265" s="20">
        <f>IF('POINTAGE'!A265="","",'POINTAGE'!A265)</f>
      </c>
      <c r="B265" s="19">
        <f>IF($A265="","",'POINTAGE'!B265)</f>
      </c>
      <c r="C265" s="20">
        <f>IF($A265="","",'POINTAGE'!C265)</f>
      </c>
      <c r="D265" s="24">
        <f>IF($A265="","",IFERROR(INDEX(Categories_Salaire,MATCH($C265,ListeCategories,0)),0))</f>
      </c>
      <c r="E265" s="24">
        <f>IF($A265="","",IF(IFERROR(INDEX(Categories_TauxHS,MATCH($C265,ListeCategories,0)),0)&gt;0,IFERROR(INDEX(Categories_TauxHS,MATCH($C265,ListeCategories,0)),0),TauxHSDefaut))</f>
      </c>
      <c r="F265" s="22">
        <f>IF($A265="","",SUM(IF('POINTAGE'!$D$5&lt;&gt;"",--('POINTAGE'!D265="Présent"),0),IF('POINTAGE'!$F$5&lt;&gt;"",--('POINTAGE'!F265="Présent"),0),IF('POINTAGE'!$H$5&lt;&gt;"",--('POINTAGE'!H265="Présent"),0),IF('POINTAGE'!$J$5&lt;&gt;"",--('POINTAGE'!J265="Présent"),0),IF('POINTAGE'!$L$5&lt;&gt;"",--('POINTAGE'!L265="Présent"),0),IF('POINTAGE'!$N$5&lt;&gt;"",--('POINTAGE'!N265="Présent"),0),IF('POINTAGE'!$P$5&lt;&gt;"",--('POINTAGE'!P265="Présent"),0),IF('POINTAGE'!$R$5&lt;&gt;"",--('POINTAGE'!R265="Présent"),0),IF('POINTAGE'!$T$5&lt;&gt;"",--('POINTAGE'!T265="Présent"),0),IF('POINTAGE'!$V$5&lt;&gt;"",--('POINTAGE'!V265="Présent"),0),IF('POINTAGE'!$X$5&lt;&gt;"",--('POINTAGE'!X265="Présent"),0),IF('POINTAGE'!$Z$5&lt;&gt;"",--('POINTAGE'!Z265="Présent"),0),IF('POINTAGE'!$AB$5&lt;&gt;"",--('POINTAGE'!AB265="Présent"),0),IF('POINTAGE'!$AD$5&lt;&gt;"",--('POINTAGE'!AD265="Présent"),0),IF('POINTAGE'!$AF$5&lt;&gt;"",--('POINTAGE'!AF265="Présent"),0)))</f>
      </c>
      <c r="G265" s="22">
        <f>IF($A265="","",SUM(IF('POINTAGE'!$D$5&lt;&gt;"",--('POINTAGE'!D265="Absent"),0),IF('POINTAGE'!$F$5&lt;&gt;"",--('POINTAGE'!F265="Absent"),0),IF('POINTAGE'!$H$5&lt;&gt;"",--('POINTAGE'!H265="Absent"),0),IF('POINTAGE'!$J$5&lt;&gt;"",--('POINTAGE'!J265="Absent"),0),IF('POINTAGE'!$L$5&lt;&gt;"",--('POINTAGE'!L265="Absent"),0),IF('POINTAGE'!$N$5&lt;&gt;"",--('POINTAGE'!N265="Absent"),0),IF('POINTAGE'!$P$5&lt;&gt;"",--('POINTAGE'!P265="Absent"),0),IF('POINTAGE'!$R$5&lt;&gt;"",--('POINTAGE'!R265="Absent"),0),IF('POINTAGE'!$T$5&lt;&gt;"",--('POINTAGE'!T265="Absent"),0),IF('POINTAGE'!$V$5&lt;&gt;"",--('POINTAGE'!V265="Absent"),0),IF('POINTAGE'!$X$5&lt;&gt;"",--('POINTAGE'!X265="Absent"),0),IF('POINTAGE'!$Z$5&lt;&gt;"",--('POINTAGE'!Z265="Absent"),0),IF('POINTAGE'!$AB$5&lt;&gt;"",--('POINTAGE'!AB265="Absent"),0),IF('POINTAGE'!$AD$5&lt;&gt;"",--('POINTAGE'!AD265="Absent"),0),IF('POINTAGE'!$AF$5&lt;&gt;"",--('POINTAGE'!AF265="Absent"),0)))</f>
      </c>
      <c r="H265" s="23">
        <f>IF($A265="","",SUM(IF('POINTAGE'!$D$5&lt;&gt;"",IF('POINTAGE'!D265="Présent",'POINTAGE'!E265,0),0),IF('POINTAGE'!$F$5&lt;&gt;"",IF('POINTAGE'!F265="Présent",'POINTAGE'!G265,0),0),IF('POINTAGE'!$H$5&lt;&gt;"",IF('POINTAGE'!H265="Présent",'POINTAGE'!I265,0),0),IF('POINTAGE'!$J$5&lt;&gt;"",IF('POINTAGE'!J265="Présent",'POINTAGE'!K265,0),0),IF('POINTAGE'!$L$5&lt;&gt;"",IF('POINTAGE'!L265="Présent",'POINTAGE'!M265,0),0),IF('POINTAGE'!$N$5&lt;&gt;"",IF('POINTAGE'!N265="Présent",'POINTAGE'!O265,0),0),IF('POINTAGE'!$P$5&lt;&gt;"",IF('POINTAGE'!P265="Présent",'POINTAGE'!Q265,0),0),IF('POINTAGE'!$R$5&lt;&gt;"",IF('POINTAGE'!R265="Présent",'POINTAGE'!S265,0),0),IF('POINTAGE'!$T$5&lt;&gt;"",IF('POINTAGE'!T265="Présent",'POINTAGE'!U265,0),0),IF('POINTAGE'!$V$5&lt;&gt;"",IF('POINTAGE'!V265="Présent",'POINTAGE'!W265,0),0),IF('POINTAGE'!$X$5&lt;&gt;"",IF('POINTAGE'!X265="Présent",'POINTAGE'!Y265,0),0),IF('POINTAGE'!$Z$5&lt;&gt;"",IF('POINTAGE'!Z265="Présent",'POINTAGE'!AA265,0),0),IF('POINTAGE'!$AB$5&lt;&gt;"",IF('POINTAGE'!AB265="Présent",'POINTAGE'!AC265,0),0),IF('POINTAGE'!$AD$5&lt;&gt;"",IF('POINTAGE'!AD265="Présent",'POINTAGE'!AE265,0),0),IF('POINTAGE'!$AF$5&lt;&gt;"",IF('POINTAGE'!AF265="Présent",'POINTAGE'!AG265,0),0)))</f>
      </c>
      <c r="I265" s="24">
        <f>IF($A265="","",$F265*$D265)</f>
      </c>
      <c r="J265" s="24">
        <f>IF($A265="","",$H265*$E265)</f>
      </c>
      <c r="K265" s="25">
        <f>IF($A265="","",$I265+$J265)</f>
      </c>
      <c r="L265" s="18"/>
      <c r="M265" s="25">
        <f>IF($A265="","",MAX(0,$K265-$L265))</f>
      </c>
      <c r="N265" s="22">
        <f>IF($A265="","",SUM(IF('POINTAGE'!$AH$5&lt;&gt;"",--('POINTAGE'!AH265="Présent"),0),IF('POINTAGE'!$AJ$5&lt;&gt;"",--('POINTAGE'!AJ265="Présent"),0),IF('POINTAGE'!$AL$5&lt;&gt;"",--('POINTAGE'!AL265="Présent"),0),IF('POINTAGE'!$AN$5&lt;&gt;"",--('POINTAGE'!AN265="Présent"),0),IF('POINTAGE'!$AP$5&lt;&gt;"",--('POINTAGE'!AP265="Présent"),0),IF('POINTAGE'!$AR$5&lt;&gt;"",--('POINTAGE'!AR265="Présent"),0),IF('POINTAGE'!$AT$5&lt;&gt;"",--('POINTAGE'!AT265="Présent"),0),IF('POINTAGE'!$AV$5&lt;&gt;"",--('POINTAGE'!AV265="Présent"),0),IF('POINTAGE'!$AX$5&lt;&gt;"",--('POINTAGE'!AX265="Présent"),0),IF('POINTAGE'!$AZ$5&lt;&gt;"",--('POINTAGE'!AZ265="Présent"),0),IF('POINTAGE'!$BB$5&lt;&gt;"",--('POINTAGE'!BB265="Présent"),0),IF('POINTAGE'!$BD$5&lt;&gt;"",--('POINTAGE'!BD265="Présent"),0),IF('POINTAGE'!$BF$5&lt;&gt;"",--('POINTAGE'!BF265="Présent"),0),IF('POINTAGE'!$BH$5&lt;&gt;"",--('POINTAGE'!BH265="Présent"),0),IF('POINTAGE'!$BJ$5&lt;&gt;"",--('POINTAGE'!BJ265="Présent"),0),IF('POINTAGE'!$BL$5&lt;&gt;"",--('POINTAGE'!BL265="Présent"),0)))</f>
      </c>
      <c r="O265" s="22">
        <f>IF($A265="","",SUM(IF('POINTAGE'!$AH$5&lt;&gt;"",--('POINTAGE'!AH265="Absent"),0),IF('POINTAGE'!$AJ$5&lt;&gt;"",--('POINTAGE'!AJ265="Absent"),0),IF('POINTAGE'!$AL$5&lt;&gt;"",--('POINTAGE'!AL265="Absent"),0),IF('POINTAGE'!$AN$5&lt;&gt;"",--('POINTAGE'!AN265="Absent"),0),IF('POINTAGE'!$AP$5&lt;&gt;"",--('POINTAGE'!AP265="Absent"),0),IF('POINTAGE'!$AR$5&lt;&gt;"",--('POINTAGE'!AR265="Absent"),0),IF('POINTAGE'!$AT$5&lt;&gt;"",--('POINTAGE'!AT265="Absent"),0),IF('POINTAGE'!$AV$5&lt;&gt;"",--('POINTAGE'!AV265="Absent"),0),IF('POINTAGE'!$AX$5&lt;&gt;"",--('POINTAGE'!AX265="Absent"),0),IF('POINTAGE'!$AZ$5&lt;&gt;"",--('POINTAGE'!AZ265="Absent"),0),IF('POINTAGE'!$BB$5&lt;&gt;"",--('POINTAGE'!BB265="Absent"),0),IF('POINTAGE'!$BD$5&lt;&gt;"",--('POINTAGE'!BD265="Absent"),0),IF('POINTAGE'!$BF$5&lt;&gt;"",--('POINTAGE'!BF265="Absent"),0),IF('POINTAGE'!$BH$5&lt;&gt;"",--('POINTAGE'!BH265="Absent"),0),IF('POINTAGE'!$BJ$5&lt;&gt;"",--('POINTAGE'!BJ265="Absent"),0),IF('POINTAGE'!$BL$5&lt;&gt;"",--('POINTAGE'!BL265="Absent"),0)))</f>
      </c>
      <c r="P265" s="23">
        <f>IF($A265="","",SUM(IF('POINTAGE'!$AH$5&lt;&gt;"",IF('POINTAGE'!AH265="Présent",'POINTAGE'!AI265,0),0),IF('POINTAGE'!$AJ$5&lt;&gt;"",IF('POINTAGE'!AJ265="Présent",'POINTAGE'!AK265,0),0),IF('POINTAGE'!$AL$5&lt;&gt;"",IF('POINTAGE'!AL265="Présent",'POINTAGE'!AM265,0),0),IF('POINTAGE'!$AN$5&lt;&gt;"",IF('POINTAGE'!AN265="Présent",'POINTAGE'!AO265,0),0),IF('POINTAGE'!$AP$5&lt;&gt;"",IF('POINTAGE'!AP265="Présent",'POINTAGE'!AQ265,0),0),IF('POINTAGE'!$AR$5&lt;&gt;"",IF('POINTAGE'!AR265="Présent",'POINTAGE'!AS265,0),0),IF('POINTAGE'!$AT$5&lt;&gt;"",IF('POINTAGE'!AT265="Présent",'POINTAGE'!AU265,0),0),IF('POINTAGE'!$AV$5&lt;&gt;"",IF('POINTAGE'!AV265="Présent",'POINTAGE'!AW265,0),0),IF('POINTAGE'!$AX$5&lt;&gt;"",IF('POINTAGE'!AX265="Présent",'POINTAGE'!AY265,0),0),IF('POINTAGE'!$AZ$5&lt;&gt;"",IF('POINTAGE'!AZ265="Présent",'POINTAGE'!BA265,0),0),IF('POINTAGE'!$BB$5&lt;&gt;"",IF('POINTAGE'!BB265="Présent",'POINTAGE'!BC265,0),0),IF('POINTAGE'!$BD$5&lt;&gt;"",IF('POINTAGE'!BD265="Présent",'POINTAGE'!BE265,0),0),IF('POINTAGE'!$BF$5&lt;&gt;"",IF('POINTAGE'!BF265="Présent",'POINTAGE'!BG265,0),0),IF('POINTAGE'!$BH$5&lt;&gt;"",IF('POINTAGE'!BH265="Présent",'POINTAGE'!BI265,0),0),IF('POINTAGE'!$BJ$5&lt;&gt;"",IF('POINTAGE'!BJ265="Présent",'POINTAGE'!BK265,0),0),IF('POINTAGE'!$BL$5&lt;&gt;"",IF('POINTAGE'!BL265="Présent",'POINTAGE'!BM265,0),0)))</f>
      </c>
      <c r="Q265" s="24">
        <f>IF($A265="","",$N265*$D265)</f>
      </c>
      <c r="R265" s="24">
        <f>IF($A265="","",$P265*$E265)</f>
      </c>
      <c r="S265" s="25">
        <f>IF($A265="","",$Q265+$R265)</f>
      </c>
      <c r="T265" s="18"/>
      <c r="U265" s="25">
        <f>IF($A265="","",MAX(0,$S265-$T265))</f>
      </c>
      <c r="V265" s="25">
        <f>IF($A265="","",$K265+$S265)</f>
      </c>
      <c r="W265" s="24">
        <f>IF($A265="","",$L265+$T265)</f>
      </c>
      <c r="X265" s="25">
        <f>IF($A265="","",$M265+$U265)</f>
      </c>
      <c r="Y265" s="29">
        <f>IF($A265="","",$J265+$R265)</f>
      </c>
    </row>
    <row r="266">
      <c r="A266" s="20">
        <f>IF('POINTAGE'!A266="","",'POINTAGE'!A266)</f>
      </c>
      <c r="B266" s="19">
        <f>IF($A266="","",'POINTAGE'!B266)</f>
      </c>
      <c r="C266" s="20">
        <f>IF($A266="","",'POINTAGE'!C266)</f>
      </c>
      <c r="D266" s="24">
        <f>IF($A266="","",IFERROR(INDEX(Categories_Salaire,MATCH($C266,ListeCategories,0)),0))</f>
      </c>
      <c r="E266" s="24">
        <f>IF($A266="","",IF(IFERROR(INDEX(Categories_TauxHS,MATCH($C266,ListeCategories,0)),0)&gt;0,IFERROR(INDEX(Categories_TauxHS,MATCH($C266,ListeCategories,0)),0),TauxHSDefaut))</f>
      </c>
      <c r="F266" s="22">
        <f>IF($A266="","",SUM(IF('POINTAGE'!$D$5&lt;&gt;"",--('POINTAGE'!D266="Présent"),0),IF('POINTAGE'!$F$5&lt;&gt;"",--('POINTAGE'!F266="Présent"),0),IF('POINTAGE'!$H$5&lt;&gt;"",--('POINTAGE'!H266="Présent"),0),IF('POINTAGE'!$J$5&lt;&gt;"",--('POINTAGE'!J266="Présent"),0),IF('POINTAGE'!$L$5&lt;&gt;"",--('POINTAGE'!L266="Présent"),0),IF('POINTAGE'!$N$5&lt;&gt;"",--('POINTAGE'!N266="Présent"),0),IF('POINTAGE'!$P$5&lt;&gt;"",--('POINTAGE'!P266="Présent"),0),IF('POINTAGE'!$R$5&lt;&gt;"",--('POINTAGE'!R266="Présent"),0),IF('POINTAGE'!$T$5&lt;&gt;"",--('POINTAGE'!T266="Présent"),0),IF('POINTAGE'!$V$5&lt;&gt;"",--('POINTAGE'!V266="Présent"),0),IF('POINTAGE'!$X$5&lt;&gt;"",--('POINTAGE'!X266="Présent"),0),IF('POINTAGE'!$Z$5&lt;&gt;"",--('POINTAGE'!Z266="Présent"),0),IF('POINTAGE'!$AB$5&lt;&gt;"",--('POINTAGE'!AB266="Présent"),0),IF('POINTAGE'!$AD$5&lt;&gt;"",--('POINTAGE'!AD266="Présent"),0),IF('POINTAGE'!$AF$5&lt;&gt;"",--('POINTAGE'!AF266="Présent"),0)))</f>
      </c>
      <c r="G266" s="22">
        <f>IF($A266="","",SUM(IF('POINTAGE'!$D$5&lt;&gt;"",--('POINTAGE'!D266="Absent"),0),IF('POINTAGE'!$F$5&lt;&gt;"",--('POINTAGE'!F266="Absent"),0),IF('POINTAGE'!$H$5&lt;&gt;"",--('POINTAGE'!H266="Absent"),0),IF('POINTAGE'!$J$5&lt;&gt;"",--('POINTAGE'!J266="Absent"),0),IF('POINTAGE'!$L$5&lt;&gt;"",--('POINTAGE'!L266="Absent"),0),IF('POINTAGE'!$N$5&lt;&gt;"",--('POINTAGE'!N266="Absent"),0),IF('POINTAGE'!$P$5&lt;&gt;"",--('POINTAGE'!P266="Absent"),0),IF('POINTAGE'!$R$5&lt;&gt;"",--('POINTAGE'!R266="Absent"),0),IF('POINTAGE'!$T$5&lt;&gt;"",--('POINTAGE'!T266="Absent"),0),IF('POINTAGE'!$V$5&lt;&gt;"",--('POINTAGE'!V266="Absent"),0),IF('POINTAGE'!$X$5&lt;&gt;"",--('POINTAGE'!X266="Absent"),0),IF('POINTAGE'!$Z$5&lt;&gt;"",--('POINTAGE'!Z266="Absent"),0),IF('POINTAGE'!$AB$5&lt;&gt;"",--('POINTAGE'!AB266="Absent"),0),IF('POINTAGE'!$AD$5&lt;&gt;"",--('POINTAGE'!AD266="Absent"),0),IF('POINTAGE'!$AF$5&lt;&gt;"",--('POINTAGE'!AF266="Absent"),0)))</f>
      </c>
      <c r="H266" s="23">
        <f>IF($A266="","",SUM(IF('POINTAGE'!$D$5&lt;&gt;"",IF('POINTAGE'!D266="Présent",'POINTAGE'!E266,0),0),IF('POINTAGE'!$F$5&lt;&gt;"",IF('POINTAGE'!F266="Présent",'POINTAGE'!G266,0),0),IF('POINTAGE'!$H$5&lt;&gt;"",IF('POINTAGE'!H266="Présent",'POINTAGE'!I266,0),0),IF('POINTAGE'!$J$5&lt;&gt;"",IF('POINTAGE'!J266="Présent",'POINTAGE'!K266,0),0),IF('POINTAGE'!$L$5&lt;&gt;"",IF('POINTAGE'!L266="Présent",'POINTAGE'!M266,0),0),IF('POINTAGE'!$N$5&lt;&gt;"",IF('POINTAGE'!N266="Présent",'POINTAGE'!O266,0),0),IF('POINTAGE'!$P$5&lt;&gt;"",IF('POINTAGE'!P266="Présent",'POINTAGE'!Q266,0),0),IF('POINTAGE'!$R$5&lt;&gt;"",IF('POINTAGE'!R266="Présent",'POINTAGE'!S266,0),0),IF('POINTAGE'!$T$5&lt;&gt;"",IF('POINTAGE'!T266="Présent",'POINTAGE'!U266,0),0),IF('POINTAGE'!$V$5&lt;&gt;"",IF('POINTAGE'!V266="Présent",'POINTAGE'!W266,0),0),IF('POINTAGE'!$X$5&lt;&gt;"",IF('POINTAGE'!X266="Présent",'POINTAGE'!Y266,0),0),IF('POINTAGE'!$Z$5&lt;&gt;"",IF('POINTAGE'!Z266="Présent",'POINTAGE'!AA266,0),0),IF('POINTAGE'!$AB$5&lt;&gt;"",IF('POINTAGE'!AB266="Présent",'POINTAGE'!AC266,0),0),IF('POINTAGE'!$AD$5&lt;&gt;"",IF('POINTAGE'!AD266="Présent",'POINTAGE'!AE266,0),0),IF('POINTAGE'!$AF$5&lt;&gt;"",IF('POINTAGE'!AF266="Présent",'POINTAGE'!AG266,0),0)))</f>
      </c>
      <c r="I266" s="24">
        <f>IF($A266="","",$F266*$D266)</f>
      </c>
      <c r="J266" s="24">
        <f>IF($A266="","",$H266*$E266)</f>
      </c>
      <c r="K266" s="25">
        <f>IF($A266="","",$I266+$J266)</f>
      </c>
      <c r="L266" s="18"/>
      <c r="M266" s="25">
        <f>IF($A266="","",MAX(0,$K266-$L266))</f>
      </c>
      <c r="N266" s="22">
        <f>IF($A266="","",SUM(IF('POINTAGE'!$AH$5&lt;&gt;"",--('POINTAGE'!AH266="Présent"),0),IF('POINTAGE'!$AJ$5&lt;&gt;"",--('POINTAGE'!AJ266="Présent"),0),IF('POINTAGE'!$AL$5&lt;&gt;"",--('POINTAGE'!AL266="Présent"),0),IF('POINTAGE'!$AN$5&lt;&gt;"",--('POINTAGE'!AN266="Présent"),0),IF('POINTAGE'!$AP$5&lt;&gt;"",--('POINTAGE'!AP266="Présent"),0),IF('POINTAGE'!$AR$5&lt;&gt;"",--('POINTAGE'!AR266="Présent"),0),IF('POINTAGE'!$AT$5&lt;&gt;"",--('POINTAGE'!AT266="Présent"),0),IF('POINTAGE'!$AV$5&lt;&gt;"",--('POINTAGE'!AV266="Présent"),0),IF('POINTAGE'!$AX$5&lt;&gt;"",--('POINTAGE'!AX266="Présent"),0),IF('POINTAGE'!$AZ$5&lt;&gt;"",--('POINTAGE'!AZ266="Présent"),0),IF('POINTAGE'!$BB$5&lt;&gt;"",--('POINTAGE'!BB266="Présent"),0),IF('POINTAGE'!$BD$5&lt;&gt;"",--('POINTAGE'!BD266="Présent"),0),IF('POINTAGE'!$BF$5&lt;&gt;"",--('POINTAGE'!BF266="Présent"),0),IF('POINTAGE'!$BH$5&lt;&gt;"",--('POINTAGE'!BH266="Présent"),0),IF('POINTAGE'!$BJ$5&lt;&gt;"",--('POINTAGE'!BJ266="Présent"),0),IF('POINTAGE'!$BL$5&lt;&gt;"",--('POINTAGE'!BL266="Présent"),0)))</f>
      </c>
      <c r="O266" s="22">
        <f>IF($A266="","",SUM(IF('POINTAGE'!$AH$5&lt;&gt;"",--('POINTAGE'!AH266="Absent"),0),IF('POINTAGE'!$AJ$5&lt;&gt;"",--('POINTAGE'!AJ266="Absent"),0),IF('POINTAGE'!$AL$5&lt;&gt;"",--('POINTAGE'!AL266="Absent"),0),IF('POINTAGE'!$AN$5&lt;&gt;"",--('POINTAGE'!AN266="Absent"),0),IF('POINTAGE'!$AP$5&lt;&gt;"",--('POINTAGE'!AP266="Absent"),0),IF('POINTAGE'!$AR$5&lt;&gt;"",--('POINTAGE'!AR266="Absent"),0),IF('POINTAGE'!$AT$5&lt;&gt;"",--('POINTAGE'!AT266="Absent"),0),IF('POINTAGE'!$AV$5&lt;&gt;"",--('POINTAGE'!AV266="Absent"),0),IF('POINTAGE'!$AX$5&lt;&gt;"",--('POINTAGE'!AX266="Absent"),0),IF('POINTAGE'!$AZ$5&lt;&gt;"",--('POINTAGE'!AZ266="Absent"),0),IF('POINTAGE'!$BB$5&lt;&gt;"",--('POINTAGE'!BB266="Absent"),0),IF('POINTAGE'!$BD$5&lt;&gt;"",--('POINTAGE'!BD266="Absent"),0),IF('POINTAGE'!$BF$5&lt;&gt;"",--('POINTAGE'!BF266="Absent"),0),IF('POINTAGE'!$BH$5&lt;&gt;"",--('POINTAGE'!BH266="Absent"),0),IF('POINTAGE'!$BJ$5&lt;&gt;"",--('POINTAGE'!BJ266="Absent"),0),IF('POINTAGE'!$BL$5&lt;&gt;"",--('POINTAGE'!BL266="Absent"),0)))</f>
      </c>
      <c r="P266" s="23">
        <f>IF($A266="","",SUM(IF('POINTAGE'!$AH$5&lt;&gt;"",IF('POINTAGE'!AH266="Présent",'POINTAGE'!AI266,0),0),IF('POINTAGE'!$AJ$5&lt;&gt;"",IF('POINTAGE'!AJ266="Présent",'POINTAGE'!AK266,0),0),IF('POINTAGE'!$AL$5&lt;&gt;"",IF('POINTAGE'!AL266="Présent",'POINTAGE'!AM266,0),0),IF('POINTAGE'!$AN$5&lt;&gt;"",IF('POINTAGE'!AN266="Présent",'POINTAGE'!AO266,0),0),IF('POINTAGE'!$AP$5&lt;&gt;"",IF('POINTAGE'!AP266="Présent",'POINTAGE'!AQ266,0),0),IF('POINTAGE'!$AR$5&lt;&gt;"",IF('POINTAGE'!AR266="Présent",'POINTAGE'!AS266,0),0),IF('POINTAGE'!$AT$5&lt;&gt;"",IF('POINTAGE'!AT266="Présent",'POINTAGE'!AU266,0),0),IF('POINTAGE'!$AV$5&lt;&gt;"",IF('POINTAGE'!AV266="Présent",'POINTAGE'!AW266,0),0),IF('POINTAGE'!$AX$5&lt;&gt;"",IF('POINTAGE'!AX266="Présent",'POINTAGE'!AY266,0),0),IF('POINTAGE'!$AZ$5&lt;&gt;"",IF('POINTAGE'!AZ266="Présent",'POINTAGE'!BA266,0),0),IF('POINTAGE'!$BB$5&lt;&gt;"",IF('POINTAGE'!BB266="Présent",'POINTAGE'!BC266,0),0),IF('POINTAGE'!$BD$5&lt;&gt;"",IF('POINTAGE'!BD266="Présent",'POINTAGE'!BE266,0),0),IF('POINTAGE'!$BF$5&lt;&gt;"",IF('POINTAGE'!BF266="Présent",'POINTAGE'!BG266,0),0),IF('POINTAGE'!$BH$5&lt;&gt;"",IF('POINTAGE'!BH266="Présent",'POINTAGE'!BI266,0),0),IF('POINTAGE'!$BJ$5&lt;&gt;"",IF('POINTAGE'!BJ266="Présent",'POINTAGE'!BK266,0),0),IF('POINTAGE'!$BL$5&lt;&gt;"",IF('POINTAGE'!BL266="Présent",'POINTAGE'!BM266,0),0)))</f>
      </c>
      <c r="Q266" s="24">
        <f>IF($A266="","",$N266*$D266)</f>
      </c>
      <c r="R266" s="24">
        <f>IF($A266="","",$P266*$E266)</f>
      </c>
      <c r="S266" s="25">
        <f>IF($A266="","",$Q266+$R266)</f>
      </c>
      <c r="T266" s="18"/>
      <c r="U266" s="25">
        <f>IF($A266="","",MAX(0,$S266-$T266))</f>
      </c>
      <c r="V266" s="25">
        <f>IF($A266="","",$K266+$S266)</f>
      </c>
      <c r="W266" s="24">
        <f>IF($A266="","",$L266+$T266)</f>
      </c>
      <c r="X266" s="25">
        <f>IF($A266="","",$M266+$U266)</f>
      </c>
      <c r="Y266" s="29">
        <f>IF($A266="","",$J266+$R266)</f>
      </c>
    </row>
    <row r="267">
      <c r="A267" s="20">
        <f>IF('POINTAGE'!A267="","",'POINTAGE'!A267)</f>
      </c>
      <c r="B267" s="19">
        <f>IF($A267="","",'POINTAGE'!B267)</f>
      </c>
      <c r="C267" s="20">
        <f>IF($A267="","",'POINTAGE'!C267)</f>
      </c>
      <c r="D267" s="24">
        <f>IF($A267="","",IFERROR(INDEX(Categories_Salaire,MATCH($C267,ListeCategories,0)),0))</f>
      </c>
      <c r="E267" s="24">
        <f>IF($A267="","",IF(IFERROR(INDEX(Categories_TauxHS,MATCH($C267,ListeCategories,0)),0)&gt;0,IFERROR(INDEX(Categories_TauxHS,MATCH($C267,ListeCategories,0)),0),TauxHSDefaut))</f>
      </c>
      <c r="F267" s="22">
        <f>IF($A267="","",SUM(IF('POINTAGE'!$D$5&lt;&gt;"",--('POINTAGE'!D267="Présent"),0),IF('POINTAGE'!$F$5&lt;&gt;"",--('POINTAGE'!F267="Présent"),0),IF('POINTAGE'!$H$5&lt;&gt;"",--('POINTAGE'!H267="Présent"),0),IF('POINTAGE'!$J$5&lt;&gt;"",--('POINTAGE'!J267="Présent"),0),IF('POINTAGE'!$L$5&lt;&gt;"",--('POINTAGE'!L267="Présent"),0),IF('POINTAGE'!$N$5&lt;&gt;"",--('POINTAGE'!N267="Présent"),0),IF('POINTAGE'!$P$5&lt;&gt;"",--('POINTAGE'!P267="Présent"),0),IF('POINTAGE'!$R$5&lt;&gt;"",--('POINTAGE'!R267="Présent"),0),IF('POINTAGE'!$T$5&lt;&gt;"",--('POINTAGE'!T267="Présent"),0),IF('POINTAGE'!$V$5&lt;&gt;"",--('POINTAGE'!V267="Présent"),0),IF('POINTAGE'!$X$5&lt;&gt;"",--('POINTAGE'!X267="Présent"),0),IF('POINTAGE'!$Z$5&lt;&gt;"",--('POINTAGE'!Z267="Présent"),0),IF('POINTAGE'!$AB$5&lt;&gt;"",--('POINTAGE'!AB267="Présent"),0),IF('POINTAGE'!$AD$5&lt;&gt;"",--('POINTAGE'!AD267="Présent"),0),IF('POINTAGE'!$AF$5&lt;&gt;"",--('POINTAGE'!AF267="Présent"),0)))</f>
      </c>
      <c r="G267" s="22">
        <f>IF($A267="","",SUM(IF('POINTAGE'!$D$5&lt;&gt;"",--('POINTAGE'!D267="Absent"),0),IF('POINTAGE'!$F$5&lt;&gt;"",--('POINTAGE'!F267="Absent"),0),IF('POINTAGE'!$H$5&lt;&gt;"",--('POINTAGE'!H267="Absent"),0),IF('POINTAGE'!$J$5&lt;&gt;"",--('POINTAGE'!J267="Absent"),0),IF('POINTAGE'!$L$5&lt;&gt;"",--('POINTAGE'!L267="Absent"),0),IF('POINTAGE'!$N$5&lt;&gt;"",--('POINTAGE'!N267="Absent"),0),IF('POINTAGE'!$P$5&lt;&gt;"",--('POINTAGE'!P267="Absent"),0),IF('POINTAGE'!$R$5&lt;&gt;"",--('POINTAGE'!R267="Absent"),0),IF('POINTAGE'!$T$5&lt;&gt;"",--('POINTAGE'!T267="Absent"),0),IF('POINTAGE'!$V$5&lt;&gt;"",--('POINTAGE'!V267="Absent"),0),IF('POINTAGE'!$X$5&lt;&gt;"",--('POINTAGE'!X267="Absent"),0),IF('POINTAGE'!$Z$5&lt;&gt;"",--('POINTAGE'!Z267="Absent"),0),IF('POINTAGE'!$AB$5&lt;&gt;"",--('POINTAGE'!AB267="Absent"),0),IF('POINTAGE'!$AD$5&lt;&gt;"",--('POINTAGE'!AD267="Absent"),0),IF('POINTAGE'!$AF$5&lt;&gt;"",--('POINTAGE'!AF267="Absent"),0)))</f>
      </c>
      <c r="H267" s="23">
        <f>IF($A267="","",SUM(IF('POINTAGE'!$D$5&lt;&gt;"",IF('POINTAGE'!D267="Présent",'POINTAGE'!E267,0),0),IF('POINTAGE'!$F$5&lt;&gt;"",IF('POINTAGE'!F267="Présent",'POINTAGE'!G267,0),0),IF('POINTAGE'!$H$5&lt;&gt;"",IF('POINTAGE'!H267="Présent",'POINTAGE'!I267,0),0),IF('POINTAGE'!$J$5&lt;&gt;"",IF('POINTAGE'!J267="Présent",'POINTAGE'!K267,0),0),IF('POINTAGE'!$L$5&lt;&gt;"",IF('POINTAGE'!L267="Présent",'POINTAGE'!M267,0),0),IF('POINTAGE'!$N$5&lt;&gt;"",IF('POINTAGE'!N267="Présent",'POINTAGE'!O267,0),0),IF('POINTAGE'!$P$5&lt;&gt;"",IF('POINTAGE'!P267="Présent",'POINTAGE'!Q267,0),0),IF('POINTAGE'!$R$5&lt;&gt;"",IF('POINTAGE'!R267="Présent",'POINTAGE'!S267,0),0),IF('POINTAGE'!$T$5&lt;&gt;"",IF('POINTAGE'!T267="Présent",'POINTAGE'!U267,0),0),IF('POINTAGE'!$V$5&lt;&gt;"",IF('POINTAGE'!V267="Présent",'POINTAGE'!W267,0),0),IF('POINTAGE'!$X$5&lt;&gt;"",IF('POINTAGE'!X267="Présent",'POINTAGE'!Y267,0),0),IF('POINTAGE'!$Z$5&lt;&gt;"",IF('POINTAGE'!Z267="Présent",'POINTAGE'!AA267,0),0),IF('POINTAGE'!$AB$5&lt;&gt;"",IF('POINTAGE'!AB267="Présent",'POINTAGE'!AC267,0),0),IF('POINTAGE'!$AD$5&lt;&gt;"",IF('POINTAGE'!AD267="Présent",'POINTAGE'!AE267,0),0),IF('POINTAGE'!$AF$5&lt;&gt;"",IF('POINTAGE'!AF267="Présent",'POINTAGE'!AG267,0),0)))</f>
      </c>
      <c r="I267" s="24">
        <f>IF($A267="","",$F267*$D267)</f>
      </c>
      <c r="J267" s="24">
        <f>IF($A267="","",$H267*$E267)</f>
      </c>
      <c r="K267" s="25">
        <f>IF($A267="","",$I267+$J267)</f>
      </c>
      <c r="L267" s="18"/>
      <c r="M267" s="25">
        <f>IF($A267="","",MAX(0,$K267-$L267))</f>
      </c>
      <c r="N267" s="22">
        <f>IF($A267="","",SUM(IF('POINTAGE'!$AH$5&lt;&gt;"",--('POINTAGE'!AH267="Présent"),0),IF('POINTAGE'!$AJ$5&lt;&gt;"",--('POINTAGE'!AJ267="Présent"),0),IF('POINTAGE'!$AL$5&lt;&gt;"",--('POINTAGE'!AL267="Présent"),0),IF('POINTAGE'!$AN$5&lt;&gt;"",--('POINTAGE'!AN267="Présent"),0),IF('POINTAGE'!$AP$5&lt;&gt;"",--('POINTAGE'!AP267="Présent"),0),IF('POINTAGE'!$AR$5&lt;&gt;"",--('POINTAGE'!AR267="Présent"),0),IF('POINTAGE'!$AT$5&lt;&gt;"",--('POINTAGE'!AT267="Présent"),0),IF('POINTAGE'!$AV$5&lt;&gt;"",--('POINTAGE'!AV267="Présent"),0),IF('POINTAGE'!$AX$5&lt;&gt;"",--('POINTAGE'!AX267="Présent"),0),IF('POINTAGE'!$AZ$5&lt;&gt;"",--('POINTAGE'!AZ267="Présent"),0),IF('POINTAGE'!$BB$5&lt;&gt;"",--('POINTAGE'!BB267="Présent"),0),IF('POINTAGE'!$BD$5&lt;&gt;"",--('POINTAGE'!BD267="Présent"),0),IF('POINTAGE'!$BF$5&lt;&gt;"",--('POINTAGE'!BF267="Présent"),0),IF('POINTAGE'!$BH$5&lt;&gt;"",--('POINTAGE'!BH267="Présent"),0),IF('POINTAGE'!$BJ$5&lt;&gt;"",--('POINTAGE'!BJ267="Présent"),0),IF('POINTAGE'!$BL$5&lt;&gt;"",--('POINTAGE'!BL267="Présent"),0)))</f>
      </c>
      <c r="O267" s="22">
        <f>IF($A267="","",SUM(IF('POINTAGE'!$AH$5&lt;&gt;"",--('POINTAGE'!AH267="Absent"),0),IF('POINTAGE'!$AJ$5&lt;&gt;"",--('POINTAGE'!AJ267="Absent"),0),IF('POINTAGE'!$AL$5&lt;&gt;"",--('POINTAGE'!AL267="Absent"),0),IF('POINTAGE'!$AN$5&lt;&gt;"",--('POINTAGE'!AN267="Absent"),0),IF('POINTAGE'!$AP$5&lt;&gt;"",--('POINTAGE'!AP267="Absent"),0),IF('POINTAGE'!$AR$5&lt;&gt;"",--('POINTAGE'!AR267="Absent"),0),IF('POINTAGE'!$AT$5&lt;&gt;"",--('POINTAGE'!AT267="Absent"),0),IF('POINTAGE'!$AV$5&lt;&gt;"",--('POINTAGE'!AV267="Absent"),0),IF('POINTAGE'!$AX$5&lt;&gt;"",--('POINTAGE'!AX267="Absent"),0),IF('POINTAGE'!$AZ$5&lt;&gt;"",--('POINTAGE'!AZ267="Absent"),0),IF('POINTAGE'!$BB$5&lt;&gt;"",--('POINTAGE'!BB267="Absent"),0),IF('POINTAGE'!$BD$5&lt;&gt;"",--('POINTAGE'!BD267="Absent"),0),IF('POINTAGE'!$BF$5&lt;&gt;"",--('POINTAGE'!BF267="Absent"),0),IF('POINTAGE'!$BH$5&lt;&gt;"",--('POINTAGE'!BH267="Absent"),0),IF('POINTAGE'!$BJ$5&lt;&gt;"",--('POINTAGE'!BJ267="Absent"),0),IF('POINTAGE'!$BL$5&lt;&gt;"",--('POINTAGE'!BL267="Absent"),0)))</f>
      </c>
      <c r="P267" s="23">
        <f>IF($A267="","",SUM(IF('POINTAGE'!$AH$5&lt;&gt;"",IF('POINTAGE'!AH267="Présent",'POINTAGE'!AI267,0),0),IF('POINTAGE'!$AJ$5&lt;&gt;"",IF('POINTAGE'!AJ267="Présent",'POINTAGE'!AK267,0),0),IF('POINTAGE'!$AL$5&lt;&gt;"",IF('POINTAGE'!AL267="Présent",'POINTAGE'!AM267,0),0),IF('POINTAGE'!$AN$5&lt;&gt;"",IF('POINTAGE'!AN267="Présent",'POINTAGE'!AO267,0),0),IF('POINTAGE'!$AP$5&lt;&gt;"",IF('POINTAGE'!AP267="Présent",'POINTAGE'!AQ267,0),0),IF('POINTAGE'!$AR$5&lt;&gt;"",IF('POINTAGE'!AR267="Présent",'POINTAGE'!AS267,0),0),IF('POINTAGE'!$AT$5&lt;&gt;"",IF('POINTAGE'!AT267="Présent",'POINTAGE'!AU267,0),0),IF('POINTAGE'!$AV$5&lt;&gt;"",IF('POINTAGE'!AV267="Présent",'POINTAGE'!AW267,0),0),IF('POINTAGE'!$AX$5&lt;&gt;"",IF('POINTAGE'!AX267="Présent",'POINTAGE'!AY267,0),0),IF('POINTAGE'!$AZ$5&lt;&gt;"",IF('POINTAGE'!AZ267="Présent",'POINTAGE'!BA267,0),0),IF('POINTAGE'!$BB$5&lt;&gt;"",IF('POINTAGE'!BB267="Présent",'POINTAGE'!BC267,0),0),IF('POINTAGE'!$BD$5&lt;&gt;"",IF('POINTAGE'!BD267="Présent",'POINTAGE'!BE267,0),0),IF('POINTAGE'!$BF$5&lt;&gt;"",IF('POINTAGE'!BF267="Présent",'POINTAGE'!BG267,0),0),IF('POINTAGE'!$BH$5&lt;&gt;"",IF('POINTAGE'!BH267="Présent",'POINTAGE'!BI267,0),0),IF('POINTAGE'!$BJ$5&lt;&gt;"",IF('POINTAGE'!BJ267="Présent",'POINTAGE'!BK267,0),0),IF('POINTAGE'!$BL$5&lt;&gt;"",IF('POINTAGE'!BL267="Présent",'POINTAGE'!BM267,0),0)))</f>
      </c>
      <c r="Q267" s="24">
        <f>IF($A267="","",$N267*$D267)</f>
      </c>
      <c r="R267" s="24">
        <f>IF($A267="","",$P267*$E267)</f>
      </c>
      <c r="S267" s="25">
        <f>IF($A267="","",$Q267+$R267)</f>
      </c>
      <c r="T267" s="18"/>
      <c r="U267" s="25">
        <f>IF($A267="","",MAX(0,$S267-$T267))</f>
      </c>
      <c r="V267" s="25">
        <f>IF($A267="","",$K267+$S267)</f>
      </c>
      <c r="W267" s="24">
        <f>IF($A267="","",$L267+$T267)</f>
      </c>
      <c r="X267" s="25">
        <f>IF($A267="","",$M267+$U267)</f>
      </c>
      <c r="Y267" s="29">
        <f>IF($A267="","",$J267+$R267)</f>
      </c>
    </row>
    <row r="268">
      <c r="A268" s="20">
        <f>IF('POINTAGE'!A268="","",'POINTAGE'!A268)</f>
      </c>
      <c r="B268" s="19">
        <f>IF($A268="","",'POINTAGE'!B268)</f>
      </c>
      <c r="C268" s="20">
        <f>IF($A268="","",'POINTAGE'!C268)</f>
      </c>
      <c r="D268" s="24">
        <f>IF($A268="","",IFERROR(INDEX(Categories_Salaire,MATCH($C268,ListeCategories,0)),0))</f>
      </c>
      <c r="E268" s="24">
        <f>IF($A268="","",IF(IFERROR(INDEX(Categories_TauxHS,MATCH($C268,ListeCategories,0)),0)&gt;0,IFERROR(INDEX(Categories_TauxHS,MATCH($C268,ListeCategories,0)),0),TauxHSDefaut))</f>
      </c>
      <c r="F268" s="22">
        <f>IF($A268="","",SUM(IF('POINTAGE'!$D$5&lt;&gt;"",--('POINTAGE'!D268="Présent"),0),IF('POINTAGE'!$F$5&lt;&gt;"",--('POINTAGE'!F268="Présent"),0),IF('POINTAGE'!$H$5&lt;&gt;"",--('POINTAGE'!H268="Présent"),0),IF('POINTAGE'!$J$5&lt;&gt;"",--('POINTAGE'!J268="Présent"),0),IF('POINTAGE'!$L$5&lt;&gt;"",--('POINTAGE'!L268="Présent"),0),IF('POINTAGE'!$N$5&lt;&gt;"",--('POINTAGE'!N268="Présent"),0),IF('POINTAGE'!$P$5&lt;&gt;"",--('POINTAGE'!P268="Présent"),0),IF('POINTAGE'!$R$5&lt;&gt;"",--('POINTAGE'!R268="Présent"),0),IF('POINTAGE'!$T$5&lt;&gt;"",--('POINTAGE'!T268="Présent"),0),IF('POINTAGE'!$V$5&lt;&gt;"",--('POINTAGE'!V268="Présent"),0),IF('POINTAGE'!$X$5&lt;&gt;"",--('POINTAGE'!X268="Présent"),0),IF('POINTAGE'!$Z$5&lt;&gt;"",--('POINTAGE'!Z268="Présent"),0),IF('POINTAGE'!$AB$5&lt;&gt;"",--('POINTAGE'!AB268="Présent"),0),IF('POINTAGE'!$AD$5&lt;&gt;"",--('POINTAGE'!AD268="Présent"),0),IF('POINTAGE'!$AF$5&lt;&gt;"",--('POINTAGE'!AF268="Présent"),0)))</f>
      </c>
      <c r="G268" s="22">
        <f>IF($A268="","",SUM(IF('POINTAGE'!$D$5&lt;&gt;"",--('POINTAGE'!D268="Absent"),0),IF('POINTAGE'!$F$5&lt;&gt;"",--('POINTAGE'!F268="Absent"),0),IF('POINTAGE'!$H$5&lt;&gt;"",--('POINTAGE'!H268="Absent"),0),IF('POINTAGE'!$J$5&lt;&gt;"",--('POINTAGE'!J268="Absent"),0),IF('POINTAGE'!$L$5&lt;&gt;"",--('POINTAGE'!L268="Absent"),0),IF('POINTAGE'!$N$5&lt;&gt;"",--('POINTAGE'!N268="Absent"),0),IF('POINTAGE'!$P$5&lt;&gt;"",--('POINTAGE'!P268="Absent"),0),IF('POINTAGE'!$R$5&lt;&gt;"",--('POINTAGE'!R268="Absent"),0),IF('POINTAGE'!$T$5&lt;&gt;"",--('POINTAGE'!T268="Absent"),0),IF('POINTAGE'!$V$5&lt;&gt;"",--('POINTAGE'!V268="Absent"),0),IF('POINTAGE'!$X$5&lt;&gt;"",--('POINTAGE'!X268="Absent"),0),IF('POINTAGE'!$Z$5&lt;&gt;"",--('POINTAGE'!Z268="Absent"),0),IF('POINTAGE'!$AB$5&lt;&gt;"",--('POINTAGE'!AB268="Absent"),0),IF('POINTAGE'!$AD$5&lt;&gt;"",--('POINTAGE'!AD268="Absent"),0),IF('POINTAGE'!$AF$5&lt;&gt;"",--('POINTAGE'!AF268="Absent"),0)))</f>
      </c>
      <c r="H268" s="23">
        <f>IF($A268="","",SUM(IF('POINTAGE'!$D$5&lt;&gt;"",IF('POINTAGE'!D268="Présent",'POINTAGE'!E268,0),0),IF('POINTAGE'!$F$5&lt;&gt;"",IF('POINTAGE'!F268="Présent",'POINTAGE'!G268,0),0),IF('POINTAGE'!$H$5&lt;&gt;"",IF('POINTAGE'!H268="Présent",'POINTAGE'!I268,0),0),IF('POINTAGE'!$J$5&lt;&gt;"",IF('POINTAGE'!J268="Présent",'POINTAGE'!K268,0),0),IF('POINTAGE'!$L$5&lt;&gt;"",IF('POINTAGE'!L268="Présent",'POINTAGE'!M268,0),0),IF('POINTAGE'!$N$5&lt;&gt;"",IF('POINTAGE'!N268="Présent",'POINTAGE'!O268,0),0),IF('POINTAGE'!$P$5&lt;&gt;"",IF('POINTAGE'!P268="Présent",'POINTAGE'!Q268,0),0),IF('POINTAGE'!$R$5&lt;&gt;"",IF('POINTAGE'!R268="Présent",'POINTAGE'!S268,0),0),IF('POINTAGE'!$T$5&lt;&gt;"",IF('POINTAGE'!T268="Présent",'POINTAGE'!U268,0),0),IF('POINTAGE'!$V$5&lt;&gt;"",IF('POINTAGE'!V268="Présent",'POINTAGE'!W268,0),0),IF('POINTAGE'!$X$5&lt;&gt;"",IF('POINTAGE'!X268="Présent",'POINTAGE'!Y268,0),0),IF('POINTAGE'!$Z$5&lt;&gt;"",IF('POINTAGE'!Z268="Présent",'POINTAGE'!AA268,0),0),IF('POINTAGE'!$AB$5&lt;&gt;"",IF('POINTAGE'!AB268="Présent",'POINTAGE'!AC268,0),0),IF('POINTAGE'!$AD$5&lt;&gt;"",IF('POINTAGE'!AD268="Présent",'POINTAGE'!AE268,0),0),IF('POINTAGE'!$AF$5&lt;&gt;"",IF('POINTAGE'!AF268="Présent",'POINTAGE'!AG268,0),0)))</f>
      </c>
      <c r="I268" s="24">
        <f>IF($A268="","",$F268*$D268)</f>
      </c>
      <c r="J268" s="24">
        <f>IF($A268="","",$H268*$E268)</f>
      </c>
      <c r="K268" s="25">
        <f>IF($A268="","",$I268+$J268)</f>
      </c>
      <c r="L268" s="18"/>
      <c r="M268" s="25">
        <f>IF($A268="","",MAX(0,$K268-$L268))</f>
      </c>
      <c r="N268" s="22">
        <f>IF($A268="","",SUM(IF('POINTAGE'!$AH$5&lt;&gt;"",--('POINTAGE'!AH268="Présent"),0),IF('POINTAGE'!$AJ$5&lt;&gt;"",--('POINTAGE'!AJ268="Présent"),0),IF('POINTAGE'!$AL$5&lt;&gt;"",--('POINTAGE'!AL268="Présent"),0),IF('POINTAGE'!$AN$5&lt;&gt;"",--('POINTAGE'!AN268="Présent"),0),IF('POINTAGE'!$AP$5&lt;&gt;"",--('POINTAGE'!AP268="Présent"),0),IF('POINTAGE'!$AR$5&lt;&gt;"",--('POINTAGE'!AR268="Présent"),0),IF('POINTAGE'!$AT$5&lt;&gt;"",--('POINTAGE'!AT268="Présent"),0),IF('POINTAGE'!$AV$5&lt;&gt;"",--('POINTAGE'!AV268="Présent"),0),IF('POINTAGE'!$AX$5&lt;&gt;"",--('POINTAGE'!AX268="Présent"),0),IF('POINTAGE'!$AZ$5&lt;&gt;"",--('POINTAGE'!AZ268="Présent"),0),IF('POINTAGE'!$BB$5&lt;&gt;"",--('POINTAGE'!BB268="Présent"),0),IF('POINTAGE'!$BD$5&lt;&gt;"",--('POINTAGE'!BD268="Présent"),0),IF('POINTAGE'!$BF$5&lt;&gt;"",--('POINTAGE'!BF268="Présent"),0),IF('POINTAGE'!$BH$5&lt;&gt;"",--('POINTAGE'!BH268="Présent"),0),IF('POINTAGE'!$BJ$5&lt;&gt;"",--('POINTAGE'!BJ268="Présent"),0),IF('POINTAGE'!$BL$5&lt;&gt;"",--('POINTAGE'!BL268="Présent"),0)))</f>
      </c>
      <c r="O268" s="22">
        <f>IF($A268="","",SUM(IF('POINTAGE'!$AH$5&lt;&gt;"",--('POINTAGE'!AH268="Absent"),0),IF('POINTAGE'!$AJ$5&lt;&gt;"",--('POINTAGE'!AJ268="Absent"),0),IF('POINTAGE'!$AL$5&lt;&gt;"",--('POINTAGE'!AL268="Absent"),0),IF('POINTAGE'!$AN$5&lt;&gt;"",--('POINTAGE'!AN268="Absent"),0),IF('POINTAGE'!$AP$5&lt;&gt;"",--('POINTAGE'!AP268="Absent"),0),IF('POINTAGE'!$AR$5&lt;&gt;"",--('POINTAGE'!AR268="Absent"),0),IF('POINTAGE'!$AT$5&lt;&gt;"",--('POINTAGE'!AT268="Absent"),0),IF('POINTAGE'!$AV$5&lt;&gt;"",--('POINTAGE'!AV268="Absent"),0),IF('POINTAGE'!$AX$5&lt;&gt;"",--('POINTAGE'!AX268="Absent"),0),IF('POINTAGE'!$AZ$5&lt;&gt;"",--('POINTAGE'!AZ268="Absent"),0),IF('POINTAGE'!$BB$5&lt;&gt;"",--('POINTAGE'!BB268="Absent"),0),IF('POINTAGE'!$BD$5&lt;&gt;"",--('POINTAGE'!BD268="Absent"),0),IF('POINTAGE'!$BF$5&lt;&gt;"",--('POINTAGE'!BF268="Absent"),0),IF('POINTAGE'!$BH$5&lt;&gt;"",--('POINTAGE'!BH268="Absent"),0),IF('POINTAGE'!$BJ$5&lt;&gt;"",--('POINTAGE'!BJ268="Absent"),0),IF('POINTAGE'!$BL$5&lt;&gt;"",--('POINTAGE'!BL268="Absent"),0)))</f>
      </c>
      <c r="P268" s="23">
        <f>IF($A268="","",SUM(IF('POINTAGE'!$AH$5&lt;&gt;"",IF('POINTAGE'!AH268="Présent",'POINTAGE'!AI268,0),0),IF('POINTAGE'!$AJ$5&lt;&gt;"",IF('POINTAGE'!AJ268="Présent",'POINTAGE'!AK268,0),0),IF('POINTAGE'!$AL$5&lt;&gt;"",IF('POINTAGE'!AL268="Présent",'POINTAGE'!AM268,0),0),IF('POINTAGE'!$AN$5&lt;&gt;"",IF('POINTAGE'!AN268="Présent",'POINTAGE'!AO268,0),0),IF('POINTAGE'!$AP$5&lt;&gt;"",IF('POINTAGE'!AP268="Présent",'POINTAGE'!AQ268,0),0),IF('POINTAGE'!$AR$5&lt;&gt;"",IF('POINTAGE'!AR268="Présent",'POINTAGE'!AS268,0),0),IF('POINTAGE'!$AT$5&lt;&gt;"",IF('POINTAGE'!AT268="Présent",'POINTAGE'!AU268,0),0),IF('POINTAGE'!$AV$5&lt;&gt;"",IF('POINTAGE'!AV268="Présent",'POINTAGE'!AW268,0),0),IF('POINTAGE'!$AX$5&lt;&gt;"",IF('POINTAGE'!AX268="Présent",'POINTAGE'!AY268,0),0),IF('POINTAGE'!$AZ$5&lt;&gt;"",IF('POINTAGE'!AZ268="Présent",'POINTAGE'!BA268,0),0),IF('POINTAGE'!$BB$5&lt;&gt;"",IF('POINTAGE'!BB268="Présent",'POINTAGE'!BC268,0),0),IF('POINTAGE'!$BD$5&lt;&gt;"",IF('POINTAGE'!BD268="Présent",'POINTAGE'!BE268,0),0),IF('POINTAGE'!$BF$5&lt;&gt;"",IF('POINTAGE'!BF268="Présent",'POINTAGE'!BG268,0),0),IF('POINTAGE'!$BH$5&lt;&gt;"",IF('POINTAGE'!BH268="Présent",'POINTAGE'!BI268,0),0),IF('POINTAGE'!$BJ$5&lt;&gt;"",IF('POINTAGE'!BJ268="Présent",'POINTAGE'!BK268,0),0),IF('POINTAGE'!$BL$5&lt;&gt;"",IF('POINTAGE'!BL268="Présent",'POINTAGE'!BM268,0),0)))</f>
      </c>
      <c r="Q268" s="24">
        <f>IF($A268="","",$N268*$D268)</f>
      </c>
      <c r="R268" s="24">
        <f>IF($A268="","",$P268*$E268)</f>
      </c>
      <c r="S268" s="25">
        <f>IF($A268="","",$Q268+$R268)</f>
      </c>
      <c r="T268" s="18"/>
      <c r="U268" s="25">
        <f>IF($A268="","",MAX(0,$S268-$T268))</f>
      </c>
      <c r="V268" s="25">
        <f>IF($A268="","",$K268+$S268)</f>
      </c>
      <c r="W268" s="24">
        <f>IF($A268="","",$L268+$T268)</f>
      </c>
      <c r="X268" s="25">
        <f>IF($A268="","",$M268+$U268)</f>
      </c>
      <c r="Y268" s="29">
        <f>IF($A268="","",$J268+$R268)</f>
      </c>
    </row>
    <row r="269">
      <c r="A269" s="20">
        <f>IF('POINTAGE'!A269="","",'POINTAGE'!A269)</f>
      </c>
      <c r="B269" s="19">
        <f>IF($A269="","",'POINTAGE'!B269)</f>
      </c>
      <c r="C269" s="20">
        <f>IF($A269="","",'POINTAGE'!C269)</f>
      </c>
      <c r="D269" s="24">
        <f>IF($A269="","",IFERROR(INDEX(Categories_Salaire,MATCH($C269,ListeCategories,0)),0))</f>
      </c>
      <c r="E269" s="24">
        <f>IF($A269="","",IF(IFERROR(INDEX(Categories_TauxHS,MATCH($C269,ListeCategories,0)),0)&gt;0,IFERROR(INDEX(Categories_TauxHS,MATCH($C269,ListeCategories,0)),0),TauxHSDefaut))</f>
      </c>
      <c r="F269" s="22">
        <f>IF($A269="","",SUM(IF('POINTAGE'!$D$5&lt;&gt;"",--('POINTAGE'!D269="Présent"),0),IF('POINTAGE'!$F$5&lt;&gt;"",--('POINTAGE'!F269="Présent"),0),IF('POINTAGE'!$H$5&lt;&gt;"",--('POINTAGE'!H269="Présent"),0),IF('POINTAGE'!$J$5&lt;&gt;"",--('POINTAGE'!J269="Présent"),0),IF('POINTAGE'!$L$5&lt;&gt;"",--('POINTAGE'!L269="Présent"),0),IF('POINTAGE'!$N$5&lt;&gt;"",--('POINTAGE'!N269="Présent"),0),IF('POINTAGE'!$P$5&lt;&gt;"",--('POINTAGE'!P269="Présent"),0),IF('POINTAGE'!$R$5&lt;&gt;"",--('POINTAGE'!R269="Présent"),0),IF('POINTAGE'!$T$5&lt;&gt;"",--('POINTAGE'!T269="Présent"),0),IF('POINTAGE'!$V$5&lt;&gt;"",--('POINTAGE'!V269="Présent"),0),IF('POINTAGE'!$X$5&lt;&gt;"",--('POINTAGE'!X269="Présent"),0),IF('POINTAGE'!$Z$5&lt;&gt;"",--('POINTAGE'!Z269="Présent"),0),IF('POINTAGE'!$AB$5&lt;&gt;"",--('POINTAGE'!AB269="Présent"),0),IF('POINTAGE'!$AD$5&lt;&gt;"",--('POINTAGE'!AD269="Présent"),0),IF('POINTAGE'!$AF$5&lt;&gt;"",--('POINTAGE'!AF269="Présent"),0)))</f>
      </c>
      <c r="G269" s="22">
        <f>IF($A269="","",SUM(IF('POINTAGE'!$D$5&lt;&gt;"",--('POINTAGE'!D269="Absent"),0),IF('POINTAGE'!$F$5&lt;&gt;"",--('POINTAGE'!F269="Absent"),0),IF('POINTAGE'!$H$5&lt;&gt;"",--('POINTAGE'!H269="Absent"),0),IF('POINTAGE'!$J$5&lt;&gt;"",--('POINTAGE'!J269="Absent"),0),IF('POINTAGE'!$L$5&lt;&gt;"",--('POINTAGE'!L269="Absent"),0),IF('POINTAGE'!$N$5&lt;&gt;"",--('POINTAGE'!N269="Absent"),0),IF('POINTAGE'!$P$5&lt;&gt;"",--('POINTAGE'!P269="Absent"),0),IF('POINTAGE'!$R$5&lt;&gt;"",--('POINTAGE'!R269="Absent"),0),IF('POINTAGE'!$T$5&lt;&gt;"",--('POINTAGE'!T269="Absent"),0),IF('POINTAGE'!$V$5&lt;&gt;"",--('POINTAGE'!V269="Absent"),0),IF('POINTAGE'!$X$5&lt;&gt;"",--('POINTAGE'!X269="Absent"),0),IF('POINTAGE'!$Z$5&lt;&gt;"",--('POINTAGE'!Z269="Absent"),0),IF('POINTAGE'!$AB$5&lt;&gt;"",--('POINTAGE'!AB269="Absent"),0),IF('POINTAGE'!$AD$5&lt;&gt;"",--('POINTAGE'!AD269="Absent"),0),IF('POINTAGE'!$AF$5&lt;&gt;"",--('POINTAGE'!AF269="Absent"),0)))</f>
      </c>
      <c r="H269" s="23">
        <f>IF($A269="","",SUM(IF('POINTAGE'!$D$5&lt;&gt;"",IF('POINTAGE'!D269="Présent",'POINTAGE'!E269,0),0),IF('POINTAGE'!$F$5&lt;&gt;"",IF('POINTAGE'!F269="Présent",'POINTAGE'!G269,0),0),IF('POINTAGE'!$H$5&lt;&gt;"",IF('POINTAGE'!H269="Présent",'POINTAGE'!I269,0),0),IF('POINTAGE'!$J$5&lt;&gt;"",IF('POINTAGE'!J269="Présent",'POINTAGE'!K269,0),0),IF('POINTAGE'!$L$5&lt;&gt;"",IF('POINTAGE'!L269="Présent",'POINTAGE'!M269,0),0),IF('POINTAGE'!$N$5&lt;&gt;"",IF('POINTAGE'!N269="Présent",'POINTAGE'!O269,0),0),IF('POINTAGE'!$P$5&lt;&gt;"",IF('POINTAGE'!P269="Présent",'POINTAGE'!Q269,0),0),IF('POINTAGE'!$R$5&lt;&gt;"",IF('POINTAGE'!R269="Présent",'POINTAGE'!S269,0),0),IF('POINTAGE'!$T$5&lt;&gt;"",IF('POINTAGE'!T269="Présent",'POINTAGE'!U269,0),0),IF('POINTAGE'!$V$5&lt;&gt;"",IF('POINTAGE'!V269="Présent",'POINTAGE'!W269,0),0),IF('POINTAGE'!$X$5&lt;&gt;"",IF('POINTAGE'!X269="Présent",'POINTAGE'!Y269,0),0),IF('POINTAGE'!$Z$5&lt;&gt;"",IF('POINTAGE'!Z269="Présent",'POINTAGE'!AA269,0),0),IF('POINTAGE'!$AB$5&lt;&gt;"",IF('POINTAGE'!AB269="Présent",'POINTAGE'!AC269,0),0),IF('POINTAGE'!$AD$5&lt;&gt;"",IF('POINTAGE'!AD269="Présent",'POINTAGE'!AE269,0),0),IF('POINTAGE'!$AF$5&lt;&gt;"",IF('POINTAGE'!AF269="Présent",'POINTAGE'!AG269,0),0)))</f>
      </c>
      <c r="I269" s="24">
        <f>IF($A269="","",$F269*$D269)</f>
      </c>
      <c r="J269" s="24">
        <f>IF($A269="","",$H269*$E269)</f>
      </c>
      <c r="K269" s="25">
        <f>IF($A269="","",$I269+$J269)</f>
      </c>
      <c r="L269" s="18"/>
      <c r="M269" s="25">
        <f>IF($A269="","",MAX(0,$K269-$L269))</f>
      </c>
      <c r="N269" s="22">
        <f>IF($A269="","",SUM(IF('POINTAGE'!$AH$5&lt;&gt;"",--('POINTAGE'!AH269="Présent"),0),IF('POINTAGE'!$AJ$5&lt;&gt;"",--('POINTAGE'!AJ269="Présent"),0),IF('POINTAGE'!$AL$5&lt;&gt;"",--('POINTAGE'!AL269="Présent"),0),IF('POINTAGE'!$AN$5&lt;&gt;"",--('POINTAGE'!AN269="Présent"),0),IF('POINTAGE'!$AP$5&lt;&gt;"",--('POINTAGE'!AP269="Présent"),0),IF('POINTAGE'!$AR$5&lt;&gt;"",--('POINTAGE'!AR269="Présent"),0),IF('POINTAGE'!$AT$5&lt;&gt;"",--('POINTAGE'!AT269="Présent"),0),IF('POINTAGE'!$AV$5&lt;&gt;"",--('POINTAGE'!AV269="Présent"),0),IF('POINTAGE'!$AX$5&lt;&gt;"",--('POINTAGE'!AX269="Présent"),0),IF('POINTAGE'!$AZ$5&lt;&gt;"",--('POINTAGE'!AZ269="Présent"),0),IF('POINTAGE'!$BB$5&lt;&gt;"",--('POINTAGE'!BB269="Présent"),0),IF('POINTAGE'!$BD$5&lt;&gt;"",--('POINTAGE'!BD269="Présent"),0),IF('POINTAGE'!$BF$5&lt;&gt;"",--('POINTAGE'!BF269="Présent"),0),IF('POINTAGE'!$BH$5&lt;&gt;"",--('POINTAGE'!BH269="Présent"),0),IF('POINTAGE'!$BJ$5&lt;&gt;"",--('POINTAGE'!BJ269="Présent"),0),IF('POINTAGE'!$BL$5&lt;&gt;"",--('POINTAGE'!BL269="Présent"),0)))</f>
      </c>
      <c r="O269" s="22">
        <f>IF($A269="","",SUM(IF('POINTAGE'!$AH$5&lt;&gt;"",--('POINTAGE'!AH269="Absent"),0),IF('POINTAGE'!$AJ$5&lt;&gt;"",--('POINTAGE'!AJ269="Absent"),0),IF('POINTAGE'!$AL$5&lt;&gt;"",--('POINTAGE'!AL269="Absent"),0),IF('POINTAGE'!$AN$5&lt;&gt;"",--('POINTAGE'!AN269="Absent"),0),IF('POINTAGE'!$AP$5&lt;&gt;"",--('POINTAGE'!AP269="Absent"),0),IF('POINTAGE'!$AR$5&lt;&gt;"",--('POINTAGE'!AR269="Absent"),0),IF('POINTAGE'!$AT$5&lt;&gt;"",--('POINTAGE'!AT269="Absent"),0),IF('POINTAGE'!$AV$5&lt;&gt;"",--('POINTAGE'!AV269="Absent"),0),IF('POINTAGE'!$AX$5&lt;&gt;"",--('POINTAGE'!AX269="Absent"),0),IF('POINTAGE'!$AZ$5&lt;&gt;"",--('POINTAGE'!AZ269="Absent"),0),IF('POINTAGE'!$BB$5&lt;&gt;"",--('POINTAGE'!BB269="Absent"),0),IF('POINTAGE'!$BD$5&lt;&gt;"",--('POINTAGE'!BD269="Absent"),0),IF('POINTAGE'!$BF$5&lt;&gt;"",--('POINTAGE'!BF269="Absent"),0),IF('POINTAGE'!$BH$5&lt;&gt;"",--('POINTAGE'!BH269="Absent"),0),IF('POINTAGE'!$BJ$5&lt;&gt;"",--('POINTAGE'!BJ269="Absent"),0),IF('POINTAGE'!$BL$5&lt;&gt;"",--('POINTAGE'!BL269="Absent"),0)))</f>
      </c>
      <c r="P269" s="23">
        <f>IF($A269="","",SUM(IF('POINTAGE'!$AH$5&lt;&gt;"",IF('POINTAGE'!AH269="Présent",'POINTAGE'!AI269,0),0),IF('POINTAGE'!$AJ$5&lt;&gt;"",IF('POINTAGE'!AJ269="Présent",'POINTAGE'!AK269,0),0),IF('POINTAGE'!$AL$5&lt;&gt;"",IF('POINTAGE'!AL269="Présent",'POINTAGE'!AM269,0),0),IF('POINTAGE'!$AN$5&lt;&gt;"",IF('POINTAGE'!AN269="Présent",'POINTAGE'!AO269,0),0),IF('POINTAGE'!$AP$5&lt;&gt;"",IF('POINTAGE'!AP269="Présent",'POINTAGE'!AQ269,0),0),IF('POINTAGE'!$AR$5&lt;&gt;"",IF('POINTAGE'!AR269="Présent",'POINTAGE'!AS269,0),0),IF('POINTAGE'!$AT$5&lt;&gt;"",IF('POINTAGE'!AT269="Présent",'POINTAGE'!AU269,0),0),IF('POINTAGE'!$AV$5&lt;&gt;"",IF('POINTAGE'!AV269="Présent",'POINTAGE'!AW269,0),0),IF('POINTAGE'!$AX$5&lt;&gt;"",IF('POINTAGE'!AX269="Présent",'POINTAGE'!AY269,0),0),IF('POINTAGE'!$AZ$5&lt;&gt;"",IF('POINTAGE'!AZ269="Présent",'POINTAGE'!BA269,0),0),IF('POINTAGE'!$BB$5&lt;&gt;"",IF('POINTAGE'!BB269="Présent",'POINTAGE'!BC269,0),0),IF('POINTAGE'!$BD$5&lt;&gt;"",IF('POINTAGE'!BD269="Présent",'POINTAGE'!BE269,0),0),IF('POINTAGE'!$BF$5&lt;&gt;"",IF('POINTAGE'!BF269="Présent",'POINTAGE'!BG269,0),0),IF('POINTAGE'!$BH$5&lt;&gt;"",IF('POINTAGE'!BH269="Présent",'POINTAGE'!BI269,0),0),IF('POINTAGE'!$BJ$5&lt;&gt;"",IF('POINTAGE'!BJ269="Présent",'POINTAGE'!BK269,0),0),IF('POINTAGE'!$BL$5&lt;&gt;"",IF('POINTAGE'!BL269="Présent",'POINTAGE'!BM269,0),0)))</f>
      </c>
      <c r="Q269" s="24">
        <f>IF($A269="","",$N269*$D269)</f>
      </c>
      <c r="R269" s="24">
        <f>IF($A269="","",$P269*$E269)</f>
      </c>
      <c r="S269" s="25">
        <f>IF($A269="","",$Q269+$R269)</f>
      </c>
      <c r="T269" s="18"/>
      <c r="U269" s="25">
        <f>IF($A269="","",MAX(0,$S269-$T269))</f>
      </c>
      <c r="V269" s="25">
        <f>IF($A269="","",$K269+$S269)</f>
      </c>
      <c r="W269" s="24">
        <f>IF($A269="","",$L269+$T269)</f>
      </c>
      <c r="X269" s="25">
        <f>IF($A269="","",$M269+$U269)</f>
      </c>
      <c r="Y269" s="29">
        <f>IF($A269="","",$J269+$R269)</f>
      </c>
    </row>
    <row r="270">
      <c r="A270" s="20">
        <f>IF('POINTAGE'!A270="","",'POINTAGE'!A270)</f>
      </c>
      <c r="B270" s="19">
        <f>IF($A270="","",'POINTAGE'!B270)</f>
      </c>
      <c r="C270" s="20">
        <f>IF($A270="","",'POINTAGE'!C270)</f>
      </c>
      <c r="D270" s="24">
        <f>IF($A270="","",IFERROR(INDEX(Categories_Salaire,MATCH($C270,ListeCategories,0)),0))</f>
      </c>
      <c r="E270" s="24">
        <f>IF($A270="","",IF(IFERROR(INDEX(Categories_TauxHS,MATCH($C270,ListeCategories,0)),0)&gt;0,IFERROR(INDEX(Categories_TauxHS,MATCH($C270,ListeCategories,0)),0),TauxHSDefaut))</f>
      </c>
      <c r="F270" s="22">
        <f>IF($A270="","",SUM(IF('POINTAGE'!$D$5&lt;&gt;"",--('POINTAGE'!D270="Présent"),0),IF('POINTAGE'!$F$5&lt;&gt;"",--('POINTAGE'!F270="Présent"),0),IF('POINTAGE'!$H$5&lt;&gt;"",--('POINTAGE'!H270="Présent"),0),IF('POINTAGE'!$J$5&lt;&gt;"",--('POINTAGE'!J270="Présent"),0),IF('POINTAGE'!$L$5&lt;&gt;"",--('POINTAGE'!L270="Présent"),0),IF('POINTAGE'!$N$5&lt;&gt;"",--('POINTAGE'!N270="Présent"),0),IF('POINTAGE'!$P$5&lt;&gt;"",--('POINTAGE'!P270="Présent"),0),IF('POINTAGE'!$R$5&lt;&gt;"",--('POINTAGE'!R270="Présent"),0),IF('POINTAGE'!$T$5&lt;&gt;"",--('POINTAGE'!T270="Présent"),0),IF('POINTAGE'!$V$5&lt;&gt;"",--('POINTAGE'!V270="Présent"),0),IF('POINTAGE'!$X$5&lt;&gt;"",--('POINTAGE'!X270="Présent"),0),IF('POINTAGE'!$Z$5&lt;&gt;"",--('POINTAGE'!Z270="Présent"),0),IF('POINTAGE'!$AB$5&lt;&gt;"",--('POINTAGE'!AB270="Présent"),0),IF('POINTAGE'!$AD$5&lt;&gt;"",--('POINTAGE'!AD270="Présent"),0),IF('POINTAGE'!$AF$5&lt;&gt;"",--('POINTAGE'!AF270="Présent"),0)))</f>
      </c>
      <c r="G270" s="22">
        <f>IF($A270="","",SUM(IF('POINTAGE'!$D$5&lt;&gt;"",--('POINTAGE'!D270="Absent"),0),IF('POINTAGE'!$F$5&lt;&gt;"",--('POINTAGE'!F270="Absent"),0),IF('POINTAGE'!$H$5&lt;&gt;"",--('POINTAGE'!H270="Absent"),0),IF('POINTAGE'!$J$5&lt;&gt;"",--('POINTAGE'!J270="Absent"),0),IF('POINTAGE'!$L$5&lt;&gt;"",--('POINTAGE'!L270="Absent"),0),IF('POINTAGE'!$N$5&lt;&gt;"",--('POINTAGE'!N270="Absent"),0),IF('POINTAGE'!$P$5&lt;&gt;"",--('POINTAGE'!P270="Absent"),0),IF('POINTAGE'!$R$5&lt;&gt;"",--('POINTAGE'!R270="Absent"),0),IF('POINTAGE'!$T$5&lt;&gt;"",--('POINTAGE'!T270="Absent"),0),IF('POINTAGE'!$V$5&lt;&gt;"",--('POINTAGE'!V270="Absent"),0),IF('POINTAGE'!$X$5&lt;&gt;"",--('POINTAGE'!X270="Absent"),0),IF('POINTAGE'!$Z$5&lt;&gt;"",--('POINTAGE'!Z270="Absent"),0),IF('POINTAGE'!$AB$5&lt;&gt;"",--('POINTAGE'!AB270="Absent"),0),IF('POINTAGE'!$AD$5&lt;&gt;"",--('POINTAGE'!AD270="Absent"),0),IF('POINTAGE'!$AF$5&lt;&gt;"",--('POINTAGE'!AF270="Absent"),0)))</f>
      </c>
      <c r="H270" s="23">
        <f>IF($A270="","",SUM(IF('POINTAGE'!$D$5&lt;&gt;"",IF('POINTAGE'!D270="Présent",'POINTAGE'!E270,0),0),IF('POINTAGE'!$F$5&lt;&gt;"",IF('POINTAGE'!F270="Présent",'POINTAGE'!G270,0),0),IF('POINTAGE'!$H$5&lt;&gt;"",IF('POINTAGE'!H270="Présent",'POINTAGE'!I270,0),0),IF('POINTAGE'!$J$5&lt;&gt;"",IF('POINTAGE'!J270="Présent",'POINTAGE'!K270,0),0),IF('POINTAGE'!$L$5&lt;&gt;"",IF('POINTAGE'!L270="Présent",'POINTAGE'!M270,0),0),IF('POINTAGE'!$N$5&lt;&gt;"",IF('POINTAGE'!N270="Présent",'POINTAGE'!O270,0),0),IF('POINTAGE'!$P$5&lt;&gt;"",IF('POINTAGE'!P270="Présent",'POINTAGE'!Q270,0),0),IF('POINTAGE'!$R$5&lt;&gt;"",IF('POINTAGE'!R270="Présent",'POINTAGE'!S270,0),0),IF('POINTAGE'!$T$5&lt;&gt;"",IF('POINTAGE'!T270="Présent",'POINTAGE'!U270,0),0),IF('POINTAGE'!$V$5&lt;&gt;"",IF('POINTAGE'!V270="Présent",'POINTAGE'!W270,0),0),IF('POINTAGE'!$X$5&lt;&gt;"",IF('POINTAGE'!X270="Présent",'POINTAGE'!Y270,0),0),IF('POINTAGE'!$Z$5&lt;&gt;"",IF('POINTAGE'!Z270="Présent",'POINTAGE'!AA270,0),0),IF('POINTAGE'!$AB$5&lt;&gt;"",IF('POINTAGE'!AB270="Présent",'POINTAGE'!AC270,0),0),IF('POINTAGE'!$AD$5&lt;&gt;"",IF('POINTAGE'!AD270="Présent",'POINTAGE'!AE270,0),0),IF('POINTAGE'!$AF$5&lt;&gt;"",IF('POINTAGE'!AF270="Présent",'POINTAGE'!AG270,0),0)))</f>
      </c>
      <c r="I270" s="24">
        <f>IF($A270="","",$F270*$D270)</f>
      </c>
      <c r="J270" s="24">
        <f>IF($A270="","",$H270*$E270)</f>
      </c>
      <c r="K270" s="25">
        <f>IF($A270="","",$I270+$J270)</f>
      </c>
      <c r="L270" s="18"/>
      <c r="M270" s="25">
        <f>IF($A270="","",MAX(0,$K270-$L270))</f>
      </c>
      <c r="N270" s="22">
        <f>IF($A270="","",SUM(IF('POINTAGE'!$AH$5&lt;&gt;"",--('POINTAGE'!AH270="Présent"),0),IF('POINTAGE'!$AJ$5&lt;&gt;"",--('POINTAGE'!AJ270="Présent"),0),IF('POINTAGE'!$AL$5&lt;&gt;"",--('POINTAGE'!AL270="Présent"),0),IF('POINTAGE'!$AN$5&lt;&gt;"",--('POINTAGE'!AN270="Présent"),0),IF('POINTAGE'!$AP$5&lt;&gt;"",--('POINTAGE'!AP270="Présent"),0),IF('POINTAGE'!$AR$5&lt;&gt;"",--('POINTAGE'!AR270="Présent"),0),IF('POINTAGE'!$AT$5&lt;&gt;"",--('POINTAGE'!AT270="Présent"),0),IF('POINTAGE'!$AV$5&lt;&gt;"",--('POINTAGE'!AV270="Présent"),0),IF('POINTAGE'!$AX$5&lt;&gt;"",--('POINTAGE'!AX270="Présent"),0),IF('POINTAGE'!$AZ$5&lt;&gt;"",--('POINTAGE'!AZ270="Présent"),0),IF('POINTAGE'!$BB$5&lt;&gt;"",--('POINTAGE'!BB270="Présent"),0),IF('POINTAGE'!$BD$5&lt;&gt;"",--('POINTAGE'!BD270="Présent"),0),IF('POINTAGE'!$BF$5&lt;&gt;"",--('POINTAGE'!BF270="Présent"),0),IF('POINTAGE'!$BH$5&lt;&gt;"",--('POINTAGE'!BH270="Présent"),0),IF('POINTAGE'!$BJ$5&lt;&gt;"",--('POINTAGE'!BJ270="Présent"),0),IF('POINTAGE'!$BL$5&lt;&gt;"",--('POINTAGE'!BL270="Présent"),0)))</f>
      </c>
      <c r="O270" s="22">
        <f>IF($A270="","",SUM(IF('POINTAGE'!$AH$5&lt;&gt;"",--('POINTAGE'!AH270="Absent"),0),IF('POINTAGE'!$AJ$5&lt;&gt;"",--('POINTAGE'!AJ270="Absent"),0),IF('POINTAGE'!$AL$5&lt;&gt;"",--('POINTAGE'!AL270="Absent"),0),IF('POINTAGE'!$AN$5&lt;&gt;"",--('POINTAGE'!AN270="Absent"),0),IF('POINTAGE'!$AP$5&lt;&gt;"",--('POINTAGE'!AP270="Absent"),0),IF('POINTAGE'!$AR$5&lt;&gt;"",--('POINTAGE'!AR270="Absent"),0),IF('POINTAGE'!$AT$5&lt;&gt;"",--('POINTAGE'!AT270="Absent"),0),IF('POINTAGE'!$AV$5&lt;&gt;"",--('POINTAGE'!AV270="Absent"),0),IF('POINTAGE'!$AX$5&lt;&gt;"",--('POINTAGE'!AX270="Absent"),0),IF('POINTAGE'!$AZ$5&lt;&gt;"",--('POINTAGE'!AZ270="Absent"),0),IF('POINTAGE'!$BB$5&lt;&gt;"",--('POINTAGE'!BB270="Absent"),0),IF('POINTAGE'!$BD$5&lt;&gt;"",--('POINTAGE'!BD270="Absent"),0),IF('POINTAGE'!$BF$5&lt;&gt;"",--('POINTAGE'!BF270="Absent"),0),IF('POINTAGE'!$BH$5&lt;&gt;"",--('POINTAGE'!BH270="Absent"),0),IF('POINTAGE'!$BJ$5&lt;&gt;"",--('POINTAGE'!BJ270="Absent"),0),IF('POINTAGE'!$BL$5&lt;&gt;"",--('POINTAGE'!BL270="Absent"),0)))</f>
      </c>
      <c r="P270" s="23">
        <f>IF($A270="","",SUM(IF('POINTAGE'!$AH$5&lt;&gt;"",IF('POINTAGE'!AH270="Présent",'POINTAGE'!AI270,0),0),IF('POINTAGE'!$AJ$5&lt;&gt;"",IF('POINTAGE'!AJ270="Présent",'POINTAGE'!AK270,0),0),IF('POINTAGE'!$AL$5&lt;&gt;"",IF('POINTAGE'!AL270="Présent",'POINTAGE'!AM270,0),0),IF('POINTAGE'!$AN$5&lt;&gt;"",IF('POINTAGE'!AN270="Présent",'POINTAGE'!AO270,0),0),IF('POINTAGE'!$AP$5&lt;&gt;"",IF('POINTAGE'!AP270="Présent",'POINTAGE'!AQ270,0),0),IF('POINTAGE'!$AR$5&lt;&gt;"",IF('POINTAGE'!AR270="Présent",'POINTAGE'!AS270,0),0),IF('POINTAGE'!$AT$5&lt;&gt;"",IF('POINTAGE'!AT270="Présent",'POINTAGE'!AU270,0),0),IF('POINTAGE'!$AV$5&lt;&gt;"",IF('POINTAGE'!AV270="Présent",'POINTAGE'!AW270,0),0),IF('POINTAGE'!$AX$5&lt;&gt;"",IF('POINTAGE'!AX270="Présent",'POINTAGE'!AY270,0),0),IF('POINTAGE'!$AZ$5&lt;&gt;"",IF('POINTAGE'!AZ270="Présent",'POINTAGE'!BA270,0),0),IF('POINTAGE'!$BB$5&lt;&gt;"",IF('POINTAGE'!BB270="Présent",'POINTAGE'!BC270,0),0),IF('POINTAGE'!$BD$5&lt;&gt;"",IF('POINTAGE'!BD270="Présent",'POINTAGE'!BE270,0),0),IF('POINTAGE'!$BF$5&lt;&gt;"",IF('POINTAGE'!BF270="Présent",'POINTAGE'!BG270,0),0),IF('POINTAGE'!$BH$5&lt;&gt;"",IF('POINTAGE'!BH270="Présent",'POINTAGE'!BI270,0),0),IF('POINTAGE'!$BJ$5&lt;&gt;"",IF('POINTAGE'!BJ270="Présent",'POINTAGE'!BK270,0),0),IF('POINTAGE'!$BL$5&lt;&gt;"",IF('POINTAGE'!BL270="Présent",'POINTAGE'!BM270,0),0)))</f>
      </c>
      <c r="Q270" s="24">
        <f>IF($A270="","",$N270*$D270)</f>
      </c>
      <c r="R270" s="24">
        <f>IF($A270="","",$P270*$E270)</f>
      </c>
      <c r="S270" s="25">
        <f>IF($A270="","",$Q270+$R270)</f>
      </c>
      <c r="T270" s="18"/>
      <c r="U270" s="25">
        <f>IF($A270="","",MAX(0,$S270-$T270))</f>
      </c>
      <c r="V270" s="25">
        <f>IF($A270="","",$K270+$S270)</f>
      </c>
      <c r="W270" s="24">
        <f>IF($A270="","",$L270+$T270)</f>
      </c>
      <c r="X270" s="25">
        <f>IF($A270="","",$M270+$U270)</f>
      </c>
      <c r="Y270" s="29">
        <f>IF($A270="","",$J270+$R270)</f>
      </c>
    </row>
    <row r="271">
      <c r="A271" s="20">
        <f>IF('POINTAGE'!A271="","",'POINTAGE'!A271)</f>
      </c>
      <c r="B271" s="19">
        <f>IF($A271="","",'POINTAGE'!B271)</f>
      </c>
      <c r="C271" s="20">
        <f>IF($A271="","",'POINTAGE'!C271)</f>
      </c>
      <c r="D271" s="24">
        <f>IF($A271="","",IFERROR(INDEX(Categories_Salaire,MATCH($C271,ListeCategories,0)),0))</f>
      </c>
      <c r="E271" s="24">
        <f>IF($A271="","",IF(IFERROR(INDEX(Categories_TauxHS,MATCH($C271,ListeCategories,0)),0)&gt;0,IFERROR(INDEX(Categories_TauxHS,MATCH($C271,ListeCategories,0)),0),TauxHSDefaut))</f>
      </c>
      <c r="F271" s="22">
        <f>IF($A271="","",SUM(IF('POINTAGE'!$D$5&lt;&gt;"",--('POINTAGE'!D271="Présent"),0),IF('POINTAGE'!$F$5&lt;&gt;"",--('POINTAGE'!F271="Présent"),0),IF('POINTAGE'!$H$5&lt;&gt;"",--('POINTAGE'!H271="Présent"),0),IF('POINTAGE'!$J$5&lt;&gt;"",--('POINTAGE'!J271="Présent"),0),IF('POINTAGE'!$L$5&lt;&gt;"",--('POINTAGE'!L271="Présent"),0),IF('POINTAGE'!$N$5&lt;&gt;"",--('POINTAGE'!N271="Présent"),0),IF('POINTAGE'!$P$5&lt;&gt;"",--('POINTAGE'!P271="Présent"),0),IF('POINTAGE'!$R$5&lt;&gt;"",--('POINTAGE'!R271="Présent"),0),IF('POINTAGE'!$T$5&lt;&gt;"",--('POINTAGE'!T271="Présent"),0),IF('POINTAGE'!$V$5&lt;&gt;"",--('POINTAGE'!V271="Présent"),0),IF('POINTAGE'!$X$5&lt;&gt;"",--('POINTAGE'!X271="Présent"),0),IF('POINTAGE'!$Z$5&lt;&gt;"",--('POINTAGE'!Z271="Présent"),0),IF('POINTAGE'!$AB$5&lt;&gt;"",--('POINTAGE'!AB271="Présent"),0),IF('POINTAGE'!$AD$5&lt;&gt;"",--('POINTAGE'!AD271="Présent"),0),IF('POINTAGE'!$AF$5&lt;&gt;"",--('POINTAGE'!AF271="Présent"),0)))</f>
      </c>
      <c r="G271" s="22">
        <f>IF($A271="","",SUM(IF('POINTAGE'!$D$5&lt;&gt;"",--('POINTAGE'!D271="Absent"),0),IF('POINTAGE'!$F$5&lt;&gt;"",--('POINTAGE'!F271="Absent"),0),IF('POINTAGE'!$H$5&lt;&gt;"",--('POINTAGE'!H271="Absent"),0),IF('POINTAGE'!$J$5&lt;&gt;"",--('POINTAGE'!J271="Absent"),0),IF('POINTAGE'!$L$5&lt;&gt;"",--('POINTAGE'!L271="Absent"),0),IF('POINTAGE'!$N$5&lt;&gt;"",--('POINTAGE'!N271="Absent"),0),IF('POINTAGE'!$P$5&lt;&gt;"",--('POINTAGE'!P271="Absent"),0),IF('POINTAGE'!$R$5&lt;&gt;"",--('POINTAGE'!R271="Absent"),0),IF('POINTAGE'!$T$5&lt;&gt;"",--('POINTAGE'!T271="Absent"),0),IF('POINTAGE'!$V$5&lt;&gt;"",--('POINTAGE'!V271="Absent"),0),IF('POINTAGE'!$X$5&lt;&gt;"",--('POINTAGE'!X271="Absent"),0),IF('POINTAGE'!$Z$5&lt;&gt;"",--('POINTAGE'!Z271="Absent"),0),IF('POINTAGE'!$AB$5&lt;&gt;"",--('POINTAGE'!AB271="Absent"),0),IF('POINTAGE'!$AD$5&lt;&gt;"",--('POINTAGE'!AD271="Absent"),0),IF('POINTAGE'!$AF$5&lt;&gt;"",--('POINTAGE'!AF271="Absent"),0)))</f>
      </c>
      <c r="H271" s="23">
        <f>IF($A271="","",SUM(IF('POINTAGE'!$D$5&lt;&gt;"",IF('POINTAGE'!D271="Présent",'POINTAGE'!E271,0),0),IF('POINTAGE'!$F$5&lt;&gt;"",IF('POINTAGE'!F271="Présent",'POINTAGE'!G271,0),0),IF('POINTAGE'!$H$5&lt;&gt;"",IF('POINTAGE'!H271="Présent",'POINTAGE'!I271,0),0),IF('POINTAGE'!$J$5&lt;&gt;"",IF('POINTAGE'!J271="Présent",'POINTAGE'!K271,0),0),IF('POINTAGE'!$L$5&lt;&gt;"",IF('POINTAGE'!L271="Présent",'POINTAGE'!M271,0),0),IF('POINTAGE'!$N$5&lt;&gt;"",IF('POINTAGE'!N271="Présent",'POINTAGE'!O271,0),0),IF('POINTAGE'!$P$5&lt;&gt;"",IF('POINTAGE'!P271="Présent",'POINTAGE'!Q271,0),0),IF('POINTAGE'!$R$5&lt;&gt;"",IF('POINTAGE'!R271="Présent",'POINTAGE'!S271,0),0),IF('POINTAGE'!$T$5&lt;&gt;"",IF('POINTAGE'!T271="Présent",'POINTAGE'!U271,0),0),IF('POINTAGE'!$V$5&lt;&gt;"",IF('POINTAGE'!V271="Présent",'POINTAGE'!W271,0),0),IF('POINTAGE'!$X$5&lt;&gt;"",IF('POINTAGE'!X271="Présent",'POINTAGE'!Y271,0),0),IF('POINTAGE'!$Z$5&lt;&gt;"",IF('POINTAGE'!Z271="Présent",'POINTAGE'!AA271,0),0),IF('POINTAGE'!$AB$5&lt;&gt;"",IF('POINTAGE'!AB271="Présent",'POINTAGE'!AC271,0),0),IF('POINTAGE'!$AD$5&lt;&gt;"",IF('POINTAGE'!AD271="Présent",'POINTAGE'!AE271,0),0),IF('POINTAGE'!$AF$5&lt;&gt;"",IF('POINTAGE'!AF271="Présent",'POINTAGE'!AG271,0),0)))</f>
      </c>
      <c r="I271" s="24">
        <f>IF($A271="","",$F271*$D271)</f>
      </c>
      <c r="J271" s="24">
        <f>IF($A271="","",$H271*$E271)</f>
      </c>
      <c r="K271" s="25">
        <f>IF($A271="","",$I271+$J271)</f>
      </c>
      <c r="L271" s="18"/>
      <c r="M271" s="25">
        <f>IF($A271="","",MAX(0,$K271-$L271))</f>
      </c>
      <c r="N271" s="22">
        <f>IF($A271="","",SUM(IF('POINTAGE'!$AH$5&lt;&gt;"",--('POINTAGE'!AH271="Présent"),0),IF('POINTAGE'!$AJ$5&lt;&gt;"",--('POINTAGE'!AJ271="Présent"),0),IF('POINTAGE'!$AL$5&lt;&gt;"",--('POINTAGE'!AL271="Présent"),0),IF('POINTAGE'!$AN$5&lt;&gt;"",--('POINTAGE'!AN271="Présent"),0),IF('POINTAGE'!$AP$5&lt;&gt;"",--('POINTAGE'!AP271="Présent"),0),IF('POINTAGE'!$AR$5&lt;&gt;"",--('POINTAGE'!AR271="Présent"),0),IF('POINTAGE'!$AT$5&lt;&gt;"",--('POINTAGE'!AT271="Présent"),0),IF('POINTAGE'!$AV$5&lt;&gt;"",--('POINTAGE'!AV271="Présent"),0),IF('POINTAGE'!$AX$5&lt;&gt;"",--('POINTAGE'!AX271="Présent"),0),IF('POINTAGE'!$AZ$5&lt;&gt;"",--('POINTAGE'!AZ271="Présent"),0),IF('POINTAGE'!$BB$5&lt;&gt;"",--('POINTAGE'!BB271="Présent"),0),IF('POINTAGE'!$BD$5&lt;&gt;"",--('POINTAGE'!BD271="Présent"),0),IF('POINTAGE'!$BF$5&lt;&gt;"",--('POINTAGE'!BF271="Présent"),0),IF('POINTAGE'!$BH$5&lt;&gt;"",--('POINTAGE'!BH271="Présent"),0),IF('POINTAGE'!$BJ$5&lt;&gt;"",--('POINTAGE'!BJ271="Présent"),0),IF('POINTAGE'!$BL$5&lt;&gt;"",--('POINTAGE'!BL271="Présent"),0)))</f>
      </c>
      <c r="O271" s="22">
        <f>IF($A271="","",SUM(IF('POINTAGE'!$AH$5&lt;&gt;"",--('POINTAGE'!AH271="Absent"),0),IF('POINTAGE'!$AJ$5&lt;&gt;"",--('POINTAGE'!AJ271="Absent"),0),IF('POINTAGE'!$AL$5&lt;&gt;"",--('POINTAGE'!AL271="Absent"),0),IF('POINTAGE'!$AN$5&lt;&gt;"",--('POINTAGE'!AN271="Absent"),0),IF('POINTAGE'!$AP$5&lt;&gt;"",--('POINTAGE'!AP271="Absent"),0),IF('POINTAGE'!$AR$5&lt;&gt;"",--('POINTAGE'!AR271="Absent"),0),IF('POINTAGE'!$AT$5&lt;&gt;"",--('POINTAGE'!AT271="Absent"),0),IF('POINTAGE'!$AV$5&lt;&gt;"",--('POINTAGE'!AV271="Absent"),0),IF('POINTAGE'!$AX$5&lt;&gt;"",--('POINTAGE'!AX271="Absent"),0),IF('POINTAGE'!$AZ$5&lt;&gt;"",--('POINTAGE'!AZ271="Absent"),0),IF('POINTAGE'!$BB$5&lt;&gt;"",--('POINTAGE'!BB271="Absent"),0),IF('POINTAGE'!$BD$5&lt;&gt;"",--('POINTAGE'!BD271="Absent"),0),IF('POINTAGE'!$BF$5&lt;&gt;"",--('POINTAGE'!BF271="Absent"),0),IF('POINTAGE'!$BH$5&lt;&gt;"",--('POINTAGE'!BH271="Absent"),0),IF('POINTAGE'!$BJ$5&lt;&gt;"",--('POINTAGE'!BJ271="Absent"),0),IF('POINTAGE'!$BL$5&lt;&gt;"",--('POINTAGE'!BL271="Absent"),0)))</f>
      </c>
      <c r="P271" s="23">
        <f>IF($A271="","",SUM(IF('POINTAGE'!$AH$5&lt;&gt;"",IF('POINTAGE'!AH271="Présent",'POINTAGE'!AI271,0),0),IF('POINTAGE'!$AJ$5&lt;&gt;"",IF('POINTAGE'!AJ271="Présent",'POINTAGE'!AK271,0),0),IF('POINTAGE'!$AL$5&lt;&gt;"",IF('POINTAGE'!AL271="Présent",'POINTAGE'!AM271,0),0),IF('POINTAGE'!$AN$5&lt;&gt;"",IF('POINTAGE'!AN271="Présent",'POINTAGE'!AO271,0),0),IF('POINTAGE'!$AP$5&lt;&gt;"",IF('POINTAGE'!AP271="Présent",'POINTAGE'!AQ271,0),0),IF('POINTAGE'!$AR$5&lt;&gt;"",IF('POINTAGE'!AR271="Présent",'POINTAGE'!AS271,0),0),IF('POINTAGE'!$AT$5&lt;&gt;"",IF('POINTAGE'!AT271="Présent",'POINTAGE'!AU271,0),0),IF('POINTAGE'!$AV$5&lt;&gt;"",IF('POINTAGE'!AV271="Présent",'POINTAGE'!AW271,0),0),IF('POINTAGE'!$AX$5&lt;&gt;"",IF('POINTAGE'!AX271="Présent",'POINTAGE'!AY271,0),0),IF('POINTAGE'!$AZ$5&lt;&gt;"",IF('POINTAGE'!AZ271="Présent",'POINTAGE'!BA271,0),0),IF('POINTAGE'!$BB$5&lt;&gt;"",IF('POINTAGE'!BB271="Présent",'POINTAGE'!BC271,0),0),IF('POINTAGE'!$BD$5&lt;&gt;"",IF('POINTAGE'!BD271="Présent",'POINTAGE'!BE271,0),0),IF('POINTAGE'!$BF$5&lt;&gt;"",IF('POINTAGE'!BF271="Présent",'POINTAGE'!BG271,0),0),IF('POINTAGE'!$BH$5&lt;&gt;"",IF('POINTAGE'!BH271="Présent",'POINTAGE'!BI271,0),0),IF('POINTAGE'!$BJ$5&lt;&gt;"",IF('POINTAGE'!BJ271="Présent",'POINTAGE'!BK271,0),0),IF('POINTAGE'!$BL$5&lt;&gt;"",IF('POINTAGE'!BL271="Présent",'POINTAGE'!BM271,0),0)))</f>
      </c>
      <c r="Q271" s="24">
        <f>IF($A271="","",$N271*$D271)</f>
      </c>
      <c r="R271" s="24">
        <f>IF($A271="","",$P271*$E271)</f>
      </c>
      <c r="S271" s="25">
        <f>IF($A271="","",$Q271+$R271)</f>
      </c>
      <c r="T271" s="18"/>
      <c r="U271" s="25">
        <f>IF($A271="","",MAX(0,$S271-$T271))</f>
      </c>
      <c r="V271" s="25">
        <f>IF($A271="","",$K271+$S271)</f>
      </c>
      <c r="W271" s="24">
        <f>IF($A271="","",$L271+$T271)</f>
      </c>
      <c r="X271" s="25">
        <f>IF($A271="","",$M271+$U271)</f>
      </c>
      <c r="Y271" s="29">
        <f>IF($A271="","",$J271+$R271)</f>
      </c>
    </row>
    <row r="272">
      <c r="A272" s="20">
        <f>IF('POINTAGE'!A272="","",'POINTAGE'!A272)</f>
      </c>
      <c r="B272" s="19">
        <f>IF($A272="","",'POINTAGE'!B272)</f>
      </c>
      <c r="C272" s="20">
        <f>IF($A272="","",'POINTAGE'!C272)</f>
      </c>
      <c r="D272" s="24">
        <f>IF($A272="","",IFERROR(INDEX(Categories_Salaire,MATCH($C272,ListeCategories,0)),0))</f>
      </c>
      <c r="E272" s="24">
        <f>IF($A272="","",IF(IFERROR(INDEX(Categories_TauxHS,MATCH($C272,ListeCategories,0)),0)&gt;0,IFERROR(INDEX(Categories_TauxHS,MATCH($C272,ListeCategories,0)),0),TauxHSDefaut))</f>
      </c>
      <c r="F272" s="22">
        <f>IF($A272="","",SUM(IF('POINTAGE'!$D$5&lt;&gt;"",--('POINTAGE'!D272="Présent"),0),IF('POINTAGE'!$F$5&lt;&gt;"",--('POINTAGE'!F272="Présent"),0),IF('POINTAGE'!$H$5&lt;&gt;"",--('POINTAGE'!H272="Présent"),0),IF('POINTAGE'!$J$5&lt;&gt;"",--('POINTAGE'!J272="Présent"),0),IF('POINTAGE'!$L$5&lt;&gt;"",--('POINTAGE'!L272="Présent"),0),IF('POINTAGE'!$N$5&lt;&gt;"",--('POINTAGE'!N272="Présent"),0),IF('POINTAGE'!$P$5&lt;&gt;"",--('POINTAGE'!P272="Présent"),0),IF('POINTAGE'!$R$5&lt;&gt;"",--('POINTAGE'!R272="Présent"),0),IF('POINTAGE'!$T$5&lt;&gt;"",--('POINTAGE'!T272="Présent"),0),IF('POINTAGE'!$V$5&lt;&gt;"",--('POINTAGE'!V272="Présent"),0),IF('POINTAGE'!$X$5&lt;&gt;"",--('POINTAGE'!X272="Présent"),0),IF('POINTAGE'!$Z$5&lt;&gt;"",--('POINTAGE'!Z272="Présent"),0),IF('POINTAGE'!$AB$5&lt;&gt;"",--('POINTAGE'!AB272="Présent"),0),IF('POINTAGE'!$AD$5&lt;&gt;"",--('POINTAGE'!AD272="Présent"),0),IF('POINTAGE'!$AF$5&lt;&gt;"",--('POINTAGE'!AF272="Présent"),0)))</f>
      </c>
      <c r="G272" s="22">
        <f>IF($A272="","",SUM(IF('POINTAGE'!$D$5&lt;&gt;"",--('POINTAGE'!D272="Absent"),0),IF('POINTAGE'!$F$5&lt;&gt;"",--('POINTAGE'!F272="Absent"),0),IF('POINTAGE'!$H$5&lt;&gt;"",--('POINTAGE'!H272="Absent"),0),IF('POINTAGE'!$J$5&lt;&gt;"",--('POINTAGE'!J272="Absent"),0),IF('POINTAGE'!$L$5&lt;&gt;"",--('POINTAGE'!L272="Absent"),0),IF('POINTAGE'!$N$5&lt;&gt;"",--('POINTAGE'!N272="Absent"),0),IF('POINTAGE'!$P$5&lt;&gt;"",--('POINTAGE'!P272="Absent"),0),IF('POINTAGE'!$R$5&lt;&gt;"",--('POINTAGE'!R272="Absent"),0),IF('POINTAGE'!$T$5&lt;&gt;"",--('POINTAGE'!T272="Absent"),0),IF('POINTAGE'!$V$5&lt;&gt;"",--('POINTAGE'!V272="Absent"),0),IF('POINTAGE'!$X$5&lt;&gt;"",--('POINTAGE'!X272="Absent"),0),IF('POINTAGE'!$Z$5&lt;&gt;"",--('POINTAGE'!Z272="Absent"),0),IF('POINTAGE'!$AB$5&lt;&gt;"",--('POINTAGE'!AB272="Absent"),0),IF('POINTAGE'!$AD$5&lt;&gt;"",--('POINTAGE'!AD272="Absent"),0),IF('POINTAGE'!$AF$5&lt;&gt;"",--('POINTAGE'!AF272="Absent"),0)))</f>
      </c>
      <c r="H272" s="23">
        <f>IF($A272="","",SUM(IF('POINTAGE'!$D$5&lt;&gt;"",IF('POINTAGE'!D272="Présent",'POINTAGE'!E272,0),0),IF('POINTAGE'!$F$5&lt;&gt;"",IF('POINTAGE'!F272="Présent",'POINTAGE'!G272,0),0),IF('POINTAGE'!$H$5&lt;&gt;"",IF('POINTAGE'!H272="Présent",'POINTAGE'!I272,0),0),IF('POINTAGE'!$J$5&lt;&gt;"",IF('POINTAGE'!J272="Présent",'POINTAGE'!K272,0),0),IF('POINTAGE'!$L$5&lt;&gt;"",IF('POINTAGE'!L272="Présent",'POINTAGE'!M272,0),0),IF('POINTAGE'!$N$5&lt;&gt;"",IF('POINTAGE'!N272="Présent",'POINTAGE'!O272,0),0),IF('POINTAGE'!$P$5&lt;&gt;"",IF('POINTAGE'!P272="Présent",'POINTAGE'!Q272,0),0),IF('POINTAGE'!$R$5&lt;&gt;"",IF('POINTAGE'!R272="Présent",'POINTAGE'!S272,0),0),IF('POINTAGE'!$T$5&lt;&gt;"",IF('POINTAGE'!T272="Présent",'POINTAGE'!U272,0),0),IF('POINTAGE'!$V$5&lt;&gt;"",IF('POINTAGE'!V272="Présent",'POINTAGE'!W272,0),0),IF('POINTAGE'!$X$5&lt;&gt;"",IF('POINTAGE'!X272="Présent",'POINTAGE'!Y272,0),0),IF('POINTAGE'!$Z$5&lt;&gt;"",IF('POINTAGE'!Z272="Présent",'POINTAGE'!AA272,0),0),IF('POINTAGE'!$AB$5&lt;&gt;"",IF('POINTAGE'!AB272="Présent",'POINTAGE'!AC272,0),0),IF('POINTAGE'!$AD$5&lt;&gt;"",IF('POINTAGE'!AD272="Présent",'POINTAGE'!AE272,0),0),IF('POINTAGE'!$AF$5&lt;&gt;"",IF('POINTAGE'!AF272="Présent",'POINTAGE'!AG272,0),0)))</f>
      </c>
      <c r="I272" s="24">
        <f>IF($A272="","",$F272*$D272)</f>
      </c>
      <c r="J272" s="24">
        <f>IF($A272="","",$H272*$E272)</f>
      </c>
      <c r="K272" s="25">
        <f>IF($A272="","",$I272+$J272)</f>
      </c>
      <c r="L272" s="18"/>
      <c r="M272" s="25">
        <f>IF($A272="","",MAX(0,$K272-$L272))</f>
      </c>
      <c r="N272" s="22">
        <f>IF($A272="","",SUM(IF('POINTAGE'!$AH$5&lt;&gt;"",--('POINTAGE'!AH272="Présent"),0),IF('POINTAGE'!$AJ$5&lt;&gt;"",--('POINTAGE'!AJ272="Présent"),0),IF('POINTAGE'!$AL$5&lt;&gt;"",--('POINTAGE'!AL272="Présent"),0),IF('POINTAGE'!$AN$5&lt;&gt;"",--('POINTAGE'!AN272="Présent"),0),IF('POINTAGE'!$AP$5&lt;&gt;"",--('POINTAGE'!AP272="Présent"),0),IF('POINTAGE'!$AR$5&lt;&gt;"",--('POINTAGE'!AR272="Présent"),0),IF('POINTAGE'!$AT$5&lt;&gt;"",--('POINTAGE'!AT272="Présent"),0),IF('POINTAGE'!$AV$5&lt;&gt;"",--('POINTAGE'!AV272="Présent"),0),IF('POINTAGE'!$AX$5&lt;&gt;"",--('POINTAGE'!AX272="Présent"),0),IF('POINTAGE'!$AZ$5&lt;&gt;"",--('POINTAGE'!AZ272="Présent"),0),IF('POINTAGE'!$BB$5&lt;&gt;"",--('POINTAGE'!BB272="Présent"),0),IF('POINTAGE'!$BD$5&lt;&gt;"",--('POINTAGE'!BD272="Présent"),0),IF('POINTAGE'!$BF$5&lt;&gt;"",--('POINTAGE'!BF272="Présent"),0),IF('POINTAGE'!$BH$5&lt;&gt;"",--('POINTAGE'!BH272="Présent"),0),IF('POINTAGE'!$BJ$5&lt;&gt;"",--('POINTAGE'!BJ272="Présent"),0),IF('POINTAGE'!$BL$5&lt;&gt;"",--('POINTAGE'!BL272="Présent"),0)))</f>
      </c>
      <c r="O272" s="22">
        <f>IF($A272="","",SUM(IF('POINTAGE'!$AH$5&lt;&gt;"",--('POINTAGE'!AH272="Absent"),0),IF('POINTAGE'!$AJ$5&lt;&gt;"",--('POINTAGE'!AJ272="Absent"),0),IF('POINTAGE'!$AL$5&lt;&gt;"",--('POINTAGE'!AL272="Absent"),0),IF('POINTAGE'!$AN$5&lt;&gt;"",--('POINTAGE'!AN272="Absent"),0),IF('POINTAGE'!$AP$5&lt;&gt;"",--('POINTAGE'!AP272="Absent"),0),IF('POINTAGE'!$AR$5&lt;&gt;"",--('POINTAGE'!AR272="Absent"),0),IF('POINTAGE'!$AT$5&lt;&gt;"",--('POINTAGE'!AT272="Absent"),0),IF('POINTAGE'!$AV$5&lt;&gt;"",--('POINTAGE'!AV272="Absent"),0),IF('POINTAGE'!$AX$5&lt;&gt;"",--('POINTAGE'!AX272="Absent"),0),IF('POINTAGE'!$AZ$5&lt;&gt;"",--('POINTAGE'!AZ272="Absent"),0),IF('POINTAGE'!$BB$5&lt;&gt;"",--('POINTAGE'!BB272="Absent"),0),IF('POINTAGE'!$BD$5&lt;&gt;"",--('POINTAGE'!BD272="Absent"),0),IF('POINTAGE'!$BF$5&lt;&gt;"",--('POINTAGE'!BF272="Absent"),0),IF('POINTAGE'!$BH$5&lt;&gt;"",--('POINTAGE'!BH272="Absent"),0),IF('POINTAGE'!$BJ$5&lt;&gt;"",--('POINTAGE'!BJ272="Absent"),0),IF('POINTAGE'!$BL$5&lt;&gt;"",--('POINTAGE'!BL272="Absent"),0)))</f>
      </c>
      <c r="P272" s="23">
        <f>IF($A272="","",SUM(IF('POINTAGE'!$AH$5&lt;&gt;"",IF('POINTAGE'!AH272="Présent",'POINTAGE'!AI272,0),0),IF('POINTAGE'!$AJ$5&lt;&gt;"",IF('POINTAGE'!AJ272="Présent",'POINTAGE'!AK272,0),0),IF('POINTAGE'!$AL$5&lt;&gt;"",IF('POINTAGE'!AL272="Présent",'POINTAGE'!AM272,0),0),IF('POINTAGE'!$AN$5&lt;&gt;"",IF('POINTAGE'!AN272="Présent",'POINTAGE'!AO272,0),0),IF('POINTAGE'!$AP$5&lt;&gt;"",IF('POINTAGE'!AP272="Présent",'POINTAGE'!AQ272,0),0),IF('POINTAGE'!$AR$5&lt;&gt;"",IF('POINTAGE'!AR272="Présent",'POINTAGE'!AS272,0),0),IF('POINTAGE'!$AT$5&lt;&gt;"",IF('POINTAGE'!AT272="Présent",'POINTAGE'!AU272,0),0),IF('POINTAGE'!$AV$5&lt;&gt;"",IF('POINTAGE'!AV272="Présent",'POINTAGE'!AW272,0),0),IF('POINTAGE'!$AX$5&lt;&gt;"",IF('POINTAGE'!AX272="Présent",'POINTAGE'!AY272,0),0),IF('POINTAGE'!$AZ$5&lt;&gt;"",IF('POINTAGE'!AZ272="Présent",'POINTAGE'!BA272,0),0),IF('POINTAGE'!$BB$5&lt;&gt;"",IF('POINTAGE'!BB272="Présent",'POINTAGE'!BC272,0),0),IF('POINTAGE'!$BD$5&lt;&gt;"",IF('POINTAGE'!BD272="Présent",'POINTAGE'!BE272,0),0),IF('POINTAGE'!$BF$5&lt;&gt;"",IF('POINTAGE'!BF272="Présent",'POINTAGE'!BG272,0),0),IF('POINTAGE'!$BH$5&lt;&gt;"",IF('POINTAGE'!BH272="Présent",'POINTAGE'!BI272,0),0),IF('POINTAGE'!$BJ$5&lt;&gt;"",IF('POINTAGE'!BJ272="Présent",'POINTAGE'!BK272,0),0),IF('POINTAGE'!$BL$5&lt;&gt;"",IF('POINTAGE'!BL272="Présent",'POINTAGE'!BM272,0),0)))</f>
      </c>
      <c r="Q272" s="24">
        <f>IF($A272="","",$N272*$D272)</f>
      </c>
      <c r="R272" s="24">
        <f>IF($A272="","",$P272*$E272)</f>
      </c>
      <c r="S272" s="25">
        <f>IF($A272="","",$Q272+$R272)</f>
      </c>
      <c r="T272" s="18"/>
      <c r="U272" s="25">
        <f>IF($A272="","",MAX(0,$S272-$T272))</f>
      </c>
      <c r="V272" s="25">
        <f>IF($A272="","",$K272+$S272)</f>
      </c>
      <c r="W272" s="24">
        <f>IF($A272="","",$L272+$T272)</f>
      </c>
      <c r="X272" s="25">
        <f>IF($A272="","",$M272+$U272)</f>
      </c>
      <c r="Y272" s="29">
        <f>IF($A272="","",$J272+$R272)</f>
      </c>
    </row>
    <row r="273">
      <c r="A273" s="20">
        <f>IF('POINTAGE'!A273="","",'POINTAGE'!A273)</f>
      </c>
      <c r="B273" s="19">
        <f>IF($A273="","",'POINTAGE'!B273)</f>
      </c>
      <c r="C273" s="20">
        <f>IF($A273="","",'POINTAGE'!C273)</f>
      </c>
      <c r="D273" s="24">
        <f>IF($A273="","",IFERROR(INDEX(Categories_Salaire,MATCH($C273,ListeCategories,0)),0))</f>
      </c>
      <c r="E273" s="24">
        <f>IF($A273="","",IF(IFERROR(INDEX(Categories_TauxHS,MATCH($C273,ListeCategories,0)),0)&gt;0,IFERROR(INDEX(Categories_TauxHS,MATCH($C273,ListeCategories,0)),0),TauxHSDefaut))</f>
      </c>
      <c r="F273" s="22">
        <f>IF($A273="","",SUM(IF('POINTAGE'!$D$5&lt;&gt;"",--('POINTAGE'!D273="Présent"),0),IF('POINTAGE'!$F$5&lt;&gt;"",--('POINTAGE'!F273="Présent"),0),IF('POINTAGE'!$H$5&lt;&gt;"",--('POINTAGE'!H273="Présent"),0),IF('POINTAGE'!$J$5&lt;&gt;"",--('POINTAGE'!J273="Présent"),0),IF('POINTAGE'!$L$5&lt;&gt;"",--('POINTAGE'!L273="Présent"),0),IF('POINTAGE'!$N$5&lt;&gt;"",--('POINTAGE'!N273="Présent"),0),IF('POINTAGE'!$P$5&lt;&gt;"",--('POINTAGE'!P273="Présent"),0),IF('POINTAGE'!$R$5&lt;&gt;"",--('POINTAGE'!R273="Présent"),0),IF('POINTAGE'!$T$5&lt;&gt;"",--('POINTAGE'!T273="Présent"),0),IF('POINTAGE'!$V$5&lt;&gt;"",--('POINTAGE'!V273="Présent"),0),IF('POINTAGE'!$X$5&lt;&gt;"",--('POINTAGE'!X273="Présent"),0),IF('POINTAGE'!$Z$5&lt;&gt;"",--('POINTAGE'!Z273="Présent"),0),IF('POINTAGE'!$AB$5&lt;&gt;"",--('POINTAGE'!AB273="Présent"),0),IF('POINTAGE'!$AD$5&lt;&gt;"",--('POINTAGE'!AD273="Présent"),0),IF('POINTAGE'!$AF$5&lt;&gt;"",--('POINTAGE'!AF273="Présent"),0)))</f>
      </c>
      <c r="G273" s="22">
        <f>IF($A273="","",SUM(IF('POINTAGE'!$D$5&lt;&gt;"",--('POINTAGE'!D273="Absent"),0),IF('POINTAGE'!$F$5&lt;&gt;"",--('POINTAGE'!F273="Absent"),0),IF('POINTAGE'!$H$5&lt;&gt;"",--('POINTAGE'!H273="Absent"),0),IF('POINTAGE'!$J$5&lt;&gt;"",--('POINTAGE'!J273="Absent"),0),IF('POINTAGE'!$L$5&lt;&gt;"",--('POINTAGE'!L273="Absent"),0),IF('POINTAGE'!$N$5&lt;&gt;"",--('POINTAGE'!N273="Absent"),0),IF('POINTAGE'!$P$5&lt;&gt;"",--('POINTAGE'!P273="Absent"),0),IF('POINTAGE'!$R$5&lt;&gt;"",--('POINTAGE'!R273="Absent"),0),IF('POINTAGE'!$T$5&lt;&gt;"",--('POINTAGE'!T273="Absent"),0),IF('POINTAGE'!$V$5&lt;&gt;"",--('POINTAGE'!V273="Absent"),0),IF('POINTAGE'!$X$5&lt;&gt;"",--('POINTAGE'!X273="Absent"),0),IF('POINTAGE'!$Z$5&lt;&gt;"",--('POINTAGE'!Z273="Absent"),0),IF('POINTAGE'!$AB$5&lt;&gt;"",--('POINTAGE'!AB273="Absent"),0),IF('POINTAGE'!$AD$5&lt;&gt;"",--('POINTAGE'!AD273="Absent"),0),IF('POINTAGE'!$AF$5&lt;&gt;"",--('POINTAGE'!AF273="Absent"),0)))</f>
      </c>
      <c r="H273" s="23">
        <f>IF($A273="","",SUM(IF('POINTAGE'!$D$5&lt;&gt;"",IF('POINTAGE'!D273="Présent",'POINTAGE'!E273,0),0),IF('POINTAGE'!$F$5&lt;&gt;"",IF('POINTAGE'!F273="Présent",'POINTAGE'!G273,0),0),IF('POINTAGE'!$H$5&lt;&gt;"",IF('POINTAGE'!H273="Présent",'POINTAGE'!I273,0),0),IF('POINTAGE'!$J$5&lt;&gt;"",IF('POINTAGE'!J273="Présent",'POINTAGE'!K273,0),0),IF('POINTAGE'!$L$5&lt;&gt;"",IF('POINTAGE'!L273="Présent",'POINTAGE'!M273,0),0),IF('POINTAGE'!$N$5&lt;&gt;"",IF('POINTAGE'!N273="Présent",'POINTAGE'!O273,0),0),IF('POINTAGE'!$P$5&lt;&gt;"",IF('POINTAGE'!P273="Présent",'POINTAGE'!Q273,0),0),IF('POINTAGE'!$R$5&lt;&gt;"",IF('POINTAGE'!R273="Présent",'POINTAGE'!S273,0),0),IF('POINTAGE'!$T$5&lt;&gt;"",IF('POINTAGE'!T273="Présent",'POINTAGE'!U273,0),0),IF('POINTAGE'!$V$5&lt;&gt;"",IF('POINTAGE'!V273="Présent",'POINTAGE'!W273,0),0),IF('POINTAGE'!$X$5&lt;&gt;"",IF('POINTAGE'!X273="Présent",'POINTAGE'!Y273,0),0),IF('POINTAGE'!$Z$5&lt;&gt;"",IF('POINTAGE'!Z273="Présent",'POINTAGE'!AA273,0),0),IF('POINTAGE'!$AB$5&lt;&gt;"",IF('POINTAGE'!AB273="Présent",'POINTAGE'!AC273,0),0),IF('POINTAGE'!$AD$5&lt;&gt;"",IF('POINTAGE'!AD273="Présent",'POINTAGE'!AE273,0),0),IF('POINTAGE'!$AF$5&lt;&gt;"",IF('POINTAGE'!AF273="Présent",'POINTAGE'!AG273,0),0)))</f>
      </c>
      <c r="I273" s="24">
        <f>IF($A273="","",$F273*$D273)</f>
      </c>
      <c r="J273" s="24">
        <f>IF($A273="","",$H273*$E273)</f>
      </c>
      <c r="K273" s="25">
        <f>IF($A273="","",$I273+$J273)</f>
      </c>
      <c r="L273" s="18"/>
      <c r="M273" s="25">
        <f>IF($A273="","",MAX(0,$K273-$L273))</f>
      </c>
      <c r="N273" s="22">
        <f>IF($A273="","",SUM(IF('POINTAGE'!$AH$5&lt;&gt;"",--('POINTAGE'!AH273="Présent"),0),IF('POINTAGE'!$AJ$5&lt;&gt;"",--('POINTAGE'!AJ273="Présent"),0),IF('POINTAGE'!$AL$5&lt;&gt;"",--('POINTAGE'!AL273="Présent"),0),IF('POINTAGE'!$AN$5&lt;&gt;"",--('POINTAGE'!AN273="Présent"),0),IF('POINTAGE'!$AP$5&lt;&gt;"",--('POINTAGE'!AP273="Présent"),0),IF('POINTAGE'!$AR$5&lt;&gt;"",--('POINTAGE'!AR273="Présent"),0),IF('POINTAGE'!$AT$5&lt;&gt;"",--('POINTAGE'!AT273="Présent"),0),IF('POINTAGE'!$AV$5&lt;&gt;"",--('POINTAGE'!AV273="Présent"),0),IF('POINTAGE'!$AX$5&lt;&gt;"",--('POINTAGE'!AX273="Présent"),0),IF('POINTAGE'!$AZ$5&lt;&gt;"",--('POINTAGE'!AZ273="Présent"),0),IF('POINTAGE'!$BB$5&lt;&gt;"",--('POINTAGE'!BB273="Présent"),0),IF('POINTAGE'!$BD$5&lt;&gt;"",--('POINTAGE'!BD273="Présent"),0),IF('POINTAGE'!$BF$5&lt;&gt;"",--('POINTAGE'!BF273="Présent"),0),IF('POINTAGE'!$BH$5&lt;&gt;"",--('POINTAGE'!BH273="Présent"),0),IF('POINTAGE'!$BJ$5&lt;&gt;"",--('POINTAGE'!BJ273="Présent"),0),IF('POINTAGE'!$BL$5&lt;&gt;"",--('POINTAGE'!BL273="Présent"),0)))</f>
      </c>
      <c r="O273" s="22">
        <f>IF($A273="","",SUM(IF('POINTAGE'!$AH$5&lt;&gt;"",--('POINTAGE'!AH273="Absent"),0),IF('POINTAGE'!$AJ$5&lt;&gt;"",--('POINTAGE'!AJ273="Absent"),0),IF('POINTAGE'!$AL$5&lt;&gt;"",--('POINTAGE'!AL273="Absent"),0),IF('POINTAGE'!$AN$5&lt;&gt;"",--('POINTAGE'!AN273="Absent"),0),IF('POINTAGE'!$AP$5&lt;&gt;"",--('POINTAGE'!AP273="Absent"),0),IF('POINTAGE'!$AR$5&lt;&gt;"",--('POINTAGE'!AR273="Absent"),0),IF('POINTAGE'!$AT$5&lt;&gt;"",--('POINTAGE'!AT273="Absent"),0),IF('POINTAGE'!$AV$5&lt;&gt;"",--('POINTAGE'!AV273="Absent"),0),IF('POINTAGE'!$AX$5&lt;&gt;"",--('POINTAGE'!AX273="Absent"),0),IF('POINTAGE'!$AZ$5&lt;&gt;"",--('POINTAGE'!AZ273="Absent"),0),IF('POINTAGE'!$BB$5&lt;&gt;"",--('POINTAGE'!BB273="Absent"),0),IF('POINTAGE'!$BD$5&lt;&gt;"",--('POINTAGE'!BD273="Absent"),0),IF('POINTAGE'!$BF$5&lt;&gt;"",--('POINTAGE'!BF273="Absent"),0),IF('POINTAGE'!$BH$5&lt;&gt;"",--('POINTAGE'!BH273="Absent"),0),IF('POINTAGE'!$BJ$5&lt;&gt;"",--('POINTAGE'!BJ273="Absent"),0),IF('POINTAGE'!$BL$5&lt;&gt;"",--('POINTAGE'!BL273="Absent"),0)))</f>
      </c>
      <c r="P273" s="23">
        <f>IF($A273="","",SUM(IF('POINTAGE'!$AH$5&lt;&gt;"",IF('POINTAGE'!AH273="Présent",'POINTAGE'!AI273,0),0),IF('POINTAGE'!$AJ$5&lt;&gt;"",IF('POINTAGE'!AJ273="Présent",'POINTAGE'!AK273,0),0),IF('POINTAGE'!$AL$5&lt;&gt;"",IF('POINTAGE'!AL273="Présent",'POINTAGE'!AM273,0),0),IF('POINTAGE'!$AN$5&lt;&gt;"",IF('POINTAGE'!AN273="Présent",'POINTAGE'!AO273,0),0),IF('POINTAGE'!$AP$5&lt;&gt;"",IF('POINTAGE'!AP273="Présent",'POINTAGE'!AQ273,0),0),IF('POINTAGE'!$AR$5&lt;&gt;"",IF('POINTAGE'!AR273="Présent",'POINTAGE'!AS273,0),0),IF('POINTAGE'!$AT$5&lt;&gt;"",IF('POINTAGE'!AT273="Présent",'POINTAGE'!AU273,0),0),IF('POINTAGE'!$AV$5&lt;&gt;"",IF('POINTAGE'!AV273="Présent",'POINTAGE'!AW273,0),0),IF('POINTAGE'!$AX$5&lt;&gt;"",IF('POINTAGE'!AX273="Présent",'POINTAGE'!AY273,0),0),IF('POINTAGE'!$AZ$5&lt;&gt;"",IF('POINTAGE'!AZ273="Présent",'POINTAGE'!BA273,0),0),IF('POINTAGE'!$BB$5&lt;&gt;"",IF('POINTAGE'!BB273="Présent",'POINTAGE'!BC273,0),0),IF('POINTAGE'!$BD$5&lt;&gt;"",IF('POINTAGE'!BD273="Présent",'POINTAGE'!BE273,0),0),IF('POINTAGE'!$BF$5&lt;&gt;"",IF('POINTAGE'!BF273="Présent",'POINTAGE'!BG273,0),0),IF('POINTAGE'!$BH$5&lt;&gt;"",IF('POINTAGE'!BH273="Présent",'POINTAGE'!BI273,0),0),IF('POINTAGE'!$BJ$5&lt;&gt;"",IF('POINTAGE'!BJ273="Présent",'POINTAGE'!BK273,0),0),IF('POINTAGE'!$BL$5&lt;&gt;"",IF('POINTAGE'!BL273="Présent",'POINTAGE'!BM273,0),0)))</f>
      </c>
      <c r="Q273" s="24">
        <f>IF($A273="","",$N273*$D273)</f>
      </c>
      <c r="R273" s="24">
        <f>IF($A273="","",$P273*$E273)</f>
      </c>
      <c r="S273" s="25">
        <f>IF($A273="","",$Q273+$R273)</f>
      </c>
      <c r="T273" s="18"/>
      <c r="U273" s="25">
        <f>IF($A273="","",MAX(0,$S273-$T273))</f>
      </c>
      <c r="V273" s="25">
        <f>IF($A273="","",$K273+$S273)</f>
      </c>
      <c r="W273" s="24">
        <f>IF($A273="","",$L273+$T273)</f>
      </c>
      <c r="X273" s="25">
        <f>IF($A273="","",$M273+$U273)</f>
      </c>
      <c r="Y273" s="29">
        <f>IF($A273="","",$J273+$R273)</f>
      </c>
    </row>
    <row r="274">
      <c r="A274" s="20">
        <f>IF('POINTAGE'!A274="","",'POINTAGE'!A274)</f>
      </c>
      <c r="B274" s="19">
        <f>IF($A274="","",'POINTAGE'!B274)</f>
      </c>
      <c r="C274" s="20">
        <f>IF($A274="","",'POINTAGE'!C274)</f>
      </c>
      <c r="D274" s="24">
        <f>IF($A274="","",IFERROR(INDEX(Categories_Salaire,MATCH($C274,ListeCategories,0)),0))</f>
      </c>
      <c r="E274" s="24">
        <f>IF($A274="","",IF(IFERROR(INDEX(Categories_TauxHS,MATCH($C274,ListeCategories,0)),0)&gt;0,IFERROR(INDEX(Categories_TauxHS,MATCH($C274,ListeCategories,0)),0),TauxHSDefaut))</f>
      </c>
      <c r="F274" s="22">
        <f>IF($A274="","",SUM(IF('POINTAGE'!$D$5&lt;&gt;"",--('POINTAGE'!D274="Présent"),0),IF('POINTAGE'!$F$5&lt;&gt;"",--('POINTAGE'!F274="Présent"),0),IF('POINTAGE'!$H$5&lt;&gt;"",--('POINTAGE'!H274="Présent"),0),IF('POINTAGE'!$J$5&lt;&gt;"",--('POINTAGE'!J274="Présent"),0),IF('POINTAGE'!$L$5&lt;&gt;"",--('POINTAGE'!L274="Présent"),0),IF('POINTAGE'!$N$5&lt;&gt;"",--('POINTAGE'!N274="Présent"),0),IF('POINTAGE'!$P$5&lt;&gt;"",--('POINTAGE'!P274="Présent"),0),IF('POINTAGE'!$R$5&lt;&gt;"",--('POINTAGE'!R274="Présent"),0),IF('POINTAGE'!$T$5&lt;&gt;"",--('POINTAGE'!T274="Présent"),0),IF('POINTAGE'!$V$5&lt;&gt;"",--('POINTAGE'!V274="Présent"),0),IF('POINTAGE'!$X$5&lt;&gt;"",--('POINTAGE'!X274="Présent"),0),IF('POINTAGE'!$Z$5&lt;&gt;"",--('POINTAGE'!Z274="Présent"),0),IF('POINTAGE'!$AB$5&lt;&gt;"",--('POINTAGE'!AB274="Présent"),0),IF('POINTAGE'!$AD$5&lt;&gt;"",--('POINTAGE'!AD274="Présent"),0),IF('POINTAGE'!$AF$5&lt;&gt;"",--('POINTAGE'!AF274="Présent"),0)))</f>
      </c>
      <c r="G274" s="22">
        <f>IF($A274="","",SUM(IF('POINTAGE'!$D$5&lt;&gt;"",--('POINTAGE'!D274="Absent"),0),IF('POINTAGE'!$F$5&lt;&gt;"",--('POINTAGE'!F274="Absent"),0),IF('POINTAGE'!$H$5&lt;&gt;"",--('POINTAGE'!H274="Absent"),0),IF('POINTAGE'!$J$5&lt;&gt;"",--('POINTAGE'!J274="Absent"),0),IF('POINTAGE'!$L$5&lt;&gt;"",--('POINTAGE'!L274="Absent"),0),IF('POINTAGE'!$N$5&lt;&gt;"",--('POINTAGE'!N274="Absent"),0),IF('POINTAGE'!$P$5&lt;&gt;"",--('POINTAGE'!P274="Absent"),0),IF('POINTAGE'!$R$5&lt;&gt;"",--('POINTAGE'!R274="Absent"),0),IF('POINTAGE'!$T$5&lt;&gt;"",--('POINTAGE'!T274="Absent"),0),IF('POINTAGE'!$V$5&lt;&gt;"",--('POINTAGE'!V274="Absent"),0),IF('POINTAGE'!$X$5&lt;&gt;"",--('POINTAGE'!X274="Absent"),0),IF('POINTAGE'!$Z$5&lt;&gt;"",--('POINTAGE'!Z274="Absent"),0),IF('POINTAGE'!$AB$5&lt;&gt;"",--('POINTAGE'!AB274="Absent"),0),IF('POINTAGE'!$AD$5&lt;&gt;"",--('POINTAGE'!AD274="Absent"),0),IF('POINTAGE'!$AF$5&lt;&gt;"",--('POINTAGE'!AF274="Absent"),0)))</f>
      </c>
      <c r="H274" s="23">
        <f>IF($A274="","",SUM(IF('POINTAGE'!$D$5&lt;&gt;"",IF('POINTAGE'!D274="Présent",'POINTAGE'!E274,0),0),IF('POINTAGE'!$F$5&lt;&gt;"",IF('POINTAGE'!F274="Présent",'POINTAGE'!G274,0),0),IF('POINTAGE'!$H$5&lt;&gt;"",IF('POINTAGE'!H274="Présent",'POINTAGE'!I274,0),0),IF('POINTAGE'!$J$5&lt;&gt;"",IF('POINTAGE'!J274="Présent",'POINTAGE'!K274,0),0),IF('POINTAGE'!$L$5&lt;&gt;"",IF('POINTAGE'!L274="Présent",'POINTAGE'!M274,0),0),IF('POINTAGE'!$N$5&lt;&gt;"",IF('POINTAGE'!N274="Présent",'POINTAGE'!O274,0),0),IF('POINTAGE'!$P$5&lt;&gt;"",IF('POINTAGE'!P274="Présent",'POINTAGE'!Q274,0),0),IF('POINTAGE'!$R$5&lt;&gt;"",IF('POINTAGE'!R274="Présent",'POINTAGE'!S274,0),0),IF('POINTAGE'!$T$5&lt;&gt;"",IF('POINTAGE'!T274="Présent",'POINTAGE'!U274,0),0),IF('POINTAGE'!$V$5&lt;&gt;"",IF('POINTAGE'!V274="Présent",'POINTAGE'!W274,0),0),IF('POINTAGE'!$X$5&lt;&gt;"",IF('POINTAGE'!X274="Présent",'POINTAGE'!Y274,0),0),IF('POINTAGE'!$Z$5&lt;&gt;"",IF('POINTAGE'!Z274="Présent",'POINTAGE'!AA274,0),0),IF('POINTAGE'!$AB$5&lt;&gt;"",IF('POINTAGE'!AB274="Présent",'POINTAGE'!AC274,0),0),IF('POINTAGE'!$AD$5&lt;&gt;"",IF('POINTAGE'!AD274="Présent",'POINTAGE'!AE274,0),0),IF('POINTAGE'!$AF$5&lt;&gt;"",IF('POINTAGE'!AF274="Présent",'POINTAGE'!AG274,0),0)))</f>
      </c>
      <c r="I274" s="24">
        <f>IF($A274="","",$F274*$D274)</f>
      </c>
      <c r="J274" s="24">
        <f>IF($A274="","",$H274*$E274)</f>
      </c>
      <c r="K274" s="25">
        <f>IF($A274="","",$I274+$J274)</f>
      </c>
      <c r="L274" s="18"/>
      <c r="M274" s="25">
        <f>IF($A274="","",MAX(0,$K274-$L274))</f>
      </c>
      <c r="N274" s="22">
        <f>IF($A274="","",SUM(IF('POINTAGE'!$AH$5&lt;&gt;"",--('POINTAGE'!AH274="Présent"),0),IF('POINTAGE'!$AJ$5&lt;&gt;"",--('POINTAGE'!AJ274="Présent"),0),IF('POINTAGE'!$AL$5&lt;&gt;"",--('POINTAGE'!AL274="Présent"),0),IF('POINTAGE'!$AN$5&lt;&gt;"",--('POINTAGE'!AN274="Présent"),0),IF('POINTAGE'!$AP$5&lt;&gt;"",--('POINTAGE'!AP274="Présent"),0),IF('POINTAGE'!$AR$5&lt;&gt;"",--('POINTAGE'!AR274="Présent"),0),IF('POINTAGE'!$AT$5&lt;&gt;"",--('POINTAGE'!AT274="Présent"),0),IF('POINTAGE'!$AV$5&lt;&gt;"",--('POINTAGE'!AV274="Présent"),0),IF('POINTAGE'!$AX$5&lt;&gt;"",--('POINTAGE'!AX274="Présent"),0),IF('POINTAGE'!$AZ$5&lt;&gt;"",--('POINTAGE'!AZ274="Présent"),0),IF('POINTAGE'!$BB$5&lt;&gt;"",--('POINTAGE'!BB274="Présent"),0),IF('POINTAGE'!$BD$5&lt;&gt;"",--('POINTAGE'!BD274="Présent"),0),IF('POINTAGE'!$BF$5&lt;&gt;"",--('POINTAGE'!BF274="Présent"),0),IF('POINTAGE'!$BH$5&lt;&gt;"",--('POINTAGE'!BH274="Présent"),0),IF('POINTAGE'!$BJ$5&lt;&gt;"",--('POINTAGE'!BJ274="Présent"),0),IF('POINTAGE'!$BL$5&lt;&gt;"",--('POINTAGE'!BL274="Présent"),0)))</f>
      </c>
      <c r="O274" s="22">
        <f>IF($A274="","",SUM(IF('POINTAGE'!$AH$5&lt;&gt;"",--('POINTAGE'!AH274="Absent"),0),IF('POINTAGE'!$AJ$5&lt;&gt;"",--('POINTAGE'!AJ274="Absent"),0),IF('POINTAGE'!$AL$5&lt;&gt;"",--('POINTAGE'!AL274="Absent"),0),IF('POINTAGE'!$AN$5&lt;&gt;"",--('POINTAGE'!AN274="Absent"),0),IF('POINTAGE'!$AP$5&lt;&gt;"",--('POINTAGE'!AP274="Absent"),0),IF('POINTAGE'!$AR$5&lt;&gt;"",--('POINTAGE'!AR274="Absent"),0),IF('POINTAGE'!$AT$5&lt;&gt;"",--('POINTAGE'!AT274="Absent"),0),IF('POINTAGE'!$AV$5&lt;&gt;"",--('POINTAGE'!AV274="Absent"),0),IF('POINTAGE'!$AX$5&lt;&gt;"",--('POINTAGE'!AX274="Absent"),0),IF('POINTAGE'!$AZ$5&lt;&gt;"",--('POINTAGE'!AZ274="Absent"),0),IF('POINTAGE'!$BB$5&lt;&gt;"",--('POINTAGE'!BB274="Absent"),0),IF('POINTAGE'!$BD$5&lt;&gt;"",--('POINTAGE'!BD274="Absent"),0),IF('POINTAGE'!$BF$5&lt;&gt;"",--('POINTAGE'!BF274="Absent"),0),IF('POINTAGE'!$BH$5&lt;&gt;"",--('POINTAGE'!BH274="Absent"),0),IF('POINTAGE'!$BJ$5&lt;&gt;"",--('POINTAGE'!BJ274="Absent"),0),IF('POINTAGE'!$BL$5&lt;&gt;"",--('POINTAGE'!BL274="Absent"),0)))</f>
      </c>
      <c r="P274" s="23">
        <f>IF($A274="","",SUM(IF('POINTAGE'!$AH$5&lt;&gt;"",IF('POINTAGE'!AH274="Présent",'POINTAGE'!AI274,0),0),IF('POINTAGE'!$AJ$5&lt;&gt;"",IF('POINTAGE'!AJ274="Présent",'POINTAGE'!AK274,0),0),IF('POINTAGE'!$AL$5&lt;&gt;"",IF('POINTAGE'!AL274="Présent",'POINTAGE'!AM274,0),0),IF('POINTAGE'!$AN$5&lt;&gt;"",IF('POINTAGE'!AN274="Présent",'POINTAGE'!AO274,0),0),IF('POINTAGE'!$AP$5&lt;&gt;"",IF('POINTAGE'!AP274="Présent",'POINTAGE'!AQ274,0),0),IF('POINTAGE'!$AR$5&lt;&gt;"",IF('POINTAGE'!AR274="Présent",'POINTAGE'!AS274,0),0),IF('POINTAGE'!$AT$5&lt;&gt;"",IF('POINTAGE'!AT274="Présent",'POINTAGE'!AU274,0),0),IF('POINTAGE'!$AV$5&lt;&gt;"",IF('POINTAGE'!AV274="Présent",'POINTAGE'!AW274,0),0),IF('POINTAGE'!$AX$5&lt;&gt;"",IF('POINTAGE'!AX274="Présent",'POINTAGE'!AY274,0),0),IF('POINTAGE'!$AZ$5&lt;&gt;"",IF('POINTAGE'!AZ274="Présent",'POINTAGE'!BA274,0),0),IF('POINTAGE'!$BB$5&lt;&gt;"",IF('POINTAGE'!BB274="Présent",'POINTAGE'!BC274,0),0),IF('POINTAGE'!$BD$5&lt;&gt;"",IF('POINTAGE'!BD274="Présent",'POINTAGE'!BE274,0),0),IF('POINTAGE'!$BF$5&lt;&gt;"",IF('POINTAGE'!BF274="Présent",'POINTAGE'!BG274,0),0),IF('POINTAGE'!$BH$5&lt;&gt;"",IF('POINTAGE'!BH274="Présent",'POINTAGE'!BI274,0),0),IF('POINTAGE'!$BJ$5&lt;&gt;"",IF('POINTAGE'!BJ274="Présent",'POINTAGE'!BK274,0),0),IF('POINTAGE'!$BL$5&lt;&gt;"",IF('POINTAGE'!BL274="Présent",'POINTAGE'!BM274,0),0)))</f>
      </c>
      <c r="Q274" s="24">
        <f>IF($A274="","",$N274*$D274)</f>
      </c>
      <c r="R274" s="24">
        <f>IF($A274="","",$P274*$E274)</f>
      </c>
      <c r="S274" s="25">
        <f>IF($A274="","",$Q274+$R274)</f>
      </c>
      <c r="T274" s="18"/>
      <c r="U274" s="25">
        <f>IF($A274="","",MAX(0,$S274-$T274))</f>
      </c>
      <c r="V274" s="25">
        <f>IF($A274="","",$K274+$S274)</f>
      </c>
      <c r="W274" s="24">
        <f>IF($A274="","",$L274+$T274)</f>
      </c>
      <c r="X274" s="25">
        <f>IF($A274="","",$M274+$U274)</f>
      </c>
      <c r="Y274" s="29">
        <f>IF($A274="","",$J274+$R274)</f>
      </c>
    </row>
    <row r="275">
      <c r="A275" s="20">
        <f>IF('POINTAGE'!A275="","",'POINTAGE'!A275)</f>
      </c>
      <c r="B275" s="19">
        <f>IF($A275="","",'POINTAGE'!B275)</f>
      </c>
      <c r="C275" s="20">
        <f>IF($A275="","",'POINTAGE'!C275)</f>
      </c>
      <c r="D275" s="24">
        <f>IF($A275="","",IFERROR(INDEX(Categories_Salaire,MATCH($C275,ListeCategories,0)),0))</f>
      </c>
      <c r="E275" s="24">
        <f>IF($A275="","",IF(IFERROR(INDEX(Categories_TauxHS,MATCH($C275,ListeCategories,0)),0)&gt;0,IFERROR(INDEX(Categories_TauxHS,MATCH($C275,ListeCategories,0)),0),TauxHSDefaut))</f>
      </c>
      <c r="F275" s="22">
        <f>IF($A275="","",SUM(IF('POINTAGE'!$D$5&lt;&gt;"",--('POINTAGE'!D275="Présent"),0),IF('POINTAGE'!$F$5&lt;&gt;"",--('POINTAGE'!F275="Présent"),0),IF('POINTAGE'!$H$5&lt;&gt;"",--('POINTAGE'!H275="Présent"),0),IF('POINTAGE'!$J$5&lt;&gt;"",--('POINTAGE'!J275="Présent"),0),IF('POINTAGE'!$L$5&lt;&gt;"",--('POINTAGE'!L275="Présent"),0),IF('POINTAGE'!$N$5&lt;&gt;"",--('POINTAGE'!N275="Présent"),0),IF('POINTAGE'!$P$5&lt;&gt;"",--('POINTAGE'!P275="Présent"),0),IF('POINTAGE'!$R$5&lt;&gt;"",--('POINTAGE'!R275="Présent"),0),IF('POINTAGE'!$T$5&lt;&gt;"",--('POINTAGE'!T275="Présent"),0),IF('POINTAGE'!$V$5&lt;&gt;"",--('POINTAGE'!V275="Présent"),0),IF('POINTAGE'!$X$5&lt;&gt;"",--('POINTAGE'!X275="Présent"),0),IF('POINTAGE'!$Z$5&lt;&gt;"",--('POINTAGE'!Z275="Présent"),0),IF('POINTAGE'!$AB$5&lt;&gt;"",--('POINTAGE'!AB275="Présent"),0),IF('POINTAGE'!$AD$5&lt;&gt;"",--('POINTAGE'!AD275="Présent"),0),IF('POINTAGE'!$AF$5&lt;&gt;"",--('POINTAGE'!AF275="Présent"),0)))</f>
      </c>
      <c r="G275" s="22">
        <f>IF($A275="","",SUM(IF('POINTAGE'!$D$5&lt;&gt;"",--('POINTAGE'!D275="Absent"),0),IF('POINTAGE'!$F$5&lt;&gt;"",--('POINTAGE'!F275="Absent"),0),IF('POINTAGE'!$H$5&lt;&gt;"",--('POINTAGE'!H275="Absent"),0),IF('POINTAGE'!$J$5&lt;&gt;"",--('POINTAGE'!J275="Absent"),0),IF('POINTAGE'!$L$5&lt;&gt;"",--('POINTAGE'!L275="Absent"),0),IF('POINTAGE'!$N$5&lt;&gt;"",--('POINTAGE'!N275="Absent"),0),IF('POINTAGE'!$P$5&lt;&gt;"",--('POINTAGE'!P275="Absent"),0),IF('POINTAGE'!$R$5&lt;&gt;"",--('POINTAGE'!R275="Absent"),0),IF('POINTAGE'!$T$5&lt;&gt;"",--('POINTAGE'!T275="Absent"),0),IF('POINTAGE'!$V$5&lt;&gt;"",--('POINTAGE'!V275="Absent"),0),IF('POINTAGE'!$X$5&lt;&gt;"",--('POINTAGE'!X275="Absent"),0),IF('POINTAGE'!$Z$5&lt;&gt;"",--('POINTAGE'!Z275="Absent"),0),IF('POINTAGE'!$AB$5&lt;&gt;"",--('POINTAGE'!AB275="Absent"),0),IF('POINTAGE'!$AD$5&lt;&gt;"",--('POINTAGE'!AD275="Absent"),0),IF('POINTAGE'!$AF$5&lt;&gt;"",--('POINTAGE'!AF275="Absent"),0)))</f>
      </c>
      <c r="H275" s="23">
        <f>IF($A275="","",SUM(IF('POINTAGE'!$D$5&lt;&gt;"",IF('POINTAGE'!D275="Présent",'POINTAGE'!E275,0),0),IF('POINTAGE'!$F$5&lt;&gt;"",IF('POINTAGE'!F275="Présent",'POINTAGE'!G275,0),0),IF('POINTAGE'!$H$5&lt;&gt;"",IF('POINTAGE'!H275="Présent",'POINTAGE'!I275,0),0),IF('POINTAGE'!$J$5&lt;&gt;"",IF('POINTAGE'!J275="Présent",'POINTAGE'!K275,0),0),IF('POINTAGE'!$L$5&lt;&gt;"",IF('POINTAGE'!L275="Présent",'POINTAGE'!M275,0),0),IF('POINTAGE'!$N$5&lt;&gt;"",IF('POINTAGE'!N275="Présent",'POINTAGE'!O275,0),0),IF('POINTAGE'!$P$5&lt;&gt;"",IF('POINTAGE'!P275="Présent",'POINTAGE'!Q275,0),0),IF('POINTAGE'!$R$5&lt;&gt;"",IF('POINTAGE'!R275="Présent",'POINTAGE'!S275,0),0),IF('POINTAGE'!$T$5&lt;&gt;"",IF('POINTAGE'!T275="Présent",'POINTAGE'!U275,0),0),IF('POINTAGE'!$V$5&lt;&gt;"",IF('POINTAGE'!V275="Présent",'POINTAGE'!W275,0),0),IF('POINTAGE'!$X$5&lt;&gt;"",IF('POINTAGE'!X275="Présent",'POINTAGE'!Y275,0),0),IF('POINTAGE'!$Z$5&lt;&gt;"",IF('POINTAGE'!Z275="Présent",'POINTAGE'!AA275,0),0),IF('POINTAGE'!$AB$5&lt;&gt;"",IF('POINTAGE'!AB275="Présent",'POINTAGE'!AC275,0),0),IF('POINTAGE'!$AD$5&lt;&gt;"",IF('POINTAGE'!AD275="Présent",'POINTAGE'!AE275,0),0),IF('POINTAGE'!$AF$5&lt;&gt;"",IF('POINTAGE'!AF275="Présent",'POINTAGE'!AG275,0),0)))</f>
      </c>
      <c r="I275" s="24">
        <f>IF($A275="","",$F275*$D275)</f>
      </c>
      <c r="J275" s="24">
        <f>IF($A275="","",$H275*$E275)</f>
      </c>
      <c r="K275" s="25">
        <f>IF($A275="","",$I275+$J275)</f>
      </c>
      <c r="L275" s="18"/>
      <c r="M275" s="25">
        <f>IF($A275="","",MAX(0,$K275-$L275))</f>
      </c>
      <c r="N275" s="22">
        <f>IF($A275="","",SUM(IF('POINTAGE'!$AH$5&lt;&gt;"",--('POINTAGE'!AH275="Présent"),0),IF('POINTAGE'!$AJ$5&lt;&gt;"",--('POINTAGE'!AJ275="Présent"),0),IF('POINTAGE'!$AL$5&lt;&gt;"",--('POINTAGE'!AL275="Présent"),0),IF('POINTAGE'!$AN$5&lt;&gt;"",--('POINTAGE'!AN275="Présent"),0),IF('POINTAGE'!$AP$5&lt;&gt;"",--('POINTAGE'!AP275="Présent"),0),IF('POINTAGE'!$AR$5&lt;&gt;"",--('POINTAGE'!AR275="Présent"),0),IF('POINTAGE'!$AT$5&lt;&gt;"",--('POINTAGE'!AT275="Présent"),0),IF('POINTAGE'!$AV$5&lt;&gt;"",--('POINTAGE'!AV275="Présent"),0),IF('POINTAGE'!$AX$5&lt;&gt;"",--('POINTAGE'!AX275="Présent"),0),IF('POINTAGE'!$AZ$5&lt;&gt;"",--('POINTAGE'!AZ275="Présent"),0),IF('POINTAGE'!$BB$5&lt;&gt;"",--('POINTAGE'!BB275="Présent"),0),IF('POINTAGE'!$BD$5&lt;&gt;"",--('POINTAGE'!BD275="Présent"),0),IF('POINTAGE'!$BF$5&lt;&gt;"",--('POINTAGE'!BF275="Présent"),0),IF('POINTAGE'!$BH$5&lt;&gt;"",--('POINTAGE'!BH275="Présent"),0),IF('POINTAGE'!$BJ$5&lt;&gt;"",--('POINTAGE'!BJ275="Présent"),0),IF('POINTAGE'!$BL$5&lt;&gt;"",--('POINTAGE'!BL275="Présent"),0)))</f>
      </c>
      <c r="O275" s="22">
        <f>IF($A275="","",SUM(IF('POINTAGE'!$AH$5&lt;&gt;"",--('POINTAGE'!AH275="Absent"),0),IF('POINTAGE'!$AJ$5&lt;&gt;"",--('POINTAGE'!AJ275="Absent"),0),IF('POINTAGE'!$AL$5&lt;&gt;"",--('POINTAGE'!AL275="Absent"),0),IF('POINTAGE'!$AN$5&lt;&gt;"",--('POINTAGE'!AN275="Absent"),0),IF('POINTAGE'!$AP$5&lt;&gt;"",--('POINTAGE'!AP275="Absent"),0),IF('POINTAGE'!$AR$5&lt;&gt;"",--('POINTAGE'!AR275="Absent"),0),IF('POINTAGE'!$AT$5&lt;&gt;"",--('POINTAGE'!AT275="Absent"),0),IF('POINTAGE'!$AV$5&lt;&gt;"",--('POINTAGE'!AV275="Absent"),0),IF('POINTAGE'!$AX$5&lt;&gt;"",--('POINTAGE'!AX275="Absent"),0),IF('POINTAGE'!$AZ$5&lt;&gt;"",--('POINTAGE'!AZ275="Absent"),0),IF('POINTAGE'!$BB$5&lt;&gt;"",--('POINTAGE'!BB275="Absent"),0),IF('POINTAGE'!$BD$5&lt;&gt;"",--('POINTAGE'!BD275="Absent"),0),IF('POINTAGE'!$BF$5&lt;&gt;"",--('POINTAGE'!BF275="Absent"),0),IF('POINTAGE'!$BH$5&lt;&gt;"",--('POINTAGE'!BH275="Absent"),0),IF('POINTAGE'!$BJ$5&lt;&gt;"",--('POINTAGE'!BJ275="Absent"),0),IF('POINTAGE'!$BL$5&lt;&gt;"",--('POINTAGE'!BL275="Absent"),0)))</f>
      </c>
      <c r="P275" s="23">
        <f>IF($A275="","",SUM(IF('POINTAGE'!$AH$5&lt;&gt;"",IF('POINTAGE'!AH275="Présent",'POINTAGE'!AI275,0),0),IF('POINTAGE'!$AJ$5&lt;&gt;"",IF('POINTAGE'!AJ275="Présent",'POINTAGE'!AK275,0),0),IF('POINTAGE'!$AL$5&lt;&gt;"",IF('POINTAGE'!AL275="Présent",'POINTAGE'!AM275,0),0),IF('POINTAGE'!$AN$5&lt;&gt;"",IF('POINTAGE'!AN275="Présent",'POINTAGE'!AO275,0),0),IF('POINTAGE'!$AP$5&lt;&gt;"",IF('POINTAGE'!AP275="Présent",'POINTAGE'!AQ275,0),0),IF('POINTAGE'!$AR$5&lt;&gt;"",IF('POINTAGE'!AR275="Présent",'POINTAGE'!AS275,0),0),IF('POINTAGE'!$AT$5&lt;&gt;"",IF('POINTAGE'!AT275="Présent",'POINTAGE'!AU275,0),0),IF('POINTAGE'!$AV$5&lt;&gt;"",IF('POINTAGE'!AV275="Présent",'POINTAGE'!AW275,0),0),IF('POINTAGE'!$AX$5&lt;&gt;"",IF('POINTAGE'!AX275="Présent",'POINTAGE'!AY275,0),0),IF('POINTAGE'!$AZ$5&lt;&gt;"",IF('POINTAGE'!AZ275="Présent",'POINTAGE'!BA275,0),0),IF('POINTAGE'!$BB$5&lt;&gt;"",IF('POINTAGE'!BB275="Présent",'POINTAGE'!BC275,0),0),IF('POINTAGE'!$BD$5&lt;&gt;"",IF('POINTAGE'!BD275="Présent",'POINTAGE'!BE275,0),0),IF('POINTAGE'!$BF$5&lt;&gt;"",IF('POINTAGE'!BF275="Présent",'POINTAGE'!BG275,0),0),IF('POINTAGE'!$BH$5&lt;&gt;"",IF('POINTAGE'!BH275="Présent",'POINTAGE'!BI275,0),0),IF('POINTAGE'!$BJ$5&lt;&gt;"",IF('POINTAGE'!BJ275="Présent",'POINTAGE'!BK275,0),0),IF('POINTAGE'!$BL$5&lt;&gt;"",IF('POINTAGE'!BL275="Présent",'POINTAGE'!BM275,0),0)))</f>
      </c>
      <c r="Q275" s="24">
        <f>IF($A275="","",$N275*$D275)</f>
      </c>
      <c r="R275" s="24">
        <f>IF($A275="","",$P275*$E275)</f>
      </c>
      <c r="S275" s="25">
        <f>IF($A275="","",$Q275+$R275)</f>
      </c>
      <c r="T275" s="18"/>
      <c r="U275" s="25">
        <f>IF($A275="","",MAX(0,$S275-$T275))</f>
      </c>
      <c r="V275" s="25">
        <f>IF($A275="","",$K275+$S275)</f>
      </c>
      <c r="W275" s="24">
        <f>IF($A275="","",$L275+$T275)</f>
      </c>
      <c r="X275" s="25">
        <f>IF($A275="","",$M275+$U275)</f>
      </c>
      <c r="Y275" s="29">
        <f>IF($A275="","",$J275+$R275)</f>
      </c>
    </row>
    <row r="276">
      <c r="A276" s="20">
        <f>IF('POINTAGE'!A276="","",'POINTAGE'!A276)</f>
      </c>
      <c r="B276" s="19">
        <f>IF($A276="","",'POINTAGE'!B276)</f>
      </c>
      <c r="C276" s="20">
        <f>IF($A276="","",'POINTAGE'!C276)</f>
      </c>
      <c r="D276" s="24">
        <f>IF($A276="","",IFERROR(INDEX(Categories_Salaire,MATCH($C276,ListeCategories,0)),0))</f>
      </c>
      <c r="E276" s="24">
        <f>IF($A276="","",IF(IFERROR(INDEX(Categories_TauxHS,MATCH($C276,ListeCategories,0)),0)&gt;0,IFERROR(INDEX(Categories_TauxHS,MATCH($C276,ListeCategories,0)),0),TauxHSDefaut))</f>
      </c>
      <c r="F276" s="22">
        <f>IF($A276="","",SUM(IF('POINTAGE'!$D$5&lt;&gt;"",--('POINTAGE'!D276="Présent"),0),IF('POINTAGE'!$F$5&lt;&gt;"",--('POINTAGE'!F276="Présent"),0),IF('POINTAGE'!$H$5&lt;&gt;"",--('POINTAGE'!H276="Présent"),0),IF('POINTAGE'!$J$5&lt;&gt;"",--('POINTAGE'!J276="Présent"),0),IF('POINTAGE'!$L$5&lt;&gt;"",--('POINTAGE'!L276="Présent"),0),IF('POINTAGE'!$N$5&lt;&gt;"",--('POINTAGE'!N276="Présent"),0),IF('POINTAGE'!$P$5&lt;&gt;"",--('POINTAGE'!P276="Présent"),0),IF('POINTAGE'!$R$5&lt;&gt;"",--('POINTAGE'!R276="Présent"),0),IF('POINTAGE'!$T$5&lt;&gt;"",--('POINTAGE'!T276="Présent"),0),IF('POINTAGE'!$V$5&lt;&gt;"",--('POINTAGE'!V276="Présent"),0),IF('POINTAGE'!$X$5&lt;&gt;"",--('POINTAGE'!X276="Présent"),0),IF('POINTAGE'!$Z$5&lt;&gt;"",--('POINTAGE'!Z276="Présent"),0),IF('POINTAGE'!$AB$5&lt;&gt;"",--('POINTAGE'!AB276="Présent"),0),IF('POINTAGE'!$AD$5&lt;&gt;"",--('POINTAGE'!AD276="Présent"),0),IF('POINTAGE'!$AF$5&lt;&gt;"",--('POINTAGE'!AF276="Présent"),0)))</f>
      </c>
      <c r="G276" s="22">
        <f>IF($A276="","",SUM(IF('POINTAGE'!$D$5&lt;&gt;"",--('POINTAGE'!D276="Absent"),0),IF('POINTAGE'!$F$5&lt;&gt;"",--('POINTAGE'!F276="Absent"),0),IF('POINTAGE'!$H$5&lt;&gt;"",--('POINTAGE'!H276="Absent"),0),IF('POINTAGE'!$J$5&lt;&gt;"",--('POINTAGE'!J276="Absent"),0),IF('POINTAGE'!$L$5&lt;&gt;"",--('POINTAGE'!L276="Absent"),0),IF('POINTAGE'!$N$5&lt;&gt;"",--('POINTAGE'!N276="Absent"),0),IF('POINTAGE'!$P$5&lt;&gt;"",--('POINTAGE'!P276="Absent"),0),IF('POINTAGE'!$R$5&lt;&gt;"",--('POINTAGE'!R276="Absent"),0),IF('POINTAGE'!$T$5&lt;&gt;"",--('POINTAGE'!T276="Absent"),0),IF('POINTAGE'!$V$5&lt;&gt;"",--('POINTAGE'!V276="Absent"),0),IF('POINTAGE'!$X$5&lt;&gt;"",--('POINTAGE'!X276="Absent"),0),IF('POINTAGE'!$Z$5&lt;&gt;"",--('POINTAGE'!Z276="Absent"),0),IF('POINTAGE'!$AB$5&lt;&gt;"",--('POINTAGE'!AB276="Absent"),0),IF('POINTAGE'!$AD$5&lt;&gt;"",--('POINTAGE'!AD276="Absent"),0),IF('POINTAGE'!$AF$5&lt;&gt;"",--('POINTAGE'!AF276="Absent"),0)))</f>
      </c>
      <c r="H276" s="23">
        <f>IF($A276="","",SUM(IF('POINTAGE'!$D$5&lt;&gt;"",IF('POINTAGE'!D276="Présent",'POINTAGE'!E276,0),0),IF('POINTAGE'!$F$5&lt;&gt;"",IF('POINTAGE'!F276="Présent",'POINTAGE'!G276,0),0),IF('POINTAGE'!$H$5&lt;&gt;"",IF('POINTAGE'!H276="Présent",'POINTAGE'!I276,0),0),IF('POINTAGE'!$J$5&lt;&gt;"",IF('POINTAGE'!J276="Présent",'POINTAGE'!K276,0),0),IF('POINTAGE'!$L$5&lt;&gt;"",IF('POINTAGE'!L276="Présent",'POINTAGE'!M276,0),0),IF('POINTAGE'!$N$5&lt;&gt;"",IF('POINTAGE'!N276="Présent",'POINTAGE'!O276,0),0),IF('POINTAGE'!$P$5&lt;&gt;"",IF('POINTAGE'!P276="Présent",'POINTAGE'!Q276,0),0),IF('POINTAGE'!$R$5&lt;&gt;"",IF('POINTAGE'!R276="Présent",'POINTAGE'!S276,0),0),IF('POINTAGE'!$T$5&lt;&gt;"",IF('POINTAGE'!T276="Présent",'POINTAGE'!U276,0),0),IF('POINTAGE'!$V$5&lt;&gt;"",IF('POINTAGE'!V276="Présent",'POINTAGE'!W276,0),0),IF('POINTAGE'!$X$5&lt;&gt;"",IF('POINTAGE'!X276="Présent",'POINTAGE'!Y276,0),0),IF('POINTAGE'!$Z$5&lt;&gt;"",IF('POINTAGE'!Z276="Présent",'POINTAGE'!AA276,0),0),IF('POINTAGE'!$AB$5&lt;&gt;"",IF('POINTAGE'!AB276="Présent",'POINTAGE'!AC276,0),0),IF('POINTAGE'!$AD$5&lt;&gt;"",IF('POINTAGE'!AD276="Présent",'POINTAGE'!AE276,0),0),IF('POINTAGE'!$AF$5&lt;&gt;"",IF('POINTAGE'!AF276="Présent",'POINTAGE'!AG276,0),0)))</f>
      </c>
      <c r="I276" s="24">
        <f>IF($A276="","",$F276*$D276)</f>
      </c>
      <c r="J276" s="24">
        <f>IF($A276="","",$H276*$E276)</f>
      </c>
      <c r="K276" s="25">
        <f>IF($A276="","",$I276+$J276)</f>
      </c>
      <c r="L276" s="18"/>
      <c r="M276" s="25">
        <f>IF($A276="","",MAX(0,$K276-$L276))</f>
      </c>
      <c r="N276" s="22">
        <f>IF($A276="","",SUM(IF('POINTAGE'!$AH$5&lt;&gt;"",--('POINTAGE'!AH276="Présent"),0),IF('POINTAGE'!$AJ$5&lt;&gt;"",--('POINTAGE'!AJ276="Présent"),0),IF('POINTAGE'!$AL$5&lt;&gt;"",--('POINTAGE'!AL276="Présent"),0),IF('POINTAGE'!$AN$5&lt;&gt;"",--('POINTAGE'!AN276="Présent"),0),IF('POINTAGE'!$AP$5&lt;&gt;"",--('POINTAGE'!AP276="Présent"),0),IF('POINTAGE'!$AR$5&lt;&gt;"",--('POINTAGE'!AR276="Présent"),0),IF('POINTAGE'!$AT$5&lt;&gt;"",--('POINTAGE'!AT276="Présent"),0),IF('POINTAGE'!$AV$5&lt;&gt;"",--('POINTAGE'!AV276="Présent"),0),IF('POINTAGE'!$AX$5&lt;&gt;"",--('POINTAGE'!AX276="Présent"),0),IF('POINTAGE'!$AZ$5&lt;&gt;"",--('POINTAGE'!AZ276="Présent"),0),IF('POINTAGE'!$BB$5&lt;&gt;"",--('POINTAGE'!BB276="Présent"),0),IF('POINTAGE'!$BD$5&lt;&gt;"",--('POINTAGE'!BD276="Présent"),0),IF('POINTAGE'!$BF$5&lt;&gt;"",--('POINTAGE'!BF276="Présent"),0),IF('POINTAGE'!$BH$5&lt;&gt;"",--('POINTAGE'!BH276="Présent"),0),IF('POINTAGE'!$BJ$5&lt;&gt;"",--('POINTAGE'!BJ276="Présent"),0),IF('POINTAGE'!$BL$5&lt;&gt;"",--('POINTAGE'!BL276="Présent"),0)))</f>
      </c>
      <c r="O276" s="22">
        <f>IF($A276="","",SUM(IF('POINTAGE'!$AH$5&lt;&gt;"",--('POINTAGE'!AH276="Absent"),0),IF('POINTAGE'!$AJ$5&lt;&gt;"",--('POINTAGE'!AJ276="Absent"),0),IF('POINTAGE'!$AL$5&lt;&gt;"",--('POINTAGE'!AL276="Absent"),0),IF('POINTAGE'!$AN$5&lt;&gt;"",--('POINTAGE'!AN276="Absent"),0),IF('POINTAGE'!$AP$5&lt;&gt;"",--('POINTAGE'!AP276="Absent"),0),IF('POINTAGE'!$AR$5&lt;&gt;"",--('POINTAGE'!AR276="Absent"),0),IF('POINTAGE'!$AT$5&lt;&gt;"",--('POINTAGE'!AT276="Absent"),0),IF('POINTAGE'!$AV$5&lt;&gt;"",--('POINTAGE'!AV276="Absent"),0),IF('POINTAGE'!$AX$5&lt;&gt;"",--('POINTAGE'!AX276="Absent"),0),IF('POINTAGE'!$AZ$5&lt;&gt;"",--('POINTAGE'!AZ276="Absent"),0),IF('POINTAGE'!$BB$5&lt;&gt;"",--('POINTAGE'!BB276="Absent"),0),IF('POINTAGE'!$BD$5&lt;&gt;"",--('POINTAGE'!BD276="Absent"),0),IF('POINTAGE'!$BF$5&lt;&gt;"",--('POINTAGE'!BF276="Absent"),0),IF('POINTAGE'!$BH$5&lt;&gt;"",--('POINTAGE'!BH276="Absent"),0),IF('POINTAGE'!$BJ$5&lt;&gt;"",--('POINTAGE'!BJ276="Absent"),0),IF('POINTAGE'!$BL$5&lt;&gt;"",--('POINTAGE'!BL276="Absent"),0)))</f>
      </c>
      <c r="P276" s="23">
        <f>IF($A276="","",SUM(IF('POINTAGE'!$AH$5&lt;&gt;"",IF('POINTAGE'!AH276="Présent",'POINTAGE'!AI276,0),0),IF('POINTAGE'!$AJ$5&lt;&gt;"",IF('POINTAGE'!AJ276="Présent",'POINTAGE'!AK276,0),0),IF('POINTAGE'!$AL$5&lt;&gt;"",IF('POINTAGE'!AL276="Présent",'POINTAGE'!AM276,0),0),IF('POINTAGE'!$AN$5&lt;&gt;"",IF('POINTAGE'!AN276="Présent",'POINTAGE'!AO276,0),0),IF('POINTAGE'!$AP$5&lt;&gt;"",IF('POINTAGE'!AP276="Présent",'POINTAGE'!AQ276,0),0),IF('POINTAGE'!$AR$5&lt;&gt;"",IF('POINTAGE'!AR276="Présent",'POINTAGE'!AS276,0),0),IF('POINTAGE'!$AT$5&lt;&gt;"",IF('POINTAGE'!AT276="Présent",'POINTAGE'!AU276,0),0),IF('POINTAGE'!$AV$5&lt;&gt;"",IF('POINTAGE'!AV276="Présent",'POINTAGE'!AW276,0),0),IF('POINTAGE'!$AX$5&lt;&gt;"",IF('POINTAGE'!AX276="Présent",'POINTAGE'!AY276,0),0),IF('POINTAGE'!$AZ$5&lt;&gt;"",IF('POINTAGE'!AZ276="Présent",'POINTAGE'!BA276,0),0),IF('POINTAGE'!$BB$5&lt;&gt;"",IF('POINTAGE'!BB276="Présent",'POINTAGE'!BC276,0),0),IF('POINTAGE'!$BD$5&lt;&gt;"",IF('POINTAGE'!BD276="Présent",'POINTAGE'!BE276,0),0),IF('POINTAGE'!$BF$5&lt;&gt;"",IF('POINTAGE'!BF276="Présent",'POINTAGE'!BG276,0),0),IF('POINTAGE'!$BH$5&lt;&gt;"",IF('POINTAGE'!BH276="Présent",'POINTAGE'!BI276,0),0),IF('POINTAGE'!$BJ$5&lt;&gt;"",IF('POINTAGE'!BJ276="Présent",'POINTAGE'!BK276,0),0),IF('POINTAGE'!$BL$5&lt;&gt;"",IF('POINTAGE'!BL276="Présent",'POINTAGE'!BM276,0),0)))</f>
      </c>
      <c r="Q276" s="24">
        <f>IF($A276="","",$N276*$D276)</f>
      </c>
      <c r="R276" s="24">
        <f>IF($A276="","",$P276*$E276)</f>
      </c>
      <c r="S276" s="25">
        <f>IF($A276="","",$Q276+$R276)</f>
      </c>
      <c r="T276" s="18"/>
      <c r="U276" s="25">
        <f>IF($A276="","",MAX(0,$S276-$T276))</f>
      </c>
      <c r="V276" s="25">
        <f>IF($A276="","",$K276+$S276)</f>
      </c>
      <c r="W276" s="24">
        <f>IF($A276="","",$L276+$T276)</f>
      </c>
      <c r="X276" s="25">
        <f>IF($A276="","",$M276+$U276)</f>
      </c>
      <c r="Y276" s="29">
        <f>IF($A276="","",$J276+$R276)</f>
      </c>
    </row>
    <row r="277">
      <c r="A277" s="20">
        <f>IF('POINTAGE'!A277="","",'POINTAGE'!A277)</f>
      </c>
      <c r="B277" s="19">
        <f>IF($A277="","",'POINTAGE'!B277)</f>
      </c>
      <c r="C277" s="20">
        <f>IF($A277="","",'POINTAGE'!C277)</f>
      </c>
      <c r="D277" s="24">
        <f>IF($A277="","",IFERROR(INDEX(Categories_Salaire,MATCH($C277,ListeCategories,0)),0))</f>
      </c>
      <c r="E277" s="24">
        <f>IF($A277="","",IF(IFERROR(INDEX(Categories_TauxHS,MATCH($C277,ListeCategories,0)),0)&gt;0,IFERROR(INDEX(Categories_TauxHS,MATCH($C277,ListeCategories,0)),0),TauxHSDefaut))</f>
      </c>
      <c r="F277" s="22">
        <f>IF($A277="","",SUM(IF('POINTAGE'!$D$5&lt;&gt;"",--('POINTAGE'!D277="Présent"),0),IF('POINTAGE'!$F$5&lt;&gt;"",--('POINTAGE'!F277="Présent"),0),IF('POINTAGE'!$H$5&lt;&gt;"",--('POINTAGE'!H277="Présent"),0),IF('POINTAGE'!$J$5&lt;&gt;"",--('POINTAGE'!J277="Présent"),0),IF('POINTAGE'!$L$5&lt;&gt;"",--('POINTAGE'!L277="Présent"),0),IF('POINTAGE'!$N$5&lt;&gt;"",--('POINTAGE'!N277="Présent"),0),IF('POINTAGE'!$P$5&lt;&gt;"",--('POINTAGE'!P277="Présent"),0),IF('POINTAGE'!$R$5&lt;&gt;"",--('POINTAGE'!R277="Présent"),0),IF('POINTAGE'!$T$5&lt;&gt;"",--('POINTAGE'!T277="Présent"),0),IF('POINTAGE'!$V$5&lt;&gt;"",--('POINTAGE'!V277="Présent"),0),IF('POINTAGE'!$X$5&lt;&gt;"",--('POINTAGE'!X277="Présent"),0),IF('POINTAGE'!$Z$5&lt;&gt;"",--('POINTAGE'!Z277="Présent"),0),IF('POINTAGE'!$AB$5&lt;&gt;"",--('POINTAGE'!AB277="Présent"),0),IF('POINTAGE'!$AD$5&lt;&gt;"",--('POINTAGE'!AD277="Présent"),0),IF('POINTAGE'!$AF$5&lt;&gt;"",--('POINTAGE'!AF277="Présent"),0)))</f>
      </c>
      <c r="G277" s="22">
        <f>IF($A277="","",SUM(IF('POINTAGE'!$D$5&lt;&gt;"",--('POINTAGE'!D277="Absent"),0),IF('POINTAGE'!$F$5&lt;&gt;"",--('POINTAGE'!F277="Absent"),0),IF('POINTAGE'!$H$5&lt;&gt;"",--('POINTAGE'!H277="Absent"),0),IF('POINTAGE'!$J$5&lt;&gt;"",--('POINTAGE'!J277="Absent"),0),IF('POINTAGE'!$L$5&lt;&gt;"",--('POINTAGE'!L277="Absent"),0),IF('POINTAGE'!$N$5&lt;&gt;"",--('POINTAGE'!N277="Absent"),0),IF('POINTAGE'!$P$5&lt;&gt;"",--('POINTAGE'!P277="Absent"),0),IF('POINTAGE'!$R$5&lt;&gt;"",--('POINTAGE'!R277="Absent"),0),IF('POINTAGE'!$T$5&lt;&gt;"",--('POINTAGE'!T277="Absent"),0),IF('POINTAGE'!$V$5&lt;&gt;"",--('POINTAGE'!V277="Absent"),0),IF('POINTAGE'!$X$5&lt;&gt;"",--('POINTAGE'!X277="Absent"),0),IF('POINTAGE'!$Z$5&lt;&gt;"",--('POINTAGE'!Z277="Absent"),0),IF('POINTAGE'!$AB$5&lt;&gt;"",--('POINTAGE'!AB277="Absent"),0),IF('POINTAGE'!$AD$5&lt;&gt;"",--('POINTAGE'!AD277="Absent"),0),IF('POINTAGE'!$AF$5&lt;&gt;"",--('POINTAGE'!AF277="Absent"),0)))</f>
      </c>
      <c r="H277" s="23">
        <f>IF($A277="","",SUM(IF('POINTAGE'!$D$5&lt;&gt;"",IF('POINTAGE'!D277="Présent",'POINTAGE'!E277,0),0),IF('POINTAGE'!$F$5&lt;&gt;"",IF('POINTAGE'!F277="Présent",'POINTAGE'!G277,0),0),IF('POINTAGE'!$H$5&lt;&gt;"",IF('POINTAGE'!H277="Présent",'POINTAGE'!I277,0),0),IF('POINTAGE'!$J$5&lt;&gt;"",IF('POINTAGE'!J277="Présent",'POINTAGE'!K277,0),0),IF('POINTAGE'!$L$5&lt;&gt;"",IF('POINTAGE'!L277="Présent",'POINTAGE'!M277,0),0),IF('POINTAGE'!$N$5&lt;&gt;"",IF('POINTAGE'!N277="Présent",'POINTAGE'!O277,0),0),IF('POINTAGE'!$P$5&lt;&gt;"",IF('POINTAGE'!P277="Présent",'POINTAGE'!Q277,0),0),IF('POINTAGE'!$R$5&lt;&gt;"",IF('POINTAGE'!R277="Présent",'POINTAGE'!S277,0),0),IF('POINTAGE'!$T$5&lt;&gt;"",IF('POINTAGE'!T277="Présent",'POINTAGE'!U277,0),0),IF('POINTAGE'!$V$5&lt;&gt;"",IF('POINTAGE'!V277="Présent",'POINTAGE'!W277,0),0),IF('POINTAGE'!$X$5&lt;&gt;"",IF('POINTAGE'!X277="Présent",'POINTAGE'!Y277,0),0),IF('POINTAGE'!$Z$5&lt;&gt;"",IF('POINTAGE'!Z277="Présent",'POINTAGE'!AA277,0),0),IF('POINTAGE'!$AB$5&lt;&gt;"",IF('POINTAGE'!AB277="Présent",'POINTAGE'!AC277,0),0),IF('POINTAGE'!$AD$5&lt;&gt;"",IF('POINTAGE'!AD277="Présent",'POINTAGE'!AE277,0),0),IF('POINTAGE'!$AF$5&lt;&gt;"",IF('POINTAGE'!AF277="Présent",'POINTAGE'!AG277,0),0)))</f>
      </c>
      <c r="I277" s="24">
        <f>IF($A277="","",$F277*$D277)</f>
      </c>
      <c r="J277" s="24">
        <f>IF($A277="","",$H277*$E277)</f>
      </c>
      <c r="K277" s="25">
        <f>IF($A277="","",$I277+$J277)</f>
      </c>
      <c r="L277" s="18"/>
      <c r="M277" s="25">
        <f>IF($A277="","",MAX(0,$K277-$L277))</f>
      </c>
      <c r="N277" s="22">
        <f>IF($A277="","",SUM(IF('POINTAGE'!$AH$5&lt;&gt;"",--('POINTAGE'!AH277="Présent"),0),IF('POINTAGE'!$AJ$5&lt;&gt;"",--('POINTAGE'!AJ277="Présent"),0),IF('POINTAGE'!$AL$5&lt;&gt;"",--('POINTAGE'!AL277="Présent"),0),IF('POINTAGE'!$AN$5&lt;&gt;"",--('POINTAGE'!AN277="Présent"),0),IF('POINTAGE'!$AP$5&lt;&gt;"",--('POINTAGE'!AP277="Présent"),0),IF('POINTAGE'!$AR$5&lt;&gt;"",--('POINTAGE'!AR277="Présent"),0),IF('POINTAGE'!$AT$5&lt;&gt;"",--('POINTAGE'!AT277="Présent"),0),IF('POINTAGE'!$AV$5&lt;&gt;"",--('POINTAGE'!AV277="Présent"),0),IF('POINTAGE'!$AX$5&lt;&gt;"",--('POINTAGE'!AX277="Présent"),0),IF('POINTAGE'!$AZ$5&lt;&gt;"",--('POINTAGE'!AZ277="Présent"),0),IF('POINTAGE'!$BB$5&lt;&gt;"",--('POINTAGE'!BB277="Présent"),0),IF('POINTAGE'!$BD$5&lt;&gt;"",--('POINTAGE'!BD277="Présent"),0),IF('POINTAGE'!$BF$5&lt;&gt;"",--('POINTAGE'!BF277="Présent"),0),IF('POINTAGE'!$BH$5&lt;&gt;"",--('POINTAGE'!BH277="Présent"),0),IF('POINTAGE'!$BJ$5&lt;&gt;"",--('POINTAGE'!BJ277="Présent"),0),IF('POINTAGE'!$BL$5&lt;&gt;"",--('POINTAGE'!BL277="Présent"),0)))</f>
      </c>
      <c r="O277" s="22">
        <f>IF($A277="","",SUM(IF('POINTAGE'!$AH$5&lt;&gt;"",--('POINTAGE'!AH277="Absent"),0),IF('POINTAGE'!$AJ$5&lt;&gt;"",--('POINTAGE'!AJ277="Absent"),0),IF('POINTAGE'!$AL$5&lt;&gt;"",--('POINTAGE'!AL277="Absent"),0),IF('POINTAGE'!$AN$5&lt;&gt;"",--('POINTAGE'!AN277="Absent"),0),IF('POINTAGE'!$AP$5&lt;&gt;"",--('POINTAGE'!AP277="Absent"),0),IF('POINTAGE'!$AR$5&lt;&gt;"",--('POINTAGE'!AR277="Absent"),0),IF('POINTAGE'!$AT$5&lt;&gt;"",--('POINTAGE'!AT277="Absent"),0),IF('POINTAGE'!$AV$5&lt;&gt;"",--('POINTAGE'!AV277="Absent"),0),IF('POINTAGE'!$AX$5&lt;&gt;"",--('POINTAGE'!AX277="Absent"),0),IF('POINTAGE'!$AZ$5&lt;&gt;"",--('POINTAGE'!AZ277="Absent"),0),IF('POINTAGE'!$BB$5&lt;&gt;"",--('POINTAGE'!BB277="Absent"),0),IF('POINTAGE'!$BD$5&lt;&gt;"",--('POINTAGE'!BD277="Absent"),0),IF('POINTAGE'!$BF$5&lt;&gt;"",--('POINTAGE'!BF277="Absent"),0),IF('POINTAGE'!$BH$5&lt;&gt;"",--('POINTAGE'!BH277="Absent"),0),IF('POINTAGE'!$BJ$5&lt;&gt;"",--('POINTAGE'!BJ277="Absent"),0),IF('POINTAGE'!$BL$5&lt;&gt;"",--('POINTAGE'!BL277="Absent"),0)))</f>
      </c>
      <c r="P277" s="23">
        <f>IF($A277="","",SUM(IF('POINTAGE'!$AH$5&lt;&gt;"",IF('POINTAGE'!AH277="Présent",'POINTAGE'!AI277,0),0),IF('POINTAGE'!$AJ$5&lt;&gt;"",IF('POINTAGE'!AJ277="Présent",'POINTAGE'!AK277,0),0),IF('POINTAGE'!$AL$5&lt;&gt;"",IF('POINTAGE'!AL277="Présent",'POINTAGE'!AM277,0),0),IF('POINTAGE'!$AN$5&lt;&gt;"",IF('POINTAGE'!AN277="Présent",'POINTAGE'!AO277,0),0),IF('POINTAGE'!$AP$5&lt;&gt;"",IF('POINTAGE'!AP277="Présent",'POINTAGE'!AQ277,0),0),IF('POINTAGE'!$AR$5&lt;&gt;"",IF('POINTAGE'!AR277="Présent",'POINTAGE'!AS277,0),0),IF('POINTAGE'!$AT$5&lt;&gt;"",IF('POINTAGE'!AT277="Présent",'POINTAGE'!AU277,0),0),IF('POINTAGE'!$AV$5&lt;&gt;"",IF('POINTAGE'!AV277="Présent",'POINTAGE'!AW277,0),0),IF('POINTAGE'!$AX$5&lt;&gt;"",IF('POINTAGE'!AX277="Présent",'POINTAGE'!AY277,0),0),IF('POINTAGE'!$AZ$5&lt;&gt;"",IF('POINTAGE'!AZ277="Présent",'POINTAGE'!BA277,0),0),IF('POINTAGE'!$BB$5&lt;&gt;"",IF('POINTAGE'!BB277="Présent",'POINTAGE'!BC277,0),0),IF('POINTAGE'!$BD$5&lt;&gt;"",IF('POINTAGE'!BD277="Présent",'POINTAGE'!BE277,0),0),IF('POINTAGE'!$BF$5&lt;&gt;"",IF('POINTAGE'!BF277="Présent",'POINTAGE'!BG277,0),0),IF('POINTAGE'!$BH$5&lt;&gt;"",IF('POINTAGE'!BH277="Présent",'POINTAGE'!BI277,0),0),IF('POINTAGE'!$BJ$5&lt;&gt;"",IF('POINTAGE'!BJ277="Présent",'POINTAGE'!BK277,0),0),IF('POINTAGE'!$BL$5&lt;&gt;"",IF('POINTAGE'!BL277="Présent",'POINTAGE'!BM277,0),0)))</f>
      </c>
      <c r="Q277" s="24">
        <f>IF($A277="","",$N277*$D277)</f>
      </c>
      <c r="R277" s="24">
        <f>IF($A277="","",$P277*$E277)</f>
      </c>
      <c r="S277" s="25">
        <f>IF($A277="","",$Q277+$R277)</f>
      </c>
      <c r="T277" s="18"/>
      <c r="U277" s="25">
        <f>IF($A277="","",MAX(0,$S277-$T277))</f>
      </c>
      <c r="V277" s="25">
        <f>IF($A277="","",$K277+$S277)</f>
      </c>
      <c r="W277" s="24">
        <f>IF($A277="","",$L277+$T277)</f>
      </c>
      <c r="X277" s="25">
        <f>IF($A277="","",$M277+$U277)</f>
      </c>
      <c r="Y277" s="29">
        <f>IF($A277="","",$J277+$R277)</f>
      </c>
    </row>
    <row r="278">
      <c r="A278" s="20">
        <f>IF('POINTAGE'!A278="","",'POINTAGE'!A278)</f>
      </c>
      <c r="B278" s="19">
        <f>IF($A278="","",'POINTAGE'!B278)</f>
      </c>
      <c r="C278" s="20">
        <f>IF($A278="","",'POINTAGE'!C278)</f>
      </c>
      <c r="D278" s="24">
        <f>IF($A278="","",IFERROR(INDEX(Categories_Salaire,MATCH($C278,ListeCategories,0)),0))</f>
      </c>
      <c r="E278" s="24">
        <f>IF($A278="","",IF(IFERROR(INDEX(Categories_TauxHS,MATCH($C278,ListeCategories,0)),0)&gt;0,IFERROR(INDEX(Categories_TauxHS,MATCH($C278,ListeCategories,0)),0),TauxHSDefaut))</f>
      </c>
      <c r="F278" s="22">
        <f>IF($A278="","",SUM(IF('POINTAGE'!$D$5&lt;&gt;"",--('POINTAGE'!D278="Présent"),0),IF('POINTAGE'!$F$5&lt;&gt;"",--('POINTAGE'!F278="Présent"),0),IF('POINTAGE'!$H$5&lt;&gt;"",--('POINTAGE'!H278="Présent"),0),IF('POINTAGE'!$J$5&lt;&gt;"",--('POINTAGE'!J278="Présent"),0),IF('POINTAGE'!$L$5&lt;&gt;"",--('POINTAGE'!L278="Présent"),0),IF('POINTAGE'!$N$5&lt;&gt;"",--('POINTAGE'!N278="Présent"),0),IF('POINTAGE'!$P$5&lt;&gt;"",--('POINTAGE'!P278="Présent"),0),IF('POINTAGE'!$R$5&lt;&gt;"",--('POINTAGE'!R278="Présent"),0),IF('POINTAGE'!$T$5&lt;&gt;"",--('POINTAGE'!T278="Présent"),0),IF('POINTAGE'!$V$5&lt;&gt;"",--('POINTAGE'!V278="Présent"),0),IF('POINTAGE'!$X$5&lt;&gt;"",--('POINTAGE'!X278="Présent"),0),IF('POINTAGE'!$Z$5&lt;&gt;"",--('POINTAGE'!Z278="Présent"),0),IF('POINTAGE'!$AB$5&lt;&gt;"",--('POINTAGE'!AB278="Présent"),0),IF('POINTAGE'!$AD$5&lt;&gt;"",--('POINTAGE'!AD278="Présent"),0),IF('POINTAGE'!$AF$5&lt;&gt;"",--('POINTAGE'!AF278="Présent"),0)))</f>
      </c>
      <c r="G278" s="22">
        <f>IF($A278="","",SUM(IF('POINTAGE'!$D$5&lt;&gt;"",--('POINTAGE'!D278="Absent"),0),IF('POINTAGE'!$F$5&lt;&gt;"",--('POINTAGE'!F278="Absent"),0),IF('POINTAGE'!$H$5&lt;&gt;"",--('POINTAGE'!H278="Absent"),0),IF('POINTAGE'!$J$5&lt;&gt;"",--('POINTAGE'!J278="Absent"),0),IF('POINTAGE'!$L$5&lt;&gt;"",--('POINTAGE'!L278="Absent"),0),IF('POINTAGE'!$N$5&lt;&gt;"",--('POINTAGE'!N278="Absent"),0),IF('POINTAGE'!$P$5&lt;&gt;"",--('POINTAGE'!P278="Absent"),0),IF('POINTAGE'!$R$5&lt;&gt;"",--('POINTAGE'!R278="Absent"),0),IF('POINTAGE'!$T$5&lt;&gt;"",--('POINTAGE'!T278="Absent"),0),IF('POINTAGE'!$V$5&lt;&gt;"",--('POINTAGE'!V278="Absent"),0),IF('POINTAGE'!$X$5&lt;&gt;"",--('POINTAGE'!X278="Absent"),0),IF('POINTAGE'!$Z$5&lt;&gt;"",--('POINTAGE'!Z278="Absent"),0),IF('POINTAGE'!$AB$5&lt;&gt;"",--('POINTAGE'!AB278="Absent"),0),IF('POINTAGE'!$AD$5&lt;&gt;"",--('POINTAGE'!AD278="Absent"),0),IF('POINTAGE'!$AF$5&lt;&gt;"",--('POINTAGE'!AF278="Absent"),0)))</f>
      </c>
      <c r="H278" s="23">
        <f>IF($A278="","",SUM(IF('POINTAGE'!$D$5&lt;&gt;"",IF('POINTAGE'!D278="Présent",'POINTAGE'!E278,0),0),IF('POINTAGE'!$F$5&lt;&gt;"",IF('POINTAGE'!F278="Présent",'POINTAGE'!G278,0),0),IF('POINTAGE'!$H$5&lt;&gt;"",IF('POINTAGE'!H278="Présent",'POINTAGE'!I278,0),0),IF('POINTAGE'!$J$5&lt;&gt;"",IF('POINTAGE'!J278="Présent",'POINTAGE'!K278,0),0),IF('POINTAGE'!$L$5&lt;&gt;"",IF('POINTAGE'!L278="Présent",'POINTAGE'!M278,0),0),IF('POINTAGE'!$N$5&lt;&gt;"",IF('POINTAGE'!N278="Présent",'POINTAGE'!O278,0),0),IF('POINTAGE'!$P$5&lt;&gt;"",IF('POINTAGE'!P278="Présent",'POINTAGE'!Q278,0),0),IF('POINTAGE'!$R$5&lt;&gt;"",IF('POINTAGE'!R278="Présent",'POINTAGE'!S278,0),0),IF('POINTAGE'!$T$5&lt;&gt;"",IF('POINTAGE'!T278="Présent",'POINTAGE'!U278,0),0),IF('POINTAGE'!$V$5&lt;&gt;"",IF('POINTAGE'!V278="Présent",'POINTAGE'!W278,0),0),IF('POINTAGE'!$X$5&lt;&gt;"",IF('POINTAGE'!X278="Présent",'POINTAGE'!Y278,0),0),IF('POINTAGE'!$Z$5&lt;&gt;"",IF('POINTAGE'!Z278="Présent",'POINTAGE'!AA278,0),0),IF('POINTAGE'!$AB$5&lt;&gt;"",IF('POINTAGE'!AB278="Présent",'POINTAGE'!AC278,0),0),IF('POINTAGE'!$AD$5&lt;&gt;"",IF('POINTAGE'!AD278="Présent",'POINTAGE'!AE278,0),0),IF('POINTAGE'!$AF$5&lt;&gt;"",IF('POINTAGE'!AF278="Présent",'POINTAGE'!AG278,0),0)))</f>
      </c>
      <c r="I278" s="24">
        <f>IF($A278="","",$F278*$D278)</f>
      </c>
      <c r="J278" s="24">
        <f>IF($A278="","",$H278*$E278)</f>
      </c>
      <c r="K278" s="25">
        <f>IF($A278="","",$I278+$J278)</f>
      </c>
      <c r="L278" s="18"/>
      <c r="M278" s="25">
        <f>IF($A278="","",MAX(0,$K278-$L278))</f>
      </c>
      <c r="N278" s="22">
        <f>IF($A278="","",SUM(IF('POINTAGE'!$AH$5&lt;&gt;"",--('POINTAGE'!AH278="Présent"),0),IF('POINTAGE'!$AJ$5&lt;&gt;"",--('POINTAGE'!AJ278="Présent"),0),IF('POINTAGE'!$AL$5&lt;&gt;"",--('POINTAGE'!AL278="Présent"),0),IF('POINTAGE'!$AN$5&lt;&gt;"",--('POINTAGE'!AN278="Présent"),0),IF('POINTAGE'!$AP$5&lt;&gt;"",--('POINTAGE'!AP278="Présent"),0),IF('POINTAGE'!$AR$5&lt;&gt;"",--('POINTAGE'!AR278="Présent"),0),IF('POINTAGE'!$AT$5&lt;&gt;"",--('POINTAGE'!AT278="Présent"),0),IF('POINTAGE'!$AV$5&lt;&gt;"",--('POINTAGE'!AV278="Présent"),0),IF('POINTAGE'!$AX$5&lt;&gt;"",--('POINTAGE'!AX278="Présent"),0),IF('POINTAGE'!$AZ$5&lt;&gt;"",--('POINTAGE'!AZ278="Présent"),0),IF('POINTAGE'!$BB$5&lt;&gt;"",--('POINTAGE'!BB278="Présent"),0),IF('POINTAGE'!$BD$5&lt;&gt;"",--('POINTAGE'!BD278="Présent"),0),IF('POINTAGE'!$BF$5&lt;&gt;"",--('POINTAGE'!BF278="Présent"),0),IF('POINTAGE'!$BH$5&lt;&gt;"",--('POINTAGE'!BH278="Présent"),0),IF('POINTAGE'!$BJ$5&lt;&gt;"",--('POINTAGE'!BJ278="Présent"),0),IF('POINTAGE'!$BL$5&lt;&gt;"",--('POINTAGE'!BL278="Présent"),0)))</f>
      </c>
      <c r="O278" s="22">
        <f>IF($A278="","",SUM(IF('POINTAGE'!$AH$5&lt;&gt;"",--('POINTAGE'!AH278="Absent"),0),IF('POINTAGE'!$AJ$5&lt;&gt;"",--('POINTAGE'!AJ278="Absent"),0),IF('POINTAGE'!$AL$5&lt;&gt;"",--('POINTAGE'!AL278="Absent"),0),IF('POINTAGE'!$AN$5&lt;&gt;"",--('POINTAGE'!AN278="Absent"),0),IF('POINTAGE'!$AP$5&lt;&gt;"",--('POINTAGE'!AP278="Absent"),0),IF('POINTAGE'!$AR$5&lt;&gt;"",--('POINTAGE'!AR278="Absent"),0),IF('POINTAGE'!$AT$5&lt;&gt;"",--('POINTAGE'!AT278="Absent"),0),IF('POINTAGE'!$AV$5&lt;&gt;"",--('POINTAGE'!AV278="Absent"),0),IF('POINTAGE'!$AX$5&lt;&gt;"",--('POINTAGE'!AX278="Absent"),0),IF('POINTAGE'!$AZ$5&lt;&gt;"",--('POINTAGE'!AZ278="Absent"),0),IF('POINTAGE'!$BB$5&lt;&gt;"",--('POINTAGE'!BB278="Absent"),0),IF('POINTAGE'!$BD$5&lt;&gt;"",--('POINTAGE'!BD278="Absent"),0),IF('POINTAGE'!$BF$5&lt;&gt;"",--('POINTAGE'!BF278="Absent"),0),IF('POINTAGE'!$BH$5&lt;&gt;"",--('POINTAGE'!BH278="Absent"),0),IF('POINTAGE'!$BJ$5&lt;&gt;"",--('POINTAGE'!BJ278="Absent"),0),IF('POINTAGE'!$BL$5&lt;&gt;"",--('POINTAGE'!BL278="Absent"),0)))</f>
      </c>
      <c r="P278" s="23">
        <f>IF($A278="","",SUM(IF('POINTAGE'!$AH$5&lt;&gt;"",IF('POINTAGE'!AH278="Présent",'POINTAGE'!AI278,0),0),IF('POINTAGE'!$AJ$5&lt;&gt;"",IF('POINTAGE'!AJ278="Présent",'POINTAGE'!AK278,0),0),IF('POINTAGE'!$AL$5&lt;&gt;"",IF('POINTAGE'!AL278="Présent",'POINTAGE'!AM278,0),0),IF('POINTAGE'!$AN$5&lt;&gt;"",IF('POINTAGE'!AN278="Présent",'POINTAGE'!AO278,0),0),IF('POINTAGE'!$AP$5&lt;&gt;"",IF('POINTAGE'!AP278="Présent",'POINTAGE'!AQ278,0),0),IF('POINTAGE'!$AR$5&lt;&gt;"",IF('POINTAGE'!AR278="Présent",'POINTAGE'!AS278,0),0),IF('POINTAGE'!$AT$5&lt;&gt;"",IF('POINTAGE'!AT278="Présent",'POINTAGE'!AU278,0),0),IF('POINTAGE'!$AV$5&lt;&gt;"",IF('POINTAGE'!AV278="Présent",'POINTAGE'!AW278,0),0),IF('POINTAGE'!$AX$5&lt;&gt;"",IF('POINTAGE'!AX278="Présent",'POINTAGE'!AY278,0),0),IF('POINTAGE'!$AZ$5&lt;&gt;"",IF('POINTAGE'!AZ278="Présent",'POINTAGE'!BA278,0),0),IF('POINTAGE'!$BB$5&lt;&gt;"",IF('POINTAGE'!BB278="Présent",'POINTAGE'!BC278,0),0),IF('POINTAGE'!$BD$5&lt;&gt;"",IF('POINTAGE'!BD278="Présent",'POINTAGE'!BE278,0),0),IF('POINTAGE'!$BF$5&lt;&gt;"",IF('POINTAGE'!BF278="Présent",'POINTAGE'!BG278,0),0),IF('POINTAGE'!$BH$5&lt;&gt;"",IF('POINTAGE'!BH278="Présent",'POINTAGE'!BI278,0),0),IF('POINTAGE'!$BJ$5&lt;&gt;"",IF('POINTAGE'!BJ278="Présent",'POINTAGE'!BK278,0),0),IF('POINTAGE'!$BL$5&lt;&gt;"",IF('POINTAGE'!BL278="Présent",'POINTAGE'!BM278,0),0)))</f>
      </c>
      <c r="Q278" s="24">
        <f>IF($A278="","",$N278*$D278)</f>
      </c>
      <c r="R278" s="24">
        <f>IF($A278="","",$P278*$E278)</f>
      </c>
      <c r="S278" s="25">
        <f>IF($A278="","",$Q278+$R278)</f>
      </c>
      <c r="T278" s="18"/>
      <c r="U278" s="25">
        <f>IF($A278="","",MAX(0,$S278-$T278))</f>
      </c>
      <c r="V278" s="25">
        <f>IF($A278="","",$K278+$S278)</f>
      </c>
      <c r="W278" s="24">
        <f>IF($A278="","",$L278+$T278)</f>
      </c>
      <c r="X278" s="25">
        <f>IF($A278="","",$M278+$U278)</f>
      </c>
      <c r="Y278" s="29">
        <f>IF($A278="","",$J278+$R278)</f>
      </c>
    </row>
    <row r="279">
      <c r="A279" s="20">
        <f>IF('POINTAGE'!A279="","",'POINTAGE'!A279)</f>
      </c>
      <c r="B279" s="19">
        <f>IF($A279="","",'POINTAGE'!B279)</f>
      </c>
      <c r="C279" s="20">
        <f>IF($A279="","",'POINTAGE'!C279)</f>
      </c>
      <c r="D279" s="24">
        <f>IF($A279="","",IFERROR(INDEX(Categories_Salaire,MATCH($C279,ListeCategories,0)),0))</f>
      </c>
      <c r="E279" s="24">
        <f>IF($A279="","",IF(IFERROR(INDEX(Categories_TauxHS,MATCH($C279,ListeCategories,0)),0)&gt;0,IFERROR(INDEX(Categories_TauxHS,MATCH($C279,ListeCategories,0)),0),TauxHSDefaut))</f>
      </c>
      <c r="F279" s="22">
        <f>IF($A279="","",SUM(IF('POINTAGE'!$D$5&lt;&gt;"",--('POINTAGE'!D279="Présent"),0),IF('POINTAGE'!$F$5&lt;&gt;"",--('POINTAGE'!F279="Présent"),0),IF('POINTAGE'!$H$5&lt;&gt;"",--('POINTAGE'!H279="Présent"),0),IF('POINTAGE'!$J$5&lt;&gt;"",--('POINTAGE'!J279="Présent"),0),IF('POINTAGE'!$L$5&lt;&gt;"",--('POINTAGE'!L279="Présent"),0),IF('POINTAGE'!$N$5&lt;&gt;"",--('POINTAGE'!N279="Présent"),0),IF('POINTAGE'!$P$5&lt;&gt;"",--('POINTAGE'!P279="Présent"),0),IF('POINTAGE'!$R$5&lt;&gt;"",--('POINTAGE'!R279="Présent"),0),IF('POINTAGE'!$T$5&lt;&gt;"",--('POINTAGE'!T279="Présent"),0),IF('POINTAGE'!$V$5&lt;&gt;"",--('POINTAGE'!V279="Présent"),0),IF('POINTAGE'!$X$5&lt;&gt;"",--('POINTAGE'!X279="Présent"),0),IF('POINTAGE'!$Z$5&lt;&gt;"",--('POINTAGE'!Z279="Présent"),0),IF('POINTAGE'!$AB$5&lt;&gt;"",--('POINTAGE'!AB279="Présent"),0),IF('POINTAGE'!$AD$5&lt;&gt;"",--('POINTAGE'!AD279="Présent"),0),IF('POINTAGE'!$AF$5&lt;&gt;"",--('POINTAGE'!AF279="Présent"),0)))</f>
      </c>
      <c r="G279" s="22">
        <f>IF($A279="","",SUM(IF('POINTAGE'!$D$5&lt;&gt;"",--('POINTAGE'!D279="Absent"),0),IF('POINTAGE'!$F$5&lt;&gt;"",--('POINTAGE'!F279="Absent"),0),IF('POINTAGE'!$H$5&lt;&gt;"",--('POINTAGE'!H279="Absent"),0),IF('POINTAGE'!$J$5&lt;&gt;"",--('POINTAGE'!J279="Absent"),0),IF('POINTAGE'!$L$5&lt;&gt;"",--('POINTAGE'!L279="Absent"),0),IF('POINTAGE'!$N$5&lt;&gt;"",--('POINTAGE'!N279="Absent"),0),IF('POINTAGE'!$P$5&lt;&gt;"",--('POINTAGE'!P279="Absent"),0),IF('POINTAGE'!$R$5&lt;&gt;"",--('POINTAGE'!R279="Absent"),0),IF('POINTAGE'!$T$5&lt;&gt;"",--('POINTAGE'!T279="Absent"),0),IF('POINTAGE'!$V$5&lt;&gt;"",--('POINTAGE'!V279="Absent"),0),IF('POINTAGE'!$X$5&lt;&gt;"",--('POINTAGE'!X279="Absent"),0),IF('POINTAGE'!$Z$5&lt;&gt;"",--('POINTAGE'!Z279="Absent"),0),IF('POINTAGE'!$AB$5&lt;&gt;"",--('POINTAGE'!AB279="Absent"),0),IF('POINTAGE'!$AD$5&lt;&gt;"",--('POINTAGE'!AD279="Absent"),0),IF('POINTAGE'!$AF$5&lt;&gt;"",--('POINTAGE'!AF279="Absent"),0)))</f>
      </c>
      <c r="H279" s="23">
        <f>IF($A279="","",SUM(IF('POINTAGE'!$D$5&lt;&gt;"",IF('POINTAGE'!D279="Présent",'POINTAGE'!E279,0),0),IF('POINTAGE'!$F$5&lt;&gt;"",IF('POINTAGE'!F279="Présent",'POINTAGE'!G279,0),0),IF('POINTAGE'!$H$5&lt;&gt;"",IF('POINTAGE'!H279="Présent",'POINTAGE'!I279,0),0),IF('POINTAGE'!$J$5&lt;&gt;"",IF('POINTAGE'!J279="Présent",'POINTAGE'!K279,0),0),IF('POINTAGE'!$L$5&lt;&gt;"",IF('POINTAGE'!L279="Présent",'POINTAGE'!M279,0),0),IF('POINTAGE'!$N$5&lt;&gt;"",IF('POINTAGE'!N279="Présent",'POINTAGE'!O279,0),0),IF('POINTAGE'!$P$5&lt;&gt;"",IF('POINTAGE'!P279="Présent",'POINTAGE'!Q279,0),0),IF('POINTAGE'!$R$5&lt;&gt;"",IF('POINTAGE'!R279="Présent",'POINTAGE'!S279,0),0),IF('POINTAGE'!$T$5&lt;&gt;"",IF('POINTAGE'!T279="Présent",'POINTAGE'!U279,0),0),IF('POINTAGE'!$V$5&lt;&gt;"",IF('POINTAGE'!V279="Présent",'POINTAGE'!W279,0),0),IF('POINTAGE'!$X$5&lt;&gt;"",IF('POINTAGE'!X279="Présent",'POINTAGE'!Y279,0),0),IF('POINTAGE'!$Z$5&lt;&gt;"",IF('POINTAGE'!Z279="Présent",'POINTAGE'!AA279,0),0),IF('POINTAGE'!$AB$5&lt;&gt;"",IF('POINTAGE'!AB279="Présent",'POINTAGE'!AC279,0),0),IF('POINTAGE'!$AD$5&lt;&gt;"",IF('POINTAGE'!AD279="Présent",'POINTAGE'!AE279,0),0),IF('POINTAGE'!$AF$5&lt;&gt;"",IF('POINTAGE'!AF279="Présent",'POINTAGE'!AG279,0),0)))</f>
      </c>
      <c r="I279" s="24">
        <f>IF($A279="","",$F279*$D279)</f>
      </c>
      <c r="J279" s="24">
        <f>IF($A279="","",$H279*$E279)</f>
      </c>
      <c r="K279" s="25">
        <f>IF($A279="","",$I279+$J279)</f>
      </c>
      <c r="L279" s="18"/>
      <c r="M279" s="25">
        <f>IF($A279="","",MAX(0,$K279-$L279))</f>
      </c>
      <c r="N279" s="22">
        <f>IF($A279="","",SUM(IF('POINTAGE'!$AH$5&lt;&gt;"",--('POINTAGE'!AH279="Présent"),0),IF('POINTAGE'!$AJ$5&lt;&gt;"",--('POINTAGE'!AJ279="Présent"),0),IF('POINTAGE'!$AL$5&lt;&gt;"",--('POINTAGE'!AL279="Présent"),0),IF('POINTAGE'!$AN$5&lt;&gt;"",--('POINTAGE'!AN279="Présent"),0),IF('POINTAGE'!$AP$5&lt;&gt;"",--('POINTAGE'!AP279="Présent"),0),IF('POINTAGE'!$AR$5&lt;&gt;"",--('POINTAGE'!AR279="Présent"),0),IF('POINTAGE'!$AT$5&lt;&gt;"",--('POINTAGE'!AT279="Présent"),0),IF('POINTAGE'!$AV$5&lt;&gt;"",--('POINTAGE'!AV279="Présent"),0),IF('POINTAGE'!$AX$5&lt;&gt;"",--('POINTAGE'!AX279="Présent"),0),IF('POINTAGE'!$AZ$5&lt;&gt;"",--('POINTAGE'!AZ279="Présent"),0),IF('POINTAGE'!$BB$5&lt;&gt;"",--('POINTAGE'!BB279="Présent"),0),IF('POINTAGE'!$BD$5&lt;&gt;"",--('POINTAGE'!BD279="Présent"),0),IF('POINTAGE'!$BF$5&lt;&gt;"",--('POINTAGE'!BF279="Présent"),0),IF('POINTAGE'!$BH$5&lt;&gt;"",--('POINTAGE'!BH279="Présent"),0),IF('POINTAGE'!$BJ$5&lt;&gt;"",--('POINTAGE'!BJ279="Présent"),0),IF('POINTAGE'!$BL$5&lt;&gt;"",--('POINTAGE'!BL279="Présent"),0)))</f>
      </c>
      <c r="O279" s="22">
        <f>IF($A279="","",SUM(IF('POINTAGE'!$AH$5&lt;&gt;"",--('POINTAGE'!AH279="Absent"),0),IF('POINTAGE'!$AJ$5&lt;&gt;"",--('POINTAGE'!AJ279="Absent"),0),IF('POINTAGE'!$AL$5&lt;&gt;"",--('POINTAGE'!AL279="Absent"),0),IF('POINTAGE'!$AN$5&lt;&gt;"",--('POINTAGE'!AN279="Absent"),0),IF('POINTAGE'!$AP$5&lt;&gt;"",--('POINTAGE'!AP279="Absent"),0),IF('POINTAGE'!$AR$5&lt;&gt;"",--('POINTAGE'!AR279="Absent"),0),IF('POINTAGE'!$AT$5&lt;&gt;"",--('POINTAGE'!AT279="Absent"),0),IF('POINTAGE'!$AV$5&lt;&gt;"",--('POINTAGE'!AV279="Absent"),0),IF('POINTAGE'!$AX$5&lt;&gt;"",--('POINTAGE'!AX279="Absent"),0),IF('POINTAGE'!$AZ$5&lt;&gt;"",--('POINTAGE'!AZ279="Absent"),0),IF('POINTAGE'!$BB$5&lt;&gt;"",--('POINTAGE'!BB279="Absent"),0),IF('POINTAGE'!$BD$5&lt;&gt;"",--('POINTAGE'!BD279="Absent"),0),IF('POINTAGE'!$BF$5&lt;&gt;"",--('POINTAGE'!BF279="Absent"),0),IF('POINTAGE'!$BH$5&lt;&gt;"",--('POINTAGE'!BH279="Absent"),0),IF('POINTAGE'!$BJ$5&lt;&gt;"",--('POINTAGE'!BJ279="Absent"),0),IF('POINTAGE'!$BL$5&lt;&gt;"",--('POINTAGE'!BL279="Absent"),0)))</f>
      </c>
      <c r="P279" s="23">
        <f>IF($A279="","",SUM(IF('POINTAGE'!$AH$5&lt;&gt;"",IF('POINTAGE'!AH279="Présent",'POINTAGE'!AI279,0),0),IF('POINTAGE'!$AJ$5&lt;&gt;"",IF('POINTAGE'!AJ279="Présent",'POINTAGE'!AK279,0),0),IF('POINTAGE'!$AL$5&lt;&gt;"",IF('POINTAGE'!AL279="Présent",'POINTAGE'!AM279,0),0),IF('POINTAGE'!$AN$5&lt;&gt;"",IF('POINTAGE'!AN279="Présent",'POINTAGE'!AO279,0),0),IF('POINTAGE'!$AP$5&lt;&gt;"",IF('POINTAGE'!AP279="Présent",'POINTAGE'!AQ279,0),0),IF('POINTAGE'!$AR$5&lt;&gt;"",IF('POINTAGE'!AR279="Présent",'POINTAGE'!AS279,0),0),IF('POINTAGE'!$AT$5&lt;&gt;"",IF('POINTAGE'!AT279="Présent",'POINTAGE'!AU279,0),0),IF('POINTAGE'!$AV$5&lt;&gt;"",IF('POINTAGE'!AV279="Présent",'POINTAGE'!AW279,0),0),IF('POINTAGE'!$AX$5&lt;&gt;"",IF('POINTAGE'!AX279="Présent",'POINTAGE'!AY279,0),0),IF('POINTAGE'!$AZ$5&lt;&gt;"",IF('POINTAGE'!AZ279="Présent",'POINTAGE'!BA279,0),0),IF('POINTAGE'!$BB$5&lt;&gt;"",IF('POINTAGE'!BB279="Présent",'POINTAGE'!BC279,0),0),IF('POINTAGE'!$BD$5&lt;&gt;"",IF('POINTAGE'!BD279="Présent",'POINTAGE'!BE279,0),0),IF('POINTAGE'!$BF$5&lt;&gt;"",IF('POINTAGE'!BF279="Présent",'POINTAGE'!BG279,0),0),IF('POINTAGE'!$BH$5&lt;&gt;"",IF('POINTAGE'!BH279="Présent",'POINTAGE'!BI279,0),0),IF('POINTAGE'!$BJ$5&lt;&gt;"",IF('POINTAGE'!BJ279="Présent",'POINTAGE'!BK279,0),0),IF('POINTAGE'!$BL$5&lt;&gt;"",IF('POINTAGE'!BL279="Présent",'POINTAGE'!BM279,0),0)))</f>
      </c>
      <c r="Q279" s="24">
        <f>IF($A279="","",$N279*$D279)</f>
      </c>
      <c r="R279" s="24">
        <f>IF($A279="","",$P279*$E279)</f>
      </c>
      <c r="S279" s="25">
        <f>IF($A279="","",$Q279+$R279)</f>
      </c>
      <c r="T279" s="18"/>
      <c r="U279" s="25">
        <f>IF($A279="","",MAX(0,$S279-$T279))</f>
      </c>
      <c r="V279" s="25">
        <f>IF($A279="","",$K279+$S279)</f>
      </c>
      <c r="W279" s="24">
        <f>IF($A279="","",$L279+$T279)</f>
      </c>
      <c r="X279" s="25">
        <f>IF($A279="","",$M279+$U279)</f>
      </c>
      <c r="Y279" s="29">
        <f>IF($A279="","",$J279+$R279)</f>
      </c>
    </row>
    <row r="280">
      <c r="A280" s="20">
        <f>IF('POINTAGE'!A280="","",'POINTAGE'!A280)</f>
      </c>
      <c r="B280" s="19">
        <f>IF($A280="","",'POINTAGE'!B280)</f>
      </c>
      <c r="C280" s="20">
        <f>IF($A280="","",'POINTAGE'!C280)</f>
      </c>
      <c r="D280" s="24">
        <f>IF($A280="","",IFERROR(INDEX(Categories_Salaire,MATCH($C280,ListeCategories,0)),0))</f>
      </c>
      <c r="E280" s="24">
        <f>IF($A280="","",IF(IFERROR(INDEX(Categories_TauxHS,MATCH($C280,ListeCategories,0)),0)&gt;0,IFERROR(INDEX(Categories_TauxHS,MATCH($C280,ListeCategories,0)),0),TauxHSDefaut))</f>
      </c>
      <c r="F280" s="22">
        <f>IF($A280="","",SUM(IF('POINTAGE'!$D$5&lt;&gt;"",--('POINTAGE'!D280="Présent"),0),IF('POINTAGE'!$F$5&lt;&gt;"",--('POINTAGE'!F280="Présent"),0),IF('POINTAGE'!$H$5&lt;&gt;"",--('POINTAGE'!H280="Présent"),0),IF('POINTAGE'!$J$5&lt;&gt;"",--('POINTAGE'!J280="Présent"),0),IF('POINTAGE'!$L$5&lt;&gt;"",--('POINTAGE'!L280="Présent"),0),IF('POINTAGE'!$N$5&lt;&gt;"",--('POINTAGE'!N280="Présent"),0),IF('POINTAGE'!$P$5&lt;&gt;"",--('POINTAGE'!P280="Présent"),0),IF('POINTAGE'!$R$5&lt;&gt;"",--('POINTAGE'!R280="Présent"),0),IF('POINTAGE'!$T$5&lt;&gt;"",--('POINTAGE'!T280="Présent"),0),IF('POINTAGE'!$V$5&lt;&gt;"",--('POINTAGE'!V280="Présent"),0),IF('POINTAGE'!$X$5&lt;&gt;"",--('POINTAGE'!X280="Présent"),0),IF('POINTAGE'!$Z$5&lt;&gt;"",--('POINTAGE'!Z280="Présent"),0),IF('POINTAGE'!$AB$5&lt;&gt;"",--('POINTAGE'!AB280="Présent"),0),IF('POINTAGE'!$AD$5&lt;&gt;"",--('POINTAGE'!AD280="Présent"),0),IF('POINTAGE'!$AF$5&lt;&gt;"",--('POINTAGE'!AF280="Présent"),0)))</f>
      </c>
      <c r="G280" s="22">
        <f>IF($A280="","",SUM(IF('POINTAGE'!$D$5&lt;&gt;"",--('POINTAGE'!D280="Absent"),0),IF('POINTAGE'!$F$5&lt;&gt;"",--('POINTAGE'!F280="Absent"),0),IF('POINTAGE'!$H$5&lt;&gt;"",--('POINTAGE'!H280="Absent"),0),IF('POINTAGE'!$J$5&lt;&gt;"",--('POINTAGE'!J280="Absent"),0),IF('POINTAGE'!$L$5&lt;&gt;"",--('POINTAGE'!L280="Absent"),0),IF('POINTAGE'!$N$5&lt;&gt;"",--('POINTAGE'!N280="Absent"),0),IF('POINTAGE'!$P$5&lt;&gt;"",--('POINTAGE'!P280="Absent"),0),IF('POINTAGE'!$R$5&lt;&gt;"",--('POINTAGE'!R280="Absent"),0),IF('POINTAGE'!$T$5&lt;&gt;"",--('POINTAGE'!T280="Absent"),0),IF('POINTAGE'!$V$5&lt;&gt;"",--('POINTAGE'!V280="Absent"),0),IF('POINTAGE'!$X$5&lt;&gt;"",--('POINTAGE'!X280="Absent"),0),IF('POINTAGE'!$Z$5&lt;&gt;"",--('POINTAGE'!Z280="Absent"),0),IF('POINTAGE'!$AB$5&lt;&gt;"",--('POINTAGE'!AB280="Absent"),0),IF('POINTAGE'!$AD$5&lt;&gt;"",--('POINTAGE'!AD280="Absent"),0),IF('POINTAGE'!$AF$5&lt;&gt;"",--('POINTAGE'!AF280="Absent"),0)))</f>
      </c>
      <c r="H280" s="23">
        <f>IF($A280="","",SUM(IF('POINTAGE'!$D$5&lt;&gt;"",IF('POINTAGE'!D280="Présent",'POINTAGE'!E280,0),0),IF('POINTAGE'!$F$5&lt;&gt;"",IF('POINTAGE'!F280="Présent",'POINTAGE'!G280,0),0),IF('POINTAGE'!$H$5&lt;&gt;"",IF('POINTAGE'!H280="Présent",'POINTAGE'!I280,0),0),IF('POINTAGE'!$J$5&lt;&gt;"",IF('POINTAGE'!J280="Présent",'POINTAGE'!K280,0),0),IF('POINTAGE'!$L$5&lt;&gt;"",IF('POINTAGE'!L280="Présent",'POINTAGE'!M280,0),0),IF('POINTAGE'!$N$5&lt;&gt;"",IF('POINTAGE'!N280="Présent",'POINTAGE'!O280,0),0),IF('POINTAGE'!$P$5&lt;&gt;"",IF('POINTAGE'!P280="Présent",'POINTAGE'!Q280,0),0),IF('POINTAGE'!$R$5&lt;&gt;"",IF('POINTAGE'!R280="Présent",'POINTAGE'!S280,0),0),IF('POINTAGE'!$T$5&lt;&gt;"",IF('POINTAGE'!T280="Présent",'POINTAGE'!U280,0),0),IF('POINTAGE'!$V$5&lt;&gt;"",IF('POINTAGE'!V280="Présent",'POINTAGE'!W280,0),0),IF('POINTAGE'!$X$5&lt;&gt;"",IF('POINTAGE'!X280="Présent",'POINTAGE'!Y280,0),0),IF('POINTAGE'!$Z$5&lt;&gt;"",IF('POINTAGE'!Z280="Présent",'POINTAGE'!AA280,0),0),IF('POINTAGE'!$AB$5&lt;&gt;"",IF('POINTAGE'!AB280="Présent",'POINTAGE'!AC280,0),0),IF('POINTAGE'!$AD$5&lt;&gt;"",IF('POINTAGE'!AD280="Présent",'POINTAGE'!AE280,0),0),IF('POINTAGE'!$AF$5&lt;&gt;"",IF('POINTAGE'!AF280="Présent",'POINTAGE'!AG280,0),0)))</f>
      </c>
      <c r="I280" s="24">
        <f>IF($A280="","",$F280*$D280)</f>
      </c>
      <c r="J280" s="24">
        <f>IF($A280="","",$H280*$E280)</f>
      </c>
      <c r="K280" s="25">
        <f>IF($A280="","",$I280+$J280)</f>
      </c>
      <c r="L280" s="18"/>
      <c r="M280" s="25">
        <f>IF($A280="","",MAX(0,$K280-$L280))</f>
      </c>
      <c r="N280" s="22">
        <f>IF($A280="","",SUM(IF('POINTAGE'!$AH$5&lt;&gt;"",--('POINTAGE'!AH280="Présent"),0),IF('POINTAGE'!$AJ$5&lt;&gt;"",--('POINTAGE'!AJ280="Présent"),0),IF('POINTAGE'!$AL$5&lt;&gt;"",--('POINTAGE'!AL280="Présent"),0),IF('POINTAGE'!$AN$5&lt;&gt;"",--('POINTAGE'!AN280="Présent"),0),IF('POINTAGE'!$AP$5&lt;&gt;"",--('POINTAGE'!AP280="Présent"),0),IF('POINTAGE'!$AR$5&lt;&gt;"",--('POINTAGE'!AR280="Présent"),0),IF('POINTAGE'!$AT$5&lt;&gt;"",--('POINTAGE'!AT280="Présent"),0),IF('POINTAGE'!$AV$5&lt;&gt;"",--('POINTAGE'!AV280="Présent"),0),IF('POINTAGE'!$AX$5&lt;&gt;"",--('POINTAGE'!AX280="Présent"),0),IF('POINTAGE'!$AZ$5&lt;&gt;"",--('POINTAGE'!AZ280="Présent"),0),IF('POINTAGE'!$BB$5&lt;&gt;"",--('POINTAGE'!BB280="Présent"),0),IF('POINTAGE'!$BD$5&lt;&gt;"",--('POINTAGE'!BD280="Présent"),0),IF('POINTAGE'!$BF$5&lt;&gt;"",--('POINTAGE'!BF280="Présent"),0),IF('POINTAGE'!$BH$5&lt;&gt;"",--('POINTAGE'!BH280="Présent"),0),IF('POINTAGE'!$BJ$5&lt;&gt;"",--('POINTAGE'!BJ280="Présent"),0),IF('POINTAGE'!$BL$5&lt;&gt;"",--('POINTAGE'!BL280="Présent"),0)))</f>
      </c>
      <c r="O280" s="22">
        <f>IF($A280="","",SUM(IF('POINTAGE'!$AH$5&lt;&gt;"",--('POINTAGE'!AH280="Absent"),0),IF('POINTAGE'!$AJ$5&lt;&gt;"",--('POINTAGE'!AJ280="Absent"),0),IF('POINTAGE'!$AL$5&lt;&gt;"",--('POINTAGE'!AL280="Absent"),0),IF('POINTAGE'!$AN$5&lt;&gt;"",--('POINTAGE'!AN280="Absent"),0),IF('POINTAGE'!$AP$5&lt;&gt;"",--('POINTAGE'!AP280="Absent"),0),IF('POINTAGE'!$AR$5&lt;&gt;"",--('POINTAGE'!AR280="Absent"),0),IF('POINTAGE'!$AT$5&lt;&gt;"",--('POINTAGE'!AT280="Absent"),0),IF('POINTAGE'!$AV$5&lt;&gt;"",--('POINTAGE'!AV280="Absent"),0),IF('POINTAGE'!$AX$5&lt;&gt;"",--('POINTAGE'!AX280="Absent"),0),IF('POINTAGE'!$AZ$5&lt;&gt;"",--('POINTAGE'!AZ280="Absent"),0),IF('POINTAGE'!$BB$5&lt;&gt;"",--('POINTAGE'!BB280="Absent"),0),IF('POINTAGE'!$BD$5&lt;&gt;"",--('POINTAGE'!BD280="Absent"),0),IF('POINTAGE'!$BF$5&lt;&gt;"",--('POINTAGE'!BF280="Absent"),0),IF('POINTAGE'!$BH$5&lt;&gt;"",--('POINTAGE'!BH280="Absent"),0),IF('POINTAGE'!$BJ$5&lt;&gt;"",--('POINTAGE'!BJ280="Absent"),0),IF('POINTAGE'!$BL$5&lt;&gt;"",--('POINTAGE'!BL280="Absent"),0)))</f>
      </c>
      <c r="P280" s="23">
        <f>IF($A280="","",SUM(IF('POINTAGE'!$AH$5&lt;&gt;"",IF('POINTAGE'!AH280="Présent",'POINTAGE'!AI280,0),0),IF('POINTAGE'!$AJ$5&lt;&gt;"",IF('POINTAGE'!AJ280="Présent",'POINTAGE'!AK280,0),0),IF('POINTAGE'!$AL$5&lt;&gt;"",IF('POINTAGE'!AL280="Présent",'POINTAGE'!AM280,0),0),IF('POINTAGE'!$AN$5&lt;&gt;"",IF('POINTAGE'!AN280="Présent",'POINTAGE'!AO280,0),0),IF('POINTAGE'!$AP$5&lt;&gt;"",IF('POINTAGE'!AP280="Présent",'POINTAGE'!AQ280,0),0),IF('POINTAGE'!$AR$5&lt;&gt;"",IF('POINTAGE'!AR280="Présent",'POINTAGE'!AS280,0),0),IF('POINTAGE'!$AT$5&lt;&gt;"",IF('POINTAGE'!AT280="Présent",'POINTAGE'!AU280,0),0),IF('POINTAGE'!$AV$5&lt;&gt;"",IF('POINTAGE'!AV280="Présent",'POINTAGE'!AW280,0),0),IF('POINTAGE'!$AX$5&lt;&gt;"",IF('POINTAGE'!AX280="Présent",'POINTAGE'!AY280,0),0),IF('POINTAGE'!$AZ$5&lt;&gt;"",IF('POINTAGE'!AZ280="Présent",'POINTAGE'!BA280,0),0),IF('POINTAGE'!$BB$5&lt;&gt;"",IF('POINTAGE'!BB280="Présent",'POINTAGE'!BC280,0),0),IF('POINTAGE'!$BD$5&lt;&gt;"",IF('POINTAGE'!BD280="Présent",'POINTAGE'!BE280,0),0),IF('POINTAGE'!$BF$5&lt;&gt;"",IF('POINTAGE'!BF280="Présent",'POINTAGE'!BG280,0),0),IF('POINTAGE'!$BH$5&lt;&gt;"",IF('POINTAGE'!BH280="Présent",'POINTAGE'!BI280,0),0),IF('POINTAGE'!$BJ$5&lt;&gt;"",IF('POINTAGE'!BJ280="Présent",'POINTAGE'!BK280,0),0),IF('POINTAGE'!$BL$5&lt;&gt;"",IF('POINTAGE'!BL280="Présent",'POINTAGE'!BM280,0),0)))</f>
      </c>
      <c r="Q280" s="24">
        <f>IF($A280="","",$N280*$D280)</f>
      </c>
      <c r="R280" s="24">
        <f>IF($A280="","",$P280*$E280)</f>
      </c>
      <c r="S280" s="25">
        <f>IF($A280="","",$Q280+$R280)</f>
      </c>
      <c r="T280" s="18"/>
      <c r="U280" s="25">
        <f>IF($A280="","",MAX(0,$S280-$T280))</f>
      </c>
      <c r="V280" s="25">
        <f>IF($A280="","",$K280+$S280)</f>
      </c>
      <c r="W280" s="24">
        <f>IF($A280="","",$L280+$T280)</f>
      </c>
      <c r="X280" s="25">
        <f>IF($A280="","",$M280+$U280)</f>
      </c>
      <c r="Y280" s="29">
        <f>IF($A280="","",$J280+$R280)</f>
      </c>
    </row>
    <row r="281">
      <c r="A281" s="20">
        <f>IF('POINTAGE'!A281="","",'POINTAGE'!A281)</f>
      </c>
      <c r="B281" s="19">
        <f>IF($A281="","",'POINTAGE'!B281)</f>
      </c>
      <c r="C281" s="20">
        <f>IF($A281="","",'POINTAGE'!C281)</f>
      </c>
      <c r="D281" s="24">
        <f>IF($A281="","",IFERROR(INDEX(Categories_Salaire,MATCH($C281,ListeCategories,0)),0))</f>
      </c>
      <c r="E281" s="24">
        <f>IF($A281="","",IF(IFERROR(INDEX(Categories_TauxHS,MATCH($C281,ListeCategories,0)),0)&gt;0,IFERROR(INDEX(Categories_TauxHS,MATCH($C281,ListeCategories,0)),0),TauxHSDefaut))</f>
      </c>
      <c r="F281" s="22">
        <f>IF($A281="","",SUM(IF('POINTAGE'!$D$5&lt;&gt;"",--('POINTAGE'!D281="Présent"),0),IF('POINTAGE'!$F$5&lt;&gt;"",--('POINTAGE'!F281="Présent"),0),IF('POINTAGE'!$H$5&lt;&gt;"",--('POINTAGE'!H281="Présent"),0),IF('POINTAGE'!$J$5&lt;&gt;"",--('POINTAGE'!J281="Présent"),0),IF('POINTAGE'!$L$5&lt;&gt;"",--('POINTAGE'!L281="Présent"),0),IF('POINTAGE'!$N$5&lt;&gt;"",--('POINTAGE'!N281="Présent"),0),IF('POINTAGE'!$P$5&lt;&gt;"",--('POINTAGE'!P281="Présent"),0),IF('POINTAGE'!$R$5&lt;&gt;"",--('POINTAGE'!R281="Présent"),0),IF('POINTAGE'!$T$5&lt;&gt;"",--('POINTAGE'!T281="Présent"),0),IF('POINTAGE'!$V$5&lt;&gt;"",--('POINTAGE'!V281="Présent"),0),IF('POINTAGE'!$X$5&lt;&gt;"",--('POINTAGE'!X281="Présent"),0),IF('POINTAGE'!$Z$5&lt;&gt;"",--('POINTAGE'!Z281="Présent"),0),IF('POINTAGE'!$AB$5&lt;&gt;"",--('POINTAGE'!AB281="Présent"),0),IF('POINTAGE'!$AD$5&lt;&gt;"",--('POINTAGE'!AD281="Présent"),0),IF('POINTAGE'!$AF$5&lt;&gt;"",--('POINTAGE'!AF281="Présent"),0)))</f>
      </c>
      <c r="G281" s="22">
        <f>IF($A281="","",SUM(IF('POINTAGE'!$D$5&lt;&gt;"",--('POINTAGE'!D281="Absent"),0),IF('POINTAGE'!$F$5&lt;&gt;"",--('POINTAGE'!F281="Absent"),0),IF('POINTAGE'!$H$5&lt;&gt;"",--('POINTAGE'!H281="Absent"),0),IF('POINTAGE'!$J$5&lt;&gt;"",--('POINTAGE'!J281="Absent"),0),IF('POINTAGE'!$L$5&lt;&gt;"",--('POINTAGE'!L281="Absent"),0),IF('POINTAGE'!$N$5&lt;&gt;"",--('POINTAGE'!N281="Absent"),0),IF('POINTAGE'!$P$5&lt;&gt;"",--('POINTAGE'!P281="Absent"),0),IF('POINTAGE'!$R$5&lt;&gt;"",--('POINTAGE'!R281="Absent"),0),IF('POINTAGE'!$T$5&lt;&gt;"",--('POINTAGE'!T281="Absent"),0),IF('POINTAGE'!$V$5&lt;&gt;"",--('POINTAGE'!V281="Absent"),0),IF('POINTAGE'!$X$5&lt;&gt;"",--('POINTAGE'!X281="Absent"),0),IF('POINTAGE'!$Z$5&lt;&gt;"",--('POINTAGE'!Z281="Absent"),0),IF('POINTAGE'!$AB$5&lt;&gt;"",--('POINTAGE'!AB281="Absent"),0),IF('POINTAGE'!$AD$5&lt;&gt;"",--('POINTAGE'!AD281="Absent"),0),IF('POINTAGE'!$AF$5&lt;&gt;"",--('POINTAGE'!AF281="Absent"),0)))</f>
      </c>
      <c r="H281" s="23">
        <f>IF($A281="","",SUM(IF('POINTAGE'!$D$5&lt;&gt;"",IF('POINTAGE'!D281="Présent",'POINTAGE'!E281,0),0),IF('POINTAGE'!$F$5&lt;&gt;"",IF('POINTAGE'!F281="Présent",'POINTAGE'!G281,0),0),IF('POINTAGE'!$H$5&lt;&gt;"",IF('POINTAGE'!H281="Présent",'POINTAGE'!I281,0),0),IF('POINTAGE'!$J$5&lt;&gt;"",IF('POINTAGE'!J281="Présent",'POINTAGE'!K281,0),0),IF('POINTAGE'!$L$5&lt;&gt;"",IF('POINTAGE'!L281="Présent",'POINTAGE'!M281,0),0),IF('POINTAGE'!$N$5&lt;&gt;"",IF('POINTAGE'!N281="Présent",'POINTAGE'!O281,0),0),IF('POINTAGE'!$P$5&lt;&gt;"",IF('POINTAGE'!P281="Présent",'POINTAGE'!Q281,0),0),IF('POINTAGE'!$R$5&lt;&gt;"",IF('POINTAGE'!R281="Présent",'POINTAGE'!S281,0),0),IF('POINTAGE'!$T$5&lt;&gt;"",IF('POINTAGE'!T281="Présent",'POINTAGE'!U281,0),0),IF('POINTAGE'!$V$5&lt;&gt;"",IF('POINTAGE'!V281="Présent",'POINTAGE'!W281,0),0),IF('POINTAGE'!$X$5&lt;&gt;"",IF('POINTAGE'!X281="Présent",'POINTAGE'!Y281,0),0),IF('POINTAGE'!$Z$5&lt;&gt;"",IF('POINTAGE'!Z281="Présent",'POINTAGE'!AA281,0),0),IF('POINTAGE'!$AB$5&lt;&gt;"",IF('POINTAGE'!AB281="Présent",'POINTAGE'!AC281,0),0),IF('POINTAGE'!$AD$5&lt;&gt;"",IF('POINTAGE'!AD281="Présent",'POINTAGE'!AE281,0),0),IF('POINTAGE'!$AF$5&lt;&gt;"",IF('POINTAGE'!AF281="Présent",'POINTAGE'!AG281,0),0)))</f>
      </c>
      <c r="I281" s="24">
        <f>IF($A281="","",$F281*$D281)</f>
      </c>
      <c r="J281" s="24">
        <f>IF($A281="","",$H281*$E281)</f>
      </c>
      <c r="K281" s="25">
        <f>IF($A281="","",$I281+$J281)</f>
      </c>
      <c r="L281" s="18"/>
      <c r="M281" s="25">
        <f>IF($A281="","",MAX(0,$K281-$L281))</f>
      </c>
      <c r="N281" s="22">
        <f>IF($A281="","",SUM(IF('POINTAGE'!$AH$5&lt;&gt;"",--('POINTAGE'!AH281="Présent"),0),IF('POINTAGE'!$AJ$5&lt;&gt;"",--('POINTAGE'!AJ281="Présent"),0),IF('POINTAGE'!$AL$5&lt;&gt;"",--('POINTAGE'!AL281="Présent"),0),IF('POINTAGE'!$AN$5&lt;&gt;"",--('POINTAGE'!AN281="Présent"),0),IF('POINTAGE'!$AP$5&lt;&gt;"",--('POINTAGE'!AP281="Présent"),0),IF('POINTAGE'!$AR$5&lt;&gt;"",--('POINTAGE'!AR281="Présent"),0),IF('POINTAGE'!$AT$5&lt;&gt;"",--('POINTAGE'!AT281="Présent"),0),IF('POINTAGE'!$AV$5&lt;&gt;"",--('POINTAGE'!AV281="Présent"),0),IF('POINTAGE'!$AX$5&lt;&gt;"",--('POINTAGE'!AX281="Présent"),0),IF('POINTAGE'!$AZ$5&lt;&gt;"",--('POINTAGE'!AZ281="Présent"),0),IF('POINTAGE'!$BB$5&lt;&gt;"",--('POINTAGE'!BB281="Présent"),0),IF('POINTAGE'!$BD$5&lt;&gt;"",--('POINTAGE'!BD281="Présent"),0),IF('POINTAGE'!$BF$5&lt;&gt;"",--('POINTAGE'!BF281="Présent"),0),IF('POINTAGE'!$BH$5&lt;&gt;"",--('POINTAGE'!BH281="Présent"),0),IF('POINTAGE'!$BJ$5&lt;&gt;"",--('POINTAGE'!BJ281="Présent"),0),IF('POINTAGE'!$BL$5&lt;&gt;"",--('POINTAGE'!BL281="Présent"),0)))</f>
      </c>
      <c r="O281" s="22">
        <f>IF($A281="","",SUM(IF('POINTAGE'!$AH$5&lt;&gt;"",--('POINTAGE'!AH281="Absent"),0),IF('POINTAGE'!$AJ$5&lt;&gt;"",--('POINTAGE'!AJ281="Absent"),0),IF('POINTAGE'!$AL$5&lt;&gt;"",--('POINTAGE'!AL281="Absent"),0),IF('POINTAGE'!$AN$5&lt;&gt;"",--('POINTAGE'!AN281="Absent"),0),IF('POINTAGE'!$AP$5&lt;&gt;"",--('POINTAGE'!AP281="Absent"),0),IF('POINTAGE'!$AR$5&lt;&gt;"",--('POINTAGE'!AR281="Absent"),0),IF('POINTAGE'!$AT$5&lt;&gt;"",--('POINTAGE'!AT281="Absent"),0),IF('POINTAGE'!$AV$5&lt;&gt;"",--('POINTAGE'!AV281="Absent"),0),IF('POINTAGE'!$AX$5&lt;&gt;"",--('POINTAGE'!AX281="Absent"),0),IF('POINTAGE'!$AZ$5&lt;&gt;"",--('POINTAGE'!AZ281="Absent"),0),IF('POINTAGE'!$BB$5&lt;&gt;"",--('POINTAGE'!BB281="Absent"),0),IF('POINTAGE'!$BD$5&lt;&gt;"",--('POINTAGE'!BD281="Absent"),0),IF('POINTAGE'!$BF$5&lt;&gt;"",--('POINTAGE'!BF281="Absent"),0),IF('POINTAGE'!$BH$5&lt;&gt;"",--('POINTAGE'!BH281="Absent"),0),IF('POINTAGE'!$BJ$5&lt;&gt;"",--('POINTAGE'!BJ281="Absent"),0),IF('POINTAGE'!$BL$5&lt;&gt;"",--('POINTAGE'!BL281="Absent"),0)))</f>
      </c>
      <c r="P281" s="23">
        <f>IF($A281="","",SUM(IF('POINTAGE'!$AH$5&lt;&gt;"",IF('POINTAGE'!AH281="Présent",'POINTAGE'!AI281,0),0),IF('POINTAGE'!$AJ$5&lt;&gt;"",IF('POINTAGE'!AJ281="Présent",'POINTAGE'!AK281,0),0),IF('POINTAGE'!$AL$5&lt;&gt;"",IF('POINTAGE'!AL281="Présent",'POINTAGE'!AM281,0),0),IF('POINTAGE'!$AN$5&lt;&gt;"",IF('POINTAGE'!AN281="Présent",'POINTAGE'!AO281,0),0),IF('POINTAGE'!$AP$5&lt;&gt;"",IF('POINTAGE'!AP281="Présent",'POINTAGE'!AQ281,0),0),IF('POINTAGE'!$AR$5&lt;&gt;"",IF('POINTAGE'!AR281="Présent",'POINTAGE'!AS281,0),0),IF('POINTAGE'!$AT$5&lt;&gt;"",IF('POINTAGE'!AT281="Présent",'POINTAGE'!AU281,0),0),IF('POINTAGE'!$AV$5&lt;&gt;"",IF('POINTAGE'!AV281="Présent",'POINTAGE'!AW281,0),0),IF('POINTAGE'!$AX$5&lt;&gt;"",IF('POINTAGE'!AX281="Présent",'POINTAGE'!AY281,0),0),IF('POINTAGE'!$AZ$5&lt;&gt;"",IF('POINTAGE'!AZ281="Présent",'POINTAGE'!BA281,0),0),IF('POINTAGE'!$BB$5&lt;&gt;"",IF('POINTAGE'!BB281="Présent",'POINTAGE'!BC281,0),0),IF('POINTAGE'!$BD$5&lt;&gt;"",IF('POINTAGE'!BD281="Présent",'POINTAGE'!BE281,0),0),IF('POINTAGE'!$BF$5&lt;&gt;"",IF('POINTAGE'!BF281="Présent",'POINTAGE'!BG281,0),0),IF('POINTAGE'!$BH$5&lt;&gt;"",IF('POINTAGE'!BH281="Présent",'POINTAGE'!BI281,0),0),IF('POINTAGE'!$BJ$5&lt;&gt;"",IF('POINTAGE'!BJ281="Présent",'POINTAGE'!BK281,0),0),IF('POINTAGE'!$BL$5&lt;&gt;"",IF('POINTAGE'!BL281="Présent",'POINTAGE'!BM281,0),0)))</f>
      </c>
      <c r="Q281" s="24">
        <f>IF($A281="","",$N281*$D281)</f>
      </c>
      <c r="R281" s="24">
        <f>IF($A281="","",$P281*$E281)</f>
      </c>
      <c r="S281" s="25">
        <f>IF($A281="","",$Q281+$R281)</f>
      </c>
      <c r="T281" s="18"/>
      <c r="U281" s="25">
        <f>IF($A281="","",MAX(0,$S281-$T281))</f>
      </c>
      <c r="V281" s="25">
        <f>IF($A281="","",$K281+$S281)</f>
      </c>
      <c r="W281" s="24">
        <f>IF($A281="","",$L281+$T281)</f>
      </c>
      <c r="X281" s="25">
        <f>IF($A281="","",$M281+$U281)</f>
      </c>
      <c r="Y281" s="29">
        <f>IF($A281="","",$J281+$R281)</f>
      </c>
    </row>
    <row r="282">
      <c r="A282" s="20">
        <f>IF('POINTAGE'!A282="","",'POINTAGE'!A282)</f>
      </c>
      <c r="B282" s="19">
        <f>IF($A282="","",'POINTAGE'!B282)</f>
      </c>
      <c r="C282" s="20">
        <f>IF($A282="","",'POINTAGE'!C282)</f>
      </c>
      <c r="D282" s="24">
        <f>IF($A282="","",IFERROR(INDEX(Categories_Salaire,MATCH($C282,ListeCategories,0)),0))</f>
      </c>
      <c r="E282" s="24">
        <f>IF($A282="","",IF(IFERROR(INDEX(Categories_TauxHS,MATCH($C282,ListeCategories,0)),0)&gt;0,IFERROR(INDEX(Categories_TauxHS,MATCH($C282,ListeCategories,0)),0),TauxHSDefaut))</f>
      </c>
      <c r="F282" s="22">
        <f>IF($A282="","",SUM(IF('POINTAGE'!$D$5&lt;&gt;"",--('POINTAGE'!D282="Présent"),0),IF('POINTAGE'!$F$5&lt;&gt;"",--('POINTAGE'!F282="Présent"),0),IF('POINTAGE'!$H$5&lt;&gt;"",--('POINTAGE'!H282="Présent"),0),IF('POINTAGE'!$J$5&lt;&gt;"",--('POINTAGE'!J282="Présent"),0),IF('POINTAGE'!$L$5&lt;&gt;"",--('POINTAGE'!L282="Présent"),0),IF('POINTAGE'!$N$5&lt;&gt;"",--('POINTAGE'!N282="Présent"),0),IF('POINTAGE'!$P$5&lt;&gt;"",--('POINTAGE'!P282="Présent"),0),IF('POINTAGE'!$R$5&lt;&gt;"",--('POINTAGE'!R282="Présent"),0),IF('POINTAGE'!$T$5&lt;&gt;"",--('POINTAGE'!T282="Présent"),0),IF('POINTAGE'!$V$5&lt;&gt;"",--('POINTAGE'!V282="Présent"),0),IF('POINTAGE'!$X$5&lt;&gt;"",--('POINTAGE'!X282="Présent"),0),IF('POINTAGE'!$Z$5&lt;&gt;"",--('POINTAGE'!Z282="Présent"),0),IF('POINTAGE'!$AB$5&lt;&gt;"",--('POINTAGE'!AB282="Présent"),0),IF('POINTAGE'!$AD$5&lt;&gt;"",--('POINTAGE'!AD282="Présent"),0),IF('POINTAGE'!$AF$5&lt;&gt;"",--('POINTAGE'!AF282="Présent"),0)))</f>
      </c>
      <c r="G282" s="22">
        <f>IF($A282="","",SUM(IF('POINTAGE'!$D$5&lt;&gt;"",--('POINTAGE'!D282="Absent"),0),IF('POINTAGE'!$F$5&lt;&gt;"",--('POINTAGE'!F282="Absent"),0),IF('POINTAGE'!$H$5&lt;&gt;"",--('POINTAGE'!H282="Absent"),0),IF('POINTAGE'!$J$5&lt;&gt;"",--('POINTAGE'!J282="Absent"),0),IF('POINTAGE'!$L$5&lt;&gt;"",--('POINTAGE'!L282="Absent"),0),IF('POINTAGE'!$N$5&lt;&gt;"",--('POINTAGE'!N282="Absent"),0),IF('POINTAGE'!$P$5&lt;&gt;"",--('POINTAGE'!P282="Absent"),0),IF('POINTAGE'!$R$5&lt;&gt;"",--('POINTAGE'!R282="Absent"),0),IF('POINTAGE'!$T$5&lt;&gt;"",--('POINTAGE'!T282="Absent"),0),IF('POINTAGE'!$V$5&lt;&gt;"",--('POINTAGE'!V282="Absent"),0),IF('POINTAGE'!$X$5&lt;&gt;"",--('POINTAGE'!X282="Absent"),0),IF('POINTAGE'!$Z$5&lt;&gt;"",--('POINTAGE'!Z282="Absent"),0),IF('POINTAGE'!$AB$5&lt;&gt;"",--('POINTAGE'!AB282="Absent"),0),IF('POINTAGE'!$AD$5&lt;&gt;"",--('POINTAGE'!AD282="Absent"),0),IF('POINTAGE'!$AF$5&lt;&gt;"",--('POINTAGE'!AF282="Absent"),0)))</f>
      </c>
      <c r="H282" s="23">
        <f>IF($A282="","",SUM(IF('POINTAGE'!$D$5&lt;&gt;"",IF('POINTAGE'!D282="Présent",'POINTAGE'!E282,0),0),IF('POINTAGE'!$F$5&lt;&gt;"",IF('POINTAGE'!F282="Présent",'POINTAGE'!G282,0),0),IF('POINTAGE'!$H$5&lt;&gt;"",IF('POINTAGE'!H282="Présent",'POINTAGE'!I282,0),0),IF('POINTAGE'!$J$5&lt;&gt;"",IF('POINTAGE'!J282="Présent",'POINTAGE'!K282,0),0),IF('POINTAGE'!$L$5&lt;&gt;"",IF('POINTAGE'!L282="Présent",'POINTAGE'!M282,0),0),IF('POINTAGE'!$N$5&lt;&gt;"",IF('POINTAGE'!N282="Présent",'POINTAGE'!O282,0),0),IF('POINTAGE'!$P$5&lt;&gt;"",IF('POINTAGE'!P282="Présent",'POINTAGE'!Q282,0),0),IF('POINTAGE'!$R$5&lt;&gt;"",IF('POINTAGE'!R282="Présent",'POINTAGE'!S282,0),0),IF('POINTAGE'!$T$5&lt;&gt;"",IF('POINTAGE'!T282="Présent",'POINTAGE'!U282,0),0),IF('POINTAGE'!$V$5&lt;&gt;"",IF('POINTAGE'!V282="Présent",'POINTAGE'!W282,0),0),IF('POINTAGE'!$X$5&lt;&gt;"",IF('POINTAGE'!X282="Présent",'POINTAGE'!Y282,0),0),IF('POINTAGE'!$Z$5&lt;&gt;"",IF('POINTAGE'!Z282="Présent",'POINTAGE'!AA282,0),0),IF('POINTAGE'!$AB$5&lt;&gt;"",IF('POINTAGE'!AB282="Présent",'POINTAGE'!AC282,0),0),IF('POINTAGE'!$AD$5&lt;&gt;"",IF('POINTAGE'!AD282="Présent",'POINTAGE'!AE282,0),0),IF('POINTAGE'!$AF$5&lt;&gt;"",IF('POINTAGE'!AF282="Présent",'POINTAGE'!AG282,0),0)))</f>
      </c>
      <c r="I282" s="24">
        <f>IF($A282="","",$F282*$D282)</f>
      </c>
      <c r="J282" s="24">
        <f>IF($A282="","",$H282*$E282)</f>
      </c>
      <c r="K282" s="25">
        <f>IF($A282="","",$I282+$J282)</f>
      </c>
      <c r="L282" s="18"/>
      <c r="M282" s="25">
        <f>IF($A282="","",MAX(0,$K282-$L282))</f>
      </c>
      <c r="N282" s="22">
        <f>IF($A282="","",SUM(IF('POINTAGE'!$AH$5&lt;&gt;"",--('POINTAGE'!AH282="Présent"),0),IF('POINTAGE'!$AJ$5&lt;&gt;"",--('POINTAGE'!AJ282="Présent"),0),IF('POINTAGE'!$AL$5&lt;&gt;"",--('POINTAGE'!AL282="Présent"),0),IF('POINTAGE'!$AN$5&lt;&gt;"",--('POINTAGE'!AN282="Présent"),0),IF('POINTAGE'!$AP$5&lt;&gt;"",--('POINTAGE'!AP282="Présent"),0),IF('POINTAGE'!$AR$5&lt;&gt;"",--('POINTAGE'!AR282="Présent"),0),IF('POINTAGE'!$AT$5&lt;&gt;"",--('POINTAGE'!AT282="Présent"),0),IF('POINTAGE'!$AV$5&lt;&gt;"",--('POINTAGE'!AV282="Présent"),0),IF('POINTAGE'!$AX$5&lt;&gt;"",--('POINTAGE'!AX282="Présent"),0),IF('POINTAGE'!$AZ$5&lt;&gt;"",--('POINTAGE'!AZ282="Présent"),0),IF('POINTAGE'!$BB$5&lt;&gt;"",--('POINTAGE'!BB282="Présent"),0),IF('POINTAGE'!$BD$5&lt;&gt;"",--('POINTAGE'!BD282="Présent"),0),IF('POINTAGE'!$BF$5&lt;&gt;"",--('POINTAGE'!BF282="Présent"),0),IF('POINTAGE'!$BH$5&lt;&gt;"",--('POINTAGE'!BH282="Présent"),0),IF('POINTAGE'!$BJ$5&lt;&gt;"",--('POINTAGE'!BJ282="Présent"),0),IF('POINTAGE'!$BL$5&lt;&gt;"",--('POINTAGE'!BL282="Présent"),0)))</f>
      </c>
      <c r="O282" s="22">
        <f>IF($A282="","",SUM(IF('POINTAGE'!$AH$5&lt;&gt;"",--('POINTAGE'!AH282="Absent"),0),IF('POINTAGE'!$AJ$5&lt;&gt;"",--('POINTAGE'!AJ282="Absent"),0),IF('POINTAGE'!$AL$5&lt;&gt;"",--('POINTAGE'!AL282="Absent"),0),IF('POINTAGE'!$AN$5&lt;&gt;"",--('POINTAGE'!AN282="Absent"),0),IF('POINTAGE'!$AP$5&lt;&gt;"",--('POINTAGE'!AP282="Absent"),0),IF('POINTAGE'!$AR$5&lt;&gt;"",--('POINTAGE'!AR282="Absent"),0),IF('POINTAGE'!$AT$5&lt;&gt;"",--('POINTAGE'!AT282="Absent"),0),IF('POINTAGE'!$AV$5&lt;&gt;"",--('POINTAGE'!AV282="Absent"),0),IF('POINTAGE'!$AX$5&lt;&gt;"",--('POINTAGE'!AX282="Absent"),0),IF('POINTAGE'!$AZ$5&lt;&gt;"",--('POINTAGE'!AZ282="Absent"),0),IF('POINTAGE'!$BB$5&lt;&gt;"",--('POINTAGE'!BB282="Absent"),0),IF('POINTAGE'!$BD$5&lt;&gt;"",--('POINTAGE'!BD282="Absent"),0),IF('POINTAGE'!$BF$5&lt;&gt;"",--('POINTAGE'!BF282="Absent"),0),IF('POINTAGE'!$BH$5&lt;&gt;"",--('POINTAGE'!BH282="Absent"),0),IF('POINTAGE'!$BJ$5&lt;&gt;"",--('POINTAGE'!BJ282="Absent"),0),IF('POINTAGE'!$BL$5&lt;&gt;"",--('POINTAGE'!BL282="Absent"),0)))</f>
      </c>
      <c r="P282" s="23">
        <f>IF($A282="","",SUM(IF('POINTAGE'!$AH$5&lt;&gt;"",IF('POINTAGE'!AH282="Présent",'POINTAGE'!AI282,0),0),IF('POINTAGE'!$AJ$5&lt;&gt;"",IF('POINTAGE'!AJ282="Présent",'POINTAGE'!AK282,0),0),IF('POINTAGE'!$AL$5&lt;&gt;"",IF('POINTAGE'!AL282="Présent",'POINTAGE'!AM282,0),0),IF('POINTAGE'!$AN$5&lt;&gt;"",IF('POINTAGE'!AN282="Présent",'POINTAGE'!AO282,0),0),IF('POINTAGE'!$AP$5&lt;&gt;"",IF('POINTAGE'!AP282="Présent",'POINTAGE'!AQ282,0),0),IF('POINTAGE'!$AR$5&lt;&gt;"",IF('POINTAGE'!AR282="Présent",'POINTAGE'!AS282,0),0),IF('POINTAGE'!$AT$5&lt;&gt;"",IF('POINTAGE'!AT282="Présent",'POINTAGE'!AU282,0),0),IF('POINTAGE'!$AV$5&lt;&gt;"",IF('POINTAGE'!AV282="Présent",'POINTAGE'!AW282,0),0),IF('POINTAGE'!$AX$5&lt;&gt;"",IF('POINTAGE'!AX282="Présent",'POINTAGE'!AY282,0),0),IF('POINTAGE'!$AZ$5&lt;&gt;"",IF('POINTAGE'!AZ282="Présent",'POINTAGE'!BA282,0),0),IF('POINTAGE'!$BB$5&lt;&gt;"",IF('POINTAGE'!BB282="Présent",'POINTAGE'!BC282,0),0),IF('POINTAGE'!$BD$5&lt;&gt;"",IF('POINTAGE'!BD282="Présent",'POINTAGE'!BE282,0),0),IF('POINTAGE'!$BF$5&lt;&gt;"",IF('POINTAGE'!BF282="Présent",'POINTAGE'!BG282,0),0),IF('POINTAGE'!$BH$5&lt;&gt;"",IF('POINTAGE'!BH282="Présent",'POINTAGE'!BI282,0),0),IF('POINTAGE'!$BJ$5&lt;&gt;"",IF('POINTAGE'!BJ282="Présent",'POINTAGE'!BK282,0),0),IF('POINTAGE'!$BL$5&lt;&gt;"",IF('POINTAGE'!BL282="Présent",'POINTAGE'!BM282,0),0)))</f>
      </c>
      <c r="Q282" s="24">
        <f>IF($A282="","",$N282*$D282)</f>
      </c>
      <c r="R282" s="24">
        <f>IF($A282="","",$P282*$E282)</f>
      </c>
      <c r="S282" s="25">
        <f>IF($A282="","",$Q282+$R282)</f>
      </c>
      <c r="T282" s="18"/>
      <c r="U282" s="25">
        <f>IF($A282="","",MAX(0,$S282-$T282))</f>
      </c>
      <c r="V282" s="25">
        <f>IF($A282="","",$K282+$S282)</f>
      </c>
      <c r="W282" s="24">
        <f>IF($A282="","",$L282+$T282)</f>
      </c>
      <c r="X282" s="25">
        <f>IF($A282="","",$M282+$U282)</f>
      </c>
      <c r="Y282" s="29">
        <f>IF($A282="","",$J282+$R282)</f>
      </c>
    </row>
    <row r="283">
      <c r="A283" s="20">
        <f>IF('POINTAGE'!A283="","",'POINTAGE'!A283)</f>
      </c>
      <c r="B283" s="19">
        <f>IF($A283="","",'POINTAGE'!B283)</f>
      </c>
      <c r="C283" s="20">
        <f>IF($A283="","",'POINTAGE'!C283)</f>
      </c>
      <c r="D283" s="24">
        <f>IF($A283="","",IFERROR(INDEX(Categories_Salaire,MATCH($C283,ListeCategories,0)),0))</f>
      </c>
      <c r="E283" s="24">
        <f>IF($A283="","",IF(IFERROR(INDEX(Categories_TauxHS,MATCH($C283,ListeCategories,0)),0)&gt;0,IFERROR(INDEX(Categories_TauxHS,MATCH($C283,ListeCategories,0)),0),TauxHSDefaut))</f>
      </c>
      <c r="F283" s="22">
        <f>IF($A283="","",SUM(IF('POINTAGE'!$D$5&lt;&gt;"",--('POINTAGE'!D283="Présent"),0),IF('POINTAGE'!$F$5&lt;&gt;"",--('POINTAGE'!F283="Présent"),0),IF('POINTAGE'!$H$5&lt;&gt;"",--('POINTAGE'!H283="Présent"),0),IF('POINTAGE'!$J$5&lt;&gt;"",--('POINTAGE'!J283="Présent"),0),IF('POINTAGE'!$L$5&lt;&gt;"",--('POINTAGE'!L283="Présent"),0),IF('POINTAGE'!$N$5&lt;&gt;"",--('POINTAGE'!N283="Présent"),0),IF('POINTAGE'!$P$5&lt;&gt;"",--('POINTAGE'!P283="Présent"),0),IF('POINTAGE'!$R$5&lt;&gt;"",--('POINTAGE'!R283="Présent"),0),IF('POINTAGE'!$T$5&lt;&gt;"",--('POINTAGE'!T283="Présent"),0),IF('POINTAGE'!$V$5&lt;&gt;"",--('POINTAGE'!V283="Présent"),0),IF('POINTAGE'!$X$5&lt;&gt;"",--('POINTAGE'!X283="Présent"),0),IF('POINTAGE'!$Z$5&lt;&gt;"",--('POINTAGE'!Z283="Présent"),0),IF('POINTAGE'!$AB$5&lt;&gt;"",--('POINTAGE'!AB283="Présent"),0),IF('POINTAGE'!$AD$5&lt;&gt;"",--('POINTAGE'!AD283="Présent"),0),IF('POINTAGE'!$AF$5&lt;&gt;"",--('POINTAGE'!AF283="Présent"),0)))</f>
      </c>
      <c r="G283" s="22">
        <f>IF($A283="","",SUM(IF('POINTAGE'!$D$5&lt;&gt;"",--('POINTAGE'!D283="Absent"),0),IF('POINTAGE'!$F$5&lt;&gt;"",--('POINTAGE'!F283="Absent"),0),IF('POINTAGE'!$H$5&lt;&gt;"",--('POINTAGE'!H283="Absent"),0),IF('POINTAGE'!$J$5&lt;&gt;"",--('POINTAGE'!J283="Absent"),0),IF('POINTAGE'!$L$5&lt;&gt;"",--('POINTAGE'!L283="Absent"),0),IF('POINTAGE'!$N$5&lt;&gt;"",--('POINTAGE'!N283="Absent"),0),IF('POINTAGE'!$P$5&lt;&gt;"",--('POINTAGE'!P283="Absent"),0),IF('POINTAGE'!$R$5&lt;&gt;"",--('POINTAGE'!R283="Absent"),0),IF('POINTAGE'!$T$5&lt;&gt;"",--('POINTAGE'!T283="Absent"),0),IF('POINTAGE'!$V$5&lt;&gt;"",--('POINTAGE'!V283="Absent"),0),IF('POINTAGE'!$X$5&lt;&gt;"",--('POINTAGE'!X283="Absent"),0),IF('POINTAGE'!$Z$5&lt;&gt;"",--('POINTAGE'!Z283="Absent"),0),IF('POINTAGE'!$AB$5&lt;&gt;"",--('POINTAGE'!AB283="Absent"),0),IF('POINTAGE'!$AD$5&lt;&gt;"",--('POINTAGE'!AD283="Absent"),0),IF('POINTAGE'!$AF$5&lt;&gt;"",--('POINTAGE'!AF283="Absent"),0)))</f>
      </c>
      <c r="H283" s="23">
        <f>IF($A283="","",SUM(IF('POINTAGE'!$D$5&lt;&gt;"",IF('POINTAGE'!D283="Présent",'POINTAGE'!E283,0),0),IF('POINTAGE'!$F$5&lt;&gt;"",IF('POINTAGE'!F283="Présent",'POINTAGE'!G283,0),0),IF('POINTAGE'!$H$5&lt;&gt;"",IF('POINTAGE'!H283="Présent",'POINTAGE'!I283,0),0),IF('POINTAGE'!$J$5&lt;&gt;"",IF('POINTAGE'!J283="Présent",'POINTAGE'!K283,0),0),IF('POINTAGE'!$L$5&lt;&gt;"",IF('POINTAGE'!L283="Présent",'POINTAGE'!M283,0),0),IF('POINTAGE'!$N$5&lt;&gt;"",IF('POINTAGE'!N283="Présent",'POINTAGE'!O283,0),0),IF('POINTAGE'!$P$5&lt;&gt;"",IF('POINTAGE'!P283="Présent",'POINTAGE'!Q283,0),0),IF('POINTAGE'!$R$5&lt;&gt;"",IF('POINTAGE'!R283="Présent",'POINTAGE'!S283,0),0),IF('POINTAGE'!$T$5&lt;&gt;"",IF('POINTAGE'!T283="Présent",'POINTAGE'!U283,0),0),IF('POINTAGE'!$V$5&lt;&gt;"",IF('POINTAGE'!V283="Présent",'POINTAGE'!W283,0),0),IF('POINTAGE'!$X$5&lt;&gt;"",IF('POINTAGE'!X283="Présent",'POINTAGE'!Y283,0),0),IF('POINTAGE'!$Z$5&lt;&gt;"",IF('POINTAGE'!Z283="Présent",'POINTAGE'!AA283,0),0),IF('POINTAGE'!$AB$5&lt;&gt;"",IF('POINTAGE'!AB283="Présent",'POINTAGE'!AC283,0),0),IF('POINTAGE'!$AD$5&lt;&gt;"",IF('POINTAGE'!AD283="Présent",'POINTAGE'!AE283,0),0),IF('POINTAGE'!$AF$5&lt;&gt;"",IF('POINTAGE'!AF283="Présent",'POINTAGE'!AG283,0),0)))</f>
      </c>
      <c r="I283" s="24">
        <f>IF($A283="","",$F283*$D283)</f>
      </c>
      <c r="J283" s="24">
        <f>IF($A283="","",$H283*$E283)</f>
      </c>
      <c r="K283" s="25">
        <f>IF($A283="","",$I283+$J283)</f>
      </c>
      <c r="L283" s="18"/>
      <c r="M283" s="25">
        <f>IF($A283="","",MAX(0,$K283-$L283))</f>
      </c>
      <c r="N283" s="22">
        <f>IF($A283="","",SUM(IF('POINTAGE'!$AH$5&lt;&gt;"",--('POINTAGE'!AH283="Présent"),0),IF('POINTAGE'!$AJ$5&lt;&gt;"",--('POINTAGE'!AJ283="Présent"),0),IF('POINTAGE'!$AL$5&lt;&gt;"",--('POINTAGE'!AL283="Présent"),0),IF('POINTAGE'!$AN$5&lt;&gt;"",--('POINTAGE'!AN283="Présent"),0),IF('POINTAGE'!$AP$5&lt;&gt;"",--('POINTAGE'!AP283="Présent"),0),IF('POINTAGE'!$AR$5&lt;&gt;"",--('POINTAGE'!AR283="Présent"),0),IF('POINTAGE'!$AT$5&lt;&gt;"",--('POINTAGE'!AT283="Présent"),0),IF('POINTAGE'!$AV$5&lt;&gt;"",--('POINTAGE'!AV283="Présent"),0),IF('POINTAGE'!$AX$5&lt;&gt;"",--('POINTAGE'!AX283="Présent"),0),IF('POINTAGE'!$AZ$5&lt;&gt;"",--('POINTAGE'!AZ283="Présent"),0),IF('POINTAGE'!$BB$5&lt;&gt;"",--('POINTAGE'!BB283="Présent"),0),IF('POINTAGE'!$BD$5&lt;&gt;"",--('POINTAGE'!BD283="Présent"),0),IF('POINTAGE'!$BF$5&lt;&gt;"",--('POINTAGE'!BF283="Présent"),0),IF('POINTAGE'!$BH$5&lt;&gt;"",--('POINTAGE'!BH283="Présent"),0),IF('POINTAGE'!$BJ$5&lt;&gt;"",--('POINTAGE'!BJ283="Présent"),0),IF('POINTAGE'!$BL$5&lt;&gt;"",--('POINTAGE'!BL283="Présent"),0)))</f>
      </c>
      <c r="O283" s="22">
        <f>IF($A283="","",SUM(IF('POINTAGE'!$AH$5&lt;&gt;"",--('POINTAGE'!AH283="Absent"),0),IF('POINTAGE'!$AJ$5&lt;&gt;"",--('POINTAGE'!AJ283="Absent"),0),IF('POINTAGE'!$AL$5&lt;&gt;"",--('POINTAGE'!AL283="Absent"),0),IF('POINTAGE'!$AN$5&lt;&gt;"",--('POINTAGE'!AN283="Absent"),0),IF('POINTAGE'!$AP$5&lt;&gt;"",--('POINTAGE'!AP283="Absent"),0),IF('POINTAGE'!$AR$5&lt;&gt;"",--('POINTAGE'!AR283="Absent"),0),IF('POINTAGE'!$AT$5&lt;&gt;"",--('POINTAGE'!AT283="Absent"),0),IF('POINTAGE'!$AV$5&lt;&gt;"",--('POINTAGE'!AV283="Absent"),0),IF('POINTAGE'!$AX$5&lt;&gt;"",--('POINTAGE'!AX283="Absent"),0),IF('POINTAGE'!$AZ$5&lt;&gt;"",--('POINTAGE'!AZ283="Absent"),0),IF('POINTAGE'!$BB$5&lt;&gt;"",--('POINTAGE'!BB283="Absent"),0),IF('POINTAGE'!$BD$5&lt;&gt;"",--('POINTAGE'!BD283="Absent"),0),IF('POINTAGE'!$BF$5&lt;&gt;"",--('POINTAGE'!BF283="Absent"),0),IF('POINTAGE'!$BH$5&lt;&gt;"",--('POINTAGE'!BH283="Absent"),0),IF('POINTAGE'!$BJ$5&lt;&gt;"",--('POINTAGE'!BJ283="Absent"),0),IF('POINTAGE'!$BL$5&lt;&gt;"",--('POINTAGE'!BL283="Absent"),0)))</f>
      </c>
      <c r="P283" s="23">
        <f>IF($A283="","",SUM(IF('POINTAGE'!$AH$5&lt;&gt;"",IF('POINTAGE'!AH283="Présent",'POINTAGE'!AI283,0),0),IF('POINTAGE'!$AJ$5&lt;&gt;"",IF('POINTAGE'!AJ283="Présent",'POINTAGE'!AK283,0),0),IF('POINTAGE'!$AL$5&lt;&gt;"",IF('POINTAGE'!AL283="Présent",'POINTAGE'!AM283,0),0),IF('POINTAGE'!$AN$5&lt;&gt;"",IF('POINTAGE'!AN283="Présent",'POINTAGE'!AO283,0),0),IF('POINTAGE'!$AP$5&lt;&gt;"",IF('POINTAGE'!AP283="Présent",'POINTAGE'!AQ283,0),0),IF('POINTAGE'!$AR$5&lt;&gt;"",IF('POINTAGE'!AR283="Présent",'POINTAGE'!AS283,0),0),IF('POINTAGE'!$AT$5&lt;&gt;"",IF('POINTAGE'!AT283="Présent",'POINTAGE'!AU283,0),0),IF('POINTAGE'!$AV$5&lt;&gt;"",IF('POINTAGE'!AV283="Présent",'POINTAGE'!AW283,0),0),IF('POINTAGE'!$AX$5&lt;&gt;"",IF('POINTAGE'!AX283="Présent",'POINTAGE'!AY283,0),0),IF('POINTAGE'!$AZ$5&lt;&gt;"",IF('POINTAGE'!AZ283="Présent",'POINTAGE'!BA283,0),0),IF('POINTAGE'!$BB$5&lt;&gt;"",IF('POINTAGE'!BB283="Présent",'POINTAGE'!BC283,0),0),IF('POINTAGE'!$BD$5&lt;&gt;"",IF('POINTAGE'!BD283="Présent",'POINTAGE'!BE283,0),0),IF('POINTAGE'!$BF$5&lt;&gt;"",IF('POINTAGE'!BF283="Présent",'POINTAGE'!BG283,0),0),IF('POINTAGE'!$BH$5&lt;&gt;"",IF('POINTAGE'!BH283="Présent",'POINTAGE'!BI283,0),0),IF('POINTAGE'!$BJ$5&lt;&gt;"",IF('POINTAGE'!BJ283="Présent",'POINTAGE'!BK283,0),0),IF('POINTAGE'!$BL$5&lt;&gt;"",IF('POINTAGE'!BL283="Présent",'POINTAGE'!BM283,0),0)))</f>
      </c>
      <c r="Q283" s="24">
        <f>IF($A283="","",$N283*$D283)</f>
      </c>
      <c r="R283" s="24">
        <f>IF($A283="","",$P283*$E283)</f>
      </c>
      <c r="S283" s="25">
        <f>IF($A283="","",$Q283+$R283)</f>
      </c>
      <c r="T283" s="18"/>
      <c r="U283" s="25">
        <f>IF($A283="","",MAX(0,$S283-$T283))</f>
      </c>
      <c r="V283" s="25">
        <f>IF($A283="","",$K283+$S283)</f>
      </c>
      <c r="W283" s="24">
        <f>IF($A283="","",$L283+$T283)</f>
      </c>
      <c r="X283" s="25">
        <f>IF($A283="","",$M283+$U283)</f>
      </c>
      <c r="Y283" s="29">
        <f>IF($A283="","",$J283+$R283)</f>
      </c>
    </row>
    <row r="284">
      <c r="A284" s="20">
        <f>IF('POINTAGE'!A284="","",'POINTAGE'!A284)</f>
      </c>
      <c r="B284" s="19">
        <f>IF($A284="","",'POINTAGE'!B284)</f>
      </c>
      <c r="C284" s="20">
        <f>IF($A284="","",'POINTAGE'!C284)</f>
      </c>
      <c r="D284" s="24">
        <f>IF($A284="","",IFERROR(INDEX(Categories_Salaire,MATCH($C284,ListeCategories,0)),0))</f>
      </c>
      <c r="E284" s="24">
        <f>IF($A284="","",IF(IFERROR(INDEX(Categories_TauxHS,MATCH($C284,ListeCategories,0)),0)&gt;0,IFERROR(INDEX(Categories_TauxHS,MATCH($C284,ListeCategories,0)),0),TauxHSDefaut))</f>
      </c>
      <c r="F284" s="22">
        <f>IF($A284="","",SUM(IF('POINTAGE'!$D$5&lt;&gt;"",--('POINTAGE'!D284="Présent"),0),IF('POINTAGE'!$F$5&lt;&gt;"",--('POINTAGE'!F284="Présent"),0),IF('POINTAGE'!$H$5&lt;&gt;"",--('POINTAGE'!H284="Présent"),0),IF('POINTAGE'!$J$5&lt;&gt;"",--('POINTAGE'!J284="Présent"),0),IF('POINTAGE'!$L$5&lt;&gt;"",--('POINTAGE'!L284="Présent"),0),IF('POINTAGE'!$N$5&lt;&gt;"",--('POINTAGE'!N284="Présent"),0),IF('POINTAGE'!$P$5&lt;&gt;"",--('POINTAGE'!P284="Présent"),0),IF('POINTAGE'!$R$5&lt;&gt;"",--('POINTAGE'!R284="Présent"),0),IF('POINTAGE'!$T$5&lt;&gt;"",--('POINTAGE'!T284="Présent"),0),IF('POINTAGE'!$V$5&lt;&gt;"",--('POINTAGE'!V284="Présent"),0),IF('POINTAGE'!$X$5&lt;&gt;"",--('POINTAGE'!X284="Présent"),0),IF('POINTAGE'!$Z$5&lt;&gt;"",--('POINTAGE'!Z284="Présent"),0),IF('POINTAGE'!$AB$5&lt;&gt;"",--('POINTAGE'!AB284="Présent"),0),IF('POINTAGE'!$AD$5&lt;&gt;"",--('POINTAGE'!AD284="Présent"),0),IF('POINTAGE'!$AF$5&lt;&gt;"",--('POINTAGE'!AF284="Présent"),0)))</f>
      </c>
      <c r="G284" s="22">
        <f>IF($A284="","",SUM(IF('POINTAGE'!$D$5&lt;&gt;"",--('POINTAGE'!D284="Absent"),0),IF('POINTAGE'!$F$5&lt;&gt;"",--('POINTAGE'!F284="Absent"),0),IF('POINTAGE'!$H$5&lt;&gt;"",--('POINTAGE'!H284="Absent"),0),IF('POINTAGE'!$J$5&lt;&gt;"",--('POINTAGE'!J284="Absent"),0),IF('POINTAGE'!$L$5&lt;&gt;"",--('POINTAGE'!L284="Absent"),0),IF('POINTAGE'!$N$5&lt;&gt;"",--('POINTAGE'!N284="Absent"),0),IF('POINTAGE'!$P$5&lt;&gt;"",--('POINTAGE'!P284="Absent"),0),IF('POINTAGE'!$R$5&lt;&gt;"",--('POINTAGE'!R284="Absent"),0),IF('POINTAGE'!$T$5&lt;&gt;"",--('POINTAGE'!T284="Absent"),0),IF('POINTAGE'!$V$5&lt;&gt;"",--('POINTAGE'!V284="Absent"),0),IF('POINTAGE'!$X$5&lt;&gt;"",--('POINTAGE'!X284="Absent"),0),IF('POINTAGE'!$Z$5&lt;&gt;"",--('POINTAGE'!Z284="Absent"),0),IF('POINTAGE'!$AB$5&lt;&gt;"",--('POINTAGE'!AB284="Absent"),0),IF('POINTAGE'!$AD$5&lt;&gt;"",--('POINTAGE'!AD284="Absent"),0),IF('POINTAGE'!$AF$5&lt;&gt;"",--('POINTAGE'!AF284="Absent"),0)))</f>
      </c>
      <c r="H284" s="23">
        <f>IF($A284="","",SUM(IF('POINTAGE'!$D$5&lt;&gt;"",IF('POINTAGE'!D284="Présent",'POINTAGE'!E284,0),0),IF('POINTAGE'!$F$5&lt;&gt;"",IF('POINTAGE'!F284="Présent",'POINTAGE'!G284,0),0),IF('POINTAGE'!$H$5&lt;&gt;"",IF('POINTAGE'!H284="Présent",'POINTAGE'!I284,0),0),IF('POINTAGE'!$J$5&lt;&gt;"",IF('POINTAGE'!J284="Présent",'POINTAGE'!K284,0),0),IF('POINTAGE'!$L$5&lt;&gt;"",IF('POINTAGE'!L284="Présent",'POINTAGE'!M284,0),0),IF('POINTAGE'!$N$5&lt;&gt;"",IF('POINTAGE'!N284="Présent",'POINTAGE'!O284,0),0),IF('POINTAGE'!$P$5&lt;&gt;"",IF('POINTAGE'!P284="Présent",'POINTAGE'!Q284,0),0),IF('POINTAGE'!$R$5&lt;&gt;"",IF('POINTAGE'!R284="Présent",'POINTAGE'!S284,0),0),IF('POINTAGE'!$T$5&lt;&gt;"",IF('POINTAGE'!T284="Présent",'POINTAGE'!U284,0),0),IF('POINTAGE'!$V$5&lt;&gt;"",IF('POINTAGE'!V284="Présent",'POINTAGE'!W284,0),0),IF('POINTAGE'!$X$5&lt;&gt;"",IF('POINTAGE'!X284="Présent",'POINTAGE'!Y284,0),0),IF('POINTAGE'!$Z$5&lt;&gt;"",IF('POINTAGE'!Z284="Présent",'POINTAGE'!AA284,0),0),IF('POINTAGE'!$AB$5&lt;&gt;"",IF('POINTAGE'!AB284="Présent",'POINTAGE'!AC284,0),0),IF('POINTAGE'!$AD$5&lt;&gt;"",IF('POINTAGE'!AD284="Présent",'POINTAGE'!AE284,0),0),IF('POINTAGE'!$AF$5&lt;&gt;"",IF('POINTAGE'!AF284="Présent",'POINTAGE'!AG284,0),0)))</f>
      </c>
      <c r="I284" s="24">
        <f>IF($A284="","",$F284*$D284)</f>
      </c>
      <c r="J284" s="24">
        <f>IF($A284="","",$H284*$E284)</f>
      </c>
      <c r="K284" s="25">
        <f>IF($A284="","",$I284+$J284)</f>
      </c>
      <c r="L284" s="18"/>
      <c r="M284" s="25">
        <f>IF($A284="","",MAX(0,$K284-$L284))</f>
      </c>
      <c r="N284" s="22">
        <f>IF($A284="","",SUM(IF('POINTAGE'!$AH$5&lt;&gt;"",--('POINTAGE'!AH284="Présent"),0),IF('POINTAGE'!$AJ$5&lt;&gt;"",--('POINTAGE'!AJ284="Présent"),0),IF('POINTAGE'!$AL$5&lt;&gt;"",--('POINTAGE'!AL284="Présent"),0),IF('POINTAGE'!$AN$5&lt;&gt;"",--('POINTAGE'!AN284="Présent"),0),IF('POINTAGE'!$AP$5&lt;&gt;"",--('POINTAGE'!AP284="Présent"),0),IF('POINTAGE'!$AR$5&lt;&gt;"",--('POINTAGE'!AR284="Présent"),0),IF('POINTAGE'!$AT$5&lt;&gt;"",--('POINTAGE'!AT284="Présent"),0),IF('POINTAGE'!$AV$5&lt;&gt;"",--('POINTAGE'!AV284="Présent"),0),IF('POINTAGE'!$AX$5&lt;&gt;"",--('POINTAGE'!AX284="Présent"),0),IF('POINTAGE'!$AZ$5&lt;&gt;"",--('POINTAGE'!AZ284="Présent"),0),IF('POINTAGE'!$BB$5&lt;&gt;"",--('POINTAGE'!BB284="Présent"),0),IF('POINTAGE'!$BD$5&lt;&gt;"",--('POINTAGE'!BD284="Présent"),0),IF('POINTAGE'!$BF$5&lt;&gt;"",--('POINTAGE'!BF284="Présent"),0),IF('POINTAGE'!$BH$5&lt;&gt;"",--('POINTAGE'!BH284="Présent"),0),IF('POINTAGE'!$BJ$5&lt;&gt;"",--('POINTAGE'!BJ284="Présent"),0),IF('POINTAGE'!$BL$5&lt;&gt;"",--('POINTAGE'!BL284="Présent"),0)))</f>
      </c>
      <c r="O284" s="22">
        <f>IF($A284="","",SUM(IF('POINTAGE'!$AH$5&lt;&gt;"",--('POINTAGE'!AH284="Absent"),0),IF('POINTAGE'!$AJ$5&lt;&gt;"",--('POINTAGE'!AJ284="Absent"),0),IF('POINTAGE'!$AL$5&lt;&gt;"",--('POINTAGE'!AL284="Absent"),0),IF('POINTAGE'!$AN$5&lt;&gt;"",--('POINTAGE'!AN284="Absent"),0),IF('POINTAGE'!$AP$5&lt;&gt;"",--('POINTAGE'!AP284="Absent"),0),IF('POINTAGE'!$AR$5&lt;&gt;"",--('POINTAGE'!AR284="Absent"),0),IF('POINTAGE'!$AT$5&lt;&gt;"",--('POINTAGE'!AT284="Absent"),0),IF('POINTAGE'!$AV$5&lt;&gt;"",--('POINTAGE'!AV284="Absent"),0),IF('POINTAGE'!$AX$5&lt;&gt;"",--('POINTAGE'!AX284="Absent"),0),IF('POINTAGE'!$AZ$5&lt;&gt;"",--('POINTAGE'!AZ284="Absent"),0),IF('POINTAGE'!$BB$5&lt;&gt;"",--('POINTAGE'!BB284="Absent"),0),IF('POINTAGE'!$BD$5&lt;&gt;"",--('POINTAGE'!BD284="Absent"),0),IF('POINTAGE'!$BF$5&lt;&gt;"",--('POINTAGE'!BF284="Absent"),0),IF('POINTAGE'!$BH$5&lt;&gt;"",--('POINTAGE'!BH284="Absent"),0),IF('POINTAGE'!$BJ$5&lt;&gt;"",--('POINTAGE'!BJ284="Absent"),0),IF('POINTAGE'!$BL$5&lt;&gt;"",--('POINTAGE'!BL284="Absent"),0)))</f>
      </c>
      <c r="P284" s="23">
        <f>IF($A284="","",SUM(IF('POINTAGE'!$AH$5&lt;&gt;"",IF('POINTAGE'!AH284="Présent",'POINTAGE'!AI284,0),0),IF('POINTAGE'!$AJ$5&lt;&gt;"",IF('POINTAGE'!AJ284="Présent",'POINTAGE'!AK284,0),0),IF('POINTAGE'!$AL$5&lt;&gt;"",IF('POINTAGE'!AL284="Présent",'POINTAGE'!AM284,0),0),IF('POINTAGE'!$AN$5&lt;&gt;"",IF('POINTAGE'!AN284="Présent",'POINTAGE'!AO284,0),0),IF('POINTAGE'!$AP$5&lt;&gt;"",IF('POINTAGE'!AP284="Présent",'POINTAGE'!AQ284,0),0),IF('POINTAGE'!$AR$5&lt;&gt;"",IF('POINTAGE'!AR284="Présent",'POINTAGE'!AS284,0),0),IF('POINTAGE'!$AT$5&lt;&gt;"",IF('POINTAGE'!AT284="Présent",'POINTAGE'!AU284,0),0),IF('POINTAGE'!$AV$5&lt;&gt;"",IF('POINTAGE'!AV284="Présent",'POINTAGE'!AW284,0),0),IF('POINTAGE'!$AX$5&lt;&gt;"",IF('POINTAGE'!AX284="Présent",'POINTAGE'!AY284,0),0),IF('POINTAGE'!$AZ$5&lt;&gt;"",IF('POINTAGE'!AZ284="Présent",'POINTAGE'!BA284,0),0),IF('POINTAGE'!$BB$5&lt;&gt;"",IF('POINTAGE'!BB284="Présent",'POINTAGE'!BC284,0),0),IF('POINTAGE'!$BD$5&lt;&gt;"",IF('POINTAGE'!BD284="Présent",'POINTAGE'!BE284,0),0),IF('POINTAGE'!$BF$5&lt;&gt;"",IF('POINTAGE'!BF284="Présent",'POINTAGE'!BG284,0),0),IF('POINTAGE'!$BH$5&lt;&gt;"",IF('POINTAGE'!BH284="Présent",'POINTAGE'!BI284,0),0),IF('POINTAGE'!$BJ$5&lt;&gt;"",IF('POINTAGE'!BJ284="Présent",'POINTAGE'!BK284,0),0),IF('POINTAGE'!$BL$5&lt;&gt;"",IF('POINTAGE'!BL284="Présent",'POINTAGE'!BM284,0),0)))</f>
      </c>
      <c r="Q284" s="24">
        <f>IF($A284="","",$N284*$D284)</f>
      </c>
      <c r="R284" s="24">
        <f>IF($A284="","",$P284*$E284)</f>
      </c>
      <c r="S284" s="25">
        <f>IF($A284="","",$Q284+$R284)</f>
      </c>
      <c r="T284" s="18"/>
      <c r="U284" s="25">
        <f>IF($A284="","",MAX(0,$S284-$T284))</f>
      </c>
      <c r="V284" s="25">
        <f>IF($A284="","",$K284+$S284)</f>
      </c>
      <c r="W284" s="24">
        <f>IF($A284="","",$L284+$T284)</f>
      </c>
      <c r="X284" s="25">
        <f>IF($A284="","",$M284+$U284)</f>
      </c>
      <c r="Y284" s="29">
        <f>IF($A284="","",$J284+$R284)</f>
      </c>
    </row>
    <row r="285">
      <c r="A285" s="20">
        <f>IF('POINTAGE'!A285="","",'POINTAGE'!A285)</f>
      </c>
      <c r="B285" s="19">
        <f>IF($A285="","",'POINTAGE'!B285)</f>
      </c>
      <c r="C285" s="20">
        <f>IF($A285="","",'POINTAGE'!C285)</f>
      </c>
      <c r="D285" s="24">
        <f>IF($A285="","",IFERROR(INDEX(Categories_Salaire,MATCH($C285,ListeCategories,0)),0))</f>
      </c>
      <c r="E285" s="24">
        <f>IF($A285="","",IF(IFERROR(INDEX(Categories_TauxHS,MATCH($C285,ListeCategories,0)),0)&gt;0,IFERROR(INDEX(Categories_TauxHS,MATCH($C285,ListeCategories,0)),0),TauxHSDefaut))</f>
      </c>
      <c r="F285" s="22">
        <f>IF($A285="","",SUM(IF('POINTAGE'!$D$5&lt;&gt;"",--('POINTAGE'!D285="Présent"),0),IF('POINTAGE'!$F$5&lt;&gt;"",--('POINTAGE'!F285="Présent"),0),IF('POINTAGE'!$H$5&lt;&gt;"",--('POINTAGE'!H285="Présent"),0),IF('POINTAGE'!$J$5&lt;&gt;"",--('POINTAGE'!J285="Présent"),0),IF('POINTAGE'!$L$5&lt;&gt;"",--('POINTAGE'!L285="Présent"),0),IF('POINTAGE'!$N$5&lt;&gt;"",--('POINTAGE'!N285="Présent"),0),IF('POINTAGE'!$P$5&lt;&gt;"",--('POINTAGE'!P285="Présent"),0),IF('POINTAGE'!$R$5&lt;&gt;"",--('POINTAGE'!R285="Présent"),0),IF('POINTAGE'!$T$5&lt;&gt;"",--('POINTAGE'!T285="Présent"),0),IF('POINTAGE'!$V$5&lt;&gt;"",--('POINTAGE'!V285="Présent"),0),IF('POINTAGE'!$X$5&lt;&gt;"",--('POINTAGE'!X285="Présent"),0),IF('POINTAGE'!$Z$5&lt;&gt;"",--('POINTAGE'!Z285="Présent"),0),IF('POINTAGE'!$AB$5&lt;&gt;"",--('POINTAGE'!AB285="Présent"),0),IF('POINTAGE'!$AD$5&lt;&gt;"",--('POINTAGE'!AD285="Présent"),0),IF('POINTAGE'!$AF$5&lt;&gt;"",--('POINTAGE'!AF285="Présent"),0)))</f>
      </c>
      <c r="G285" s="22">
        <f>IF($A285="","",SUM(IF('POINTAGE'!$D$5&lt;&gt;"",--('POINTAGE'!D285="Absent"),0),IF('POINTAGE'!$F$5&lt;&gt;"",--('POINTAGE'!F285="Absent"),0),IF('POINTAGE'!$H$5&lt;&gt;"",--('POINTAGE'!H285="Absent"),0),IF('POINTAGE'!$J$5&lt;&gt;"",--('POINTAGE'!J285="Absent"),0),IF('POINTAGE'!$L$5&lt;&gt;"",--('POINTAGE'!L285="Absent"),0),IF('POINTAGE'!$N$5&lt;&gt;"",--('POINTAGE'!N285="Absent"),0),IF('POINTAGE'!$P$5&lt;&gt;"",--('POINTAGE'!P285="Absent"),0),IF('POINTAGE'!$R$5&lt;&gt;"",--('POINTAGE'!R285="Absent"),0),IF('POINTAGE'!$T$5&lt;&gt;"",--('POINTAGE'!T285="Absent"),0),IF('POINTAGE'!$V$5&lt;&gt;"",--('POINTAGE'!V285="Absent"),0),IF('POINTAGE'!$X$5&lt;&gt;"",--('POINTAGE'!X285="Absent"),0),IF('POINTAGE'!$Z$5&lt;&gt;"",--('POINTAGE'!Z285="Absent"),0),IF('POINTAGE'!$AB$5&lt;&gt;"",--('POINTAGE'!AB285="Absent"),0),IF('POINTAGE'!$AD$5&lt;&gt;"",--('POINTAGE'!AD285="Absent"),0),IF('POINTAGE'!$AF$5&lt;&gt;"",--('POINTAGE'!AF285="Absent"),0)))</f>
      </c>
      <c r="H285" s="23">
        <f>IF($A285="","",SUM(IF('POINTAGE'!$D$5&lt;&gt;"",IF('POINTAGE'!D285="Présent",'POINTAGE'!E285,0),0),IF('POINTAGE'!$F$5&lt;&gt;"",IF('POINTAGE'!F285="Présent",'POINTAGE'!G285,0),0),IF('POINTAGE'!$H$5&lt;&gt;"",IF('POINTAGE'!H285="Présent",'POINTAGE'!I285,0),0),IF('POINTAGE'!$J$5&lt;&gt;"",IF('POINTAGE'!J285="Présent",'POINTAGE'!K285,0),0),IF('POINTAGE'!$L$5&lt;&gt;"",IF('POINTAGE'!L285="Présent",'POINTAGE'!M285,0),0),IF('POINTAGE'!$N$5&lt;&gt;"",IF('POINTAGE'!N285="Présent",'POINTAGE'!O285,0),0),IF('POINTAGE'!$P$5&lt;&gt;"",IF('POINTAGE'!P285="Présent",'POINTAGE'!Q285,0),0),IF('POINTAGE'!$R$5&lt;&gt;"",IF('POINTAGE'!R285="Présent",'POINTAGE'!S285,0),0),IF('POINTAGE'!$T$5&lt;&gt;"",IF('POINTAGE'!T285="Présent",'POINTAGE'!U285,0),0),IF('POINTAGE'!$V$5&lt;&gt;"",IF('POINTAGE'!V285="Présent",'POINTAGE'!W285,0),0),IF('POINTAGE'!$X$5&lt;&gt;"",IF('POINTAGE'!X285="Présent",'POINTAGE'!Y285,0),0),IF('POINTAGE'!$Z$5&lt;&gt;"",IF('POINTAGE'!Z285="Présent",'POINTAGE'!AA285,0),0),IF('POINTAGE'!$AB$5&lt;&gt;"",IF('POINTAGE'!AB285="Présent",'POINTAGE'!AC285,0),0),IF('POINTAGE'!$AD$5&lt;&gt;"",IF('POINTAGE'!AD285="Présent",'POINTAGE'!AE285,0),0),IF('POINTAGE'!$AF$5&lt;&gt;"",IF('POINTAGE'!AF285="Présent",'POINTAGE'!AG285,0),0)))</f>
      </c>
      <c r="I285" s="24">
        <f>IF($A285="","",$F285*$D285)</f>
      </c>
      <c r="J285" s="24">
        <f>IF($A285="","",$H285*$E285)</f>
      </c>
      <c r="K285" s="25">
        <f>IF($A285="","",$I285+$J285)</f>
      </c>
      <c r="L285" s="18"/>
      <c r="M285" s="25">
        <f>IF($A285="","",MAX(0,$K285-$L285))</f>
      </c>
      <c r="N285" s="22">
        <f>IF($A285="","",SUM(IF('POINTAGE'!$AH$5&lt;&gt;"",--('POINTAGE'!AH285="Présent"),0),IF('POINTAGE'!$AJ$5&lt;&gt;"",--('POINTAGE'!AJ285="Présent"),0),IF('POINTAGE'!$AL$5&lt;&gt;"",--('POINTAGE'!AL285="Présent"),0),IF('POINTAGE'!$AN$5&lt;&gt;"",--('POINTAGE'!AN285="Présent"),0),IF('POINTAGE'!$AP$5&lt;&gt;"",--('POINTAGE'!AP285="Présent"),0),IF('POINTAGE'!$AR$5&lt;&gt;"",--('POINTAGE'!AR285="Présent"),0),IF('POINTAGE'!$AT$5&lt;&gt;"",--('POINTAGE'!AT285="Présent"),0),IF('POINTAGE'!$AV$5&lt;&gt;"",--('POINTAGE'!AV285="Présent"),0),IF('POINTAGE'!$AX$5&lt;&gt;"",--('POINTAGE'!AX285="Présent"),0),IF('POINTAGE'!$AZ$5&lt;&gt;"",--('POINTAGE'!AZ285="Présent"),0),IF('POINTAGE'!$BB$5&lt;&gt;"",--('POINTAGE'!BB285="Présent"),0),IF('POINTAGE'!$BD$5&lt;&gt;"",--('POINTAGE'!BD285="Présent"),0),IF('POINTAGE'!$BF$5&lt;&gt;"",--('POINTAGE'!BF285="Présent"),0),IF('POINTAGE'!$BH$5&lt;&gt;"",--('POINTAGE'!BH285="Présent"),0),IF('POINTAGE'!$BJ$5&lt;&gt;"",--('POINTAGE'!BJ285="Présent"),0),IF('POINTAGE'!$BL$5&lt;&gt;"",--('POINTAGE'!BL285="Présent"),0)))</f>
      </c>
      <c r="O285" s="22">
        <f>IF($A285="","",SUM(IF('POINTAGE'!$AH$5&lt;&gt;"",--('POINTAGE'!AH285="Absent"),0),IF('POINTAGE'!$AJ$5&lt;&gt;"",--('POINTAGE'!AJ285="Absent"),0),IF('POINTAGE'!$AL$5&lt;&gt;"",--('POINTAGE'!AL285="Absent"),0),IF('POINTAGE'!$AN$5&lt;&gt;"",--('POINTAGE'!AN285="Absent"),0),IF('POINTAGE'!$AP$5&lt;&gt;"",--('POINTAGE'!AP285="Absent"),0),IF('POINTAGE'!$AR$5&lt;&gt;"",--('POINTAGE'!AR285="Absent"),0),IF('POINTAGE'!$AT$5&lt;&gt;"",--('POINTAGE'!AT285="Absent"),0),IF('POINTAGE'!$AV$5&lt;&gt;"",--('POINTAGE'!AV285="Absent"),0),IF('POINTAGE'!$AX$5&lt;&gt;"",--('POINTAGE'!AX285="Absent"),0),IF('POINTAGE'!$AZ$5&lt;&gt;"",--('POINTAGE'!AZ285="Absent"),0),IF('POINTAGE'!$BB$5&lt;&gt;"",--('POINTAGE'!BB285="Absent"),0),IF('POINTAGE'!$BD$5&lt;&gt;"",--('POINTAGE'!BD285="Absent"),0),IF('POINTAGE'!$BF$5&lt;&gt;"",--('POINTAGE'!BF285="Absent"),0),IF('POINTAGE'!$BH$5&lt;&gt;"",--('POINTAGE'!BH285="Absent"),0),IF('POINTAGE'!$BJ$5&lt;&gt;"",--('POINTAGE'!BJ285="Absent"),0),IF('POINTAGE'!$BL$5&lt;&gt;"",--('POINTAGE'!BL285="Absent"),0)))</f>
      </c>
      <c r="P285" s="23">
        <f>IF($A285="","",SUM(IF('POINTAGE'!$AH$5&lt;&gt;"",IF('POINTAGE'!AH285="Présent",'POINTAGE'!AI285,0),0),IF('POINTAGE'!$AJ$5&lt;&gt;"",IF('POINTAGE'!AJ285="Présent",'POINTAGE'!AK285,0),0),IF('POINTAGE'!$AL$5&lt;&gt;"",IF('POINTAGE'!AL285="Présent",'POINTAGE'!AM285,0),0),IF('POINTAGE'!$AN$5&lt;&gt;"",IF('POINTAGE'!AN285="Présent",'POINTAGE'!AO285,0),0),IF('POINTAGE'!$AP$5&lt;&gt;"",IF('POINTAGE'!AP285="Présent",'POINTAGE'!AQ285,0),0),IF('POINTAGE'!$AR$5&lt;&gt;"",IF('POINTAGE'!AR285="Présent",'POINTAGE'!AS285,0),0),IF('POINTAGE'!$AT$5&lt;&gt;"",IF('POINTAGE'!AT285="Présent",'POINTAGE'!AU285,0),0),IF('POINTAGE'!$AV$5&lt;&gt;"",IF('POINTAGE'!AV285="Présent",'POINTAGE'!AW285,0),0),IF('POINTAGE'!$AX$5&lt;&gt;"",IF('POINTAGE'!AX285="Présent",'POINTAGE'!AY285,0),0),IF('POINTAGE'!$AZ$5&lt;&gt;"",IF('POINTAGE'!AZ285="Présent",'POINTAGE'!BA285,0),0),IF('POINTAGE'!$BB$5&lt;&gt;"",IF('POINTAGE'!BB285="Présent",'POINTAGE'!BC285,0),0),IF('POINTAGE'!$BD$5&lt;&gt;"",IF('POINTAGE'!BD285="Présent",'POINTAGE'!BE285,0),0),IF('POINTAGE'!$BF$5&lt;&gt;"",IF('POINTAGE'!BF285="Présent",'POINTAGE'!BG285,0),0),IF('POINTAGE'!$BH$5&lt;&gt;"",IF('POINTAGE'!BH285="Présent",'POINTAGE'!BI285,0),0),IF('POINTAGE'!$BJ$5&lt;&gt;"",IF('POINTAGE'!BJ285="Présent",'POINTAGE'!BK285,0),0),IF('POINTAGE'!$BL$5&lt;&gt;"",IF('POINTAGE'!BL285="Présent",'POINTAGE'!BM285,0),0)))</f>
      </c>
      <c r="Q285" s="24">
        <f>IF($A285="","",$N285*$D285)</f>
      </c>
      <c r="R285" s="24">
        <f>IF($A285="","",$P285*$E285)</f>
      </c>
      <c r="S285" s="25">
        <f>IF($A285="","",$Q285+$R285)</f>
      </c>
      <c r="T285" s="18"/>
      <c r="U285" s="25">
        <f>IF($A285="","",MAX(0,$S285-$T285))</f>
      </c>
      <c r="V285" s="25">
        <f>IF($A285="","",$K285+$S285)</f>
      </c>
      <c r="W285" s="24">
        <f>IF($A285="","",$L285+$T285)</f>
      </c>
      <c r="X285" s="25">
        <f>IF($A285="","",$M285+$U285)</f>
      </c>
      <c r="Y285" s="29">
        <f>IF($A285="","",$J285+$R285)</f>
      </c>
    </row>
    <row r="286">
      <c r="A286" s="20">
        <f>IF('POINTAGE'!A286="","",'POINTAGE'!A286)</f>
      </c>
      <c r="B286" s="19">
        <f>IF($A286="","",'POINTAGE'!B286)</f>
      </c>
      <c r="C286" s="20">
        <f>IF($A286="","",'POINTAGE'!C286)</f>
      </c>
      <c r="D286" s="24">
        <f>IF($A286="","",IFERROR(INDEX(Categories_Salaire,MATCH($C286,ListeCategories,0)),0))</f>
      </c>
      <c r="E286" s="24">
        <f>IF($A286="","",IF(IFERROR(INDEX(Categories_TauxHS,MATCH($C286,ListeCategories,0)),0)&gt;0,IFERROR(INDEX(Categories_TauxHS,MATCH($C286,ListeCategories,0)),0),TauxHSDefaut))</f>
      </c>
      <c r="F286" s="22">
        <f>IF($A286="","",SUM(IF('POINTAGE'!$D$5&lt;&gt;"",--('POINTAGE'!D286="Présent"),0),IF('POINTAGE'!$F$5&lt;&gt;"",--('POINTAGE'!F286="Présent"),0),IF('POINTAGE'!$H$5&lt;&gt;"",--('POINTAGE'!H286="Présent"),0),IF('POINTAGE'!$J$5&lt;&gt;"",--('POINTAGE'!J286="Présent"),0),IF('POINTAGE'!$L$5&lt;&gt;"",--('POINTAGE'!L286="Présent"),0),IF('POINTAGE'!$N$5&lt;&gt;"",--('POINTAGE'!N286="Présent"),0),IF('POINTAGE'!$P$5&lt;&gt;"",--('POINTAGE'!P286="Présent"),0),IF('POINTAGE'!$R$5&lt;&gt;"",--('POINTAGE'!R286="Présent"),0),IF('POINTAGE'!$T$5&lt;&gt;"",--('POINTAGE'!T286="Présent"),0),IF('POINTAGE'!$V$5&lt;&gt;"",--('POINTAGE'!V286="Présent"),0),IF('POINTAGE'!$X$5&lt;&gt;"",--('POINTAGE'!X286="Présent"),0),IF('POINTAGE'!$Z$5&lt;&gt;"",--('POINTAGE'!Z286="Présent"),0),IF('POINTAGE'!$AB$5&lt;&gt;"",--('POINTAGE'!AB286="Présent"),0),IF('POINTAGE'!$AD$5&lt;&gt;"",--('POINTAGE'!AD286="Présent"),0),IF('POINTAGE'!$AF$5&lt;&gt;"",--('POINTAGE'!AF286="Présent"),0)))</f>
      </c>
      <c r="G286" s="22">
        <f>IF($A286="","",SUM(IF('POINTAGE'!$D$5&lt;&gt;"",--('POINTAGE'!D286="Absent"),0),IF('POINTAGE'!$F$5&lt;&gt;"",--('POINTAGE'!F286="Absent"),0),IF('POINTAGE'!$H$5&lt;&gt;"",--('POINTAGE'!H286="Absent"),0),IF('POINTAGE'!$J$5&lt;&gt;"",--('POINTAGE'!J286="Absent"),0),IF('POINTAGE'!$L$5&lt;&gt;"",--('POINTAGE'!L286="Absent"),0),IF('POINTAGE'!$N$5&lt;&gt;"",--('POINTAGE'!N286="Absent"),0),IF('POINTAGE'!$P$5&lt;&gt;"",--('POINTAGE'!P286="Absent"),0),IF('POINTAGE'!$R$5&lt;&gt;"",--('POINTAGE'!R286="Absent"),0),IF('POINTAGE'!$T$5&lt;&gt;"",--('POINTAGE'!T286="Absent"),0),IF('POINTAGE'!$V$5&lt;&gt;"",--('POINTAGE'!V286="Absent"),0),IF('POINTAGE'!$X$5&lt;&gt;"",--('POINTAGE'!X286="Absent"),0),IF('POINTAGE'!$Z$5&lt;&gt;"",--('POINTAGE'!Z286="Absent"),0),IF('POINTAGE'!$AB$5&lt;&gt;"",--('POINTAGE'!AB286="Absent"),0),IF('POINTAGE'!$AD$5&lt;&gt;"",--('POINTAGE'!AD286="Absent"),0),IF('POINTAGE'!$AF$5&lt;&gt;"",--('POINTAGE'!AF286="Absent"),0)))</f>
      </c>
      <c r="H286" s="23">
        <f>IF($A286="","",SUM(IF('POINTAGE'!$D$5&lt;&gt;"",IF('POINTAGE'!D286="Présent",'POINTAGE'!E286,0),0),IF('POINTAGE'!$F$5&lt;&gt;"",IF('POINTAGE'!F286="Présent",'POINTAGE'!G286,0),0),IF('POINTAGE'!$H$5&lt;&gt;"",IF('POINTAGE'!H286="Présent",'POINTAGE'!I286,0),0),IF('POINTAGE'!$J$5&lt;&gt;"",IF('POINTAGE'!J286="Présent",'POINTAGE'!K286,0),0),IF('POINTAGE'!$L$5&lt;&gt;"",IF('POINTAGE'!L286="Présent",'POINTAGE'!M286,0),0),IF('POINTAGE'!$N$5&lt;&gt;"",IF('POINTAGE'!N286="Présent",'POINTAGE'!O286,0),0),IF('POINTAGE'!$P$5&lt;&gt;"",IF('POINTAGE'!P286="Présent",'POINTAGE'!Q286,0),0),IF('POINTAGE'!$R$5&lt;&gt;"",IF('POINTAGE'!R286="Présent",'POINTAGE'!S286,0),0),IF('POINTAGE'!$T$5&lt;&gt;"",IF('POINTAGE'!T286="Présent",'POINTAGE'!U286,0),0),IF('POINTAGE'!$V$5&lt;&gt;"",IF('POINTAGE'!V286="Présent",'POINTAGE'!W286,0),0),IF('POINTAGE'!$X$5&lt;&gt;"",IF('POINTAGE'!X286="Présent",'POINTAGE'!Y286,0),0),IF('POINTAGE'!$Z$5&lt;&gt;"",IF('POINTAGE'!Z286="Présent",'POINTAGE'!AA286,0),0),IF('POINTAGE'!$AB$5&lt;&gt;"",IF('POINTAGE'!AB286="Présent",'POINTAGE'!AC286,0),0),IF('POINTAGE'!$AD$5&lt;&gt;"",IF('POINTAGE'!AD286="Présent",'POINTAGE'!AE286,0),0),IF('POINTAGE'!$AF$5&lt;&gt;"",IF('POINTAGE'!AF286="Présent",'POINTAGE'!AG286,0),0)))</f>
      </c>
      <c r="I286" s="24">
        <f>IF($A286="","",$F286*$D286)</f>
      </c>
      <c r="J286" s="24">
        <f>IF($A286="","",$H286*$E286)</f>
      </c>
      <c r="K286" s="25">
        <f>IF($A286="","",$I286+$J286)</f>
      </c>
      <c r="L286" s="18"/>
      <c r="M286" s="25">
        <f>IF($A286="","",MAX(0,$K286-$L286))</f>
      </c>
      <c r="N286" s="22">
        <f>IF($A286="","",SUM(IF('POINTAGE'!$AH$5&lt;&gt;"",--('POINTAGE'!AH286="Présent"),0),IF('POINTAGE'!$AJ$5&lt;&gt;"",--('POINTAGE'!AJ286="Présent"),0),IF('POINTAGE'!$AL$5&lt;&gt;"",--('POINTAGE'!AL286="Présent"),0),IF('POINTAGE'!$AN$5&lt;&gt;"",--('POINTAGE'!AN286="Présent"),0),IF('POINTAGE'!$AP$5&lt;&gt;"",--('POINTAGE'!AP286="Présent"),0),IF('POINTAGE'!$AR$5&lt;&gt;"",--('POINTAGE'!AR286="Présent"),0),IF('POINTAGE'!$AT$5&lt;&gt;"",--('POINTAGE'!AT286="Présent"),0),IF('POINTAGE'!$AV$5&lt;&gt;"",--('POINTAGE'!AV286="Présent"),0),IF('POINTAGE'!$AX$5&lt;&gt;"",--('POINTAGE'!AX286="Présent"),0),IF('POINTAGE'!$AZ$5&lt;&gt;"",--('POINTAGE'!AZ286="Présent"),0),IF('POINTAGE'!$BB$5&lt;&gt;"",--('POINTAGE'!BB286="Présent"),0),IF('POINTAGE'!$BD$5&lt;&gt;"",--('POINTAGE'!BD286="Présent"),0),IF('POINTAGE'!$BF$5&lt;&gt;"",--('POINTAGE'!BF286="Présent"),0),IF('POINTAGE'!$BH$5&lt;&gt;"",--('POINTAGE'!BH286="Présent"),0),IF('POINTAGE'!$BJ$5&lt;&gt;"",--('POINTAGE'!BJ286="Présent"),0),IF('POINTAGE'!$BL$5&lt;&gt;"",--('POINTAGE'!BL286="Présent"),0)))</f>
      </c>
      <c r="O286" s="22">
        <f>IF($A286="","",SUM(IF('POINTAGE'!$AH$5&lt;&gt;"",--('POINTAGE'!AH286="Absent"),0),IF('POINTAGE'!$AJ$5&lt;&gt;"",--('POINTAGE'!AJ286="Absent"),0),IF('POINTAGE'!$AL$5&lt;&gt;"",--('POINTAGE'!AL286="Absent"),0),IF('POINTAGE'!$AN$5&lt;&gt;"",--('POINTAGE'!AN286="Absent"),0),IF('POINTAGE'!$AP$5&lt;&gt;"",--('POINTAGE'!AP286="Absent"),0),IF('POINTAGE'!$AR$5&lt;&gt;"",--('POINTAGE'!AR286="Absent"),0),IF('POINTAGE'!$AT$5&lt;&gt;"",--('POINTAGE'!AT286="Absent"),0),IF('POINTAGE'!$AV$5&lt;&gt;"",--('POINTAGE'!AV286="Absent"),0),IF('POINTAGE'!$AX$5&lt;&gt;"",--('POINTAGE'!AX286="Absent"),0),IF('POINTAGE'!$AZ$5&lt;&gt;"",--('POINTAGE'!AZ286="Absent"),0),IF('POINTAGE'!$BB$5&lt;&gt;"",--('POINTAGE'!BB286="Absent"),0),IF('POINTAGE'!$BD$5&lt;&gt;"",--('POINTAGE'!BD286="Absent"),0),IF('POINTAGE'!$BF$5&lt;&gt;"",--('POINTAGE'!BF286="Absent"),0),IF('POINTAGE'!$BH$5&lt;&gt;"",--('POINTAGE'!BH286="Absent"),0),IF('POINTAGE'!$BJ$5&lt;&gt;"",--('POINTAGE'!BJ286="Absent"),0),IF('POINTAGE'!$BL$5&lt;&gt;"",--('POINTAGE'!BL286="Absent"),0)))</f>
      </c>
      <c r="P286" s="23">
        <f>IF($A286="","",SUM(IF('POINTAGE'!$AH$5&lt;&gt;"",IF('POINTAGE'!AH286="Présent",'POINTAGE'!AI286,0),0),IF('POINTAGE'!$AJ$5&lt;&gt;"",IF('POINTAGE'!AJ286="Présent",'POINTAGE'!AK286,0),0),IF('POINTAGE'!$AL$5&lt;&gt;"",IF('POINTAGE'!AL286="Présent",'POINTAGE'!AM286,0),0),IF('POINTAGE'!$AN$5&lt;&gt;"",IF('POINTAGE'!AN286="Présent",'POINTAGE'!AO286,0),0),IF('POINTAGE'!$AP$5&lt;&gt;"",IF('POINTAGE'!AP286="Présent",'POINTAGE'!AQ286,0),0),IF('POINTAGE'!$AR$5&lt;&gt;"",IF('POINTAGE'!AR286="Présent",'POINTAGE'!AS286,0),0),IF('POINTAGE'!$AT$5&lt;&gt;"",IF('POINTAGE'!AT286="Présent",'POINTAGE'!AU286,0),0),IF('POINTAGE'!$AV$5&lt;&gt;"",IF('POINTAGE'!AV286="Présent",'POINTAGE'!AW286,0),0),IF('POINTAGE'!$AX$5&lt;&gt;"",IF('POINTAGE'!AX286="Présent",'POINTAGE'!AY286,0),0),IF('POINTAGE'!$AZ$5&lt;&gt;"",IF('POINTAGE'!AZ286="Présent",'POINTAGE'!BA286,0),0),IF('POINTAGE'!$BB$5&lt;&gt;"",IF('POINTAGE'!BB286="Présent",'POINTAGE'!BC286,0),0),IF('POINTAGE'!$BD$5&lt;&gt;"",IF('POINTAGE'!BD286="Présent",'POINTAGE'!BE286,0),0),IF('POINTAGE'!$BF$5&lt;&gt;"",IF('POINTAGE'!BF286="Présent",'POINTAGE'!BG286,0),0),IF('POINTAGE'!$BH$5&lt;&gt;"",IF('POINTAGE'!BH286="Présent",'POINTAGE'!BI286,0),0),IF('POINTAGE'!$BJ$5&lt;&gt;"",IF('POINTAGE'!BJ286="Présent",'POINTAGE'!BK286,0),0),IF('POINTAGE'!$BL$5&lt;&gt;"",IF('POINTAGE'!BL286="Présent",'POINTAGE'!BM286,0),0)))</f>
      </c>
      <c r="Q286" s="24">
        <f>IF($A286="","",$N286*$D286)</f>
      </c>
      <c r="R286" s="24">
        <f>IF($A286="","",$P286*$E286)</f>
      </c>
      <c r="S286" s="25">
        <f>IF($A286="","",$Q286+$R286)</f>
      </c>
      <c r="T286" s="18"/>
      <c r="U286" s="25">
        <f>IF($A286="","",MAX(0,$S286-$T286))</f>
      </c>
      <c r="V286" s="25">
        <f>IF($A286="","",$K286+$S286)</f>
      </c>
      <c r="W286" s="24">
        <f>IF($A286="","",$L286+$T286)</f>
      </c>
      <c r="X286" s="25">
        <f>IF($A286="","",$M286+$U286)</f>
      </c>
      <c r="Y286" s="29">
        <f>IF($A286="","",$J286+$R286)</f>
      </c>
    </row>
    <row r="287">
      <c r="A287" s="20">
        <f>IF('POINTAGE'!A287="","",'POINTAGE'!A287)</f>
      </c>
      <c r="B287" s="19">
        <f>IF($A287="","",'POINTAGE'!B287)</f>
      </c>
      <c r="C287" s="20">
        <f>IF($A287="","",'POINTAGE'!C287)</f>
      </c>
      <c r="D287" s="24">
        <f>IF($A287="","",IFERROR(INDEX(Categories_Salaire,MATCH($C287,ListeCategories,0)),0))</f>
      </c>
      <c r="E287" s="24">
        <f>IF($A287="","",IF(IFERROR(INDEX(Categories_TauxHS,MATCH($C287,ListeCategories,0)),0)&gt;0,IFERROR(INDEX(Categories_TauxHS,MATCH($C287,ListeCategories,0)),0),TauxHSDefaut))</f>
      </c>
      <c r="F287" s="22">
        <f>IF($A287="","",SUM(IF('POINTAGE'!$D$5&lt;&gt;"",--('POINTAGE'!D287="Présent"),0),IF('POINTAGE'!$F$5&lt;&gt;"",--('POINTAGE'!F287="Présent"),0),IF('POINTAGE'!$H$5&lt;&gt;"",--('POINTAGE'!H287="Présent"),0),IF('POINTAGE'!$J$5&lt;&gt;"",--('POINTAGE'!J287="Présent"),0),IF('POINTAGE'!$L$5&lt;&gt;"",--('POINTAGE'!L287="Présent"),0),IF('POINTAGE'!$N$5&lt;&gt;"",--('POINTAGE'!N287="Présent"),0),IF('POINTAGE'!$P$5&lt;&gt;"",--('POINTAGE'!P287="Présent"),0),IF('POINTAGE'!$R$5&lt;&gt;"",--('POINTAGE'!R287="Présent"),0),IF('POINTAGE'!$T$5&lt;&gt;"",--('POINTAGE'!T287="Présent"),0),IF('POINTAGE'!$V$5&lt;&gt;"",--('POINTAGE'!V287="Présent"),0),IF('POINTAGE'!$X$5&lt;&gt;"",--('POINTAGE'!X287="Présent"),0),IF('POINTAGE'!$Z$5&lt;&gt;"",--('POINTAGE'!Z287="Présent"),0),IF('POINTAGE'!$AB$5&lt;&gt;"",--('POINTAGE'!AB287="Présent"),0),IF('POINTAGE'!$AD$5&lt;&gt;"",--('POINTAGE'!AD287="Présent"),0),IF('POINTAGE'!$AF$5&lt;&gt;"",--('POINTAGE'!AF287="Présent"),0)))</f>
      </c>
      <c r="G287" s="22">
        <f>IF($A287="","",SUM(IF('POINTAGE'!$D$5&lt;&gt;"",--('POINTAGE'!D287="Absent"),0),IF('POINTAGE'!$F$5&lt;&gt;"",--('POINTAGE'!F287="Absent"),0),IF('POINTAGE'!$H$5&lt;&gt;"",--('POINTAGE'!H287="Absent"),0),IF('POINTAGE'!$J$5&lt;&gt;"",--('POINTAGE'!J287="Absent"),0),IF('POINTAGE'!$L$5&lt;&gt;"",--('POINTAGE'!L287="Absent"),0),IF('POINTAGE'!$N$5&lt;&gt;"",--('POINTAGE'!N287="Absent"),0),IF('POINTAGE'!$P$5&lt;&gt;"",--('POINTAGE'!P287="Absent"),0),IF('POINTAGE'!$R$5&lt;&gt;"",--('POINTAGE'!R287="Absent"),0),IF('POINTAGE'!$T$5&lt;&gt;"",--('POINTAGE'!T287="Absent"),0),IF('POINTAGE'!$V$5&lt;&gt;"",--('POINTAGE'!V287="Absent"),0),IF('POINTAGE'!$X$5&lt;&gt;"",--('POINTAGE'!X287="Absent"),0),IF('POINTAGE'!$Z$5&lt;&gt;"",--('POINTAGE'!Z287="Absent"),0),IF('POINTAGE'!$AB$5&lt;&gt;"",--('POINTAGE'!AB287="Absent"),0),IF('POINTAGE'!$AD$5&lt;&gt;"",--('POINTAGE'!AD287="Absent"),0),IF('POINTAGE'!$AF$5&lt;&gt;"",--('POINTAGE'!AF287="Absent"),0)))</f>
      </c>
      <c r="H287" s="23">
        <f>IF($A287="","",SUM(IF('POINTAGE'!$D$5&lt;&gt;"",IF('POINTAGE'!D287="Présent",'POINTAGE'!E287,0),0),IF('POINTAGE'!$F$5&lt;&gt;"",IF('POINTAGE'!F287="Présent",'POINTAGE'!G287,0),0),IF('POINTAGE'!$H$5&lt;&gt;"",IF('POINTAGE'!H287="Présent",'POINTAGE'!I287,0),0),IF('POINTAGE'!$J$5&lt;&gt;"",IF('POINTAGE'!J287="Présent",'POINTAGE'!K287,0),0),IF('POINTAGE'!$L$5&lt;&gt;"",IF('POINTAGE'!L287="Présent",'POINTAGE'!M287,0),0),IF('POINTAGE'!$N$5&lt;&gt;"",IF('POINTAGE'!N287="Présent",'POINTAGE'!O287,0),0),IF('POINTAGE'!$P$5&lt;&gt;"",IF('POINTAGE'!P287="Présent",'POINTAGE'!Q287,0),0),IF('POINTAGE'!$R$5&lt;&gt;"",IF('POINTAGE'!R287="Présent",'POINTAGE'!S287,0),0),IF('POINTAGE'!$T$5&lt;&gt;"",IF('POINTAGE'!T287="Présent",'POINTAGE'!U287,0),0),IF('POINTAGE'!$V$5&lt;&gt;"",IF('POINTAGE'!V287="Présent",'POINTAGE'!W287,0),0),IF('POINTAGE'!$X$5&lt;&gt;"",IF('POINTAGE'!X287="Présent",'POINTAGE'!Y287,0),0),IF('POINTAGE'!$Z$5&lt;&gt;"",IF('POINTAGE'!Z287="Présent",'POINTAGE'!AA287,0),0),IF('POINTAGE'!$AB$5&lt;&gt;"",IF('POINTAGE'!AB287="Présent",'POINTAGE'!AC287,0),0),IF('POINTAGE'!$AD$5&lt;&gt;"",IF('POINTAGE'!AD287="Présent",'POINTAGE'!AE287,0),0),IF('POINTAGE'!$AF$5&lt;&gt;"",IF('POINTAGE'!AF287="Présent",'POINTAGE'!AG287,0),0)))</f>
      </c>
      <c r="I287" s="24">
        <f>IF($A287="","",$F287*$D287)</f>
      </c>
      <c r="J287" s="24">
        <f>IF($A287="","",$H287*$E287)</f>
      </c>
      <c r="K287" s="25">
        <f>IF($A287="","",$I287+$J287)</f>
      </c>
      <c r="L287" s="18"/>
      <c r="M287" s="25">
        <f>IF($A287="","",MAX(0,$K287-$L287))</f>
      </c>
      <c r="N287" s="22">
        <f>IF($A287="","",SUM(IF('POINTAGE'!$AH$5&lt;&gt;"",--('POINTAGE'!AH287="Présent"),0),IF('POINTAGE'!$AJ$5&lt;&gt;"",--('POINTAGE'!AJ287="Présent"),0),IF('POINTAGE'!$AL$5&lt;&gt;"",--('POINTAGE'!AL287="Présent"),0),IF('POINTAGE'!$AN$5&lt;&gt;"",--('POINTAGE'!AN287="Présent"),0),IF('POINTAGE'!$AP$5&lt;&gt;"",--('POINTAGE'!AP287="Présent"),0),IF('POINTAGE'!$AR$5&lt;&gt;"",--('POINTAGE'!AR287="Présent"),0),IF('POINTAGE'!$AT$5&lt;&gt;"",--('POINTAGE'!AT287="Présent"),0),IF('POINTAGE'!$AV$5&lt;&gt;"",--('POINTAGE'!AV287="Présent"),0),IF('POINTAGE'!$AX$5&lt;&gt;"",--('POINTAGE'!AX287="Présent"),0),IF('POINTAGE'!$AZ$5&lt;&gt;"",--('POINTAGE'!AZ287="Présent"),0),IF('POINTAGE'!$BB$5&lt;&gt;"",--('POINTAGE'!BB287="Présent"),0),IF('POINTAGE'!$BD$5&lt;&gt;"",--('POINTAGE'!BD287="Présent"),0),IF('POINTAGE'!$BF$5&lt;&gt;"",--('POINTAGE'!BF287="Présent"),0),IF('POINTAGE'!$BH$5&lt;&gt;"",--('POINTAGE'!BH287="Présent"),0),IF('POINTAGE'!$BJ$5&lt;&gt;"",--('POINTAGE'!BJ287="Présent"),0),IF('POINTAGE'!$BL$5&lt;&gt;"",--('POINTAGE'!BL287="Présent"),0)))</f>
      </c>
      <c r="O287" s="22">
        <f>IF($A287="","",SUM(IF('POINTAGE'!$AH$5&lt;&gt;"",--('POINTAGE'!AH287="Absent"),0),IF('POINTAGE'!$AJ$5&lt;&gt;"",--('POINTAGE'!AJ287="Absent"),0),IF('POINTAGE'!$AL$5&lt;&gt;"",--('POINTAGE'!AL287="Absent"),0),IF('POINTAGE'!$AN$5&lt;&gt;"",--('POINTAGE'!AN287="Absent"),0),IF('POINTAGE'!$AP$5&lt;&gt;"",--('POINTAGE'!AP287="Absent"),0),IF('POINTAGE'!$AR$5&lt;&gt;"",--('POINTAGE'!AR287="Absent"),0),IF('POINTAGE'!$AT$5&lt;&gt;"",--('POINTAGE'!AT287="Absent"),0),IF('POINTAGE'!$AV$5&lt;&gt;"",--('POINTAGE'!AV287="Absent"),0),IF('POINTAGE'!$AX$5&lt;&gt;"",--('POINTAGE'!AX287="Absent"),0),IF('POINTAGE'!$AZ$5&lt;&gt;"",--('POINTAGE'!AZ287="Absent"),0),IF('POINTAGE'!$BB$5&lt;&gt;"",--('POINTAGE'!BB287="Absent"),0),IF('POINTAGE'!$BD$5&lt;&gt;"",--('POINTAGE'!BD287="Absent"),0),IF('POINTAGE'!$BF$5&lt;&gt;"",--('POINTAGE'!BF287="Absent"),0),IF('POINTAGE'!$BH$5&lt;&gt;"",--('POINTAGE'!BH287="Absent"),0),IF('POINTAGE'!$BJ$5&lt;&gt;"",--('POINTAGE'!BJ287="Absent"),0),IF('POINTAGE'!$BL$5&lt;&gt;"",--('POINTAGE'!BL287="Absent"),0)))</f>
      </c>
      <c r="P287" s="23">
        <f>IF($A287="","",SUM(IF('POINTAGE'!$AH$5&lt;&gt;"",IF('POINTAGE'!AH287="Présent",'POINTAGE'!AI287,0),0),IF('POINTAGE'!$AJ$5&lt;&gt;"",IF('POINTAGE'!AJ287="Présent",'POINTAGE'!AK287,0),0),IF('POINTAGE'!$AL$5&lt;&gt;"",IF('POINTAGE'!AL287="Présent",'POINTAGE'!AM287,0),0),IF('POINTAGE'!$AN$5&lt;&gt;"",IF('POINTAGE'!AN287="Présent",'POINTAGE'!AO287,0),0),IF('POINTAGE'!$AP$5&lt;&gt;"",IF('POINTAGE'!AP287="Présent",'POINTAGE'!AQ287,0),0),IF('POINTAGE'!$AR$5&lt;&gt;"",IF('POINTAGE'!AR287="Présent",'POINTAGE'!AS287,0),0),IF('POINTAGE'!$AT$5&lt;&gt;"",IF('POINTAGE'!AT287="Présent",'POINTAGE'!AU287,0),0),IF('POINTAGE'!$AV$5&lt;&gt;"",IF('POINTAGE'!AV287="Présent",'POINTAGE'!AW287,0),0),IF('POINTAGE'!$AX$5&lt;&gt;"",IF('POINTAGE'!AX287="Présent",'POINTAGE'!AY287,0),0),IF('POINTAGE'!$AZ$5&lt;&gt;"",IF('POINTAGE'!AZ287="Présent",'POINTAGE'!BA287,0),0),IF('POINTAGE'!$BB$5&lt;&gt;"",IF('POINTAGE'!BB287="Présent",'POINTAGE'!BC287,0),0),IF('POINTAGE'!$BD$5&lt;&gt;"",IF('POINTAGE'!BD287="Présent",'POINTAGE'!BE287,0),0),IF('POINTAGE'!$BF$5&lt;&gt;"",IF('POINTAGE'!BF287="Présent",'POINTAGE'!BG287,0),0),IF('POINTAGE'!$BH$5&lt;&gt;"",IF('POINTAGE'!BH287="Présent",'POINTAGE'!BI287,0),0),IF('POINTAGE'!$BJ$5&lt;&gt;"",IF('POINTAGE'!BJ287="Présent",'POINTAGE'!BK287,0),0),IF('POINTAGE'!$BL$5&lt;&gt;"",IF('POINTAGE'!BL287="Présent",'POINTAGE'!BM287,0),0)))</f>
      </c>
      <c r="Q287" s="24">
        <f>IF($A287="","",$N287*$D287)</f>
      </c>
      <c r="R287" s="24">
        <f>IF($A287="","",$P287*$E287)</f>
      </c>
      <c r="S287" s="25">
        <f>IF($A287="","",$Q287+$R287)</f>
      </c>
      <c r="T287" s="18"/>
      <c r="U287" s="25">
        <f>IF($A287="","",MAX(0,$S287-$T287))</f>
      </c>
      <c r="V287" s="25">
        <f>IF($A287="","",$K287+$S287)</f>
      </c>
      <c r="W287" s="24">
        <f>IF($A287="","",$L287+$T287)</f>
      </c>
      <c r="X287" s="25">
        <f>IF($A287="","",$M287+$U287)</f>
      </c>
      <c r="Y287" s="29">
        <f>IF($A287="","",$J287+$R287)</f>
      </c>
    </row>
    <row r="288">
      <c r="A288" s="20">
        <f>IF('POINTAGE'!A288="","",'POINTAGE'!A288)</f>
      </c>
      <c r="B288" s="19">
        <f>IF($A288="","",'POINTAGE'!B288)</f>
      </c>
      <c r="C288" s="20">
        <f>IF($A288="","",'POINTAGE'!C288)</f>
      </c>
      <c r="D288" s="24">
        <f>IF($A288="","",IFERROR(INDEX(Categories_Salaire,MATCH($C288,ListeCategories,0)),0))</f>
      </c>
      <c r="E288" s="24">
        <f>IF($A288="","",IF(IFERROR(INDEX(Categories_TauxHS,MATCH($C288,ListeCategories,0)),0)&gt;0,IFERROR(INDEX(Categories_TauxHS,MATCH($C288,ListeCategories,0)),0),TauxHSDefaut))</f>
      </c>
      <c r="F288" s="22">
        <f>IF($A288="","",SUM(IF('POINTAGE'!$D$5&lt;&gt;"",--('POINTAGE'!D288="Présent"),0),IF('POINTAGE'!$F$5&lt;&gt;"",--('POINTAGE'!F288="Présent"),0),IF('POINTAGE'!$H$5&lt;&gt;"",--('POINTAGE'!H288="Présent"),0),IF('POINTAGE'!$J$5&lt;&gt;"",--('POINTAGE'!J288="Présent"),0),IF('POINTAGE'!$L$5&lt;&gt;"",--('POINTAGE'!L288="Présent"),0),IF('POINTAGE'!$N$5&lt;&gt;"",--('POINTAGE'!N288="Présent"),0),IF('POINTAGE'!$P$5&lt;&gt;"",--('POINTAGE'!P288="Présent"),0),IF('POINTAGE'!$R$5&lt;&gt;"",--('POINTAGE'!R288="Présent"),0),IF('POINTAGE'!$T$5&lt;&gt;"",--('POINTAGE'!T288="Présent"),0),IF('POINTAGE'!$V$5&lt;&gt;"",--('POINTAGE'!V288="Présent"),0),IF('POINTAGE'!$X$5&lt;&gt;"",--('POINTAGE'!X288="Présent"),0),IF('POINTAGE'!$Z$5&lt;&gt;"",--('POINTAGE'!Z288="Présent"),0),IF('POINTAGE'!$AB$5&lt;&gt;"",--('POINTAGE'!AB288="Présent"),0),IF('POINTAGE'!$AD$5&lt;&gt;"",--('POINTAGE'!AD288="Présent"),0),IF('POINTAGE'!$AF$5&lt;&gt;"",--('POINTAGE'!AF288="Présent"),0)))</f>
      </c>
      <c r="G288" s="22">
        <f>IF($A288="","",SUM(IF('POINTAGE'!$D$5&lt;&gt;"",--('POINTAGE'!D288="Absent"),0),IF('POINTAGE'!$F$5&lt;&gt;"",--('POINTAGE'!F288="Absent"),0),IF('POINTAGE'!$H$5&lt;&gt;"",--('POINTAGE'!H288="Absent"),0),IF('POINTAGE'!$J$5&lt;&gt;"",--('POINTAGE'!J288="Absent"),0),IF('POINTAGE'!$L$5&lt;&gt;"",--('POINTAGE'!L288="Absent"),0),IF('POINTAGE'!$N$5&lt;&gt;"",--('POINTAGE'!N288="Absent"),0),IF('POINTAGE'!$P$5&lt;&gt;"",--('POINTAGE'!P288="Absent"),0),IF('POINTAGE'!$R$5&lt;&gt;"",--('POINTAGE'!R288="Absent"),0),IF('POINTAGE'!$T$5&lt;&gt;"",--('POINTAGE'!T288="Absent"),0),IF('POINTAGE'!$V$5&lt;&gt;"",--('POINTAGE'!V288="Absent"),0),IF('POINTAGE'!$X$5&lt;&gt;"",--('POINTAGE'!X288="Absent"),0),IF('POINTAGE'!$Z$5&lt;&gt;"",--('POINTAGE'!Z288="Absent"),0),IF('POINTAGE'!$AB$5&lt;&gt;"",--('POINTAGE'!AB288="Absent"),0),IF('POINTAGE'!$AD$5&lt;&gt;"",--('POINTAGE'!AD288="Absent"),0),IF('POINTAGE'!$AF$5&lt;&gt;"",--('POINTAGE'!AF288="Absent"),0)))</f>
      </c>
      <c r="H288" s="23">
        <f>IF($A288="","",SUM(IF('POINTAGE'!$D$5&lt;&gt;"",IF('POINTAGE'!D288="Présent",'POINTAGE'!E288,0),0),IF('POINTAGE'!$F$5&lt;&gt;"",IF('POINTAGE'!F288="Présent",'POINTAGE'!G288,0),0),IF('POINTAGE'!$H$5&lt;&gt;"",IF('POINTAGE'!H288="Présent",'POINTAGE'!I288,0),0),IF('POINTAGE'!$J$5&lt;&gt;"",IF('POINTAGE'!J288="Présent",'POINTAGE'!K288,0),0),IF('POINTAGE'!$L$5&lt;&gt;"",IF('POINTAGE'!L288="Présent",'POINTAGE'!M288,0),0),IF('POINTAGE'!$N$5&lt;&gt;"",IF('POINTAGE'!N288="Présent",'POINTAGE'!O288,0),0),IF('POINTAGE'!$P$5&lt;&gt;"",IF('POINTAGE'!P288="Présent",'POINTAGE'!Q288,0),0),IF('POINTAGE'!$R$5&lt;&gt;"",IF('POINTAGE'!R288="Présent",'POINTAGE'!S288,0),0),IF('POINTAGE'!$T$5&lt;&gt;"",IF('POINTAGE'!T288="Présent",'POINTAGE'!U288,0),0),IF('POINTAGE'!$V$5&lt;&gt;"",IF('POINTAGE'!V288="Présent",'POINTAGE'!W288,0),0),IF('POINTAGE'!$X$5&lt;&gt;"",IF('POINTAGE'!X288="Présent",'POINTAGE'!Y288,0),0),IF('POINTAGE'!$Z$5&lt;&gt;"",IF('POINTAGE'!Z288="Présent",'POINTAGE'!AA288,0),0),IF('POINTAGE'!$AB$5&lt;&gt;"",IF('POINTAGE'!AB288="Présent",'POINTAGE'!AC288,0),0),IF('POINTAGE'!$AD$5&lt;&gt;"",IF('POINTAGE'!AD288="Présent",'POINTAGE'!AE288,0),0),IF('POINTAGE'!$AF$5&lt;&gt;"",IF('POINTAGE'!AF288="Présent",'POINTAGE'!AG288,0),0)))</f>
      </c>
      <c r="I288" s="24">
        <f>IF($A288="","",$F288*$D288)</f>
      </c>
      <c r="J288" s="24">
        <f>IF($A288="","",$H288*$E288)</f>
      </c>
      <c r="K288" s="25">
        <f>IF($A288="","",$I288+$J288)</f>
      </c>
      <c r="L288" s="18"/>
      <c r="M288" s="25">
        <f>IF($A288="","",MAX(0,$K288-$L288))</f>
      </c>
      <c r="N288" s="22">
        <f>IF($A288="","",SUM(IF('POINTAGE'!$AH$5&lt;&gt;"",--('POINTAGE'!AH288="Présent"),0),IF('POINTAGE'!$AJ$5&lt;&gt;"",--('POINTAGE'!AJ288="Présent"),0),IF('POINTAGE'!$AL$5&lt;&gt;"",--('POINTAGE'!AL288="Présent"),0),IF('POINTAGE'!$AN$5&lt;&gt;"",--('POINTAGE'!AN288="Présent"),0),IF('POINTAGE'!$AP$5&lt;&gt;"",--('POINTAGE'!AP288="Présent"),0),IF('POINTAGE'!$AR$5&lt;&gt;"",--('POINTAGE'!AR288="Présent"),0),IF('POINTAGE'!$AT$5&lt;&gt;"",--('POINTAGE'!AT288="Présent"),0),IF('POINTAGE'!$AV$5&lt;&gt;"",--('POINTAGE'!AV288="Présent"),0),IF('POINTAGE'!$AX$5&lt;&gt;"",--('POINTAGE'!AX288="Présent"),0),IF('POINTAGE'!$AZ$5&lt;&gt;"",--('POINTAGE'!AZ288="Présent"),0),IF('POINTAGE'!$BB$5&lt;&gt;"",--('POINTAGE'!BB288="Présent"),0),IF('POINTAGE'!$BD$5&lt;&gt;"",--('POINTAGE'!BD288="Présent"),0),IF('POINTAGE'!$BF$5&lt;&gt;"",--('POINTAGE'!BF288="Présent"),0),IF('POINTAGE'!$BH$5&lt;&gt;"",--('POINTAGE'!BH288="Présent"),0),IF('POINTAGE'!$BJ$5&lt;&gt;"",--('POINTAGE'!BJ288="Présent"),0),IF('POINTAGE'!$BL$5&lt;&gt;"",--('POINTAGE'!BL288="Présent"),0)))</f>
      </c>
      <c r="O288" s="22">
        <f>IF($A288="","",SUM(IF('POINTAGE'!$AH$5&lt;&gt;"",--('POINTAGE'!AH288="Absent"),0),IF('POINTAGE'!$AJ$5&lt;&gt;"",--('POINTAGE'!AJ288="Absent"),0),IF('POINTAGE'!$AL$5&lt;&gt;"",--('POINTAGE'!AL288="Absent"),0),IF('POINTAGE'!$AN$5&lt;&gt;"",--('POINTAGE'!AN288="Absent"),0),IF('POINTAGE'!$AP$5&lt;&gt;"",--('POINTAGE'!AP288="Absent"),0),IF('POINTAGE'!$AR$5&lt;&gt;"",--('POINTAGE'!AR288="Absent"),0),IF('POINTAGE'!$AT$5&lt;&gt;"",--('POINTAGE'!AT288="Absent"),0),IF('POINTAGE'!$AV$5&lt;&gt;"",--('POINTAGE'!AV288="Absent"),0),IF('POINTAGE'!$AX$5&lt;&gt;"",--('POINTAGE'!AX288="Absent"),0),IF('POINTAGE'!$AZ$5&lt;&gt;"",--('POINTAGE'!AZ288="Absent"),0),IF('POINTAGE'!$BB$5&lt;&gt;"",--('POINTAGE'!BB288="Absent"),0),IF('POINTAGE'!$BD$5&lt;&gt;"",--('POINTAGE'!BD288="Absent"),0),IF('POINTAGE'!$BF$5&lt;&gt;"",--('POINTAGE'!BF288="Absent"),0),IF('POINTAGE'!$BH$5&lt;&gt;"",--('POINTAGE'!BH288="Absent"),0),IF('POINTAGE'!$BJ$5&lt;&gt;"",--('POINTAGE'!BJ288="Absent"),0),IF('POINTAGE'!$BL$5&lt;&gt;"",--('POINTAGE'!BL288="Absent"),0)))</f>
      </c>
      <c r="P288" s="23">
        <f>IF($A288="","",SUM(IF('POINTAGE'!$AH$5&lt;&gt;"",IF('POINTAGE'!AH288="Présent",'POINTAGE'!AI288,0),0),IF('POINTAGE'!$AJ$5&lt;&gt;"",IF('POINTAGE'!AJ288="Présent",'POINTAGE'!AK288,0),0),IF('POINTAGE'!$AL$5&lt;&gt;"",IF('POINTAGE'!AL288="Présent",'POINTAGE'!AM288,0),0),IF('POINTAGE'!$AN$5&lt;&gt;"",IF('POINTAGE'!AN288="Présent",'POINTAGE'!AO288,0),0),IF('POINTAGE'!$AP$5&lt;&gt;"",IF('POINTAGE'!AP288="Présent",'POINTAGE'!AQ288,0),0),IF('POINTAGE'!$AR$5&lt;&gt;"",IF('POINTAGE'!AR288="Présent",'POINTAGE'!AS288,0),0),IF('POINTAGE'!$AT$5&lt;&gt;"",IF('POINTAGE'!AT288="Présent",'POINTAGE'!AU288,0),0),IF('POINTAGE'!$AV$5&lt;&gt;"",IF('POINTAGE'!AV288="Présent",'POINTAGE'!AW288,0),0),IF('POINTAGE'!$AX$5&lt;&gt;"",IF('POINTAGE'!AX288="Présent",'POINTAGE'!AY288,0),0),IF('POINTAGE'!$AZ$5&lt;&gt;"",IF('POINTAGE'!AZ288="Présent",'POINTAGE'!BA288,0),0),IF('POINTAGE'!$BB$5&lt;&gt;"",IF('POINTAGE'!BB288="Présent",'POINTAGE'!BC288,0),0),IF('POINTAGE'!$BD$5&lt;&gt;"",IF('POINTAGE'!BD288="Présent",'POINTAGE'!BE288,0),0),IF('POINTAGE'!$BF$5&lt;&gt;"",IF('POINTAGE'!BF288="Présent",'POINTAGE'!BG288,0),0),IF('POINTAGE'!$BH$5&lt;&gt;"",IF('POINTAGE'!BH288="Présent",'POINTAGE'!BI288,0),0),IF('POINTAGE'!$BJ$5&lt;&gt;"",IF('POINTAGE'!BJ288="Présent",'POINTAGE'!BK288,0),0),IF('POINTAGE'!$BL$5&lt;&gt;"",IF('POINTAGE'!BL288="Présent",'POINTAGE'!BM288,0),0)))</f>
      </c>
      <c r="Q288" s="24">
        <f>IF($A288="","",$N288*$D288)</f>
      </c>
      <c r="R288" s="24">
        <f>IF($A288="","",$P288*$E288)</f>
      </c>
      <c r="S288" s="25">
        <f>IF($A288="","",$Q288+$R288)</f>
      </c>
      <c r="T288" s="18"/>
      <c r="U288" s="25">
        <f>IF($A288="","",MAX(0,$S288-$T288))</f>
      </c>
      <c r="V288" s="25">
        <f>IF($A288="","",$K288+$S288)</f>
      </c>
      <c r="W288" s="24">
        <f>IF($A288="","",$L288+$T288)</f>
      </c>
      <c r="X288" s="25">
        <f>IF($A288="","",$M288+$U288)</f>
      </c>
      <c r="Y288" s="29">
        <f>IF($A288="","",$J288+$R288)</f>
      </c>
    </row>
    <row r="289">
      <c r="A289" s="20">
        <f>IF('POINTAGE'!A289="","",'POINTAGE'!A289)</f>
      </c>
      <c r="B289" s="19">
        <f>IF($A289="","",'POINTAGE'!B289)</f>
      </c>
      <c r="C289" s="20">
        <f>IF($A289="","",'POINTAGE'!C289)</f>
      </c>
      <c r="D289" s="24">
        <f>IF($A289="","",IFERROR(INDEX(Categories_Salaire,MATCH($C289,ListeCategories,0)),0))</f>
      </c>
      <c r="E289" s="24">
        <f>IF($A289="","",IF(IFERROR(INDEX(Categories_TauxHS,MATCH($C289,ListeCategories,0)),0)&gt;0,IFERROR(INDEX(Categories_TauxHS,MATCH($C289,ListeCategories,0)),0),TauxHSDefaut))</f>
      </c>
      <c r="F289" s="22">
        <f>IF($A289="","",SUM(IF('POINTAGE'!$D$5&lt;&gt;"",--('POINTAGE'!D289="Présent"),0),IF('POINTAGE'!$F$5&lt;&gt;"",--('POINTAGE'!F289="Présent"),0),IF('POINTAGE'!$H$5&lt;&gt;"",--('POINTAGE'!H289="Présent"),0),IF('POINTAGE'!$J$5&lt;&gt;"",--('POINTAGE'!J289="Présent"),0),IF('POINTAGE'!$L$5&lt;&gt;"",--('POINTAGE'!L289="Présent"),0),IF('POINTAGE'!$N$5&lt;&gt;"",--('POINTAGE'!N289="Présent"),0),IF('POINTAGE'!$P$5&lt;&gt;"",--('POINTAGE'!P289="Présent"),0),IF('POINTAGE'!$R$5&lt;&gt;"",--('POINTAGE'!R289="Présent"),0),IF('POINTAGE'!$T$5&lt;&gt;"",--('POINTAGE'!T289="Présent"),0),IF('POINTAGE'!$V$5&lt;&gt;"",--('POINTAGE'!V289="Présent"),0),IF('POINTAGE'!$X$5&lt;&gt;"",--('POINTAGE'!X289="Présent"),0),IF('POINTAGE'!$Z$5&lt;&gt;"",--('POINTAGE'!Z289="Présent"),0),IF('POINTAGE'!$AB$5&lt;&gt;"",--('POINTAGE'!AB289="Présent"),0),IF('POINTAGE'!$AD$5&lt;&gt;"",--('POINTAGE'!AD289="Présent"),0),IF('POINTAGE'!$AF$5&lt;&gt;"",--('POINTAGE'!AF289="Présent"),0)))</f>
      </c>
      <c r="G289" s="22">
        <f>IF($A289="","",SUM(IF('POINTAGE'!$D$5&lt;&gt;"",--('POINTAGE'!D289="Absent"),0),IF('POINTAGE'!$F$5&lt;&gt;"",--('POINTAGE'!F289="Absent"),0),IF('POINTAGE'!$H$5&lt;&gt;"",--('POINTAGE'!H289="Absent"),0),IF('POINTAGE'!$J$5&lt;&gt;"",--('POINTAGE'!J289="Absent"),0),IF('POINTAGE'!$L$5&lt;&gt;"",--('POINTAGE'!L289="Absent"),0),IF('POINTAGE'!$N$5&lt;&gt;"",--('POINTAGE'!N289="Absent"),0),IF('POINTAGE'!$P$5&lt;&gt;"",--('POINTAGE'!P289="Absent"),0),IF('POINTAGE'!$R$5&lt;&gt;"",--('POINTAGE'!R289="Absent"),0),IF('POINTAGE'!$T$5&lt;&gt;"",--('POINTAGE'!T289="Absent"),0),IF('POINTAGE'!$V$5&lt;&gt;"",--('POINTAGE'!V289="Absent"),0),IF('POINTAGE'!$X$5&lt;&gt;"",--('POINTAGE'!X289="Absent"),0),IF('POINTAGE'!$Z$5&lt;&gt;"",--('POINTAGE'!Z289="Absent"),0),IF('POINTAGE'!$AB$5&lt;&gt;"",--('POINTAGE'!AB289="Absent"),0),IF('POINTAGE'!$AD$5&lt;&gt;"",--('POINTAGE'!AD289="Absent"),0),IF('POINTAGE'!$AF$5&lt;&gt;"",--('POINTAGE'!AF289="Absent"),0)))</f>
      </c>
      <c r="H289" s="23">
        <f>IF($A289="","",SUM(IF('POINTAGE'!$D$5&lt;&gt;"",IF('POINTAGE'!D289="Présent",'POINTAGE'!E289,0),0),IF('POINTAGE'!$F$5&lt;&gt;"",IF('POINTAGE'!F289="Présent",'POINTAGE'!G289,0),0),IF('POINTAGE'!$H$5&lt;&gt;"",IF('POINTAGE'!H289="Présent",'POINTAGE'!I289,0),0),IF('POINTAGE'!$J$5&lt;&gt;"",IF('POINTAGE'!J289="Présent",'POINTAGE'!K289,0),0),IF('POINTAGE'!$L$5&lt;&gt;"",IF('POINTAGE'!L289="Présent",'POINTAGE'!M289,0),0),IF('POINTAGE'!$N$5&lt;&gt;"",IF('POINTAGE'!N289="Présent",'POINTAGE'!O289,0),0),IF('POINTAGE'!$P$5&lt;&gt;"",IF('POINTAGE'!P289="Présent",'POINTAGE'!Q289,0),0),IF('POINTAGE'!$R$5&lt;&gt;"",IF('POINTAGE'!R289="Présent",'POINTAGE'!S289,0),0),IF('POINTAGE'!$T$5&lt;&gt;"",IF('POINTAGE'!T289="Présent",'POINTAGE'!U289,0),0),IF('POINTAGE'!$V$5&lt;&gt;"",IF('POINTAGE'!V289="Présent",'POINTAGE'!W289,0),0),IF('POINTAGE'!$X$5&lt;&gt;"",IF('POINTAGE'!X289="Présent",'POINTAGE'!Y289,0),0),IF('POINTAGE'!$Z$5&lt;&gt;"",IF('POINTAGE'!Z289="Présent",'POINTAGE'!AA289,0),0),IF('POINTAGE'!$AB$5&lt;&gt;"",IF('POINTAGE'!AB289="Présent",'POINTAGE'!AC289,0),0),IF('POINTAGE'!$AD$5&lt;&gt;"",IF('POINTAGE'!AD289="Présent",'POINTAGE'!AE289,0),0),IF('POINTAGE'!$AF$5&lt;&gt;"",IF('POINTAGE'!AF289="Présent",'POINTAGE'!AG289,0),0)))</f>
      </c>
      <c r="I289" s="24">
        <f>IF($A289="","",$F289*$D289)</f>
      </c>
      <c r="J289" s="24">
        <f>IF($A289="","",$H289*$E289)</f>
      </c>
      <c r="K289" s="25">
        <f>IF($A289="","",$I289+$J289)</f>
      </c>
      <c r="L289" s="18"/>
      <c r="M289" s="25">
        <f>IF($A289="","",MAX(0,$K289-$L289))</f>
      </c>
      <c r="N289" s="22">
        <f>IF($A289="","",SUM(IF('POINTAGE'!$AH$5&lt;&gt;"",--('POINTAGE'!AH289="Présent"),0),IF('POINTAGE'!$AJ$5&lt;&gt;"",--('POINTAGE'!AJ289="Présent"),0),IF('POINTAGE'!$AL$5&lt;&gt;"",--('POINTAGE'!AL289="Présent"),0),IF('POINTAGE'!$AN$5&lt;&gt;"",--('POINTAGE'!AN289="Présent"),0),IF('POINTAGE'!$AP$5&lt;&gt;"",--('POINTAGE'!AP289="Présent"),0),IF('POINTAGE'!$AR$5&lt;&gt;"",--('POINTAGE'!AR289="Présent"),0),IF('POINTAGE'!$AT$5&lt;&gt;"",--('POINTAGE'!AT289="Présent"),0),IF('POINTAGE'!$AV$5&lt;&gt;"",--('POINTAGE'!AV289="Présent"),0),IF('POINTAGE'!$AX$5&lt;&gt;"",--('POINTAGE'!AX289="Présent"),0),IF('POINTAGE'!$AZ$5&lt;&gt;"",--('POINTAGE'!AZ289="Présent"),0),IF('POINTAGE'!$BB$5&lt;&gt;"",--('POINTAGE'!BB289="Présent"),0),IF('POINTAGE'!$BD$5&lt;&gt;"",--('POINTAGE'!BD289="Présent"),0),IF('POINTAGE'!$BF$5&lt;&gt;"",--('POINTAGE'!BF289="Présent"),0),IF('POINTAGE'!$BH$5&lt;&gt;"",--('POINTAGE'!BH289="Présent"),0),IF('POINTAGE'!$BJ$5&lt;&gt;"",--('POINTAGE'!BJ289="Présent"),0),IF('POINTAGE'!$BL$5&lt;&gt;"",--('POINTAGE'!BL289="Présent"),0)))</f>
      </c>
      <c r="O289" s="22">
        <f>IF($A289="","",SUM(IF('POINTAGE'!$AH$5&lt;&gt;"",--('POINTAGE'!AH289="Absent"),0),IF('POINTAGE'!$AJ$5&lt;&gt;"",--('POINTAGE'!AJ289="Absent"),0),IF('POINTAGE'!$AL$5&lt;&gt;"",--('POINTAGE'!AL289="Absent"),0),IF('POINTAGE'!$AN$5&lt;&gt;"",--('POINTAGE'!AN289="Absent"),0),IF('POINTAGE'!$AP$5&lt;&gt;"",--('POINTAGE'!AP289="Absent"),0),IF('POINTAGE'!$AR$5&lt;&gt;"",--('POINTAGE'!AR289="Absent"),0),IF('POINTAGE'!$AT$5&lt;&gt;"",--('POINTAGE'!AT289="Absent"),0),IF('POINTAGE'!$AV$5&lt;&gt;"",--('POINTAGE'!AV289="Absent"),0),IF('POINTAGE'!$AX$5&lt;&gt;"",--('POINTAGE'!AX289="Absent"),0),IF('POINTAGE'!$AZ$5&lt;&gt;"",--('POINTAGE'!AZ289="Absent"),0),IF('POINTAGE'!$BB$5&lt;&gt;"",--('POINTAGE'!BB289="Absent"),0),IF('POINTAGE'!$BD$5&lt;&gt;"",--('POINTAGE'!BD289="Absent"),0),IF('POINTAGE'!$BF$5&lt;&gt;"",--('POINTAGE'!BF289="Absent"),0),IF('POINTAGE'!$BH$5&lt;&gt;"",--('POINTAGE'!BH289="Absent"),0),IF('POINTAGE'!$BJ$5&lt;&gt;"",--('POINTAGE'!BJ289="Absent"),0),IF('POINTAGE'!$BL$5&lt;&gt;"",--('POINTAGE'!BL289="Absent"),0)))</f>
      </c>
      <c r="P289" s="23">
        <f>IF($A289="","",SUM(IF('POINTAGE'!$AH$5&lt;&gt;"",IF('POINTAGE'!AH289="Présent",'POINTAGE'!AI289,0),0),IF('POINTAGE'!$AJ$5&lt;&gt;"",IF('POINTAGE'!AJ289="Présent",'POINTAGE'!AK289,0),0),IF('POINTAGE'!$AL$5&lt;&gt;"",IF('POINTAGE'!AL289="Présent",'POINTAGE'!AM289,0),0),IF('POINTAGE'!$AN$5&lt;&gt;"",IF('POINTAGE'!AN289="Présent",'POINTAGE'!AO289,0),0),IF('POINTAGE'!$AP$5&lt;&gt;"",IF('POINTAGE'!AP289="Présent",'POINTAGE'!AQ289,0),0),IF('POINTAGE'!$AR$5&lt;&gt;"",IF('POINTAGE'!AR289="Présent",'POINTAGE'!AS289,0),0),IF('POINTAGE'!$AT$5&lt;&gt;"",IF('POINTAGE'!AT289="Présent",'POINTAGE'!AU289,0),0),IF('POINTAGE'!$AV$5&lt;&gt;"",IF('POINTAGE'!AV289="Présent",'POINTAGE'!AW289,0),0),IF('POINTAGE'!$AX$5&lt;&gt;"",IF('POINTAGE'!AX289="Présent",'POINTAGE'!AY289,0),0),IF('POINTAGE'!$AZ$5&lt;&gt;"",IF('POINTAGE'!AZ289="Présent",'POINTAGE'!BA289,0),0),IF('POINTAGE'!$BB$5&lt;&gt;"",IF('POINTAGE'!BB289="Présent",'POINTAGE'!BC289,0),0),IF('POINTAGE'!$BD$5&lt;&gt;"",IF('POINTAGE'!BD289="Présent",'POINTAGE'!BE289,0),0),IF('POINTAGE'!$BF$5&lt;&gt;"",IF('POINTAGE'!BF289="Présent",'POINTAGE'!BG289,0),0),IF('POINTAGE'!$BH$5&lt;&gt;"",IF('POINTAGE'!BH289="Présent",'POINTAGE'!BI289,0),0),IF('POINTAGE'!$BJ$5&lt;&gt;"",IF('POINTAGE'!BJ289="Présent",'POINTAGE'!BK289,0),0),IF('POINTAGE'!$BL$5&lt;&gt;"",IF('POINTAGE'!BL289="Présent",'POINTAGE'!BM289,0),0)))</f>
      </c>
      <c r="Q289" s="24">
        <f>IF($A289="","",$N289*$D289)</f>
      </c>
      <c r="R289" s="24">
        <f>IF($A289="","",$P289*$E289)</f>
      </c>
      <c r="S289" s="25">
        <f>IF($A289="","",$Q289+$R289)</f>
      </c>
      <c r="T289" s="18"/>
      <c r="U289" s="25">
        <f>IF($A289="","",MAX(0,$S289-$T289))</f>
      </c>
      <c r="V289" s="25">
        <f>IF($A289="","",$K289+$S289)</f>
      </c>
      <c r="W289" s="24">
        <f>IF($A289="","",$L289+$T289)</f>
      </c>
      <c r="X289" s="25">
        <f>IF($A289="","",$M289+$U289)</f>
      </c>
      <c r="Y289" s="29">
        <f>IF($A289="","",$J289+$R289)</f>
      </c>
    </row>
    <row r="290">
      <c r="A290" s="20">
        <f>IF('POINTAGE'!A290="","",'POINTAGE'!A290)</f>
      </c>
      <c r="B290" s="19">
        <f>IF($A290="","",'POINTAGE'!B290)</f>
      </c>
      <c r="C290" s="20">
        <f>IF($A290="","",'POINTAGE'!C290)</f>
      </c>
      <c r="D290" s="24">
        <f>IF($A290="","",IFERROR(INDEX(Categories_Salaire,MATCH($C290,ListeCategories,0)),0))</f>
      </c>
      <c r="E290" s="24">
        <f>IF($A290="","",IF(IFERROR(INDEX(Categories_TauxHS,MATCH($C290,ListeCategories,0)),0)&gt;0,IFERROR(INDEX(Categories_TauxHS,MATCH($C290,ListeCategories,0)),0),TauxHSDefaut))</f>
      </c>
      <c r="F290" s="22">
        <f>IF($A290="","",SUM(IF('POINTAGE'!$D$5&lt;&gt;"",--('POINTAGE'!D290="Présent"),0),IF('POINTAGE'!$F$5&lt;&gt;"",--('POINTAGE'!F290="Présent"),0),IF('POINTAGE'!$H$5&lt;&gt;"",--('POINTAGE'!H290="Présent"),0),IF('POINTAGE'!$J$5&lt;&gt;"",--('POINTAGE'!J290="Présent"),0),IF('POINTAGE'!$L$5&lt;&gt;"",--('POINTAGE'!L290="Présent"),0),IF('POINTAGE'!$N$5&lt;&gt;"",--('POINTAGE'!N290="Présent"),0),IF('POINTAGE'!$P$5&lt;&gt;"",--('POINTAGE'!P290="Présent"),0),IF('POINTAGE'!$R$5&lt;&gt;"",--('POINTAGE'!R290="Présent"),0),IF('POINTAGE'!$T$5&lt;&gt;"",--('POINTAGE'!T290="Présent"),0),IF('POINTAGE'!$V$5&lt;&gt;"",--('POINTAGE'!V290="Présent"),0),IF('POINTAGE'!$X$5&lt;&gt;"",--('POINTAGE'!X290="Présent"),0),IF('POINTAGE'!$Z$5&lt;&gt;"",--('POINTAGE'!Z290="Présent"),0),IF('POINTAGE'!$AB$5&lt;&gt;"",--('POINTAGE'!AB290="Présent"),0),IF('POINTAGE'!$AD$5&lt;&gt;"",--('POINTAGE'!AD290="Présent"),0),IF('POINTAGE'!$AF$5&lt;&gt;"",--('POINTAGE'!AF290="Présent"),0)))</f>
      </c>
      <c r="G290" s="22">
        <f>IF($A290="","",SUM(IF('POINTAGE'!$D$5&lt;&gt;"",--('POINTAGE'!D290="Absent"),0),IF('POINTAGE'!$F$5&lt;&gt;"",--('POINTAGE'!F290="Absent"),0),IF('POINTAGE'!$H$5&lt;&gt;"",--('POINTAGE'!H290="Absent"),0),IF('POINTAGE'!$J$5&lt;&gt;"",--('POINTAGE'!J290="Absent"),0),IF('POINTAGE'!$L$5&lt;&gt;"",--('POINTAGE'!L290="Absent"),0),IF('POINTAGE'!$N$5&lt;&gt;"",--('POINTAGE'!N290="Absent"),0),IF('POINTAGE'!$P$5&lt;&gt;"",--('POINTAGE'!P290="Absent"),0),IF('POINTAGE'!$R$5&lt;&gt;"",--('POINTAGE'!R290="Absent"),0),IF('POINTAGE'!$T$5&lt;&gt;"",--('POINTAGE'!T290="Absent"),0),IF('POINTAGE'!$V$5&lt;&gt;"",--('POINTAGE'!V290="Absent"),0),IF('POINTAGE'!$X$5&lt;&gt;"",--('POINTAGE'!X290="Absent"),0),IF('POINTAGE'!$Z$5&lt;&gt;"",--('POINTAGE'!Z290="Absent"),0),IF('POINTAGE'!$AB$5&lt;&gt;"",--('POINTAGE'!AB290="Absent"),0),IF('POINTAGE'!$AD$5&lt;&gt;"",--('POINTAGE'!AD290="Absent"),0),IF('POINTAGE'!$AF$5&lt;&gt;"",--('POINTAGE'!AF290="Absent"),0)))</f>
      </c>
      <c r="H290" s="23">
        <f>IF($A290="","",SUM(IF('POINTAGE'!$D$5&lt;&gt;"",IF('POINTAGE'!D290="Présent",'POINTAGE'!E290,0),0),IF('POINTAGE'!$F$5&lt;&gt;"",IF('POINTAGE'!F290="Présent",'POINTAGE'!G290,0),0),IF('POINTAGE'!$H$5&lt;&gt;"",IF('POINTAGE'!H290="Présent",'POINTAGE'!I290,0),0),IF('POINTAGE'!$J$5&lt;&gt;"",IF('POINTAGE'!J290="Présent",'POINTAGE'!K290,0),0),IF('POINTAGE'!$L$5&lt;&gt;"",IF('POINTAGE'!L290="Présent",'POINTAGE'!M290,0),0),IF('POINTAGE'!$N$5&lt;&gt;"",IF('POINTAGE'!N290="Présent",'POINTAGE'!O290,0),0),IF('POINTAGE'!$P$5&lt;&gt;"",IF('POINTAGE'!P290="Présent",'POINTAGE'!Q290,0),0),IF('POINTAGE'!$R$5&lt;&gt;"",IF('POINTAGE'!R290="Présent",'POINTAGE'!S290,0),0),IF('POINTAGE'!$T$5&lt;&gt;"",IF('POINTAGE'!T290="Présent",'POINTAGE'!U290,0),0),IF('POINTAGE'!$V$5&lt;&gt;"",IF('POINTAGE'!V290="Présent",'POINTAGE'!W290,0),0),IF('POINTAGE'!$X$5&lt;&gt;"",IF('POINTAGE'!X290="Présent",'POINTAGE'!Y290,0),0),IF('POINTAGE'!$Z$5&lt;&gt;"",IF('POINTAGE'!Z290="Présent",'POINTAGE'!AA290,0),0),IF('POINTAGE'!$AB$5&lt;&gt;"",IF('POINTAGE'!AB290="Présent",'POINTAGE'!AC290,0),0),IF('POINTAGE'!$AD$5&lt;&gt;"",IF('POINTAGE'!AD290="Présent",'POINTAGE'!AE290,0),0),IF('POINTAGE'!$AF$5&lt;&gt;"",IF('POINTAGE'!AF290="Présent",'POINTAGE'!AG290,0),0)))</f>
      </c>
      <c r="I290" s="24">
        <f>IF($A290="","",$F290*$D290)</f>
      </c>
      <c r="J290" s="24">
        <f>IF($A290="","",$H290*$E290)</f>
      </c>
      <c r="K290" s="25">
        <f>IF($A290="","",$I290+$J290)</f>
      </c>
      <c r="L290" s="18"/>
      <c r="M290" s="25">
        <f>IF($A290="","",MAX(0,$K290-$L290))</f>
      </c>
      <c r="N290" s="22">
        <f>IF($A290="","",SUM(IF('POINTAGE'!$AH$5&lt;&gt;"",--('POINTAGE'!AH290="Présent"),0),IF('POINTAGE'!$AJ$5&lt;&gt;"",--('POINTAGE'!AJ290="Présent"),0),IF('POINTAGE'!$AL$5&lt;&gt;"",--('POINTAGE'!AL290="Présent"),0),IF('POINTAGE'!$AN$5&lt;&gt;"",--('POINTAGE'!AN290="Présent"),0),IF('POINTAGE'!$AP$5&lt;&gt;"",--('POINTAGE'!AP290="Présent"),0),IF('POINTAGE'!$AR$5&lt;&gt;"",--('POINTAGE'!AR290="Présent"),0),IF('POINTAGE'!$AT$5&lt;&gt;"",--('POINTAGE'!AT290="Présent"),0),IF('POINTAGE'!$AV$5&lt;&gt;"",--('POINTAGE'!AV290="Présent"),0),IF('POINTAGE'!$AX$5&lt;&gt;"",--('POINTAGE'!AX290="Présent"),0),IF('POINTAGE'!$AZ$5&lt;&gt;"",--('POINTAGE'!AZ290="Présent"),0),IF('POINTAGE'!$BB$5&lt;&gt;"",--('POINTAGE'!BB290="Présent"),0),IF('POINTAGE'!$BD$5&lt;&gt;"",--('POINTAGE'!BD290="Présent"),0),IF('POINTAGE'!$BF$5&lt;&gt;"",--('POINTAGE'!BF290="Présent"),0),IF('POINTAGE'!$BH$5&lt;&gt;"",--('POINTAGE'!BH290="Présent"),0),IF('POINTAGE'!$BJ$5&lt;&gt;"",--('POINTAGE'!BJ290="Présent"),0),IF('POINTAGE'!$BL$5&lt;&gt;"",--('POINTAGE'!BL290="Présent"),0)))</f>
      </c>
      <c r="O290" s="22">
        <f>IF($A290="","",SUM(IF('POINTAGE'!$AH$5&lt;&gt;"",--('POINTAGE'!AH290="Absent"),0),IF('POINTAGE'!$AJ$5&lt;&gt;"",--('POINTAGE'!AJ290="Absent"),0),IF('POINTAGE'!$AL$5&lt;&gt;"",--('POINTAGE'!AL290="Absent"),0),IF('POINTAGE'!$AN$5&lt;&gt;"",--('POINTAGE'!AN290="Absent"),0),IF('POINTAGE'!$AP$5&lt;&gt;"",--('POINTAGE'!AP290="Absent"),0),IF('POINTAGE'!$AR$5&lt;&gt;"",--('POINTAGE'!AR290="Absent"),0),IF('POINTAGE'!$AT$5&lt;&gt;"",--('POINTAGE'!AT290="Absent"),0),IF('POINTAGE'!$AV$5&lt;&gt;"",--('POINTAGE'!AV290="Absent"),0),IF('POINTAGE'!$AX$5&lt;&gt;"",--('POINTAGE'!AX290="Absent"),0),IF('POINTAGE'!$AZ$5&lt;&gt;"",--('POINTAGE'!AZ290="Absent"),0),IF('POINTAGE'!$BB$5&lt;&gt;"",--('POINTAGE'!BB290="Absent"),0),IF('POINTAGE'!$BD$5&lt;&gt;"",--('POINTAGE'!BD290="Absent"),0),IF('POINTAGE'!$BF$5&lt;&gt;"",--('POINTAGE'!BF290="Absent"),0),IF('POINTAGE'!$BH$5&lt;&gt;"",--('POINTAGE'!BH290="Absent"),0),IF('POINTAGE'!$BJ$5&lt;&gt;"",--('POINTAGE'!BJ290="Absent"),0),IF('POINTAGE'!$BL$5&lt;&gt;"",--('POINTAGE'!BL290="Absent"),0)))</f>
      </c>
      <c r="P290" s="23">
        <f>IF($A290="","",SUM(IF('POINTAGE'!$AH$5&lt;&gt;"",IF('POINTAGE'!AH290="Présent",'POINTAGE'!AI290,0),0),IF('POINTAGE'!$AJ$5&lt;&gt;"",IF('POINTAGE'!AJ290="Présent",'POINTAGE'!AK290,0),0),IF('POINTAGE'!$AL$5&lt;&gt;"",IF('POINTAGE'!AL290="Présent",'POINTAGE'!AM290,0),0),IF('POINTAGE'!$AN$5&lt;&gt;"",IF('POINTAGE'!AN290="Présent",'POINTAGE'!AO290,0),0),IF('POINTAGE'!$AP$5&lt;&gt;"",IF('POINTAGE'!AP290="Présent",'POINTAGE'!AQ290,0),0),IF('POINTAGE'!$AR$5&lt;&gt;"",IF('POINTAGE'!AR290="Présent",'POINTAGE'!AS290,0),0),IF('POINTAGE'!$AT$5&lt;&gt;"",IF('POINTAGE'!AT290="Présent",'POINTAGE'!AU290,0),0),IF('POINTAGE'!$AV$5&lt;&gt;"",IF('POINTAGE'!AV290="Présent",'POINTAGE'!AW290,0),0),IF('POINTAGE'!$AX$5&lt;&gt;"",IF('POINTAGE'!AX290="Présent",'POINTAGE'!AY290,0),0),IF('POINTAGE'!$AZ$5&lt;&gt;"",IF('POINTAGE'!AZ290="Présent",'POINTAGE'!BA290,0),0),IF('POINTAGE'!$BB$5&lt;&gt;"",IF('POINTAGE'!BB290="Présent",'POINTAGE'!BC290,0),0),IF('POINTAGE'!$BD$5&lt;&gt;"",IF('POINTAGE'!BD290="Présent",'POINTAGE'!BE290,0),0),IF('POINTAGE'!$BF$5&lt;&gt;"",IF('POINTAGE'!BF290="Présent",'POINTAGE'!BG290,0),0),IF('POINTAGE'!$BH$5&lt;&gt;"",IF('POINTAGE'!BH290="Présent",'POINTAGE'!BI290,0),0),IF('POINTAGE'!$BJ$5&lt;&gt;"",IF('POINTAGE'!BJ290="Présent",'POINTAGE'!BK290,0),0),IF('POINTAGE'!$BL$5&lt;&gt;"",IF('POINTAGE'!BL290="Présent",'POINTAGE'!BM290,0),0)))</f>
      </c>
      <c r="Q290" s="24">
        <f>IF($A290="","",$N290*$D290)</f>
      </c>
      <c r="R290" s="24">
        <f>IF($A290="","",$P290*$E290)</f>
      </c>
      <c r="S290" s="25">
        <f>IF($A290="","",$Q290+$R290)</f>
      </c>
      <c r="T290" s="18"/>
      <c r="U290" s="25">
        <f>IF($A290="","",MAX(0,$S290-$T290))</f>
      </c>
      <c r="V290" s="25">
        <f>IF($A290="","",$K290+$S290)</f>
      </c>
      <c r="W290" s="24">
        <f>IF($A290="","",$L290+$T290)</f>
      </c>
      <c r="X290" s="25">
        <f>IF($A290="","",$M290+$U290)</f>
      </c>
      <c r="Y290" s="29">
        <f>IF($A290="","",$J290+$R290)</f>
      </c>
    </row>
    <row r="291">
      <c r="A291" s="20">
        <f>IF('POINTAGE'!A291="","",'POINTAGE'!A291)</f>
      </c>
      <c r="B291" s="19">
        <f>IF($A291="","",'POINTAGE'!B291)</f>
      </c>
      <c r="C291" s="20">
        <f>IF($A291="","",'POINTAGE'!C291)</f>
      </c>
      <c r="D291" s="24">
        <f>IF($A291="","",IFERROR(INDEX(Categories_Salaire,MATCH($C291,ListeCategories,0)),0))</f>
      </c>
      <c r="E291" s="24">
        <f>IF($A291="","",IF(IFERROR(INDEX(Categories_TauxHS,MATCH($C291,ListeCategories,0)),0)&gt;0,IFERROR(INDEX(Categories_TauxHS,MATCH($C291,ListeCategories,0)),0),TauxHSDefaut))</f>
      </c>
      <c r="F291" s="22">
        <f>IF($A291="","",SUM(IF('POINTAGE'!$D$5&lt;&gt;"",--('POINTAGE'!D291="Présent"),0),IF('POINTAGE'!$F$5&lt;&gt;"",--('POINTAGE'!F291="Présent"),0),IF('POINTAGE'!$H$5&lt;&gt;"",--('POINTAGE'!H291="Présent"),0),IF('POINTAGE'!$J$5&lt;&gt;"",--('POINTAGE'!J291="Présent"),0),IF('POINTAGE'!$L$5&lt;&gt;"",--('POINTAGE'!L291="Présent"),0),IF('POINTAGE'!$N$5&lt;&gt;"",--('POINTAGE'!N291="Présent"),0),IF('POINTAGE'!$P$5&lt;&gt;"",--('POINTAGE'!P291="Présent"),0),IF('POINTAGE'!$R$5&lt;&gt;"",--('POINTAGE'!R291="Présent"),0),IF('POINTAGE'!$T$5&lt;&gt;"",--('POINTAGE'!T291="Présent"),0),IF('POINTAGE'!$V$5&lt;&gt;"",--('POINTAGE'!V291="Présent"),0),IF('POINTAGE'!$X$5&lt;&gt;"",--('POINTAGE'!X291="Présent"),0),IF('POINTAGE'!$Z$5&lt;&gt;"",--('POINTAGE'!Z291="Présent"),0),IF('POINTAGE'!$AB$5&lt;&gt;"",--('POINTAGE'!AB291="Présent"),0),IF('POINTAGE'!$AD$5&lt;&gt;"",--('POINTAGE'!AD291="Présent"),0),IF('POINTAGE'!$AF$5&lt;&gt;"",--('POINTAGE'!AF291="Présent"),0)))</f>
      </c>
      <c r="G291" s="22">
        <f>IF($A291="","",SUM(IF('POINTAGE'!$D$5&lt;&gt;"",--('POINTAGE'!D291="Absent"),0),IF('POINTAGE'!$F$5&lt;&gt;"",--('POINTAGE'!F291="Absent"),0),IF('POINTAGE'!$H$5&lt;&gt;"",--('POINTAGE'!H291="Absent"),0),IF('POINTAGE'!$J$5&lt;&gt;"",--('POINTAGE'!J291="Absent"),0),IF('POINTAGE'!$L$5&lt;&gt;"",--('POINTAGE'!L291="Absent"),0),IF('POINTAGE'!$N$5&lt;&gt;"",--('POINTAGE'!N291="Absent"),0),IF('POINTAGE'!$P$5&lt;&gt;"",--('POINTAGE'!P291="Absent"),0),IF('POINTAGE'!$R$5&lt;&gt;"",--('POINTAGE'!R291="Absent"),0),IF('POINTAGE'!$T$5&lt;&gt;"",--('POINTAGE'!T291="Absent"),0),IF('POINTAGE'!$V$5&lt;&gt;"",--('POINTAGE'!V291="Absent"),0),IF('POINTAGE'!$X$5&lt;&gt;"",--('POINTAGE'!X291="Absent"),0),IF('POINTAGE'!$Z$5&lt;&gt;"",--('POINTAGE'!Z291="Absent"),0),IF('POINTAGE'!$AB$5&lt;&gt;"",--('POINTAGE'!AB291="Absent"),0),IF('POINTAGE'!$AD$5&lt;&gt;"",--('POINTAGE'!AD291="Absent"),0),IF('POINTAGE'!$AF$5&lt;&gt;"",--('POINTAGE'!AF291="Absent"),0)))</f>
      </c>
      <c r="H291" s="23">
        <f>IF($A291="","",SUM(IF('POINTAGE'!$D$5&lt;&gt;"",IF('POINTAGE'!D291="Présent",'POINTAGE'!E291,0),0),IF('POINTAGE'!$F$5&lt;&gt;"",IF('POINTAGE'!F291="Présent",'POINTAGE'!G291,0),0),IF('POINTAGE'!$H$5&lt;&gt;"",IF('POINTAGE'!H291="Présent",'POINTAGE'!I291,0),0),IF('POINTAGE'!$J$5&lt;&gt;"",IF('POINTAGE'!J291="Présent",'POINTAGE'!K291,0),0),IF('POINTAGE'!$L$5&lt;&gt;"",IF('POINTAGE'!L291="Présent",'POINTAGE'!M291,0),0),IF('POINTAGE'!$N$5&lt;&gt;"",IF('POINTAGE'!N291="Présent",'POINTAGE'!O291,0),0),IF('POINTAGE'!$P$5&lt;&gt;"",IF('POINTAGE'!P291="Présent",'POINTAGE'!Q291,0),0),IF('POINTAGE'!$R$5&lt;&gt;"",IF('POINTAGE'!R291="Présent",'POINTAGE'!S291,0),0),IF('POINTAGE'!$T$5&lt;&gt;"",IF('POINTAGE'!T291="Présent",'POINTAGE'!U291,0),0),IF('POINTAGE'!$V$5&lt;&gt;"",IF('POINTAGE'!V291="Présent",'POINTAGE'!W291,0),0),IF('POINTAGE'!$X$5&lt;&gt;"",IF('POINTAGE'!X291="Présent",'POINTAGE'!Y291,0),0),IF('POINTAGE'!$Z$5&lt;&gt;"",IF('POINTAGE'!Z291="Présent",'POINTAGE'!AA291,0),0),IF('POINTAGE'!$AB$5&lt;&gt;"",IF('POINTAGE'!AB291="Présent",'POINTAGE'!AC291,0),0),IF('POINTAGE'!$AD$5&lt;&gt;"",IF('POINTAGE'!AD291="Présent",'POINTAGE'!AE291,0),0),IF('POINTAGE'!$AF$5&lt;&gt;"",IF('POINTAGE'!AF291="Présent",'POINTAGE'!AG291,0),0)))</f>
      </c>
      <c r="I291" s="24">
        <f>IF($A291="","",$F291*$D291)</f>
      </c>
      <c r="J291" s="24">
        <f>IF($A291="","",$H291*$E291)</f>
      </c>
      <c r="K291" s="25">
        <f>IF($A291="","",$I291+$J291)</f>
      </c>
      <c r="L291" s="18"/>
      <c r="M291" s="25">
        <f>IF($A291="","",MAX(0,$K291-$L291))</f>
      </c>
      <c r="N291" s="22">
        <f>IF($A291="","",SUM(IF('POINTAGE'!$AH$5&lt;&gt;"",--('POINTAGE'!AH291="Présent"),0),IF('POINTAGE'!$AJ$5&lt;&gt;"",--('POINTAGE'!AJ291="Présent"),0),IF('POINTAGE'!$AL$5&lt;&gt;"",--('POINTAGE'!AL291="Présent"),0),IF('POINTAGE'!$AN$5&lt;&gt;"",--('POINTAGE'!AN291="Présent"),0),IF('POINTAGE'!$AP$5&lt;&gt;"",--('POINTAGE'!AP291="Présent"),0),IF('POINTAGE'!$AR$5&lt;&gt;"",--('POINTAGE'!AR291="Présent"),0),IF('POINTAGE'!$AT$5&lt;&gt;"",--('POINTAGE'!AT291="Présent"),0),IF('POINTAGE'!$AV$5&lt;&gt;"",--('POINTAGE'!AV291="Présent"),0),IF('POINTAGE'!$AX$5&lt;&gt;"",--('POINTAGE'!AX291="Présent"),0),IF('POINTAGE'!$AZ$5&lt;&gt;"",--('POINTAGE'!AZ291="Présent"),0),IF('POINTAGE'!$BB$5&lt;&gt;"",--('POINTAGE'!BB291="Présent"),0),IF('POINTAGE'!$BD$5&lt;&gt;"",--('POINTAGE'!BD291="Présent"),0),IF('POINTAGE'!$BF$5&lt;&gt;"",--('POINTAGE'!BF291="Présent"),0),IF('POINTAGE'!$BH$5&lt;&gt;"",--('POINTAGE'!BH291="Présent"),0),IF('POINTAGE'!$BJ$5&lt;&gt;"",--('POINTAGE'!BJ291="Présent"),0),IF('POINTAGE'!$BL$5&lt;&gt;"",--('POINTAGE'!BL291="Présent"),0)))</f>
      </c>
      <c r="O291" s="22">
        <f>IF($A291="","",SUM(IF('POINTAGE'!$AH$5&lt;&gt;"",--('POINTAGE'!AH291="Absent"),0),IF('POINTAGE'!$AJ$5&lt;&gt;"",--('POINTAGE'!AJ291="Absent"),0),IF('POINTAGE'!$AL$5&lt;&gt;"",--('POINTAGE'!AL291="Absent"),0),IF('POINTAGE'!$AN$5&lt;&gt;"",--('POINTAGE'!AN291="Absent"),0),IF('POINTAGE'!$AP$5&lt;&gt;"",--('POINTAGE'!AP291="Absent"),0),IF('POINTAGE'!$AR$5&lt;&gt;"",--('POINTAGE'!AR291="Absent"),0),IF('POINTAGE'!$AT$5&lt;&gt;"",--('POINTAGE'!AT291="Absent"),0),IF('POINTAGE'!$AV$5&lt;&gt;"",--('POINTAGE'!AV291="Absent"),0),IF('POINTAGE'!$AX$5&lt;&gt;"",--('POINTAGE'!AX291="Absent"),0),IF('POINTAGE'!$AZ$5&lt;&gt;"",--('POINTAGE'!AZ291="Absent"),0),IF('POINTAGE'!$BB$5&lt;&gt;"",--('POINTAGE'!BB291="Absent"),0),IF('POINTAGE'!$BD$5&lt;&gt;"",--('POINTAGE'!BD291="Absent"),0),IF('POINTAGE'!$BF$5&lt;&gt;"",--('POINTAGE'!BF291="Absent"),0),IF('POINTAGE'!$BH$5&lt;&gt;"",--('POINTAGE'!BH291="Absent"),0),IF('POINTAGE'!$BJ$5&lt;&gt;"",--('POINTAGE'!BJ291="Absent"),0),IF('POINTAGE'!$BL$5&lt;&gt;"",--('POINTAGE'!BL291="Absent"),0)))</f>
      </c>
      <c r="P291" s="23">
        <f>IF($A291="","",SUM(IF('POINTAGE'!$AH$5&lt;&gt;"",IF('POINTAGE'!AH291="Présent",'POINTAGE'!AI291,0),0),IF('POINTAGE'!$AJ$5&lt;&gt;"",IF('POINTAGE'!AJ291="Présent",'POINTAGE'!AK291,0),0),IF('POINTAGE'!$AL$5&lt;&gt;"",IF('POINTAGE'!AL291="Présent",'POINTAGE'!AM291,0),0),IF('POINTAGE'!$AN$5&lt;&gt;"",IF('POINTAGE'!AN291="Présent",'POINTAGE'!AO291,0),0),IF('POINTAGE'!$AP$5&lt;&gt;"",IF('POINTAGE'!AP291="Présent",'POINTAGE'!AQ291,0),0),IF('POINTAGE'!$AR$5&lt;&gt;"",IF('POINTAGE'!AR291="Présent",'POINTAGE'!AS291,0),0),IF('POINTAGE'!$AT$5&lt;&gt;"",IF('POINTAGE'!AT291="Présent",'POINTAGE'!AU291,0),0),IF('POINTAGE'!$AV$5&lt;&gt;"",IF('POINTAGE'!AV291="Présent",'POINTAGE'!AW291,0),0),IF('POINTAGE'!$AX$5&lt;&gt;"",IF('POINTAGE'!AX291="Présent",'POINTAGE'!AY291,0),0),IF('POINTAGE'!$AZ$5&lt;&gt;"",IF('POINTAGE'!AZ291="Présent",'POINTAGE'!BA291,0),0),IF('POINTAGE'!$BB$5&lt;&gt;"",IF('POINTAGE'!BB291="Présent",'POINTAGE'!BC291,0),0),IF('POINTAGE'!$BD$5&lt;&gt;"",IF('POINTAGE'!BD291="Présent",'POINTAGE'!BE291,0),0),IF('POINTAGE'!$BF$5&lt;&gt;"",IF('POINTAGE'!BF291="Présent",'POINTAGE'!BG291,0),0),IF('POINTAGE'!$BH$5&lt;&gt;"",IF('POINTAGE'!BH291="Présent",'POINTAGE'!BI291,0),0),IF('POINTAGE'!$BJ$5&lt;&gt;"",IF('POINTAGE'!BJ291="Présent",'POINTAGE'!BK291,0),0),IF('POINTAGE'!$BL$5&lt;&gt;"",IF('POINTAGE'!BL291="Présent",'POINTAGE'!BM291,0),0)))</f>
      </c>
      <c r="Q291" s="24">
        <f>IF($A291="","",$N291*$D291)</f>
      </c>
      <c r="R291" s="24">
        <f>IF($A291="","",$P291*$E291)</f>
      </c>
      <c r="S291" s="25">
        <f>IF($A291="","",$Q291+$R291)</f>
      </c>
      <c r="T291" s="18"/>
      <c r="U291" s="25">
        <f>IF($A291="","",MAX(0,$S291-$T291))</f>
      </c>
      <c r="V291" s="25">
        <f>IF($A291="","",$K291+$S291)</f>
      </c>
      <c r="W291" s="24">
        <f>IF($A291="","",$L291+$T291)</f>
      </c>
      <c r="X291" s="25">
        <f>IF($A291="","",$M291+$U291)</f>
      </c>
      <c r="Y291" s="29">
        <f>IF($A291="","",$J291+$R291)</f>
      </c>
    </row>
    <row r="292">
      <c r="A292" s="20">
        <f>IF('POINTAGE'!A292="","",'POINTAGE'!A292)</f>
      </c>
      <c r="B292" s="19">
        <f>IF($A292="","",'POINTAGE'!B292)</f>
      </c>
      <c r="C292" s="20">
        <f>IF($A292="","",'POINTAGE'!C292)</f>
      </c>
      <c r="D292" s="24">
        <f>IF($A292="","",IFERROR(INDEX(Categories_Salaire,MATCH($C292,ListeCategories,0)),0))</f>
      </c>
      <c r="E292" s="24">
        <f>IF($A292="","",IF(IFERROR(INDEX(Categories_TauxHS,MATCH($C292,ListeCategories,0)),0)&gt;0,IFERROR(INDEX(Categories_TauxHS,MATCH($C292,ListeCategories,0)),0),TauxHSDefaut))</f>
      </c>
      <c r="F292" s="22">
        <f>IF($A292="","",SUM(IF('POINTAGE'!$D$5&lt;&gt;"",--('POINTAGE'!D292="Présent"),0),IF('POINTAGE'!$F$5&lt;&gt;"",--('POINTAGE'!F292="Présent"),0),IF('POINTAGE'!$H$5&lt;&gt;"",--('POINTAGE'!H292="Présent"),0),IF('POINTAGE'!$J$5&lt;&gt;"",--('POINTAGE'!J292="Présent"),0),IF('POINTAGE'!$L$5&lt;&gt;"",--('POINTAGE'!L292="Présent"),0),IF('POINTAGE'!$N$5&lt;&gt;"",--('POINTAGE'!N292="Présent"),0),IF('POINTAGE'!$P$5&lt;&gt;"",--('POINTAGE'!P292="Présent"),0),IF('POINTAGE'!$R$5&lt;&gt;"",--('POINTAGE'!R292="Présent"),0),IF('POINTAGE'!$T$5&lt;&gt;"",--('POINTAGE'!T292="Présent"),0),IF('POINTAGE'!$V$5&lt;&gt;"",--('POINTAGE'!V292="Présent"),0),IF('POINTAGE'!$X$5&lt;&gt;"",--('POINTAGE'!X292="Présent"),0),IF('POINTAGE'!$Z$5&lt;&gt;"",--('POINTAGE'!Z292="Présent"),0),IF('POINTAGE'!$AB$5&lt;&gt;"",--('POINTAGE'!AB292="Présent"),0),IF('POINTAGE'!$AD$5&lt;&gt;"",--('POINTAGE'!AD292="Présent"),0),IF('POINTAGE'!$AF$5&lt;&gt;"",--('POINTAGE'!AF292="Présent"),0)))</f>
      </c>
      <c r="G292" s="22">
        <f>IF($A292="","",SUM(IF('POINTAGE'!$D$5&lt;&gt;"",--('POINTAGE'!D292="Absent"),0),IF('POINTAGE'!$F$5&lt;&gt;"",--('POINTAGE'!F292="Absent"),0),IF('POINTAGE'!$H$5&lt;&gt;"",--('POINTAGE'!H292="Absent"),0),IF('POINTAGE'!$J$5&lt;&gt;"",--('POINTAGE'!J292="Absent"),0),IF('POINTAGE'!$L$5&lt;&gt;"",--('POINTAGE'!L292="Absent"),0),IF('POINTAGE'!$N$5&lt;&gt;"",--('POINTAGE'!N292="Absent"),0),IF('POINTAGE'!$P$5&lt;&gt;"",--('POINTAGE'!P292="Absent"),0),IF('POINTAGE'!$R$5&lt;&gt;"",--('POINTAGE'!R292="Absent"),0),IF('POINTAGE'!$T$5&lt;&gt;"",--('POINTAGE'!T292="Absent"),0),IF('POINTAGE'!$V$5&lt;&gt;"",--('POINTAGE'!V292="Absent"),0),IF('POINTAGE'!$X$5&lt;&gt;"",--('POINTAGE'!X292="Absent"),0),IF('POINTAGE'!$Z$5&lt;&gt;"",--('POINTAGE'!Z292="Absent"),0),IF('POINTAGE'!$AB$5&lt;&gt;"",--('POINTAGE'!AB292="Absent"),0),IF('POINTAGE'!$AD$5&lt;&gt;"",--('POINTAGE'!AD292="Absent"),0),IF('POINTAGE'!$AF$5&lt;&gt;"",--('POINTAGE'!AF292="Absent"),0)))</f>
      </c>
      <c r="H292" s="23">
        <f>IF($A292="","",SUM(IF('POINTAGE'!$D$5&lt;&gt;"",IF('POINTAGE'!D292="Présent",'POINTAGE'!E292,0),0),IF('POINTAGE'!$F$5&lt;&gt;"",IF('POINTAGE'!F292="Présent",'POINTAGE'!G292,0),0),IF('POINTAGE'!$H$5&lt;&gt;"",IF('POINTAGE'!H292="Présent",'POINTAGE'!I292,0),0),IF('POINTAGE'!$J$5&lt;&gt;"",IF('POINTAGE'!J292="Présent",'POINTAGE'!K292,0),0),IF('POINTAGE'!$L$5&lt;&gt;"",IF('POINTAGE'!L292="Présent",'POINTAGE'!M292,0),0),IF('POINTAGE'!$N$5&lt;&gt;"",IF('POINTAGE'!N292="Présent",'POINTAGE'!O292,0),0),IF('POINTAGE'!$P$5&lt;&gt;"",IF('POINTAGE'!P292="Présent",'POINTAGE'!Q292,0),0),IF('POINTAGE'!$R$5&lt;&gt;"",IF('POINTAGE'!R292="Présent",'POINTAGE'!S292,0),0),IF('POINTAGE'!$T$5&lt;&gt;"",IF('POINTAGE'!T292="Présent",'POINTAGE'!U292,0),0),IF('POINTAGE'!$V$5&lt;&gt;"",IF('POINTAGE'!V292="Présent",'POINTAGE'!W292,0),0),IF('POINTAGE'!$X$5&lt;&gt;"",IF('POINTAGE'!X292="Présent",'POINTAGE'!Y292,0),0),IF('POINTAGE'!$Z$5&lt;&gt;"",IF('POINTAGE'!Z292="Présent",'POINTAGE'!AA292,0),0),IF('POINTAGE'!$AB$5&lt;&gt;"",IF('POINTAGE'!AB292="Présent",'POINTAGE'!AC292,0),0),IF('POINTAGE'!$AD$5&lt;&gt;"",IF('POINTAGE'!AD292="Présent",'POINTAGE'!AE292,0),0),IF('POINTAGE'!$AF$5&lt;&gt;"",IF('POINTAGE'!AF292="Présent",'POINTAGE'!AG292,0),0)))</f>
      </c>
      <c r="I292" s="24">
        <f>IF($A292="","",$F292*$D292)</f>
      </c>
      <c r="J292" s="24">
        <f>IF($A292="","",$H292*$E292)</f>
      </c>
      <c r="K292" s="25">
        <f>IF($A292="","",$I292+$J292)</f>
      </c>
      <c r="L292" s="18"/>
      <c r="M292" s="25">
        <f>IF($A292="","",MAX(0,$K292-$L292))</f>
      </c>
      <c r="N292" s="22">
        <f>IF($A292="","",SUM(IF('POINTAGE'!$AH$5&lt;&gt;"",--('POINTAGE'!AH292="Présent"),0),IF('POINTAGE'!$AJ$5&lt;&gt;"",--('POINTAGE'!AJ292="Présent"),0),IF('POINTAGE'!$AL$5&lt;&gt;"",--('POINTAGE'!AL292="Présent"),0),IF('POINTAGE'!$AN$5&lt;&gt;"",--('POINTAGE'!AN292="Présent"),0),IF('POINTAGE'!$AP$5&lt;&gt;"",--('POINTAGE'!AP292="Présent"),0),IF('POINTAGE'!$AR$5&lt;&gt;"",--('POINTAGE'!AR292="Présent"),0),IF('POINTAGE'!$AT$5&lt;&gt;"",--('POINTAGE'!AT292="Présent"),0),IF('POINTAGE'!$AV$5&lt;&gt;"",--('POINTAGE'!AV292="Présent"),0),IF('POINTAGE'!$AX$5&lt;&gt;"",--('POINTAGE'!AX292="Présent"),0),IF('POINTAGE'!$AZ$5&lt;&gt;"",--('POINTAGE'!AZ292="Présent"),0),IF('POINTAGE'!$BB$5&lt;&gt;"",--('POINTAGE'!BB292="Présent"),0),IF('POINTAGE'!$BD$5&lt;&gt;"",--('POINTAGE'!BD292="Présent"),0),IF('POINTAGE'!$BF$5&lt;&gt;"",--('POINTAGE'!BF292="Présent"),0),IF('POINTAGE'!$BH$5&lt;&gt;"",--('POINTAGE'!BH292="Présent"),0),IF('POINTAGE'!$BJ$5&lt;&gt;"",--('POINTAGE'!BJ292="Présent"),0),IF('POINTAGE'!$BL$5&lt;&gt;"",--('POINTAGE'!BL292="Présent"),0)))</f>
      </c>
      <c r="O292" s="22">
        <f>IF($A292="","",SUM(IF('POINTAGE'!$AH$5&lt;&gt;"",--('POINTAGE'!AH292="Absent"),0),IF('POINTAGE'!$AJ$5&lt;&gt;"",--('POINTAGE'!AJ292="Absent"),0),IF('POINTAGE'!$AL$5&lt;&gt;"",--('POINTAGE'!AL292="Absent"),0),IF('POINTAGE'!$AN$5&lt;&gt;"",--('POINTAGE'!AN292="Absent"),0),IF('POINTAGE'!$AP$5&lt;&gt;"",--('POINTAGE'!AP292="Absent"),0),IF('POINTAGE'!$AR$5&lt;&gt;"",--('POINTAGE'!AR292="Absent"),0),IF('POINTAGE'!$AT$5&lt;&gt;"",--('POINTAGE'!AT292="Absent"),0),IF('POINTAGE'!$AV$5&lt;&gt;"",--('POINTAGE'!AV292="Absent"),0),IF('POINTAGE'!$AX$5&lt;&gt;"",--('POINTAGE'!AX292="Absent"),0),IF('POINTAGE'!$AZ$5&lt;&gt;"",--('POINTAGE'!AZ292="Absent"),0),IF('POINTAGE'!$BB$5&lt;&gt;"",--('POINTAGE'!BB292="Absent"),0),IF('POINTAGE'!$BD$5&lt;&gt;"",--('POINTAGE'!BD292="Absent"),0),IF('POINTAGE'!$BF$5&lt;&gt;"",--('POINTAGE'!BF292="Absent"),0),IF('POINTAGE'!$BH$5&lt;&gt;"",--('POINTAGE'!BH292="Absent"),0),IF('POINTAGE'!$BJ$5&lt;&gt;"",--('POINTAGE'!BJ292="Absent"),0),IF('POINTAGE'!$BL$5&lt;&gt;"",--('POINTAGE'!BL292="Absent"),0)))</f>
      </c>
      <c r="P292" s="23">
        <f>IF($A292="","",SUM(IF('POINTAGE'!$AH$5&lt;&gt;"",IF('POINTAGE'!AH292="Présent",'POINTAGE'!AI292,0),0),IF('POINTAGE'!$AJ$5&lt;&gt;"",IF('POINTAGE'!AJ292="Présent",'POINTAGE'!AK292,0),0),IF('POINTAGE'!$AL$5&lt;&gt;"",IF('POINTAGE'!AL292="Présent",'POINTAGE'!AM292,0),0),IF('POINTAGE'!$AN$5&lt;&gt;"",IF('POINTAGE'!AN292="Présent",'POINTAGE'!AO292,0),0),IF('POINTAGE'!$AP$5&lt;&gt;"",IF('POINTAGE'!AP292="Présent",'POINTAGE'!AQ292,0),0),IF('POINTAGE'!$AR$5&lt;&gt;"",IF('POINTAGE'!AR292="Présent",'POINTAGE'!AS292,0),0),IF('POINTAGE'!$AT$5&lt;&gt;"",IF('POINTAGE'!AT292="Présent",'POINTAGE'!AU292,0),0),IF('POINTAGE'!$AV$5&lt;&gt;"",IF('POINTAGE'!AV292="Présent",'POINTAGE'!AW292,0),0),IF('POINTAGE'!$AX$5&lt;&gt;"",IF('POINTAGE'!AX292="Présent",'POINTAGE'!AY292,0),0),IF('POINTAGE'!$AZ$5&lt;&gt;"",IF('POINTAGE'!AZ292="Présent",'POINTAGE'!BA292,0),0),IF('POINTAGE'!$BB$5&lt;&gt;"",IF('POINTAGE'!BB292="Présent",'POINTAGE'!BC292,0),0),IF('POINTAGE'!$BD$5&lt;&gt;"",IF('POINTAGE'!BD292="Présent",'POINTAGE'!BE292,0),0),IF('POINTAGE'!$BF$5&lt;&gt;"",IF('POINTAGE'!BF292="Présent",'POINTAGE'!BG292,0),0),IF('POINTAGE'!$BH$5&lt;&gt;"",IF('POINTAGE'!BH292="Présent",'POINTAGE'!BI292,0),0),IF('POINTAGE'!$BJ$5&lt;&gt;"",IF('POINTAGE'!BJ292="Présent",'POINTAGE'!BK292,0),0),IF('POINTAGE'!$BL$5&lt;&gt;"",IF('POINTAGE'!BL292="Présent",'POINTAGE'!BM292,0),0)))</f>
      </c>
      <c r="Q292" s="24">
        <f>IF($A292="","",$N292*$D292)</f>
      </c>
      <c r="R292" s="24">
        <f>IF($A292="","",$P292*$E292)</f>
      </c>
      <c r="S292" s="25">
        <f>IF($A292="","",$Q292+$R292)</f>
      </c>
      <c r="T292" s="18"/>
      <c r="U292" s="25">
        <f>IF($A292="","",MAX(0,$S292-$T292))</f>
      </c>
      <c r="V292" s="25">
        <f>IF($A292="","",$K292+$S292)</f>
      </c>
      <c r="W292" s="24">
        <f>IF($A292="","",$L292+$T292)</f>
      </c>
      <c r="X292" s="25">
        <f>IF($A292="","",$M292+$U292)</f>
      </c>
      <c r="Y292" s="29">
        <f>IF($A292="","",$J292+$R292)</f>
      </c>
    </row>
    <row r="293">
      <c r="A293" s="20">
        <f>IF('POINTAGE'!A293="","",'POINTAGE'!A293)</f>
      </c>
      <c r="B293" s="19">
        <f>IF($A293="","",'POINTAGE'!B293)</f>
      </c>
      <c r="C293" s="20">
        <f>IF($A293="","",'POINTAGE'!C293)</f>
      </c>
      <c r="D293" s="24">
        <f>IF($A293="","",IFERROR(INDEX(Categories_Salaire,MATCH($C293,ListeCategories,0)),0))</f>
      </c>
      <c r="E293" s="24">
        <f>IF($A293="","",IF(IFERROR(INDEX(Categories_TauxHS,MATCH($C293,ListeCategories,0)),0)&gt;0,IFERROR(INDEX(Categories_TauxHS,MATCH($C293,ListeCategories,0)),0),TauxHSDefaut))</f>
      </c>
      <c r="F293" s="22">
        <f>IF($A293="","",SUM(IF('POINTAGE'!$D$5&lt;&gt;"",--('POINTAGE'!D293="Présent"),0),IF('POINTAGE'!$F$5&lt;&gt;"",--('POINTAGE'!F293="Présent"),0),IF('POINTAGE'!$H$5&lt;&gt;"",--('POINTAGE'!H293="Présent"),0),IF('POINTAGE'!$J$5&lt;&gt;"",--('POINTAGE'!J293="Présent"),0),IF('POINTAGE'!$L$5&lt;&gt;"",--('POINTAGE'!L293="Présent"),0),IF('POINTAGE'!$N$5&lt;&gt;"",--('POINTAGE'!N293="Présent"),0),IF('POINTAGE'!$P$5&lt;&gt;"",--('POINTAGE'!P293="Présent"),0),IF('POINTAGE'!$R$5&lt;&gt;"",--('POINTAGE'!R293="Présent"),0),IF('POINTAGE'!$T$5&lt;&gt;"",--('POINTAGE'!T293="Présent"),0),IF('POINTAGE'!$V$5&lt;&gt;"",--('POINTAGE'!V293="Présent"),0),IF('POINTAGE'!$X$5&lt;&gt;"",--('POINTAGE'!X293="Présent"),0),IF('POINTAGE'!$Z$5&lt;&gt;"",--('POINTAGE'!Z293="Présent"),0),IF('POINTAGE'!$AB$5&lt;&gt;"",--('POINTAGE'!AB293="Présent"),0),IF('POINTAGE'!$AD$5&lt;&gt;"",--('POINTAGE'!AD293="Présent"),0),IF('POINTAGE'!$AF$5&lt;&gt;"",--('POINTAGE'!AF293="Présent"),0)))</f>
      </c>
      <c r="G293" s="22">
        <f>IF($A293="","",SUM(IF('POINTAGE'!$D$5&lt;&gt;"",--('POINTAGE'!D293="Absent"),0),IF('POINTAGE'!$F$5&lt;&gt;"",--('POINTAGE'!F293="Absent"),0),IF('POINTAGE'!$H$5&lt;&gt;"",--('POINTAGE'!H293="Absent"),0),IF('POINTAGE'!$J$5&lt;&gt;"",--('POINTAGE'!J293="Absent"),0),IF('POINTAGE'!$L$5&lt;&gt;"",--('POINTAGE'!L293="Absent"),0),IF('POINTAGE'!$N$5&lt;&gt;"",--('POINTAGE'!N293="Absent"),0),IF('POINTAGE'!$P$5&lt;&gt;"",--('POINTAGE'!P293="Absent"),0),IF('POINTAGE'!$R$5&lt;&gt;"",--('POINTAGE'!R293="Absent"),0),IF('POINTAGE'!$T$5&lt;&gt;"",--('POINTAGE'!T293="Absent"),0),IF('POINTAGE'!$V$5&lt;&gt;"",--('POINTAGE'!V293="Absent"),0),IF('POINTAGE'!$X$5&lt;&gt;"",--('POINTAGE'!X293="Absent"),0),IF('POINTAGE'!$Z$5&lt;&gt;"",--('POINTAGE'!Z293="Absent"),0),IF('POINTAGE'!$AB$5&lt;&gt;"",--('POINTAGE'!AB293="Absent"),0),IF('POINTAGE'!$AD$5&lt;&gt;"",--('POINTAGE'!AD293="Absent"),0),IF('POINTAGE'!$AF$5&lt;&gt;"",--('POINTAGE'!AF293="Absent"),0)))</f>
      </c>
      <c r="H293" s="23">
        <f>IF($A293="","",SUM(IF('POINTAGE'!$D$5&lt;&gt;"",IF('POINTAGE'!D293="Présent",'POINTAGE'!E293,0),0),IF('POINTAGE'!$F$5&lt;&gt;"",IF('POINTAGE'!F293="Présent",'POINTAGE'!G293,0),0),IF('POINTAGE'!$H$5&lt;&gt;"",IF('POINTAGE'!H293="Présent",'POINTAGE'!I293,0),0),IF('POINTAGE'!$J$5&lt;&gt;"",IF('POINTAGE'!J293="Présent",'POINTAGE'!K293,0),0),IF('POINTAGE'!$L$5&lt;&gt;"",IF('POINTAGE'!L293="Présent",'POINTAGE'!M293,0),0),IF('POINTAGE'!$N$5&lt;&gt;"",IF('POINTAGE'!N293="Présent",'POINTAGE'!O293,0),0),IF('POINTAGE'!$P$5&lt;&gt;"",IF('POINTAGE'!P293="Présent",'POINTAGE'!Q293,0),0),IF('POINTAGE'!$R$5&lt;&gt;"",IF('POINTAGE'!R293="Présent",'POINTAGE'!S293,0),0),IF('POINTAGE'!$T$5&lt;&gt;"",IF('POINTAGE'!T293="Présent",'POINTAGE'!U293,0),0),IF('POINTAGE'!$V$5&lt;&gt;"",IF('POINTAGE'!V293="Présent",'POINTAGE'!W293,0),0),IF('POINTAGE'!$X$5&lt;&gt;"",IF('POINTAGE'!X293="Présent",'POINTAGE'!Y293,0),0),IF('POINTAGE'!$Z$5&lt;&gt;"",IF('POINTAGE'!Z293="Présent",'POINTAGE'!AA293,0),0),IF('POINTAGE'!$AB$5&lt;&gt;"",IF('POINTAGE'!AB293="Présent",'POINTAGE'!AC293,0),0),IF('POINTAGE'!$AD$5&lt;&gt;"",IF('POINTAGE'!AD293="Présent",'POINTAGE'!AE293,0),0),IF('POINTAGE'!$AF$5&lt;&gt;"",IF('POINTAGE'!AF293="Présent",'POINTAGE'!AG293,0),0)))</f>
      </c>
      <c r="I293" s="24">
        <f>IF($A293="","",$F293*$D293)</f>
      </c>
      <c r="J293" s="24">
        <f>IF($A293="","",$H293*$E293)</f>
      </c>
      <c r="K293" s="25">
        <f>IF($A293="","",$I293+$J293)</f>
      </c>
      <c r="L293" s="18"/>
      <c r="M293" s="25">
        <f>IF($A293="","",MAX(0,$K293-$L293))</f>
      </c>
      <c r="N293" s="22">
        <f>IF($A293="","",SUM(IF('POINTAGE'!$AH$5&lt;&gt;"",--('POINTAGE'!AH293="Présent"),0),IF('POINTAGE'!$AJ$5&lt;&gt;"",--('POINTAGE'!AJ293="Présent"),0),IF('POINTAGE'!$AL$5&lt;&gt;"",--('POINTAGE'!AL293="Présent"),0),IF('POINTAGE'!$AN$5&lt;&gt;"",--('POINTAGE'!AN293="Présent"),0),IF('POINTAGE'!$AP$5&lt;&gt;"",--('POINTAGE'!AP293="Présent"),0),IF('POINTAGE'!$AR$5&lt;&gt;"",--('POINTAGE'!AR293="Présent"),0),IF('POINTAGE'!$AT$5&lt;&gt;"",--('POINTAGE'!AT293="Présent"),0),IF('POINTAGE'!$AV$5&lt;&gt;"",--('POINTAGE'!AV293="Présent"),0),IF('POINTAGE'!$AX$5&lt;&gt;"",--('POINTAGE'!AX293="Présent"),0),IF('POINTAGE'!$AZ$5&lt;&gt;"",--('POINTAGE'!AZ293="Présent"),0),IF('POINTAGE'!$BB$5&lt;&gt;"",--('POINTAGE'!BB293="Présent"),0),IF('POINTAGE'!$BD$5&lt;&gt;"",--('POINTAGE'!BD293="Présent"),0),IF('POINTAGE'!$BF$5&lt;&gt;"",--('POINTAGE'!BF293="Présent"),0),IF('POINTAGE'!$BH$5&lt;&gt;"",--('POINTAGE'!BH293="Présent"),0),IF('POINTAGE'!$BJ$5&lt;&gt;"",--('POINTAGE'!BJ293="Présent"),0),IF('POINTAGE'!$BL$5&lt;&gt;"",--('POINTAGE'!BL293="Présent"),0)))</f>
      </c>
      <c r="O293" s="22">
        <f>IF($A293="","",SUM(IF('POINTAGE'!$AH$5&lt;&gt;"",--('POINTAGE'!AH293="Absent"),0),IF('POINTAGE'!$AJ$5&lt;&gt;"",--('POINTAGE'!AJ293="Absent"),0),IF('POINTAGE'!$AL$5&lt;&gt;"",--('POINTAGE'!AL293="Absent"),0),IF('POINTAGE'!$AN$5&lt;&gt;"",--('POINTAGE'!AN293="Absent"),0),IF('POINTAGE'!$AP$5&lt;&gt;"",--('POINTAGE'!AP293="Absent"),0),IF('POINTAGE'!$AR$5&lt;&gt;"",--('POINTAGE'!AR293="Absent"),0),IF('POINTAGE'!$AT$5&lt;&gt;"",--('POINTAGE'!AT293="Absent"),0),IF('POINTAGE'!$AV$5&lt;&gt;"",--('POINTAGE'!AV293="Absent"),0),IF('POINTAGE'!$AX$5&lt;&gt;"",--('POINTAGE'!AX293="Absent"),0),IF('POINTAGE'!$AZ$5&lt;&gt;"",--('POINTAGE'!AZ293="Absent"),0),IF('POINTAGE'!$BB$5&lt;&gt;"",--('POINTAGE'!BB293="Absent"),0),IF('POINTAGE'!$BD$5&lt;&gt;"",--('POINTAGE'!BD293="Absent"),0),IF('POINTAGE'!$BF$5&lt;&gt;"",--('POINTAGE'!BF293="Absent"),0),IF('POINTAGE'!$BH$5&lt;&gt;"",--('POINTAGE'!BH293="Absent"),0),IF('POINTAGE'!$BJ$5&lt;&gt;"",--('POINTAGE'!BJ293="Absent"),0),IF('POINTAGE'!$BL$5&lt;&gt;"",--('POINTAGE'!BL293="Absent"),0)))</f>
      </c>
      <c r="P293" s="23">
        <f>IF($A293="","",SUM(IF('POINTAGE'!$AH$5&lt;&gt;"",IF('POINTAGE'!AH293="Présent",'POINTAGE'!AI293,0),0),IF('POINTAGE'!$AJ$5&lt;&gt;"",IF('POINTAGE'!AJ293="Présent",'POINTAGE'!AK293,0),0),IF('POINTAGE'!$AL$5&lt;&gt;"",IF('POINTAGE'!AL293="Présent",'POINTAGE'!AM293,0),0),IF('POINTAGE'!$AN$5&lt;&gt;"",IF('POINTAGE'!AN293="Présent",'POINTAGE'!AO293,0),0),IF('POINTAGE'!$AP$5&lt;&gt;"",IF('POINTAGE'!AP293="Présent",'POINTAGE'!AQ293,0),0),IF('POINTAGE'!$AR$5&lt;&gt;"",IF('POINTAGE'!AR293="Présent",'POINTAGE'!AS293,0),0),IF('POINTAGE'!$AT$5&lt;&gt;"",IF('POINTAGE'!AT293="Présent",'POINTAGE'!AU293,0),0),IF('POINTAGE'!$AV$5&lt;&gt;"",IF('POINTAGE'!AV293="Présent",'POINTAGE'!AW293,0),0),IF('POINTAGE'!$AX$5&lt;&gt;"",IF('POINTAGE'!AX293="Présent",'POINTAGE'!AY293,0),0),IF('POINTAGE'!$AZ$5&lt;&gt;"",IF('POINTAGE'!AZ293="Présent",'POINTAGE'!BA293,0),0),IF('POINTAGE'!$BB$5&lt;&gt;"",IF('POINTAGE'!BB293="Présent",'POINTAGE'!BC293,0),0),IF('POINTAGE'!$BD$5&lt;&gt;"",IF('POINTAGE'!BD293="Présent",'POINTAGE'!BE293,0),0),IF('POINTAGE'!$BF$5&lt;&gt;"",IF('POINTAGE'!BF293="Présent",'POINTAGE'!BG293,0),0),IF('POINTAGE'!$BH$5&lt;&gt;"",IF('POINTAGE'!BH293="Présent",'POINTAGE'!BI293,0),0),IF('POINTAGE'!$BJ$5&lt;&gt;"",IF('POINTAGE'!BJ293="Présent",'POINTAGE'!BK293,0),0),IF('POINTAGE'!$BL$5&lt;&gt;"",IF('POINTAGE'!BL293="Présent",'POINTAGE'!BM293,0),0)))</f>
      </c>
      <c r="Q293" s="24">
        <f>IF($A293="","",$N293*$D293)</f>
      </c>
      <c r="R293" s="24">
        <f>IF($A293="","",$P293*$E293)</f>
      </c>
      <c r="S293" s="25">
        <f>IF($A293="","",$Q293+$R293)</f>
      </c>
      <c r="T293" s="18"/>
      <c r="U293" s="25">
        <f>IF($A293="","",MAX(0,$S293-$T293))</f>
      </c>
      <c r="V293" s="25">
        <f>IF($A293="","",$K293+$S293)</f>
      </c>
      <c r="W293" s="24">
        <f>IF($A293="","",$L293+$T293)</f>
      </c>
      <c r="X293" s="25">
        <f>IF($A293="","",$M293+$U293)</f>
      </c>
      <c r="Y293" s="29">
        <f>IF($A293="","",$J293+$R293)</f>
      </c>
    </row>
    <row r="294">
      <c r="A294" s="20">
        <f>IF('POINTAGE'!A294="","",'POINTAGE'!A294)</f>
      </c>
      <c r="B294" s="19">
        <f>IF($A294="","",'POINTAGE'!B294)</f>
      </c>
      <c r="C294" s="20">
        <f>IF($A294="","",'POINTAGE'!C294)</f>
      </c>
      <c r="D294" s="24">
        <f>IF($A294="","",IFERROR(INDEX(Categories_Salaire,MATCH($C294,ListeCategories,0)),0))</f>
      </c>
      <c r="E294" s="24">
        <f>IF($A294="","",IF(IFERROR(INDEX(Categories_TauxHS,MATCH($C294,ListeCategories,0)),0)&gt;0,IFERROR(INDEX(Categories_TauxHS,MATCH($C294,ListeCategories,0)),0),TauxHSDefaut))</f>
      </c>
      <c r="F294" s="22">
        <f>IF($A294="","",SUM(IF('POINTAGE'!$D$5&lt;&gt;"",--('POINTAGE'!D294="Présent"),0),IF('POINTAGE'!$F$5&lt;&gt;"",--('POINTAGE'!F294="Présent"),0),IF('POINTAGE'!$H$5&lt;&gt;"",--('POINTAGE'!H294="Présent"),0),IF('POINTAGE'!$J$5&lt;&gt;"",--('POINTAGE'!J294="Présent"),0),IF('POINTAGE'!$L$5&lt;&gt;"",--('POINTAGE'!L294="Présent"),0),IF('POINTAGE'!$N$5&lt;&gt;"",--('POINTAGE'!N294="Présent"),0),IF('POINTAGE'!$P$5&lt;&gt;"",--('POINTAGE'!P294="Présent"),0),IF('POINTAGE'!$R$5&lt;&gt;"",--('POINTAGE'!R294="Présent"),0),IF('POINTAGE'!$T$5&lt;&gt;"",--('POINTAGE'!T294="Présent"),0),IF('POINTAGE'!$V$5&lt;&gt;"",--('POINTAGE'!V294="Présent"),0),IF('POINTAGE'!$X$5&lt;&gt;"",--('POINTAGE'!X294="Présent"),0),IF('POINTAGE'!$Z$5&lt;&gt;"",--('POINTAGE'!Z294="Présent"),0),IF('POINTAGE'!$AB$5&lt;&gt;"",--('POINTAGE'!AB294="Présent"),0),IF('POINTAGE'!$AD$5&lt;&gt;"",--('POINTAGE'!AD294="Présent"),0),IF('POINTAGE'!$AF$5&lt;&gt;"",--('POINTAGE'!AF294="Présent"),0)))</f>
      </c>
      <c r="G294" s="22">
        <f>IF($A294="","",SUM(IF('POINTAGE'!$D$5&lt;&gt;"",--('POINTAGE'!D294="Absent"),0),IF('POINTAGE'!$F$5&lt;&gt;"",--('POINTAGE'!F294="Absent"),0),IF('POINTAGE'!$H$5&lt;&gt;"",--('POINTAGE'!H294="Absent"),0),IF('POINTAGE'!$J$5&lt;&gt;"",--('POINTAGE'!J294="Absent"),0),IF('POINTAGE'!$L$5&lt;&gt;"",--('POINTAGE'!L294="Absent"),0),IF('POINTAGE'!$N$5&lt;&gt;"",--('POINTAGE'!N294="Absent"),0),IF('POINTAGE'!$P$5&lt;&gt;"",--('POINTAGE'!P294="Absent"),0),IF('POINTAGE'!$R$5&lt;&gt;"",--('POINTAGE'!R294="Absent"),0),IF('POINTAGE'!$T$5&lt;&gt;"",--('POINTAGE'!T294="Absent"),0),IF('POINTAGE'!$V$5&lt;&gt;"",--('POINTAGE'!V294="Absent"),0),IF('POINTAGE'!$X$5&lt;&gt;"",--('POINTAGE'!X294="Absent"),0),IF('POINTAGE'!$Z$5&lt;&gt;"",--('POINTAGE'!Z294="Absent"),0),IF('POINTAGE'!$AB$5&lt;&gt;"",--('POINTAGE'!AB294="Absent"),0),IF('POINTAGE'!$AD$5&lt;&gt;"",--('POINTAGE'!AD294="Absent"),0),IF('POINTAGE'!$AF$5&lt;&gt;"",--('POINTAGE'!AF294="Absent"),0)))</f>
      </c>
      <c r="H294" s="23">
        <f>IF($A294="","",SUM(IF('POINTAGE'!$D$5&lt;&gt;"",IF('POINTAGE'!D294="Présent",'POINTAGE'!E294,0),0),IF('POINTAGE'!$F$5&lt;&gt;"",IF('POINTAGE'!F294="Présent",'POINTAGE'!G294,0),0),IF('POINTAGE'!$H$5&lt;&gt;"",IF('POINTAGE'!H294="Présent",'POINTAGE'!I294,0),0),IF('POINTAGE'!$J$5&lt;&gt;"",IF('POINTAGE'!J294="Présent",'POINTAGE'!K294,0),0),IF('POINTAGE'!$L$5&lt;&gt;"",IF('POINTAGE'!L294="Présent",'POINTAGE'!M294,0),0),IF('POINTAGE'!$N$5&lt;&gt;"",IF('POINTAGE'!N294="Présent",'POINTAGE'!O294,0),0),IF('POINTAGE'!$P$5&lt;&gt;"",IF('POINTAGE'!P294="Présent",'POINTAGE'!Q294,0),0),IF('POINTAGE'!$R$5&lt;&gt;"",IF('POINTAGE'!R294="Présent",'POINTAGE'!S294,0),0),IF('POINTAGE'!$T$5&lt;&gt;"",IF('POINTAGE'!T294="Présent",'POINTAGE'!U294,0),0),IF('POINTAGE'!$V$5&lt;&gt;"",IF('POINTAGE'!V294="Présent",'POINTAGE'!W294,0),0),IF('POINTAGE'!$X$5&lt;&gt;"",IF('POINTAGE'!X294="Présent",'POINTAGE'!Y294,0),0),IF('POINTAGE'!$Z$5&lt;&gt;"",IF('POINTAGE'!Z294="Présent",'POINTAGE'!AA294,0),0),IF('POINTAGE'!$AB$5&lt;&gt;"",IF('POINTAGE'!AB294="Présent",'POINTAGE'!AC294,0),0),IF('POINTAGE'!$AD$5&lt;&gt;"",IF('POINTAGE'!AD294="Présent",'POINTAGE'!AE294,0),0),IF('POINTAGE'!$AF$5&lt;&gt;"",IF('POINTAGE'!AF294="Présent",'POINTAGE'!AG294,0),0)))</f>
      </c>
      <c r="I294" s="24">
        <f>IF($A294="","",$F294*$D294)</f>
      </c>
      <c r="J294" s="24">
        <f>IF($A294="","",$H294*$E294)</f>
      </c>
      <c r="K294" s="25">
        <f>IF($A294="","",$I294+$J294)</f>
      </c>
      <c r="L294" s="18"/>
      <c r="M294" s="25">
        <f>IF($A294="","",MAX(0,$K294-$L294))</f>
      </c>
      <c r="N294" s="22">
        <f>IF($A294="","",SUM(IF('POINTAGE'!$AH$5&lt;&gt;"",--('POINTAGE'!AH294="Présent"),0),IF('POINTAGE'!$AJ$5&lt;&gt;"",--('POINTAGE'!AJ294="Présent"),0),IF('POINTAGE'!$AL$5&lt;&gt;"",--('POINTAGE'!AL294="Présent"),0),IF('POINTAGE'!$AN$5&lt;&gt;"",--('POINTAGE'!AN294="Présent"),0),IF('POINTAGE'!$AP$5&lt;&gt;"",--('POINTAGE'!AP294="Présent"),0),IF('POINTAGE'!$AR$5&lt;&gt;"",--('POINTAGE'!AR294="Présent"),0),IF('POINTAGE'!$AT$5&lt;&gt;"",--('POINTAGE'!AT294="Présent"),0),IF('POINTAGE'!$AV$5&lt;&gt;"",--('POINTAGE'!AV294="Présent"),0),IF('POINTAGE'!$AX$5&lt;&gt;"",--('POINTAGE'!AX294="Présent"),0),IF('POINTAGE'!$AZ$5&lt;&gt;"",--('POINTAGE'!AZ294="Présent"),0),IF('POINTAGE'!$BB$5&lt;&gt;"",--('POINTAGE'!BB294="Présent"),0),IF('POINTAGE'!$BD$5&lt;&gt;"",--('POINTAGE'!BD294="Présent"),0),IF('POINTAGE'!$BF$5&lt;&gt;"",--('POINTAGE'!BF294="Présent"),0),IF('POINTAGE'!$BH$5&lt;&gt;"",--('POINTAGE'!BH294="Présent"),0),IF('POINTAGE'!$BJ$5&lt;&gt;"",--('POINTAGE'!BJ294="Présent"),0),IF('POINTAGE'!$BL$5&lt;&gt;"",--('POINTAGE'!BL294="Présent"),0)))</f>
      </c>
      <c r="O294" s="22">
        <f>IF($A294="","",SUM(IF('POINTAGE'!$AH$5&lt;&gt;"",--('POINTAGE'!AH294="Absent"),0),IF('POINTAGE'!$AJ$5&lt;&gt;"",--('POINTAGE'!AJ294="Absent"),0),IF('POINTAGE'!$AL$5&lt;&gt;"",--('POINTAGE'!AL294="Absent"),0),IF('POINTAGE'!$AN$5&lt;&gt;"",--('POINTAGE'!AN294="Absent"),0),IF('POINTAGE'!$AP$5&lt;&gt;"",--('POINTAGE'!AP294="Absent"),0),IF('POINTAGE'!$AR$5&lt;&gt;"",--('POINTAGE'!AR294="Absent"),0),IF('POINTAGE'!$AT$5&lt;&gt;"",--('POINTAGE'!AT294="Absent"),0),IF('POINTAGE'!$AV$5&lt;&gt;"",--('POINTAGE'!AV294="Absent"),0),IF('POINTAGE'!$AX$5&lt;&gt;"",--('POINTAGE'!AX294="Absent"),0),IF('POINTAGE'!$AZ$5&lt;&gt;"",--('POINTAGE'!AZ294="Absent"),0),IF('POINTAGE'!$BB$5&lt;&gt;"",--('POINTAGE'!BB294="Absent"),0),IF('POINTAGE'!$BD$5&lt;&gt;"",--('POINTAGE'!BD294="Absent"),0),IF('POINTAGE'!$BF$5&lt;&gt;"",--('POINTAGE'!BF294="Absent"),0),IF('POINTAGE'!$BH$5&lt;&gt;"",--('POINTAGE'!BH294="Absent"),0),IF('POINTAGE'!$BJ$5&lt;&gt;"",--('POINTAGE'!BJ294="Absent"),0),IF('POINTAGE'!$BL$5&lt;&gt;"",--('POINTAGE'!BL294="Absent"),0)))</f>
      </c>
      <c r="P294" s="23">
        <f>IF($A294="","",SUM(IF('POINTAGE'!$AH$5&lt;&gt;"",IF('POINTAGE'!AH294="Présent",'POINTAGE'!AI294,0),0),IF('POINTAGE'!$AJ$5&lt;&gt;"",IF('POINTAGE'!AJ294="Présent",'POINTAGE'!AK294,0),0),IF('POINTAGE'!$AL$5&lt;&gt;"",IF('POINTAGE'!AL294="Présent",'POINTAGE'!AM294,0),0),IF('POINTAGE'!$AN$5&lt;&gt;"",IF('POINTAGE'!AN294="Présent",'POINTAGE'!AO294,0),0),IF('POINTAGE'!$AP$5&lt;&gt;"",IF('POINTAGE'!AP294="Présent",'POINTAGE'!AQ294,0),0),IF('POINTAGE'!$AR$5&lt;&gt;"",IF('POINTAGE'!AR294="Présent",'POINTAGE'!AS294,0),0),IF('POINTAGE'!$AT$5&lt;&gt;"",IF('POINTAGE'!AT294="Présent",'POINTAGE'!AU294,0),0),IF('POINTAGE'!$AV$5&lt;&gt;"",IF('POINTAGE'!AV294="Présent",'POINTAGE'!AW294,0),0),IF('POINTAGE'!$AX$5&lt;&gt;"",IF('POINTAGE'!AX294="Présent",'POINTAGE'!AY294,0),0),IF('POINTAGE'!$AZ$5&lt;&gt;"",IF('POINTAGE'!AZ294="Présent",'POINTAGE'!BA294,0),0),IF('POINTAGE'!$BB$5&lt;&gt;"",IF('POINTAGE'!BB294="Présent",'POINTAGE'!BC294,0),0),IF('POINTAGE'!$BD$5&lt;&gt;"",IF('POINTAGE'!BD294="Présent",'POINTAGE'!BE294,0),0),IF('POINTAGE'!$BF$5&lt;&gt;"",IF('POINTAGE'!BF294="Présent",'POINTAGE'!BG294,0),0),IF('POINTAGE'!$BH$5&lt;&gt;"",IF('POINTAGE'!BH294="Présent",'POINTAGE'!BI294,0),0),IF('POINTAGE'!$BJ$5&lt;&gt;"",IF('POINTAGE'!BJ294="Présent",'POINTAGE'!BK294,0),0),IF('POINTAGE'!$BL$5&lt;&gt;"",IF('POINTAGE'!BL294="Présent",'POINTAGE'!BM294,0),0)))</f>
      </c>
      <c r="Q294" s="24">
        <f>IF($A294="","",$N294*$D294)</f>
      </c>
      <c r="R294" s="24">
        <f>IF($A294="","",$P294*$E294)</f>
      </c>
      <c r="S294" s="25">
        <f>IF($A294="","",$Q294+$R294)</f>
      </c>
      <c r="T294" s="18"/>
      <c r="U294" s="25">
        <f>IF($A294="","",MAX(0,$S294-$T294))</f>
      </c>
      <c r="V294" s="25">
        <f>IF($A294="","",$K294+$S294)</f>
      </c>
      <c r="W294" s="24">
        <f>IF($A294="","",$L294+$T294)</f>
      </c>
      <c r="X294" s="25">
        <f>IF($A294="","",$M294+$U294)</f>
      </c>
      <c r="Y294" s="29">
        <f>IF($A294="","",$J294+$R294)</f>
      </c>
    </row>
    <row r="295">
      <c r="A295" s="20">
        <f>IF('POINTAGE'!A295="","",'POINTAGE'!A295)</f>
      </c>
      <c r="B295" s="19">
        <f>IF($A295="","",'POINTAGE'!B295)</f>
      </c>
      <c r="C295" s="20">
        <f>IF($A295="","",'POINTAGE'!C295)</f>
      </c>
      <c r="D295" s="24">
        <f>IF($A295="","",IFERROR(INDEX(Categories_Salaire,MATCH($C295,ListeCategories,0)),0))</f>
      </c>
      <c r="E295" s="24">
        <f>IF($A295="","",IF(IFERROR(INDEX(Categories_TauxHS,MATCH($C295,ListeCategories,0)),0)&gt;0,IFERROR(INDEX(Categories_TauxHS,MATCH($C295,ListeCategories,0)),0),TauxHSDefaut))</f>
      </c>
      <c r="F295" s="22">
        <f>IF($A295="","",SUM(IF('POINTAGE'!$D$5&lt;&gt;"",--('POINTAGE'!D295="Présent"),0),IF('POINTAGE'!$F$5&lt;&gt;"",--('POINTAGE'!F295="Présent"),0),IF('POINTAGE'!$H$5&lt;&gt;"",--('POINTAGE'!H295="Présent"),0),IF('POINTAGE'!$J$5&lt;&gt;"",--('POINTAGE'!J295="Présent"),0),IF('POINTAGE'!$L$5&lt;&gt;"",--('POINTAGE'!L295="Présent"),0),IF('POINTAGE'!$N$5&lt;&gt;"",--('POINTAGE'!N295="Présent"),0),IF('POINTAGE'!$P$5&lt;&gt;"",--('POINTAGE'!P295="Présent"),0),IF('POINTAGE'!$R$5&lt;&gt;"",--('POINTAGE'!R295="Présent"),0),IF('POINTAGE'!$T$5&lt;&gt;"",--('POINTAGE'!T295="Présent"),0),IF('POINTAGE'!$V$5&lt;&gt;"",--('POINTAGE'!V295="Présent"),0),IF('POINTAGE'!$X$5&lt;&gt;"",--('POINTAGE'!X295="Présent"),0),IF('POINTAGE'!$Z$5&lt;&gt;"",--('POINTAGE'!Z295="Présent"),0),IF('POINTAGE'!$AB$5&lt;&gt;"",--('POINTAGE'!AB295="Présent"),0),IF('POINTAGE'!$AD$5&lt;&gt;"",--('POINTAGE'!AD295="Présent"),0),IF('POINTAGE'!$AF$5&lt;&gt;"",--('POINTAGE'!AF295="Présent"),0)))</f>
      </c>
      <c r="G295" s="22">
        <f>IF($A295="","",SUM(IF('POINTAGE'!$D$5&lt;&gt;"",--('POINTAGE'!D295="Absent"),0),IF('POINTAGE'!$F$5&lt;&gt;"",--('POINTAGE'!F295="Absent"),0),IF('POINTAGE'!$H$5&lt;&gt;"",--('POINTAGE'!H295="Absent"),0),IF('POINTAGE'!$J$5&lt;&gt;"",--('POINTAGE'!J295="Absent"),0),IF('POINTAGE'!$L$5&lt;&gt;"",--('POINTAGE'!L295="Absent"),0),IF('POINTAGE'!$N$5&lt;&gt;"",--('POINTAGE'!N295="Absent"),0),IF('POINTAGE'!$P$5&lt;&gt;"",--('POINTAGE'!P295="Absent"),0),IF('POINTAGE'!$R$5&lt;&gt;"",--('POINTAGE'!R295="Absent"),0),IF('POINTAGE'!$T$5&lt;&gt;"",--('POINTAGE'!T295="Absent"),0),IF('POINTAGE'!$V$5&lt;&gt;"",--('POINTAGE'!V295="Absent"),0),IF('POINTAGE'!$X$5&lt;&gt;"",--('POINTAGE'!X295="Absent"),0),IF('POINTAGE'!$Z$5&lt;&gt;"",--('POINTAGE'!Z295="Absent"),0),IF('POINTAGE'!$AB$5&lt;&gt;"",--('POINTAGE'!AB295="Absent"),0),IF('POINTAGE'!$AD$5&lt;&gt;"",--('POINTAGE'!AD295="Absent"),0),IF('POINTAGE'!$AF$5&lt;&gt;"",--('POINTAGE'!AF295="Absent"),0)))</f>
      </c>
      <c r="H295" s="23">
        <f>IF($A295="","",SUM(IF('POINTAGE'!$D$5&lt;&gt;"",IF('POINTAGE'!D295="Présent",'POINTAGE'!E295,0),0),IF('POINTAGE'!$F$5&lt;&gt;"",IF('POINTAGE'!F295="Présent",'POINTAGE'!G295,0),0),IF('POINTAGE'!$H$5&lt;&gt;"",IF('POINTAGE'!H295="Présent",'POINTAGE'!I295,0),0),IF('POINTAGE'!$J$5&lt;&gt;"",IF('POINTAGE'!J295="Présent",'POINTAGE'!K295,0),0),IF('POINTAGE'!$L$5&lt;&gt;"",IF('POINTAGE'!L295="Présent",'POINTAGE'!M295,0),0),IF('POINTAGE'!$N$5&lt;&gt;"",IF('POINTAGE'!N295="Présent",'POINTAGE'!O295,0),0),IF('POINTAGE'!$P$5&lt;&gt;"",IF('POINTAGE'!P295="Présent",'POINTAGE'!Q295,0),0),IF('POINTAGE'!$R$5&lt;&gt;"",IF('POINTAGE'!R295="Présent",'POINTAGE'!S295,0),0),IF('POINTAGE'!$T$5&lt;&gt;"",IF('POINTAGE'!T295="Présent",'POINTAGE'!U295,0),0),IF('POINTAGE'!$V$5&lt;&gt;"",IF('POINTAGE'!V295="Présent",'POINTAGE'!W295,0),0),IF('POINTAGE'!$X$5&lt;&gt;"",IF('POINTAGE'!X295="Présent",'POINTAGE'!Y295,0),0),IF('POINTAGE'!$Z$5&lt;&gt;"",IF('POINTAGE'!Z295="Présent",'POINTAGE'!AA295,0),0),IF('POINTAGE'!$AB$5&lt;&gt;"",IF('POINTAGE'!AB295="Présent",'POINTAGE'!AC295,0),0),IF('POINTAGE'!$AD$5&lt;&gt;"",IF('POINTAGE'!AD295="Présent",'POINTAGE'!AE295,0),0),IF('POINTAGE'!$AF$5&lt;&gt;"",IF('POINTAGE'!AF295="Présent",'POINTAGE'!AG295,0),0)))</f>
      </c>
      <c r="I295" s="24">
        <f>IF($A295="","",$F295*$D295)</f>
      </c>
      <c r="J295" s="24">
        <f>IF($A295="","",$H295*$E295)</f>
      </c>
      <c r="K295" s="25">
        <f>IF($A295="","",$I295+$J295)</f>
      </c>
      <c r="L295" s="18"/>
      <c r="M295" s="25">
        <f>IF($A295="","",MAX(0,$K295-$L295))</f>
      </c>
      <c r="N295" s="22">
        <f>IF($A295="","",SUM(IF('POINTAGE'!$AH$5&lt;&gt;"",--('POINTAGE'!AH295="Présent"),0),IF('POINTAGE'!$AJ$5&lt;&gt;"",--('POINTAGE'!AJ295="Présent"),0),IF('POINTAGE'!$AL$5&lt;&gt;"",--('POINTAGE'!AL295="Présent"),0),IF('POINTAGE'!$AN$5&lt;&gt;"",--('POINTAGE'!AN295="Présent"),0),IF('POINTAGE'!$AP$5&lt;&gt;"",--('POINTAGE'!AP295="Présent"),0),IF('POINTAGE'!$AR$5&lt;&gt;"",--('POINTAGE'!AR295="Présent"),0),IF('POINTAGE'!$AT$5&lt;&gt;"",--('POINTAGE'!AT295="Présent"),0),IF('POINTAGE'!$AV$5&lt;&gt;"",--('POINTAGE'!AV295="Présent"),0),IF('POINTAGE'!$AX$5&lt;&gt;"",--('POINTAGE'!AX295="Présent"),0),IF('POINTAGE'!$AZ$5&lt;&gt;"",--('POINTAGE'!AZ295="Présent"),0),IF('POINTAGE'!$BB$5&lt;&gt;"",--('POINTAGE'!BB295="Présent"),0),IF('POINTAGE'!$BD$5&lt;&gt;"",--('POINTAGE'!BD295="Présent"),0),IF('POINTAGE'!$BF$5&lt;&gt;"",--('POINTAGE'!BF295="Présent"),0),IF('POINTAGE'!$BH$5&lt;&gt;"",--('POINTAGE'!BH295="Présent"),0),IF('POINTAGE'!$BJ$5&lt;&gt;"",--('POINTAGE'!BJ295="Présent"),0),IF('POINTAGE'!$BL$5&lt;&gt;"",--('POINTAGE'!BL295="Présent"),0)))</f>
      </c>
      <c r="O295" s="22">
        <f>IF($A295="","",SUM(IF('POINTAGE'!$AH$5&lt;&gt;"",--('POINTAGE'!AH295="Absent"),0),IF('POINTAGE'!$AJ$5&lt;&gt;"",--('POINTAGE'!AJ295="Absent"),0),IF('POINTAGE'!$AL$5&lt;&gt;"",--('POINTAGE'!AL295="Absent"),0),IF('POINTAGE'!$AN$5&lt;&gt;"",--('POINTAGE'!AN295="Absent"),0),IF('POINTAGE'!$AP$5&lt;&gt;"",--('POINTAGE'!AP295="Absent"),0),IF('POINTAGE'!$AR$5&lt;&gt;"",--('POINTAGE'!AR295="Absent"),0),IF('POINTAGE'!$AT$5&lt;&gt;"",--('POINTAGE'!AT295="Absent"),0),IF('POINTAGE'!$AV$5&lt;&gt;"",--('POINTAGE'!AV295="Absent"),0),IF('POINTAGE'!$AX$5&lt;&gt;"",--('POINTAGE'!AX295="Absent"),0),IF('POINTAGE'!$AZ$5&lt;&gt;"",--('POINTAGE'!AZ295="Absent"),0),IF('POINTAGE'!$BB$5&lt;&gt;"",--('POINTAGE'!BB295="Absent"),0),IF('POINTAGE'!$BD$5&lt;&gt;"",--('POINTAGE'!BD295="Absent"),0),IF('POINTAGE'!$BF$5&lt;&gt;"",--('POINTAGE'!BF295="Absent"),0),IF('POINTAGE'!$BH$5&lt;&gt;"",--('POINTAGE'!BH295="Absent"),0),IF('POINTAGE'!$BJ$5&lt;&gt;"",--('POINTAGE'!BJ295="Absent"),0),IF('POINTAGE'!$BL$5&lt;&gt;"",--('POINTAGE'!BL295="Absent"),0)))</f>
      </c>
      <c r="P295" s="23">
        <f>IF($A295="","",SUM(IF('POINTAGE'!$AH$5&lt;&gt;"",IF('POINTAGE'!AH295="Présent",'POINTAGE'!AI295,0),0),IF('POINTAGE'!$AJ$5&lt;&gt;"",IF('POINTAGE'!AJ295="Présent",'POINTAGE'!AK295,0),0),IF('POINTAGE'!$AL$5&lt;&gt;"",IF('POINTAGE'!AL295="Présent",'POINTAGE'!AM295,0),0),IF('POINTAGE'!$AN$5&lt;&gt;"",IF('POINTAGE'!AN295="Présent",'POINTAGE'!AO295,0),0),IF('POINTAGE'!$AP$5&lt;&gt;"",IF('POINTAGE'!AP295="Présent",'POINTAGE'!AQ295,0),0),IF('POINTAGE'!$AR$5&lt;&gt;"",IF('POINTAGE'!AR295="Présent",'POINTAGE'!AS295,0),0),IF('POINTAGE'!$AT$5&lt;&gt;"",IF('POINTAGE'!AT295="Présent",'POINTAGE'!AU295,0),0),IF('POINTAGE'!$AV$5&lt;&gt;"",IF('POINTAGE'!AV295="Présent",'POINTAGE'!AW295,0),0),IF('POINTAGE'!$AX$5&lt;&gt;"",IF('POINTAGE'!AX295="Présent",'POINTAGE'!AY295,0),0),IF('POINTAGE'!$AZ$5&lt;&gt;"",IF('POINTAGE'!AZ295="Présent",'POINTAGE'!BA295,0),0),IF('POINTAGE'!$BB$5&lt;&gt;"",IF('POINTAGE'!BB295="Présent",'POINTAGE'!BC295,0),0),IF('POINTAGE'!$BD$5&lt;&gt;"",IF('POINTAGE'!BD295="Présent",'POINTAGE'!BE295,0),0),IF('POINTAGE'!$BF$5&lt;&gt;"",IF('POINTAGE'!BF295="Présent",'POINTAGE'!BG295,0),0),IF('POINTAGE'!$BH$5&lt;&gt;"",IF('POINTAGE'!BH295="Présent",'POINTAGE'!BI295,0),0),IF('POINTAGE'!$BJ$5&lt;&gt;"",IF('POINTAGE'!BJ295="Présent",'POINTAGE'!BK295,0),0),IF('POINTAGE'!$BL$5&lt;&gt;"",IF('POINTAGE'!BL295="Présent",'POINTAGE'!BM295,0),0)))</f>
      </c>
      <c r="Q295" s="24">
        <f>IF($A295="","",$N295*$D295)</f>
      </c>
      <c r="R295" s="24">
        <f>IF($A295="","",$P295*$E295)</f>
      </c>
      <c r="S295" s="25">
        <f>IF($A295="","",$Q295+$R295)</f>
      </c>
      <c r="T295" s="18"/>
      <c r="U295" s="25">
        <f>IF($A295="","",MAX(0,$S295-$T295))</f>
      </c>
      <c r="V295" s="25">
        <f>IF($A295="","",$K295+$S295)</f>
      </c>
      <c r="W295" s="24">
        <f>IF($A295="","",$L295+$T295)</f>
      </c>
      <c r="X295" s="25">
        <f>IF($A295="","",$M295+$U295)</f>
      </c>
      <c r="Y295" s="29">
        <f>IF($A295="","",$J295+$R295)</f>
      </c>
    </row>
    <row r="296">
      <c r="A296" s="20">
        <f>IF('POINTAGE'!A296="","",'POINTAGE'!A296)</f>
      </c>
      <c r="B296" s="19">
        <f>IF($A296="","",'POINTAGE'!B296)</f>
      </c>
      <c r="C296" s="20">
        <f>IF($A296="","",'POINTAGE'!C296)</f>
      </c>
      <c r="D296" s="24">
        <f>IF($A296="","",IFERROR(INDEX(Categories_Salaire,MATCH($C296,ListeCategories,0)),0))</f>
      </c>
      <c r="E296" s="24">
        <f>IF($A296="","",IF(IFERROR(INDEX(Categories_TauxHS,MATCH($C296,ListeCategories,0)),0)&gt;0,IFERROR(INDEX(Categories_TauxHS,MATCH($C296,ListeCategories,0)),0),TauxHSDefaut))</f>
      </c>
      <c r="F296" s="22">
        <f>IF($A296="","",SUM(IF('POINTAGE'!$D$5&lt;&gt;"",--('POINTAGE'!D296="Présent"),0),IF('POINTAGE'!$F$5&lt;&gt;"",--('POINTAGE'!F296="Présent"),0),IF('POINTAGE'!$H$5&lt;&gt;"",--('POINTAGE'!H296="Présent"),0),IF('POINTAGE'!$J$5&lt;&gt;"",--('POINTAGE'!J296="Présent"),0),IF('POINTAGE'!$L$5&lt;&gt;"",--('POINTAGE'!L296="Présent"),0),IF('POINTAGE'!$N$5&lt;&gt;"",--('POINTAGE'!N296="Présent"),0),IF('POINTAGE'!$P$5&lt;&gt;"",--('POINTAGE'!P296="Présent"),0),IF('POINTAGE'!$R$5&lt;&gt;"",--('POINTAGE'!R296="Présent"),0),IF('POINTAGE'!$T$5&lt;&gt;"",--('POINTAGE'!T296="Présent"),0),IF('POINTAGE'!$V$5&lt;&gt;"",--('POINTAGE'!V296="Présent"),0),IF('POINTAGE'!$X$5&lt;&gt;"",--('POINTAGE'!X296="Présent"),0),IF('POINTAGE'!$Z$5&lt;&gt;"",--('POINTAGE'!Z296="Présent"),0),IF('POINTAGE'!$AB$5&lt;&gt;"",--('POINTAGE'!AB296="Présent"),0),IF('POINTAGE'!$AD$5&lt;&gt;"",--('POINTAGE'!AD296="Présent"),0),IF('POINTAGE'!$AF$5&lt;&gt;"",--('POINTAGE'!AF296="Présent"),0)))</f>
      </c>
      <c r="G296" s="22">
        <f>IF($A296="","",SUM(IF('POINTAGE'!$D$5&lt;&gt;"",--('POINTAGE'!D296="Absent"),0),IF('POINTAGE'!$F$5&lt;&gt;"",--('POINTAGE'!F296="Absent"),0),IF('POINTAGE'!$H$5&lt;&gt;"",--('POINTAGE'!H296="Absent"),0),IF('POINTAGE'!$J$5&lt;&gt;"",--('POINTAGE'!J296="Absent"),0),IF('POINTAGE'!$L$5&lt;&gt;"",--('POINTAGE'!L296="Absent"),0),IF('POINTAGE'!$N$5&lt;&gt;"",--('POINTAGE'!N296="Absent"),0),IF('POINTAGE'!$P$5&lt;&gt;"",--('POINTAGE'!P296="Absent"),0),IF('POINTAGE'!$R$5&lt;&gt;"",--('POINTAGE'!R296="Absent"),0),IF('POINTAGE'!$T$5&lt;&gt;"",--('POINTAGE'!T296="Absent"),0),IF('POINTAGE'!$V$5&lt;&gt;"",--('POINTAGE'!V296="Absent"),0),IF('POINTAGE'!$X$5&lt;&gt;"",--('POINTAGE'!X296="Absent"),0),IF('POINTAGE'!$Z$5&lt;&gt;"",--('POINTAGE'!Z296="Absent"),0),IF('POINTAGE'!$AB$5&lt;&gt;"",--('POINTAGE'!AB296="Absent"),0),IF('POINTAGE'!$AD$5&lt;&gt;"",--('POINTAGE'!AD296="Absent"),0),IF('POINTAGE'!$AF$5&lt;&gt;"",--('POINTAGE'!AF296="Absent"),0)))</f>
      </c>
      <c r="H296" s="23">
        <f>IF($A296="","",SUM(IF('POINTAGE'!$D$5&lt;&gt;"",IF('POINTAGE'!D296="Présent",'POINTAGE'!E296,0),0),IF('POINTAGE'!$F$5&lt;&gt;"",IF('POINTAGE'!F296="Présent",'POINTAGE'!G296,0),0),IF('POINTAGE'!$H$5&lt;&gt;"",IF('POINTAGE'!H296="Présent",'POINTAGE'!I296,0),0),IF('POINTAGE'!$J$5&lt;&gt;"",IF('POINTAGE'!J296="Présent",'POINTAGE'!K296,0),0),IF('POINTAGE'!$L$5&lt;&gt;"",IF('POINTAGE'!L296="Présent",'POINTAGE'!M296,0),0),IF('POINTAGE'!$N$5&lt;&gt;"",IF('POINTAGE'!N296="Présent",'POINTAGE'!O296,0),0),IF('POINTAGE'!$P$5&lt;&gt;"",IF('POINTAGE'!P296="Présent",'POINTAGE'!Q296,0),0),IF('POINTAGE'!$R$5&lt;&gt;"",IF('POINTAGE'!R296="Présent",'POINTAGE'!S296,0),0),IF('POINTAGE'!$T$5&lt;&gt;"",IF('POINTAGE'!T296="Présent",'POINTAGE'!U296,0),0),IF('POINTAGE'!$V$5&lt;&gt;"",IF('POINTAGE'!V296="Présent",'POINTAGE'!W296,0),0),IF('POINTAGE'!$X$5&lt;&gt;"",IF('POINTAGE'!X296="Présent",'POINTAGE'!Y296,0),0),IF('POINTAGE'!$Z$5&lt;&gt;"",IF('POINTAGE'!Z296="Présent",'POINTAGE'!AA296,0),0),IF('POINTAGE'!$AB$5&lt;&gt;"",IF('POINTAGE'!AB296="Présent",'POINTAGE'!AC296,0),0),IF('POINTAGE'!$AD$5&lt;&gt;"",IF('POINTAGE'!AD296="Présent",'POINTAGE'!AE296,0),0),IF('POINTAGE'!$AF$5&lt;&gt;"",IF('POINTAGE'!AF296="Présent",'POINTAGE'!AG296,0),0)))</f>
      </c>
      <c r="I296" s="24">
        <f>IF($A296="","",$F296*$D296)</f>
      </c>
      <c r="J296" s="24">
        <f>IF($A296="","",$H296*$E296)</f>
      </c>
      <c r="K296" s="25">
        <f>IF($A296="","",$I296+$J296)</f>
      </c>
      <c r="L296" s="18"/>
      <c r="M296" s="25">
        <f>IF($A296="","",MAX(0,$K296-$L296))</f>
      </c>
      <c r="N296" s="22">
        <f>IF($A296="","",SUM(IF('POINTAGE'!$AH$5&lt;&gt;"",--('POINTAGE'!AH296="Présent"),0),IF('POINTAGE'!$AJ$5&lt;&gt;"",--('POINTAGE'!AJ296="Présent"),0),IF('POINTAGE'!$AL$5&lt;&gt;"",--('POINTAGE'!AL296="Présent"),0),IF('POINTAGE'!$AN$5&lt;&gt;"",--('POINTAGE'!AN296="Présent"),0),IF('POINTAGE'!$AP$5&lt;&gt;"",--('POINTAGE'!AP296="Présent"),0),IF('POINTAGE'!$AR$5&lt;&gt;"",--('POINTAGE'!AR296="Présent"),0),IF('POINTAGE'!$AT$5&lt;&gt;"",--('POINTAGE'!AT296="Présent"),0),IF('POINTAGE'!$AV$5&lt;&gt;"",--('POINTAGE'!AV296="Présent"),0),IF('POINTAGE'!$AX$5&lt;&gt;"",--('POINTAGE'!AX296="Présent"),0),IF('POINTAGE'!$AZ$5&lt;&gt;"",--('POINTAGE'!AZ296="Présent"),0),IF('POINTAGE'!$BB$5&lt;&gt;"",--('POINTAGE'!BB296="Présent"),0),IF('POINTAGE'!$BD$5&lt;&gt;"",--('POINTAGE'!BD296="Présent"),0),IF('POINTAGE'!$BF$5&lt;&gt;"",--('POINTAGE'!BF296="Présent"),0),IF('POINTAGE'!$BH$5&lt;&gt;"",--('POINTAGE'!BH296="Présent"),0),IF('POINTAGE'!$BJ$5&lt;&gt;"",--('POINTAGE'!BJ296="Présent"),0),IF('POINTAGE'!$BL$5&lt;&gt;"",--('POINTAGE'!BL296="Présent"),0)))</f>
      </c>
      <c r="O296" s="22">
        <f>IF($A296="","",SUM(IF('POINTAGE'!$AH$5&lt;&gt;"",--('POINTAGE'!AH296="Absent"),0),IF('POINTAGE'!$AJ$5&lt;&gt;"",--('POINTAGE'!AJ296="Absent"),0),IF('POINTAGE'!$AL$5&lt;&gt;"",--('POINTAGE'!AL296="Absent"),0),IF('POINTAGE'!$AN$5&lt;&gt;"",--('POINTAGE'!AN296="Absent"),0),IF('POINTAGE'!$AP$5&lt;&gt;"",--('POINTAGE'!AP296="Absent"),0),IF('POINTAGE'!$AR$5&lt;&gt;"",--('POINTAGE'!AR296="Absent"),0),IF('POINTAGE'!$AT$5&lt;&gt;"",--('POINTAGE'!AT296="Absent"),0),IF('POINTAGE'!$AV$5&lt;&gt;"",--('POINTAGE'!AV296="Absent"),0),IF('POINTAGE'!$AX$5&lt;&gt;"",--('POINTAGE'!AX296="Absent"),0),IF('POINTAGE'!$AZ$5&lt;&gt;"",--('POINTAGE'!AZ296="Absent"),0),IF('POINTAGE'!$BB$5&lt;&gt;"",--('POINTAGE'!BB296="Absent"),0),IF('POINTAGE'!$BD$5&lt;&gt;"",--('POINTAGE'!BD296="Absent"),0),IF('POINTAGE'!$BF$5&lt;&gt;"",--('POINTAGE'!BF296="Absent"),0),IF('POINTAGE'!$BH$5&lt;&gt;"",--('POINTAGE'!BH296="Absent"),0),IF('POINTAGE'!$BJ$5&lt;&gt;"",--('POINTAGE'!BJ296="Absent"),0),IF('POINTAGE'!$BL$5&lt;&gt;"",--('POINTAGE'!BL296="Absent"),0)))</f>
      </c>
      <c r="P296" s="23">
        <f>IF($A296="","",SUM(IF('POINTAGE'!$AH$5&lt;&gt;"",IF('POINTAGE'!AH296="Présent",'POINTAGE'!AI296,0),0),IF('POINTAGE'!$AJ$5&lt;&gt;"",IF('POINTAGE'!AJ296="Présent",'POINTAGE'!AK296,0),0),IF('POINTAGE'!$AL$5&lt;&gt;"",IF('POINTAGE'!AL296="Présent",'POINTAGE'!AM296,0),0),IF('POINTAGE'!$AN$5&lt;&gt;"",IF('POINTAGE'!AN296="Présent",'POINTAGE'!AO296,0),0),IF('POINTAGE'!$AP$5&lt;&gt;"",IF('POINTAGE'!AP296="Présent",'POINTAGE'!AQ296,0),0),IF('POINTAGE'!$AR$5&lt;&gt;"",IF('POINTAGE'!AR296="Présent",'POINTAGE'!AS296,0),0),IF('POINTAGE'!$AT$5&lt;&gt;"",IF('POINTAGE'!AT296="Présent",'POINTAGE'!AU296,0),0),IF('POINTAGE'!$AV$5&lt;&gt;"",IF('POINTAGE'!AV296="Présent",'POINTAGE'!AW296,0),0),IF('POINTAGE'!$AX$5&lt;&gt;"",IF('POINTAGE'!AX296="Présent",'POINTAGE'!AY296,0),0),IF('POINTAGE'!$AZ$5&lt;&gt;"",IF('POINTAGE'!AZ296="Présent",'POINTAGE'!BA296,0),0),IF('POINTAGE'!$BB$5&lt;&gt;"",IF('POINTAGE'!BB296="Présent",'POINTAGE'!BC296,0),0),IF('POINTAGE'!$BD$5&lt;&gt;"",IF('POINTAGE'!BD296="Présent",'POINTAGE'!BE296,0),0),IF('POINTAGE'!$BF$5&lt;&gt;"",IF('POINTAGE'!BF296="Présent",'POINTAGE'!BG296,0),0),IF('POINTAGE'!$BH$5&lt;&gt;"",IF('POINTAGE'!BH296="Présent",'POINTAGE'!BI296,0),0),IF('POINTAGE'!$BJ$5&lt;&gt;"",IF('POINTAGE'!BJ296="Présent",'POINTAGE'!BK296,0),0),IF('POINTAGE'!$BL$5&lt;&gt;"",IF('POINTAGE'!BL296="Présent",'POINTAGE'!BM296,0),0)))</f>
      </c>
      <c r="Q296" s="24">
        <f>IF($A296="","",$N296*$D296)</f>
      </c>
      <c r="R296" s="24">
        <f>IF($A296="","",$P296*$E296)</f>
      </c>
      <c r="S296" s="25">
        <f>IF($A296="","",$Q296+$R296)</f>
      </c>
      <c r="T296" s="18"/>
      <c r="U296" s="25">
        <f>IF($A296="","",MAX(0,$S296-$T296))</f>
      </c>
      <c r="V296" s="25">
        <f>IF($A296="","",$K296+$S296)</f>
      </c>
      <c r="W296" s="24">
        <f>IF($A296="","",$L296+$T296)</f>
      </c>
      <c r="X296" s="25">
        <f>IF($A296="","",$M296+$U296)</f>
      </c>
      <c r="Y296" s="29">
        <f>IF($A296="","",$J296+$R296)</f>
      </c>
    </row>
    <row r="297">
      <c r="A297" s="20">
        <f>IF('POINTAGE'!A297="","",'POINTAGE'!A297)</f>
      </c>
      <c r="B297" s="19">
        <f>IF($A297="","",'POINTAGE'!B297)</f>
      </c>
      <c r="C297" s="20">
        <f>IF($A297="","",'POINTAGE'!C297)</f>
      </c>
      <c r="D297" s="24">
        <f>IF($A297="","",IFERROR(INDEX(Categories_Salaire,MATCH($C297,ListeCategories,0)),0))</f>
      </c>
      <c r="E297" s="24">
        <f>IF($A297="","",IF(IFERROR(INDEX(Categories_TauxHS,MATCH($C297,ListeCategories,0)),0)&gt;0,IFERROR(INDEX(Categories_TauxHS,MATCH($C297,ListeCategories,0)),0),TauxHSDefaut))</f>
      </c>
      <c r="F297" s="22">
        <f>IF($A297="","",SUM(IF('POINTAGE'!$D$5&lt;&gt;"",--('POINTAGE'!D297="Présent"),0),IF('POINTAGE'!$F$5&lt;&gt;"",--('POINTAGE'!F297="Présent"),0),IF('POINTAGE'!$H$5&lt;&gt;"",--('POINTAGE'!H297="Présent"),0),IF('POINTAGE'!$J$5&lt;&gt;"",--('POINTAGE'!J297="Présent"),0),IF('POINTAGE'!$L$5&lt;&gt;"",--('POINTAGE'!L297="Présent"),0),IF('POINTAGE'!$N$5&lt;&gt;"",--('POINTAGE'!N297="Présent"),0),IF('POINTAGE'!$P$5&lt;&gt;"",--('POINTAGE'!P297="Présent"),0),IF('POINTAGE'!$R$5&lt;&gt;"",--('POINTAGE'!R297="Présent"),0),IF('POINTAGE'!$T$5&lt;&gt;"",--('POINTAGE'!T297="Présent"),0),IF('POINTAGE'!$V$5&lt;&gt;"",--('POINTAGE'!V297="Présent"),0),IF('POINTAGE'!$X$5&lt;&gt;"",--('POINTAGE'!X297="Présent"),0),IF('POINTAGE'!$Z$5&lt;&gt;"",--('POINTAGE'!Z297="Présent"),0),IF('POINTAGE'!$AB$5&lt;&gt;"",--('POINTAGE'!AB297="Présent"),0),IF('POINTAGE'!$AD$5&lt;&gt;"",--('POINTAGE'!AD297="Présent"),0),IF('POINTAGE'!$AF$5&lt;&gt;"",--('POINTAGE'!AF297="Présent"),0)))</f>
      </c>
      <c r="G297" s="22">
        <f>IF($A297="","",SUM(IF('POINTAGE'!$D$5&lt;&gt;"",--('POINTAGE'!D297="Absent"),0),IF('POINTAGE'!$F$5&lt;&gt;"",--('POINTAGE'!F297="Absent"),0),IF('POINTAGE'!$H$5&lt;&gt;"",--('POINTAGE'!H297="Absent"),0),IF('POINTAGE'!$J$5&lt;&gt;"",--('POINTAGE'!J297="Absent"),0),IF('POINTAGE'!$L$5&lt;&gt;"",--('POINTAGE'!L297="Absent"),0),IF('POINTAGE'!$N$5&lt;&gt;"",--('POINTAGE'!N297="Absent"),0),IF('POINTAGE'!$P$5&lt;&gt;"",--('POINTAGE'!P297="Absent"),0),IF('POINTAGE'!$R$5&lt;&gt;"",--('POINTAGE'!R297="Absent"),0),IF('POINTAGE'!$T$5&lt;&gt;"",--('POINTAGE'!T297="Absent"),0),IF('POINTAGE'!$V$5&lt;&gt;"",--('POINTAGE'!V297="Absent"),0),IF('POINTAGE'!$X$5&lt;&gt;"",--('POINTAGE'!X297="Absent"),0),IF('POINTAGE'!$Z$5&lt;&gt;"",--('POINTAGE'!Z297="Absent"),0),IF('POINTAGE'!$AB$5&lt;&gt;"",--('POINTAGE'!AB297="Absent"),0),IF('POINTAGE'!$AD$5&lt;&gt;"",--('POINTAGE'!AD297="Absent"),0),IF('POINTAGE'!$AF$5&lt;&gt;"",--('POINTAGE'!AF297="Absent"),0)))</f>
      </c>
      <c r="H297" s="23">
        <f>IF($A297="","",SUM(IF('POINTAGE'!$D$5&lt;&gt;"",IF('POINTAGE'!D297="Présent",'POINTAGE'!E297,0),0),IF('POINTAGE'!$F$5&lt;&gt;"",IF('POINTAGE'!F297="Présent",'POINTAGE'!G297,0),0),IF('POINTAGE'!$H$5&lt;&gt;"",IF('POINTAGE'!H297="Présent",'POINTAGE'!I297,0),0),IF('POINTAGE'!$J$5&lt;&gt;"",IF('POINTAGE'!J297="Présent",'POINTAGE'!K297,0),0),IF('POINTAGE'!$L$5&lt;&gt;"",IF('POINTAGE'!L297="Présent",'POINTAGE'!M297,0),0),IF('POINTAGE'!$N$5&lt;&gt;"",IF('POINTAGE'!N297="Présent",'POINTAGE'!O297,0),0),IF('POINTAGE'!$P$5&lt;&gt;"",IF('POINTAGE'!P297="Présent",'POINTAGE'!Q297,0),0),IF('POINTAGE'!$R$5&lt;&gt;"",IF('POINTAGE'!R297="Présent",'POINTAGE'!S297,0),0),IF('POINTAGE'!$T$5&lt;&gt;"",IF('POINTAGE'!T297="Présent",'POINTAGE'!U297,0),0),IF('POINTAGE'!$V$5&lt;&gt;"",IF('POINTAGE'!V297="Présent",'POINTAGE'!W297,0),0),IF('POINTAGE'!$X$5&lt;&gt;"",IF('POINTAGE'!X297="Présent",'POINTAGE'!Y297,0),0),IF('POINTAGE'!$Z$5&lt;&gt;"",IF('POINTAGE'!Z297="Présent",'POINTAGE'!AA297,0),0),IF('POINTAGE'!$AB$5&lt;&gt;"",IF('POINTAGE'!AB297="Présent",'POINTAGE'!AC297,0),0),IF('POINTAGE'!$AD$5&lt;&gt;"",IF('POINTAGE'!AD297="Présent",'POINTAGE'!AE297,0),0),IF('POINTAGE'!$AF$5&lt;&gt;"",IF('POINTAGE'!AF297="Présent",'POINTAGE'!AG297,0),0)))</f>
      </c>
      <c r="I297" s="24">
        <f>IF($A297="","",$F297*$D297)</f>
      </c>
      <c r="J297" s="24">
        <f>IF($A297="","",$H297*$E297)</f>
      </c>
      <c r="K297" s="25">
        <f>IF($A297="","",$I297+$J297)</f>
      </c>
      <c r="L297" s="18"/>
      <c r="M297" s="25">
        <f>IF($A297="","",MAX(0,$K297-$L297))</f>
      </c>
      <c r="N297" s="22">
        <f>IF($A297="","",SUM(IF('POINTAGE'!$AH$5&lt;&gt;"",--('POINTAGE'!AH297="Présent"),0),IF('POINTAGE'!$AJ$5&lt;&gt;"",--('POINTAGE'!AJ297="Présent"),0),IF('POINTAGE'!$AL$5&lt;&gt;"",--('POINTAGE'!AL297="Présent"),0),IF('POINTAGE'!$AN$5&lt;&gt;"",--('POINTAGE'!AN297="Présent"),0),IF('POINTAGE'!$AP$5&lt;&gt;"",--('POINTAGE'!AP297="Présent"),0),IF('POINTAGE'!$AR$5&lt;&gt;"",--('POINTAGE'!AR297="Présent"),0),IF('POINTAGE'!$AT$5&lt;&gt;"",--('POINTAGE'!AT297="Présent"),0),IF('POINTAGE'!$AV$5&lt;&gt;"",--('POINTAGE'!AV297="Présent"),0),IF('POINTAGE'!$AX$5&lt;&gt;"",--('POINTAGE'!AX297="Présent"),0),IF('POINTAGE'!$AZ$5&lt;&gt;"",--('POINTAGE'!AZ297="Présent"),0),IF('POINTAGE'!$BB$5&lt;&gt;"",--('POINTAGE'!BB297="Présent"),0),IF('POINTAGE'!$BD$5&lt;&gt;"",--('POINTAGE'!BD297="Présent"),0),IF('POINTAGE'!$BF$5&lt;&gt;"",--('POINTAGE'!BF297="Présent"),0),IF('POINTAGE'!$BH$5&lt;&gt;"",--('POINTAGE'!BH297="Présent"),0),IF('POINTAGE'!$BJ$5&lt;&gt;"",--('POINTAGE'!BJ297="Présent"),0),IF('POINTAGE'!$BL$5&lt;&gt;"",--('POINTAGE'!BL297="Présent"),0)))</f>
      </c>
      <c r="O297" s="22">
        <f>IF($A297="","",SUM(IF('POINTAGE'!$AH$5&lt;&gt;"",--('POINTAGE'!AH297="Absent"),0),IF('POINTAGE'!$AJ$5&lt;&gt;"",--('POINTAGE'!AJ297="Absent"),0),IF('POINTAGE'!$AL$5&lt;&gt;"",--('POINTAGE'!AL297="Absent"),0),IF('POINTAGE'!$AN$5&lt;&gt;"",--('POINTAGE'!AN297="Absent"),0),IF('POINTAGE'!$AP$5&lt;&gt;"",--('POINTAGE'!AP297="Absent"),0),IF('POINTAGE'!$AR$5&lt;&gt;"",--('POINTAGE'!AR297="Absent"),0),IF('POINTAGE'!$AT$5&lt;&gt;"",--('POINTAGE'!AT297="Absent"),0),IF('POINTAGE'!$AV$5&lt;&gt;"",--('POINTAGE'!AV297="Absent"),0),IF('POINTAGE'!$AX$5&lt;&gt;"",--('POINTAGE'!AX297="Absent"),0),IF('POINTAGE'!$AZ$5&lt;&gt;"",--('POINTAGE'!AZ297="Absent"),0),IF('POINTAGE'!$BB$5&lt;&gt;"",--('POINTAGE'!BB297="Absent"),0),IF('POINTAGE'!$BD$5&lt;&gt;"",--('POINTAGE'!BD297="Absent"),0),IF('POINTAGE'!$BF$5&lt;&gt;"",--('POINTAGE'!BF297="Absent"),0),IF('POINTAGE'!$BH$5&lt;&gt;"",--('POINTAGE'!BH297="Absent"),0),IF('POINTAGE'!$BJ$5&lt;&gt;"",--('POINTAGE'!BJ297="Absent"),0),IF('POINTAGE'!$BL$5&lt;&gt;"",--('POINTAGE'!BL297="Absent"),0)))</f>
      </c>
      <c r="P297" s="23">
        <f>IF($A297="","",SUM(IF('POINTAGE'!$AH$5&lt;&gt;"",IF('POINTAGE'!AH297="Présent",'POINTAGE'!AI297,0),0),IF('POINTAGE'!$AJ$5&lt;&gt;"",IF('POINTAGE'!AJ297="Présent",'POINTAGE'!AK297,0),0),IF('POINTAGE'!$AL$5&lt;&gt;"",IF('POINTAGE'!AL297="Présent",'POINTAGE'!AM297,0),0),IF('POINTAGE'!$AN$5&lt;&gt;"",IF('POINTAGE'!AN297="Présent",'POINTAGE'!AO297,0),0),IF('POINTAGE'!$AP$5&lt;&gt;"",IF('POINTAGE'!AP297="Présent",'POINTAGE'!AQ297,0),0),IF('POINTAGE'!$AR$5&lt;&gt;"",IF('POINTAGE'!AR297="Présent",'POINTAGE'!AS297,0),0),IF('POINTAGE'!$AT$5&lt;&gt;"",IF('POINTAGE'!AT297="Présent",'POINTAGE'!AU297,0),0),IF('POINTAGE'!$AV$5&lt;&gt;"",IF('POINTAGE'!AV297="Présent",'POINTAGE'!AW297,0),0),IF('POINTAGE'!$AX$5&lt;&gt;"",IF('POINTAGE'!AX297="Présent",'POINTAGE'!AY297,0),0),IF('POINTAGE'!$AZ$5&lt;&gt;"",IF('POINTAGE'!AZ297="Présent",'POINTAGE'!BA297,0),0),IF('POINTAGE'!$BB$5&lt;&gt;"",IF('POINTAGE'!BB297="Présent",'POINTAGE'!BC297,0),0),IF('POINTAGE'!$BD$5&lt;&gt;"",IF('POINTAGE'!BD297="Présent",'POINTAGE'!BE297,0),0),IF('POINTAGE'!$BF$5&lt;&gt;"",IF('POINTAGE'!BF297="Présent",'POINTAGE'!BG297,0),0),IF('POINTAGE'!$BH$5&lt;&gt;"",IF('POINTAGE'!BH297="Présent",'POINTAGE'!BI297,0),0),IF('POINTAGE'!$BJ$5&lt;&gt;"",IF('POINTAGE'!BJ297="Présent",'POINTAGE'!BK297,0),0),IF('POINTAGE'!$BL$5&lt;&gt;"",IF('POINTAGE'!BL297="Présent",'POINTAGE'!BM297,0),0)))</f>
      </c>
      <c r="Q297" s="24">
        <f>IF($A297="","",$N297*$D297)</f>
      </c>
      <c r="R297" s="24">
        <f>IF($A297="","",$P297*$E297)</f>
      </c>
      <c r="S297" s="25">
        <f>IF($A297="","",$Q297+$R297)</f>
      </c>
      <c r="T297" s="18"/>
      <c r="U297" s="25">
        <f>IF($A297="","",MAX(0,$S297-$T297))</f>
      </c>
      <c r="V297" s="25">
        <f>IF($A297="","",$K297+$S297)</f>
      </c>
      <c r="W297" s="24">
        <f>IF($A297="","",$L297+$T297)</f>
      </c>
      <c r="X297" s="25">
        <f>IF($A297="","",$M297+$U297)</f>
      </c>
      <c r="Y297" s="29">
        <f>IF($A297="","",$J297+$R297)</f>
      </c>
    </row>
    <row r="298">
      <c r="A298" s="20">
        <f>IF('POINTAGE'!A298="","",'POINTAGE'!A298)</f>
      </c>
      <c r="B298" s="19">
        <f>IF($A298="","",'POINTAGE'!B298)</f>
      </c>
      <c r="C298" s="20">
        <f>IF($A298="","",'POINTAGE'!C298)</f>
      </c>
      <c r="D298" s="24">
        <f>IF($A298="","",IFERROR(INDEX(Categories_Salaire,MATCH($C298,ListeCategories,0)),0))</f>
      </c>
      <c r="E298" s="24">
        <f>IF($A298="","",IF(IFERROR(INDEX(Categories_TauxHS,MATCH($C298,ListeCategories,0)),0)&gt;0,IFERROR(INDEX(Categories_TauxHS,MATCH($C298,ListeCategories,0)),0),TauxHSDefaut))</f>
      </c>
      <c r="F298" s="22">
        <f>IF($A298="","",SUM(IF('POINTAGE'!$D$5&lt;&gt;"",--('POINTAGE'!D298="Présent"),0),IF('POINTAGE'!$F$5&lt;&gt;"",--('POINTAGE'!F298="Présent"),0),IF('POINTAGE'!$H$5&lt;&gt;"",--('POINTAGE'!H298="Présent"),0),IF('POINTAGE'!$J$5&lt;&gt;"",--('POINTAGE'!J298="Présent"),0),IF('POINTAGE'!$L$5&lt;&gt;"",--('POINTAGE'!L298="Présent"),0),IF('POINTAGE'!$N$5&lt;&gt;"",--('POINTAGE'!N298="Présent"),0),IF('POINTAGE'!$P$5&lt;&gt;"",--('POINTAGE'!P298="Présent"),0),IF('POINTAGE'!$R$5&lt;&gt;"",--('POINTAGE'!R298="Présent"),0),IF('POINTAGE'!$T$5&lt;&gt;"",--('POINTAGE'!T298="Présent"),0),IF('POINTAGE'!$V$5&lt;&gt;"",--('POINTAGE'!V298="Présent"),0),IF('POINTAGE'!$X$5&lt;&gt;"",--('POINTAGE'!X298="Présent"),0),IF('POINTAGE'!$Z$5&lt;&gt;"",--('POINTAGE'!Z298="Présent"),0),IF('POINTAGE'!$AB$5&lt;&gt;"",--('POINTAGE'!AB298="Présent"),0),IF('POINTAGE'!$AD$5&lt;&gt;"",--('POINTAGE'!AD298="Présent"),0),IF('POINTAGE'!$AF$5&lt;&gt;"",--('POINTAGE'!AF298="Présent"),0)))</f>
      </c>
      <c r="G298" s="22">
        <f>IF($A298="","",SUM(IF('POINTAGE'!$D$5&lt;&gt;"",--('POINTAGE'!D298="Absent"),0),IF('POINTAGE'!$F$5&lt;&gt;"",--('POINTAGE'!F298="Absent"),0),IF('POINTAGE'!$H$5&lt;&gt;"",--('POINTAGE'!H298="Absent"),0),IF('POINTAGE'!$J$5&lt;&gt;"",--('POINTAGE'!J298="Absent"),0),IF('POINTAGE'!$L$5&lt;&gt;"",--('POINTAGE'!L298="Absent"),0),IF('POINTAGE'!$N$5&lt;&gt;"",--('POINTAGE'!N298="Absent"),0),IF('POINTAGE'!$P$5&lt;&gt;"",--('POINTAGE'!P298="Absent"),0),IF('POINTAGE'!$R$5&lt;&gt;"",--('POINTAGE'!R298="Absent"),0),IF('POINTAGE'!$T$5&lt;&gt;"",--('POINTAGE'!T298="Absent"),0),IF('POINTAGE'!$V$5&lt;&gt;"",--('POINTAGE'!V298="Absent"),0),IF('POINTAGE'!$X$5&lt;&gt;"",--('POINTAGE'!X298="Absent"),0),IF('POINTAGE'!$Z$5&lt;&gt;"",--('POINTAGE'!Z298="Absent"),0),IF('POINTAGE'!$AB$5&lt;&gt;"",--('POINTAGE'!AB298="Absent"),0),IF('POINTAGE'!$AD$5&lt;&gt;"",--('POINTAGE'!AD298="Absent"),0),IF('POINTAGE'!$AF$5&lt;&gt;"",--('POINTAGE'!AF298="Absent"),0)))</f>
      </c>
      <c r="H298" s="23">
        <f>IF($A298="","",SUM(IF('POINTAGE'!$D$5&lt;&gt;"",IF('POINTAGE'!D298="Présent",'POINTAGE'!E298,0),0),IF('POINTAGE'!$F$5&lt;&gt;"",IF('POINTAGE'!F298="Présent",'POINTAGE'!G298,0),0),IF('POINTAGE'!$H$5&lt;&gt;"",IF('POINTAGE'!H298="Présent",'POINTAGE'!I298,0),0),IF('POINTAGE'!$J$5&lt;&gt;"",IF('POINTAGE'!J298="Présent",'POINTAGE'!K298,0),0),IF('POINTAGE'!$L$5&lt;&gt;"",IF('POINTAGE'!L298="Présent",'POINTAGE'!M298,0),0),IF('POINTAGE'!$N$5&lt;&gt;"",IF('POINTAGE'!N298="Présent",'POINTAGE'!O298,0),0),IF('POINTAGE'!$P$5&lt;&gt;"",IF('POINTAGE'!P298="Présent",'POINTAGE'!Q298,0),0),IF('POINTAGE'!$R$5&lt;&gt;"",IF('POINTAGE'!R298="Présent",'POINTAGE'!S298,0),0),IF('POINTAGE'!$T$5&lt;&gt;"",IF('POINTAGE'!T298="Présent",'POINTAGE'!U298,0),0),IF('POINTAGE'!$V$5&lt;&gt;"",IF('POINTAGE'!V298="Présent",'POINTAGE'!W298,0),0),IF('POINTAGE'!$X$5&lt;&gt;"",IF('POINTAGE'!X298="Présent",'POINTAGE'!Y298,0),0),IF('POINTAGE'!$Z$5&lt;&gt;"",IF('POINTAGE'!Z298="Présent",'POINTAGE'!AA298,0),0),IF('POINTAGE'!$AB$5&lt;&gt;"",IF('POINTAGE'!AB298="Présent",'POINTAGE'!AC298,0),0),IF('POINTAGE'!$AD$5&lt;&gt;"",IF('POINTAGE'!AD298="Présent",'POINTAGE'!AE298,0),0),IF('POINTAGE'!$AF$5&lt;&gt;"",IF('POINTAGE'!AF298="Présent",'POINTAGE'!AG298,0),0)))</f>
      </c>
      <c r="I298" s="24">
        <f>IF($A298="","",$F298*$D298)</f>
      </c>
      <c r="J298" s="24">
        <f>IF($A298="","",$H298*$E298)</f>
      </c>
      <c r="K298" s="25">
        <f>IF($A298="","",$I298+$J298)</f>
      </c>
      <c r="L298" s="18"/>
      <c r="M298" s="25">
        <f>IF($A298="","",MAX(0,$K298-$L298))</f>
      </c>
      <c r="N298" s="22">
        <f>IF($A298="","",SUM(IF('POINTAGE'!$AH$5&lt;&gt;"",--('POINTAGE'!AH298="Présent"),0),IF('POINTAGE'!$AJ$5&lt;&gt;"",--('POINTAGE'!AJ298="Présent"),0),IF('POINTAGE'!$AL$5&lt;&gt;"",--('POINTAGE'!AL298="Présent"),0),IF('POINTAGE'!$AN$5&lt;&gt;"",--('POINTAGE'!AN298="Présent"),0),IF('POINTAGE'!$AP$5&lt;&gt;"",--('POINTAGE'!AP298="Présent"),0),IF('POINTAGE'!$AR$5&lt;&gt;"",--('POINTAGE'!AR298="Présent"),0),IF('POINTAGE'!$AT$5&lt;&gt;"",--('POINTAGE'!AT298="Présent"),0),IF('POINTAGE'!$AV$5&lt;&gt;"",--('POINTAGE'!AV298="Présent"),0),IF('POINTAGE'!$AX$5&lt;&gt;"",--('POINTAGE'!AX298="Présent"),0),IF('POINTAGE'!$AZ$5&lt;&gt;"",--('POINTAGE'!AZ298="Présent"),0),IF('POINTAGE'!$BB$5&lt;&gt;"",--('POINTAGE'!BB298="Présent"),0),IF('POINTAGE'!$BD$5&lt;&gt;"",--('POINTAGE'!BD298="Présent"),0),IF('POINTAGE'!$BF$5&lt;&gt;"",--('POINTAGE'!BF298="Présent"),0),IF('POINTAGE'!$BH$5&lt;&gt;"",--('POINTAGE'!BH298="Présent"),0),IF('POINTAGE'!$BJ$5&lt;&gt;"",--('POINTAGE'!BJ298="Présent"),0),IF('POINTAGE'!$BL$5&lt;&gt;"",--('POINTAGE'!BL298="Présent"),0)))</f>
      </c>
      <c r="O298" s="22">
        <f>IF($A298="","",SUM(IF('POINTAGE'!$AH$5&lt;&gt;"",--('POINTAGE'!AH298="Absent"),0),IF('POINTAGE'!$AJ$5&lt;&gt;"",--('POINTAGE'!AJ298="Absent"),0),IF('POINTAGE'!$AL$5&lt;&gt;"",--('POINTAGE'!AL298="Absent"),0),IF('POINTAGE'!$AN$5&lt;&gt;"",--('POINTAGE'!AN298="Absent"),0),IF('POINTAGE'!$AP$5&lt;&gt;"",--('POINTAGE'!AP298="Absent"),0),IF('POINTAGE'!$AR$5&lt;&gt;"",--('POINTAGE'!AR298="Absent"),0),IF('POINTAGE'!$AT$5&lt;&gt;"",--('POINTAGE'!AT298="Absent"),0),IF('POINTAGE'!$AV$5&lt;&gt;"",--('POINTAGE'!AV298="Absent"),0),IF('POINTAGE'!$AX$5&lt;&gt;"",--('POINTAGE'!AX298="Absent"),0),IF('POINTAGE'!$AZ$5&lt;&gt;"",--('POINTAGE'!AZ298="Absent"),0),IF('POINTAGE'!$BB$5&lt;&gt;"",--('POINTAGE'!BB298="Absent"),0),IF('POINTAGE'!$BD$5&lt;&gt;"",--('POINTAGE'!BD298="Absent"),0),IF('POINTAGE'!$BF$5&lt;&gt;"",--('POINTAGE'!BF298="Absent"),0),IF('POINTAGE'!$BH$5&lt;&gt;"",--('POINTAGE'!BH298="Absent"),0),IF('POINTAGE'!$BJ$5&lt;&gt;"",--('POINTAGE'!BJ298="Absent"),0),IF('POINTAGE'!$BL$5&lt;&gt;"",--('POINTAGE'!BL298="Absent"),0)))</f>
      </c>
      <c r="P298" s="23">
        <f>IF($A298="","",SUM(IF('POINTAGE'!$AH$5&lt;&gt;"",IF('POINTAGE'!AH298="Présent",'POINTAGE'!AI298,0),0),IF('POINTAGE'!$AJ$5&lt;&gt;"",IF('POINTAGE'!AJ298="Présent",'POINTAGE'!AK298,0),0),IF('POINTAGE'!$AL$5&lt;&gt;"",IF('POINTAGE'!AL298="Présent",'POINTAGE'!AM298,0),0),IF('POINTAGE'!$AN$5&lt;&gt;"",IF('POINTAGE'!AN298="Présent",'POINTAGE'!AO298,0),0),IF('POINTAGE'!$AP$5&lt;&gt;"",IF('POINTAGE'!AP298="Présent",'POINTAGE'!AQ298,0),0),IF('POINTAGE'!$AR$5&lt;&gt;"",IF('POINTAGE'!AR298="Présent",'POINTAGE'!AS298,0),0),IF('POINTAGE'!$AT$5&lt;&gt;"",IF('POINTAGE'!AT298="Présent",'POINTAGE'!AU298,0),0),IF('POINTAGE'!$AV$5&lt;&gt;"",IF('POINTAGE'!AV298="Présent",'POINTAGE'!AW298,0),0),IF('POINTAGE'!$AX$5&lt;&gt;"",IF('POINTAGE'!AX298="Présent",'POINTAGE'!AY298,0),0),IF('POINTAGE'!$AZ$5&lt;&gt;"",IF('POINTAGE'!AZ298="Présent",'POINTAGE'!BA298,0),0),IF('POINTAGE'!$BB$5&lt;&gt;"",IF('POINTAGE'!BB298="Présent",'POINTAGE'!BC298,0),0),IF('POINTAGE'!$BD$5&lt;&gt;"",IF('POINTAGE'!BD298="Présent",'POINTAGE'!BE298,0),0),IF('POINTAGE'!$BF$5&lt;&gt;"",IF('POINTAGE'!BF298="Présent",'POINTAGE'!BG298,0),0),IF('POINTAGE'!$BH$5&lt;&gt;"",IF('POINTAGE'!BH298="Présent",'POINTAGE'!BI298,0),0),IF('POINTAGE'!$BJ$5&lt;&gt;"",IF('POINTAGE'!BJ298="Présent",'POINTAGE'!BK298,0),0),IF('POINTAGE'!$BL$5&lt;&gt;"",IF('POINTAGE'!BL298="Présent",'POINTAGE'!BM298,0),0)))</f>
      </c>
      <c r="Q298" s="24">
        <f>IF($A298="","",$N298*$D298)</f>
      </c>
      <c r="R298" s="24">
        <f>IF($A298="","",$P298*$E298)</f>
      </c>
      <c r="S298" s="25">
        <f>IF($A298="","",$Q298+$R298)</f>
      </c>
      <c r="T298" s="18"/>
      <c r="U298" s="25">
        <f>IF($A298="","",MAX(0,$S298-$T298))</f>
      </c>
      <c r="V298" s="25">
        <f>IF($A298="","",$K298+$S298)</f>
      </c>
      <c r="W298" s="24">
        <f>IF($A298="","",$L298+$T298)</f>
      </c>
      <c r="X298" s="25">
        <f>IF($A298="","",$M298+$U298)</f>
      </c>
      <c r="Y298" s="29">
        <f>IF($A298="","",$J298+$R298)</f>
      </c>
    </row>
    <row r="299">
      <c r="A299" s="20">
        <f>IF('POINTAGE'!A299="","",'POINTAGE'!A299)</f>
      </c>
      <c r="B299" s="19">
        <f>IF($A299="","",'POINTAGE'!B299)</f>
      </c>
      <c r="C299" s="20">
        <f>IF($A299="","",'POINTAGE'!C299)</f>
      </c>
      <c r="D299" s="24">
        <f>IF($A299="","",IFERROR(INDEX(Categories_Salaire,MATCH($C299,ListeCategories,0)),0))</f>
      </c>
      <c r="E299" s="24">
        <f>IF($A299="","",IF(IFERROR(INDEX(Categories_TauxHS,MATCH($C299,ListeCategories,0)),0)&gt;0,IFERROR(INDEX(Categories_TauxHS,MATCH($C299,ListeCategories,0)),0),TauxHSDefaut))</f>
      </c>
      <c r="F299" s="22">
        <f>IF($A299="","",SUM(IF('POINTAGE'!$D$5&lt;&gt;"",--('POINTAGE'!D299="Présent"),0),IF('POINTAGE'!$F$5&lt;&gt;"",--('POINTAGE'!F299="Présent"),0),IF('POINTAGE'!$H$5&lt;&gt;"",--('POINTAGE'!H299="Présent"),0),IF('POINTAGE'!$J$5&lt;&gt;"",--('POINTAGE'!J299="Présent"),0),IF('POINTAGE'!$L$5&lt;&gt;"",--('POINTAGE'!L299="Présent"),0),IF('POINTAGE'!$N$5&lt;&gt;"",--('POINTAGE'!N299="Présent"),0),IF('POINTAGE'!$P$5&lt;&gt;"",--('POINTAGE'!P299="Présent"),0),IF('POINTAGE'!$R$5&lt;&gt;"",--('POINTAGE'!R299="Présent"),0),IF('POINTAGE'!$T$5&lt;&gt;"",--('POINTAGE'!T299="Présent"),0),IF('POINTAGE'!$V$5&lt;&gt;"",--('POINTAGE'!V299="Présent"),0),IF('POINTAGE'!$X$5&lt;&gt;"",--('POINTAGE'!X299="Présent"),0),IF('POINTAGE'!$Z$5&lt;&gt;"",--('POINTAGE'!Z299="Présent"),0),IF('POINTAGE'!$AB$5&lt;&gt;"",--('POINTAGE'!AB299="Présent"),0),IF('POINTAGE'!$AD$5&lt;&gt;"",--('POINTAGE'!AD299="Présent"),0),IF('POINTAGE'!$AF$5&lt;&gt;"",--('POINTAGE'!AF299="Présent"),0)))</f>
      </c>
      <c r="G299" s="22">
        <f>IF($A299="","",SUM(IF('POINTAGE'!$D$5&lt;&gt;"",--('POINTAGE'!D299="Absent"),0),IF('POINTAGE'!$F$5&lt;&gt;"",--('POINTAGE'!F299="Absent"),0),IF('POINTAGE'!$H$5&lt;&gt;"",--('POINTAGE'!H299="Absent"),0),IF('POINTAGE'!$J$5&lt;&gt;"",--('POINTAGE'!J299="Absent"),0),IF('POINTAGE'!$L$5&lt;&gt;"",--('POINTAGE'!L299="Absent"),0),IF('POINTAGE'!$N$5&lt;&gt;"",--('POINTAGE'!N299="Absent"),0),IF('POINTAGE'!$P$5&lt;&gt;"",--('POINTAGE'!P299="Absent"),0),IF('POINTAGE'!$R$5&lt;&gt;"",--('POINTAGE'!R299="Absent"),0),IF('POINTAGE'!$T$5&lt;&gt;"",--('POINTAGE'!T299="Absent"),0),IF('POINTAGE'!$V$5&lt;&gt;"",--('POINTAGE'!V299="Absent"),0),IF('POINTAGE'!$X$5&lt;&gt;"",--('POINTAGE'!X299="Absent"),0),IF('POINTAGE'!$Z$5&lt;&gt;"",--('POINTAGE'!Z299="Absent"),0),IF('POINTAGE'!$AB$5&lt;&gt;"",--('POINTAGE'!AB299="Absent"),0),IF('POINTAGE'!$AD$5&lt;&gt;"",--('POINTAGE'!AD299="Absent"),0),IF('POINTAGE'!$AF$5&lt;&gt;"",--('POINTAGE'!AF299="Absent"),0)))</f>
      </c>
      <c r="H299" s="23">
        <f>IF($A299="","",SUM(IF('POINTAGE'!$D$5&lt;&gt;"",IF('POINTAGE'!D299="Présent",'POINTAGE'!E299,0),0),IF('POINTAGE'!$F$5&lt;&gt;"",IF('POINTAGE'!F299="Présent",'POINTAGE'!G299,0),0),IF('POINTAGE'!$H$5&lt;&gt;"",IF('POINTAGE'!H299="Présent",'POINTAGE'!I299,0),0),IF('POINTAGE'!$J$5&lt;&gt;"",IF('POINTAGE'!J299="Présent",'POINTAGE'!K299,0),0),IF('POINTAGE'!$L$5&lt;&gt;"",IF('POINTAGE'!L299="Présent",'POINTAGE'!M299,0),0),IF('POINTAGE'!$N$5&lt;&gt;"",IF('POINTAGE'!N299="Présent",'POINTAGE'!O299,0),0),IF('POINTAGE'!$P$5&lt;&gt;"",IF('POINTAGE'!P299="Présent",'POINTAGE'!Q299,0),0),IF('POINTAGE'!$R$5&lt;&gt;"",IF('POINTAGE'!R299="Présent",'POINTAGE'!S299,0),0),IF('POINTAGE'!$T$5&lt;&gt;"",IF('POINTAGE'!T299="Présent",'POINTAGE'!U299,0),0),IF('POINTAGE'!$V$5&lt;&gt;"",IF('POINTAGE'!V299="Présent",'POINTAGE'!W299,0),0),IF('POINTAGE'!$X$5&lt;&gt;"",IF('POINTAGE'!X299="Présent",'POINTAGE'!Y299,0),0),IF('POINTAGE'!$Z$5&lt;&gt;"",IF('POINTAGE'!Z299="Présent",'POINTAGE'!AA299,0),0),IF('POINTAGE'!$AB$5&lt;&gt;"",IF('POINTAGE'!AB299="Présent",'POINTAGE'!AC299,0),0),IF('POINTAGE'!$AD$5&lt;&gt;"",IF('POINTAGE'!AD299="Présent",'POINTAGE'!AE299,0),0),IF('POINTAGE'!$AF$5&lt;&gt;"",IF('POINTAGE'!AF299="Présent",'POINTAGE'!AG299,0),0)))</f>
      </c>
      <c r="I299" s="24">
        <f>IF($A299="","",$F299*$D299)</f>
      </c>
      <c r="J299" s="24">
        <f>IF($A299="","",$H299*$E299)</f>
      </c>
      <c r="K299" s="25">
        <f>IF($A299="","",$I299+$J299)</f>
      </c>
      <c r="L299" s="18"/>
      <c r="M299" s="25">
        <f>IF($A299="","",MAX(0,$K299-$L299))</f>
      </c>
      <c r="N299" s="22">
        <f>IF($A299="","",SUM(IF('POINTAGE'!$AH$5&lt;&gt;"",--('POINTAGE'!AH299="Présent"),0),IF('POINTAGE'!$AJ$5&lt;&gt;"",--('POINTAGE'!AJ299="Présent"),0),IF('POINTAGE'!$AL$5&lt;&gt;"",--('POINTAGE'!AL299="Présent"),0),IF('POINTAGE'!$AN$5&lt;&gt;"",--('POINTAGE'!AN299="Présent"),0),IF('POINTAGE'!$AP$5&lt;&gt;"",--('POINTAGE'!AP299="Présent"),0),IF('POINTAGE'!$AR$5&lt;&gt;"",--('POINTAGE'!AR299="Présent"),0),IF('POINTAGE'!$AT$5&lt;&gt;"",--('POINTAGE'!AT299="Présent"),0),IF('POINTAGE'!$AV$5&lt;&gt;"",--('POINTAGE'!AV299="Présent"),0),IF('POINTAGE'!$AX$5&lt;&gt;"",--('POINTAGE'!AX299="Présent"),0),IF('POINTAGE'!$AZ$5&lt;&gt;"",--('POINTAGE'!AZ299="Présent"),0),IF('POINTAGE'!$BB$5&lt;&gt;"",--('POINTAGE'!BB299="Présent"),0),IF('POINTAGE'!$BD$5&lt;&gt;"",--('POINTAGE'!BD299="Présent"),0),IF('POINTAGE'!$BF$5&lt;&gt;"",--('POINTAGE'!BF299="Présent"),0),IF('POINTAGE'!$BH$5&lt;&gt;"",--('POINTAGE'!BH299="Présent"),0),IF('POINTAGE'!$BJ$5&lt;&gt;"",--('POINTAGE'!BJ299="Présent"),0),IF('POINTAGE'!$BL$5&lt;&gt;"",--('POINTAGE'!BL299="Présent"),0)))</f>
      </c>
      <c r="O299" s="22">
        <f>IF($A299="","",SUM(IF('POINTAGE'!$AH$5&lt;&gt;"",--('POINTAGE'!AH299="Absent"),0),IF('POINTAGE'!$AJ$5&lt;&gt;"",--('POINTAGE'!AJ299="Absent"),0),IF('POINTAGE'!$AL$5&lt;&gt;"",--('POINTAGE'!AL299="Absent"),0),IF('POINTAGE'!$AN$5&lt;&gt;"",--('POINTAGE'!AN299="Absent"),0),IF('POINTAGE'!$AP$5&lt;&gt;"",--('POINTAGE'!AP299="Absent"),0),IF('POINTAGE'!$AR$5&lt;&gt;"",--('POINTAGE'!AR299="Absent"),0),IF('POINTAGE'!$AT$5&lt;&gt;"",--('POINTAGE'!AT299="Absent"),0),IF('POINTAGE'!$AV$5&lt;&gt;"",--('POINTAGE'!AV299="Absent"),0),IF('POINTAGE'!$AX$5&lt;&gt;"",--('POINTAGE'!AX299="Absent"),0),IF('POINTAGE'!$AZ$5&lt;&gt;"",--('POINTAGE'!AZ299="Absent"),0),IF('POINTAGE'!$BB$5&lt;&gt;"",--('POINTAGE'!BB299="Absent"),0),IF('POINTAGE'!$BD$5&lt;&gt;"",--('POINTAGE'!BD299="Absent"),0),IF('POINTAGE'!$BF$5&lt;&gt;"",--('POINTAGE'!BF299="Absent"),0),IF('POINTAGE'!$BH$5&lt;&gt;"",--('POINTAGE'!BH299="Absent"),0),IF('POINTAGE'!$BJ$5&lt;&gt;"",--('POINTAGE'!BJ299="Absent"),0),IF('POINTAGE'!$BL$5&lt;&gt;"",--('POINTAGE'!BL299="Absent"),0)))</f>
      </c>
      <c r="P299" s="23">
        <f>IF($A299="","",SUM(IF('POINTAGE'!$AH$5&lt;&gt;"",IF('POINTAGE'!AH299="Présent",'POINTAGE'!AI299,0),0),IF('POINTAGE'!$AJ$5&lt;&gt;"",IF('POINTAGE'!AJ299="Présent",'POINTAGE'!AK299,0),0),IF('POINTAGE'!$AL$5&lt;&gt;"",IF('POINTAGE'!AL299="Présent",'POINTAGE'!AM299,0),0),IF('POINTAGE'!$AN$5&lt;&gt;"",IF('POINTAGE'!AN299="Présent",'POINTAGE'!AO299,0),0),IF('POINTAGE'!$AP$5&lt;&gt;"",IF('POINTAGE'!AP299="Présent",'POINTAGE'!AQ299,0),0),IF('POINTAGE'!$AR$5&lt;&gt;"",IF('POINTAGE'!AR299="Présent",'POINTAGE'!AS299,0),0),IF('POINTAGE'!$AT$5&lt;&gt;"",IF('POINTAGE'!AT299="Présent",'POINTAGE'!AU299,0),0),IF('POINTAGE'!$AV$5&lt;&gt;"",IF('POINTAGE'!AV299="Présent",'POINTAGE'!AW299,0),0),IF('POINTAGE'!$AX$5&lt;&gt;"",IF('POINTAGE'!AX299="Présent",'POINTAGE'!AY299,0),0),IF('POINTAGE'!$AZ$5&lt;&gt;"",IF('POINTAGE'!AZ299="Présent",'POINTAGE'!BA299,0),0),IF('POINTAGE'!$BB$5&lt;&gt;"",IF('POINTAGE'!BB299="Présent",'POINTAGE'!BC299,0),0),IF('POINTAGE'!$BD$5&lt;&gt;"",IF('POINTAGE'!BD299="Présent",'POINTAGE'!BE299,0),0),IF('POINTAGE'!$BF$5&lt;&gt;"",IF('POINTAGE'!BF299="Présent",'POINTAGE'!BG299,0),0),IF('POINTAGE'!$BH$5&lt;&gt;"",IF('POINTAGE'!BH299="Présent",'POINTAGE'!BI299,0),0),IF('POINTAGE'!$BJ$5&lt;&gt;"",IF('POINTAGE'!BJ299="Présent",'POINTAGE'!BK299,0),0),IF('POINTAGE'!$BL$5&lt;&gt;"",IF('POINTAGE'!BL299="Présent",'POINTAGE'!BM299,0),0)))</f>
      </c>
      <c r="Q299" s="24">
        <f>IF($A299="","",$N299*$D299)</f>
      </c>
      <c r="R299" s="24">
        <f>IF($A299="","",$P299*$E299)</f>
      </c>
      <c r="S299" s="25">
        <f>IF($A299="","",$Q299+$R299)</f>
      </c>
      <c r="T299" s="18"/>
      <c r="U299" s="25">
        <f>IF($A299="","",MAX(0,$S299-$T299))</f>
      </c>
      <c r="V299" s="25">
        <f>IF($A299="","",$K299+$S299)</f>
      </c>
      <c r="W299" s="24">
        <f>IF($A299="","",$L299+$T299)</f>
      </c>
      <c r="X299" s="25">
        <f>IF($A299="","",$M299+$U299)</f>
      </c>
      <c r="Y299" s="29">
        <f>IF($A299="","",$J299+$R299)</f>
      </c>
    </row>
    <row r="300">
      <c r="A300" s="20">
        <f>IF('POINTAGE'!A300="","",'POINTAGE'!A300)</f>
      </c>
      <c r="B300" s="19">
        <f>IF($A300="","",'POINTAGE'!B300)</f>
      </c>
      <c r="C300" s="20">
        <f>IF($A300="","",'POINTAGE'!C300)</f>
      </c>
      <c r="D300" s="24">
        <f>IF($A300="","",IFERROR(INDEX(Categories_Salaire,MATCH($C300,ListeCategories,0)),0))</f>
      </c>
      <c r="E300" s="24">
        <f>IF($A300="","",IF(IFERROR(INDEX(Categories_TauxHS,MATCH($C300,ListeCategories,0)),0)&gt;0,IFERROR(INDEX(Categories_TauxHS,MATCH($C300,ListeCategories,0)),0),TauxHSDefaut))</f>
      </c>
      <c r="F300" s="22">
        <f>IF($A300="","",SUM(IF('POINTAGE'!$D$5&lt;&gt;"",--('POINTAGE'!D300="Présent"),0),IF('POINTAGE'!$F$5&lt;&gt;"",--('POINTAGE'!F300="Présent"),0),IF('POINTAGE'!$H$5&lt;&gt;"",--('POINTAGE'!H300="Présent"),0),IF('POINTAGE'!$J$5&lt;&gt;"",--('POINTAGE'!J300="Présent"),0),IF('POINTAGE'!$L$5&lt;&gt;"",--('POINTAGE'!L300="Présent"),0),IF('POINTAGE'!$N$5&lt;&gt;"",--('POINTAGE'!N300="Présent"),0),IF('POINTAGE'!$P$5&lt;&gt;"",--('POINTAGE'!P300="Présent"),0),IF('POINTAGE'!$R$5&lt;&gt;"",--('POINTAGE'!R300="Présent"),0),IF('POINTAGE'!$T$5&lt;&gt;"",--('POINTAGE'!T300="Présent"),0),IF('POINTAGE'!$V$5&lt;&gt;"",--('POINTAGE'!V300="Présent"),0),IF('POINTAGE'!$X$5&lt;&gt;"",--('POINTAGE'!X300="Présent"),0),IF('POINTAGE'!$Z$5&lt;&gt;"",--('POINTAGE'!Z300="Présent"),0),IF('POINTAGE'!$AB$5&lt;&gt;"",--('POINTAGE'!AB300="Présent"),0),IF('POINTAGE'!$AD$5&lt;&gt;"",--('POINTAGE'!AD300="Présent"),0),IF('POINTAGE'!$AF$5&lt;&gt;"",--('POINTAGE'!AF300="Présent"),0)))</f>
      </c>
      <c r="G300" s="22">
        <f>IF($A300="","",SUM(IF('POINTAGE'!$D$5&lt;&gt;"",--('POINTAGE'!D300="Absent"),0),IF('POINTAGE'!$F$5&lt;&gt;"",--('POINTAGE'!F300="Absent"),0),IF('POINTAGE'!$H$5&lt;&gt;"",--('POINTAGE'!H300="Absent"),0),IF('POINTAGE'!$J$5&lt;&gt;"",--('POINTAGE'!J300="Absent"),0),IF('POINTAGE'!$L$5&lt;&gt;"",--('POINTAGE'!L300="Absent"),0),IF('POINTAGE'!$N$5&lt;&gt;"",--('POINTAGE'!N300="Absent"),0),IF('POINTAGE'!$P$5&lt;&gt;"",--('POINTAGE'!P300="Absent"),0),IF('POINTAGE'!$R$5&lt;&gt;"",--('POINTAGE'!R300="Absent"),0),IF('POINTAGE'!$T$5&lt;&gt;"",--('POINTAGE'!T300="Absent"),0),IF('POINTAGE'!$V$5&lt;&gt;"",--('POINTAGE'!V300="Absent"),0),IF('POINTAGE'!$X$5&lt;&gt;"",--('POINTAGE'!X300="Absent"),0),IF('POINTAGE'!$Z$5&lt;&gt;"",--('POINTAGE'!Z300="Absent"),0),IF('POINTAGE'!$AB$5&lt;&gt;"",--('POINTAGE'!AB300="Absent"),0),IF('POINTAGE'!$AD$5&lt;&gt;"",--('POINTAGE'!AD300="Absent"),0),IF('POINTAGE'!$AF$5&lt;&gt;"",--('POINTAGE'!AF300="Absent"),0)))</f>
      </c>
      <c r="H300" s="23">
        <f>IF($A300="","",SUM(IF('POINTAGE'!$D$5&lt;&gt;"",IF('POINTAGE'!D300="Présent",'POINTAGE'!E300,0),0),IF('POINTAGE'!$F$5&lt;&gt;"",IF('POINTAGE'!F300="Présent",'POINTAGE'!G300,0),0),IF('POINTAGE'!$H$5&lt;&gt;"",IF('POINTAGE'!H300="Présent",'POINTAGE'!I300,0),0),IF('POINTAGE'!$J$5&lt;&gt;"",IF('POINTAGE'!J300="Présent",'POINTAGE'!K300,0),0),IF('POINTAGE'!$L$5&lt;&gt;"",IF('POINTAGE'!L300="Présent",'POINTAGE'!M300,0),0),IF('POINTAGE'!$N$5&lt;&gt;"",IF('POINTAGE'!N300="Présent",'POINTAGE'!O300,0),0),IF('POINTAGE'!$P$5&lt;&gt;"",IF('POINTAGE'!P300="Présent",'POINTAGE'!Q300,0),0),IF('POINTAGE'!$R$5&lt;&gt;"",IF('POINTAGE'!R300="Présent",'POINTAGE'!S300,0),0),IF('POINTAGE'!$T$5&lt;&gt;"",IF('POINTAGE'!T300="Présent",'POINTAGE'!U300,0),0),IF('POINTAGE'!$V$5&lt;&gt;"",IF('POINTAGE'!V300="Présent",'POINTAGE'!W300,0),0),IF('POINTAGE'!$X$5&lt;&gt;"",IF('POINTAGE'!X300="Présent",'POINTAGE'!Y300,0),0),IF('POINTAGE'!$Z$5&lt;&gt;"",IF('POINTAGE'!Z300="Présent",'POINTAGE'!AA300,0),0),IF('POINTAGE'!$AB$5&lt;&gt;"",IF('POINTAGE'!AB300="Présent",'POINTAGE'!AC300,0),0),IF('POINTAGE'!$AD$5&lt;&gt;"",IF('POINTAGE'!AD300="Présent",'POINTAGE'!AE300,0),0),IF('POINTAGE'!$AF$5&lt;&gt;"",IF('POINTAGE'!AF300="Présent",'POINTAGE'!AG300,0),0)))</f>
      </c>
      <c r="I300" s="24">
        <f>IF($A300="","",$F300*$D300)</f>
      </c>
      <c r="J300" s="24">
        <f>IF($A300="","",$H300*$E300)</f>
      </c>
      <c r="K300" s="25">
        <f>IF($A300="","",$I300+$J300)</f>
      </c>
      <c r="L300" s="18"/>
      <c r="M300" s="25">
        <f>IF($A300="","",MAX(0,$K300-$L300))</f>
      </c>
      <c r="N300" s="22">
        <f>IF($A300="","",SUM(IF('POINTAGE'!$AH$5&lt;&gt;"",--('POINTAGE'!AH300="Présent"),0),IF('POINTAGE'!$AJ$5&lt;&gt;"",--('POINTAGE'!AJ300="Présent"),0),IF('POINTAGE'!$AL$5&lt;&gt;"",--('POINTAGE'!AL300="Présent"),0),IF('POINTAGE'!$AN$5&lt;&gt;"",--('POINTAGE'!AN300="Présent"),0),IF('POINTAGE'!$AP$5&lt;&gt;"",--('POINTAGE'!AP300="Présent"),0),IF('POINTAGE'!$AR$5&lt;&gt;"",--('POINTAGE'!AR300="Présent"),0),IF('POINTAGE'!$AT$5&lt;&gt;"",--('POINTAGE'!AT300="Présent"),0),IF('POINTAGE'!$AV$5&lt;&gt;"",--('POINTAGE'!AV300="Présent"),0),IF('POINTAGE'!$AX$5&lt;&gt;"",--('POINTAGE'!AX300="Présent"),0),IF('POINTAGE'!$AZ$5&lt;&gt;"",--('POINTAGE'!AZ300="Présent"),0),IF('POINTAGE'!$BB$5&lt;&gt;"",--('POINTAGE'!BB300="Présent"),0),IF('POINTAGE'!$BD$5&lt;&gt;"",--('POINTAGE'!BD300="Présent"),0),IF('POINTAGE'!$BF$5&lt;&gt;"",--('POINTAGE'!BF300="Présent"),0),IF('POINTAGE'!$BH$5&lt;&gt;"",--('POINTAGE'!BH300="Présent"),0),IF('POINTAGE'!$BJ$5&lt;&gt;"",--('POINTAGE'!BJ300="Présent"),0),IF('POINTAGE'!$BL$5&lt;&gt;"",--('POINTAGE'!BL300="Présent"),0)))</f>
      </c>
      <c r="O300" s="22">
        <f>IF($A300="","",SUM(IF('POINTAGE'!$AH$5&lt;&gt;"",--('POINTAGE'!AH300="Absent"),0),IF('POINTAGE'!$AJ$5&lt;&gt;"",--('POINTAGE'!AJ300="Absent"),0),IF('POINTAGE'!$AL$5&lt;&gt;"",--('POINTAGE'!AL300="Absent"),0),IF('POINTAGE'!$AN$5&lt;&gt;"",--('POINTAGE'!AN300="Absent"),0),IF('POINTAGE'!$AP$5&lt;&gt;"",--('POINTAGE'!AP300="Absent"),0),IF('POINTAGE'!$AR$5&lt;&gt;"",--('POINTAGE'!AR300="Absent"),0),IF('POINTAGE'!$AT$5&lt;&gt;"",--('POINTAGE'!AT300="Absent"),0),IF('POINTAGE'!$AV$5&lt;&gt;"",--('POINTAGE'!AV300="Absent"),0),IF('POINTAGE'!$AX$5&lt;&gt;"",--('POINTAGE'!AX300="Absent"),0),IF('POINTAGE'!$AZ$5&lt;&gt;"",--('POINTAGE'!AZ300="Absent"),0),IF('POINTAGE'!$BB$5&lt;&gt;"",--('POINTAGE'!BB300="Absent"),0),IF('POINTAGE'!$BD$5&lt;&gt;"",--('POINTAGE'!BD300="Absent"),0),IF('POINTAGE'!$BF$5&lt;&gt;"",--('POINTAGE'!BF300="Absent"),0),IF('POINTAGE'!$BH$5&lt;&gt;"",--('POINTAGE'!BH300="Absent"),0),IF('POINTAGE'!$BJ$5&lt;&gt;"",--('POINTAGE'!BJ300="Absent"),0),IF('POINTAGE'!$BL$5&lt;&gt;"",--('POINTAGE'!BL300="Absent"),0)))</f>
      </c>
      <c r="P300" s="23">
        <f>IF($A300="","",SUM(IF('POINTAGE'!$AH$5&lt;&gt;"",IF('POINTAGE'!AH300="Présent",'POINTAGE'!AI300,0),0),IF('POINTAGE'!$AJ$5&lt;&gt;"",IF('POINTAGE'!AJ300="Présent",'POINTAGE'!AK300,0),0),IF('POINTAGE'!$AL$5&lt;&gt;"",IF('POINTAGE'!AL300="Présent",'POINTAGE'!AM300,0),0),IF('POINTAGE'!$AN$5&lt;&gt;"",IF('POINTAGE'!AN300="Présent",'POINTAGE'!AO300,0),0),IF('POINTAGE'!$AP$5&lt;&gt;"",IF('POINTAGE'!AP300="Présent",'POINTAGE'!AQ300,0),0),IF('POINTAGE'!$AR$5&lt;&gt;"",IF('POINTAGE'!AR300="Présent",'POINTAGE'!AS300,0),0),IF('POINTAGE'!$AT$5&lt;&gt;"",IF('POINTAGE'!AT300="Présent",'POINTAGE'!AU300,0),0),IF('POINTAGE'!$AV$5&lt;&gt;"",IF('POINTAGE'!AV300="Présent",'POINTAGE'!AW300,0),0),IF('POINTAGE'!$AX$5&lt;&gt;"",IF('POINTAGE'!AX300="Présent",'POINTAGE'!AY300,0),0),IF('POINTAGE'!$AZ$5&lt;&gt;"",IF('POINTAGE'!AZ300="Présent",'POINTAGE'!BA300,0),0),IF('POINTAGE'!$BB$5&lt;&gt;"",IF('POINTAGE'!BB300="Présent",'POINTAGE'!BC300,0),0),IF('POINTAGE'!$BD$5&lt;&gt;"",IF('POINTAGE'!BD300="Présent",'POINTAGE'!BE300,0),0),IF('POINTAGE'!$BF$5&lt;&gt;"",IF('POINTAGE'!BF300="Présent",'POINTAGE'!BG300,0),0),IF('POINTAGE'!$BH$5&lt;&gt;"",IF('POINTAGE'!BH300="Présent",'POINTAGE'!BI300,0),0),IF('POINTAGE'!$BJ$5&lt;&gt;"",IF('POINTAGE'!BJ300="Présent",'POINTAGE'!BK300,0),0),IF('POINTAGE'!$BL$5&lt;&gt;"",IF('POINTAGE'!BL300="Présent",'POINTAGE'!BM300,0),0)))</f>
      </c>
      <c r="Q300" s="24">
        <f>IF($A300="","",$N300*$D300)</f>
      </c>
      <c r="R300" s="24">
        <f>IF($A300="","",$P300*$E300)</f>
      </c>
      <c r="S300" s="25">
        <f>IF($A300="","",$Q300+$R300)</f>
      </c>
      <c r="T300" s="18"/>
      <c r="U300" s="25">
        <f>IF($A300="","",MAX(0,$S300-$T300))</f>
      </c>
      <c r="V300" s="25">
        <f>IF($A300="","",$K300+$S300)</f>
      </c>
      <c r="W300" s="24">
        <f>IF($A300="","",$L300+$T300)</f>
      </c>
      <c r="X300" s="25">
        <f>IF($A300="","",$M300+$U300)</f>
      </c>
      <c r="Y300" s="29">
        <f>IF($A300="","",$J300+$R300)</f>
      </c>
    </row>
    <row r="301">
      <c r="A301" s="20">
        <f>IF('POINTAGE'!A301="","",'POINTAGE'!A301)</f>
      </c>
      <c r="B301" s="19">
        <f>IF($A301="","",'POINTAGE'!B301)</f>
      </c>
      <c r="C301" s="20">
        <f>IF($A301="","",'POINTAGE'!C301)</f>
      </c>
      <c r="D301" s="24">
        <f>IF($A301="","",IFERROR(INDEX(Categories_Salaire,MATCH($C301,ListeCategories,0)),0))</f>
      </c>
      <c r="E301" s="24">
        <f>IF($A301="","",IF(IFERROR(INDEX(Categories_TauxHS,MATCH($C301,ListeCategories,0)),0)&gt;0,IFERROR(INDEX(Categories_TauxHS,MATCH($C301,ListeCategories,0)),0),TauxHSDefaut))</f>
      </c>
      <c r="F301" s="22">
        <f>IF($A301="","",SUM(IF('POINTAGE'!$D$5&lt;&gt;"",--('POINTAGE'!D301="Présent"),0),IF('POINTAGE'!$F$5&lt;&gt;"",--('POINTAGE'!F301="Présent"),0),IF('POINTAGE'!$H$5&lt;&gt;"",--('POINTAGE'!H301="Présent"),0),IF('POINTAGE'!$J$5&lt;&gt;"",--('POINTAGE'!J301="Présent"),0),IF('POINTAGE'!$L$5&lt;&gt;"",--('POINTAGE'!L301="Présent"),0),IF('POINTAGE'!$N$5&lt;&gt;"",--('POINTAGE'!N301="Présent"),0),IF('POINTAGE'!$P$5&lt;&gt;"",--('POINTAGE'!P301="Présent"),0),IF('POINTAGE'!$R$5&lt;&gt;"",--('POINTAGE'!R301="Présent"),0),IF('POINTAGE'!$T$5&lt;&gt;"",--('POINTAGE'!T301="Présent"),0),IF('POINTAGE'!$V$5&lt;&gt;"",--('POINTAGE'!V301="Présent"),0),IF('POINTAGE'!$X$5&lt;&gt;"",--('POINTAGE'!X301="Présent"),0),IF('POINTAGE'!$Z$5&lt;&gt;"",--('POINTAGE'!Z301="Présent"),0),IF('POINTAGE'!$AB$5&lt;&gt;"",--('POINTAGE'!AB301="Présent"),0),IF('POINTAGE'!$AD$5&lt;&gt;"",--('POINTAGE'!AD301="Présent"),0),IF('POINTAGE'!$AF$5&lt;&gt;"",--('POINTAGE'!AF301="Présent"),0)))</f>
      </c>
      <c r="G301" s="22">
        <f>IF($A301="","",SUM(IF('POINTAGE'!$D$5&lt;&gt;"",--('POINTAGE'!D301="Absent"),0),IF('POINTAGE'!$F$5&lt;&gt;"",--('POINTAGE'!F301="Absent"),0),IF('POINTAGE'!$H$5&lt;&gt;"",--('POINTAGE'!H301="Absent"),0),IF('POINTAGE'!$J$5&lt;&gt;"",--('POINTAGE'!J301="Absent"),0),IF('POINTAGE'!$L$5&lt;&gt;"",--('POINTAGE'!L301="Absent"),0),IF('POINTAGE'!$N$5&lt;&gt;"",--('POINTAGE'!N301="Absent"),0),IF('POINTAGE'!$P$5&lt;&gt;"",--('POINTAGE'!P301="Absent"),0),IF('POINTAGE'!$R$5&lt;&gt;"",--('POINTAGE'!R301="Absent"),0),IF('POINTAGE'!$T$5&lt;&gt;"",--('POINTAGE'!T301="Absent"),0),IF('POINTAGE'!$V$5&lt;&gt;"",--('POINTAGE'!V301="Absent"),0),IF('POINTAGE'!$X$5&lt;&gt;"",--('POINTAGE'!X301="Absent"),0),IF('POINTAGE'!$Z$5&lt;&gt;"",--('POINTAGE'!Z301="Absent"),0),IF('POINTAGE'!$AB$5&lt;&gt;"",--('POINTAGE'!AB301="Absent"),0),IF('POINTAGE'!$AD$5&lt;&gt;"",--('POINTAGE'!AD301="Absent"),0),IF('POINTAGE'!$AF$5&lt;&gt;"",--('POINTAGE'!AF301="Absent"),0)))</f>
      </c>
      <c r="H301" s="23">
        <f>IF($A301="","",SUM(IF('POINTAGE'!$D$5&lt;&gt;"",IF('POINTAGE'!D301="Présent",'POINTAGE'!E301,0),0),IF('POINTAGE'!$F$5&lt;&gt;"",IF('POINTAGE'!F301="Présent",'POINTAGE'!G301,0),0),IF('POINTAGE'!$H$5&lt;&gt;"",IF('POINTAGE'!H301="Présent",'POINTAGE'!I301,0),0),IF('POINTAGE'!$J$5&lt;&gt;"",IF('POINTAGE'!J301="Présent",'POINTAGE'!K301,0),0),IF('POINTAGE'!$L$5&lt;&gt;"",IF('POINTAGE'!L301="Présent",'POINTAGE'!M301,0),0),IF('POINTAGE'!$N$5&lt;&gt;"",IF('POINTAGE'!N301="Présent",'POINTAGE'!O301,0),0),IF('POINTAGE'!$P$5&lt;&gt;"",IF('POINTAGE'!P301="Présent",'POINTAGE'!Q301,0),0),IF('POINTAGE'!$R$5&lt;&gt;"",IF('POINTAGE'!R301="Présent",'POINTAGE'!S301,0),0),IF('POINTAGE'!$T$5&lt;&gt;"",IF('POINTAGE'!T301="Présent",'POINTAGE'!U301,0),0),IF('POINTAGE'!$V$5&lt;&gt;"",IF('POINTAGE'!V301="Présent",'POINTAGE'!W301,0),0),IF('POINTAGE'!$X$5&lt;&gt;"",IF('POINTAGE'!X301="Présent",'POINTAGE'!Y301,0),0),IF('POINTAGE'!$Z$5&lt;&gt;"",IF('POINTAGE'!Z301="Présent",'POINTAGE'!AA301,0),0),IF('POINTAGE'!$AB$5&lt;&gt;"",IF('POINTAGE'!AB301="Présent",'POINTAGE'!AC301,0),0),IF('POINTAGE'!$AD$5&lt;&gt;"",IF('POINTAGE'!AD301="Présent",'POINTAGE'!AE301,0),0),IF('POINTAGE'!$AF$5&lt;&gt;"",IF('POINTAGE'!AF301="Présent",'POINTAGE'!AG301,0),0)))</f>
      </c>
      <c r="I301" s="24">
        <f>IF($A301="","",$F301*$D301)</f>
      </c>
      <c r="J301" s="24">
        <f>IF($A301="","",$H301*$E301)</f>
      </c>
      <c r="K301" s="25">
        <f>IF($A301="","",$I301+$J301)</f>
      </c>
      <c r="L301" s="18"/>
      <c r="M301" s="25">
        <f>IF($A301="","",MAX(0,$K301-$L301))</f>
      </c>
      <c r="N301" s="22">
        <f>IF($A301="","",SUM(IF('POINTAGE'!$AH$5&lt;&gt;"",--('POINTAGE'!AH301="Présent"),0),IF('POINTAGE'!$AJ$5&lt;&gt;"",--('POINTAGE'!AJ301="Présent"),0),IF('POINTAGE'!$AL$5&lt;&gt;"",--('POINTAGE'!AL301="Présent"),0),IF('POINTAGE'!$AN$5&lt;&gt;"",--('POINTAGE'!AN301="Présent"),0),IF('POINTAGE'!$AP$5&lt;&gt;"",--('POINTAGE'!AP301="Présent"),0),IF('POINTAGE'!$AR$5&lt;&gt;"",--('POINTAGE'!AR301="Présent"),0),IF('POINTAGE'!$AT$5&lt;&gt;"",--('POINTAGE'!AT301="Présent"),0),IF('POINTAGE'!$AV$5&lt;&gt;"",--('POINTAGE'!AV301="Présent"),0),IF('POINTAGE'!$AX$5&lt;&gt;"",--('POINTAGE'!AX301="Présent"),0),IF('POINTAGE'!$AZ$5&lt;&gt;"",--('POINTAGE'!AZ301="Présent"),0),IF('POINTAGE'!$BB$5&lt;&gt;"",--('POINTAGE'!BB301="Présent"),0),IF('POINTAGE'!$BD$5&lt;&gt;"",--('POINTAGE'!BD301="Présent"),0),IF('POINTAGE'!$BF$5&lt;&gt;"",--('POINTAGE'!BF301="Présent"),0),IF('POINTAGE'!$BH$5&lt;&gt;"",--('POINTAGE'!BH301="Présent"),0),IF('POINTAGE'!$BJ$5&lt;&gt;"",--('POINTAGE'!BJ301="Présent"),0),IF('POINTAGE'!$BL$5&lt;&gt;"",--('POINTAGE'!BL301="Présent"),0)))</f>
      </c>
      <c r="O301" s="22">
        <f>IF($A301="","",SUM(IF('POINTAGE'!$AH$5&lt;&gt;"",--('POINTAGE'!AH301="Absent"),0),IF('POINTAGE'!$AJ$5&lt;&gt;"",--('POINTAGE'!AJ301="Absent"),0),IF('POINTAGE'!$AL$5&lt;&gt;"",--('POINTAGE'!AL301="Absent"),0),IF('POINTAGE'!$AN$5&lt;&gt;"",--('POINTAGE'!AN301="Absent"),0),IF('POINTAGE'!$AP$5&lt;&gt;"",--('POINTAGE'!AP301="Absent"),0),IF('POINTAGE'!$AR$5&lt;&gt;"",--('POINTAGE'!AR301="Absent"),0),IF('POINTAGE'!$AT$5&lt;&gt;"",--('POINTAGE'!AT301="Absent"),0),IF('POINTAGE'!$AV$5&lt;&gt;"",--('POINTAGE'!AV301="Absent"),0),IF('POINTAGE'!$AX$5&lt;&gt;"",--('POINTAGE'!AX301="Absent"),0),IF('POINTAGE'!$AZ$5&lt;&gt;"",--('POINTAGE'!AZ301="Absent"),0),IF('POINTAGE'!$BB$5&lt;&gt;"",--('POINTAGE'!BB301="Absent"),0),IF('POINTAGE'!$BD$5&lt;&gt;"",--('POINTAGE'!BD301="Absent"),0),IF('POINTAGE'!$BF$5&lt;&gt;"",--('POINTAGE'!BF301="Absent"),0),IF('POINTAGE'!$BH$5&lt;&gt;"",--('POINTAGE'!BH301="Absent"),0),IF('POINTAGE'!$BJ$5&lt;&gt;"",--('POINTAGE'!BJ301="Absent"),0),IF('POINTAGE'!$BL$5&lt;&gt;"",--('POINTAGE'!BL301="Absent"),0)))</f>
      </c>
      <c r="P301" s="23">
        <f>IF($A301="","",SUM(IF('POINTAGE'!$AH$5&lt;&gt;"",IF('POINTAGE'!AH301="Présent",'POINTAGE'!AI301,0),0),IF('POINTAGE'!$AJ$5&lt;&gt;"",IF('POINTAGE'!AJ301="Présent",'POINTAGE'!AK301,0),0),IF('POINTAGE'!$AL$5&lt;&gt;"",IF('POINTAGE'!AL301="Présent",'POINTAGE'!AM301,0),0),IF('POINTAGE'!$AN$5&lt;&gt;"",IF('POINTAGE'!AN301="Présent",'POINTAGE'!AO301,0),0),IF('POINTAGE'!$AP$5&lt;&gt;"",IF('POINTAGE'!AP301="Présent",'POINTAGE'!AQ301,0),0),IF('POINTAGE'!$AR$5&lt;&gt;"",IF('POINTAGE'!AR301="Présent",'POINTAGE'!AS301,0),0),IF('POINTAGE'!$AT$5&lt;&gt;"",IF('POINTAGE'!AT301="Présent",'POINTAGE'!AU301,0),0),IF('POINTAGE'!$AV$5&lt;&gt;"",IF('POINTAGE'!AV301="Présent",'POINTAGE'!AW301,0),0),IF('POINTAGE'!$AX$5&lt;&gt;"",IF('POINTAGE'!AX301="Présent",'POINTAGE'!AY301,0),0),IF('POINTAGE'!$AZ$5&lt;&gt;"",IF('POINTAGE'!AZ301="Présent",'POINTAGE'!BA301,0),0),IF('POINTAGE'!$BB$5&lt;&gt;"",IF('POINTAGE'!BB301="Présent",'POINTAGE'!BC301,0),0),IF('POINTAGE'!$BD$5&lt;&gt;"",IF('POINTAGE'!BD301="Présent",'POINTAGE'!BE301,0),0),IF('POINTAGE'!$BF$5&lt;&gt;"",IF('POINTAGE'!BF301="Présent",'POINTAGE'!BG301,0),0),IF('POINTAGE'!$BH$5&lt;&gt;"",IF('POINTAGE'!BH301="Présent",'POINTAGE'!BI301,0),0),IF('POINTAGE'!$BJ$5&lt;&gt;"",IF('POINTAGE'!BJ301="Présent",'POINTAGE'!BK301,0),0),IF('POINTAGE'!$BL$5&lt;&gt;"",IF('POINTAGE'!BL301="Présent",'POINTAGE'!BM301,0),0)))</f>
      </c>
      <c r="Q301" s="24">
        <f>IF($A301="","",$N301*$D301)</f>
      </c>
      <c r="R301" s="24">
        <f>IF($A301="","",$P301*$E301)</f>
      </c>
      <c r="S301" s="25">
        <f>IF($A301="","",$Q301+$R301)</f>
      </c>
      <c r="T301" s="18"/>
      <c r="U301" s="25">
        <f>IF($A301="","",MAX(0,$S301-$T301))</f>
      </c>
      <c r="V301" s="25">
        <f>IF($A301="","",$K301+$S301)</f>
      </c>
      <c r="W301" s="24">
        <f>IF($A301="","",$L301+$T301)</f>
      </c>
      <c r="X301" s="25">
        <f>IF($A301="","",$M301+$U301)</f>
      </c>
      <c r="Y301" s="29">
        <f>IF($A301="","",$J301+$R301)</f>
      </c>
    </row>
    <row r="302">
      <c r="A302" s="20">
        <f>IF('POINTAGE'!A302="","",'POINTAGE'!A302)</f>
      </c>
      <c r="B302" s="19">
        <f>IF($A302="","",'POINTAGE'!B302)</f>
      </c>
      <c r="C302" s="20">
        <f>IF($A302="","",'POINTAGE'!C302)</f>
      </c>
      <c r="D302" s="24">
        <f>IF($A302="","",IFERROR(INDEX(Categories_Salaire,MATCH($C302,ListeCategories,0)),0))</f>
      </c>
      <c r="E302" s="24">
        <f>IF($A302="","",IF(IFERROR(INDEX(Categories_TauxHS,MATCH($C302,ListeCategories,0)),0)&gt;0,IFERROR(INDEX(Categories_TauxHS,MATCH($C302,ListeCategories,0)),0),TauxHSDefaut))</f>
      </c>
      <c r="F302" s="22">
        <f>IF($A302="","",SUM(IF('POINTAGE'!$D$5&lt;&gt;"",--('POINTAGE'!D302="Présent"),0),IF('POINTAGE'!$F$5&lt;&gt;"",--('POINTAGE'!F302="Présent"),0),IF('POINTAGE'!$H$5&lt;&gt;"",--('POINTAGE'!H302="Présent"),0),IF('POINTAGE'!$J$5&lt;&gt;"",--('POINTAGE'!J302="Présent"),0),IF('POINTAGE'!$L$5&lt;&gt;"",--('POINTAGE'!L302="Présent"),0),IF('POINTAGE'!$N$5&lt;&gt;"",--('POINTAGE'!N302="Présent"),0),IF('POINTAGE'!$P$5&lt;&gt;"",--('POINTAGE'!P302="Présent"),0),IF('POINTAGE'!$R$5&lt;&gt;"",--('POINTAGE'!R302="Présent"),0),IF('POINTAGE'!$T$5&lt;&gt;"",--('POINTAGE'!T302="Présent"),0),IF('POINTAGE'!$V$5&lt;&gt;"",--('POINTAGE'!V302="Présent"),0),IF('POINTAGE'!$X$5&lt;&gt;"",--('POINTAGE'!X302="Présent"),0),IF('POINTAGE'!$Z$5&lt;&gt;"",--('POINTAGE'!Z302="Présent"),0),IF('POINTAGE'!$AB$5&lt;&gt;"",--('POINTAGE'!AB302="Présent"),0),IF('POINTAGE'!$AD$5&lt;&gt;"",--('POINTAGE'!AD302="Présent"),0),IF('POINTAGE'!$AF$5&lt;&gt;"",--('POINTAGE'!AF302="Présent"),0)))</f>
      </c>
      <c r="G302" s="22">
        <f>IF($A302="","",SUM(IF('POINTAGE'!$D$5&lt;&gt;"",--('POINTAGE'!D302="Absent"),0),IF('POINTAGE'!$F$5&lt;&gt;"",--('POINTAGE'!F302="Absent"),0),IF('POINTAGE'!$H$5&lt;&gt;"",--('POINTAGE'!H302="Absent"),0),IF('POINTAGE'!$J$5&lt;&gt;"",--('POINTAGE'!J302="Absent"),0),IF('POINTAGE'!$L$5&lt;&gt;"",--('POINTAGE'!L302="Absent"),0),IF('POINTAGE'!$N$5&lt;&gt;"",--('POINTAGE'!N302="Absent"),0),IF('POINTAGE'!$P$5&lt;&gt;"",--('POINTAGE'!P302="Absent"),0),IF('POINTAGE'!$R$5&lt;&gt;"",--('POINTAGE'!R302="Absent"),0),IF('POINTAGE'!$T$5&lt;&gt;"",--('POINTAGE'!T302="Absent"),0),IF('POINTAGE'!$V$5&lt;&gt;"",--('POINTAGE'!V302="Absent"),0),IF('POINTAGE'!$X$5&lt;&gt;"",--('POINTAGE'!X302="Absent"),0),IF('POINTAGE'!$Z$5&lt;&gt;"",--('POINTAGE'!Z302="Absent"),0),IF('POINTAGE'!$AB$5&lt;&gt;"",--('POINTAGE'!AB302="Absent"),0),IF('POINTAGE'!$AD$5&lt;&gt;"",--('POINTAGE'!AD302="Absent"),0),IF('POINTAGE'!$AF$5&lt;&gt;"",--('POINTAGE'!AF302="Absent"),0)))</f>
      </c>
      <c r="H302" s="23">
        <f>IF($A302="","",SUM(IF('POINTAGE'!$D$5&lt;&gt;"",IF('POINTAGE'!D302="Présent",'POINTAGE'!E302,0),0),IF('POINTAGE'!$F$5&lt;&gt;"",IF('POINTAGE'!F302="Présent",'POINTAGE'!G302,0),0),IF('POINTAGE'!$H$5&lt;&gt;"",IF('POINTAGE'!H302="Présent",'POINTAGE'!I302,0),0),IF('POINTAGE'!$J$5&lt;&gt;"",IF('POINTAGE'!J302="Présent",'POINTAGE'!K302,0),0),IF('POINTAGE'!$L$5&lt;&gt;"",IF('POINTAGE'!L302="Présent",'POINTAGE'!M302,0),0),IF('POINTAGE'!$N$5&lt;&gt;"",IF('POINTAGE'!N302="Présent",'POINTAGE'!O302,0),0),IF('POINTAGE'!$P$5&lt;&gt;"",IF('POINTAGE'!P302="Présent",'POINTAGE'!Q302,0),0),IF('POINTAGE'!$R$5&lt;&gt;"",IF('POINTAGE'!R302="Présent",'POINTAGE'!S302,0),0),IF('POINTAGE'!$T$5&lt;&gt;"",IF('POINTAGE'!T302="Présent",'POINTAGE'!U302,0),0),IF('POINTAGE'!$V$5&lt;&gt;"",IF('POINTAGE'!V302="Présent",'POINTAGE'!W302,0),0),IF('POINTAGE'!$X$5&lt;&gt;"",IF('POINTAGE'!X302="Présent",'POINTAGE'!Y302,0),0),IF('POINTAGE'!$Z$5&lt;&gt;"",IF('POINTAGE'!Z302="Présent",'POINTAGE'!AA302,0),0),IF('POINTAGE'!$AB$5&lt;&gt;"",IF('POINTAGE'!AB302="Présent",'POINTAGE'!AC302,0),0),IF('POINTAGE'!$AD$5&lt;&gt;"",IF('POINTAGE'!AD302="Présent",'POINTAGE'!AE302,0),0),IF('POINTAGE'!$AF$5&lt;&gt;"",IF('POINTAGE'!AF302="Présent",'POINTAGE'!AG302,0),0)))</f>
      </c>
      <c r="I302" s="24">
        <f>IF($A302="","",$F302*$D302)</f>
      </c>
      <c r="J302" s="24">
        <f>IF($A302="","",$H302*$E302)</f>
      </c>
      <c r="K302" s="25">
        <f>IF($A302="","",$I302+$J302)</f>
      </c>
      <c r="L302" s="18"/>
      <c r="M302" s="25">
        <f>IF($A302="","",MAX(0,$K302-$L302))</f>
      </c>
      <c r="N302" s="22">
        <f>IF($A302="","",SUM(IF('POINTAGE'!$AH$5&lt;&gt;"",--('POINTAGE'!AH302="Présent"),0),IF('POINTAGE'!$AJ$5&lt;&gt;"",--('POINTAGE'!AJ302="Présent"),0),IF('POINTAGE'!$AL$5&lt;&gt;"",--('POINTAGE'!AL302="Présent"),0),IF('POINTAGE'!$AN$5&lt;&gt;"",--('POINTAGE'!AN302="Présent"),0),IF('POINTAGE'!$AP$5&lt;&gt;"",--('POINTAGE'!AP302="Présent"),0),IF('POINTAGE'!$AR$5&lt;&gt;"",--('POINTAGE'!AR302="Présent"),0),IF('POINTAGE'!$AT$5&lt;&gt;"",--('POINTAGE'!AT302="Présent"),0),IF('POINTAGE'!$AV$5&lt;&gt;"",--('POINTAGE'!AV302="Présent"),0),IF('POINTAGE'!$AX$5&lt;&gt;"",--('POINTAGE'!AX302="Présent"),0),IF('POINTAGE'!$AZ$5&lt;&gt;"",--('POINTAGE'!AZ302="Présent"),0),IF('POINTAGE'!$BB$5&lt;&gt;"",--('POINTAGE'!BB302="Présent"),0),IF('POINTAGE'!$BD$5&lt;&gt;"",--('POINTAGE'!BD302="Présent"),0),IF('POINTAGE'!$BF$5&lt;&gt;"",--('POINTAGE'!BF302="Présent"),0),IF('POINTAGE'!$BH$5&lt;&gt;"",--('POINTAGE'!BH302="Présent"),0),IF('POINTAGE'!$BJ$5&lt;&gt;"",--('POINTAGE'!BJ302="Présent"),0),IF('POINTAGE'!$BL$5&lt;&gt;"",--('POINTAGE'!BL302="Présent"),0)))</f>
      </c>
      <c r="O302" s="22">
        <f>IF($A302="","",SUM(IF('POINTAGE'!$AH$5&lt;&gt;"",--('POINTAGE'!AH302="Absent"),0),IF('POINTAGE'!$AJ$5&lt;&gt;"",--('POINTAGE'!AJ302="Absent"),0),IF('POINTAGE'!$AL$5&lt;&gt;"",--('POINTAGE'!AL302="Absent"),0),IF('POINTAGE'!$AN$5&lt;&gt;"",--('POINTAGE'!AN302="Absent"),0),IF('POINTAGE'!$AP$5&lt;&gt;"",--('POINTAGE'!AP302="Absent"),0),IF('POINTAGE'!$AR$5&lt;&gt;"",--('POINTAGE'!AR302="Absent"),0),IF('POINTAGE'!$AT$5&lt;&gt;"",--('POINTAGE'!AT302="Absent"),0),IF('POINTAGE'!$AV$5&lt;&gt;"",--('POINTAGE'!AV302="Absent"),0),IF('POINTAGE'!$AX$5&lt;&gt;"",--('POINTAGE'!AX302="Absent"),0),IF('POINTAGE'!$AZ$5&lt;&gt;"",--('POINTAGE'!AZ302="Absent"),0),IF('POINTAGE'!$BB$5&lt;&gt;"",--('POINTAGE'!BB302="Absent"),0),IF('POINTAGE'!$BD$5&lt;&gt;"",--('POINTAGE'!BD302="Absent"),0),IF('POINTAGE'!$BF$5&lt;&gt;"",--('POINTAGE'!BF302="Absent"),0),IF('POINTAGE'!$BH$5&lt;&gt;"",--('POINTAGE'!BH302="Absent"),0),IF('POINTAGE'!$BJ$5&lt;&gt;"",--('POINTAGE'!BJ302="Absent"),0),IF('POINTAGE'!$BL$5&lt;&gt;"",--('POINTAGE'!BL302="Absent"),0)))</f>
      </c>
      <c r="P302" s="23">
        <f>IF($A302="","",SUM(IF('POINTAGE'!$AH$5&lt;&gt;"",IF('POINTAGE'!AH302="Présent",'POINTAGE'!AI302,0),0),IF('POINTAGE'!$AJ$5&lt;&gt;"",IF('POINTAGE'!AJ302="Présent",'POINTAGE'!AK302,0),0),IF('POINTAGE'!$AL$5&lt;&gt;"",IF('POINTAGE'!AL302="Présent",'POINTAGE'!AM302,0),0),IF('POINTAGE'!$AN$5&lt;&gt;"",IF('POINTAGE'!AN302="Présent",'POINTAGE'!AO302,0),0),IF('POINTAGE'!$AP$5&lt;&gt;"",IF('POINTAGE'!AP302="Présent",'POINTAGE'!AQ302,0),0),IF('POINTAGE'!$AR$5&lt;&gt;"",IF('POINTAGE'!AR302="Présent",'POINTAGE'!AS302,0),0),IF('POINTAGE'!$AT$5&lt;&gt;"",IF('POINTAGE'!AT302="Présent",'POINTAGE'!AU302,0),0),IF('POINTAGE'!$AV$5&lt;&gt;"",IF('POINTAGE'!AV302="Présent",'POINTAGE'!AW302,0),0),IF('POINTAGE'!$AX$5&lt;&gt;"",IF('POINTAGE'!AX302="Présent",'POINTAGE'!AY302,0),0),IF('POINTAGE'!$AZ$5&lt;&gt;"",IF('POINTAGE'!AZ302="Présent",'POINTAGE'!BA302,0),0),IF('POINTAGE'!$BB$5&lt;&gt;"",IF('POINTAGE'!BB302="Présent",'POINTAGE'!BC302,0),0),IF('POINTAGE'!$BD$5&lt;&gt;"",IF('POINTAGE'!BD302="Présent",'POINTAGE'!BE302,0),0),IF('POINTAGE'!$BF$5&lt;&gt;"",IF('POINTAGE'!BF302="Présent",'POINTAGE'!BG302,0),0),IF('POINTAGE'!$BH$5&lt;&gt;"",IF('POINTAGE'!BH302="Présent",'POINTAGE'!BI302,0),0),IF('POINTAGE'!$BJ$5&lt;&gt;"",IF('POINTAGE'!BJ302="Présent",'POINTAGE'!BK302,0),0),IF('POINTAGE'!$BL$5&lt;&gt;"",IF('POINTAGE'!BL302="Présent",'POINTAGE'!BM302,0),0)))</f>
      </c>
      <c r="Q302" s="24">
        <f>IF($A302="","",$N302*$D302)</f>
      </c>
      <c r="R302" s="24">
        <f>IF($A302="","",$P302*$E302)</f>
      </c>
      <c r="S302" s="25">
        <f>IF($A302="","",$Q302+$R302)</f>
      </c>
      <c r="T302" s="18"/>
      <c r="U302" s="25">
        <f>IF($A302="","",MAX(0,$S302-$T302))</f>
      </c>
      <c r="V302" s="25">
        <f>IF($A302="","",$K302+$S302)</f>
      </c>
      <c r="W302" s="24">
        <f>IF($A302="","",$L302+$T302)</f>
      </c>
      <c r="X302" s="25">
        <f>IF($A302="","",$M302+$U302)</f>
      </c>
      <c r="Y302" s="29">
        <f>IF($A302="","",$J302+$R302)</f>
      </c>
    </row>
    <row r="303">
      <c r="A303" s="20">
        <f>IF('POINTAGE'!A303="","",'POINTAGE'!A303)</f>
      </c>
      <c r="B303" s="19">
        <f>IF($A303="","",'POINTAGE'!B303)</f>
      </c>
      <c r="C303" s="20">
        <f>IF($A303="","",'POINTAGE'!C303)</f>
      </c>
      <c r="D303" s="24">
        <f>IF($A303="","",IFERROR(INDEX(Categories_Salaire,MATCH($C303,ListeCategories,0)),0))</f>
      </c>
      <c r="E303" s="24">
        <f>IF($A303="","",IF(IFERROR(INDEX(Categories_TauxHS,MATCH($C303,ListeCategories,0)),0)&gt;0,IFERROR(INDEX(Categories_TauxHS,MATCH($C303,ListeCategories,0)),0),TauxHSDefaut))</f>
      </c>
      <c r="F303" s="22">
        <f>IF($A303="","",SUM(IF('POINTAGE'!$D$5&lt;&gt;"",--('POINTAGE'!D303="Présent"),0),IF('POINTAGE'!$F$5&lt;&gt;"",--('POINTAGE'!F303="Présent"),0),IF('POINTAGE'!$H$5&lt;&gt;"",--('POINTAGE'!H303="Présent"),0),IF('POINTAGE'!$J$5&lt;&gt;"",--('POINTAGE'!J303="Présent"),0),IF('POINTAGE'!$L$5&lt;&gt;"",--('POINTAGE'!L303="Présent"),0),IF('POINTAGE'!$N$5&lt;&gt;"",--('POINTAGE'!N303="Présent"),0),IF('POINTAGE'!$P$5&lt;&gt;"",--('POINTAGE'!P303="Présent"),0),IF('POINTAGE'!$R$5&lt;&gt;"",--('POINTAGE'!R303="Présent"),0),IF('POINTAGE'!$T$5&lt;&gt;"",--('POINTAGE'!T303="Présent"),0),IF('POINTAGE'!$V$5&lt;&gt;"",--('POINTAGE'!V303="Présent"),0),IF('POINTAGE'!$X$5&lt;&gt;"",--('POINTAGE'!X303="Présent"),0),IF('POINTAGE'!$Z$5&lt;&gt;"",--('POINTAGE'!Z303="Présent"),0),IF('POINTAGE'!$AB$5&lt;&gt;"",--('POINTAGE'!AB303="Présent"),0),IF('POINTAGE'!$AD$5&lt;&gt;"",--('POINTAGE'!AD303="Présent"),0),IF('POINTAGE'!$AF$5&lt;&gt;"",--('POINTAGE'!AF303="Présent"),0)))</f>
      </c>
      <c r="G303" s="22">
        <f>IF($A303="","",SUM(IF('POINTAGE'!$D$5&lt;&gt;"",--('POINTAGE'!D303="Absent"),0),IF('POINTAGE'!$F$5&lt;&gt;"",--('POINTAGE'!F303="Absent"),0),IF('POINTAGE'!$H$5&lt;&gt;"",--('POINTAGE'!H303="Absent"),0),IF('POINTAGE'!$J$5&lt;&gt;"",--('POINTAGE'!J303="Absent"),0),IF('POINTAGE'!$L$5&lt;&gt;"",--('POINTAGE'!L303="Absent"),0),IF('POINTAGE'!$N$5&lt;&gt;"",--('POINTAGE'!N303="Absent"),0),IF('POINTAGE'!$P$5&lt;&gt;"",--('POINTAGE'!P303="Absent"),0),IF('POINTAGE'!$R$5&lt;&gt;"",--('POINTAGE'!R303="Absent"),0),IF('POINTAGE'!$T$5&lt;&gt;"",--('POINTAGE'!T303="Absent"),0),IF('POINTAGE'!$V$5&lt;&gt;"",--('POINTAGE'!V303="Absent"),0),IF('POINTAGE'!$X$5&lt;&gt;"",--('POINTAGE'!X303="Absent"),0),IF('POINTAGE'!$Z$5&lt;&gt;"",--('POINTAGE'!Z303="Absent"),0),IF('POINTAGE'!$AB$5&lt;&gt;"",--('POINTAGE'!AB303="Absent"),0),IF('POINTAGE'!$AD$5&lt;&gt;"",--('POINTAGE'!AD303="Absent"),0),IF('POINTAGE'!$AF$5&lt;&gt;"",--('POINTAGE'!AF303="Absent"),0)))</f>
      </c>
      <c r="H303" s="23">
        <f>IF($A303="","",SUM(IF('POINTAGE'!$D$5&lt;&gt;"",IF('POINTAGE'!D303="Présent",'POINTAGE'!E303,0),0),IF('POINTAGE'!$F$5&lt;&gt;"",IF('POINTAGE'!F303="Présent",'POINTAGE'!G303,0),0),IF('POINTAGE'!$H$5&lt;&gt;"",IF('POINTAGE'!H303="Présent",'POINTAGE'!I303,0),0),IF('POINTAGE'!$J$5&lt;&gt;"",IF('POINTAGE'!J303="Présent",'POINTAGE'!K303,0),0),IF('POINTAGE'!$L$5&lt;&gt;"",IF('POINTAGE'!L303="Présent",'POINTAGE'!M303,0),0),IF('POINTAGE'!$N$5&lt;&gt;"",IF('POINTAGE'!N303="Présent",'POINTAGE'!O303,0),0),IF('POINTAGE'!$P$5&lt;&gt;"",IF('POINTAGE'!P303="Présent",'POINTAGE'!Q303,0),0),IF('POINTAGE'!$R$5&lt;&gt;"",IF('POINTAGE'!R303="Présent",'POINTAGE'!S303,0),0),IF('POINTAGE'!$T$5&lt;&gt;"",IF('POINTAGE'!T303="Présent",'POINTAGE'!U303,0),0),IF('POINTAGE'!$V$5&lt;&gt;"",IF('POINTAGE'!V303="Présent",'POINTAGE'!W303,0),0),IF('POINTAGE'!$X$5&lt;&gt;"",IF('POINTAGE'!X303="Présent",'POINTAGE'!Y303,0),0),IF('POINTAGE'!$Z$5&lt;&gt;"",IF('POINTAGE'!Z303="Présent",'POINTAGE'!AA303,0),0),IF('POINTAGE'!$AB$5&lt;&gt;"",IF('POINTAGE'!AB303="Présent",'POINTAGE'!AC303,0),0),IF('POINTAGE'!$AD$5&lt;&gt;"",IF('POINTAGE'!AD303="Présent",'POINTAGE'!AE303,0),0),IF('POINTAGE'!$AF$5&lt;&gt;"",IF('POINTAGE'!AF303="Présent",'POINTAGE'!AG303,0),0)))</f>
      </c>
      <c r="I303" s="24">
        <f>IF($A303="","",$F303*$D303)</f>
      </c>
      <c r="J303" s="24">
        <f>IF($A303="","",$H303*$E303)</f>
      </c>
      <c r="K303" s="25">
        <f>IF($A303="","",$I303+$J303)</f>
      </c>
      <c r="L303" s="18"/>
      <c r="M303" s="25">
        <f>IF($A303="","",MAX(0,$K303-$L303))</f>
      </c>
      <c r="N303" s="22">
        <f>IF($A303="","",SUM(IF('POINTAGE'!$AH$5&lt;&gt;"",--('POINTAGE'!AH303="Présent"),0),IF('POINTAGE'!$AJ$5&lt;&gt;"",--('POINTAGE'!AJ303="Présent"),0),IF('POINTAGE'!$AL$5&lt;&gt;"",--('POINTAGE'!AL303="Présent"),0),IF('POINTAGE'!$AN$5&lt;&gt;"",--('POINTAGE'!AN303="Présent"),0),IF('POINTAGE'!$AP$5&lt;&gt;"",--('POINTAGE'!AP303="Présent"),0),IF('POINTAGE'!$AR$5&lt;&gt;"",--('POINTAGE'!AR303="Présent"),0),IF('POINTAGE'!$AT$5&lt;&gt;"",--('POINTAGE'!AT303="Présent"),0),IF('POINTAGE'!$AV$5&lt;&gt;"",--('POINTAGE'!AV303="Présent"),0),IF('POINTAGE'!$AX$5&lt;&gt;"",--('POINTAGE'!AX303="Présent"),0),IF('POINTAGE'!$AZ$5&lt;&gt;"",--('POINTAGE'!AZ303="Présent"),0),IF('POINTAGE'!$BB$5&lt;&gt;"",--('POINTAGE'!BB303="Présent"),0),IF('POINTAGE'!$BD$5&lt;&gt;"",--('POINTAGE'!BD303="Présent"),0),IF('POINTAGE'!$BF$5&lt;&gt;"",--('POINTAGE'!BF303="Présent"),0),IF('POINTAGE'!$BH$5&lt;&gt;"",--('POINTAGE'!BH303="Présent"),0),IF('POINTAGE'!$BJ$5&lt;&gt;"",--('POINTAGE'!BJ303="Présent"),0),IF('POINTAGE'!$BL$5&lt;&gt;"",--('POINTAGE'!BL303="Présent"),0)))</f>
      </c>
      <c r="O303" s="22">
        <f>IF($A303="","",SUM(IF('POINTAGE'!$AH$5&lt;&gt;"",--('POINTAGE'!AH303="Absent"),0),IF('POINTAGE'!$AJ$5&lt;&gt;"",--('POINTAGE'!AJ303="Absent"),0),IF('POINTAGE'!$AL$5&lt;&gt;"",--('POINTAGE'!AL303="Absent"),0),IF('POINTAGE'!$AN$5&lt;&gt;"",--('POINTAGE'!AN303="Absent"),0),IF('POINTAGE'!$AP$5&lt;&gt;"",--('POINTAGE'!AP303="Absent"),0),IF('POINTAGE'!$AR$5&lt;&gt;"",--('POINTAGE'!AR303="Absent"),0),IF('POINTAGE'!$AT$5&lt;&gt;"",--('POINTAGE'!AT303="Absent"),0),IF('POINTAGE'!$AV$5&lt;&gt;"",--('POINTAGE'!AV303="Absent"),0),IF('POINTAGE'!$AX$5&lt;&gt;"",--('POINTAGE'!AX303="Absent"),0),IF('POINTAGE'!$AZ$5&lt;&gt;"",--('POINTAGE'!AZ303="Absent"),0),IF('POINTAGE'!$BB$5&lt;&gt;"",--('POINTAGE'!BB303="Absent"),0),IF('POINTAGE'!$BD$5&lt;&gt;"",--('POINTAGE'!BD303="Absent"),0),IF('POINTAGE'!$BF$5&lt;&gt;"",--('POINTAGE'!BF303="Absent"),0),IF('POINTAGE'!$BH$5&lt;&gt;"",--('POINTAGE'!BH303="Absent"),0),IF('POINTAGE'!$BJ$5&lt;&gt;"",--('POINTAGE'!BJ303="Absent"),0),IF('POINTAGE'!$BL$5&lt;&gt;"",--('POINTAGE'!BL303="Absent"),0)))</f>
      </c>
      <c r="P303" s="23">
        <f>IF($A303="","",SUM(IF('POINTAGE'!$AH$5&lt;&gt;"",IF('POINTAGE'!AH303="Présent",'POINTAGE'!AI303,0),0),IF('POINTAGE'!$AJ$5&lt;&gt;"",IF('POINTAGE'!AJ303="Présent",'POINTAGE'!AK303,0),0),IF('POINTAGE'!$AL$5&lt;&gt;"",IF('POINTAGE'!AL303="Présent",'POINTAGE'!AM303,0),0),IF('POINTAGE'!$AN$5&lt;&gt;"",IF('POINTAGE'!AN303="Présent",'POINTAGE'!AO303,0),0),IF('POINTAGE'!$AP$5&lt;&gt;"",IF('POINTAGE'!AP303="Présent",'POINTAGE'!AQ303,0),0),IF('POINTAGE'!$AR$5&lt;&gt;"",IF('POINTAGE'!AR303="Présent",'POINTAGE'!AS303,0),0),IF('POINTAGE'!$AT$5&lt;&gt;"",IF('POINTAGE'!AT303="Présent",'POINTAGE'!AU303,0),0),IF('POINTAGE'!$AV$5&lt;&gt;"",IF('POINTAGE'!AV303="Présent",'POINTAGE'!AW303,0),0),IF('POINTAGE'!$AX$5&lt;&gt;"",IF('POINTAGE'!AX303="Présent",'POINTAGE'!AY303,0),0),IF('POINTAGE'!$AZ$5&lt;&gt;"",IF('POINTAGE'!AZ303="Présent",'POINTAGE'!BA303,0),0),IF('POINTAGE'!$BB$5&lt;&gt;"",IF('POINTAGE'!BB303="Présent",'POINTAGE'!BC303,0),0),IF('POINTAGE'!$BD$5&lt;&gt;"",IF('POINTAGE'!BD303="Présent",'POINTAGE'!BE303,0),0),IF('POINTAGE'!$BF$5&lt;&gt;"",IF('POINTAGE'!BF303="Présent",'POINTAGE'!BG303,0),0),IF('POINTAGE'!$BH$5&lt;&gt;"",IF('POINTAGE'!BH303="Présent",'POINTAGE'!BI303,0),0),IF('POINTAGE'!$BJ$5&lt;&gt;"",IF('POINTAGE'!BJ303="Présent",'POINTAGE'!BK303,0),0),IF('POINTAGE'!$BL$5&lt;&gt;"",IF('POINTAGE'!BL303="Présent",'POINTAGE'!BM303,0),0)))</f>
      </c>
      <c r="Q303" s="24">
        <f>IF($A303="","",$N303*$D303)</f>
      </c>
      <c r="R303" s="24">
        <f>IF($A303="","",$P303*$E303)</f>
      </c>
      <c r="S303" s="25">
        <f>IF($A303="","",$Q303+$R303)</f>
      </c>
      <c r="T303" s="18"/>
      <c r="U303" s="25">
        <f>IF($A303="","",MAX(0,$S303-$T303))</f>
      </c>
      <c r="V303" s="25">
        <f>IF($A303="","",$K303+$S303)</f>
      </c>
      <c r="W303" s="24">
        <f>IF($A303="","",$L303+$T303)</f>
      </c>
      <c r="X303" s="25">
        <f>IF($A303="","",$M303+$U303)</f>
      </c>
      <c r="Y303" s="29">
        <f>IF($A303="","",$J303+$R303)</f>
      </c>
    </row>
    <row r="304">
      <c r="A304" s="20">
        <f>IF('POINTAGE'!A304="","",'POINTAGE'!A304)</f>
      </c>
      <c r="B304" s="19">
        <f>IF($A304="","",'POINTAGE'!B304)</f>
      </c>
      <c r="C304" s="20">
        <f>IF($A304="","",'POINTAGE'!C304)</f>
      </c>
      <c r="D304" s="24">
        <f>IF($A304="","",IFERROR(INDEX(Categories_Salaire,MATCH($C304,ListeCategories,0)),0))</f>
      </c>
      <c r="E304" s="24">
        <f>IF($A304="","",IF(IFERROR(INDEX(Categories_TauxHS,MATCH($C304,ListeCategories,0)),0)&gt;0,IFERROR(INDEX(Categories_TauxHS,MATCH($C304,ListeCategories,0)),0),TauxHSDefaut))</f>
      </c>
      <c r="F304" s="22">
        <f>IF($A304="","",SUM(IF('POINTAGE'!$D$5&lt;&gt;"",--('POINTAGE'!D304="Présent"),0),IF('POINTAGE'!$F$5&lt;&gt;"",--('POINTAGE'!F304="Présent"),0),IF('POINTAGE'!$H$5&lt;&gt;"",--('POINTAGE'!H304="Présent"),0),IF('POINTAGE'!$J$5&lt;&gt;"",--('POINTAGE'!J304="Présent"),0),IF('POINTAGE'!$L$5&lt;&gt;"",--('POINTAGE'!L304="Présent"),0),IF('POINTAGE'!$N$5&lt;&gt;"",--('POINTAGE'!N304="Présent"),0),IF('POINTAGE'!$P$5&lt;&gt;"",--('POINTAGE'!P304="Présent"),0),IF('POINTAGE'!$R$5&lt;&gt;"",--('POINTAGE'!R304="Présent"),0),IF('POINTAGE'!$T$5&lt;&gt;"",--('POINTAGE'!T304="Présent"),0),IF('POINTAGE'!$V$5&lt;&gt;"",--('POINTAGE'!V304="Présent"),0),IF('POINTAGE'!$X$5&lt;&gt;"",--('POINTAGE'!X304="Présent"),0),IF('POINTAGE'!$Z$5&lt;&gt;"",--('POINTAGE'!Z304="Présent"),0),IF('POINTAGE'!$AB$5&lt;&gt;"",--('POINTAGE'!AB304="Présent"),0),IF('POINTAGE'!$AD$5&lt;&gt;"",--('POINTAGE'!AD304="Présent"),0),IF('POINTAGE'!$AF$5&lt;&gt;"",--('POINTAGE'!AF304="Présent"),0)))</f>
      </c>
      <c r="G304" s="22">
        <f>IF($A304="","",SUM(IF('POINTAGE'!$D$5&lt;&gt;"",--('POINTAGE'!D304="Absent"),0),IF('POINTAGE'!$F$5&lt;&gt;"",--('POINTAGE'!F304="Absent"),0),IF('POINTAGE'!$H$5&lt;&gt;"",--('POINTAGE'!H304="Absent"),0),IF('POINTAGE'!$J$5&lt;&gt;"",--('POINTAGE'!J304="Absent"),0),IF('POINTAGE'!$L$5&lt;&gt;"",--('POINTAGE'!L304="Absent"),0),IF('POINTAGE'!$N$5&lt;&gt;"",--('POINTAGE'!N304="Absent"),0),IF('POINTAGE'!$P$5&lt;&gt;"",--('POINTAGE'!P304="Absent"),0),IF('POINTAGE'!$R$5&lt;&gt;"",--('POINTAGE'!R304="Absent"),0),IF('POINTAGE'!$T$5&lt;&gt;"",--('POINTAGE'!T304="Absent"),0),IF('POINTAGE'!$V$5&lt;&gt;"",--('POINTAGE'!V304="Absent"),0),IF('POINTAGE'!$X$5&lt;&gt;"",--('POINTAGE'!X304="Absent"),0),IF('POINTAGE'!$Z$5&lt;&gt;"",--('POINTAGE'!Z304="Absent"),0),IF('POINTAGE'!$AB$5&lt;&gt;"",--('POINTAGE'!AB304="Absent"),0),IF('POINTAGE'!$AD$5&lt;&gt;"",--('POINTAGE'!AD304="Absent"),0),IF('POINTAGE'!$AF$5&lt;&gt;"",--('POINTAGE'!AF304="Absent"),0)))</f>
      </c>
      <c r="H304" s="23">
        <f>IF($A304="","",SUM(IF('POINTAGE'!$D$5&lt;&gt;"",IF('POINTAGE'!D304="Présent",'POINTAGE'!E304,0),0),IF('POINTAGE'!$F$5&lt;&gt;"",IF('POINTAGE'!F304="Présent",'POINTAGE'!G304,0),0),IF('POINTAGE'!$H$5&lt;&gt;"",IF('POINTAGE'!H304="Présent",'POINTAGE'!I304,0),0),IF('POINTAGE'!$J$5&lt;&gt;"",IF('POINTAGE'!J304="Présent",'POINTAGE'!K304,0),0),IF('POINTAGE'!$L$5&lt;&gt;"",IF('POINTAGE'!L304="Présent",'POINTAGE'!M304,0),0),IF('POINTAGE'!$N$5&lt;&gt;"",IF('POINTAGE'!N304="Présent",'POINTAGE'!O304,0),0),IF('POINTAGE'!$P$5&lt;&gt;"",IF('POINTAGE'!P304="Présent",'POINTAGE'!Q304,0),0),IF('POINTAGE'!$R$5&lt;&gt;"",IF('POINTAGE'!R304="Présent",'POINTAGE'!S304,0),0),IF('POINTAGE'!$T$5&lt;&gt;"",IF('POINTAGE'!T304="Présent",'POINTAGE'!U304,0),0),IF('POINTAGE'!$V$5&lt;&gt;"",IF('POINTAGE'!V304="Présent",'POINTAGE'!W304,0),0),IF('POINTAGE'!$X$5&lt;&gt;"",IF('POINTAGE'!X304="Présent",'POINTAGE'!Y304,0),0),IF('POINTAGE'!$Z$5&lt;&gt;"",IF('POINTAGE'!Z304="Présent",'POINTAGE'!AA304,0),0),IF('POINTAGE'!$AB$5&lt;&gt;"",IF('POINTAGE'!AB304="Présent",'POINTAGE'!AC304,0),0),IF('POINTAGE'!$AD$5&lt;&gt;"",IF('POINTAGE'!AD304="Présent",'POINTAGE'!AE304,0),0),IF('POINTAGE'!$AF$5&lt;&gt;"",IF('POINTAGE'!AF304="Présent",'POINTAGE'!AG304,0),0)))</f>
      </c>
      <c r="I304" s="24">
        <f>IF($A304="","",$F304*$D304)</f>
      </c>
      <c r="J304" s="24">
        <f>IF($A304="","",$H304*$E304)</f>
      </c>
      <c r="K304" s="25">
        <f>IF($A304="","",$I304+$J304)</f>
      </c>
      <c r="L304" s="18"/>
      <c r="M304" s="25">
        <f>IF($A304="","",MAX(0,$K304-$L304))</f>
      </c>
      <c r="N304" s="22">
        <f>IF($A304="","",SUM(IF('POINTAGE'!$AH$5&lt;&gt;"",--('POINTAGE'!AH304="Présent"),0),IF('POINTAGE'!$AJ$5&lt;&gt;"",--('POINTAGE'!AJ304="Présent"),0),IF('POINTAGE'!$AL$5&lt;&gt;"",--('POINTAGE'!AL304="Présent"),0),IF('POINTAGE'!$AN$5&lt;&gt;"",--('POINTAGE'!AN304="Présent"),0),IF('POINTAGE'!$AP$5&lt;&gt;"",--('POINTAGE'!AP304="Présent"),0),IF('POINTAGE'!$AR$5&lt;&gt;"",--('POINTAGE'!AR304="Présent"),0),IF('POINTAGE'!$AT$5&lt;&gt;"",--('POINTAGE'!AT304="Présent"),0),IF('POINTAGE'!$AV$5&lt;&gt;"",--('POINTAGE'!AV304="Présent"),0),IF('POINTAGE'!$AX$5&lt;&gt;"",--('POINTAGE'!AX304="Présent"),0),IF('POINTAGE'!$AZ$5&lt;&gt;"",--('POINTAGE'!AZ304="Présent"),0),IF('POINTAGE'!$BB$5&lt;&gt;"",--('POINTAGE'!BB304="Présent"),0),IF('POINTAGE'!$BD$5&lt;&gt;"",--('POINTAGE'!BD304="Présent"),0),IF('POINTAGE'!$BF$5&lt;&gt;"",--('POINTAGE'!BF304="Présent"),0),IF('POINTAGE'!$BH$5&lt;&gt;"",--('POINTAGE'!BH304="Présent"),0),IF('POINTAGE'!$BJ$5&lt;&gt;"",--('POINTAGE'!BJ304="Présent"),0),IF('POINTAGE'!$BL$5&lt;&gt;"",--('POINTAGE'!BL304="Présent"),0)))</f>
      </c>
      <c r="O304" s="22">
        <f>IF($A304="","",SUM(IF('POINTAGE'!$AH$5&lt;&gt;"",--('POINTAGE'!AH304="Absent"),0),IF('POINTAGE'!$AJ$5&lt;&gt;"",--('POINTAGE'!AJ304="Absent"),0),IF('POINTAGE'!$AL$5&lt;&gt;"",--('POINTAGE'!AL304="Absent"),0),IF('POINTAGE'!$AN$5&lt;&gt;"",--('POINTAGE'!AN304="Absent"),0),IF('POINTAGE'!$AP$5&lt;&gt;"",--('POINTAGE'!AP304="Absent"),0),IF('POINTAGE'!$AR$5&lt;&gt;"",--('POINTAGE'!AR304="Absent"),0),IF('POINTAGE'!$AT$5&lt;&gt;"",--('POINTAGE'!AT304="Absent"),0),IF('POINTAGE'!$AV$5&lt;&gt;"",--('POINTAGE'!AV304="Absent"),0),IF('POINTAGE'!$AX$5&lt;&gt;"",--('POINTAGE'!AX304="Absent"),0),IF('POINTAGE'!$AZ$5&lt;&gt;"",--('POINTAGE'!AZ304="Absent"),0),IF('POINTAGE'!$BB$5&lt;&gt;"",--('POINTAGE'!BB304="Absent"),0),IF('POINTAGE'!$BD$5&lt;&gt;"",--('POINTAGE'!BD304="Absent"),0),IF('POINTAGE'!$BF$5&lt;&gt;"",--('POINTAGE'!BF304="Absent"),0),IF('POINTAGE'!$BH$5&lt;&gt;"",--('POINTAGE'!BH304="Absent"),0),IF('POINTAGE'!$BJ$5&lt;&gt;"",--('POINTAGE'!BJ304="Absent"),0),IF('POINTAGE'!$BL$5&lt;&gt;"",--('POINTAGE'!BL304="Absent"),0)))</f>
      </c>
      <c r="P304" s="23">
        <f>IF($A304="","",SUM(IF('POINTAGE'!$AH$5&lt;&gt;"",IF('POINTAGE'!AH304="Présent",'POINTAGE'!AI304,0),0),IF('POINTAGE'!$AJ$5&lt;&gt;"",IF('POINTAGE'!AJ304="Présent",'POINTAGE'!AK304,0),0),IF('POINTAGE'!$AL$5&lt;&gt;"",IF('POINTAGE'!AL304="Présent",'POINTAGE'!AM304,0),0),IF('POINTAGE'!$AN$5&lt;&gt;"",IF('POINTAGE'!AN304="Présent",'POINTAGE'!AO304,0),0),IF('POINTAGE'!$AP$5&lt;&gt;"",IF('POINTAGE'!AP304="Présent",'POINTAGE'!AQ304,0),0),IF('POINTAGE'!$AR$5&lt;&gt;"",IF('POINTAGE'!AR304="Présent",'POINTAGE'!AS304,0),0),IF('POINTAGE'!$AT$5&lt;&gt;"",IF('POINTAGE'!AT304="Présent",'POINTAGE'!AU304,0),0),IF('POINTAGE'!$AV$5&lt;&gt;"",IF('POINTAGE'!AV304="Présent",'POINTAGE'!AW304,0),0),IF('POINTAGE'!$AX$5&lt;&gt;"",IF('POINTAGE'!AX304="Présent",'POINTAGE'!AY304,0),0),IF('POINTAGE'!$AZ$5&lt;&gt;"",IF('POINTAGE'!AZ304="Présent",'POINTAGE'!BA304,0),0),IF('POINTAGE'!$BB$5&lt;&gt;"",IF('POINTAGE'!BB304="Présent",'POINTAGE'!BC304,0),0),IF('POINTAGE'!$BD$5&lt;&gt;"",IF('POINTAGE'!BD304="Présent",'POINTAGE'!BE304,0),0),IF('POINTAGE'!$BF$5&lt;&gt;"",IF('POINTAGE'!BF304="Présent",'POINTAGE'!BG304,0),0),IF('POINTAGE'!$BH$5&lt;&gt;"",IF('POINTAGE'!BH304="Présent",'POINTAGE'!BI304,0),0),IF('POINTAGE'!$BJ$5&lt;&gt;"",IF('POINTAGE'!BJ304="Présent",'POINTAGE'!BK304,0),0),IF('POINTAGE'!$BL$5&lt;&gt;"",IF('POINTAGE'!BL304="Présent",'POINTAGE'!BM304,0),0)))</f>
      </c>
      <c r="Q304" s="24">
        <f>IF($A304="","",$N304*$D304)</f>
      </c>
      <c r="R304" s="24">
        <f>IF($A304="","",$P304*$E304)</f>
      </c>
      <c r="S304" s="25">
        <f>IF($A304="","",$Q304+$R304)</f>
      </c>
      <c r="T304" s="18"/>
      <c r="U304" s="25">
        <f>IF($A304="","",MAX(0,$S304-$T304))</f>
      </c>
      <c r="V304" s="25">
        <f>IF($A304="","",$K304+$S304)</f>
      </c>
      <c r="W304" s="24">
        <f>IF($A304="","",$L304+$T304)</f>
      </c>
      <c r="X304" s="25">
        <f>IF($A304="","",$M304+$U304)</f>
      </c>
      <c r="Y304" s="29">
        <f>IF($A304="","",$J304+$R304)</f>
      </c>
    </row>
    <row r="305">
      <c r="A305" s="20">
        <f>IF('POINTAGE'!A305="","",'POINTAGE'!A305)</f>
      </c>
      <c r="B305" s="19">
        <f>IF($A305="","",'POINTAGE'!B305)</f>
      </c>
      <c r="C305" s="20">
        <f>IF($A305="","",'POINTAGE'!C305)</f>
      </c>
      <c r="D305" s="24">
        <f>IF($A305="","",IFERROR(INDEX(Categories_Salaire,MATCH($C305,ListeCategories,0)),0))</f>
      </c>
      <c r="E305" s="24">
        <f>IF($A305="","",IF(IFERROR(INDEX(Categories_TauxHS,MATCH($C305,ListeCategories,0)),0)&gt;0,IFERROR(INDEX(Categories_TauxHS,MATCH($C305,ListeCategories,0)),0),TauxHSDefaut))</f>
      </c>
      <c r="F305" s="22">
        <f>IF($A305="","",SUM(IF('POINTAGE'!$D$5&lt;&gt;"",--('POINTAGE'!D305="Présent"),0),IF('POINTAGE'!$F$5&lt;&gt;"",--('POINTAGE'!F305="Présent"),0),IF('POINTAGE'!$H$5&lt;&gt;"",--('POINTAGE'!H305="Présent"),0),IF('POINTAGE'!$J$5&lt;&gt;"",--('POINTAGE'!J305="Présent"),0),IF('POINTAGE'!$L$5&lt;&gt;"",--('POINTAGE'!L305="Présent"),0),IF('POINTAGE'!$N$5&lt;&gt;"",--('POINTAGE'!N305="Présent"),0),IF('POINTAGE'!$P$5&lt;&gt;"",--('POINTAGE'!P305="Présent"),0),IF('POINTAGE'!$R$5&lt;&gt;"",--('POINTAGE'!R305="Présent"),0),IF('POINTAGE'!$T$5&lt;&gt;"",--('POINTAGE'!T305="Présent"),0),IF('POINTAGE'!$V$5&lt;&gt;"",--('POINTAGE'!V305="Présent"),0),IF('POINTAGE'!$X$5&lt;&gt;"",--('POINTAGE'!X305="Présent"),0),IF('POINTAGE'!$Z$5&lt;&gt;"",--('POINTAGE'!Z305="Présent"),0),IF('POINTAGE'!$AB$5&lt;&gt;"",--('POINTAGE'!AB305="Présent"),0),IF('POINTAGE'!$AD$5&lt;&gt;"",--('POINTAGE'!AD305="Présent"),0),IF('POINTAGE'!$AF$5&lt;&gt;"",--('POINTAGE'!AF305="Présent"),0)))</f>
      </c>
      <c r="G305" s="22">
        <f>IF($A305="","",SUM(IF('POINTAGE'!$D$5&lt;&gt;"",--('POINTAGE'!D305="Absent"),0),IF('POINTAGE'!$F$5&lt;&gt;"",--('POINTAGE'!F305="Absent"),0),IF('POINTAGE'!$H$5&lt;&gt;"",--('POINTAGE'!H305="Absent"),0),IF('POINTAGE'!$J$5&lt;&gt;"",--('POINTAGE'!J305="Absent"),0),IF('POINTAGE'!$L$5&lt;&gt;"",--('POINTAGE'!L305="Absent"),0),IF('POINTAGE'!$N$5&lt;&gt;"",--('POINTAGE'!N305="Absent"),0),IF('POINTAGE'!$P$5&lt;&gt;"",--('POINTAGE'!P305="Absent"),0),IF('POINTAGE'!$R$5&lt;&gt;"",--('POINTAGE'!R305="Absent"),0),IF('POINTAGE'!$T$5&lt;&gt;"",--('POINTAGE'!T305="Absent"),0),IF('POINTAGE'!$V$5&lt;&gt;"",--('POINTAGE'!V305="Absent"),0),IF('POINTAGE'!$X$5&lt;&gt;"",--('POINTAGE'!X305="Absent"),0),IF('POINTAGE'!$Z$5&lt;&gt;"",--('POINTAGE'!Z305="Absent"),0),IF('POINTAGE'!$AB$5&lt;&gt;"",--('POINTAGE'!AB305="Absent"),0),IF('POINTAGE'!$AD$5&lt;&gt;"",--('POINTAGE'!AD305="Absent"),0),IF('POINTAGE'!$AF$5&lt;&gt;"",--('POINTAGE'!AF305="Absent"),0)))</f>
      </c>
      <c r="H305" s="23">
        <f>IF($A305="","",SUM(IF('POINTAGE'!$D$5&lt;&gt;"",IF('POINTAGE'!D305="Présent",'POINTAGE'!E305,0),0),IF('POINTAGE'!$F$5&lt;&gt;"",IF('POINTAGE'!F305="Présent",'POINTAGE'!G305,0),0),IF('POINTAGE'!$H$5&lt;&gt;"",IF('POINTAGE'!H305="Présent",'POINTAGE'!I305,0),0),IF('POINTAGE'!$J$5&lt;&gt;"",IF('POINTAGE'!J305="Présent",'POINTAGE'!K305,0),0),IF('POINTAGE'!$L$5&lt;&gt;"",IF('POINTAGE'!L305="Présent",'POINTAGE'!M305,0),0),IF('POINTAGE'!$N$5&lt;&gt;"",IF('POINTAGE'!N305="Présent",'POINTAGE'!O305,0),0),IF('POINTAGE'!$P$5&lt;&gt;"",IF('POINTAGE'!P305="Présent",'POINTAGE'!Q305,0),0),IF('POINTAGE'!$R$5&lt;&gt;"",IF('POINTAGE'!R305="Présent",'POINTAGE'!S305,0),0),IF('POINTAGE'!$T$5&lt;&gt;"",IF('POINTAGE'!T305="Présent",'POINTAGE'!U305,0),0),IF('POINTAGE'!$V$5&lt;&gt;"",IF('POINTAGE'!V305="Présent",'POINTAGE'!W305,0),0),IF('POINTAGE'!$X$5&lt;&gt;"",IF('POINTAGE'!X305="Présent",'POINTAGE'!Y305,0),0),IF('POINTAGE'!$Z$5&lt;&gt;"",IF('POINTAGE'!Z305="Présent",'POINTAGE'!AA305,0),0),IF('POINTAGE'!$AB$5&lt;&gt;"",IF('POINTAGE'!AB305="Présent",'POINTAGE'!AC305,0),0),IF('POINTAGE'!$AD$5&lt;&gt;"",IF('POINTAGE'!AD305="Présent",'POINTAGE'!AE305,0),0),IF('POINTAGE'!$AF$5&lt;&gt;"",IF('POINTAGE'!AF305="Présent",'POINTAGE'!AG305,0),0)))</f>
      </c>
      <c r="I305" s="24">
        <f>IF($A305="","",$F305*$D305)</f>
      </c>
      <c r="J305" s="24">
        <f>IF($A305="","",$H305*$E305)</f>
      </c>
      <c r="K305" s="25">
        <f>IF($A305="","",$I305+$J305)</f>
      </c>
      <c r="L305" s="18"/>
      <c r="M305" s="25">
        <f>IF($A305="","",MAX(0,$K305-$L305))</f>
      </c>
      <c r="N305" s="22">
        <f>IF($A305="","",SUM(IF('POINTAGE'!$AH$5&lt;&gt;"",--('POINTAGE'!AH305="Présent"),0),IF('POINTAGE'!$AJ$5&lt;&gt;"",--('POINTAGE'!AJ305="Présent"),0),IF('POINTAGE'!$AL$5&lt;&gt;"",--('POINTAGE'!AL305="Présent"),0),IF('POINTAGE'!$AN$5&lt;&gt;"",--('POINTAGE'!AN305="Présent"),0),IF('POINTAGE'!$AP$5&lt;&gt;"",--('POINTAGE'!AP305="Présent"),0),IF('POINTAGE'!$AR$5&lt;&gt;"",--('POINTAGE'!AR305="Présent"),0),IF('POINTAGE'!$AT$5&lt;&gt;"",--('POINTAGE'!AT305="Présent"),0),IF('POINTAGE'!$AV$5&lt;&gt;"",--('POINTAGE'!AV305="Présent"),0),IF('POINTAGE'!$AX$5&lt;&gt;"",--('POINTAGE'!AX305="Présent"),0),IF('POINTAGE'!$AZ$5&lt;&gt;"",--('POINTAGE'!AZ305="Présent"),0),IF('POINTAGE'!$BB$5&lt;&gt;"",--('POINTAGE'!BB305="Présent"),0),IF('POINTAGE'!$BD$5&lt;&gt;"",--('POINTAGE'!BD305="Présent"),0),IF('POINTAGE'!$BF$5&lt;&gt;"",--('POINTAGE'!BF305="Présent"),0),IF('POINTAGE'!$BH$5&lt;&gt;"",--('POINTAGE'!BH305="Présent"),0),IF('POINTAGE'!$BJ$5&lt;&gt;"",--('POINTAGE'!BJ305="Présent"),0),IF('POINTAGE'!$BL$5&lt;&gt;"",--('POINTAGE'!BL305="Présent"),0)))</f>
      </c>
      <c r="O305" s="22">
        <f>IF($A305="","",SUM(IF('POINTAGE'!$AH$5&lt;&gt;"",--('POINTAGE'!AH305="Absent"),0),IF('POINTAGE'!$AJ$5&lt;&gt;"",--('POINTAGE'!AJ305="Absent"),0),IF('POINTAGE'!$AL$5&lt;&gt;"",--('POINTAGE'!AL305="Absent"),0),IF('POINTAGE'!$AN$5&lt;&gt;"",--('POINTAGE'!AN305="Absent"),0),IF('POINTAGE'!$AP$5&lt;&gt;"",--('POINTAGE'!AP305="Absent"),0),IF('POINTAGE'!$AR$5&lt;&gt;"",--('POINTAGE'!AR305="Absent"),0),IF('POINTAGE'!$AT$5&lt;&gt;"",--('POINTAGE'!AT305="Absent"),0),IF('POINTAGE'!$AV$5&lt;&gt;"",--('POINTAGE'!AV305="Absent"),0),IF('POINTAGE'!$AX$5&lt;&gt;"",--('POINTAGE'!AX305="Absent"),0),IF('POINTAGE'!$AZ$5&lt;&gt;"",--('POINTAGE'!AZ305="Absent"),0),IF('POINTAGE'!$BB$5&lt;&gt;"",--('POINTAGE'!BB305="Absent"),0),IF('POINTAGE'!$BD$5&lt;&gt;"",--('POINTAGE'!BD305="Absent"),0),IF('POINTAGE'!$BF$5&lt;&gt;"",--('POINTAGE'!BF305="Absent"),0),IF('POINTAGE'!$BH$5&lt;&gt;"",--('POINTAGE'!BH305="Absent"),0),IF('POINTAGE'!$BJ$5&lt;&gt;"",--('POINTAGE'!BJ305="Absent"),0),IF('POINTAGE'!$BL$5&lt;&gt;"",--('POINTAGE'!BL305="Absent"),0)))</f>
      </c>
      <c r="P305" s="23">
        <f>IF($A305="","",SUM(IF('POINTAGE'!$AH$5&lt;&gt;"",IF('POINTAGE'!AH305="Présent",'POINTAGE'!AI305,0),0),IF('POINTAGE'!$AJ$5&lt;&gt;"",IF('POINTAGE'!AJ305="Présent",'POINTAGE'!AK305,0),0),IF('POINTAGE'!$AL$5&lt;&gt;"",IF('POINTAGE'!AL305="Présent",'POINTAGE'!AM305,0),0),IF('POINTAGE'!$AN$5&lt;&gt;"",IF('POINTAGE'!AN305="Présent",'POINTAGE'!AO305,0),0),IF('POINTAGE'!$AP$5&lt;&gt;"",IF('POINTAGE'!AP305="Présent",'POINTAGE'!AQ305,0),0),IF('POINTAGE'!$AR$5&lt;&gt;"",IF('POINTAGE'!AR305="Présent",'POINTAGE'!AS305,0),0),IF('POINTAGE'!$AT$5&lt;&gt;"",IF('POINTAGE'!AT305="Présent",'POINTAGE'!AU305,0),0),IF('POINTAGE'!$AV$5&lt;&gt;"",IF('POINTAGE'!AV305="Présent",'POINTAGE'!AW305,0),0),IF('POINTAGE'!$AX$5&lt;&gt;"",IF('POINTAGE'!AX305="Présent",'POINTAGE'!AY305,0),0),IF('POINTAGE'!$AZ$5&lt;&gt;"",IF('POINTAGE'!AZ305="Présent",'POINTAGE'!BA305,0),0),IF('POINTAGE'!$BB$5&lt;&gt;"",IF('POINTAGE'!BB305="Présent",'POINTAGE'!BC305,0),0),IF('POINTAGE'!$BD$5&lt;&gt;"",IF('POINTAGE'!BD305="Présent",'POINTAGE'!BE305,0),0),IF('POINTAGE'!$BF$5&lt;&gt;"",IF('POINTAGE'!BF305="Présent",'POINTAGE'!BG305,0),0),IF('POINTAGE'!$BH$5&lt;&gt;"",IF('POINTAGE'!BH305="Présent",'POINTAGE'!BI305,0),0),IF('POINTAGE'!$BJ$5&lt;&gt;"",IF('POINTAGE'!BJ305="Présent",'POINTAGE'!BK305,0),0),IF('POINTAGE'!$BL$5&lt;&gt;"",IF('POINTAGE'!BL305="Présent",'POINTAGE'!BM305,0),0)))</f>
      </c>
      <c r="Q305" s="24">
        <f>IF($A305="","",$N305*$D305)</f>
      </c>
      <c r="R305" s="24">
        <f>IF($A305="","",$P305*$E305)</f>
      </c>
      <c r="S305" s="25">
        <f>IF($A305="","",$Q305+$R305)</f>
      </c>
      <c r="T305" s="18"/>
      <c r="U305" s="25">
        <f>IF($A305="","",MAX(0,$S305-$T305))</f>
      </c>
      <c r="V305" s="25">
        <f>IF($A305="","",$K305+$S305)</f>
      </c>
      <c r="W305" s="24">
        <f>IF($A305="","",$L305+$T305)</f>
      </c>
      <c r="X305" s="25">
        <f>IF($A305="","",$M305+$U305)</f>
      </c>
      <c r="Y305" s="29">
        <f>IF($A305="","",$J305+$R305)</f>
      </c>
    </row>
    <row r="306">
      <c r="A306" s="20">
        <f>IF('POINTAGE'!A306="","",'POINTAGE'!A306)</f>
      </c>
      <c r="B306" s="19">
        <f>IF($A306="","",'POINTAGE'!B306)</f>
      </c>
      <c r="C306" s="20">
        <f>IF($A306="","",'POINTAGE'!C306)</f>
      </c>
      <c r="D306" s="24">
        <f>IF($A306="","",IFERROR(INDEX(Categories_Salaire,MATCH($C306,ListeCategories,0)),0))</f>
      </c>
      <c r="E306" s="24">
        <f>IF($A306="","",IF(IFERROR(INDEX(Categories_TauxHS,MATCH($C306,ListeCategories,0)),0)&gt;0,IFERROR(INDEX(Categories_TauxHS,MATCH($C306,ListeCategories,0)),0),TauxHSDefaut))</f>
      </c>
      <c r="F306" s="22">
        <f>IF($A306="","",SUM(IF('POINTAGE'!$D$5&lt;&gt;"",--('POINTAGE'!D306="Présent"),0),IF('POINTAGE'!$F$5&lt;&gt;"",--('POINTAGE'!F306="Présent"),0),IF('POINTAGE'!$H$5&lt;&gt;"",--('POINTAGE'!H306="Présent"),0),IF('POINTAGE'!$J$5&lt;&gt;"",--('POINTAGE'!J306="Présent"),0),IF('POINTAGE'!$L$5&lt;&gt;"",--('POINTAGE'!L306="Présent"),0),IF('POINTAGE'!$N$5&lt;&gt;"",--('POINTAGE'!N306="Présent"),0),IF('POINTAGE'!$P$5&lt;&gt;"",--('POINTAGE'!P306="Présent"),0),IF('POINTAGE'!$R$5&lt;&gt;"",--('POINTAGE'!R306="Présent"),0),IF('POINTAGE'!$T$5&lt;&gt;"",--('POINTAGE'!T306="Présent"),0),IF('POINTAGE'!$V$5&lt;&gt;"",--('POINTAGE'!V306="Présent"),0),IF('POINTAGE'!$X$5&lt;&gt;"",--('POINTAGE'!X306="Présent"),0),IF('POINTAGE'!$Z$5&lt;&gt;"",--('POINTAGE'!Z306="Présent"),0),IF('POINTAGE'!$AB$5&lt;&gt;"",--('POINTAGE'!AB306="Présent"),0),IF('POINTAGE'!$AD$5&lt;&gt;"",--('POINTAGE'!AD306="Présent"),0),IF('POINTAGE'!$AF$5&lt;&gt;"",--('POINTAGE'!AF306="Présent"),0)))</f>
      </c>
      <c r="G306" s="22">
        <f>IF($A306="","",SUM(IF('POINTAGE'!$D$5&lt;&gt;"",--('POINTAGE'!D306="Absent"),0),IF('POINTAGE'!$F$5&lt;&gt;"",--('POINTAGE'!F306="Absent"),0),IF('POINTAGE'!$H$5&lt;&gt;"",--('POINTAGE'!H306="Absent"),0),IF('POINTAGE'!$J$5&lt;&gt;"",--('POINTAGE'!J306="Absent"),0),IF('POINTAGE'!$L$5&lt;&gt;"",--('POINTAGE'!L306="Absent"),0),IF('POINTAGE'!$N$5&lt;&gt;"",--('POINTAGE'!N306="Absent"),0),IF('POINTAGE'!$P$5&lt;&gt;"",--('POINTAGE'!P306="Absent"),0),IF('POINTAGE'!$R$5&lt;&gt;"",--('POINTAGE'!R306="Absent"),0),IF('POINTAGE'!$T$5&lt;&gt;"",--('POINTAGE'!T306="Absent"),0),IF('POINTAGE'!$V$5&lt;&gt;"",--('POINTAGE'!V306="Absent"),0),IF('POINTAGE'!$X$5&lt;&gt;"",--('POINTAGE'!X306="Absent"),0),IF('POINTAGE'!$Z$5&lt;&gt;"",--('POINTAGE'!Z306="Absent"),0),IF('POINTAGE'!$AB$5&lt;&gt;"",--('POINTAGE'!AB306="Absent"),0),IF('POINTAGE'!$AD$5&lt;&gt;"",--('POINTAGE'!AD306="Absent"),0),IF('POINTAGE'!$AF$5&lt;&gt;"",--('POINTAGE'!AF306="Absent"),0)))</f>
      </c>
      <c r="H306" s="23">
        <f>IF($A306="","",SUM(IF('POINTAGE'!$D$5&lt;&gt;"",IF('POINTAGE'!D306="Présent",'POINTAGE'!E306,0),0),IF('POINTAGE'!$F$5&lt;&gt;"",IF('POINTAGE'!F306="Présent",'POINTAGE'!G306,0),0),IF('POINTAGE'!$H$5&lt;&gt;"",IF('POINTAGE'!H306="Présent",'POINTAGE'!I306,0),0),IF('POINTAGE'!$J$5&lt;&gt;"",IF('POINTAGE'!J306="Présent",'POINTAGE'!K306,0),0),IF('POINTAGE'!$L$5&lt;&gt;"",IF('POINTAGE'!L306="Présent",'POINTAGE'!M306,0),0),IF('POINTAGE'!$N$5&lt;&gt;"",IF('POINTAGE'!N306="Présent",'POINTAGE'!O306,0),0),IF('POINTAGE'!$P$5&lt;&gt;"",IF('POINTAGE'!P306="Présent",'POINTAGE'!Q306,0),0),IF('POINTAGE'!$R$5&lt;&gt;"",IF('POINTAGE'!R306="Présent",'POINTAGE'!S306,0),0),IF('POINTAGE'!$T$5&lt;&gt;"",IF('POINTAGE'!T306="Présent",'POINTAGE'!U306,0),0),IF('POINTAGE'!$V$5&lt;&gt;"",IF('POINTAGE'!V306="Présent",'POINTAGE'!W306,0),0),IF('POINTAGE'!$X$5&lt;&gt;"",IF('POINTAGE'!X306="Présent",'POINTAGE'!Y306,0),0),IF('POINTAGE'!$Z$5&lt;&gt;"",IF('POINTAGE'!Z306="Présent",'POINTAGE'!AA306,0),0),IF('POINTAGE'!$AB$5&lt;&gt;"",IF('POINTAGE'!AB306="Présent",'POINTAGE'!AC306,0),0),IF('POINTAGE'!$AD$5&lt;&gt;"",IF('POINTAGE'!AD306="Présent",'POINTAGE'!AE306,0),0),IF('POINTAGE'!$AF$5&lt;&gt;"",IF('POINTAGE'!AF306="Présent",'POINTAGE'!AG306,0),0)))</f>
      </c>
      <c r="I306" s="24">
        <f>IF($A306="","",$F306*$D306)</f>
      </c>
      <c r="J306" s="24">
        <f>IF($A306="","",$H306*$E306)</f>
      </c>
      <c r="K306" s="25">
        <f>IF($A306="","",$I306+$J306)</f>
      </c>
      <c r="L306" s="18"/>
      <c r="M306" s="25">
        <f>IF($A306="","",MAX(0,$K306-$L306))</f>
      </c>
      <c r="N306" s="22">
        <f>IF($A306="","",SUM(IF('POINTAGE'!$AH$5&lt;&gt;"",--('POINTAGE'!AH306="Présent"),0),IF('POINTAGE'!$AJ$5&lt;&gt;"",--('POINTAGE'!AJ306="Présent"),0),IF('POINTAGE'!$AL$5&lt;&gt;"",--('POINTAGE'!AL306="Présent"),0),IF('POINTAGE'!$AN$5&lt;&gt;"",--('POINTAGE'!AN306="Présent"),0),IF('POINTAGE'!$AP$5&lt;&gt;"",--('POINTAGE'!AP306="Présent"),0),IF('POINTAGE'!$AR$5&lt;&gt;"",--('POINTAGE'!AR306="Présent"),0),IF('POINTAGE'!$AT$5&lt;&gt;"",--('POINTAGE'!AT306="Présent"),0),IF('POINTAGE'!$AV$5&lt;&gt;"",--('POINTAGE'!AV306="Présent"),0),IF('POINTAGE'!$AX$5&lt;&gt;"",--('POINTAGE'!AX306="Présent"),0),IF('POINTAGE'!$AZ$5&lt;&gt;"",--('POINTAGE'!AZ306="Présent"),0),IF('POINTAGE'!$BB$5&lt;&gt;"",--('POINTAGE'!BB306="Présent"),0),IF('POINTAGE'!$BD$5&lt;&gt;"",--('POINTAGE'!BD306="Présent"),0),IF('POINTAGE'!$BF$5&lt;&gt;"",--('POINTAGE'!BF306="Présent"),0),IF('POINTAGE'!$BH$5&lt;&gt;"",--('POINTAGE'!BH306="Présent"),0),IF('POINTAGE'!$BJ$5&lt;&gt;"",--('POINTAGE'!BJ306="Présent"),0),IF('POINTAGE'!$BL$5&lt;&gt;"",--('POINTAGE'!BL306="Présent"),0)))</f>
      </c>
      <c r="O306" s="22">
        <f>IF($A306="","",SUM(IF('POINTAGE'!$AH$5&lt;&gt;"",--('POINTAGE'!AH306="Absent"),0),IF('POINTAGE'!$AJ$5&lt;&gt;"",--('POINTAGE'!AJ306="Absent"),0),IF('POINTAGE'!$AL$5&lt;&gt;"",--('POINTAGE'!AL306="Absent"),0),IF('POINTAGE'!$AN$5&lt;&gt;"",--('POINTAGE'!AN306="Absent"),0),IF('POINTAGE'!$AP$5&lt;&gt;"",--('POINTAGE'!AP306="Absent"),0),IF('POINTAGE'!$AR$5&lt;&gt;"",--('POINTAGE'!AR306="Absent"),0),IF('POINTAGE'!$AT$5&lt;&gt;"",--('POINTAGE'!AT306="Absent"),0),IF('POINTAGE'!$AV$5&lt;&gt;"",--('POINTAGE'!AV306="Absent"),0),IF('POINTAGE'!$AX$5&lt;&gt;"",--('POINTAGE'!AX306="Absent"),0),IF('POINTAGE'!$AZ$5&lt;&gt;"",--('POINTAGE'!AZ306="Absent"),0),IF('POINTAGE'!$BB$5&lt;&gt;"",--('POINTAGE'!BB306="Absent"),0),IF('POINTAGE'!$BD$5&lt;&gt;"",--('POINTAGE'!BD306="Absent"),0),IF('POINTAGE'!$BF$5&lt;&gt;"",--('POINTAGE'!BF306="Absent"),0),IF('POINTAGE'!$BH$5&lt;&gt;"",--('POINTAGE'!BH306="Absent"),0),IF('POINTAGE'!$BJ$5&lt;&gt;"",--('POINTAGE'!BJ306="Absent"),0),IF('POINTAGE'!$BL$5&lt;&gt;"",--('POINTAGE'!BL306="Absent"),0)))</f>
      </c>
      <c r="P306" s="23">
        <f>IF($A306="","",SUM(IF('POINTAGE'!$AH$5&lt;&gt;"",IF('POINTAGE'!AH306="Présent",'POINTAGE'!AI306,0),0),IF('POINTAGE'!$AJ$5&lt;&gt;"",IF('POINTAGE'!AJ306="Présent",'POINTAGE'!AK306,0),0),IF('POINTAGE'!$AL$5&lt;&gt;"",IF('POINTAGE'!AL306="Présent",'POINTAGE'!AM306,0),0),IF('POINTAGE'!$AN$5&lt;&gt;"",IF('POINTAGE'!AN306="Présent",'POINTAGE'!AO306,0),0),IF('POINTAGE'!$AP$5&lt;&gt;"",IF('POINTAGE'!AP306="Présent",'POINTAGE'!AQ306,0),0),IF('POINTAGE'!$AR$5&lt;&gt;"",IF('POINTAGE'!AR306="Présent",'POINTAGE'!AS306,0),0),IF('POINTAGE'!$AT$5&lt;&gt;"",IF('POINTAGE'!AT306="Présent",'POINTAGE'!AU306,0),0),IF('POINTAGE'!$AV$5&lt;&gt;"",IF('POINTAGE'!AV306="Présent",'POINTAGE'!AW306,0),0),IF('POINTAGE'!$AX$5&lt;&gt;"",IF('POINTAGE'!AX306="Présent",'POINTAGE'!AY306,0),0),IF('POINTAGE'!$AZ$5&lt;&gt;"",IF('POINTAGE'!AZ306="Présent",'POINTAGE'!BA306,0),0),IF('POINTAGE'!$BB$5&lt;&gt;"",IF('POINTAGE'!BB306="Présent",'POINTAGE'!BC306,0),0),IF('POINTAGE'!$BD$5&lt;&gt;"",IF('POINTAGE'!BD306="Présent",'POINTAGE'!BE306,0),0),IF('POINTAGE'!$BF$5&lt;&gt;"",IF('POINTAGE'!BF306="Présent",'POINTAGE'!BG306,0),0),IF('POINTAGE'!$BH$5&lt;&gt;"",IF('POINTAGE'!BH306="Présent",'POINTAGE'!BI306,0),0),IF('POINTAGE'!$BJ$5&lt;&gt;"",IF('POINTAGE'!BJ306="Présent",'POINTAGE'!BK306,0),0),IF('POINTAGE'!$BL$5&lt;&gt;"",IF('POINTAGE'!BL306="Présent",'POINTAGE'!BM306,0),0)))</f>
      </c>
      <c r="Q306" s="24">
        <f>IF($A306="","",$N306*$D306)</f>
      </c>
      <c r="R306" s="24">
        <f>IF($A306="","",$P306*$E306)</f>
      </c>
      <c r="S306" s="25">
        <f>IF($A306="","",$Q306+$R306)</f>
      </c>
      <c r="T306" s="18"/>
      <c r="U306" s="25">
        <f>IF($A306="","",MAX(0,$S306-$T306))</f>
      </c>
      <c r="V306" s="25">
        <f>IF($A306="","",$K306+$S306)</f>
      </c>
      <c r="W306" s="24">
        <f>IF($A306="","",$L306+$T306)</f>
      </c>
      <c r="X306" s="25">
        <f>IF($A306="","",$M306+$U306)</f>
      </c>
      <c r="Y306" s="29">
        <f>IF($A306="","",$J306+$R306)</f>
      </c>
    </row>
  </sheetData>
  <sheetProtection sheet="1" objects="1" scenarios="1" formatCells="0" formatColumns="0" formatRows="0" selectLockedCells="1" selectUnlockedCells="0"/>
  <mergeCells count="6">
    <mergeCell ref="A2:X2"/>
    <mergeCell ref="A3:X3"/>
    <mergeCell ref="A5:E5"/>
    <mergeCell ref="F5:M5"/>
    <mergeCell ref="N5:U5"/>
    <mergeCell ref="V5:X5"/>
  </mergeCells>
  <conditionalFormatting sqref="A7:X306">
    <cfRule type="expression" dxfId="10" priority="8">
      <formula>MOD(ROW(),2)=0</formula>
    </cfRule>
  </conditionalFormatting>
  <dataValidations count="1">
    <dataValidation type="decimal" operator="greaterThanOrEqual" allowBlank="1" showInputMessage="1" showErrorMessage="1" sqref="L7:L306 T7:T306">
      <formula1>0</formula1>
    </dataValidation>
  </dataValidations>
  <hyperlinks>
    <hyperlink ref="A1" location="'PARAMÈTRES'!A1" display="⚙ PARAMÈTRES"/>
    <hyperlink ref="B1" location="'EMPLOYÉS'!A1" display="👥 EMPLOYÉS"/>
    <hyperlink ref="C1" location="'POINTAGE'!A1" display="✓ POINTAGE"/>
    <hyperlink ref="D1" location="'TABLEAU DE BORD'!A1" display="▦ TABLEAU DE BORD"/>
    <hyperlink ref="E1" location="'RECHERCHE'!A1" display="⌕ RECHERCHE"/>
    <hyperlink ref="F1" location="'PAIE (15 Jours)'!A1" display="MAD PAIE"/>
    <hyperlink ref="G1" location="'IMPRESSION'!A1" display="▤ IMPRESSION"/>
  </hyperlinks>
  <printOptions horizontalCentered="1"/>
  <pageMargins left="0.4" right="0.4" top="0.5" bottom="0.5" header="0.2" footer="0.2"/>
  <pageSetup paperSize="9" orientation="landscape" fitToWidth="1" fitToHeight="0"/>
  <tableParts count="1">
    <tablePart r:id="rId1"/>
  </tableParts>
</worksheet>
</file>

<file path=xl/worksheets/sheet7.xml><?xml version="1.0" encoding="utf-8"?>
<worksheet xmlns="http://schemas.openxmlformats.org/spreadsheetml/2006/main" xmlns:r="http://schemas.openxmlformats.org/officeDocument/2006/relationships">
  <sheetPr>
    <tabColor rgb="FF7F8C8D"/>
    <pageSetUpPr fitToPage="1"/>
  </sheetPr>
  <dimension ref="A1:L327"/>
  <sheetViews>
    <sheetView workbookViewId="0">
      <pane ySplit="6" topLeftCell="A7" activePane="bottomRight" state="frozen"/>
      <selection pane="bottomRight" activeCell="A7" sqref="A7"/>
    </sheetView>
  </sheetViews>
  <sheetFormatPr defaultRowHeight="15"/>
  <cols>
    <col min="1" max="1" width="16" customWidth="1"/>
    <col min="2" max="2" width="25" customWidth="1"/>
    <col min="3" max="3" width="18" customWidth="1"/>
    <col min="4" max="4" width="14" customWidth="1"/>
    <col min="5" max="5" width="14" customWidth="1"/>
    <col min="6" max="6" width="14" customWidth="1"/>
    <col min="7" max="7" width="14" customWidth="1"/>
    <col min="8" max="8" width="14" customWidth="1"/>
    <col min="9" max="9" width="14" customWidth="1"/>
    <col min="10" max="10" width="14" customWidth="1"/>
  </cols>
  <sheetData>
    <row r="1" ht="23" customHeight="1">
      <c r="A1" s="1" t="inlineStr">
        <is>
          <t xml:space="preserve">⚙ PARAMÈTRES</t>
        </is>
      </c>
      <c r="B1" s="1" t="inlineStr">
        <is>
          <t xml:space="preserve">👥 EMPLOYÉS</t>
        </is>
      </c>
      <c r="C1" s="1" t="inlineStr">
        <is>
          <t xml:space="preserve">✓ POINTAGE</t>
        </is>
      </c>
      <c r="D1" s="1" t="inlineStr">
        <is>
          <t xml:space="preserve">▦ TABLEAU DE BORD</t>
        </is>
      </c>
      <c r="E1" s="1" t="inlineStr">
        <is>
          <t xml:space="preserve">⌕ RECHERCHE</t>
        </is>
      </c>
      <c r="F1" s="1" t="inlineStr">
        <is>
          <t xml:space="preserve">MAD PAIE</t>
        </is>
      </c>
      <c r="G1" s="2" t="inlineStr">
        <is>
          <t xml:space="preserve">▤ IMPRESSION</t>
        </is>
      </c>
      <c r="L1" s="29">
        <f>IFERROR(MATCH($E$5,Pointage_ID,0),0)</f>
      </c>
    </row>
    <row r="2">
      <c r="A2" s="4">
        <f>NomSociete</f>
      </c>
      <c r="I2" s="8" t="inlineStr">
        <is>
          <t xml:space="preserve">LOGO</t>
        </is>
      </c>
    </row>
    <row r="3">
      <c r="A3" s="5">
        <f>"  RAPPORT DE PAIE — "&amp;MoisLibelle&amp;"     |     "&amp;AdresseSociete&amp;"     |     "&amp;TelephoneSociete</f>
      </c>
    </row>
    <row r="5">
      <c r="A5" s="14" t="inlineStr">
        <is>
          <t xml:space="preserve">Mode d'impression</t>
        </is>
      </c>
      <c r="B5" s="16" t="inlineStr">
        <is>
          <t xml:space="preserve">Un employé</t>
        </is>
      </c>
      <c r="D5" s="14" t="inlineStr">
        <is>
          <t xml:space="preserve">ID employé</t>
        </is>
      </c>
      <c r="E5" s="16" t="inlineStr">
        <is>
          <t xml:space="preserve">EMP-0001</t>
        </is>
      </c>
      <c r="G5" s="14" t="inlineStr">
        <is>
          <t xml:space="preserve">Période</t>
        </is>
      </c>
      <c r="H5" s="16" t="inlineStr">
        <is>
          <t xml:space="preserve">Mois complet</t>
        </is>
      </c>
    </row>
    <row r="6">
      <c r="A6" s="30">
        <f>"Période de paie configurée : "&amp;PeriodePaie&amp;" jours     |     Devise : "&amp;Devise</f>
      </c>
    </row>
    <row r="8">
      <c r="A8" s="6">
        <f>IF($B$5="Un employé","  BULLETIN DE PAIE INDIVIDUEL","")</f>
      </c>
    </row>
    <row r="9">
      <c r="A9" s="14">
        <f>IF($B$5="Un employé","ID employé","")</f>
      </c>
      <c r="B9" s="35">
        <f>IF($B$5&lt;&gt;"Un employé","",IF(ImpressionPos=0,"-",INDEX(Pointage_ID,ImpressionPos)))</f>
      </c>
      <c r="F9" s="14">
        <f>IF($B$5="Un employé","Nom complet","")</f>
      </c>
      <c r="G9" s="35">
        <f>IF($B$5&lt;&gt;"Un employé","",IF(ImpressionPos=0,"-",INDEX(Pointage_Nom,ImpressionPos)))</f>
      </c>
    </row>
    <row r="10">
      <c r="A10" s="14">
        <f>IF($B$5="Un employé","Catégorie","")</f>
      </c>
      <c r="B10" s="35">
        <f>IF($B$5&lt;&gt;"Un employé","",IF(ImpressionPos=0,"-",INDEX(Pointage_Categorie,ImpressionPos)))</f>
      </c>
      <c r="F10" s="14">
        <f>IF($B$5="Un employé","Période","")</f>
      </c>
      <c r="G10" s="35">
        <f>IF($B$5&lt;&gt;"Un employé","",$H$5)</f>
      </c>
    </row>
    <row r="11">
      <c r="A11" s="14">
        <f>IF($B$5="Un employé","Jours travaillés","")</f>
      </c>
      <c r="B11" s="35">
        <f>IF($B$5&lt;&gt;"Un employé","",IF(ImpressionPos=0,"-",IF($H$5="1ère quinzaine",INDEX(Paie_Jours1,ImpressionPos),IF($H$5="2ème quinzaine",INDEX(Paie_Jours2,ImpressionPos),INDEX(Pointage_Travailles,ImpressionPos)))))</f>
      </c>
      <c r="F11" s="14">
        <f>IF($B$5="Un employé","Heures HS","")</f>
      </c>
      <c r="G11" s="35">
        <f>IF($B$5&lt;&gt;"Un employé","",IF(ImpressionPos=0,"-",IF($H$5="1ère quinzaine",INDEX(Paie_HS1,ImpressionPos),IF($H$5="2ème quinzaine",INDEX(Paie_HS2,ImpressionPos),INDEX(Pointage_HS,ImpressionPos)))))</f>
      </c>
    </row>
    <row r="12">
      <c r="A12" s="14">
        <f>IF($B$5="Un employé","Salaire journalier","")</f>
      </c>
      <c r="B12" s="35">
        <f>IF($B$5&lt;&gt;"Un employé","",IF(ImpressionPos=0,"-",INDEX(Paie_SalaireJour,ImpressionPos)))</f>
      </c>
      <c r="F12" s="14">
        <f>IF($B$5="Un employé","Salaire HS","")</f>
      </c>
      <c r="G12" s="36">
        <f>IF($B$5&lt;&gt;"Un employé","",IF(ImpressionPos=0,"-",IF($H$5="1ère quinzaine",INDEX(Paie_MontantHS1,ImpressionPos),IF($H$5="2ème quinzaine",INDEX(Paie_MontantHS2,ImpressionPos),INDEX(Paie_MontantHS,ImpressionPos)))))</f>
      </c>
    </row>
    <row r="13">
      <c r="A13" s="14">
        <f>IF($B$5="Un employé","Salaire brut","")</f>
      </c>
      <c r="B13" s="35">
        <f>IF($B$5&lt;&gt;"Un employé","",IF(ImpressionPos=0,"-",IF($H$5="1ère quinzaine",INDEX(Paie_Brut1,ImpressionPos),IF($H$5="2ème quinzaine",INDEX(Paie_Brut2,ImpressionPos),INDEX(Paie_BrutMensuel,ImpressionPos)))))</f>
      </c>
      <c r="F13" s="14">
        <f>IF($B$5="Un employé","Retenues","")</f>
      </c>
      <c r="G13" s="36">
        <f>IF($B$5&lt;&gt;"Un employé","",IF(ImpressionPos=0,"-",IF($H$5="1ère quinzaine",INDEX(Paie_Retenues1,ImpressionPos),IF($H$5="2ème quinzaine",INDEX(Paie_Retenues2,ImpressionPos),INDEX(Paie_Retenues,ImpressionPos)))))</f>
      </c>
    </row>
    <row r="15" ht="36" customHeight="1">
      <c r="A15" s="37">
        <f>IF($B$5="Un employé","NET À PAYER","")</f>
      </c>
      <c r="E15" s="38">
        <f>IF($B$5&lt;&gt;"Un employé","",IF(ImpressionPos=0,"-",IF($H$5="1ère quinzaine",INDEX(Paie_Net1,ImpressionPos),IF($H$5="2ème quinzaine",INDEX(Paie_Net2,ImpressionPos),INDEX(Paie_NetMensuel,ImpressionPos)))))</f>
      </c>
    </row>
    <row r="20">
      <c r="A20" s="39">
        <f>IF($B$5="Un employé","Signature de l’employé","")</f>
      </c>
      <c r="G20" s="39">
        <f>IF($B$5="Un employé","Visa et cachet de l’entreprise","")</f>
      </c>
    </row>
    <row r="23">
      <c r="A23" s="30">
        <f>IF($B$5="Un employé","Édité le "&amp;TEXT(TODAY(),"dd/mm/yyyy"),"")</f>
      </c>
    </row>
    <row r="27">
      <c r="A27" s="9">
        <f>IF($B$5="Tous les employés","ID","")</f>
      </c>
      <c r="B27" s="9">
        <f>IF($B$5="Tous les employés","Nom complet","")</f>
      </c>
      <c r="C27" s="9">
        <f>IF($B$5="Tous les employés","Catégorie","")</f>
      </c>
      <c r="D27" s="9">
        <f>IF($B$5="Tous les employés","Jours","")</f>
      </c>
      <c r="E27" s="9">
        <f>IF($B$5="Tous les employés","HS","")</f>
      </c>
      <c r="F27" s="9">
        <f>IF($B$5="Tous les employés","Salaire / jour","")</f>
      </c>
      <c r="G27" s="9">
        <f>IF($B$5="Tous les employés","Salaire HS","")</f>
      </c>
      <c r="H27" s="9">
        <f>IF($B$5="Tous les employés","Brut","")</f>
      </c>
      <c r="I27" s="9">
        <f>IF($B$5="Tous les employés","Retenues","")</f>
      </c>
      <c r="J27" s="9">
        <f>IF($B$5="Tous les employés","Net","")</f>
      </c>
    </row>
    <row r="28">
      <c r="A28" s="20">
        <f>IF(AND($B$5="Tous les employés",IFERROR(INDEX(Pointage_ID,1),"")&lt;&gt;""),IFERROR(INDEX(Pointage_ID,1),""),"")</f>
      </c>
      <c r="B28" s="19">
        <f>IF(AND($B$5="Tous les employés",IFERROR(INDEX(Pointage_ID,1),"")&lt;&gt;""),INDEX(Pointage_Nom,1),"")</f>
      </c>
      <c r="C28" s="20">
        <f>IF(AND($B$5="Tous les employés",IFERROR(INDEX(Pointage_ID,1),"")&lt;&gt;""),INDEX(Pointage_Categorie,1),"")</f>
      </c>
      <c r="D28" s="22">
        <f>IF(AND($B$5="Tous les employés",IFERROR(INDEX(Pointage_ID,1),"")&lt;&gt;""),IF(1=0,"-",IF($H$5="1ère quinzaine",INDEX(Paie_Jours1,1),IF($H$5="2ème quinzaine",INDEX(Paie_Jours2,1),INDEX(Pointage_Travailles,1)))),"")</f>
      </c>
      <c r="E28" s="23">
        <f>IF(AND($B$5="Tous les employés",IFERROR(INDEX(Pointage_ID,1),"")&lt;&gt;""),IF(1=0,"-",IF($H$5="1ère quinzaine",INDEX(Paie_HS1,1),IF($H$5="2ème quinzaine",INDEX(Paie_HS2,1),INDEX(Pointage_HS,1)))),"")</f>
      </c>
      <c r="F28" s="24">
        <f>IF(AND($B$5="Tous les employés",IFERROR(INDEX(Pointage_ID,1),"")&lt;&gt;""),INDEX(Paie_SalaireJour,1),"")</f>
      </c>
      <c r="G28" s="24">
        <f>IF(AND($B$5="Tous les employés",IFERROR(INDEX(Pointage_ID,1),"")&lt;&gt;""),IF(1=0,"-",IF($H$5="1ère quinzaine",INDEX(Paie_MontantHS1,1),IF($H$5="2ème quinzaine",INDEX(Paie_MontantHS2,1),INDEX(Paie_MontantHS,1)))),"")</f>
      </c>
      <c r="H28" s="24">
        <f>IF(AND($B$5="Tous les employés",IFERROR(INDEX(Pointage_ID,1),"")&lt;&gt;""),IF(1=0,"-",IF($H$5="1ère quinzaine",INDEX(Paie_Brut1,1),IF($H$5="2ème quinzaine",INDEX(Paie_Brut2,1),INDEX(Paie_BrutMensuel,1)))),"")</f>
      </c>
      <c r="I28" s="24">
        <f>IF(AND($B$5="Tous les employés",IFERROR(INDEX(Pointage_ID,1),"")&lt;&gt;""),IF(1=0,"-",IF($H$5="1ère quinzaine",INDEX(Paie_Retenues1,1),IF($H$5="2ème quinzaine",INDEX(Paie_Retenues2,1),INDEX(Paie_Retenues,1)))),"")</f>
      </c>
      <c r="J28" s="25">
        <f>IF(AND($B$5="Tous les employés",IFERROR(INDEX(Pointage_ID,1),"")&lt;&gt;""),IF(1=0,"-",IF($H$5="1ère quinzaine",INDEX(Paie_Net1,1),IF($H$5="2ème quinzaine",INDEX(Paie_Net2,1),INDEX(Paie_NetMensuel,1)))),"")</f>
      </c>
    </row>
    <row r="29">
      <c r="A29" s="20">
        <f>IF(AND($B$5="Tous les employés",IFERROR(INDEX(Pointage_ID,2),"")&lt;&gt;""),IFERROR(INDEX(Pointage_ID,2),""),"")</f>
      </c>
      <c r="B29" s="19">
        <f>IF(AND($B$5="Tous les employés",IFERROR(INDEX(Pointage_ID,2),"")&lt;&gt;""),INDEX(Pointage_Nom,2),"")</f>
      </c>
      <c r="C29" s="20">
        <f>IF(AND($B$5="Tous les employés",IFERROR(INDEX(Pointage_ID,2),"")&lt;&gt;""),INDEX(Pointage_Categorie,2),"")</f>
      </c>
      <c r="D29" s="22">
        <f>IF(AND($B$5="Tous les employés",IFERROR(INDEX(Pointage_ID,2),"")&lt;&gt;""),IF(2=0,"-",IF($H$5="1ère quinzaine",INDEX(Paie_Jours1,2),IF($H$5="2ème quinzaine",INDEX(Paie_Jours2,2),INDEX(Pointage_Travailles,2)))),"")</f>
      </c>
      <c r="E29" s="23">
        <f>IF(AND($B$5="Tous les employés",IFERROR(INDEX(Pointage_ID,2),"")&lt;&gt;""),IF(2=0,"-",IF($H$5="1ère quinzaine",INDEX(Paie_HS1,2),IF($H$5="2ème quinzaine",INDEX(Paie_HS2,2),INDEX(Pointage_HS,2)))),"")</f>
      </c>
      <c r="F29" s="24">
        <f>IF(AND($B$5="Tous les employés",IFERROR(INDEX(Pointage_ID,2),"")&lt;&gt;""),INDEX(Paie_SalaireJour,2),"")</f>
      </c>
      <c r="G29" s="24">
        <f>IF(AND($B$5="Tous les employés",IFERROR(INDEX(Pointage_ID,2),"")&lt;&gt;""),IF(2=0,"-",IF($H$5="1ère quinzaine",INDEX(Paie_MontantHS1,2),IF($H$5="2ème quinzaine",INDEX(Paie_MontantHS2,2),INDEX(Paie_MontantHS,2)))),"")</f>
      </c>
      <c r="H29" s="24">
        <f>IF(AND($B$5="Tous les employés",IFERROR(INDEX(Pointage_ID,2),"")&lt;&gt;""),IF(2=0,"-",IF($H$5="1ère quinzaine",INDEX(Paie_Brut1,2),IF($H$5="2ème quinzaine",INDEX(Paie_Brut2,2),INDEX(Paie_BrutMensuel,2)))),"")</f>
      </c>
      <c r="I29" s="24">
        <f>IF(AND($B$5="Tous les employés",IFERROR(INDEX(Pointage_ID,2),"")&lt;&gt;""),IF(2=0,"-",IF($H$5="1ère quinzaine",INDEX(Paie_Retenues1,2),IF($H$5="2ème quinzaine",INDEX(Paie_Retenues2,2),INDEX(Paie_Retenues,2)))),"")</f>
      </c>
      <c r="J29" s="25">
        <f>IF(AND($B$5="Tous les employés",IFERROR(INDEX(Pointage_ID,2),"")&lt;&gt;""),IF(2=0,"-",IF($H$5="1ère quinzaine",INDEX(Paie_Net1,2),IF($H$5="2ème quinzaine",INDEX(Paie_Net2,2),INDEX(Paie_NetMensuel,2)))),"")</f>
      </c>
    </row>
    <row r="30">
      <c r="A30" s="20">
        <f>IF(AND($B$5="Tous les employés",IFERROR(INDEX(Pointage_ID,3),"")&lt;&gt;""),IFERROR(INDEX(Pointage_ID,3),""),"")</f>
      </c>
      <c r="B30" s="19">
        <f>IF(AND($B$5="Tous les employés",IFERROR(INDEX(Pointage_ID,3),"")&lt;&gt;""),INDEX(Pointage_Nom,3),"")</f>
      </c>
      <c r="C30" s="20">
        <f>IF(AND($B$5="Tous les employés",IFERROR(INDEX(Pointage_ID,3),"")&lt;&gt;""),INDEX(Pointage_Categorie,3),"")</f>
      </c>
      <c r="D30" s="22">
        <f>IF(AND($B$5="Tous les employés",IFERROR(INDEX(Pointage_ID,3),"")&lt;&gt;""),IF(3=0,"-",IF($H$5="1ère quinzaine",INDEX(Paie_Jours1,3),IF($H$5="2ème quinzaine",INDEX(Paie_Jours2,3),INDEX(Pointage_Travailles,3)))),"")</f>
      </c>
      <c r="E30" s="23">
        <f>IF(AND($B$5="Tous les employés",IFERROR(INDEX(Pointage_ID,3),"")&lt;&gt;""),IF(3=0,"-",IF($H$5="1ère quinzaine",INDEX(Paie_HS1,3),IF($H$5="2ème quinzaine",INDEX(Paie_HS2,3),INDEX(Pointage_HS,3)))),"")</f>
      </c>
      <c r="F30" s="24">
        <f>IF(AND($B$5="Tous les employés",IFERROR(INDEX(Pointage_ID,3),"")&lt;&gt;""),INDEX(Paie_SalaireJour,3),"")</f>
      </c>
      <c r="G30" s="24">
        <f>IF(AND($B$5="Tous les employés",IFERROR(INDEX(Pointage_ID,3),"")&lt;&gt;""),IF(3=0,"-",IF($H$5="1ère quinzaine",INDEX(Paie_MontantHS1,3),IF($H$5="2ème quinzaine",INDEX(Paie_MontantHS2,3),INDEX(Paie_MontantHS,3)))),"")</f>
      </c>
      <c r="H30" s="24">
        <f>IF(AND($B$5="Tous les employés",IFERROR(INDEX(Pointage_ID,3),"")&lt;&gt;""),IF(3=0,"-",IF($H$5="1ère quinzaine",INDEX(Paie_Brut1,3),IF($H$5="2ème quinzaine",INDEX(Paie_Brut2,3),INDEX(Paie_BrutMensuel,3)))),"")</f>
      </c>
      <c r="I30" s="24">
        <f>IF(AND($B$5="Tous les employés",IFERROR(INDEX(Pointage_ID,3),"")&lt;&gt;""),IF(3=0,"-",IF($H$5="1ère quinzaine",INDEX(Paie_Retenues1,3),IF($H$5="2ème quinzaine",INDEX(Paie_Retenues2,3),INDEX(Paie_Retenues,3)))),"")</f>
      </c>
      <c r="J30" s="25">
        <f>IF(AND($B$5="Tous les employés",IFERROR(INDEX(Pointage_ID,3),"")&lt;&gt;""),IF(3=0,"-",IF($H$5="1ère quinzaine",INDEX(Paie_Net1,3),IF($H$5="2ème quinzaine",INDEX(Paie_Net2,3),INDEX(Paie_NetMensuel,3)))),"")</f>
      </c>
    </row>
    <row r="31">
      <c r="A31" s="20">
        <f>IF(AND($B$5="Tous les employés",IFERROR(INDEX(Pointage_ID,4),"")&lt;&gt;""),IFERROR(INDEX(Pointage_ID,4),""),"")</f>
      </c>
      <c r="B31" s="19">
        <f>IF(AND($B$5="Tous les employés",IFERROR(INDEX(Pointage_ID,4),"")&lt;&gt;""),INDEX(Pointage_Nom,4),"")</f>
      </c>
      <c r="C31" s="20">
        <f>IF(AND($B$5="Tous les employés",IFERROR(INDEX(Pointage_ID,4),"")&lt;&gt;""),INDEX(Pointage_Categorie,4),"")</f>
      </c>
      <c r="D31" s="22">
        <f>IF(AND($B$5="Tous les employés",IFERROR(INDEX(Pointage_ID,4),"")&lt;&gt;""),IF(4=0,"-",IF($H$5="1ère quinzaine",INDEX(Paie_Jours1,4),IF($H$5="2ème quinzaine",INDEX(Paie_Jours2,4),INDEX(Pointage_Travailles,4)))),"")</f>
      </c>
      <c r="E31" s="23">
        <f>IF(AND($B$5="Tous les employés",IFERROR(INDEX(Pointage_ID,4),"")&lt;&gt;""),IF(4=0,"-",IF($H$5="1ère quinzaine",INDEX(Paie_HS1,4),IF($H$5="2ème quinzaine",INDEX(Paie_HS2,4),INDEX(Pointage_HS,4)))),"")</f>
      </c>
      <c r="F31" s="24">
        <f>IF(AND($B$5="Tous les employés",IFERROR(INDEX(Pointage_ID,4),"")&lt;&gt;""),INDEX(Paie_SalaireJour,4),"")</f>
      </c>
      <c r="G31" s="24">
        <f>IF(AND($B$5="Tous les employés",IFERROR(INDEX(Pointage_ID,4),"")&lt;&gt;""),IF(4=0,"-",IF($H$5="1ère quinzaine",INDEX(Paie_MontantHS1,4),IF($H$5="2ème quinzaine",INDEX(Paie_MontantHS2,4),INDEX(Paie_MontantHS,4)))),"")</f>
      </c>
      <c r="H31" s="24">
        <f>IF(AND($B$5="Tous les employés",IFERROR(INDEX(Pointage_ID,4),"")&lt;&gt;""),IF(4=0,"-",IF($H$5="1ère quinzaine",INDEX(Paie_Brut1,4),IF($H$5="2ème quinzaine",INDEX(Paie_Brut2,4),INDEX(Paie_BrutMensuel,4)))),"")</f>
      </c>
      <c r="I31" s="24">
        <f>IF(AND($B$5="Tous les employés",IFERROR(INDEX(Pointage_ID,4),"")&lt;&gt;""),IF(4=0,"-",IF($H$5="1ère quinzaine",INDEX(Paie_Retenues1,4),IF($H$5="2ème quinzaine",INDEX(Paie_Retenues2,4),INDEX(Paie_Retenues,4)))),"")</f>
      </c>
      <c r="J31" s="25">
        <f>IF(AND($B$5="Tous les employés",IFERROR(INDEX(Pointage_ID,4),"")&lt;&gt;""),IF(4=0,"-",IF($H$5="1ère quinzaine",INDEX(Paie_Net1,4),IF($H$5="2ème quinzaine",INDEX(Paie_Net2,4),INDEX(Paie_NetMensuel,4)))),"")</f>
      </c>
    </row>
    <row r="32">
      <c r="A32" s="20">
        <f>IF(AND($B$5="Tous les employés",IFERROR(INDEX(Pointage_ID,5),"")&lt;&gt;""),IFERROR(INDEX(Pointage_ID,5),""),"")</f>
      </c>
      <c r="B32" s="19">
        <f>IF(AND($B$5="Tous les employés",IFERROR(INDEX(Pointage_ID,5),"")&lt;&gt;""),INDEX(Pointage_Nom,5),"")</f>
      </c>
      <c r="C32" s="20">
        <f>IF(AND($B$5="Tous les employés",IFERROR(INDEX(Pointage_ID,5),"")&lt;&gt;""),INDEX(Pointage_Categorie,5),"")</f>
      </c>
      <c r="D32" s="22">
        <f>IF(AND($B$5="Tous les employés",IFERROR(INDEX(Pointage_ID,5),"")&lt;&gt;""),IF(5=0,"-",IF($H$5="1ère quinzaine",INDEX(Paie_Jours1,5),IF($H$5="2ème quinzaine",INDEX(Paie_Jours2,5),INDEX(Pointage_Travailles,5)))),"")</f>
      </c>
      <c r="E32" s="23">
        <f>IF(AND($B$5="Tous les employés",IFERROR(INDEX(Pointage_ID,5),"")&lt;&gt;""),IF(5=0,"-",IF($H$5="1ère quinzaine",INDEX(Paie_HS1,5),IF($H$5="2ème quinzaine",INDEX(Paie_HS2,5),INDEX(Pointage_HS,5)))),"")</f>
      </c>
      <c r="F32" s="24">
        <f>IF(AND($B$5="Tous les employés",IFERROR(INDEX(Pointage_ID,5),"")&lt;&gt;""),INDEX(Paie_SalaireJour,5),"")</f>
      </c>
      <c r="G32" s="24">
        <f>IF(AND($B$5="Tous les employés",IFERROR(INDEX(Pointage_ID,5),"")&lt;&gt;""),IF(5=0,"-",IF($H$5="1ère quinzaine",INDEX(Paie_MontantHS1,5),IF($H$5="2ème quinzaine",INDEX(Paie_MontantHS2,5),INDEX(Paie_MontantHS,5)))),"")</f>
      </c>
      <c r="H32" s="24">
        <f>IF(AND($B$5="Tous les employés",IFERROR(INDEX(Pointage_ID,5),"")&lt;&gt;""),IF(5=0,"-",IF($H$5="1ère quinzaine",INDEX(Paie_Brut1,5),IF($H$5="2ème quinzaine",INDEX(Paie_Brut2,5),INDEX(Paie_BrutMensuel,5)))),"")</f>
      </c>
      <c r="I32" s="24">
        <f>IF(AND($B$5="Tous les employés",IFERROR(INDEX(Pointage_ID,5),"")&lt;&gt;""),IF(5=0,"-",IF($H$5="1ère quinzaine",INDEX(Paie_Retenues1,5),IF($H$5="2ème quinzaine",INDEX(Paie_Retenues2,5),INDEX(Paie_Retenues,5)))),"")</f>
      </c>
      <c r="J32" s="25">
        <f>IF(AND($B$5="Tous les employés",IFERROR(INDEX(Pointage_ID,5),"")&lt;&gt;""),IF(5=0,"-",IF($H$5="1ère quinzaine",INDEX(Paie_Net1,5),IF($H$5="2ème quinzaine",INDEX(Paie_Net2,5),INDEX(Paie_NetMensuel,5)))),"")</f>
      </c>
    </row>
    <row r="33">
      <c r="A33" s="20">
        <f>IF(AND($B$5="Tous les employés",IFERROR(INDEX(Pointage_ID,6),"")&lt;&gt;""),IFERROR(INDEX(Pointage_ID,6),""),"")</f>
      </c>
      <c r="B33" s="19">
        <f>IF(AND($B$5="Tous les employés",IFERROR(INDEX(Pointage_ID,6),"")&lt;&gt;""),INDEX(Pointage_Nom,6),"")</f>
      </c>
      <c r="C33" s="20">
        <f>IF(AND($B$5="Tous les employés",IFERROR(INDEX(Pointage_ID,6),"")&lt;&gt;""),INDEX(Pointage_Categorie,6),"")</f>
      </c>
      <c r="D33" s="22">
        <f>IF(AND($B$5="Tous les employés",IFERROR(INDEX(Pointage_ID,6),"")&lt;&gt;""),IF(6=0,"-",IF($H$5="1ère quinzaine",INDEX(Paie_Jours1,6),IF($H$5="2ème quinzaine",INDEX(Paie_Jours2,6),INDEX(Pointage_Travailles,6)))),"")</f>
      </c>
      <c r="E33" s="23">
        <f>IF(AND($B$5="Tous les employés",IFERROR(INDEX(Pointage_ID,6),"")&lt;&gt;""),IF(6=0,"-",IF($H$5="1ère quinzaine",INDEX(Paie_HS1,6),IF($H$5="2ème quinzaine",INDEX(Paie_HS2,6),INDEX(Pointage_HS,6)))),"")</f>
      </c>
      <c r="F33" s="24">
        <f>IF(AND($B$5="Tous les employés",IFERROR(INDEX(Pointage_ID,6),"")&lt;&gt;""),INDEX(Paie_SalaireJour,6),"")</f>
      </c>
      <c r="G33" s="24">
        <f>IF(AND($B$5="Tous les employés",IFERROR(INDEX(Pointage_ID,6),"")&lt;&gt;""),IF(6=0,"-",IF($H$5="1ère quinzaine",INDEX(Paie_MontantHS1,6),IF($H$5="2ème quinzaine",INDEX(Paie_MontantHS2,6),INDEX(Paie_MontantHS,6)))),"")</f>
      </c>
      <c r="H33" s="24">
        <f>IF(AND($B$5="Tous les employés",IFERROR(INDEX(Pointage_ID,6),"")&lt;&gt;""),IF(6=0,"-",IF($H$5="1ère quinzaine",INDEX(Paie_Brut1,6),IF($H$5="2ème quinzaine",INDEX(Paie_Brut2,6),INDEX(Paie_BrutMensuel,6)))),"")</f>
      </c>
      <c r="I33" s="24">
        <f>IF(AND($B$5="Tous les employés",IFERROR(INDEX(Pointage_ID,6),"")&lt;&gt;""),IF(6=0,"-",IF($H$5="1ère quinzaine",INDEX(Paie_Retenues1,6),IF($H$5="2ème quinzaine",INDEX(Paie_Retenues2,6),INDEX(Paie_Retenues,6)))),"")</f>
      </c>
      <c r="J33" s="25">
        <f>IF(AND($B$5="Tous les employés",IFERROR(INDEX(Pointage_ID,6),"")&lt;&gt;""),IF(6=0,"-",IF($H$5="1ère quinzaine",INDEX(Paie_Net1,6),IF($H$5="2ème quinzaine",INDEX(Paie_Net2,6),INDEX(Paie_NetMensuel,6)))),"")</f>
      </c>
    </row>
    <row r="34">
      <c r="A34" s="20">
        <f>IF(AND($B$5="Tous les employés",IFERROR(INDEX(Pointage_ID,7),"")&lt;&gt;""),IFERROR(INDEX(Pointage_ID,7),""),"")</f>
      </c>
      <c r="B34" s="19">
        <f>IF(AND($B$5="Tous les employés",IFERROR(INDEX(Pointage_ID,7),"")&lt;&gt;""),INDEX(Pointage_Nom,7),"")</f>
      </c>
      <c r="C34" s="20">
        <f>IF(AND($B$5="Tous les employés",IFERROR(INDEX(Pointage_ID,7),"")&lt;&gt;""),INDEX(Pointage_Categorie,7),"")</f>
      </c>
      <c r="D34" s="22">
        <f>IF(AND($B$5="Tous les employés",IFERROR(INDEX(Pointage_ID,7),"")&lt;&gt;""),IF(7=0,"-",IF($H$5="1ère quinzaine",INDEX(Paie_Jours1,7),IF($H$5="2ème quinzaine",INDEX(Paie_Jours2,7),INDEX(Pointage_Travailles,7)))),"")</f>
      </c>
      <c r="E34" s="23">
        <f>IF(AND($B$5="Tous les employés",IFERROR(INDEX(Pointage_ID,7),"")&lt;&gt;""),IF(7=0,"-",IF($H$5="1ère quinzaine",INDEX(Paie_HS1,7),IF($H$5="2ème quinzaine",INDEX(Paie_HS2,7),INDEX(Pointage_HS,7)))),"")</f>
      </c>
      <c r="F34" s="24">
        <f>IF(AND($B$5="Tous les employés",IFERROR(INDEX(Pointage_ID,7),"")&lt;&gt;""),INDEX(Paie_SalaireJour,7),"")</f>
      </c>
      <c r="G34" s="24">
        <f>IF(AND($B$5="Tous les employés",IFERROR(INDEX(Pointage_ID,7),"")&lt;&gt;""),IF(7=0,"-",IF($H$5="1ère quinzaine",INDEX(Paie_MontantHS1,7),IF($H$5="2ème quinzaine",INDEX(Paie_MontantHS2,7),INDEX(Paie_MontantHS,7)))),"")</f>
      </c>
      <c r="H34" s="24">
        <f>IF(AND($B$5="Tous les employés",IFERROR(INDEX(Pointage_ID,7),"")&lt;&gt;""),IF(7=0,"-",IF($H$5="1ère quinzaine",INDEX(Paie_Brut1,7),IF($H$5="2ème quinzaine",INDEX(Paie_Brut2,7),INDEX(Paie_BrutMensuel,7)))),"")</f>
      </c>
      <c r="I34" s="24">
        <f>IF(AND($B$5="Tous les employés",IFERROR(INDEX(Pointage_ID,7),"")&lt;&gt;""),IF(7=0,"-",IF($H$5="1ère quinzaine",INDEX(Paie_Retenues1,7),IF($H$5="2ème quinzaine",INDEX(Paie_Retenues2,7),INDEX(Paie_Retenues,7)))),"")</f>
      </c>
      <c r="J34" s="25">
        <f>IF(AND($B$5="Tous les employés",IFERROR(INDEX(Pointage_ID,7),"")&lt;&gt;""),IF(7=0,"-",IF($H$5="1ère quinzaine",INDEX(Paie_Net1,7),IF($H$5="2ème quinzaine",INDEX(Paie_Net2,7),INDEX(Paie_NetMensuel,7)))),"")</f>
      </c>
    </row>
    <row r="35">
      <c r="A35" s="20">
        <f>IF(AND($B$5="Tous les employés",IFERROR(INDEX(Pointage_ID,8),"")&lt;&gt;""),IFERROR(INDEX(Pointage_ID,8),""),"")</f>
      </c>
      <c r="B35" s="19">
        <f>IF(AND($B$5="Tous les employés",IFERROR(INDEX(Pointage_ID,8),"")&lt;&gt;""),INDEX(Pointage_Nom,8),"")</f>
      </c>
      <c r="C35" s="20">
        <f>IF(AND($B$5="Tous les employés",IFERROR(INDEX(Pointage_ID,8),"")&lt;&gt;""),INDEX(Pointage_Categorie,8),"")</f>
      </c>
      <c r="D35" s="22">
        <f>IF(AND($B$5="Tous les employés",IFERROR(INDEX(Pointage_ID,8),"")&lt;&gt;""),IF(8=0,"-",IF($H$5="1ère quinzaine",INDEX(Paie_Jours1,8),IF($H$5="2ème quinzaine",INDEX(Paie_Jours2,8),INDEX(Pointage_Travailles,8)))),"")</f>
      </c>
      <c r="E35" s="23">
        <f>IF(AND($B$5="Tous les employés",IFERROR(INDEX(Pointage_ID,8),"")&lt;&gt;""),IF(8=0,"-",IF($H$5="1ère quinzaine",INDEX(Paie_HS1,8),IF($H$5="2ème quinzaine",INDEX(Paie_HS2,8),INDEX(Pointage_HS,8)))),"")</f>
      </c>
      <c r="F35" s="24">
        <f>IF(AND($B$5="Tous les employés",IFERROR(INDEX(Pointage_ID,8),"")&lt;&gt;""),INDEX(Paie_SalaireJour,8),"")</f>
      </c>
      <c r="G35" s="24">
        <f>IF(AND($B$5="Tous les employés",IFERROR(INDEX(Pointage_ID,8),"")&lt;&gt;""),IF(8=0,"-",IF($H$5="1ère quinzaine",INDEX(Paie_MontantHS1,8),IF($H$5="2ème quinzaine",INDEX(Paie_MontantHS2,8),INDEX(Paie_MontantHS,8)))),"")</f>
      </c>
      <c r="H35" s="24">
        <f>IF(AND($B$5="Tous les employés",IFERROR(INDEX(Pointage_ID,8),"")&lt;&gt;""),IF(8=0,"-",IF($H$5="1ère quinzaine",INDEX(Paie_Brut1,8),IF($H$5="2ème quinzaine",INDEX(Paie_Brut2,8),INDEX(Paie_BrutMensuel,8)))),"")</f>
      </c>
      <c r="I35" s="24">
        <f>IF(AND($B$5="Tous les employés",IFERROR(INDEX(Pointage_ID,8),"")&lt;&gt;""),IF(8=0,"-",IF($H$5="1ère quinzaine",INDEX(Paie_Retenues1,8),IF($H$5="2ème quinzaine",INDEX(Paie_Retenues2,8),INDEX(Paie_Retenues,8)))),"")</f>
      </c>
      <c r="J35" s="25">
        <f>IF(AND($B$5="Tous les employés",IFERROR(INDEX(Pointage_ID,8),"")&lt;&gt;""),IF(8=0,"-",IF($H$5="1ère quinzaine",INDEX(Paie_Net1,8),IF($H$5="2ème quinzaine",INDEX(Paie_Net2,8),INDEX(Paie_NetMensuel,8)))),"")</f>
      </c>
    </row>
    <row r="36">
      <c r="A36" s="20">
        <f>IF(AND($B$5="Tous les employés",IFERROR(INDEX(Pointage_ID,9),"")&lt;&gt;""),IFERROR(INDEX(Pointage_ID,9),""),"")</f>
      </c>
      <c r="B36" s="19">
        <f>IF(AND($B$5="Tous les employés",IFERROR(INDEX(Pointage_ID,9),"")&lt;&gt;""),INDEX(Pointage_Nom,9),"")</f>
      </c>
      <c r="C36" s="20">
        <f>IF(AND($B$5="Tous les employés",IFERROR(INDEX(Pointage_ID,9),"")&lt;&gt;""),INDEX(Pointage_Categorie,9),"")</f>
      </c>
      <c r="D36" s="22">
        <f>IF(AND($B$5="Tous les employés",IFERROR(INDEX(Pointage_ID,9),"")&lt;&gt;""),IF(9=0,"-",IF($H$5="1ère quinzaine",INDEX(Paie_Jours1,9),IF($H$5="2ème quinzaine",INDEX(Paie_Jours2,9),INDEX(Pointage_Travailles,9)))),"")</f>
      </c>
      <c r="E36" s="23">
        <f>IF(AND($B$5="Tous les employés",IFERROR(INDEX(Pointage_ID,9),"")&lt;&gt;""),IF(9=0,"-",IF($H$5="1ère quinzaine",INDEX(Paie_HS1,9),IF($H$5="2ème quinzaine",INDEX(Paie_HS2,9),INDEX(Pointage_HS,9)))),"")</f>
      </c>
      <c r="F36" s="24">
        <f>IF(AND($B$5="Tous les employés",IFERROR(INDEX(Pointage_ID,9),"")&lt;&gt;""),INDEX(Paie_SalaireJour,9),"")</f>
      </c>
      <c r="G36" s="24">
        <f>IF(AND($B$5="Tous les employés",IFERROR(INDEX(Pointage_ID,9),"")&lt;&gt;""),IF(9=0,"-",IF($H$5="1ère quinzaine",INDEX(Paie_MontantHS1,9),IF($H$5="2ème quinzaine",INDEX(Paie_MontantHS2,9),INDEX(Paie_MontantHS,9)))),"")</f>
      </c>
      <c r="H36" s="24">
        <f>IF(AND($B$5="Tous les employés",IFERROR(INDEX(Pointage_ID,9),"")&lt;&gt;""),IF(9=0,"-",IF($H$5="1ère quinzaine",INDEX(Paie_Brut1,9),IF($H$5="2ème quinzaine",INDEX(Paie_Brut2,9),INDEX(Paie_BrutMensuel,9)))),"")</f>
      </c>
      <c r="I36" s="24">
        <f>IF(AND($B$5="Tous les employés",IFERROR(INDEX(Pointage_ID,9),"")&lt;&gt;""),IF(9=0,"-",IF($H$5="1ère quinzaine",INDEX(Paie_Retenues1,9),IF($H$5="2ème quinzaine",INDEX(Paie_Retenues2,9),INDEX(Paie_Retenues,9)))),"")</f>
      </c>
      <c r="J36" s="25">
        <f>IF(AND($B$5="Tous les employés",IFERROR(INDEX(Pointage_ID,9),"")&lt;&gt;""),IF(9=0,"-",IF($H$5="1ère quinzaine",INDEX(Paie_Net1,9),IF($H$5="2ème quinzaine",INDEX(Paie_Net2,9),INDEX(Paie_NetMensuel,9)))),"")</f>
      </c>
    </row>
    <row r="37">
      <c r="A37" s="20">
        <f>IF(AND($B$5="Tous les employés",IFERROR(INDEX(Pointage_ID,10),"")&lt;&gt;""),IFERROR(INDEX(Pointage_ID,10),""),"")</f>
      </c>
      <c r="B37" s="19">
        <f>IF(AND($B$5="Tous les employés",IFERROR(INDEX(Pointage_ID,10),"")&lt;&gt;""),INDEX(Pointage_Nom,10),"")</f>
      </c>
      <c r="C37" s="20">
        <f>IF(AND($B$5="Tous les employés",IFERROR(INDEX(Pointage_ID,10),"")&lt;&gt;""),INDEX(Pointage_Categorie,10),"")</f>
      </c>
      <c r="D37" s="22">
        <f>IF(AND($B$5="Tous les employés",IFERROR(INDEX(Pointage_ID,10),"")&lt;&gt;""),IF(10=0,"-",IF($H$5="1ère quinzaine",INDEX(Paie_Jours1,10),IF($H$5="2ème quinzaine",INDEX(Paie_Jours2,10),INDEX(Pointage_Travailles,10)))),"")</f>
      </c>
      <c r="E37" s="23">
        <f>IF(AND($B$5="Tous les employés",IFERROR(INDEX(Pointage_ID,10),"")&lt;&gt;""),IF(10=0,"-",IF($H$5="1ère quinzaine",INDEX(Paie_HS1,10),IF($H$5="2ème quinzaine",INDEX(Paie_HS2,10),INDEX(Pointage_HS,10)))),"")</f>
      </c>
      <c r="F37" s="24">
        <f>IF(AND($B$5="Tous les employés",IFERROR(INDEX(Pointage_ID,10),"")&lt;&gt;""),INDEX(Paie_SalaireJour,10),"")</f>
      </c>
      <c r="G37" s="24">
        <f>IF(AND($B$5="Tous les employés",IFERROR(INDEX(Pointage_ID,10),"")&lt;&gt;""),IF(10=0,"-",IF($H$5="1ère quinzaine",INDEX(Paie_MontantHS1,10),IF($H$5="2ème quinzaine",INDEX(Paie_MontantHS2,10),INDEX(Paie_MontantHS,10)))),"")</f>
      </c>
      <c r="H37" s="24">
        <f>IF(AND($B$5="Tous les employés",IFERROR(INDEX(Pointage_ID,10),"")&lt;&gt;""),IF(10=0,"-",IF($H$5="1ère quinzaine",INDEX(Paie_Brut1,10),IF($H$5="2ème quinzaine",INDEX(Paie_Brut2,10),INDEX(Paie_BrutMensuel,10)))),"")</f>
      </c>
      <c r="I37" s="24">
        <f>IF(AND($B$5="Tous les employés",IFERROR(INDEX(Pointage_ID,10),"")&lt;&gt;""),IF(10=0,"-",IF($H$5="1ère quinzaine",INDEX(Paie_Retenues1,10),IF($H$5="2ème quinzaine",INDEX(Paie_Retenues2,10),INDEX(Paie_Retenues,10)))),"")</f>
      </c>
      <c r="J37" s="25">
        <f>IF(AND($B$5="Tous les employés",IFERROR(INDEX(Pointage_ID,10),"")&lt;&gt;""),IF(10=0,"-",IF($H$5="1ère quinzaine",INDEX(Paie_Net1,10),IF($H$5="2ème quinzaine",INDEX(Paie_Net2,10),INDEX(Paie_NetMensuel,10)))),"")</f>
      </c>
    </row>
    <row r="38">
      <c r="A38" s="20">
        <f>IF(AND($B$5="Tous les employés",IFERROR(INDEX(Pointage_ID,11),"")&lt;&gt;""),IFERROR(INDEX(Pointage_ID,11),""),"")</f>
      </c>
      <c r="B38" s="19">
        <f>IF(AND($B$5="Tous les employés",IFERROR(INDEX(Pointage_ID,11),"")&lt;&gt;""),INDEX(Pointage_Nom,11),"")</f>
      </c>
      <c r="C38" s="20">
        <f>IF(AND($B$5="Tous les employés",IFERROR(INDEX(Pointage_ID,11),"")&lt;&gt;""),INDEX(Pointage_Categorie,11),"")</f>
      </c>
      <c r="D38" s="22">
        <f>IF(AND($B$5="Tous les employés",IFERROR(INDEX(Pointage_ID,11),"")&lt;&gt;""),IF(11=0,"-",IF($H$5="1ère quinzaine",INDEX(Paie_Jours1,11),IF($H$5="2ème quinzaine",INDEX(Paie_Jours2,11),INDEX(Pointage_Travailles,11)))),"")</f>
      </c>
      <c r="E38" s="23">
        <f>IF(AND($B$5="Tous les employés",IFERROR(INDEX(Pointage_ID,11),"")&lt;&gt;""),IF(11=0,"-",IF($H$5="1ère quinzaine",INDEX(Paie_HS1,11),IF($H$5="2ème quinzaine",INDEX(Paie_HS2,11),INDEX(Pointage_HS,11)))),"")</f>
      </c>
      <c r="F38" s="24">
        <f>IF(AND($B$5="Tous les employés",IFERROR(INDEX(Pointage_ID,11),"")&lt;&gt;""),INDEX(Paie_SalaireJour,11),"")</f>
      </c>
      <c r="G38" s="24">
        <f>IF(AND($B$5="Tous les employés",IFERROR(INDEX(Pointage_ID,11),"")&lt;&gt;""),IF(11=0,"-",IF($H$5="1ère quinzaine",INDEX(Paie_MontantHS1,11),IF($H$5="2ème quinzaine",INDEX(Paie_MontantHS2,11),INDEX(Paie_MontantHS,11)))),"")</f>
      </c>
      <c r="H38" s="24">
        <f>IF(AND($B$5="Tous les employés",IFERROR(INDEX(Pointage_ID,11),"")&lt;&gt;""),IF(11=0,"-",IF($H$5="1ère quinzaine",INDEX(Paie_Brut1,11),IF($H$5="2ème quinzaine",INDEX(Paie_Brut2,11),INDEX(Paie_BrutMensuel,11)))),"")</f>
      </c>
      <c r="I38" s="24">
        <f>IF(AND($B$5="Tous les employés",IFERROR(INDEX(Pointage_ID,11),"")&lt;&gt;""),IF(11=0,"-",IF($H$5="1ère quinzaine",INDEX(Paie_Retenues1,11),IF($H$5="2ème quinzaine",INDEX(Paie_Retenues2,11),INDEX(Paie_Retenues,11)))),"")</f>
      </c>
      <c r="J38" s="25">
        <f>IF(AND($B$5="Tous les employés",IFERROR(INDEX(Pointage_ID,11),"")&lt;&gt;""),IF(11=0,"-",IF($H$5="1ère quinzaine",INDEX(Paie_Net1,11),IF($H$5="2ème quinzaine",INDEX(Paie_Net2,11),INDEX(Paie_NetMensuel,11)))),"")</f>
      </c>
    </row>
    <row r="39">
      <c r="A39" s="20">
        <f>IF(AND($B$5="Tous les employés",IFERROR(INDEX(Pointage_ID,12),"")&lt;&gt;""),IFERROR(INDEX(Pointage_ID,12),""),"")</f>
      </c>
      <c r="B39" s="19">
        <f>IF(AND($B$5="Tous les employés",IFERROR(INDEX(Pointage_ID,12),"")&lt;&gt;""),INDEX(Pointage_Nom,12),"")</f>
      </c>
      <c r="C39" s="20">
        <f>IF(AND($B$5="Tous les employés",IFERROR(INDEX(Pointage_ID,12),"")&lt;&gt;""),INDEX(Pointage_Categorie,12),"")</f>
      </c>
      <c r="D39" s="22">
        <f>IF(AND($B$5="Tous les employés",IFERROR(INDEX(Pointage_ID,12),"")&lt;&gt;""),IF(12=0,"-",IF($H$5="1ère quinzaine",INDEX(Paie_Jours1,12),IF($H$5="2ème quinzaine",INDEX(Paie_Jours2,12),INDEX(Pointage_Travailles,12)))),"")</f>
      </c>
      <c r="E39" s="23">
        <f>IF(AND($B$5="Tous les employés",IFERROR(INDEX(Pointage_ID,12),"")&lt;&gt;""),IF(12=0,"-",IF($H$5="1ère quinzaine",INDEX(Paie_HS1,12),IF($H$5="2ème quinzaine",INDEX(Paie_HS2,12),INDEX(Pointage_HS,12)))),"")</f>
      </c>
      <c r="F39" s="24">
        <f>IF(AND($B$5="Tous les employés",IFERROR(INDEX(Pointage_ID,12),"")&lt;&gt;""),INDEX(Paie_SalaireJour,12),"")</f>
      </c>
      <c r="G39" s="24">
        <f>IF(AND($B$5="Tous les employés",IFERROR(INDEX(Pointage_ID,12),"")&lt;&gt;""),IF(12=0,"-",IF($H$5="1ère quinzaine",INDEX(Paie_MontantHS1,12),IF($H$5="2ème quinzaine",INDEX(Paie_MontantHS2,12),INDEX(Paie_MontantHS,12)))),"")</f>
      </c>
      <c r="H39" s="24">
        <f>IF(AND($B$5="Tous les employés",IFERROR(INDEX(Pointage_ID,12),"")&lt;&gt;""),IF(12=0,"-",IF($H$5="1ère quinzaine",INDEX(Paie_Brut1,12),IF($H$5="2ème quinzaine",INDEX(Paie_Brut2,12),INDEX(Paie_BrutMensuel,12)))),"")</f>
      </c>
      <c r="I39" s="24">
        <f>IF(AND($B$5="Tous les employés",IFERROR(INDEX(Pointage_ID,12),"")&lt;&gt;""),IF(12=0,"-",IF($H$5="1ère quinzaine",INDEX(Paie_Retenues1,12),IF($H$5="2ème quinzaine",INDEX(Paie_Retenues2,12),INDEX(Paie_Retenues,12)))),"")</f>
      </c>
      <c r="J39" s="25">
        <f>IF(AND($B$5="Tous les employés",IFERROR(INDEX(Pointage_ID,12),"")&lt;&gt;""),IF(12=0,"-",IF($H$5="1ère quinzaine",INDEX(Paie_Net1,12),IF($H$5="2ème quinzaine",INDEX(Paie_Net2,12),INDEX(Paie_NetMensuel,12)))),"")</f>
      </c>
    </row>
    <row r="40">
      <c r="A40" s="20">
        <f>IF(AND($B$5="Tous les employés",IFERROR(INDEX(Pointage_ID,13),"")&lt;&gt;""),IFERROR(INDEX(Pointage_ID,13),""),"")</f>
      </c>
      <c r="B40" s="19">
        <f>IF(AND($B$5="Tous les employés",IFERROR(INDEX(Pointage_ID,13),"")&lt;&gt;""),INDEX(Pointage_Nom,13),"")</f>
      </c>
      <c r="C40" s="20">
        <f>IF(AND($B$5="Tous les employés",IFERROR(INDEX(Pointage_ID,13),"")&lt;&gt;""),INDEX(Pointage_Categorie,13),"")</f>
      </c>
      <c r="D40" s="22">
        <f>IF(AND($B$5="Tous les employés",IFERROR(INDEX(Pointage_ID,13),"")&lt;&gt;""),IF(13=0,"-",IF($H$5="1ère quinzaine",INDEX(Paie_Jours1,13),IF($H$5="2ème quinzaine",INDEX(Paie_Jours2,13),INDEX(Pointage_Travailles,13)))),"")</f>
      </c>
      <c r="E40" s="23">
        <f>IF(AND($B$5="Tous les employés",IFERROR(INDEX(Pointage_ID,13),"")&lt;&gt;""),IF(13=0,"-",IF($H$5="1ère quinzaine",INDEX(Paie_HS1,13),IF($H$5="2ème quinzaine",INDEX(Paie_HS2,13),INDEX(Pointage_HS,13)))),"")</f>
      </c>
      <c r="F40" s="24">
        <f>IF(AND($B$5="Tous les employés",IFERROR(INDEX(Pointage_ID,13),"")&lt;&gt;""),INDEX(Paie_SalaireJour,13),"")</f>
      </c>
      <c r="G40" s="24">
        <f>IF(AND($B$5="Tous les employés",IFERROR(INDEX(Pointage_ID,13),"")&lt;&gt;""),IF(13=0,"-",IF($H$5="1ère quinzaine",INDEX(Paie_MontantHS1,13),IF($H$5="2ème quinzaine",INDEX(Paie_MontantHS2,13),INDEX(Paie_MontantHS,13)))),"")</f>
      </c>
      <c r="H40" s="24">
        <f>IF(AND($B$5="Tous les employés",IFERROR(INDEX(Pointage_ID,13),"")&lt;&gt;""),IF(13=0,"-",IF($H$5="1ère quinzaine",INDEX(Paie_Brut1,13),IF($H$5="2ème quinzaine",INDEX(Paie_Brut2,13),INDEX(Paie_BrutMensuel,13)))),"")</f>
      </c>
      <c r="I40" s="24">
        <f>IF(AND($B$5="Tous les employés",IFERROR(INDEX(Pointage_ID,13),"")&lt;&gt;""),IF(13=0,"-",IF($H$5="1ère quinzaine",INDEX(Paie_Retenues1,13),IF($H$5="2ème quinzaine",INDEX(Paie_Retenues2,13),INDEX(Paie_Retenues,13)))),"")</f>
      </c>
      <c r="J40" s="25">
        <f>IF(AND($B$5="Tous les employés",IFERROR(INDEX(Pointage_ID,13),"")&lt;&gt;""),IF(13=0,"-",IF($H$5="1ère quinzaine",INDEX(Paie_Net1,13),IF($H$5="2ème quinzaine",INDEX(Paie_Net2,13),INDEX(Paie_NetMensuel,13)))),"")</f>
      </c>
    </row>
    <row r="41">
      <c r="A41" s="20">
        <f>IF(AND($B$5="Tous les employés",IFERROR(INDEX(Pointage_ID,14),"")&lt;&gt;""),IFERROR(INDEX(Pointage_ID,14),""),"")</f>
      </c>
      <c r="B41" s="19">
        <f>IF(AND($B$5="Tous les employés",IFERROR(INDEX(Pointage_ID,14),"")&lt;&gt;""),INDEX(Pointage_Nom,14),"")</f>
      </c>
      <c r="C41" s="20">
        <f>IF(AND($B$5="Tous les employés",IFERROR(INDEX(Pointage_ID,14),"")&lt;&gt;""),INDEX(Pointage_Categorie,14),"")</f>
      </c>
      <c r="D41" s="22">
        <f>IF(AND($B$5="Tous les employés",IFERROR(INDEX(Pointage_ID,14),"")&lt;&gt;""),IF(14=0,"-",IF($H$5="1ère quinzaine",INDEX(Paie_Jours1,14),IF($H$5="2ème quinzaine",INDEX(Paie_Jours2,14),INDEX(Pointage_Travailles,14)))),"")</f>
      </c>
      <c r="E41" s="23">
        <f>IF(AND($B$5="Tous les employés",IFERROR(INDEX(Pointage_ID,14),"")&lt;&gt;""),IF(14=0,"-",IF($H$5="1ère quinzaine",INDEX(Paie_HS1,14),IF($H$5="2ème quinzaine",INDEX(Paie_HS2,14),INDEX(Pointage_HS,14)))),"")</f>
      </c>
      <c r="F41" s="24">
        <f>IF(AND($B$5="Tous les employés",IFERROR(INDEX(Pointage_ID,14),"")&lt;&gt;""),INDEX(Paie_SalaireJour,14),"")</f>
      </c>
      <c r="G41" s="24">
        <f>IF(AND($B$5="Tous les employés",IFERROR(INDEX(Pointage_ID,14),"")&lt;&gt;""),IF(14=0,"-",IF($H$5="1ère quinzaine",INDEX(Paie_MontantHS1,14),IF($H$5="2ème quinzaine",INDEX(Paie_MontantHS2,14),INDEX(Paie_MontantHS,14)))),"")</f>
      </c>
      <c r="H41" s="24">
        <f>IF(AND($B$5="Tous les employés",IFERROR(INDEX(Pointage_ID,14),"")&lt;&gt;""),IF(14=0,"-",IF($H$5="1ère quinzaine",INDEX(Paie_Brut1,14),IF($H$5="2ème quinzaine",INDEX(Paie_Brut2,14),INDEX(Paie_BrutMensuel,14)))),"")</f>
      </c>
      <c r="I41" s="24">
        <f>IF(AND($B$5="Tous les employés",IFERROR(INDEX(Pointage_ID,14),"")&lt;&gt;""),IF(14=0,"-",IF($H$5="1ère quinzaine",INDEX(Paie_Retenues1,14),IF($H$5="2ème quinzaine",INDEX(Paie_Retenues2,14),INDEX(Paie_Retenues,14)))),"")</f>
      </c>
      <c r="J41" s="25">
        <f>IF(AND($B$5="Tous les employés",IFERROR(INDEX(Pointage_ID,14),"")&lt;&gt;""),IF(14=0,"-",IF($H$5="1ère quinzaine",INDEX(Paie_Net1,14),IF($H$5="2ème quinzaine",INDEX(Paie_Net2,14),INDEX(Paie_NetMensuel,14)))),"")</f>
      </c>
    </row>
    <row r="42">
      <c r="A42" s="20">
        <f>IF(AND($B$5="Tous les employés",IFERROR(INDEX(Pointage_ID,15),"")&lt;&gt;""),IFERROR(INDEX(Pointage_ID,15),""),"")</f>
      </c>
      <c r="B42" s="19">
        <f>IF(AND($B$5="Tous les employés",IFERROR(INDEX(Pointage_ID,15),"")&lt;&gt;""),INDEX(Pointage_Nom,15),"")</f>
      </c>
      <c r="C42" s="20">
        <f>IF(AND($B$5="Tous les employés",IFERROR(INDEX(Pointage_ID,15),"")&lt;&gt;""),INDEX(Pointage_Categorie,15),"")</f>
      </c>
      <c r="D42" s="22">
        <f>IF(AND($B$5="Tous les employés",IFERROR(INDEX(Pointage_ID,15),"")&lt;&gt;""),IF(15=0,"-",IF($H$5="1ère quinzaine",INDEX(Paie_Jours1,15),IF($H$5="2ème quinzaine",INDEX(Paie_Jours2,15),INDEX(Pointage_Travailles,15)))),"")</f>
      </c>
      <c r="E42" s="23">
        <f>IF(AND($B$5="Tous les employés",IFERROR(INDEX(Pointage_ID,15),"")&lt;&gt;""),IF(15=0,"-",IF($H$5="1ère quinzaine",INDEX(Paie_HS1,15),IF($H$5="2ème quinzaine",INDEX(Paie_HS2,15),INDEX(Pointage_HS,15)))),"")</f>
      </c>
      <c r="F42" s="24">
        <f>IF(AND($B$5="Tous les employés",IFERROR(INDEX(Pointage_ID,15),"")&lt;&gt;""),INDEX(Paie_SalaireJour,15),"")</f>
      </c>
      <c r="G42" s="24">
        <f>IF(AND($B$5="Tous les employés",IFERROR(INDEX(Pointage_ID,15),"")&lt;&gt;""),IF(15=0,"-",IF($H$5="1ère quinzaine",INDEX(Paie_MontantHS1,15),IF($H$5="2ème quinzaine",INDEX(Paie_MontantHS2,15),INDEX(Paie_MontantHS,15)))),"")</f>
      </c>
      <c r="H42" s="24">
        <f>IF(AND($B$5="Tous les employés",IFERROR(INDEX(Pointage_ID,15),"")&lt;&gt;""),IF(15=0,"-",IF($H$5="1ère quinzaine",INDEX(Paie_Brut1,15),IF($H$5="2ème quinzaine",INDEX(Paie_Brut2,15),INDEX(Paie_BrutMensuel,15)))),"")</f>
      </c>
      <c r="I42" s="24">
        <f>IF(AND($B$5="Tous les employés",IFERROR(INDEX(Pointage_ID,15),"")&lt;&gt;""),IF(15=0,"-",IF($H$5="1ère quinzaine",INDEX(Paie_Retenues1,15),IF($H$5="2ème quinzaine",INDEX(Paie_Retenues2,15),INDEX(Paie_Retenues,15)))),"")</f>
      </c>
      <c r="J42" s="25">
        <f>IF(AND($B$5="Tous les employés",IFERROR(INDEX(Pointage_ID,15),"")&lt;&gt;""),IF(15=0,"-",IF($H$5="1ère quinzaine",INDEX(Paie_Net1,15),IF($H$5="2ème quinzaine",INDEX(Paie_Net2,15),INDEX(Paie_NetMensuel,15)))),"")</f>
      </c>
    </row>
    <row r="43">
      <c r="A43" s="20">
        <f>IF(AND($B$5="Tous les employés",IFERROR(INDEX(Pointage_ID,16),"")&lt;&gt;""),IFERROR(INDEX(Pointage_ID,16),""),"")</f>
      </c>
      <c r="B43" s="19">
        <f>IF(AND($B$5="Tous les employés",IFERROR(INDEX(Pointage_ID,16),"")&lt;&gt;""),INDEX(Pointage_Nom,16),"")</f>
      </c>
      <c r="C43" s="20">
        <f>IF(AND($B$5="Tous les employés",IFERROR(INDEX(Pointage_ID,16),"")&lt;&gt;""),INDEX(Pointage_Categorie,16),"")</f>
      </c>
      <c r="D43" s="22">
        <f>IF(AND($B$5="Tous les employés",IFERROR(INDEX(Pointage_ID,16),"")&lt;&gt;""),IF(16=0,"-",IF($H$5="1ère quinzaine",INDEX(Paie_Jours1,16),IF($H$5="2ème quinzaine",INDEX(Paie_Jours2,16),INDEX(Pointage_Travailles,16)))),"")</f>
      </c>
      <c r="E43" s="23">
        <f>IF(AND($B$5="Tous les employés",IFERROR(INDEX(Pointage_ID,16),"")&lt;&gt;""),IF(16=0,"-",IF($H$5="1ère quinzaine",INDEX(Paie_HS1,16),IF($H$5="2ème quinzaine",INDEX(Paie_HS2,16),INDEX(Pointage_HS,16)))),"")</f>
      </c>
      <c r="F43" s="24">
        <f>IF(AND($B$5="Tous les employés",IFERROR(INDEX(Pointage_ID,16),"")&lt;&gt;""),INDEX(Paie_SalaireJour,16),"")</f>
      </c>
      <c r="G43" s="24">
        <f>IF(AND($B$5="Tous les employés",IFERROR(INDEX(Pointage_ID,16),"")&lt;&gt;""),IF(16=0,"-",IF($H$5="1ère quinzaine",INDEX(Paie_MontantHS1,16),IF($H$5="2ème quinzaine",INDEX(Paie_MontantHS2,16),INDEX(Paie_MontantHS,16)))),"")</f>
      </c>
      <c r="H43" s="24">
        <f>IF(AND($B$5="Tous les employés",IFERROR(INDEX(Pointage_ID,16),"")&lt;&gt;""),IF(16=0,"-",IF($H$5="1ère quinzaine",INDEX(Paie_Brut1,16),IF($H$5="2ème quinzaine",INDEX(Paie_Brut2,16),INDEX(Paie_BrutMensuel,16)))),"")</f>
      </c>
      <c r="I43" s="24">
        <f>IF(AND($B$5="Tous les employés",IFERROR(INDEX(Pointage_ID,16),"")&lt;&gt;""),IF(16=0,"-",IF($H$5="1ère quinzaine",INDEX(Paie_Retenues1,16),IF($H$5="2ème quinzaine",INDEX(Paie_Retenues2,16),INDEX(Paie_Retenues,16)))),"")</f>
      </c>
      <c r="J43" s="25">
        <f>IF(AND($B$5="Tous les employés",IFERROR(INDEX(Pointage_ID,16),"")&lt;&gt;""),IF(16=0,"-",IF($H$5="1ère quinzaine",INDEX(Paie_Net1,16),IF($H$5="2ème quinzaine",INDEX(Paie_Net2,16),INDEX(Paie_NetMensuel,16)))),"")</f>
      </c>
    </row>
    <row r="44">
      <c r="A44" s="20">
        <f>IF(AND($B$5="Tous les employés",IFERROR(INDEX(Pointage_ID,17),"")&lt;&gt;""),IFERROR(INDEX(Pointage_ID,17),""),"")</f>
      </c>
      <c r="B44" s="19">
        <f>IF(AND($B$5="Tous les employés",IFERROR(INDEX(Pointage_ID,17),"")&lt;&gt;""),INDEX(Pointage_Nom,17),"")</f>
      </c>
      <c r="C44" s="20">
        <f>IF(AND($B$5="Tous les employés",IFERROR(INDEX(Pointage_ID,17),"")&lt;&gt;""),INDEX(Pointage_Categorie,17),"")</f>
      </c>
      <c r="D44" s="22">
        <f>IF(AND($B$5="Tous les employés",IFERROR(INDEX(Pointage_ID,17),"")&lt;&gt;""),IF(17=0,"-",IF($H$5="1ère quinzaine",INDEX(Paie_Jours1,17),IF($H$5="2ème quinzaine",INDEX(Paie_Jours2,17),INDEX(Pointage_Travailles,17)))),"")</f>
      </c>
      <c r="E44" s="23">
        <f>IF(AND($B$5="Tous les employés",IFERROR(INDEX(Pointage_ID,17),"")&lt;&gt;""),IF(17=0,"-",IF($H$5="1ère quinzaine",INDEX(Paie_HS1,17),IF($H$5="2ème quinzaine",INDEX(Paie_HS2,17),INDEX(Pointage_HS,17)))),"")</f>
      </c>
      <c r="F44" s="24">
        <f>IF(AND($B$5="Tous les employés",IFERROR(INDEX(Pointage_ID,17),"")&lt;&gt;""),INDEX(Paie_SalaireJour,17),"")</f>
      </c>
      <c r="G44" s="24">
        <f>IF(AND($B$5="Tous les employés",IFERROR(INDEX(Pointage_ID,17),"")&lt;&gt;""),IF(17=0,"-",IF($H$5="1ère quinzaine",INDEX(Paie_MontantHS1,17),IF($H$5="2ème quinzaine",INDEX(Paie_MontantHS2,17),INDEX(Paie_MontantHS,17)))),"")</f>
      </c>
      <c r="H44" s="24">
        <f>IF(AND($B$5="Tous les employés",IFERROR(INDEX(Pointage_ID,17),"")&lt;&gt;""),IF(17=0,"-",IF($H$5="1ère quinzaine",INDEX(Paie_Brut1,17),IF($H$5="2ème quinzaine",INDEX(Paie_Brut2,17),INDEX(Paie_BrutMensuel,17)))),"")</f>
      </c>
      <c r="I44" s="24">
        <f>IF(AND($B$5="Tous les employés",IFERROR(INDEX(Pointage_ID,17),"")&lt;&gt;""),IF(17=0,"-",IF($H$5="1ère quinzaine",INDEX(Paie_Retenues1,17),IF($H$5="2ème quinzaine",INDEX(Paie_Retenues2,17),INDEX(Paie_Retenues,17)))),"")</f>
      </c>
      <c r="J44" s="25">
        <f>IF(AND($B$5="Tous les employés",IFERROR(INDEX(Pointage_ID,17),"")&lt;&gt;""),IF(17=0,"-",IF($H$5="1ère quinzaine",INDEX(Paie_Net1,17),IF($H$5="2ème quinzaine",INDEX(Paie_Net2,17),INDEX(Paie_NetMensuel,17)))),"")</f>
      </c>
    </row>
    <row r="45">
      <c r="A45" s="20">
        <f>IF(AND($B$5="Tous les employés",IFERROR(INDEX(Pointage_ID,18),"")&lt;&gt;""),IFERROR(INDEX(Pointage_ID,18),""),"")</f>
      </c>
      <c r="B45" s="19">
        <f>IF(AND($B$5="Tous les employés",IFERROR(INDEX(Pointage_ID,18),"")&lt;&gt;""),INDEX(Pointage_Nom,18),"")</f>
      </c>
      <c r="C45" s="20">
        <f>IF(AND($B$5="Tous les employés",IFERROR(INDEX(Pointage_ID,18),"")&lt;&gt;""),INDEX(Pointage_Categorie,18),"")</f>
      </c>
      <c r="D45" s="22">
        <f>IF(AND($B$5="Tous les employés",IFERROR(INDEX(Pointage_ID,18),"")&lt;&gt;""),IF(18=0,"-",IF($H$5="1ère quinzaine",INDEX(Paie_Jours1,18),IF($H$5="2ème quinzaine",INDEX(Paie_Jours2,18),INDEX(Pointage_Travailles,18)))),"")</f>
      </c>
      <c r="E45" s="23">
        <f>IF(AND($B$5="Tous les employés",IFERROR(INDEX(Pointage_ID,18),"")&lt;&gt;""),IF(18=0,"-",IF($H$5="1ère quinzaine",INDEX(Paie_HS1,18),IF($H$5="2ème quinzaine",INDEX(Paie_HS2,18),INDEX(Pointage_HS,18)))),"")</f>
      </c>
      <c r="F45" s="24">
        <f>IF(AND($B$5="Tous les employés",IFERROR(INDEX(Pointage_ID,18),"")&lt;&gt;""),INDEX(Paie_SalaireJour,18),"")</f>
      </c>
      <c r="G45" s="24">
        <f>IF(AND($B$5="Tous les employés",IFERROR(INDEX(Pointage_ID,18),"")&lt;&gt;""),IF(18=0,"-",IF($H$5="1ère quinzaine",INDEX(Paie_MontantHS1,18),IF($H$5="2ème quinzaine",INDEX(Paie_MontantHS2,18),INDEX(Paie_MontantHS,18)))),"")</f>
      </c>
      <c r="H45" s="24">
        <f>IF(AND($B$5="Tous les employés",IFERROR(INDEX(Pointage_ID,18),"")&lt;&gt;""),IF(18=0,"-",IF($H$5="1ère quinzaine",INDEX(Paie_Brut1,18),IF($H$5="2ème quinzaine",INDEX(Paie_Brut2,18),INDEX(Paie_BrutMensuel,18)))),"")</f>
      </c>
      <c r="I45" s="24">
        <f>IF(AND($B$5="Tous les employés",IFERROR(INDEX(Pointage_ID,18),"")&lt;&gt;""),IF(18=0,"-",IF($H$5="1ère quinzaine",INDEX(Paie_Retenues1,18),IF($H$5="2ème quinzaine",INDEX(Paie_Retenues2,18),INDEX(Paie_Retenues,18)))),"")</f>
      </c>
      <c r="J45" s="25">
        <f>IF(AND($B$5="Tous les employés",IFERROR(INDEX(Pointage_ID,18),"")&lt;&gt;""),IF(18=0,"-",IF($H$5="1ère quinzaine",INDEX(Paie_Net1,18),IF($H$5="2ème quinzaine",INDEX(Paie_Net2,18),INDEX(Paie_NetMensuel,18)))),"")</f>
      </c>
    </row>
    <row r="46">
      <c r="A46" s="20">
        <f>IF(AND($B$5="Tous les employés",IFERROR(INDEX(Pointage_ID,19),"")&lt;&gt;""),IFERROR(INDEX(Pointage_ID,19),""),"")</f>
      </c>
      <c r="B46" s="19">
        <f>IF(AND($B$5="Tous les employés",IFERROR(INDEX(Pointage_ID,19),"")&lt;&gt;""),INDEX(Pointage_Nom,19),"")</f>
      </c>
      <c r="C46" s="20">
        <f>IF(AND($B$5="Tous les employés",IFERROR(INDEX(Pointage_ID,19),"")&lt;&gt;""),INDEX(Pointage_Categorie,19),"")</f>
      </c>
      <c r="D46" s="22">
        <f>IF(AND($B$5="Tous les employés",IFERROR(INDEX(Pointage_ID,19),"")&lt;&gt;""),IF(19=0,"-",IF($H$5="1ère quinzaine",INDEX(Paie_Jours1,19),IF($H$5="2ème quinzaine",INDEX(Paie_Jours2,19),INDEX(Pointage_Travailles,19)))),"")</f>
      </c>
      <c r="E46" s="23">
        <f>IF(AND($B$5="Tous les employés",IFERROR(INDEX(Pointage_ID,19),"")&lt;&gt;""),IF(19=0,"-",IF($H$5="1ère quinzaine",INDEX(Paie_HS1,19),IF($H$5="2ème quinzaine",INDEX(Paie_HS2,19),INDEX(Pointage_HS,19)))),"")</f>
      </c>
      <c r="F46" s="24">
        <f>IF(AND($B$5="Tous les employés",IFERROR(INDEX(Pointage_ID,19),"")&lt;&gt;""),INDEX(Paie_SalaireJour,19),"")</f>
      </c>
      <c r="G46" s="24">
        <f>IF(AND($B$5="Tous les employés",IFERROR(INDEX(Pointage_ID,19),"")&lt;&gt;""),IF(19=0,"-",IF($H$5="1ère quinzaine",INDEX(Paie_MontantHS1,19),IF($H$5="2ème quinzaine",INDEX(Paie_MontantHS2,19),INDEX(Paie_MontantHS,19)))),"")</f>
      </c>
      <c r="H46" s="24">
        <f>IF(AND($B$5="Tous les employés",IFERROR(INDEX(Pointage_ID,19),"")&lt;&gt;""),IF(19=0,"-",IF($H$5="1ère quinzaine",INDEX(Paie_Brut1,19),IF($H$5="2ème quinzaine",INDEX(Paie_Brut2,19),INDEX(Paie_BrutMensuel,19)))),"")</f>
      </c>
      <c r="I46" s="24">
        <f>IF(AND($B$5="Tous les employés",IFERROR(INDEX(Pointage_ID,19),"")&lt;&gt;""),IF(19=0,"-",IF($H$5="1ère quinzaine",INDEX(Paie_Retenues1,19),IF($H$5="2ème quinzaine",INDEX(Paie_Retenues2,19),INDEX(Paie_Retenues,19)))),"")</f>
      </c>
      <c r="J46" s="25">
        <f>IF(AND($B$5="Tous les employés",IFERROR(INDEX(Pointage_ID,19),"")&lt;&gt;""),IF(19=0,"-",IF($H$5="1ère quinzaine",INDEX(Paie_Net1,19),IF($H$5="2ème quinzaine",INDEX(Paie_Net2,19),INDEX(Paie_NetMensuel,19)))),"")</f>
      </c>
    </row>
    <row r="47">
      <c r="A47" s="20">
        <f>IF(AND($B$5="Tous les employés",IFERROR(INDEX(Pointage_ID,20),"")&lt;&gt;""),IFERROR(INDEX(Pointage_ID,20),""),"")</f>
      </c>
      <c r="B47" s="19">
        <f>IF(AND($B$5="Tous les employés",IFERROR(INDEX(Pointage_ID,20),"")&lt;&gt;""),INDEX(Pointage_Nom,20),"")</f>
      </c>
      <c r="C47" s="20">
        <f>IF(AND($B$5="Tous les employés",IFERROR(INDEX(Pointage_ID,20),"")&lt;&gt;""),INDEX(Pointage_Categorie,20),"")</f>
      </c>
      <c r="D47" s="22">
        <f>IF(AND($B$5="Tous les employés",IFERROR(INDEX(Pointage_ID,20),"")&lt;&gt;""),IF(20=0,"-",IF($H$5="1ère quinzaine",INDEX(Paie_Jours1,20),IF($H$5="2ème quinzaine",INDEX(Paie_Jours2,20),INDEX(Pointage_Travailles,20)))),"")</f>
      </c>
      <c r="E47" s="23">
        <f>IF(AND($B$5="Tous les employés",IFERROR(INDEX(Pointage_ID,20),"")&lt;&gt;""),IF(20=0,"-",IF($H$5="1ère quinzaine",INDEX(Paie_HS1,20),IF($H$5="2ème quinzaine",INDEX(Paie_HS2,20),INDEX(Pointage_HS,20)))),"")</f>
      </c>
      <c r="F47" s="24">
        <f>IF(AND($B$5="Tous les employés",IFERROR(INDEX(Pointage_ID,20),"")&lt;&gt;""),INDEX(Paie_SalaireJour,20),"")</f>
      </c>
      <c r="G47" s="24">
        <f>IF(AND($B$5="Tous les employés",IFERROR(INDEX(Pointage_ID,20),"")&lt;&gt;""),IF(20=0,"-",IF($H$5="1ère quinzaine",INDEX(Paie_MontantHS1,20),IF($H$5="2ème quinzaine",INDEX(Paie_MontantHS2,20),INDEX(Paie_MontantHS,20)))),"")</f>
      </c>
      <c r="H47" s="24">
        <f>IF(AND($B$5="Tous les employés",IFERROR(INDEX(Pointage_ID,20),"")&lt;&gt;""),IF(20=0,"-",IF($H$5="1ère quinzaine",INDEX(Paie_Brut1,20),IF($H$5="2ème quinzaine",INDEX(Paie_Brut2,20),INDEX(Paie_BrutMensuel,20)))),"")</f>
      </c>
      <c r="I47" s="24">
        <f>IF(AND($B$5="Tous les employés",IFERROR(INDEX(Pointage_ID,20),"")&lt;&gt;""),IF(20=0,"-",IF($H$5="1ère quinzaine",INDEX(Paie_Retenues1,20),IF($H$5="2ème quinzaine",INDEX(Paie_Retenues2,20),INDEX(Paie_Retenues,20)))),"")</f>
      </c>
      <c r="J47" s="25">
        <f>IF(AND($B$5="Tous les employés",IFERROR(INDEX(Pointage_ID,20),"")&lt;&gt;""),IF(20=0,"-",IF($H$5="1ère quinzaine",INDEX(Paie_Net1,20),IF($H$5="2ème quinzaine",INDEX(Paie_Net2,20),INDEX(Paie_NetMensuel,20)))),"")</f>
      </c>
    </row>
    <row r="48">
      <c r="A48" s="20">
        <f>IF(AND($B$5="Tous les employés",IFERROR(INDEX(Pointage_ID,21),"")&lt;&gt;""),IFERROR(INDEX(Pointage_ID,21),""),"")</f>
      </c>
      <c r="B48" s="19">
        <f>IF(AND($B$5="Tous les employés",IFERROR(INDEX(Pointage_ID,21),"")&lt;&gt;""),INDEX(Pointage_Nom,21),"")</f>
      </c>
      <c r="C48" s="20">
        <f>IF(AND($B$5="Tous les employés",IFERROR(INDEX(Pointage_ID,21),"")&lt;&gt;""),INDEX(Pointage_Categorie,21),"")</f>
      </c>
      <c r="D48" s="22">
        <f>IF(AND($B$5="Tous les employés",IFERROR(INDEX(Pointage_ID,21),"")&lt;&gt;""),IF(21=0,"-",IF($H$5="1ère quinzaine",INDEX(Paie_Jours1,21),IF($H$5="2ème quinzaine",INDEX(Paie_Jours2,21),INDEX(Pointage_Travailles,21)))),"")</f>
      </c>
      <c r="E48" s="23">
        <f>IF(AND($B$5="Tous les employés",IFERROR(INDEX(Pointage_ID,21),"")&lt;&gt;""),IF(21=0,"-",IF($H$5="1ère quinzaine",INDEX(Paie_HS1,21),IF($H$5="2ème quinzaine",INDEX(Paie_HS2,21),INDEX(Pointage_HS,21)))),"")</f>
      </c>
      <c r="F48" s="24">
        <f>IF(AND($B$5="Tous les employés",IFERROR(INDEX(Pointage_ID,21),"")&lt;&gt;""),INDEX(Paie_SalaireJour,21),"")</f>
      </c>
      <c r="G48" s="24">
        <f>IF(AND($B$5="Tous les employés",IFERROR(INDEX(Pointage_ID,21),"")&lt;&gt;""),IF(21=0,"-",IF($H$5="1ère quinzaine",INDEX(Paie_MontantHS1,21),IF($H$5="2ème quinzaine",INDEX(Paie_MontantHS2,21),INDEX(Paie_MontantHS,21)))),"")</f>
      </c>
      <c r="H48" s="24">
        <f>IF(AND($B$5="Tous les employés",IFERROR(INDEX(Pointage_ID,21),"")&lt;&gt;""),IF(21=0,"-",IF($H$5="1ère quinzaine",INDEX(Paie_Brut1,21),IF($H$5="2ème quinzaine",INDEX(Paie_Brut2,21),INDEX(Paie_BrutMensuel,21)))),"")</f>
      </c>
      <c r="I48" s="24">
        <f>IF(AND($B$5="Tous les employés",IFERROR(INDEX(Pointage_ID,21),"")&lt;&gt;""),IF(21=0,"-",IF($H$5="1ère quinzaine",INDEX(Paie_Retenues1,21),IF($H$5="2ème quinzaine",INDEX(Paie_Retenues2,21),INDEX(Paie_Retenues,21)))),"")</f>
      </c>
      <c r="J48" s="25">
        <f>IF(AND($B$5="Tous les employés",IFERROR(INDEX(Pointage_ID,21),"")&lt;&gt;""),IF(21=0,"-",IF($H$5="1ère quinzaine",INDEX(Paie_Net1,21),IF($H$5="2ème quinzaine",INDEX(Paie_Net2,21),INDEX(Paie_NetMensuel,21)))),"")</f>
      </c>
    </row>
    <row r="49">
      <c r="A49" s="20">
        <f>IF(AND($B$5="Tous les employés",IFERROR(INDEX(Pointage_ID,22),"")&lt;&gt;""),IFERROR(INDEX(Pointage_ID,22),""),"")</f>
      </c>
      <c r="B49" s="19">
        <f>IF(AND($B$5="Tous les employés",IFERROR(INDEX(Pointage_ID,22),"")&lt;&gt;""),INDEX(Pointage_Nom,22),"")</f>
      </c>
      <c r="C49" s="20">
        <f>IF(AND($B$5="Tous les employés",IFERROR(INDEX(Pointage_ID,22),"")&lt;&gt;""),INDEX(Pointage_Categorie,22),"")</f>
      </c>
      <c r="D49" s="22">
        <f>IF(AND($B$5="Tous les employés",IFERROR(INDEX(Pointage_ID,22),"")&lt;&gt;""),IF(22=0,"-",IF($H$5="1ère quinzaine",INDEX(Paie_Jours1,22),IF($H$5="2ème quinzaine",INDEX(Paie_Jours2,22),INDEX(Pointage_Travailles,22)))),"")</f>
      </c>
      <c r="E49" s="23">
        <f>IF(AND($B$5="Tous les employés",IFERROR(INDEX(Pointage_ID,22),"")&lt;&gt;""),IF(22=0,"-",IF($H$5="1ère quinzaine",INDEX(Paie_HS1,22),IF($H$5="2ème quinzaine",INDEX(Paie_HS2,22),INDEX(Pointage_HS,22)))),"")</f>
      </c>
      <c r="F49" s="24">
        <f>IF(AND($B$5="Tous les employés",IFERROR(INDEX(Pointage_ID,22),"")&lt;&gt;""),INDEX(Paie_SalaireJour,22),"")</f>
      </c>
      <c r="G49" s="24">
        <f>IF(AND($B$5="Tous les employés",IFERROR(INDEX(Pointage_ID,22),"")&lt;&gt;""),IF(22=0,"-",IF($H$5="1ère quinzaine",INDEX(Paie_MontantHS1,22),IF($H$5="2ème quinzaine",INDEX(Paie_MontantHS2,22),INDEX(Paie_MontantHS,22)))),"")</f>
      </c>
      <c r="H49" s="24">
        <f>IF(AND($B$5="Tous les employés",IFERROR(INDEX(Pointage_ID,22),"")&lt;&gt;""),IF(22=0,"-",IF($H$5="1ère quinzaine",INDEX(Paie_Brut1,22),IF($H$5="2ème quinzaine",INDEX(Paie_Brut2,22),INDEX(Paie_BrutMensuel,22)))),"")</f>
      </c>
      <c r="I49" s="24">
        <f>IF(AND($B$5="Tous les employés",IFERROR(INDEX(Pointage_ID,22),"")&lt;&gt;""),IF(22=0,"-",IF($H$5="1ère quinzaine",INDEX(Paie_Retenues1,22),IF($H$5="2ème quinzaine",INDEX(Paie_Retenues2,22),INDEX(Paie_Retenues,22)))),"")</f>
      </c>
      <c r="J49" s="25">
        <f>IF(AND($B$5="Tous les employés",IFERROR(INDEX(Pointage_ID,22),"")&lt;&gt;""),IF(22=0,"-",IF($H$5="1ère quinzaine",INDEX(Paie_Net1,22),IF($H$5="2ème quinzaine",INDEX(Paie_Net2,22),INDEX(Paie_NetMensuel,22)))),"")</f>
      </c>
    </row>
    <row r="50">
      <c r="A50" s="20">
        <f>IF(AND($B$5="Tous les employés",IFERROR(INDEX(Pointage_ID,23),"")&lt;&gt;""),IFERROR(INDEX(Pointage_ID,23),""),"")</f>
      </c>
      <c r="B50" s="19">
        <f>IF(AND($B$5="Tous les employés",IFERROR(INDEX(Pointage_ID,23),"")&lt;&gt;""),INDEX(Pointage_Nom,23),"")</f>
      </c>
      <c r="C50" s="20">
        <f>IF(AND($B$5="Tous les employés",IFERROR(INDEX(Pointage_ID,23),"")&lt;&gt;""),INDEX(Pointage_Categorie,23),"")</f>
      </c>
      <c r="D50" s="22">
        <f>IF(AND($B$5="Tous les employés",IFERROR(INDEX(Pointage_ID,23),"")&lt;&gt;""),IF(23=0,"-",IF($H$5="1ère quinzaine",INDEX(Paie_Jours1,23),IF($H$5="2ème quinzaine",INDEX(Paie_Jours2,23),INDEX(Pointage_Travailles,23)))),"")</f>
      </c>
      <c r="E50" s="23">
        <f>IF(AND($B$5="Tous les employés",IFERROR(INDEX(Pointage_ID,23),"")&lt;&gt;""),IF(23=0,"-",IF($H$5="1ère quinzaine",INDEX(Paie_HS1,23),IF($H$5="2ème quinzaine",INDEX(Paie_HS2,23),INDEX(Pointage_HS,23)))),"")</f>
      </c>
      <c r="F50" s="24">
        <f>IF(AND($B$5="Tous les employés",IFERROR(INDEX(Pointage_ID,23),"")&lt;&gt;""),INDEX(Paie_SalaireJour,23),"")</f>
      </c>
      <c r="G50" s="24">
        <f>IF(AND($B$5="Tous les employés",IFERROR(INDEX(Pointage_ID,23),"")&lt;&gt;""),IF(23=0,"-",IF($H$5="1ère quinzaine",INDEX(Paie_MontantHS1,23),IF($H$5="2ème quinzaine",INDEX(Paie_MontantHS2,23),INDEX(Paie_MontantHS,23)))),"")</f>
      </c>
      <c r="H50" s="24">
        <f>IF(AND($B$5="Tous les employés",IFERROR(INDEX(Pointage_ID,23),"")&lt;&gt;""),IF(23=0,"-",IF($H$5="1ère quinzaine",INDEX(Paie_Brut1,23),IF($H$5="2ème quinzaine",INDEX(Paie_Brut2,23),INDEX(Paie_BrutMensuel,23)))),"")</f>
      </c>
      <c r="I50" s="24">
        <f>IF(AND($B$5="Tous les employés",IFERROR(INDEX(Pointage_ID,23),"")&lt;&gt;""),IF(23=0,"-",IF($H$5="1ère quinzaine",INDEX(Paie_Retenues1,23),IF($H$5="2ème quinzaine",INDEX(Paie_Retenues2,23),INDEX(Paie_Retenues,23)))),"")</f>
      </c>
      <c r="J50" s="25">
        <f>IF(AND($B$5="Tous les employés",IFERROR(INDEX(Pointage_ID,23),"")&lt;&gt;""),IF(23=0,"-",IF($H$5="1ère quinzaine",INDEX(Paie_Net1,23),IF($H$5="2ème quinzaine",INDEX(Paie_Net2,23),INDEX(Paie_NetMensuel,23)))),"")</f>
      </c>
    </row>
    <row r="51">
      <c r="A51" s="20">
        <f>IF(AND($B$5="Tous les employés",IFERROR(INDEX(Pointage_ID,24),"")&lt;&gt;""),IFERROR(INDEX(Pointage_ID,24),""),"")</f>
      </c>
      <c r="B51" s="19">
        <f>IF(AND($B$5="Tous les employés",IFERROR(INDEX(Pointage_ID,24),"")&lt;&gt;""),INDEX(Pointage_Nom,24),"")</f>
      </c>
      <c r="C51" s="20">
        <f>IF(AND($B$5="Tous les employés",IFERROR(INDEX(Pointage_ID,24),"")&lt;&gt;""),INDEX(Pointage_Categorie,24),"")</f>
      </c>
      <c r="D51" s="22">
        <f>IF(AND($B$5="Tous les employés",IFERROR(INDEX(Pointage_ID,24),"")&lt;&gt;""),IF(24=0,"-",IF($H$5="1ère quinzaine",INDEX(Paie_Jours1,24),IF($H$5="2ème quinzaine",INDEX(Paie_Jours2,24),INDEX(Pointage_Travailles,24)))),"")</f>
      </c>
      <c r="E51" s="23">
        <f>IF(AND($B$5="Tous les employés",IFERROR(INDEX(Pointage_ID,24),"")&lt;&gt;""),IF(24=0,"-",IF($H$5="1ère quinzaine",INDEX(Paie_HS1,24),IF($H$5="2ème quinzaine",INDEX(Paie_HS2,24),INDEX(Pointage_HS,24)))),"")</f>
      </c>
      <c r="F51" s="24">
        <f>IF(AND($B$5="Tous les employés",IFERROR(INDEX(Pointage_ID,24),"")&lt;&gt;""),INDEX(Paie_SalaireJour,24),"")</f>
      </c>
      <c r="G51" s="24">
        <f>IF(AND($B$5="Tous les employés",IFERROR(INDEX(Pointage_ID,24),"")&lt;&gt;""),IF(24=0,"-",IF($H$5="1ère quinzaine",INDEX(Paie_MontantHS1,24),IF($H$5="2ème quinzaine",INDEX(Paie_MontantHS2,24),INDEX(Paie_MontantHS,24)))),"")</f>
      </c>
      <c r="H51" s="24">
        <f>IF(AND($B$5="Tous les employés",IFERROR(INDEX(Pointage_ID,24),"")&lt;&gt;""),IF(24=0,"-",IF($H$5="1ère quinzaine",INDEX(Paie_Brut1,24),IF($H$5="2ème quinzaine",INDEX(Paie_Brut2,24),INDEX(Paie_BrutMensuel,24)))),"")</f>
      </c>
      <c r="I51" s="24">
        <f>IF(AND($B$5="Tous les employés",IFERROR(INDEX(Pointage_ID,24),"")&lt;&gt;""),IF(24=0,"-",IF($H$5="1ère quinzaine",INDEX(Paie_Retenues1,24),IF($H$5="2ème quinzaine",INDEX(Paie_Retenues2,24),INDEX(Paie_Retenues,24)))),"")</f>
      </c>
      <c r="J51" s="25">
        <f>IF(AND($B$5="Tous les employés",IFERROR(INDEX(Pointage_ID,24),"")&lt;&gt;""),IF(24=0,"-",IF($H$5="1ère quinzaine",INDEX(Paie_Net1,24),IF($H$5="2ème quinzaine",INDEX(Paie_Net2,24),INDEX(Paie_NetMensuel,24)))),"")</f>
      </c>
    </row>
    <row r="52">
      <c r="A52" s="20">
        <f>IF(AND($B$5="Tous les employés",IFERROR(INDEX(Pointage_ID,25),"")&lt;&gt;""),IFERROR(INDEX(Pointage_ID,25),""),"")</f>
      </c>
      <c r="B52" s="19">
        <f>IF(AND($B$5="Tous les employés",IFERROR(INDEX(Pointage_ID,25),"")&lt;&gt;""),INDEX(Pointage_Nom,25),"")</f>
      </c>
      <c r="C52" s="20">
        <f>IF(AND($B$5="Tous les employés",IFERROR(INDEX(Pointage_ID,25),"")&lt;&gt;""),INDEX(Pointage_Categorie,25),"")</f>
      </c>
      <c r="D52" s="22">
        <f>IF(AND($B$5="Tous les employés",IFERROR(INDEX(Pointage_ID,25),"")&lt;&gt;""),IF(25=0,"-",IF($H$5="1ère quinzaine",INDEX(Paie_Jours1,25),IF($H$5="2ème quinzaine",INDEX(Paie_Jours2,25),INDEX(Pointage_Travailles,25)))),"")</f>
      </c>
      <c r="E52" s="23">
        <f>IF(AND($B$5="Tous les employés",IFERROR(INDEX(Pointage_ID,25),"")&lt;&gt;""),IF(25=0,"-",IF($H$5="1ère quinzaine",INDEX(Paie_HS1,25),IF($H$5="2ème quinzaine",INDEX(Paie_HS2,25),INDEX(Pointage_HS,25)))),"")</f>
      </c>
      <c r="F52" s="24">
        <f>IF(AND($B$5="Tous les employés",IFERROR(INDEX(Pointage_ID,25),"")&lt;&gt;""),INDEX(Paie_SalaireJour,25),"")</f>
      </c>
      <c r="G52" s="24">
        <f>IF(AND($B$5="Tous les employés",IFERROR(INDEX(Pointage_ID,25),"")&lt;&gt;""),IF(25=0,"-",IF($H$5="1ère quinzaine",INDEX(Paie_MontantHS1,25),IF($H$5="2ème quinzaine",INDEX(Paie_MontantHS2,25),INDEX(Paie_MontantHS,25)))),"")</f>
      </c>
      <c r="H52" s="24">
        <f>IF(AND($B$5="Tous les employés",IFERROR(INDEX(Pointage_ID,25),"")&lt;&gt;""),IF(25=0,"-",IF($H$5="1ère quinzaine",INDEX(Paie_Brut1,25),IF($H$5="2ème quinzaine",INDEX(Paie_Brut2,25),INDEX(Paie_BrutMensuel,25)))),"")</f>
      </c>
      <c r="I52" s="24">
        <f>IF(AND($B$5="Tous les employés",IFERROR(INDEX(Pointage_ID,25),"")&lt;&gt;""),IF(25=0,"-",IF($H$5="1ère quinzaine",INDEX(Paie_Retenues1,25),IF($H$5="2ème quinzaine",INDEX(Paie_Retenues2,25),INDEX(Paie_Retenues,25)))),"")</f>
      </c>
      <c r="J52" s="25">
        <f>IF(AND($B$5="Tous les employés",IFERROR(INDEX(Pointage_ID,25),"")&lt;&gt;""),IF(25=0,"-",IF($H$5="1ère quinzaine",INDEX(Paie_Net1,25),IF($H$5="2ème quinzaine",INDEX(Paie_Net2,25),INDEX(Paie_NetMensuel,25)))),"")</f>
      </c>
    </row>
    <row r="53">
      <c r="A53" s="20">
        <f>IF(AND($B$5="Tous les employés",IFERROR(INDEX(Pointage_ID,26),"")&lt;&gt;""),IFERROR(INDEX(Pointage_ID,26),""),"")</f>
      </c>
      <c r="B53" s="19">
        <f>IF(AND($B$5="Tous les employés",IFERROR(INDEX(Pointage_ID,26),"")&lt;&gt;""),INDEX(Pointage_Nom,26),"")</f>
      </c>
      <c r="C53" s="20">
        <f>IF(AND($B$5="Tous les employés",IFERROR(INDEX(Pointage_ID,26),"")&lt;&gt;""),INDEX(Pointage_Categorie,26),"")</f>
      </c>
      <c r="D53" s="22">
        <f>IF(AND($B$5="Tous les employés",IFERROR(INDEX(Pointage_ID,26),"")&lt;&gt;""),IF(26=0,"-",IF($H$5="1ère quinzaine",INDEX(Paie_Jours1,26),IF($H$5="2ème quinzaine",INDEX(Paie_Jours2,26),INDEX(Pointage_Travailles,26)))),"")</f>
      </c>
      <c r="E53" s="23">
        <f>IF(AND($B$5="Tous les employés",IFERROR(INDEX(Pointage_ID,26),"")&lt;&gt;""),IF(26=0,"-",IF($H$5="1ère quinzaine",INDEX(Paie_HS1,26),IF($H$5="2ème quinzaine",INDEX(Paie_HS2,26),INDEX(Pointage_HS,26)))),"")</f>
      </c>
      <c r="F53" s="24">
        <f>IF(AND($B$5="Tous les employés",IFERROR(INDEX(Pointage_ID,26),"")&lt;&gt;""),INDEX(Paie_SalaireJour,26),"")</f>
      </c>
      <c r="G53" s="24">
        <f>IF(AND($B$5="Tous les employés",IFERROR(INDEX(Pointage_ID,26),"")&lt;&gt;""),IF(26=0,"-",IF($H$5="1ère quinzaine",INDEX(Paie_MontantHS1,26),IF($H$5="2ème quinzaine",INDEX(Paie_MontantHS2,26),INDEX(Paie_MontantHS,26)))),"")</f>
      </c>
      <c r="H53" s="24">
        <f>IF(AND($B$5="Tous les employés",IFERROR(INDEX(Pointage_ID,26),"")&lt;&gt;""),IF(26=0,"-",IF($H$5="1ère quinzaine",INDEX(Paie_Brut1,26),IF($H$5="2ème quinzaine",INDEX(Paie_Brut2,26),INDEX(Paie_BrutMensuel,26)))),"")</f>
      </c>
      <c r="I53" s="24">
        <f>IF(AND($B$5="Tous les employés",IFERROR(INDEX(Pointage_ID,26),"")&lt;&gt;""),IF(26=0,"-",IF($H$5="1ère quinzaine",INDEX(Paie_Retenues1,26),IF($H$5="2ème quinzaine",INDEX(Paie_Retenues2,26),INDEX(Paie_Retenues,26)))),"")</f>
      </c>
      <c r="J53" s="25">
        <f>IF(AND($B$5="Tous les employés",IFERROR(INDEX(Pointage_ID,26),"")&lt;&gt;""),IF(26=0,"-",IF($H$5="1ère quinzaine",INDEX(Paie_Net1,26),IF($H$5="2ème quinzaine",INDEX(Paie_Net2,26),INDEX(Paie_NetMensuel,26)))),"")</f>
      </c>
    </row>
    <row r="54">
      <c r="A54" s="20">
        <f>IF(AND($B$5="Tous les employés",IFERROR(INDEX(Pointage_ID,27),"")&lt;&gt;""),IFERROR(INDEX(Pointage_ID,27),""),"")</f>
      </c>
      <c r="B54" s="19">
        <f>IF(AND($B$5="Tous les employés",IFERROR(INDEX(Pointage_ID,27),"")&lt;&gt;""),INDEX(Pointage_Nom,27),"")</f>
      </c>
      <c r="C54" s="20">
        <f>IF(AND($B$5="Tous les employés",IFERROR(INDEX(Pointage_ID,27),"")&lt;&gt;""),INDEX(Pointage_Categorie,27),"")</f>
      </c>
      <c r="D54" s="22">
        <f>IF(AND($B$5="Tous les employés",IFERROR(INDEX(Pointage_ID,27),"")&lt;&gt;""),IF(27=0,"-",IF($H$5="1ère quinzaine",INDEX(Paie_Jours1,27),IF($H$5="2ème quinzaine",INDEX(Paie_Jours2,27),INDEX(Pointage_Travailles,27)))),"")</f>
      </c>
      <c r="E54" s="23">
        <f>IF(AND($B$5="Tous les employés",IFERROR(INDEX(Pointage_ID,27),"")&lt;&gt;""),IF(27=0,"-",IF($H$5="1ère quinzaine",INDEX(Paie_HS1,27),IF($H$5="2ème quinzaine",INDEX(Paie_HS2,27),INDEX(Pointage_HS,27)))),"")</f>
      </c>
      <c r="F54" s="24">
        <f>IF(AND($B$5="Tous les employés",IFERROR(INDEX(Pointage_ID,27),"")&lt;&gt;""),INDEX(Paie_SalaireJour,27),"")</f>
      </c>
      <c r="G54" s="24">
        <f>IF(AND($B$5="Tous les employés",IFERROR(INDEX(Pointage_ID,27),"")&lt;&gt;""),IF(27=0,"-",IF($H$5="1ère quinzaine",INDEX(Paie_MontantHS1,27),IF($H$5="2ème quinzaine",INDEX(Paie_MontantHS2,27),INDEX(Paie_MontantHS,27)))),"")</f>
      </c>
      <c r="H54" s="24">
        <f>IF(AND($B$5="Tous les employés",IFERROR(INDEX(Pointage_ID,27),"")&lt;&gt;""),IF(27=0,"-",IF($H$5="1ère quinzaine",INDEX(Paie_Brut1,27),IF($H$5="2ème quinzaine",INDEX(Paie_Brut2,27),INDEX(Paie_BrutMensuel,27)))),"")</f>
      </c>
      <c r="I54" s="24">
        <f>IF(AND($B$5="Tous les employés",IFERROR(INDEX(Pointage_ID,27),"")&lt;&gt;""),IF(27=0,"-",IF($H$5="1ère quinzaine",INDEX(Paie_Retenues1,27),IF($H$5="2ème quinzaine",INDEX(Paie_Retenues2,27),INDEX(Paie_Retenues,27)))),"")</f>
      </c>
      <c r="J54" s="25">
        <f>IF(AND($B$5="Tous les employés",IFERROR(INDEX(Pointage_ID,27),"")&lt;&gt;""),IF(27=0,"-",IF($H$5="1ère quinzaine",INDEX(Paie_Net1,27),IF($H$5="2ème quinzaine",INDEX(Paie_Net2,27),INDEX(Paie_NetMensuel,27)))),"")</f>
      </c>
    </row>
    <row r="55">
      <c r="A55" s="20">
        <f>IF(AND($B$5="Tous les employés",IFERROR(INDEX(Pointage_ID,28),"")&lt;&gt;""),IFERROR(INDEX(Pointage_ID,28),""),"")</f>
      </c>
      <c r="B55" s="19">
        <f>IF(AND($B$5="Tous les employés",IFERROR(INDEX(Pointage_ID,28),"")&lt;&gt;""),INDEX(Pointage_Nom,28),"")</f>
      </c>
      <c r="C55" s="20">
        <f>IF(AND($B$5="Tous les employés",IFERROR(INDEX(Pointage_ID,28),"")&lt;&gt;""),INDEX(Pointage_Categorie,28),"")</f>
      </c>
      <c r="D55" s="22">
        <f>IF(AND($B$5="Tous les employés",IFERROR(INDEX(Pointage_ID,28),"")&lt;&gt;""),IF(28=0,"-",IF($H$5="1ère quinzaine",INDEX(Paie_Jours1,28),IF($H$5="2ème quinzaine",INDEX(Paie_Jours2,28),INDEX(Pointage_Travailles,28)))),"")</f>
      </c>
      <c r="E55" s="23">
        <f>IF(AND($B$5="Tous les employés",IFERROR(INDEX(Pointage_ID,28),"")&lt;&gt;""),IF(28=0,"-",IF($H$5="1ère quinzaine",INDEX(Paie_HS1,28),IF($H$5="2ème quinzaine",INDEX(Paie_HS2,28),INDEX(Pointage_HS,28)))),"")</f>
      </c>
      <c r="F55" s="24">
        <f>IF(AND($B$5="Tous les employés",IFERROR(INDEX(Pointage_ID,28),"")&lt;&gt;""),INDEX(Paie_SalaireJour,28),"")</f>
      </c>
      <c r="G55" s="24">
        <f>IF(AND($B$5="Tous les employés",IFERROR(INDEX(Pointage_ID,28),"")&lt;&gt;""),IF(28=0,"-",IF($H$5="1ère quinzaine",INDEX(Paie_MontantHS1,28),IF($H$5="2ème quinzaine",INDEX(Paie_MontantHS2,28),INDEX(Paie_MontantHS,28)))),"")</f>
      </c>
      <c r="H55" s="24">
        <f>IF(AND($B$5="Tous les employés",IFERROR(INDEX(Pointage_ID,28),"")&lt;&gt;""),IF(28=0,"-",IF($H$5="1ère quinzaine",INDEX(Paie_Brut1,28),IF($H$5="2ème quinzaine",INDEX(Paie_Brut2,28),INDEX(Paie_BrutMensuel,28)))),"")</f>
      </c>
      <c r="I55" s="24">
        <f>IF(AND($B$5="Tous les employés",IFERROR(INDEX(Pointage_ID,28),"")&lt;&gt;""),IF(28=0,"-",IF($H$5="1ère quinzaine",INDEX(Paie_Retenues1,28),IF($H$5="2ème quinzaine",INDEX(Paie_Retenues2,28),INDEX(Paie_Retenues,28)))),"")</f>
      </c>
      <c r="J55" s="25">
        <f>IF(AND($B$5="Tous les employés",IFERROR(INDEX(Pointage_ID,28),"")&lt;&gt;""),IF(28=0,"-",IF($H$5="1ère quinzaine",INDEX(Paie_Net1,28),IF($H$5="2ème quinzaine",INDEX(Paie_Net2,28),INDEX(Paie_NetMensuel,28)))),"")</f>
      </c>
    </row>
    <row r="56">
      <c r="A56" s="20">
        <f>IF(AND($B$5="Tous les employés",IFERROR(INDEX(Pointage_ID,29),"")&lt;&gt;""),IFERROR(INDEX(Pointage_ID,29),""),"")</f>
      </c>
      <c r="B56" s="19">
        <f>IF(AND($B$5="Tous les employés",IFERROR(INDEX(Pointage_ID,29),"")&lt;&gt;""),INDEX(Pointage_Nom,29),"")</f>
      </c>
      <c r="C56" s="20">
        <f>IF(AND($B$5="Tous les employés",IFERROR(INDEX(Pointage_ID,29),"")&lt;&gt;""),INDEX(Pointage_Categorie,29),"")</f>
      </c>
      <c r="D56" s="22">
        <f>IF(AND($B$5="Tous les employés",IFERROR(INDEX(Pointage_ID,29),"")&lt;&gt;""),IF(29=0,"-",IF($H$5="1ère quinzaine",INDEX(Paie_Jours1,29),IF($H$5="2ème quinzaine",INDEX(Paie_Jours2,29),INDEX(Pointage_Travailles,29)))),"")</f>
      </c>
      <c r="E56" s="23">
        <f>IF(AND($B$5="Tous les employés",IFERROR(INDEX(Pointage_ID,29),"")&lt;&gt;""),IF(29=0,"-",IF($H$5="1ère quinzaine",INDEX(Paie_HS1,29),IF($H$5="2ème quinzaine",INDEX(Paie_HS2,29),INDEX(Pointage_HS,29)))),"")</f>
      </c>
      <c r="F56" s="24">
        <f>IF(AND($B$5="Tous les employés",IFERROR(INDEX(Pointage_ID,29),"")&lt;&gt;""),INDEX(Paie_SalaireJour,29),"")</f>
      </c>
      <c r="G56" s="24">
        <f>IF(AND($B$5="Tous les employés",IFERROR(INDEX(Pointage_ID,29),"")&lt;&gt;""),IF(29=0,"-",IF($H$5="1ère quinzaine",INDEX(Paie_MontantHS1,29),IF($H$5="2ème quinzaine",INDEX(Paie_MontantHS2,29),INDEX(Paie_MontantHS,29)))),"")</f>
      </c>
      <c r="H56" s="24">
        <f>IF(AND($B$5="Tous les employés",IFERROR(INDEX(Pointage_ID,29),"")&lt;&gt;""),IF(29=0,"-",IF($H$5="1ère quinzaine",INDEX(Paie_Brut1,29),IF($H$5="2ème quinzaine",INDEX(Paie_Brut2,29),INDEX(Paie_BrutMensuel,29)))),"")</f>
      </c>
      <c r="I56" s="24">
        <f>IF(AND($B$5="Tous les employés",IFERROR(INDEX(Pointage_ID,29),"")&lt;&gt;""),IF(29=0,"-",IF($H$5="1ère quinzaine",INDEX(Paie_Retenues1,29),IF($H$5="2ème quinzaine",INDEX(Paie_Retenues2,29),INDEX(Paie_Retenues,29)))),"")</f>
      </c>
      <c r="J56" s="25">
        <f>IF(AND($B$5="Tous les employés",IFERROR(INDEX(Pointage_ID,29),"")&lt;&gt;""),IF(29=0,"-",IF($H$5="1ère quinzaine",INDEX(Paie_Net1,29),IF($H$5="2ème quinzaine",INDEX(Paie_Net2,29),INDEX(Paie_NetMensuel,29)))),"")</f>
      </c>
    </row>
    <row r="57">
      <c r="A57" s="20">
        <f>IF(AND($B$5="Tous les employés",IFERROR(INDEX(Pointage_ID,30),"")&lt;&gt;""),IFERROR(INDEX(Pointage_ID,30),""),"")</f>
      </c>
      <c r="B57" s="19">
        <f>IF(AND($B$5="Tous les employés",IFERROR(INDEX(Pointage_ID,30),"")&lt;&gt;""),INDEX(Pointage_Nom,30),"")</f>
      </c>
      <c r="C57" s="20">
        <f>IF(AND($B$5="Tous les employés",IFERROR(INDEX(Pointage_ID,30),"")&lt;&gt;""),INDEX(Pointage_Categorie,30),"")</f>
      </c>
      <c r="D57" s="22">
        <f>IF(AND($B$5="Tous les employés",IFERROR(INDEX(Pointage_ID,30),"")&lt;&gt;""),IF(30=0,"-",IF($H$5="1ère quinzaine",INDEX(Paie_Jours1,30),IF($H$5="2ème quinzaine",INDEX(Paie_Jours2,30),INDEX(Pointage_Travailles,30)))),"")</f>
      </c>
      <c r="E57" s="23">
        <f>IF(AND($B$5="Tous les employés",IFERROR(INDEX(Pointage_ID,30),"")&lt;&gt;""),IF(30=0,"-",IF($H$5="1ère quinzaine",INDEX(Paie_HS1,30),IF($H$5="2ème quinzaine",INDEX(Paie_HS2,30),INDEX(Pointage_HS,30)))),"")</f>
      </c>
      <c r="F57" s="24">
        <f>IF(AND($B$5="Tous les employés",IFERROR(INDEX(Pointage_ID,30),"")&lt;&gt;""),INDEX(Paie_SalaireJour,30),"")</f>
      </c>
      <c r="G57" s="24">
        <f>IF(AND($B$5="Tous les employés",IFERROR(INDEX(Pointage_ID,30),"")&lt;&gt;""),IF(30=0,"-",IF($H$5="1ère quinzaine",INDEX(Paie_MontantHS1,30),IF($H$5="2ème quinzaine",INDEX(Paie_MontantHS2,30),INDEX(Paie_MontantHS,30)))),"")</f>
      </c>
      <c r="H57" s="24">
        <f>IF(AND($B$5="Tous les employés",IFERROR(INDEX(Pointage_ID,30),"")&lt;&gt;""),IF(30=0,"-",IF($H$5="1ère quinzaine",INDEX(Paie_Brut1,30),IF($H$5="2ème quinzaine",INDEX(Paie_Brut2,30),INDEX(Paie_BrutMensuel,30)))),"")</f>
      </c>
      <c r="I57" s="24">
        <f>IF(AND($B$5="Tous les employés",IFERROR(INDEX(Pointage_ID,30),"")&lt;&gt;""),IF(30=0,"-",IF($H$5="1ère quinzaine",INDEX(Paie_Retenues1,30),IF($H$5="2ème quinzaine",INDEX(Paie_Retenues2,30),INDEX(Paie_Retenues,30)))),"")</f>
      </c>
      <c r="J57" s="25">
        <f>IF(AND($B$5="Tous les employés",IFERROR(INDEX(Pointage_ID,30),"")&lt;&gt;""),IF(30=0,"-",IF($H$5="1ère quinzaine",INDEX(Paie_Net1,30),IF($H$5="2ème quinzaine",INDEX(Paie_Net2,30),INDEX(Paie_NetMensuel,30)))),"")</f>
      </c>
    </row>
    <row r="58">
      <c r="A58" s="20">
        <f>IF(AND($B$5="Tous les employés",IFERROR(INDEX(Pointage_ID,31),"")&lt;&gt;""),IFERROR(INDEX(Pointage_ID,31),""),"")</f>
      </c>
      <c r="B58" s="19">
        <f>IF(AND($B$5="Tous les employés",IFERROR(INDEX(Pointage_ID,31),"")&lt;&gt;""),INDEX(Pointage_Nom,31),"")</f>
      </c>
      <c r="C58" s="20">
        <f>IF(AND($B$5="Tous les employés",IFERROR(INDEX(Pointage_ID,31),"")&lt;&gt;""),INDEX(Pointage_Categorie,31),"")</f>
      </c>
      <c r="D58" s="22">
        <f>IF(AND($B$5="Tous les employés",IFERROR(INDEX(Pointage_ID,31),"")&lt;&gt;""),IF(31=0,"-",IF($H$5="1ère quinzaine",INDEX(Paie_Jours1,31),IF($H$5="2ème quinzaine",INDEX(Paie_Jours2,31),INDEX(Pointage_Travailles,31)))),"")</f>
      </c>
      <c r="E58" s="23">
        <f>IF(AND($B$5="Tous les employés",IFERROR(INDEX(Pointage_ID,31),"")&lt;&gt;""),IF(31=0,"-",IF($H$5="1ère quinzaine",INDEX(Paie_HS1,31),IF($H$5="2ème quinzaine",INDEX(Paie_HS2,31),INDEX(Pointage_HS,31)))),"")</f>
      </c>
      <c r="F58" s="24">
        <f>IF(AND($B$5="Tous les employés",IFERROR(INDEX(Pointage_ID,31),"")&lt;&gt;""),INDEX(Paie_SalaireJour,31),"")</f>
      </c>
      <c r="G58" s="24">
        <f>IF(AND($B$5="Tous les employés",IFERROR(INDEX(Pointage_ID,31),"")&lt;&gt;""),IF(31=0,"-",IF($H$5="1ère quinzaine",INDEX(Paie_MontantHS1,31),IF($H$5="2ème quinzaine",INDEX(Paie_MontantHS2,31),INDEX(Paie_MontantHS,31)))),"")</f>
      </c>
      <c r="H58" s="24">
        <f>IF(AND($B$5="Tous les employés",IFERROR(INDEX(Pointage_ID,31),"")&lt;&gt;""),IF(31=0,"-",IF($H$5="1ère quinzaine",INDEX(Paie_Brut1,31),IF($H$5="2ème quinzaine",INDEX(Paie_Brut2,31),INDEX(Paie_BrutMensuel,31)))),"")</f>
      </c>
      <c r="I58" s="24">
        <f>IF(AND($B$5="Tous les employés",IFERROR(INDEX(Pointage_ID,31),"")&lt;&gt;""),IF(31=0,"-",IF($H$5="1ère quinzaine",INDEX(Paie_Retenues1,31),IF($H$5="2ème quinzaine",INDEX(Paie_Retenues2,31),INDEX(Paie_Retenues,31)))),"")</f>
      </c>
      <c r="J58" s="25">
        <f>IF(AND($B$5="Tous les employés",IFERROR(INDEX(Pointage_ID,31),"")&lt;&gt;""),IF(31=0,"-",IF($H$5="1ère quinzaine",INDEX(Paie_Net1,31),IF($H$5="2ème quinzaine",INDEX(Paie_Net2,31),INDEX(Paie_NetMensuel,31)))),"")</f>
      </c>
    </row>
    <row r="59">
      <c r="A59" s="20">
        <f>IF(AND($B$5="Tous les employés",IFERROR(INDEX(Pointage_ID,32),"")&lt;&gt;""),IFERROR(INDEX(Pointage_ID,32),""),"")</f>
      </c>
      <c r="B59" s="19">
        <f>IF(AND($B$5="Tous les employés",IFERROR(INDEX(Pointage_ID,32),"")&lt;&gt;""),INDEX(Pointage_Nom,32),"")</f>
      </c>
      <c r="C59" s="20">
        <f>IF(AND($B$5="Tous les employés",IFERROR(INDEX(Pointage_ID,32),"")&lt;&gt;""),INDEX(Pointage_Categorie,32),"")</f>
      </c>
      <c r="D59" s="22">
        <f>IF(AND($B$5="Tous les employés",IFERROR(INDEX(Pointage_ID,32),"")&lt;&gt;""),IF(32=0,"-",IF($H$5="1ère quinzaine",INDEX(Paie_Jours1,32),IF($H$5="2ème quinzaine",INDEX(Paie_Jours2,32),INDEX(Pointage_Travailles,32)))),"")</f>
      </c>
      <c r="E59" s="23">
        <f>IF(AND($B$5="Tous les employés",IFERROR(INDEX(Pointage_ID,32),"")&lt;&gt;""),IF(32=0,"-",IF($H$5="1ère quinzaine",INDEX(Paie_HS1,32),IF($H$5="2ème quinzaine",INDEX(Paie_HS2,32),INDEX(Pointage_HS,32)))),"")</f>
      </c>
      <c r="F59" s="24">
        <f>IF(AND($B$5="Tous les employés",IFERROR(INDEX(Pointage_ID,32),"")&lt;&gt;""),INDEX(Paie_SalaireJour,32),"")</f>
      </c>
      <c r="G59" s="24">
        <f>IF(AND($B$5="Tous les employés",IFERROR(INDEX(Pointage_ID,32),"")&lt;&gt;""),IF(32=0,"-",IF($H$5="1ère quinzaine",INDEX(Paie_MontantHS1,32),IF($H$5="2ème quinzaine",INDEX(Paie_MontantHS2,32),INDEX(Paie_MontantHS,32)))),"")</f>
      </c>
      <c r="H59" s="24">
        <f>IF(AND($B$5="Tous les employés",IFERROR(INDEX(Pointage_ID,32),"")&lt;&gt;""),IF(32=0,"-",IF($H$5="1ère quinzaine",INDEX(Paie_Brut1,32),IF($H$5="2ème quinzaine",INDEX(Paie_Brut2,32),INDEX(Paie_BrutMensuel,32)))),"")</f>
      </c>
      <c r="I59" s="24">
        <f>IF(AND($B$5="Tous les employés",IFERROR(INDEX(Pointage_ID,32),"")&lt;&gt;""),IF(32=0,"-",IF($H$5="1ère quinzaine",INDEX(Paie_Retenues1,32),IF($H$5="2ème quinzaine",INDEX(Paie_Retenues2,32),INDEX(Paie_Retenues,32)))),"")</f>
      </c>
      <c r="J59" s="25">
        <f>IF(AND($B$5="Tous les employés",IFERROR(INDEX(Pointage_ID,32),"")&lt;&gt;""),IF(32=0,"-",IF($H$5="1ère quinzaine",INDEX(Paie_Net1,32),IF($H$5="2ème quinzaine",INDEX(Paie_Net2,32),INDEX(Paie_NetMensuel,32)))),"")</f>
      </c>
    </row>
    <row r="60">
      <c r="A60" s="20">
        <f>IF(AND($B$5="Tous les employés",IFERROR(INDEX(Pointage_ID,33),"")&lt;&gt;""),IFERROR(INDEX(Pointage_ID,33),""),"")</f>
      </c>
      <c r="B60" s="19">
        <f>IF(AND($B$5="Tous les employés",IFERROR(INDEX(Pointage_ID,33),"")&lt;&gt;""),INDEX(Pointage_Nom,33),"")</f>
      </c>
      <c r="C60" s="20">
        <f>IF(AND($B$5="Tous les employés",IFERROR(INDEX(Pointage_ID,33),"")&lt;&gt;""),INDEX(Pointage_Categorie,33),"")</f>
      </c>
      <c r="D60" s="22">
        <f>IF(AND($B$5="Tous les employés",IFERROR(INDEX(Pointage_ID,33),"")&lt;&gt;""),IF(33=0,"-",IF($H$5="1ère quinzaine",INDEX(Paie_Jours1,33),IF($H$5="2ème quinzaine",INDEX(Paie_Jours2,33),INDEX(Pointage_Travailles,33)))),"")</f>
      </c>
      <c r="E60" s="23">
        <f>IF(AND($B$5="Tous les employés",IFERROR(INDEX(Pointage_ID,33),"")&lt;&gt;""),IF(33=0,"-",IF($H$5="1ère quinzaine",INDEX(Paie_HS1,33),IF($H$5="2ème quinzaine",INDEX(Paie_HS2,33),INDEX(Pointage_HS,33)))),"")</f>
      </c>
      <c r="F60" s="24">
        <f>IF(AND($B$5="Tous les employés",IFERROR(INDEX(Pointage_ID,33),"")&lt;&gt;""),INDEX(Paie_SalaireJour,33),"")</f>
      </c>
      <c r="G60" s="24">
        <f>IF(AND($B$5="Tous les employés",IFERROR(INDEX(Pointage_ID,33),"")&lt;&gt;""),IF(33=0,"-",IF($H$5="1ère quinzaine",INDEX(Paie_MontantHS1,33),IF($H$5="2ème quinzaine",INDEX(Paie_MontantHS2,33),INDEX(Paie_MontantHS,33)))),"")</f>
      </c>
      <c r="H60" s="24">
        <f>IF(AND($B$5="Tous les employés",IFERROR(INDEX(Pointage_ID,33),"")&lt;&gt;""),IF(33=0,"-",IF($H$5="1ère quinzaine",INDEX(Paie_Brut1,33),IF($H$5="2ème quinzaine",INDEX(Paie_Brut2,33),INDEX(Paie_BrutMensuel,33)))),"")</f>
      </c>
      <c r="I60" s="24">
        <f>IF(AND($B$5="Tous les employés",IFERROR(INDEX(Pointage_ID,33),"")&lt;&gt;""),IF(33=0,"-",IF($H$5="1ère quinzaine",INDEX(Paie_Retenues1,33),IF($H$5="2ème quinzaine",INDEX(Paie_Retenues2,33),INDEX(Paie_Retenues,33)))),"")</f>
      </c>
      <c r="J60" s="25">
        <f>IF(AND($B$5="Tous les employés",IFERROR(INDEX(Pointage_ID,33),"")&lt;&gt;""),IF(33=0,"-",IF($H$5="1ère quinzaine",INDEX(Paie_Net1,33),IF($H$5="2ème quinzaine",INDEX(Paie_Net2,33),INDEX(Paie_NetMensuel,33)))),"")</f>
      </c>
    </row>
    <row r="61">
      <c r="A61" s="20">
        <f>IF(AND($B$5="Tous les employés",IFERROR(INDEX(Pointage_ID,34),"")&lt;&gt;""),IFERROR(INDEX(Pointage_ID,34),""),"")</f>
      </c>
      <c r="B61" s="19">
        <f>IF(AND($B$5="Tous les employés",IFERROR(INDEX(Pointage_ID,34),"")&lt;&gt;""),INDEX(Pointage_Nom,34),"")</f>
      </c>
      <c r="C61" s="20">
        <f>IF(AND($B$5="Tous les employés",IFERROR(INDEX(Pointage_ID,34),"")&lt;&gt;""),INDEX(Pointage_Categorie,34),"")</f>
      </c>
      <c r="D61" s="22">
        <f>IF(AND($B$5="Tous les employés",IFERROR(INDEX(Pointage_ID,34),"")&lt;&gt;""),IF(34=0,"-",IF($H$5="1ère quinzaine",INDEX(Paie_Jours1,34),IF($H$5="2ème quinzaine",INDEX(Paie_Jours2,34),INDEX(Pointage_Travailles,34)))),"")</f>
      </c>
      <c r="E61" s="23">
        <f>IF(AND($B$5="Tous les employés",IFERROR(INDEX(Pointage_ID,34),"")&lt;&gt;""),IF(34=0,"-",IF($H$5="1ère quinzaine",INDEX(Paie_HS1,34),IF($H$5="2ème quinzaine",INDEX(Paie_HS2,34),INDEX(Pointage_HS,34)))),"")</f>
      </c>
      <c r="F61" s="24">
        <f>IF(AND($B$5="Tous les employés",IFERROR(INDEX(Pointage_ID,34),"")&lt;&gt;""),INDEX(Paie_SalaireJour,34),"")</f>
      </c>
      <c r="G61" s="24">
        <f>IF(AND($B$5="Tous les employés",IFERROR(INDEX(Pointage_ID,34),"")&lt;&gt;""),IF(34=0,"-",IF($H$5="1ère quinzaine",INDEX(Paie_MontantHS1,34),IF($H$5="2ème quinzaine",INDEX(Paie_MontantHS2,34),INDEX(Paie_MontantHS,34)))),"")</f>
      </c>
      <c r="H61" s="24">
        <f>IF(AND($B$5="Tous les employés",IFERROR(INDEX(Pointage_ID,34),"")&lt;&gt;""),IF(34=0,"-",IF($H$5="1ère quinzaine",INDEX(Paie_Brut1,34),IF($H$5="2ème quinzaine",INDEX(Paie_Brut2,34),INDEX(Paie_BrutMensuel,34)))),"")</f>
      </c>
      <c r="I61" s="24">
        <f>IF(AND($B$5="Tous les employés",IFERROR(INDEX(Pointage_ID,34),"")&lt;&gt;""),IF(34=0,"-",IF($H$5="1ère quinzaine",INDEX(Paie_Retenues1,34),IF($H$5="2ème quinzaine",INDEX(Paie_Retenues2,34),INDEX(Paie_Retenues,34)))),"")</f>
      </c>
      <c r="J61" s="25">
        <f>IF(AND($B$5="Tous les employés",IFERROR(INDEX(Pointage_ID,34),"")&lt;&gt;""),IF(34=0,"-",IF($H$5="1ère quinzaine",INDEX(Paie_Net1,34),IF($H$5="2ème quinzaine",INDEX(Paie_Net2,34),INDEX(Paie_NetMensuel,34)))),"")</f>
      </c>
    </row>
    <row r="62">
      <c r="A62" s="20">
        <f>IF(AND($B$5="Tous les employés",IFERROR(INDEX(Pointage_ID,35),"")&lt;&gt;""),IFERROR(INDEX(Pointage_ID,35),""),"")</f>
      </c>
      <c r="B62" s="19">
        <f>IF(AND($B$5="Tous les employés",IFERROR(INDEX(Pointage_ID,35),"")&lt;&gt;""),INDEX(Pointage_Nom,35),"")</f>
      </c>
      <c r="C62" s="20">
        <f>IF(AND($B$5="Tous les employés",IFERROR(INDEX(Pointage_ID,35),"")&lt;&gt;""),INDEX(Pointage_Categorie,35),"")</f>
      </c>
      <c r="D62" s="22">
        <f>IF(AND($B$5="Tous les employés",IFERROR(INDEX(Pointage_ID,35),"")&lt;&gt;""),IF(35=0,"-",IF($H$5="1ère quinzaine",INDEX(Paie_Jours1,35),IF($H$5="2ème quinzaine",INDEX(Paie_Jours2,35),INDEX(Pointage_Travailles,35)))),"")</f>
      </c>
      <c r="E62" s="23">
        <f>IF(AND($B$5="Tous les employés",IFERROR(INDEX(Pointage_ID,35),"")&lt;&gt;""),IF(35=0,"-",IF($H$5="1ère quinzaine",INDEX(Paie_HS1,35),IF($H$5="2ème quinzaine",INDEX(Paie_HS2,35),INDEX(Pointage_HS,35)))),"")</f>
      </c>
      <c r="F62" s="24">
        <f>IF(AND($B$5="Tous les employés",IFERROR(INDEX(Pointage_ID,35),"")&lt;&gt;""),INDEX(Paie_SalaireJour,35),"")</f>
      </c>
      <c r="G62" s="24">
        <f>IF(AND($B$5="Tous les employés",IFERROR(INDEX(Pointage_ID,35),"")&lt;&gt;""),IF(35=0,"-",IF($H$5="1ère quinzaine",INDEX(Paie_MontantHS1,35),IF($H$5="2ème quinzaine",INDEX(Paie_MontantHS2,35),INDEX(Paie_MontantHS,35)))),"")</f>
      </c>
      <c r="H62" s="24">
        <f>IF(AND($B$5="Tous les employés",IFERROR(INDEX(Pointage_ID,35),"")&lt;&gt;""),IF(35=0,"-",IF($H$5="1ère quinzaine",INDEX(Paie_Brut1,35),IF($H$5="2ème quinzaine",INDEX(Paie_Brut2,35),INDEX(Paie_BrutMensuel,35)))),"")</f>
      </c>
      <c r="I62" s="24">
        <f>IF(AND($B$5="Tous les employés",IFERROR(INDEX(Pointage_ID,35),"")&lt;&gt;""),IF(35=0,"-",IF($H$5="1ère quinzaine",INDEX(Paie_Retenues1,35),IF($H$5="2ème quinzaine",INDEX(Paie_Retenues2,35),INDEX(Paie_Retenues,35)))),"")</f>
      </c>
      <c r="J62" s="25">
        <f>IF(AND($B$5="Tous les employés",IFERROR(INDEX(Pointage_ID,35),"")&lt;&gt;""),IF(35=0,"-",IF($H$5="1ère quinzaine",INDEX(Paie_Net1,35),IF($H$5="2ème quinzaine",INDEX(Paie_Net2,35),INDEX(Paie_NetMensuel,35)))),"")</f>
      </c>
    </row>
    <row r="63">
      <c r="A63" s="20">
        <f>IF(AND($B$5="Tous les employés",IFERROR(INDEX(Pointage_ID,36),"")&lt;&gt;""),IFERROR(INDEX(Pointage_ID,36),""),"")</f>
      </c>
      <c r="B63" s="19">
        <f>IF(AND($B$5="Tous les employés",IFERROR(INDEX(Pointage_ID,36),"")&lt;&gt;""),INDEX(Pointage_Nom,36),"")</f>
      </c>
      <c r="C63" s="20">
        <f>IF(AND($B$5="Tous les employés",IFERROR(INDEX(Pointage_ID,36),"")&lt;&gt;""),INDEX(Pointage_Categorie,36),"")</f>
      </c>
      <c r="D63" s="22">
        <f>IF(AND($B$5="Tous les employés",IFERROR(INDEX(Pointage_ID,36),"")&lt;&gt;""),IF(36=0,"-",IF($H$5="1ère quinzaine",INDEX(Paie_Jours1,36),IF($H$5="2ème quinzaine",INDEX(Paie_Jours2,36),INDEX(Pointage_Travailles,36)))),"")</f>
      </c>
      <c r="E63" s="23">
        <f>IF(AND($B$5="Tous les employés",IFERROR(INDEX(Pointage_ID,36),"")&lt;&gt;""),IF(36=0,"-",IF($H$5="1ère quinzaine",INDEX(Paie_HS1,36),IF($H$5="2ème quinzaine",INDEX(Paie_HS2,36),INDEX(Pointage_HS,36)))),"")</f>
      </c>
      <c r="F63" s="24">
        <f>IF(AND($B$5="Tous les employés",IFERROR(INDEX(Pointage_ID,36),"")&lt;&gt;""),INDEX(Paie_SalaireJour,36),"")</f>
      </c>
      <c r="G63" s="24">
        <f>IF(AND($B$5="Tous les employés",IFERROR(INDEX(Pointage_ID,36),"")&lt;&gt;""),IF(36=0,"-",IF($H$5="1ère quinzaine",INDEX(Paie_MontantHS1,36),IF($H$5="2ème quinzaine",INDEX(Paie_MontantHS2,36),INDEX(Paie_MontantHS,36)))),"")</f>
      </c>
      <c r="H63" s="24">
        <f>IF(AND($B$5="Tous les employés",IFERROR(INDEX(Pointage_ID,36),"")&lt;&gt;""),IF(36=0,"-",IF($H$5="1ère quinzaine",INDEX(Paie_Brut1,36),IF($H$5="2ème quinzaine",INDEX(Paie_Brut2,36),INDEX(Paie_BrutMensuel,36)))),"")</f>
      </c>
      <c r="I63" s="24">
        <f>IF(AND($B$5="Tous les employés",IFERROR(INDEX(Pointage_ID,36),"")&lt;&gt;""),IF(36=0,"-",IF($H$5="1ère quinzaine",INDEX(Paie_Retenues1,36),IF($H$5="2ème quinzaine",INDEX(Paie_Retenues2,36),INDEX(Paie_Retenues,36)))),"")</f>
      </c>
      <c r="J63" s="25">
        <f>IF(AND($B$5="Tous les employés",IFERROR(INDEX(Pointage_ID,36),"")&lt;&gt;""),IF(36=0,"-",IF($H$5="1ère quinzaine",INDEX(Paie_Net1,36),IF($H$5="2ème quinzaine",INDEX(Paie_Net2,36),INDEX(Paie_NetMensuel,36)))),"")</f>
      </c>
    </row>
    <row r="64">
      <c r="A64" s="20">
        <f>IF(AND($B$5="Tous les employés",IFERROR(INDEX(Pointage_ID,37),"")&lt;&gt;""),IFERROR(INDEX(Pointage_ID,37),""),"")</f>
      </c>
      <c r="B64" s="19">
        <f>IF(AND($B$5="Tous les employés",IFERROR(INDEX(Pointage_ID,37),"")&lt;&gt;""),INDEX(Pointage_Nom,37),"")</f>
      </c>
      <c r="C64" s="20">
        <f>IF(AND($B$5="Tous les employés",IFERROR(INDEX(Pointage_ID,37),"")&lt;&gt;""),INDEX(Pointage_Categorie,37),"")</f>
      </c>
      <c r="D64" s="22">
        <f>IF(AND($B$5="Tous les employés",IFERROR(INDEX(Pointage_ID,37),"")&lt;&gt;""),IF(37=0,"-",IF($H$5="1ère quinzaine",INDEX(Paie_Jours1,37),IF($H$5="2ème quinzaine",INDEX(Paie_Jours2,37),INDEX(Pointage_Travailles,37)))),"")</f>
      </c>
      <c r="E64" s="23">
        <f>IF(AND($B$5="Tous les employés",IFERROR(INDEX(Pointage_ID,37),"")&lt;&gt;""),IF(37=0,"-",IF($H$5="1ère quinzaine",INDEX(Paie_HS1,37),IF($H$5="2ème quinzaine",INDEX(Paie_HS2,37),INDEX(Pointage_HS,37)))),"")</f>
      </c>
      <c r="F64" s="24">
        <f>IF(AND($B$5="Tous les employés",IFERROR(INDEX(Pointage_ID,37),"")&lt;&gt;""),INDEX(Paie_SalaireJour,37),"")</f>
      </c>
      <c r="G64" s="24">
        <f>IF(AND($B$5="Tous les employés",IFERROR(INDEX(Pointage_ID,37),"")&lt;&gt;""),IF(37=0,"-",IF($H$5="1ère quinzaine",INDEX(Paie_MontantHS1,37),IF($H$5="2ème quinzaine",INDEX(Paie_MontantHS2,37),INDEX(Paie_MontantHS,37)))),"")</f>
      </c>
      <c r="H64" s="24">
        <f>IF(AND($B$5="Tous les employés",IFERROR(INDEX(Pointage_ID,37),"")&lt;&gt;""),IF(37=0,"-",IF($H$5="1ère quinzaine",INDEX(Paie_Brut1,37),IF($H$5="2ème quinzaine",INDEX(Paie_Brut2,37),INDEX(Paie_BrutMensuel,37)))),"")</f>
      </c>
      <c r="I64" s="24">
        <f>IF(AND($B$5="Tous les employés",IFERROR(INDEX(Pointage_ID,37),"")&lt;&gt;""),IF(37=0,"-",IF($H$5="1ère quinzaine",INDEX(Paie_Retenues1,37),IF($H$5="2ème quinzaine",INDEX(Paie_Retenues2,37),INDEX(Paie_Retenues,37)))),"")</f>
      </c>
      <c r="J64" s="25">
        <f>IF(AND($B$5="Tous les employés",IFERROR(INDEX(Pointage_ID,37),"")&lt;&gt;""),IF(37=0,"-",IF($H$5="1ère quinzaine",INDEX(Paie_Net1,37),IF($H$5="2ème quinzaine",INDEX(Paie_Net2,37),INDEX(Paie_NetMensuel,37)))),"")</f>
      </c>
    </row>
    <row r="65">
      <c r="A65" s="20">
        <f>IF(AND($B$5="Tous les employés",IFERROR(INDEX(Pointage_ID,38),"")&lt;&gt;""),IFERROR(INDEX(Pointage_ID,38),""),"")</f>
      </c>
      <c r="B65" s="19">
        <f>IF(AND($B$5="Tous les employés",IFERROR(INDEX(Pointage_ID,38),"")&lt;&gt;""),INDEX(Pointage_Nom,38),"")</f>
      </c>
      <c r="C65" s="20">
        <f>IF(AND($B$5="Tous les employés",IFERROR(INDEX(Pointage_ID,38),"")&lt;&gt;""),INDEX(Pointage_Categorie,38),"")</f>
      </c>
      <c r="D65" s="22">
        <f>IF(AND($B$5="Tous les employés",IFERROR(INDEX(Pointage_ID,38),"")&lt;&gt;""),IF(38=0,"-",IF($H$5="1ère quinzaine",INDEX(Paie_Jours1,38),IF($H$5="2ème quinzaine",INDEX(Paie_Jours2,38),INDEX(Pointage_Travailles,38)))),"")</f>
      </c>
      <c r="E65" s="23">
        <f>IF(AND($B$5="Tous les employés",IFERROR(INDEX(Pointage_ID,38),"")&lt;&gt;""),IF(38=0,"-",IF($H$5="1ère quinzaine",INDEX(Paie_HS1,38),IF($H$5="2ème quinzaine",INDEX(Paie_HS2,38),INDEX(Pointage_HS,38)))),"")</f>
      </c>
      <c r="F65" s="24">
        <f>IF(AND($B$5="Tous les employés",IFERROR(INDEX(Pointage_ID,38),"")&lt;&gt;""),INDEX(Paie_SalaireJour,38),"")</f>
      </c>
      <c r="G65" s="24">
        <f>IF(AND($B$5="Tous les employés",IFERROR(INDEX(Pointage_ID,38),"")&lt;&gt;""),IF(38=0,"-",IF($H$5="1ère quinzaine",INDEX(Paie_MontantHS1,38),IF($H$5="2ème quinzaine",INDEX(Paie_MontantHS2,38),INDEX(Paie_MontantHS,38)))),"")</f>
      </c>
      <c r="H65" s="24">
        <f>IF(AND($B$5="Tous les employés",IFERROR(INDEX(Pointage_ID,38),"")&lt;&gt;""),IF(38=0,"-",IF($H$5="1ère quinzaine",INDEX(Paie_Brut1,38),IF($H$5="2ème quinzaine",INDEX(Paie_Brut2,38),INDEX(Paie_BrutMensuel,38)))),"")</f>
      </c>
      <c r="I65" s="24">
        <f>IF(AND($B$5="Tous les employés",IFERROR(INDEX(Pointage_ID,38),"")&lt;&gt;""),IF(38=0,"-",IF($H$5="1ère quinzaine",INDEX(Paie_Retenues1,38),IF($H$5="2ème quinzaine",INDEX(Paie_Retenues2,38),INDEX(Paie_Retenues,38)))),"")</f>
      </c>
      <c r="J65" s="25">
        <f>IF(AND($B$5="Tous les employés",IFERROR(INDEX(Pointage_ID,38),"")&lt;&gt;""),IF(38=0,"-",IF($H$5="1ère quinzaine",INDEX(Paie_Net1,38),IF($H$5="2ème quinzaine",INDEX(Paie_Net2,38),INDEX(Paie_NetMensuel,38)))),"")</f>
      </c>
    </row>
    <row r="66">
      <c r="A66" s="20">
        <f>IF(AND($B$5="Tous les employés",IFERROR(INDEX(Pointage_ID,39),"")&lt;&gt;""),IFERROR(INDEX(Pointage_ID,39),""),"")</f>
      </c>
      <c r="B66" s="19">
        <f>IF(AND($B$5="Tous les employés",IFERROR(INDEX(Pointage_ID,39),"")&lt;&gt;""),INDEX(Pointage_Nom,39),"")</f>
      </c>
      <c r="C66" s="20">
        <f>IF(AND($B$5="Tous les employés",IFERROR(INDEX(Pointage_ID,39),"")&lt;&gt;""),INDEX(Pointage_Categorie,39),"")</f>
      </c>
      <c r="D66" s="22">
        <f>IF(AND($B$5="Tous les employés",IFERROR(INDEX(Pointage_ID,39),"")&lt;&gt;""),IF(39=0,"-",IF($H$5="1ère quinzaine",INDEX(Paie_Jours1,39),IF($H$5="2ème quinzaine",INDEX(Paie_Jours2,39),INDEX(Pointage_Travailles,39)))),"")</f>
      </c>
      <c r="E66" s="23">
        <f>IF(AND($B$5="Tous les employés",IFERROR(INDEX(Pointage_ID,39),"")&lt;&gt;""),IF(39=0,"-",IF($H$5="1ère quinzaine",INDEX(Paie_HS1,39),IF($H$5="2ème quinzaine",INDEX(Paie_HS2,39),INDEX(Pointage_HS,39)))),"")</f>
      </c>
      <c r="F66" s="24">
        <f>IF(AND($B$5="Tous les employés",IFERROR(INDEX(Pointage_ID,39),"")&lt;&gt;""),INDEX(Paie_SalaireJour,39),"")</f>
      </c>
      <c r="G66" s="24">
        <f>IF(AND($B$5="Tous les employés",IFERROR(INDEX(Pointage_ID,39),"")&lt;&gt;""),IF(39=0,"-",IF($H$5="1ère quinzaine",INDEX(Paie_MontantHS1,39),IF($H$5="2ème quinzaine",INDEX(Paie_MontantHS2,39),INDEX(Paie_MontantHS,39)))),"")</f>
      </c>
      <c r="H66" s="24">
        <f>IF(AND($B$5="Tous les employés",IFERROR(INDEX(Pointage_ID,39),"")&lt;&gt;""),IF(39=0,"-",IF($H$5="1ère quinzaine",INDEX(Paie_Brut1,39),IF($H$5="2ème quinzaine",INDEX(Paie_Brut2,39),INDEX(Paie_BrutMensuel,39)))),"")</f>
      </c>
      <c r="I66" s="24">
        <f>IF(AND($B$5="Tous les employés",IFERROR(INDEX(Pointage_ID,39),"")&lt;&gt;""),IF(39=0,"-",IF($H$5="1ère quinzaine",INDEX(Paie_Retenues1,39),IF($H$5="2ème quinzaine",INDEX(Paie_Retenues2,39),INDEX(Paie_Retenues,39)))),"")</f>
      </c>
      <c r="J66" s="25">
        <f>IF(AND($B$5="Tous les employés",IFERROR(INDEX(Pointage_ID,39),"")&lt;&gt;""),IF(39=0,"-",IF($H$5="1ère quinzaine",INDEX(Paie_Net1,39),IF($H$5="2ème quinzaine",INDEX(Paie_Net2,39),INDEX(Paie_NetMensuel,39)))),"")</f>
      </c>
    </row>
    <row r="67">
      <c r="A67" s="20">
        <f>IF(AND($B$5="Tous les employés",IFERROR(INDEX(Pointage_ID,40),"")&lt;&gt;""),IFERROR(INDEX(Pointage_ID,40),""),"")</f>
      </c>
      <c r="B67" s="19">
        <f>IF(AND($B$5="Tous les employés",IFERROR(INDEX(Pointage_ID,40),"")&lt;&gt;""),INDEX(Pointage_Nom,40),"")</f>
      </c>
      <c r="C67" s="20">
        <f>IF(AND($B$5="Tous les employés",IFERROR(INDEX(Pointage_ID,40),"")&lt;&gt;""),INDEX(Pointage_Categorie,40),"")</f>
      </c>
      <c r="D67" s="22">
        <f>IF(AND($B$5="Tous les employés",IFERROR(INDEX(Pointage_ID,40),"")&lt;&gt;""),IF(40=0,"-",IF($H$5="1ère quinzaine",INDEX(Paie_Jours1,40),IF($H$5="2ème quinzaine",INDEX(Paie_Jours2,40),INDEX(Pointage_Travailles,40)))),"")</f>
      </c>
      <c r="E67" s="23">
        <f>IF(AND($B$5="Tous les employés",IFERROR(INDEX(Pointage_ID,40),"")&lt;&gt;""),IF(40=0,"-",IF($H$5="1ère quinzaine",INDEX(Paie_HS1,40),IF($H$5="2ème quinzaine",INDEX(Paie_HS2,40),INDEX(Pointage_HS,40)))),"")</f>
      </c>
      <c r="F67" s="24">
        <f>IF(AND($B$5="Tous les employés",IFERROR(INDEX(Pointage_ID,40),"")&lt;&gt;""),INDEX(Paie_SalaireJour,40),"")</f>
      </c>
      <c r="G67" s="24">
        <f>IF(AND($B$5="Tous les employés",IFERROR(INDEX(Pointage_ID,40),"")&lt;&gt;""),IF(40=0,"-",IF($H$5="1ère quinzaine",INDEX(Paie_MontantHS1,40),IF($H$5="2ème quinzaine",INDEX(Paie_MontantHS2,40),INDEX(Paie_MontantHS,40)))),"")</f>
      </c>
      <c r="H67" s="24">
        <f>IF(AND($B$5="Tous les employés",IFERROR(INDEX(Pointage_ID,40),"")&lt;&gt;""),IF(40=0,"-",IF($H$5="1ère quinzaine",INDEX(Paie_Brut1,40),IF($H$5="2ème quinzaine",INDEX(Paie_Brut2,40),INDEX(Paie_BrutMensuel,40)))),"")</f>
      </c>
      <c r="I67" s="24">
        <f>IF(AND($B$5="Tous les employés",IFERROR(INDEX(Pointage_ID,40),"")&lt;&gt;""),IF(40=0,"-",IF($H$5="1ère quinzaine",INDEX(Paie_Retenues1,40),IF($H$5="2ème quinzaine",INDEX(Paie_Retenues2,40),INDEX(Paie_Retenues,40)))),"")</f>
      </c>
      <c r="J67" s="25">
        <f>IF(AND($B$5="Tous les employés",IFERROR(INDEX(Pointage_ID,40),"")&lt;&gt;""),IF(40=0,"-",IF($H$5="1ère quinzaine",INDEX(Paie_Net1,40),IF($H$5="2ème quinzaine",INDEX(Paie_Net2,40),INDEX(Paie_NetMensuel,40)))),"")</f>
      </c>
    </row>
    <row r="68">
      <c r="A68" s="20">
        <f>IF(AND($B$5="Tous les employés",IFERROR(INDEX(Pointage_ID,41),"")&lt;&gt;""),IFERROR(INDEX(Pointage_ID,41),""),"")</f>
      </c>
      <c r="B68" s="19">
        <f>IF(AND($B$5="Tous les employés",IFERROR(INDEX(Pointage_ID,41),"")&lt;&gt;""),INDEX(Pointage_Nom,41),"")</f>
      </c>
      <c r="C68" s="20">
        <f>IF(AND($B$5="Tous les employés",IFERROR(INDEX(Pointage_ID,41),"")&lt;&gt;""),INDEX(Pointage_Categorie,41),"")</f>
      </c>
      <c r="D68" s="22">
        <f>IF(AND($B$5="Tous les employés",IFERROR(INDEX(Pointage_ID,41),"")&lt;&gt;""),IF(41=0,"-",IF($H$5="1ère quinzaine",INDEX(Paie_Jours1,41),IF($H$5="2ème quinzaine",INDEX(Paie_Jours2,41),INDEX(Pointage_Travailles,41)))),"")</f>
      </c>
      <c r="E68" s="23">
        <f>IF(AND($B$5="Tous les employés",IFERROR(INDEX(Pointage_ID,41),"")&lt;&gt;""),IF(41=0,"-",IF($H$5="1ère quinzaine",INDEX(Paie_HS1,41),IF($H$5="2ème quinzaine",INDEX(Paie_HS2,41),INDEX(Pointage_HS,41)))),"")</f>
      </c>
      <c r="F68" s="24">
        <f>IF(AND($B$5="Tous les employés",IFERROR(INDEX(Pointage_ID,41),"")&lt;&gt;""),INDEX(Paie_SalaireJour,41),"")</f>
      </c>
      <c r="G68" s="24">
        <f>IF(AND($B$5="Tous les employés",IFERROR(INDEX(Pointage_ID,41),"")&lt;&gt;""),IF(41=0,"-",IF($H$5="1ère quinzaine",INDEX(Paie_MontantHS1,41),IF($H$5="2ème quinzaine",INDEX(Paie_MontantHS2,41),INDEX(Paie_MontantHS,41)))),"")</f>
      </c>
      <c r="H68" s="24">
        <f>IF(AND($B$5="Tous les employés",IFERROR(INDEX(Pointage_ID,41),"")&lt;&gt;""),IF(41=0,"-",IF($H$5="1ère quinzaine",INDEX(Paie_Brut1,41),IF($H$5="2ème quinzaine",INDEX(Paie_Brut2,41),INDEX(Paie_BrutMensuel,41)))),"")</f>
      </c>
      <c r="I68" s="24">
        <f>IF(AND($B$5="Tous les employés",IFERROR(INDEX(Pointage_ID,41),"")&lt;&gt;""),IF(41=0,"-",IF($H$5="1ère quinzaine",INDEX(Paie_Retenues1,41),IF($H$5="2ème quinzaine",INDEX(Paie_Retenues2,41),INDEX(Paie_Retenues,41)))),"")</f>
      </c>
      <c r="J68" s="25">
        <f>IF(AND($B$5="Tous les employés",IFERROR(INDEX(Pointage_ID,41),"")&lt;&gt;""),IF(41=0,"-",IF($H$5="1ère quinzaine",INDEX(Paie_Net1,41),IF($H$5="2ème quinzaine",INDEX(Paie_Net2,41),INDEX(Paie_NetMensuel,41)))),"")</f>
      </c>
    </row>
    <row r="69">
      <c r="A69" s="20">
        <f>IF(AND($B$5="Tous les employés",IFERROR(INDEX(Pointage_ID,42),"")&lt;&gt;""),IFERROR(INDEX(Pointage_ID,42),""),"")</f>
      </c>
      <c r="B69" s="19">
        <f>IF(AND($B$5="Tous les employés",IFERROR(INDEX(Pointage_ID,42),"")&lt;&gt;""),INDEX(Pointage_Nom,42),"")</f>
      </c>
      <c r="C69" s="20">
        <f>IF(AND($B$5="Tous les employés",IFERROR(INDEX(Pointage_ID,42),"")&lt;&gt;""),INDEX(Pointage_Categorie,42),"")</f>
      </c>
      <c r="D69" s="22">
        <f>IF(AND($B$5="Tous les employés",IFERROR(INDEX(Pointage_ID,42),"")&lt;&gt;""),IF(42=0,"-",IF($H$5="1ère quinzaine",INDEX(Paie_Jours1,42),IF($H$5="2ème quinzaine",INDEX(Paie_Jours2,42),INDEX(Pointage_Travailles,42)))),"")</f>
      </c>
      <c r="E69" s="23">
        <f>IF(AND($B$5="Tous les employés",IFERROR(INDEX(Pointage_ID,42),"")&lt;&gt;""),IF(42=0,"-",IF($H$5="1ère quinzaine",INDEX(Paie_HS1,42),IF($H$5="2ème quinzaine",INDEX(Paie_HS2,42),INDEX(Pointage_HS,42)))),"")</f>
      </c>
      <c r="F69" s="24">
        <f>IF(AND($B$5="Tous les employés",IFERROR(INDEX(Pointage_ID,42),"")&lt;&gt;""),INDEX(Paie_SalaireJour,42),"")</f>
      </c>
      <c r="G69" s="24">
        <f>IF(AND($B$5="Tous les employés",IFERROR(INDEX(Pointage_ID,42),"")&lt;&gt;""),IF(42=0,"-",IF($H$5="1ère quinzaine",INDEX(Paie_MontantHS1,42),IF($H$5="2ème quinzaine",INDEX(Paie_MontantHS2,42),INDEX(Paie_MontantHS,42)))),"")</f>
      </c>
      <c r="H69" s="24">
        <f>IF(AND($B$5="Tous les employés",IFERROR(INDEX(Pointage_ID,42),"")&lt;&gt;""),IF(42=0,"-",IF($H$5="1ère quinzaine",INDEX(Paie_Brut1,42),IF($H$5="2ème quinzaine",INDEX(Paie_Brut2,42),INDEX(Paie_BrutMensuel,42)))),"")</f>
      </c>
      <c r="I69" s="24">
        <f>IF(AND($B$5="Tous les employés",IFERROR(INDEX(Pointage_ID,42),"")&lt;&gt;""),IF(42=0,"-",IF($H$5="1ère quinzaine",INDEX(Paie_Retenues1,42),IF($H$5="2ème quinzaine",INDEX(Paie_Retenues2,42),INDEX(Paie_Retenues,42)))),"")</f>
      </c>
      <c r="J69" s="25">
        <f>IF(AND($B$5="Tous les employés",IFERROR(INDEX(Pointage_ID,42),"")&lt;&gt;""),IF(42=0,"-",IF($H$5="1ère quinzaine",INDEX(Paie_Net1,42),IF($H$5="2ème quinzaine",INDEX(Paie_Net2,42),INDEX(Paie_NetMensuel,42)))),"")</f>
      </c>
    </row>
    <row r="70">
      <c r="A70" s="20">
        <f>IF(AND($B$5="Tous les employés",IFERROR(INDEX(Pointage_ID,43),"")&lt;&gt;""),IFERROR(INDEX(Pointage_ID,43),""),"")</f>
      </c>
      <c r="B70" s="19">
        <f>IF(AND($B$5="Tous les employés",IFERROR(INDEX(Pointage_ID,43),"")&lt;&gt;""),INDEX(Pointage_Nom,43),"")</f>
      </c>
      <c r="C70" s="20">
        <f>IF(AND($B$5="Tous les employés",IFERROR(INDEX(Pointage_ID,43),"")&lt;&gt;""),INDEX(Pointage_Categorie,43),"")</f>
      </c>
      <c r="D70" s="22">
        <f>IF(AND($B$5="Tous les employés",IFERROR(INDEX(Pointage_ID,43),"")&lt;&gt;""),IF(43=0,"-",IF($H$5="1ère quinzaine",INDEX(Paie_Jours1,43),IF($H$5="2ème quinzaine",INDEX(Paie_Jours2,43),INDEX(Pointage_Travailles,43)))),"")</f>
      </c>
      <c r="E70" s="23">
        <f>IF(AND($B$5="Tous les employés",IFERROR(INDEX(Pointage_ID,43),"")&lt;&gt;""),IF(43=0,"-",IF($H$5="1ère quinzaine",INDEX(Paie_HS1,43),IF($H$5="2ème quinzaine",INDEX(Paie_HS2,43),INDEX(Pointage_HS,43)))),"")</f>
      </c>
      <c r="F70" s="24">
        <f>IF(AND($B$5="Tous les employés",IFERROR(INDEX(Pointage_ID,43),"")&lt;&gt;""),INDEX(Paie_SalaireJour,43),"")</f>
      </c>
      <c r="G70" s="24">
        <f>IF(AND($B$5="Tous les employés",IFERROR(INDEX(Pointage_ID,43),"")&lt;&gt;""),IF(43=0,"-",IF($H$5="1ère quinzaine",INDEX(Paie_MontantHS1,43),IF($H$5="2ème quinzaine",INDEX(Paie_MontantHS2,43),INDEX(Paie_MontantHS,43)))),"")</f>
      </c>
      <c r="H70" s="24">
        <f>IF(AND($B$5="Tous les employés",IFERROR(INDEX(Pointage_ID,43),"")&lt;&gt;""),IF(43=0,"-",IF($H$5="1ère quinzaine",INDEX(Paie_Brut1,43),IF($H$5="2ème quinzaine",INDEX(Paie_Brut2,43),INDEX(Paie_BrutMensuel,43)))),"")</f>
      </c>
      <c r="I70" s="24">
        <f>IF(AND($B$5="Tous les employés",IFERROR(INDEX(Pointage_ID,43),"")&lt;&gt;""),IF(43=0,"-",IF($H$5="1ère quinzaine",INDEX(Paie_Retenues1,43),IF($H$5="2ème quinzaine",INDEX(Paie_Retenues2,43),INDEX(Paie_Retenues,43)))),"")</f>
      </c>
      <c r="J70" s="25">
        <f>IF(AND($B$5="Tous les employés",IFERROR(INDEX(Pointage_ID,43),"")&lt;&gt;""),IF(43=0,"-",IF($H$5="1ère quinzaine",INDEX(Paie_Net1,43),IF($H$5="2ème quinzaine",INDEX(Paie_Net2,43),INDEX(Paie_NetMensuel,43)))),"")</f>
      </c>
    </row>
    <row r="71">
      <c r="A71" s="20">
        <f>IF(AND($B$5="Tous les employés",IFERROR(INDEX(Pointage_ID,44),"")&lt;&gt;""),IFERROR(INDEX(Pointage_ID,44),""),"")</f>
      </c>
      <c r="B71" s="19">
        <f>IF(AND($B$5="Tous les employés",IFERROR(INDEX(Pointage_ID,44),"")&lt;&gt;""),INDEX(Pointage_Nom,44),"")</f>
      </c>
      <c r="C71" s="20">
        <f>IF(AND($B$5="Tous les employés",IFERROR(INDEX(Pointage_ID,44),"")&lt;&gt;""),INDEX(Pointage_Categorie,44),"")</f>
      </c>
      <c r="D71" s="22">
        <f>IF(AND($B$5="Tous les employés",IFERROR(INDEX(Pointage_ID,44),"")&lt;&gt;""),IF(44=0,"-",IF($H$5="1ère quinzaine",INDEX(Paie_Jours1,44),IF($H$5="2ème quinzaine",INDEX(Paie_Jours2,44),INDEX(Pointage_Travailles,44)))),"")</f>
      </c>
      <c r="E71" s="23">
        <f>IF(AND($B$5="Tous les employés",IFERROR(INDEX(Pointage_ID,44),"")&lt;&gt;""),IF(44=0,"-",IF($H$5="1ère quinzaine",INDEX(Paie_HS1,44),IF($H$5="2ème quinzaine",INDEX(Paie_HS2,44),INDEX(Pointage_HS,44)))),"")</f>
      </c>
      <c r="F71" s="24">
        <f>IF(AND($B$5="Tous les employés",IFERROR(INDEX(Pointage_ID,44),"")&lt;&gt;""),INDEX(Paie_SalaireJour,44),"")</f>
      </c>
      <c r="G71" s="24">
        <f>IF(AND($B$5="Tous les employés",IFERROR(INDEX(Pointage_ID,44),"")&lt;&gt;""),IF(44=0,"-",IF($H$5="1ère quinzaine",INDEX(Paie_MontantHS1,44),IF($H$5="2ème quinzaine",INDEX(Paie_MontantHS2,44),INDEX(Paie_MontantHS,44)))),"")</f>
      </c>
      <c r="H71" s="24">
        <f>IF(AND($B$5="Tous les employés",IFERROR(INDEX(Pointage_ID,44),"")&lt;&gt;""),IF(44=0,"-",IF($H$5="1ère quinzaine",INDEX(Paie_Brut1,44),IF($H$5="2ème quinzaine",INDEX(Paie_Brut2,44),INDEX(Paie_BrutMensuel,44)))),"")</f>
      </c>
      <c r="I71" s="24">
        <f>IF(AND($B$5="Tous les employés",IFERROR(INDEX(Pointage_ID,44),"")&lt;&gt;""),IF(44=0,"-",IF($H$5="1ère quinzaine",INDEX(Paie_Retenues1,44),IF($H$5="2ème quinzaine",INDEX(Paie_Retenues2,44),INDEX(Paie_Retenues,44)))),"")</f>
      </c>
      <c r="J71" s="25">
        <f>IF(AND($B$5="Tous les employés",IFERROR(INDEX(Pointage_ID,44),"")&lt;&gt;""),IF(44=0,"-",IF($H$5="1ère quinzaine",INDEX(Paie_Net1,44),IF($H$5="2ème quinzaine",INDEX(Paie_Net2,44),INDEX(Paie_NetMensuel,44)))),"")</f>
      </c>
    </row>
    <row r="72">
      <c r="A72" s="20">
        <f>IF(AND($B$5="Tous les employés",IFERROR(INDEX(Pointage_ID,45),"")&lt;&gt;""),IFERROR(INDEX(Pointage_ID,45),""),"")</f>
      </c>
      <c r="B72" s="19">
        <f>IF(AND($B$5="Tous les employés",IFERROR(INDEX(Pointage_ID,45),"")&lt;&gt;""),INDEX(Pointage_Nom,45),"")</f>
      </c>
      <c r="C72" s="20">
        <f>IF(AND($B$5="Tous les employés",IFERROR(INDEX(Pointage_ID,45),"")&lt;&gt;""),INDEX(Pointage_Categorie,45),"")</f>
      </c>
      <c r="D72" s="22">
        <f>IF(AND($B$5="Tous les employés",IFERROR(INDEX(Pointage_ID,45),"")&lt;&gt;""),IF(45=0,"-",IF($H$5="1ère quinzaine",INDEX(Paie_Jours1,45),IF($H$5="2ème quinzaine",INDEX(Paie_Jours2,45),INDEX(Pointage_Travailles,45)))),"")</f>
      </c>
      <c r="E72" s="23">
        <f>IF(AND($B$5="Tous les employés",IFERROR(INDEX(Pointage_ID,45),"")&lt;&gt;""),IF(45=0,"-",IF($H$5="1ère quinzaine",INDEX(Paie_HS1,45),IF($H$5="2ème quinzaine",INDEX(Paie_HS2,45),INDEX(Pointage_HS,45)))),"")</f>
      </c>
      <c r="F72" s="24">
        <f>IF(AND($B$5="Tous les employés",IFERROR(INDEX(Pointage_ID,45),"")&lt;&gt;""),INDEX(Paie_SalaireJour,45),"")</f>
      </c>
      <c r="G72" s="24">
        <f>IF(AND($B$5="Tous les employés",IFERROR(INDEX(Pointage_ID,45),"")&lt;&gt;""),IF(45=0,"-",IF($H$5="1ère quinzaine",INDEX(Paie_MontantHS1,45),IF($H$5="2ème quinzaine",INDEX(Paie_MontantHS2,45),INDEX(Paie_MontantHS,45)))),"")</f>
      </c>
      <c r="H72" s="24">
        <f>IF(AND($B$5="Tous les employés",IFERROR(INDEX(Pointage_ID,45),"")&lt;&gt;""),IF(45=0,"-",IF($H$5="1ère quinzaine",INDEX(Paie_Brut1,45),IF($H$5="2ème quinzaine",INDEX(Paie_Brut2,45),INDEX(Paie_BrutMensuel,45)))),"")</f>
      </c>
      <c r="I72" s="24">
        <f>IF(AND($B$5="Tous les employés",IFERROR(INDEX(Pointage_ID,45),"")&lt;&gt;""),IF(45=0,"-",IF($H$5="1ère quinzaine",INDEX(Paie_Retenues1,45),IF($H$5="2ème quinzaine",INDEX(Paie_Retenues2,45),INDEX(Paie_Retenues,45)))),"")</f>
      </c>
      <c r="J72" s="25">
        <f>IF(AND($B$5="Tous les employés",IFERROR(INDEX(Pointage_ID,45),"")&lt;&gt;""),IF(45=0,"-",IF($H$5="1ère quinzaine",INDEX(Paie_Net1,45),IF($H$5="2ème quinzaine",INDEX(Paie_Net2,45),INDEX(Paie_NetMensuel,45)))),"")</f>
      </c>
    </row>
    <row r="73">
      <c r="A73" s="20">
        <f>IF(AND($B$5="Tous les employés",IFERROR(INDEX(Pointage_ID,46),"")&lt;&gt;""),IFERROR(INDEX(Pointage_ID,46),""),"")</f>
      </c>
      <c r="B73" s="19">
        <f>IF(AND($B$5="Tous les employés",IFERROR(INDEX(Pointage_ID,46),"")&lt;&gt;""),INDEX(Pointage_Nom,46),"")</f>
      </c>
      <c r="C73" s="20">
        <f>IF(AND($B$5="Tous les employés",IFERROR(INDEX(Pointage_ID,46),"")&lt;&gt;""),INDEX(Pointage_Categorie,46),"")</f>
      </c>
      <c r="D73" s="22">
        <f>IF(AND($B$5="Tous les employés",IFERROR(INDEX(Pointage_ID,46),"")&lt;&gt;""),IF(46=0,"-",IF($H$5="1ère quinzaine",INDEX(Paie_Jours1,46),IF($H$5="2ème quinzaine",INDEX(Paie_Jours2,46),INDEX(Pointage_Travailles,46)))),"")</f>
      </c>
      <c r="E73" s="23">
        <f>IF(AND($B$5="Tous les employés",IFERROR(INDEX(Pointage_ID,46),"")&lt;&gt;""),IF(46=0,"-",IF($H$5="1ère quinzaine",INDEX(Paie_HS1,46),IF($H$5="2ème quinzaine",INDEX(Paie_HS2,46),INDEX(Pointage_HS,46)))),"")</f>
      </c>
      <c r="F73" s="24">
        <f>IF(AND($B$5="Tous les employés",IFERROR(INDEX(Pointage_ID,46),"")&lt;&gt;""),INDEX(Paie_SalaireJour,46),"")</f>
      </c>
      <c r="G73" s="24">
        <f>IF(AND($B$5="Tous les employés",IFERROR(INDEX(Pointage_ID,46),"")&lt;&gt;""),IF(46=0,"-",IF($H$5="1ère quinzaine",INDEX(Paie_MontantHS1,46),IF($H$5="2ème quinzaine",INDEX(Paie_MontantHS2,46),INDEX(Paie_MontantHS,46)))),"")</f>
      </c>
      <c r="H73" s="24">
        <f>IF(AND($B$5="Tous les employés",IFERROR(INDEX(Pointage_ID,46),"")&lt;&gt;""),IF(46=0,"-",IF($H$5="1ère quinzaine",INDEX(Paie_Brut1,46),IF($H$5="2ème quinzaine",INDEX(Paie_Brut2,46),INDEX(Paie_BrutMensuel,46)))),"")</f>
      </c>
      <c r="I73" s="24">
        <f>IF(AND($B$5="Tous les employés",IFERROR(INDEX(Pointage_ID,46),"")&lt;&gt;""),IF(46=0,"-",IF($H$5="1ère quinzaine",INDEX(Paie_Retenues1,46),IF($H$5="2ème quinzaine",INDEX(Paie_Retenues2,46),INDEX(Paie_Retenues,46)))),"")</f>
      </c>
      <c r="J73" s="25">
        <f>IF(AND($B$5="Tous les employés",IFERROR(INDEX(Pointage_ID,46),"")&lt;&gt;""),IF(46=0,"-",IF($H$5="1ère quinzaine",INDEX(Paie_Net1,46),IF($H$5="2ème quinzaine",INDEX(Paie_Net2,46),INDEX(Paie_NetMensuel,46)))),"")</f>
      </c>
    </row>
    <row r="74">
      <c r="A74" s="20">
        <f>IF(AND($B$5="Tous les employés",IFERROR(INDEX(Pointage_ID,47),"")&lt;&gt;""),IFERROR(INDEX(Pointage_ID,47),""),"")</f>
      </c>
      <c r="B74" s="19">
        <f>IF(AND($B$5="Tous les employés",IFERROR(INDEX(Pointage_ID,47),"")&lt;&gt;""),INDEX(Pointage_Nom,47),"")</f>
      </c>
      <c r="C74" s="20">
        <f>IF(AND($B$5="Tous les employés",IFERROR(INDEX(Pointage_ID,47),"")&lt;&gt;""),INDEX(Pointage_Categorie,47),"")</f>
      </c>
      <c r="D74" s="22">
        <f>IF(AND($B$5="Tous les employés",IFERROR(INDEX(Pointage_ID,47),"")&lt;&gt;""),IF(47=0,"-",IF($H$5="1ère quinzaine",INDEX(Paie_Jours1,47),IF($H$5="2ème quinzaine",INDEX(Paie_Jours2,47),INDEX(Pointage_Travailles,47)))),"")</f>
      </c>
      <c r="E74" s="23">
        <f>IF(AND($B$5="Tous les employés",IFERROR(INDEX(Pointage_ID,47),"")&lt;&gt;""),IF(47=0,"-",IF($H$5="1ère quinzaine",INDEX(Paie_HS1,47),IF($H$5="2ème quinzaine",INDEX(Paie_HS2,47),INDEX(Pointage_HS,47)))),"")</f>
      </c>
      <c r="F74" s="24">
        <f>IF(AND($B$5="Tous les employés",IFERROR(INDEX(Pointage_ID,47),"")&lt;&gt;""),INDEX(Paie_SalaireJour,47),"")</f>
      </c>
      <c r="G74" s="24">
        <f>IF(AND($B$5="Tous les employés",IFERROR(INDEX(Pointage_ID,47),"")&lt;&gt;""),IF(47=0,"-",IF($H$5="1ère quinzaine",INDEX(Paie_MontantHS1,47),IF($H$5="2ème quinzaine",INDEX(Paie_MontantHS2,47),INDEX(Paie_MontantHS,47)))),"")</f>
      </c>
      <c r="H74" s="24">
        <f>IF(AND($B$5="Tous les employés",IFERROR(INDEX(Pointage_ID,47),"")&lt;&gt;""),IF(47=0,"-",IF($H$5="1ère quinzaine",INDEX(Paie_Brut1,47),IF($H$5="2ème quinzaine",INDEX(Paie_Brut2,47),INDEX(Paie_BrutMensuel,47)))),"")</f>
      </c>
      <c r="I74" s="24">
        <f>IF(AND($B$5="Tous les employés",IFERROR(INDEX(Pointage_ID,47),"")&lt;&gt;""),IF(47=0,"-",IF($H$5="1ère quinzaine",INDEX(Paie_Retenues1,47),IF($H$5="2ème quinzaine",INDEX(Paie_Retenues2,47),INDEX(Paie_Retenues,47)))),"")</f>
      </c>
      <c r="J74" s="25">
        <f>IF(AND($B$5="Tous les employés",IFERROR(INDEX(Pointage_ID,47),"")&lt;&gt;""),IF(47=0,"-",IF($H$5="1ère quinzaine",INDEX(Paie_Net1,47),IF($H$5="2ème quinzaine",INDEX(Paie_Net2,47),INDEX(Paie_NetMensuel,47)))),"")</f>
      </c>
    </row>
    <row r="75">
      <c r="A75" s="20">
        <f>IF(AND($B$5="Tous les employés",IFERROR(INDEX(Pointage_ID,48),"")&lt;&gt;""),IFERROR(INDEX(Pointage_ID,48),""),"")</f>
      </c>
      <c r="B75" s="19">
        <f>IF(AND($B$5="Tous les employés",IFERROR(INDEX(Pointage_ID,48),"")&lt;&gt;""),INDEX(Pointage_Nom,48),"")</f>
      </c>
      <c r="C75" s="20">
        <f>IF(AND($B$5="Tous les employés",IFERROR(INDEX(Pointage_ID,48),"")&lt;&gt;""),INDEX(Pointage_Categorie,48),"")</f>
      </c>
      <c r="D75" s="22">
        <f>IF(AND($B$5="Tous les employés",IFERROR(INDEX(Pointage_ID,48),"")&lt;&gt;""),IF(48=0,"-",IF($H$5="1ère quinzaine",INDEX(Paie_Jours1,48),IF($H$5="2ème quinzaine",INDEX(Paie_Jours2,48),INDEX(Pointage_Travailles,48)))),"")</f>
      </c>
      <c r="E75" s="23">
        <f>IF(AND($B$5="Tous les employés",IFERROR(INDEX(Pointage_ID,48),"")&lt;&gt;""),IF(48=0,"-",IF($H$5="1ère quinzaine",INDEX(Paie_HS1,48),IF($H$5="2ème quinzaine",INDEX(Paie_HS2,48),INDEX(Pointage_HS,48)))),"")</f>
      </c>
      <c r="F75" s="24">
        <f>IF(AND($B$5="Tous les employés",IFERROR(INDEX(Pointage_ID,48),"")&lt;&gt;""),INDEX(Paie_SalaireJour,48),"")</f>
      </c>
      <c r="G75" s="24">
        <f>IF(AND($B$5="Tous les employés",IFERROR(INDEX(Pointage_ID,48),"")&lt;&gt;""),IF(48=0,"-",IF($H$5="1ère quinzaine",INDEX(Paie_MontantHS1,48),IF($H$5="2ème quinzaine",INDEX(Paie_MontantHS2,48),INDEX(Paie_MontantHS,48)))),"")</f>
      </c>
      <c r="H75" s="24">
        <f>IF(AND($B$5="Tous les employés",IFERROR(INDEX(Pointage_ID,48),"")&lt;&gt;""),IF(48=0,"-",IF($H$5="1ère quinzaine",INDEX(Paie_Brut1,48),IF($H$5="2ème quinzaine",INDEX(Paie_Brut2,48),INDEX(Paie_BrutMensuel,48)))),"")</f>
      </c>
      <c r="I75" s="24">
        <f>IF(AND($B$5="Tous les employés",IFERROR(INDEX(Pointage_ID,48),"")&lt;&gt;""),IF(48=0,"-",IF($H$5="1ère quinzaine",INDEX(Paie_Retenues1,48),IF($H$5="2ème quinzaine",INDEX(Paie_Retenues2,48),INDEX(Paie_Retenues,48)))),"")</f>
      </c>
      <c r="J75" s="25">
        <f>IF(AND($B$5="Tous les employés",IFERROR(INDEX(Pointage_ID,48),"")&lt;&gt;""),IF(48=0,"-",IF($H$5="1ère quinzaine",INDEX(Paie_Net1,48),IF($H$5="2ème quinzaine",INDEX(Paie_Net2,48),INDEX(Paie_NetMensuel,48)))),"")</f>
      </c>
    </row>
    <row r="76">
      <c r="A76" s="20">
        <f>IF(AND($B$5="Tous les employés",IFERROR(INDEX(Pointage_ID,49),"")&lt;&gt;""),IFERROR(INDEX(Pointage_ID,49),""),"")</f>
      </c>
      <c r="B76" s="19">
        <f>IF(AND($B$5="Tous les employés",IFERROR(INDEX(Pointage_ID,49),"")&lt;&gt;""),INDEX(Pointage_Nom,49),"")</f>
      </c>
      <c r="C76" s="20">
        <f>IF(AND($B$5="Tous les employés",IFERROR(INDEX(Pointage_ID,49),"")&lt;&gt;""),INDEX(Pointage_Categorie,49),"")</f>
      </c>
      <c r="D76" s="22">
        <f>IF(AND($B$5="Tous les employés",IFERROR(INDEX(Pointage_ID,49),"")&lt;&gt;""),IF(49=0,"-",IF($H$5="1ère quinzaine",INDEX(Paie_Jours1,49),IF($H$5="2ème quinzaine",INDEX(Paie_Jours2,49),INDEX(Pointage_Travailles,49)))),"")</f>
      </c>
      <c r="E76" s="23">
        <f>IF(AND($B$5="Tous les employés",IFERROR(INDEX(Pointage_ID,49),"")&lt;&gt;""),IF(49=0,"-",IF($H$5="1ère quinzaine",INDEX(Paie_HS1,49),IF($H$5="2ème quinzaine",INDEX(Paie_HS2,49),INDEX(Pointage_HS,49)))),"")</f>
      </c>
      <c r="F76" s="24">
        <f>IF(AND($B$5="Tous les employés",IFERROR(INDEX(Pointage_ID,49),"")&lt;&gt;""),INDEX(Paie_SalaireJour,49),"")</f>
      </c>
      <c r="G76" s="24">
        <f>IF(AND($B$5="Tous les employés",IFERROR(INDEX(Pointage_ID,49),"")&lt;&gt;""),IF(49=0,"-",IF($H$5="1ère quinzaine",INDEX(Paie_MontantHS1,49),IF($H$5="2ème quinzaine",INDEX(Paie_MontantHS2,49),INDEX(Paie_MontantHS,49)))),"")</f>
      </c>
      <c r="H76" s="24">
        <f>IF(AND($B$5="Tous les employés",IFERROR(INDEX(Pointage_ID,49),"")&lt;&gt;""),IF(49=0,"-",IF($H$5="1ère quinzaine",INDEX(Paie_Brut1,49),IF($H$5="2ème quinzaine",INDEX(Paie_Brut2,49),INDEX(Paie_BrutMensuel,49)))),"")</f>
      </c>
      <c r="I76" s="24">
        <f>IF(AND($B$5="Tous les employés",IFERROR(INDEX(Pointage_ID,49),"")&lt;&gt;""),IF(49=0,"-",IF($H$5="1ère quinzaine",INDEX(Paie_Retenues1,49),IF($H$5="2ème quinzaine",INDEX(Paie_Retenues2,49),INDEX(Paie_Retenues,49)))),"")</f>
      </c>
      <c r="J76" s="25">
        <f>IF(AND($B$5="Tous les employés",IFERROR(INDEX(Pointage_ID,49),"")&lt;&gt;""),IF(49=0,"-",IF($H$5="1ère quinzaine",INDEX(Paie_Net1,49),IF($H$5="2ème quinzaine",INDEX(Paie_Net2,49),INDEX(Paie_NetMensuel,49)))),"")</f>
      </c>
    </row>
    <row r="77">
      <c r="A77" s="20">
        <f>IF(AND($B$5="Tous les employés",IFERROR(INDEX(Pointage_ID,50),"")&lt;&gt;""),IFERROR(INDEX(Pointage_ID,50),""),"")</f>
      </c>
      <c r="B77" s="19">
        <f>IF(AND($B$5="Tous les employés",IFERROR(INDEX(Pointage_ID,50),"")&lt;&gt;""),INDEX(Pointage_Nom,50),"")</f>
      </c>
      <c r="C77" s="20">
        <f>IF(AND($B$5="Tous les employés",IFERROR(INDEX(Pointage_ID,50),"")&lt;&gt;""),INDEX(Pointage_Categorie,50),"")</f>
      </c>
      <c r="D77" s="22">
        <f>IF(AND($B$5="Tous les employés",IFERROR(INDEX(Pointage_ID,50),"")&lt;&gt;""),IF(50=0,"-",IF($H$5="1ère quinzaine",INDEX(Paie_Jours1,50),IF($H$5="2ème quinzaine",INDEX(Paie_Jours2,50),INDEX(Pointage_Travailles,50)))),"")</f>
      </c>
      <c r="E77" s="23">
        <f>IF(AND($B$5="Tous les employés",IFERROR(INDEX(Pointage_ID,50),"")&lt;&gt;""),IF(50=0,"-",IF($H$5="1ère quinzaine",INDEX(Paie_HS1,50),IF($H$5="2ème quinzaine",INDEX(Paie_HS2,50),INDEX(Pointage_HS,50)))),"")</f>
      </c>
      <c r="F77" s="24">
        <f>IF(AND($B$5="Tous les employés",IFERROR(INDEX(Pointage_ID,50),"")&lt;&gt;""),INDEX(Paie_SalaireJour,50),"")</f>
      </c>
      <c r="G77" s="24">
        <f>IF(AND($B$5="Tous les employés",IFERROR(INDEX(Pointage_ID,50),"")&lt;&gt;""),IF(50=0,"-",IF($H$5="1ère quinzaine",INDEX(Paie_MontantHS1,50),IF($H$5="2ème quinzaine",INDEX(Paie_MontantHS2,50),INDEX(Paie_MontantHS,50)))),"")</f>
      </c>
      <c r="H77" s="24">
        <f>IF(AND($B$5="Tous les employés",IFERROR(INDEX(Pointage_ID,50),"")&lt;&gt;""),IF(50=0,"-",IF($H$5="1ère quinzaine",INDEX(Paie_Brut1,50),IF($H$5="2ème quinzaine",INDEX(Paie_Brut2,50),INDEX(Paie_BrutMensuel,50)))),"")</f>
      </c>
      <c r="I77" s="24">
        <f>IF(AND($B$5="Tous les employés",IFERROR(INDEX(Pointage_ID,50),"")&lt;&gt;""),IF(50=0,"-",IF($H$5="1ère quinzaine",INDEX(Paie_Retenues1,50),IF($H$5="2ème quinzaine",INDEX(Paie_Retenues2,50),INDEX(Paie_Retenues,50)))),"")</f>
      </c>
      <c r="J77" s="25">
        <f>IF(AND($B$5="Tous les employés",IFERROR(INDEX(Pointage_ID,50),"")&lt;&gt;""),IF(50=0,"-",IF($H$5="1ère quinzaine",INDEX(Paie_Net1,50),IF($H$5="2ème quinzaine",INDEX(Paie_Net2,50),INDEX(Paie_NetMensuel,50)))),"")</f>
      </c>
    </row>
    <row r="78">
      <c r="A78" s="20">
        <f>IF(AND($B$5="Tous les employés",IFERROR(INDEX(Pointage_ID,51),"")&lt;&gt;""),IFERROR(INDEX(Pointage_ID,51),""),"")</f>
      </c>
      <c r="B78" s="19">
        <f>IF(AND($B$5="Tous les employés",IFERROR(INDEX(Pointage_ID,51),"")&lt;&gt;""),INDEX(Pointage_Nom,51),"")</f>
      </c>
      <c r="C78" s="20">
        <f>IF(AND($B$5="Tous les employés",IFERROR(INDEX(Pointage_ID,51),"")&lt;&gt;""),INDEX(Pointage_Categorie,51),"")</f>
      </c>
      <c r="D78" s="22">
        <f>IF(AND($B$5="Tous les employés",IFERROR(INDEX(Pointage_ID,51),"")&lt;&gt;""),IF(51=0,"-",IF($H$5="1ère quinzaine",INDEX(Paie_Jours1,51),IF($H$5="2ème quinzaine",INDEX(Paie_Jours2,51),INDEX(Pointage_Travailles,51)))),"")</f>
      </c>
      <c r="E78" s="23">
        <f>IF(AND($B$5="Tous les employés",IFERROR(INDEX(Pointage_ID,51),"")&lt;&gt;""),IF(51=0,"-",IF($H$5="1ère quinzaine",INDEX(Paie_HS1,51),IF($H$5="2ème quinzaine",INDEX(Paie_HS2,51),INDEX(Pointage_HS,51)))),"")</f>
      </c>
      <c r="F78" s="24">
        <f>IF(AND($B$5="Tous les employés",IFERROR(INDEX(Pointage_ID,51),"")&lt;&gt;""),INDEX(Paie_SalaireJour,51),"")</f>
      </c>
      <c r="G78" s="24">
        <f>IF(AND($B$5="Tous les employés",IFERROR(INDEX(Pointage_ID,51),"")&lt;&gt;""),IF(51=0,"-",IF($H$5="1ère quinzaine",INDEX(Paie_MontantHS1,51),IF($H$5="2ème quinzaine",INDEX(Paie_MontantHS2,51),INDEX(Paie_MontantHS,51)))),"")</f>
      </c>
      <c r="H78" s="24">
        <f>IF(AND($B$5="Tous les employés",IFERROR(INDEX(Pointage_ID,51),"")&lt;&gt;""),IF(51=0,"-",IF($H$5="1ère quinzaine",INDEX(Paie_Brut1,51),IF($H$5="2ème quinzaine",INDEX(Paie_Brut2,51),INDEX(Paie_BrutMensuel,51)))),"")</f>
      </c>
      <c r="I78" s="24">
        <f>IF(AND($B$5="Tous les employés",IFERROR(INDEX(Pointage_ID,51),"")&lt;&gt;""),IF(51=0,"-",IF($H$5="1ère quinzaine",INDEX(Paie_Retenues1,51),IF($H$5="2ème quinzaine",INDEX(Paie_Retenues2,51),INDEX(Paie_Retenues,51)))),"")</f>
      </c>
      <c r="J78" s="25">
        <f>IF(AND($B$5="Tous les employés",IFERROR(INDEX(Pointage_ID,51),"")&lt;&gt;""),IF(51=0,"-",IF($H$5="1ère quinzaine",INDEX(Paie_Net1,51),IF($H$5="2ème quinzaine",INDEX(Paie_Net2,51),INDEX(Paie_NetMensuel,51)))),"")</f>
      </c>
    </row>
    <row r="79">
      <c r="A79" s="20">
        <f>IF(AND($B$5="Tous les employés",IFERROR(INDEX(Pointage_ID,52),"")&lt;&gt;""),IFERROR(INDEX(Pointage_ID,52),""),"")</f>
      </c>
      <c r="B79" s="19">
        <f>IF(AND($B$5="Tous les employés",IFERROR(INDEX(Pointage_ID,52),"")&lt;&gt;""),INDEX(Pointage_Nom,52),"")</f>
      </c>
      <c r="C79" s="20">
        <f>IF(AND($B$5="Tous les employés",IFERROR(INDEX(Pointage_ID,52),"")&lt;&gt;""),INDEX(Pointage_Categorie,52),"")</f>
      </c>
      <c r="D79" s="22">
        <f>IF(AND($B$5="Tous les employés",IFERROR(INDEX(Pointage_ID,52),"")&lt;&gt;""),IF(52=0,"-",IF($H$5="1ère quinzaine",INDEX(Paie_Jours1,52),IF($H$5="2ème quinzaine",INDEX(Paie_Jours2,52),INDEX(Pointage_Travailles,52)))),"")</f>
      </c>
      <c r="E79" s="23">
        <f>IF(AND($B$5="Tous les employés",IFERROR(INDEX(Pointage_ID,52),"")&lt;&gt;""),IF(52=0,"-",IF($H$5="1ère quinzaine",INDEX(Paie_HS1,52),IF($H$5="2ème quinzaine",INDEX(Paie_HS2,52),INDEX(Pointage_HS,52)))),"")</f>
      </c>
      <c r="F79" s="24">
        <f>IF(AND($B$5="Tous les employés",IFERROR(INDEX(Pointage_ID,52),"")&lt;&gt;""),INDEX(Paie_SalaireJour,52),"")</f>
      </c>
      <c r="G79" s="24">
        <f>IF(AND($B$5="Tous les employés",IFERROR(INDEX(Pointage_ID,52),"")&lt;&gt;""),IF(52=0,"-",IF($H$5="1ère quinzaine",INDEX(Paie_MontantHS1,52),IF($H$5="2ème quinzaine",INDEX(Paie_MontantHS2,52),INDEX(Paie_MontantHS,52)))),"")</f>
      </c>
      <c r="H79" s="24">
        <f>IF(AND($B$5="Tous les employés",IFERROR(INDEX(Pointage_ID,52),"")&lt;&gt;""),IF(52=0,"-",IF($H$5="1ère quinzaine",INDEX(Paie_Brut1,52),IF($H$5="2ème quinzaine",INDEX(Paie_Brut2,52),INDEX(Paie_BrutMensuel,52)))),"")</f>
      </c>
      <c r="I79" s="24">
        <f>IF(AND($B$5="Tous les employés",IFERROR(INDEX(Pointage_ID,52),"")&lt;&gt;""),IF(52=0,"-",IF($H$5="1ère quinzaine",INDEX(Paie_Retenues1,52),IF($H$5="2ème quinzaine",INDEX(Paie_Retenues2,52),INDEX(Paie_Retenues,52)))),"")</f>
      </c>
      <c r="J79" s="25">
        <f>IF(AND($B$5="Tous les employés",IFERROR(INDEX(Pointage_ID,52),"")&lt;&gt;""),IF(52=0,"-",IF($H$5="1ère quinzaine",INDEX(Paie_Net1,52),IF($H$5="2ème quinzaine",INDEX(Paie_Net2,52),INDEX(Paie_NetMensuel,52)))),"")</f>
      </c>
    </row>
    <row r="80">
      <c r="A80" s="20">
        <f>IF(AND($B$5="Tous les employés",IFERROR(INDEX(Pointage_ID,53),"")&lt;&gt;""),IFERROR(INDEX(Pointage_ID,53),""),"")</f>
      </c>
      <c r="B80" s="19">
        <f>IF(AND($B$5="Tous les employés",IFERROR(INDEX(Pointage_ID,53),"")&lt;&gt;""),INDEX(Pointage_Nom,53),"")</f>
      </c>
      <c r="C80" s="20">
        <f>IF(AND($B$5="Tous les employés",IFERROR(INDEX(Pointage_ID,53),"")&lt;&gt;""),INDEX(Pointage_Categorie,53),"")</f>
      </c>
      <c r="D80" s="22">
        <f>IF(AND($B$5="Tous les employés",IFERROR(INDEX(Pointage_ID,53),"")&lt;&gt;""),IF(53=0,"-",IF($H$5="1ère quinzaine",INDEX(Paie_Jours1,53),IF($H$5="2ème quinzaine",INDEX(Paie_Jours2,53),INDEX(Pointage_Travailles,53)))),"")</f>
      </c>
      <c r="E80" s="23">
        <f>IF(AND($B$5="Tous les employés",IFERROR(INDEX(Pointage_ID,53),"")&lt;&gt;""),IF(53=0,"-",IF($H$5="1ère quinzaine",INDEX(Paie_HS1,53),IF($H$5="2ème quinzaine",INDEX(Paie_HS2,53),INDEX(Pointage_HS,53)))),"")</f>
      </c>
      <c r="F80" s="24">
        <f>IF(AND($B$5="Tous les employés",IFERROR(INDEX(Pointage_ID,53),"")&lt;&gt;""),INDEX(Paie_SalaireJour,53),"")</f>
      </c>
      <c r="G80" s="24">
        <f>IF(AND($B$5="Tous les employés",IFERROR(INDEX(Pointage_ID,53),"")&lt;&gt;""),IF(53=0,"-",IF($H$5="1ère quinzaine",INDEX(Paie_MontantHS1,53),IF($H$5="2ème quinzaine",INDEX(Paie_MontantHS2,53),INDEX(Paie_MontantHS,53)))),"")</f>
      </c>
      <c r="H80" s="24">
        <f>IF(AND($B$5="Tous les employés",IFERROR(INDEX(Pointage_ID,53),"")&lt;&gt;""),IF(53=0,"-",IF($H$5="1ère quinzaine",INDEX(Paie_Brut1,53),IF($H$5="2ème quinzaine",INDEX(Paie_Brut2,53),INDEX(Paie_BrutMensuel,53)))),"")</f>
      </c>
      <c r="I80" s="24">
        <f>IF(AND($B$5="Tous les employés",IFERROR(INDEX(Pointage_ID,53),"")&lt;&gt;""),IF(53=0,"-",IF($H$5="1ère quinzaine",INDEX(Paie_Retenues1,53),IF($H$5="2ème quinzaine",INDEX(Paie_Retenues2,53),INDEX(Paie_Retenues,53)))),"")</f>
      </c>
      <c r="J80" s="25">
        <f>IF(AND($B$5="Tous les employés",IFERROR(INDEX(Pointage_ID,53),"")&lt;&gt;""),IF(53=0,"-",IF($H$5="1ère quinzaine",INDEX(Paie_Net1,53),IF($H$5="2ème quinzaine",INDEX(Paie_Net2,53),INDEX(Paie_NetMensuel,53)))),"")</f>
      </c>
    </row>
    <row r="81">
      <c r="A81" s="20">
        <f>IF(AND($B$5="Tous les employés",IFERROR(INDEX(Pointage_ID,54),"")&lt;&gt;""),IFERROR(INDEX(Pointage_ID,54),""),"")</f>
      </c>
      <c r="B81" s="19">
        <f>IF(AND($B$5="Tous les employés",IFERROR(INDEX(Pointage_ID,54),"")&lt;&gt;""),INDEX(Pointage_Nom,54),"")</f>
      </c>
      <c r="C81" s="20">
        <f>IF(AND($B$5="Tous les employés",IFERROR(INDEX(Pointage_ID,54),"")&lt;&gt;""),INDEX(Pointage_Categorie,54),"")</f>
      </c>
      <c r="D81" s="22">
        <f>IF(AND($B$5="Tous les employés",IFERROR(INDEX(Pointage_ID,54),"")&lt;&gt;""),IF(54=0,"-",IF($H$5="1ère quinzaine",INDEX(Paie_Jours1,54),IF($H$5="2ème quinzaine",INDEX(Paie_Jours2,54),INDEX(Pointage_Travailles,54)))),"")</f>
      </c>
      <c r="E81" s="23">
        <f>IF(AND($B$5="Tous les employés",IFERROR(INDEX(Pointage_ID,54),"")&lt;&gt;""),IF(54=0,"-",IF($H$5="1ère quinzaine",INDEX(Paie_HS1,54),IF($H$5="2ème quinzaine",INDEX(Paie_HS2,54),INDEX(Pointage_HS,54)))),"")</f>
      </c>
      <c r="F81" s="24">
        <f>IF(AND($B$5="Tous les employés",IFERROR(INDEX(Pointage_ID,54),"")&lt;&gt;""),INDEX(Paie_SalaireJour,54),"")</f>
      </c>
      <c r="G81" s="24">
        <f>IF(AND($B$5="Tous les employés",IFERROR(INDEX(Pointage_ID,54),"")&lt;&gt;""),IF(54=0,"-",IF($H$5="1ère quinzaine",INDEX(Paie_MontantHS1,54),IF($H$5="2ème quinzaine",INDEX(Paie_MontantHS2,54),INDEX(Paie_MontantHS,54)))),"")</f>
      </c>
      <c r="H81" s="24">
        <f>IF(AND($B$5="Tous les employés",IFERROR(INDEX(Pointage_ID,54),"")&lt;&gt;""),IF(54=0,"-",IF($H$5="1ère quinzaine",INDEX(Paie_Brut1,54),IF($H$5="2ème quinzaine",INDEX(Paie_Brut2,54),INDEX(Paie_BrutMensuel,54)))),"")</f>
      </c>
      <c r="I81" s="24">
        <f>IF(AND($B$5="Tous les employés",IFERROR(INDEX(Pointage_ID,54),"")&lt;&gt;""),IF(54=0,"-",IF($H$5="1ère quinzaine",INDEX(Paie_Retenues1,54),IF($H$5="2ème quinzaine",INDEX(Paie_Retenues2,54),INDEX(Paie_Retenues,54)))),"")</f>
      </c>
      <c r="J81" s="25">
        <f>IF(AND($B$5="Tous les employés",IFERROR(INDEX(Pointage_ID,54),"")&lt;&gt;""),IF(54=0,"-",IF($H$5="1ère quinzaine",INDEX(Paie_Net1,54),IF($H$5="2ème quinzaine",INDEX(Paie_Net2,54),INDEX(Paie_NetMensuel,54)))),"")</f>
      </c>
    </row>
    <row r="82">
      <c r="A82" s="20">
        <f>IF(AND($B$5="Tous les employés",IFERROR(INDEX(Pointage_ID,55),"")&lt;&gt;""),IFERROR(INDEX(Pointage_ID,55),""),"")</f>
      </c>
      <c r="B82" s="19">
        <f>IF(AND($B$5="Tous les employés",IFERROR(INDEX(Pointage_ID,55),"")&lt;&gt;""),INDEX(Pointage_Nom,55),"")</f>
      </c>
      <c r="C82" s="20">
        <f>IF(AND($B$5="Tous les employés",IFERROR(INDEX(Pointage_ID,55),"")&lt;&gt;""),INDEX(Pointage_Categorie,55),"")</f>
      </c>
      <c r="D82" s="22">
        <f>IF(AND($B$5="Tous les employés",IFERROR(INDEX(Pointage_ID,55),"")&lt;&gt;""),IF(55=0,"-",IF($H$5="1ère quinzaine",INDEX(Paie_Jours1,55),IF($H$5="2ème quinzaine",INDEX(Paie_Jours2,55),INDEX(Pointage_Travailles,55)))),"")</f>
      </c>
      <c r="E82" s="23">
        <f>IF(AND($B$5="Tous les employés",IFERROR(INDEX(Pointage_ID,55),"")&lt;&gt;""),IF(55=0,"-",IF($H$5="1ère quinzaine",INDEX(Paie_HS1,55),IF($H$5="2ème quinzaine",INDEX(Paie_HS2,55),INDEX(Pointage_HS,55)))),"")</f>
      </c>
      <c r="F82" s="24">
        <f>IF(AND($B$5="Tous les employés",IFERROR(INDEX(Pointage_ID,55),"")&lt;&gt;""),INDEX(Paie_SalaireJour,55),"")</f>
      </c>
      <c r="G82" s="24">
        <f>IF(AND($B$5="Tous les employés",IFERROR(INDEX(Pointage_ID,55),"")&lt;&gt;""),IF(55=0,"-",IF($H$5="1ère quinzaine",INDEX(Paie_MontantHS1,55),IF($H$5="2ème quinzaine",INDEX(Paie_MontantHS2,55),INDEX(Paie_MontantHS,55)))),"")</f>
      </c>
      <c r="H82" s="24">
        <f>IF(AND($B$5="Tous les employés",IFERROR(INDEX(Pointage_ID,55),"")&lt;&gt;""),IF(55=0,"-",IF($H$5="1ère quinzaine",INDEX(Paie_Brut1,55),IF($H$5="2ème quinzaine",INDEX(Paie_Brut2,55),INDEX(Paie_BrutMensuel,55)))),"")</f>
      </c>
      <c r="I82" s="24">
        <f>IF(AND($B$5="Tous les employés",IFERROR(INDEX(Pointage_ID,55),"")&lt;&gt;""),IF(55=0,"-",IF($H$5="1ère quinzaine",INDEX(Paie_Retenues1,55),IF($H$5="2ème quinzaine",INDEX(Paie_Retenues2,55),INDEX(Paie_Retenues,55)))),"")</f>
      </c>
      <c r="J82" s="25">
        <f>IF(AND($B$5="Tous les employés",IFERROR(INDEX(Pointage_ID,55),"")&lt;&gt;""),IF(55=0,"-",IF($H$5="1ère quinzaine",INDEX(Paie_Net1,55),IF($H$5="2ème quinzaine",INDEX(Paie_Net2,55),INDEX(Paie_NetMensuel,55)))),"")</f>
      </c>
    </row>
    <row r="83">
      <c r="A83" s="20">
        <f>IF(AND($B$5="Tous les employés",IFERROR(INDEX(Pointage_ID,56),"")&lt;&gt;""),IFERROR(INDEX(Pointage_ID,56),""),"")</f>
      </c>
      <c r="B83" s="19">
        <f>IF(AND($B$5="Tous les employés",IFERROR(INDEX(Pointage_ID,56),"")&lt;&gt;""),INDEX(Pointage_Nom,56),"")</f>
      </c>
      <c r="C83" s="20">
        <f>IF(AND($B$5="Tous les employés",IFERROR(INDEX(Pointage_ID,56),"")&lt;&gt;""),INDEX(Pointage_Categorie,56),"")</f>
      </c>
      <c r="D83" s="22">
        <f>IF(AND($B$5="Tous les employés",IFERROR(INDEX(Pointage_ID,56),"")&lt;&gt;""),IF(56=0,"-",IF($H$5="1ère quinzaine",INDEX(Paie_Jours1,56),IF($H$5="2ème quinzaine",INDEX(Paie_Jours2,56),INDEX(Pointage_Travailles,56)))),"")</f>
      </c>
      <c r="E83" s="23">
        <f>IF(AND($B$5="Tous les employés",IFERROR(INDEX(Pointage_ID,56),"")&lt;&gt;""),IF(56=0,"-",IF($H$5="1ère quinzaine",INDEX(Paie_HS1,56),IF($H$5="2ème quinzaine",INDEX(Paie_HS2,56),INDEX(Pointage_HS,56)))),"")</f>
      </c>
      <c r="F83" s="24">
        <f>IF(AND($B$5="Tous les employés",IFERROR(INDEX(Pointage_ID,56),"")&lt;&gt;""),INDEX(Paie_SalaireJour,56),"")</f>
      </c>
      <c r="G83" s="24">
        <f>IF(AND($B$5="Tous les employés",IFERROR(INDEX(Pointage_ID,56),"")&lt;&gt;""),IF(56=0,"-",IF($H$5="1ère quinzaine",INDEX(Paie_MontantHS1,56),IF($H$5="2ème quinzaine",INDEX(Paie_MontantHS2,56),INDEX(Paie_MontantHS,56)))),"")</f>
      </c>
      <c r="H83" s="24">
        <f>IF(AND($B$5="Tous les employés",IFERROR(INDEX(Pointage_ID,56),"")&lt;&gt;""),IF(56=0,"-",IF($H$5="1ère quinzaine",INDEX(Paie_Brut1,56),IF($H$5="2ème quinzaine",INDEX(Paie_Brut2,56),INDEX(Paie_BrutMensuel,56)))),"")</f>
      </c>
      <c r="I83" s="24">
        <f>IF(AND($B$5="Tous les employés",IFERROR(INDEX(Pointage_ID,56),"")&lt;&gt;""),IF(56=0,"-",IF($H$5="1ère quinzaine",INDEX(Paie_Retenues1,56),IF($H$5="2ème quinzaine",INDEX(Paie_Retenues2,56),INDEX(Paie_Retenues,56)))),"")</f>
      </c>
      <c r="J83" s="25">
        <f>IF(AND($B$5="Tous les employés",IFERROR(INDEX(Pointage_ID,56),"")&lt;&gt;""),IF(56=0,"-",IF($H$5="1ère quinzaine",INDEX(Paie_Net1,56),IF($H$5="2ème quinzaine",INDEX(Paie_Net2,56),INDEX(Paie_NetMensuel,56)))),"")</f>
      </c>
    </row>
    <row r="84">
      <c r="A84" s="20">
        <f>IF(AND($B$5="Tous les employés",IFERROR(INDEX(Pointage_ID,57),"")&lt;&gt;""),IFERROR(INDEX(Pointage_ID,57),""),"")</f>
      </c>
      <c r="B84" s="19">
        <f>IF(AND($B$5="Tous les employés",IFERROR(INDEX(Pointage_ID,57),"")&lt;&gt;""),INDEX(Pointage_Nom,57),"")</f>
      </c>
      <c r="C84" s="20">
        <f>IF(AND($B$5="Tous les employés",IFERROR(INDEX(Pointage_ID,57),"")&lt;&gt;""),INDEX(Pointage_Categorie,57),"")</f>
      </c>
      <c r="D84" s="22">
        <f>IF(AND($B$5="Tous les employés",IFERROR(INDEX(Pointage_ID,57),"")&lt;&gt;""),IF(57=0,"-",IF($H$5="1ère quinzaine",INDEX(Paie_Jours1,57),IF($H$5="2ème quinzaine",INDEX(Paie_Jours2,57),INDEX(Pointage_Travailles,57)))),"")</f>
      </c>
      <c r="E84" s="23">
        <f>IF(AND($B$5="Tous les employés",IFERROR(INDEX(Pointage_ID,57),"")&lt;&gt;""),IF(57=0,"-",IF($H$5="1ère quinzaine",INDEX(Paie_HS1,57),IF($H$5="2ème quinzaine",INDEX(Paie_HS2,57),INDEX(Pointage_HS,57)))),"")</f>
      </c>
      <c r="F84" s="24">
        <f>IF(AND($B$5="Tous les employés",IFERROR(INDEX(Pointage_ID,57),"")&lt;&gt;""),INDEX(Paie_SalaireJour,57),"")</f>
      </c>
      <c r="G84" s="24">
        <f>IF(AND($B$5="Tous les employés",IFERROR(INDEX(Pointage_ID,57),"")&lt;&gt;""),IF(57=0,"-",IF($H$5="1ère quinzaine",INDEX(Paie_MontantHS1,57),IF($H$5="2ème quinzaine",INDEX(Paie_MontantHS2,57),INDEX(Paie_MontantHS,57)))),"")</f>
      </c>
      <c r="H84" s="24">
        <f>IF(AND($B$5="Tous les employés",IFERROR(INDEX(Pointage_ID,57),"")&lt;&gt;""),IF(57=0,"-",IF($H$5="1ère quinzaine",INDEX(Paie_Brut1,57),IF($H$5="2ème quinzaine",INDEX(Paie_Brut2,57),INDEX(Paie_BrutMensuel,57)))),"")</f>
      </c>
      <c r="I84" s="24">
        <f>IF(AND($B$5="Tous les employés",IFERROR(INDEX(Pointage_ID,57),"")&lt;&gt;""),IF(57=0,"-",IF($H$5="1ère quinzaine",INDEX(Paie_Retenues1,57),IF($H$5="2ème quinzaine",INDEX(Paie_Retenues2,57),INDEX(Paie_Retenues,57)))),"")</f>
      </c>
      <c r="J84" s="25">
        <f>IF(AND($B$5="Tous les employés",IFERROR(INDEX(Pointage_ID,57),"")&lt;&gt;""),IF(57=0,"-",IF($H$5="1ère quinzaine",INDEX(Paie_Net1,57),IF($H$5="2ème quinzaine",INDEX(Paie_Net2,57),INDEX(Paie_NetMensuel,57)))),"")</f>
      </c>
    </row>
    <row r="85">
      <c r="A85" s="20">
        <f>IF(AND($B$5="Tous les employés",IFERROR(INDEX(Pointage_ID,58),"")&lt;&gt;""),IFERROR(INDEX(Pointage_ID,58),""),"")</f>
      </c>
      <c r="B85" s="19">
        <f>IF(AND($B$5="Tous les employés",IFERROR(INDEX(Pointage_ID,58),"")&lt;&gt;""),INDEX(Pointage_Nom,58),"")</f>
      </c>
      <c r="C85" s="20">
        <f>IF(AND($B$5="Tous les employés",IFERROR(INDEX(Pointage_ID,58),"")&lt;&gt;""),INDEX(Pointage_Categorie,58),"")</f>
      </c>
      <c r="D85" s="22">
        <f>IF(AND($B$5="Tous les employés",IFERROR(INDEX(Pointage_ID,58),"")&lt;&gt;""),IF(58=0,"-",IF($H$5="1ère quinzaine",INDEX(Paie_Jours1,58),IF($H$5="2ème quinzaine",INDEX(Paie_Jours2,58),INDEX(Pointage_Travailles,58)))),"")</f>
      </c>
      <c r="E85" s="23">
        <f>IF(AND($B$5="Tous les employés",IFERROR(INDEX(Pointage_ID,58),"")&lt;&gt;""),IF(58=0,"-",IF($H$5="1ère quinzaine",INDEX(Paie_HS1,58),IF($H$5="2ème quinzaine",INDEX(Paie_HS2,58),INDEX(Pointage_HS,58)))),"")</f>
      </c>
      <c r="F85" s="24">
        <f>IF(AND($B$5="Tous les employés",IFERROR(INDEX(Pointage_ID,58),"")&lt;&gt;""),INDEX(Paie_SalaireJour,58),"")</f>
      </c>
      <c r="G85" s="24">
        <f>IF(AND($B$5="Tous les employés",IFERROR(INDEX(Pointage_ID,58),"")&lt;&gt;""),IF(58=0,"-",IF($H$5="1ère quinzaine",INDEX(Paie_MontantHS1,58),IF($H$5="2ème quinzaine",INDEX(Paie_MontantHS2,58),INDEX(Paie_MontantHS,58)))),"")</f>
      </c>
      <c r="H85" s="24">
        <f>IF(AND($B$5="Tous les employés",IFERROR(INDEX(Pointage_ID,58),"")&lt;&gt;""),IF(58=0,"-",IF($H$5="1ère quinzaine",INDEX(Paie_Brut1,58),IF($H$5="2ème quinzaine",INDEX(Paie_Brut2,58),INDEX(Paie_BrutMensuel,58)))),"")</f>
      </c>
      <c r="I85" s="24">
        <f>IF(AND($B$5="Tous les employés",IFERROR(INDEX(Pointage_ID,58),"")&lt;&gt;""),IF(58=0,"-",IF($H$5="1ère quinzaine",INDEX(Paie_Retenues1,58),IF($H$5="2ème quinzaine",INDEX(Paie_Retenues2,58),INDEX(Paie_Retenues,58)))),"")</f>
      </c>
      <c r="J85" s="25">
        <f>IF(AND($B$5="Tous les employés",IFERROR(INDEX(Pointage_ID,58),"")&lt;&gt;""),IF(58=0,"-",IF($H$5="1ère quinzaine",INDEX(Paie_Net1,58),IF($H$5="2ème quinzaine",INDEX(Paie_Net2,58),INDEX(Paie_NetMensuel,58)))),"")</f>
      </c>
    </row>
    <row r="86">
      <c r="A86" s="20">
        <f>IF(AND($B$5="Tous les employés",IFERROR(INDEX(Pointage_ID,59),"")&lt;&gt;""),IFERROR(INDEX(Pointage_ID,59),""),"")</f>
      </c>
      <c r="B86" s="19">
        <f>IF(AND($B$5="Tous les employés",IFERROR(INDEX(Pointage_ID,59),"")&lt;&gt;""),INDEX(Pointage_Nom,59),"")</f>
      </c>
      <c r="C86" s="20">
        <f>IF(AND($B$5="Tous les employés",IFERROR(INDEX(Pointage_ID,59),"")&lt;&gt;""),INDEX(Pointage_Categorie,59),"")</f>
      </c>
      <c r="D86" s="22">
        <f>IF(AND($B$5="Tous les employés",IFERROR(INDEX(Pointage_ID,59),"")&lt;&gt;""),IF(59=0,"-",IF($H$5="1ère quinzaine",INDEX(Paie_Jours1,59),IF($H$5="2ème quinzaine",INDEX(Paie_Jours2,59),INDEX(Pointage_Travailles,59)))),"")</f>
      </c>
      <c r="E86" s="23">
        <f>IF(AND($B$5="Tous les employés",IFERROR(INDEX(Pointage_ID,59),"")&lt;&gt;""),IF(59=0,"-",IF($H$5="1ère quinzaine",INDEX(Paie_HS1,59),IF($H$5="2ème quinzaine",INDEX(Paie_HS2,59),INDEX(Pointage_HS,59)))),"")</f>
      </c>
      <c r="F86" s="24">
        <f>IF(AND($B$5="Tous les employés",IFERROR(INDEX(Pointage_ID,59),"")&lt;&gt;""),INDEX(Paie_SalaireJour,59),"")</f>
      </c>
      <c r="G86" s="24">
        <f>IF(AND($B$5="Tous les employés",IFERROR(INDEX(Pointage_ID,59),"")&lt;&gt;""),IF(59=0,"-",IF($H$5="1ère quinzaine",INDEX(Paie_MontantHS1,59),IF($H$5="2ème quinzaine",INDEX(Paie_MontantHS2,59),INDEX(Paie_MontantHS,59)))),"")</f>
      </c>
      <c r="H86" s="24">
        <f>IF(AND($B$5="Tous les employés",IFERROR(INDEX(Pointage_ID,59),"")&lt;&gt;""),IF(59=0,"-",IF($H$5="1ère quinzaine",INDEX(Paie_Brut1,59),IF($H$5="2ème quinzaine",INDEX(Paie_Brut2,59),INDEX(Paie_BrutMensuel,59)))),"")</f>
      </c>
      <c r="I86" s="24">
        <f>IF(AND($B$5="Tous les employés",IFERROR(INDEX(Pointage_ID,59),"")&lt;&gt;""),IF(59=0,"-",IF($H$5="1ère quinzaine",INDEX(Paie_Retenues1,59),IF($H$5="2ème quinzaine",INDEX(Paie_Retenues2,59),INDEX(Paie_Retenues,59)))),"")</f>
      </c>
      <c r="J86" s="25">
        <f>IF(AND($B$5="Tous les employés",IFERROR(INDEX(Pointage_ID,59),"")&lt;&gt;""),IF(59=0,"-",IF($H$5="1ère quinzaine",INDEX(Paie_Net1,59),IF($H$5="2ème quinzaine",INDEX(Paie_Net2,59),INDEX(Paie_NetMensuel,59)))),"")</f>
      </c>
    </row>
    <row r="87">
      <c r="A87" s="20">
        <f>IF(AND($B$5="Tous les employés",IFERROR(INDEX(Pointage_ID,60),"")&lt;&gt;""),IFERROR(INDEX(Pointage_ID,60),""),"")</f>
      </c>
      <c r="B87" s="19">
        <f>IF(AND($B$5="Tous les employés",IFERROR(INDEX(Pointage_ID,60),"")&lt;&gt;""),INDEX(Pointage_Nom,60),"")</f>
      </c>
      <c r="C87" s="20">
        <f>IF(AND($B$5="Tous les employés",IFERROR(INDEX(Pointage_ID,60),"")&lt;&gt;""),INDEX(Pointage_Categorie,60),"")</f>
      </c>
      <c r="D87" s="22">
        <f>IF(AND($B$5="Tous les employés",IFERROR(INDEX(Pointage_ID,60),"")&lt;&gt;""),IF(60=0,"-",IF($H$5="1ère quinzaine",INDEX(Paie_Jours1,60),IF($H$5="2ème quinzaine",INDEX(Paie_Jours2,60),INDEX(Pointage_Travailles,60)))),"")</f>
      </c>
      <c r="E87" s="23">
        <f>IF(AND($B$5="Tous les employés",IFERROR(INDEX(Pointage_ID,60),"")&lt;&gt;""),IF(60=0,"-",IF($H$5="1ère quinzaine",INDEX(Paie_HS1,60),IF($H$5="2ème quinzaine",INDEX(Paie_HS2,60),INDEX(Pointage_HS,60)))),"")</f>
      </c>
      <c r="F87" s="24">
        <f>IF(AND($B$5="Tous les employés",IFERROR(INDEX(Pointage_ID,60),"")&lt;&gt;""),INDEX(Paie_SalaireJour,60),"")</f>
      </c>
      <c r="G87" s="24">
        <f>IF(AND($B$5="Tous les employés",IFERROR(INDEX(Pointage_ID,60),"")&lt;&gt;""),IF(60=0,"-",IF($H$5="1ère quinzaine",INDEX(Paie_MontantHS1,60),IF($H$5="2ème quinzaine",INDEX(Paie_MontantHS2,60),INDEX(Paie_MontantHS,60)))),"")</f>
      </c>
      <c r="H87" s="24">
        <f>IF(AND($B$5="Tous les employés",IFERROR(INDEX(Pointage_ID,60),"")&lt;&gt;""),IF(60=0,"-",IF($H$5="1ère quinzaine",INDEX(Paie_Brut1,60),IF($H$5="2ème quinzaine",INDEX(Paie_Brut2,60),INDEX(Paie_BrutMensuel,60)))),"")</f>
      </c>
      <c r="I87" s="24">
        <f>IF(AND($B$5="Tous les employés",IFERROR(INDEX(Pointage_ID,60),"")&lt;&gt;""),IF(60=0,"-",IF($H$5="1ère quinzaine",INDEX(Paie_Retenues1,60),IF($H$5="2ème quinzaine",INDEX(Paie_Retenues2,60),INDEX(Paie_Retenues,60)))),"")</f>
      </c>
      <c r="J87" s="25">
        <f>IF(AND($B$5="Tous les employés",IFERROR(INDEX(Pointage_ID,60),"")&lt;&gt;""),IF(60=0,"-",IF($H$5="1ère quinzaine",INDEX(Paie_Net1,60),IF($H$5="2ème quinzaine",INDEX(Paie_Net2,60),INDEX(Paie_NetMensuel,60)))),"")</f>
      </c>
    </row>
    <row r="88">
      <c r="A88" s="20">
        <f>IF(AND($B$5="Tous les employés",IFERROR(INDEX(Pointage_ID,61),"")&lt;&gt;""),IFERROR(INDEX(Pointage_ID,61),""),"")</f>
      </c>
      <c r="B88" s="19">
        <f>IF(AND($B$5="Tous les employés",IFERROR(INDEX(Pointage_ID,61),"")&lt;&gt;""),INDEX(Pointage_Nom,61),"")</f>
      </c>
      <c r="C88" s="20">
        <f>IF(AND($B$5="Tous les employés",IFERROR(INDEX(Pointage_ID,61),"")&lt;&gt;""),INDEX(Pointage_Categorie,61),"")</f>
      </c>
      <c r="D88" s="22">
        <f>IF(AND($B$5="Tous les employés",IFERROR(INDEX(Pointage_ID,61),"")&lt;&gt;""),IF(61=0,"-",IF($H$5="1ère quinzaine",INDEX(Paie_Jours1,61),IF($H$5="2ème quinzaine",INDEX(Paie_Jours2,61),INDEX(Pointage_Travailles,61)))),"")</f>
      </c>
      <c r="E88" s="23">
        <f>IF(AND($B$5="Tous les employés",IFERROR(INDEX(Pointage_ID,61),"")&lt;&gt;""),IF(61=0,"-",IF($H$5="1ère quinzaine",INDEX(Paie_HS1,61),IF($H$5="2ème quinzaine",INDEX(Paie_HS2,61),INDEX(Pointage_HS,61)))),"")</f>
      </c>
      <c r="F88" s="24">
        <f>IF(AND($B$5="Tous les employés",IFERROR(INDEX(Pointage_ID,61),"")&lt;&gt;""),INDEX(Paie_SalaireJour,61),"")</f>
      </c>
      <c r="G88" s="24">
        <f>IF(AND($B$5="Tous les employés",IFERROR(INDEX(Pointage_ID,61),"")&lt;&gt;""),IF(61=0,"-",IF($H$5="1ère quinzaine",INDEX(Paie_MontantHS1,61),IF($H$5="2ème quinzaine",INDEX(Paie_MontantHS2,61),INDEX(Paie_MontantHS,61)))),"")</f>
      </c>
      <c r="H88" s="24">
        <f>IF(AND($B$5="Tous les employés",IFERROR(INDEX(Pointage_ID,61),"")&lt;&gt;""),IF(61=0,"-",IF($H$5="1ère quinzaine",INDEX(Paie_Brut1,61),IF($H$5="2ème quinzaine",INDEX(Paie_Brut2,61),INDEX(Paie_BrutMensuel,61)))),"")</f>
      </c>
      <c r="I88" s="24">
        <f>IF(AND($B$5="Tous les employés",IFERROR(INDEX(Pointage_ID,61),"")&lt;&gt;""),IF(61=0,"-",IF($H$5="1ère quinzaine",INDEX(Paie_Retenues1,61),IF($H$5="2ème quinzaine",INDEX(Paie_Retenues2,61),INDEX(Paie_Retenues,61)))),"")</f>
      </c>
      <c r="J88" s="25">
        <f>IF(AND($B$5="Tous les employés",IFERROR(INDEX(Pointage_ID,61),"")&lt;&gt;""),IF(61=0,"-",IF($H$5="1ère quinzaine",INDEX(Paie_Net1,61),IF($H$5="2ème quinzaine",INDEX(Paie_Net2,61),INDEX(Paie_NetMensuel,61)))),"")</f>
      </c>
    </row>
    <row r="89">
      <c r="A89" s="20">
        <f>IF(AND($B$5="Tous les employés",IFERROR(INDEX(Pointage_ID,62),"")&lt;&gt;""),IFERROR(INDEX(Pointage_ID,62),""),"")</f>
      </c>
      <c r="B89" s="19">
        <f>IF(AND($B$5="Tous les employés",IFERROR(INDEX(Pointage_ID,62),"")&lt;&gt;""),INDEX(Pointage_Nom,62),"")</f>
      </c>
      <c r="C89" s="20">
        <f>IF(AND($B$5="Tous les employés",IFERROR(INDEX(Pointage_ID,62),"")&lt;&gt;""),INDEX(Pointage_Categorie,62),"")</f>
      </c>
      <c r="D89" s="22">
        <f>IF(AND($B$5="Tous les employés",IFERROR(INDEX(Pointage_ID,62),"")&lt;&gt;""),IF(62=0,"-",IF($H$5="1ère quinzaine",INDEX(Paie_Jours1,62),IF($H$5="2ème quinzaine",INDEX(Paie_Jours2,62),INDEX(Pointage_Travailles,62)))),"")</f>
      </c>
      <c r="E89" s="23">
        <f>IF(AND($B$5="Tous les employés",IFERROR(INDEX(Pointage_ID,62),"")&lt;&gt;""),IF(62=0,"-",IF($H$5="1ère quinzaine",INDEX(Paie_HS1,62),IF($H$5="2ème quinzaine",INDEX(Paie_HS2,62),INDEX(Pointage_HS,62)))),"")</f>
      </c>
      <c r="F89" s="24">
        <f>IF(AND($B$5="Tous les employés",IFERROR(INDEX(Pointage_ID,62),"")&lt;&gt;""),INDEX(Paie_SalaireJour,62),"")</f>
      </c>
      <c r="G89" s="24">
        <f>IF(AND($B$5="Tous les employés",IFERROR(INDEX(Pointage_ID,62),"")&lt;&gt;""),IF(62=0,"-",IF($H$5="1ère quinzaine",INDEX(Paie_MontantHS1,62),IF($H$5="2ème quinzaine",INDEX(Paie_MontantHS2,62),INDEX(Paie_MontantHS,62)))),"")</f>
      </c>
      <c r="H89" s="24">
        <f>IF(AND($B$5="Tous les employés",IFERROR(INDEX(Pointage_ID,62),"")&lt;&gt;""),IF(62=0,"-",IF($H$5="1ère quinzaine",INDEX(Paie_Brut1,62),IF($H$5="2ème quinzaine",INDEX(Paie_Brut2,62),INDEX(Paie_BrutMensuel,62)))),"")</f>
      </c>
      <c r="I89" s="24">
        <f>IF(AND($B$5="Tous les employés",IFERROR(INDEX(Pointage_ID,62),"")&lt;&gt;""),IF(62=0,"-",IF($H$5="1ère quinzaine",INDEX(Paie_Retenues1,62),IF($H$5="2ème quinzaine",INDEX(Paie_Retenues2,62),INDEX(Paie_Retenues,62)))),"")</f>
      </c>
      <c r="J89" s="25">
        <f>IF(AND($B$5="Tous les employés",IFERROR(INDEX(Pointage_ID,62),"")&lt;&gt;""),IF(62=0,"-",IF($H$5="1ère quinzaine",INDEX(Paie_Net1,62),IF($H$5="2ème quinzaine",INDEX(Paie_Net2,62),INDEX(Paie_NetMensuel,62)))),"")</f>
      </c>
    </row>
    <row r="90">
      <c r="A90" s="20">
        <f>IF(AND($B$5="Tous les employés",IFERROR(INDEX(Pointage_ID,63),"")&lt;&gt;""),IFERROR(INDEX(Pointage_ID,63),""),"")</f>
      </c>
      <c r="B90" s="19">
        <f>IF(AND($B$5="Tous les employés",IFERROR(INDEX(Pointage_ID,63),"")&lt;&gt;""),INDEX(Pointage_Nom,63),"")</f>
      </c>
      <c r="C90" s="20">
        <f>IF(AND($B$5="Tous les employés",IFERROR(INDEX(Pointage_ID,63),"")&lt;&gt;""),INDEX(Pointage_Categorie,63),"")</f>
      </c>
      <c r="D90" s="22">
        <f>IF(AND($B$5="Tous les employés",IFERROR(INDEX(Pointage_ID,63),"")&lt;&gt;""),IF(63=0,"-",IF($H$5="1ère quinzaine",INDEX(Paie_Jours1,63),IF($H$5="2ème quinzaine",INDEX(Paie_Jours2,63),INDEX(Pointage_Travailles,63)))),"")</f>
      </c>
      <c r="E90" s="23">
        <f>IF(AND($B$5="Tous les employés",IFERROR(INDEX(Pointage_ID,63),"")&lt;&gt;""),IF(63=0,"-",IF($H$5="1ère quinzaine",INDEX(Paie_HS1,63),IF($H$5="2ème quinzaine",INDEX(Paie_HS2,63),INDEX(Pointage_HS,63)))),"")</f>
      </c>
      <c r="F90" s="24">
        <f>IF(AND($B$5="Tous les employés",IFERROR(INDEX(Pointage_ID,63),"")&lt;&gt;""),INDEX(Paie_SalaireJour,63),"")</f>
      </c>
      <c r="G90" s="24">
        <f>IF(AND($B$5="Tous les employés",IFERROR(INDEX(Pointage_ID,63),"")&lt;&gt;""),IF(63=0,"-",IF($H$5="1ère quinzaine",INDEX(Paie_MontantHS1,63),IF($H$5="2ème quinzaine",INDEX(Paie_MontantHS2,63),INDEX(Paie_MontantHS,63)))),"")</f>
      </c>
      <c r="H90" s="24">
        <f>IF(AND($B$5="Tous les employés",IFERROR(INDEX(Pointage_ID,63),"")&lt;&gt;""),IF(63=0,"-",IF($H$5="1ère quinzaine",INDEX(Paie_Brut1,63),IF($H$5="2ème quinzaine",INDEX(Paie_Brut2,63),INDEX(Paie_BrutMensuel,63)))),"")</f>
      </c>
      <c r="I90" s="24">
        <f>IF(AND($B$5="Tous les employés",IFERROR(INDEX(Pointage_ID,63),"")&lt;&gt;""),IF(63=0,"-",IF($H$5="1ère quinzaine",INDEX(Paie_Retenues1,63),IF($H$5="2ème quinzaine",INDEX(Paie_Retenues2,63),INDEX(Paie_Retenues,63)))),"")</f>
      </c>
      <c r="J90" s="25">
        <f>IF(AND($B$5="Tous les employés",IFERROR(INDEX(Pointage_ID,63),"")&lt;&gt;""),IF(63=0,"-",IF($H$5="1ère quinzaine",INDEX(Paie_Net1,63),IF($H$5="2ème quinzaine",INDEX(Paie_Net2,63),INDEX(Paie_NetMensuel,63)))),"")</f>
      </c>
    </row>
    <row r="91">
      <c r="A91" s="20">
        <f>IF(AND($B$5="Tous les employés",IFERROR(INDEX(Pointage_ID,64),"")&lt;&gt;""),IFERROR(INDEX(Pointage_ID,64),""),"")</f>
      </c>
      <c r="B91" s="19">
        <f>IF(AND($B$5="Tous les employés",IFERROR(INDEX(Pointage_ID,64),"")&lt;&gt;""),INDEX(Pointage_Nom,64),"")</f>
      </c>
      <c r="C91" s="20">
        <f>IF(AND($B$5="Tous les employés",IFERROR(INDEX(Pointage_ID,64),"")&lt;&gt;""),INDEX(Pointage_Categorie,64),"")</f>
      </c>
      <c r="D91" s="22">
        <f>IF(AND($B$5="Tous les employés",IFERROR(INDEX(Pointage_ID,64),"")&lt;&gt;""),IF(64=0,"-",IF($H$5="1ère quinzaine",INDEX(Paie_Jours1,64),IF($H$5="2ème quinzaine",INDEX(Paie_Jours2,64),INDEX(Pointage_Travailles,64)))),"")</f>
      </c>
      <c r="E91" s="23">
        <f>IF(AND($B$5="Tous les employés",IFERROR(INDEX(Pointage_ID,64),"")&lt;&gt;""),IF(64=0,"-",IF($H$5="1ère quinzaine",INDEX(Paie_HS1,64),IF($H$5="2ème quinzaine",INDEX(Paie_HS2,64),INDEX(Pointage_HS,64)))),"")</f>
      </c>
      <c r="F91" s="24">
        <f>IF(AND($B$5="Tous les employés",IFERROR(INDEX(Pointage_ID,64),"")&lt;&gt;""),INDEX(Paie_SalaireJour,64),"")</f>
      </c>
      <c r="G91" s="24">
        <f>IF(AND($B$5="Tous les employés",IFERROR(INDEX(Pointage_ID,64),"")&lt;&gt;""),IF(64=0,"-",IF($H$5="1ère quinzaine",INDEX(Paie_MontantHS1,64),IF($H$5="2ème quinzaine",INDEX(Paie_MontantHS2,64),INDEX(Paie_MontantHS,64)))),"")</f>
      </c>
      <c r="H91" s="24">
        <f>IF(AND($B$5="Tous les employés",IFERROR(INDEX(Pointage_ID,64),"")&lt;&gt;""),IF(64=0,"-",IF($H$5="1ère quinzaine",INDEX(Paie_Brut1,64),IF($H$5="2ème quinzaine",INDEX(Paie_Brut2,64),INDEX(Paie_BrutMensuel,64)))),"")</f>
      </c>
      <c r="I91" s="24">
        <f>IF(AND($B$5="Tous les employés",IFERROR(INDEX(Pointage_ID,64),"")&lt;&gt;""),IF(64=0,"-",IF($H$5="1ère quinzaine",INDEX(Paie_Retenues1,64),IF($H$5="2ème quinzaine",INDEX(Paie_Retenues2,64),INDEX(Paie_Retenues,64)))),"")</f>
      </c>
      <c r="J91" s="25">
        <f>IF(AND($B$5="Tous les employés",IFERROR(INDEX(Pointage_ID,64),"")&lt;&gt;""),IF(64=0,"-",IF($H$5="1ère quinzaine",INDEX(Paie_Net1,64),IF($H$5="2ème quinzaine",INDEX(Paie_Net2,64),INDEX(Paie_NetMensuel,64)))),"")</f>
      </c>
    </row>
    <row r="92">
      <c r="A92" s="20">
        <f>IF(AND($B$5="Tous les employés",IFERROR(INDEX(Pointage_ID,65),"")&lt;&gt;""),IFERROR(INDEX(Pointage_ID,65),""),"")</f>
      </c>
      <c r="B92" s="19">
        <f>IF(AND($B$5="Tous les employés",IFERROR(INDEX(Pointage_ID,65),"")&lt;&gt;""),INDEX(Pointage_Nom,65),"")</f>
      </c>
      <c r="C92" s="20">
        <f>IF(AND($B$5="Tous les employés",IFERROR(INDEX(Pointage_ID,65),"")&lt;&gt;""),INDEX(Pointage_Categorie,65),"")</f>
      </c>
      <c r="D92" s="22">
        <f>IF(AND($B$5="Tous les employés",IFERROR(INDEX(Pointage_ID,65),"")&lt;&gt;""),IF(65=0,"-",IF($H$5="1ère quinzaine",INDEX(Paie_Jours1,65),IF($H$5="2ème quinzaine",INDEX(Paie_Jours2,65),INDEX(Pointage_Travailles,65)))),"")</f>
      </c>
      <c r="E92" s="23">
        <f>IF(AND($B$5="Tous les employés",IFERROR(INDEX(Pointage_ID,65),"")&lt;&gt;""),IF(65=0,"-",IF($H$5="1ère quinzaine",INDEX(Paie_HS1,65),IF($H$5="2ème quinzaine",INDEX(Paie_HS2,65),INDEX(Pointage_HS,65)))),"")</f>
      </c>
      <c r="F92" s="24">
        <f>IF(AND($B$5="Tous les employés",IFERROR(INDEX(Pointage_ID,65),"")&lt;&gt;""),INDEX(Paie_SalaireJour,65),"")</f>
      </c>
      <c r="G92" s="24">
        <f>IF(AND($B$5="Tous les employés",IFERROR(INDEX(Pointage_ID,65),"")&lt;&gt;""),IF(65=0,"-",IF($H$5="1ère quinzaine",INDEX(Paie_MontantHS1,65),IF($H$5="2ème quinzaine",INDEX(Paie_MontantHS2,65),INDEX(Paie_MontantHS,65)))),"")</f>
      </c>
      <c r="H92" s="24">
        <f>IF(AND($B$5="Tous les employés",IFERROR(INDEX(Pointage_ID,65),"")&lt;&gt;""),IF(65=0,"-",IF($H$5="1ère quinzaine",INDEX(Paie_Brut1,65),IF($H$5="2ème quinzaine",INDEX(Paie_Brut2,65),INDEX(Paie_BrutMensuel,65)))),"")</f>
      </c>
      <c r="I92" s="24">
        <f>IF(AND($B$5="Tous les employés",IFERROR(INDEX(Pointage_ID,65),"")&lt;&gt;""),IF(65=0,"-",IF($H$5="1ère quinzaine",INDEX(Paie_Retenues1,65),IF($H$5="2ème quinzaine",INDEX(Paie_Retenues2,65),INDEX(Paie_Retenues,65)))),"")</f>
      </c>
      <c r="J92" s="25">
        <f>IF(AND($B$5="Tous les employés",IFERROR(INDEX(Pointage_ID,65),"")&lt;&gt;""),IF(65=0,"-",IF($H$5="1ère quinzaine",INDEX(Paie_Net1,65),IF($H$5="2ème quinzaine",INDEX(Paie_Net2,65),INDEX(Paie_NetMensuel,65)))),"")</f>
      </c>
    </row>
    <row r="93">
      <c r="A93" s="20">
        <f>IF(AND($B$5="Tous les employés",IFERROR(INDEX(Pointage_ID,66),"")&lt;&gt;""),IFERROR(INDEX(Pointage_ID,66),""),"")</f>
      </c>
      <c r="B93" s="19">
        <f>IF(AND($B$5="Tous les employés",IFERROR(INDEX(Pointage_ID,66),"")&lt;&gt;""),INDEX(Pointage_Nom,66),"")</f>
      </c>
      <c r="C93" s="20">
        <f>IF(AND($B$5="Tous les employés",IFERROR(INDEX(Pointage_ID,66),"")&lt;&gt;""),INDEX(Pointage_Categorie,66),"")</f>
      </c>
      <c r="D93" s="22">
        <f>IF(AND($B$5="Tous les employés",IFERROR(INDEX(Pointage_ID,66),"")&lt;&gt;""),IF(66=0,"-",IF($H$5="1ère quinzaine",INDEX(Paie_Jours1,66),IF($H$5="2ème quinzaine",INDEX(Paie_Jours2,66),INDEX(Pointage_Travailles,66)))),"")</f>
      </c>
      <c r="E93" s="23">
        <f>IF(AND($B$5="Tous les employés",IFERROR(INDEX(Pointage_ID,66),"")&lt;&gt;""),IF(66=0,"-",IF($H$5="1ère quinzaine",INDEX(Paie_HS1,66),IF($H$5="2ème quinzaine",INDEX(Paie_HS2,66),INDEX(Pointage_HS,66)))),"")</f>
      </c>
      <c r="F93" s="24">
        <f>IF(AND($B$5="Tous les employés",IFERROR(INDEX(Pointage_ID,66),"")&lt;&gt;""),INDEX(Paie_SalaireJour,66),"")</f>
      </c>
      <c r="G93" s="24">
        <f>IF(AND($B$5="Tous les employés",IFERROR(INDEX(Pointage_ID,66),"")&lt;&gt;""),IF(66=0,"-",IF($H$5="1ère quinzaine",INDEX(Paie_MontantHS1,66),IF($H$5="2ème quinzaine",INDEX(Paie_MontantHS2,66),INDEX(Paie_MontantHS,66)))),"")</f>
      </c>
      <c r="H93" s="24">
        <f>IF(AND($B$5="Tous les employés",IFERROR(INDEX(Pointage_ID,66),"")&lt;&gt;""),IF(66=0,"-",IF($H$5="1ère quinzaine",INDEX(Paie_Brut1,66),IF($H$5="2ème quinzaine",INDEX(Paie_Brut2,66),INDEX(Paie_BrutMensuel,66)))),"")</f>
      </c>
      <c r="I93" s="24">
        <f>IF(AND($B$5="Tous les employés",IFERROR(INDEX(Pointage_ID,66),"")&lt;&gt;""),IF(66=0,"-",IF($H$5="1ère quinzaine",INDEX(Paie_Retenues1,66),IF($H$5="2ème quinzaine",INDEX(Paie_Retenues2,66),INDEX(Paie_Retenues,66)))),"")</f>
      </c>
      <c r="J93" s="25">
        <f>IF(AND($B$5="Tous les employés",IFERROR(INDEX(Pointage_ID,66),"")&lt;&gt;""),IF(66=0,"-",IF($H$5="1ère quinzaine",INDEX(Paie_Net1,66),IF($H$5="2ème quinzaine",INDEX(Paie_Net2,66),INDEX(Paie_NetMensuel,66)))),"")</f>
      </c>
    </row>
    <row r="94">
      <c r="A94" s="20">
        <f>IF(AND($B$5="Tous les employés",IFERROR(INDEX(Pointage_ID,67),"")&lt;&gt;""),IFERROR(INDEX(Pointage_ID,67),""),"")</f>
      </c>
      <c r="B94" s="19">
        <f>IF(AND($B$5="Tous les employés",IFERROR(INDEX(Pointage_ID,67),"")&lt;&gt;""),INDEX(Pointage_Nom,67),"")</f>
      </c>
      <c r="C94" s="20">
        <f>IF(AND($B$5="Tous les employés",IFERROR(INDEX(Pointage_ID,67),"")&lt;&gt;""),INDEX(Pointage_Categorie,67),"")</f>
      </c>
      <c r="D94" s="22">
        <f>IF(AND($B$5="Tous les employés",IFERROR(INDEX(Pointage_ID,67),"")&lt;&gt;""),IF(67=0,"-",IF($H$5="1ère quinzaine",INDEX(Paie_Jours1,67),IF($H$5="2ème quinzaine",INDEX(Paie_Jours2,67),INDEX(Pointage_Travailles,67)))),"")</f>
      </c>
      <c r="E94" s="23">
        <f>IF(AND($B$5="Tous les employés",IFERROR(INDEX(Pointage_ID,67),"")&lt;&gt;""),IF(67=0,"-",IF($H$5="1ère quinzaine",INDEX(Paie_HS1,67),IF($H$5="2ème quinzaine",INDEX(Paie_HS2,67),INDEX(Pointage_HS,67)))),"")</f>
      </c>
      <c r="F94" s="24">
        <f>IF(AND($B$5="Tous les employés",IFERROR(INDEX(Pointage_ID,67),"")&lt;&gt;""),INDEX(Paie_SalaireJour,67),"")</f>
      </c>
      <c r="G94" s="24">
        <f>IF(AND($B$5="Tous les employés",IFERROR(INDEX(Pointage_ID,67),"")&lt;&gt;""),IF(67=0,"-",IF($H$5="1ère quinzaine",INDEX(Paie_MontantHS1,67),IF($H$5="2ème quinzaine",INDEX(Paie_MontantHS2,67),INDEX(Paie_MontantHS,67)))),"")</f>
      </c>
      <c r="H94" s="24">
        <f>IF(AND($B$5="Tous les employés",IFERROR(INDEX(Pointage_ID,67),"")&lt;&gt;""),IF(67=0,"-",IF($H$5="1ère quinzaine",INDEX(Paie_Brut1,67),IF($H$5="2ème quinzaine",INDEX(Paie_Brut2,67),INDEX(Paie_BrutMensuel,67)))),"")</f>
      </c>
      <c r="I94" s="24">
        <f>IF(AND($B$5="Tous les employés",IFERROR(INDEX(Pointage_ID,67),"")&lt;&gt;""),IF(67=0,"-",IF($H$5="1ère quinzaine",INDEX(Paie_Retenues1,67),IF($H$5="2ème quinzaine",INDEX(Paie_Retenues2,67),INDEX(Paie_Retenues,67)))),"")</f>
      </c>
      <c r="J94" s="25">
        <f>IF(AND($B$5="Tous les employés",IFERROR(INDEX(Pointage_ID,67),"")&lt;&gt;""),IF(67=0,"-",IF($H$5="1ère quinzaine",INDEX(Paie_Net1,67),IF($H$5="2ème quinzaine",INDEX(Paie_Net2,67),INDEX(Paie_NetMensuel,67)))),"")</f>
      </c>
    </row>
    <row r="95">
      <c r="A95" s="20">
        <f>IF(AND($B$5="Tous les employés",IFERROR(INDEX(Pointage_ID,68),"")&lt;&gt;""),IFERROR(INDEX(Pointage_ID,68),""),"")</f>
      </c>
      <c r="B95" s="19">
        <f>IF(AND($B$5="Tous les employés",IFERROR(INDEX(Pointage_ID,68),"")&lt;&gt;""),INDEX(Pointage_Nom,68),"")</f>
      </c>
      <c r="C95" s="20">
        <f>IF(AND($B$5="Tous les employés",IFERROR(INDEX(Pointage_ID,68),"")&lt;&gt;""),INDEX(Pointage_Categorie,68),"")</f>
      </c>
      <c r="D95" s="22">
        <f>IF(AND($B$5="Tous les employés",IFERROR(INDEX(Pointage_ID,68),"")&lt;&gt;""),IF(68=0,"-",IF($H$5="1ère quinzaine",INDEX(Paie_Jours1,68),IF($H$5="2ème quinzaine",INDEX(Paie_Jours2,68),INDEX(Pointage_Travailles,68)))),"")</f>
      </c>
      <c r="E95" s="23">
        <f>IF(AND($B$5="Tous les employés",IFERROR(INDEX(Pointage_ID,68),"")&lt;&gt;""),IF(68=0,"-",IF($H$5="1ère quinzaine",INDEX(Paie_HS1,68),IF($H$5="2ème quinzaine",INDEX(Paie_HS2,68),INDEX(Pointage_HS,68)))),"")</f>
      </c>
      <c r="F95" s="24">
        <f>IF(AND($B$5="Tous les employés",IFERROR(INDEX(Pointage_ID,68),"")&lt;&gt;""),INDEX(Paie_SalaireJour,68),"")</f>
      </c>
      <c r="G95" s="24">
        <f>IF(AND($B$5="Tous les employés",IFERROR(INDEX(Pointage_ID,68),"")&lt;&gt;""),IF(68=0,"-",IF($H$5="1ère quinzaine",INDEX(Paie_MontantHS1,68),IF($H$5="2ème quinzaine",INDEX(Paie_MontantHS2,68),INDEX(Paie_MontantHS,68)))),"")</f>
      </c>
      <c r="H95" s="24">
        <f>IF(AND($B$5="Tous les employés",IFERROR(INDEX(Pointage_ID,68),"")&lt;&gt;""),IF(68=0,"-",IF($H$5="1ère quinzaine",INDEX(Paie_Brut1,68),IF($H$5="2ème quinzaine",INDEX(Paie_Brut2,68),INDEX(Paie_BrutMensuel,68)))),"")</f>
      </c>
      <c r="I95" s="24">
        <f>IF(AND($B$5="Tous les employés",IFERROR(INDEX(Pointage_ID,68),"")&lt;&gt;""),IF(68=0,"-",IF($H$5="1ère quinzaine",INDEX(Paie_Retenues1,68),IF($H$5="2ème quinzaine",INDEX(Paie_Retenues2,68),INDEX(Paie_Retenues,68)))),"")</f>
      </c>
      <c r="J95" s="25">
        <f>IF(AND($B$5="Tous les employés",IFERROR(INDEX(Pointage_ID,68),"")&lt;&gt;""),IF(68=0,"-",IF($H$5="1ère quinzaine",INDEX(Paie_Net1,68),IF($H$5="2ème quinzaine",INDEX(Paie_Net2,68),INDEX(Paie_NetMensuel,68)))),"")</f>
      </c>
    </row>
    <row r="96">
      <c r="A96" s="20">
        <f>IF(AND($B$5="Tous les employés",IFERROR(INDEX(Pointage_ID,69),"")&lt;&gt;""),IFERROR(INDEX(Pointage_ID,69),""),"")</f>
      </c>
      <c r="B96" s="19">
        <f>IF(AND($B$5="Tous les employés",IFERROR(INDEX(Pointage_ID,69),"")&lt;&gt;""),INDEX(Pointage_Nom,69),"")</f>
      </c>
      <c r="C96" s="20">
        <f>IF(AND($B$5="Tous les employés",IFERROR(INDEX(Pointage_ID,69),"")&lt;&gt;""),INDEX(Pointage_Categorie,69),"")</f>
      </c>
      <c r="D96" s="22">
        <f>IF(AND($B$5="Tous les employés",IFERROR(INDEX(Pointage_ID,69),"")&lt;&gt;""),IF(69=0,"-",IF($H$5="1ère quinzaine",INDEX(Paie_Jours1,69),IF($H$5="2ème quinzaine",INDEX(Paie_Jours2,69),INDEX(Pointage_Travailles,69)))),"")</f>
      </c>
      <c r="E96" s="23">
        <f>IF(AND($B$5="Tous les employés",IFERROR(INDEX(Pointage_ID,69),"")&lt;&gt;""),IF(69=0,"-",IF($H$5="1ère quinzaine",INDEX(Paie_HS1,69),IF($H$5="2ème quinzaine",INDEX(Paie_HS2,69),INDEX(Pointage_HS,69)))),"")</f>
      </c>
      <c r="F96" s="24">
        <f>IF(AND($B$5="Tous les employés",IFERROR(INDEX(Pointage_ID,69),"")&lt;&gt;""),INDEX(Paie_SalaireJour,69),"")</f>
      </c>
      <c r="G96" s="24">
        <f>IF(AND($B$5="Tous les employés",IFERROR(INDEX(Pointage_ID,69),"")&lt;&gt;""),IF(69=0,"-",IF($H$5="1ère quinzaine",INDEX(Paie_MontantHS1,69),IF($H$5="2ème quinzaine",INDEX(Paie_MontantHS2,69),INDEX(Paie_MontantHS,69)))),"")</f>
      </c>
      <c r="H96" s="24">
        <f>IF(AND($B$5="Tous les employés",IFERROR(INDEX(Pointage_ID,69),"")&lt;&gt;""),IF(69=0,"-",IF($H$5="1ère quinzaine",INDEX(Paie_Brut1,69),IF($H$5="2ème quinzaine",INDEX(Paie_Brut2,69),INDEX(Paie_BrutMensuel,69)))),"")</f>
      </c>
      <c r="I96" s="24">
        <f>IF(AND($B$5="Tous les employés",IFERROR(INDEX(Pointage_ID,69),"")&lt;&gt;""),IF(69=0,"-",IF($H$5="1ère quinzaine",INDEX(Paie_Retenues1,69),IF($H$5="2ème quinzaine",INDEX(Paie_Retenues2,69),INDEX(Paie_Retenues,69)))),"")</f>
      </c>
      <c r="J96" s="25">
        <f>IF(AND($B$5="Tous les employés",IFERROR(INDEX(Pointage_ID,69),"")&lt;&gt;""),IF(69=0,"-",IF($H$5="1ère quinzaine",INDEX(Paie_Net1,69),IF($H$5="2ème quinzaine",INDEX(Paie_Net2,69),INDEX(Paie_NetMensuel,69)))),"")</f>
      </c>
    </row>
    <row r="97">
      <c r="A97" s="20">
        <f>IF(AND($B$5="Tous les employés",IFERROR(INDEX(Pointage_ID,70),"")&lt;&gt;""),IFERROR(INDEX(Pointage_ID,70),""),"")</f>
      </c>
      <c r="B97" s="19">
        <f>IF(AND($B$5="Tous les employés",IFERROR(INDEX(Pointage_ID,70),"")&lt;&gt;""),INDEX(Pointage_Nom,70),"")</f>
      </c>
      <c r="C97" s="20">
        <f>IF(AND($B$5="Tous les employés",IFERROR(INDEX(Pointage_ID,70),"")&lt;&gt;""),INDEX(Pointage_Categorie,70),"")</f>
      </c>
      <c r="D97" s="22">
        <f>IF(AND($B$5="Tous les employés",IFERROR(INDEX(Pointage_ID,70),"")&lt;&gt;""),IF(70=0,"-",IF($H$5="1ère quinzaine",INDEX(Paie_Jours1,70),IF($H$5="2ème quinzaine",INDEX(Paie_Jours2,70),INDEX(Pointage_Travailles,70)))),"")</f>
      </c>
      <c r="E97" s="23">
        <f>IF(AND($B$5="Tous les employés",IFERROR(INDEX(Pointage_ID,70),"")&lt;&gt;""),IF(70=0,"-",IF($H$5="1ère quinzaine",INDEX(Paie_HS1,70),IF($H$5="2ème quinzaine",INDEX(Paie_HS2,70),INDEX(Pointage_HS,70)))),"")</f>
      </c>
      <c r="F97" s="24">
        <f>IF(AND($B$5="Tous les employés",IFERROR(INDEX(Pointage_ID,70),"")&lt;&gt;""),INDEX(Paie_SalaireJour,70),"")</f>
      </c>
      <c r="G97" s="24">
        <f>IF(AND($B$5="Tous les employés",IFERROR(INDEX(Pointage_ID,70),"")&lt;&gt;""),IF(70=0,"-",IF($H$5="1ère quinzaine",INDEX(Paie_MontantHS1,70),IF($H$5="2ème quinzaine",INDEX(Paie_MontantHS2,70),INDEX(Paie_MontantHS,70)))),"")</f>
      </c>
      <c r="H97" s="24">
        <f>IF(AND($B$5="Tous les employés",IFERROR(INDEX(Pointage_ID,70),"")&lt;&gt;""),IF(70=0,"-",IF($H$5="1ère quinzaine",INDEX(Paie_Brut1,70),IF($H$5="2ème quinzaine",INDEX(Paie_Brut2,70),INDEX(Paie_BrutMensuel,70)))),"")</f>
      </c>
      <c r="I97" s="24">
        <f>IF(AND($B$5="Tous les employés",IFERROR(INDEX(Pointage_ID,70),"")&lt;&gt;""),IF(70=0,"-",IF($H$5="1ère quinzaine",INDEX(Paie_Retenues1,70),IF($H$5="2ème quinzaine",INDEX(Paie_Retenues2,70),INDEX(Paie_Retenues,70)))),"")</f>
      </c>
      <c r="J97" s="25">
        <f>IF(AND($B$5="Tous les employés",IFERROR(INDEX(Pointage_ID,70),"")&lt;&gt;""),IF(70=0,"-",IF($H$5="1ère quinzaine",INDEX(Paie_Net1,70),IF($H$5="2ème quinzaine",INDEX(Paie_Net2,70),INDEX(Paie_NetMensuel,70)))),"")</f>
      </c>
    </row>
    <row r="98">
      <c r="A98" s="20">
        <f>IF(AND($B$5="Tous les employés",IFERROR(INDEX(Pointage_ID,71),"")&lt;&gt;""),IFERROR(INDEX(Pointage_ID,71),""),"")</f>
      </c>
      <c r="B98" s="19">
        <f>IF(AND($B$5="Tous les employés",IFERROR(INDEX(Pointage_ID,71),"")&lt;&gt;""),INDEX(Pointage_Nom,71),"")</f>
      </c>
      <c r="C98" s="20">
        <f>IF(AND($B$5="Tous les employés",IFERROR(INDEX(Pointage_ID,71),"")&lt;&gt;""),INDEX(Pointage_Categorie,71),"")</f>
      </c>
      <c r="D98" s="22">
        <f>IF(AND($B$5="Tous les employés",IFERROR(INDEX(Pointage_ID,71),"")&lt;&gt;""),IF(71=0,"-",IF($H$5="1ère quinzaine",INDEX(Paie_Jours1,71),IF($H$5="2ème quinzaine",INDEX(Paie_Jours2,71),INDEX(Pointage_Travailles,71)))),"")</f>
      </c>
      <c r="E98" s="23">
        <f>IF(AND($B$5="Tous les employés",IFERROR(INDEX(Pointage_ID,71),"")&lt;&gt;""),IF(71=0,"-",IF($H$5="1ère quinzaine",INDEX(Paie_HS1,71),IF($H$5="2ème quinzaine",INDEX(Paie_HS2,71),INDEX(Pointage_HS,71)))),"")</f>
      </c>
      <c r="F98" s="24">
        <f>IF(AND($B$5="Tous les employés",IFERROR(INDEX(Pointage_ID,71),"")&lt;&gt;""),INDEX(Paie_SalaireJour,71),"")</f>
      </c>
      <c r="G98" s="24">
        <f>IF(AND($B$5="Tous les employés",IFERROR(INDEX(Pointage_ID,71),"")&lt;&gt;""),IF(71=0,"-",IF($H$5="1ère quinzaine",INDEX(Paie_MontantHS1,71),IF($H$5="2ème quinzaine",INDEX(Paie_MontantHS2,71),INDEX(Paie_MontantHS,71)))),"")</f>
      </c>
      <c r="H98" s="24">
        <f>IF(AND($B$5="Tous les employés",IFERROR(INDEX(Pointage_ID,71),"")&lt;&gt;""),IF(71=0,"-",IF($H$5="1ère quinzaine",INDEX(Paie_Brut1,71),IF($H$5="2ème quinzaine",INDEX(Paie_Brut2,71),INDEX(Paie_BrutMensuel,71)))),"")</f>
      </c>
      <c r="I98" s="24">
        <f>IF(AND($B$5="Tous les employés",IFERROR(INDEX(Pointage_ID,71),"")&lt;&gt;""),IF(71=0,"-",IF($H$5="1ère quinzaine",INDEX(Paie_Retenues1,71),IF($H$5="2ème quinzaine",INDEX(Paie_Retenues2,71),INDEX(Paie_Retenues,71)))),"")</f>
      </c>
      <c r="J98" s="25">
        <f>IF(AND($B$5="Tous les employés",IFERROR(INDEX(Pointage_ID,71),"")&lt;&gt;""),IF(71=0,"-",IF($H$5="1ère quinzaine",INDEX(Paie_Net1,71),IF($H$5="2ème quinzaine",INDEX(Paie_Net2,71),INDEX(Paie_NetMensuel,71)))),"")</f>
      </c>
    </row>
    <row r="99">
      <c r="A99" s="20">
        <f>IF(AND($B$5="Tous les employés",IFERROR(INDEX(Pointage_ID,72),"")&lt;&gt;""),IFERROR(INDEX(Pointage_ID,72),""),"")</f>
      </c>
      <c r="B99" s="19">
        <f>IF(AND($B$5="Tous les employés",IFERROR(INDEX(Pointage_ID,72),"")&lt;&gt;""),INDEX(Pointage_Nom,72),"")</f>
      </c>
      <c r="C99" s="20">
        <f>IF(AND($B$5="Tous les employés",IFERROR(INDEX(Pointage_ID,72),"")&lt;&gt;""),INDEX(Pointage_Categorie,72),"")</f>
      </c>
      <c r="D99" s="22">
        <f>IF(AND($B$5="Tous les employés",IFERROR(INDEX(Pointage_ID,72),"")&lt;&gt;""),IF(72=0,"-",IF($H$5="1ère quinzaine",INDEX(Paie_Jours1,72),IF($H$5="2ème quinzaine",INDEX(Paie_Jours2,72),INDEX(Pointage_Travailles,72)))),"")</f>
      </c>
      <c r="E99" s="23">
        <f>IF(AND($B$5="Tous les employés",IFERROR(INDEX(Pointage_ID,72),"")&lt;&gt;""),IF(72=0,"-",IF($H$5="1ère quinzaine",INDEX(Paie_HS1,72),IF($H$5="2ème quinzaine",INDEX(Paie_HS2,72),INDEX(Pointage_HS,72)))),"")</f>
      </c>
      <c r="F99" s="24">
        <f>IF(AND($B$5="Tous les employés",IFERROR(INDEX(Pointage_ID,72),"")&lt;&gt;""),INDEX(Paie_SalaireJour,72),"")</f>
      </c>
      <c r="G99" s="24">
        <f>IF(AND($B$5="Tous les employés",IFERROR(INDEX(Pointage_ID,72),"")&lt;&gt;""),IF(72=0,"-",IF($H$5="1ère quinzaine",INDEX(Paie_MontantHS1,72),IF($H$5="2ème quinzaine",INDEX(Paie_MontantHS2,72),INDEX(Paie_MontantHS,72)))),"")</f>
      </c>
      <c r="H99" s="24">
        <f>IF(AND($B$5="Tous les employés",IFERROR(INDEX(Pointage_ID,72),"")&lt;&gt;""),IF(72=0,"-",IF($H$5="1ère quinzaine",INDEX(Paie_Brut1,72),IF($H$5="2ème quinzaine",INDEX(Paie_Brut2,72),INDEX(Paie_BrutMensuel,72)))),"")</f>
      </c>
      <c r="I99" s="24">
        <f>IF(AND($B$5="Tous les employés",IFERROR(INDEX(Pointage_ID,72),"")&lt;&gt;""),IF(72=0,"-",IF($H$5="1ère quinzaine",INDEX(Paie_Retenues1,72),IF($H$5="2ème quinzaine",INDEX(Paie_Retenues2,72),INDEX(Paie_Retenues,72)))),"")</f>
      </c>
      <c r="J99" s="25">
        <f>IF(AND($B$5="Tous les employés",IFERROR(INDEX(Pointage_ID,72),"")&lt;&gt;""),IF(72=0,"-",IF($H$5="1ère quinzaine",INDEX(Paie_Net1,72),IF($H$5="2ème quinzaine",INDEX(Paie_Net2,72),INDEX(Paie_NetMensuel,72)))),"")</f>
      </c>
    </row>
    <row r="100">
      <c r="A100" s="20">
        <f>IF(AND($B$5="Tous les employés",IFERROR(INDEX(Pointage_ID,73),"")&lt;&gt;""),IFERROR(INDEX(Pointage_ID,73),""),"")</f>
      </c>
      <c r="B100" s="19">
        <f>IF(AND($B$5="Tous les employés",IFERROR(INDEX(Pointage_ID,73),"")&lt;&gt;""),INDEX(Pointage_Nom,73),"")</f>
      </c>
      <c r="C100" s="20">
        <f>IF(AND($B$5="Tous les employés",IFERROR(INDEX(Pointage_ID,73),"")&lt;&gt;""),INDEX(Pointage_Categorie,73),"")</f>
      </c>
      <c r="D100" s="22">
        <f>IF(AND($B$5="Tous les employés",IFERROR(INDEX(Pointage_ID,73),"")&lt;&gt;""),IF(73=0,"-",IF($H$5="1ère quinzaine",INDEX(Paie_Jours1,73),IF($H$5="2ème quinzaine",INDEX(Paie_Jours2,73),INDEX(Pointage_Travailles,73)))),"")</f>
      </c>
      <c r="E100" s="23">
        <f>IF(AND($B$5="Tous les employés",IFERROR(INDEX(Pointage_ID,73),"")&lt;&gt;""),IF(73=0,"-",IF($H$5="1ère quinzaine",INDEX(Paie_HS1,73),IF($H$5="2ème quinzaine",INDEX(Paie_HS2,73),INDEX(Pointage_HS,73)))),"")</f>
      </c>
      <c r="F100" s="24">
        <f>IF(AND($B$5="Tous les employés",IFERROR(INDEX(Pointage_ID,73),"")&lt;&gt;""),INDEX(Paie_SalaireJour,73),"")</f>
      </c>
      <c r="G100" s="24">
        <f>IF(AND($B$5="Tous les employés",IFERROR(INDEX(Pointage_ID,73),"")&lt;&gt;""),IF(73=0,"-",IF($H$5="1ère quinzaine",INDEX(Paie_MontantHS1,73),IF($H$5="2ème quinzaine",INDEX(Paie_MontantHS2,73),INDEX(Paie_MontantHS,73)))),"")</f>
      </c>
      <c r="H100" s="24">
        <f>IF(AND($B$5="Tous les employés",IFERROR(INDEX(Pointage_ID,73),"")&lt;&gt;""),IF(73=0,"-",IF($H$5="1ère quinzaine",INDEX(Paie_Brut1,73),IF($H$5="2ème quinzaine",INDEX(Paie_Brut2,73),INDEX(Paie_BrutMensuel,73)))),"")</f>
      </c>
      <c r="I100" s="24">
        <f>IF(AND($B$5="Tous les employés",IFERROR(INDEX(Pointage_ID,73),"")&lt;&gt;""),IF(73=0,"-",IF($H$5="1ère quinzaine",INDEX(Paie_Retenues1,73),IF($H$5="2ème quinzaine",INDEX(Paie_Retenues2,73),INDEX(Paie_Retenues,73)))),"")</f>
      </c>
      <c r="J100" s="25">
        <f>IF(AND($B$5="Tous les employés",IFERROR(INDEX(Pointage_ID,73),"")&lt;&gt;""),IF(73=0,"-",IF($H$5="1ère quinzaine",INDEX(Paie_Net1,73),IF($H$5="2ème quinzaine",INDEX(Paie_Net2,73),INDEX(Paie_NetMensuel,73)))),"")</f>
      </c>
    </row>
    <row r="101">
      <c r="A101" s="20">
        <f>IF(AND($B$5="Tous les employés",IFERROR(INDEX(Pointage_ID,74),"")&lt;&gt;""),IFERROR(INDEX(Pointage_ID,74),""),"")</f>
      </c>
      <c r="B101" s="19">
        <f>IF(AND($B$5="Tous les employés",IFERROR(INDEX(Pointage_ID,74),"")&lt;&gt;""),INDEX(Pointage_Nom,74),"")</f>
      </c>
      <c r="C101" s="20">
        <f>IF(AND($B$5="Tous les employés",IFERROR(INDEX(Pointage_ID,74),"")&lt;&gt;""),INDEX(Pointage_Categorie,74),"")</f>
      </c>
      <c r="D101" s="22">
        <f>IF(AND($B$5="Tous les employés",IFERROR(INDEX(Pointage_ID,74),"")&lt;&gt;""),IF(74=0,"-",IF($H$5="1ère quinzaine",INDEX(Paie_Jours1,74),IF($H$5="2ème quinzaine",INDEX(Paie_Jours2,74),INDEX(Pointage_Travailles,74)))),"")</f>
      </c>
      <c r="E101" s="23">
        <f>IF(AND($B$5="Tous les employés",IFERROR(INDEX(Pointage_ID,74),"")&lt;&gt;""),IF(74=0,"-",IF($H$5="1ère quinzaine",INDEX(Paie_HS1,74),IF($H$5="2ème quinzaine",INDEX(Paie_HS2,74),INDEX(Pointage_HS,74)))),"")</f>
      </c>
      <c r="F101" s="24">
        <f>IF(AND($B$5="Tous les employés",IFERROR(INDEX(Pointage_ID,74),"")&lt;&gt;""),INDEX(Paie_SalaireJour,74),"")</f>
      </c>
      <c r="G101" s="24">
        <f>IF(AND($B$5="Tous les employés",IFERROR(INDEX(Pointage_ID,74),"")&lt;&gt;""),IF(74=0,"-",IF($H$5="1ère quinzaine",INDEX(Paie_MontantHS1,74),IF($H$5="2ème quinzaine",INDEX(Paie_MontantHS2,74),INDEX(Paie_MontantHS,74)))),"")</f>
      </c>
      <c r="H101" s="24">
        <f>IF(AND($B$5="Tous les employés",IFERROR(INDEX(Pointage_ID,74),"")&lt;&gt;""),IF(74=0,"-",IF($H$5="1ère quinzaine",INDEX(Paie_Brut1,74),IF($H$5="2ème quinzaine",INDEX(Paie_Brut2,74),INDEX(Paie_BrutMensuel,74)))),"")</f>
      </c>
      <c r="I101" s="24">
        <f>IF(AND($B$5="Tous les employés",IFERROR(INDEX(Pointage_ID,74),"")&lt;&gt;""),IF(74=0,"-",IF($H$5="1ère quinzaine",INDEX(Paie_Retenues1,74),IF($H$5="2ème quinzaine",INDEX(Paie_Retenues2,74),INDEX(Paie_Retenues,74)))),"")</f>
      </c>
      <c r="J101" s="25">
        <f>IF(AND($B$5="Tous les employés",IFERROR(INDEX(Pointage_ID,74),"")&lt;&gt;""),IF(74=0,"-",IF($H$5="1ère quinzaine",INDEX(Paie_Net1,74),IF($H$5="2ème quinzaine",INDEX(Paie_Net2,74),INDEX(Paie_NetMensuel,74)))),"")</f>
      </c>
    </row>
    <row r="102">
      <c r="A102" s="20">
        <f>IF(AND($B$5="Tous les employés",IFERROR(INDEX(Pointage_ID,75),"")&lt;&gt;""),IFERROR(INDEX(Pointage_ID,75),""),"")</f>
      </c>
      <c r="B102" s="19">
        <f>IF(AND($B$5="Tous les employés",IFERROR(INDEX(Pointage_ID,75),"")&lt;&gt;""),INDEX(Pointage_Nom,75),"")</f>
      </c>
      <c r="C102" s="20">
        <f>IF(AND($B$5="Tous les employés",IFERROR(INDEX(Pointage_ID,75),"")&lt;&gt;""),INDEX(Pointage_Categorie,75),"")</f>
      </c>
      <c r="D102" s="22">
        <f>IF(AND($B$5="Tous les employés",IFERROR(INDEX(Pointage_ID,75),"")&lt;&gt;""),IF(75=0,"-",IF($H$5="1ère quinzaine",INDEX(Paie_Jours1,75),IF($H$5="2ème quinzaine",INDEX(Paie_Jours2,75),INDEX(Pointage_Travailles,75)))),"")</f>
      </c>
      <c r="E102" s="23">
        <f>IF(AND($B$5="Tous les employés",IFERROR(INDEX(Pointage_ID,75),"")&lt;&gt;""),IF(75=0,"-",IF($H$5="1ère quinzaine",INDEX(Paie_HS1,75),IF($H$5="2ème quinzaine",INDEX(Paie_HS2,75),INDEX(Pointage_HS,75)))),"")</f>
      </c>
      <c r="F102" s="24">
        <f>IF(AND($B$5="Tous les employés",IFERROR(INDEX(Pointage_ID,75),"")&lt;&gt;""),INDEX(Paie_SalaireJour,75),"")</f>
      </c>
      <c r="G102" s="24">
        <f>IF(AND($B$5="Tous les employés",IFERROR(INDEX(Pointage_ID,75),"")&lt;&gt;""),IF(75=0,"-",IF($H$5="1ère quinzaine",INDEX(Paie_MontantHS1,75),IF($H$5="2ème quinzaine",INDEX(Paie_MontantHS2,75),INDEX(Paie_MontantHS,75)))),"")</f>
      </c>
      <c r="H102" s="24">
        <f>IF(AND($B$5="Tous les employés",IFERROR(INDEX(Pointage_ID,75),"")&lt;&gt;""),IF(75=0,"-",IF($H$5="1ère quinzaine",INDEX(Paie_Brut1,75),IF($H$5="2ème quinzaine",INDEX(Paie_Brut2,75),INDEX(Paie_BrutMensuel,75)))),"")</f>
      </c>
      <c r="I102" s="24">
        <f>IF(AND($B$5="Tous les employés",IFERROR(INDEX(Pointage_ID,75),"")&lt;&gt;""),IF(75=0,"-",IF($H$5="1ère quinzaine",INDEX(Paie_Retenues1,75),IF($H$5="2ème quinzaine",INDEX(Paie_Retenues2,75),INDEX(Paie_Retenues,75)))),"")</f>
      </c>
      <c r="J102" s="25">
        <f>IF(AND($B$5="Tous les employés",IFERROR(INDEX(Pointage_ID,75),"")&lt;&gt;""),IF(75=0,"-",IF($H$5="1ère quinzaine",INDEX(Paie_Net1,75),IF($H$5="2ème quinzaine",INDEX(Paie_Net2,75),INDEX(Paie_NetMensuel,75)))),"")</f>
      </c>
    </row>
    <row r="103">
      <c r="A103" s="20">
        <f>IF(AND($B$5="Tous les employés",IFERROR(INDEX(Pointage_ID,76),"")&lt;&gt;""),IFERROR(INDEX(Pointage_ID,76),""),"")</f>
      </c>
      <c r="B103" s="19">
        <f>IF(AND($B$5="Tous les employés",IFERROR(INDEX(Pointage_ID,76),"")&lt;&gt;""),INDEX(Pointage_Nom,76),"")</f>
      </c>
      <c r="C103" s="20">
        <f>IF(AND($B$5="Tous les employés",IFERROR(INDEX(Pointage_ID,76),"")&lt;&gt;""),INDEX(Pointage_Categorie,76),"")</f>
      </c>
      <c r="D103" s="22">
        <f>IF(AND($B$5="Tous les employés",IFERROR(INDEX(Pointage_ID,76),"")&lt;&gt;""),IF(76=0,"-",IF($H$5="1ère quinzaine",INDEX(Paie_Jours1,76),IF($H$5="2ème quinzaine",INDEX(Paie_Jours2,76),INDEX(Pointage_Travailles,76)))),"")</f>
      </c>
      <c r="E103" s="23">
        <f>IF(AND($B$5="Tous les employés",IFERROR(INDEX(Pointage_ID,76),"")&lt;&gt;""),IF(76=0,"-",IF($H$5="1ère quinzaine",INDEX(Paie_HS1,76),IF($H$5="2ème quinzaine",INDEX(Paie_HS2,76),INDEX(Pointage_HS,76)))),"")</f>
      </c>
      <c r="F103" s="24">
        <f>IF(AND($B$5="Tous les employés",IFERROR(INDEX(Pointage_ID,76),"")&lt;&gt;""),INDEX(Paie_SalaireJour,76),"")</f>
      </c>
      <c r="G103" s="24">
        <f>IF(AND($B$5="Tous les employés",IFERROR(INDEX(Pointage_ID,76),"")&lt;&gt;""),IF(76=0,"-",IF($H$5="1ère quinzaine",INDEX(Paie_MontantHS1,76),IF($H$5="2ème quinzaine",INDEX(Paie_MontantHS2,76),INDEX(Paie_MontantHS,76)))),"")</f>
      </c>
      <c r="H103" s="24">
        <f>IF(AND($B$5="Tous les employés",IFERROR(INDEX(Pointage_ID,76),"")&lt;&gt;""),IF(76=0,"-",IF($H$5="1ère quinzaine",INDEX(Paie_Brut1,76),IF($H$5="2ème quinzaine",INDEX(Paie_Brut2,76),INDEX(Paie_BrutMensuel,76)))),"")</f>
      </c>
      <c r="I103" s="24">
        <f>IF(AND($B$5="Tous les employés",IFERROR(INDEX(Pointage_ID,76),"")&lt;&gt;""),IF(76=0,"-",IF($H$5="1ère quinzaine",INDEX(Paie_Retenues1,76),IF($H$5="2ème quinzaine",INDEX(Paie_Retenues2,76),INDEX(Paie_Retenues,76)))),"")</f>
      </c>
      <c r="J103" s="25">
        <f>IF(AND($B$5="Tous les employés",IFERROR(INDEX(Pointage_ID,76),"")&lt;&gt;""),IF(76=0,"-",IF($H$5="1ère quinzaine",INDEX(Paie_Net1,76),IF($H$5="2ème quinzaine",INDEX(Paie_Net2,76),INDEX(Paie_NetMensuel,76)))),"")</f>
      </c>
    </row>
    <row r="104">
      <c r="A104" s="20">
        <f>IF(AND($B$5="Tous les employés",IFERROR(INDEX(Pointage_ID,77),"")&lt;&gt;""),IFERROR(INDEX(Pointage_ID,77),""),"")</f>
      </c>
      <c r="B104" s="19">
        <f>IF(AND($B$5="Tous les employés",IFERROR(INDEX(Pointage_ID,77),"")&lt;&gt;""),INDEX(Pointage_Nom,77),"")</f>
      </c>
      <c r="C104" s="20">
        <f>IF(AND($B$5="Tous les employés",IFERROR(INDEX(Pointage_ID,77),"")&lt;&gt;""),INDEX(Pointage_Categorie,77),"")</f>
      </c>
      <c r="D104" s="22">
        <f>IF(AND($B$5="Tous les employés",IFERROR(INDEX(Pointage_ID,77),"")&lt;&gt;""),IF(77=0,"-",IF($H$5="1ère quinzaine",INDEX(Paie_Jours1,77),IF($H$5="2ème quinzaine",INDEX(Paie_Jours2,77),INDEX(Pointage_Travailles,77)))),"")</f>
      </c>
      <c r="E104" s="23">
        <f>IF(AND($B$5="Tous les employés",IFERROR(INDEX(Pointage_ID,77),"")&lt;&gt;""),IF(77=0,"-",IF($H$5="1ère quinzaine",INDEX(Paie_HS1,77),IF($H$5="2ème quinzaine",INDEX(Paie_HS2,77),INDEX(Pointage_HS,77)))),"")</f>
      </c>
      <c r="F104" s="24">
        <f>IF(AND($B$5="Tous les employés",IFERROR(INDEX(Pointage_ID,77),"")&lt;&gt;""),INDEX(Paie_SalaireJour,77),"")</f>
      </c>
      <c r="G104" s="24">
        <f>IF(AND($B$5="Tous les employés",IFERROR(INDEX(Pointage_ID,77),"")&lt;&gt;""),IF(77=0,"-",IF($H$5="1ère quinzaine",INDEX(Paie_MontantHS1,77),IF($H$5="2ème quinzaine",INDEX(Paie_MontantHS2,77),INDEX(Paie_MontantHS,77)))),"")</f>
      </c>
      <c r="H104" s="24">
        <f>IF(AND($B$5="Tous les employés",IFERROR(INDEX(Pointage_ID,77),"")&lt;&gt;""),IF(77=0,"-",IF($H$5="1ère quinzaine",INDEX(Paie_Brut1,77),IF($H$5="2ème quinzaine",INDEX(Paie_Brut2,77),INDEX(Paie_BrutMensuel,77)))),"")</f>
      </c>
      <c r="I104" s="24">
        <f>IF(AND($B$5="Tous les employés",IFERROR(INDEX(Pointage_ID,77),"")&lt;&gt;""),IF(77=0,"-",IF($H$5="1ère quinzaine",INDEX(Paie_Retenues1,77),IF($H$5="2ème quinzaine",INDEX(Paie_Retenues2,77),INDEX(Paie_Retenues,77)))),"")</f>
      </c>
      <c r="J104" s="25">
        <f>IF(AND($B$5="Tous les employés",IFERROR(INDEX(Pointage_ID,77),"")&lt;&gt;""),IF(77=0,"-",IF($H$5="1ère quinzaine",INDEX(Paie_Net1,77),IF($H$5="2ème quinzaine",INDEX(Paie_Net2,77),INDEX(Paie_NetMensuel,77)))),"")</f>
      </c>
    </row>
    <row r="105">
      <c r="A105" s="20">
        <f>IF(AND($B$5="Tous les employés",IFERROR(INDEX(Pointage_ID,78),"")&lt;&gt;""),IFERROR(INDEX(Pointage_ID,78),""),"")</f>
      </c>
      <c r="B105" s="19">
        <f>IF(AND($B$5="Tous les employés",IFERROR(INDEX(Pointage_ID,78),"")&lt;&gt;""),INDEX(Pointage_Nom,78),"")</f>
      </c>
      <c r="C105" s="20">
        <f>IF(AND($B$5="Tous les employés",IFERROR(INDEX(Pointage_ID,78),"")&lt;&gt;""),INDEX(Pointage_Categorie,78),"")</f>
      </c>
      <c r="D105" s="22">
        <f>IF(AND($B$5="Tous les employés",IFERROR(INDEX(Pointage_ID,78),"")&lt;&gt;""),IF(78=0,"-",IF($H$5="1ère quinzaine",INDEX(Paie_Jours1,78),IF($H$5="2ème quinzaine",INDEX(Paie_Jours2,78),INDEX(Pointage_Travailles,78)))),"")</f>
      </c>
      <c r="E105" s="23">
        <f>IF(AND($B$5="Tous les employés",IFERROR(INDEX(Pointage_ID,78),"")&lt;&gt;""),IF(78=0,"-",IF($H$5="1ère quinzaine",INDEX(Paie_HS1,78),IF($H$5="2ème quinzaine",INDEX(Paie_HS2,78),INDEX(Pointage_HS,78)))),"")</f>
      </c>
      <c r="F105" s="24">
        <f>IF(AND($B$5="Tous les employés",IFERROR(INDEX(Pointage_ID,78),"")&lt;&gt;""),INDEX(Paie_SalaireJour,78),"")</f>
      </c>
      <c r="G105" s="24">
        <f>IF(AND($B$5="Tous les employés",IFERROR(INDEX(Pointage_ID,78),"")&lt;&gt;""),IF(78=0,"-",IF($H$5="1ère quinzaine",INDEX(Paie_MontantHS1,78),IF($H$5="2ème quinzaine",INDEX(Paie_MontantHS2,78),INDEX(Paie_MontantHS,78)))),"")</f>
      </c>
      <c r="H105" s="24">
        <f>IF(AND($B$5="Tous les employés",IFERROR(INDEX(Pointage_ID,78),"")&lt;&gt;""),IF(78=0,"-",IF($H$5="1ère quinzaine",INDEX(Paie_Brut1,78),IF($H$5="2ème quinzaine",INDEX(Paie_Brut2,78),INDEX(Paie_BrutMensuel,78)))),"")</f>
      </c>
      <c r="I105" s="24">
        <f>IF(AND($B$5="Tous les employés",IFERROR(INDEX(Pointage_ID,78),"")&lt;&gt;""),IF(78=0,"-",IF($H$5="1ère quinzaine",INDEX(Paie_Retenues1,78),IF($H$5="2ème quinzaine",INDEX(Paie_Retenues2,78),INDEX(Paie_Retenues,78)))),"")</f>
      </c>
      <c r="J105" s="25">
        <f>IF(AND($B$5="Tous les employés",IFERROR(INDEX(Pointage_ID,78),"")&lt;&gt;""),IF(78=0,"-",IF($H$5="1ère quinzaine",INDEX(Paie_Net1,78),IF($H$5="2ème quinzaine",INDEX(Paie_Net2,78),INDEX(Paie_NetMensuel,78)))),"")</f>
      </c>
    </row>
    <row r="106">
      <c r="A106" s="20">
        <f>IF(AND($B$5="Tous les employés",IFERROR(INDEX(Pointage_ID,79),"")&lt;&gt;""),IFERROR(INDEX(Pointage_ID,79),""),"")</f>
      </c>
      <c r="B106" s="19">
        <f>IF(AND($B$5="Tous les employés",IFERROR(INDEX(Pointage_ID,79),"")&lt;&gt;""),INDEX(Pointage_Nom,79),"")</f>
      </c>
      <c r="C106" s="20">
        <f>IF(AND($B$5="Tous les employés",IFERROR(INDEX(Pointage_ID,79),"")&lt;&gt;""),INDEX(Pointage_Categorie,79),"")</f>
      </c>
      <c r="D106" s="22">
        <f>IF(AND($B$5="Tous les employés",IFERROR(INDEX(Pointage_ID,79),"")&lt;&gt;""),IF(79=0,"-",IF($H$5="1ère quinzaine",INDEX(Paie_Jours1,79),IF($H$5="2ème quinzaine",INDEX(Paie_Jours2,79),INDEX(Pointage_Travailles,79)))),"")</f>
      </c>
      <c r="E106" s="23">
        <f>IF(AND($B$5="Tous les employés",IFERROR(INDEX(Pointage_ID,79),"")&lt;&gt;""),IF(79=0,"-",IF($H$5="1ère quinzaine",INDEX(Paie_HS1,79),IF($H$5="2ème quinzaine",INDEX(Paie_HS2,79),INDEX(Pointage_HS,79)))),"")</f>
      </c>
      <c r="F106" s="24">
        <f>IF(AND($B$5="Tous les employés",IFERROR(INDEX(Pointage_ID,79),"")&lt;&gt;""),INDEX(Paie_SalaireJour,79),"")</f>
      </c>
      <c r="G106" s="24">
        <f>IF(AND($B$5="Tous les employés",IFERROR(INDEX(Pointage_ID,79),"")&lt;&gt;""),IF(79=0,"-",IF($H$5="1ère quinzaine",INDEX(Paie_MontantHS1,79),IF($H$5="2ème quinzaine",INDEX(Paie_MontantHS2,79),INDEX(Paie_MontantHS,79)))),"")</f>
      </c>
      <c r="H106" s="24">
        <f>IF(AND($B$5="Tous les employés",IFERROR(INDEX(Pointage_ID,79),"")&lt;&gt;""),IF(79=0,"-",IF($H$5="1ère quinzaine",INDEX(Paie_Brut1,79),IF($H$5="2ème quinzaine",INDEX(Paie_Brut2,79),INDEX(Paie_BrutMensuel,79)))),"")</f>
      </c>
      <c r="I106" s="24">
        <f>IF(AND($B$5="Tous les employés",IFERROR(INDEX(Pointage_ID,79),"")&lt;&gt;""),IF(79=0,"-",IF($H$5="1ère quinzaine",INDEX(Paie_Retenues1,79),IF($H$5="2ème quinzaine",INDEX(Paie_Retenues2,79),INDEX(Paie_Retenues,79)))),"")</f>
      </c>
      <c r="J106" s="25">
        <f>IF(AND($B$5="Tous les employés",IFERROR(INDEX(Pointage_ID,79),"")&lt;&gt;""),IF(79=0,"-",IF($H$5="1ère quinzaine",INDEX(Paie_Net1,79),IF($H$5="2ème quinzaine",INDEX(Paie_Net2,79),INDEX(Paie_NetMensuel,79)))),"")</f>
      </c>
    </row>
    <row r="107">
      <c r="A107" s="20">
        <f>IF(AND($B$5="Tous les employés",IFERROR(INDEX(Pointage_ID,80),"")&lt;&gt;""),IFERROR(INDEX(Pointage_ID,80),""),"")</f>
      </c>
      <c r="B107" s="19">
        <f>IF(AND($B$5="Tous les employés",IFERROR(INDEX(Pointage_ID,80),"")&lt;&gt;""),INDEX(Pointage_Nom,80),"")</f>
      </c>
      <c r="C107" s="20">
        <f>IF(AND($B$5="Tous les employés",IFERROR(INDEX(Pointage_ID,80),"")&lt;&gt;""),INDEX(Pointage_Categorie,80),"")</f>
      </c>
      <c r="D107" s="22">
        <f>IF(AND($B$5="Tous les employés",IFERROR(INDEX(Pointage_ID,80),"")&lt;&gt;""),IF(80=0,"-",IF($H$5="1ère quinzaine",INDEX(Paie_Jours1,80),IF($H$5="2ème quinzaine",INDEX(Paie_Jours2,80),INDEX(Pointage_Travailles,80)))),"")</f>
      </c>
      <c r="E107" s="23">
        <f>IF(AND($B$5="Tous les employés",IFERROR(INDEX(Pointage_ID,80),"")&lt;&gt;""),IF(80=0,"-",IF($H$5="1ère quinzaine",INDEX(Paie_HS1,80),IF($H$5="2ème quinzaine",INDEX(Paie_HS2,80),INDEX(Pointage_HS,80)))),"")</f>
      </c>
      <c r="F107" s="24">
        <f>IF(AND($B$5="Tous les employés",IFERROR(INDEX(Pointage_ID,80),"")&lt;&gt;""),INDEX(Paie_SalaireJour,80),"")</f>
      </c>
      <c r="G107" s="24">
        <f>IF(AND($B$5="Tous les employés",IFERROR(INDEX(Pointage_ID,80),"")&lt;&gt;""),IF(80=0,"-",IF($H$5="1ère quinzaine",INDEX(Paie_MontantHS1,80),IF($H$5="2ème quinzaine",INDEX(Paie_MontantHS2,80),INDEX(Paie_MontantHS,80)))),"")</f>
      </c>
      <c r="H107" s="24">
        <f>IF(AND($B$5="Tous les employés",IFERROR(INDEX(Pointage_ID,80),"")&lt;&gt;""),IF(80=0,"-",IF($H$5="1ère quinzaine",INDEX(Paie_Brut1,80),IF($H$5="2ème quinzaine",INDEX(Paie_Brut2,80),INDEX(Paie_BrutMensuel,80)))),"")</f>
      </c>
      <c r="I107" s="24">
        <f>IF(AND($B$5="Tous les employés",IFERROR(INDEX(Pointage_ID,80),"")&lt;&gt;""),IF(80=0,"-",IF($H$5="1ère quinzaine",INDEX(Paie_Retenues1,80),IF($H$5="2ème quinzaine",INDEX(Paie_Retenues2,80),INDEX(Paie_Retenues,80)))),"")</f>
      </c>
      <c r="J107" s="25">
        <f>IF(AND($B$5="Tous les employés",IFERROR(INDEX(Pointage_ID,80),"")&lt;&gt;""),IF(80=0,"-",IF($H$5="1ère quinzaine",INDEX(Paie_Net1,80),IF($H$5="2ème quinzaine",INDEX(Paie_Net2,80),INDEX(Paie_NetMensuel,80)))),"")</f>
      </c>
    </row>
    <row r="108">
      <c r="A108" s="20">
        <f>IF(AND($B$5="Tous les employés",IFERROR(INDEX(Pointage_ID,81),"")&lt;&gt;""),IFERROR(INDEX(Pointage_ID,81),""),"")</f>
      </c>
      <c r="B108" s="19">
        <f>IF(AND($B$5="Tous les employés",IFERROR(INDEX(Pointage_ID,81),"")&lt;&gt;""),INDEX(Pointage_Nom,81),"")</f>
      </c>
      <c r="C108" s="20">
        <f>IF(AND($B$5="Tous les employés",IFERROR(INDEX(Pointage_ID,81),"")&lt;&gt;""),INDEX(Pointage_Categorie,81),"")</f>
      </c>
      <c r="D108" s="22">
        <f>IF(AND($B$5="Tous les employés",IFERROR(INDEX(Pointage_ID,81),"")&lt;&gt;""),IF(81=0,"-",IF($H$5="1ère quinzaine",INDEX(Paie_Jours1,81),IF($H$5="2ème quinzaine",INDEX(Paie_Jours2,81),INDEX(Pointage_Travailles,81)))),"")</f>
      </c>
      <c r="E108" s="23">
        <f>IF(AND($B$5="Tous les employés",IFERROR(INDEX(Pointage_ID,81),"")&lt;&gt;""),IF(81=0,"-",IF($H$5="1ère quinzaine",INDEX(Paie_HS1,81),IF($H$5="2ème quinzaine",INDEX(Paie_HS2,81),INDEX(Pointage_HS,81)))),"")</f>
      </c>
      <c r="F108" s="24">
        <f>IF(AND($B$5="Tous les employés",IFERROR(INDEX(Pointage_ID,81),"")&lt;&gt;""),INDEX(Paie_SalaireJour,81),"")</f>
      </c>
      <c r="G108" s="24">
        <f>IF(AND($B$5="Tous les employés",IFERROR(INDEX(Pointage_ID,81),"")&lt;&gt;""),IF(81=0,"-",IF($H$5="1ère quinzaine",INDEX(Paie_MontantHS1,81),IF($H$5="2ème quinzaine",INDEX(Paie_MontantHS2,81),INDEX(Paie_MontantHS,81)))),"")</f>
      </c>
      <c r="H108" s="24">
        <f>IF(AND($B$5="Tous les employés",IFERROR(INDEX(Pointage_ID,81),"")&lt;&gt;""),IF(81=0,"-",IF($H$5="1ère quinzaine",INDEX(Paie_Brut1,81),IF($H$5="2ème quinzaine",INDEX(Paie_Brut2,81),INDEX(Paie_BrutMensuel,81)))),"")</f>
      </c>
      <c r="I108" s="24">
        <f>IF(AND($B$5="Tous les employés",IFERROR(INDEX(Pointage_ID,81),"")&lt;&gt;""),IF(81=0,"-",IF($H$5="1ère quinzaine",INDEX(Paie_Retenues1,81),IF($H$5="2ème quinzaine",INDEX(Paie_Retenues2,81),INDEX(Paie_Retenues,81)))),"")</f>
      </c>
      <c r="J108" s="25">
        <f>IF(AND($B$5="Tous les employés",IFERROR(INDEX(Pointage_ID,81),"")&lt;&gt;""),IF(81=0,"-",IF($H$5="1ère quinzaine",INDEX(Paie_Net1,81),IF($H$5="2ème quinzaine",INDEX(Paie_Net2,81),INDEX(Paie_NetMensuel,81)))),"")</f>
      </c>
    </row>
    <row r="109">
      <c r="A109" s="20">
        <f>IF(AND($B$5="Tous les employés",IFERROR(INDEX(Pointage_ID,82),"")&lt;&gt;""),IFERROR(INDEX(Pointage_ID,82),""),"")</f>
      </c>
      <c r="B109" s="19">
        <f>IF(AND($B$5="Tous les employés",IFERROR(INDEX(Pointage_ID,82),"")&lt;&gt;""),INDEX(Pointage_Nom,82),"")</f>
      </c>
      <c r="C109" s="20">
        <f>IF(AND($B$5="Tous les employés",IFERROR(INDEX(Pointage_ID,82),"")&lt;&gt;""),INDEX(Pointage_Categorie,82),"")</f>
      </c>
      <c r="D109" s="22">
        <f>IF(AND($B$5="Tous les employés",IFERROR(INDEX(Pointage_ID,82),"")&lt;&gt;""),IF(82=0,"-",IF($H$5="1ère quinzaine",INDEX(Paie_Jours1,82),IF($H$5="2ème quinzaine",INDEX(Paie_Jours2,82),INDEX(Pointage_Travailles,82)))),"")</f>
      </c>
      <c r="E109" s="23">
        <f>IF(AND($B$5="Tous les employés",IFERROR(INDEX(Pointage_ID,82),"")&lt;&gt;""),IF(82=0,"-",IF($H$5="1ère quinzaine",INDEX(Paie_HS1,82),IF($H$5="2ème quinzaine",INDEX(Paie_HS2,82),INDEX(Pointage_HS,82)))),"")</f>
      </c>
      <c r="F109" s="24">
        <f>IF(AND($B$5="Tous les employés",IFERROR(INDEX(Pointage_ID,82),"")&lt;&gt;""),INDEX(Paie_SalaireJour,82),"")</f>
      </c>
      <c r="G109" s="24">
        <f>IF(AND($B$5="Tous les employés",IFERROR(INDEX(Pointage_ID,82),"")&lt;&gt;""),IF(82=0,"-",IF($H$5="1ère quinzaine",INDEX(Paie_MontantHS1,82),IF($H$5="2ème quinzaine",INDEX(Paie_MontantHS2,82),INDEX(Paie_MontantHS,82)))),"")</f>
      </c>
      <c r="H109" s="24">
        <f>IF(AND($B$5="Tous les employés",IFERROR(INDEX(Pointage_ID,82),"")&lt;&gt;""),IF(82=0,"-",IF($H$5="1ère quinzaine",INDEX(Paie_Brut1,82),IF($H$5="2ème quinzaine",INDEX(Paie_Brut2,82),INDEX(Paie_BrutMensuel,82)))),"")</f>
      </c>
      <c r="I109" s="24">
        <f>IF(AND($B$5="Tous les employés",IFERROR(INDEX(Pointage_ID,82),"")&lt;&gt;""),IF(82=0,"-",IF($H$5="1ère quinzaine",INDEX(Paie_Retenues1,82),IF($H$5="2ème quinzaine",INDEX(Paie_Retenues2,82),INDEX(Paie_Retenues,82)))),"")</f>
      </c>
      <c r="J109" s="25">
        <f>IF(AND($B$5="Tous les employés",IFERROR(INDEX(Pointage_ID,82),"")&lt;&gt;""),IF(82=0,"-",IF($H$5="1ère quinzaine",INDEX(Paie_Net1,82),IF($H$5="2ème quinzaine",INDEX(Paie_Net2,82),INDEX(Paie_NetMensuel,82)))),"")</f>
      </c>
    </row>
    <row r="110">
      <c r="A110" s="20">
        <f>IF(AND($B$5="Tous les employés",IFERROR(INDEX(Pointage_ID,83),"")&lt;&gt;""),IFERROR(INDEX(Pointage_ID,83),""),"")</f>
      </c>
      <c r="B110" s="19">
        <f>IF(AND($B$5="Tous les employés",IFERROR(INDEX(Pointage_ID,83),"")&lt;&gt;""),INDEX(Pointage_Nom,83),"")</f>
      </c>
      <c r="C110" s="20">
        <f>IF(AND($B$5="Tous les employés",IFERROR(INDEX(Pointage_ID,83),"")&lt;&gt;""),INDEX(Pointage_Categorie,83),"")</f>
      </c>
      <c r="D110" s="22">
        <f>IF(AND($B$5="Tous les employés",IFERROR(INDEX(Pointage_ID,83),"")&lt;&gt;""),IF(83=0,"-",IF($H$5="1ère quinzaine",INDEX(Paie_Jours1,83),IF($H$5="2ème quinzaine",INDEX(Paie_Jours2,83),INDEX(Pointage_Travailles,83)))),"")</f>
      </c>
      <c r="E110" s="23">
        <f>IF(AND($B$5="Tous les employés",IFERROR(INDEX(Pointage_ID,83),"")&lt;&gt;""),IF(83=0,"-",IF($H$5="1ère quinzaine",INDEX(Paie_HS1,83),IF($H$5="2ème quinzaine",INDEX(Paie_HS2,83),INDEX(Pointage_HS,83)))),"")</f>
      </c>
      <c r="F110" s="24">
        <f>IF(AND($B$5="Tous les employés",IFERROR(INDEX(Pointage_ID,83),"")&lt;&gt;""),INDEX(Paie_SalaireJour,83),"")</f>
      </c>
      <c r="G110" s="24">
        <f>IF(AND($B$5="Tous les employés",IFERROR(INDEX(Pointage_ID,83),"")&lt;&gt;""),IF(83=0,"-",IF($H$5="1ère quinzaine",INDEX(Paie_MontantHS1,83),IF($H$5="2ème quinzaine",INDEX(Paie_MontantHS2,83),INDEX(Paie_MontantHS,83)))),"")</f>
      </c>
      <c r="H110" s="24">
        <f>IF(AND($B$5="Tous les employés",IFERROR(INDEX(Pointage_ID,83),"")&lt;&gt;""),IF(83=0,"-",IF($H$5="1ère quinzaine",INDEX(Paie_Brut1,83),IF($H$5="2ème quinzaine",INDEX(Paie_Brut2,83),INDEX(Paie_BrutMensuel,83)))),"")</f>
      </c>
      <c r="I110" s="24">
        <f>IF(AND($B$5="Tous les employés",IFERROR(INDEX(Pointage_ID,83),"")&lt;&gt;""),IF(83=0,"-",IF($H$5="1ère quinzaine",INDEX(Paie_Retenues1,83),IF($H$5="2ème quinzaine",INDEX(Paie_Retenues2,83),INDEX(Paie_Retenues,83)))),"")</f>
      </c>
      <c r="J110" s="25">
        <f>IF(AND($B$5="Tous les employés",IFERROR(INDEX(Pointage_ID,83),"")&lt;&gt;""),IF(83=0,"-",IF($H$5="1ère quinzaine",INDEX(Paie_Net1,83),IF($H$5="2ème quinzaine",INDEX(Paie_Net2,83),INDEX(Paie_NetMensuel,83)))),"")</f>
      </c>
    </row>
    <row r="111">
      <c r="A111" s="20">
        <f>IF(AND($B$5="Tous les employés",IFERROR(INDEX(Pointage_ID,84),"")&lt;&gt;""),IFERROR(INDEX(Pointage_ID,84),""),"")</f>
      </c>
      <c r="B111" s="19">
        <f>IF(AND($B$5="Tous les employés",IFERROR(INDEX(Pointage_ID,84),"")&lt;&gt;""),INDEX(Pointage_Nom,84),"")</f>
      </c>
      <c r="C111" s="20">
        <f>IF(AND($B$5="Tous les employés",IFERROR(INDEX(Pointage_ID,84),"")&lt;&gt;""),INDEX(Pointage_Categorie,84),"")</f>
      </c>
      <c r="D111" s="22">
        <f>IF(AND($B$5="Tous les employés",IFERROR(INDEX(Pointage_ID,84),"")&lt;&gt;""),IF(84=0,"-",IF($H$5="1ère quinzaine",INDEX(Paie_Jours1,84),IF($H$5="2ème quinzaine",INDEX(Paie_Jours2,84),INDEX(Pointage_Travailles,84)))),"")</f>
      </c>
      <c r="E111" s="23">
        <f>IF(AND($B$5="Tous les employés",IFERROR(INDEX(Pointage_ID,84),"")&lt;&gt;""),IF(84=0,"-",IF($H$5="1ère quinzaine",INDEX(Paie_HS1,84),IF($H$5="2ème quinzaine",INDEX(Paie_HS2,84),INDEX(Pointage_HS,84)))),"")</f>
      </c>
      <c r="F111" s="24">
        <f>IF(AND($B$5="Tous les employés",IFERROR(INDEX(Pointage_ID,84),"")&lt;&gt;""),INDEX(Paie_SalaireJour,84),"")</f>
      </c>
      <c r="G111" s="24">
        <f>IF(AND($B$5="Tous les employés",IFERROR(INDEX(Pointage_ID,84),"")&lt;&gt;""),IF(84=0,"-",IF($H$5="1ère quinzaine",INDEX(Paie_MontantHS1,84),IF($H$5="2ème quinzaine",INDEX(Paie_MontantHS2,84),INDEX(Paie_MontantHS,84)))),"")</f>
      </c>
      <c r="H111" s="24">
        <f>IF(AND($B$5="Tous les employés",IFERROR(INDEX(Pointage_ID,84),"")&lt;&gt;""),IF(84=0,"-",IF($H$5="1ère quinzaine",INDEX(Paie_Brut1,84),IF($H$5="2ème quinzaine",INDEX(Paie_Brut2,84),INDEX(Paie_BrutMensuel,84)))),"")</f>
      </c>
      <c r="I111" s="24">
        <f>IF(AND($B$5="Tous les employés",IFERROR(INDEX(Pointage_ID,84),"")&lt;&gt;""),IF(84=0,"-",IF($H$5="1ère quinzaine",INDEX(Paie_Retenues1,84),IF($H$5="2ème quinzaine",INDEX(Paie_Retenues2,84),INDEX(Paie_Retenues,84)))),"")</f>
      </c>
      <c r="J111" s="25">
        <f>IF(AND($B$5="Tous les employés",IFERROR(INDEX(Pointage_ID,84),"")&lt;&gt;""),IF(84=0,"-",IF($H$5="1ère quinzaine",INDEX(Paie_Net1,84),IF($H$5="2ème quinzaine",INDEX(Paie_Net2,84),INDEX(Paie_NetMensuel,84)))),"")</f>
      </c>
    </row>
    <row r="112">
      <c r="A112" s="20">
        <f>IF(AND($B$5="Tous les employés",IFERROR(INDEX(Pointage_ID,85),"")&lt;&gt;""),IFERROR(INDEX(Pointage_ID,85),""),"")</f>
      </c>
      <c r="B112" s="19">
        <f>IF(AND($B$5="Tous les employés",IFERROR(INDEX(Pointage_ID,85),"")&lt;&gt;""),INDEX(Pointage_Nom,85),"")</f>
      </c>
      <c r="C112" s="20">
        <f>IF(AND($B$5="Tous les employés",IFERROR(INDEX(Pointage_ID,85),"")&lt;&gt;""),INDEX(Pointage_Categorie,85),"")</f>
      </c>
      <c r="D112" s="22">
        <f>IF(AND($B$5="Tous les employés",IFERROR(INDEX(Pointage_ID,85),"")&lt;&gt;""),IF(85=0,"-",IF($H$5="1ère quinzaine",INDEX(Paie_Jours1,85),IF($H$5="2ème quinzaine",INDEX(Paie_Jours2,85),INDEX(Pointage_Travailles,85)))),"")</f>
      </c>
      <c r="E112" s="23">
        <f>IF(AND($B$5="Tous les employés",IFERROR(INDEX(Pointage_ID,85),"")&lt;&gt;""),IF(85=0,"-",IF($H$5="1ère quinzaine",INDEX(Paie_HS1,85),IF($H$5="2ème quinzaine",INDEX(Paie_HS2,85),INDEX(Pointage_HS,85)))),"")</f>
      </c>
      <c r="F112" s="24">
        <f>IF(AND($B$5="Tous les employés",IFERROR(INDEX(Pointage_ID,85),"")&lt;&gt;""),INDEX(Paie_SalaireJour,85),"")</f>
      </c>
      <c r="G112" s="24">
        <f>IF(AND($B$5="Tous les employés",IFERROR(INDEX(Pointage_ID,85),"")&lt;&gt;""),IF(85=0,"-",IF($H$5="1ère quinzaine",INDEX(Paie_MontantHS1,85),IF($H$5="2ème quinzaine",INDEX(Paie_MontantHS2,85),INDEX(Paie_MontantHS,85)))),"")</f>
      </c>
      <c r="H112" s="24">
        <f>IF(AND($B$5="Tous les employés",IFERROR(INDEX(Pointage_ID,85),"")&lt;&gt;""),IF(85=0,"-",IF($H$5="1ère quinzaine",INDEX(Paie_Brut1,85),IF($H$5="2ème quinzaine",INDEX(Paie_Brut2,85),INDEX(Paie_BrutMensuel,85)))),"")</f>
      </c>
      <c r="I112" s="24">
        <f>IF(AND($B$5="Tous les employés",IFERROR(INDEX(Pointage_ID,85),"")&lt;&gt;""),IF(85=0,"-",IF($H$5="1ère quinzaine",INDEX(Paie_Retenues1,85),IF($H$5="2ème quinzaine",INDEX(Paie_Retenues2,85),INDEX(Paie_Retenues,85)))),"")</f>
      </c>
      <c r="J112" s="25">
        <f>IF(AND($B$5="Tous les employés",IFERROR(INDEX(Pointage_ID,85),"")&lt;&gt;""),IF(85=0,"-",IF($H$5="1ère quinzaine",INDEX(Paie_Net1,85),IF($H$5="2ème quinzaine",INDEX(Paie_Net2,85),INDEX(Paie_NetMensuel,85)))),"")</f>
      </c>
    </row>
    <row r="113">
      <c r="A113" s="20">
        <f>IF(AND($B$5="Tous les employés",IFERROR(INDEX(Pointage_ID,86),"")&lt;&gt;""),IFERROR(INDEX(Pointage_ID,86),""),"")</f>
      </c>
      <c r="B113" s="19">
        <f>IF(AND($B$5="Tous les employés",IFERROR(INDEX(Pointage_ID,86),"")&lt;&gt;""),INDEX(Pointage_Nom,86),"")</f>
      </c>
      <c r="C113" s="20">
        <f>IF(AND($B$5="Tous les employés",IFERROR(INDEX(Pointage_ID,86),"")&lt;&gt;""),INDEX(Pointage_Categorie,86),"")</f>
      </c>
      <c r="D113" s="22">
        <f>IF(AND($B$5="Tous les employés",IFERROR(INDEX(Pointage_ID,86),"")&lt;&gt;""),IF(86=0,"-",IF($H$5="1ère quinzaine",INDEX(Paie_Jours1,86),IF($H$5="2ème quinzaine",INDEX(Paie_Jours2,86),INDEX(Pointage_Travailles,86)))),"")</f>
      </c>
      <c r="E113" s="23">
        <f>IF(AND($B$5="Tous les employés",IFERROR(INDEX(Pointage_ID,86),"")&lt;&gt;""),IF(86=0,"-",IF($H$5="1ère quinzaine",INDEX(Paie_HS1,86),IF($H$5="2ème quinzaine",INDEX(Paie_HS2,86),INDEX(Pointage_HS,86)))),"")</f>
      </c>
      <c r="F113" s="24">
        <f>IF(AND($B$5="Tous les employés",IFERROR(INDEX(Pointage_ID,86),"")&lt;&gt;""),INDEX(Paie_SalaireJour,86),"")</f>
      </c>
      <c r="G113" s="24">
        <f>IF(AND($B$5="Tous les employés",IFERROR(INDEX(Pointage_ID,86),"")&lt;&gt;""),IF(86=0,"-",IF($H$5="1ère quinzaine",INDEX(Paie_MontantHS1,86),IF($H$5="2ème quinzaine",INDEX(Paie_MontantHS2,86),INDEX(Paie_MontantHS,86)))),"")</f>
      </c>
      <c r="H113" s="24">
        <f>IF(AND($B$5="Tous les employés",IFERROR(INDEX(Pointage_ID,86),"")&lt;&gt;""),IF(86=0,"-",IF($H$5="1ère quinzaine",INDEX(Paie_Brut1,86),IF($H$5="2ème quinzaine",INDEX(Paie_Brut2,86),INDEX(Paie_BrutMensuel,86)))),"")</f>
      </c>
      <c r="I113" s="24">
        <f>IF(AND($B$5="Tous les employés",IFERROR(INDEX(Pointage_ID,86),"")&lt;&gt;""),IF(86=0,"-",IF($H$5="1ère quinzaine",INDEX(Paie_Retenues1,86),IF($H$5="2ème quinzaine",INDEX(Paie_Retenues2,86),INDEX(Paie_Retenues,86)))),"")</f>
      </c>
      <c r="J113" s="25">
        <f>IF(AND($B$5="Tous les employés",IFERROR(INDEX(Pointage_ID,86),"")&lt;&gt;""),IF(86=0,"-",IF($H$5="1ère quinzaine",INDEX(Paie_Net1,86),IF($H$5="2ème quinzaine",INDEX(Paie_Net2,86),INDEX(Paie_NetMensuel,86)))),"")</f>
      </c>
    </row>
    <row r="114">
      <c r="A114" s="20">
        <f>IF(AND($B$5="Tous les employés",IFERROR(INDEX(Pointage_ID,87),"")&lt;&gt;""),IFERROR(INDEX(Pointage_ID,87),""),"")</f>
      </c>
      <c r="B114" s="19">
        <f>IF(AND($B$5="Tous les employés",IFERROR(INDEX(Pointage_ID,87),"")&lt;&gt;""),INDEX(Pointage_Nom,87),"")</f>
      </c>
      <c r="C114" s="20">
        <f>IF(AND($B$5="Tous les employés",IFERROR(INDEX(Pointage_ID,87),"")&lt;&gt;""),INDEX(Pointage_Categorie,87),"")</f>
      </c>
      <c r="D114" s="22">
        <f>IF(AND($B$5="Tous les employés",IFERROR(INDEX(Pointage_ID,87),"")&lt;&gt;""),IF(87=0,"-",IF($H$5="1ère quinzaine",INDEX(Paie_Jours1,87),IF($H$5="2ème quinzaine",INDEX(Paie_Jours2,87),INDEX(Pointage_Travailles,87)))),"")</f>
      </c>
      <c r="E114" s="23">
        <f>IF(AND($B$5="Tous les employés",IFERROR(INDEX(Pointage_ID,87),"")&lt;&gt;""),IF(87=0,"-",IF($H$5="1ère quinzaine",INDEX(Paie_HS1,87),IF($H$5="2ème quinzaine",INDEX(Paie_HS2,87),INDEX(Pointage_HS,87)))),"")</f>
      </c>
      <c r="F114" s="24">
        <f>IF(AND($B$5="Tous les employés",IFERROR(INDEX(Pointage_ID,87),"")&lt;&gt;""),INDEX(Paie_SalaireJour,87),"")</f>
      </c>
      <c r="G114" s="24">
        <f>IF(AND($B$5="Tous les employés",IFERROR(INDEX(Pointage_ID,87),"")&lt;&gt;""),IF(87=0,"-",IF($H$5="1ère quinzaine",INDEX(Paie_MontantHS1,87),IF($H$5="2ème quinzaine",INDEX(Paie_MontantHS2,87),INDEX(Paie_MontantHS,87)))),"")</f>
      </c>
      <c r="H114" s="24">
        <f>IF(AND($B$5="Tous les employés",IFERROR(INDEX(Pointage_ID,87),"")&lt;&gt;""),IF(87=0,"-",IF($H$5="1ère quinzaine",INDEX(Paie_Brut1,87),IF($H$5="2ème quinzaine",INDEX(Paie_Brut2,87),INDEX(Paie_BrutMensuel,87)))),"")</f>
      </c>
      <c r="I114" s="24">
        <f>IF(AND($B$5="Tous les employés",IFERROR(INDEX(Pointage_ID,87),"")&lt;&gt;""),IF(87=0,"-",IF($H$5="1ère quinzaine",INDEX(Paie_Retenues1,87),IF($H$5="2ème quinzaine",INDEX(Paie_Retenues2,87),INDEX(Paie_Retenues,87)))),"")</f>
      </c>
      <c r="J114" s="25">
        <f>IF(AND($B$5="Tous les employés",IFERROR(INDEX(Pointage_ID,87),"")&lt;&gt;""),IF(87=0,"-",IF($H$5="1ère quinzaine",INDEX(Paie_Net1,87),IF($H$5="2ème quinzaine",INDEX(Paie_Net2,87),INDEX(Paie_NetMensuel,87)))),"")</f>
      </c>
    </row>
    <row r="115">
      <c r="A115" s="20">
        <f>IF(AND($B$5="Tous les employés",IFERROR(INDEX(Pointage_ID,88),"")&lt;&gt;""),IFERROR(INDEX(Pointage_ID,88),""),"")</f>
      </c>
      <c r="B115" s="19">
        <f>IF(AND($B$5="Tous les employés",IFERROR(INDEX(Pointage_ID,88),"")&lt;&gt;""),INDEX(Pointage_Nom,88),"")</f>
      </c>
      <c r="C115" s="20">
        <f>IF(AND($B$5="Tous les employés",IFERROR(INDEX(Pointage_ID,88),"")&lt;&gt;""),INDEX(Pointage_Categorie,88),"")</f>
      </c>
      <c r="D115" s="22">
        <f>IF(AND($B$5="Tous les employés",IFERROR(INDEX(Pointage_ID,88),"")&lt;&gt;""),IF(88=0,"-",IF($H$5="1ère quinzaine",INDEX(Paie_Jours1,88),IF($H$5="2ème quinzaine",INDEX(Paie_Jours2,88),INDEX(Pointage_Travailles,88)))),"")</f>
      </c>
      <c r="E115" s="23">
        <f>IF(AND($B$5="Tous les employés",IFERROR(INDEX(Pointage_ID,88),"")&lt;&gt;""),IF(88=0,"-",IF($H$5="1ère quinzaine",INDEX(Paie_HS1,88),IF($H$5="2ème quinzaine",INDEX(Paie_HS2,88),INDEX(Pointage_HS,88)))),"")</f>
      </c>
      <c r="F115" s="24">
        <f>IF(AND($B$5="Tous les employés",IFERROR(INDEX(Pointage_ID,88),"")&lt;&gt;""),INDEX(Paie_SalaireJour,88),"")</f>
      </c>
      <c r="G115" s="24">
        <f>IF(AND($B$5="Tous les employés",IFERROR(INDEX(Pointage_ID,88),"")&lt;&gt;""),IF(88=0,"-",IF($H$5="1ère quinzaine",INDEX(Paie_MontantHS1,88),IF($H$5="2ème quinzaine",INDEX(Paie_MontantHS2,88),INDEX(Paie_MontantHS,88)))),"")</f>
      </c>
      <c r="H115" s="24">
        <f>IF(AND($B$5="Tous les employés",IFERROR(INDEX(Pointage_ID,88),"")&lt;&gt;""),IF(88=0,"-",IF($H$5="1ère quinzaine",INDEX(Paie_Brut1,88),IF($H$5="2ème quinzaine",INDEX(Paie_Brut2,88),INDEX(Paie_BrutMensuel,88)))),"")</f>
      </c>
      <c r="I115" s="24">
        <f>IF(AND($B$5="Tous les employés",IFERROR(INDEX(Pointage_ID,88),"")&lt;&gt;""),IF(88=0,"-",IF($H$5="1ère quinzaine",INDEX(Paie_Retenues1,88),IF($H$5="2ème quinzaine",INDEX(Paie_Retenues2,88),INDEX(Paie_Retenues,88)))),"")</f>
      </c>
      <c r="J115" s="25">
        <f>IF(AND($B$5="Tous les employés",IFERROR(INDEX(Pointage_ID,88),"")&lt;&gt;""),IF(88=0,"-",IF($H$5="1ère quinzaine",INDEX(Paie_Net1,88),IF($H$5="2ème quinzaine",INDEX(Paie_Net2,88),INDEX(Paie_NetMensuel,88)))),"")</f>
      </c>
    </row>
    <row r="116">
      <c r="A116" s="20">
        <f>IF(AND($B$5="Tous les employés",IFERROR(INDEX(Pointage_ID,89),"")&lt;&gt;""),IFERROR(INDEX(Pointage_ID,89),""),"")</f>
      </c>
      <c r="B116" s="19">
        <f>IF(AND($B$5="Tous les employés",IFERROR(INDEX(Pointage_ID,89),"")&lt;&gt;""),INDEX(Pointage_Nom,89),"")</f>
      </c>
      <c r="C116" s="20">
        <f>IF(AND($B$5="Tous les employés",IFERROR(INDEX(Pointage_ID,89),"")&lt;&gt;""),INDEX(Pointage_Categorie,89),"")</f>
      </c>
      <c r="D116" s="22">
        <f>IF(AND($B$5="Tous les employés",IFERROR(INDEX(Pointage_ID,89),"")&lt;&gt;""),IF(89=0,"-",IF($H$5="1ère quinzaine",INDEX(Paie_Jours1,89),IF($H$5="2ème quinzaine",INDEX(Paie_Jours2,89),INDEX(Pointage_Travailles,89)))),"")</f>
      </c>
      <c r="E116" s="23">
        <f>IF(AND($B$5="Tous les employés",IFERROR(INDEX(Pointage_ID,89),"")&lt;&gt;""),IF(89=0,"-",IF($H$5="1ère quinzaine",INDEX(Paie_HS1,89),IF($H$5="2ème quinzaine",INDEX(Paie_HS2,89),INDEX(Pointage_HS,89)))),"")</f>
      </c>
      <c r="F116" s="24">
        <f>IF(AND($B$5="Tous les employés",IFERROR(INDEX(Pointage_ID,89),"")&lt;&gt;""),INDEX(Paie_SalaireJour,89),"")</f>
      </c>
      <c r="G116" s="24">
        <f>IF(AND($B$5="Tous les employés",IFERROR(INDEX(Pointage_ID,89),"")&lt;&gt;""),IF(89=0,"-",IF($H$5="1ère quinzaine",INDEX(Paie_MontantHS1,89),IF($H$5="2ème quinzaine",INDEX(Paie_MontantHS2,89),INDEX(Paie_MontantHS,89)))),"")</f>
      </c>
      <c r="H116" s="24">
        <f>IF(AND($B$5="Tous les employés",IFERROR(INDEX(Pointage_ID,89),"")&lt;&gt;""),IF(89=0,"-",IF($H$5="1ère quinzaine",INDEX(Paie_Brut1,89),IF($H$5="2ème quinzaine",INDEX(Paie_Brut2,89),INDEX(Paie_BrutMensuel,89)))),"")</f>
      </c>
      <c r="I116" s="24">
        <f>IF(AND($B$5="Tous les employés",IFERROR(INDEX(Pointage_ID,89),"")&lt;&gt;""),IF(89=0,"-",IF($H$5="1ère quinzaine",INDEX(Paie_Retenues1,89),IF($H$5="2ème quinzaine",INDEX(Paie_Retenues2,89),INDEX(Paie_Retenues,89)))),"")</f>
      </c>
      <c r="J116" s="25">
        <f>IF(AND($B$5="Tous les employés",IFERROR(INDEX(Pointage_ID,89),"")&lt;&gt;""),IF(89=0,"-",IF($H$5="1ère quinzaine",INDEX(Paie_Net1,89),IF($H$5="2ème quinzaine",INDEX(Paie_Net2,89),INDEX(Paie_NetMensuel,89)))),"")</f>
      </c>
    </row>
    <row r="117">
      <c r="A117" s="20">
        <f>IF(AND($B$5="Tous les employés",IFERROR(INDEX(Pointage_ID,90),"")&lt;&gt;""),IFERROR(INDEX(Pointage_ID,90),""),"")</f>
      </c>
      <c r="B117" s="19">
        <f>IF(AND($B$5="Tous les employés",IFERROR(INDEX(Pointage_ID,90),"")&lt;&gt;""),INDEX(Pointage_Nom,90),"")</f>
      </c>
      <c r="C117" s="20">
        <f>IF(AND($B$5="Tous les employés",IFERROR(INDEX(Pointage_ID,90),"")&lt;&gt;""),INDEX(Pointage_Categorie,90),"")</f>
      </c>
      <c r="D117" s="22">
        <f>IF(AND($B$5="Tous les employés",IFERROR(INDEX(Pointage_ID,90),"")&lt;&gt;""),IF(90=0,"-",IF($H$5="1ère quinzaine",INDEX(Paie_Jours1,90),IF($H$5="2ème quinzaine",INDEX(Paie_Jours2,90),INDEX(Pointage_Travailles,90)))),"")</f>
      </c>
      <c r="E117" s="23">
        <f>IF(AND($B$5="Tous les employés",IFERROR(INDEX(Pointage_ID,90),"")&lt;&gt;""),IF(90=0,"-",IF($H$5="1ère quinzaine",INDEX(Paie_HS1,90),IF($H$5="2ème quinzaine",INDEX(Paie_HS2,90),INDEX(Pointage_HS,90)))),"")</f>
      </c>
      <c r="F117" s="24">
        <f>IF(AND($B$5="Tous les employés",IFERROR(INDEX(Pointage_ID,90),"")&lt;&gt;""),INDEX(Paie_SalaireJour,90),"")</f>
      </c>
      <c r="G117" s="24">
        <f>IF(AND($B$5="Tous les employés",IFERROR(INDEX(Pointage_ID,90),"")&lt;&gt;""),IF(90=0,"-",IF($H$5="1ère quinzaine",INDEX(Paie_MontantHS1,90),IF($H$5="2ème quinzaine",INDEX(Paie_MontantHS2,90),INDEX(Paie_MontantHS,90)))),"")</f>
      </c>
      <c r="H117" s="24">
        <f>IF(AND($B$5="Tous les employés",IFERROR(INDEX(Pointage_ID,90),"")&lt;&gt;""),IF(90=0,"-",IF($H$5="1ère quinzaine",INDEX(Paie_Brut1,90),IF($H$5="2ème quinzaine",INDEX(Paie_Brut2,90),INDEX(Paie_BrutMensuel,90)))),"")</f>
      </c>
      <c r="I117" s="24">
        <f>IF(AND($B$5="Tous les employés",IFERROR(INDEX(Pointage_ID,90),"")&lt;&gt;""),IF(90=0,"-",IF($H$5="1ère quinzaine",INDEX(Paie_Retenues1,90),IF($H$5="2ème quinzaine",INDEX(Paie_Retenues2,90),INDEX(Paie_Retenues,90)))),"")</f>
      </c>
      <c r="J117" s="25">
        <f>IF(AND($B$5="Tous les employés",IFERROR(INDEX(Pointage_ID,90),"")&lt;&gt;""),IF(90=0,"-",IF($H$5="1ère quinzaine",INDEX(Paie_Net1,90),IF($H$5="2ème quinzaine",INDEX(Paie_Net2,90),INDEX(Paie_NetMensuel,90)))),"")</f>
      </c>
    </row>
    <row r="118">
      <c r="A118" s="20">
        <f>IF(AND($B$5="Tous les employés",IFERROR(INDEX(Pointage_ID,91),"")&lt;&gt;""),IFERROR(INDEX(Pointage_ID,91),""),"")</f>
      </c>
      <c r="B118" s="19">
        <f>IF(AND($B$5="Tous les employés",IFERROR(INDEX(Pointage_ID,91),"")&lt;&gt;""),INDEX(Pointage_Nom,91),"")</f>
      </c>
      <c r="C118" s="20">
        <f>IF(AND($B$5="Tous les employés",IFERROR(INDEX(Pointage_ID,91),"")&lt;&gt;""),INDEX(Pointage_Categorie,91),"")</f>
      </c>
      <c r="D118" s="22">
        <f>IF(AND($B$5="Tous les employés",IFERROR(INDEX(Pointage_ID,91),"")&lt;&gt;""),IF(91=0,"-",IF($H$5="1ère quinzaine",INDEX(Paie_Jours1,91),IF($H$5="2ème quinzaine",INDEX(Paie_Jours2,91),INDEX(Pointage_Travailles,91)))),"")</f>
      </c>
      <c r="E118" s="23">
        <f>IF(AND($B$5="Tous les employés",IFERROR(INDEX(Pointage_ID,91),"")&lt;&gt;""),IF(91=0,"-",IF($H$5="1ère quinzaine",INDEX(Paie_HS1,91),IF($H$5="2ème quinzaine",INDEX(Paie_HS2,91),INDEX(Pointage_HS,91)))),"")</f>
      </c>
      <c r="F118" s="24">
        <f>IF(AND($B$5="Tous les employés",IFERROR(INDEX(Pointage_ID,91),"")&lt;&gt;""),INDEX(Paie_SalaireJour,91),"")</f>
      </c>
      <c r="G118" s="24">
        <f>IF(AND($B$5="Tous les employés",IFERROR(INDEX(Pointage_ID,91),"")&lt;&gt;""),IF(91=0,"-",IF($H$5="1ère quinzaine",INDEX(Paie_MontantHS1,91),IF($H$5="2ème quinzaine",INDEX(Paie_MontantHS2,91),INDEX(Paie_MontantHS,91)))),"")</f>
      </c>
      <c r="H118" s="24">
        <f>IF(AND($B$5="Tous les employés",IFERROR(INDEX(Pointage_ID,91),"")&lt;&gt;""),IF(91=0,"-",IF($H$5="1ère quinzaine",INDEX(Paie_Brut1,91),IF($H$5="2ème quinzaine",INDEX(Paie_Brut2,91),INDEX(Paie_BrutMensuel,91)))),"")</f>
      </c>
      <c r="I118" s="24">
        <f>IF(AND($B$5="Tous les employés",IFERROR(INDEX(Pointage_ID,91),"")&lt;&gt;""),IF(91=0,"-",IF($H$5="1ère quinzaine",INDEX(Paie_Retenues1,91),IF($H$5="2ème quinzaine",INDEX(Paie_Retenues2,91),INDEX(Paie_Retenues,91)))),"")</f>
      </c>
      <c r="J118" s="25">
        <f>IF(AND($B$5="Tous les employés",IFERROR(INDEX(Pointage_ID,91),"")&lt;&gt;""),IF(91=0,"-",IF($H$5="1ère quinzaine",INDEX(Paie_Net1,91),IF($H$5="2ème quinzaine",INDEX(Paie_Net2,91),INDEX(Paie_NetMensuel,91)))),"")</f>
      </c>
    </row>
    <row r="119">
      <c r="A119" s="20">
        <f>IF(AND($B$5="Tous les employés",IFERROR(INDEX(Pointage_ID,92),"")&lt;&gt;""),IFERROR(INDEX(Pointage_ID,92),""),"")</f>
      </c>
      <c r="B119" s="19">
        <f>IF(AND($B$5="Tous les employés",IFERROR(INDEX(Pointage_ID,92),"")&lt;&gt;""),INDEX(Pointage_Nom,92),"")</f>
      </c>
      <c r="C119" s="20">
        <f>IF(AND($B$5="Tous les employés",IFERROR(INDEX(Pointage_ID,92),"")&lt;&gt;""),INDEX(Pointage_Categorie,92),"")</f>
      </c>
      <c r="D119" s="22">
        <f>IF(AND($B$5="Tous les employés",IFERROR(INDEX(Pointage_ID,92),"")&lt;&gt;""),IF(92=0,"-",IF($H$5="1ère quinzaine",INDEX(Paie_Jours1,92),IF($H$5="2ème quinzaine",INDEX(Paie_Jours2,92),INDEX(Pointage_Travailles,92)))),"")</f>
      </c>
      <c r="E119" s="23">
        <f>IF(AND($B$5="Tous les employés",IFERROR(INDEX(Pointage_ID,92),"")&lt;&gt;""),IF(92=0,"-",IF($H$5="1ère quinzaine",INDEX(Paie_HS1,92),IF($H$5="2ème quinzaine",INDEX(Paie_HS2,92),INDEX(Pointage_HS,92)))),"")</f>
      </c>
      <c r="F119" s="24">
        <f>IF(AND($B$5="Tous les employés",IFERROR(INDEX(Pointage_ID,92),"")&lt;&gt;""),INDEX(Paie_SalaireJour,92),"")</f>
      </c>
      <c r="G119" s="24">
        <f>IF(AND($B$5="Tous les employés",IFERROR(INDEX(Pointage_ID,92),"")&lt;&gt;""),IF(92=0,"-",IF($H$5="1ère quinzaine",INDEX(Paie_MontantHS1,92),IF($H$5="2ème quinzaine",INDEX(Paie_MontantHS2,92),INDEX(Paie_MontantHS,92)))),"")</f>
      </c>
      <c r="H119" s="24">
        <f>IF(AND($B$5="Tous les employés",IFERROR(INDEX(Pointage_ID,92),"")&lt;&gt;""),IF(92=0,"-",IF($H$5="1ère quinzaine",INDEX(Paie_Brut1,92),IF($H$5="2ème quinzaine",INDEX(Paie_Brut2,92),INDEX(Paie_BrutMensuel,92)))),"")</f>
      </c>
      <c r="I119" s="24">
        <f>IF(AND($B$5="Tous les employés",IFERROR(INDEX(Pointage_ID,92),"")&lt;&gt;""),IF(92=0,"-",IF($H$5="1ère quinzaine",INDEX(Paie_Retenues1,92),IF($H$5="2ème quinzaine",INDEX(Paie_Retenues2,92),INDEX(Paie_Retenues,92)))),"")</f>
      </c>
      <c r="J119" s="25">
        <f>IF(AND($B$5="Tous les employés",IFERROR(INDEX(Pointage_ID,92),"")&lt;&gt;""),IF(92=0,"-",IF($H$5="1ère quinzaine",INDEX(Paie_Net1,92),IF($H$5="2ème quinzaine",INDEX(Paie_Net2,92),INDEX(Paie_NetMensuel,92)))),"")</f>
      </c>
    </row>
    <row r="120">
      <c r="A120" s="20">
        <f>IF(AND($B$5="Tous les employés",IFERROR(INDEX(Pointage_ID,93),"")&lt;&gt;""),IFERROR(INDEX(Pointage_ID,93),""),"")</f>
      </c>
      <c r="B120" s="19">
        <f>IF(AND($B$5="Tous les employés",IFERROR(INDEX(Pointage_ID,93),"")&lt;&gt;""),INDEX(Pointage_Nom,93),"")</f>
      </c>
      <c r="C120" s="20">
        <f>IF(AND($B$5="Tous les employés",IFERROR(INDEX(Pointage_ID,93),"")&lt;&gt;""),INDEX(Pointage_Categorie,93),"")</f>
      </c>
      <c r="D120" s="22">
        <f>IF(AND($B$5="Tous les employés",IFERROR(INDEX(Pointage_ID,93),"")&lt;&gt;""),IF(93=0,"-",IF($H$5="1ère quinzaine",INDEX(Paie_Jours1,93),IF($H$5="2ème quinzaine",INDEX(Paie_Jours2,93),INDEX(Pointage_Travailles,93)))),"")</f>
      </c>
      <c r="E120" s="23">
        <f>IF(AND($B$5="Tous les employés",IFERROR(INDEX(Pointage_ID,93),"")&lt;&gt;""),IF(93=0,"-",IF($H$5="1ère quinzaine",INDEX(Paie_HS1,93),IF($H$5="2ème quinzaine",INDEX(Paie_HS2,93),INDEX(Pointage_HS,93)))),"")</f>
      </c>
      <c r="F120" s="24">
        <f>IF(AND($B$5="Tous les employés",IFERROR(INDEX(Pointage_ID,93),"")&lt;&gt;""),INDEX(Paie_SalaireJour,93),"")</f>
      </c>
      <c r="G120" s="24">
        <f>IF(AND($B$5="Tous les employés",IFERROR(INDEX(Pointage_ID,93),"")&lt;&gt;""),IF(93=0,"-",IF($H$5="1ère quinzaine",INDEX(Paie_MontantHS1,93),IF($H$5="2ème quinzaine",INDEX(Paie_MontantHS2,93),INDEX(Paie_MontantHS,93)))),"")</f>
      </c>
      <c r="H120" s="24">
        <f>IF(AND($B$5="Tous les employés",IFERROR(INDEX(Pointage_ID,93),"")&lt;&gt;""),IF(93=0,"-",IF($H$5="1ère quinzaine",INDEX(Paie_Brut1,93),IF($H$5="2ème quinzaine",INDEX(Paie_Brut2,93),INDEX(Paie_BrutMensuel,93)))),"")</f>
      </c>
      <c r="I120" s="24">
        <f>IF(AND($B$5="Tous les employés",IFERROR(INDEX(Pointage_ID,93),"")&lt;&gt;""),IF(93=0,"-",IF($H$5="1ère quinzaine",INDEX(Paie_Retenues1,93),IF($H$5="2ème quinzaine",INDEX(Paie_Retenues2,93),INDEX(Paie_Retenues,93)))),"")</f>
      </c>
      <c r="J120" s="25">
        <f>IF(AND($B$5="Tous les employés",IFERROR(INDEX(Pointage_ID,93),"")&lt;&gt;""),IF(93=0,"-",IF($H$5="1ère quinzaine",INDEX(Paie_Net1,93),IF($H$5="2ème quinzaine",INDEX(Paie_Net2,93),INDEX(Paie_NetMensuel,93)))),"")</f>
      </c>
    </row>
    <row r="121">
      <c r="A121" s="20">
        <f>IF(AND($B$5="Tous les employés",IFERROR(INDEX(Pointage_ID,94),"")&lt;&gt;""),IFERROR(INDEX(Pointage_ID,94),""),"")</f>
      </c>
      <c r="B121" s="19">
        <f>IF(AND($B$5="Tous les employés",IFERROR(INDEX(Pointage_ID,94),"")&lt;&gt;""),INDEX(Pointage_Nom,94),"")</f>
      </c>
      <c r="C121" s="20">
        <f>IF(AND($B$5="Tous les employés",IFERROR(INDEX(Pointage_ID,94),"")&lt;&gt;""),INDEX(Pointage_Categorie,94),"")</f>
      </c>
      <c r="D121" s="22">
        <f>IF(AND($B$5="Tous les employés",IFERROR(INDEX(Pointage_ID,94),"")&lt;&gt;""),IF(94=0,"-",IF($H$5="1ère quinzaine",INDEX(Paie_Jours1,94),IF($H$5="2ème quinzaine",INDEX(Paie_Jours2,94),INDEX(Pointage_Travailles,94)))),"")</f>
      </c>
      <c r="E121" s="23">
        <f>IF(AND($B$5="Tous les employés",IFERROR(INDEX(Pointage_ID,94),"")&lt;&gt;""),IF(94=0,"-",IF($H$5="1ère quinzaine",INDEX(Paie_HS1,94),IF($H$5="2ème quinzaine",INDEX(Paie_HS2,94),INDEX(Pointage_HS,94)))),"")</f>
      </c>
      <c r="F121" s="24">
        <f>IF(AND($B$5="Tous les employés",IFERROR(INDEX(Pointage_ID,94),"")&lt;&gt;""),INDEX(Paie_SalaireJour,94),"")</f>
      </c>
      <c r="G121" s="24">
        <f>IF(AND($B$5="Tous les employés",IFERROR(INDEX(Pointage_ID,94),"")&lt;&gt;""),IF(94=0,"-",IF($H$5="1ère quinzaine",INDEX(Paie_MontantHS1,94),IF($H$5="2ème quinzaine",INDEX(Paie_MontantHS2,94),INDEX(Paie_MontantHS,94)))),"")</f>
      </c>
      <c r="H121" s="24">
        <f>IF(AND($B$5="Tous les employés",IFERROR(INDEX(Pointage_ID,94),"")&lt;&gt;""),IF(94=0,"-",IF($H$5="1ère quinzaine",INDEX(Paie_Brut1,94),IF($H$5="2ème quinzaine",INDEX(Paie_Brut2,94),INDEX(Paie_BrutMensuel,94)))),"")</f>
      </c>
      <c r="I121" s="24">
        <f>IF(AND($B$5="Tous les employés",IFERROR(INDEX(Pointage_ID,94),"")&lt;&gt;""),IF(94=0,"-",IF($H$5="1ère quinzaine",INDEX(Paie_Retenues1,94),IF($H$5="2ème quinzaine",INDEX(Paie_Retenues2,94),INDEX(Paie_Retenues,94)))),"")</f>
      </c>
      <c r="J121" s="25">
        <f>IF(AND($B$5="Tous les employés",IFERROR(INDEX(Pointage_ID,94),"")&lt;&gt;""),IF(94=0,"-",IF($H$5="1ère quinzaine",INDEX(Paie_Net1,94),IF($H$5="2ème quinzaine",INDEX(Paie_Net2,94),INDEX(Paie_NetMensuel,94)))),"")</f>
      </c>
    </row>
    <row r="122">
      <c r="A122" s="20">
        <f>IF(AND($B$5="Tous les employés",IFERROR(INDEX(Pointage_ID,95),"")&lt;&gt;""),IFERROR(INDEX(Pointage_ID,95),""),"")</f>
      </c>
      <c r="B122" s="19">
        <f>IF(AND($B$5="Tous les employés",IFERROR(INDEX(Pointage_ID,95),"")&lt;&gt;""),INDEX(Pointage_Nom,95),"")</f>
      </c>
      <c r="C122" s="20">
        <f>IF(AND($B$5="Tous les employés",IFERROR(INDEX(Pointage_ID,95),"")&lt;&gt;""),INDEX(Pointage_Categorie,95),"")</f>
      </c>
      <c r="D122" s="22">
        <f>IF(AND($B$5="Tous les employés",IFERROR(INDEX(Pointage_ID,95),"")&lt;&gt;""),IF(95=0,"-",IF($H$5="1ère quinzaine",INDEX(Paie_Jours1,95),IF($H$5="2ème quinzaine",INDEX(Paie_Jours2,95),INDEX(Pointage_Travailles,95)))),"")</f>
      </c>
      <c r="E122" s="23">
        <f>IF(AND($B$5="Tous les employés",IFERROR(INDEX(Pointage_ID,95),"")&lt;&gt;""),IF(95=0,"-",IF($H$5="1ère quinzaine",INDEX(Paie_HS1,95),IF($H$5="2ème quinzaine",INDEX(Paie_HS2,95),INDEX(Pointage_HS,95)))),"")</f>
      </c>
      <c r="F122" s="24">
        <f>IF(AND($B$5="Tous les employés",IFERROR(INDEX(Pointage_ID,95),"")&lt;&gt;""),INDEX(Paie_SalaireJour,95),"")</f>
      </c>
      <c r="G122" s="24">
        <f>IF(AND($B$5="Tous les employés",IFERROR(INDEX(Pointage_ID,95),"")&lt;&gt;""),IF(95=0,"-",IF($H$5="1ère quinzaine",INDEX(Paie_MontantHS1,95),IF($H$5="2ème quinzaine",INDEX(Paie_MontantHS2,95),INDEX(Paie_MontantHS,95)))),"")</f>
      </c>
      <c r="H122" s="24">
        <f>IF(AND($B$5="Tous les employés",IFERROR(INDEX(Pointage_ID,95),"")&lt;&gt;""),IF(95=0,"-",IF($H$5="1ère quinzaine",INDEX(Paie_Brut1,95),IF($H$5="2ème quinzaine",INDEX(Paie_Brut2,95),INDEX(Paie_BrutMensuel,95)))),"")</f>
      </c>
      <c r="I122" s="24">
        <f>IF(AND($B$5="Tous les employés",IFERROR(INDEX(Pointage_ID,95),"")&lt;&gt;""),IF(95=0,"-",IF($H$5="1ère quinzaine",INDEX(Paie_Retenues1,95),IF($H$5="2ème quinzaine",INDEX(Paie_Retenues2,95),INDEX(Paie_Retenues,95)))),"")</f>
      </c>
      <c r="J122" s="25">
        <f>IF(AND($B$5="Tous les employés",IFERROR(INDEX(Pointage_ID,95),"")&lt;&gt;""),IF(95=0,"-",IF($H$5="1ère quinzaine",INDEX(Paie_Net1,95),IF($H$5="2ème quinzaine",INDEX(Paie_Net2,95),INDEX(Paie_NetMensuel,95)))),"")</f>
      </c>
    </row>
    <row r="123">
      <c r="A123" s="20">
        <f>IF(AND($B$5="Tous les employés",IFERROR(INDEX(Pointage_ID,96),"")&lt;&gt;""),IFERROR(INDEX(Pointage_ID,96),""),"")</f>
      </c>
      <c r="B123" s="19">
        <f>IF(AND($B$5="Tous les employés",IFERROR(INDEX(Pointage_ID,96),"")&lt;&gt;""),INDEX(Pointage_Nom,96),"")</f>
      </c>
      <c r="C123" s="20">
        <f>IF(AND($B$5="Tous les employés",IFERROR(INDEX(Pointage_ID,96),"")&lt;&gt;""),INDEX(Pointage_Categorie,96),"")</f>
      </c>
      <c r="D123" s="22">
        <f>IF(AND($B$5="Tous les employés",IFERROR(INDEX(Pointage_ID,96),"")&lt;&gt;""),IF(96=0,"-",IF($H$5="1ère quinzaine",INDEX(Paie_Jours1,96),IF($H$5="2ème quinzaine",INDEX(Paie_Jours2,96),INDEX(Pointage_Travailles,96)))),"")</f>
      </c>
      <c r="E123" s="23">
        <f>IF(AND($B$5="Tous les employés",IFERROR(INDEX(Pointage_ID,96),"")&lt;&gt;""),IF(96=0,"-",IF($H$5="1ère quinzaine",INDEX(Paie_HS1,96),IF($H$5="2ème quinzaine",INDEX(Paie_HS2,96),INDEX(Pointage_HS,96)))),"")</f>
      </c>
      <c r="F123" s="24">
        <f>IF(AND($B$5="Tous les employés",IFERROR(INDEX(Pointage_ID,96),"")&lt;&gt;""),INDEX(Paie_SalaireJour,96),"")</f>
      </c>
      <c r="G123" s="24">
        <f>IF(AND($B$5="Tous les employés",IFERROR(INDEX(Pointage_ID,96),"")&lt;&gt;""),IF(96=0,"-",IF($H$5="1ère quinzaine",INDEX(Paie_MontantHS1,96),IF($H$5="2ème quinzaine",INDEX(Paie_MontantHS2,96),INDEX(Paie_MontantHS,96)))),"")</f>
      </c>
      <c r="H123" s="24">
        <f>IF(AND($B$5="Tous les employés",IFERROR(INDEX(Pointage_ID,96),"")&lt;&gt;""),IF(96=0,"-",IF($H$5="1ère quinzaine",INDEX(Paie_Brut1,96),IF($H$5="2ème quinzaine",INDEX(Paie_Brut2,96),INDEX(Paie_BrutMensuel,96)))),"")</f>
      </c>
      <c r="I123" s="24">
        <f>IF(AND($B$5="Tous les employés",IFERROR(INDEX(Pointage_ID,96),"")&lt;&gt;""),IF(96=0,"-",IF($H$5="1ère quinzaine",INDEX(Paie_Retenues1,96),IF($H$5="2ème quinzaine",INDEX(Paie_Retenues2,96),INDEX(Paie_Retenues,96)))),"")</f>
      </c>
      <c r="J123" s="25">
        <f>IF(AND($B$5="Tous les employés",IFERROR(INDEX(Pointage_ID,96),"")&lt;&gt;""),IF(96=0,"-",IF($H$5="1ère quinzaine",INDEX(Paie_Net1,96),IF($H$5="2ème quinzaine",INDEX(Paie_Net2,96),INDEX(Paie_NetMensuel,96)))),"")</f>
      </c>
    </row>
    <row r="124">
      <c r="A124" s="20">
        <f>IF(AND($B$5="Tous les employés",IFERROR(INDEX(Pointage_ID,97),"")&lt;&gt;""),IFERROR(INDEX(Pointage_ID,97),""),"")</f>
      </c>
      <c r="B124" s="19">
        <f>IF(AND($B$5="Tous les employés",IFERROR(INDEX(Pointage_ID,97),"")&lt;&gt;""),INDEX(Pointage_Nom,97),"")</f>
      </c>
      <c r="C124" s="20">
        <f>IF(AND($B$5="Tous les employés",IFERROR(INDEX(Pointage_ID,97),"")&lt;&gt;""),INDEX(Pointage_Categorie,97),"")</f>
      </c>
      <c r="D124" s="22">
        <f>IF(AND($B$5="Tous les employés",IFERROR(INDEX(Pointage_ID,97),"")&lt;&gt;""),IF(97=0,"-",IF($H$5="1ère quinzaine",INDEX(Paie_Jours1,97),IF($H$5="2ème quinzaine",INDEX(Paie_Jours2,97),INDEX(Pointage_Travailles,97)))),"")</f>
      </c>
      <c r="E124" s="23">
        <f>IF(AND($B$5="Tous les employés",IFERROR(INDEX(Pointage_ID,97),"")&lt;&gt;""),IF(97=0,"-",IF($H$5="1ère quinzaine",INDEX(Paie_HS1,97),IF($H$5="2ème quinzaine",INDEX(Paie_HS2,97),INDEX(Pointage_HS,97)))),"")</f>
      </c>
      <c r="F124" s="24">
        <f>IF(AND($B$5="Tous les employés",IFERROR(INDEX(Pointage_ID,97),"")&lt;&gt;""),INDEX(Paie_SalaireJour,97),"")</f>
      </c>
      <c r="G124" s="24">
        <f>IF(AND($B$5="Tous les employés",IFERROR(INDEX(Pointage_ID,97),"")&lt;&gt;""),IF(97=0,"-",IF($H$5="1ère quinzaine",INDEX(Paie_MontantHS1,97),IF($H$5="2ème quinzaine",INDEX(Paie_MontantHS2,97),INDEX(Paie_MontantHS,97)))),"")</f>
      </c>
      <c r="H124" s="24">
        <f>IF(AND($B$5="Tous les employés",IFERROR(INDEX(Pointage_ID,97),"")&lt;&gt;""),IF(97=0,"-",IF($H$5="1ère quinzaine",INDEX(Paie_Brut1,97),IF($H$5="2ème quinzaine",INDEX(Paie_Brut2,97),INDEX(Paie_BrutMensuel,97)))),"")</f>
      </c>
      <c r="I124" s="24">
        <f>IF(AND($B$5="Tous les employés",IFERROR(INDEX(Pointage_ID,97),"")&lt;&gt;""),IF(97=0,"-",IF($H$5="1ère quinzaine",INDEX(Paie_Retenues1,97),IF($H$5="2ème quinzaine",INDEX(Paie_Retenues2,97),INDEX(Paie_Retenues,97)))),"")</f>
      </c>
      <c r="J124" s="25">
        <f>IF(AND($B$5="Tous les employés",IFERROR(INDEX(Pointage_ID,97),"")&lt;&gt;""),IF(97=0,"-",IF($H$5="1ère quinzaine",INDEX(Paie_Net1,97),IF($H$5="2ème quinzaine",INDEX(Paie_Net2,97),INDEX(Paie_NetMensuel,97)))),"")</f>
      </c>
    </row>
    <row r="125">
      <c r="A125" s="20">
        <f>IF(AND($B$5="Tous les employés",IFERROR(INDEX(Pointage_ID,98),"")&lt;&gt;""),IFERROR(INDEX(Pointage_ID,98),""),"")</f>
      </c>
      <c r="B125" s="19">
        <f>IF(AND($B$5="Tous les employés",IFERROR(INDEX(Pointage_ID,98),"")&lt;&gt;""),INDEX(Pointage_Nom,98),"")</f>
      </c>
      <c r="C125" s="20">
        <f>IF(AND($B$5="Tous les employés",IFERROR(INDEX(Pointage_ID,98),"")&lt;&gt;""),INDEX(Pointage_Categorie,98),"")</f>
      </c>
      <c r="D125" s="22">
        <f>IF(AND($B$5="Tous les employés",IFERROR(INDEX(Pointage_ID,98),"")&lt;&gt;""),IF(98=0,"-",IF($H$5="1ère quinzaine",INDEX(Paie_Jours1,98),IF($H$5="2ème quinzaine",INDEX(Paie_Jours2,98),INDEX(Pointage_Travailles,98)))),"")</f>
      </c>
      <c r="E125" s="23">
        <f>IF(AND($B$5="Tous les employés",IFERROR(INDEX(Pointage_ID,98),"")&lt;&gt;""),IF(98=0,"-",IF($H$5="1ère quinzaine",INDEX(Paie_HS1,98),IF($H$5="2ème quinzaine",INDEX(Paie_HS2,98),INDEX(Pointage_HS,98)))),"")</f>
      </c>
      <c r="F125" s="24">
        <f>IF(AND($B$5="Tous les employés",IFERROR(INDEX(Pointage_ID,98),"")&lt;&gt;""),INDEX(Paie_SalaireJour,98),"")</f>
      </c>
      <c r="G125" s="24">
        <f>IF(AND($B$5="Tous les employés",IFERROR(INDEX(Pointage_ID,98),"")&lt;&gt;""),IF(98=0,"-",IF($H$5="1ère quinzaine",INDEX(Paie_MontantHS1,98),IF($H$5="2ème quinzaine",INDEX(Paie_MontantHS2,98),INDEX(Paie_MontantHS,98)))),"")</f>
      </c>
      <c r="H125" s="24">
        <f>IF(AND($B$5="Tous les employés",IFERROR(INDEX(Pointage_ID,98),"")&lt;&gt;""),IF(98=0,"-",IF($H$5="1ère quinzaine",INDEX(Paie_Brut1,98),IF($H$5="2ème quinzaine",INDEX(Paie_Brut2,98),INDEX(Paie_BrutMensuel,98)))),"")</f>
      </c>
      <c r="I125" s="24">
        <f>IF(AND($B$5="Tous les employés",IFERROR(INDEX(Pointage_ID,98),"")&lt;&gt;""),IF(98=0,"-",IF($H$5="1ère quinzaine",INDEX(Paie_Retenues1,98),IF($H$5="2ème quinzaine",INDEX(Paie_Retenues2,98),INDEX(Paie_Retenues,98)))),"")</f>
      </c>
      <c r="J125" s="25">
        <f>IF(AND($B$5="Tous les employés",IFERROR(INDEX(Pointage_ID,98),"")&lt;&gt;""),IF(98=0,"-",IF($H$5="1ère quinzaine",INDEX(Paie_Net1,98),IF($H$5="2ème quinzaine",INDEX(Paie_Net2,98),INDEX(Paie_NetMensuel,98)))),"")</f>
      </c>
    </row>
    <row r="126">
      <c r="A126" s="20">
        <f>IF(AND($B$5="Tous les employés",IFERROR(INDEX(Pointage_ID,99),"")&lt;&gt;""),IFERROR(INDEX(Pointage_ID,99),""),"")</f>
      </c>
      <c r="B126" s="19">
        <f>IF(AND($B$5="Tous les employés",IFERROR(INDEX(Pointage_ID,99),"")&lt;&gt;""),INDEX(Pointage_Nom,99),"")</f>
      </c>
      <c r="C126" s="20">
        <f>IF(AND($B$5="Tous les employés",IFERROR(INDEX(Pointage_ID,99),"")&lt;&gt;""),INDEX(Pointage_Categorie,99),"")</f>
      </c>
      <c r="D126" s="22">
        <f>IF(AND($B$5="Tous les employés",IFERROR(INDEX(Pointage_ID,99),"")&lt;&gt;""),IF(99=0,"-",IF($H$5="1ère quinzaine",INDEX(Paie_Jours1,99),IF($H$5="2ème quinzaine",INDEX(Paie_Jours2,99),INDEX(Pointage_Travailles,99)))),"")</f>
      </c>
      <c r="E126" s="23">
        <f>IF(AND($B$5="Tous les employés",IFERROR(INDEX(Pointage_ID,99),"")&lt;&gt;""),IF(99=0,"-",IF($H$5="1ère quinzaine",INDEX(Paie_HS1,99),IF($H$5="2ème quinzaine",INDEX(Paie_HS2,99),INDEX(Pointage_HS,99)))),"")</f>
      </c>
      <c r="F126" s="24">
        <f>IF(AND($B$5="Tous les employés",IFERROR(INDEX(Pointage_ID,99),"")&lt;&gt;""),INDEX(Paie_SalaireJour,99),"")</f>
      </c>
      <c r="G126" s="24">
        <f>IF(AND($B$5="Tous les employés",IFERROR(INDEX(Pointage_ID,99),"")&lt;&gt;""),IF(99=0,"-",IF($H$5="1ère quinzaine",INDEX(Paie_MontantHS1,99),IF($H$5="2ème quinzaine",INDEX(Paie_MontantHS2,99),INDEX(Paie_MontantHS,99)))),"")</f>
      </c>
      <c r="H126" s="24">
        <f>IF(AND($B$5="Tous les employés",IFERROR(INDEX(Pointage_ID,99),"")&lt;&gt;""),IF(99=0,"-",IF($H$5="1ère quinzaine",INDEX(Paie_Brut1,99),IF($H$5="2ème quinzaine",INDEX(Paie_Brut2,99),INDEX(Paie_BrutMensuel,99)))),"")</f>
      </c>
      <c r="I126" s="24">
        <f>IF(AND($B$5="Tous les employés",IFERROR(INDEX(Pointage_ID,99),"")&lt;&gt;""),IF(99=0,"-",IF($H$5="1ère quinzaine",INDEX(Paie_Retenues1,99),IF($H$5="2ème quinzaine",INDEX(Paie_Retenues2,99),INDEX(Paie_Retenues,99)))),"")</f>
      </c>
      <c r="J126" s="25">
        <f>IF(AND($B$5="Tous les employés",IFERROR(INDEX(Pointage_ID,99),"")&lt;&gt;""),IF(99=0,"-",IF($H$5="1ère quinzaine",INDEX(Paie_Net1,99),IF($H$5="2ème quinzaine",INDEX(Paie_Net2,99),INDEX(Paie_NetMensuel,99)))),"")</f>
      </c>
    </row>
    <row r="127">
      <c r="A127" s="20">
        <f>IF(AND($B$5="Tous les employés",IFERROR(INDEX(Pointage_ID,100),"")&lt;&gt;""),IFERROR(INDEX(Pointage_ID,100),""),"")</f>
      </c>
      <c r="B127" s="19">
        <f>IF(AND($B$5="Tous les employés",IFERROR(INDEX(Pointage_ID,100),"")&lt;&gt;""),INDEX(Pointage_Nom,100),"")</f>
      </c>
      <c r="C127" s="20">
        <f>IF(AND($B$5="Tous les employés",IFERROR(INDEX(Pointage_ID,100),"")&lt;&gt;""),INDEX(Pointage_Categorie,100),"")</f>
      </c>
      <c r="D127" s="22">
        <f>IF(AND($B$5="Tous les employés",IFERROR(INDEX(Pointage_ID,100),"")&lt;&gt;""),IF(100=0,"-",IF($H$5="1ère quinzaine",INDEX(Paie_Jours1,100),IF($H$5="2ème quinzaine",INDEX(Paie_Jours2,100),INDEX(Pointage_Travailles,100)))),"")</f>
      </c>
      <c r="E127" s="23">
        <f>IF(AND($B$5="Tous les employés",IFERROR(INDEX(Pointage_ID,100),"")&lt;&gt;""),IF(100=0,"-",IF($H$5="1ère quinzaine",INDEX(Paie_HS1,100),IF($H$5="2ème quinzaine",INDEX(Paie_HS2,100),INDEX(Pointage_HS,100)))),"")</f>
      </c>
      <c r="F127" s="24">
        <f>IF(AND($B$5="Tous les employés",IFERROR(INDEX(Pointage_ID,100),"")&lt;&gt;""),INDEX(Paie_SalaireJour,100),"")</f>
      </c>
      <c r="G127" s="24">
        <f>IF(AND($B$5="Tous les employés",IFERROR(INDEX(Pointage_ID,100),"")&lt;&gt;""),IF(100=0,"-",IF($H$5="1ère quinzaine",INDEX(Paie_MontantHS1,100),IF($H$5="2ème quinzaine",INDEX(Paie_MontantHS2,100),INDEX(Paie_MontantHS,100)))),"")</f>
      </c>
      <c r="H127" s="24">
        <f>IF(AND($B$5="Tous les employés",IFERROR(INDEX(Pointage_ID,100),"")&lt;&gt;""),IF(100=0,"-",IF($H$5="1ère quinzaine",INDEX(Paie_Brut1,100),IF($H$5="2ème quinzaine",INDEX(Paie_Brut2,100),INDEX(Paie_BrutMensuel,100)))),"")</f>
      </c>
      <c r="I127" s="24">
        <f>IF(AND($B$5="Tous les employés",IFERROR(INDEX(Pointage_ID,100),"")&lt;&gt;""),IF(100=0,"-",IF($H$5="1ère quinzaine",INDEX(Paie_Retenues1,100),IF($H$5="2ème quinzaine",INDEX(Paie_Retenues2,100),INDEX(Paie_Retenues,100)))),"")</f>
      </c>
      <c r="J127" s="25">
        <f>IF(AND($B$5="Tous les employés",IFERROR(INDEX(Pointage_ID,100),"")&lt;&gt;""),IF(100=0,"-",IF($H$5="1ère quinzaine",INDEX(Paie_Net1,100),IF($H$5="2ème quinzaine",INDEX(Paie_Net2,100),INDEX(Paie_NetMensuel,100)))),"")</f>
      </c>
    </row>
    <row r="128">
      <c r="A128" s="20">
        <f>IF(AND($B$5="Tous les employés",IFERROR(INDEX(Pointage_ID,101),"")&lt;&gt;""),IFERROR(INDEX(Pointage_ID,101),""),"")</f>
      </c>
      <c r="B128" s="19">
        <f>IF(AND($B$5="Tous les employés",IFERROR(INDEX(Pointage_ID,101),"")&lt;&gt;""),INDEX(Pointage_Nom,101),"")</f>
      </c>
      <c r="C128" s="20">
        <f>IF(AND($B$5="Tous les employés",IFERROR(INDEX(Pointage_ID,101),"")&lt;&gt;""),INDEX(Pointage_Categorie,101),"")</f>
      </c>
      <c r="D128" s="22">
        <f>IF(AND($B$5="Tous les employés",IFERROR(INDEX(Pointage_ID,101),"")&lt;&gt;""),IF(101=0,"-",IF($H$5="1ère quinzaine",INDEX(Paie_Jours1,101),IF($H$5="2ème quinzaine",INDEX(Paie_Jours2,101),INDEX(Pointage_Travailles,101)))),"")</f>
      </c>
      <c r="E128" s="23">
        <f>IF(AND($B$5="Tous les employés",IFERROR(INDEX(Pointage_ID,101),"")&lt;&gt;""),IF(101=0,"-",IF($H$5="1ère quinzaine",INDEX(Paie_HS1,101),IF($H$5="2ème quinzaine",INDEX(Paie_HS2,101),INDEX(Pointage_HS,101)))),"")</f>
      </c>
      <c r="F128" s="24">
        <f>IF(AND($B$5="Tous les employés",IFERROR(INDEX(Pointage_ID,101),"")&lt;&gt;""),INDEX(Paie_SalaireJour,101),"")</f>
      </c>
      <c r="G128" s="24">
        <f>IF(AND($B$5="Tous les employés",IFERROR(INDEX(Pointage_ID,101),"")&lt;&gt;""),IF(101=0,"-",IF($H$5="1ère quinzaine",INDEX(Paie_MontantHS1,101),IF($H$5="2ème quinzaine",INDEX(Paie_MontantHS2,101),INDEX(Paie_MontantHS,101)))),"")</f>
      </c>
      <c r="H128" s="24">
        <f>IF(AND($B$5="Tous les employés",IFERROR(INDEX(Pointage_ID,101),"")&lt;&gt;""),IF(101=0,"-",IF($H$5="1ère quinzaine",INDEX(Paie_Brut1,101),IF($H$5="2ème quinzaine",INDEX(Paie_Brut2,101),INDEX(Paie_BrutMensuel,101)))),"")</f>
      </c>
      <c r="I128" s="24">
        <f>IF(AND($B$5="Tous les employés",IFERROR(INDEX(Pointage_ID,101),"")&lt;&gt;""),IF(101=0,"-",IF($H$5="1ère quinzaine",INDEX(Paie_Retenues1,101),IF($H$5="2ème quinzaine",INDEX(Paie_Retenues2,101),INDEX(Paie_Retenues,101)))),"")</f>
      </c>
      <c r="J128" s="25">
        <f>IF(AND($B$5="Tous les employés",IFERROR(INDEX(Pointage_ID,101),"")&lt;&gt;""),IF(101=0,"-",IF($H$5="1ère quinzaine",INDEX(Paie_Net1,101),IF($H$5="2ème quinzaine",INDEX(Paie_Net2,101),INDEX(Paie_NetMensuel,101)))),"")</f>
      </c>
    </row>
    <row r="129">
      <c r="A129" s="20">
        <f>IF(AND($B$5="Tous les employés",IFERROR(INDEX(Pointage_ID,102),"")&lt;&gt;""),IFERROR(INDEX(Pointage_ID,102),""),"")</f>
      </c>
      <c r="B129" s="19">
        <f>IF(AND($B$5="Tous les employés",IFERROR(INDEX(Pointage_ID,102),"")&lt;&gt;""),INDEX(Pointage_Nom,102),"")</f>
      </c>
      <c r="C129" s="20">
        <f>IF(AND($B$5="Tous les employés",IFERROR(INDEX(Pointage_ID,102),"")&lt;&gt;""),INDEX(Pointage_Categorie,102),"")</f>
      </c>
      <c r="D129" s="22">
        <f>IF(AND($B$5="Tous les employés",IFERROR(INDEX(Pointage_ID,102),"")&lt;&gt;""),IF(102=0,"-",IF($H$5="1ère quinzaine",INDEX(Paie_Jours1,102),IF($H$5="2ème quinzaine",INDEX(Paie_Jours2,102),INDEX(Pointage_Travailles,102)))),"")</f>
      </c>
      <c r="E129" s="23">
        <f>IF(AND($B$5="Tous les employés",IFERROR(INDEX(Pointage_ID,102),"")&lt;&gt;""),IF(102=0,"-",IF($H$5="1ère quinzaine",INDEX(Paie_HS1,102),IF($H$5="2ème quinzaine",INDEX(Paie_HS2,102),INDEX(Pointage_HS,102)))),"")</f>
      </c>
      <c r="F129" s="24">
        <f>IF(AND($B$5="Tous les employés",IFERROR(INDEX(Pointage_ID,102),"")&lt;&gt;""),INDEX(Paie_SalaireJour,102),"")</f>
      </c>
      <c r="G129" s="24">
        <f>IF(AND($B$5="Tous les employés",IFERROR(INDEX(Pointage_ID,102),"")&lt;&gt;""),IF(102=0,"-",IF($H$5="1ère quinzaine",INDEX(Paie_MontantHS1,102),IF($H$5="2ème quinzaine",INDEX(Paie_MontantHS2,102),INDEX(Paie_MontantHS,102)))),"")</f>
      </c>
      <c r="H129" s="24">
        <f>IF(AND($B$5="Tous les employés",IFERROR(INDEX(Pointage_ID,102),"")&lt;&gt;""),IF(102=0,"-",IF($H$5="1ère quinzaine",INDEX(Paie_Brut1,102),IF($H$5="2ème quinzaine",INDEX(Paie_Brut2,102),INDEX(Paie_BrutMensuel,102)))),"")</f>
      </c>
      <c r="I129" s="24">
        <f>IF(AND($B$5="Tous les employés",IFERROR(INDEX(Pointage_ID,102),"")&lt;&gt;""),IF(102=0,"-",IF($H$5="1ère quinzaine",INDEX(Paie_Retenues1,102),IF($H$5="2ème quinzaine",INDEX(Paie_Retenues2,102),INDEX(Paie_Retenues,102)))),"")</f>
      </c>
      <c r="J129" s="25">
        <f>IF(AND($B$5="Tous les employés",IFERROR(INDEX(Pointage_ID,102),"")&lt;&gt;""),IF(102=0,"-",IF($H$5="1ère quinzaine",INDEX(Paie_Net1,102),IF($H$5="2ème quinzaine",INDEX(Paie_Net2,102),INDEX(Paie_NetMensuel,102)))),"")</f>
      </c>
    </row>
    <row r="130">
      <c r="A130" s="20">
        <f>IF(AND($B$5="Tous les employés",IFERROR(INDEX(Pointage_ID,103),"")&lt;&gt;""),IFERROR(INDEX(Pointage_ID,103),""),"")</f>
      </c>
      <c r="B130" s="19">
        <f>IF(AND($B$5="Tous les employés",IFERROR(INDEX(Pointage_ID,103),"")&lt;&gt;""),INDEX(Pointage_Nom,103),"")</f>
      </c>
      <c r="C130" s="20">
        <f>IF(AND($B$5="Tous les employés",IFERROR(INDEX(Pointage_ID,103),"")&lt;&gt;""),INDEX(Pointage_Categorie,103),"")</f>
      </c>
      <c r="D130" s="22">
        <f>IF(AND($B$5="Tous les employés",IFERROR(INDEX(Pointage_ID,103),"")&lt;&gt;""),IF(103=0,"-",IF($H$5="1ère quinzaine",INDEX(Paie_Jours1,103),IF($H$5="2ème quinzaine",INDEX(Paie_Jours2,103),INDEX(Pointage_Travailles,103)))),"")</f>
      </c>
      <c r="E130" s="23">
        <f>IF(AND($B$5="Tous les employés",IFERROR(INDEX(Pointage_ID,103),"")&lt;&gt;""),IF(103=0,"-",IF($H$5="1ère quinzaine",INDEX(Paie_HS1,103),IF($H$5="2ème quinzaine",INDEX(Paie_HS2,103),INDEX(Pointage_HS,103)))),"")</f>
      </c>
      <c r="F130" s="24">
        <f>IF(AND($B$5="Tous les employés",IFERROR(INDEX(Pointage_ID,103),"")&lt;&gt;""),INDEX(Paie_SalaireJour,103),"")</f>
      </c>
      <c r="G130" s="24">
        <f>IF(AND($B$5="Tous les employés",IFERROR(INDEX(Pointage_ID,103),"")&lt;&gt;""),IF(103=0,"-",IF($H$5="1ère quinzaine",INDEX(Paie_MontantHS1,103),IF($H$5="2ème quinzaine",INDEX(Paie_MontantHS2,103),INDEX(Paie_MontantHS,103)))),"")</f>
      </c>
      <c r="H130" s="24">
        <f>IF(AND($B$5="Tous les employés",IFERROR(INDEX(Pointage_ID,103),"")&lt;&gt;""),IF(103=0,"-",IF($H$5="1ère quinzaine",INDEX(Paie_Brut1,103),IF($H$5="2ème quinzaine",INDEX(Paie_Brut2,103),INDEX(Paie_BrutMensuel,103)))),"")</f>
      </c>
      <c r="I130" s="24">
        <f>IF(AND($B$5="Tous les employés",IFERROR(INDEX(Pointage_ID,103),"")&lt;&gt;""),IF(103=0,"-",IF($H$5="1ère quinzaine",INDEX(Paie_Retenues1,103),IF($H$5="2ème quinzaine",INDEX(Paie_Retenues2,103),INDEX(Paie_Retenues,103)))),"")</f>
      </c>
      <c r="J130" s="25">
        <f>IF(AND($B$5="Tous les employés",IFERROR(INDEX(Pointage_ID,103),"")&lt;&gt;""),IF(103=0,"-",IF($H$5="1ère quinzaine",INDEX(Paie_Net1,103),IF($H$5="2ème quinzaine",INDEX(Paie_Net2,103),INDEX(Paie_NetMensuel,103)))),"")</f>
      </c>
    </row>
    <row r="131">
      <c r="A131" s="20">
        <f>IF(AND($B$5="Tous les employés",IFERROR(INDEX(Pointage_ID,104),"")&lt;&gt;""),IFERROR(INDEX(Pointage_ID,104),""),"")</f>
      </c>
      <c r="B131" s="19">
        <f>IF(AND($B$5="Tous les employés",IFERROR(INDEX(Pointage_ID,104),"")&lt;&gt;""),INDEX(Pointage_Nom,104),"")</f>
      </c>
      <c r="C131" s="20">
        <f>IF(AND($B$5="Tous les employés",IFERROR(INDEX(Pointage_ID,104),"")&lt;&gt;""),INDEX(Pointage_Categorie,104),"")</f>
      </c>
      <c r="D131" s="22">
        <f>IF(AND($B$5="Tous les employés",IFERROR(INDEX(Pointage_ID,104),"")&lt;&gt;""),IF(104=0,"-",IF($H$5="1ère quinzaine",INDEX(Paie_Jours1,104),IF($H$5="2ème quinzaine",INDEX(Paie_Jours2,104),INDEX(Pointage_Travailles,104)))),"")</f>
      </c>
      <c r="E131" s="23">
        <f>IF(AND($B$5="Tous les employés",IFERROR(INDEX(Pointage_ID,104),"")&lt;&gt;""),IF(104=0,"-",IF($H$5="1ère quinzaine",INDEX(Paie_HS1,104),IF($H$5="2ème quinzaine",INDEX(Paie_HS2,104),INDEX(Pointage_HS,104)))),"")</f>
      </c>
      <c r="F131" s="24">
        <f>IF(AND($B$5="Tous les employés",IFERROR(INDEX(Pointage_ID,104),"")&lt;&gt;""),INDEX(Paie_SalaireJour,104),"")</f>
      </c>
      <c r="G131" s="24">
        <f>IF(AND($B$5="Tous les employés",IFERROR(INDEX(Pointage_ID,104),"")&lt;&gt;""),IF(104=0,"-",IF($H$5="1ère quinzaine",INDEX(Paie_MontantHS1,104),IF($H$5="2ème quinzaine",INDEX(Paie_MontantHS2,104),INDEX(Paie_MontantHS,104)))),"")</f>
      </c>
      <c r="H131" s="24">
        <f>IF(AND($B$5="Tous les employés",IFERROR(INDEX(Pointage_ID,104),"")&lt;&gt;""),IF(104=0,"-",IF($H$5="1ère quinzaine",INDEX(Paie_Brut1,104),IF($H$5="2ème quinzaine",INDEX(Paie_Brut2,104),INDEX(Paie_BrutMensuel,104)))),"")</f>
      </c>
      <c r="I131" s="24">
        <f>IF(AND($B$5="Tous les employés",IFERROR(INDEX(Pointage_ID,104),"")&lt;&gt;""),IF(104=0,"-",IF($H$5="1ère quinzaine",INDEX(Paie_Retenues1,104),IF($H$5="2ème quinzaine",INDEX(Paie_Retenues2,104),INDEX(Paie_Retenues,104)))),"")</f>
      </c>
      <c r="J131" s="25">
        <f>IF(AND($B$5="Tous les employés",IFERROR(INDEX(Pointage_ID,104),"")&lt;&gt;""),IF(104=0,"-",IF($H$5="1ère quinzaine",INDEX(Paie_Net1,104),IF($H$5="2ème quinzaine",INDEX(Paie_Net2,104),INDEX(Paie_NetMensuel,104)))),"")</f>
      </c>
    </row>
    <row r="132">
      <c r="A132" s="20">
        <f>IF(AND($B$5="Tous les employés",IFERROR(INDEX(Pointage_ID,105),"")&lt;&gt;""),IFERROR(INDEX(Pointage_ID,105),""),"")</f>
      </c>
      <c r="B132" s="19">
        <f>IF(AND($B$5="Tous les employés",IFERROR(INDEX(Pointage_ID,105),"")&lt;&gt;""),INDEX(Pointage_Nom,105),"")</f>
      </c>
      <c r="C132" s="20">
        <f>IF(AND($B$5="Tous les employés",IFERROR(INDEX(Pointage_ID,105),"")&lt;&gt;""),INDEX(Pointage_Categorie,105),"")</f>
      </c>
      <c r="D132" s="22">
        <f>IF(AND($B$5="Tous les employés",IFERROR(INDEX(Pointage_ID,105),"")&lt;&gt;""),IF(105=0,"-",IF($H$5="1ère quinzaine",INDEX(Paie_Jours1,105),IF($H$5="2ème quinzaine",INDEX(Paie_Jours2,105),INDEX(Pointage_Travailles,105)))),"")</f>
      </c>
      <c r="E132" s="23">
        <f>IF(AND($B$5="Tous les employés",IFERROR(INDEX(Pointage_ID,105),"")&lt;&gt;""),IF(105=0,"-",IF($H$5="1ère quinzaine",INDEX(Paie_HS1,105),IF($H$5="2ème quinzaine",INDEX(Paie_HS2,105),INDEX(Pointage_HS,105)))),"")</f>
      </c>
      <c r="F132" s="24">
        <f>IF(AND($B$5="Tous les employés",IFERROR(INDEX(Pointage_ID,105),"")&lt;&gt;""),INDEX(Paie_SalaireJour,105),"")</f>
      </c>
      <c r="G132" s="24">
        <f>IF(AND($B$5="Tous les employés",IFERROR(INDEX(Pointage_ID,105),"")&lt;&gt;""),IF(105=0,"-",IF($H$5="1ère quinzaine",INDEX(Paie_MontantHS1,105),IF($H$5="2ème quinzaine",INDEX(Paie_MontantHS2,105),INDEX(Paie_MontantHS,105)))),"")</f>
      </c>
      <c r="H132" s="24">
        <f>IF(AND($B$5="Tous les employés",IFERROR(INDEX(Pointage_ID,105),"")&lt;&gt;""),IF(105=0,"-",IF($H$5="1ère quinzaine",INDEX(Paie_Brut1,105),IF($H$5="2ème quinzaine",INDEX(Paie_Brut2,105),INDEX(Paie_BrutMensuel,105)))),"")</f>
      </c>
      <c r="I132" s="24">
        <f>IF(AND($B$5="Tous les employés",IFERROR(INDEX(Pointage_ID,105),"")&lt;&gt;""),IF(105=0,"-",IF($H$5="1ère quinzaine",INDEX(Paie_Retenues1,105),IF($H$5="2ème quinzaine",INDEX(Paie_Retenues2,105),INDEX(Paie_Retenues,105)))),"")</f>
      </c>
      <c r="J132" s="25">
        <f>IF(AND($B$5="Tous les employés",IFERROR(INDEX(Pointage_ID,105),"")&lt;&gt;""),IF(105=0,"-",IF($H$5="1ère quinzaine",INDEX(Paie_Net1,105),IF($H$5="2ème quinzaine",INDEX(Paie_Net2,105),INDEX(Paie_NetMensuel,105)))),"")</f>
      </c>
    </row>
    <row r="133">
      <c r="A133" s="20">
        <f>IF(AND($B$5="Tous les employés",IFERROR(INDEX(Pointage_ID,106),"")&lt;&gt;""),IFERROR(INDEX(Pointage_ID,106),""),"")</f>
      </c>
      <c r="B133" s="19">
        <f>IF(AND($B$5="Tous les employés",IFERROR(INDEX(Pointage_ID,106),"")&lt;&gt;""),INDEX(Pointage_Nom,106),"")</f>
      </c>
      <c r="C133" s="20">
        <f>IF(AND($B$5="Tous les employés",IFERROR(INDEX(Pointage_ID,106),"")&lt;&gt;""),INDEX(Pointage_Categorie,106),"")</f>
      </c>
      <c r="D133" s="22">
        <f>IF(AND($B$5="Tous les employés",IFERROR(INDEX(Pointage_ID,106),"")&lt;&gt;""),IF(106=0,"-",IF($H$5="1ère quinzaine",INDEX(Paie_Jours1,106),IF($H$5="2ème quinzaine",INDEX(Paie_Jours2,106),INDEX(Pointage_Travailles,106)))),"")</f>
      </c>
      <c r="E133" s="23">
        <f>IF(AND($B$5="Tous les employés",IFERROR(INDEX(Pointage_ID,106),"")&lt;&gt;""),IF(106=0,"-",IF($H$5="1ère quinzaine",INDEX(Paie_HS1,106),IF($H$5="2ème quinzaine",INDEX(Paie_HS2,106),INDEX(Pointage_HS,106)))),"")</f>
      </c>
      <c r="F133" s="24">
        <f>IF(AND($B$5="Tous les employés",IFERROR(INDEX(Pointage_ID,106),"")&lt;&gt;""),INDEX(Paie_SalaireJour,106),"")</f>
      </c>
      <c r="G133" s="24">
        <f>IF(AND($B$5="Tous les employés",IFERROR(INDEX(Pointage_ID,106),"")&lt;&gt;""),IF(106=0,"-",IF($H$5="1ère quinzaine",INDEX(Paie_MontantHS1,106),IF($H$5="2ème quinzaine",INDEX(Paie_MontantHS2,106),INDEX(Paie_MontantHS,106)))),"")</f>
      </c>
      <c r="H133" s="24">
        <f>IF(AND($B$5="Tous les employés",IFERROR(INDEX(Pointage_ID,106),"")&lt;&gt;""),IF(106=0,"-",IF($H$5="1ère quinzaine",INDEX(Paie_Brut1,106),IF($H$5="2ème quinzaine",INDEX(Paie_Brut2,106),INDEX(Paie_BrutMensuel,106)))),"")</f>
      </c>
      <c r="I133" s="24">
        <f>IF(AND($B$5="Tous les employés",IFERROR(INDEX(Pointage_ID,106),"")&lt;&gt;""),IF(106=0,"-",IF($H$5="1ère quinzaine",INDEX(Paie_Retenues1,106),IF($H$5="2ème quinzaine",INDEX(Paie_Retenues2,106),INDEX(Paie_Retenues,106)))),"")</f>
      </c>
      <c r="J133" s="25">
        <f>IF(AND($B$5="Tous les employés",IFERROR(INDEX(Pointage_ID,106),"")&lt;&gt;""),IF(106=0,"-",IF($H$5="1ère quinzaine",INDEX(Paie_Net1,106),IF($H$5="2ème quinzaine",INDEX(Paie_Net2,106),INDEX(Paie_NetMensuel,106)))),"")</f>
      </c>
    </row>
    <row r="134">
      <c r="A134" s="20">
        <f>IF(AND($B$5="Tous les employés",IFERROR(INDEX(Pointage_ID,107),"")&lt;&gt;""),IFERROR(INDEX(Pointage_ID,107),""),"")</f>
      </c>
      <c r="B134" s="19">
        <f>IF(AND($B$5="Tous les employés",IFERROR(INDEX(Pointage_ID,107),"")&lt;&gt;""),INDEX(Pointage_Nom,107),"")</f>
      </c>
      <c r="C134" s="20">
        <f>IF(AND($B$5="Tous les employés",IFERROR(INDEX(Pointage_ID,107),"")&lt;&gt;""),INDEX(Pointage_Categorie,107),"")</f>
      </c>
      <c r="D134" s="22">
        <f>IF(AND($B$5="Tous les employés",IFERROR(INDEX(Pointage_ID,107),"")&lt;&gt;""),IF(107=0,"-",IF($H$5="1ère quinzaine",INDEX(Paie_Jours1,107),IF($H$5="2ème quinzaine",INDEX(Paie_Jours2,107),INDEX(Pointage_Travailles,107)))),"")</f>
      </c>
      <c r="E134" s="23">
        <f>IF(AND($B$5="Tous les employés",IFERROR(INDEX(Pointage_ID,107),"")&lt;&gt;""),IF(107=0,"-",IF($H$5="1ère quinzaine",INDEX(Paie_HS1,107),IF($H$5="2ème quinzaine",INDEX(Paie_HS2,107),INDEX(Pointage_HS,107)))),"")</f>
      </c>
      <c r="F134" s="24">
        <f>IF(AND($B$5="Tous les employés",IFERROR(INDEX(Pointage_ID,107),"")&lt;&gt;""),INDEX(Paie_SalaireJour,107),"")</f>
      </c>
      <c r="G134" s="24">
        <f>IF(AND($B$5="Tous les employés",IFERROR(INDEX(Pointage_ID,107),"")&lt;&gt;""),IF(107=0,"-",IF($H$5="1ère quinzaine",INDEX(Paie_MontantHS1,107),IF($H$5="2ème quinzaine",INDEX(Paie_MontantHS2,107),INDEX(Paie_MontantHS,107)))),"")</f>
      </c>
      <c r="H134" s="24">
        <f>IF(AND($B$5="Tous les employés",IFERROR(INDEX(Pointage_ID,107),"")&lt;&gt;""),IF(107=0,"-",IF($H$5="1ère quinzaine",INDEX(Paie_Brut1,107),IF($H$5="2ème quinzaine",INDEX(Paie_Brut2,107),INDEX(Paie_BrutMensuel,107)))),"")</f>
      </c>
      <c r="I134" s="24">
        <f>IF(AND($B$5="Tous les employés",IFERROR(INDEX(Pointage_ID,107),"")&lt;&gt;""),IF(107=0,"-",IF($H$5="1ère quinzaine",INDEX(Paie_Retenues1,107),IF($H$5="2ème quinzaine",INDEX(Paie_Retenues2,107),INDEX(Paie_Retenues,107)))),"")</f>
      </c>
      <c r="J134" s="25">
        <f>IF(AND($B$5="Tous les employés",IFERROR(INDEX(Pointage_ID,107),"")&lt;&gt;""),IF(107=0,"-",IF($H$5="1ère quinzaine",INDEX(Paie_Net1,107),IF($H$5="2ème quinzaine",INDEX(Paie_Net2,107),INDEX(Paie_NetMensuel,107)))),"")</f>
      </c>
    </row>
    <row r="135">
      <c r="A135" s="20">
        <f>IF(AND($B$5="Tous les employés",IFERROR(INDEX(Pointage_ID,108),"")&lt;&gt;""),IFERROR(INDEX(Pointage_ID,108),""),"")</f>
      </c>
      <c r="B135" s="19">
        <f>IF(AND($B$5="Tous les employés",IFERROR(INDEX(Pointage_ID,108),"")&lt;&gt;""),INDEX(Pointage_Nom,108),"")</f>
      </c>
      <c r="C135" s="20">
        <f>IF(AND($B$5="Tous les employés",IFERROR(INDEX(Pointage_ID,108),"")&lt;&gt;""),INDEX(Pointage_Categorie,108),"")</f>
      </c>
      <c r="D135" s="22">
        <f>IF(AND($B$5="Tous les employés",IFERROR(INDEX(Pointage_ID,108),"")&lt;&gt;""),IF(108=0,"-",IF($H$5="1ère quinzaine",INDEX(Paie_Jours1,108),IF($H$5="2ème quinzaine",INDEX(Paie_Jours2,108),INDEX(Pointage_Travailles,108)))),"")</f>
      </c>
      <c r="E135" s="23">
        <f>IF(AND($B$5="Tous les employés",IFERROR(INDEX(Pointage_ID,108),"")&lt;&gt;""),IF(108=0,"-",IF($H$5="1ère quinzaine",INDEX(Paie_HS1,108),IF($H$5="2ème quinzaine",INDEX(Paie_HS2,108),INDEX(Pointage_HS,108)))),"")</f>
      </c>
      <c r="F135" s="24">
        <f>IF(AND($B$5="Tous les employés",IFERROR(INDEX(Pointage_ID,108),"")&lt;&gt;""),INDEX(Paie_SalaireJour,108),"")</f>
      </c>
      <c r="G135" s="24">
        <f>IF(AND($B$5="Tous les employés",IFERROR(INDEX(Pointage_ID,108),"")&lt;&gt;""),IF(108=0,"-",IF($H$5="1ère quinzaine",INDEX(Paie_MontantHS1,108),IF($H$5="2ème quinzaine",INDEX(Paie_MontantHS2,108),INDEX(Paie_MontantHS,108)))),"")</f>
      </c>
      <c r="H135" s="24">
        <f>IF(AND($B$5="Tous les employés",IFERROR(INDEX(Pointage_ID,108),"")&lt;&gt;""),IF(108=0,"-",IF($H$5="1ère quinzaine",INDEX(Paie_Brut1,108),IF($H$5="2ème quinzaine",INDEX(Paie_Brut2,108),INDEX(Paie_BrutMensuel,108)))),"")</f>
      </c>
      <c r="I135" s="24">
        <f>IF(AND($B$5="Tous les employés",IFERROR(INDEX(Pointage_ID,108),"")&lt;&gt;""),IF(108=0,"-",IF($H$5="1ère quinzaine",INDEX(Paie_Retenues1,108),IF($H$5="2ème quinzaine",INDEX(Paie_Retenues2,108),INDEX(Paie_Retenues,108)))),"")</f>
      </c>
      <c r="J135" s="25">
        <f>IF(AND($B$5="Tous les employés",IFERROR(INDEX(Pointage_ID,108),"")&lt;&gt;""),IF(108=0,"-",IF($H$5="1ère quinzaine",INDEX(Paie_Net1,108),IF($H$5="2ème quinzaine",INDEX(Paie_Net2,108),INDEX(Paie_NetMensuel,108)))),"")</f>
      </c>
    </row>
    <row r="136">
      <c r="A136" s="20">
        <f>IF(AND($B$5="Tous les employés",IFERROR(INDEX(Pointage_ID,109),"")&lt;&gt;""),IFERROR(INDEX(Pointage_ID,109),""),"")</f>
      </c>
      <c r="B136" s="19">
        <f>IF(AND($B$5="Tous les employés",IFERROR(INDEX(Pointage_ID,109),"")&lt;&gt;""),INDEX(Pointage_Nom,109),"")</f>
      </c>
      <c r="C136" s="20">
        <f>IF(AND($B$5="Tous les employés",IFERROR(INDEX(Pointage_ID,109),"")&lt;&gt;""),INDEX(Pointage_Categorie,109),"")</f>
      </c>
      <c r="D136" s="22">
        <f>IF(AND($B$5="Tous les employés",IFERROR(INDEX(Pointage_ID,109),"")&lt;&gt;""),IF(109=0,"-",IF($H$5="1ère quinzaine",INDEX(Paie_Jours1,109),IF($H$5="2ème quinzaine",INDEX(Paie_Jours2,109),INDEX(Pointage_Travailles,109)))),"")</f>
      </c>
      <c r="E136" s="23">
        <f>IF(AND($B$5="Tous les employés",IFERROR(INDEX(Pointage_ID,109),"")&lt;&gt;""),IF(109=0,"-",IF($H$5="1ère quinzaine",INDEX(Paie_HS1,109),IF($H$5="2ème quinzaine",INDEX(Paie_HS2,109),INDEX(Pointage_HS,109)))),"")</f>
      </c>
      <c r="F136" s="24">
        <f>IF(AND($B$5="Tous les employés",IFERROR(INDEX(Pointage_ID,109),"")&lt;&gt;""),INDEX(Paie_SalaireJour,109),"")</f>
      </c>
      <c r="G136" s="24">
        <f>IF(AND($B$5="Tous les employés",IFERROR(INDEX(Pointage_ID,109),"")&lt;&gt;""),IF(109=0,"-",IF($H$5="1ère quinzaine",INDEX(Paie_MontantHS1,109),IF($H$5="2ème quinzaine",INDEX(Paie_MontantHS2,109),INDEX(Paie_MontantHS,109)))),"")</f>
      </c>
      <c r="H136" s="24">
        <f>IF(AND($B$5="Tous les employés",IFERROR(INDEX(Pointage_ID,109),"")&lt;&gt;""),IF(109=0,"-",IF($H$5="1ère quinzaine",INDEX(Paie_Brut1,109),IF($H$5="2ème quinzaine",INDEX(Paie_Brut2,109),INDEX(Paie_BrutMensuel,109)))),"")</f>
      </c>
      <c r="I136" s="24">
        <f>IF(AND($B$5="Tous les employés",IFERROR(INDEX(Pointage_ID,109),"")&lt;&gt;""),IF(109=0,"-",IF($H$5="1ère quinzaine",INDEX(Paie_Retenues1,109),IF($H$5="2ème quinzaine",INDEX(Paie_Retenues2,109),INDEX(Paie_Retenues,109)))),"")</f>
      </c>
      <c r="J136" s="25">
        <f>IF(AND($B$5="Tous les employés",IFERROR(INDEX(Pointage_ID,109),"")&lt;&gt;""),IF(109=0,"-",IF($H$5="1ère quinzaine",INDEX(Paie_Net1,109),IF($H$5="2ème quinzaine",INDEX(Paie_Net2,109),INDEX(Paie_NetMensuel,109)))),"")</f>
      </c>
    </row>
    <row r="137">
      <c r="A137" s="20">
        <f>IF(AND($B$5="Tous les employés",IFERROR(INDEX(Pointage_ID,110),"")&lt;&gt;""),IFERROR(INDEX(Pointage_ID,110),""),"")</f>
      </c>
      <c r="B137" s="19">
        <f>IF(AND($B$5="Tous les employés",IFERROR(INDEX(Pointage_ID,110),"")&lt;&gt;""),INDEX(Pointage_Nom,110),"")</f>
      </c>
      <c r="C137" s="20">
        <f>IF(AND($B$5="Tous les employés",IFERROR(INDEX(Pointage_ID,110),"")&lt;&gt;""),INDEX(Pointage_Categorie,110),"")</f>
      </c>
      <c r="D137" s="22">
        <f>IF(AND($B$5="Tous les employés",IFERROR(INDEX(Pointage_ID,110),"")&lt;&gt;""),IF(110=0,"-",IF($H$5="1ère quinzaine",INDEX(Paie_Jours1,110),IF($H$5="2ème quinzaine",INDEX(Paie_Jours2,110),INDEX(Pointage_Travailles,110)))),"")</f>
      </c>
      <c r="E137" s="23">
        <f>IF(AND($B$5="Tous les employés",IFERROR(INDEX(Pointage_ID,110),"")&lt;&gt;""),IF(110=0,"-",IF($H$5="1ère quinzaine",INDEX(Paie_HS1,110),IF($H$5="2ème quinzaine",INDEX(Paie_HS2,110),INDEX(Pointage_HS,110)))),"")</f>
      </c>
      <c r="F137" s="24">
        <f>IF(AND($B$5="Tous les employés",IFERROR(INDEX(Pointage_ID,110),"")&lt;&gt;""),INDEX(Paie_SalaireJour,110),"")</f>
      </c>
      <c r="G137" s="24">
        <f>IF(AND($B$5="Tous les employés",IFERROR(INDEX(Pointage_ID,110),"")&lt;&gt;""),IF(110=0,"-",IF($H$5="1ère quinzaine",INDEX(Paie_MontantHS1,110),IF($H$5="2ème quinzaine",INDEX(Paie_MontantHS2,110),INDEX(Paie_MontantHS,110)))),"")</f>
      </c>
      <c r="H137" s="24">
        <f>IF(AND($B$5="Tous les employés",IFERROR(INDEX(Pointage_ID,110),"")&lt;&gt;""),IF(110=0,"-",IF($H$5="1ère quinzaine",INDEX(Paie_Brut1,110),IF($H$5="2ème quinzaine",INDEX(Paie_Brut2,110),INDEX(Paie_BrutMensuel,110)))),"")</f>
      </c>
      <c r="I137" s="24">
        <f>IF(AND($B$5="Tous les employés",IFERROR(INDEX(Pointage_ID,110),"")&lt;&gt;""),IF(110=0,"-",IF($H$5="1ère quinzaine",INDEX(Paie_Retenues1,110),IF($H$5="2ème quinzaine",INDEX(Paie_Retenues2,110),INDEX(Paie_Retenues,110)))),"")</f>
      </c>
      <c r="J137" s="25">
        <f>IF(AND($B$5="Tous les employés",IFERROR(INDEX(Pointage_ID,110),"")&lt;&gt;""),IF(110=0,"-",IF($H$5="1ère quinzaine",INDEX(Paie_Net1,110),IF($H$5="2ème quinzaine",INDEX(Paie_Net2,110),INDEX(Paie_NetMensuel,110)))),"")</f>
      </c>
    </row>
    <row r="138">
      <c r="A138" s="20">
        <f>IF(AND($B$5="Tous les employés",IFERROR(INDEX(Pointage_ID,111),"")&lt;&gt;""),IFERROR(INDEX(Pointage_ID,111),""),"")</f>
      </c>
      <c r="B138" s="19">
        <f>IF(AND($B$5="Tous les employés",IFERROR(INDEX(Pointage_ID,111),"")&lt;&gt;""),INDEX(Pointage_Nom,111),"")</f>
      </c>
      <c r="C138" s="20">
        <f>IF(AND($B$5="Tous les employés",IFERROR(INDEX(Pointage_ID,111),"")&lt;&gt;""),INDEX(Pointage_Categorie,111),"")</f>
      </c>
      <c r="D138" s="22">
        <f>IF(AND($B$5="Tous les employés",IFERROR(INDEX(Pointage_ID,111),"")&lt;&gt;""),IF(111=0,"-",IF($H$5="1ère quinzaine",INDEX(Paie_Jours1,111),IF($H$5="2ème quinzaine",INDEX(Paie_Jours2,111),INDEX(Pointage_Travailles,111)))),"")</f>
      </c>
      <c r="E138" s="23">
        <f>IF(AND($B$5="Tous les employés",IFERROR(INDEX(Pointage_ID,111),"")&lt;&gt;""),IF(111=0,"-",IF($H$5="1ère quinzaine",INDEX(Paie_HS1,111),IF($H$5="2ème quinzaine",INDEX(Paie_HS2,111),INDEX(Pointage_HS,111)))),"")</f>
      </c>
      <c r="F138" s="24">
        <f>IF(AND($B$5="Tous les employés",IFERROR(INDEX(Pointage_ID,111),"")&lt;&gt;""),INDEX(Paie_SalaireJour,111),"")</f>
      </c>
      <c r="G138" s="24">
        <f>IF(AND($B$5="Tous les employés",IFERROR(INDEX(Pointage_ID,111),"")&lt;&gt;""),IF(111=0,"-",IF($H$5="1ère quinzaine",INDEX(Paie_MontantHS1,111),IF($H$5="2ème quinzaine",INDEX(Paie_MontantHS2,111),INDEX(Paie_MontantHS,111)))),"")</f>
      </c>
      <c r="H138" s="24">
        <f>IF(AND($B$5="Tous les employés",IFERROR(INDEX(Pointage_ID,111),"")&lt;&gt;""),IF(111=0,"-",IF($H$5="1ère quinzaine",INDEX(Paie_Brut1,111),IF($H$5="2ème quinzaine",INDEX(Paie_Brut2,111),INDEX(Paie_BrutMensuel,111)))),"")</f>
      </c>
      <c r="I138" s="24">
        <f>IF(AND($B$5="Tous les employés",IFERROR(INDEX(Pointage_ID,111),"")&lt;&gt;""),IF(111=0,"-",IF($H$5="1ère quinzaine",INDEX(Paie_Retenues1,111),IF($H$5="2ème quinzaine",INDEX(Paie_Retenues2,111),INDEX(Paie_Retenues,111)))),"")</f>
      </c>
      <c r="J138" s="25">
        <f>IF(AND($B$5="Tous les employés",IFERROR(INDEX(Pointage_ID,111),"")&lt;&gt;""),IF(111=0,"-",IF($H$5="1ère quinzaine",INDEX(Paie_Net1,111),IF($H$5="2ème quinzaine",INDEX(Paie_Net2,111),INDEX(Paie_NetMensuel,111)))),"")</f>
      </c>
    </row>
    <row r="139">
      <c r="A139" s="20">
        <f>IF(AND($B$5="Tous les employés",IFERROR(INDEX(Pointage_ID,112),"")&lt;&gt;""),IFERROR(INDEX(Pointage_ID,112),""),"")</f>
      </c>
      <c r="B139" s="19">
        <f>IF(AND($B$5="Tous les employés",IFERROR(INDEX(Pointage_ID,112),"")&lt;&gt;""),INDEX(Pointage_Nom,112),"")</f>
      </c>
      <c r="C139" s="20">
        <f>IF(AND($B$5="Tous les employés",IFERROR(INDEX(Pointage_ID,112),"")&lt;&gt;""),INDEX(Pointage_Categorie,112),"")</f>
      </c>
      <c r="D139" s="22">
        <f>IF(AND($B$5="Tous les employés",IFERROR(INDEX(Pointage_ID,112),"")&lt;&gt;""),IF(112=0,"-",IF($H$5="1ère quinzaine",INDEX(Paie_Jours1,112),IF($H$5="2ème quinzaine",INDEX(Paie_Jours2,112),INDEX(Pointage_Travailles,112)))),"")</f>
      </c>
      <c r="E139" s="23">
        <f>IF(AND($B$5="Tous les employés",IFERROR(INDEX(Pointage_ID,112),"")&lt;&gt;""),IF(112=0,"-",IF($H$5="1ère quinzaine",INDEX(Paie_HS1,112),IF($H$5="2ème quinzaine",INDEX(Paie_HS2,112),INDEX(Pointage_HS,112)))),"")</f>
      </c>
      <c r="F139" s="24">
        <f>IF(AND($B$5="Tous les employés",IFERROR(INDEX(Pointage_ID,112),"")&lt;&gt;""),INDEX(Paie_SalaireJour,112),"")</f>
      </c>
      <c r="G139" s="24">
        <f>IF(AND($B$5="Tous les employés",IFERROR(INDEX(Pointage_ID,112),"")&lt;&gt;""),IF(112=0,"-",IF($H$5="1ère quinzaine",INDEX(Paie_MontantHS1,112),IF($H$5="2ème quinzaine",INDEX(Paie_MontantHS2,112),INDEX(Paie_MontantHS,112)))),"")</f>
      </c>
      <c r="H139" s="24">
        <f>IF(AND($B$5="Tous les employés",IFERROR(INDEX(Pointage_ID,112),"")&lt;&gt;""),IF(112=0,"-",IF($H$5="1ère quinzaine",INDEX(Paie_Brut1,112),IF($H$5="2ème quinzaine",INDEX(Paie_Brut2,112),INDEX(Paie_BrutMensuel,112)))),"")</f>
      </c>
      <c r="I139" s="24">
        <f>IF(AND($B$5="Tous les employés",IFERROR(INDEX(Pointage_ID,112),"")&lt;&gt;""),IF(112=0,"-",IF($H$5="1ère quinzaine",INDEX(Paie_Retenues1,112),IF($H$5="2ème quinzaine",INDEX(Paie_Retenues2,112),INDEX(Paie_Retenues,112)))),"")</f>
      </c>
      <c r="J139" s="25">
        <f>IF(AND($B$5="Tous les employés",IFERROR(INDEX(Pointage_ID,112),"")&lt;&gt;""),IF(112=0,"-",IF($H$5="1ère quinzaine",INDEX(Paie_Net1,112),IF($H$5="2ème quinzaine",INDEX(Paie_Net2,112),INDEX(Paie_NetMensuel,112)))),"")</f>
      </c>
    </row>
    <row r="140">
      <c r="A140" s="20">
        <f>IF(AND($B$5="Tous les employés",IFERROR(INDEX(Pointage_ID,113),"")&lt;&gt;""),IFERROR(INDEX(Pointage_ID,113),""),"")</f>
      </c>
      <c r="B140" s="19">
        <f>IF(AND($B$5="Tous les employés",IFERROR(INDEX(Pointage_ID,113),"")&lt;&gt;""),INDEX(Pointage_Nom,113),"")</f>
      </c>
      <c r="C140" s="20">
        <f>IF(AND($B$5="Tous les employés",IFERROR(INDEX(Pointage_ID,113),"")&lt;&gt;""),INDEX(Pointage_Categorie,113),"")</f>
      </c>
      <c r="D140" s="22">
        <f>IF(AND($B$5="Tous les employés",IFERROR(INDEX(Pointage_ID,113),"")&lt;&gt;""),IF(113=0,"-",IF($H$5="1ère quinzaine",INDEX(Paie_Jours1,113),IF($H$5="2ème quinzaine",INDEX(Paie_Jours2,113),INDEX(Pointage_Travailles,113)))),"")</f>
      </c>
      <c r="E140" s="23">
        <f>IF(AND($B$5="Tous les employés",IFERROR(INDEX(Pointage_ID,113),"")&lt;&gt;""),IF(113=0,"-",IF($H$5="1ère quinzaine",INDEX(Paie_HS1,113),IF($H$5="2ème quinzaine",INDEX(Paie_HS2,113),INDEX(Pointage_HS,113)))),"")</f>
      </c>
      <c r="F140" s="24">
        <f>IF(AND($B$5="Tous les employés",IFERROR(INDEX(Pointage_ID,113),"")&lt;&gt;""),INDEX(Paie_SalaireJour,113),"")</f>
      </c>
      <c r="G140" s="24">
        <f>IF(AND($B$5="Tous les employés",IFERROR(INDEX(Pointage_ID,113),"")&lt;&gt;""),IF(113=0,"-",IF($H$5="1ère quinzaine",INDEX(Paie_MontantHS1,113),IF($H$5="2ème quinzaine",INDEX(Paie_MontantHS2,113),INDEX(Paie_MontantHS,113)))),"")</f>
      </c>
      <c r="H140" s="24">
        <f>IF(AND($B$5="Tous les employés",IFERROR(INDEX(Pointage_ID,113),"")&lt;&gt;""),IF(113=0,"-",IF($H$5="1ère quinzaine",INDEX(Paie_Brut1,113),IF($H$5="2ème quinzaine",INDEX(Paie_Brut2,113),INDEX(Paie_BrutMensuel,113)))),"")</f>
      </c>
      <c r="I140" s="24">
        <f>IF(AND($B$5="Tous les employés",IFERROR(INDEX(Pointage_ID,113),"")&lt;&gt;""),IF(113=0,"-",IF($H$5="1ère quinzaine",INDEX(Paie_Retenues1,113),IF($H$5="2ème quinzaine",INDEX(Paie_Retenues2,113),INDEX(Paie_Retenues,113)))),"")</f>
      </c>
      <c r="J140" s="25">
        <f>IF(AND($B$5="Tous les employés",IFERROR(INDEX(Pointage_ID,113),"")&lt;&gt;""),IF(113=0,"-",IF($H$5="1ère quinzaine",INDEX(Paie_Net1,113),IF($H$5="2ème quinzaine",INDEX(Paie_Net2,113),INDEX(Paie_NetMensuel,113)))),"")</f>
      </c>
    </row>
    <row r="141">
      <c r="A141" s="20">
        <f>IF(AND($B$5="Tous les employés",IFERROR(INDEX(Pointage_ID,114),"")&lt;&gt;""),IFERROR(INDEX(Pointage_ID,114),""),"")</f>
      </c>
      <c r="B141" s="19">
        <f>IF(AND($B$5="Tous les employés",IFERROR(INDEX(Pointage_ID,114),"")&lt;&gt;""),INDEX(Pointage_Nom,114),"")</f>
      </c>
      <c r="C141" s="20">
        <f>IF(AND($B$5="Tous les employés",IFERROR(INDEX(Pointage_ID,114),"")&lt;&gt;""),INDEX(Pointage_Categorie,114),"")</f>
      </c>
      <c r="D141" s="22">
        <f>IF(AND($B$5="Tous les employés",IFERROR(INDEX(Pointage_ID,114),"")&lt;&gt;""),IF(114=0,"-",IF($H$5="1ère quinzaine",INDEX(Paie_Jours1,114),IF($H$5="2ème quinzaine",INDEX(Paie_Jours2,114),INDEX(Pointage_Travailles,114)))),"")</f>
      </c>
      <c r="E141" s="23">
        <f>IF(AND($B$5="Tous les employés",IFERROR(INDEX(Pointage_ID,114),"")&lt;&gt;""),IF(114=0,"-",IF($H$5="1ère quinzaine",INDEX(Paie_HS1,114),IF($H$5="2ème quinzaine",INDEX(Paie_HS2,114),INDEX(Pointage_HS,114)))),"")</f>
      </c>
      <c r="F141" s="24">
        <f>IF(AND($B$5="Tous les employés",IFERROR(INDEX(Pointage_ID,114),"")&lt;&gt;""),INDEX(Paie_SalaireJour,114),"")</f>
      </c>
      <c r="G141" s="24">
        <f>IF(AND($B$5="Tous les employés",IFERROR(INDEX(Pointage_ID,114),"")&lt;&gt;""),IF(114=0,"-",IF($H$5="1ère quinzaine",INDEX(Paie_MontantHS1,114),IF($H$5="2ème quinzaine",INDEX(Paie_MontantHS2,114),INDEX(Paie_MontantHS,114)))),"")</f>
      </c>
      <c r="H141" s="24">
        <f>IF(AND($B$5="Tous les employés",IFERROR(INDEX(Pointage_ID,114),"")&lt;&gt;""),IF(114=0,"-",IF($H$5="1ère quinzaine",INDEX(Paie_Brut1,114),IF($H$5="2ème quinzaine",INDEX(Paie_Brut2,114),INDEX(Paie_BrutMensuel,114)))),"")</f>
      </c>
      <c r="I141" s="24">
        <f>IF(AND($B$5="Tous les employés",IFERROR(INDEX(Pointage_ID,114),"")&lt;&gt;""),IF(114=0,"-",IF($H$5="1ère quinzaine",INDEX(Paie_Retenues1,114),IF($H$5="2ème quinzaine",INDEX(Paie_Retenues2,114),INDEX(Paie_Retenues,114)))),"")</f>
      </c>
      <c r="J141" s="25">
        <f>IF(AND($B$5="Tous les employés",IFERROR(INDEX(Pointage_ID,114),"")&lt;&gt;""),IF(114=0,"-",IF($H$5="1ère quinzaine",INDEX(Paie_Net1,114),IF($H$5="2ème quinzaine",INDEX(Paie_Net2,114),INDEX(Paie_NetMensuel,114)))),"")</f>
      </c>
    </row>
    <row r="142">
      <c r="A142" s="20">
        <f>IF(AND($B$5="Tous les employés",IFERROR(INDEX(Pointage_ID,115),"")&lt;&gt;""),IFERROR(INDEX(Pointage_ID,115),""),"")</f>
      </c>
      <c r="B142" s="19">
        <f>IF(AND($B$5="Tous les employés",IFERROR(INDEX(Pointage_ID,115),"")&lt;&gt;""),INDEX(Pointage_Nom,115),"")</f>
      </c>
      <c r="C142" s="20">
        <f>IF(AND($B$5="Tous les employés",IFERROR(INDEX(Pointage_ID,115),"")&lt;&gt;""),INDEX(Pointage_Categorie,115),"")</f>
      </c>
      <c r="D142" s="22">
        <f>IF(AND($B$5="Tous les employés",IFERROR(INDEX(Pointage_ID,115),"")&lt;&gt;""),IF(115=0,"-",IF($H$5="1ère quinzaine",INDEX(Paie_Jours1,115),IF($H$5="2ème quinzaine",INDEX(Paie_Jours2,115),INDEX(Pointage_Travailles,115)))),"")</f>
      </c>
      <c r="E142" s="23">
        <f>IF(AND($B$5="Tous les employés",IFERROR(INDEX(Pointage_ID,115),"")&lt;&gt;""),IF(115=0,"-",IF($H$5="1ère quinzaine",INDEX(Paie_HS1,115),IF($H$5="2ème quinzaine",INDEX(Paie_HS2,115),INDEX(Pointage_HS,115)))),"")</f>
      </c>
      <c r="F142" s="24">
        <f>IF(AND($B$5="Tous les employés",IFERROR(INDEX(Pointage_ID,115),"")&lt;&gt;""),INDEX(Paie_SalaireJour,115),"")</f>
      </c>
      <c r="G142" s="24">
        <f>IF(AND($B$5="Tous les employés",IFERROR(INDEX(Pointage_ID,115),"")&lt;&gt;""),IF(115=0,"-",IF($H$5="1ère quinzaine",INDEX(Paie_MontantHS1,115),IF($H$5="2ème quinzaine",INDEX(Paie_MontantHS2,115),INDEX(Paie_MontantHS,115)))),"")</f>
      </c>
      <c r="H142" s="24">
        <f>IF(AND($B$5="Tous les employés",IFERROR(INDEX(Pointage_ID,115),"")&lt;&gt;""),IF(115=0,"-",IF($H$5="1ère quinzaine",INDEX(Paie_Brut1,115),IF($H$5="2ème quinzaine",INDEX(Paie_Brut2,115),INDEX(Paie_BrutMensuel,115)))),"")</f>
      </c>
      <c r="I142" s="24">
        <f>IF(AND($B$5="Tous les employés",IFERROR(INDEX(Pointage_ID,115),"")&lt;&gt;""),IF(115=0,"-",IF($H$5="1ère quinzaine",INDEX(Paie_Retenues1,115),IF($H$5="2ème quinzaine",INDEX(Paie_Retenues2,115),INDEX(Paie_Retenues,115)))),"")</f>
      </c>
      <c r="J142" s="25">
        <f>IF(AND($B$5="Tous les employés",IFERROR(INDEX(Pointage_ID,115),"")&lt;&gt;""),IF(115=0,"-",IF($H$5="1ère quinzaine",INDEX(Paie_Net1,115),IF($H$5="2ème quinzaine",INDEX(Paie_Net2,115),INDEX(Paie_NetMensuel,115)))),"")</f>
      </c>
    </row>
    <row r="143">
      <c r="A143" s="20">
        <f>IF(AND($B$5="Tous les employés",IFERROR(INDEX(Pointage_ID,116),"")&lt;&gt;""),IFERROR(INDEX(Pointage_ID,116),""),"")</f>
      </c>
      <c r="B143" s="19">
        <f>IF(AND($B$5="Tous les employés",IFERROR(INDEX(Pointage_ID,116),"")&lt;&gt;""),INDEX(Pointage_Nom,116),"")</f>
      </c>
      <c r="C143" s="20">
        <f>IF(AND($B$5="Tous les employés",IFERROR(INDEX(Pointage_ID,116),"")&lt;&gt;""),INDEX(Pointage_Categorie,116),"")</f>
      </c>
      <c r="D143" s="22">
        <f>IF(AND($B$5="Tous les employés",IFERROR(INDEX(Pointage_ID,116),"")&lt;&gt;""),IF(116=0,"-",IF($H$5="1ère quinzaine",INDEX(Paie_Jours1,116),IF($H$5="2ème quinzaine",INDEX(Paie_Jours2,116),INDEX(Pointage_Travailles,116)))),"")</f>
      </c>
      <c r="E143" s="23">
        <f>IF(AND($B$5="Tous les employés",IFERROR(INDEX(Pointage_ID,116),"")&lt;&gt;""),IF(116=0,"-",IF($H$5="1ère quinzaine",INDEX(Paie_HS1,116),IF($H$5="2ème quinzaine",INDEX(Paie_HS2,116),INDEX(Pointage_HS,116)))),"")</f>
      </c>
      <c r="F143" s="24">
        <f>IF(AND($B$5="Tous les employés",IFERROR(INDEX(Pointage_ID,116),"")&lt;&gt;""),INDEX(Paie_SalaireJour,116),"")</f>
      </c>
      <c r="G143" s="24">
        <f>IF(AND($B$5="Tous les employés",IFERROR(INDEX(Pointage_ID,116),"")&lt;&gt;""),IF(116=0,"-",IF($H$5="1ère quinzaine",INDEX(Paie_MontantHS1,116),IF($H$5="2ème quinzaine",INDEX(Paie_MontantHS2,116),INDEX(Paie_MontantHS,116)))),"")</f>
      </c>
      <c r="H143" s="24">
        <f>IF(AND($B$5="Tous les employés",IFERROR(INDEX(Pointage_ID,116),"")&lt;&gt;""),IF(116=0,"-",IF($H$5="1ère quinzaine",INDEX(Paie_Brut1,116),IF($H$5="2ème quinzaine",INDEX(Paie_Brut2,116),INDEX(Paie_BrutMensuel,116)))),"")</f>
      </c>
      <c r="I143" s="24">
        <f>IF(AND($B$5="Tous les employés",IFERROR(INDEX(Pointage_ID,116),"")&lt;&gt;""),IF(116=0,"-",IF($H$5="1ère quinzaine",INDEX(Paie_Retenues1,116),IF($H$5="2ème quinzaine",INDEX(Paie_Retenues2,116),INDEX(Paie_Retenues,116)))),"")</f>
      </c>
      <c r="J143" s="25">
        <f>IF(AND($B$5="Tous les employés",IFERROR(INDEX(Pointage_ID,116),"")&lt;&gt;""),IF(116=0,"-",IF($H$5="1ère quinzaine",INDEX(Paie_Net1,116),IF($H$5="2ème quinzaine",INDEX(Paie_Net2,116),INDEX(Paie_NetMensuel,116)))),"")</f>
      </c>
    </row>
    <row r="144">
      <c r="A144" s="20">
        <f>IF(AND($B$5="Tous les employés",IFERROR(INDEX(Pointage_ID,117),"")&lt;&gt;""),IFERROR(INDEX(Pointage_ID,117),""),"")</f>
      </c>
      <c r="B144" s="19">
        <f>IF(AND($B$5="Tous les employés",IFERROR(INDEX(Pointage_ID,117),"")&lt;&gt;""),INDEX(Pointage_Nom,117),"")</f>
      </c>
      <c r="C144" s="20">
        <f>IF(AND($B$5="Tous les employés",IFERROR(INDEX(Pointage_ID,117),"")&lt;&gt;""),INDEX(Pointage_Categorie,117),"")</f>
      </c>
      <c r="D144" s="22">
        <f>IF(AND($B$5="Tous les employés",IFERROR(INDEX(Pointage_ID,117),"")&lt;&gt;""),IF(117=0,"-",IF($H$5="1ère quinzaine",INDEX(Paie_Jours1,117),IF($H$5="2ème quinzaine",INDEX(Paie_Jours2,117),INDEX(Pointage_Travailles,117)))),"")</f>
      </c>
      <c r="E144" s="23">
        <f>IF(AND($B$5="Tous les employés",IFERROR(INDEX(Pointage_ID,117),"")&lt;&gt;""),IF(117=0,"-",IF($H$5="1ère quinzaine",INDEX(Paie_HS1,117),IF($H$5="2ème quinzaine",INDEX(Paie_HS2,117),INDEX(Pointage_HS,117)))),"")</f>
      </c>
      <c r="F144" s="24">
        <f>IF(AND($B$5="Tous les employés",IFERROR(INDEX(Pointage_ID,117),"")&lt;&gt;""),INDEX(Paie_SalaireJour,117),"")</f>
      </c>
      <c r="G144" s="24">
        <f>IF(AND($B$5="Tous les employés",IFERROR(INDEX(Pointage_ID,117),"")&lt;&gt;""),IF(117=0,"-",IF($H$5="1ère quinzaine",INDEX(Paie_MontantHS1,117),IF($H$5="2ème quinzaine",INDEX(Paie_MontantHS2,117),INDEX(Paie_MontantHS,117)))),"")</f>
      </c>
      <c r="H144" s="24">
        <f>IF(AND($B$5="Tous les employés",IFERROR(INDEX(Pointage_ID,117),"")&lt;&gt;""),IF(117=0,"-",IF($H$5="1ère quinzaine",INDEX(Paie_Brut1,117),IF($H$5="2ème quinzaine",INDEX(Paie_Brut2,117),INDEX(Paie_BrutMensuel,117)))),"")</f>
      </c>
      <c r="I144" s="24">
        <f>IF(AND($B$5="Tous les employés",IFERROR(INDEX(Pointage_ID,117),"")&lt;&gt;""),IF(117=0,"-",IF($H$5="1ère quinzaine",INDEX(Paie_Retenues1,117),IF($H$5="2ème quinzaine",INDEX(Paie_Retenues2,117),INDEX(Paie_Retenues,117)))),"")</f>
      </c>
      <c r="J144" s="25">
        <f>IF(AND($B$5="Tous les employés",IFERROR(INDEX(Pointage_ID,117),"")&lt;&gt;""),IF(117=0,"-",IF($H$5="1ère quinzaine",INDEX(Paie_Net1,117),IF($H$5="2ème quinzaine",INDEX(Paie_Net2,117),INDEX(Paie_NetMensuel,117)))),"")</f>
      </c>
    </row>
    <row r="145">
      <c r="A145" s="20">
        <f>IF(AND($B$5="Tous les employés",IFERROR(INDEX(Pointage_ID,118),"")&lt;&gt;""),IFERROR(INDEX(Pointage_ID,118),""),"")</f>
      </c>
      <c r="B145" s="19">
        <f>IF(AND($B$5="Tous les employés",IFERROR(INDEX(Pointage_ID,118),"")&lt;&gt;""),INDEX(Pointage_Nom,118),"")</f>
      </c>
      <c r="C145" s="20">
        <f>IF(AND($B$5="Tous les employés",IFERROR(INDEX(Pointage_ID,118),"")&lt;&gt;""),INDEX(Pointage_Categorie,118),"")</f>
      </c>
      <c r="D145" s="22">
        <f>IF(AND($B$5="Tous les employés",IFERROR(INDEX(Pointage_ID,118),"")&lt;&gt;""),IF(118=0,"-",IF($H$5="1ère quinzaine",INDEX(Paie_Jours1,118),IF($H$5="2ème quinzaine",INDEX(Paie_Jours2,118),INDEX(Pointage_Travailles,118)))),"")</f>
      </c>
      <c r="E145" s="23">
        <f>IF(AND($B$5="Tous les employés",IFERROR(INDEX(Pointage_ID,118),"")&lt;&gt;""),IF(118=0,"-",IF($H$5="1ère quinzaine",INDEX(Paie_HS1,118),IF($H$5="2ème quinzaine",INDEX(Paie_HS2,118),INDEX(Pointage_HS,118)))),"")</f>
      </c>
      <c r="F145" s="24">
        <f>IF(AND($B$5="Tous les employés",IFERROR(INDEX(Pointage_ID,118),"")&lt;&gt;""),INDEX(Paie_SalaireJour,118),"")</f>
      </c>
      <c r="G145" s="24">
        <f>IF(AND($B$5="Tous les employés",IFERROR(INDEX(Pointage_ID,118),"")&lt;&gt;""),IF(118=0,"-",IF($H$5="1ère quinzaine",INDEX(Paie_MontantHS1,118),IF($H$5="2ème quinzaine",INDEX(Paie_MontantHS2,118),INDEX(Paie_MontantHS,118)))),"")</f>
      </c>
      <c r="H145" s="24">
        <f>IF(AND($B$5="Tous les employés",IFERROR(INDEX(Pointage_ID,118),"")&lt;&gt;""),IF(118=0,"-",IF($H$5="1ère quinzaine",INDEX(Paie_Brut1,118),IF($H$5="2ème quinzaine",INDEX(Paie_Brut2,118),INDEX(Paie_BrutMensuel,118)))),"")</f>
      </c>
      <c r="I145" s="24">
        <f>IF(AND($B$5="Tous les employés",IFERROR(INDEX(Pointage_ID,118),"")&lt;&gt;""),IF(118=0,"-",IF($H$5="1ère quinzaine",INDEX(Paie_Retenues1,118),IF($H$5="2ème quinzaine",INDEX(Paie_Retenues2,118),INDEX(Paie_Retenues,118)))),"")</f>
      </c>
      <c r="J145" s="25">
        <f>IF(AND($B$5="Tous les employés",IFERROR(INDEX(Pointage_ID,118),"")&lt;&gt;""),IF(118=0,"-",IF($H$5="1ère quinzaine",INDEX(Paie_Net1,118),IF($H$5="2ème quinzaine",INDEX(Paie_Net2,118),INDEX(Paie_NetMensuel,118)))),"")</f>
      </c>
    </row>
    <row r="146">
      <c r="A146" s="20">
        <f>IF(AND($B$5="Tous les employés",IFERROR(INDEX(Pointage_ID,119),"")&lt;&gt;""),IFERROR(INDEX(Pointage_ID,119),""),"")</f>
      </c>
      <c r="B146" s="19">
        <f>IF(AND($B$5="Tous les employés",IFERROR(INDEX(Pointage_ID,119),"")&lt;&gt;""),INDEX(Pointage_Nom,119),"")</f>
      </c>
      <c r="C146" s="20">
        <f>IF(AND($B$5="Tous les employés",IFERROR(INDEX(Pointage_ID,119),"")&lt;&gt;""),INDEX(Pointage_Categorie,119),"")</f>
      </c>
      <c r="D146" s="22">
        <f>IF(AND($B$5="Tous les employés",IFERROR(INDEX(Pointage_ID,119),"")&lt;&gt;""),IF(119=0,"-",IF($H$5="1ère quinzaine",INDEX(Paie_Jours1,119),IF($H$5="2ème quinzaine",INDEX(Paie_Jours2,119),INDEX(Pointage_Travailles,119)))),"")</f>
      </c>
      <c r="E146" s="23">
        <f>IF(AND($B$5="Tous les employés",IFERROR(INDEX(Pointage_ID,119),"")&lt;&gt;""),IF(119=0,"-",IF($H$5="1ère quinzaine",INDEX(Paie_HS1,119),IF($H$5="2ème quinzaine",INDEX(Paie_HS2,119),INDEX(Pointage_HS,119)))),"")</f>
      </c>
      <c r="F146" s="24">
        <f>IF(AND($B$5="Tous les employés",IFERROR(INDEX(Pointage_ID,119),"")&lt;&gt;""),INDEX(Paie_SalaireJour,119),"")</f>
      </c>
      <c r="G146" s="24">
        <f>IF(AND($B$5="Tous les employés",IFERROR(INDEX(Pointage_ID,119),"")&lt;&gt;""),IF(119=0,"-",IF($H$5="1ère quinzaine",INDEX(Paie_MontantHS1,119),IF($H$5="2ème quinzaine",INDEX(Paie_MontantHS2,119),INDEX(Paie_MontantHS,119)))),"")</f>
      </c>
      <c r="H146" s="24">
        <f>IF(AND($B$5="Tous les employés",IFERROR(INDEX(Pointage_ID,119),"")&lt;&gt;""),IF(119=0,"-",IF($H$5="1ère quinzaine",INDEX(Paie_Brut1,119),IF($H$5="2ème quinzaine",INDEX(Paie_Brut2,119),INDEX(Paie_BrutMensuel,119)))),"")</f>
      </c>
      <c r="I146" s="24">
        <f>IF(AND($B$5="Tous les employés",IFERROR(INDEX(Pointage_ID,119),"")&lt;&gt;""),IF(119=0,"-",IF($H$5="1ère quinzaine",INDEX(Paie_Retenues1,119),IF($H$5="2ème quinzaine",INDEX(Paie_Retenues2,119),INDEX(Paie_Retenues,119)))),"")</f>
      </c>
      <c r="J146" s="25">
        <f>IF(AND($B$5="Tous les employés",IFERROR(INDEX(Pointage_ID,119),"")&lt;&gt;""),IF(119=0,"-",IF($H$5="1ère quinzaine",INDEX(Paie_Net1,119),IF($H$5="2ème quinzaine",INDEX(Paie_Net2,119),INDEX(Paie_NetMensuel,119)))),"")</f>
      </c>
    </row>
    <row r="147">
      <c r="A147" s="20">
        <f>IF(AND($B$5="Tous les employés",IFERROR(INDEX(Pointage_ID,120),"")&lt;&gt;""),IFERROR(INDEX(Pointage_ID,120),""),"")</f>
      </c>
      <c r="B147" s="19">
        <f>IF(AND($B$5="Tous les employés",IFERROR(INDEX(Pointage_ID,120),"")&lt;&gt;""),INDEX(Pointage_Nom,120),"")</f>
      </c>
      <c r="C147" s="20">
        <f>IF(AND($B$5="Tous les employés",IFERROR(INDEX(Pointage_ID,120),"")&lt;&gt;""),INDEX(Pointage_Categorie,120),"")</f>
      </c>
      <c r="D147" s="22">
        <f>IF(AND($B$5="Tous les employés",IFERROR(INDEX(Pointage_ID,120),"")&lt;&gt;""),IF(120=0,"-",IF($H$5="1ère quinzaine",INDEX(Paie_Jours1,120),IF($H$5="2ème quinzaine",INDEX(Paie_Jours2,120),INDEX(Pointage_Travailles,120)))),"")</f>
      </c>
      <c r="E147" s="23">
        <f>IF(AND($B$5="Tous les employés",IFERROR(INDEX(Pointage_ID,120),"")&lt;&gt;""),IF(120=0,"-",IF($H$5="1ère quinzaine",INDEX(Paie_HS1,120),IF($H$5="2ème quinzaine",INDEX(Paie_HS2,120),INDEX(Pointage_HS,120)))),"")</f>
      </c>
      <c r="F147" s="24">
        <f>IF(AND($B$5="Tous les employés",IFERROR(INDEX(Pointage_ID,120),"")&lt;&gt;""),INDEX(Paie_SalaireJour,120),"")</f>
      </c>
      <c r="G147" s="24">
        <f>IF(AND($B$5="Tous les employés",IFERROR(INDEX(Pointage_ID,120),"")&lt;&gt;""),IF(120=0,"-",IF($H$5="1ère quinzaine",INDEX(Paie_MontantHS1,120),IF($H$5="2ème quinzaine",INDEX(Paie_MontantHS2,120),INDEX(Paie_MontantHS,120)))),"")</f>
      </c>
      <c r="H147" s="24">
        <f>IF(AND($B$5="Tous les employés",IFERROR(INDEX(Pointage_ID,120),"")&lt;&gt;""),IF(120=0,"-",IF($H$5="1ère quinzaine",INDEX(Paie_Brut1,120),IF($H$5="2ème quinzaine",INDEX(Paie_Brut2,120),INDEX(Paie_BrutMensuel,120)))),"")</f>
      </c>
      <c r="I147" s="24">
        <f>IF(AND($B$5="Tous les employés",IFERROR(INDEX(Pointage_ID,120),"")&lt;&gt;""),IF(120=0,"-",IF($H$5="1ère quinzaine",INDEX(Paie_Retenues1,120),IF($H$5="2ème quinzaine",INDEX(Paie_Retenues2,120),INDEX(Paie_Retenues,120)))),"")</f>
      </c>
      <c r="J147" s="25">
        <f>IF(AND($B$5="Tous les employés",IFERROR(INDEX(Pointage_ID,120),"")&lt;&gt;""),IF(120=0,"-",IF($H$5="1ère quinzaine",INDEX(Paie_Net1,120),IF($H$5="2ème quinzaine",INDEX(Paie_Net2,120),INDEX(Paie_NetMensuel,120)))),"")</f>
      </c>
    </row>
    <row r="148">
      <c r="A148" s="20">
        <f>IF(AND($B$5="Tous les employés",IFERROR(INDEX(Pointage_ID,121),"")&lt;&gt;""),IFERROR(INDEX(Pointage_ID,121),""),"")</f>
      </c>
      <c r="B148" s="19">
        <f>IF(AND($B$5="Tous les employés",IFERROR(INDEX(Pointage_ID,121),"")&lt;&gt;""),INDEX(Pointage_Nom,121),"")</f>
      </c>
      <c r="C148" s="20">
        <f>IF(AND($B$5="Tous les employés",IFERROR(INDEX(Pointage_ID,121),"")&lt;&gt;""),INDEX(Pointage_Categorie,121),"")</f>
      </c>
      <c r="D148" s="22">
        <f>IF(AND($B$5="Tous les employés",IFERROR(INDEX(Pointage_ID,121),"")&lt;&gt;""),IF(121=0,"-",IF($H$5="1ère quinzaine",INDEX(Paie_Jours1,121),IF($H$5="2ème quinzaine",INDEX(Paie_Jours2,121),INDEX(Pointage_Travailles,121)))),"")</f>
      </c>
      <c r="E148" s="23">
        <f>IF(AND($B$5="Tous les employés",IFERROR(INDEX(Pointage_ID,121),"")&lt;&gt;""),IF(121=0,"-",IF($H$5="1ère quinzaine",INDEX(Paie_HS1,121),IF($H$5="2ème quinzaine",INDEX(Paie_HS2,121),INDEX(Pointage_HS,121)))),"")</f>
      </c>
      <c r="F148" s="24">
        <f>IF(AND($B$5="Tous les employés",IFERROR(INDEX(Pointage_ID,121),"")&lt;&gt;""),INDEX(Paie_SalaireJour,121),"")</f>
      </c>
      <c r="G148" s="24">
        <f>IF(AND($B$5="Tous les employés",IFERROR(INDEX(Pointage_ID,121),"")&lt;&gt;""),IF(121=0,"-",IF($H$5="1ère quinzaine",INDEX(Paie_MontantHS1,121),IF($H$5="2ème quinzaine",INDEX(Paie_MontantHS2,121),INDEX(Paie_MontantHS,121)))),"")</f>
      </c>
      <c r="H148" s="24">
        <f>IF(AND($B$5="Tous les employés",IFERROR(INDEX(Pointage_ID,121),"")&lt;&gt;""),IF(121=0,"-",IF($H$5="1ère quinzaine",INDEX(Paie_Brut1,121),IF($H$5="2ème quinzaine",INDEX(Paie_Brut2,121),INDEX(Paie_BrutMensuel,121)))),"")</f>
      </c>
      <c r="I148" s="24">
        <f>IF(AND($B$5="Tous les employés",IFERROR(INDEX(Pointage_ID,121),"")&lt;&gt;""),IF(121=0,"-",IF($H$5="1ère quinzaine",INDEX(Paie_Retenues1,121),IF($H$5="2ème quinzaine",INDEX(Paie_Retenues2,121),INDEX(Paie_Retenues,121)))),"")</f>
      </c>
      <c r="J148" s="25">
        <f>IF(AND($B$5="Tous les employés",IFERROR(INDEX(Pointage_ID,121),"")&lt;&gt;""),IF(121=0,"-",IF($H$5="1ère quinzaine",INDEX(Paie_Net1,121),IF($H$5="2ème quinzaine",INDEX(Paie_Net2,121),INDEX(Paie_NetMensuel,121)))),"")</f>
      </c>
    </row>
    <row r="149">
      <c r="A149" s="20">
        <f>IF(AND($B$5="Tous les employés",IFERROR(INDEX(Pointage_ID,122),"")&lt;&gt;""),IFERROR(INDEX(Pointage_ID,122),""),"")</f>
      </c>
      <c r="B149" s="19">
        <f>IF(AND($B$5="Tous les employés",IFERROR(INDEX(Pointage_ID,122),"")&lt;&gt;""),INDEX(Pointage_Nom,122),"")</f>
      </c>
      <c r="C149" s="20">
        <f>IF(AND($B$5="Tous les employés",IFERROR(INDEX(Pointage_ID,122),"")&lt;&gt;""),INDEX(Pointage_Categorie,122),"")</f>
      </c>
      <c r="D149" s="22">
        <f>IF(AND($B$5="Tous les employés",IFERROR(INDEX(Pointage_ID,122),"")&lt;&gt;""),IF(122=0,"-",IF($H$5="1ère quinzaine",INDEX(Paie_Jours1,122),IF($H$5="2ème quinzaine",INDEX(Paie_Jours2,122),INDEX(Pointage_Travailles,122)))),"")</f>
      </c>
      <c r="E149" s="23">
        <f>IF(AND($B$5="Tous les employés",IFERROR(INDEX(Pointage_ID,122),"")&lt;&gt;""),IF(122=0,"-",IF($H$5="1ère quinzaine",INDEX(Paie_HS1,122),IF($H$5="2ème quinzaine",INDEX(Paie_HS2,122),INDEX(Pointage_HS,122)))),"")</f>
      </c>
      <c r="F149" s="24">
        <f>IF(AND($B$5="Tous les employés",IFERROR(INDEX(Pointage_ID,122),"")&lt;&gt;""),INDEX(Paie_SalaireJour,122),"")</f>
      </c>
      <c r="G149" s="24">
        <f>IF(AND($B$5="Tous les employés",IFERROR(INDEX(Pointage_ID,122),"")&lt;&gt;""),IF(122=0,"-",IF($H$5="1ère quinzaine",INDEX(Paie_MontantHS1,122),IF($H$5="2ème quinzaine",INDEX(Paie_MontantHS2,122),INDEX(Paie_MontantHS,122)))),"")</f>
      </c>
      <c r="H149" s="24">
        <f>IF(AND($B$5="Tous les employés",IFERROR(INDEX(Pointage_ID,122),"")&lt;&gt;""),IF(122=0,"-",IF($H$5="1ère quinzaine",INDEX(Paie_Brut1,122),IF($H$5="2ème quinzaine",INDEX(Paie_Brut2,122),INDEX(Paie_BrutMensuel,122)))),"")</f>
      </c>
      <c r="I149" s="24">
        <f>IF(AND($B$5="Tous les employés",IFERROR(INDEX(Pointage_ID,122),"")&lt;&gt;""),IF(122=0,"-",IF($H$5="1ère quinzaine",INDEX(Paie_Retenues1,122),IF($H$5="2ème quinzaine",INDEX(Paie_Retenues2,122),INDEX(Paie_Retenues,122)))),"")</f>
      </c>
      <c r="J149" s="25">
        <f>IF(AND($B$5="Tous les employés",IFERROR(INDEX(Pointage_ID,122),"")&lt;&gt;""),IF(122=0,"-",IF($H$5="1ère quinzaine",INDEX(Paie_Net1,122),IF($H$5="2ème quinzaine",INDEX(Paie_Net2,122),INDEX(Paie_NetMensuel,122)))),"")</f>
      </c>
    </row>
    <row r="150">
      <c r="A150" s="20">
        <f>IF(AND($B$5="Tous les employés",IFERROR(INDEX(Pointage_ID,123),"")&lt;&gt;""),IFERROR(INDEX(Pointage_ID,123),""),"")</f>
      </c>
      <c r="B150" s="19">
        <f>IF(AND($B$5="Tous les employés",IFERROR(INDEX(Pointage_ID,123),"")&lt;&gt;""),INDEX(Pointage_Nom,123),"")</f>
      </c>
      <c r="C150" s="20">
        <f>IF(AND($B$5="Tous les employés",IFERROR(INDEX(Pointage_ID,123),"")&lt;&gt;""),INDEX(Pointage_Categorie,123),"")</f>
      </c>
      <c r="D150" s="22">
        <f>IF(AND($B$5="Tous les employés",IFERROR(INDEX(Pointage_ID,123),"")&lt;&gt;""),IF(123=0,"-",IF($H$5="1ère quinzaine",INDEX(Paie_Jours1,123),IF($H$5="2ème quinzaine",INDEX(Paie_Jours2,123),INDEX(Pointage_Travailles,123)))),"")</f>
      </c>
      <c r="E150" s="23">
        <f>IF(AND($B$5="Tous les employés",IFERROR(INDEX(Pointage_ID,123),"")&lt;&gt;""),IF(123=0,"-",IF($H$5="1ère quinzaine",INDEX(Paie_HS1,123),IF($H$5="2ème quinzaine",INDEX(Paie_HS2,123),INDEX(Pointage_HS,123)))),"")</f>
      </c>
      <c r="F150" s="24">
        <f>IF(AND($B$5="Tous les employés",IFERROR(INDEX(Pointage_ID,123),"")&lt;&gt;""),INDEX(Paie_SalaireJour,123),"")</f>
      </c>
      <c r="G150" s="24">
        <f>IF(AND($B$5="Tous les employés",IFERROR(INDEX(Pointage_ID,123),"")&lt;&gt;""),IF(123=0,"-",IF($H$5="1ère quinzaine",INDEX(Paie_MontantHS1,123),IF($H$5="2ème quinzaine",INDEX(Paie_MontantHS2,123),INDEX(Paie_MontantHS,123)))),"")</f>
      </c>
      <c r="H150" s="24">
        <f>IF(AND($B$5="Tous les employés",IFERROR(INDEX(Pointage_ID,123),"")&lt;&gt;""),IF(123=0,"-",IF($H$5="1ère quinzaine",INDEX(Paie_Brut1,123),IF($H$5="2ème quinzaine",INDEX(Paie_Brut2,123),INDEX(Paie_BrutMensuel,123)))),"")</f>
      </c>
      <c r="I150" s="24">
        <f>IF(AND($B$5="Tous les employés",IFERROR(INDEX(Pointage_ID,123),"")&lt;&gt;""),IF(123=0,"-",IF($H$5="1ère quinzaine",INDEX(Paie_Retenues1,123),IF($H$5="2ème quinzaine",INDEX(Paie_Retenues2,123),INDEX(Paie_Retenues,123)))),"")</f>
      </c>
      <c r="J150" s="25">
        <f>IF(AND($B$5="Tous les employés",IFERROR(INDEX(Pointage_ID,123),"")&lt;&gt;""),IF(123=0,"-",IF($H$5="1ère quinzaine",INDEX(Paie_Net1,123),IF($H$5="2ème quinzaine",INDEX(Paie_Net2,123),INDEX(Paie_NetMensuel,123)))),"")</f>
      </c>
    </row>
    <row r="151">
      <c r="A151" s="20">
        <f>IF(AND($B$5="Tous les employés",IFERROR(INDEX(Pointage_ID,124),"")&lt;&gt;""),IFERROR(INDEX(Pointage_ID,124),""),"")</f>
      </c>
      <c r="B151" s="19">
        <f>IF(AND($B$5="Tous les employés",IFERROR(INDEX(Pointage_ID,124),"")&lt;&gt;""),INDEX(Pointage_Nom,124),"")</f>
      </c>
      <c r="C151" s="20">
        <f>IF(AND($B$5="Tous les employés",IFERROR(INDEX(Pointage_ID,124),"")&lt;&gt;""),INDEX(Pointage_Categorie,124),"")</f>
      </c>
      <c r="D151" s="22">
        <f>IF(AND($B$5="Tous les employés",IFERROR(INDEX(Pointage_ID,124),"")&lt;&gt;""),IF(124=0,"-",IF($H$5="1ère quinzaine",INDEX(Paie_Jours1,124),IF($H$5="2ème quinzaine",INDEX(Paie_Jours2,124),INDEX(Pointage_Travailles,124)))),"")</f>
      </c>
      <c r="E151" s="23">
        <f>IF(AND($B$5="Tous les employés",IFERROR(INDEX(Pointage_ID,124),"")&lt;&gt;""),IF(124=0,"-",IF($H$5="1ère quinzaine",INDEX(Paie_HS1,124),IF($H$5="2ème quinzaine",INDEX(Paie_HS2,124),INDEX(Pointage_HS,124)))),"")</f>
      </c>
      <c r="F151" s="24">
        <f>IF(AND($B$5="Tous les employés",IFERROR(INDEX(Pointage_ID,124),"")&lt;&gt;""),INDEX(Paie_SalaireJour,124),"")</f>
      </c>
      <c r="G151" s="24">
        <f>IF(AND($B$5="Tous les employés",IFERROR(INDEX(Pointage_ID,124),"")&lt;&gt;""),IF(124=0,"-",IF($H$5="1ère quinzaine",INDEX(Paie_MontantHS1,124),IF($H$5="2ème quinzaine",INDEX(Paie_MontantHS2,124),INDEX(Paie_MontantHS,124)))),"")</f>
      </c>
      <c r="H151" s="24">
        <f>IF(AND($B$5="Tous les employés",IFERROR(INDEX(Pointage_ID,124),"")&lt;&gt;""),IF(124=0,"-",IF($H$5="1ère quinzaine",INDEX(Paie_Brut1,124),IF($H$5="2ème quinzaine",INDEX(Paie_Brut2,124),INDEX(Paie_BrutMensuel,124)))),"")</f>
      </c>
      <c r="I151" s="24">
        <f>IF(AND($B$5="Tous les employés",IFERROR(INDEX(Pointage_ID,124),"")&lt;&gt;""),IF(124=0,"-",IF($H$5="1ère quinzaine",INDEX(Paie_Retenues1,124),IF($H$5="2ème quinzaine",INDEX(Paie_Retenues2,124),INDEX(Paie_Retenues,124)))),"")</f>
      </c>
      <c r="J151" s="25">
        <f>IF(AND($B$5="Tous les employés",IFERROR(INDEX(Pointage_ID,124),"")&lt;&gt;""),IF(124=0,"-",IF($H$5="1ère quinzaine",INDEX(Paie_Net1,124),IF($H$5="2ème quinzaine",INDEX(Paie_Net2,124),INDEX(Paie_NetMensuel,124)))),"")</f>
      </c>
    </row>
    <row r="152">
      <c r="A152" s="20">
        <f>IF(AND($B$5="Tous les employés",IFERROR(INDEX(Pointage_ID,125),"")&lt;&gt;""),IFERROR(INDEX(Pointage_ID,125),""),"")</f>
      </c>
      <c r="B152" s="19">
        <f>IF(AND($B$5="Tous les employés",IFERROR(INDEX(Pointage_ID,125),"")&lt;&gt;""),INDEX(Pointage_Nom,125),"")</f>
      </c>
      <c r="C152" s="20">
        <f>IF(AND($B$5="Tous les employés",IFERROR(INDEX(Pointage_ID,125),"")&lt;&gt;""),INDEX(Pointage_Categorie,125),"")</f>
      </c>
      <c r="D152" s="22">
        <f>IF(AND($B$5="Tous les employés",IFERROR(INDEX(Pointage_ID,125),"")&lt;&gt;""),IF(125=0,"-",IF($H$5="1ère quinzaine",INDEX(Paie_Jours1,125),IF($H$5="2ème quinzaine",INDEX(Paie_Jours2,125),INDEX(Pointage_Travailles,125)))),"")</f>
      </c>
      <c r="E152" s="23">
        <f>IF(AND($B$5="Tous les employés",IFERROR(INDEX(Pointage_ID,125),"")&lt;&gt;""),IF(125=0,"-",IF($H$5="1ère quinzaine",INDEX(Paie_HS1,125),IF($H$5="2ème quinzaine",INDEX(Paie_HS2,125),INDEX(Pointage_HS,125)))),"")</f>
      </c>
      <c r="F152" s="24">
        <f>IF(AND($B$5="Tous les employés",IFERROR(INDEX(Pointage_ID,125),"")&lt;&gt;""),INDEX(Paie_SalaireJour,125),"")</f>
      </c>
      <c r="G152" s="24">
        <f>IF(AND($B$5="Tous les employés",IFERROR(INDEX(Pointage_ID,125),"")&lt;&gt;""),IF(125=0,"-",IF($H$5="1ère quinzaine",INDEX(Paie_MontantHS1,125),IF($H$5="2ème quinzaine",INDEX(Paie_MontantHS2,125),INDEX(Paie_MontantHS,125)))),"")</f>
      </c>
      <c r="H152" s="24">
        <f>IF(AND($B$5="Tous les employés",IFERROR(INDEX(Pointage_ID,125),"")&lt;&gt;""),IF(125=0,"-",IF($H$5="1ère quinzaine",INDEX(Paie_Brut1,125),IF($H$5="2ème quinzaine",INDEX(Paie_Brut2,125),INDEX(Paie_BrutMensuel,125)))),"")</f>
      </c>
      <c r="I152" s="24">
        <f>IF(AND($B$5="Tous les employés",IFERROR(INDEX(Pointage_ID,125),"")&lt;&gt;""),IF(125=0,"-",IF($H$5="1ère quinzaine",INDEX(Paie_Retenues1,125),IF($H$5="2ème quinzaine",INDEX(Paie_Retenues2,125),INDEX(Paie_Retenues,125)))),"")</f>
      </c>
      <c r="J152" s="25">
        <f>IF(AND($B$5="Tous les employés",IFERROR(INDEX(Pointage_ID,125),"")&lt;&gt;""),IF(125=0,"-",IF($H$5="1ère quinzaine",INDEX(Paie_Net1,125),IF($H$5="2ème quinzaine",INDEX(Paie_Net2,125),INDEX(Paie_NetMensuel,125)))),"")</f>
      </c>
    </row>
    <row r="153">
      <c r="A153" s="20">
        <f>IF(AND($B$5="Tous les employés",IFERROR(INDEX(Pointage_ID,126),"")&lt;&gt;""),IFERROR(INDEX(Pointage_ID,126),""),"")</f>
      </c>
      <c r="B153" s="19">
        <f>IF(AND($B$5="Tous les employés",IFERROR(INDEX(Pointage_ID,126),"")&lt;&gt;""),INDEX(Pointage_Nom,126),"")</f>
      </c>
      <c r="C153" s="20">
        <f>IF(AND($B$5="Tous les employés",IFERROR(INDEX(Pointage_ID,126),"")&lt;&gt;""),INDEX(Pointage_Categorie,126),"")</f>
      </c>
      <c r="D153" s="22">
        <f>IF(AND($B$5="Tous les employés",IFERROR(INDEX(Pointage_ID,126),"")&lt;&gt;""),IF(126=0,"-",IF($H$5="1ère quinzaine",INDEX(Paie_Jours1,126),IF($H$5="2ème quinzaine",INDEX(Paie_Jours2,126),INDEX(Pointage_Travailles,126)))),"")</f>
      </c>
      <c r="E153" s="23">
        <f>IF(AND($B$5="Tous les employés",IFERROR(INDEX(Pointage_ID,126),"")&lt;&gt;""),IF(126=0,"-",IF($H$5="1ère quinzaine",INDEX(Paie_HS1,126),IF($H$5="2ème quinzaine",INDEX(Paie_HS2,126),INDEX(Pointage_HS,126)))),"")</f>
      </c>
      <c r="F153" s="24">
        <f>IF(AND($B$5="Tous les employés",IFERROR(INDEX(Pointage_ID,126),"")&lt;&gt;""),INDEX(Paie_SalaireJour,126),"")</f>
      </c>
      <c r="G153" s="24">
        <f>IF(AND($B$5="Tous les employés",IFERROR(INDEX(Pointage_ID,126),"")&lt;&gt;""),IF(126=0,"-",IF($H$5="1ère quinzaine",INDEX(Paie_MontantHS1,126),IF($H$5="2ème quinzaine",INDEX(Paie_MontantHS2,126),INDEX(Paie_MontantHS,126)))),"")</f>
      </c>
      <c r="H153" s="24">
        <f>IF(AND($B$5="Tous les employés",IFERROR(INDEX(Pointage_ID,126),"")&lt;&gt;""),IF(126=0,"-",IF($H$5="1ère quinzaine",INDEX(Paie_Brut1,126),IF($H$5="2ème quinzaine",INDEX(Paie_Brut2,126),INDEX(Paie_BrutMensuel,126)))),"")</f>
      </c>
      <c r="I153" s="24">
        <f>IF(AND($B$5="Tous les employés",IFERROR(INDEX(Pointage_ID,126),"")&lt;&gt;""),IF(126=0,"-",IF($H$5="1ère quinzaine",INDEX(Paie_Retenues1,126),IF($H$5="2ème quinzaine",INDEX(Paie_Retenues2,126),INDEX(Paie_Retenues,126)))),"")</f>
      </c>
      <c r="J153" s="25">
        <f>IF(AND($B$5="Tous les employés",IFERROR(INDEX(Pointage_ID,126),"")&lt;&gt;""),IF(126=0,"-",IF($H$5="1ère quinzaine",INDEX(Paie_Net1,126),IF($H$5="2ème quinzaine",INDEX(Paie_Net2,126),INDEX(Paie_NetMensuel,126)))),"")</f>
      </c>
    </row>
    <row r="154">
      <c r="A154" s="20">
        <f>IF(AND($B$5="Tous les employés",IFERROR(INDEX(Pointage_ID,127),"")&lt;&gt;""),IFERROR(INDEX(Pointage_ID,127),""),"")</f>
      </c>
      <c r="B154" s="19">
        <f>IF(AND($B$5="Tous les employés",IFERROR(INDEX(Pointage_ID,127),"")&lt;&gt;""),INDEX(Pointage_Nom,127),"")</f>
      </c>
      <c r="C154" s="20">
        <f>IF(AND($B$5="Tous les employés",IFERROR(INDEX(Pointage_ID,127),"")&lt;&gt;""),INDEX(Pointage_Categorie,127),"")</f>
      </c>
      <c r="D154" s="22">
        <f>IF(AND($B$5="Tous les employés",IFERROR(INDEX(Pointage_ID,127),"")&lt;&gt;""),IF(127=0,"-",IF($H$5="1ère quinzaine",INDEX(Paie_Jours1,127),IF($H$5="2ème quinzaine",INDEX(Paie_Jours2,127),INDEX(Pointage_Travailles,127)))),"")</f>
      </c>
      <c r="E154" s="23">
        <f>IF(AND($B$5="Tous les employés",IFERROR(INDEX(Pointage_ID,127),"")&lt;&gt;""),IF(127=0,"-",IF($H$5="1ère quinzaine",INDEX(Paie_HS1,127),IF($H$5="2ème quinzaine",INDEX(Paie_HS2,127),INDEX(Pointage_HS,127)))),"")</f>
      </c>
      <c r="F154" s="24">
        <f>IF(AND($B$5="Tous les employés",IFERROR(INDEX(Pointage_ID,127),"")&lt;&gt;""),INDEX(Paie_SalaireJour,127),"")</f>
      </c>
      <c r="G154" s="24">
        <f>IF(AND($B$5="Tous les employés",IFERROR(INDEX(Pointage_ID,127),"")&lt;&gt;""),IF(127=0,"-",IF($H$5="1ère quinzaine",INDEX(Paie_MontantHS1,127),IF($H$5="2ème quinzaine",INDEX(Paie_MontantHS2,127),INDEX(Paie_MontantHS,127)))),"")</f>
      </c>
      <c r="H154" s="24">
        <f>IF(AND($B$5="Tous les employés",IFERROR(INDEX(Pointage_ID,127),"")&lt;&gt;""),IF(127=0,"-",IF($H$5="1ère quinzaine",INDEX(Paie_Brut1,127),IF($H$5="2ème quinzaine",INDEX(Paie_Brut2,127),INDEX(Paie_BrutMensuel,127)))),"")</f>
      </c>
      <c r="I154" s="24">
        <f>IF(AND($B$5="Tous les employés",IFERROR(INDEX(Pointage_ID,127),"")&lt;&gt;""),IF(127=0,"-",IF($H$5="1ère quinzaine",INDEX(Paie_Retenues1,127),IF($H$5="2ème quinzaine",INDEX(Paie_Retenues2,127),INDEX(Paie_Retenues,127)))),"")</f>
      </c>
      <c r="J154" s="25">
        <f>IF(AND($B$5="Tous les employés",IFERROR(INDEX(Pointage_ID,127),"")&lt;&gt;""),IF(127=0,"-",IF($H$5="1ère quinzaine",INDEX(Paie_Net1,127),IF($H$5="2ème quinzaine",INDEX(Paie_Net2,127),INDEX(Paie_NetMensuel,127)))),"")</f>
      </c>
    </row>
    <row r="155">
      <c r="A155" s="20">
        <f>IF(AND($B$5="Tous les employés",IFERROR(INDEX(Pointage_ID,128),"")&lt;&gt;""),IFERROR(INDEX(Pointage_ID,128),""),"")</f>
      </c>
      <c r="B155" s="19">
        <f>IF(AND($B$5="Tous les employés",IFERROR(INDEX(Pointage_ID,128),"")&lt;&gt;""),INDEX(Pointage_Nom,128),"")</f>
      </c>
      <c r="C155" s="20">
        <f>IF(AND($B$5="Tous les employés",IFERROR(INDEX(Pointage_ID,128),"")&lt;&gt;""),INDEX(Pointage_Categorie,128),"")</f>
      </c>
      <c r="D155" s="22">
        <f>IF(AND($B$5="Tous les employés",IFERROR(INDEX(Pointage_ID,128),"")&lt;&gt;""),IF(128=0,"-",IF($H$5="1ère quinzaine",INDEX(Paie_Jours1,128),IF($H$5="2ème quinzaine",INDEX(Paie_Jours2,128),INDEX(Pointage_Travailles,128)))),"")</f>
      </c>
      <c r="E155" s="23">
        <f>IF(AND($B$5="Tous les employés",IFERROR(INDEX(Pointage_ID,128),"")&lt;&gt;""),IF(128=0,"-",IF($H$5="1ère quinzaine",INDEX(Paie_HS1,128),IF($H$5="2ème quinzaine",INDEX(Paie_HS2,128),INDEX(Pointage_HS,128)))),"")</f>
      </c>
      <c r="F155" s="24">
        <f>IF(AND($B$5="Tous les employés",IFERROR(INDEX(Pointage_ID,128),"")&lt;&gt;""),INDEX(Paie_SalaireJour,128),"")</f>
      </c>
      <c r="G155" s="24">
        <f>IF(AND($B$5="Tous les employés",IFERROR(INDEX(Pointage_ID,128),"")&lt;&gt;""),IF(128=0,"-",IF($H$5="1ère quinzaine",INDEX(Paie_MontantHS1,128),IF($H$5="2ème quinzaine",INDEX(Paie_MontantHS2,128),INDEX(Paie_MontantHS,128)))),"")</f>
      </c>
      <c r="H155" s="24">
        <f>IF(AND($B$5="Tous les employés",IFERROR(INDEX(Pointage_ID,128),"")&lt;&gt;""),IF(128=0,"-",IF($H$5="1ère quinzaine",INDEX(Paie_Brut1,128),IF($H$5="2ème quinzaine",INDEX(Paie_Brut2,128),INDEX(Paie_BrutMensuel,128)))),"")</f>
      </c>
      <c r="I155" s="24">
        <f>IF(AND($B$5="Tous les employés",IFERROR(INDEX(Pointage_ID,128),"")&lt;&gt;""),IF(128=0,"-",IF($H$5="1ère quinzaine",INDEX(Paie_Retenues1,128),IF($H$5="2ème quinzaine",INDEX(Paie_Retenues2,128),INDEX(Paie_Retenues,128)))),"")</f>
      </c>
      <c r="J155" s="25">
        <f>IF(AND($B$5="Tous les employés",IFERROR(INDEX(Pointage_ID,128),"")&lt;&gt;""),IF(128=0,"-",IF($H$5="1ère quinzaine",INDEX(Paie_Net1,128),IF($H$5="2ème quinzaine",INDEX(Paie_Net2,128),INDEX(Paie_NetMensuel,128)))),"")</f>
      </c>
    </row>
    <row r="156">
      <c r="A156" s="20">
        <f>IF(AND($B$5="Tous les employés",IFERROR(INDEX(Pointage_ID,129),"")&lt;&gt;""),IFERROR(INDEX(Pointage_ID,129),""),"")</f>
      </c>
      <c r="B156" s="19">
        <f>IF(AND($B$5="Tous les employés",IFERROR(INDEX(Pointage_ID,129),"")&lt;&gt;""),INDEX(Pointage_Nom,129),"")</f>
      </c>
      <c r="C156" s="20">
        <f>IF(AND($B$5="Tous les employés",IFERROR(INDEX(Pointage_ID,129),"")&lt;&gt;""),INDEX(Pointage_Categorie,129),"")</f>
      </c>
      <c r="D156" s="22">
        <f>IF(AND($B$5="Tous les employés",IFERROR(INDEX(Pointage_ID,129),"")&lt;&gt;""),IF(129=0,"-",IF($H$5="1ère quinzaine",INDEX(Paie_Jours1,129),IF($H$5="2ème quinzaine",INDEX(Paie_Jours2,129),INDEX(Pointage_Travailles,129)))),"")</f>
      </c>
      <c r="E156" s="23">
        <f>IF(AND($B$5="Tous les employés",IFERROR(INDEX(Pointage_ID,129),"")&lt;&gt;""),IF(129=0,"-",IF($H$5="1ère quinzaine",INDEX(Paie_HS1,129),IF($H$5="2ème quinzaine",INDEX(Paie_HS2,129),INDEX(Pointage_HS,129)))),"")</f>
      </c>
      <c r="F156" s="24">
        <f>IF(AND($B$5="Tous les employés",IFERROR(INDEX(Pointage_ID,129),"")&lt;&gt;""),INDEX(Paie_SalaireJour,129),"")</f>
      </c>
      <c r="G156" s="24">
        <f>IF(AND($B$5="Tous les employés",IFERROR(INDEX(Pointage_ID,129),"")&lt;&gt;""),IF(129=0,"-",IF($H$5="1ère quinzaine",INDEX(Paie_MontantHS1,129),IF($H$5="2ème quinzaine",INDEX(Paie_MontantHS2,129),INDEX(Paie_MontantHS,129)))),"")</f>
      </c>
      <c r="H156" s="24">
        <f>IF(AND($B$5="Tous les employés",IFERROR(INDEX(Pointage_ID,129),"")&lt;&gt;""),IF(129=0,"-",IF($H$5="1ère quinzaine",INDEX(Paie_Brut1,129),IF($H$5="2ème quinzaine",INDEX(Paie_Brut2,129),INDEX(Paie_BrutMensuel,129)))),"")</f>
      </c>
      <c r="I156" s="24">
        <f>IF(AND($B$5="Tous les employés",IFERROR(INDEX(Pointage_ID,129),"")&lt;&gt;""),IF(129=0,"-",IF($H$5="1ère quinzaine",INDEX(Paie_Retenues1,129),IF($H$5="2ème quinzaine",INDEX(Paie_Retenues2,129),INDEX(Paie_Retenues,129)))),"")</f>
      </c>
      <c r="J156" s="25">
        <f>IF(AND($B$5="Tous les employés",IFERROR(INDEX(Pointage_ID,129),"")&lt;&gt;""),IF(129=0,"-",IF($H$5="1ère quinzaine",INDEX(Paie_Net1,129),IF($H$5="2ème quinzaine",INDEX(Paie_Net2,129),INDEX(Paie_NetMensuel,129)))),"")</f>
      </c>
    </row>
    <row r="157">
      <c r="A157" s="20">
        <f>IF(AND($B$5="Tous les employés",IFERROR(INDEX(Pointage_ID,130),"")&lt;&gt;""),IFERROR(INDEX(Pointage_ID,130),""),"")</f>
      </c>
      <c r="B157" s="19">
        <f>IF(AND($B$5="Tous les employés",IFERROR(INDEX(Pointage_ID,130),"")&lt;&gt;""),INDEX(Pointage_Nom,130),"")</f>
      </c>
      <c r="C157" s="20">
        <f>IF(AND($B$5="Tous les employés",IFERROR(INDEX(Pointage_ID,130),"")&lt;&gt;""),INDEX(Pointage_Categorie,130),"")</f>
      </c>
      <c r="D157" s="22">
        <f>IF(AND($B$5="Tous les employés",IFERROR(INDEX(Pointage_ID,130),"")&lt;&gt;""),IF(130=0,"-",IF($H$5="1ère quinzaine",INDEX(Paie_Jours1,130),IF($H$5="2ème quinzaine",INDEX(Paie_Jours2,130),INDEX(Pointage_Travailles,130)))),"")</f>
      </c>
      <c r="E157" s="23">
        <f>IF(AND($B$5="Tous les employés",IFERROR(INDEX(Pointage_ID,130),"")&lt;&gt;""),IF(130=0,"-",IF($H$5="1ère quinzaine",INDEX(Paie_HS1,130),IF($H$5="2ème quinzaine",INDEX(Paie_HS2,130),INDEX(Pointage_HS,130)))),"")</f>
      </c>
      <c r="F157" s="24">
        <f>IF(AND($B$5="Tous les employés",IFERROR(INDEX(Pointage_ID,130),"")&lt;&gt;""),INDEX(Paie_SalaireJour,130),"")</f>
      </c>
      <c r="G157" s="24">
        <f>IF(AND($B$5="Tous les employés",IFERROR(INDEX(Pointage_ID,130),"")&lt;&gt;""),IF(130=0,"-",IF($H$5="1ère quinzaine",INDEX(Paie_MontantHS1,130),IF($H$5="2ème quinzaine",INDEX(Paie_MontantHS2,130),INDEX(Paie_MontantHS,130)))),"")</f>
      </c>
      <c r="H157" s="24">
        <f>IF(AND($B$5="Tous les employés",IFERROR(INDEX(Pointage_ID,130),"")&lt;&gt;""),IF(130=0,"-",IF($H$5="1ère quinzaine",INDEX(Paie_Brut1,130),IF($H$5="2ème quinzaine",INDEX(Paie_Brut2,130),INDEX(Paie_BrutMensuel,130)))),"")</f>
      </c>
      <c r="I157" s="24">
        <f>IF(AND($B$5="Tous les employés",IFERROR(INDEX(Pointage_ID,130),"")&lt;&gt;""),IF(130=0,"-",IF($H$5="1ère quinzaine",INDEX(Paie_Retenues1,130),IF($H$5="2ème quinzaine",INDEX(Paie_Retenues2,130),INDEX(Paie_Retenues,130)))),"")</f>
      </c>
      <c r="J157" s="25">
        <f>IF(AND($B$5="Tous les employés",IFERROR(INDEX(Pointage_ID,130),"")&lt;&gt;""),IF(130=0,"-",IF($H$5="1ère quinzaine",INDEX(Paie_Net1,130),IF($H$5="2ème quinzaine",INDEX(Paie_Net2,130),INDEX(Paie_NetMensuel,130)))),"")</f>
      </c>
    </row>
    <row r="158">
      <c r="A158" s="20">
        <f>IF(AND($B$5="Tous les employés",IFERROR(INDEX(Pointage_ID,131),"")&lt;&gt;""),IFERROR(INDEX(Pointage_ID,131),""),"")</f>
      </c>
      <c r="B158" s="19">
        <f>IF(AND($B$5="Tous les employés",IFERROR(INDEX(Pointage_ID,131),"")&lt;&gt;""),INDEX(Pointage_Nom,131),"")</f>
      </c>
      <c r="C158" s="20">
        <f>IF(AND($B$5="Tous les employés",IFERROR(INDEX(Pointage_ID,131),"")&lt;&gt;""),INDEX(Pointage_Categorie,131),"")</f>
      </c>
      <c r="D158" s="22">
        <f>IF(AND($B$5="Tous les employés",IFERROR(INDEX(Pointage_ID,131),"")&lt;&gt;""),IF(131=0,"-",IF($H$5="1ère quinzaine",INDEX(Paie_Jours1,131),IF($H$5="2ème quinzaine",INDEX(Paie_Jours2,131),INDEX(Pointage_Travailles,131)))),"")</f>
      </c>
      <c r="E158" s="23">
        <f>IF(AND($B$5="Tous les employés",IFERROR(INDEX(Pointage_ID,131),"")&lt;&gt;""),IF(131=0,"-",IF($H$5="1ère quinzaine",INDEX(Paie_HS1,131),IF($H$5="2ème quinzaine",INDEX(Paie_HS2,131),INDEX(Pointage_HS,131)))),"")</f>
      </c>
      <c r="F158" s="24">
        <f>IF(AND($B$5="Tous les employés",IFERROR(INDEX(Pointage_ID,131),"")&lt;&gt;""),INDEX(Paie_SalaireJour,131),"")</f>
      </c>
      <c r="G158" s="24">
        <f>IF(AND($B$5="Tous les employés",IFERROR(INDEX(Pointage_ID,131),"")&lt;&gt;""),IF(131=0,"-",IF($H$5="1ère quinzaine",INDEX(Paie_MontantHS1,131),IF($H$5="2ème quinzaine",INDEX(Paie_MontantHS2,131),INDEX(Paie_MontantHS,131)))),"")</f>
      </c>
      <c r="H158" s="24">
        <f>IF(AND($B$5="Tous les employés",IFERROR(INDEX(Pointage_ID,131),"")&lt;&gt;""),IF(131=0,"-",IF($H$5="1ère quinzaine",INDEX(Paie_Brut1,131),IF($H$5="2ème quinzaine",INDEX(Paie_Brut2,131),INDEX(Paie_BrutMensuel,131)))),"")</f>
      </c>
      <c r="I158" s="24">
        <f>IF(AND($B$5="Tous les employés",IFERROR(INDEX(Pointage_ID,131),"")&lt;&gt;""),IF(131=0,"-",IF($H$5="1ère quinzaine",INDEX(Paie_Retenues1,131),IF($H$5="2ème quinzaine",INDEX(Paie_Retenues2,131),INDEX(Paie_Retenues,131)))),"")</f>
      </c>
      <c r="J158" s="25">
        <f>IF(AND($B$5="Tous les employés",IFERROR(INDEX(Pointage_ID,131),"")&lt;&gt;""),IF(131=0,"-",IF($H$5="1ère quinzaine",INDEX(Paie_Net1,131),IF($H$5="2ème quinzaine",INDEX(Paie_Net2,131),INDEX(Paie_NetMensuel,131)))),"")</f>
      </c>
    </row>
    <row r="159">
      <c r="A159" s="20">
        <f>IF(AND($B$5="Tous les employés",IFERROR(INDEX(Pointage_ID,132),"")&lt;&gt;""),IFERROR(INDEX(Pointage_ID,132),""),"")</f>
      </c>
      <c r="B159" s="19">
        <f>IF(AND($B$5="Tous les employés",IFERROR(INDEX(Pointage_ID,132),"")&lt;&gt;""),INDEX(Pointage_Nom,132),"")</f>
      </c>
      <c r="C159" s="20">
        <f>IF(AND($B$5="Tous les employés",IFERROR(INDEX(Pointage_ID,132),"")&lt;&gt;""),INDEX(Pointage_Categorie,132),"")</f>
      </c>
      <c r="D159" s="22">
        <f>IF(AND($B$5="Tous les employés",IFERROR(INDEX(Pointage_ID,132),"")&lt;&gt;""),IF(132=0,"-",IF($H$5="1ère quinzaine",INDEX(Paie_Jours1,132),IF($H$5="2ème quinzaine",INDEX(Paie_Jours2,132),INDEX(Pointage_Travailles,132)))),"")</f>
      </c>
      <c r="E159" s="23">
        <f>IF(AND($B$5="Tous les employés",IFERROR(INDEX(Pointage_ID,132),"")&lt;&gt;""),IF(132=0,"-",IF($H$5="1ère quinzaine",INDEX(Paie_HS1,132),IF($H$5="2ème quinzaine",INDEX(Paie_HS2,132),INDEX(Pointage_HS,132)))),"")</f>
      </c>
      <c r="F159" s="24">
        <f>IF(AND($B$5="Tous les employés",IFERROR(INDEX(Pointage_ID,132),"")&lt;&gt;""),INDEX(Paie_SalaireJour,132),"")</f>
      </c>
      <c r="G159" s="24">
        <f>IF(AND($B$5="Tous les employés",IFERROR(INDEX(Pointage_ID,132),"")&lt;&gt;""),IF(132=0,"-",IF($H$5="1ère quinzaine",INDEX(Paie_MontantHS1,132),IF($H$5="2ème quinzaine",INDEX(Paie_MontantHS2,132),INDEX(Paie_MontantHS,132)))),"")</f>
      </c>
      <c r="H159" s="24">
        <f>IF(AND($B$5="Tous les employés",IFERROR(INDEX(Pointage_ID,132),"")&lt;&gt;""),IF(132=0,"-",IF($H$5="1ère quinzaine",INDEX(Paie_Brut1,132),IF($H$5="2ème quinzaine",INDEX(Paie_Brut2,132),INDEX(Paie_BrutMensuel,132)))),"")</f>
      </c>
      <c r="I159" s="24">
        <f>IF(AND($B$5="Tous les employés",IFERROR(INDEX(Pointage_ID,132),"")&lt;&gt;""),IF(132=0,"-",IF($H$5="1ère quinzaine",INDEX(Paie_Retenues1,132),IF($H$5="2ème quinzaine",INDEX(Paie_Retenues2,132),INDEX(Paie_Retenues,132)))),"")</f>
      </c>
      <c r="J159" s="25">
        <f>IF(AND($B$5="Tous les employés",IFERROR(INDEX(Pointage_ID,132),"")&lt;&gt;""),IF(132=0,"-",IF($H$5="1ère quinzaine",INDEX(Paie_Net1,132),IF($H$5="2ème quinzaine",INDEX(Paie_Net2,132),INDEX(Paie_NetMensuel,132)))),"")</f>
      </c>
    </row>
    <row r="160">
      <c r="A160" s="20">
        <f>IF(AND($B$5="Tous les employés",IFERROR(INDEX(Pointage_ID,133),"")&lt;&gt;""),IFERROR(INDEX(Pointage_ID,133),""),"")</f>
      </c>
      <c r="B160" s="19">
        <f>IF(AND($B$5="Tous les employés",IFERROR(INDEX(Pointage_ID,133),"")&lt;&gt;""),INDEX(Pointage_Nom,133),"")</f>
      </c>
      <c r="C160" s="20">
        <f>IF(AND($B$5="Tous les employés",IFERROR(INDEX(Pointage_ID,133),"")&lt;&gt;""),INDEX(Pointage_Categorie,133),"")</f>
      </c>
      <c r="D160" s="22">
        <f>IF(AND($B$5="Tous les employés",IFERROR(INDEX(Pointage_ID,133),"")&lt;&gt;""),IF(133=0,"-",IF($H$5="1ère quinzaine",INDEX(Paie_Jours1,133),IF($H$5="2ème quinzaine",INDEX(Paie_Jours2,133),INDEX(Pointage_Travailles,133)))),"")</f>
      </c>
      <c r="E160" s="23">
        <f>IF(AND($B$5="Tous les employés",IFERROR(INDEX(Pointage_ID,133),"")&lt;&gt;""),IF(133=0,"-",IF($H$5="1ère quinzaine",INDEX(Paie_HS1,133),IF($H$5="2ème quinzaine",INDEX(Paie_HS2,133),INDEX(Pointage_HS,133)))),"")</f>
      </c>
      <c r="F160" s="24">
        <f>IF(AND($B$5="Tous les employés",IFERROR(INDEX(Pointage_ID,133),"")&lt;&gt;""),INDEX(Paie_SalaireJour,133),"")</f>
      </c>
      <c r="G160" s="24">
        <f>IF(AND($B$5="Tous les employés",IFERROR(INDEX(Pointage_ID,133),"")&lt;&gt;""),IF(133=0,"-",IF($H$5="1ère quinzaine",INDEX(Paie_MontantHS1,133),IF($H$5="2ème quinzaine",INDEX(Paie_MontantHS2,133),INDEX(Paie_MontantHS,133)))),"")</f>
      </c>
      <c r="H160" s="24">
        <f>IF(AND($B$5="Tous les employés",IFERROR(INDEX(Pointage_ID,133),"")&lt;&gt;""),IF(133=0,"-",IF($H$5="1ère quinzaine",INDEX(Paie_Brut1,133),IF($H$5="2ème quinzaine",INDEX(Paie_Brut2,133),INDEX(Paie_BrutMensuel,133)))),"")</f>
      </c>
      <c r="I160" s="24">
        <f>IF(AND($B$5="Tous les employés",IFERROR(INDEX(Pointage_ID,133),"")&lt;&gt;""),IF(133=0,"-",IF($H$5="1ère quinzaine",INDEX(Paie_Retenues1,133),IF($H$5="2ème quinzaine",INDEX(Paie_Retenues2,133),INDEX(Paie_Retenues,133)))),"")</f>
      </c>
      <c r="J160" s="25">
        <f>IF(AND($B$5="Tous les employés",IFERROR(INDEX(Pointage_ID,133),"")&lt;&gt;""),IF(133=0,"-",IF($H$5="1ère quinzaine",INDEX(Paie_Net1,133),IF($H$5="2ème quinzaine",INDEX(Paie_Net2,133),INDEX(Paie_NetMensuel,133)))),"")</f>
      </c>
    </row>
    <row r="161">
      <c r="A161" s="20">
        <f>IF(AND($B$5="Tous les employés",IFERROR(INDEX(Pointage_ID,134),"")&lt;&gt;""),IFERROR(INDEX(Pointage_ID,134),""),"")</f>
      </c>
      <c r="B161" s="19">
        <f>IF(AND($B$5="Tous les employés",IFERROR(INDEX(Pointage_ID,134),"")&lt;&gt;""),INDEX(Pointage_Nom,134),"")</f>
      </c>
      <c r="C161" s="20">
        <f>IF(AND($B$5="Tous les employés",IFERROR(INDEX(Pointage_ID,134),"")&lt;&gt;""),INDEX(Pointage_Categorie,134),"")</f>
      </c>
      <c r="D161" s="22">
        <f>IF(AND($B$5="Tous les employés",IFERROR(INDEX(Pointage_ID,134),"")&lt;&gt;""),IF(134=0,"-",IF($H$5="1ère quinzaine",INDEX(Paie_Jours1,134),IF($H$5="2ème quinzaine",INDEX(Paie_Jours2,134),INDEX(Pointage_Travailles,134)))),"")</f>
      </c>
      <c r="E161" s="23">
        <f>IF(AND($B$5="Tous les employés",IFERROR(INDEX(Pointage_ID,134),"")&lt;&gt;""),IF(134=0,"-",IF($H$5="1ère quinzaine",INDEX(Paie_HS1,134),IF($H$5="2ème quinzaine",INDEX(Paie_HS2,134),INDEX(Pointage_HS,134)))),"")</f>
      </c>
      <c r="F161" s="24">
        <f>IF(AND($B$5="Tous les employés",IFERROR(INDEX(Pointage_ID,134),"")&lt;&gt;""),INDEX(Paie_SalaireJour,134),"")</f>
      </c>
      <c r="G161" s="24">
        <f>IF(AND($B$5="Tous les employés",IFERROR(INDEX(Pointage_ID,134),"")&lt;&gt;""),IF(134=0,"-",IF($H$5="1ère quinzaine",INDEX(Paie_MontantHS1,134),IF($H$5="2ème quinzaine",INDEX(Paie_MontantHS2,134),INDEX(Paie_MontantHS,134)))),"")</f>
      </c>
      <c r="H161" s="24">
        <f>IF(AND($B$5="Tous les employés",IFERROR(INDEX(Pointage_ID,134),"")&lt;&gt;""),IF(134=0,"-",IF($H$5="1ère quinzaine",INDEX(Paie_Brut1,134),IF($H$5="2ème quinzaine",INDEX(Paie_Brut2,134),INDEX(Paie_BrutMensuel,134)))),"")</f>
      </c>
      <c r="I161" s="24">
        <f>IF(AND($B$5="Tous les employés",IFERROR(INDEX(Pointage_ID,134),"")&lt;&gt;""),IF(134=0,"-",IF($H$5="1ère quinzaine",INDEX(Paie_Retenues1,134),IF($H$5="2ème quinzaine",INDEX(Paie_Retenues2,134),INDEX(Paie_Retenues,134)))),"")</f>
      </c>
      <c r="J161" s="25">
        <f>IF(AND($B$5="Tous les employés",IFERROR(INDEX(Pointage_ID,134),"")&lt;&gt;""),IF(134=0,"-",IF($H$5="1ère quinzaine",INDEX(Paie_Net1,134),IF($H$5="2ème quinzaine",INDEX(Paie_Net2,134),INDEX(Paie_NetMensuel,134)))),"")</f>
      </c>
    </row>
    <row r="162">
      <c r="A162" s="20">
        <f>IF(AND($B$5="Tous les employés",IFERROR(INDEX(Pointage_ID,135),"")&lt;&gt;""),IFERROR(INDEX(Pointage_ID,135),""),"")</f>
      </c>
      <c r="B162" s="19">
        <f>IF(AND($B$5="Tous les employés",IFERROR(INDEX(Pointage_ID,135),"")&lt;&gt;""),INDEX(Pointage_Nom,135),"")</f>
      </c>
      <c r="C162" s="20">
        <f>IF(AND($B$5="Tous les employés",IFERROR(INDEX(Pointage_ID,135),"")&lt;&gt;""),INDEX(Pointage_Categorie,135),"")</f>
      </c>
      <c r="D162" s="22">
        <f>IF(AND($B$5="Tous les employés",IFERROR(INDEX(Pointage_ID,135),"")&lt;&gt;""),IF(135=0,"-",IF($H$5="1ère quinzaine",INDEX(Paie_Jours1,135),IF($H$5="2ème quinzaine",INDEX(Paie_Jours2,135),INDEX(Pointage_Travailles,135)))),"")</f>
      </c>
      <c r="E162" s="23">
        <f>IF(AND($B$5="Tous les employés",IFERROR(INDEX(Pointage_ID,135),"")&lt;&gt;""),IF(135=0,"-",IF($H$5="1ère quinzaine",INDEX(Paie_HS1,135),IF($H$5="2ème quinzaine",INDEX(Paie_HS2,135),INDEX(Pointage_HS,135)))),"")</f>
      </c>
      <c r="F162" s="24">
        <f>IF(AND($B$5="Tous les employés",IFERROR(INDEX(Pointage_ID,135),"")&lt;&gt;""),INDEX(Paie_SalaireJour,135),"")</f>
      </c>
      <c r="G162" s="24">
        <f>IF(AND($B$5="Tous les employés",IFERROR(INDEX(Pointage_ID,135),"")&lt;&gt;""),IF(135=0,"-",IF($H$5="1ère quinzaine",INDEX(Paie_MontantHS1,135),IF($H$5="2ème quinzaine",INDEX(Paie_MontantHS2,135),INDEX(Paie_MontantHS,135)))),"")</f>
      </c>
      <c r="H162" s="24">
        <f>IF(AND($B$5="Tous les employés",IFERROR(INDEX(Pointage_ID,135),"")&lt;&gt;""),IF(135=0,"-",IF($H$5="1ère quinzaine",INDEX(Paie_Brut1,135),IF($H$5="2ème quinzaine",INDEX(Paie_Brut2,135),INDEX(Paie_BrutMensuel,135)))),"")</f>
      </c>
      <c r="I162" s="24">
        <f>IF(AND($B$5="Tous les employés",IFERROR(INDEX(Pointage_ID,135),"")&lt;&gt;""),IF(135=0,"-",IF($H$5="1ère quinzaine",INDEX(Paie_Retenues1,135),IF($H$5="2ème quinzaine",INDEX(Paie_Retenues2,135),INDEX(Paie_Retenues,135)))),"")</f>
      </c>
      <c r="J162" s="25">
        <f>IF(AND($B$5="Tous les employés",IFERROR(INDEX(Pointage_ID,135),"")&lt;&gt;""),IF(135=0,"-",IF($H$5="1ère quinzaine",INDEX(Paie_Net1,135),IF($H$5="2ème quinzaine",INDEX(Paie_Net2,135),INDEX(Paie_NetMensuel,135)))),"")</f>
      </c>
    </row>
    <row r="163">
      <c r="A163" s="20">
        <f>IF(AND($B$5="Tous les employés",IFERROR(INDEX(Pointage_ID,136),"")&lt;&gt;""),IFERROR(INDEX(Pointage_ID,136),""),"")</f>
      </c>
      <c r="B163" s="19">
        <f>IF(AND($B$5="Tous les employés",IFERROR(INDEX(Pointage_ID,136),"")&lt;&gt;""),INDEX(Pointage_Nom,136),"")</f>
      </c>
      <c r="C163" s="20">
        <f>IF(AND($B$5="Tous les employés",IFERROR(INDEX(Pointage_ID,136),"")&lt;&gt;""),INDEX(Pointage_Categorie,136),"")</f>
      </c>
      <c r="D163" s="22">
        <f>IF(AND($B$5="Tous les employés",IFERROR(INDEX(Pointage_ID,136),"")&lt;&gt;""),IF(136=0,"-",IF($H$5="1ère quinzaine",INDEX(Paie_Jours1,136),IF($H$5="2ème quinzaine",INDEX(Paie_Jours2,136),INDEX(Pointage_Travailles,136)))),"")</f>
      </c>
      <c r="E163" s="23">
        <f>IF(AND($B$5="Tous les employés",IFERROR(INDEX(Pointage_ID,136),"")&lt;&gt;""),IF(136=0,"-",IF($H$5="1ère quinzaine",INDEX(Paie_HS1,136),IF($H$5="2ème quinzaine",INDEX(Paie_HS2,136),INDEX(Pointage_HS,136)))),"")</f>
      </c>
      <c r="F163" s="24">
        <f>IF(AND($B$5="Tous les employés",IFERROR(INDEX(Pointage_ID,136),"")&lt;&gt;""),INDEX(Paie_SalaireJour,136),"")</f>
      </c>
      <c r="G163" s="24">
        <f>IF(AND($B$5="Tous les employés",IFERROR(INDEX(Pointage_ID,136),"")&lt;&gt;""),IF(136=0,"-",IF($H$5="1ère quinzaine",INDEX(Paie_MontantHS1,136),IF($H$5="2ème quinzaine",INDEX(Paie_MontantHS2,136),INDEX(Paie_MontantHS,136)))),"")</f>
      </c>
      <c r="H163" s="24">
        <f>IF(AND($B$5="Tous les employés",IFERROR(INDEX(Pointage_ID,136),"")&lt;&gt;""),IF(136=0,"-",IF($H$5="1ère quinzaine",INDEX(Paie_Brut1,136),IF($H$5="2ème quinzaine",INDEX(Paie_Brut2,136),INDEX(Paie_BrutMensuel,136)))),"")</f>
      </c>
      <c r="I163" s="24">
        <f>IF(AND($B$5="Tous les employés",IFERROR(INDEX(Pointage_ID,136),"")&lt;&gt;""),IF(136=0,"-",IF($H$5="1ère quinzaine",INDEX(Paie_Retenues1,136),IF($H$5="2ème quinzaine",INDEX(Paie_Retenues2,136),INDEX(Paie_Retenues,136)))),"")</f>
      </c>
      <c r="J163" s="25">
        <f>IF(AND($B$5="Tous les employés",IFERROR(INDEX(Pointage_ID,136),"")&lt;&gt;""),IF(136=0,"-",IF($H$5="1ère quinzaine",INDEX(Paie_Net1,136),IF($H$5="2ème quinzaine",INDEX(Paie_Net2,136),INDEX(Paie_NetMensuel,136)))),"")</f>
      </c>
    </row>
    <row r="164">
      <c r="A164" s="20">
        <f>IF(AND($B$5="Tous les employés",IFERROR(INDEX(Pointage_ID,137),"")&lt;&gt;""),IFERROR(INDEX(Pointage_ID,137),""),"")</f>
      </c>
      <c r="B164" s="19">
        <f>IF(AND($B$5="Tous les employés",IFERROR(INDEX(Pointage_ID,137),"")&lt;&gt;""),INDEX(Pointage_Nom,137),"")</f>
      </c>
      <c r="C164" s="20">
        <f>IF(AND($B$5="Tous les employés",IFERROR(INDEX(Pointage_ID,137),"")&lt;&gt;""),INDEX(Pointage_Categorie,137),"")</f>
      </c>
      <c r="D164" s="22">
        <f>IF(AND($B$5="Tous les employés",IFERROR(INDEX(Pointage_ID,137),"")&lt;&gt;""),IF(137=0,"-",IF($H$5="1ère quinzaine",INDEX(Paie_Jours1,137),IF($H$5="2ème quinzaine",INDEX(Paie_Jours2,137),INDEX(Pointage_Travailles,137)))),"")</f>
      </c>
      <c r="E164" s="23">
        <f>IF(AND($B$5="Tous les employés",IFERROR(INDEX(Pointage_ID,137),"")&lt;&gt;""),IF(137=0,"-",IF($H$5="1ère quinzaine",INDEX(Paie_HS1,137),IF($H$5="2ème quinzaine",INDEX(Paie_HS2,137),INDEX(Pointage_HS,137)))),"")</f>
      </c>
      <c r="F164" s="24">
        <f>IF(AND($B$5="Tous les employés",IFERROR(INDEX(Pointage_ID,137),"")&lt;&gt;""),INDEX(Paie_SalaireJour,137),"")</f>
      </c>
      <c r="G164" s="24">
        <f>IF(AND($B$5="Tous les employés",IFERROR(INDEX(Pointage_ID,137),"")&lt;&gt;""),IF(137=0,"-",IF($H$5="1ère quinzaine",INDEX(Paie_MontantHS1,137),IF($H$5="2ème quinzaine",INDEX(Paie_MontantHS2,137),INDEX(Paie_MontantHS,137)))),"")</f>
      </c>
      <c r="H164" s="24">
        <f>IF(AND($B$5="Tous les employés",IFERROR(INDEX(Pointage_ID,137),"")&lt;&gt;""),IF(137=0,"-",IF($H$5="1ère quinzaine",INDEX(Paie_Brut1,137),IF($H$5="2ème quinzaine",INDEX(Paie_Brut2,137),INDEX(Paie_BrutMensuel,137)))),"")</f>
      </c>
      <c r="I164" s="24">
        <f>IF(AND($B$5="Tous les employés",IFERROR(INDEX(Pointage_ID,137),"")&lt;&gt;""),IF(137=0,"-",IF($H$5="1ère quinzaine",INDEX(Paie_Retenues1,137),IF($H$5="2ème quinzaine",INDEX(Paie_Retenues2,137),INDEX(Paie_Retenues,137)))),"")</f>
      </c>
      <c r="J164" s="25">
        <f>IF(AND($B$5="Tous les employés",IFERROR(INDEX(Pointage_ID,137),"")&lt;&gt;""),IF(137=0,"-",IF($H$5="1ère quinzaine",INDEX(Paie_Net1,137),IF($H$5="2ème quinzaine",INDEX(Paie_Net2,137),INDEX(Paie_NetMensuel,137)))),"")</f>
      </c>
    </row>
    <row r="165">
      <c r="A165" s="20">
        <f>IF(AND($B$5="Tous les employés",IFERROR(INDEX(Pointage_ID,138),"")&lt;&gt;""),IFERROR(INDEX(Pointage_ID,138),""),"")</f>
      </c>
      <c r="B165" s="19">
        <f>IF(AND($B$5="Tous les employés",IFERROR(INDEX(Pointage_ID,138),"")&lt;&gt;""),INDEX(Pointage_Nom,138),"")</f>
      </c>
      <c r="C165" s="20">
        <f>IF(AND($B$5="Tous les employés",IFERROR(INDEX(Pointage_ID,138),"")&lt;&gt;""),INDEX(Pointage_Categorie,138),"")</f>
      </c>
      <c r="D165" s="22">
        <f>IF(AND($B$5="Tous les employés",IFERROR(INDEX(Pointage_ID,138),"")&lt;&gt;""),IF(138=0,"-",IF($H$5="1ère quinzaine",INDEX(Paie_Jours1,138),IF($H$5="2ème quinzaine",INDEX(Paie_Jours2,138),INDEX(Pointage_Travailles,138)))),"")</f>
      </c>
      <c r="E165" s="23">
        <f>IF(AND($B$5="Tous les employés",IFERROR(INDEX(Pointage_ID,138),"")&lt;&gt;""),IF(138=0,"-",IF($H$5="1ère quinzaine",INDEX(Paie_HS1,138),IF($H$5="2ème quinzaine",INDEX(Paie_HS2,138),INDEX(Pointage_HS,138)))),"")</f>
      </c>
      <c r="F165" s="24">
        <f>IF(AND($B$5="Tous les employés",IFERROR(INDEX(Pointage_ID,138),"")&lt;&gt;""),INDEX(Paie_SalaireJour,138),"")</f>
      </c>
      <c r="G165" s="24">
        <f>IF(AND($B$5="Tous les employés",IFERROR(INDEX(Pointage_ID,138),"")&lt;&gt;""),IF(138=0,"-",IF($H$5="1ère quinzaine",INDEX(Paie_MontantHS1,138),IF($H$5="2ème quinzaine",INDEX(Paie_MontantHS2,138),INDEX(Paie_MontantHS,138)))),"")</f>
      </c>
      <c r="H165" s="24">
        <f>IF(AND($B$5="Tous les employés",IFERROR(INDEX(Pointage_ID,138),"")&lt;&gt;""),IF(138=0,"-",IF($H$5="1ère quinzaine",INDEX(Paie_Brut1,138),IF($H$5="2ème quinzaine",INDEX(Paie_Brut2,138),INDEX(Paie_BrutMensuel,138)))),"")</f>
      </c>
      <c r="I165" s="24">
        <f>IF(AND($B$5="Tous les employés",IFERROR(INDEX(Pointage_ID,138),"")&lt;&gt;""),IF(138=0,"-",IF($H$5="1ère quinzaine",INDEX(Paie_Retenues1,138),IF($H$5="2ème quinzaine",INDEX(Paie_Retenues2,138),INDEX(Paie_Retenues,138)))),"")</f>
      </c>
      <c r="J165" s="25">
        <f>IF(AND($B$5="Tous les employés",IFERROR(INDEX(Pointage_ID,138),"")&lt;&gt;""),IF(138=0,"-",IF($H$5="1ère quinzaine",INDEX(Paie_Net1,138),IF($H$5="2ème quinzaine",INDEX(Paie_Net2,138),INDEX(Paie_NetMensuel,138)))),"")</f>
      </c>
    </row>
    <row r="166">
      <c r="A166" s="20">
        <f>IF(AND($B$5="Tous les employés",IFERROR(INDEX(Pointage_ID,139),"")&lt;&gt;""),IFERROR(INDEX(Pointage_ID,139),""),"")</f>
      </c>
      <c r="B166" s="19">
        <f>IF(AND($B$5="Tous les employés",IFERROR(INDEX(Pointage_ID,139),"")&lt;&gt;""),INDEX(Pointage_Nom,139),"")</f>
      </c>
      <c r="C166" s="20">
        <f>IF(AND($B$5="Tous les employés",IFERROR(INDEX(Pointage_ID,139),"")&lt;&gt;""),INDEX(Pointage_Categorie,139),"")</f>
      </c>
      <c r="D166" s="22">
        <f>IF(AND($B$5="Tous les employés",IFERROR(INDEX(Pointage_ID,139),"")&lt;&gt;""),IF(139=0,"-",IF($H$5="1ère quinzaine",INDEX(Paie_Jours1,139),IF($H$5="2ème quinzaine",INDEX(Paie_Jours2,139),INDEX(Pointage_Travailles,139)))),"")</f>
      </c>
      <c r="E166" s="23">
        <f>IF(AND($B$5="Tous les employés",IFERROR(INDEX(Pointage_ID,139),"")&lt;&gt;""),IF(139=0,"-",IF($H$5="1ère quinzaine",INDEX(Paie_HS1,139),IF($H$5="2ème quinzaine",INDEX(Paie_HS2,139),INDEX(Pointage_HS,139)))),"")</f>
      </c>
      <c r="F166" s="24">
        <f>IF(AND($B$5="Tous les employés",IFERROR(INDEX(Pointage_ID,139),"")&lt;&gt;""),INDEX(Paie_SalaireJour,139),"")</f>
      </c>
      <c r="G166" s="24">
        <f>IF(AND($B$5="Tous les employés",IFERROR(INDEX(Pointage_ID,139),"")&lt;&gt;""),IF(139=0,"-",IF($H$5="1ère quinzaine",INDEX(Paie_MontantHS1,139),IF($H$5="2ème quinzaine",INDEX(Paie_MontantHS2,139),INDEX(Paie_MontantHS,139)))),"")</f>
      </c>
      <c r="H166" s="24">
        <f>IF(AND($B$5="Tous les employés",IFERROR(INDEX(Pointage_ID,139),"")&lt;&gt;""),IF(139=0,"-",IF($H$5="1ère quinzaine",INDEX(Paie_Brut1,139),IF($H$5="2ème quinzaine",INDEX(Paie_Brut2,139),INDEX(Paie_BrutMensuel,139)))),"")</f>
      </c>
      <c r="I166" s="24">
        <f>IF(AND($B$5="Tous les employés",IFERROR(INDEX(Pointage_ID,139),"")&lt;&gt;""),IF(139=0,"-",IF($H$5="1ère quinzaine",INDEX(Paie_Retenues1,139),IF($H$5="2ème quinzaine",INDEX(Paie_Retenues2,139),INDEX(Paie_Retenues,139)))),"")</f>
      </c>
      <c r="J166" s="25">
        <f>IF(AND($B$5="Tous les employés",IFERROR(INDEX(Pointage_ID,139),"")&lt;&gt;""),IF(139=0,"-",IF($H$5="1ère quinzaine",INDEX(Paie_Net1,139),IF($H$5="2ème quinzaine",INDEX(Paie_Net2,139),INDEX(Paie_NetMensuel,139)))),"")</f>
      </c>
    </row>
    <row r="167">
      <c r="A167" s="20">
        <f>IF(AND($B$5="Tous les employés",IFERROR(INDEX(Pointage_ID,140),"")&lt;&gt;""),IFERROR(INDEX(Pointage_ID,140),""),"")</f>
      </c>
      <c r="B167" s="19">
        <f>IF(AND($B$5="Tous les employés",IFERROR(INDEX(Pointage_ID,140),"")&lt;&gt;""),INDEX(Pointage_Nom,140),"")</f>
      </c>
      <c r="C167" s="20">
        <f>IF(AND($B$5="Tous les employés",IFERROR(INDEX(Pointage_ID,140),"")&lt;&gt;""),INDEX(Pointage_Categorie,140),"")</f>
      </c>
      <c r="D167" s="22">
        <f>IF(AND($B$5="Tous les employés",IFERROR(INDEX(Pointage_ID,140),"")&lt;&gt;""),IF(140=0,"-",IF($H$5="1ère quinzaine",INDEX(Paie_Jours1,140),IF($H$5="2ème quinzaine",INDEX(Paie_Jours2,140),INDEX(Pointage_Travailles,140)))),"")</f>
      </c>
      <c r="E167" s="23">
        <f>IF(AND($B$5="Tous les employés",IFERROR(INDEX(Pointage_ID,140),"")&lt;&gt;""),IF(140=0,"-",IF($H$5="1ère quinzaine",INDEX(Paie_HS1,140),IF($H$5="2ème quinzaine",INDEX(Paie_HS2,140),INDEX(Pointage_HS,140)))),"")</f>
      </c>
      <c r="F167" s="24">
        <f>IF(AND($B$5="Tous les employés",IFERROR(INDEX(Pointage_ID,140),"")&lt;&gt;""),INDEX(Paie_SalaireJour,140),"")</f>
      </c>
      <c r="G167" s="24">
        <f>IF(AND($B$5="Tous les employés",IFERROR(INDEX(Pointage_ID,140),"")&lt;&gt;""),IF(140=0,"-",IF($H$5="1ère quinzaine",INDEX(Paie_MontantHS1,140),IF($H$5="2ème quinzaine",INDEX(Paie_MontantHS2,140),INDEX(Paie_MontantHS,140)))),"")</f>
      </c>
      <c r="H167" s="24">
        <f>IF(AND($B$5="Tous les employés",IFERROR(INDEX(Pointage_ID,140),"")&lt;&gt;""),IF(140=0,"-",IF($H$5="1ère quinzaine",INDEX(Paie_Brut1,140),IF($H$5="2ème quinzaine",INDEX(Paie_Brut2,140),INDEX(Paie_BrutMensuel,140)))),"")</f>
      </c>
      <c r="I167" s="24">
        <f>IF(AND($B$5="Tous les employés",IFERROR(INDEX(Pointage_ID,140),"")&lt;&gt;""),IF(140=0,"-",IF($H$5="1ère quinzaine",INDEX(Paie_Retenues1,140),IF($H$5="2ème quinzaine",INDEX(Paie_Retenues2,140),INDEX(Paie_Retenues,140)))),"")</f>
      </c>
      <c r="J167" s="25">
        <f>IF(AND($B$5="Tous les employés",IFERROR(INDEX(Pointage_ID,140),"")&lt;&gt;""),IF(140=0,"-",IF($H$5="1ère quinzaine",INDEX(Paie_Net1,140),IF($H$5="2ème quinzaine",INDEX(Paie_Net2,140),INDEX(Paie_NetMensuel,140)))),"")</f>
      </c>
    </row>
    <row r="168">
      <c r="A168" s="20">
        <f>IF(AND($B$5="Tous les employés",IFERROR(INDEX(Pointage_ID,141),"")&lt;&gt;""),IFERROR(INDEX(Pointage_ID,141),""),"")</f>
      </c>
      <c r="B168" s="19">
        <f>IF(AND($B$5="Tous les employés",IFERROR(INDEX(Pointage_ID,141),"")&lt;&gt;""),INDEX(Pointage_Nom,141),"")</f>
      </c>
      <c r="C168" s="20">
        <f>IF(AND($B$5="Tous les employés",IFERROR(INDEX(Pointage_ID,141),"")&lt;&gt;""),INDEX(Pointage_Categorie,141),"")</f>
      </c>
      <c r="D168" s="22">
        <f>IF(AND($B$5="Tous les employés",IFERROR(INDEX(Pointage_ID,141),"")&lt;&gt;""),IF(141=0,"-",IF($H$5="1ère quinzaine",INDEX(Paie_Jours1,141),IF($H$5="2ème quinzaine",INDEX(Paie_Jours2,141),INDEX(Pointage_Travailles,141)))),"")</f>
      </c>
      <c r="E168" s="23">
        <f>IF(AND($B$5="Tous les employés",IFERROR(INDEX(Pointage_ID,141),"")&lt;&gt;""),IF(141=0,"-",IF($H$5="1ère quinzaine",INDEX(Paie_HS1,141),IF($H$5="2ème quinzaine",INDEX(Paie_HS2,141),INDEX(Pointage_HS,141)))),"")</f>
      </c>
      <c r="F168" s="24">
        <f>IF(AND($B$5="Tous les employés",IFERROR(INDEX(Pointage_ID,141),"")&lt;&gt;""),INDEX(Paie_SalaireJour,141),"")</f>
      </c>
      <c r="G168" s="24">
        <f>IF(AND($B$5="Tous les employés",IFERROR(INDEX(Pointage_ID,141),"")&lt;&gt;""),IF(141=0,"-",IF($H$5="1ère quinzaine",INDEX(Paie_MontantHS1,141),IF($H$5="2ème quinzaine",INDEX(Paie_MontantHS2,141),INDEX(Paie_MontantHS,141)))),"")</f>
      </c>
      <c r="H168" s="24">
        <f>IF(AND($B$5="Tous les employés",IFERROR(INDEX(Pointage_ID,141),"")&lt;&gt;""),IF(141=0,"-",IF($H$5="1ère quinzaine",INDEX(Paie_Brut1,141),IF($H$5="2ème quinzaine",INDEX(Paie_Brut2,141),INDEX(Paie_BrutMensuel,141)))),"")</f>
      </c>
      <c r="I168" s="24">
        <f>IF(AND($B$5="Tous les employés",IFERROR(INDEX(Pointage_ID,141),"")&lt;&gt;""),IF(141=0,"-",IF($H$5="1ère quinzaine",INDEX(Paie_Retenues1,141),IF($H$5="2ème quinzaine",INDEX(Paie_Retenues2,141),INDEX(Paie_Retenues,141)))),"")</f>
      </c>
      <c r="J168" s="25">
        <f>IF(AND($B$5="Tous les employés",IFERROR(INDEX(Pointage_ID,141),"")&lt;&gt;""),IF(141=0,"-",IF($H$5="1ère quinzaine",INDEX(Paie_Net1,141),IF($H$5="2ème quinzaine",INDEX(Paie_Net2,141),INDEX(Paie_NetMensuel,141)))),"")</f>
      </c>
    </row>
    <row r="169">
      <c r="A169" s="20">
        <f>IF(AND($B$5="Tous les employés",IFERROR(INDEX(Pointage_ID,142),"")&lt;&gt;""),IFERROR(INDEX(Pointage_ID,142),""),"")</f>
      </c>
      <c r="B169" s="19">
        <f>IF(AND($B$5="Tous les employés",IFERROR(INDEX(Pointage_ID,142),"")&lt;&gt;""),INDEX(Pointage_Nom,142),"")</f>
      </c>
      <c r="C169" s="20">
        <f>IF(AND($B$5="Tous les employés",IFERROR(INDEX(Pointage_ID,142),"")&lt;&gt;""),INDEX(Pointage_Categorie,142),"")</f>
      </c>
      <c r="D169" s="22">
        <f>IF(AND($B$5="Tous les employés",IFERROR(INDEX(Pointage_ID,142),"")&lt;&gt;""),IF(142=0,"-",IF($H$5="1ère quinzaine",INDEX(Paie_Jours1,142),IF($H$5="2ème quinzaine",INDEX(Paie_Jours2,142),INDEX(Pointage_Travailles,142)))),"")</f>
      </c>
      <c r="E169" s="23">
        <f>IF(AND($B$5="Tous les employés",IFERROR(INDEX(Pointage_ID,142),"")&lt;&gt;""),IF(142=0,"-",IF($H$5="1ère quinzaine",INDEX(Paie_HS1,142),IF($H$5="2ème quinzaine",INDEX(Paie_HS2,142),INDEX(Pointage_HS,142)))),"")</f>
      </c>
      <c r="F169" s="24">
        <f>IF(AND($B$5="Tous les employés",IFERROR(INDEX(Pointage_ID,142),"")&lt;&gt;""),INDEX(Paie_SalaireJour,142),"")</f>
      </c>
      <c r="G169" s="24">
        <f>IF(AND($B$5="Tous les employés",IFERROR(INDEX(Pointage_ID,142),"")&lt;&gt;""),IF(142=0,"-",IF($H$5="1ère quinzaine",INDEX(Paie_MontantHS1,142),IF($H$5="2ème quinzaine",INDEX(Paie_MontantHS2,142),INDEX(Paie_MontantHS,142)))),"")</f>
      </c>
      <c r="H169" s="24">
        <f>IF(AND($B$5="Tous les employés",IFERROR(INDEX(Pointage_ID,142),"")&lt;&gt;""),IF(142=0,"-",IF($H$5="1ère quinzaine",INDEX(Paie_Brut1,142),IF($H$5="2ème quinzaine",INDEX(Paie_Brut2,142),INDEX(Paie_BrutMensuel,142)))),"")</f>
      </c>
      <c r="I169" s="24">
        <f>IF(AND($B$5="Tous les employés",IFERROR(INDEX(Pointage_ID,142),"")&lt;&gt;""),IF(142=0,"-",IF($H$5="1ère quinzaine",INDEX(Paie_Retenues1,142),IF($H$5="2ème quinzaine",INDEX(Paie_Retenues2,142),INDEX(Paie_Retenues,142)))),"")</f>
      </c>
      <c r="J169" s="25">
        <f>IF(AND($B$5="Tous les employés",IFERROR(INDEX(Pointage_ID,142),"")&lt;&gt;""),IF(142=0,"-",IF($H$5="1ère quinzaine",INDEX(Paie_Net1,142),IF($H$5="2ème quinzaine",INDEX(Paie_Net2,142),INDEX(Paie_NetMensuel,142)))),"")</f>
      </c>
    </row>
    <row r="170">
      <c r="A170" s="20">
        <f>IF(AND($B$5="Tous les employés",IFERROR(INDEX(Pointage_ID,143),"")&lt;&gt;""),IFERROR(INDEX(Pointage_ID,143),""),"")</f>
      </c>
      <c r="B170" s="19">
        <f>IF(AND($B$5="Tous les employés",IFERROR(INDEX(Pointage_ID,143),"")&lt;&gt;""),INDEX(Pointage_Nom,143),"")</f>
      </c>
      <c r="C170" s="20">
        <f>IF(AND($B$5="Tous les employés",IFERROR(INDEX(Pointage_ID,143),"")&lt;&gt;""),INDEX(Pointage_Categorie,143),"")</f>
      </c>
      <c r="D170" s="22">
        <f>IF(AND($B$5="Tous les employés",IFERROR(INDEX(Pointage_ID,143),"")&lt;&gt;""),IF(143=0,"-",IF($H$5="1ère quinzaine",INDEX(Paie_Jours1,143),IF($H$5="2ème quinzaine",INDEX(Paie_Jours2,143),INDEX(Pointage_Travailles,143)))),"")</f>
      </c>
      <c r="E170" s="23">
        <f>IF(AND($B$5="Tous les employés",IFERROR(INDEX(Pointage_ID,143),"")&lt;&gt;""),IF(143=0,"-",IF($H$5="1ère quinzaine",INDEX(Paie_HS1,143),IF($H$5="2ème quinzaine",INDEX(Paie_HS2,143),INDEX(Pointage_HS,143)))),"")</f>
      </c>
      <c r="F170" s="24">
        <f>IF(AND($B$5="Tous les employés",IFERROR(INDEX(Pointage_ID,143),"")&lt;&gt;""),INDEX(Paie_SalaireJour,143),"")</f>
      </c>
      <c r="G170" s="24">
        <f>IF(AND($B$5="Tous les employés",IFERROR(INDEX(Pointage_ID,143),"")&lt;&gt;""),IF(143=0,"-",IF($H$5="1ère quinzaine",INDEX(Paie_MontantHS1,143),IF($H$5="2ème quinzaine",INDEX(Paie_MontantHS2,143),INDEX(Paie_MontantHS,143)))),"")</f>
      </c>
      <c r="H170" s="24">
        <f>IF(AND($B$5="Tous les employés",IFERROR(INDEX(Pointage_ID,143),"")&lt;&gt;""),IF(143=0,"-",IF($H$5="1ère quinzaine",INDEX(Paie_Brut1,143),IF($H$5="2ème quinzaine",INDEX(Paie_Brut2,143),INDEX(Paie_BrutMensuel,143)))),"")</f>
      </c>
      <c r="I170" s="24">
        <f>IF(AND($B$5="Tous les employés",IFERROR(INDEX(Pointage_ID,143),"")&lt;&gt;""),IF(143=0,"-",IF($H$5="1ère quinzaine",INDEX(Paie_Retenues1,143),IF($H$5="2ème quinzaine",INDEX(Paie_Retenues2,143),INDEX(Paie_Retenues,143)))),"")</f>
      </c>
      <c r="J170" s="25">
        <f>IF(AND($B$5="Tous les employés",IFERROR(INDEX(Pointage_ID,143),"")&lt;&gt;""),IF(143=0,"-",IF($H$5="1ère quinzaine",INDEX(Paie_Net1,143),IF($H$5="2ème quinzaine",INDEX(Paie_Net2,143),INDEX(Paie_NetMensuel,143)))),"")</f>
      </c>
    </row>
    <row r="171">
      <c r="A171" s="20">
        <f>IF(AND($B$5="Tous les employés",IFERROR(INDEX(Pointage_ID,144),"")&lt;&gt;""),IFERROR(INDEX(Pointage_ID,144),""),"")</f>
      </c>
      <c r="B171" s="19">
        <f>IF(AND($B$5="Tous les employés",IFERROR(INDEX(Pointage_ID,144),"")&lt;&gt;""),INDEX(Pointage_Nom,144),"")</f>
      </c>
      <c r="C171" s="20">
        <f>IF(AND($B$5="Tous les employés",IFERROR(INDEX(Pointage_ID,144),"")&lt;&gt;""),INDEX(Pointage_Categorie,144),"")</f>
      </c>
      <c r="D171" s="22">
        <f>IF(AND($B$5="Tous les employés",IFERROR(INDEX(Pointage_ID,144),"")&lt;&gt;""),IF(144=0,"-",IF($H$5="1ère quinzaine",INDEX(Paie_Jours1,144),IF($H$5="2ème quinzaine",INDEX(Paie_Jours2,144),INDEX(Pointage_Travailles,144)))),"")</f>
      </c>
      <c r="E171" s="23">
        <f>IF(AND($B$5="Tous les employés",IFERROR(INDEX(Pointage_ID,144),"")&lt;&gt;""),IF(144=0,"-",IF($H$5="1ère quinzaine",INDEX(Paie_HS1,144),IF($H$5="2ème quinzaine",INDEX(Paie_HS2,144),INDEX(Pointage_HS,144)))),"")</f>
      </c>
      <c r="F171" s="24">
        <f>IF(AND($B$5="Tous les employés",IFERROR(INDEX(Pointage_ID,144),"")&lt;&gt;""),INDEX(Paie_SalaireJour,144),"")</f>
      </c>
      <c r="G171" s="24">
        <f>IF(AND($B$5="Tous les employés",IFERROR(INDEX(Pointage_ID,144),"")&lt;&gt;""),IF(144=0,"-",IF($H$5="1ère quinzaine",INDEX(Paie_MontantHS1,144),IF($H$5="2ème quinzaine",INDEX(Paie_MontantHS2,144),INDEX(Paie_MontantHS,144)))),"")</f>
      </c>
      <c r="H171" s="24">
        <f>IF(AND($B$5="Tous les employés",IFERROR(INDEX(Pointage_ID,144),"")&lt;&gt;""),IF(144=0,"-",IF($H$5="1ère quinzaine",INDEX(Paie_Brut1,144),IF($H$5="2ème quinzaine",INDEX(Paie_Brut2,144),INDEX(Paie_BrutMensuel,144)))),"")</f>
      </c>
      <c r="I171" s="24">
        <f>IF(AND($B$5="Tous les employés",IFERROR(INDEX(Pointage_ID,144),"")&lt;&gt;""),IF(144=0,"-",IF($H$5="1ère quinzaine",INDEX(Paie_Retenues1,144),IF($H$5="2ème quinzaine",INDEX(Paie_Retenues2,144),INDEX(Paie_Retenues,144)))),"")</f>
      </c>
      <c r="J171" s="25">
        <f>IF(AND($B$5="Tous les employés",IFERROR(INDEX(Pointage_ID,144),"")&lt;&gt;""),IF(144=0,"-",IF($H$5="1ère quinzaine",INDEX(Paie_Net1,144),IF($H$5="2ème quinzaine",INDEX(Paie_Net2,144),INDEX(Paie_NetMensuel,144)))),"")</f>
      </c>
    </row>
    <row r="172">
      <c r="A172" s="20">
        <f>IF(AND($B$5="Tous les employés",IFERROR(INDEX(Pointage_ID,145),"")&lt;&gt;""),IFERROR(INDEX(Pointage_ID,145),""),"")</f>
      </c>
      <c r="B172" s="19">
        <f>IF(AND($B$5="Tous les employés",IFERROR(INDEX(Pointage_ID,145),"")&lt;&gt;""),INDEX(Pointage_Nom,145),"")</f>
      </c>
      <c r="C172" s="20">
        <f>IF(AND($B$5="Tous les employés",IFERROR(INDEX(Pointage_ID,145),"")&lt;&gt;""),INDEX(Pointage_Categorie,145),"")</f>
      </c>
      <c r="D172" s="22">
        <f>IF(AND($B$5="Tous les employés",IFERROR(INDEX(Pointage_ID,145),"")&lt;&gt;""),IF(145=0,"-",IF($H$5="1ère quinzaine",INDEX(Paie_Jours1,145),IF($H$5="2ème quinzaine",INDEX(Paie_Jours2,145),INDEX(Pointage_Travailles,145)))),"")</f>
      </c>
      <c r="E172" s="23">
        <f>IF(AND($B$5="Tous les employés",IFERROR(INDEX(Pointage_ID,145),"")&lt;&gt;""),IF(145=0,"-",IF($H$5="1ère quinzaine",INDEX(Paie_HS1,145),IF($H$5="2ème quinzaine",INDEX(Paie_HS2,145),INDEX(Pointage_HS,145)))),"")</f>
      </c>
      <c r="F172" s="24">
        <f>IF(AND($B$5="Tous les employés",IFERROR(INDEX(Pointage_ID,145),"")&lt;&gt;""),INDEX(Paie_SalaireJour,145),"")</f>
      </c>
      <c r="G172" s="24">
        <f>IF(AND($B$5="Tous les employés",IFERROR(INDEX(Pointage_ID,145),"")&lt;&gt;""),IF(145=0,"-",IF($H$5="1ère quinzaine",INDEX(Paie_MontantHS1,145),IF($H$5="2ème quinzaine",INDEX(Paie_MontantHS2,145),INDEX(Paie_MontantHS,145)))),"")</f>
      </c>
      <c r="H172" s="24">
        <f>IF(AND($B$5="Tous les employés",IFERROR(INDEX(Pointage_ID,145),"")&lt;&gt;""),IF(145=0,"-",IF($H$5="1ère quinzaine",INDEX(Paie_Brut1,145),IF($H$5="2ème quinzaine",INDEX(Paie_Brut2,145),INDEX(Paie_BrutMensuel,145)))),"")</f>
      </c>
      <c r="I172" s="24">
        <f>IF(AND($B$5="Tous les employés",IFERROR(INDEX(Pointage_ID,145),"")&lt;&gt;""),IF(145=0,"-",IF($H$5="1ère quinzaine",INDEX(Paie_Retenues1,145),IF($H$5="2ème quinzaine",INDEX(Paie_Retenues2,145),INDEX(Paie_Retenues,145)))),"")</f>
      </c>
      <c r="J172" s="25">
        <f>IF(AND($B$5="Tous les employés",IFERROR(INDEX(Pointage_ID,145),"")&lt;&gt;""),IF(145=0,"-",IF($H$5="1ère quinzaine",INDEX(Paie_Net1,145),IF($H$5="2ème quinzaine",INDEX(Paie_Net2,145),INDEX(Paie_NetMensuel,145)))),"")</f>
      </c>
    </row>
    <row r="173">
      <c r="A173" s="20">
        <f>IF(AND($B$5="Tous les employés",IFERROR(INDEX(Pointage_ID,146),"")&lt;&gt;""),IFERROR(INDEX(Pointage_ID,146),""),"")</f>
      </c>
      <c r="B173" s="19">
        <f>IF(AND($B$5="Tous les employés",IFERROR(INDEX(Pointage_ID,146),"")&lt;&gt;""),INDEX(Pointage_Nom,146),"")</f>
      </c>
      <c r="C173" s="20">
        <f>IF(AND($B$5="Tous les employés",IFERROR(INDEX(Pointage_ID,146),"")&lt;&gt;""),INDEX(Pointage_Categorie,146),"")</f>
      </c>
      <c r="D173" s="22">
        <f>IF(AND($B$5="Tous les employés",IFERROR(INDEX(Pointage_ID,146),"")&lt;&gt;""),IF(146=0,"-",IF($H$5="1ère quinzaine",INDEX(Paie_Jours1,146),IF($H$5="2ème quinzaine",INDEX(Paie_Jours2,146),INDEX(Pointage_Travailles,146)))),"")</f>
      </c>
      <c r="E173" s="23">
        <f>IF(AND($B$5="Tous les employés",IFERROR(INDEX(Pointage_ID,146),"")&lt;&gt;""),IF(146=0,"-",IF($H$5="1ère quinzaine",INDEX(Paie_HS1,146),IF($H$5="2ème quinzaine",INDEX(Paie_HS2,146),INDEX(Pointage_HS,146)))),"")</f>
      </c>
      <c r="F173" s="24">
        <f>IF(AND($B$5="Tous les employés",IFERROR(INDEX(Pointage_ID,146),"")&lt;&gt;""),INDEX(Paie_SalaireJour,146),"")</f>
      </c>
      <c r="G173" s="24">
        <f>IF(AND($B$5="Tous les employés",IFERROR(INDEX(Pointage_ID,146),"")&lt;&gt;""),IF(146=0,"-",IF($H$5="1ère quinzaine",INDEX(Paie_MontantHS1,146),IF($H$5="2ème quinzaine",INDEX(Paie_MontantHS2,146),INDEX(Paie_MontantHS,146)))),"")</f>
      </c>
      <c r="H173" s="24">
        <f>IF(AND($B$5="Tous les employés",IFERROR(INDEX(Pointage_ID,146),"")&lt;&gt;""),IF(146=0,"-",IF($H$5="1ère quinzaine",INDEX(Paie_Brut1,146),IF($H$5="2ème quinzaine",INDEX(Paie_Brut2,146),INDEX(Paie_BrutMensuel,146)))),"")</f>
      </c>
      <c r="I173" s="24">
        <f>IF(AND($B$5="Tous les employés",IFERROR(INDEX(Pointage_ID,146),"")&lt;&gt;""),IF(146=0,"-",IF($H$5="1ère quinzaine",INDEX(Paie_Retenues1,146),IF($H$5="2ème quinzaine",INDEX(Paie_Retenues2,146),INDEX(Paie_Retenues,146)))),"")</f>
      </c>
      <c r="J173" s="25">
        <f>IF(AND($B$5="Tous les employés",IFERROR(INDEX(Pointage_ID,146),"")&lt;&gt;""),IF(146=0,"-",IF($H$5="1ère quinzaine",INDEX(Paie_Net1,146),IF($H$5="2ème quinzaine",INDEX(Paie_Net2,146),INDEX(Paie_NetMensuel,146)))),"")</f>
      </c>
    </row>
    <row r="174">
      <c r="A174" s="20">
        <f>IF(AND($B$5="Tous les employés",IFERROR(INDEX(Pointage_ID,147),"")&lt;&gt;""),IFERROR(INDEX(Pointage_ID,147),""),"")</f>
      </c>
      <c r="B174" s="19">
        <f>IF(AND($B$5="Tous les employés",IFERROR(INDEX(Pointage_ID,147),"")&lt;&gt;""),INDEX(Pointage_Nom,147),"")</f>
      </c>
      <c r="C174" s="20">
        <f>IF(AND($B$5="Tous les employés",IFERROR(INDEX(Pointage_ID,147),"")&lt;&gt;""),INDEX(Pointage_Categorie,147),"")</f>
      </c>
      <c r="D174" s="22">
        <f>IF(AND($B$5="Tous les employés",IFERROR(INDEX(Pointage_ID,147),"")&lt;&gt;""),IF(147=0,"-",IF($H$5="1ère quinzaine",INDEX(Paie_Jours1,147),IF($H$5="2ème quinzaine",INDEX(Paie_Jours2,147),INDEX(Pointage_Travailles,147)))),"")</f>
      </c>
      <c r="E174" s="23">
        <f>IF(AND($B$5="Tous les employés",IFERROR(INDEX(Pointage_ID,147),"")&lt;&gt;""),IF(147=0,"-",IF($H$5="1ère quinzaine",INDEX(Paie_HS1,147),IF($H$5="2ème quinzaine",INDEX(Paie_HS2,147),INDEX(Pointage_HS,147)))),"")</f>
      </c>
      <c r="F174" s="24">
        <f>IF(AND($B$5="Tous les employés",IFERROR(INDEX(Pointage_ID,147),"")&lt;&gt;""),INDEX(Paie_SalaireJour,147),"")</f>
      </c>
      <c r="G174" s="24">
        <f>IF(AND($B$5="Tous les employés",IFERROR(INDEX(Pointage_ID,147),"")&lt;&gt;""),IF(147=0,"-",IF($H$5="1ère quinzaine",INDEX(Paie_MontantHS1,147),IF($H$5="2ème quinzaine",INDEX(Paie_MontantHS2,147),INDEX(Paie_MontantHS,147)))),"")</f>
      </c>
      <c r="H174" s="24">
        <f>IF(AND($B$5="Tous les employés",IFERROR(INDEX(Pointage_ID,147),"")&lt;&gt;""),IF(147=0,"-",IF($H$5="1ère quinzaine",INDEX(Paie_Brut1,147),IF($H$5="2ème quinzaine",INDEX(Paie_Brut2,147),INDEX(Paie_BrutMensuel,147)))),"")</f>
      </c>
      <c r="I174" s="24">
        <f>IF(AND($B$5="Tous les employés",IFERROR(INDEX(Pointage_ID,147),"")&lt;&gt;""),IF(147=0,"-",IF($H$5="1ère quinzaine",INDEX(Paie_Retenues1,147),IF($H$5="2ème quinzaine",INDEX(Paie_Retenues2,147),INDEX(Paie_Retenues,147)))),"")</f>
      </c>
      <c r="J174" s="25">
        <f>IF(AND($B$5="Tous les employés",IFERROR(INDEX(Pointage_ID,147),"")&lt;&gt;""),IF(147=0,"-",IF($H$5="1ère quinzaine",INDEX(Paie_Net1,147),IF($H$5="2ème quinzaine",INDEX(Paie_Net2,147),INDEX(Paie_NetMensuel,147)))),"")</f>
      </c>
    </row>
    <row r="175">
      <c r="A175" s="20">
        <f>IF(AND($B$5="Tous les employés",IFERROR(INDEX(Pointage_ID,148),"")&lt;&gt;""),IFERROR(INDEX(Pointage_ID,148),""),"")</f>
      </c>
      <c r="B175" s="19">
        <f>IF(AND($B$5="Tous les employés",IFERROR(INDEX(Pointage_ID,148),"")&lt;&gt;""),INDEX(Pointage_Nom,148),"")</f>
      </c>
      <c r="C175" s="20">
        <f>IF(AND($B$5="Tous les employés",IFERROR(INDEX(Pointage_ID,148),"")&lt;&gt;""),INDEX(Pointage_Categorie,148),"")</f>
      </c>
      <c r="D175" s="22">
        <f>IF(AND($B$5="Tous les employés",IFERROR(INDEX(Pointage_ID,148),"")&lt;&gt;""),IF(148=0,"-",IF($H$5="1ère quinzaine",INDEX(Paie_Jours1,148),IF($H$5="2ème quinzaine",INDEX(Paie_Jours2,148),INDEX(Pointage_Travailles,148)))),"")</f>
      </c>
      <c r="E175" s="23">
        <f>IF(AND($B$5="Tous les employés",IFERROR(INDEX(Pointage_ID,148),"")&lt;&gt;""),IF(148=0,"-",IF($H$5="1ère quinzaine",INDEX(Paie_HS1,148),IF($H$5="2ème quinzaine",INDEX(Paie_HS2,148),INDEX(Pointage_HS,148)))),"")</f>
      </c>
      <c r="F175" s="24">
        <f>IF(AND($B$5="Tous les employés",IFERROR(INDEX(Pointage_ID,148),"")&lt;&gt;""),INDEX(Paie_SalaireJour,148),"")</f>
      </c>
      <c r="G175" s="24">
        <f>IF(AND($B$5="Tous les employés",IFERROR(INDEX(Pointage_ID,148),"")&lt;&gt;""),IF(148=0,"-",IF($H$5="1ère quinzaine",INDEX(Paie_MontantHS1,148),IF($H$5="2ème quinzaine",INDEX(Paie_MontantHS2,148),INDEX(Paie_MontantHS,148)))),"")</f>
      </c>
      <c r="H175" s="24">
        <f>IF(AND($B$5="Tous les employés",IFERROR(INDEX(Pointage_ID,148),"")&lt;&gt;""),IF(148=0,"-",IF($H$5="1ère quinzaine",INDEX(Paie_Brut1,148),IF($H$5="2ème quinzaine",INDEX(Paie_Brut2,148),INDEX(Paie_BrutMensuel,148)))),"")</f>
      </c>
      <c r="I175" s="24">
        <f>IF(AND($B$5="Tous les employés",IFERROR(INDEX(Pointage_ID,148),"")&lt;&gt;""),IF(148=0,"-",IF($H$5="1ère quinzaine",INDEX(Paie_Retenues1,148),IF($H$5="2ème quinzaine",INDEX(Paie_Retenues2,148),INDEX(Paie_Retenues,148)))),"")</f>
      </c>
      <c r="J175" s="25">
        <f>IF(AND($B$5="Tous les employés",IFERROR(INDEX(Pointage_ID,148),"")&lt;&gt;""),IF(148=0,"-",IF($H$5="1ère quinzaine",INDEX(Paie_Net1,148),IF($H$5="2ème quinzaine",INDEX(Paie_Net2,148),INDEX(Paie_NetMensuel,148)))),"")</f>
      </c>
    </row>
    <row r="176">
      <c r="A176" s="20">
        <f>IF(AND($B$5="Tous les employés",IFERROR(INDEX(Pointage_ID,149),"")&lt;&gt;""),IFERROR(INDEX(Pointage_ID,149),""),"")</f>
      </c>
      <c r="B176" s="19">
        <f>IF(AND($B$5="Tous les employés",IFERROR(INDEX(Pointage_ID,149),"")&lt;&gt;""),INDEX(Pointage_Nom,149),"")</f>
      </c>
      <c r="C176" s="20">
        <f>IF(AND($B$5="Tous les employés",IFERROR(INDEX(Pointage_ID,149),"")&lt;&gt;""),INDEX(Pointage_Categorie,149),"")</f>
      </c>
      <c r="D176" s="22">
        <f>IF(AND($B$5="Tous les employés",IFERROR(INDEX(Pointage_ID,149),"")&lt;&gt;""),IF(149=0,"-",IF($H$5="1ère quinzaine",INDEX(Paie_Jours1,149),IF($H$5="2ème quinzaine",INDEX(Paie_Jours2,149),INDEX(Pointage_Travailles,149)))),"")</f>
      </c>
      <c r="E176" s="23">
        <f>IF(AND($B$5="Tous les employés",IFERROR(INDEX(Pointage_ID,149),"")&lt;&gt;""),IF(149=0,"-",IF($H$5="1ère quinzaine",INDEX(Paie_HS1,149),IF($H$5="2ème quinzaine",INDEX(Paie_HS2,149),INDEX(Pointage_HS,149)))),"")</f>
      </c>
      <c r="F176" s="24">
        <f>IF(AND($B$5="Tous les employés",IFERROR(INDEX(Pointage_ID,149),"")&lt;&gt;""),INDEX(Paie_SalaireJour,149),"")</f>
      </c>
      <c r="G176" s="24">
        <f>IF(AND($B$5="Tous les employés",IFERROR(INDEX(Pointage_ID,149),"")&lt;&gt;""),IF(149=0,"-",IF($H$5="1ère quinzaine",INDEX(Paie_MontantHS1,149),IF($H$5="2ème quinzaine",INDEX(Paie_MontantHS2,149),INDEX(Paie_MontantHS,149)))),"")</f>
      </c>
      <c r="H176" s="24">
        <f>IF(AND($B$5="Tous les employés",IFERROR(INDEX(Pointage_ID,149),"")&lt;&gt;""),IF(149=0,"-",IF($H$5="1ère quinzaine",INDEX(Paie_Brut1,149),IF($H$5="2ème quinzaine",INDEX(Paie_Brut2,149),INDEX(Paie_BrutMensuel,149)))),"")</f>
      </c>
      <c r="I176" s="24">
        <f>IF(AND($B$5="Tous les employés",IFERROR(INDEX(Pointage_ID,149),"")&lt;&gt;""),IF(149=0,"-",IF($H$5="1ère quinzaine",INDEX(Paie_Retenues1,149),IF($H$5="2ème quinzaine",INDEX(Paie_Retenues2,149),INDEX(Paie_Retenues,149)))),"")</f>
      </c>
      <c r="J176" s="25">
        <f>IF(AND($B$5="Tous les employés",IFERROR(INDEX(Pointage_ID,149),"")&lt;&gt;""),IF(149=0,"-",IF($H$5="1ère quinzaine",INDEX(Paie_Net1,149),IF($H$5="2ème quinzaine",INDEX(Paie_Net2,149),INDEX(Paie_NetMensuel,149)))),"")</f>
      </c>
    </row>
    <row r="177">
      <c r="A177" s="20">
        <f>IF(AND($B$5="Tous les employés",IFERROR(INDEX(Pointage_ID,150),"")&lt;&gt;""),IFERROR(INDEX(Pointage_ID,150),""),"")</f>
      </c>
      <c r="B177" s="19">
        <f>IF(AND($B$5="Tous les employés",IFERROR(INDEX(Pointage_ID,150),"")&lt;&gt;""),INDEX(Pointage_Nom,150),"")</f>
      </c>
      <c r="C177" s="20">
        <f>IF(AND($B$5="Tous les employés",IFERROR(INDEX(Pointage_ID,150),"")&lt;&gt;""),INDEX(Pointage_Categorie,150),"")</f>
      </c>
      <c r="D177" s="22">
        <f>IF(AND($B$5="Tous les employés",IFERROR(INDEX(Pointage_ID,150),"")&lt;&gt;""),IF(150=0,"-",IF($H$5="1ère quinzaine",INDEX(Paie_Jours1,150),IF($H$5="2ème quinzaine",INDEX(Paie_Jours2,150),INDEX(Pointage_Travailles,150)))),"")</f>
      </c>
      <c r="E177" s="23">
        <f>IF(AND($B$5="Tous les employés",IFERROR(INDEX(Pointage_ID,150),"")&lt;&gt;""),IF(150=0,"-",IF($H$5="1ère quinzaine",INDEX(Paie_HS1,150),IF($H$5="2ème quinzaine",INDEX(Paie_HS2,150),INDEX(Pointage_HS,150)))),"")</f>
      </c>
      <c r="F177" s="24">
        <f>IF(AND($B$5="Tous les employés",IFERROR(INDEX(Pointage_ID,150),"")&lt;&gt;""),INDEX(Paie_SalaireJour,150),"")</f>
      </c>
      <c r="G177" s="24">
        <f>IF(AND($B$5="Tous les employés",IFERROR(INDEX(Pointage_ID,150),"")&lt;&gt;""),IF(150=0,"-",IF($H$5="1ère quinzaine",INDEX(Paie_MontantHS1,150),IF($H$5="2ème quinzaine",INDEX(Paie_MontantHS2,150),INDEX(Paie_MontantHS,150)))),"")</f>
      </c>
      <c r="H177" s="24">
        <f>IF(AND($B$5="Tous les employés",IFERROR(INDEX(Pointage_ID,150),"")&lt;&gt;""),IF(150=0,"-",IF($H$5="1ère quinzaine",INDEX(Paie_Brut1,150),IF($H$5="2ème quinzaine",INDEX(Paie_Brut2,150),INDEX(Paie_BrutMensuel,150)))),"")</f>
      </c>
      <c r="I177" s="24">
        <f>IF(AND($B$5="Tous les employés",IFERROR(INDEX(Pointage_ID,150),"")&lt;&gt;""),IF(150=0,"-",IF($H$5="1ère quinzaine",INDEX(Paie_Retenues1,150),IF($H$5="2ème quinzaine",INDEX(Paie_Retenues2,150),INDEX(Paie_Retenues,150)))),"")</f>
      </c>
      <c r="J177" s="25">
        <f>IF(AND($B$5="Tous les employés",IFERROR(INDEX(Pointage_ID,150),"")&lt;&gt;""),IF(150=0,"-",IF($H$5="1ère quinzaine",INDEX(Paie_Net1,150),IF($H$5="2ème quinzaine",INDEX(Paie_Net2,150),INDEX(Paie_NetMensuel,150)))),"")</f>
      </c>
    </row>
    <row r="178">
      <c r="A178" s="20">
        <f>IF(AND($B$5="Tous les employés",IFERROR(INDEX(Pointage_ID,151),"")&lt;&gt;""),IFERROR(INDEX(Pointage_ID,151),""),"")</f>
      </c>
      <c r="B178" s="19">
        <f>IF(AND($B$5="Tous les employés",IFERROR(INDEX(Pointage_ID,151),"")&lt;&gt;""),INDEX(Pointage_Nom,151),"")</f>
      </c>
      <c r="C178" s="20">
        <f>IF(AND($B$5="Tous les employés",IFERROR(INDEX(Pointage_ID,151),"")&lt;&gt;""),INDEX(Pointage_Categorie,151),"")</f>
      </c>
      <c r="D178" s="22">
        <f>IF(AND($B$5="Tous les employés",IFERROR(INDEX(Pointage_ID,151),"")&lt;&gt;""),IF(151=0,"-",IF($H$5="1ère quinzaine",INDEX(Paie_Jours1,151),IF($H$5="2ème quinzaine",INDEX(Paie_Jours2,151),INDEX(Pointage_Travailles,151)))),"")</f>
      </c>
      <c r="E178" s="23">
        <f>IF(AND($B$5="Tous les employés",IFERROR(INDEX(Pointage_ID,151),"")&lt;&gt;""),IF(151=0,"-",IF($H$5="1ère quinzaine",INDEX(Paie_HS1,151),IF($H$5="2ème quinzaine",INDEX(Paie_HS2,151),INDEX(Pointage_HS,151)))),"")</f>
      </c>
      <c r="F178" s="24">
        <f>IF(AND($B$5="Tous les employés",IFERROR(INDEX(Pointage_ID,151),"")&lt;&gt;""),INDEX(Paie_SalaireJour,151),"")</f>
      </c>
      <c r="G178" s="24">
        <f>IF(AND($B$5="Tous les employés",IFERROR(INDEX(Pointage_ID,151),"")&lt;&gt;""),IF(151=0,"-",IF($H$5="1ère quinzaine",INDEX(Paie_MontantHS1,151),IF($H$5="2ème quinzaine",INDEX(Paie_MontantHS2,151),INDEX(Paie_MontantHS,151)))),"")</f>
      </c>
      <c r="H178" s="24">
        <f>IF(AND($B$5="Tous les employés",IFERROR(INDEX(Pointage_ID,151),"")&lt;&gt;""),IF(151=0,"-",IF($H$5="1ère quinzaine",INDEX(Paie_Brut1,151),IF($H$5="2ème quinzaine",INDEX(Paie_Brut2,151),INDEX(Paie_BrutMensuel,151)))),"")</f>
      </c>
      <c r="I178" s="24">
        <f>IF(AND($B$5="Tous les employés",IFERROR(INDEX(Pointage_ID,151),"")&lt;&gt;""),IF(151=0,"-",IF($H$5="1ère quinzaine",INDEX(Paie_Retenues1,151),IF($H$5="2ème quinzaine",INDEX(Paie_Retenues2,151),INDEX(Paie_Retenues,151)))),"")</f>
      </c>
      <c r="J178" s="25">
        <f>IF(AND($B$5="Tous les employés",IFERROR(INDEX(Pointage_ID,151),"")&lt;&gt;""),IF(151=0,"-",IF($H$5="1ère quinzaine",INDEX(Paie_Net1,151),IF($H$5="2ème quinzaine",INDEX(Paie_Net2,151),INDEX(Paie_NetMensuel,151)))),"")</f>
      </c>
    </row>
    <row r="179">
      <c r="A179" s="20">
        <f>IF(AND($B$5="Tous les employés",IFERROR(INDEX(Pointage_ID,152),"")&lt;&gt;""),IFERROR(INDEX(Pointage_ID,152),""),"")</f>
      </c>
      <c r="B179" s="19">
        <f>IF(AND($B$5="Tous les employés",IFERROR(INDEX(Pointage_ID,152),"")&lt;&gt;""),INDEX(Pointage_Nom,152),"")</f>
      </c>
      <c r="C179" s="20">
        <f>IF(AND($B$5="Tous les employés",IFERROR(INDEX(Pointage_ID,152),"")&lt;&gt;""),INDEX(Pointage_Categorie,152),"")</f>
      </c>
      <c r="D179" s="22">
        <f>IF(AND($B$5="Tous les employés",IFERROR(INDEX(Pointage_ID,152),"")&lt;&gt;""),IF(152=0,"-",IF($H$5="1ère quinzaine",INDEX(Paie_Jours1,152),IF($H$5="2ème quinzaine",INDEX(Paie_Jours2,152),INDEX(Pointage_Travailles,152)))),"")</f>
      </c>
      <c r="E179" s="23">
        <f>IF(AND($B$5="Tous les employés",IFERROR(INDEX(Pointage_ID,152),"")&lt;&gt;""),IF(152=0,"-",IF($H$5="1ère quinzaine",INDEX(Paie_HS1,152),IF($H$5="2ème quinzaine",INDEX(Paie_HS2,152),INDEX(Pointage_HS,152)))),"")</f>
      </c>
      <c r="F179" s="24">
        <f>IF(AND($B$5="Tous les employés",IFERROR(INDEX(Pointage_ID,152),"")&lt;&gt;""),INDEX(Paie_SalaireJour,152),"")</f>
      </c>
      <c r="G179" s="24">
        <f>IF(AND($B$5="Tous les employés",IFERROR(INDEX(Pointage_ID,152),"")&lt;&gt;""),IF(152=0,"-",IF($H$5="1ère quinzaine",INDEX(Paie_MontantHS1,152),IF($H$5="2ème quinzaine",INDEX(Paie_MontantHS2,152),INDEX(Paie_MontantHS,152)))),"")</f>
      </c>
      <c r="H179" s="24">
        <f>IF(AND($B$5="Tous les employés",IFERROR(INDEX(Pointage_ID,152),"")&lt;&gt;""),IF(152=0,"-",IF($H$5="1ère quinzaine",INDEX(Paie_Brut1,152),IF($H$5="2ème quinzaine",INDEX(Paie_Brut2,152),INDEX(Paie_BrutMensuel,152)))),"")</f>
      </c>
      <c r="I179" s="24">
        <f>IF(AND($B$5="Tous les employés",IFERROR(INDEX(Pointage_ID,152),"")&lt;&gt;""),IF(152=0,"-",IF($H$5="1ère quinzaine",INDEX(Paie_Retenues1,152),IF($H$5="2ème quinzaine",INDEX(Paie_Retenues2,152),INDEX(Paie_Retenues,152)))),"")</f>
      </c>
      <c r="J179" s="25">
        <f>IF(AND($B$5="Tous les employés",IFERROR(INDEX(Pointage_ID,152),"")&lt;&gt;""),IF(152=0,"-",IF($H$5="1ère quinzaine",INDEX(Paie_Net1,152),IF($H$5="2ème quinzaine",INDEX(Paie_Net2,152),INDEX(Paie_NetMensuel,152)))),"")</f>
      </c>
    </row>
    <row r="180">
      <c r="A180" s="20">
        <f>IF(AND($B$5="Tous les employés",IFERROR(INDEX(Pointage_ID,153),"")&lt;&gt;""),IFERROR(INDEX(Pointage_ID,153),""),"")</f>
      </c>
      <c r="B180" s="19">
        <f>IF(AND($B$5="Tous les employés",IFERROR(INDEX(Pointage_ID,153),"")&lt;&gt;""),INDEX(Pointage_Nom,153),"")</f>
      </c>
      <c r="C180" s="20">
        <f>IF(AND($B$5="Tous les employés",IFERROR(INDEX(Pointage_ID,153),"")&lt;&gt;""),INDEX(Pointage_Categorie,153),"")</f>
      </c>
      <c r="D180" s="22">
        <f>IF(AND($B$5="Tous les employés",IFERROR(INDEX(Pointage_ID,153),"")&lt;&gt;""),IF(153=0,"-",IF($H$5="1ère quinzaine",INDEX(Paie_Jours1,153),IF($H$5="2ème quinzaine",INDEX(Paie_Jours2,153),INDEX(Pointage_Travailles,153)))),"")</f>
      </c>
      <c r="E180" s="23">
        <f>IF(AND($B$5="Tous les employés",IFERROR(INDEX(Pointage_ID,153),"")&lt;&gt;""),IF(153=0,"-",IF($H$5="1ère quinzaine",INDEX(Paie_HS1,153),IF($H$5="2ème quinzaine",INDEX(Paie_HS2,153),INDEX(Pointage_HS,153)))),"")</f>
      </c>
      <c r="F180" s="24">
        <f>IF(AND($B$5="Tous les employés",IFERROR(INDEX(Pointage_ID,153),"")&lt;&gt;""),INDEX(Paie_SalaireJour,153),"")</f>
      </c>
      <c r="G180" s="24">
        <f>IF(AND($B$5="Tous les employés",IFERROR(INDEX(Pointage_ID,153),"")&lt;&gt;""),IF(153=0,"-",IF($H$5="1ère quinzaine",INDEX(Paie_MontantHS1,153),IF($H$5="2ème quinzaine",INDEX(Paie_MontantHS2,153),INDEX(Paie_MontantHS,153)))),"")</f>
      </c>
      <c r="H180" s="24">
        <f>IF(AND($B$5="Tous les employés",IFERROR(INDEX(Pointage_ID,153),"")&lt;&gt;""),IF(153=0,"-",IF($H$5="1ère quinzaine",INDEX(Paie_Brut1,153),IF($H$5="2ème quinzaine",INDEX(Paie_Brut2,153),INDEX(Paie_BrutMensuel,153)))),"")</f>
      </c>
      <c r="I180" s="24">
        <f>IF(AND($B$5="Tous les employés",IFERROR(INDEX(Pointage_ID,153),"")&lt;&gt;""),IF(153=0,"-",IF($H$5="1ère quinzaine",INDEX(Paie_Retenues1,153),IF($H$5="2ème quinzaine",INDEX(Paie_Retenues2,153),INDEX(Paie_Retenues,153)))),"")</f>
      </c>
      <c r="J180" s="25">
        <f>IF(AND($B$5="Tous les employés",IFERROR(INDEX(Pointage_ID,153),"")&lt;&gt;""),IF(153=0,"-",IF($H$5="1ère quinzaine",INDEX(Paie_Net1,153),IF($H$5="2ème quinzaine",INDEX(Paie_Net2,153),INDEX(Paie_NetMensuel,153)))),"")</f>
      </c>
    </row>
    <row r="181">
      <c r="A181" s="20">
        <f>IF(AND($B$5="Tous les employés",IFERROR(INDEX(Pointage_ID,154),"")&lt;&gt;""),IFERROR(INDEX(Pointage_ID,154),""),"")</f>
      </c>
      <c r="B181" s="19">
        <f>IF(AND($B$5="Tous les employés",IFERROR(INDEX(Pointage_ID,154),"")&lt;&gt;""),INDEX(Pointage_Nom,154),"")</f>
      </c>
      <c r="C181" s="20">
        <f>IF(AND($B$5="Tous les employés",IFERROR(INDEX(Pointage_ID,154),"")&lt;&gt;""),INDEX(Pointage_Categorie,154),"")</f>
      </c>
      <c r="D181" s="22">
        <f>IF(AND($B$5="Tous les employés",IFERROR(INDEX(Pointage_ID,154),"")&lt;&gt;""),IF(154=0,"-",IF($H$5="1ère quinzaine",INDEX(Paie_Jours1,154),IF($H$5="2ème quinzaine",INDEX(Paie_Jours2,154),INDEX(Pointage_Travailles,154)))),"")</f>
      </c>
      <c r="E181" s="23">
        <f>IF(AND($B$5="Tous les employés",IFERROR(INDEX(Pointage_ID,154),"")&lt;&gt;""),IF(154=0,"-",IF($H$5="1ère quinzaine",INDEX(Paie_HS1,154),IF($H$5="2ème quinzaine",INDEX(Paie_HS2,154),INDEX(Pointage_HS,154)))),"")</f>
      </c>
      <c r="F181" s="24">
        <f>IF(AND($B$5="Tous les employés",IFERROR(INDEX(Pointage_ID,154),"")&lt;&gt;""),INDEX(Paie_SalaireJour,154),"")</f>
      </c>
      <c r="G181" s="24">
        <f>IF(AND($B$5="Tous les employés",IFERROR(INDEX(Pointage_ID,154),"")&lt;&gt;""),IF(154=0,"-",IF($H$5="1ère quinzaine",INDEX(Paie_MontantHS1,154),IF($H$5="2ème quinzaine",INDEX(Paie_MontantHS2,154),INDEX(Paie_MontantHS,154)))),"")</f>
      </c>
      <c r="H181" s="24">
        <f>IF(AND($B$5="Tous les employés",IFERROR(INDEX(Pointage_ID,154),"")&lt;&gt;""),IF(154=0,"-",IF($H$5="1ère quinzaine",INDEX(Paie_Brut1,154),IF($H$5="2ème quinzaine",INDEX(Paie_Brut2,154),INDEX(Paie_BrutMensuel,154)))),"")</f>
      </c>
      <c r="I181" s="24">
        <f>IF(AND($B$5="Tous les employés",IFERROR(INDEX(Pointage_ID,154),"")&lt;&gt;""),IF(154=0,"-",IF($H$5="1ère quinzaine",INDEX(Paie_Retenues1,154),IF($H$5="2ème quinzaine",INDEX(Paie_Retenues2,154),INDEX(Paie_Retenues,154)))),"")</f>
      </c>
      <c r="J181" s="25">
        <f>IF(AND($B$5="Tous les employés",IFERROR(INDEX(Pointage_ID,154),"")&lt;&gt;""),IF(154=0,"-",IF($H$5="1ère quinzaine",INDEX(Paie_Net1,154),IF($H$5="2ème quinzaine",INDEX(Paie_Net2,154),INDEX(Paie_NetMensuel,154)))),"")</f>
      </c>
    </row>
    <row r="182">
      <c r="A182" s="20">
        <f>IF(AND($B$5="Tous les employés",IFERROR(INDEX(Pointage_ID,155),"")&lt;&gt;""),IFERROR(INDEX(Pointage_ID,155),""),"")</f>
      </c>
      <c r="B182" s="19">
        <f>IF(AND($B$5="Tous les employés",IFERROR(INDEX(Pointage_ID,155),"")&lt;&gt;""),INDEX(Pointage_Nom,155),"")</f>
      </c>
      <c r="C182" s="20">
        <f>IF(AND($B$5="Tous les employés",IFERROR(INDEX(Pointage_ID,155),"")&lt;&gt;""),INDEX(Pointage_Categorie,155),"")</f>
      </c>
      <c r="D182" s="22">
        <f>IF(AND($B$5="Tous les employés",IFERROR(INDEX(Pointage_ID,155),"")&lt;&gt;""),IF(155=0,"-",IF($H$5="1ère quinzaine",INDEX(Paie_Jours1,155),IF($H$5="2ème quinzaine",INDEX(Paie_Jours2,155),INDEX(Pointage_Travailles,155)))),"")</f>
      </c>
      <c r="E182" s="23">
        <f>IF(AND($B$5="Tous les employés",IFERROR(INDEX(Pointage_ID,155),"")&lt;&gt;""),IF(155=0,"-",IF($H$5="1ère quinzaine",INDEX(Paie_HS1,155),IF($H$5="2ème quinzaine",INDEX(Paie_HS2,155),INDEX(Pointage_HS,155)))),"")</f>
      </c>
      <c r="F182" s="24">
        <f>IF(AND($B$5="Tous les employés",IFERROR(INDEX(Pointage_ID,155),"")&lt;&gt;""),INDEX(Paie_SalaireJour,155),"")</f>
      </c>
      <c r="G182" s="24">
        <f>IF(AND($B$5="Tous les employés",IFERROR(INDEX(Pointage_ID,155),"")&lt;&gt;""),IF(155=0,"-",IF($H$5="1ère quinzaine",INDEX(Paie_MontantHS1,155),IF($H$5="2ème quinzaine",INDEX(Paie_MontantHS2,155),INDEX(Paie_MontantHS,155)))),"")</f>
      </c>
      <c r="H182" s="24">
        <f>IF(AND($B$5="Tous les employés",IFERROR(INDEX(Pointage_ID,155),"")&lt;&gt;""),IF(155=0,"-",IF($H$5="1ère quinzaine",INDEX(Paie_Brut1,155),IF($H$5="2ème quinzaine",INDEX(Paie_Brut2,155),INDEX(Paie_BrutMensuel,155)))),"")</f>
      </c>
      <c r="I182" s="24">
        <f>IF(AND($B$5="Tous les employés",IFERROR(INDEX(Pointage_ID,155),"")&lt;&gt;""),IF(155=0,"-",IF($H$5="1ère quinzaine",INDEX(Paie_Retenues1,155),IF($H$5="2ème quinzaine",INDEX(Paie_Retenues2,155),INDEX(Paie_Retenues,155)))),"")</f>
      </c>
      <c r="J182" s="25">
        <f>IF(AND($B$5="Tous les employés",IFERROR(INDEX(Pointage_ID,155),"")&lt;&gt;""),IF(155=0,"-",IF($H$5="1ère quinzaine",INDEX(Paie_Net1,155),IF($H$5="2ème quinzaine",INDEX(Paie_Net2,155),INDEX(Paie_NetMensuel,155)))),"")</f>
      </c>
    </row>
    <row r="183">
      <c r="A183" s="20">
        <f>IF(AND($B$5="Tous les employés",IFERROR(INDEX(Pointage_ID,156),"")&lt;&gt;""),IFERROR(INDEX(Pointage_ID,156),""),"")</f>
      </c>
      <c r="B183" s="19">
        <f>IF(AND($B$5="Tous les employés",IFERROR(INDEX(Pointage_ID,156),"")&lt;&gt;""),INDEX(Pointage_Nom,156),"")</f>
      </c>
      <c r="C183" s="20">
        <f>IF(AND($B$5="Tous les employés",IFERROR(INDEX(Pointage_ID,156),"")&lt;&gt;""),INDEX(Pointage_Categorie,156),"")</f>
      </c>
      <c r="D183" s="22">
        <f>IF(AND($B$5="Tous les employés",IFERROR(INDEX(Pointage_ID,156),"")&lt;&gt;""),IF(156=0,"-",IF($H$5="1ère quinzaine",INDEX(Paie_Jours1,156),IF($H$5="2ème quinzaine",INDEX(Paie_Jours2,156),INDEX(Pointage_Travailles,156)))),"")</f>
      </c>
      <c r="E183" s="23">
        <f>IF(AND($B$5="Tous les employés",IFERROR(INDEX(Pointage_ID,156),"")&lt;&gt;""),IF(156=0,"-",IF($H$5="1ère quinzaine",INDEX(Paie_HS1,156),IF($H$5="2ème quinzaine",INDEX(Paie_HS2,156),INDEX(Pointage_HS,156)))),"")</f>
      </c>
      <c r="F183" s="24">
        <f>IF(AND($B$5="Tous les employés",IFERROR(INDEX(Pointage_ID,156),"")&lt;&gt;""),INDEX(Paie_SalaireJour,156),"")</f>
      </c>
      <c r="G183" s="24">
        <f>IF(AND($B$5="Tous les employés",IFERROR(INDEX(Pointage_ID,156),"")&lt;&gt;""),IF(156=0,"-",IF($H$5="1ère quinzaine",INDEX(Paie_MontantHS1,156),IF($H$5="2ème quinzaine",INDEX(Paie_MontantHS2,156),INDEX(Paie_MontantHS,156)))),"")</f>
      </c>
      <c r="H183" s="24">
        <f>IF(AND($B$5="Tous les employés",IFERROR(INDEX(Pointage_ID,156),"")&lt;&gt;""),IF(156=0,"-",IF($H$5="1ère quinzaine",INDEX(Paie_Brut1,156),IF($H$5="2ème quinzaine",INDEX(Paie_Brut2,156),INDEX(Paie_BrutMensuel,156)))),"")</f>
      </c>
      <c r="I183" s="24">
        <f>IF(AND($B$5="Tous les employés",IFERROR(INDEX(Pointage_ID,156),"")&lt;&gt;""),IF(156=0,"-",IF($H$5="1ère quinzaine",INDEX(Paie_Retenues1,156),IF($H$5="2ème quinzaine",INDEX(Paie_Retenues2,156),INDEX(Paie_Retenues,156)))),"")</f>
      </c>
      <c r="J183" s="25">
        <f>IF(AND($B$5="Tous les employés",IFERROR(INDEX(Pointage_ID,156),"")&lt;&gt;""),IF(156=0,"-",IF($H$5="1ère quinzaine",INDEX(Paie_Net1,156),IF($H$5="2ème quinzaine",INDEX(Paie_Net2,156),INDEX(Paie_NetMensuel,156)))),"")</f>
      </c>
    </row>
    <row r="184">
      <c r="A184" s="20">
        <f>IF(AND($B$5="Tous les employés",IFERROR(INDEX(Pointage_ID,157),"")&lt;&gt;""),IFERROR(INDEX(Pointage_ID,157),""),"")</f>
      </c>
      <c r="B184" s="19">
        <f>IF(AND($B$5="Tous les employés",IFERROR(INDEX(Pointage_ID,157),"")&lt;&gt;""),INDEX(Pointage_Nom,157),"")</f>
      </c>
      <c r="C184" s="20">
        <f>IF(AND($B$5="Tous les employés",IFERROR(INDEX(Pointage_ID,157),"")&lt;&gt;""),INDEX(Pointage_Categorie,157),"")</f>
      </c>
      <c r="D184" s="22">
        <f>IF(AND($B$5="Tous les employés",IFERROR(INDEX(Pointage_ID,157),"")&lt;&gt;""),IF(157=0,"-",IF($H$5="1ère quinzaine",INDEX(Paie_Jours1,157),IF($H$5="2ème quinzaine",INDEX(Paie_Jours2,157),INDEX(Pointage_Travailles,157)))),"")</f>
      </c>
      <c r="E184" s="23">
        <f>IF(AND($B$5="Tous les employés",IFERROR(INDEX(Pointage_ID,157),"")&lt;&gt;""),IF(157=0,"-",IF($H$5="1ère quinzaine",INDEX(Paie_HS1,157),IF($H$5="2ème quinzaine",INDEX(Paie_HS2,157),INDEX(Pointage_HS,157)))),"")</f>
      </c>
      <c r="F184" s="24">
        <f>IF(AND($B$5="Tous les employés",IFERROR(INDEX(Pointage_ID,157),"")&lt;&gt;""),INDEX(Paie_SalaireJour,157),"")</f>
      </c>
      <c r="G184" s="24">
        <f>IF(AND($B$5="Tous les employés",IFERROR(INDEX(Pointage_ID,157),"")&lt;&gt;""),IF(157=0,"-",IF($H$5="1ère quinzaine",INDEX(Paie_MontantHS1,157),IF($H$5="2ème quinzaine",INDEX(Paie_MontantHS2,157),INDEX(Paie_MontantHS,157)))),"")</f>
      </c>
      <c r="H184" s="24">
        <f>IF(AND($B$5="Tous les employés",IFERROR(INDEX(Pointage_ID,157),"")&lt;&gt;""),IF(157=0,"-",IF($H$5="1ère quinzaine",INDEX(Paie_Brut1,157),IF($H$5="2ème quinzaine",INDEX(Paie_Brut2,157),INDEX(Paie_BrutMensuel,157)))),"")</f>
      </c>
      <c r="I184" s="24">
        <f>IF(AND($B$5="Tous les employés",IFERROR(INDEX(Pointage_ID,157),"")&lt;&gt;""),IF(157=0,"-",IF($H$5="1ère quinzaine",INDEX(Paie_Retenues1,157),IF($H$5="2ème quinzaine",INDEX(Paie_Retenues2,157),INDEX(Paie_Retenues,157)))),"")</f>
      </c>
      <c r="J184" s="25">
        <f>IF(AND($B$5="Tous les employés",IFERROR(INDEX(Pointage_ID,157),"")&lt;&gt;""),IF(157=0,"-",IF($H$5="1ère quinzaine",INDEX(Paie_Net1,157),IF($H$5="2ème quinzaine",INDEX(Paie_Net2,157),INDEX(Paie_NetMensuel,157)))),"")</f>
      </c>
    </row>
    <row r="185">
      <c r="A185" s="20">
        <f>IF(AND($B$5="Tous les employés",IFERROR(INDEX(Pointage_ID,158),"")&lt;&gt;""),IFERROR(INDEX(Pointage_ID,158),""),"")</f>
      </c>
      <c r="B185" s="19">
        <f>IF(AND($B$5="Tous les employés",IFERROR(INDEX(Pointage_ID,158),"")&lt;&gt;""),INDEX(Pointage_Nom,158),"")</f>
      </c>
      <c r="C185" s="20">
        <f>IF(AND($B$5="Tous les employés",IFERROR(INDEX(Pointage_ID,158),"")&lt;&gt;""),INDEX(Pointage_Categorie,158),"")</f>
      </c>
      <c r="D185" s="22">
        <f>IF(AND($B$5="Tous les employés",IFERROR(INDEX(Pointage_ID,158),"")&lt;&gt;""),IF(158=0,"-",IF($H$5="1ère quinzaine",INDEX(Paie_Jours1,158),IF($H$5="2ème quinzaine",INDEX(Paie_Jours2,158),INDEX(Pointage_Travailles,158)))),"")</f>
      </c>
      <c r="E185" s="23">
        <f>IF(AND($B$5="Tous les employés",IFERROR(INDEX(Pointage_ID,158),"")&lt;&gt;""),IF(158=0,"-",IF($H$5="1ère quinzaine",INDEX(Paie_HS1,158),IF($H$5="2ème quinzaine",INDEX(Paie_HS2,158),INDEX(Pointage_HS,158)))),"")</f>
      </c>
      <c r="F185" s="24">
        <f>IF(AND($B$5="Tous les employés",IFERROR(INDEX(Pointage_ID,158),"")&lt;&gt;""),INDEX(Paie_SalaireJour,158),"")</f>
      </c>
      <c r="G185" s="24">
        <f>IF(AND($B$5="Tous les employés",IFERROR(INDEX(Pointage_ID,158),"")&lt;&gt;""),IF(158=0,"-",IF($H$5="1ère quinzaine",INDEX(Paie_MontantHS1,158),IF($H$5="2ème quinzaine",INDEX(Paie_MontantHS2,158),INDEX(Paie_MontantHS,158)))),"")</f>
      </c>
      <c r="H185" s="24">
        <f>IF(AND($B$5="Tous les employés",IFERROR(INDEX(Pointage_ID,158),"")&lt;&gt;""),IF(158=0,"-",IF($H$5="1ère quinzaine",INDEX(Paie_Brut1,158),IF($H$5="2ème quinzaine",INDEX(Paie_Brut2,158),INDEX(Paie_BrutMensuel,158)))),"")</f>
      </c>
      <c r="I185" s="24">
        <f>IF(AND($B$5="Tous les employés",IFERROR(INDEX(Pointage_ID,158),"")&lt;&gt;""),IF(158=0,"-",IF($H$5="1ère quinzaine",INDEX(Paie_Retenues1,158),IF($H$5="2ème quinzaine",INDEX(Paie_Retenues2,158),INDEX(Paie_Retenues,158)))),"")</f>
      </c>
      <c r="J185" s="25">
        <f>IF(AND($B$5="Tous les employés",IFERROR(INDEX(Pointage_ID,158),"")&lt;&gt;""),IF(158=0,"-",IF($H$5="1ère quinzaine",INDEX(Paie_Net1,158),IF($H$5="2ème quinzaine",INDEX(Paie_Net2,158),INDEX(Paie_NetMensuel,158)))),"")</f>
      </c>
    </row>
    <row r="186">
      <c r="A186" s="20">
        <f>IF(AND($B$5="Tous les employés",IFERROR(INDEX(Pointage_ID,159),"")&lt;&gt;""),IFERROR(INDEX(Pointage_ID,159),""),"")</f>
      </c>
      <c r="B186" s="19">
        <f>IF(AND($B$5="Tous les employés",IFERROR(INDEX(Pointage_ID,159),"")&lt;&gt;""),INDEX(Pointage_Nom,159),"")</f>
      </c>
      <c r="C186" s="20">
        <f>IF(AND($B$5="Tous les employés",IFERROR(INDEX(Pointage_ID,159),"")&lt;&gt;""),INDEX(Pointage_Categorie,159),"")</f>
      </c>
      <c r="D186" s="22">
        <f>IF(AND($B$5="Tous les employés",IFERROR(INDEX(Pointage_ID,159),"")&lt;&gt;""),IF(159=0,"-",IF($H$5="1ère quinzaine",INDEX(Paie_Jours1,159),IF($H$5="2ème quinzaine",INDEX(Paie_Jours2,159),INDEX(Pointage_Travailles,159)))),"")</f>
      </c>
      <c r="E186" s="23">
        <f>IF(AND($B$5="Tous les employés",IFERROR(INDEX(Pointage_ID,159),"")&lt;&gt;""),IF(159=0,"-",IF($H$5="1ère quinzaine",INDEX(Paie_HS1,159),IF($H$5="2ème quinzaine",INDEX(Paie_HS2,159),INDEX(Pointage_HS,159)))),"")</f>
      </c>
      <c r="F186" s="24">
        <f>IF(AND($B$5="Tous les employés",IFERROR(INDEX(Pointage_ID,159),"")&lt;&gt;""),INDEX(Paie_SalaireJour,159),"")</f>
      </c>
      <c r="G186" s="24">
        <f>IF(AND($B$5="Tous les employés",IFERROR(INDEX(Pointage_ID,159),"")&lt;&gt;""),IF(159=0,"-",IF($H$5="1ère quinzaine",INDEX(Paie_MontantHS1,159),IF($H$5="2ème quinzaine",INDEX(Paie_MontantHS2,159),INDEX(Paie_MontantHS,159)))),"")</f>
      </c>
      <c r="H186" s="24">
        <f>IF(AND($B$5="Tous les employés",IFERROR(INDEX(Pointage_ID,159),"")&lt;&gt;""),IF(159=0,"-",IF($H$5="1ère quinzaine",INDEX(Paie_Brut1,159),IF($H$5="2ème quinzaine",INDEX(Paie_Brut2,159),INDEX(Paie_BrutMensuel,159)))),"")</f>
      </c>
      <c r="I186" s="24">
        <f>IF(AND($B$5="Tous les employés",IFERROR(INDEX(Pointage_ID,159),"")&lt;&gt;""),IF(159=0,"-",IF($H$5="1ère quinzaine",INDEX(Paie_Retenues1,159),IF($H$5="2ème quinzaine",INDEX(Paie_Retenues2,159),INDEX(Paie_Retenues,159)))),"")</f>
      </c>
      <c r="J186" s="25">
        <f>IF(AND($B$5="Tous les employés",IFERROR(INDEX(Pointage_ID,159),"")&lt;&gt;""),IF(159=0,"-",IF($H$5="1ère quinzaine",INDEX(Paie_Net1,159),IF($H$5="2ème quinzaine",INDEX(Paie_Net2,159),INDEX(Paie_NetMensuel,159)))),"")</f>
      </c>
    </row>
    <row r="187">
      <c r="A187" s="20">
        <f>IF(AND($B$5="Tous les employés",IFERROR(INDEX(Pointage_ID,160),"")&lt;&gt;""),IFERROR(INDEX(Pointage_ID,160),""),"")</f>
      </c>
      <c r="B187" s="19">
        <f>IF(AND($B$5="Tous les employés",IFERROR(INDEX(Pointage_ID,160),"")&lt;&gt;""),INDEX(Pointage_Nom,160),"")</f>
      </c>
      <c r="C187" s="20">
        <f>IF(AND($B$5="Tous les employés",IFERROR(INDEX(Pointage_ID,160),"")&lt;&gt;""),INDEX(Pointage_Categorie,160),"")</f>
      </c>
      <c r="D187" s="22">
        <f>IF(AND($B$5="Tous les employés",IFERROR(INDEX(Pointage_ID,160),"")&lt;&gt;""),IF(160=0,"-",IF($H$5="1ère quinzaine",INDEX(Paie_Jours1,160),IF($H$5="2ème quinzaine",INDEX(Paie_Jours2,160),INDEX(Pointage_Travailles,160)))),"")</f>
      </c>
      <c r="E187" s="23">
        <f>IF(AND($B$5="Tous les employés",IFERROR(INDEX(Pointage_ID,160),"")&lt;&gt;""),IF(160=0,"-",IF($H$5="1ère quinzaine",INDEX(Paie_HS1,160),IF($H$5="2ème quinzaine",INDEX(Paie_HS2,160),INDEX(Pointage_HS,160)))),"")</f>
      </c>
      <c r="F187" s="24">
        <f>IF(AND($B$5="Tous les employés",IFERROR(INDEX(Pointage_ID,160),"")&lt;&gt;""),INDEX(Paie_SalaireJour,160),"")</f>
      </c>
      <c r="G187" s="24">
        <f>IF(AND($B$5="Tous les employés",IFERROR(INDEX(Pointage_ID,160),"")&lt;&gt;""),IF(160=0,"-",IF($H$5="1ère quinzaine",INDEX(Paie_MontantHS1,160),IF($H$5="2ème quinzaine",INDEX(Paie_MontantHS2,160),INDEX(Paie_MontantHS,160)))),"")</f>
      </c>
      <c r="H187" s="24">
        <f>IF(AND($B$5="Tous les employés",IFERROR(INDEX(Pointage_ID,160),"")&lt;&gt;""),IF(160=0,"-",IF($H$5="1ère quinzaine",INDEX(Paie_Brut1,160),IF($H$5="2ème quinzaine",INDEX(Paie_Brut2,160),INDEX(Paie_BrutMensuel,160)))),"")</f>
      </c>
      <c r="I187" s="24">
        <f>IF(AND($B$5="Tous les employés",IFERROR(INDEX(Pointage_ID,160),"")&lt;&gt;""),IF(160=0,"-",IF($H$5="1ère quinzaine",INDEX(Paie_Retenues1,160),IF($H$5="2ème quinzaine",INDEX(Paie_Retenues2,160),INDEX(Paie_Retenues,160)))),"")</f>
      </c>
      <c r="J187" s="25">
        <f>IF(AND($B$5="Tous les employés",IFERROR(INDEX(Pointage_ID,160),"")&lt;&gt;""),IF(160=0,"-",IF($H$5="1ère quinzaine",INDEX(Paie_Net1,160),IF($H$5="2ème quinzaine",INDEX(Paie_Net2,160),INDEX(Paie_NetMensuel,160)))),"")</f>
      </c>
    </row>
    <row r="188">
      <c r="A188" s="20">
        <f>IF(AND($B$5="Tous les employés",IFERROR(INDEX(Pointage_ID,161),"")&lt;&gt;""),IFERROR(INDEX(Pointage_ID,161),""),"")</f>
      </c>
      <c r="B188" s="19">
        <f>IF(AND($B$5="Tous les employés",IFERROR(INDEX(Pointage_ID,161),"")&lt;&gt;""),INDEX(Pointage_Nom,161),"")</f>
      </c>
      <c r="C188" s="20">
        <f>IF(AND($B$5="Tous les employés",IFERROR(INDEX(Pointage_ID,161),"")&lt;&gt;""),INDEX(Pointage_Categorie,161),"")</f>
      </c>
      <c r="D188" s="22">
        <f>IF(AND($B$5="Tous les employés",IFERROR(INDEX(Pointage_ID,161),"")&lt;&gt;""),IF(161=0,"-",IF($H$5="1ère quinzaine",INDEX(Paie_Jours1,161),IF($H$5="2ème quinzaine",INDEX(Paie_Jours2,161),INDEX(Pointage_Travailles,161)))),"")</f>
      </c>
      <c r="E188" s="23">
        <f>IF(AND($B$5="Tous les employés",IFERROR(INDEX(Pointage_ID,161),"")&lt;&gt;""),IF(161=0,"-",IF($H$5="1ère quinzaine",INDEX(Paie_HS1,161),IF($H$5="2ème quinzaine",INDEX(Paie_HS2,161),INDEX(Pointage_HS,161)))),"")</f>
      </c>
      <c r="F188" s="24">
        <f>IF(AND($B$5="Tous les employés",IFERROR(INDEX(Pointage_ID,161),"")&lt;&gt;""),INDEX(Paie_SalaireJour,161),"")</f>
      </c>
      <c r="G188" s="24">
        <f>IF(AND($B$5="Tous les employés",IFERROR(INDEX(Pointage_ID,161),"")&lt;&gt;""),IF(161=0,"-",IF($H$5="1ère quinzaine",INDEX(Paie_MontantHS1,161),IF($H$5="2ème quinzaine",INDEX(Paie_MontantHS2,161),INDEX(Paie_MontantHS,161)))),"")</f>
      </c>
      <c r="H188" s="24">
        <f>IF(AND($B$5="Tous les employés",IFERROR(INDEX(Pointage_ID,161),"")&lt;&gt;""),IF(161=0,"-",IF($H$5="1ère quinzaine",INDEX(Paie_Brut1,161),IF($H$5="2ème quinzaine",INDEX(Paie_Brut2,161),INDEX(Paie_BrutMensuel,161)))),"")</f>
      </c>
      <c r="I188" s="24">
        <f>IF(AND($B$5="Tous les employés",IFERROR(INDEX(Pointage_ID,161),"")&lt;&gt;""),IF(161=0,"-",IF($H$5="1ère quinzaine",INDEX(Paie_Retenues1,161),IF($H$5="2ème quinzaine",INDEX(Paie_Retenues2,161),INDEX(Paie_Retenues,161)))),"")</f>
      </c>
      <c r="J188" s="25">
        <f>IF(AND($B$5="Tous les employés",IFERROR(INDEX(Pointage_ID,161),"")&lt;&gt;""),IF(161=0,"-",IF($H$5="1ère quinzaine",INDEX(Paie_Net1,161),IF($H$5="2ème quinzaine",INDEX(Paie_Net2,161),INDEX(Paie_NetMensuel,161)))),"")</f>
      </c>
    </row>
    <row r="189">
      <c r="A189" s="20">
        <f>IF(AND($B$5="Tous les employés",IFERROR(INDEX(Pointage_ID,162),"")&lt;&gt;""),IFERROR(INDEX(Pointage_ID,162),""),"")</f>
      </c>
      <c r="B189" s="19">
        <f>IF(AND($B$5="Tous les employés",IFERROR(INDEX(Pointage_ID,162),"")&lt;&gt;""),INDEX(Pointage_Nom,162),"")</f>
      </c>
      <c r="C189" s="20">
        <f>IF(AND($B$5="Tous les employés",IFERROR(INDEX(Pointage_ID,162),"")&lt;&gt;""),INDEX(Pointage_Categorie,162),"")</f>
      </c>
      <c r="D189" s="22">
        <f>IF(AND($B$5="Tous les employés",IFERROR(INDEX(Pointage_ID,162),"")&lt;&gt;""),IF(162=0,"-",IF($H$5="1ère quinzaine",INDEX(Paie_Jours1,162),IF($H$5="2ème quinzaine",INDEX(Paie_Jours2,162),INDEX(Pointage_Travailles,162)))),"")</f>
      </c>
      <c r="E189" s="23">
        <f>IF(AND($B$5="Tous les employés",IFERROR(INDEX(Pointage_ID,162),"")&lt;&gt;""),IF(162=0,"-",IF($H$5="1ère quinzaine",INDEX(Paie_HS1,162),IF($H$5="2ème quinzaine",INDEX(Paie_HS2,162),INDEX(Pointage_HS,162)))),"")</f>
      </c>
      <c r="F189" s="24">
        <f>IF(AND($B$5="Tous les employés",IFERROR(INDEX(Pointage_ID,162),"")&lt;&gt;""),INDEX(Paie_SalaireJour,162),"")</f>
      </c>
      <c r="G189" s="24">
        <f>IF(AND($B$5="Tous les employés",IFERROR(INDEX(Pointage_ID,162),"")&lt;&gt;""),IF(162=0,"-",IF($H$5="1ère quinzaine",INDEX(Paie_MontantHS1,162),IF($H$5="2ème quinzaine",INDEX(Paie_MontantHS2,162),INDEX(Paie_MontantHS,162)))),"")</f>
      </c>
      <c r="H189" s="24">
        <f>IF(AND($B$5="Tous les employés",IFERROR(INDEX(Pointage_ID,162),"")&lt;&gt;""),IF(162=0,"-",IF($H$5="1ère quinzaine",INDEX(Paie_Brut1,162),IF($H$5="2ème quinzaine",INDEX(Paie_Brut2,162),INDEX(Paie_BrutMensuel,162)))),"")</f>
      </c>
      <c r="I189" s="24">
        <f>IF(AND($B$5="Tous les employés",IFERROR(INDEX(Pointage_ID,162),"")&lt;&gt;""),IF(162=0,"-",IF($H$5="1ère quinzaine",INDEX(Paie_Retenues1,162),IF($H$5="2ème quinzaine",INDEX(Paie_Retenues2,162),INDEX(Paie_Retenues,162)))),"")</f>
      </c>
      <c r="J189" s="25">
        <f>IF(AND($B$5="Tous les employés",IFERROR(INDEX(Pointage_ID,162),"")&lt;&gt;""),IF(162=0,"-",IF($H$5="1ère quinzaine",INDEX(Paie_Net1,162),IF($H$5="2ème quinzaine",INDEX(Paie_Net2,162),INDEX(Paie_NetMensuel,162)))),"")</f>
      </c>
    </row>
    <row r="190">
      <c r="A190" s="20">
        <f>IF(AND($B$5="Tous les employés",IFERROR(INDEX(Pointage_ID,163),"")&lt;&gt;""),IFERROR(INDEX(Pointage_ID,163),""),"")</f>
      </c>
      <c r="B190" s="19">
        <f>IF(AND($B$5="Tous les employés",IFERROR(INDEX(Pointage_ID,163),"")&lt;&gt;""),INDEX(Pointage_Nom,163),"")</f>
      </c>
      <c r="C190" s="20">
        <f>IF(AND($B$5="Tous les employés",IFERROR(INDEX(Pointage_ID,163),"")&lt;&gt;""),INDEX(Pointage_Categorie,163),"")</f>
      </c>
      <c r="D190" s="22">
        <f>IF(AND($B$5="Tous les employés",IFERROR(INDEX(Pointage_ID,163),"")&lt;&gt;""),IF(163=0,"-",IF($H$5="1ère quinzaine",INDEX(Paie_Jours1,163),IF($H$5="2ème quinzaine",INDEX(Paie_Jours2,163),INDEX(Pointage_Travailles,163)))),"")</f>
      </c>
      <c r="E190" s="23">
        <f>IF(AND($B$5="Tous les employés",IFERROR(INDEX(Pointage_ID,163),"")&lt;&gt;""),IF(163=0,"-",IF($H$5="1ère quinzaine",INDEX(Paie_HS1,163),IF($H$5="2ème quinzaine",INDEX(Paie_HS2,163),INDEX(Pointage_HS,163)))),"")</f>
      </c>
      <c r="F190" s="24">
        <f>IF(AND($B$5="Tous les employés",IFERROR(INDEX(Pointage_ID,163),"")&lt;&gt;""),INDEX(Paie_SalaireJour,163),"")</f>
      </c>
      <c r="G190" s="24">
        <f>IF(AND($B$5="Tous les employés",IFERROR(INDEX(Pointage_ID,163),"")&lt;&gt;""),IF(163=0,"-",IF($H$5="1ère quinzaine",INDEX(Paie_MontantHS1,163),IF($H$5="2ème quinzaine",INDEX(Paie_MontantHS2,163),INDEX(Paie_MontantHS,163)))),"")</f>
      </c>
      <c r="H190" s="24">
        <f>IF(AND($B$5="Tous les employés",IFERROR(INDEX(Pointage_ID,163),"")&lt;&gt;""),IF(163=0,"-",IF($H$5="1ère quinzaine",INDEX(Paie_Brut1,163),IF($H$5="2ème quinzaine",INDEX(Paie_Brut2,163),INDEX(Paie_BrutMensuel,163)))),"")</f>
      </c>
      <c r="I190" s="24">
        <f>IF(AND($B$5="Tous les employés",IFERROR(INDEX(Pointage_ID,163),"")&lt;&gt;""),IF(163=0,"-",IF($H$5="1ère quinzaine",INDEX(Paie_Retenues1,163),IF($H$5="2ème quinzaine",INDEX(Paie_Retenues2,163),INDEX(Paie_Retenues,163)))),"")</f>
      </c>
      <c r="J190" s="25">
        <f>IF(AND($B$5="Tous les employés",IFERROR(INDEX(Pointage_ID,163),"")&lt;&gt;""),IF(163=0,"-",IF($H$5="1ère quinzaine",INDEX(Paie_Net1,163),IF($H$5="2ème quinzaine",INDEX(Paie_Net2,163),INDEX(Paie_NetMensuel,163)))),"")</f>
      </c>
    </row>
    <row r="191">
      <c r="A191" s="20">
        <f>IF(AND($B$5="Tous les employés",IFERROR(INDEX(Pointage_ID,164),"")&lt;&gt;""),IFERROR(INDEX(Pointage_ID,164),""),"")</f>
      </c>
      <c r="B191" s="19">
        <f>IF(AND($B$5="Tous les employés",IFERROR(INDEX(Pointage_ID,164),"")&lt;&gt;""),INDEX(Pointage_Nom,164),"")</f>
      </c>
      <c r="C191" s="20">
        <f>IF(AND($B$5="Tous les employés",IFERROR(INDEX(Pointage_ID,164),"")&lt;&gt;""),INDEX(Pointage_Categorie,164),"")</f>
      </c>
      <c r="D191" s="22">
        <f>IF(AND($B$5="Tous les employés",IFERROR(INDEX(Pointage_ID,164),"")&lt;&gt;""),IF(164=0,"-",IF($H$5="1ère quinzaine",INDEX(Paie_Jours1,164),IF($H$5="2ème quinzaine",INDEX(Paie_Jours2,164),INDEX(Pointage_Travailles,164)))),"")</f>
      </c>
      <c r="E191" s="23">
        <f>IF(AND($B$5="Tous les employés",IFERROR(INDEX(Pointage_ID,164),"")&lt;&gt;""),IF(164=0,"-",IF($H$5="1ère quinzaine",INDEX(Paie_HS1,164),IF($H$5="2ème quinzaine",INDEX(Paie_HS2,164),INDEX(Pointage_HS,164)))),"")</f>
      </c>
      <c r="F191" s="24">
        <f>IF(AND($B$5="Tous les employés",IFERROR(INDEX(Pointage_ID,164),"")&lt;&gt;""),INDEX(Paie_SalaireJour,164),"")</f>
      </c>
      <c r="G191" s="24">
        <f>IF(AND($B$5="Tous les employés",IFERROR(INDEX(Pointage_ID,164),"")&lt;&gt;""),IF(164=0,"-",IF($H$5="1ère quinzaine",INDEX(Paie_MontantHS1,164),IF($H$5="2ème quinzaine",INDEX(Paie_MontantHS2,164),INDEX(Paie_MontantHS,164)))),"")</f>
      </c>
      <c r="H191" s="24">
        <f>IF(AND($B$5="Tous les employés",IFERROR(INDEX(Pointage_ID,164),"")&lt;&gt;""),IF(164=0,"-",IF($H$5="1ère quinzaine",INDEX(Paie_Brut1,164),IF($H$5="2ème quinzaine",INDEX(Paie_Brut2,164),INDEX(Paie_BrutMensuel,164)))),"")</f>
      </c>
      <c r="I191" s="24">
        <f>IF(AND($B$5="Tous les employés",IFERROR(INDEX(Pointage_ID,164),"")&lt;&gt;""),IF(164=0,"-",IF($H$5="1ère quinzaine",INDEX(Paie_Retenues1,164),IF($H$5="2ème quinzaine",INDEX(Paie_Retenues2,164),INDEX(Paie_Retenues,164)))),"")</f>
      </c>
      <c r="J191" s="25">
        <f>IF(AND($B$5="Tous les employés",IFERROR(INDEX(Pointage_ID,164),"")&lt;&gt;""),IF(164=0,"-",IF($H$5="1ère quinzaine",INDEX(Paie_Net1,164),IF($H$5="2ème quinzaine",INDEX(Paie_Net2,164),INDEX(Paie_NetMensuel,164)))),"")</f>
      </c>
    </row>
    <row r="192">
      <c r="A192" s="20">
        <f>IF(AND($B$5="Tous les employés",IFERROR(INDEX(Pointage_ID,165),"")&lt;&gt;""),IFERROR(INDEX(Pointage_ID,165),""),"")</f>
      </c>
      <c r="B192" s="19">
        <f>IF(AND($B$5="Tous les employés",IFERROR(INDEX(Pointage_ID,165),"")&lt;&gt;""),INDEX(Pointage_Nom,165),"")</f>
      </c>
      <c r="C192" s="20">
        <f>IF(AND($B$5="Tous les employés",IFERROR(INDEX(Pointage_ID,165),"")&lt;&gt;""),INDEX(Pointage_Categorie,165),"")</f>
      </c>
      <c r="D192" s="22">
        <f>IF(AND($B$5="Tous les employés",IFERROR(INDEX(Pointage_ID,165),"")&lt;&gt;""),IF(165=0,"-",IF($H$5="1ère quinzaine",INDEX(Paie_Jours1,165),IF($H$5="2ème quinzaine",INDEX(Paie_Jours2,165),INDEX(Pointage_Travailles,165)))),"")</f>
      </c>
      <c r="E192" s="23">
        <f>IF(AND($B$5="Tous les employés",IFERROR(INDEX(Pointage_ID,165),"")&lt;&gt;""),IF(165=0,"-",IF($H$5="1ère quinzaine",INDEX(Paie_HS1,165),IF($H$5="2ème quinzaine",INDEX(Paie_HS2,165),INDEX(Pointage_HS,165)))),"")</f>
      </c>
      <c r="F192" s="24">
        <f>IF(AND($B$5="Tous les employés",IFERROR(INDEX(Pointage_ID,165),"")&lt;&gt;""),INDEX(Paie_SalaireJour,165),"")</f>
      </c>
      <c r="G192" s="24">
        <f>IF(AND($B$5="Tous les employés",IFERROR(INDEX(Pointage_ID,165),"")&lt;&gt;""),IF(165=0,"-",IF($H$5="1ère quinzaine",INDEX(Paie_MontantHS1,165),IF($H$5="2ème quinzaine",INDEX(Paie_MontantHS2,165),INDEX(Paie_MontantHS,165)))),"")</f>
      </c>
      <c r="H192" s="24">
        <f>IF(AND($B$5="Tous les employés",IFERROR(INDEX(Pointage_ID,165),"")&lt;&gt;""),IF(165=0,"-",IF($H$5="1ère quinzaine",INDEX(Paie_Brut1,165),IF($H$5="2ème quinzaine",INDEX(Paie_Brut2,165),INDEX(Paie_BrutMensuel,165)))),"")</f>
      </c>
      <c r="I192" s="24">
        <f>IF(AND($B$5="Tous les employés",IFERROR(INDEX(Pointage_ID,165),"")&lt;&gt;""),IF(165=0,"-",IF($H$5="1ère quinzaine",INDEX(Paie_Retenues1,165),IF($H$5="2ème quinzaine",INDEX(Paie_Retenues2,165),INDEX(Paie_Retenues,165)))),"")</f>
      </c>
      <c r="J192" s="25">
        <f>IF(AND($B$5="Tous les employés",IFERROR(INDEX(Pointage_ID,165),"")&lt;&gt;""),IF(165=0,"-",IF($H$5="1ère quinzaine",INDEX(Paie_Net1,165),IF($H$5="2ème quinzaine",INDEX(Paie_Net2,165),INDEX(Paie_NetMensuel,165)))),"")</f>
      </c>
    </row>
    <row r="193">
      <c r="A193" s="20">
        <f>IF(AND($B$5="Tous les employés",IFERROR(INDEX(Pointage_ID,166),"")&lt;&gt;""),IFERROR(INDEX(Pointage_ID,166),""),"")</f>
      </c>
      <c r="B193" s="19">
        <f>IF(AND($B$5="Tous les employés",IFERROR(INDEX(Pointage_ID,166),"")&lt;&gt;""),INDEX(Pointage_Nom,166),"")</f>
      </c>
      <c r="C193" s="20">
        <f>IF(AND($B$5="Tous les employés",IFERROR(INDEX(Pointage_ID,166),"")&lt;&gt;""),INDEX(Pointage_Categorie,166),"")</f>
      </c>
      <c r="D193" s="22">
        <f>IF(AND($B$5="Tous les employés",IFERROR(INDEX(Pointage_ID,166),"")&lt;&gt;""),IF(166=0,"-",IF($H$5="1ère quinzaine",INDEX(Paie_Jours1,166),IF($H$5="2ème quinzaine",INDEX(Paie_Jours2,166),INDEX(Pointage_Travailles,166)))),"")</f>
      </c>
      <c r="E193" s="23">
        <f>IF(AND($B$5="Tous les employés",IFERROR(INDEX(Pointage_ID,166),"")&lt;&gt;""),IF(166=0,"-",IF($H$5="1ère quinzaine",INDEX(Paie_HS1,166),IF($H$5="2ème quinzaine",INDEX(Paie_HS2,166),INDEX(Pointage_HS,166)))),"")</f>
      </c>
      <c r="F193" s="24">
        <f>IF(AND($B$5="Tous les employés",IFERROR(INDEX(Pointage_ID,166),"")&lt;&gt;""),INDEX(Paie_SalaireJour,166),"")</f>
      </c>
      <c r="G193" s="24">
        <f>IF(AND($B$5="Tous les employés",IFERROR(INDEX(Pointage_ID,166),"")&lt;&gt;""),IF(166=0,"-",IF($H$5="1ère quinzaine",INDEX(Paie_MontantHS1,166),IF($H$5="2ème quinzaine",INDEX(Paie_MontantHS2,166),INDEX(Paie_MontantHS,166)))),"")</f>
      </c>
      <c r="H193" s="24">
        <f>IF(AND($B$5="Tous les employés",IFERROR(INDEX(Pointage_ID,166),"")&lt;&gt;""),IF(166=0,"-",IF($H$5="1ère quinzaine",INDEX(Paie_Brut1,166),IF($H$5="2ème quinzaine",INDEX(Paie_Brut2,166),INDEX(Paie_BrutMensuel,166)))),"")</f>
      </c>
      <c r="I193" s="24">
        <f>IF(AND($B$5="Tous les employés",IFERROR(INDEX(Pointage_ID,166),"")&lt;&gt;""),IF(166=0,"-",IF($H$5="1ère quinzaine",INDEX(Paie_Retenues1,166),IF($H$5="2ème quinzaine",INDEX(Paie_Retenues2,166),INDEX(Paie_Retenues,166)))),"")</f>
      </c>
      <c r="J193" s="25">
        <f>IF(AND($B$5="Tous les employés",IFERROR(INDEX(Pointage_ID,166),"")&lt;&gt;""),IF(166=0,"-",IF($H$5="1ère quinzaine",INDEX(Paie_Net1,166),IF($H$5="2ème quinzaine",INDEX(Paie_Net2,166),INDEX(Paie_NetMensuel,166)))),"")</f>
      </c>
    </row>
    <row r="194">
      <c r="A194" s="20">
        <f>IF(AND($B$5="Tous les employés",IFERROR(INDEX(Pointage_ID,167),"")&lt;&gt;""),IFERROR(INDEX(Pointage_ID,167),""),"")</f>
      </c>
      <c r="B194" s="19">
        <f>IF(AND($B$5="Tous les employés",IFERROR(INDEX(Pointage_ID,167),"")&lt;&gt;""),INDEX(Pointage_Nom,167),"")</f>
      </c>
      <c r="C194" s="20">
        <f>IF(AND($B$5="Tous les employés",IFERROR(INDEX(Pointage_ID,167),"")&lt;&gt;""),INDEX(Pointage_Categorie,167),"")</f>
      </c>
      <c r="D194" s="22">
        <f>IF(AND($B$5="Tous les employés",IFERROR(INDEX(Pointage_ID,167),"")&lt;&gt;""),IF(167=0,"-",IF($H$5="1ère quinzaine",INDEX(Paie_Jours1,167),IF($H$5="2ème quinzaine",INDEX(Paie_Jours2,167),INDEX(Pointage_Travailles,167)))),"")</f>
      </c>
      <c r="E194" s="23">
        <f>IF(AND($B$5="Tous les employés",IFERROR(INDEX(Pointage_ID,167),"")&lt;&gt;""),IF(167=0,"-",IF($H$5="1ère quinzaine",INDEX(Paie_HS1,167),IF($H$5="2ème quinzaine",INDEX(Paie_HS2,167),INDEX(Pointage_HS,167)))),"")</f>
      </c>
      <c r="F194" s="24">
        <f>IF(AND($B$5="Tous les employés",IFERROR(INDEX(Pointage_ID,167),"")&lt;&gt;""),INDEX(Paie_SalaireJour,167),"")</f>
      </c>
      <c r="G194" s="24">
        <f>IF(AND($B$5="Tous les employés",IFERROR(INDEX(Pointage_ID,167),"")&lt;&gt;""),IF(167=0,"-",IF($H$5="1ère quinzaine",INDEX(Paie_MontantHS1,167),IF($H$5="2ème quinzaine",INDEX(Paie_MontantHS2,167),INDEX(Paie_MontantHS,167)))),"")</f>
      </c>
      <c r="H194" s="24">
        <f>IF(AND($B$5="Tous les employés",IFERROR(INDEX(Pointage_ID,167),"")&lt;&gt;""),IF(167=0,"-",IF($H$5="1ère quinzaine",INDEX(Paie_Brut1,167),IF($H$5="2ème quinzaine",INDEX(Paie_Brut2,167),INDEX(Paie_BrutMensuel,167)))),"")</f>
      </c>
      <c r="I194" s="24">
        <f>IF(AND($B$5="Tous les employés",IFERROR(INDEX(Pointage_ID,167),"")&lt;&gt;""),IF(167=0,"-",IF($H$5="1ère quinzaine",INDEX(Paie_Retenues1,167),IF($H$5="2ème quinzaine",INDEX(Paie_Retenues2,167),INDEX(Paie_Retenues,167)))),"")</f>
      </c>
      <c r="J194" s="25">
        <f>IF(AND($B$5="Tous les employés",IFERROR(INDEX(Pointage_ID,167),"")&lt;&gt;""),IF(167=0,"-",IF($H$5="1ère quinzaine",INDEX(Paie_Net1,167),IF($H$5="2ème quinzaine",INDEX(Paie_Net2,167),INDEX(Paie_NetMensuel,167)))),"")</f>
      </c>
    </row>
    <row r="195">
      <c r="A195" s="20">
        <f>IF(AND($B$5="Tous les employés",IFERROR(INDEX(Pointage_ID,168),"")&lt;&gt;""),IFERROR(INDEX(Pointage_ID,168),""),"")</f>
      </c>
      <c r="B195" s="19">
        <f>IF(AND($B$5="Tous les employés",IFERROR(INDEX(Pointage_ID,168),"")&lt;&gt;""),INDEX(Pointage_Nom,168),"")</f>
      </c>
      <c r="C195" s="20">
        <f>IF(AND($B$5="Tous les employés",IFERROR(INDEX(Pointage_ID,168),"")&lt;&gt;""),INDEX(Pointage_Categorie,168),"")</f>
      </c>
      <c r="D195" s="22">
        <f>IF(AND($B$5="Tous les employés",IFERROR(INDEX(Pointage_ID,168),"")&lt;&gt;""),IF(168=0,"-",IF($H$5="1ère quinzaine",INDEX(Paie_Jours1,168),IF($H$5="2ème quinzaine",INDEX(Paie_Jours2,168),INDEX(Pointage_Travailles,168)))),"")</f>
      </c>
      <c r="E195" s="23">
        <f>IF(AND($B$5="Tous les employés",IFERROR(INDEX(Pointage_ID,168),"")&lt;&gt;""),IF(168=0,"-",IF($H$5="1ère quinzaine",INDEX(Paie_HS1,168),IF($H$5="2ème quinzaine",INDEX(Paie_HS2,168),INDEX(Pointage_HS,168)))),"")</f>
      </c>
      <c r="F195" s="24">
        <f>IF(AND($B$5="Tous les employés",IFERROR(INDEX(Pointage_ID,168),"")&lt;&gt;""),INDEX(Paie_SalaireJour,168),"")</f>
      </c>
      <c r="G195" s="24">
        <f>IF(AND($B$5="Tous les employés",IFERROR(INDEX(Pointage_ID,168),"")&lt;&gt;""),IF(168=0,"-",IF($H$5="1ère quinzaine",INDEX(Paie_MontantHS1,168),IF($H$5="2ème quinzaine",INDEX(Paie_MontantHS2,168),INDEX(Paie_MontantHS,168)))),"")</f>
      </c>
      <c r="H195" s="24">
        <f>IF(AND($B$5="Tous les employés",IFERROR(INDEX(Pointage_ID,168),"")&lt;&gt;""),IF(168=0,"-",IF($H$5="1ère quinzaine",INDEX(Paie_Brut1,168),IF($H$5="2ème quinzaine",INDEX(Paie_Brut2,168),INDEX(Paie_BrutMensuel,168)))),"")</f>
      </c>
      <c r="I195" s="24">
        <f>IF(AND($B$5="Tous les employés",IFERROR(INDEX(Pointage_ID,168),"")&lt;&gt;""),IF(168=0,"-",IF($H$5="1ère quinzaine",INDEX(Paie_Retenues1,168),IF($H$5="2ème quinzaine",INDEX(Paie_Retenues2,168),INDEX(Paie_Retenues,168)))),"")</f>
      </c>
      <c r="J195" s="25">
        <f>IF(AND($B$5="Tous les employés",IFERROR(INDEX(Pointage_ID,168),"")&lt;&gt;""),IF(168=0,"-",IF($H$5="1ère quinzaine",INDEX(Paie_Net1,168),IF($H$5="2ème quinzaine",INDEX(Paie_Net2,168),INDEX(Paie_NetMensuel,168)))),"")</f>
      </c>
    </row>
    <row r="196">
      <c r="A196" s="20">
        <f>IF(AND($B$5="Tous les employés",IFERROR(INDEX(Pointage_ID,169),"")&lt;&gt;""),IFERROR(INDEX(Pointage_ID,169),""),"")</f>
      </c>
      <c r="B196" s="19">
        <f>IF(AND($B$5="Tous les employés",IFERROR(INDEX(Pointage_ID,169),"")&lt;&gt;""),INDEX(Pointage_Nom,169),"")</f>
      </c>
      <c r="C196" s="20">
        <f>IF(AND($B$5="Tous les employés",IFERROR(INDEX(Pointage_ID,169),"")&lt;&gt;""),INDEX(Pointage_Categorie,169),"")</f>
      </c>
      <c r="D196" s="22">
        <f>IF(AND($B$5="Tous les employés",IFERROR(INDEX(Pointage_ID,169),"")&lt;&gt;""),IF(169=0,"-",IF($H$5="1ère quinzaine",INDEX(Paie_Jours1,169),IF($H$5="2ème quinzaine",INDEX(Paie_Jours2,169),INDEX(Pointage_Travailles,169)))),"")</f>
      </c>
      <c r="E196" s="23">
        <f>IF(AND($B$5="Tous les employés",IFERROR(INDEX(Pointage_ID,169),"")&lt;&gt;""),IF(169=0,"-",IF($H$5="1ère quinzaine",INDEX(Paie_HS1,169),IF($H$5="2ème quinzaine",INDEX(Paie_HS2,169),INDEX(Pointage_HS,169)))),"")</f>
      </c>
      <c r="F196" s="24">
        <f>IF(AND($B$5="Tous les employés",IFERROR(INDEX(Pointage_ID,169),"")&lt;&gt;""),INDEX(Paie_SalaireJour,169),"")</f>
      </c>
      <c r="G196" s="24">
        <f>IF(AND($B$5="Tous les employés",IFERROR(INDEX(Pointage_ID,169),"")&lt;&gt;""),IF(169=0,"-",IF($H$5="1ère quinzaine",INDEX(Paie_MontantHS1,169),IF($H$5="2ème quinzaine",INDEX(Paie_MontantHS2,169),INDEX(Paie_MontantHS,169)))),"")</f>
      </c>
      <c r="H196" s="24">
        <f>IF(AND($B$5="Tous les employés",IFERROR(INDEX(Pointage_ID,169),"")&lt;&gt;""),IF(169=0,"-",IF($H$5="1ère quinzaine",INDEX(Paie_Brut1,169),IF($H$5="2ème quinzaine",INDEX(Paie_Brut2,169),INDEX(Paie_BrutMensuel,169)))),"")</f>
      </c>
      <c r="I196" s="24">
        <f>IF(AND($B$5="Tous les employés",IFERROR(INDEX(Pointage_ID,169),"")&lt;&gt;""),IF(169=0,"-",IF($H$5="1ère quinzaine",INDEX(Paie_Retenues1,169),IF($H$5="2ème quinzaine",INDEX(Paie_Retenues2,169),INDEX(Paie_Retenues,169)))),"")</f>
      </c>
      <c r="J196" s="25">
        <f>IF(AND($B$5="Tous les employés",IFERROR(INDEX(Pointage_ID,169),"")&lt;&gt;""),IF(169=0,"-",IF($H$5="1ère quinzaine",INDEX(Paie_Net1,169),IF($H$5="2ème quinzaine",INDEX(Paie_Net2,169),INDEX(Paie_NetMensuel,169)))),"")</f>
      </c>
    </row>
    <row r="197">
      <c r="A197" s="20">
        <f>IF(AND($B$5="Tous les employés",IFERROR(INDEX(Pointage_ID,170),"")&lt;&gt;""),IFERROR(INDEX(Pointage_ID,170),""),"")</f>
      </c>
      <c r="B197" s="19">
        <f>IF(AND($B$5="Tous les employés",IFERROR(INDEX(Pointage_ID,170),"")&lt;&gt;""),INDEX(Pointage_Nom,170),"")</f>
      </c>
      <c r="C197" s="20">
        <f>IF(AND($B$5="Tous les employés",IFERROR(INDEX(Pointage_ID,170),"")&lt;&gt;""),INDEX(Pointage_Categorie,170),"")</f>
      </c>
      <c r="D197" s="22">
        <f>IF(AND($B$5="Tous les employés",IFERROR(INDEX(Pointage_ID,170),"")&lt;&gt;""),IF(170=0,"-",IF($H$5="1ère quinzaine",INDEX(Paie_Jours1,170),IF($H$5="2ème quinzaine",INDEX(Paie_Jours2,170),INDEX(Pointage_Travailles,170)))),"")</f>
      </c>
      <c r="E197" s="23">
        <f>IF(AND($B$5="Tous les employés",IFERROR(INDEX(Pointage_ID,170),"")&lt;&gt;""),IF(170=0,"-",IF($H$5="1ère quinzaine",INDEX(Paie_HS1,170),IF($H$5="2ème quinzaine",INDEX(Paie_HS2,170),INDEX(Pointage_HS,170)))),"")</f>
      </c>
      <c r="F197" s="24">
        <f>IF(AND($B$5="Tous les employés",IFERROR(INDEX(Pointage_ID,170),"")&lt;&gt;""),INDEX(Paie_SalaireJour,170),"")</f>
      </c>
      <c r="G197" s="24">
        <f>IF(AND($B$5="Tous les employés",IFERROR(INDEX(Pointage_ID,170),"")&lt;&gt;""),IF(170=0,"-",IF($H$5="1ère quinzaine",INDEX(Paie_MontantHS1,170),IF($H$5="2ème quinzaine",INDEX(Paie_MontantHS2,170),INDEX(Paie_MontantHS,170)))),"")</f>
      </c>
      <c r="H197" s="24">
        <f>IF(AND($B$5="Tous les employés",IFERROR(INDEX(Pointage_ID,170),"")&lt;&gt;""),IF(170=0,"-",IF($H$5="1ère quinzaine",INDEX(Paie_Brut1,170),IF($H$5="2ème quinzaine",INDEX(Paie_Brut2,170),INDEX(Paie_BrutMensuel,170)))),"")</f>
      </c>
      <c r="I197" s="24">
        <f>IF(AND($B$5="Tous les employés",IFERROR(INDEX(Pointage_ID,170),"")&lt;&gt;""),IF(170=0,"-",IF($H$5="1ère quinzaine",INDEX(Paie_Retenues1,170),IF($H$5="2ème quinzaine",INDEX(Paie_Retenues2,170),INDEX(Paie_Retenues,170)))),"")</f>
      </c>
      <c r="J197" s="25">
        <f>IF(AND($B$5="Tous les employés",IFERROR(INDEX(Pointage_ID,170),"")&lt;&gt;""),IF(170=0,"-",IF($H$5="1ère quinzaine",INDEX(Paie_Net1,170),IF($H$5="2ème quinzaine",INDEX(Paie_Net2,170),INDEX(Paie_NetMensuel,170)))),"")</f>
      </c>
    </row>
    <row r="198">
      <c r="A198" s="20">
        <f>IF(AND($B$5="Tous les employés",IFERROR(INDEX(Pointage_ID,171),"")&lt;&gt;""),IFERROR(INDEX(Pointage_ID,171),""),"")</f>
      </c>
      <c r="B198" s="19">
        <f>IF(AND($B$5="Tous les employés",IFERROR(INDEX(Pointage_ID,171),"")&lt;&gt;""),INDEX(Pointage_Nom,171),"")</f>
      </c>
      <c r="C198" s="20">
        <f>IF(AND($B$5="Tous les employés",IFERROR(INDEX(Pointage_ID,171),"")&lt;&gt;""),INDEX(Pointage_Categorie,171),"")</f>
      </c>
      <c r="D198" s="22">
        <f>IF(AND($B$5="Tous les employés",IFERROR(INDEX(Pointage_ID,171),"")&lt;&gt;""),IF(171=0,"-",IF($H$5="1ère quinzaine",INDEX(Paie_Jours1,171),IF($H$5="2ème quinzaine",INDEX(Paie_Jours2,171),INDEX(Pointage_Travailles,171)))),"")</f>
      </c>
      <c r="E198" s="23">
        <f>IF(AND($B$5="Tous les employés",IFERROR(INDEX(Pointage_ID,171),"")&lt;&gt;""),IF(171=0,"-",IF($H$5="1ère quinzaine",INDEX(Paie_HS1,171),IF($H$5="2ème quinzaine",INDEX(Paie_HS2,171),INDEX(Pointage_HS,171)))),"")</f>
      </c>
      <c r="F198" s="24">
        <f>IF(AND($B$5="Tous les employés",IFERROR(INDEX(Pointage_ID,171),"")&lt;&gt;""),INDEX(Paie_SalaireJour,171),"")</f>
      </c>
      <c r="G198" s="24">
        <f>IF(AND($B$5="Tous les employés",IFERROR(INDEX(Pointage_ID,171),"")&lt;&gt;""),IF(171=0,"-",IF($H$5="1ère quinzaine",INDEX(Paie_MontantHS1,171),IF($H$5="2ème quinzaine",INDEX(Paie_MontantHS2,171),INDEX(Paie_MontantHS,171)))),"")</f>
      </c>
      <c r="H198" s="24">
        <f>IF(AND($B$5="Tous les employés",IFERROR(INDEX(Pointage_ID,171),"")&lt;&gt;""),IF(171=0,"-",IF($H$5="1ère quinzaine",INDEX(Paie_Brut1,171),IF($H$5="2ème quinzaine",INDEX(Paie_Brut2,171),INDEX(Paie_BrutMensuel,171)))),"")</f>
      </c>
      <c r="I198" s="24">
        <f>IF(AND($B$5="Tous les employés",IFERROR(INDEX(Pointage_ID,171),"")&lt;&gt;""),IF(171=0,"-",IF($H$5="1ère quinzaine",INDEX(Paie_Retenues1,171),IF($H$5="2ème quinzaine",INDEX(Paie_Retenues2,171),INDEX(Paie_Retenues,171)))),"")</f>
      </c>
      <c r="J198" s="25">
        <f>IF(AND($B$5="Tous les employés",IFERROR(INDEX(Pointage_ID,171),"")&lt;&gt;""),IF(171=0,"-",IF($H$5="1ère quinzaine",INDEX(Paie_Net1,171),IF($H$5="2ème quinzaine",INDEX(Paie_Net2,171),INDEX(Paie_NetMensuel,171)))),"")</f>
      </c>
    </row>
    <row r="199">
      <c r="A199" s="20">
        <f>IF(AND($B$5="Tous les employés",IFERROR(INDEX(Pointage_ID,172),"")&lt;&gt;""),IFERROR(INDEX(Pointage_ID,172),""),"")</f>
      </c>
      <c r="B199" s="19">
        <f>IF(AND($B$5="Tous les employés",IFERROR(INDEX(Pointage_ID,172),"")&lt;&gt;""),INDEX(Pointage_Nom,172),"")</f>
      </c>
      <c r="C199" s="20">
        <f>IF(AND($B$5="Tous les employés",IFERROR(INDEX(Pointage_ID,172),"")&lt;&gt;""),INDEX(Pointage_Categorie,172),"")</f>
      </c>
      <c r="D199" s="22">
        <f>IF(AND($B$5="Tous les employés",IFERROR(INDEX(Pointage_ID,172),"")&lt;&gt;""),IF(172=0,"-",IF($H$5="1ère quinzaine",INDEX(Paie_Jours1,172),IF($H$5="2ème quinzaine",INDEX(Paie_Jours2,172),INDEX(Pointage_Travailles,172)))),"")</f>
      </c>
      <c r="E199" s="23">
        <f>IF(AND($B$5="Tous les employés",IFERROR(INDEX(Pointage_ID,172),"")&lt;&gt;""),IF(172=0,"-",IF($H$5="1ère quinzaine",INDEX(Paie_HS1,172),IF($H$5="2ème quinzaine",INDEX(Paie_HS2,172),INDEX(Pointage_HS,172)))),"")</f>
      </c>
      <c r="F199" s="24">
        <f>IF(AND($B$5="Tous les employés",IFERROR(INDEX(Pointage_ID,172),"")&lt;&gt;""),INDEX(Paie_SalaireJour,172),"")</f>
      </c>
      <c r="G199" s="24">
        <f>IF(AND($B$5="Tous les employés",IFERROR(INDEX(Pointage_ID,172),"")&lt;&gt;""),IF(172=0,"-",IF($H$5="1ère quinzaine",INDEX(Paie_MontantHS1,172),IF($H$5="2ème quinzaine",INDEX(Paie_MontantHS2,172),INDEX(Paie_MontantHS,172)))),"")</f>
      </c>
      <c r="H199" s="24">
        <f>IF(AND($B$5="Tous les employés",IFERROR(INDEX(Pointage_ID,172),"")&lt;&gt;""),IF(172=0,"-",IF($H$5="1ère quinzaine",INDEX(Paie_Brut1,172),IF($H$5="2ème quinzaine",INDEX(Paie_Brut2,172),INDEX(Paie_BrutMensuel,172)))),"")</f>
      </c>
      <c r="I199" s="24">
        <f>IF(AND($B$5="Tous les employés",IFERROR(INDEX(Pointage_ID,172),"")&lt;&gt;""),IF(172=0,"-",IF($H$5="1ère quinzaine",INDEX(Paie_Retenues1,172),IF($H$5="2ème quinzaine",INDEX(Paie_Retenues2,172),INDEX(Paie_Retenues,172)))),"")</f>
      </c>
      <c r="J199" s="25">
        <f>IF(AND($B$5="Tous les employés",IFERROR(INDEX(Pointage_ID,172),"")&lt;&gt;""),IF(172=0,"-",IF($H$5="1ère quinzaine",INDEX(Paie_Net1,172),IF($H$5="2ème quinzaine",INDEX(Paie_Net2,172),INDEX(Paie_NetMensuel,172)))),"")</f>
      </c>
    </row>
    <row r="200">
      <c r="A200" s="20">
        <f>IF(AND($B$5="Tous les employés",IFERROR(INDEX(Pointage_ID,173),"")&lt;&gt;""),IFERROR(INDEX(Pointage_ID,173),""),"")</f>
      </c>
      <c r="B200" s="19">
        <f>IF(AND($B$5="Tous les employés",IFERROR(INDEX(Pointage_ID,173),"")&lt;&gt;""),INDEX(Pointage_Nom,173),"")</f>
      </c>
      <c r="C200" s="20">
        <f>IF(AND($B$5="Tous les employés",IFERROR(INDEX(Pointage_ID,173),"")&lt;&gt;""),INDEX(Pointage_Categorie,173),"")</f>
      </c>
      <c r="D200" s="22">
        <f>IF(AND($B$5="Tous les employés",IFERROR(INDEX(Pointage_ID,173),"")&lt;&gt;""),IF(173=0,"-",IF($H$5="1ère quinzaine",INDEX(Paie_Jours1,173),IF($H$5="2ème quinzaine",INDEX(Paie_Jours2,173),INDEX(Pointage_Travailles,173)))),"")</f>
      </c>
      <c r="E200" s="23">
        <f>IF(AND($B$5="Tous les employés",IFERROR(INDEX(Pointage_ID,173),"")&lt;&gt;""),IF(173=0,"-",IF($H$5="1ère quinzaine",INDEX(Paie_HS1,173),IF($H$5="2ème quinzaine",INDEX(Paie_HS2,173),INDEX(Pointage_HS,173)))),"")</f>
      </c>
      <c r="F200" s="24">
        <f>IF(AND($B$5="Tous les employés",IFERROR(INDEX(Pointage_ID,173),"")&lt;&gt;""),INDEX(Paie_SalaireJour,173),"")</f>
      </c>
      <c r="G200" s="24">
        <f>IF(AND($B$5="Tous les employés",IFERROR(INDEX(Pointage_ID,173),"")&lt;&gt;""),IF(173=0,"-",IF($H$5="1ère quinzaine",INDEX(Paie_MontantHS1,173),IF($H$5="2ème quinzaine",INDEX(Paie_MontantHS2,173),INDEX(Paie_MontantHS,173)))),"")</f>
      </c>
      <c r="H200" s="24">
        <f>IF(AND($B$5="Tous les employés",IFERROR(INDEX(Pointage_ID,173),"")&lt;&gt;""),IF(173=0,"-",IF($H$5="1ère quinzaine",INDEX(Paie_Brut1,173),IF($H$5="2ème quinzaine",INDEX(Paie_Brut2,173),INDEX(Paie_BrutMensuel,173)))),"")</f>
      </c>
      <c r="I200" s="24">
        <f>IF(AND($B$5="Tous les employés",IFERROR(INDEX(Pointage_ID,173),"")&lt;&gt;""),IF(173=0,"-",IF($H$5="1ère quinzaine",INDEX(Paie_Retenues1,173),IF($H$5="2ème quinzaine",INDEX(Paie_Retenues2,173),INDEX(Paie_Retenues,173)))),"")</f>
      </c>
      <c r="J200" s="25">
        <f>IF(AND($B$5="Tous les employés",IFERROR(INDEX(Pointage_ID,173),"")&lt;&gt;""),IF(173=0,"-",IF($H$5="1ère quinzaine",INDEX(Paie_Net1,173),IF($H$5="2ème quinzaine",INDEX(Paie_Net2,173),INDEX(Paie_NetMensuel,173)))),"")</f>
      </c>
    </row>
    <row r="201">
      <c r="A201" s="20">
        <f>IF(AND($B$5="Tous les employés",IFERROR(INDEX(Pointage_ID,174),"")&lt;&gt;""),IFERROR(INDEX(Pointage_ID,174),""),"")</f>
      </c>
      <c r="B201" s="19">
        <f>IF(AND($B$5="Tous les employés",IFERROR(INDEX(Pointage_ID,174),"")&lt;&gt;""),INDEX(Pointage_Nom,174),"")</f>
      </c>
      <c r="C201" s="20">
        <f>IF(AND($B$5="Tous les employés",IFERROR(INDEX(Pointage_ID,174),"")&lt;&gt;""),INDEX(Pointage_Categorie,174),"")</f>
      </c>
      <c r="D201" s="22">
        <f>IF(AND($B$5="Tous les employés",IFERROR(INDEX(Pointage_ID,174),"")&lt;&gt;""),IF(174=0,"-",IF($H$5="1ère quinzaine",INDEX(Paie_Jours1,174),IF($H$5="2ème quinzaine",INDEX(Paie_Jours2,174),INDEX(Pointage_Travailles,174)))),"")</f>
      </c>
      <c r="E201" s="23">
        <f>IF(AND($B$5="Tous les employés",IFERROR(INDEX(Pointage_ID,174),"")&lt;&gt;""),IF(174=0,"-",IF($H$5="1ère quinzaine",INDEX(Paie_HS1,174),IF($H$5="2ème quinzaine",INDEX(Paie_HS2,174),INDEX(Pointage_HS,174)))),"")</f>
      </c>
      <c r="F201" s="24">
        <f>IF(AND($B$5="Tous les employés",IFERROR(INDEX(Pointage_ID,174),"")&lt;&gt;""),INDEX(Paie_SalaireJour,174),"")</f>
      </c>
      <c r="G201" s="24">
        <f>IF(AND($B$5="Tous les employés",IFERROR(INDEX(Pointage_ID,174),"")&lt;&gt;""),IF(174=0,"-",IF($H$5="1ère quinzaine",INDEX(Paie_MontantHS1,174),IF($H$5="2ème quinzaine",INDEX(Paie_MontantHS2,174),INDEX(Paie_MontantHS,174)))),"")</f>
      </c>
      <c r="H201" s="24">
        <f>IF(AND($B$5="Tous les employés",IFERROR(INDEX(Pointage_ID,174),"")&lt;&gt;""),IF(174=0,"-",IF($H$5="1ère quinzaine",INDEX(Paie_Brut1,174),IF($H$5="2ème quinzaine",INDEX(Paie_Brut2,174),INDEX(Paie_BrutMensuel,174)))),"")</f>
      </c>
      <c r="I201" s="24">
        <f>IF(AND($B$5="Tous les employés",IFERROR(INDEX(Pointage_ID,174),"")&lt;&gt;""),IF(174=0,"-",IF($H$5="1ère quinzaine",INDEX(Paie_Retenues1,174),IF($H$5="2ème quinzaine",INDEX(Paie_Retenues2,174),INDEX(Paie_Retenues,174)))),"")</f>
      </c>
      <c r="J201" s="25">
        <f>IF(AND($B$5="Tous les employés",IFERROR(INDEX(Pointage_ID,174),"")&lt;&gt;""),IF(174=0,"-",IF($H$5="1ère quinzaine",INDEX(Paie_Net1,174),IF($H$5="2ème quinzaine",INDEX(Paie_Net2,174),INDEX(Paie_NetMensuel,174)))),"")</f>
      </c>
    </row>
    <row r="202">
      <c r="A202" s="20">
        <f>IF(AND($B$5="Tous les employés",IFERROR(INDEX(Pointage_ID,175),"")&lt;&gt;""),IFERROR(INDEX(Pointage_ID,175),""),"")</f>
      </c>
      <c r="B202" s="19">
        <f>IF(AND($B$5="Tous les employés",IFERROR(INDEX(Pointage_ID,175),"")&lt;&gt;""),INDEX(Pointage_Nom,175),"")</f>
      </c>
      <c r="C202" s="20">
        <f>IF(AND($B$5="Tous les employés",IFERROR(INDEX(Pointage_ID,175),"")&lt;&gt;""),INDEX(Pointage_Categorie,175),"")</f>
      </c>
      <c r="D202" s="22">
        <f>IF(AND($B$5="Tous les employés",IFERROR(INDEX(Pointage_ID,175),"")&lt;&gt;""),IF(175=0,"-",IF($H$5="1ère quinzaine",INDEX(Paie_Jours1,175),IF($H$5="2ème quinzaine",INDEX(Paie_Jours2,175),INDEX(Pointage_Travailles,175)))),"")</f>
      </c>
      <c r="E202" s="23">
        <f>IF(AND($B$5="Tous les employés",IFERROR(INDEX(Pointage_ID,175),"")&lt;&gt;""),IF(175=0,"-",IF($H$5="1ère quinzaine",INDEX(Paie_HS1,175),IF($H$5="2ème quinzaine",INDEX(Paie_HS2,175),INDEX(Pointage_HS,175)))),"")</f>
      </c>
      <c r="F202" s="24">
        <f>IF(AND($B$5="Tous les employés",IFERROR(INDEX(Pointage_ID,175),"")&lt;&gt;""),INDEX(Paie_SalaireJour,175),"")</f>
      </c>
      <c r="G202" s="24">
        <f>IF(AND($B$5="Tous les employés",IFERROR(INDEX(Pointage_ID,175),"")&lt;&gt;""),IF(175=0,"-",IF($H$5="1ère quinzaine",INDEX(Paie_MontantHS1,175),IF($H$5="2ème quinzaine",INDEX(Paie_MontantHS2,175),INDEX(Paie_MontantHS,175)))),"")</f>
      </c>
      <c r="H202" s="24">
        <f>IF(AND($B$5="Tous les employés",IFERROR(INDEX(Pointage_ID,175),"")&lt;&gt;""),IF(175=0,"-",IF($H$5="1ère quinzaine",INDEX(Paie_Brut1,175),IF($H$5="2ème quinzaine",INDEX(Paie_Brut2,175),INDEX(Paie_BrutMensuel,175)))),"")</f>
      </c>
      <c r="I202" s="24">
        <f>IF(AND($B$5="Tous les employés",IFERROR(INDEX(Pointage_ID,175),"")&lt;&gt;""),IF(175=0,"-",IF($H$5="1ère quinzaine",INDEX(Paie_Retenues1,175),IF($H$5="2ème quinzaine",INDEX(Paie_Retenues2,175),INDEX(Paie_Retenues,175)))),"")</f>
      </c>
      <c r="J202" s="25">
        <f>IF(AND($B$5="Tous les employés",IFERROR(INDEX(Pointage_ID,175),"")&lt;&gt;""),IF(175=0,"-",IF($H$5="1ère quinzaine",INDEX(Paie_Net1,175),IF($H$5="2ème quinzaine",INDEX(Paie_Net2,175),INDEX(Paie_NetMensuel,175)))),"")</f>
      </c>
    </row>
    <row r="203">
      <c r="A203" s="20">
        <f>IF(AND($B$5="Tous les employés",IFERROR(INDEX(Pointage_ID,176),"")&lt;&gt;""),IFERROR(INDEX(Pointage_ID,176),""),"")</f>
      </c>
      <c r="B203" s="19">
        <f>IF(AND($B$5="Tous les employés",IFERROR(INDEX(Pointage_ID,176),"")&lt;&gt;""),INDEX(Pointage_Nom,176),"")</f>
      </c>
      <c r="C203" s="20">
        <f>IF(AND($B$5="Tous les employés",IFERROR(INDEX(Pointage_ID,176),"")&lt;&gt;""),INDEX(Pointage_Categorie,176),"")</f>
      </c>
      <c r="D203" s="22">
        <f>IF(AND($B$5="Tous les employés",IFERROR(INDEX(Pointage_ID,176),"")&lt;&gt;""),IF(176=0,"-",IF($H$5="1ère quinzaine",INDEX(Paie_Jours1,176),IF($H$5="2ème quinzaine",INDEX(Paie_Jours2,176),INDEX(Pointage_Travailles,176)))),"")</f>
      </c>
      <c r="E203" s="23">
        <f>IF(AND($B$5="Tous les employés",IFERROR(INDEX(Pointage_ID,176),"")&lt;&gt;""),IF(176=0,"-",IF($H$5="1ère quinzaine",INDEX(Paie_HS1,176),IF($H$5="2ème quinzaine",INDEX(Paie_HS2,176),INDEX(Pointage_HS,176)))),"")</f>
      </c>
      <c r="F203" s="24">
        <f>IF(AND($B$5="Tous les employés",IFERROR(INDEX(Pointage_ID,176),"")&lt;&gt;""),INDEX(Paie_SalaireJour,176),"")</f>
      </c>
      <c r="G203" s="24">
        <f>IF(AND($B$5="Tous les employés",IFERROR(INDEX(Pointage_ID,176),"")&lt;&gt;""),IF(176=0,"-",IF($H$5="1ère quinzaine",INDEX(Paie_MontantHS1,176),IF($H$5="2ème quinzaine",INDEX(Paie_MontantHS2,176),INDEX(Paie_MontantHS,176)))),"")</f>
      </c>
      <c r="H203" s="24">
        <f>IF(AND($B$5="Tous les employés",IFERROR(INDEX(Pointage_ID,176),"")&lt;&gt;""),IF(176=0,"-",IF($H$5="1ère quinzaine",INDEX(Paie_Brut1,176),IF($H$5="2ème quinzaine",INDEX(Paie_Brut2,176),INDEX(Paie_BrutMensuel,176)))),"")</f>
      </c>
      <c r="I203" s="24">
        <f>IF(AND($B$5="Tous les employés",IFERROR(INDEX(Pointage_ID,176),"")&lt;&gt;""),IF(176=0,"-",IF($H$5="1ère quinzaine",INDEX(Paie_Retenues1,176),IF($H$5="2ème quinzaine",INDEX(Paie_Retenues2,176),INDEX(Paie_Retenues,176)))),"")</f>
      </c>
      <c r="J203" s="25">
        <f>IF(AND($B$5="Tous les employés",IFERROR(INDEX(Pointage_ID,176),"")&lt;&gt;""),IF(176=0,"-",IF($H$5="1ère quinzaine",INDEX(Paie_Net1,176),IF($H$5="2ème quinzaine",INDEX(Paie_Net2,176),INDEX(Paie_NetMensuel,176)))),"")</f>
      </c>
    </row>
    <row r="204">
      <c r="A204" s="20">
        <f>IF(AND($B$5="Tous les employés",IFERROR(INDEX(Pointage_ID,177),"")&lt;&gt;""),IFERROR(INDEX(Pointage_ID,177),""),"")</f>
      </c>
      <c r="B204" s="19">
        <f>IF(AND($B$5="Tous les employés",IFERROR(INDEX(Pointage_ID,177),"")&lt;&gt;""),INDEX(Pointage_Nom,177),"")</f>
      </c>
      <c r="C204" s="20">
        <f>IF(AND($B$5="Tous les employés",IFERROR(INDEX(Pointage_ID,177),"")&lt;&gt;""),INDEX(Pointage_Categorie,177),"")</f>
      </c>
      <c r="D204" s="22">
        <f>IF(AND($B$5="Tous les employés",IFERROR(INDEX(Pointage_ID,177),"")&lt;&gt;""),IF(177=0,"-",IF($H$5="1ère quinzaine",INDEX(Paie_Jours1,177),IF($H$5="2ème quinzaine",INDEX(Paie_Jours2,177),INDEX(Pointage_Travailles,177)))),"")</f>
      </c>
      <c r="E204" s="23">
        <f>IF(AND($B$5="Tous les employés",IFERROR(INDEX(Pointage_ID,177),"")&lt;&gt;""),IF(177=0,"-",IF($H$5="1ère quinzaine",INDEX(Paie_HS1,177),IF($H$5="2ème quinzaine",INDEX(Paie_HS2,177),INDEX(Pointage_HS,177)))),"")</f>
      </c>
      <c r="F204" s="24">
        <f>IF(AND($B$5="Tous les employés",IFERROR(INDEX(Pointage_ID,177),"")&lt;&gt;""),INDEX(Paie_SalaireJour,177),"")</f>
      </c>
      <c r="G204" s="24">
        <f>IF(AND($B$5="Tous les employés",IFERROR(INDEX(Pointage_ID,177),"")&lt;&gt;""),IF(177=0,"-",IF($H$5="1ère quinzaine",INDEX(Paie_MontantHS1,177),IF($H$5="2ème quinzaine",INDEX(Paie_MontantHS2,177),INDEX(Paie_MontantHS,177)))),"")</f>
      </c>
      <c r="H204" s="24">
        <f>IF(AND($B$5="Tous les employés",IFERROR(INDEX(Pointage_ID,177),"")&lt;&gt;""),IF(177=0,"-",IF($H$5="1ère quinzaine",INDEX(Paie_Brut1,177),IF($H$5="2ème quinzaine",INDEX(Paie_Brut2,177),INDEX(Paie_BrutMensuel,177)))),"")</f>
      </c>
      <c r="I204" s="24">
        <f>IF(AND($B$5="Tous les employés",IFERROR(INDEX(Pointage_ID,177),"")&lt;&gt;""),IF(177=0,"-",IF($H$5="1ère quinzaine",INDEX(Paie_Retenues1,177),IF($H$5="2ème quinzaine",INDEX(Paie_Retenues2,177),INDEX(Paie_Retenues,177)))),"")</f>
      </c>
      <c r="J204" s="25">
        <f>IF(AND($B$5="Tous les employés",IFERROR(INDEX(Pointage_ID,177),"")&lt;&gt;""),IF(177=0,"-",IF($H$5="1ère quinzaine",INDEX(Paie_Net1,177),IF($H$5="2ème quinzaine",INDEX(Paie_Net2,177),INDEX(Paie_NetMensuel,177)))),"")</f>
      </c>
    </row>
    <row r="205">
      <c r="A205" s="20">
        <f>IF(AND($B$5="Tous les employés",IFERROR(INDEX(Pointage_ID,178),"")&lt;&gt;""),IFERROR(INDEX(Pointage_ID,178),""),"")</f>
      </c>
      <c r="B205" s="19">
        <f>IF(AND($B$5="Tous les employés",IFERROR(INDEX(Pointage_ID,178),"")&lt;&gt;""),INDEX(Pointage_Nom,178),"")</f>
      </c>
      <c r="C205" s="20">
        <f>IF(AND($B$5="Tous les employés",IFERROR(INDEX(Pointage_ID,178),"")&lt;&gt;""),INDEX(Pointage_Categorie,178),"")</f>
      </c>
      <c r="D205" s="22">
        <f>IF(AND($B$5="Tous les employés",IFERROR(INDEX(Pointage_ID,178),"")&lt;&gt;""),IF(178=0,"-",IF($H$5="1ère quinzaine",INDEX(Paie_Jours1,178),IF($H$5="2ème quinzaine",INDEX(Paie_Jours2,178),INDEX(Pointage_Travailles,178)))),"")</f>
      </c>
      <c r="E205" s="23">
        <f>IF(AND($B$5="Tous les employés",IFERROR(INDEX(Pointage_ID,178),"")&lt;&gt;""),IF(178=0,"-",IF($H$5="1ère quinzaine",INDEX(Paie_HS1,178),IF($H$5="2ème quinzaine",INDEX(Paie_HS2,178),INDEX(Pointage_HS,178)))),"")</f>
      </c>
      <c r="F205" s="24">
        <f>IF(AND($B$5="Tous les employés",IFERROR(INDEX(Pointage_ID,178),"")&lt;&gt;""),INDEX(Paie_SalaireJour,178),"")</f>
      </c>
      <c r="G205" s="24">
        <f>IF(AND($B$5="Tous les employés",IFERROR(INDEX(Pointage_ID,178),"")&lt;&gt;""),IF(178=0,"-",IF($H$5="1ère quinzaine",INDEX(Paie_MontantHS1,178),IF($H$5="2ème quinzaine",INDEX(Paie_MontantHS2,178),INDEX(Paie_MontantHS,178)))),"")</f>
      </c>
      <c r="H205" s="24">
        <f>IF(AND($B$5="Tous les employés",IFERROR(INDEX(Pointage_ID,178),"")&lt;&gt;""),IF(178=0,"-",IF($H$5="1ère quinzaine",INDEX(Paie_Brut1,178),IF($H$5="2ème quinzaine",INDEX(Paie_Brut2,178),INDEX(Paie_BrutMensuel,178)))),"")</f>
      </c>
      <c r="I205" s="24">
        <f>IF(AND($B$5="Tous les employés",IFERROR(INDEX(Pointage_ID,178),"")&lt;&gt;""),IF(178=0,"-",IF($H$5="1ère quinzaine",INDEX(Paie_Retenues1,178),IF($H$5="2ème quinzaine",INDEX(Paie_Retenues2,178),INDEX(Paie_Retenues,178)))),"")</f>
      </c>
      <c r="J205" s="25">
        <f>IF(AND($B$5="Tous les employés",IFERROR(INDEX(Pointage_ID,178),"")&lt;&gt;""),IF(178=0,"-",IF($H$5="1ère quinzaine",INDEX(Paie_Net1,178),IF($H$5="2ème quinzaine",INDEX(Paie_Net2,178),INDEX(Paie_NetMensuel,178)))),"")</f>
      </c>
    </row>
    <row r="206">
      <c r="A206" s="20">
        <f>IF(AND($B$5="Tous les employés",IFERROR(INDEX(Pointage_ID,179),"")&lt;&gt;""),IFERROR(INDEX(Pointage_ID,179),""),"")</f>
      </c>
      <c r="B206" s="19">
        <f>IF(AND($B$5="Tous les employés",IFERROR(INDEX(Pointage_ID,179),"")&lt;&gt;""),INDEX(Pointage_Nom,179),"")</f>
      </c>
      <c r="C206" s="20">
        <f>IF(AND($B$5="Tous les employés",IFERROR(INDEX(Pointage_ID,179),"")&lt;&gt;""),INDEX(Pointage_Categorie,179),"")</f>
      </c>
      <c r="D206" s="22">
        <f>IF(AND($B$5="Tous les employés",IFERROR(INDEX(Pointage_ID,179),"")&lt;&gt;""),IF(179=0,"-",IF($H$5="1ère quinzaine",INDEX(Paie_Jours1,179),IF($H$5="2ème quinzaine",INDEX(Paie_Jours2,179),INDEX(Pointage_Travailles,179)))),"")</f>
      </c>
      <c r="E206" s="23">
        <f>IF(AND($B$5="Tous les employés",IFERROR(INDEX(Pointage_ID,179),"")&lt;&gt;""),IF(179=0,"-",IF($H$5="1ère quinzaine",INDEX(Paie_HS1,179),IF($H$5="2ème quinzaine",INDEX(Paie_HS2,179),INDEX(Pointage_HS,179)))),"")</f>
      </c>
      <c r="F206" s="24">
        <f>IF(AND($B$5="Tous les employés",IFERROR(INDEX(Pointage_ID,179),"")&lt;&gt;""),INDEX(Paie_SalaireJour,179),"")</f>
      </c>
      <c r="G206" s="24">
        <f>IF(AND($B$5="Tous les employés",IFERROR(INDEX(Pointage_ID,179),"")&lt;&gt;""),IF(179=0,"-",IF($H$5="1ère quinzaine",INDEX(Paie_MontantHS1,179),IF($H$5="2ème quinzaine",INDEX(Paie_MontantHS2,179),INDEX(Paie_MontantHS,179)))),"")</f>
      </c>
      <c r="H206" s="24">
        <f>IF(AND($B$5="Tous les employés",IFERROR(INDEX(Pointage_ID,179),"")&lt;&gt;""),IF(179=0,"-",IF($H$5="1ère quinzaine",INDEX(Paie_Brut1,179),IF($H$5="2ème quinzaine",INDEX(Paie_Brut2,179),INDEX(Paie_BrutMensuel,179)))),"")</f>
      </c>
      <c r="I206" s="24">
        <f>IF(AND($B$5="Tous les employés",IFERROR(INDEX(Pointage_ID,179),"")&lt;&gt;""),IF(179=0,"-",IF($H$5="1ère quinzaine",INDEX(Paie_Retenues1,179),IF($H$5="2ème quinzaine",INDEX(Paie_Retenues2,179),INDEX(Paie_Retenues,179)))),"")</f>
      </c>
      <c r="J206" s="25">
        <f>IF(AND($B$5="Tous les employés",IFERROR(INDEX(Pointage_ID,179),"")&lt;&gt;""),IF(179=0,"-",IF($H$5="1ère quinzaine",INDEX(Paie_Net1,179),IF($H$5="2ème quinzaine",INDEX(Paie_Net2,179),INDEX(Paie_NetMensuel,179)))),"")</f>
      </c>
    </row>
    <row r="207">
      <c r="A207" s="20">
        <f>IF(AND($B$5="Tous les employés",IFERROR(INDEX(Pointage_ID,180),"")&lt;&gt;""),IFERROR(INDEX(Pointage_ID,180),""),"")</f>
      </c>
      <c r="B207" s="19">
        <f>IF(AND($B$5="Tous les employés",IFERROR(INDEX(Pointage_ID,180),"")&lt;&gt;""),INDEX(Pointage_Nom,180),"")</f>
      </c>
      <c r="C207" s="20">
        <f>IF(AND($B$5="Tous les employés",IFERROR(INDEX(Pointage_ID,180),"")&lt;&gt;""),INDEX(Pointage_Categorie,180),"")</f>
      </c>
      <c r="D207" s="22">
        <f>IF(AND($B$5="Tous les employés",IFERROR(INDEX(Pointage_ID,180),"")&lt;&gt;""),IF(180=0,"-",IF($H$5="1ère quinzaine",INDEX(Paie_Jours1,180),IF($H$5="2ème quinzaine",INDEX(Paie_Jours2,180),INDEX(Pointage_Travailles,180)))),"")</f>
      </c>
      <c r="E207" s="23">
        <f>IF(AND($B$5="Tous les employés",IFERROR(INDEX(Pointage_ID,180),"")&lt;&gt;""),IF(180=0,"-",IF($H$5="1ère quinzaine",INDEX(Paie_HS1,180),IF($H$5="2ème quinzaine",INDEX(Paie_HS2,180),INDEX(Pointage_HS,180)))),"")</f>
      </c>
      <c r="F207" s="24">
        <f>IF(AND($B$5="Tous les employés",IFERROR(INDEX(Pointage_ID,180),"")&lt;&gt;""),INDEX(Paie_SalaireJour,180),"")</f>
      </c>
      <c r="G207" s="24">
        <f>IF(AND($B$5="Tous les employés",IFERROR(INDEX(Pointage_ID,180),"")&lt;&gt;""),IF(180=0,"-",IF($H$5="1ère quinzaine",INDEX(Paie_MontantHS1,180),IF($H$5="2ème quinzaine",INDEX(Paie_MontantHS2,180),INDEX(Paie_MontantHS,180)))),"")</f>
      </c>
      <c r="H207" s="24">
        <f>IF(AND($B$5="Tous les employés",IFERROR(INDEX(Pointage_ID,180),"")&lt;&gt;""),IF(180=0,"-",IF($H$5="1ère quinzaine",INDEX(Paie_Brut1,180),IF($H$5="2ème quinzaine",INDEX(Paie_Brut2,180),INDEX(Paie_BrutMensuel,180)))),"")</f>
      </c>
      <c r="I207" s="24">
        <f>IF(AND($B$5="Tous les employés",IFERROR(INDEX(Pointage_ID,180),"")&lt;&gt;""),IF(180=0,"-",IF($H$5="1ère quinzaine",INDEX(Paie_Retenues1,180),IF($H$5="2ème quinzaine",INDEX(Paie_Retenues2,180),INDEX(Paie_Retenues,180)))),"")</f>
      </c>
      <c r="J207" s="25">
        <f>IF(AND($B$5="Tous les employés",IFERROR(INDEX(Pointage_ID,180),"")&lt;&gt;""),IF(180=0,"-",IF($H$5="1ère quinzaine",INDEX(Paie_Net1,180),IF($H$5="2ème quinzaine",INDEX(Paie_Net2,180),INDEX(Paie_NetMensuel,180)))),"")</f>
      </c>
    </row>
    <row r="208">
      <c r="A208" s="20">
        <f>IF(AND($B$5="Tous les employés",IFERROR(INDEX(Pointage_ID,181),"")&lt;&gt;""),IFERROR(INDEX(Pointage_ID,181),""),"")</f>
      </c>
      <c r="B208" s="19">
        <f>IF(AND($B$5="Tous les employés",IFERROR(INDEX(Pointage_ID,181),"")&lt;&gt;""),INDEX(Pointage_Nom,181),"")</f>
      </c>
      <c r="C208" s="20">
        <f>IF(AND($B$5="Tous les employés",IFERROR(INDEX(Pointage_ID,181),"")&lt;&gt;""),INDEX(Pointage_Categorie,181),"")</f>
      </c>
      <c r="D208" s="22">
        <f>IF(AND($B$5="Tous les employés",IFERROR(INDEX(Pointage_ID,181),"")&lt;&gt;""),IF(181=0,"-",IF($H$5="1ère quinzaine",INDEX(Paie_Jours1,181),IF($H$5="2ème quinzaine",INDEX(Paie_Jours2,181),INDEX(Pointage_Travailles,181)))),"")</f>
      </c>
      <c r="E208" s="23">
        <f>IF(AND($B$5="Tous les employés",IFERROR(INDEX(Pointage_ID,181),"")&lt;&gt;""),IF(181=0,"-",IF($H$5="1ère quinzaine",INDEX(Paie_HS1,181),IF($H$5="2ème quinzaine",INDEX(Paie_HS2,181),INDEX(Pointage_HS,181)))),"")</f>
      </c>
      <c r="F208" s="24">
        <f>IF(AND($B$5="Tous les employés",IFERROR(INDEX(Pointage_ID,181),"")&lt;&gt;""),INDEX(Paie_SalaireJour,181),"")</f>
      </c>
      <c r="G208" s="24">
        <f>IF(AND($B$5="Tous les employés",IFERROR(INDEX(Pointage_ID,181),"")&lt;&gt;""),IF(181=0,"-",IF($H$5="1ère quinzaine",INDEX(Paie_MontantHS1,181),IF($H$5="2ème quinzaine",INDEX(Paie_MontantHS2,181),INDEX(Paie_MontantHS,181)))),"")</f>
      </c>
      <c r="H208" s="24">
        <f>IF(AND($B$5="Tous les employés",IFERROR(INDEX(Pointage_ID,181),"")&lt;&gt;""),IF(181=0,"-",IF($H$5="1ère quinzaine",INDEX(Paie_Brut1,181),IF($H$5="2ème quinzaine",INDEX(Paie_Brut2,181),INDEX(Paie_BrutMensuel,181)))),"")</f>
      </c>
      <c r="I208" s="24">
        <f>IF(AND($B$5="Tous les employés",IFERROR(INDEX(Pointage_ID,181),"")&lt;&gt;""),IF(181=0,"-",IF($H$5="1ère quinzaine",INDEX(Paie_Retenues1,181),IF($H$5="2ème quinzaine",INDEX(Paie_Retenues2,181),INDEX(Paie_Retenues,181)))),"")</f>
      </c>
      <c r="J208" s="25">
        <f>IF(AND($B$5="Tous les employés",IFERROR(INDEX(Pointage_ID,181),"")&lt;&gt;""),IF(181=0,"-",IF($H$5="1ère quinzaine",INDEX(Paie_Net1,181),IF($H$5="2ème quinzaine",INDEX(Paie_Net2,181),INDEX(Paie_NetMensuel,181)))),"")</f>
      </c>
    </row>
    <row r="209">
      <c r="A209" s="20">
        <f>IF(AND($B$5="Tous les employés",IFERROR(INDEX(Pointage_ID,182),"")&lt;&gt;""),IFERROR(INDEX(Pointage_ID,182),""),"")</f>
      </c>
      <c r="B209" s="19">
        <f>IF(AND($B$5="Tous les employés",IFERROR(INDEX(Pointage_ID,182),"")&lt;&gt;""),INDEX(Pointage_Nom,182),"")</f>
      </c>
      <c r="C209" s="20">
        <f>IF(AND($B$5="Tous les employés",IFERROR(INDEX(Pointage_ID,182),"")&lt;&gt;""),INDEX(Pointage_Categorie,182),"")</f>
      </c>
      <c r="D209" s="22">
        <f>IF(AND($B$5="Tous les employés",IFERROR(INDEX(Pointage_ID,182),"")&lt;&gt;""),IF(182=0,"-",IF($H$5="1ère quinzaine",INDEX(Paie_Jours1,182),IF($H$5="2ème quinzaine",INDEX(Paie_Jours2,182),INDEX(Pointage_Travailles,182)))),"")</f>
      </c>
      <c r="E209" s="23">
        <f>IF(AND($B$5="Tous les employés",IFERROR(INDEX(Pointage_ID,182),"")&lt;&gt;""),IF(182=0,"-",IF($H$5="1ère quinzaine",INDEX(Paie_HS1,182),IF($H$5="2ème quinzaine",INDEX(Paie_HS2,182),INDEX(Pointage_HS,182)))),"")</f>
      </c>
      <c r="F209" s="24">
        <f>IF(AND($B$5="Tous les employés",IFERROR(INDEX(Pointage_ID,182),"")&lt;&gt;""),INDEX(Paie_SalaireJour,182),"")</f>
      </c>
      <c r="G209" s="24">
        <f>IF(AND($B$5="Tous les employés",IFERROR(INDEX(Pointage_ID,182),"")&lt;&gt;""),IF(182=0,"-",IF($H$5="1ère quinzaine",INDEX(Paie_MontantHS1,182),IF($H$5="2ème quinzaine",INDEX(Paie_MontantHS2,182),INDEX(Paie_MontantHS,182)))),"")</f>
      </c>
      <c r="H209" s="24">
        <f>IF(AND($B$5="Tous les employés",IFERROR(INDEX(Pointage_ID,182),"")&lt;&gt;""),IF(182=0,"-",IF($H$5="1ère quinzaine",INDEX(Paie_Brut1,182),IF($H$5="2ème quinzaine",INDEX(Paie_Brut2,182),INDEX(Paie_BrutMensuel,182)))),"")</f>
      </c>
      <c r="I209" s="24">
        <f>IF(AND($B$5="Tous les employés",IFERROR(INDEX(Pointage_ID,182),"")&lt;&gt;""),IF(182=0,"-",IF($H$5="1ère quinzaine",INDEX(Paie_Retenues1,182),IF($H$5="2ème quinzaine",INDEX(Paie_Retenues2,182),INDEX(Paie_Retenues,182)))),"")</f>
      </c>
      <c r="J209" s="25">
        <f>IF(AND($B$5="Tous les employés",IFERROR(INDEX(Pointage_ID,182),"")&lt;&gt;""),IF(182=0,"-",IF($H$5="1ère quinzaine",INDEX(Paie_Net1,182),IF($H$5="2ème quinzaine",INDEX(Paie_Net2,182),INDEX(Paie_NetMensuel,182)))),"")</f>
      </c>
    </row>
    <row r="210">
      <c r="A210" s="20">
        <f>IF(AND($B$5="Tous les employés",IFERROR(INDEX(Pointage_ID,183),"")&lt;&gt;""),IFERROR(INDEX(Pointage_ID,183),""),"")</f>
      </c>
      <c r="B210" s="19">
        <f>IF(AND($B$5="Tous les employés",IFERROR(INDEX(Pointage_ID,183),"")&lt;&gt;""),INDEX(Pointage_Nom,183),"")</f>
      </c>
      <c r="C210" s="20">
        <f>IF(AND($B$5="Tous les employés",IFERROR(INDEX(Pointage_ID,183),"")&lt;&gt;""),INDEX(Pointage_Categorie,183),"")</f>
      </c>
      <c r="D210" s="22">
        <f>IF(AND($B$5="Tous les employés",IFERROR(INDEX(Pointage_ID,183),"")&lt;&gt;""),IF(183=0,"-",IF($H$5="1ère quinzaine",INDEX(Paie_Jours1,183),IF($H$5="2ème quinzaine",INDEX(Paie_Jours2,183),INDEX(Pointage_Travailles,183)))),"")</f>
      </c>
      <c r="E210" s="23">
        <f>IF(AND($B$5="Tous les employés",IFERROR(INDEX(Pointage_ID,183),"")&lt;&gt;""),IF(183=0,"-",IF($H$5="1ère quinzaine",INDEX(Paie_HS1,183),IF($H$5="2ème quinzaine",INDEX(Paie_HS2,183),INDEX(Pointage_HS,183)))),"")</f>
      </c>
      <c r="F210" s="24">
        <f>IF(AND($B$5="Tous les employés",IFERROR(INDEX(Pointage_ID,183),"")&lt;&gt;""),INDEX(Paie_SalaireJour,183),"")</f>
      </c>
      <c r="G210" s="24">
        <f>IF(AND($B$5="Tous les employés",IFERROR(INDEX(Pointage_ID,183),"")&lt;&gt;""),IF(183=0,"-",IF($H$5="1ère quinzaine",INDEX(Paie_MontantHS1,183),IF($H$5="2ème quinzaine",INDEX(Paie_MontantHS2,183),INDEX(Paie_MontantHS,183)))),"")</f>
      </c>
      <c r="H210" s="24">
        <f>IF(AND($B$5="Tous les employés",IFERROR(INDEX(Pointage_ID,183),"")&lt;&gt;""),IF(183=0,"-",IF($H$5="1ère quinzaine",INDEX(Paie_Brut1,183),IF($H$5="2ème quinzaine",INDEX(Paie_Brut2,183),INDEX(Paie_BrutMensuel,183)))),"")</f>
      </c>
      <c r="I210" s="24">
        <f>IF(AND($B$5="Tous les employés",IFERROR(INDEX(Pointage_ID,183),"")&lt;&gt;""),IF(183=0,"-",IF($H$5="1ère quinzaine",INDEX(Paie_Retenues1,183),IF($H$5="2ème quinzaine",INDEX(Paie_Retenues2,183),INDEX(Paie_Retenues,183)))),"")</f>
      </c>
      <c r="J210" s="25">
        <f>IF(AND($B$5="Tous les employés",IFERROR(INDEX(Pointage_ID,183),"")&lt;&gt;""),IF(183=0,"-",IF($H$5="1ère quinzaine",INDEX(Paie_Net1,183),IF($H$5="2ème quinzaine",INDEX(Paie_Net2,183),INDEX(Paie_NetMensuel,183)))),"")</f>
      </c>
    </row>
    <row r="211">
      <c r="A211" s="20">
        <f>IF(AND($B$5="Tous les employés",IFERROR(INDEX(Pointage_ID,184),"")&lt;&gt;""),IFERROR(INDEX(Pointage_ID,184),""),"")</f>
      </c>
      <c r="B211" s="19">
        <f>IF(AND($B$5="Tous les employés",IFERROR(INDEX(Pointage_ID,184),"")&lt;&gt;""),INDEX(Pointage_Nom,184),"")</f>
      </c>
      <c r="C211" s="20">
        <f>IF(AND($B$5="Tous les employés",IFERROR(INDEX(Pointage_ID,184),"")&lt;&gt;""),INDEX(Pointage_Categorie,184),"")</f>
      </c>
      <c r="D211" s="22">
        <f>IF(AND($B$5="Tous les employés",IFERROR(INDEX(Pointage_ID,184),"")&lt;&gt;""),IF(184=0,"-",IF($H$5="1ère quinzaine",INDEX(Paie_Jours1,184),IF($H$5="2ème quinzaine",INDEX(Paie_Jours2,184),INDEX(Pointage_Travailles,184)))),"")</f>
      </c>
      <c r="E211" s="23">
        <f>IF(AND($B$5="Tous les employés",IFERROR(INDEX(Pointage_ID,184),"")&lt;&gt;""),IF(184=0,"-",IF($H$5="1ère quinzaine",INDEX(Paie_HS1,184),IF($H$5="2ème quinzaine",INDEX(Paie_HS2,184),INDEX(Pointage_HS,184)))),"")</f>
      </c>
      <c r="F211" s="24">
        <f>IF(AND($B$5="Tous les employés",IFERROR(INDEX(Pointage_ID,184),"")&lt;&gt;""),INDEX(Paie_SalaireJour,184),"")</f>
      </c>
      <c r="G211" s="24">
        <f>IF(AND($B$5="Tous les employés",IFERROR(INDEX(Pointage_ID,184),"")&lt;&gt;""),IF(184=0,"-",IF($H$5="1ère quinzaine",INDEX(Paie_MontantHS1,184),IF($H$5="2ème quinzaine",INDEX(Paie_MontantHS2,184),INDEX(Paie_MontantHS,184)))),"")</f>
      </c>
      <c r="H211" s="24">
        <f>IF(AND($B$5="Tous les employés",IFERROR(INDEX(Pointage_ID,184),"")&lt;&gt;""),IF(184=0,"-",IF($H$5="1ère quinzaine",INDEX(Paie_Brut1,184),IF($H$5="2ème quinzaine",INDEX(Paie_Brut2,184),INDEX(Paie_BrutMensuel,184)))),"")</f>
      </c>
      <c r="I211" s="24">
        <f>IF(AND($B$5="Tous les employés",IFERROR(INDEX(Pointage_ID,184),"")&lt;&gt;""),IF(184=0,"-",IF($H$5="1ère quinzaine",INDEX(Paie_Retenues1,184),IF($H$5="2ème quinzaine",INDEX(Paie_Retenues2,184),INDEX(Paie_Retenues,184)))),"")</f>
      </c>
      <c r="J211" s="25">
        <f>IF(AND($B$5="Tous les employés",IFERROR(INDEX(Pointage_ID,184),"")&lt;&gt;""),IF(184=0,"-",IF($H$5="1ère quinzaine",INDEX(Paie_Net1,184),IF($H$5="2ème quinzaine",INDEX(Paie_Net2,184),INDEX(Paie_NetMensuel,184)))),"")</f>
      </c>
    </row>
    <row r="212">
      <c r="A212" s="20">
        <f>IF(AND($B$5="Tous les employés",IFERROR(INDEX(Pointage_ID,185),"")&lt;&gt;""),IFERROR(INDEX(Pointage_ID,185),""),"")</f>
      </c>
      <c r="B212" s="19">
        <f>IF(AND($B$5="Tous les employés",IFERROR(INDEX(Pointage_ID,185),"")&lt;&gt;""),INDEX(Pointage_Nom,185),"")</f>
      </c>
      <c r="C212" s="20">
        <f>IF(AND($B$5="Tous les employés",IFERROR(INDEX(Pointage_ID,185),"")&lt;&gt;""),INDEX(Pointage_Categorie,185),"")</f>
      </c>
      <c r="D212" s="22">
        <f>IF(AND($B$5="Tous les employés",IFERROR(INDEX(Pointage_ID,185),"")&lt;&gt;""),IF(185=0,"-",IF($H$5="1ère quinzaine",INDEX(Paie_Jours1,185),IF($H$5="2ème quinzaine",INDEX(Paie_Jours2,185),INDEX(Pointage_Travailles,185)))),"")</f>
      </c>
      <c r="E212" s="23">
        <f>IF(AND($B$5="Tous les employés",IFERROR(INDEX(Pointage_ID,185),"")&lt;&gt;""),IF(185=0,"-",IF($H$5="1ère quinzaine",INDEX(Paie_HS1,185),IF($H$5="2ème quinzaine",INDEX(Paie_HS2,185),INDEX(Pointage_HS,185)))),"")</f>
      </c>
      <c r="F212" s="24">
        <f>IF(AND($B$5="Tous les employés",IFERROR(INDEX(Pointage_ID,185),"")&lt;&gt;""),INDEX(Paie_SalaireJour,185),"")</f>
      </c>
      <c r="G212" s="24">
        <f>IF(AND($B$5="Tous les employés",IFERROR(INDEX(Pointage_ID,185),"")&lt;&gt;""),IF(185=0,"-",IF($H$5="1ère quinzaine",INDEX(Paie_MontantHS1,185),IF($H$5="2ème quinzaine",INDEX(Paie_MontantHS2,185),INDEX(Paie_MontantHS,185)))),"")</f>
      </c>
      <c r="H212" s="24">
        <f>IF(AND($B$5="Tous les employés",IFERROR(INDEX(Pointage_ID,185),"")&lt;&gt;""),IF(185=0,"-",IF($H$5="1ère quinzaine",INDEX(Paie_Brut1,185),IF($H$5="2ème quinzaine",INDEX(Paie_Brut2,185),INDEX(Paie_BrutMensuel,185)))),"")</f>
      </c>
      <c r="I212" s="24">
        <f>IF(AND($B$5="Tous les employés",IFERROR(INDEX(Pointage_ID,185),"")&lt;&gt;""),IF(185=0,"-",IF($H$5="1ère quinzaine",INDEX(Paie_Retenues1,185),IF($H$5="2ème quinzaine",INDEX(Paie_Retenues2,185),INDEX(Paie_Retenues,185)))),"")</f>
      </c>
      <c r="J212" s="25">
        <f>IF(AND($B$5="Tous les employés",IFERROR(INDEX(Pointage_ID,185),"")&lt;&gt;""),IF(185=0,"-",IF($H$5="1ère quinzaine",INDEX(Paie_Net1,185),IF($H$5="2ème quinzaine",INDEX(Paie_Net2,185),INDEX(Paie_NetMensuel,185)))),"")</f>
      </c>
    </row>
    <row r="213">
      <c r="A213" s="20">
        <f>IF(AND($B$5="Tous les employés",IFERROR(INDEX(Pointage_ID,186),"")&lt;&gt;""),IFERROR(INDEX(Pointage_ID,186),""),"")</f>
      </c>
      <c r="B213" s="19">
        <f>IF(AND($B$5="Tous les employés",IFERROR(INDEX(Pointage_ID,186),"")&lt;&gt;""),INDEX(Pointage_Nom,186),"")</f>
      </c>
      <c r="C213" s="20">
        <f>IF(AND($B$5="Tous les employés",IFERROR(INDEX(Pointage_ID,186),"")&lt;&gt;""),INDEX(Pointage_Categorie,186),"")</f>
      </c>
      <c r="D213" s="22">
        <f>IF(AND($B$5="Tous les employés",IFERROR(INDEX(Pointage_ID,186),"")&lt;&gt;""),IF(186=0,"-",IF($H$5="1ère quinzaine",INDEX(Paie_Jours1,186),IF($H$5="2ème quinzaine",INDEX(Paie_Jours2,186),INDEX(Pointage_Travailles,186)))),"")</f>
      </c>
      <c r="E213" s="23">
        <f>IF(AND($B$5="Tous les employés",IFERROR(INDEX(Pointage_ID,186),"")&lt;&gt;""),IF(186=0,"-",IF($H$5="1ère quinzaine",INDEX(Paie_HS1,186),IF($H$5="2ème quinzaine",INDEX(Paie_HS2,186),INDEX(Pointage_HS,186)))),"")</f>
      </c>
      <c r="F213" s="24">
        <f>IF(AND($B$5="Tous les employés",IFERROR(INDEX(Pointage_ID,186),"")&lt;&gt;""),INDEX(Paie_SalaireJour,186),"")</f>
      </c>
      <c r="G213" s="24">
        <f>IF(AND($B$5="Tous les employés",IFERROR(INDEX(Pointage_ID,186),"")&lt;&gt;""),IF(186=0,"-",IF($H$5="1ère quinzaine",INDEX(Paie_MontantHS1,186),IF($H$5="2ème quinzaine",INDEX(Paie_MontantHS2,186),INDEX(Paie_MontantHS,186)))),"")</f>
      </c>
      <c r="H213" s="24">
        <f>IF(AND($B$5="Tous les employés",IFERROR(INDEX(Pointage_ID,186),"")&lt;&gt;""),IF(186=0,"-",IF($H$5="1ère quinzaine",INDEX(Paie_Brut1,186),IF($H$5="2ème quinzaine",INDEX(Paie_Brut2,186),INDEX(Paie_BrutMensuel,186)))),"")</f>
      </c>
      <c r="I213" s="24">
        <f>IF(AND($B$5="Tous les employés",IFERROR(INDEX(Pointage_ID,186),"")&lt;&gt;""),IF(186=0,"-",IF($H$5="1ère quinzaine",INDEX(Paie_Retenues1,186),IF($H$5="2ème quinzaine",INDEX(Paie_Retenues2,186),INDEX(Paie_Retenues,186)))),"")</f>
      </c>
      <c r="J213" s="25">
        <f>IF(AND($B$5="Tous les employés",IFERROR(INDEX(Pointage_ID,186),"")&lt;&gt;""),IF(186=0,"-",IF($H$5="1ère quinzaine",INDEX(Paie_Net1,186),IF($H$5="2ème quinzaine",INDEX(Paie_Net2,186),INDEX(Paie_NetMensuel,186)))),"")</f>
      </c>
    </row>
    <row r="214">
      <c r="A214" s="20">
        <f>IF(AND($B$5="Tous les employés",IFERROR(INDEX(Pointage_ID,187),"")&lt;&gt;""),IFERROR(INDEX(Pointage_ID,187),""),"")</f>
      </c>
      <c r="B214" s="19">
        <f>IF(AND($B$5="Tous les employés",IFERROR(INDEX(Pointage_ID,187),"")&lt;&gt;""),INDEX(Pointage_Nom,187),"")</f>
      </c>
      <c r="C214" s="20">
        <f>IF(AND($B$5="Tous les employés",IFERROR(INDEX(Pointage_ID,187),"")&lt;&gt;""),INDEX(Pointage_Categorie,187),"")</f>
      </c>
      <c r="D214" s="22">
        <f>IF(AND($B$5="Tous les employés",IFERROR(INDEX(Pointage_ID,187),"")&lt;&gt;""),IF(187=0,"-",IF($H$5="1ère quinzaine",INDEX(Paie_Jours1,187),IF($H$5="2ème quinzaine",INDEX(Paie_Jours2,187),INDEX(Pointage_Travailles,187)))),"")</f>
      </c>
      <c r="E214" s="23">
        <f>IF(AND($B$5="Tous les employés",IFERROR(INDEX(Pointage_ID,187),"")&lt;&gt;""),IF(187=0,"-",IF($H$5="1ère quinzaine",INDEX(Paie_HS1,187),IF($H$5="2ème quinzaine",INDEX(Paie_HS2,187),INDEX(Pointage_HS,187)))),"")</f>
      </c>
      <c r="F214" s="24">
        <f>IF(AND($B$5="Tous les employés",IFERROR(INDEX(Pointage_ID,187),"")&lt;&gt;""),INDEX(Paie_SalaireJour,187),"")</f>
      </c>
      <c r="G214" s="24">
        <f>IF(AND($B$5="Tous les employés",IFERROR(INDEX(Pointage_ID,187),"")&lt;&gt;""),IF(187=0,"-",IF($H$5="1ère quinzaine",INDEX(Paie_MontantHS1,187),IF($H$5="2ème quinzaine",INDEX(Paie_MontantHS2,187),INDEX(Paie_MontantHS,187)))),"")</f>
      </c>
      <c r="H214" s="24">
        <f>IF(AND($B$5="Tous les employés",IFERROR(INDEX(Pointage_ID,187),"")&lt;&gt;""),IF(187=0,"-",IF($H$5="1ère quinzaine",INDEX(Paie_Brut1,187),IF($H$5="2ème quinzaine",INDEX(Paie_Brut2,187),INDEX(Paie_BrutMensuel,187)))),"")</f>
      </c>
      <c r="I214" s="24">
        <f>IF(AND($B$5="Tous les employés",IFERROR(INDEX(Pointage_ID,187),"")&lt;&gt;""),IF(187=0,"-",IF($H$5="1ère quinzaine",INDEX(Paie_Retenues1,187),IF($H$5="2ème quinzaine",INDEX(Paie_Retenues2,187),INDEX(Paie_Retenues,187)))),"")</f>
      </c>
      <c r="J214" s="25">
        <f>IF(AND($B$5="Tous les employés",IFERROR(INDEX(Pointage_ID,187),"")&lt;&gt;""),IF(187=0,"-",IF($H$5="1ère quinzaine",INDEX(Paie_Net1,187),IF($H$5="2ème quinzaine",INDEX(Paie_Net2,187),INDEX(Paie_NetMensuel,187)))),"")</f>
      </c>
    </row>
    <row r="215">
      <c r="A215" s="20">
        <f>IF(AND($B$5="Tous les employés",IFERROR(INDEX(Pointage_ID,188),"")&lt;&gt;""),IFERROR(INDEX(Pointage_ID,188),""),"")</f>
      </c>
      <c r="B215" s="19">
        <f>IF(AND($B$5="Tous les employés",IFERROR(INDEX(Pointage_ID,188),"")&lt;&gt;""),INDEX(Pointage_Nom,188),"")</f>
      </c>
      <c r="C215" s="20">
        <f>IF(AND($B$5="Tous les employés",IFERROR(INDEX(Pointage_ID,188),"")&lt;&gt;""),INDEX(Pointage_Categorie,188),"")</f>
      </c>
      <c r="D215" s="22">
        <f>IF(AND($B$5="Tous les employés",IFERROR(INDEX(Pointage_ID,188),"")&lt;&gt;""),IF(188=0,"-",IF($H$5="1ère quinzaine",INDEX(Paie_Jours1,188),IF($H$5="2ème quinzaine",INDEX(Paie_Jours2,188),INDEX(Pointage_Travailles,188)))),"")</f>
      </c>
      <c r="E215" s="23">
        <f>IF(AND($B$5="Tous les employés",IFERROR(INDEX(Pointage_ID,188),"")&lt;&gt;""),IF(188=0,"-",IF($H$5="1ère quinzaine",INDEX(Paie_HS1,188),IF($H$5="2ème quinzaine",INDEX(Paie_HS2,188),INDEX(Pointage_HS,188)))),"")</f>
      </c>
      <c r="F215" s="24">
        <f>IF(AND($B$5="Tous les employés",IFERROR(INDEX(Pointage_ID,188),"")&lt;&gt;""),INDEX(Paie_SalaireJour,188),"")</f>
      </c>
      <c r="G215" s="24">
        <f>IF(AND($B$5="Tous les employés",IFERROR(INDEX(Pointage_ID,188),"")&lt;&gt;""),IF(188=0,"-",IF($H$5="1ère quinzaine",INDEX(Paie_MontantHS1,188),IF($H$5="2ème quinzaine",INDEX(Paie_MontantHS2,188),INDEX(Paie_MontantHS,188)))),"")</f>
      </c>
      <c r="H215" s="24">
        <f>IF(AND($B$5="Tous les employés",IFERROR(INDEX(Pointage_ID,188),"")&lt;&gt;""),IF(188=0,"-",IF($H$5="1ère quinzaine",INDEX(Paie_Brut1,188),IF($H$5="2ème quinzaine",INDEX(Paie_Brut2,188),INDEX(Paie_BrutMensuel,188)))),"")</f>
      </c>
      <c r="I215" s="24">
        <f>IF(AND($B$5="Tous les employés",IFERROR(INDEX(Pointage_ID,188),"")&lt;&gt;""),IF(188=0,"-",IF($H$5="1ère quinzaine",INDEX(Paie_Retenues1,188),IF($H$5="2ème quinzaine",INDEX(Paie_Retenues2,188),INDEX(Paie_Retenues,188)))),"")</f>
      </c>
      <c r="J215" s="25">
        <f>IF(AND($B$5="Tous les employés",IFERROR(INDEX(Pointage_ID,188),"")&lt;&gt;""),IF(188=0,"-",IF($H$5="1ère quinzaine",INDEX(Paie_Net1,188),IF($H$5="2ème quinzaine",INDEX(Paie_Net2,188),INDEX(Paie_NetMensuel,188)))),"")</f>
      </c>
    </row>
    <row r="216">
      <c r="A216" s="20">
        <f>IF(AND($B$5="Tous les employés",IFERROR(INDEX(Pointage_ID,189),"")&lt;&gt;""),IFERROR(INDEX(Pointage_ID,189),""),"")</f>
      </c>
      <c r="B216" s="19">
        <f>IF(AND($B$5="Tous les employés",IFERROR(INDEX(Pointage_ID,189),"")&lt;&gt;""),INDEX(Pointage_Nom,189),"")</f>
      </c>
      <c r="C216" s="20">
        <f>IF(AND($B$5="Tous les employés",IFERROR(INDEX(Pointage_ID,189),"")&lt;&gt;""),INDEX(Pointage_Categorie,189),"")</f>
      </c>
      <c r="D216" s="22">
        <f>IF(AND($B$5="Tous les employés",IFERROR(INDEX(Pointage_ID,189),"")&lt;&gt;""),IF(189=0,"-",IF($H$5="1ère quinzaine",INDEX(Paie_Jours1,189),IF($H$5="2ème quinzaine",INDEX(Paie_Jours2,189),INDEX(Pointage_Travailles,189)))),"")</f>
      </c>
      <c r="E216" s="23">
        <f>IF(AND($B$5="Tous les employés",IFERROR(INDEX(Pointage_ID,189),"")&lt;&gt;""),IF(189=0,"-",IF($H$5="1ère quinzaine",INDEX(Paie_HS1,189),IF($H$5="2ème quinzaine",INDEX(Paie_HS2,189),INDEX(Pointage_HS,189)))),"")</f>
      </c>
      <c r="F216" s="24">
        <f>IF(AND($B$5="Tous les employés",IFERROR(INDEX(Pointage_ID,189),"")&lt;&gt;""),INDEX(Paie_SalaireJour,189),"")</f>
      </c>
      <c r="G216" s="24">
        <f>IF(AND($B$5="Tous les employés",IFERROR(INDEX(Pointage_ID,189),"")&lt;&gt;""),IF(189=0,"-",IF($H$5="1ère quinzaine",INDEX(Paie_MontantHS1,189),IF($H$5="2ème quinzaine",INDEX(Paie_MontantHS2,189),INDEX(Paie_MontantHS,189)))),"")</f>
      </c>
      <c r="H216" s="24">
        <f>IF(AND($B$5="Tous les employés",IFERROR(INDEX(Pointage_ID,189),"")&lt;&gt;""),IF(189=0,"-",IF($H$5="1ère quinzaine",INDEX(Paie_Brut1,189),IF($H$5="2ème quinzaine",INDEX(Paie_Brut2,189),INDEX(Paie_BrutMensuel,189)))),"")</f>
      </c>
      <c r="I216" s="24">
        <f>IF(AND($B$5="Tous les employés",IFERROR(INDEX(Pointage_ID,189),"")&lt;&gt;""),IF(189=0,"-",IF($H$5="1ère quinzaine",INDEX(Paie_Retenues1,189),IF($H$5="2ème quinzaine",INDEX(Paie_Retenues2,189),INDEX(Paie_Retenues,189)))),"")</f>
      </c>
      <c r="J216" s="25">
        <f>IF(AND($B$5="Tous les employés",IFERROR(INDEX(Pointage_ID,189),"")&lt;&gt;""),IF(189=0,"-",IF($H$5="1ère quinzaine",INDEX(Paie_Net1,189),IF($H$5="2ème quinzaine",INDEX(Paie_Net2,189),INDEX(Paie_NetMensuel,189)))),"")</f>
      </c>
    </row>
    <row r="217">
      <c r="A217" s="20">
        <f>IF(AND($B$5="Tous les employés",IFERROR(INDEX(Pointage_ID,190),"")&lt;&gt;""),IFERROR(INDEX(Pointage_ID,190),""),"")</f>
      </c>
      <c r="B217" s="19">
        <f>IF(AND($B$5="Tous les employés",IFERROR(INDEX(Pointage_ID,190),"")&lt;&gt;""),INDEX(Pointage_Nom,190),"")</f>
      </c>
      <c r="C217" s="20">
        <f>IF(AND($B$5="Tous les employés",IFERROR(INDEX(Pointage_ID,190),"")&lt;&gt;""),INDEX(Pointage_Categorie,190),"")</f>
      </c>
      <c r="D217" s="22">
        <f>IF(AND($B$5="Tous les employés",IFERROR(INDEX(Pointage_ID,190),"")&lt;&gt;""),IF(190=0,"-",IF($H$5="1ère quinzaine",INDEX(Paie_Jours1,190),IF($H$5="2ème quinzaine",INDEX(Paie_Jours2,190),INDEX(Pointage_Travailles,190)))),"")</f>
      </c>
      <c r="E217" s="23">
        <f>IF(AND($B$5="Tous les employés",IFERROR(INDEX(Pointage_ID,190),"")&lt;&gt;""),IF(190=0,"-",IF($H$5="1ère quinzaine",INDEX(Paie_HS1,190),IF($H$5="2ème quinzaine",INDEX(Paie_HS2,190),INDEX(Pointage_HS,190)))),"")</f>
      </c>
      <c r="F217" s="24">
        <f>IF(AND($B$5="Tous les employés",IFERROR(INDEX(Pointage_ID,190),"")&lt;&gt;""),INDEX(Paie_SalaireJour,190),"")</f>
      </c>
      <c r="G217" s="24">
        <f>IF(AND($B$5="Tous les employés",IFERROR(INDEX(Pointage_ID,190),"")&lt;&gt;""),IF(190=0,"-",IF($H$5="1ère quinzaine",INDEX(Paie_MontantHS1,190),IF($H$5="2ème quinzaine",INDEX(Paie_MontantHS2,190),INDEX(Paie_MontantHS,190)))),"")</f>
      </c>
      <c r="H217" s="24">
        <f>IF(AND($B$5="Tous les employés",IFERROR(INDEX(Pointage_ID,190),"")&lt;&gt;""),IF(190=0,"-",IF($H$5="1ère quinzaine",INDEX(Paie_Brut1,190),IF($H$5="2ème quinzaine",INDEX(Paie_Brut2,190),INDEX(Paie_BrutMensuel,190)))),"")</f>
      </c>
      <c r="I217" s="24">
        <f>IF(AND($B$5="Tous les employés",IFERROR(INDEX(Pointage_ID,190),"")&lt;&gt;""),IF(190=0,"-",IF($H$5="1ère quinzaine",INDEX(Paie_Retenues1,190),IF($H$5="2ème quinzaine",INDEX(Paie_Retenues2,190),INDEX(Paie_Retenues,190)))),"")</f>
      </c>
      <c r="J217" s="25">
        <f>IF(AND($B$5="Tous les employés",IFERROR(INDEX(Pointage_ID,190),"")&lt;&gt;""),IF(190=0,"-",IF($H$5="1ère quinzaine",INDEX(Paie_Net1,190),IF($H$5="2ème quinzaine",INDEX(Paie_Net2,190),INDEX(Paie_NetMensuel,190)))),"")</f>
      </c>
    </row>
    <row r="218">
      <c r="A218" s="20">
        <f>IF(AND($B$5="Tous les employés",IFERROR(INDEX(Pointage_ID,191),"")&lt;&gt;""),IFERROR(INDEX(Pointage_ID,191),""),"")</f>
      </c>
      <c r="B218" s="19">
        <f>IF(AND($B$5="Tous les employés",IFERROR(INDEX(Pointage_ID,191),"")&lt;&gt;""),INDEX(Pointage_Nom,191),"")</f>
      </c>
      <c r="C218" s="20">
        <f>IF(AND($B$5="Tous les employés",IFERROR(INDEX(Pointage_ID,191),"")&lt;&gt;""),INDEX(Pointage_Categorie,191),"")</f>
      </c>
      <c r="D218" s="22">
        <f>IF(AND($B$5="Tous les employés",IFERROR(INDEX(Pointage_ID,191),"")&lt;&gt;""),IF(191=0,"-",IF($H$5="1ère quinzaine",INDEX(Paie_Jours1,191),IF($H$5="2ème quinzaine",INDEX(Paie_Jours2,191),INDEX(Pointage_Travailles,191)))),"")</f>
      </c>
      <c r="E218" s="23">
        <f>IF(AND($B$5="Tous les employés",IFERROR(INDEX(Pointage_ID,191),"")&lt;&gt;""),IF(191=0,"-",IF($H$5="1ère quinzaine",INDEX(Paie_HS1,191),IF($H$5="2ème quinzaine",INDEX(Paie_HS2,191),INDEX(Pointage_HS,191)))),"")</f>
      </c>
      <c r="F218" s="24">
        <f>IF(AND($B$5="Tous les employés",IFERROR(INDEX(Pointage_ID,191),"")&lt;&gt;""),INDEX(Paie_SalaireJour,191),"")</f>
      </c>
      <c r="G218" s="24">
        <f>IF(AND($B$5="Tous les employés",IFERROR(INDEX(Pointage_ID,191),"")&lt;&gt;""),IF(191=0,"-",IF($H$5="1ère quinzaine",INDEX(Paie_MontantHS1,191),IF($H$5="2ème quinzaine",INDEX(Paie_MontantHS2,191),INDEX(Paie_MontantHS,191)))),"")</f>
      </c>
      <c r="H218" s="24">
        <f>IF(AND($B$5="Tous les employés",IFERROR(INDEX(Pointage_ID,191),"")&lt;&gt;""),IF(191=0,"-",IF($H$5="1ère quinzaine",INDEX(Paie_Brut1,191),IF($H$5="2ème quinzaine",INDEX(Paie_Brut2,191),INDEX(Paie_BrutMensuel,191)))),"")</f>
      </c>
      <c r="I218" s="24">
        <f>IF(AND($B$5="Tous les employés",IFERROR(INDEX(Pointage_ID,191),"")&lt;&gt;""),IF(191=0,"-",IF($H$5="1ère quinzaine",INDEX(Paie_Retenues1,191),IF($H$5="2ème quinzaine",INDEX(Paie_Retenues2,191),INDEX(Paie_Retenues,191)))),"")</f>
      </c>
      <c r="J218" s="25">
        <f>IF(AND($B$5="Tous les employés",IFERROR(INDEX(Pointage_ID,191),"")&lt;&gt;""),IF(191=0,"-",IF($H$5="1ère quinzaine",INDEX(Paie_Net1,191),IF($H$5="2ème quinzaine",INDEX(Paie_Net2,191),INDEX(Paie_NetMensuel,191)))),"")</f>
      </c>
    </row>
    <row r="219">
      <c r="A219" s="20">
        <f>IF(AND($B$5="Tous les employés",IFERROR(INDEX(Pointage_ID,192),"")&lt;&gt;""),IFERROR(INDEX(Pointage_ID,192),""),"")</f>
      </c>
      <c r="B219" s="19">
        <f>IF(AND($B$5="Tous les employés",IFERROR(INDEX(Pointage_ID,192),"")&lt;&gt;""),INDEX(Pointage_Nom,192),"")</f>
      </c>
      <c r="C219" s="20">
        <f>IF(AND($B$5="Tous les employés",IFERROR(INDEX(Pointage_ID,192),"")&lt;&gt;""),INDEX(Pointage_Categorie,192),"")</f>
      </c>
      <c r="D219" s="22">
        <f>IF(AND($B$5="Tous les employés",IFERROR(INDEX(Pointage_ID,192),"")&lt;&gt;""),IF(192=0,"-",IF($H$5="1ère quinzaine",INDEX(Paie_Jours1,192),IF($H$5="2ème quinzaine",INDEX(Paie_Jours2,192),INDEX(Pointage_Travailles,192)))),"")</f>
      </c>
      <c r="E219" s="23">
        <f>IF(AND($B$5="Tous les employés",IFERROR(INDEX(Pointage_ID,192),"")&lt;&gt;""),IF(192=0,"-",IF($H$5="1ère quinzaine",INDEX(Paie_HS1,192),IF($H$5="2ème quinzaine",INDEX(Paie_HS2,192),INDEX(Pointage_HS,192)))),"")</f>
      </c>
      <c r="F219" s="24">
        <f>IF(AND($B$5="Tous les employés",IFERROR(INDEX(Pointage_ID,192),"")&lt;&gt;""),INDEX(Paie_SalaireJour,192),"")</f>
      </c>
      <c r="G219" s="24">
        <f>IF(AND($B$5="Tous les employés",IFERROR(INDEX(Pointage_ID,192),"")&lt;&gt;""),IF(192=0,"-",IF($H$5="1ère quinzaine",INDEX(Paie_MontantHS1,192),IF($H$5="2ème quinzaine",INDEX(Paie_MontantHS2,192),INDEX(Paie_MontantHS,192)))),"")</f>
      </c>
      <c r="H219" s="24">
        <f>IF(AND($B$5="Tous les employés",IFERROR(INDEX(Pointage_ID,192),"")&lt;&gt;""),IF(192=0,"-",IF($H$5="1ère quinzaine",INDEX(Paie_Brut1,192),IF($H$5="2ème quinzaine",INDEX(Paie_Brut2,192),INDEX(Paie_BrutMensuel,192)))),"")</f>
      </c>
      <c r="I219" s="24">
        <f>IF(AND($B$5="Tous les employés",IFERROR(INDEX(Pointage_ID,192),"")&lt;&gt;""),IF(192=0,"-",IF($H$5="1ère quinzaine",INDEX(Paie_Retenues1,192),IF($H$5="2ème quinzaine",INDEX(Paie_Retenues2,192),INDEX(Paie_Retenues,192)))),"")</f>
      </c>
      <c r="J219" s="25">
        <f>IF(AND($B$5="Tous les employés",IFERROR(INDEX(Pointage_ID,192),"")&lt;&gt;""),IF(192=0,"-",IF($H$5="1ère quinzaine",INDEX(Paie_Net1,192),IF($H$5="2ème quinzaine",INDEX(Paie_Net2,192),INDEX(Paie_NetMensuel,192)))),"")</f>
      </c>
    </row>
    <row r="220">
      <c r="A220" s="20">
        <f>IF(AND($B$5="Tous les employés",IFERROR(INDEX(Pointage_ID,193),"")&lt;&gt;""),IFERROR(INDEX(Pointage_ID,193),""),"")</f>
      </c>
      <c r="B220" s="19">
        <f>IF(AND($B$5="Tous les employés",IFERROR(INDEX(Pointage_ID,193),"")&lt;&gt;""),INDEX(Pointage_Nom,193),"")</f>
      </c>
      <c r="C220" s="20">
        <f>IF(AND($B$5="Tous les employés",IFERROR(INDEX(Pointage_ID,193),"")&lt;&gt;""),INDEX(Pointage_Categorie,193),"")</f>
      </c>
      <c r="D220" s="22">
        <f>IF(AND($B$5="Tous les employés",IFERROR(INDEX(Pointage_ID,193),"")&lt;&gt;""),IF(193=0,"-",IF($H$5="1ère quinzaine",INDEX(Paie_Jours1,193),IF($H$5="2ème quinzaine",INDEX(Paie_Jours2,193),INDEX(Pointage_Travailles,193)))),"")</f>
      </c>
      <c r="E220" s="23">
        <f>IF(AND($B$5="Tous les employés",IFERROR(INDEX(Pointage_ID,193),"")&lt;&gt;""),IF(193=0,"-",IF($H$5="1ère quinzaine",INDEX(Paie_HS1,193),IF($H$5="2ème quinzaine",INDEX(Paie_HS2,193),INDEX(Pointage_HS,193)))),"")</f>
      </c>
      <c r="F220" s="24">
        <f>IF(AND($B$5="Tous les employés",IFERROR(INDEX(Pointage_ID,193),"")&lt;&gt;""),INDEX(Paie_SalaireJour,193),"")</f>
      </c>
      <c r="G220" s="24">
        <f>IF(AND($B$5="Tous les employés",IFERROR(INDEX(Pointage_ID,193),"")&lt;&gt;""),IF(193=0,"-",IF($H$5="1ère quinzaine",INDEX(Paie_MontantHS1,193),IF($H$5="2ème quinzaine",INDEX(Paie_MontantHS2,193),INDEX(Paie_MontantHS,193)))),"")</f>
      </c>
      <c r="H220" s="24">
        <f>IF(AND($B$5="Tous les employés",IFERROR(INDEX(Pointage_ID,193),"")&lt;&gt;""),IF(193=0,"-",IF($H$5="1ère quinzaine",INDEX(Paie_Brut1,193),IF($H$5="2ème quinzaine",INDEX(Paie_Brut2,193),INDEX(Paie_BrutMensuel,193)))),"")</f>
      </c>
      <c r="I220" s="24">
        <f>IF(AND($B$5="Tous les employés",IFERROR(INDEX(Pointage_ID,193),"")&lt;&gt;""),IF(193=0,"-",IF($H$5="1ère quinzaine",INDEX(Paie_Retenues1,193),IF($H$5="2ème quinzaine",INDEX(Paie_Retenues2,193),INDEX(Paie_Retenues,193)))),"")</f>
      </c>
      <c r="J220" s="25">
        <f>IF(AND($B$5="Tous les employés",IFERROR(INDEX(Pointage_ID,193),"")&lt;&gt;""),IF(193=0,"-",IF($H$5="1ère quinzaine",INDEX(Paie_Net1,193),IF($H$5="2ème quinzaine",INDEX(Paie_Net2,193),INDEX(Paie_NetMensuel,193)))),"")</f>
      </c>
    </row>
    <row r="221">
      <c r="A221" s="20">
        <f>IF(AND($B$5="Tous les employés",IFERROR(INDEX(Pointage_ID,194),"")&lt;&gt;""),IFERROR(INDEX(Pointage_ID,194),""),"")</f>
      </c>
      <c r="B221" s="19">
        <f>IF(AND($B$5="Tous les employés",IFERROR(INDEX(Pointage_ID,194),"")&lt;&gt;""),INDEX(Pointage_Nom,194),"")</f>
      </c>
      <c r="C221" s="20">
        <f>IF(AND($B$5="Tous les employés",IFERROR(INDEX(Pointage_ID,194),"")&lt;&gt;""),INDEX(Pointage_Categorie,194),"")</f>
      </c>
      <c r="D221" s="22">
        <f>IF(AND($B$5="Tous les employés",IFERROR(INDEX(Pointage_ID,194),"")&lt;&gt;""),IF(194=0,"-",IF($H$5="1ère quinzaine",INDEX(Paie_Jours1,194),IF($H$5="2ème quinzaine",INDEX(Paie_Jours2,194),INDEX(Pointage_Travailles,194)))),"")</f>
      </c>
      <c r="E221" s="23">
        <f>IF(AND($B$5="Tous les employés",IFERROR(INDEX(Pointage_ID,194),"")&lt;&gt;""),IF(194=0,"-",IF($H$5="1ère quinzaine",INDEX(Paie_HS1,194),IF($H$5="2ème quinzaine",INDEX(Paie_HS2,194),INDEX(Pointage_HS,194)))),"")</f>
      </c>
      <c r="F221" s="24">
        <f>IF(AND($B$5="Tous les employés",IFERROR(INDEX(Pointage_ID,194),"")&lt;&gt;""),INDEX(Paie_SalaireJour,194),"")</f>
      </c>
      <c r="G221" s="24">
        <f>IF(AND($B$5="Tous les employés",IFERROR(INDEX(Pointage_ID,194),"")&lt;&gt;""),IF(194=0,"-",IF($H$5="1ère quinzaine",INDEX(Paie_MontantHS1,194),IF($H$5="2ème quinzaine",INDEX(Paie_MontantHS2,194),INDEX(Paie_MontantHS,194)))),"")</f>
      </c>
      <c r="H221" s="24">
        <f>IF(AND($B$5="Tous les employés",IFERROR(INDEX(Pointage_ID,194),"")&lt;&gt;""),IF(194=0,"-",IF($H$5="1ère quinzaine",INDEX(Paie_Brut1,194),IF($H$5="2ème quinzaine",INDEX(Paie_Brut2,194),INDEX(Paie_BrutMensuel,194)))),"")</f>
      </c>
      <c r="I221" s="24">
        <f>IF(AND($B$5="Tous les employés",IFERROR(INDEX(Pointage_ID,194),"")&lt;&gt;""),IF(194=0,"-",IF($H$5="1ère quinzaine",INDEX(Paie_Retenues1,194),IF($H$5="2ème quinzaine",INDEX(Paie_Retenues2,194),INDEX(Paie_Retenues,194)))),"")</f>
      </c>
      <c r="J221" s="25">
        <f>IF(AND($B$5="Tous les employés",IFERROR(INDEX(Pointage_ID,194),"")&lt;&gt;""),IF(194=0,"-",IF($H$5="1ère quinzaine",INDEX(Paie_Net1,194),IF($H$5="2ème quinzaine",INDEX(Paie_Net2,194),INDEX(Paie_NetMensuel,194)))),"")</f>
      </c>
    </row>
    <row r="222">
      <c r="A222" s="20">
        <f>IF(AND($B$5="Tous les employés",IFERROR(INDEX(Pointage_ID,195),"")&lt;&gt;""),IFERROR(INDEX(Pointage_ID,195),""),"")</f>
      </c>
      <c r="B222" s="19">
        <f>IF(AND($B$5="Tous les employés",IFERROR(INDEX(Pointage_ID,195),"")&lt;&gt;""),INDEX(Pointage_Nom,195),"")</f>
      </c>
      <c r="C222" s="20">
        <f>IF(AND($B$5="Tous les employés",IFERROR(INDEX(Pointage_ID,195),"")&lt;&gt;""),INDEX(Pointage_Categorie,195),"")</f>
      </c>
      <c r="D222" s="22">
        <f>IF(AND($B$5="Tous les employés",IFERROR(INDEX(Pointage_ID,195),"")&lt;&gt;""),IF(195=0,"-",IF($H$5="1ère quinzaine",INDEX(Paie_Jours1,195),IF($H$5="2ème quinzaine",INDEX(Paie_Jours2,195),INDEX(Pointage_Travailles,195)))),"")</f>
      </c>
      <c r="E222" s="23">
        <f>IF(AND($B$5="Tous les employés",IFERROR(INDEX(Pointage_ID,195),"")&lt;&gt;""),IF(195=0,"-",IF($H$5="1ère quinzaine",INDEX(Paie_HS1,195),IF($H$5="2ème quinzaine",INDEX(Paie_HS2,195),INDEX(Pointage_HS,195)))),"")</f>
      </c>
      <c r="F222" s="24">
        <f>IF(AND($B$5="Tous les employés",IFERROR(INDEX(Pointage_ID,195),"")&lt;&gt;""),INDEX(Paie_SalaireJour,195),"")</f>
      </c>
      <c r="G222" s="24">
        <f>IF(AND($B$5="Tous les employés",IFERROR(INDEX(Pointage_ID,195),"")&lt;&gt;""),IF(195=0,"-",IF($H$5="1ère quinzaine",INDEX(Paie_MontantHS1,195),IF($H$5="2ème quinzaine",INDEX(Paie_MontantHS2,195),INDEX(Paie_MontantHS,195)))),"")</f>
      </c>
      <c r="H222" s="24">
        <f>IF(AND($B$5="Tous les employés",IFERROR(INDEX(Pointage_ID,195),"")&lt;&gt;""),IF(195=0,"-",IF($H$5="1ère quinzaine",INDEX(Paie_Brut1,195),IF($H$5="2ème quinzaine",INDEX(Paie_Brut2,195),INDEX(Paie_BrutMensuel,195)))),"")</f>
      </c>
      <c r="I222" s="24">
        <f>IF(AND($B$5="Tous les employés",IFERROR(INDEX(Pointage_ID,195),"")&lt;&gt;""),IF(195=0,"-",IF($H$5="1ère quinzaine",INDEX(Paie_Retenues1,195),IF($H$5="2ème quinzaine",INDEX(Paie_Retenues2,195),INDEX(Paie_Retenues,195)))),"")</f>
      </c>
      <c r="J222" s="25">
        <f>IF(AND($B$5="Tous les employés",IFERROR(INDEX(Pointage_ID,195),"")&lt;&gt;""),IF(195=0,"-",IF($H$5="1ère quinzaine",INDEX(Paie_Net1,195),IF($H$5="2ème quinzaine",INDEX(Paie_Net2,195),INDEX(Paie_NetMensuel,195)))),"")</f>
      </c>
    </row>
    <row r="223">
      <c r="A223" s="20">
        <f>IF(AND($B$5="Tous les employés",IFERROR(INDEX(Pointage_ID,196),"")&lt;&gt;""),IFERROR(INDEX(Pointage_ID,196),""),"")</f>
      </c>
      <c r="B223" s="19">
        <f>IF(AND($B$5="Tous les employés",IFERROR(INDEX(Pointage_ID,196),"")&lt;&gt;""),INDEX(Pointage_Nom,196),"")</f>
      </c>
      <c r="C223" s="20">
        <f>IF(AND($B$5="Tous les employés",IFERROR(INDEX(Pointage_ID,196),"")&lt;&gt;""),INDEX(Pointage_Categorie,196),"")</f>
      </c>
      <c r="D223" s="22">
        <f>IF(AND($B$5="Tous les employés",IFERROR(INDEX(Pointage_ID,196),"")&lt;&gt;""),IF(196=0,"-",IF($H$5="1ère quinzaine",INDEX(Paie_Jours1,196),IF($H$5="2ème quinzaine",INDEX(Paie_Jours2,196),INDEX(Pointage_Travailles,196)))),"")</f>
      </c>
      <c r="E223" s="23">
        <f>IF(AND($B$5="Tous les employés",IFERROR(INDEX(Pointage_ID,196),"")&lt;&gt;""),IF(196=0,"-",IF($H$5="1ère quinzaine",INDEX(Paie_HS1,196),IF($H$5="2ème quinzaine",INDEX(Paie_HS2,196),INDEX(Pointage_HS,196)))),"")</f>
      </c>
      <c r="F223" s="24">
        <f>IF(AND($B$5="Tous les employés",IFERROR(INDEX(Pointage_ID,196),"")&lt;&gt;""),INDEX(Paie_SalaireJour,196),"")</f>
      </c>
      <c r="G223" s="24">
        <f>IF(AND($B$5="Tous les employés",IFERROR(INDEX(Pointage_ID,196),"")&lt;&gt;""),IF(196=0,"-",IF($H$5="1ère quinzaine",INDEX(Paie_MontantHS1,196),IF($H$5="2ème quinzaine",INDEX(Paie_MontantHS2,196),INDEX(Paie_MontantHS,196)))),"")</f>
      </c>
      <c r="H223" s="24">
        <f>IF(AND($B$5="Tous les employés",IFERROR(INDEX(Pointage_ID,196),"")&lt;&gt;""),IF(196=0,"-",IF($H$5="1ère quinzaine",INDEX(Paie_Brut1,196),IF($H$5="2ème quinzaine",INDEX(Paie_Brut2,196),INDEX(Paie_BrutMensuel,196)))),"")</f>
      </c>
      <c r="I223" s="24">
        <f>IF(AND($B$5="Tous les employés",IFERROR(INDEX(Pointage_ID,196),"")&lt;&gt;""),IF(196=0,"-",IF($H$5="1ère quinzaine",INDEX(Paie_Retenues1,196),IF($H$5="2ème quinzaine",INDEX(Paie_Retenues2,196),INDEX(Paie_Retenues,196)))),"")</f>
      </c>
      <c r="J223" s="25">
        <f>IF(AND($B$5="Tous les employés",IFERROR(INDEX(Pointage_ID,196),"")&lt;&gt;""),IF(196=0,"-",IF($H$5="1ère quinzaine",INDEX(Paie_Net1,196),IF($H$5="2ème quinzaine",INDEX(Paie_Net2,196),INDEX(Paie_NetMensuel,196)))),"")</f>
      </c>
    </row>
    <row r="224">
      <c r="A224" s="20">
        <f>IF(AND($B$5="Tous les employés",IFERROR(INDEX(Pointage_ID,197),"")&lt;&gt;""),IFERROR(INDEX(Pointage_ID,197),""),"")</f>
      </c>
      <c r="B224" s="19">
        <f>IF(AND($B$5="Tous les employés",IFERROR(INDEX(Pointage_ID,197),"")&lt;&gt;""),INDEX(Pointage_Nom,197),"")</f>
      </c>
      <c r="C224" s="20">
        <f>IF(AND($B$5="Tous les employés",IFERROR(INDEX(Pointage_ID,197),"")&lt;&gt;""),INDEX(Pointage_Categorie,197),"")</f>
      </c>
      <c r="D224" s="22">
        <f>IF(AND($B$5="Tous les employés",IFERROR(INDEX(Pointage_ID,197),"")&lt;&gt;""),IF(197=0,"-",IF($H$5="1ère quinzaine",INDEX(Paie_Jours1,197),IF($H$5="2ème quinzaine",INDEX(Paie_Jours2,197),INDEX(Pointage_Travailles,197)))),"")</f>
      </c>
      <c r="E224" s="23">
        <f>IF(AND($B$5="Tous les employés",IFERROR(INDEX(Pointage_ID,197),"")&lt;&gt;""),IF(197=0,"-",IF($H$5="1ère quinzaine",INDEX(Paie_HS1,197),IF($H$5="2ème quinzaine",INDEX(Paie_HS2,197),INDEX(Pointage_HS,197)))),"")</f>
      </c>
      <c r="F224" s="24">
        <f>IF(AND($B$5="Tous les employés",IFERROR(INDEX(Pointage_ID,197),"")&lt;&gt;""),INDEX(Paie_SalaireJour,197),"")</f>
      </c>
      <c r="G224" s="24">
        <f>IF(AND($B$5="Tous les employés",IFERROR(INDEX(Pointage_ID,197),"")&lt;&gt;""),IF(197=0,"-",IF($H$5="1ère quinzaine",INDEX(Paie_MontantHS1,197),IF($H$5="2ème quinzaine",INDEX(Paie_MontantHS2,197),INDEX(Paie_MontantHS,197)))),"")</f>
      </c>
      <c r="H224" s="24">
        <f>IF(AND($B$5="Tous les employés",IFERROR(INDEX(Pointage_ID,197),"")&lt;&gt;""),IF(197=0,"-",IF($H$5="1ère quinzaine",INDEX(Paie_Brut1,197),IF($H$5="2ème quinzaine",INDEX(Paie_Brut2,197),INDEX(Paie_BrutMensuel,197)))),"")</f>
      </c>
      <c r="I224" s="24">
        <f>IF(AND($B$5="Tous les employés",IFERROR(INDEX(Pointage_ID,197),"")&lt;&gt;""),IF(197=0,"-",IF($H$5="1ère quinzaine",INDEX(Paie_Retenues1,197),IF($H$5="2ème quinzaine",INDEX(Paie_Retenues2,197),INDEX(Paie_Retenues,197)))),"")</f>
      </c>
      <c r="J224" s="25">
        <f>IF(AND($B$5="Tous les employés",IFERROR(INDEX(Pointage_ID,197),"")&lt;&gt;""),IF(197=0,"-",IF($H$5="1ère quinzaine",INDEX(Paie_Net1,197),IF($H$5="2ème quinzaine",INDEX(Paie_Net2,197),INDEX(Paie_NetMensuel,197)))),"")</f>
      </c>
    </row>
    <row r="225">
      <c r="A225" s="20">
        <f>IF(AND($B$5="Tous les employés",IFERROR(INDEX(Pointage_ID,198),"")&lt;&gt;""),IFERROR(INDEX(Pointage_ID,198),""),"")</f>
      </c>
      <c r="B225" s="19">
        <f>IF(AND($B$5="Tous les employés",IFERROR(INDEX(Pointage_ID,198),"")&lt;&gt;""),INDEX(Pointage_Nom,198),"")</f>
      </c>
      <c r="C225" s="20">
        <f>IF(AND($B$5="Tous les employés",IFERROR(INDEX(Pointage_ID,198),"")&lt;&gt;""),INDEX(Pointage_Categorie,198),"")</f>
      </c>
      <c r="D225" s="22">
        <f>IF(AND($B$5="Tous les employés",IFERROR(INDEX(Pointage_ID,198),"")&lt;&gt;""),IF(198=0,"-",IF($H$5="1ère quinzaine",INDEX(Paie_Jours1,198),IF($H$5="2ème quinzaine",INDEX(Paie_Jours2,198),INDEX(Pointage_Travailles,198)))),"")</f>
      </c>
      <c r="E225" s="23">
        <f>IF(AND($B$5="Tous les employés",IFERROR(INDEX(Pointage_ID,198),"")&lt;&gt;""),IF(198=0,"-",IF($H$5="1ère quinzaine",INDEX(Paie_HS1,198),IF($H$5="2ème quinzaine",INDEX(Paie_HS2,198),INDEX(Pointage_HS,198)))),"")</f>
      </c>
      <c r="F225" s="24">
        <f>IF(AND($B$5="Tous les employés",IFERROR(INDEX(Pointage_ID,198),"")&lt;&gt;""),INDEX(Paie_SalaireJour,198),"")</f>
      </c>
      <c r="G225" s="24">
        <f>IF(AND($B$5="Tous les employés",IFERROR(INDEX(Pointage_ID,198),"")&lt;&gt;""),IF(198=0,"-",IF($H$5="1ère quinzaine",INDEX(Paie_MontantHS1,198),IF($H$5="2ème quinzaine",INDEX(Paie_MontantHS2,198),INDEX(Paie_MontantHS,198)))),"")</f>
      </c>
      <c r="H225" s="24">
        <f>IF(AND($B$5="Tous les employés",IFERROR(INDEX(Pointage_ID,198),"")&lt;&gt;""),IF(198=0,"-",IF($H$5="1ère quinzaine",INDEX(Paie_Brut1,198),IF($H$5="2ème quinzaine",INDEX(Paie_Brut2,198),INDEX(Paie_BrutMensuel,198)))),"")</f>
      </c>
      <c r="I225" s="24">
        <f>IF(AND($B$5="Tous les employés",IFERROR(INDEX(Pointage_ID,198),"")&lt;&gt;""),IF(198=0,"-",IF($H$5="1ère quinzaine",INDEX(Paie_Retenues1,198),IF($H$5="2ème quinzaine",INDEX(Paie_Retenues2,198),INDEX(Paie_Retenues,198)))),"")</f>
      </c>
      <c r="J225" s="25">
        <f>IF(AND($B$5="Tous les employés",IFERROR(INDEX(Pointage_ID,198),"")&lt;&gt;""),IF(198=0,"-",IF($H$5="1ère quinzaine",INDEX(Paie_Net1,198),IF($H$5="2ème quinzaine",INDEX(Paie_Net2,198),INDEX(Paie_NetMensuel,198)))),"")</f>
      </c>
    </row>
    <row r="226">
      <c r="A226" s="20">
        <f>IF(AND($B$5="Tous les employés",IFERROR(INDEX(Pointage_ID,199),"")&lt;&gt;""),IFERROR(INDEX(Pointage_ID,199),""),"")</f>
      </c>
      <c r="B226" s="19">
        <f>IF(AND($B$5="Tous les employés",IFERROR(INDEX(Pointage_ID,199),"")&lt;&gt;""),INDEX(Pointage_Nom,199),"")</f>
      </c>
      <c r="C226" s="20">
        <f>IF(AND($B$5="Tous les employés",IFERROR(INDEX(Pointage_ID,199),"")&lt;&gt;""),INDEX(Pointage_Categorie,199),"")</f>
      </c>
      <c r="D226" s="22">
        <f>IF(AND($B$5="Tous les employés",IFERROR(INDEX(Pointage_ID,199),"")&lt;&gt;""),IF(199=0,"-",IF($H$5="1ère quinzaine",INDEX(Paie_Jours1,199),IF($H$5="2ème quinzaine",INDEX(Paie_Jours2,199),INDEX(Pointage_Travailles,199)))),"")</f>
      </c>
      <c r="E226" s="23">
        <f>IF(AND($B$5="Tous les employés",IFERROR(INDEX(Pointage_ID,199),"")&lt;&gt;""),IF(199=0,"-",IF($H$5="1ère quinzaine",INDEX(Paie_HS1,199),IF($H$5="2ème quinzaine",INDEX(Paie_HS2,199),INDEX(Pointage_HS,199)))),"")</f>
      </c>
      <c r="F226" s="24">
        <f>IF(AND($B$5="Tous les employés",IFERROR(INDEX(Pointage_ID,199),"")&lt;&gt;""),INDEX(Paie_SalaireJour,199),"")</f>
      </c>
      <c r="G226" s="24">
        <f>IF(AND($B$5="Tous les employés",IFERROR(INDEX(Pointage_ID,199),"")&lt;&gt;""),IF(199=0,"-",IF($H$5="1ère quinzaine",INDEX(Paie_MontantHS1,199),IF($H$5="2ème quinzaine",INDEX(Paie_MontantHS2,199),INDEX(Paie_MontantHS,199)))),"")</f>
      </c>
      <c r="H226" s="24">
        <f>IF(AND($B$5="Tous les employés",IFERROR(INDEX(Pointage_ID,199),"")&lt;&gt;""),IF(199=0,"-",IF($H$5="1ère quinzaine",INDEX(Paie_Brut1,199),IF($H$5="2ème quinzaine",INDEX(Paie_Brut2,199),INDEX(Paie_BrutMensuel,199)))),"")</f>
      </c>
      <c r="I226" s="24">
        <f>IF(AND($B$5="Tous les employés",IFERROR(INDEX(Pointage_ID,199),"")&lt;&gt;""),IF(199=0,"-",IF($H$5="1ère quinzaine",INDEX(Paie_Retenues1,199),IF($H$5="2ème quinzaine",INDEX(Paie_Retenues2,199),INDEX(Paie_Retenues,199)))),"")</f>
      </c>
      <c r="J226" s="25">
        <f>IF(AND($B$5="Tous les employés",IFERROR(INDEX(Pointage_ID,199),"")&lt;&gt;""),IF(199=0,"-",IF($H$5="1ère quinzaine",INDEX(Paie_Net1,199),IF($H$5="2ème quinzaine",INDEX(Paie_Net2,199),INDEX(Paie_NetMensuel,199)))),"")</f>
      </c>
    </row>
    <row r="227">
      <c r="A227" s="20">
        <f>IF(AND($B$5="Tous les employés",IFERROR(INDEX(Pointage_ID,200),"")&lt;&gt;""),IFERROR(INDEX(Pointage_ID,200),""),"")</f>
      </c>
      <c r="B227" s="19">
        <f>IF(AND($B$5="Tous les employés",IFERROR(INDEX(Pointage_ID,200),"")&lt;&gt;""),INDEX(Pointage_Nom,200),"")</f>
      </c>
      <c r="C227" s="20">
        <f>IF(AND($B$5="Tous les employés",IFERROR(INDEX(Pointage_ID,200),"")&lt;&gt;""),INDEX(Pointage_Categorie,200),"")</f>
      </c>
      <c r="D227" s="22">
        <f>IF(AND($B$5="Tous les employés",IFERROR(INDEX(Pointage_ID,200),"")&lt;&gt;""),IF(200=0,"-",IF($H$5="1ère quinzaine",INDEX(Paie_Jours1,200),IF($H$5="2ème quinzaine",INDEX(Paie_Jours2,200),INDEX(Pointage_Travailles,200)))),"")</f>
      </c>
      <c r="E227" s="23">
        <f>IF(AND($B$5="Tous les employés",IFERROR(INDEX(Pointage_ID,200),"")&lt;&gt;""),IF(200=0,"-",IF($H$5="1ère quinzaine",INDEX(Paie_HS1,200),IF($H$5="2ème quinzaine",INDEX(Paie_HS2,200),INDEX(Pointage_HS,200)))),"")</f>
      </c>
      <c r="F227" s="24">
        <f>IF(AND($B$5="Tous les employés",IFERROR(INDEX(Pointage_ID,200),"")&lt;&gt;""),INDEX(Paie_SalaireJour,200),"")</f>
      </c>
      <c r="G227" s="24">
        <f>IF(AND($B$5="Tous les employés",IFERROR(INDEX(Pointage_ID,200),"")&lt;&gt;""),IF(200=0,"-",IF($H$5="1ère quinzaine",INDEX(Paie_MontantHS1,200),IF($H$5="2ème quinzaine",INDEX(Paie_MontantHS2,200),INDEX(Paie_MontantHS,200)))),"")</f>
      </c>
      <c r="H227" s="24">
        <f>IF(AND($B$5="Tous les employés",IFERROR(INDEX(Pointage_ID,200),"")&lt;&gt;""),IF(200=0,"-",IF($H$5="1ère quinzaine",INDEX(Paie_Brut1,200),IF($H$5="2ème quinzaine",INDEX(Paie_Brut2,200),INDEX(Paie_BrutMensuel,200)))),"")</f>
      </c>
      <c r="I227" s="24">
        <f>IF(AND($B$5="Tous les employés",IFERROR(INDEX(Pointage_ID,200),"")&lt;&gt;""),IF(200=0,"-",IF($H$5="1ère quinzaine",INDEX(Paie_Retenues1,200),IF($H$5="2ème quinzaine",INDEX(Paie_Retenues2,200),INDEX(Paie_Retenues,200)))),"")</f>
      </c>
      <c r="J227" s="25">
        <f>IF(AND($B$5="Tous les employés",IFERROR(INDEX(Pointage_ID,200),"")&lt;&gt;""),IF(200=0,"-",IF($H$5="1ère quinzaine",INDEX(Paie_Net1,200),IF($H$5="2ème quinzaine",INDEX(Paie_Net2,200),INDEX(Paie_NetMensuel,200)))),"")</f>
      </c>
    </row>
    <row r="228">
      <c r="A228" s="20">
        <f>IF(AND($B$5="Tous les employés",IFERROR(INDEX(Pointage_ID,201),"")&lt;&gt;""),IFERROR(INDEX(Pointage_ID,201),""),"")</f>
      </c>
      <c r="B228" s="19">
        <f>IF(AND($B$5="Tous les employés",IFERROR(INDEX(Pointage_ID,201),"")&lt;&gt;""),INDEX(Pointage_Nom,201),"")</f>
      </c>
      <c r="C228" s="20">
        <f>IF(AND($B$5="Tous les employés",IFERROR(INDEX(Pointage_ID,201),"")&lt;&gt;""),INDEX(Pointage_Categorie,201),"")</f>
      </c>
      <c r="D228" s="22">
        <f>IF(AND($B$5="Tous les employés",IFERROR(INDEX(Pointage_ID,201),"")&lt;&gt;""),IF(201=0,"-",IF($H$5="1ère quinzaine",INDEX(Paie_Jours1,201),IF($H$5="2ème quinzaine",INDEX(Paie_Jours2,201),INDEX(Pointage_Travailles,201)))),"")</f>
      </c>
      <c r="E228" s="23">
        <f>IF(AND($B$5="Tous les employés",IFERROR(INDEX(Pointage_ID,201),"")&lt;&gt;""),IF(201=0,"-",IF($H$5="1ère quinzaine",INDEX(Paie_HS1,201),IF($H$5="2ème quinzaine",INDEX(Paie_HS2,201),INDEX(Pointage_HS,201)))),"")</f>
      </c>
      <c r="F228" s="24">
        <f>IF(AND($B$5="Tous les employés",IFERROR(INDEX(Pointage_ID,201),"")&lt;&gt;""),INDEX(Paie_SalaireJour,201),"")</f>
      </c>
      <c r="G228" s="24">
        <f>IF(AND($B$5="Tous les employés",IFERROR(INDEX(Pointage_ID,201),"")&lt;&gt;""),IF(201=0,"-",IF($H$5="1ère quinzaine",INDEX(Paie_MontantHS1,201),IF($H$5="2ème quinzaine",INDEX(Paie_MontantHS2,201),INDEX(Paie_MontantHS,201)))),"")</f>
      </c>
      <c r="H228" s="24">
        <f>IF(AND($B$5="Tous les employés",IFERROR(INDEX(Pointage_ID,201),"")&lt;&gt;""),IF(201=0,"-",IF($H$5="1ère quinzaine",INDEX(Paie_Brut1,201),IF($H$5="2ème quinzaine",INDEX(Paie_Brut2,201),INDEX(Paie_BrutMensuel,201)))),"")</f>
      </c>
      <c r="I228" s="24">
        <f>IF(AND($B$5="Tous les employés",IFERROR(INDEX(Pointage_ID,201),"")&lt;&gt;""),IF(201=0,"-",IF($H$5="1ère quinzaine",INDEX(Paie_Retenues1,201),IF($H$5="2ème quinzaine",INDEX(Paie_Retenues2,201),INDEX(Paie_Retenues,201)))),"")</f>
      </c>
      <c r="J228" s="25">
        <f>IF(AND($B$5="Tous les employés",IFERROR(INDEX(Pointage_ID,201),"")&lt;&gt;""),IF(201=0,"-",IF($H$5="1ère quinzaine",INDEX(Paie_Net1,201),IF($H$5="2ème quinzaine",INDEX(Paie_Net2,201),INDEX(Paie_NetMensuel,201)))),"")</f>
      </c>
    </row>
    <row r="229">
      <c r="A229" s="20">
        <f>IF(AND($B$5="Tous les employés",IFERROR(INDEX(Pointage_ID,202),"")&lt;&gt;""),IFERROR(INDEX(Pointage_ID,202),""),"")</f>
      </c>
      <c r="B229" s="19">
        <f>IF(AND($B$5="Tous les employés",IFERROR(INDEX(Pointage_ID,202),"")&lt;&gt;""),INDEX(Pointage_Nom,202),"")</f>
      </c>
      <c r="C229" s="20">
        <f>IF(AND($B$5="Tous les employés",IFERROR(INDEX(Pointage_ID,202),"")&lt;&gt;""),INDEX(Pointage_Categorie,202),"")</f>
      </c>
      <c r="D229" s="22">
        <f>IF(AND($B$5="Tous les employés",IFERROR(INDEX(Pointage_ID,202),"")&lt;&gt;""),IF(202=0,"-",IF($H$5="1ère quinzaine",INDEX(Paie_Jours1,202),IF($H$5="2ème quinzaine",INDEX(Paie_Jours2,202),INDEX(Pointage_Travailles,202)))),"")</f>
      </c>
      <c r="E229" s="23">
        <f>IF(AND($B$5="Tous les employés",IFERROR(INDEX(Pointage_ID,202),"")&lt;&gt;""),IF(202=0,"-",IF($H$5="1ère quinzaine",INDEX(Paie_HS1,202),IF($H$5="2ème quinzaine",INDEX(Paie_HS2,202),INDEX(Pointage_HS,202)))),"")</f>
      </c>
      <c r="F229" s="24">
        <f>IF(AND($B$5="Tous les employés",IFERROR(INDEX(Pointage_ID,202),"")&lt;&gt;""),INDEX(Paie_SalaireJour,202),"")</f>
      </c>
      <c r="G229" s="24">
        <f>IF(AND($B$5="Tous les employés",IFERROR(INDEX(Pointage_ID,202),"")&lt;&gt;""),IF(202=0,"-",IF($H$5="1ère quinzaine",INDEX(Paie_MontantHS1,202),IF($H$5="2ème quinzaine",INDEX(Paie_MontantHS2,202),INDEX(Paie_MontantHS,202)))),"")</f>
      </c>
      <c r="H229" s="24">
        <f>IF(AND($B$5="Tous les employés",IFERROR(INDEX(Pointage_ID,202),"")&lt;&gt;""),IF(202=0,"-",IF($H$5="1ère quinzaine",INDEX(Paie_Brut1,202),IF($H$5="2ème quinzaine",INDEX(Paie_Brut2,202),INDEX(Paie_BrutMensuel,202)))),"")</f>
      </c>
      <c r="I229" s="24">
        <f>IF(AND($B$5="Tous les employés",IFERROR(INDEX(Pointage_ID,202),"")&lt;&gt;""),IF(202=0,"-",IF($H$5="1ère quinzaine",INDEX(Paie_Retenues1,202),IF($H$5="2ème quinzaine",INDEX(Paie_Retenues2,202),INDEX(Paie_Retenues,202)))),"")</f>
      </c>
      <c r="J229" s="25">
        <f>IF(AND($B$5="Tous les employés",IFERROR(INDEX(Pointage_ID,202),"")&lt;&gt;""),IF(202=0,"-",IF($H$5="1ère quinzaine",INDEX(Paie_Net1,202),IF($H$5="2ème quinzaine",INDEX(Paie_Net2,202),INDEX(Paie_NetMensuel,202)))),"")</f>
      </c>
    </row>
    <row r="230">
      <c r="A230" s="20">
        <f>IF(AND($B$5="Tous les employés",IFERROR(INDEX(Pointage_ID,203),"")&lt;&gt;""),IFERROR(INDEX(Pointage_ID,203),""),"")</f>
      </c>
      <c r="B230" s="19">
        <f>IF(AND($B$5="Tous les employés",IFERROR(INDEX(Pointage_ID,203),"")&lt;&gt;""),INDEX(Pointage_Nom,203),"")</f>
      </c>
      <c r="C230" s="20">
        <f>IF(AND($B$5="Tous les employés",IFERROR(INDEX(Pointage_ID,203),"")&lt;&gt;""),INDEX(Pointage_Categorie,203),"")</f>
      </c>
      <c r="D230" s="22">
        <f>IF(AND($B$5="Tous les employés",IFERROR(INDEX(Pointage_ID,203),"")&lt;&gt;""),IF(203=0,"-",IF($H$5="1ère quinzaine",INDEX(Paie_Jours1,203),IF($H$5="2ème quinzaine",INDEX(Paie_Jours2,203),INDEX(Pointage_Travailles,203)))),"")</f>
      </c>
      <c r="E230" s="23">
        <f>IF(AND($B$5="Tous les employés",IFERROR(INDEX(Pointage_ID,203),"")&lt;&gt;""),IF(203=0,"-",IF($H$5="1ère quinzaine",INDEX(Paie_HS1,203),IF($H$5="2ème quinzaine",INDEX(Paie_HS2,203),INDEX(Pointage_HS,203)))),"")</f>
      </c>
      <c r="F230" s="24">
        <f>IF(AND($B$5="Tous les employés",IFERROR(INDEX(Pointage_ID,203),"")&lt;&gt;""),INDEX(Paie_SalaireJour,203),"")</f>
      </c>
      <c r="G230" s="24">
        <f>IF(AND($B$5="Tous les employés",IFERROR(INDEX(Pointage_ID,203),"")&lt;&gt;""),IF(203=0,"-",IF($H$5="1ère quinzaine",INDEX(Paie_MontantHS1,203),IF($H$5="2ème quinzaine",INDEX(Paie_MontantHS2,203),INDEX(Paie_MontantHS,203)))),"")</f>
      </c>
      <c r="H230" s="24">
        <f>IF(AND($B$5="Tous les employés",IFERROR(INDEX(Pointage_ID,203),"")&lt;&gt;""),IF(203=0,"-",IF($H$5="1ère quinzaine",INDEX(Paie_Brut1,203),IF($H$5="2ème quinzaine",INDEX(Paie_Brut2,203),INDEX(Paie_BrutMensuel,203)))),"")</f>
      </c>
      <c r="I230" s="24">
        <f>IF(AND($B$5="Tous les employés",IFERROR(INDEX(Pointage_ID,203),"")&lt;&gt;""),IF(203=0,"-",IF($H$5="1ère quinzaine",INDEX(Paie_Retenues1,203),IF($H$5="2ème quinzaine",INDEX(Paie_Retenues2,203),INDEX(Paie_Retenues,203)))),"")</f>
      </c>
      <c r="J230" s="25">
        <f>IF(AND($B$5="Tous les employés",IFERROR(INDEX(Pointage_ID,203),"")&lt;&gt;""),IF(203=0,"-",IF($H$5="1ère quinzaine",INDEX(Paie_Net1,203),IF($H$5="2ème quinzaine",INDEX(Paie_Net2,203),INDEX(Paie_NetMensuel,203)))),"")</f>
      </c>
    </row>
    <row r="231">
      <c r="A231" s="20">
        <f>IF(AND($B$5="Tous les employés",IFERROR(INDEX(Pointage_ID,204),"")&lt;&gt;""),IFERROR(INDEX(Pointage_ID,204),""),"")</f>
      </c>
      <c r="B231" s="19">
        <f>IF(AND($B$5="Tous les employés",IFERROR(INDEX(Pointage_ID,204),"")&lt;&gt;""),INDEX(Pointage_Nom,204),"")</f>
      </c>
      <c r="C231" s="20">
        <f>IF(AND($B$5="Tous les employés",IFERROR(INDEX(Pointage_ID,204),"")&lt;&gt;""),INDEX(Pointage_Categorie,204),"")</f>
      </c>
      <c r="D231" s="22">
        <f>IF(AND($B$5="Tous les employés",IFERROR(INDEX(Pointage_ID,204),"")&lt;&gt;""),IF(204=0,"-",IF($H$5="1ère quinzaine",INDEX(Paie_Jours1,204),IF($H$5="2ème quinzaine",INDEX(Paie_Jours2,204),INDEX(Pointage_Travailles,204)))),"")</f>
      </c>
      <c r="E231" s="23">
        <f>IF(AND($B$5="Tous les employés",IFERROR(INDEX(Pointage_ID,204),"")&lt;&gt;""),IF(204=0,"-",IF($H$5="1ère quinzaine",INDEX(Paie_HS1,204),IF($H$5="2ème quinzaine",INDEX(Paie_HS2,204),INDEX(Pointage_HS,204)))),"")</f>
      </c>
      <c r="F231" s="24">
        <f>IF(AND($B$5="Tous les employés",IFERROR(INDEX(Pointage_ID,204),"")&lt;&gt;""),INDEX(Paie_SalaireJour,204),"")</f>
      </c>
      <c r="G231" s="24">
        <f>IF(AND($B$5="Tous les employés",IFERROR(INDEX(Pointage_ID,204),"")&lt;&gt;""),IF(204=0,"-",IF($H$5="1ère quinzaine",INDEX(Paie_MontantHS1,204),IF($H$5="2ème quinzaine",INDEX(Paie_MontantHS2,204),INDEX(Paie_MontantHS,204)))),"")</f>
      </c>
      <c r="H231" s="24">
        <f>IF(AND($B$5="Tous les employés",IFERROR(INDEX(Pointage_ID,204),"")&lt;&gt;""),IF(204=0,"-",IF($H$5="1ère quinzaine",INDEX(Paie_Brut1,204),IF($H$5="2ème quinzaine",INDEX(Paie_Brut2,204),INDEX(Paie_BrutMensuel,204)))),"")</f>
      </c>
      <c r="I231" s="24">
        <f>IF(AND($B$5="Tous les employés",IFERROR(INDEX(Pointage_ID,204),"")&lt;&gt;""),IF(204=0,"-",IF($H$5="1ère quinzaine",INDEX(Paie_Retenues1,204),IF($H$5="2ème quinzaine",INDEX(Paie_Retenues2,204),INDEX(Paie_Retenues,204)))),"")</f>
      </c>
      <c r="J231" s="25">
        <f>IF(AND($B$5="Tous les employés",IFERROR(INDEX(Pointage_ID,204),"")&lt;&gt;""),IF(204=0,"-",IF($H$5="1ère quinzaine",INDEX(Paie_Net1,204),IF($H$5="2ème quinzaine",INDEX(Paie_Net2,204),INDEX(Paie_NetMensuel,204)))),"")</f>
      </c>
    </row>
    <row r="232">
      <c r="A232" s="20">
        <f>IF(AND($B$5="Tous les employés",IFERROR(INDEX(Pointage_ID,205),"")&lt;&gt;""),IFERROR(INDEX(Pointage_ID,205),""),"")</f>
      </c>
      <c r="B232" s="19">
        <f>IF(AND($B$5="Tous les employés",IFERROR(INDEX(Pointage_ID,205),"")&lt;&gt;""),INDEX(Pointage_Nom,205),"")</f>
      </c>
      <c r="C232" s="20">
        <f>IF(AND($B$5="Tous les employés",IFERROR(INDEX(Pointage_ID,205),"")&lt;&gt;""),INDEX(Pointage_Categorie,205),"")</f>
      </c>
      <c r="D232" s="22">
        <f>IF(AND($B$5="Tous les employés",IFERROR(INDEX(Pointage_ID,205),"")&lt;&gt;""),IF(205=0,"-",IF($H$5="1ère quinzaine",INDEX(Paie_Jours1,205),IF($H$5="2ème quinzaine",INDEX(Paie_Jours2,205),INDEX(Pointage_Travailles,205)))),"")</f>
      </c>
      <c r="E232" s="23">
        <f>IF(AND($B$5="Tous les employés",IFERROR(INDEX(Pointage_ID,205),"")&lt;&gt;""),IF(205=0,"-",IF($H$5="1ère quinzaine",INDEX(Paie_HS1,205),IF($H$5="2ème quinzaine",INDEX(Paie_HS2,205),INDEX(Pointage_HS,205)))),"")</f>
      </c>
      <c r="F232" s="24">
        <f>IF(AND($B$5="Tous les employés",IFERROR(INDEX(Pointage_ID,205),"")&lt;&gt;""),INDEX(Paie_SalaireJour,205),"")</f>
      </c>
      <c r="G232" s="24">
        <f>IF(AND($B$5="Tous les employés",IFERROR(INDEX(Pointage_ID,205),"")&lt;&gt;""),IF(205=0,"-",IF($H$5="1ère quinzaine",INDEX(Paie_MontantHS1,205),IF($H$5="2ème quinzaine",INDEX(Paie_MontantHS2,205),INDEX(Paie_MontantHS,205)))),"")</f>
      </c>
      <c r="H232" s="24">
        <f>IF(AND($B$5="Tous les employés",IFERROR(INDEX(Pointage_ID,205),"")&lt;&gt;""),IF(205=0,"-",IF($H$5="1ère quinzaine",INDEX(Paie_Brut1,205),IF($H$5="2ème quinzaine",INDEX(Paie_Brut2,205),INDEX(Paie_BrutMensuel,205)))),"")</f>
      </c>
      <c r="I232" s="24">
        <f>IF(AND($B$5="Tous les employés",IFERROR(INDEX(Pointage_ID,205),"")&lt;&gt;""),IF(205=0,"-",IF($H$5="1ère quinzaine",INDEX(Paie_Retenues1,205),IF($H$5="2ème quinzaine",INDEX(Paie_Retenues2,205),INDEX(Paie_Retenues,205)))),"")</f>
      </c>
      <c r="J232" s="25">
        <f>IF(AND($B$5="Tous les employés",IFERROR(INDEX(Pointage_ID,205),"")&lt;&gt;""),IF(205=0,"-",IF($H$5="1ère quinzaine",INDEX(Paie_Net1,205),IF($H$5="2ème quinzaine",INDEX(Paie_Net2,205),INDEX(Paie_NetMensuel,205)))),"")</f>
      </c>
    </row>
    <row r="233">
      <c r="A233" s="20">
        <f>IF(AND($B$5="Tous les employés",IFERROR(INDEX(Pointage_ID,206),"")&lt;&gt;""),IFERROR(INDEX(Pointage_ID,206),""),"")</f>
      </c>
      <c r="B233" s="19">
        <f>IF(AND($B$5="Tous les employés",IFERROR(INDEX(Pointage_ID,206),"")&lt;&gt;""),INDEX(Pointage_Nom,206),"")</f>
      </c>
      <c r="C233" s="20">
        <f>IF(AND($B$5="Tous les employés",IFERROR(INDEX(Pointage_ID,206),"")&lt;&gt;""),INDEX(Pointage_Categorie,206),"")</f>
      </c>
      <c r="D233" s="22">
        <f>IF(AND($B$5="Tous les employés",IFERROR(INDEX(Pointage_ID,206),"")&lt;&gt;""),IF(206=0,"-",IF($H$5="1ère quinzaine",INDEX(Paie_Jours1,206),IF($H$5="2ème quinzaine",INDEX(Paie_Jours2,206),INDEX(Pointage_Travailles,206)))),"")</f>
      </c>
      <c r="E233" s="23">
        <f>IF(AND($B$5="Tous les employés",IFERROR(INDEX(Pointage_ID,206),"")&lt;&gt;""),IF(206=0,"-",IF($H$5="1ère quinzaine",INDEX(Paie_HS1,206),IF($H$5="2ème quinzaine",INDEX(Paie_HS2,206),INDEX(Pointage_HS,206)))),"")</f>
      </c>
      <c r="F233" s="24">
        <f>IF(AND($B$5="Tous les employés",IFERROR(INDEX(Pointage_ID,206),"")&lt;&gt;""),INDEX(Paie_SalaireJour,206),"")</f>
      </c>
      <c r="G233" s="24">
        <f>IF(AND($B$5="Tous les employés",IFERROR(INDEX(Pointage_ID,206),"")&lt;&gt;""),IF(206=0,"-",IF($H$5="1ère quinzaine",INDEX(Paie_MontantHS1,206),IF($H$5="2ème quinzaine",INDEX(Paie_MontantHS2,206),INDEX(Paie_MontantHS,206)))),"")</f>
      </c>
      <c r="H233" s="24">
        <f>IF(AND($B$5="Tous les employés",IFERROR(INDEX(Pointage_ID,206),"")&lt;&gt;""),IF(206=0,"-",IF($H$5="1ère quinzaine",INDEX(Paie_Brut1,206),IF($H$5="2ème quinzaine",INDEX(Paie_Brut2,206),INDEX(Paie_BrutMensuel,206)))),"")</f>
      </c>
      <c r="I233" s="24">
        <f>IF(AND($B$5="Tous les employés",IFERROR(INDEX(Pointage_ID,206),"")&lt;&gt;""),IF(206=0,"-",IF($H$5="1ère quinzaine",INDEX(Paie_Retenues1,206),IF($H$5="2ème quinzaine",INDEX(Paie_Retenues2,206),INDEX(Paie_Retenues,206)))),"")</f>
      </c>
      <c r="J233" s="25">
        <f>IF(AND($B$5="Tous les employés",IFERROR(INDEX(Pointage_ID,206),"")&lt;&gt;""),IF(206=0,"-",IF($H$5="1ère quinzaine",INDEX(Paie_Net1,206),IF($H$5="2ème quinzaine",INDEX(Paie_Net2,206),INDEX(Paie_NetMensuel,206)))),"")</f>
      </c>
    </row>
    <row r="234">
      <c r="A234" s="20">
        <f>IF(AND($B$5="Tous les employés",IFERROR(INDEX(Pointage_ID,207),"")&lt;&gt;""),IFERROR(INDEX(Pointage_ID,207),""),"")</f>
      </c>
      <c r="B234" s="19">
        <f>IF(AND($B$5="Tous les employés",IFERROR(INDEX(Pointage_ID,207),"")&lt;&gt;""),INDEX(Pointage_Nom,207),"")</f>
      </c>
      <c r="C234" s="20">
        <f>IF(AND($B$5="Tous les employés",IFERROR(INDEX(Pointage_ID,207),"")&lt;&gt;""),INDEX(Pointage_Categorie,207),"")</f>
      </c>
      <c r="D234" s="22">
        <f>IF(AND($B$5="Tous les employés",IFERROR(INDEX(Pointage_ID,207),"")&lt;&gt;""),IF(207=0,"-",IF($H$5="1ère quinzaine",INDEX(Paie_Jours1,207),IF($H$5="2ème quinzaine",INDEX(Paie_Jours2,207),INDEX(Pointage_Travailles,207)))),"")</f>
      </c>
      <c r="E234" s="23">
        <f>IF(AND($B$5="Tous les employés",IFERROR(INDEX(Pointage_ID,207),"")&lt;&gt;""),IF(207=0,"-",IF($H$5="1ère quinzaine",INDEX(Paie_HS1,207),IF($H$5="2ème quinzaine",INDEX(Paie_HS2,207),INDEX(Pointage_HS,207)))),"")</f>
      </c>
      <c r="F234" s="24">
        <f>IF(AND($B$5="Tous les employés",IFERROR(INDEX(Pointage_ID,207),"")&lt;&gt;""),INDEX(Paie_SalaireJour,207),"")</f>
      </c>
      <c r="G234" s="24">
        <f>IF(AND($B$5="Tous les employés",IFERROR(INDEX(Pointage_ID,207),"")&lt;&gt;""),IF(207=0,"-",IF($H$5="1ère quinzaine",INDEX(Paie_MontantHS1,207),IF($H$5="2ème quinzaine",INDEX(Paie_MontantHS2,207),INDEX(Paie_MontantHS,207)))),"")</f>
      </c>
      <c r="H234" s="24">
        <f>IF(AND($B$5="Tous les employés",IFERROR(INDEX(Pointage_ID,207),"")&lt;&gt;""),IF(207=0,"-",IF($H$5="1ère quinzaine",INDEX(Paie_Brut1,207),IF($H$5="2ème quinzaine",INDEX(Paie_Brut2,207),INDEX(Paie_BrutMensuel,207)))),"")</f>
      </c>
      <c r="I234" s="24">
        <f>IF(AND($B$5="Tous les employés",IFERROR(INDEX(Pointage_ID,207),"")&lt;&gt;""),IF(207=0,"-",IF($H$5="1ère quinzaine",INDEX(Paie_Retenues1,207),IF($H$5="2ème quinzaine",INDEX(Paie_Retenues2,207),INDEX(Paie_Retenues,207)))),"")</f>
      </c>
      <c r="J234" s="25">
        <f>IF(AND($B$5="Tous les employés",IFERROR(INDEX(Pointage_ID,207),"")&lt;&gt;""),IF(207=0,"-",IF($H$5="1ère quinzaine",INDEX(Paie_Net1,207),IF($H$5="2ème quinzaine",INDEX(Paie_Net2,207),INDEX(Paie_NetMensuel,207)))),"")</f>
      </c>
    </row>
    <row r="235">
      <c r="A235" s="20">
        <f>IF(AND($B$5="Tous les employés",IFERROR(INDEX(Pointage_ID,208),"")&lt;&gt;""),IFERROR(INDEX(Pointage_ID,208),""),"")</f>
      </c>
      <c r="B235" s="19">
        <f>IF(AND($B$5="Tous les employés",IFERROR(INDEX(Pointage_ID,208),"")&lt;&gt;""),INDEX(Pointage_Nom,208),"")</f>
      </c>
      <c r="C235" s="20">
        <f>IF(AND($B$5="Tous les employés",IFERROR(INDEX(Pointage_ID,208),"")&lt;&gt;""),INDEX(Pointage_Categorie,208),"")</f>
      </c>
      <c r="D235" s="22">
        <f>IF(AND($B$5="Tous les employés",IFERROR(INDEX(Pointage_ID,208),"")&lt;&gt;""),IF(208=0,"-",IF($H$5="1ère quinzaine",INDEX(Paie_Jours1,208),IF($H$5="2ème quinzaine",INDEX(Paie_Jours2,208),INDEX(Pointage_Travailles,208)))),"")</f>
      </c>
      <c r="E235" s="23">
        <f>IF(AND($B$5="Tous les employés",IFERROR(INDEX(Pointage_ID,208),"")&lt;&gt;""),IF(208=0,"-",IF($H$5="1ère quinzaine",INDEX(Paie_HS1,208),IF($H$5="2ème quinzaine",INDEX(Paie_HS2,208),INDEX(Pointage_HS,208)))),"")</f>
      </c>
      <c r="F235" s="24">
        <f>IF(AND($B$5="Tous les employés",IFERROR(INDEX(Pointage_ID,208),"")&lt;&gt;""),INDEX(Paie_SalaireJour,208),"")</f>
      </c>
      <c r="G235" s="24">
        <f>IF(AND($B$5="Tous les employés",IFERROR(INDEX(Pointage_ID,208),"")&lt;&gt;""),IF(208=0,"-",IF($H$5="1ère quinzaine",INDEX(Paie_MontantHS1,208),IF($H$5="2ème quinzaine",INDEX(Paie_MontantHS2,208),INDEX(Paie_MontantHS,208)))),"")</f>
      </c>
      <c r="H235" s="24">
        <f>IF(AND($B$5="Tous les employés",IFERROR(INDEX(Pointage_ID,208),"")&lt;&gt;""),IF(208=0,"-",IF($H$5="1ère quinzaine",INDEX(Paie_Brut1,208),IF($H$5="2ème quinzaine",INDEX(Paie_Brut2,208),INDEX(Paie_BrutMensuel,208)))),"")</f>
      </c>
      <c r="I235" s="24">
        <f>IF(AND($B$5="Tous les employés",IFERROR(INDEX(Pointage_ID,208),"")&lt;&gt;""),IF(208=0,"-",IF($H$5="1ère quinzaine",INDEX(Paie_Retenues1,208),IF($H$5="2ème quinzaine",INDEX(Paie_Retenues2,208),INDEX(Paie_Retenues,208)))),"")</f>
      </c>
      <c r="J235" s="25">
        <f>IF(AND($B$5="Tous les employés",IFERROR(INDEX(Pointage_ID,208),"")&lt;&gt;""),IF(208=0,"-",IF($H$5="1ère quinzaine",INDEX(Paie_Net1,208),IF($H$5="2ème quinzaine",INDEX(Paie_Net2,208),INDEX(Paie_NetMensuel,208)))),"")</f>
      </c>
    </row>
    <row r="236">
      <c r="A236" s="20">
        <f>IF(AND($B$5="Tous les employés",IFERROR(INDEX(Pointage_ID,209),"")&lt;&gt;""),IFERROR(INDEX(Pointage_ID,209),""),"")</f>
      </c>
      <c r="B236" s="19">
        <f>IF(AND($B$5="Tous les employés",IFERROR(INDEX(Pointage_ID,209),"")&lt;&gt;""),INDEX(Pointage_Nom,209),"")</f>
      </c>
      <c r="C236" s="20">
        <f>IF(AND($B$5="Tous les employés",IFERROR(INDEX(Pointage_ID,209),"")&lt;&gt;""),INDEX(Pointage_Categorie,209),"")</f>
      </c>
      <c r="D236" s="22">
        <f>IF(AND($B$5="Tous les employés",IFERROR(INDEX(Pointage_ID,209),"")&lt;&gt;""),IF(209=0,"-",IF($H$5="1ère quinzaine",INDEX(Paie_Jours1,209),IF($H$5="2ème quinzaine",INDEX(Paie_Jours2,209),INDEX(Pointage_Travailles,209)))),"")</f>
      </c>
      <c r="E236" s="23">
        <f>IF(AND($B$5="Tous les employés",IFERROR(INDEX(Pointage_ID,209),"")&lt;&gt;""),IF(209=0,"-",IF($H$5="1ère quinzaine",INDEX(Paie_HS1,209),IF($H$5="2ème quinzaine",INDEX(Paie_HS2,209),INDEX(Pointage_HS,209)))),"")</f>
      </c>
      <c r="F236" s="24">
        <f>IF(AND($B$5="Tous les employés",IFERROR(INDEX(Pointage_ID,209),"")&lt;&gt;""),INDEX(Paie_SalaireJour,209),"")</f>
      </c>
      <c r="G236" s="24">
        <f>IF(AND($B$5="Tous les employés",IFERROR(INDEX(Pointage_ID,209),"")&lt;&gt;""),IF(209=0,"-",IF($H$5="1ère quinzaine",INDEX(Paie_MontantHS1,209),IF($H$5="2ème quinzaine",INDEX(Paie_MontantHS2,209),INDEX(Paie_MontantHS,209)))),"")</f>
      </c>
      <c r="H236" s="24">
        <f>IF(AND($B$5="Tous les employés",IFERROR(INDEX(Pointage_ID,209),"")&lt;&gt;""),IF(209=0,"-",IF($H$5="1ère quinzaine",INDEX(Paie_Brut1,209),IF($H$5="2ème quinzaine",INDEX(Paie_Brut2,209),INDEX(Paie_BrutMensuel,209)))),"")</f>
      </c>
      <c r="I236" s="24">
        <f>IF(AND($B$5="Tous les employés",IFERROR(INDEX(Pointage_ID,209),"")&lt;&gt;""),IF(209=0,"-",IF($H$5="1ère quinzaine",INDEX(Paie_Retenues1,209),IF($H$5="2ème quinzaine",INDEX(Paie_Retenues2,209),INDEX(Paie_Retenues,209)))),"")</f>
      </c>
      <c r="J236" s="25">
        <f>IF(AND($B$5="Tous les employés",IFERROR(INDEX(Pointage_ID,209),"")&lt;&gt;""),IF(209=0,"-",IF($H$5="1ère quinzaine",INDEX(Paie_Net1,209),IF($H$5="2ème quinzaine",INDEX(Paie_Net2,209),INDEX(Paie_NetMensuel,209)))),"")</f>
      </c>
    </row>
    <row r="237">
      <c r="A237" s="20">
        <f>IF(AND($B$5="Tous les employés",IFERROR(INDEX(Pointage_ID,210),"")&lt;&gt;""),IFERROR(INDEX(Pointage_ID,210),""),"")</f>
      </c>
      <c r="B237" s="19">
        <f>IF(AND($B$5="Tous les employés",IFERROR(INDEX(Pointage_ID,210),"")&lt;&gt;""),INDEX(Pointage_Nom,210),"")</f>
      </c>
      <c r="C237" s="20">
        <f>IF(AND($B$5="Tous les employés",IFERROR(INDEX(Pointage_ID,210),"")&lt;&gt;""),INDEX(Pointage_Categorie,210),"")</f>
      </c>
      <c r="D237" s="22">
        <f>IF(AND($B$5="Tous les employés",IFERROR(INDEX(Pointage_ID,210),"")&lt;&gt;""),IF(210=0,"-",IF($H$5="1ère quinzaine",INDEX(Paie_Jours1,210),IF($H$5="2ème quinzaine",INDEX(Paie_Jours2,210),INDEX(Pointage_Travailles,210)))),"")</f>
      </c>
      <c r="E237" s="23">
        <f>IF(AND($B$5="Tous les employés",IFERROR(INDEX(Pointage_ID,210),"")&lt;&gt;""),IF(210=0,"-",IF($H$5="1ère quinzaine",INDEX(Paie_HS1,210),IF($H$5="2ème quinzaine",INDEX(Paie_HS2,210),INDEX(Pointage_HS,210)))),"")</f>
      </c>
      <c r="F237" s="24">
        <f>IF(AND($B$5="Tous les employés",IFERROR(INDEX(Pointage_ID,210),"")&lt;&gt;""),INDEX(Paie_SalaireJour,210),"")</f>
      </c>
      <c r="G237" s="24">
        <f>IF(AND($B$5="Tous les employés",IFERROR(INDEX(Pointage_ID,210),"")&lt;&gt;""),IF(210=0,"-",IF($H$5="1ère quinzaine",INDEX(Paie_MontantHS1,210),IF($H$5="2ème quinzaine",INDEX(Paie_MontantHS2,210),INDEX(Paie_MontantHS,210)))),"")</f>
      </c>
      <c r="H237" s="24">
        <f>IF(AND($B$5="Tous les employés",IFERROR(INDEX(Pointage_ID,210),"")&lt;&gt;""),IF(210=0,"-",IF($H$5="1ère quinzaine",INDEX(Paie_Brut1,210),IF($H$5="2ème quinzaine",INDEX(Paie_Brut2,210),INDEX(Paie_BrutMensuel,210)))),"")</f>
      </c>
      <c r="I237" s="24">
        <f>IF(AND($B$5="Tous les employés",IFERROR(INDEX(Pointage_ID,210),"")&lt;&gt;""),IF(210=0,"-",IF($H$5="1ère quinzaine",INDEX(Paie_Retenues1,210),IF($H$5="2ème quinzaine",INDEX(Paie_Retenues2,210),INDEX(Paie_Retenues,210)))),"")</f>
      </c>
      <c r="J237" s="25">
        <f>IF(AND($B$5="Tous les employés",IFERROR(INDEX(Pointage_ID,210),"")&lt;&gt;""),IF(210=0,"-",IF($H$5="1ère quinzaine",INDEX(Paie_Net1,210),IF($H$5="2ème quinzaine",INDEX(Paie_Net2,210),INDEX(Paie_NetMensuel,210)))),"")</f>
      </c>
    </row>
    <row r="238">
      <c r="A238" s="20">
        <f>IF(AND($B$5="Tous les employés",IFERROR(INDEX(Pointage_ID,211),"")&lt;&gt;""),IFERROR(INDEX(Pointage_ID,211),""),"")</f>
      </c>
      <c r="B238" s="19">
        <f>IF(AND($B$5="Tous les employés",IFERROR(INDEX(Pointage_ID,211),"")&lt;&gt;""),INDEX(Pointage_Nom,211),"")</f>
      </c>
      <c r="C238" s="20">
        <f>IF(AND($B$5="Tous les employés",IFERROR(INDEX(Pointage_ID,211),"")&lt;&gt;""),INDEX(Pointage_Categorie,211),"")</f>
      </c>
      <c r="D238" s="22">
        <f>IF(AND($B$5="Tous les employés",IFERROR(INDEX(Pointage_ID,211),"")&lt;&gt;""),IF(211=0,"-",IF($H$5="1ère quinzaine",INDEX(Paie_Jours1,211),IF($H$5="2ème quinzaine",INDEX(Paie_Jours2,211),INDEX(Pointage_Travailles,211)))),"")</f>
      </c>
      <c r="E238" s="23">
        <f>IF(AND($B$5="Tous les employés",IFERROR(INDEX(Pointage_ID,211),"")&lt;&gt;""),IF(211=0,"-",IF($H$5="1ère quinzaine",INDEX(Paie_HS1,211),IF($H$5="2ème quinzaine",INDEX(Paie_HS2,211),INDEX(Pointage_HS,211)))),"")</f>
      </c>
      <c r="F238" s="24">
        <f>IF(AND($B$5="Tous les employés",IFERROR(INDEX(Pointage_ID,211),"")&lt;&gt;""),INDEX(Paie_SalaireJour,211),"")</f>
      </c>
      <c r="G238" s="24">
        <f>IF(AND($B$5="Tous les employés",IFERROR(INDEX(Pointage_ID,211),"")&lt;&gt;""),IF(211=0,"-",IF($H$5="1ère quinzaine",INDEX(Paie_MontantHS1,211),IF($H$5="2ème quinzaine",INDEX(Paie_MontantHS2,211),INDEX(Paie_MontantHS,211)))),"")</f>
      </c>
      <c r="H238" s="24">
        <f>IF(AND($B$5="Tous les employés",IFERROR(INDEX(Pointage_ID,211),"")&lt;&gt;""),IF(211=0,"-",IF($H$5="1ère quinzaine",INDEX(Paie_Brut1,211),IF($H$5="2ème quinzaine",INDEX(Paie_Brut2,211),INDEX(Paie_BrutMensuel,211)))),"")</f>
      </c>
      <c r="I238" s="24">
        <f>IF(AND($B$5="Tous les employés",IFERROR(INDEX(Pointage_ID,211),"")&lt;&gt;""),IF(211=0,"-",IF($H$5="1ère quinzaine",INDEX(Paie_Retenues1,211),IF($H$5="2ème quinzaine",INDEX(Paie_Retenues2,211),INDEX(Paie_Retenues,211)))),"")</f>
      </c>
      <c r="J238" s="25">
        <f>IF(AND($B$5="Tous les employés",IFERROR(INDEX(Pointage_ID,211),"")&lt;&gt;""),IF(211=0,"-",IF($H$5="1ère quinzaine",INDEX(Paie_Net1,211),IF($H$5="2ème quinzaine",INDEX(Paie_Net2,211),INDEX(Paie_NetMensuel,211)))),"")</f>
      </c>
    </row>
    <row r="239">
      <c r="A239" s="20">
        <f>IF(AND($B$5="Tous les employés",IFERROR(INDEX(Pointage_ID,212),"")&lt;&gt;""),IFERROR(INDEX(Pointage_ID,212),""),"")</f>
      </c>
      <c r="B239" s="19">
        <f>IF(AND($B$5="Tous les employés",IFERROR(INDEX(Pointage_ID,212),"")&lt;&gt;""),INDEX(Pointage_Nom,212),"")</f>
      </c>
      <c r="C239" s="20">
        <f>IF(AND($B$5="Tous les employés",IFERROR(INDEX(Pointage_ID,212),"")&lt;&gt;""),INDEX(Pointage_Categorie,212),"")</f>
      </c>
      <c r="D239" s="22">
        <f>IF(AND($B$5="Tous les employés",IFERROR(INDEX(Pointage_ID,212),"")&lt;&gt;""),IF(212=0,"-",IF($H$5="1ère quinzaine",INDEX(Paie_Jours1,212),IF($H$5="2ème quinzaine",INDEX(Paie_Jours2,212),INDEX(Pointage_Travailles,212)))),"")</f>
      </c>
      <c r="E239" s="23">
        <f>IF(AND($B$5="Tous les employés",IFERROR(INDEX(Pointage_ID,212),"")&lt;&gt;""),IF(212=0,"-",IF($H$5="1ère quinzaine",INDEX(Paie_HS1,212),IF($H$5="2ème quinzaine",INDEX(Paie_HS2,212),INDEX(Pointage_HS,212)))),"")</f>
      </c>
      <c r="F239" s="24">
        <f>IF(AND($B$5="Tous les employés",IFERROR(INDEX(Pointage_ID,212),"")&lt;&gt;""),INDEX(Paie_SalaireJour,212),"")</f>
      </c>
      <c r="G239" s="24">
        <f>IF(AND($B$5="Tous les employés",IFERROR(INDEX(Pointage_ID,212),"")&lt;&gt;""),IF(212=0,"-",IF($H$5="1ère quinzaine",INDEX(Paie_MontantHS1,212),IF($H$5="2ème quinzaine",INDEX(Paie_MontantHS2,212),INDEX(Paie_MontantHS,212)))),"")</f>
      </c>
      <c r="H239" s="24">
        <f>IF(AND($B$5="Tous les employés",IFERROR(INDEX(Pointage_ID,212),"")&lt;&gt;""),IF(212=0,"-",IF($H$5="1ère quinzaine",INDEX(Paie_Brut1,212),IF($H$5="2ème quinzaine",INDEX(Paie_Brut2,212),INDEX(Paie_BrutMensuel,212)))),"")</f>
      </c>
      <c r="I239" s="24">
        <f>IF(AND($B$5="Tous les employés",IFERROR(INDEX(Pointage_ID,212),"")&lt;&gt;""),IF(212=0,"-",IF($H$5="1ère quinzaine",INDEX(Paie_Retenues1,212),IF($H$5="2ème quinzaine",INDEX(Paie_Retenues2,212),INDEX(Paie_Retenues,212)))),"")</f>
      </c>
      <c r="J239" s="25">
        <f>IF(AND($B$5="Tous les employés",IFERROR(INDEX(Pointage_ID,212),"")&lt;&gt;""),IF(212=0,"-",IF($H$5="1ère quinzaine",INDEX(Paie_Net1,212),IF($H$5="2ème quinzaine",INDEX(Paie_Net2,212),INDEX(Paie_NetMensuel,212)))),"")</f>
      </c>
    </row>
    <row r="240">
      <c r="A240" s="20">
        <f>IF(AND($B$5="Tous les employés",IFERROR(INDEX(Pointage_ID,213),"")&lt;&gt;""),IFERROR(INDEX(Pointage_ID,213),""),"")</f>
      </c>
      <c r="B240" s="19">
        <f>IF(AND($B$5="Tous les employés",IFERROR(INDEX(Pointage_ID,213),"")&lt;&gt;""),INDEX(Pointage_Nom,213),"")</f>
      </c>
      <c r="C240" s="20">
        <f>IF(AND($B$5="Tous les employés",IFERROR(INDEX(Pointage_ID,213),"")&lt;&gt;""),INDEX(Pointage_Categorie,213),"")</f>
      </c>
      <c r="D240" s="22">
        <f>IF(AND($B$5="Tous les employés",IFERROR(INDEX(Pointage_ID,213),"")&lt;&gt;""),IF(213=0,"-",IF($H$5="1ère quinzaine",INDEX(Paie_Jours1,213),IF($H$5="2ème quinzaine",INDEX(Paie_Jours2,213),INDEX(Pointage_Travailles,213)))),"")</f>
      </c>
      <c r="E240" s="23">
        <f>IF(AND($B$5="Tous les employés",IFERROR(INDEX(Pointage_ID,213),"")&lt;&gt;""),IF(213=0,"-",IF($H$5="1ère quinzaine",INDEX(Paie_HS1,213),IF($H$5="2ème quinzaine",INDEX(Paie_HS2,213),INDEX(Pointage_HS,213)))),"")</f>
      </c>
      <c r="F240" s="24">
        <f>IF(AND($B$5="Tous les employés",IFERROR(INDEX(Pointage_ID,213),"")&lt;&gt;""),INDEX(Paie_SalaireJour,213),"")</f>
      </c>
      <c r="G240" s="24">
        <f>IF(AND($B$5="Tous les employés",IFERROR(INDEX(Pointage_ID,213),"")&lt;&gt;""),IF(213=0,"-",IF($H$5="1ère quinzaine",INDEX(Paie_MontantHS1,213),IF($H$5="2ème quinzaine",INDEX(Paie_MontantHS2,213),INDEX(Paie_MontantHS,213)))),"")</f>
      </c>
      <c r="H240" s="24">
        <f>IF(AND($B$5="Tous les employés",IFERROR(INDEX(Pointage_ID,213),"")&lt;&gt;""),IF(213=0,"-",IF($H$5="1ère quinzaine",INDEX(Paie_Brut1,213),IF($H$5="2ème quinzaine",INDEX(Paie_Brut2,213),INDEX(Paie_BrutMensuel,213)))),"")</f>
      </c>
      <c r="I240" s="24">
        <f>IF(AND($B$5="Tous les employés",IFERROR(INDEX(Pointage_ID,213),"")&lt;&gt;""),IF(213=0,"-",IF($H$5="1ère quinzaine",INDEX(Paie_Retenues1,213),IF($H$5="2ème quinzaine",INDEX(Paie_Retenues2,213),INDEX(Paie_Retenues,213)))),"")</f>
      </c>
      <c r="J240" s="25">
        <f>IF(AND($B$5="Tous les employés",IFERROR(INDEX(Pointage_ID,213),"")&lt;&gt;""),IF(213=0,"-",IF($H$5="1ère quinzaine",INDEX(Paie_Net1,213),IF($H$5="2ème quinzaine",INDEX(Paie_Net2,213),INDEX(Paie_NetMensuel,213)))),"")</f>
      </c>
    </row>
    <row r="241">
      <c r="A241" s="20">
        <f>IF(AND($B$5="Tous les employés",IFERROR(INDEX(Pointage_ID,214),"")&lt;&gt;""),IFERROR(INDEX(Pointage_ID,214),""),"")</f>
      </c>
      <c r="B241" s="19">
        <f>IF(AND($B$5="Tous les employés",IFERROR(INDEX(Pointage_ID,214),"")&lt;&gt;""),INDEX(Pointage_Nom,214),"")</f>
      </c>
      <c r="C241" s="20">
        <f>IF(AND($B$5="Tous les employés",IFERROR(INDEX(Pointage_ID,214),"")&lt;&gt;""),INDEX(Pointage_Categorie,214),"")</f>
      </c>
      <c r="D241" s="22">
        <f>IF(AND($B$5="Tous les employés",IFERROR(INDEX(Pointage_ID,214),"")&lt;&gt;""),IF(214=0,"-",IF($H$5="1ère quinzaine",INDEX(Paie_Jours1,214),IF($H$5="2ème quinzaine",INDEX(Paie_Jours2,214),INDEX(Pointage_Travailles,214)))),"")</f>
      </c>
      <c r="E241" s="23">
        <f>IF(AND($B$5="Tous les employés",IFERROR(INDEX(Pointage_ID,214),"")&lt;&gt;""),IF(214=0,"-",IF($H$5="1ère quinzaine",INDEX(Paie_HS1,214),IF($H$5="2ème quinzaine",INDEX(Paie_HS2,214),INDEX(Pointage_HS,214)))),"")</f>
      </c>
      <c r="F241" s="24">
        <f>IF(AND($B$5="Tous les employés",IFERROR(INDEX(Pointage_ID,214),"")&lt;&gt;""),INDEX(Paie_SalaireJour,214),"")</f>
      </c>
      <c r="G241" s="24">
        <f>IF(AND($B$5="Tous les employés",IFERROR(INDEX(Pointage_ID,214),"")&lt;&gt;""),IF(214=0,"-",IF($H$5="1ère quinzaine",INDEX(Paie_MontantHS1,214),IF($H$5="2ème quinzaine",INDEX(Paie_MontantHS2,214),INDEX(Paie_MontantHS,214)))),"")</f>
      </c>
      <c r="H241" s="24">
        <f>IF(AND($B$5="Tous les employés",IFERROR(INDEX(Pointage_ID,214),"")&lt;&gt;""),IF(214=0,"-",IF($H$5="1ère quinzaine",INDEX(Paie_Brut1,214),IF($H$5="2ème quinzaine",INDEX(Paie_Brut2,214),INDEX(Paie_BrutMensuel,214)))),"")</f>
      </c>
      <c r="I241" s="24">
        <f>IF(AND($B$5="Tous les employés",IFERROR(INDEX(Pointage_ID,214),"")&lt;&gt;""),IF(214=0,"-",IF($H$5="1ère quinzaine",INDEX(Paie_Retenues1,214),IF($H$5="2ème quinzaine",INDEX(Paie_Retenues2,214),INDEX(Paie_Retenues,214)))),"")</f>
      </c>
      <c r="J241" s="25">
        <f>IF(AND($B$5="Tous les employés",IFERROR(INDEX(Pointage_ID,214),"")&lt;&gt;""),IF(214=0,"-",IF($H$5="1ère quinzaine",INDEX(Paie_Net1,214),IF($H$5="2ème quinzaine",INDEX(Paie_Net2,214),INDEX(Paie_NetMensuel,214)))),"")</f>
      </c>
    </row>
    <row r="242">
      <c r="A242" s="20">
        <f>IF(AND($B$5="Tous les employés",IFERROR(INDEX(Pointage_ID,215),"")&lt;&gt;""),IFERROR(INDEX(Pointage_ID,215),""),"")</f>
      </c>
      <c r="B242" s="19">
        <f>IF(AND($B$5="Tous les employés",IFERROR(INDEX(Pointage_ID,215),"")&lt;&gt;""),INDEX(Pointage_Nom,215),"")</f>
      </c>
      <c r="C242" s="20">
        <f>IF(AND($B$5="Tous les employés",IFERROR(INDEX(Pointage_ID,215),"")&lt;&gt;""),INDEX(Pointage_Categorie,215),"")</f>
      </c>
      <c r="D242" s="22">
        <f>IF(AND($B$5="Tous les employés",IFERROR(INDEX(Pointage_ID,215),"")&lt;&gt;""),IF(215=0,"-",IF($H$5="1ère quinzaine",INDEX(Paie_Jours1,215),IF($H$5="2ème quinzaine",INDEX(Paie_Jours2,215),INDEX(Pointage_Travailles,215)))),"")</f>
      </c>
      <c r="E242" s="23">
        <f>IF(AND($B$5="Tous les employés",IFERROR(INDEX(Pointage_ID,215),"")&lt;&gt;""),IF(215=0,"-",IF($H$5="1ère quinzaine",INDEX(Paie_HS1,215),IF($H$5="2ème quinzaine",INDEX(Paie_HS2,215),INDEX(Pointage_HS,215)))),"")</f>
      </c>
      <c r="F242" s="24">
        <f>IF(AND($B$5="Tous les employés",IFERROR(INDEX(Pointage_ID,215),"")&lt;&gt;""),INDEX(Paie_SalaireJour,215),"")</f>
      </c>
      <c r="G242" s="24">
        <f>IF(AND($B$5="Tous les employés",IFERROR(INDEX(Pointage_ID,215),"")&lt;&gt;""),IF(215=0,"-",IF($H$5="1ère quinzaine",INDEX(Paie_MontantHS1,215),IF($H$5="2ème quinzaine",INDEX(Paie_MontantHS2,215),INDEX(Paie_MontantHS,215)))),"")</f>
      </c>
      <c r="H242" s="24">
        <f>IF(AND($B$5="Tous les employés",IFERROR(INDEX(Pointage_ID,215),"")&lt;&gt;""),IF(215=0,"-",IF($H$5="1ère quinzaine",INDEX(Paie_Brut1,215),IF($H$5="2ème quinzaine",INDEX(Paie_Brut2,215),INDEX(Paie_BrutMensuel,215)))),"")</f>
      </c>
      <c r="I242" s="24">
        <f>IF(AND($B$5="Tous les employés",IFERROR(INDEX(Pointage_ID,215),"")&lt;&gt;""),IF(215=0,"-",IF($H$5="1ère quinzaine",INDEX(Paie_Retenues1,215),IF($H$5="2ème quinzaine",INDEX(Paie_Retenues2,215),INDEX(Paie_Retenues,215)))),"")</f>
      </c>
      <c r="J242" s="25">
        <f>IF(AND($B$5="Tous les employés",IFERROR(INDEX(Pointage_ID,215),"")&lt;&gt;""),IF(215=0,"-",IF($H$5="1ère quinzaine",INDEX(Paie_Net1,215),IF($H$5="2ème quinzaine",INDEX(Paie_Net2,215),INDEX(Paie_NetMensuel,215)))),"")</f>
      </c>
    </row>
    <row r="243">
      <c r="A243" s="20">
        <f>IF(AND($B$5="Tous les employés",IFERROR(INDEX(Pointage_ID,216),"")&lt;&gt;""),IFERROR(INDEX(Pointage_ID,216),""),"")</f>
      </c>
      <c r="B243" s="19">
        <f>IF(AND($B$5="Tous les employés",IFERROR(INDEX(Pointage_ID,216),"")&lt;&gt;""),INDEX(Pointage_Nom,216),"")</f>
      </c>
      <c r="C243" s="20">
        <f>IF(AND($B$5="Tous les employés",IFERROR(INDEX(Pointage_ID,216),"")&lt;&gt;""),INDEX(Pointage_Categorie,216),"")</f>
      </c>
      <c r="D243" s="22">
        <f>IF(AND($B$5="Tous les employés",IFERROR(INDEX(Pointage_ID,216),"")&lt;&gt;""),IF(216=0,"-",IF($H$5="1ère quinzaine",INDEX(Paie_Jours1,216),IF($H$5="2ème quinzaine",INDEX(Paie_Jours2,216),INDEX(Pointage_Travailles,216)))),"")</f>
      </c>
      <c r="E243" s="23">
        <f>IF(AND($B$5="Tous les employés",IFERROR(INDEX(Pointage_ID,216),"")&lt;&gt;""),IF(216=0,"-",IF($H$5="1ère quinzaine",INDEX(Paie_HS1,216),IF($H$5="2ème quinzaine",INDEX(Paie_HS2,216),INDEX(Pointage_HS,216)))),"")</f>
      </c>
      <c r="F243" s="24">
        <f>IF(AND($B$5="Tous les employés",IFERROR(INDEX(Pointage_ID,216),"")&lt;&gt;""),INDEX(Paie_SalaireJour,216),"")</f>
      </c>
      <c r="G243" s="24">
        <f>IF(AND($B$5="Tous les employés",IFERROR(INDEX(Pointage_ID,216),"")&lt;&gt;""),IF(216=0,"-",IF($H$5="1ère quinzaine",INDEX(Paie_MontantHS1,216),IF($H$5="2ème quinzaine",INDEX(Paie_MontantHS2,216),INDEX(Paie_MontantHS,216)))),"")</f>
      </c>
      <c r="H243" s="24">
        <f>IF(AND($B$5="Tous les employés",IFERROR(INDEX(Pointage_ID,216),"")&lt;&gt;""),IF(216=0,"-",IF($H$5="1ère quinzaine",INDEX(Paie_Brut1,216),IF($H$5="2ème quinzaine",INDEX(Paie_Brut2,216),INDEX(Paie_BrutMensuel,216)))),"")</f>
      </c>
      <c r="I243" s="24">
        <f>IF(AND($B$5="Tous les employés",IFERROR(INDEX(Pointage_ID,216),"")&lt;&gt;""),IF(216=0,"-",IF($H$5="1ère quinzaine",INDEX(Paie_Retenues1,216),IF($H$5="2ème quinzaine",INDEX(Paie_Retenues2,216),INDEX(Paie_Retenues,216)))),"")</f>
      </c>
      <c r="J243" s="25">
        <f>IF(AND($B$5="Tous les employés",IFERROR(INDEX(Pointage_ID,216),"")&lt;&gt;""),IF(216=0,"-",IF($H$5="1ère quinzaine",INDEX(Paie_Net1,216),IF($H$5="2ème quinzaine",INDEX(Paie_Net2,216),INDEX(Paie_NetMensuel,216)))),"")</f>
      </c>
    </row>
    <row r="244">
      <c r="A244" s="20">
        <f>IF(AND($B$5="Tous les employés",IFERROR(INDEX(Pointage_ID,217),"")&lt;&gt;""),IFERROR(INDEX(Pointage_ID,217),""),"")</f>
      </c>
      <c r="B244" s="19">
        <f>IF(AND($B$5="Tous les employés",IFERROR(INDEX(Pointage_ID,217),"")&lt;&gt;""),INDEX(Pointage_Nom,217),"")</f>
      </c>
      <c r="C244" s="20">
        <f>IF(AND($B$5="Tous les employés",IFERROR(INDEX(Pointage_ID,217),"")&lt;&gt;""),INDEX(Pointage_Categorie,217),"")</f>
      </c>
      <c r="D244" s="22">
        <f>IF(AND($B$5="Tous les employés",IFERROR(INDEX(Pointage_ID,217),"")&lt;&gt;""),IF(217=0,"-",IF($H$5="1ère quinzaine",INDEX(Paie_Jours1,217),IF($H$5="2ème quinzaine",INDEX(Paie_Jours2,217),INDEX(Pointage_Travailles,217)))),"")</f>
      </c>
      <c r="E244" s="23">
        <f>IF(AND($B$5="Tous les employés",IFERROR(INDEX(Pointage_ID,217),"")&lt;&gt;""),IF(217=0,"-",IF($H$5="1ère quinzaine",INDEX(Paie_HS1,217),IF($H$5="2ème quinzaine",INDEX(Paie_HS2,217),INDEX(Pointage_HS,217)))),"")</f>
      </c>
      <c r="F244" s="24">
        <f>IF(AND($B$5="Tous les employés",IFERROR(INDEX(Pointage_ID,217),"")&lt;&gt;""),INDEX(Paie_SalaireJour,217),"")</f>
      </c>
      <c r="G244" s="24">
        <f>IF(AND($B$5="Tous les employés",IFERROR(INDEX(Pointage_ID,217),"")&lt;&gt;""),IF(217=0,"-",IF($H$5="1ère quinzaine",INDEX(Paie_MontantHS1,217),IF($H$5="2ème quinzaine",INDEX(Paie_MontantHS2,217),INDEX(Paie_MontantHS,217)))),"")</f>
      </c>
      <c r="H244" s="24">
        <f>IF(AND($B$5="Tous les employés",IFERROR(INDEX(Pointage_ID,217),"")&lt;&gt;""),IF(217=0,"-",IF($H$5="1ère quinzaine",INDEX(Paie_Brut1,217),IF($H$5="2ème quinzaine",INDEX(Paie_Brut2,217),INDEX(Paie_BrutMensuel,217)))),"")</f>
      </c>
      <c r="I244" s="24">
        <f>IF(AND($B$5="Tous les employés",IFERROR(INDEX(Pointage_ID,217),"")&lt;&gt;""),IF(217=0,"-",IF($H$5="1ère quinzaine",INDEX(Paie_Retenues1,217),IF($H$5="2ème quinzaine",INDEX(Paie_Retenues2,217),INDEX(Paie_Retenues,217)))),"")</f>
      </c>
      <c r="J244" s="25">
        <f>IF(AND($B$5="Tous les employés",IFERROR(INDEX(Pointage_ID,217),"")&lt;&gt;""),IF(217=0,"-",IF($H$5="1ère quinzaine",INDEX(Paie_Net1,217),IF($H$5="2ème quinzaine",INDEX(Paie_Net2,217),INDEX(Paie_NetMensuel,217)))),"")</f>
      </c>
    </row>
    <row r="245">
      <c r="A245" s="20">
        <f>IF(AND($B$5="Tous les employés",IFERROR(INDEX(Pointage_ID,218),"")&lt;&gt;""),IFERROR(INDEX(Pointage_ID,218),""),"")</f>
      </c>
      <c r="B245" s="19">
        <f>IF(AND($B$5="Tous les employés",IFERROR(INDEX(Pointage_ID,218),"")&lt;&gt;""),INDEX(Pointage_Nom,218),"")</f>
      </c>
      <c r="C245" s="20">
        <f>IF(AND($B$5="Tous les employés",IFERROR(INDEX(Pointage_ID,218),"")&lt;&gt;""),INDEX(Pointage_Categorie,218),"")</f>
      </c>
      <c r="D245" s="22">
        <f>IF(AND($B$5="Tous les employés",IFERROR(INDEX(Pointage_ID,218),"")&lt;&gt;""),IF(218=0,"-",IF($H$5="1ère quinzaine",INDEX(Paie_Jours1,218),IF($H$5="2ème quinzaine",INDEX(Paie_Jours2,218),INDEX(Pointage_Travailles,218)))),"")</f>
      </c>
      <c r="E245" s="23">
        <f>IF(AND($B$5="Tous les employés",IFERROR(INDEX(Pointage_ID,218),"")&lt;&gt;""),IF(218=0,"-",IF($H$5="1ère quinzaine",INDEX(Paie_HS1,218),IF($H$5="2ème quinzaine",INDEX(Paie_HS2,218),INDEX(Pointage_HS,218)))),"")</f>
      </c>
      <c r="F245" s="24">
        <f>IF(AND($B$5="Tous les employés",IFERROR(INDEX(Pointage_ID,218),"")&lt;&gt;""),INDEX(Paie_SalaireJour,218),"")</f>
      </c>
      <c r="G245" s="24">
        <f>IF(AND($B$5="Tous les employés",IFERROR(INDEX(Pointage_ID,218),"")&lt;&gt;""),IF(218=0,"-",IF($H$5="1ère quinzaine",INDEX(Paie_MontantHS1,218),IF($H$5="2ème quinzaine",INDEX(Paie_MontantHS2,218),INDEX(Paie_MontantHS,218)))),"")</f>
      </c>
      <c r="H245" s="24">
        <f>IF(AND($B$5="Tous les employés",IFERROR(INDEX(Pointage_ID,218),"")&lt;&gt;""),IF(218=0,"-",IF($H$5="1ère quinzaine",INDEX(Paie_Brut1,218),IF($H$5="2ème quinzaine",INDEX(Paie_Brut2,218),INDEX(Paie_BrutMensuel,218)))),"")</f>
      </c>
      <c r="I245" s="24">
        <f>IF(AND($B$5="Tous les employés",IFERROR(INDEX(Pointage_ID,218),"")&lt;&gt;""),IF(218=0,"-",IF($H$5="1ère quinzaine",INDEX(Paie_Retenues1,218),IF($H$5="2ème quinzaine",INDEX(Paie_Retenues2,218),INDEX(Paie_Retenues,218)))),"")</f>
      </c>
      <c r="J245" s="25">
        <f>IF(AND($B$5="Tous les employés",IFERROR(INDEX(Pointage_ID,218),"")&lt;&gt;""),IF(218=0,"-",IF($H$5="1ère quinzaine",INDEX(Paie_Net1,218),IF($H$5="2ème quinzaine",INDEX(Paie_Net2,218),INDEX(Paie_NetMensuel,218)))),"")</f>
      </c>
    </row>
    <row r="246">
      <c r="A246" s="20">
        <f>IF(AND($B$5="Tous les employés",IFERROR(INDEX(Pointage_ID,219),"")&lt;&gt;""),IFERROR(INDEX(Pointage_ID,219),""),"")</f>
      </c>
      <c r="B246" s="19">
        <f>IF(AND($B$5="Tous les employés",IFERROR(INDEX(Pointage_ID,219),"")&lt;&gt;""),INDEX(Pointage_Nom,219),"")</f>
      </c>
      <c r="C246" s="20">
        <f>IF(AND($B$5="Tous les employés",IFERROR(INDEX(Pointage_ID,219),"")&lt;&gt;""),INDEX(Pointage_Categorie,219),"")</f>
      </c>
      <c r="D246" s="22">
        <f>IF(AND($B$5="Tous les employés",IFERROR(INDEX(Pointage_ID,219),"")&lt;&gt;""),IF(219=0,"-",IF($H$5="1ère quinzaine",INDEX(Paie_Jours1,219),IF($H$5="2ème quinzaine",INDEX(Paie_Jours2,219),INDEX(Pointage_Travailles,219)))),"")</f>
      </c>
      <c r="E246" s="23">
        <f>IF(AND($B$5="Tous les employés",IFERROR(INDEX(Pointage_ID,219),"")&lt;&gt;""),IF(219=0,"-",IF($H$5="1ère quinzaine",INDEX(Paie_HS1,219),IF($H$5="2ème quinzaine",INDEX(Paie_HS2,219),INDEX(Pointage_HS,219)))),"")</f>
      </c>
      <c r="F246" s="24">
        <f>IF(AND($B$5="Tous les employés",IFERROR(INDEX(Pointage_ID,219),"")&lt;&gt;""),INDEX(Paie_SalaireJour,219),"")</f>
      </c>
      <c r="G246" s="24">
        <f>IF(AND($B$5="Tous les employés",IFERROR(INDEX(Pointage_ID,219),"")&lt;&gt;""),IF(219=0,"-",IF($H$5="1ère quinzaine",INDEX(Paie_MontantHS1,219),IF($H$5="2ème quinzaine",INDEX(Paie_MontantHS2,219),INDEX(Paie_MontantHS,219)))),"")</f>
      </c>
      <c r="H246" s="24">
        <f>IF(AND($B$5="Tous les employés",IFERROR(INDEX(Pointage_ID,219),"")&lt;&gt;""),IF(219=0,"-",IF($H$5="1ère quinzaine",INDEX(Paie_Brut1,219),IF($H$5="2ème quinzaine",INDEX(Paie_Brut2,219),INDEX(Paie_BrutMensuel,219)))),"")</f>
      </c>
      <c r="I246" s="24">
        <f>IF(AND($B$5="Tous les employés",IFERROR(INDEX(Pointage_ID,219),"")&lt;&gt;""),IF(219=0,"-",IF($H$5="1ère quinzaine",INDEX(Paie_Retenues1,219),IF($H$5="2ème quinzaine",INDEX(Paie_Retenues2,219),INDEX(Paie_Retenues,219)))),"")</f>
      </c>
      <c r="J246" s="25">
        <f>IF(AND($B$5="Tous les employés",IFERROR(INDEX(Pointage_ID,219),"")&lt;&gt;""),IF(219=0,"-",IF($H$5="1ère quinzaine",INDEX(Paie_Net1,219),IF($H$5="2ème quinzaine",INDEX(Paie_Net2,219),INDEX(Paie_NetMensuel,219)))),"")</f>
      </c>
    </row>
    <row r="247">
      <c r="A247" s="20">
        <f>IF(AND($B$5="Tous les employés",IFERROR(INDEX(Pointage_ID,220),"")&lt;&gt;""),IFERROR(INDEX(Pointage_ID,220),""),"")</f>
      </c>
      <c r="B247" s="19">
        <f>IF(AND($B$5="Tous les employés",IFERROR(INDEX(Pointage_ID,220),"")&lt;&gt;""),INDEX(Pointage_Nom,220),"")</f>
      </c>
      <c r="C247" s="20">
        <f>IF(AND($B$5="Tous les employés",IFERROR(INDEX(Pointage_ID,220),"")&lt;&gt;""),INDEX(Pointage_Categorie,220),"")</f>
      </c>
      <c r="D247" s="22">
        <f>IF(AND($B$5="Tous les employés",IFERROR(INDEX(Pointage_ID,220),"")&lt;&gt;""),IF(220=0,"-",IF($H$5="1ère quinzaine",INDEX(Paie_Jours1,220),IF($H$5="2ème quinzaine",INDEX(Paie_Jours2,220),INDEX(Pointage_Travailles,220)))),"")</f>
      </c>
      <c r="E247" s="23">
        <f>IF(AND($B$5="Tous les employés",IFERROR(INDEX(Pointage_ID,220),"")&lt;&gt;""),IF(220=0,"-",IF($H$5="1ère quinzaine",INDEX(Paie_HS1,220),IF($H$5="2ème quinzaine",INDEX(Paie_HS2,220),INDEX(Pointage_HS,220)))),"")</f>
      </c>
      <c r="F247" s="24">
        <f>IF(AND($B$5="Tous les employés",IFERROR(INDEX(Pointage_ID,220),"")&lt;&gt;""),INDEX(Paie_SalaireJour,220),"")</f>
      </c>
      <c r="G247" s="24">
        <f>IF(AND($B$5="Tous les employés",IFERROR(INDEX(Pointage_ID,220),"")&lt;&gt;""),IF(220=0,"-",IF($H$5="1ère quinzaine",INDEX(Paie_MontantHS1,220),IF($H$5="2ème quinzaine",INDEX(Paie_MontantHS2,220),INDEX(Paie_MontantHS,220)))),"")</f>
      </c>
      <c r="H247" s="24">
        <f>IF(AND($B$5="Tous les employés",IFERROR(INDEX(Pointage_ID,220),"")&lt;&gt;""),IF(220=0,"-",IF($H$5="1ère quinzaine",INDEX(Paie_Brut1,220),IF($H$5="2ème quinzaine",INDEX(Paie_Brut2,220),INDEX(Paie_BrutMensuel,220)))),"")</f>
      </c>
      <c r="I247" s="24">
        <f>IF(AND($B$5="Tous les employés",IFERROR(INDEX(Pointage_ID,220),"")&lt;&gt;""),IF(220=0,"-",IF($H$5="1ère quinzaine",INDEX(Paie_Retenues1,220),IF($H$5="2ème quinzaine",INDEX(Paie_Retenues2,220),INDEX(Paie_Retenues,220)))),"")</f>
      </c>
      <c r="J247" s="25">
        <f>IF(AND($B$5="Tous les employés",IFERROR(INDEX(Pointage_ID,220),"")&lt;&gt;""),IF(220=0,"-",IF($H$5="1ère quinzaine",INDEX(Paie_Net1,220),IF($H$5="2ème quinzaine",INDEX(Paie_Net2,220),INDEX(Paie_NetMensuel,220)))),"")</f>
      </c>
    </row>
    <row r="248">
      <c r="A248" s="20">
        <f>IF(AND($B$5="Tous les employés",IFERROR(INDEX(Pointage_ID,221),"")&lt;&gt;""),IFERROR(INDEX(Pointage_ID,221),""),"")</f>
      </c>
      <c r="B248" s="19">
        <f>IF(AND($B$5="Tous les employés",IFERROR(INDEX(Pointage_ID,221),"")&lt;&gt;""),INDEX(Pointage_Nom,221),"")</f>
      </c>
      <c r="C248" s="20">
        <f>IF(AND($B$5="Tous les employés",IFERROR(INDEX(Pointage_ID,221),"")&lt;&gt;""),INDEX(Pointage_Categorie,221),"")</f>
      </c>
      <c r="D248" s="22">
        <f>IF(AND($B$5="Tous les employés",IFERROR(INDEX(Pointage_ID,221),"")&lt;&gt;""),IF(221=0,"-",IF($H$5="1ère quinzaine",INDEX(Paie_Jours1,221),IF($H$5="2ème quinzaine",INDEX(Paie_Jours2,221),INDEX(Pointage_Travailles,221)))),"")</f>
      </c>
      <c r="E248" s="23">
        <f>IF(AND($B$5="Tous les employés",IFERROR(INDEX(Pointage_ID,221),"")&lt;&gt;""),IF(221=0,"-",IF($H$5="1ère quinzaine",INDEX(Paie_HS1,221),IF($H$5="2ème quinzaine",INDEX(Paie_HS2,221),INDEX(Pointage_HS,221)))),"")</f>
      </c>
      <c r="F248" s="24">
        <f>IF(AND($B$5="Tous les employés",IFERROR(INDEX(Pointage_ID,221),"")&lt;&gt;""),INDEX(Paie_SalaireJour,221),"")</f>
      </c>
      <c r="G248" s="24">
        <f>IF(AND($B$5="Tous les employés",IFERROR(INDEX(Pointage_ID,221),"")&lt;&gt;""),IF(221=0,"-",IF($H$5="1ère quinzaine",INDEX(Paie_MontantHS1,221),IF($H$5="2ème quinzaine",INDEX(Paie_MontantHS2,221),INDEX(Paie_MontantHS,221)))),"")</f>
      </c>
      <c r="H248" s="24">
        <f>IF(AND($B$5="Tous les employés",IFERROR(INDEX(Pointage_ID,221),"")&lt;&gt;""),IF(221=0,"-",IF($H$5="1ère quinzaine",INDEX(Paie_Brut1,221),IF($H$5="2ème quinzaine",INDEX(Paie_Brut2,221),INDEX(Paie_BrutMensuel,221)))),"")</f>
      </c>
      <c r="I248" s="24">
        <f>IF(AND($B$5="Tous les employés",IFERROR(INDEX(Pointage_ID,221),"")&lt;&gt;""),IF(221=0,"-",IF($H$5="1ère quinzaine",INDEX(Paie_Retenues1,221),IF($H$5="2ème quinzaine",INDEX(Paie_Retenues2,221),INDEX(Paie_Retenues,221)))),"")</f>
      </c>
      <c r="J248" s="25">
        <f>IF(AND($B$5="Tous les employés",IFERROR(INDEX(Pointage_ID,221),"")&lt;&gt;""),IF(221=0,"-",IF($H$5="1ère quinzaine",INDEX(Paie_Net1,221),IF($H$5="2ème quinzaine",INDEX(Paie_Net2,221),INDEX(Paie_NetMensuel,221)))),"")</f>
      </c>
    </row>
    <row r="249">
      <c r="A249" s="20">
        <f>IF(AND($B$5="Tous les employés",IFERROR(INDEX(Pointage_ID,222),"")&lt;&gt;""),IFERROR(INDEX(Pointage_ID,222),""),"")</f>
      </c>
      <c r="B249" s="19">
        <f>IF(AND($B$5="Tous les employés",IFERROR(INDEX(Pointage_ID,222),"")&lt;&gt;""),INDEX(Pointage_Nom,222),"")</f>
      </c>
      <c r="C249" s="20">
        <f>IF(AND($B$5="Tous les employés",IFERROR(INDEX(Pointage_ID,222),"")&lt;&gt;""),INDEX(Pointage_Categorie,222),"")</f>
      </c>
      <c r="D249" s="22">
        <f>IF(AND($B$5="Tous les employés",IFERROR(INDEX(Pointage_ID,222),"")&lt;&gt;""),IF(222=0,"-",IF($H$5="1ère quinzaine",INDEX(Paie_Jours1,222),IF($H$5="2ème quinzaine",INDEX(Paie_Jours2,222),INDEX(Pointage_Travailles,222)))),"")</f>
      </c>
      <c r="E249" s="23">
        <f>IF(AND($B$5="Tous les employés",IFERROR(INDEX(Pointage_ID,222),"")&lt;&gt;""),IF(222=0,"-",IF($H$5="1ère quinzaine",INDEX(Paie_HS1,222),IF($H$5="2ème quinzaine",INDEX(Paie_HS2,222),INDEX(Pointage_HS,222)))),"")</f>
      </c>
      <c r="F249" s="24">
        <f>IF(AND($B$5="Tous les employés",IFERROR(INDEX(Pointage_ID,222),"")&lt;&gt;""),INDEX(Paie_SalaireJour,222),"")</f>
      </c>
      <c r="G249" s="24">
        <f>IF(AND($B$5="Tous les employés",IFERROR(INDEX(Pointage_ID,222),"")&lt;&gt;""),IF(222=0,"-",IF($H$5="1ère quinzaine",INDEX(Paie_MontantHS1,222),IF($H$5="2ème quinzaine",INDEX(Paie_MontantHS2,222),INDEX(Paie_MontantHS,222)))),"")</f>
      </c>
      <c r="H249" s="24">
        <f>IF(AND($B$5="Tous les employés",IFERROR(INDEX(Pointage_ID,222),"")&lt;&gt;""),IF(222=0,"-",IF($H$5="1ère quinzaine",INDEX(Paie_Brut1,222),IF($H$5="2ème quinzaine",INDEX(Paie_Brut2,222),INDEX(Paie_BrutMensuel,222)))),"")</f>
      </c>
      <c r="I249" s="24">
        <f>IF(AND($B$5="Tous les employés",IFERROR(INDEX(Pointage_ID,222),"")&lt;&gt;""),IF(222=0,"-",IF($H$5="1ère quinzaine",INDEX(Paie_Retenues1,222),IF($H$5="2ème quinzaine",INDEX(Paie_Retenues2,222),INDEX(Paie_Retenues,222)))),"")</f>
      </c>
      <c r="J249" s="25">
        <f>IF(AND($B$5="Tous les employés",IFERROR(INDEX(Pointage_ID,222),"")&lt;&gt;""),IF(222=0,"-",IF($H$5="1ère quinzaine",INDEX(Paie_Net1,222),IF($H$5="2ème quinzaine",INDEX(Paie_Net2,222),INDEX(Paie_NetMensuel,222)))),"")</f>
      </c>
    </row>
    <row r="250">
      <c r="A250" s="20">
        <f>IF(AND($B$5="Tous les employés",IFERROR(INDEX(Pointage_ID,223),"")&lt;&gt;""),IFERROR(INDEX(Pointage_ID,223),""),"")</f>
      </c>
      <c r="B250" s="19">
        <f>IF(AND($B$5="Tous les employés",IFERROR(INDEX(Pointage_ID,223),"")&lt;&gt;""),INDEX(Pointage_Nom,223),"")</f>
      </c>
      <c r="C250" s="20">
        <f>IF(AND($B$5="Tous les employés",IFERROR(INDEX(Pointage_ID,223),"")&lt;&gt;""),INDEX(Pointage_Categorie,223),"")</f>
      </c>
      <c r="D250" s="22">
        <f>IF(AND($B$5="Tous les employés",IFERROR(INDEX(Pointage_ID,223),"")&lt;&gt;""),IF(223=0,"-",IF($H$5="1ère quinzaine",INDEX(Paie_Jours1,223),IF($H$5="2ème quinzaine",INDEX(Paie_Jours2,223),INDEX(Pointage_Travailles,223)))),"")</f>
      </c>
      <c r="E250" s="23">
        <f>IF(AND($B$5="Tous les employés",IFERROR(INDEX(Pointage_ID,223),"")&lt;&gt;""),IF(223=0,"-",IF($H$5="1ère quinzaine",INDEX(Paie_HS1,223),IF($H$5="2ème quinzaine",INDEX(Paie_HS2,223),INDEX(Pointage_HS,223)))),"")</f>
      </c>
      <c r="F250" s="24">
        <f>IF(AND($B$5="Tous les employés",IFERROR(INDEX(Pointage_ID,223),"")&lt;&gt;""),INDEX(Paie_SalaireJour,223),"")</f>
      </c>
      <c r="G250" s="24">
        <f>IF(AND($B$5="Tous les employés",IFERROR(INDEX(Pointage_ID,223),"")&lt;&gt;""),IF(223=0,"-",IF($H$5="1ère quinzaine",INDEX(Paie_MontantHS1,223),IF($H$5="2ème quinzaine",INDEX(Paie_MontantHS2,223),INDEX(Paie_MontantHS,223)))),"")</f>
      </c>
      <c r="H250" s="24">
        <f>IF(AND($B$5="Tous les employés",IFERROR(INDEX(Pointage_ID,223),"")&lt;&gt;""),IF(223=0,"-",IF($H$5="1ère quinzaine",INDEX(Paie_Brut1,223),IF($H$5="2ème quinzaine",INDEX(Paie_Brut2,223),INDEX(Paie_BrutMensuel,223)))),"")</f>
      </c>
      <c r="I250" s="24">
        <f>IF(AND($B$5="Tous les employés",IFERROR(INDEX(Pointage_ID,223),"")&lt;&gt;""),IF(223=0,"-",IF($H$5="1ère quinzaine",INDEX(Paie_Retenues1,223),IF($H$5="2ème quinzaine",INDEX(Paie_Retenues2,223),INDEX(Paie_Retenues,223)))),"")</f>
      </c>
      <c r="J250" s="25">
        <f>IF(AND($B$5="Tous les employés",IFERROR(INDEX(Pointage_ID,223),"")&lt;&gt;""),IF(223=0,"-",IF($H$5="1ère quinzaine",INDEX(Paie_Net1,223),IF($H$5="2ème quinzaine",INDEX(Paie_Net2,223),INDEX(Paie_NetMensuel,223)))),"")</f>
      </c>
    </row>
    <row r="251">
      <c r="A251" s="20">
        <f>IF(AND($B$5="Tous les employés",IFERROR(INDEX(Pointage_ID,224),"")&lt;&gt;""),IFERROR(INDEX(Pointage_ID,224),""),"")</f>
      </c>
      <c r="B251" s="19">
        <f>IF(AND($B$5="Tous les employés",IFERROR(INDEX(Pointage_ID,224),"")&lt;&gt;""),INDEX(Pointage_Nom,224),"")</f>
      </c>
      <c r="C251" s="20">
        <f>IF(AND($B$5="Tous les employés",IFERROR(INDEX(Pointage_ID,224),"")&lt;&gt;""),INDEX(Pointage_Categorie,224),"")</f>
      </c>
      <c r="D251" s="22">
        <f>IF(AND($B$5="Tous les employés",IFERROR(INDEX(Pointage_ID,224),"")&lt;&gt;""),IF(224=0,"-",IF($H$5="1ère quinzaine",INDEX(Paie_Jours1,224),IF($H$5="2ème quinzaine",INDEX(Paie_Jours2,224),INDEX(Pointage_Travailles,224)))),"")</f>
      </c>
      <c r="E251" s="23">
        <f>IF(AND($B$5="Tous les employés",IFERROR(INDEX(Pointage_ID,224),"")&lt;&gt;""),IF(224=0,"-",IF($H$5="1ère quinzaine",INDEX(Paie_HS1,224),IF($H$5="2ème quinzaine",INDEX(Paie_HS2,224),INDEX(Pointage_HS,224)))),"")</f>
      </c>
      <c r="F251" s="24">
        <f>IF(AND($B$5="Tous les employés",IFERROR(INDEX(Pointage_ID,224),"")&lt;&gt;""),INDEX(Paie_SalaireJour,224),"")</f>
      </c>
      <c r="G251" s="24">
        <f>IF(AND($B$5="Tous les employés",IFERROR(INDEX(Pointage_ID,224),"")&lt;&gt;""),IF(224=0,"-",IF($H$5="1ère quinzaine",INDEX(Paie_MontantHS1,224),IF($H$5="2ème quinzaine",INDEX(Paie_MontantHS2,224),INDEX(Paie_MontantHS,224)))),"")</f>
      </c>
      <c r="H251" s="24">
        <f>IF(AND($B$5="Tous les employés",IFERROR(INDEX(Pointage_ID,224),"")&lt;&gt;""),IF(224=0,"-",IF($H$5="1ère quinzaine",INDEX(Paie_Brut1,224),IF($H$5="2ème quinzaine",INDEX(Paie_Brut2,224),INDEX(Paie_BrutMensuel,224)))),"")</f>
      </c>
      <c r="I251" s="24">
        <f>IF(AND($B$5="Tous les employés",IFERROR(INDEX(Pointage_ID,224),"")&lt;&gt;""),IF(224=0,"-",IF($H$5="1ère quinzaine",INDEX(Paie_Retenues1,224),IF($H$5="2ème quinzaine",INDEX(Paie_Retenues2,224),INDEX(Paie_Retenues,224)))),"")</f>
      </c>
      <c r="J251" s="25">
        <f>IF(AND($B$5="Tous les employés",IFERROR(INDEX(Pointage_ID,224),"")&lt;&gt;""),IF(224=0,"-",IF($H$5="1ère quinzaine",INDEX(Paie_Net1,224),IF($H$5="2ème quinzaine",INDEX(Paie_Net2,224),INDEX(Paie_NetMensuel,224)))),"")</f>
      </c>
    </row>
    <row r="252">
      <c r="A252" s="20">
        <f>IF(AND($B$5="Tous les employés",IFERROR(INDEX(Pointage_ID,225),"")&lt;&gt;""),IFERROR(INDEX(Pointage_ID,225),""),"")</f>
      </c>
      <c r="B252" s="19">
        <f>IF(AND($B$5="Tous les employés",IFERROR(INDEX(Pointage_ID,225),"")&lt;&gt;""),INDEX(Pointage_Nom,225),"")</f>
      </c>
      <c r="C252" s="20">
        <f>IF(AND($B$5="Tous les employés",IFERROR(INDEX(Pointage_ID,225),"")&lt;&gt;""),INDEX(Pointage_Categorie,225),"")</f>
      </c>
      <c r="D252" s="22">
        <f>IF(AND($B$5="Tous les employés",IFERROR(INDEX(Pointage_ID,225),"")&lt;&gt;""),IF(225=0,"-",IF($H$5="1ère quinzaine",INDEX(Paie_Jours1,225),IF($H$5="2ème quinzaine",INDEX(Paie_Jours2,225),INDEX(Pointage_Travailles,225)))),"")</f>
      </c>
      <c r="E252" s="23">
        <f>IF(AND($B$5="Tous les employés",IFERROR(INDEX(Pointage_ID,225),"")&lt;&gt;""),IF(225=0,"-",IF($H$5="1ère quinzaine",INDEX(Paie_HS1,225),IF($H$5="2ème quinzaine",INDEX(Paie_HS2,225),INDEX(Pointage_HS,225)))),"")</f>
      </c>
      <c r="F252" s="24">
        <f>IF(AND($B$5="Tous les employés",IFERROR(INDEX(Pointage_ID,225),"")&lt;&gt;""),INDEX(Paie_SalaireJour,225),"")</f>
      </c>
      <c r="G252" s="24">
        <f>IF(AND($B$5="Tous les employés",IFERROR(INDEX(Pointage_ID,225),"")&lt;&gt;""),IF(225=0,"-",IF($H$5="1ère quinzaine",INDEX(Paie_MontantHS1,225),IF($H$5="2ème quinzaine",INDEX(Paie_MontantHS2,225),INDEX(Paie_MontantHS,225)))),"")</f>
      </c>
      <c r="H252" s="24">
        <f>IF(AND($B$5="Tous les employés",IFERROR(INDEX(Pointage_ID,225),"")&lt;&gt;""),IF(225=0,"-",IF($H$5="1ère quinzaine",INDEX(Paie_Brut1,225),IF($H$5="2ème quinzaine",INDEX(Paie_Brut2,225),INDEX(Paie_BrutMensuel,225)))),"")</f>
      </c>
      <c r="I252" s="24">
        <f>IF(AND($B$5="Tous les employés",IFERROR(INDEX(Pointage_ID,225),"")&lt;&gt;""),IF(225=0,"-",IF($H$5="1ère quinzaine",INDEX(Paie_Retenues1,225),IF($H$5="2ème quinzaine",INDEX(Paie_Retenues2,225),INDEX(Paie_Retenues,225)))),"")</f>
      </c>
      <c r="J252" s="25">
        <f>IF(AND($B$5="Tous les employés",IFERROR(INDEX(Pointage_ID,225),"")&lt;&gt;""),IF(225=0,"-",IF($H$5="1ère quinzaine",INDEX(Paie_Net1,225),IF($H$5="2ème quinzaine",INDEX(Paie_Net2,225),INDEX(Paie_NetMensuel,225)))),"")</f>
      </c>
    </row>
    <row r="253">
      <c r="A253" s="20">
        <f>IF(AND($B$5="Tous les employés",IFERROR(INDEX(Pointage_ID,226),"")&lt;&gt;""),IFERROR(INDEX(Pointage_ID,226),""),"")</f>
      </c>
      <c r="B253" s="19">
        <f>IF(AND($B$5="Tous les employés",IFERROR(INDEX(Pointage_ID,226),"")&lt;&gt;""),INDEX(Pointage_Nom,226),"")</f>
      </c>
      <c r="C253" s="20">
        <f>IF(AND($B$5="Tous les employés",IFERROR(INDEX(Pointage_ID,226),"")&lt;&gt;""),INDEX(Pointage_Categorie,226),"")</f>
      </c>
      <c r="D253" s="22">
        <f>IF(AND($B$5="Tous les employés",IFERROR(INDEX(Pointage_ID,226),"")&lt;&gt;""),IF(226=0,"-",IF($H$5="1ère quinzaine",INDEX(Paie_Jours1,226),IF($H$5="2ème quinzaine",INDEX(Paie_Jours2,226),INDEX(Pointage_Travailles,226)))),"")</f>
      </c>
      <c r="E253" s="23">
        <f>IF(AND($B$5="Tous les employés",IFERROR(INDEX(Pointage_ID,226),"")&lt;&gt;""),IF(226=0,"-",IF($H$5="1ère quinzaine",INDEX(Paie_HS1,226),IF($H$5="2ème quinzaine",INDEX(Paie_HS2,226),INDEX(Pointage_HS,226)))),"")</f>
      </c>
      <c r="F253" s="24">
        <f>IF(AND($B$5="Tous les employés",IFERROR(INDEX(Pointage_ID,226),"")&lt;&gt;""),INDEX(Paie_SalaireJour,226),"")</f>
      </c>
      <c r="G253" s="24">
        <f>IF(AND($B$5="Tous les employés",IFERROR(INDEX(Pointage_ID,226),"")&lt;&gt;""),IF(226=0,"-",IF($H$5="1ère quinzaine",INDEX(Paie_MontantHS1,226),IF($H$5="2ème quinzaine",INDEX(Paie_MontantHS2,226),INDEX(Paie_MontantHS,226)))),"")</f>
      </c>
      <c r="H253" s="24">
        <f>IF(AND($B$5="Tous les employés",IFERROR(INDEX(Pointage_ID,226),"")&lt;&gt;""),IF(226=0,"-",IF($H$5="1ère quinzaine",INDEX(Paie_Brut1,226),IF($H$5="2ème quinzaine",INDEX(Paie_Brut2,226),INDEX(Paie_BrutMensuel,226)))),"")</f>
      </c>
      <c r="I253" s="24">
        <f>IF(AND($B$5="Tous les employés",IFERROR(INDEX(Pointage_ID,226),"")&lt;&gt;""),IF(226=0,"-",IF($H$5="1ère quinzaine",INDEX(Paie_Retenues1,226),IF($H$5="2ème quinzaine",INDEX(Paie_Retenues2,226),INDEX(Paie_Retenues,226)))),"")</f>
      </c>
      <c r="J253" s="25">
        <f>IF(AND($B$5="Tous les employés",IFERROR(INDEX(Pointage_ID,226),"")&lt;&gt;""),IF(226=0,"-",IF($H$5="1ère quinzaine",INDEX(Paie_Net1,226),IF($H$5="2ème quinzaine",INDEX(Paie_Net2,226),INDEX(Paie_NetMensuel,226)))),"")</f>
      </c>
    </row>
    <row r="254">
      <c r="A254" s="20">
        <f>IF(AND($B$5="Tous les employés",IFERROR(INDEX(Pointage_ID,227),"")&lt;&gt;""),IFERROR(INDEX(Pointage_ID,227),""),"")</f>
      </c>
      <c r="B254" s="19">
        <f>IF(AND($B$5="Tous les employés",IFERROR(INDEX(Pointage_ID,227),"")&lt;&gt;""),INDEX(Pointage_Nom,227),"")</f>
      </c>
      <c r="C254" s="20">
        <f>IF(AND($B$5="Tous les employés",IFERROR(INDEX(Pointage_ID,227),"")&lt;&gt;""),INDEX(Pointage_Categorie,227),"")</f>
      </c>
      <c r="D254" s="22">
        <f>IF(AND($B$5="Tous les employés",IFERROR(INDEX(Pointage_ID,227),"")&lt;&gt;""),IF(227=0,"-",IF($H$5="1ère quinzaine",INDEX(Paie_Jours1,227),IF($H$5="2ème quinzaine",INDEX(Paie_Jours2,227),INDEX(Pointage_Travailles,227)))),"")</f>
      </c>
      <c r="E254" s="23">
        <f>IF(AND($B$5="Tous les employés",IFERROR(INDEX(Pointage_ID,227),"")&lt;&gt;""),IF(227=0,"-",IF($H$5="1ère quinzaine",INDEX(Paie_HS1,227),IF($H$5="2ème quinzaine",INDEX(Paie_HS2,227),INDEX(Pointage_HS,227)))),"")</f>
      </c>
      <c r="F254" s="24">
        <f>IF(AND($B$5="Tous les employés",IFERROR(INDEX(Pointage_ID,227),"")&lt;&gt;""),INDEX(Paie_SalaireJour,227),"")</f>
      </c>
      <c r="G254" s="24">
        <f>IF(AND($B$5="Tous les employés",IFERROR(INDEX(Pointage_ID,227),"")&lt;&gt;""),IF(227=0,"-",IF($H$5="1ère quinzaine",INDEX(Paie_MontantHS1,227),IF($H$5="2ème quinzaine",INDEX(Paie_MontantHS2,227),INDEX(Paie_MontantHS,227)))),"")</f>
      </c>
      <c r="H254" s="24">
        <f>IF(AND($B$5="Tous les employés",IFERROR(INDEX(Pointage_ID,227),"")&lt;&gt;""),IF(227=0,"-",IF($H$5="1ère quinzaine",INDEX(Paie_Brut1,227),IF($H$5="2ème quinzaine",INDEX(Paie_Brut2,227),INDEX(Paie_BrutMensuel,227)))),"")</f>
      </c>
      <c r="I254" s="24">
        <f>IF(AND($B$5="Tous les employés",IFERROR(INDEX(Pointage_ID,227),"")&lt;&gt;""),IF(227=0,"-",IF($H$5="1ère quinzaine",INDEX(Paie_Retenues1,227),IF($H$5="2ème quinzaine",INDEX(Paie_Retenues2,227),INDEX(Paie_Retenues,227)))),"")</f>
      </c>
      <c r="J254" s="25">
        <f>IF(AND($B$5="Tous les employés",IFERROR(INDEX(Pointage_ID,227),"")&lt;&gt;""),IF(227=0,"-",IF($H$5="1ère quinzaine",INDEX(Paie_Net1,227),IF($H$5="2ème quinzaine",INDEX(Paie_Net2,227),INDEX(Paie_NetMensuel,227)))),"")</f>
      </c>
    </row>
    <row r="255">
      <c r="A255" s="20">
        <f>IF(AND($B$5="Tous les employés",IFERROR(INDEX(Pointage_ID,228),"")&lt;&gt;""),IFERROR(INDEX(Pointage_ID,228),""),"")</f>
      </c>
      <c r="B255" s="19">
        <f>IF(AND($B$5="Tous les employés",IFERROR(INDEX(Pointage_ID,228),"")&lt;&gt;""),INDEX(Pointage_Nom,228),"")</f>
      </c>
      <c r="C255" s="20">
        <f>IF(AND($B$5="Tous les employés",IFERROR(INDEX(Pointage_ID,228),"")&lt;&gt;""),INDEX(Pointage_Categorie,228),"")</f>
      </c>
      <c r="D255" s="22">
        <f>IF(AND($B$5="Tous les employés",IFERROR(INDEX(Pointage_ID,228),"")&lt;&gt;""),IF(228=0,"-",IF($H$5="1ère quinzaine",INDEX(Paie_Jours1,228),IF($H$5="2ème quinzaine",INDEX(Paie_Jours2,228),INDEX(Pointage_Travailles,228)))),"")</f>
      </c>
      <c r="E255" s="23">
        <f>IF(AND($B$5="Tous les employés",IFERROR(INDEX(Pointage_ID,228),"")&lt;&gt;""),IF(228=0,"-",IF($H$5="1ère quinzaine",INDEX(Paie_HS1,228),IF($H$5="2ème quinzaine",INDEX(Paie_HS2,228),INDEX(Pointage_HS,228)))),"")</f>
      </c>
      <c r="F255" s="24">
        <f>IF(AND($B$5="Tous les employés",IFERROR(INDEX(Pointage_ID,228),"")&lt;&gt;""),INDEX(Paie_SalaireJour,228),"")</f>
      </c>
      <c r="G255" s="24">
        <f>IF(AND($B$5="Tous les employés",IFERROR(INDEX(Pointage_ID,228),"")&lt;&gt;""),IF(228=0,"-",IF($H$5="1ère quinzaine",INDEX(Paie_MontantHS1,228),IF($H$5="2ème quinzaine",INDEX(Paie_MontantHS2,228),INDEX(Paie_MontantHS,228)))),"")</f>
      </c>
      <c r="H255" s="24">
        <f>IF(AND($B$5="Tous les employés",IFERROR(INDEX(Pointage_ID,228),"")&lt;&gt;""),IF(228=0,"-",IF($H$5="1ère quinzaine",INDEX(Paie_Brut1,228),IF($H$5="2ème quinzaine",INDEX(Paie_Brut2,228),INDEX(Paie_BrutMensuel,228)))),"")</f>
      </c>
      <c r="I255" s="24">
        <f>IF(AND($B$5="Tous les employés",IFERROR(INDEX(Pointage_ID,228),"")&lt;&gt;""),IF(228=0,"-",IF($H$5="1ère quinzaine",INDEX(Paie_Retenues1,228),IF($H$5="2ème quinzaine",INDEX(Paie_Retenues2,228),INDEX(Paie_Retenues,228)))),"")</f>
      </c>
      <c r="J255" s="25">
        <f>IF(AND($B$5="Tous les employés",IFERROR(INDEX(Pointage_ID,228),"")&lt;&gt;""),IF(228=0,"-",IF($H$5="1ère quinzaine",INDEX(Paie_Net1,228),IF($H$5="2ème quinzaine",INDEX(Paie_Net2,228),INDEX(Paie_NetMensuel,228)))),"")</f>
      </c>
    </row>
    <row r="256">
      <c r="A256" s="20">
        <f>IF(AND($B$5="Tous les employés",IFERROR(INDEX(Pointage_ID,229),"")&lt;&gt;""),IFERROR(INDEX(Pointage_ID,229),""),"")</f>
      </c>
      <c r="B256" s="19">
        <f>IF(AND($B$5="Tous les employés",IFERROR(INDEX(Pointage_ID,229),"")&lt;&gt;""),INDEX(Pointage_Nom,229),"")</f>
      </c>
      <c r="C256" s="20">
        <f>IF(AND($B$5="Tous les employés",IFERROR(INDEX(Pointage_ID,229),"")&lt;&gt;""),INDEX(Pointage_Categorie,229),"")</f>
      </c>
      <c r="D256" s="22">
        <f>IF(AND($B$5="Tous les employés",IFERROR(INDEX(Pointage_ID,229),"")&lt;&gt;""),IF(229=0,"-",IF($H$5="1ère quinzaine",INDEX(Paie_Jours1,229),IF($H$5="2ème quinzaine",INDEX(Paie_Jours2,229),INDEX(Pointage_Travailles,229)))),"")</f>
      </c>
      <c r="E256" s="23">
        <f>IF(AND($B$5="Tous les employés",IFERROR(INDEX(Pointage_ID,229),"")&lt;&gt;""),IF(229=0,"-",IF($H$5="1ère quinzaine",INDEX(Paie_HS1,229),IF($H$5="2ème quinzaine",INDEX(Paie_HS2,229),INDEX(Pointage_HS,229)))),"")</f>
      </c>
      <c r="F256" s="24">
        <f>IF(AND($B$5="Tous les employés",IFERROR(INDEX(Pointage_ID,229),"")&lt;&gt;""),INDEX(Paie_SalaireJour,229),"")</f>
      </c>
      <c r="G256" s="24">
        <f>IF(AND($B$5="Tous les employés",IFERROR(INDEX(Pointage_ID,229),"")&lt;&gt;""),IF(229=0,"-",IF($H$5="1ère quinzaine",INDEX(Paie_MontantHS1,229),IF($H$5="2ème quinzaine",INDEX(Paie_MontantHS2,229),INDEX(Paie_MontantHS,229)))),"")</f>
      </c>
      <c r="H256" s="24">
        <f>IF(AND($B$5="Tous les employés",IFERROR(INDEX(Pointage_ID,229),"")&lt;&gt;""),IF(229=0,"-",IF($H$5="1ère quinzaine",INDEX(Paie_Brut1,229),IF($H$5="2ème quinzaine",INDEX(Paie_Brut2,229),INDEX(Paie_BrutMensuel,229)))),"")</f>
      </c>
      <c r="I256" s="24">
        <f>IF(AND($B$5="Tous les employés",IFERROR(INDEX(Pointage_ID,229),"")&lt;&gt;""),IF(229=0,"-",IF($H$5="1ère quinzaine",INDEX(Paie_Retenues1,229),IF($H$5="2ème quinzaine",INDEX(Paie_Retenues2,229),INDEX(Paie_Retenues,229)))),"")</f>
      </c>
      <c r="J256" s="25">
        <f>IF(AND($B$5="Tous les employés",IFERROR(INDEX(Pointage_ID,229),"")&lt;&gt;""),IF(229=0,"-",IF($H$5="1ère quinzaine",INDEX(Paie_Net1,229),IF($H$5="2ème quinzaine",INDEX(Paie_Net2,229),INDEX(Paie_NetMensuel,229)))),"")</f>
      </c>
    </row>
    <row r="257">
      <c r="A257" s="20">
        <f>IF(AND($B$5="Tous les employés",IFERROR(INDEX(Pointage_ID,230),"")&lt;&gt;""),IFERROR(INDEX(Pointage_ID,230),""),"")</f>
      </c>
      <c r="B257" s="19">
        <f>IF(AND($B$5="Tous les employés",IFERROR(INDEX(Pointage_ID,230),"")&lt;&gt;""),INDEX(Pointage_Nom,230),"")</f>
      </c>
      <c r="C257" s="20">
        <f>IF(AND($B$5="Tous les employés",IFERROR(INDEX(Pointage_ID,230),"")&lt;&gt;""),INDEX(Pointage_Categorie,230),"")</f>
      </c>
      <c r="D257" s="22">
        <f>IF(AND($B$5="Tous les employés",IFERROR(INDEX(Pointage_ID,230),"")&lt;&gt;""),IF(230=0,"-",IF($H$5="1ère quinzaine",INDEX(Paie_Jours1,230),IF($H$5="2ème quinzaine",INDEX(Paie_Jours2,230),INDEX(Pointage_Travailles,230)))),"")</f>
      </c>
      <c r="E257" s="23">
        <f>IF(AND($B$5="Tous les employés",IFERROR(INDEX(Pointage_ID,230),"")&lt;&gt;""),IF(230=0,"-",IF($H$5="1ère quinzaine",INDEX(Paie_HS1,230),IF($H$5="2ème quinzaine",INDEX(Paie_HS2,230),INDEX(Pointage_HS,230)))),"")</f>
      </c>
      <c r="F257" s="24">
        <f>IF(AND($B$5="Tous les employés",IFERROR(INDEX(Pointage_ID,230),"")&lt;&gt;""),INDEX(Paie_SalaireJour,230),"")</f>
      </c>
      <c r="G257" s="24">
        <f>IF(AND($B$5="Tous les employés",IFERROR(INDEX(Pointage_ID,230),"")&lt;&gt;""),IF(230=0,"-",IF($H$5="1ère quinzaine",INDEX(Paie_MontantHS1,230),IF($H$5="2ème quinzaine",INDEX(Paie_MontantHS2,230),INDEX(Paie_MontantHS,230)))),"")</f>
      </c>
      <c r="H257" s="24">
        <f>IF(AND($B$5="Tous les employés",IFERROR(INDEX(Pointage_ID,230),"")&lt;&gt;""),IF(230=0,"-",IF($H$5="1ère quinzaine",INDEX(Paie_Brut1,230),IF($H$5="2ème quinzaine",INDEX(Paie_Brut2,230),INDEX(Paie_BrutMensuel,230)))),"")</f>
      </c>
      <c r="I257" s="24">
        <f>IF(AND($B$5="Tous les employés",IFERROR(INDEX(Pointage_ID,230),"")&lt;&gt;""),IF(230=0,"-",IF($H$5="1ère quinzaine",INDEX(Paie_Retenues1,230),IF($H$5="2ème quinzaine",INDEX(Paie_Retenues2,230),INDEX(Paie_Retenues,230)))),"")</f>
      </c>
      <c r="J257" s="25">
        <f>IF(AND($B$5="Tous les employés",IFERROR(INDEX(Pointage_ID,230),"")&lt;&gt;""),IF(230=0,"-",IF($H$5="1ère quinzaine",INDEX(Paie_Net1,230),IF($H$5="2ème quinzaine",INDEX(Paie_Net2,230),INDEX(Paie_NetMensuel,230)))),"")</f>
      </c>
    </row>
    <row r="258">
      <c r="A258" s="20">
        <f>IF(AND($B$5="Tous les employés",IFERROR(INDEX(Pointage_ID,231),"")&lt;&gt;""),IFERROR(INDEX(Pointage_ID,231),""),"")</f>
      </c>
      <c r="B258" s="19">
        <f>IF(AND($B$5="Tous les employés",IFERROR(INDEX(Pointage_ID,231),"")&lt;&gt;""),INDEX(Pointage_Nom,231),"")</f>
      </c>
      <c r="C258" s="20">
        <f>IF(AND($B$5="Tous les employés",IFERROR(INDEX(Pointage_ID,231),"")&lt;&gt;""),INDEX(Pointage_Categorie,231),"")</f>
      </c>
      <c r="D258" s="22">
        <f>IF(AND($B$5="Tous les employés",IFERROR(INDEX(Pointage_ID,231),"")&lt;&gt;""),IF(231=0,"-",IF($H$5="1ère quinzaine",INDEX(Paie_Jours1,231),IF($H$5="2ème quinzaine",INDEX(Paie_Jours2,231),INDEX(Pointage_Travailles,231)))),"")</f>
      </c>
      <c r="E258" s="23">
        <f>IF(AND($B$5="Tous les employés",IFERROR(INDEX(Pointage_ID,231),"")&lt;&gt;""),IF(231=0,"-",IF($H$5="1ère quinzaine",INDEX(Paie_HS1,231),IF($H$5="2ème quinzaine",INDEX(Paie_HS2,231),INDEX(Pointage_HS,231)))),"")</f>
      </c>
      <c r="F258" s="24">
        <f>IF(AND($B$5="Tous les employés",IFERROR(INDEX(Pointage_ID,231),"")&lt;&gt;""),INDEX(Paie_SalaireJour,231),"")</f>
      </c>
      <c r="G258" s="24">
        <f>IF(AND($B$5="Tous les employés",IFERROR(INDEX(Pointage_ID,231),"")&lt;&gt;""),IF(231=0,"-",IF($H$5="1ère quinzaine",INDEX(Paie_MontantHS1,231),IF($H$5="2ème quinzaine",INDEX(Paie_MontantHS2,231),INDEX(Paie_MontantHS,231)))),"")</f>
      </c>
      <c r="H258" s="24">
        <f>IF(AND($B$5="Tous les employés",IFERROR(INDEX(Pointage_ID,231),"")&lt;&gt;""),IF(231=0,"-",IF($H$5="1ère quinzaine",INDEX(Paie_Brut1,231),IF($H$5="2ème quinzaine",INDEX(Paie_Brut2,231),INDEX(Paie_BrutMensuel,231)))),"")</f>
      </c>
      <c r="I258" s="24">
        <f>IF(AND($B$5="Tous les employés",IFERROR(INDEX(Pointage_ID,231),"")&lt;&gt;""),IF(231=0,"-",IF($H$5="1ère quinzaine",INDEX(Paie_Retenues1,231),IF($H$5="2ème quinzaine",INDEX(Paie_Retenues2,231),INDEX(Paie_Retenues,231)))),"")</f>
      </c>
      <c r="J258" s="25">
        <f>IF(AND($B$5="Tous les employés",IFERROR(INDEX(Pointage_ID,231),"")&lt;&gt;""),IF(231=0,"-",IF($H$5="1ère quinzaine",INDEX(Paie_Net1,231),IF($H$5="2ème quinzaine",INDEX(Paie_Net2,231),INDEX(Paie_NetMensuel,231)))),"")</f>
      </c>
    </row>
    <row r="259">
      <c r="A259" s="20">
        <f>IF(AND($B$5="Tous les employés",IFERROR(INDEX(Pointage_ID,232),"")&lt;&gt;""),IFERROR(INDEX(Pointage_ID,232),""),"")</f>
      </c>
      <c r="B259" s="19">
        <f>IF(AND($B$5="Tous les employés",IFERROR(INDEX(Pointage_ID,232),"")&lt;&gt;""),INDEX(Pointage_Nom,232),"")</f>
      </c>
      <c r="C259" s="20">
        <f>IF(AND($B$5="Tous les employés",IFERROR(INDEX(Pointage_ID,232),"")&lt;&gt;""),INDEX(Pointage_Categorie,232),"")</f>
      </c>
      <c r="D259" s="22">
        <f>IF(AND($B$5="Tous les employés",IFERROR(INDEX(Pointage_ID,232),"")&lt;&gt;""),IF(232=0,"-",IF($H$5="1ère quinzaine",INDEX(Paie_Jours1,232),IF($H$5="2ème quinzaine",INDEX(Paie_Jours2,232),INDEX(Pointage_Travailles,232)))),"")</f>
      </c>
      <c r="E259" s="23">
        <f>IF(AND($B$5="Tous les employés",IFERROR(INDEX(Pointage_ID,232),"")&lt;&gt;""),IF(232=0,"-",IF($H$5="1ère quinzaine",INDEX(Paie_HS1,232),IF($H$5="2ème quinzaine",INDEX(Paie_HS2,232),INDEX(Pointage_HS,232)))),"")</f>
      </c>
      <c r="F259" s="24">
        <f>IF(AND($B$5="Tous les employés",IFERROR(INDEX(Pointage_ID,232),"")&lt;&gt;""),INDEX(Paie_SalaireJour,232),"")</f>
      </c>
      <c r="G259" s="24">
        <f>IF(AND($B$5="Tous les employés",IFERROR(INDEX(Pointage_ID,232),"")&lt;&gt;""),IF(232=0,"-",IF($H$5="1ère quinzaine",INDEX(Paie_MontantHS1,232),IF($H$5="2ème quinzaine",INDEX(Paie_MontantHS2,232),INDEX(Paie_MontantHS,232)))),"")</f>
      </c>
      <c r="H259" s="24">
        <f>IF(AND($B$5="Tous les employés",IFERROR(INDEX(Pointage_ID,232),"")&lt;&gt;""),IF(232=0,"-",IF($H$5="1ère quinzaine",INDEX(Paie_Brut1,232),IF($H$5="2ème quinzaine",INDEX(Paie_Brut2,232),INDEX(Paie_BrutMensuel,232)))),"")</f>
      </c>
      <c r="I259" s="24">
        <f>IF(AND($B$5="Tous les employés",IFERROR(INDEX(Pointage_ID,232),"")&lt;&gt;""),IF(232=0,"-",IF($H$5="1ère quinzaine",INDEX(Paie_Retenues1,232),IF($H$5="2ème quinzaine",INDEX(Paie_Retenues2,232),INDEX(Paie_Retenues,232)))),"")</f>
      </c>
      <c r="J259" s="25">
        <f>IF(AND($B$5="Tous les employés",IFERROR(INDEX(Pointage_ID,232),"")&lt;&gt;""),IF(232=0,"-",IF($H$5="1ère quinzaine",INDEX(Paie_Net1,232),IF($H$5="2ème quinzaine",INDEX(Paie_Net2,232),INDEX(Paie_NetMensuel,232)))),"")</f>
      </c>
    </row>
    <row r="260">
      <c r="A260" s="20">
        <f>IF(AND($B$5="Tous les employés",IFERROR(INDEX(Pointage_ID,233),"")&lt;&gt;""),IFERROR(INDEX(Pointage_ID,233),""),"")</f>
      </c>
      <c r="B260" s="19">
        <f>IF(AND($B$5="Tous les employés",IFERROR(INDEX(Pointage_ID,233),"")&lt;&gt;""),INDEX(Pointage_Nom,233),"")</f>
      </c>
      <c r="C260" s="20">
        <f>IF(AND($B$5="Tous les employés",IFERROR(INDEX(Pointage_ID,233),"")&lt;&gt;""),INDEX(Pointage_Categorie,233),"")</f>
      </c>
      <c r="D260" s="22">
        <f>IF(AND($B$5="Tous les employés",IFERROR(INDEX(Pointage_ID,233),"")&lt;&gt;""),IF(233=0,"-",IF($H$5="1ère quinzaine",INDEX(Paie_Jours1,233),IF($H$5="2ème quinzaine",INDEX(Paie_Jours2,233),INDEX(Pointage_Travailles,233)))),"")</f>
      </c>
      <c r="E260" s="23">
        <f>IF(AND($B$5="Tous les employés",IFERROR(INDEX(Pointage_ID,233),"")&lt;&gt;""),IF(233=0,"-",IF($H$5="1ère quinzaine",INDEX(Paie_HS1,233),IF($H$5="2ème quinzaine",INDEX(Paie_HS2,233),INDEX(Pointage_HS,233)))),"")</f>
      </c>
      <c r="F260" s="24">
        <f>IF(AND($B$5="Tous les employés",IFERROR(INDEX(Pointage_ID,233),"")&lt;&gt;""),INDEX(Paie_SalaireJour,233),"")</f>
      </c>
      <c r="G260" s="24">
        <f>IF(AND($B$5="Tous les employés",IFERROR(INDEX(Pointage_ID,233),"")&lt;&gt;""),IF(233=0,"-",IF($H$5="1ère quinzaine",INDEX(Paie_MontantHS1,233),IF($H$5="2ème quinzaine",INDEX(Paie_MontantHS2,233),INDEX(Paie_MontantHS,233)))),"")</f>
      </c>
      <c r="H260" s="24">
        <f>IF(AND($B$5="Tous les employés",IFERROR(INDEX(Pointage_ID,233),"")&lt;&gt;""),IF(233=0,"-",IF($H$5="1ère quinzaine",INDEX(Paie_Brut1,233),IF($H$5="2ème quinzaine",INDEX(Paie_Brut2,233),INDEX(Paie_BrutMensuel,233)))),"")</f>
      </c>
      <c r="I260" s="24">
        <f>IF(AND($B$5="Tous les employés",IFERROR(INDEX(Pointage_ID,233),"")&lt;&gt;""),IF(233=0,"-",IF($H$5="1ère quinzaine",INDEX(Paie_Retenues1,233),IF($H$5="2ème quinzaine",INDEX(Paie_Retenues2,233),INDEX(Paie_Retenues,233)))),"")</f>
      </c>
      <c r="J260" s="25">
        <f>IF(AND($B$5="Tous les employés",IFERROR(INDEX(Pointage_ID,233),"")&lt;&gt;""),IF(233=0,"-",IF($H$5="1ère quinzaine",INDEX(Paie_Net1,233),IF($H$5="2ème quinzaine",INDEX(Paie_Net2,233),INDEX(Paie_NetMensuel,233)))),"")</f>
      </c>
    </row>
    <row r="261">
      <c r="A261" s="20">
        <f>IF(AND($B$5="Tous les employés",IFERROR(INDEX(Pointage_ID,234),"")&lt;&gt;""),IFERROR(INDEX(Pointage_ID,234),""),"")</f>
      </c>
      <c r="B261" s="19">
        <f>IF(AND($B$5="Tous les employés",IFERROR(INDEX(Pointage_ID,234),"")&lt;&gt;""),INDEX(Pointage_Nom,234),"")</f>
      </c>
      <c r="C261" s="20">
        <f>IF(AND($B$5="Tous les employés",IFERROR(INDEX(Pointage_ID,234),"")&lt;&gt;""),INDEX(Pointage_Categorie,234),"")</f>
      </c>
      <c r="D261" s="22">
        <f>IF(AND($B$5="Tous les employés",IFERROR(INDEX(Pointage_ID,234),"")&lt;&gt;""),IF(234=0,"-",IF($H$5="1ère quinzaine",INDEX(Paie_Jours1,234),IF($H$5="2ème quinzaine",INDEX(Paie_Jours2,234),INDEX(Pointage_Travailles,234)))),"")</f>
      </c>
      <c r="E261" s="23">
        <f>IF(AND($B$5="Tous les employés",IFERROR(INDEX(Pointage_ID,234),"")&lt;&gt;""),IF(234=0,"-",IF($H$5="1ère quinzaine",INDEX(Paie_HS1,234),IF($H$5="2ème quinzaine",INDEX(Paie_HS2,234),INDEX(Pointage_HS,234)))),"")</f>
      </c>
      <c r="F261" s="24">
        <f>IF(AND($B$5="Tous les employés",IFERROR(INDEX(Pointage_ID,234),"")&lt;&gt;""),INDEX(Paie_SalaireJour,234),"")</f>
      </c>
      <c r="G261" s="24">
        <f>IF(AND($B$5="Tous les employés",IFERROR(INDEX(Pointage_ID,234),"")&lt;&gt;""),IF(234=0,"-",IF($H$5="1ère quinzaine",INDEX(Paie_MontantHS1,234),IF($H$5="2ème quinzaine",INDEX(Paie_MontantHS2,234),INDEX(Paie_MontantHS,234)))),"")</f>
      </c>
      <c r="H261" s="24">
        <f>IF(AND($B$5="Tous les employés",IFERROR(INDEX(Pointage_ID,234),"")&lt;&gt;""),IF(234=0,"-",IF($H$5="1ère quinzaine",INDEX(Paie_Brut1,234),IF($H$5="2ème quinzaine",INDEX(Paie_Brut2,234),INDEX(Paie_BrutMensuel,234)))),"")</f>
      </c>
      <c r="I261" s="24">
        <f>IF(AND($B$5="Tous les employés",IFERROR(INDEX(Pointage_ID,234),"")&lt;&gt;""),IF(234=0,"-",IF($H$5="1ère quinzaine",INDEX(Paie_Retenues1,234),IF($H$5="2ème quinzaine",INDEX(Paie_Retenues2,234),INDEX(Paie_Retenues,234)))),"")</f>
      </c>
      <c r="J261" s="25">
        <f>IF(AND($B$5="Tous les employés",IFERROR(INDEX(Pointage_ID,234),"")&lt;&gt;""),IF(234=0,"-",IF($H$5="1ère quinzaine",INDEX(Paie_Net1,234),IF($H$5="2ème quinzaine",INDEX(Paie_Net2,234),INDEX(Paie_NetMensuel,234)))),"")</f>
      </c>
    </row>
    <row r="262">
      <c r="A262" s="20">
        <f>IF(AND($B$5="Tous les employés",IFERROR(INDEX(Pointage_ID,235),"")&lt;&gt;""),IFERROR(INDEX(Pointage_ID,235),""),"")</f>
      </c>
      <c r="B262" s="19">
        <f>IF(AND($B$5="Tous les employés",IFERROR(INDEX(Pointage_ID,235),"")&lt;&gt;""),INDEX(Pointage_Nom,235),"")</f>
      </c>
      <c r="C262" s="20">
        <f>IF(AND($B$5="Tous les employés",IFERROR(INDEX(Pointage_ID,235),"")&lt;&gt;""),INDEX(Pointage_Categorie,235),"")</f>
      </c>
      <c r="D262" s="22">
        <f>IF(AND($B$5="Tous les employés",IFERROR(INDEX(Pointage_ID,235),"")&lt;&gt;""),IF(235=0,"-",IF($H$5="1ère quinzaine",INDEX(Paie_Jours1,235),IF($H$5="2ème quinzaine",INDEX(Paie_Jours2,235),INDEX(Pointage_Travailles,235)))),"")</f>
      </c>
      <c r="E262" s="23">
        <f>IF(AND($B$5="Tous les employés",IFERROR(INDEX(Pointage_ID,235),"")&lt;&gt;""),IF(235=0,"-",IF($H$5="1ère quinzaine",INDEX(Paie_HS1,235),IF($H$5="2ème quinzaine",INDEX(Paie_HS2,235),INDEX(Pointage_HS,235)))),"")</f>
      </c>
      <c r="F262" s="24">
        <f>IF(AND($B$5="Tous les employés",IFERROR(INDEX(Pointage_ID,235),"")&lt;&gt;""),INDEX(Paie_SalaireJour,235),"")</f>
      </c>
      <c r="G262" s="24">
        <f>IF(AND($B$5="Tous les employés",IFERROR(INDEX(Pointage_ID,235),"")&lt;&gt;""),IF(235=0,"-",IF($H$5="1ère quinzaine",INDEX(Paie_MontantHS1,235),IF($H$5="2ème quinzaine",INDEX(Paie_MontantHS2,235),INDEX(Paie_MontantHS,235)))),"")</f>
      </c>
      <c r="H262" s="24">
        <f>IF(AND($B$5="Tous les employés",IFERROR(INDEX(Pointage_ID,235),"")&lt;&gt;""),IF(235=0,"-",IF($H$5="1ère quinzaine",INDEX(Paie_Brut1,235),IF($H$5="2ème quinzaine",INDEX(Paie_Brut2,235),INDEX(Paie_BrutMensuel,235)))),"")</f>
      </c>
      <c r="I262" s="24">
        <f>IF(AND($B$5="Tous les employés",IFERROR(INDEX(Pointage_ID,235),"")&lt;&gt;""),IF(235=0,"-",IF($H$5="1ère quinzaine",INDEX(Paie_Retenues1,235),IF($H$5="2ème quinzaine",INDEX(Paie_Retenues2,235),INDEX(Paie_Retenues,235)))),"")</f>
      </c>
      <c r="J262" s="25">
        <f>IF(AND($B$5="Tous les employés",IFERROR(INDEX(Pointage_ID,235),"")&lt;&gt;""),IF(235=0,"-",IF($H$5="1ère quinzaine",INDEX(Paie_Net1,235),IF($H$5="2ème quinzaine",INDEX(Paie_Net2,235),INDEX(Paie_NetMensuel,235)))),"")</f>
      </c>
    </row>
    <row r="263">
      <c r="A263" s="20">
        <f>IF(AND($B$5="Tous les employés",IFERROR(INDEX(Pointage_ID,236),"")&lt;&gt;""),IFERROR(INDEX(Pointage_ID,236),""),"")</f>
      </c>
      <c r="B263" s="19">
        <f>IF(AND($B$5="Tous les employés",IFERROR(INDEX(Pointage_ID,236),"")&lt;&gt;""),INDEX(Pointage_Nom,236),"")</f>
      </c>
      <c r="C263" s="20">
        <f>IF(AND($B$5="Tous les employés",IFERROR(INDEX(Pointage_ID,236),"")&lt;&gt;""),INDEX(Pointage_Categorie,236),"")</f>
      </c>
      <c r="D263" s="22">
        <f>IF(AND($B$5="Tous les employés",IFERROR(INDEX(Pointage_ID,236),"")&lt;&gt;""),IF(236=0,"-",IF($H$5="1ère quinzaine",INDEX(Paie_Jours1,236),IF($H$5="2ème quinzaine",INDEX(Paie_Jours2,236),INDEX(Pointage_Travailles,236)))),"")</f>
      </c>
      <c r="E263" s="23">
        <f>IF(AND($B$5="Tous les employés",IFERROR(INDEX(Pointage_ID,236),"")&lt;&gt;""),IF(236=0,"-",IF($H$5="1ère quinzaine",INDEX(Paie_HS1,236),IF($H$5="2ème quinzaine",INDEX(Paie_HS2,236),INDEX(Pointage_HS,236)))),"")</f>
      </c>
      <c r="F263" s="24">
        <f>IF(AND($B$5="Tous les employés",IFERROR(INDEX(Pointage_ID,236),"")&lt;&gt;""),INDEX(Paie_SalaireJour,236),"")</f>
      </c>
      <c r="G263" s="24">
        <f>IF(AND($B$5="Tous les employés",IFERROR(INDEX(Pointage_ID,236),"")&lt;&gt;""),IF(236=0,"-",IF($H$5="1ère quinzaine",INDEX(Paie_MontantHS1,236),IF($H$5="2ème quinzaine",INDEX(Paie_MontantHS2,236),INDEX(Paie_MontantHS,236)))),"")</f>
      </c>
      <c r="H263" s="24">
        <f>IF(AND($B$5="Tous les employés",IFERROR(INDEX(Pointage_ID,236),"")&lt;&gt;""),IF(236=0,"-",IF($H$5="1ère quinzaine",INDEX(Paie_Brut1,236),IF($H$5="2ème quinzaine",INDEX(Paie_Brut2,236),INDEX(Paie_BrutMensuel,236)))),"")</f>
      </c>
      <c r="I263" s="24">
        <f>IF(AND($B$5="Tous les employés",IFERROR(INDEX(Pointage_ID,236),"")&lt;&gt;""),IF(236=0,"-",IF($H$5="1ère quinzaine",INDEX(Paie_Retenues1,236),IF($H$5="2ème quinzaine",INDEX(Paie_Retenues2,236),INDEX(Paie_Retenues,236)))),"")</f>
      </c>
      <c r="J263" s="25">
        <f>IF(AND($B$5="Tous les employés",IFERROR(INDEX(Pointage_ID,236),"")&lt;&gt;""),IF(236=0,"-",IF($H$5="1ère quinzaine",INDEX(Paie_Net1,236),IF($H$5="2ème quinzaine",INDEX(Paie_Net2,236),INDEX(Paie_NetMensuel,236)))),"")</f>
      </c>
    </row>
    <row r="264">
      <c r="A264" s="20">
        <f>IF(AND($B$5="Tous les employés",IFERROR(INDEX(Pointage_ID,237),"")&lt;&gt;""),IFERROR(INDEX(Pointage_ID,237),""),"")</f>
      </c>
      <c r="B264" s="19">
        <f>IF(AND($B$5="Tous les employés",IFERROR(INDEX(Pointage_ID,237),"")&lt;&gt;""),INDEX(Pointage_Nom,237),"")</f>
      </c>
      <c r="C264" s="20">
        <f>IF(AND($B$5="Tous les employés",IFERROR(INDEX(Pointage_ID,237),"")&lt;&gt;""),INDEX(Pointage_Categorie,237),"")</f>
      </c>
      <c r="D264" s="22">
        <f>IF(AND($B$5="Tous les employés",IFERROR(INDEX(Pointage_ID,237),"")&lt;&gt;""),IF(237=0,"-",IF($H$5="1ère quinzaine",INDEX(Paie_Jours1,237),IF($H$5="2ème quinzaine",INDEX(Paie_Jours2,237),INDEX(Pointage_Travailles,237)))),"")</f>
      </c>
      <c r="E264" s="23">
        <f>IF(AND($B$5="Tous les employés",IFERROR(INDEX(Pointage_ID,237),"")&lt;&gt;""),IF(237=0,"-",IF($H$5="1ère quinzaine",INDEX(Paie_HS1,237),IF($H$5="2ème quinzaine",INDEX(Paie_HS2,237),INDEX(Pointage_HS,237)))),"")</f>
      </c>
      <c r="F264" s="24">
        <f>IF(AND($B$5="Tous les employés",IFERROR(INDEX(Pointage_ID,237),"")&lt;&gt;""),INDEX(Paie_SalaireJour,237),"")</f>
      </c>
      <c r="G264" s="24">
        <f>IF(AND($B$5="Tous les employés",IFERROR(INDEX(Pointage_ID,237),"")&lt;&gt;""),IF(237=0,"-",IF($H$5="1ère quinzaine",INDEX(Paie_MontantHS1,237),IF($H$5="2ème quinzaine",INDEX(Paie_MontantHS2,237),INDEX(Paie_MontantHS,237)))),"")</f>
      </c>
      <c r="H264" s="24">
        <f>IF(AND($B$5="Tous les employés",IFERROR(INDEX(Pointage_ID,237),"")&lt;&gt;""),IF(237=0,"-",IF($H$5="1ère quinzaine",INDEX(Paie_Brut1,237),IF($H$5="2ème quinzaine",INDEX(Paie_Brut2,237),INDEX(Paie_BrutMensuel,237)))),"")</f>
      </c>
      <c r="I264" s="24">
        <f>IF(AND($B$5="Tous les employés",IFERROR(INDEX(Pointage_ID,237),"")&lt;&gt;""),IF(237=0,"-",IF($H$5="1ère quinzaine",INDEX(Paie_Retenues1,237),IF($H$5="2ème quinzaine",INDEX(Paie_Retenues2,237),INDEX(Paie_Retenues,237)))),"")</f>
      </c>
      <c r="J264" s="25">
        <f>IF(AND($B$5="Tous les employés",IFERROR(INDEX(Pointage_ID,237),"")&lt;&gt;""),IF(237=0,"-",IF($H$5="1ère quinzaine",INDEX(Paie_Net1,237),IF($H$5="2ème quinzaine",INDEX(Paie_Net2,237),INDEX(Paie_NetMensuel,237)))),"")</f>
      </c>
    </row>
    <row r="265">
      <c r="A265" s="20">
        <f>IF(AND($B$5="Tous les employés",IFERROR(INDEX(Pointage_ID,238),"")&lt;&gt;""),IFERROR(INDEX(Pointage_ID,238),""),"")</f>
      </c>
      <c r="B265" s="19">
        <f>IF(AND($B$5="Tous les employés",IFERROR(INDEX(Pointage_ID,238),"")&lt;&gt;""),INDEX(Pointage_Nom,238),"")</f>
      </c>
      <c r="C265" s="20">
        <f>IF(AND($B$5="Tous les employés",IFERROR(INDEX(Pointage_ID,238),"")&lt;&gt;""),INDEX(Pointage_Categorie,238),"")</f>
      </c>
      <c r="D265" s="22">
        <f>IF(AND($B$5="Tous les employés",IFERROR(INDEX(Pointage_ID,238),"")&lt;&gt;""),IF(238=0,"-",IF($H$5="1ère quinzaine",INDEX(Paie_Jours1,238),IF($H$5="2ème quinzaine",INDEX(Paie_Jours2,238),INDEX(Pointage_Travailles,238)))),"")</f>
      </c>
      <c r="E265" s="23">
        <f>IF(AND($B$5="Tous les employés",IFERROR(INDEX(Pointage_ID,238),"")&lt;&gt;""),IF(238=0,"-",IF($H$5="1ère quinzaine",INDEX(Paie_HS1,238),IF($H$5="2ème quinzaine",INDEX(Paie_HS2,238),INDEX(Pointage_HS,238)))),"")</f>
      </c>
      <c r="F265" s="24">
        <f>IF(AND($B$5="Tous les employés",IFERROR(INDEX(Pointage_ID,238),"")&lt;&gt;""),INDEX(Paie_SalaireJour,238),"")</f>
      </c>
      <c r="G265" s="24">
        <f>IF(AND($B$5="Tous les employés",IFERROR(INDEX(Pointage_ID,238),"")&lt;&gt;""),IF(238=0,"-",IF($H$5="1ère quinzaine",INDEX(Paie_MontantHS1,238),IF($H$5="2ème quinzaine",INDEX(Paie_MontantHS2,238),INDEX(Paie_MontantHS,238)))),"")</f>
      </c>
      <c r="H265" s="24">
        <f>IF(AND($B$5="Tous les employés",IFERROR(INDEX(Pointage_ID,238),"")&lt;&gt;""),IF(238=0,"-",IF($H$5="1ère quinzaine",INDEX(Paie_Brut1,238),IF($H$5="2ème quinzaine",INDEX(Paie_Brut2,238),INDEX(Paie_BrutMensuel,238)))),"")</f>
      </c>
      <c r="I265" s="24">
        <f>IF(AND($B$5="Tous les employés",IFERROR(INDEX(Pointage_ID,238),"")&lt;&gt;""),IF(238=0,"-",IF($H$5="1ère quinzaine",INDEX(Paie_Retenues1,238),IF($H$5="2ème quinzaine",INDEX(Paie_Retenues2,238),INDEX(Paie_Retenues,238)))),"")</f>
      </c>
      <c r="J265" s="25">
        <f>IF(AND($B$5="Tous les employés",IFERROR(INDEX(Pointage_ID,238),"")&lt;&gt;""),IF(238=0,"-",IF($H$5="1ère quinzaine",INDEX(Paie_Net1,238),IF($H$5="2ème quinzaine",INDEX(Paie_Net2,238),INDEX(Paie_NetMensuel,238)))),"")</f>
      </c>
    </row>
    <row r="266">
      <c r="A266" s="20">
        <f>IF(AND($B$5="Tous les employés",IFERROR(INDEX(Pointage_ID,239),"")&lt;&gt;""),IFERROR(INDEX(Pointage_ID,239),""),"")</f>
      </c>
      <c r="B266" s="19">
        <f>IF(AND($B$5="Tous les employés",IFERROR(INDEX(Pointage_ID,239),"")&lt;&gt;""),INDEX(Pointage_Nom,239),"")</f>
      </c>
      <c r="C266" s="20">
        <f>IF(AND($B$5="Tous les employés",IFERROR(INDEX(Pointage_ID,239),"")&lt;&gt;""),INDEX(Pointage_Categorie,239),"")</f>
      </c>
      <c r="D266" s="22">
        <f>IF(AND($B$5="Tous les employés",IFERROR(INDEX(Pointage_ID,239),"")&lt;&gt;""),IF(239=0,"-",IF($H$5="1ère quinzaine",INDEX(Paie_Jours1,239),IF($H$5="2ème quinzaine",INDEX(Paie_Jours2,239),INDEX(Pointage_Travailles,239)))),"")</f>
      </c>
      <c r="E266" s="23">
        <f>IF(AND($B$5="Tous les employés",IFERROR(INDEX(Pointage_ID,239),"")&lt;&gt;""),IF(239=0,"-",IF($H$5="1ère quinzaine",INDEX(Paie_HS1,239),IF($H$5="2ème quinzaine",INDEX(Paie_HS2,239),INDEX(Pointage_HS,239)))),"")</f>
      </c>
      <c r="F266" s="24">
        <f>IF(AND($B$5="Tous les employés",IFERROR(INDEX(Pointage_ID,239),"")&lt;&gt;""),INDEX(Paie_SalaireJour,239),"")</f>
      </c>
      <c r="G266" s="24">
        <f>IF(AND($B$5="Tous les employés",IFERROR(INDEX(Pointage_ID,239),"")&lt;&gt;""),IF(239=0,"-",IF($H$5="1ère quinzaine",INDEX(Paie_MontantHS1,239),IF($H$5="2ème quinzaine",INDEX(Paie_MontantHS2,239),INDEX(Paie_MontantHS,239)))),"")</f>
      </c>
      <c r="H266" s="24">
        <f>IF(AND($B$5="Tous les employés",IFERROR(INDEX(Pointage_ID,239),"")&lt;&gt;""),IF(239=0,"-",IF($H$5="1ère quinzaine",INDEX(Paie_Brut1,239),IF($H$5="2ème quinzaine",INDEX(Paie_Brut2,239),INDEX(Paie_BrutMensuel,239)))),"")</f>
      </c>
      <c r="I266" s="24">
        <f>IF(AND($B$5="Tous les employés",IFERROR(INDEX(Pointage_ID,239),"")&lt;&gt;""),IF(239=0,"-",IF($H$5="1ère quinzaine",INDEX(Paie_Retenues1,239),IF($H$5="2ème quinzaine",INDEX(Paie_Retenues2,239),INDEX(Paie_Retenues,239)))),"")</f>
      </c>
      <c r="J266" s="25">
        <f>IF(AND($B$5="Tous les employés",IFERROR(INDEX(Pointage_ID,239),"")&lt;&gt;""),IF(239=0,"-",IF($H$5="1ère quinzaine",INDEX(Paie_Net1,239),IF($H$5="2ème quinzaine",INDEX(Paie_Net2,239),INDEX(Paie_NetMensuel,239)))),"")</f>
      </c>
    </row>
    <row r="267">
      <c r="A267" s="20">
        <f>IF(AND($B$5="Tous les employés",IFERROR(INDEX(Pointage_ID,240),"")&lt;&gt;""),IFERROR(INDEX(Pointage_ID,240),""),"")</f>
      </c>
      <c r="B267" s="19">
        <f>IF(AND($B$5="Tous les employés",IFERROR(INDEX(Pointage_ID,240),"")&lt;&gt;""),INDEX(Pointage_Nom,240),"")</f>
      </c>
      <c r="C267" s="20">
        <f>IF(AND($B$5="Tous les employés",IFERROR(INDEX(Pointage_ID,240),"")&lt;&gt;""),INDEX(Pointage_Categorie,240),"")</f>
      </c>
      <c r="D267" s="22">
        <f>IF(AND($B$5="Tous les employés",IFERROR(INDEX(Pointage_ID,240),"")&lt;&gt;""),IF(240=0,"-",IF($H$5="1ère quinzaine",INDEX(Paie_Jours1,240),IF($H$5="2ème quinzaine",INDEX(Paie_Jours2,240),INDEX(Pointage_Travailles,240)))),"")</f>
      </c>
      <c r="E267" s="23">
        <f>IF(AND($B$5="Tous les employés",IFERROR(INDEX(Pointage_ID,240),"")&lt;&gt;""),IF(240=0,"-",IF($H$5="1ère quinzaine",INDEX(Paie_HS1,240),IF($H$5="2ème quinzaine",INDEX(Paie_HS2,240),INDEX(Pointage_HS,240)))),"")</f>
      </c>
      <c r="F267" s="24">
        <f>IF(AND($B$5="Tous les employés",IFERROR(INDEX(Pointage_ID,240),"")&lt;&gt;""),INDEX(Paie_SalaireJour,240),"")</f>
      </c>
      <c r="G267" s="24">
        <f>IF(AND($B$5="Tous les employés",IFERROR(INDEX(Pointage_ID,240),"")&lt;&gt;""),IF(240=0,"-",IF($H$5="1ère quinzaine",INDEX(Paie_MontantHS1,240),IF($H$5="2ème quinzaine",INDEX(Paie_MontantHS2,240),INDEX(Paie_MontantHS,240)))),"")</f>
      </c>
      <c r="H267" s="24">
        <f>IF(AND($B$5="Tous les employés",IFERROR(INDEX(Pointage_ID,240),"")&lt;&gt;""),IF(240=0,"-",IF($H$5="1ère quinzaine",INDEX(Paie_Brut1,240),IF($H$5="2ème quinzaine",INDEX(Paie_Brut2,240),INDEX(Paie_BrutMensuel,240)))),"")</f>
      </c>
      <c r="I267" s="24">
        <f>IF(AND($B$5="Tous les employés",IFERROR(INDEX(Pointage_ID,240),"")&lt;&gt;""),IF(240=0,"-",IF($H$5="1ère quinzaine",INDEX(Paie_Retenues1,240),IF($H$5="2ème quinzaine",INDEX(Paie_Retenues2,240),INDEX(Paie_Retenues,240)))),"")</f>
      </c>
      <c r="J267" s="25">
        <f>IF(AND($B$5="Tous les employés",IFERROR(INDEX(Pointage_ID,240),"")&lt;&gt;""),IF(240=0,"-",IF($H$5="1ère quinzaine",INDEX(Paie_Net1,240),IF($H$5="2ème quinzaine",INDEX(Paie_Net2,240),INDEX(Paie_NetMensuel,240)))),"")</f>
      </c>
    </row>
    <row r="268">
      <c r="A268" s="20">
        <f>IF(AND($B$5="Tous les employés",IFERROR(INDEX(Pointage_ID,241),"")&lt;&gt;""),IFERROR(INDEX(Pointage_ID,241),""),"")</f>
      </c>
      <c r="B268" s="19">
        <f>IF(AND($B$5="Tous les employés",IFERROR(INDEX(Pointage_ID,241),"")&lt;&gt;""),INDEX(Pointage_Nom,241),"")</f>
      </c>
      <c r="C268" s="20">
        <f>IF(AND($B$5="Tous les employés",IFERROR(INDEX(Pointage_ID,241),"")&lt;&gt;""),INDEX(Pointage_Categorie,241),"")</f>
      </c>
      <c r="D268" s="22">
        <f>IF(AND($B$5="Tous les employés",IFERROR(INDEX(Pointage_ID,241),"")&lt;&gt;""),IF(241=0,"-",IF($H$5="1ère quinzaine",INDEX(Paie_Jours1,241),IF($H$5="2ème quinzaine",INDEX(Paie_Jours2,241),INDEX(Pointage_Travailles,241)))),"")</f>
      </c>
      <c r="E268" s="23">
        <f>IF(AND($B$5="Tous les employés",IFERROR(INDEX(Pointage_ID,241),"")&lt;&gt;""),IF(241=0,"-",IF($H$5="1ère quinzaine",INDEX(Paie_HS1,241),IF($H$5="2ème quinzaine",INDEX(Paie_HS2,241),INDEX(Pointage_HS,241)))),"")</f>
      </c>
      <c r="F268" s="24">
        <f>IF(AND($B$5="Tous les employés",IFERROR(INDEX(Pointage_ID,241),"")&lt;&gt;""),INDEX(Paie_SalaireJour,241),"")</f>
      </c>
      <c r="G268" s="24">
        <f>IF(AND($B$5="Tous les employés",IFERROR(INDEX(Pointage_ID,241),"")&lt;&gt;""),IF(241=0,"-",IF($H$5="1ère quinzaine",INDEX(Paie_MontantHS1,241),IF($H$5="2ème quinzaine",INDEX(Paie_MontantHS2,241),INDEX(Paie_MontantHS,241)))),"")</f>
      </c>
      <c r="H268" s="24">
        <f>IF(AND($B$5="Tous les employés",IFERROR(INDEX(Pointage_ID,241),"")&lt;&gt;""),IF(241=0,"-",IF($H$5="1ère quinzaine",INDEX(Paie_Brut1,241),IF($H$5="2ème quinzaine",INDEX(Paie_Brut2,241),INDEX(Paie_BrutMensuel,241)))),"")</f>
      </c>
      <c r="I268" s="24">
        <f>IF(AND($B$5="Tous les employés",IFERROR(INDEX(Pointage_ID,241),"")&lt;&gt;""),IF(241=0,"-",IF($H$5="1ère quinzaine",INDEX(Paie_Retenues1,241),IF($H$5="2ème quinzaine",INDEX(Paie_Retenues2,241),INDEX(Paie_Retenues,241)))),"")</f>
      </c>
      <c r="J268" s="25">
        <f>IF(AND($B$5="Tous les employés",IFERROR(INDEX(Pointage_ID,241),"")&lt;&gt;""),IF(241=0,"-",IF($H$5="1ère quinzaine",INDEX(Paie_Net1,241),IF($H$5="2ème quinzaine",INDEX(Paie_Net2,241),INDEX(Paie_NetMensuel,241)))),"")</f>
      </c>
    </row>
    <row r="269">
      <c r="A269" s="20">
        <f>IF(AND($B$5="Tous les employés",IFERROR(INDEX(Pointage_ID,242),"")&lt;&gt;""),IFERROR(INDEX(Pointage_ID,242),""),"")</f>
      </c>
      <c r="B269" s="19">
        <f>IF(AND($B$5="Tous les employés",IFERROR(INDEX(Pointage_ID,242),"")&lt;&gt;""),INDEX(Pointage_Nom,242),"")</f>
      </c>
      <c r="C269" s="20">
        <f>IF(AND($B$5="Tous les employés",IFERROR(INDEX(Pointage_ID,242),"")&lt;&gt;""),INDEX(Pointage_Categorie,242),"")</f>
      </c>
      <c r="D269" s="22">
        <f>IF(AND($B$5="Tous les employés",IFERROR(INDEX(Pointage_ID,242),"")&lt;&gt;""),IF(242=0,"-",IF($H$5="1ère quinzaine",INDEX(Paie_Jours1,242),IF($H$5="2ème quinzaine",INDEX(Paie_Jours2,242),INDEX(Pointage_Travailles,242)))),"")</f>
      </c>
      <c r="E269" s="23">
        <f>IF(AND($B$5="Tous les employés",IFERROR(INDEX(Pointage_ID,242),"")&lt;&gt;""),IF(242=0,"-",IF($H$5="1ère quinzaine",INDEX(Paie_HS1,242),IF($H$5="2ème quinzaine",INDEX(Paie_HS2,242),INDEX(Pointage_HS,242)))),"")</f>
      </c>
      <c r="F269" s="24">
        <f>IF(AND($B$5="Tous les employés",IFERROR(INDEX(Pointage_ID,242),"")&lt;&gt;""),INDEX(Paie_SalaireJour,242),"")</f>
      </c>
      <c r="G269" s="24">
        <f>IF(AND($B$5="Tous les employés",IFERROR(INDEX(Pointage_ID,242),"")&lt;&gt;""),IF(242=0,"-",IF($H$5="1ère quinzaine",INDEX(Paie_MontantHS1,242),IF($H$5="2ème quinzaine",INDEX(Paie_MontantHS2,242),INDEX(Paie_MontantHS,242)))),"")</f>
      </c>
      <c r="H269" s="24">
        <f>IF(AND($B$5="Tous les employés",IFERROR(INDEX(Pointage_ID,242),"")&lt;&gt;""),IF(242=0,"-",IF($H$5="1ère quinzaine",INDEX(Paie_Brut1,242),IF($H$5="2ème quinzaine",INDEX(Paie_Brut2,242),INDEX(Paie_BrutMensuel,242)))),"")</f>
      </c>
      <c r="I269" s="24">
        <f>IF(AND($B$5="Tous les employés",IFERROR(INDEX(Pointage_ID,242),"")&lt;&gt;""),IF(242=0,"-",IF($H$5="1ère quinzaine",INDEX(Paie_Retenues1,242),IF($H$5="2ème quinzaine",INDEX(Paie_Retenues2,242),INDEX(Paie_Retenues,242)))),"")</f>
      </c>
      <c r="J269" s="25">
        <f>IF(AND($B$5="Tous les employés",IFERROR(INDEX(Pointage_ID,242),"")&lt;&gt;""),IF(242=0,"-",IF($H$5="1ère quinzaine",INDEX(Paie_Net1,242),IF($H$5="2ème quinzaine",INDEX(Paie_Net2,242),INDEX(Paie_NetMensuel,242)))),"")</f>
      </c>
    </row>
    <row r="270">
      <c r="A270" s="20">
        <f>IF(AND($B$5="Tous les employés",IFERROR(INDEX(Pointage_ID,243),"")&lt;&gt;""),IFERROR(INDEX(Pointage_ID,243),""),"")</f>
      </c>
      <c r="B270" s="19">
        <f>IF(AND($B$5="Tous les employés",IFERROR(INDEX(Pointage_ID,243),"")&lt;&gt;""),INDEX(Pointage_Nom,243),"")</f>
      </c>
      <c r="C270" s="20">
        <f>IF(AND($B$5="Tous les employés",IFERROR(INDEX(Pointage_ID,243),"")&lt;&gt;""),INDEX(Pointage_Categorie,243),"")</f>
      </c>
      <c r="D270" s="22">
        <f>IF(AND($B$5="Tous les employés",IFERROR(INDEX(Pointage_ID,243),"")&lt;&gt;""),IF(243=0,"-",IF($H$5="1ère quinzaine",INDEX(Paie_Jours1,243),IF($H$5="2ème quinzaine",INDEX(Paie_Jours2,243),INDEX(Pointage_Travailles,243)))),"")</f>
      </c>
      <c r="E270" s="23">
        <f>IF(AND($B$5="Tous les employés",IFERROR(INDEX(Pointage_ID,243),"")&lt;&gt;""),IF(243=0,"-",IF($H$5="1ère quinzaine",INDEX(Paie_HS1,243),IF($H$5="2ème quinzaine",INDEX(Paie_HS2,243),INDEX(Pointage_HS,243)))),"")</f>
      </c>
      <c r="F270" s="24">
        <f>IF(AND($B$5="Tous les employés",IFERROR(INDEX(Pointage_ID,243),"")&lt;&gt;""),INDEX(Paie_SalaireJour,243),"")</f>
      </c>
      <c r="G270" s="24">
        <f>IF(AND($B$5="Tous les employés",IFERROR(INDEX(Pointage_ID,243),"")&lt;&gt;""),IF(243=0,"-",IF($H$5="1ère quinzaine",INDEX(Paie_MontantHS1,243),IF($H$5="2ème quinzaine",INDEX(Paie_MontantHS2,243),INDEX(Paie_MontantHS,243)))),"")</f>
      </c>
      <c r="H270" s="24">
        <f>IF(AND($B$5="Tous les employés",IFERROR(INDEX(Pointage_ID,243),"")&lt;&gt;""),IF(243=0,"-",IF($H$5="1ère quinzaine",INDEX(Paie_Brut1,243),IF($H$5="2ème quinzaine",INDEX(Paie_Brut2,243),INDEX(Paie_BrutMensuel,243)))),"")</f>
      </c>
      <c r="I270" s="24">
        <f>IF(AND($B$5="Tous les employés",IFERROR(INDEX(Pointage_ID,243),"")&lt;&gt;""),IF(243=0,"-",IF($H$5="1ère quinzaine",INDEX(Paie_Retenues1,243),IF($H$5="2ème quinzaine",INDEX(Paie_Retenues2,243),INDEX(Paie_Retenues,243)))),"")</f>
      </c>
      <c r="J270" s="25">
        <f>IF(AND($B$5="Tous les employés",IFERROR(INDEX(Pointage_ID,243),"")&lt;&gt;""),IF(243=0,"-",IF($H$5="1ère quinzaine",INDEX(Paie_Net1,243),IF($H$5="2ème quinzaine",INDEX(Paie_Net2,243),INDEX(Paie_NetMensuel,243)))),"")</f>
      </c>
    </row>
    <row r="271">
      <c r="A271" s="20">
        <f>IF(AND($B$5="Tous les employés",IFERROR(INDEX(Pointage_ID,244),"")&lt;&gt;""),IFERROR(INDEX(Pointage_ID,244),""),"")</f>
      </c>
      <c r="B271" s="19">
        <f>IF(AND($B$5="Tous les employés",IFERROR(INDEX(Pointage_ID,244),"")&lt;&gt;""),INDEX(Pointage_Nom,244),"")</f>
      </c>
      <c r="C271" s="20">
        <f>IF(AND($B$5="Tous les employés",IFERROR(INDEX(Pointage_ID,244),"")&lt;&gt;""),INDEX(Pointage_Categorie,244),"")</f>
      </c>
      <c r="D271" s="22">
        <f>IF(AND($B$5="Tous les employés",IFERROR(INDEX(Pointage_ID,244),"")&lt;&gt;""),IF(244=0,"-",IF($H$5="1ère quinzaine",INDEX(Paie_Jours1,244),IF($H$5="2ème quinzaine",INDEX(Paie_Jours2,244),INDEX(Pointage_Travailles,244)))),"")</f>
      </c>
      <c r="E271" s="23">
        <f>IF(AND($B$5="Tous les employés",IFERROR(INDEX(Pointage_ID,244),"")&lt;&gt;""),IF(244=0,"-",IF($H$5="1ère quinzaine",INDEX(Paie_HS1,244),IF($H$5="2ème quinzaine",INDEX(Paie_HS2,244),INDEX(Pointage_HS,244)))),"")</f>
      </c>
      <c r="F271" s="24">
        <f>IF(AND($B$5="Tous les employés",IFERROR(INDEX(Pointage_ID,244),"")&lt;&gt;""),INDEX(Paie_SalaireJour,244),"")</f>
      </c>
      <c r="G271" s="24">
        <f>IF(AND($B$5="Tous les employés",IFERROR(INDEX(Pointage_ID,244),"")&lt;&gt;""),IF(244=0,"-",IF($H$5="1ère quinzaine",INDEX(Paie_MontantHS1,244),IF($H$5="2ème quinzaine",INDEX(Paie_MontantHS2,244),INDEX(Paie_MontantHS,244)))),"")</f>
      </c>
      <c r="H271" s="24">
        <f>IF(AND($B$5="Tous les employés",IFERROR(INDEX(Pointage_ID,244),"")&lt;&gt;""),IF(244=0,"-",IF($H$5="1ère quinzaine",INDEX(Paie_Brut1,244),IF($H$5="2ème quinzaine",INDEX(Paie_Brut2,244),INDEX(Paie_BrutMensuel,244)))),"")</f>
      </c>
      <c r="I271" s="24">
        <f>IF(AND($B$5="Tous les employés",IFERROR(INDEX(Pointage_ID,244),"")&lt;&gt;""),IF(244=0,"-",IF($H$5="1ère quinzaine",INDEX(Paie_Retenues1,244),IF($H$5="2ème quinzaine",INDEX(Paie_Retenues2,244),INDEX(Paie_Retenues,244)))),"")</f>
      </c>
      <c r="J271" s="25">
        <f>IF(AND($B$5="Tous les employés",IFERROR(INDEX(Pointage_ID,244),"")&lt;&gt;""),IF(244=0,"-",IF($H$5="1ère quinzaine",INDEX(Paie_Net1,244),IF($H$5="2ème quinzaine",INDEX(Paie_Net2,244),INDEX(Paie_NetMensuel,244)))),"")</f>
      </c>
    </row>
    <row r="272">
      <c r="A272" s="20">
        <f>IF(AND($B$5="Tous les employés",IFERROR(INDEX(Pointage_ID,245),"")&lt;&gt;""),IFERROR(INDEX(Pointage_ID,245),""),"")</f>
      </c>
      <c r="B272" s="19">
        <f>IF(AND($B$5="Tous les employés",IFERROR(INDEX(Pointage_ID,245),"")&lt;&gt;""),INDEX(Pointage_Nom,245),"")</f>
      </c>
      <c r="C272" s="20">
        <f>IF(AND($B$5="Tous les employés",IFERROR(INDEX(Pointage_ID,245),"")&lt;&gt;""),INDEX(Pointage_Categorie,245),"")</f>
      </c>
      <c r="D272" s="22">
        <f>IF(AND($B$5="Tous les employés",IFERROR(INDEX(Pointage_ID,245),"")&lt;&gt;""),IF(245=0,"-",IF($H$5="1ère quinzaine",INDEX(Paie_Jours1,245),IF($H$5="2ème quinzaine",INDEX(Paie_Jours2,245),INDEX(Pointage_Travailles,245)))),"")</f>
      </c>
      <c r="E272" s="23">
        <f>IF(AND($B$5="Tous les employés",IFERROR(INDEX(Pointage_ID,245),"")&lt;&gt;""),IF(245=0,"-",IF($H$5="1ère quinzaine",INDEX(Paie_HS1,245),IF($H$5="2ème quinzaine",INDEX(Paie_HS2,245),INDEX(Pointage_HS,245)))),"")</f>
      </c>
      <c r="F272" s="24">
        <f>IF(AND($B$5="Tous les employés",IFERROR(INDEX(Pointage_ID,245),"")&lt;&gt;""),INDEX(Paie_SalaireJour,245),"")</f>
      </c>
      <c r="G272" s="24">
        <f>IF(AND($B$5="Tous les employés",IFERROR(INDEX(Pointage_ID,245),"")&lt;&gt;""),IF(245=0,"-",IF($H$5="1ère quinzaine",INDEX(Paie_MontantHS1,245),IF($H$5="2ème quinzaine",INDEX(Paie_MontantHS2,245),INDEX(Paie_MontantHS,245)))),"")</f>
      </c>
      <c r="H272" s="24">
        <f>IF(AND($B$5="Tous les employés",IFERROR(INDEX(Pointage_ID,245),"")&lt;&gt;""),IF(245=0,"-",IF($H$5="1ère quinzaine",INDEX(Paie_Brut1,245),IF($H$5="2ème quinzaine",INDEX(Paie_Brut2,245),INDEX(Paie_BrutMensuel,245)))),"")</f>
      </c>
      <c r="I272" s="24">
        <f>IF(AND($B$5="Tous les employés",IFERROR(INDEX(Pointage_ID,245),"")&lt;&gt;""),IF(245=0,"-",IF($H$5="1ère quinzaine",INDEX(Paie_Retenues1,245),IF($H$5="2ème quinzaine",INDEX(Paie_Retenues2,245),INDEX(Paie_Retenues,245)))),"")</f>
      </c>
      <c r="J272" s="25">
        <f>IF(AND($B$5="Tous les employés",IFERROR(INDEX(Pointage_ID,245),"")&lt;&gt;""),IF(245=0,"-",IF($H$5="1ère quinzaine",INDEX(Paie_Net1,245),IF($H$5="2ème quinzaine",INDEX(Paie_Net2,245),INDEX(Paie_NetMensuel,245)))),"")</f>
      </c>
    </row>
    <row r="273">
      <c r="A273" s="20">
        <f>IF(AND($B$5="Tous les employés",IFERROR(INDEX(Pointage_ID,246),"")&lt;&gt;""),IFERROR(INDEX(Pointage_ID,246),""),"")</f>
      </c>
      <c r="B273" s="19">
        <f>IF(AND($B$5="Tous les employés",IFERROR(INDEX(Pointage_ID,246),"")&lt;&gt;""),INDEX(Pointage_Nom,246),"")</f>
      </c>
      <c r="C273" s="20">
        <f>IF(AND($B$5="Tous les employés",IFERROR(INDEX(Pointage_ID,246),"")&lt;&gt;""),INDEX(Pointage_Categorie,246),"")</f>
      </c>
      <c r="D273" s="22">
        <f>IF(AND($B$5="Tous les employés",IFERROR(INDEX(Pointage_ID,246),"")&lt;&gt;""),IF(246=0,"-",IF($H$5="1ère quinzaine",INDEX(Paie_Jours1,246),IF($H$5="2ème quinzaine",INDEX(Paie_Jours2,246),INDEX(Pointage_Travailles,246)))),"")</f>
      </c>
      <c r="E273" s="23">
        <f>IF(AND($B$5="Tous les employés",IFERROR(INDEX(Pointage_ID,246),"")&lt;&gt;""),IF(246=0,"-",IF($H$5="1ère quinzaine",INDEX(Paie_HS1,246),IF($H$5="2ème quinzaine",INDEX(Paie_HS2,246),INDEX(Pointage_HS,246)))),"")</f>
      </c>
      <c r="F273" s="24">
        <f>IF(AND($B$5="Tous les employés",IFERROR(INDEX(Pointage_ID,246),"")&lt;&gt;""),INDEX(Paie_SalaireJour,246),"")</f>
      </c>
      <c r="G273" s="24">
        <f>IF(AND($B$5="Tous les employés",IFERROR(INDEX(Pointage_ID,246),"")&lt;&gt;""),IF(246=0,"-",IF($H$5="1ère quinzaine",INDEX(Paie_MontantHS1,246),IF($H$5="2ème quinzaine",INDEX(Paie_MontantHS2,246),INDEX(Paie_MontantHS,246)))),"")</f>
      </c>
      <c r="H273" s="24">
        <f>IF(AND($B$5="Tous les employés",IFERROR(INDEX(Pointage_ID,246),"")&lt;&gt;""),IF(246=0,"-",IF($H$5="1ère quinzaine",INDEX(Paie_Brut1,246),IF($H$5="2ème quinzaine",INDEX(Paie_Brut2,246),INDEX(Paie_BrutMensuel,246)))),"")</f>
      </c>
      <c r="I273" s="24">
        <f>IF(AND($B$5="Tous les employés",IFERROR(INDEX(Pointage_ID,246),"")&lt;&gt;""),IF(246=0,"-",IF($H$5="1ère quinzaine",INDEX(Paie_Retenues1,246),IF($H$5="2ème quinzaine",INDEX(Paie_Retenues2,246),INDEX(Paie_Retenues,246)))),"")</f>
      </c>
      <c r="J273" s="25">
        <f>IF(AND($B$5="Tous les employés",IFERROR(INDEX(Pointage_ID,246),"")&lt;&gt;""),IF(246=0,"-",IF($H$5="1ère quinzaine",INDEX(Paie_Net1,246),IF($H$5="2ème quinzaine",INDEX(Paie_Net2,246),INDEX(Paie_NetMensuel,246)))),"")</f>
      </c>
    </row>
    <row r="274">
      <c r="A274" s="20">
        <f>IF(AND($B$5="Tous les employés",IFERROR(INDEX(Pointage_ID,247),"")&lt;&gt;""),IFERROR(INDEX(Pointage_ID,247),""),"")</f>
      </c>
      <c r="B274" s="19">
        <f>IF(AND($B$5="Tous les employés",IFERROR(INDEX(Pointage_ID,247),"")&lt;&gt;""),INDEX(Pointage_Nom,247),"")</f>
      </c>
      <c r="C274" s="20">
        <f>IF(AND($B$5="Tous les employés",IFERROR(INDEX(Pointage_ID,247),"")&lt;&gt;""),INDEX(Pointage_Categorie,247),"")</f>
      </c>
      <c r="D274" s="22">
        <f>IF(AND($B$5="Tous les employés",IFERROR(INDEX(Pointage_ID,247),"")&lt;&gt;""),IF(247=0,"-",IF($H$5="1ère quinzaine",INDEX(Paie_Jours1,247),IF($H$5="2ème quinzaine",INDEX(Paie_Jours2,247),INDEX(Pointage_Travailles,247)))),"")</f>
      </c>
      <c r="E274" s="23">
        <f>IF(AND($B$5="Tous les employés",IFERROR(INDEX(Pointage_ID,247),"")&lt;&gt;""),IF(247=0,"-",IF($H$5="1ère quinzaine",INDEX(Paie_HS1,247),IF($H$5="2ème quinzaine",INDEX(Paie_HS2,247),INDEX(Pointage_HS,247)))),"")</f>
      </c>
      <c r="F274" s="24">
        <f>IF(AND($B$5="Tous les employés",IFERROR(INDEX(Pointage_ID,247),"")&lt;&gt;""),INDEX(Paie_SalaireJour,247),"")</f>
      </c>
      <c r="G274" s="24">
        <f>IF(AND($B$5="Tous les employés",IFERROR(INDEX(Pointage_ID,247),"")&lt;&gt;""),IF(247=0,"-",IF($H$5="1ère quinzaine",INDEX(Paie_MontantHS1,247),IF($H$5="2ème quinzaine",INDEX(Paie_MontantHS2,247),INDEX(Paie_MontantHS,247)))),"")</f>
      </c>
      <c r="H274" s="24">
        <f>IF(AND($B$5="Tous les employés",IFERROR(INDEX(Pointage_ID,247),"")&lt;&gt;""),IF(247=0,"-",IF($H$5="1ère quinzaine",INDEX(Paie_Brut1,247),IF($H$5="2ème quinzaine",INDEX(Paie_Brut2,247),INDEX(Paie_BrutMensuel,247)))),"")</f>
      </c>
      <c r="I274" s="24">
        <f>IF(AND($B$5="Tous les employés",IFERROR(INDEX(Pointage_ID,247),"")&lt;&gt;""),IF(247=0,"-",IF($H$5="1ère quinzaine",INDEX(Paie_Retenues1,247),IF($H$5="2ème quinzaine",INDEX(Paie_Retenues2,247),INDEX(Paie_Retenues,247)))),"")</f>
      </c>
      <c r="J274" s="25">
        <f>IF(AND($B$5="Tous les employés",IFERROR(INDEX(Pointage_ID,247),"")&lt;&gt;""),IF(247=0,"-",IF($H$5="1ère quinzaine",INDEX(Paie_Net1,247),IF($H$5="2ème quinzaine",INDEX(Paie_Net2,247),INDEX(Paie_NetMensuel,247)))),"")</f>
      </c>
    </row>
    <row r="275">
      <c r="A275" s="20">
        <f>IF(AND($B$5="Tous les employés",IFERROR(INDEX(Pointage_ID,248),"")&lt;&gt;""),IFERROR(INDEX(Pointage_ID,248),""),"")</f>
      </c>
      <c r="B275" s="19">
        <f>IF(AND($B$5="Tous les employés",IFERROR(INDEX(Pointage_ID,248),"")&lt;&gt;""),INDEX(Pointage_Nom,248),"")</f>
      </c>
      <c r="C275" s="20">
        <f>IF(AND($B$5="Tous les employés",IFERROR(INDEX(Pointage_ID,248),"")&lt;&gt;""),INDEX(Pointage_Categorie,248),"")</f>
      </c>
      <c r="D275" s="22">
        <f>IF(AND($B$5="Tous les employés",IFERROR(INDEX(Pointage_ID,248),"")&lt;&gt;""),IF(248=0,"-",IF($H$5="1ère quinzaine",INDEX(Paie_Jours1,248),IF($H$5="2ème quinzaine",INDEX(Paie_Jours2,248),INDEX(Pointage_Travailles,248)))),"")</f>
      </c>
      <c r="E275" s="23">
        <f>IF(AND($B$5="Tous les employés",IFERROR(INDEX(Pointage_ID,248),"")&lt;&gt;""),IF(248=0,"-",IF($H$5="1ère quinzaine",INDEX(Paie_HS1,248),IF($H$5="2ème quinzaine",INDEX(Paie_HS2,248),INDEX(Pointage_HS,248)))),"")</f>
      </c>
      <c r="F275" s="24">
        <f>IF(AND($B$5="Tous les employés",IFERROR(INDEX(Pointage_ID,248),"")&lt;&gt;""),INDEX(Paie_SalaireJour,248),"")</f>
      </c>
      <c r="G275" s="24">
        <f>IF(AND($B$5="Tous les employés",IFERROR(INDEX(Pointage_ID,248),"")&lt;&gt;""),IF(248=0,"-",IF($H$5="1ère quinzaine",INDEX(Paie_MontantHS1,248),IF($H$5="2ème quinzaine",INDEX(Paie_MontantHS2,248),INDEX(Paie_MontantHS,248)))),"")</f>
      </c>
      <c r="H275" s="24">
        <f>IF(AND($B$5="Tous les employés",IFERROR(INDEX(Pointage_ID,248),"")&lt;&gt;""),IF(248=0,"-",IF($H$5="1ère quinzaine",INDEX(Paie_Brut1,248),IF($H$5="2ème quinzaine",INDEX(Paie_Brut2,248),INDEX(Paie_BrutMensuel,248)))),"")</f>
      </c>
      <c r="I275" s="24">
        <f>IF(AND($B$5="Tous les employés",IFERROR(INDEX(Pointage_ID,248),"")&lt;&gt;""),IF(248=0,"-",IF($H$5="1ère quinzaine",INDEX(Paie_Retenues1,248),IF($H$5="2ème quinzaine",INDEX(Paie_Retenues2,248),INDEX(Paie_Retenues,248)))),"")</f>
      </c>
      <c r="J275" s="25">
        <f>IF(AND($B$5="Tous les employés",IFERROR(INDEX(Pointage_ID,248),"")&lt;&gt;""),IF(248=0,"-",IF($H$5="1ère quinzaine",INDEX(Paie_Net1,248),IF($H$5="2ème quinzaine",INDEX(Paie_Net2,248),INDEX(Paie_NetMensuel,248)))),"")</f>
      </c>
    </row>
    <row r="276">
      <c r="A276" s="20">
        <f>IF(AND($B$5="Tous les employés",IFERROR(INDEX(Pointage_ID,249),"")&lt;&gt;""),IFERROR(INDEX(Pointage_ID,249),""),"")</f>
      </c>
      <c r="B276" s="19">
        <f>IF(AND($B$5="Tous les employés",IFERROR(INDEX(Pointage_ID,249),"")&lt;&gt;""),INDEX(Pointage_Nom,249),"")</f>
      </c>
      <c r="C276" s="20">
        <f>IF(AND($B$5="Tous les employés",IFERROR(INDEX(Pointage_ID,249),"")&lt;&gt;""),INDEX(Pointage_Categorie,249),"")</f>
      </c>
      <c r="D276" s="22">
        <f>IF(AND($B$5="Tous les employés",IFERROR(INDEX(Pointage_ID,249),"")&lt;&gt;""),IF(249=0,"-",IF($H$5="1ère quinzaine",INDEX(Paie_Jours1,249),IF($H$5="2ème quinzaine",INDEX(Paie_Jours2,249),INDEX(Pointage_Travailles,249)))),"")</f>
      </c>
      <c r="E276" s="23">
        <f>IF(AND($B$5="Tous les employés",IFERROR(INDEX(Pointage_ID,249),"")&lt;&gt;""),IF(249=0,"-",IF($H$5="1ère quinzaine",INDEX(Paie_HS1,249),IF($H$5="2ème quinzaine",INDEX(Paie_HS2,249),INDEX(Pointage_HS,249)))),"")</f>
      </c>
      <c r="F276" s="24">
        <f>IF(AND($B$5="Tous les employés",IFERROR(INDEX(Pointage_ID,249),"")&lt;&gt;""),INDEX(Paie_SalaireJour,249),"")</f>
      </c>
      <c r="G276" s="24">
        <f>IF(AND($B$5="Tous les employés",IFERROR(INDEX(Pointage_ID,249),"")&lt;&gt;""),IF(249=0,"-",IF($H$5="1ère quinzaine",INDEX(Paie_MontantHS1,249),IF($H$5="2ème quinzaine",INDEX(Paie_MontantHS2,249),INDEX(Paie_MontantHS,249)))),"")</f>
      </c>
      <c r="H276" s="24">
        <f>IF(AND($B$5="Tous les employés",IFERROR(INDEX(Pointage_ID,249),"")&lt;&gt;""),IF(249=0,"-",IF($H$5="1ère quinzaine",INDEX(Paie_Brut1,249),IF($H$5="2ème quinzaine",INDEX(Paie_Brut2,249),INDEX(Paie_BrutMensuel,249)))),"")</f>
      </c>
      <c r="I276" s="24">
        <f>IF(AND($B$5="Tous les employés",IFERROR(INDEX(Pointage_ID,249),"")&lt;&gt;""),IF(249=0,"-",IF($H$5="1ère quinzaine",INDEX(Paie_Retenues1,249),IF($H$5="2ème quinzaine",INDEX(Paie_Retenues2,249),INDEX(Paie_Retenues,249)))),"")</f>
      </c>
      <c r="J276" s="25">
        <f>IF(AND($B$5="Tous les employés",IFERROR(INDEX(Pointage_ID,249),"")&lt;&gt;""),IF(249=0,"-",IF($H$5="1ère quinzaine",INDEX(Paie_Net1,249),IF($H$5="2ème quinzaine",INDEX(Paie_Net2,249),INDEX(Paie_NetMensuel,249)))),"")</f>
      </c>
    </row>
    <row r="277">
      <c r="A277" s="20">
        <f>IF(AND($B$5="Tous les employés",IFERROR(INDEX(Pointage_ID,250),"")&lt;&gt;""),IFERROR(INDEX(Pointage_ID,250),""),"")</f>
      </c>
      <c r="B277" s="19">
        <f>IF(AND($B$5="Tous les employés",IFERROR(INDEX(Pointage_ID,250),"")&lt;&gt;""),INDEX(Pointage_Nom,250),"")</f>
      </c>
      <c r="C277" s="20">
        <f>IF(AND($B$5="Tous les employés",IFERROR(INDEX(Pointage_ID,250),"")&lt;&gt;""),INDEX(Pointage_Categorie,250),"")</f>
      </c>
      <c r="D277" s="22">
        <f>IF(AND($B$5="Tous les employés",IFERROR(INDEX(Pointage_ID,250),"")&lt;&gt;""),IF(250=0,"-",IF($H$5="1ère quinzaine",INDEX(Paie_Jours1,250),IF($H$5="2ème quinzaine",INDEX(Paie_Jours2,250),INDEX(Pointage_Travailles,250)))),"")</f>
      </c>
      <c r="E277" s="23">
        <f>IF(AND($B$5="Tous les employés",IFERROR(INDEX(Pointage_ID,250),"")&lt;&gt;""),IF(250=0,"-",IF($H$5="1ère quinzaine",INDEX(Paie_HS1,250),IF($H$5="2ème quinzaine",INDEX(Paie_HS2,250),INDEX(Pointage_HS,250)))),"")</f>
      </c>
      <c r="F277" s="24">
        <f>IF(AND($B$5="Tous les employés",IFERROR(INDEX(Pointage_ID,250),"")&lt;&gt;""),INDEX(Paie_SalaireJour,250),"")</f>
      </c>
      <c r="G277" s="24">
        <f>IF(AND($B$5="Tous les employés",IFERROR(INDEX(Pointage_ID,250),"")&lt;&gt;""),IF(250=0,"-",IF($H$5="1ère quinzaine",INDEX(Paie_MontantHS1,250),IF($H$5="2ème quinzaine",INDEX(Paie_MontantHS2,250),INDEX(Paie_MontantHS,250)))),"")</f>
      </c>
      <c r="H277" s="24">
        <f>IF(AND($B$5="Tous les employés",IFERROR(INDEX(Pointage_ID,250),"")&lt;&gt;""),IF(250=0,"-",IF($H$5="1ère quinzaine",INDEX(Paie_Brut1,250),IF($H$5="2ème quinzaine",INDEX(Paie_Brut2,250),INDEX(Paie_BrutMensuel,250)))),"")</f>
      </c>
      <c r="I277" s="24">
        <f>IF(AND($B$5="Tous les employés",IFERROR(INDEX(Pointage_ID,250),"")&lt;&gt;""),IF(250=0,"-",IF($H$5="1ère quinzaine",INDEX(Paie_Retenues1,250),IF($H$5="2ème quinzaine",INDEX(Paie_Retenues2,250),INDEX(Paie_Retenues,250)))),"")</f>
      </c>
      <c r="J277" s="25">
        <f>IF(AND($B$5="Tous les employés",IFERROR(INDEX(Pointage_ID,250),"")&lt;&gt;""),IF(250=0,"-",IF($H$5="1ère quinzaine",INDEX(Paie_Net1,250),IF($H$5="2ème quinzaine",INDEX(Paie_Net2,250),INDEX(Paie_NetMensuel,250)))),"")</f>
      </c>
    </row>
    <row r="278">
      <c r="A278" s="20">
        <f>IF(AND($B$5="Tous les employés",IFERROR(INDEX(Pointage_ID,251),"")&lt;&gt;""),IFERROR(INDEX(Pointage_ID,251),""),"")</f>
      </c>
      <c r="B278" s="19">
        <f>IF(AND($B$5="Tous les employés",IFERROR(INDEX(Pointage_ID,251),"")&lt;&gt;""),INDEX(Pointage_Nom,251),"")</f>
      </c>
      <c r="C278" s="20">
        <f>IF(AND($B$5="Tous les employés",IFERROR(INDEX(Pointage_ID,251),"")&lt;&gt;""),INDEX(Pointage_Categorie,251),"")</f>
      </c>
      <c r="D278" s="22">
        <f>IF(AND($B$5="Tous les employés",IFERROR(INDEX(Pointage_ID,251),"")&lt;&gt;""),IF(251=0,"-",IF($H$5="1ère quinzaine",INDEX(Paie_Jours1,251),IF($H$5="2ème quinzaine",INDEX(Paie_Jours2,251),INDEX(Pointage_Travailles,251)))),"")</f>
      </c>
      <c r="E278" s="23">
        <f>IF(AND($B$5="Tous les employés",IFERROR(INDEX(Pointage_ID,251),"")&lt;&gt;""),IF(251=0,"-",IF($H$5="1ère quinzaine",INDEX(Paie_HS1,251),IF($H$5="2ème quinzaine",INDEX(Paie_HS2,251),INDEX(Pointage_HS,251)))),"")</f>
      </c>
      <c r="F278" s="24">
        <f>IF(AND($B$5="Tous les employés",IFERROR(INDEX(Pointage_ID,251),"")&lt;&gt;""),INDEX(Paie_SalaireJour,251),"")</f>
      </c>
      <c r="G278" s="24">
        <f>IF(AND($B$5="Tous les employés",IFERROR(INDEX(Pointage_ID,251),"")&lt;&gt;""),IF(251=0,"-",IF($H$5="1ère quinzaine",INDEX(Paie_MontantHS1,251),IF($H$5="2ème quinzaine",INDEX(Paie_MontantHS2,251),INDEX(Paie_MontantHS,251)))),"")</f>
      </c>
      <c r="H278" s="24">
        <f>IF(AND($B$5="Tous les employés",IFERROR(INDEX(Pointage_ID,251),"")&lt;&gt;""),IF(251=0,"-",IF($H$5="1ère quinzaine",INDEX(Paie_Brut1,251),IF($H$5="2ème quinzaine",INDEX(Paie_Brut2,251),INDEX(Paie_BrutMensuel,251)))),"")</f>
      </c>
      <c r="I278" s="24">
        <f>IF(AND($B$5="Tous les employés",IFERROR(INDEX(Pointage_ID,251),"")&lt;&gt;""),IF(251=0,"-",IF($H$5="1ère quinzaine",INDEX(Paie_Retenues1,251),IF($H$5="2ème quinzaine",INDEX(Paie_Retenues2,251),INDEX(Paie_Retenues,251)))),"")</f>
      </c>
      <c r="J278" s="25">
        <f>IF(AND($B$5="Tous les employés",IFERROR(INDEX(Pointage_ID,251),"")&lt;&gt;""),IF(251=0,"-",IF($H$5="1ère quinzaine",INDEX(Paie_Net1,251),IF($H$5="2ème quinzaine",INDEX(Paie_Net2,251),INDEX(Paie_NetMensuel,251)))),"")</f>
      </c>
    </row>
    <row r="279">
      <c r="A279" s="20">
        <f>IF(AND($B$5="Tous les employés",IFERROR(INDEX(Pointage_ID,252),"")&lt;&gt;""),IFERROR(INDEX(Pointage_ID,252),""),"")</f>
      </c>
      <c r="B279" s="19">
        <f>IF(AND($B$5="Tous les employés",IFERROR(INDEX(Pointage_ID,252),"")&lt;&gt;""),INDEX(Pointage_Nom,252),"")</f>
      </c>
      <c r="C279" s="20">
        <f>IF(AND($B$5="Tous les employés",IFERROR(INDEX(Pointage_ID,252),"")&lt;&gt;""),INDEX(Pointage_Categorie,252),"")</f>
      </c>
      <c r="D279" s="22">
        <f>IF(AND($B$5="Tous les employés",IFERROR(INDEX(Pointage_ID,252),"")&lt;&gt;""),IF(252=0,"-",IF($H$5="1ère quinzaine",INDEX(Paie_Jours1,252),IF($H$5="2ème quinzaine",INDEX(Paie_Jours2,252),INDEX(Pointage_Travailles,252)))),"")</f>
      </c>
      <c r="E279" s="23">
        <f>IF(AND($B$5="Tous les employés",IFERROR(INDEX(Pointage_ID,252),"")&lt;&gt;""),IF(252=0,"-",IF($H$5="1ère quinzaine",INDEX(Paie_HS1,252),IF($H$5="2ème quinzaine",INDEX(Paie_HS2,252),INDEX(Pointage_HS,252)))),"")</f>
      </c>
      <c r="F279" s="24">
        <f>IF(AND($B$5="Tous les employés",IFERROR(INDEX(Pointage_ID,252),"")&lt;&gt;""),INDEX(Paie_SalaireJour,252),"")</f>
      </c>
      <c r="G279" s="24">
        <f>IF(AND($B$5="Tous les employés",IFERROR(INDEX(Pointage_ID,252),"")&lt;&gt;""),IF(252=0,"-",IF($H$5="1ère quinzaine",INDEX(Paie_MontantHS1,252),IF($H$5="2ème quinzaine",INDEX(Paie_MontantHS2,252),INDEX(Paie_MontantHS,252)))),"")</f>
      </c>
      <c r="H279" s="24">
        <f>IF(AND($B$5="Tous les employés",IFERROR(INDEX(Pointage_ID,252),"")&lt;&gt;""),IF(252=0,"-",IF($H$5="1ère quinzaine",INDEX(Paie_Brut1,252),IF($H$5="2ème quinzaine",INDEX(Paie_Brut2,252),INDEX(Paie_BrutMensuel,252)))),"")</f>
      </c>
      <c r="I279" s="24">
        <f>IF(AND($B$5="Tous les employés",IFERROR(INDEX(Pointage_ID,252),"")&lt;&gt;""),IF(252=0,"-",IF($H$5="1ère quinzaine",INDEX(Paie_Retenues1,252),IF($H$5="2ème quinzaine",INDEX(Paie_Retenues2,252),INDEX(Paie_Retenues,252)))),"")</f>
      </c>
      <c r="J279" s="25">
        <f>IF(AND($B$5="Tous les employés",IFERROR(INDEX(Pointage_ID,252),"")&lt;&gt;""),IF(252=0,"-",IF($H$5="1ère quinzaine",INDEX(Paie_Net1,252),IF($H$5="2ème quinzaine",INDEX(Paie_Net2,252),INDEX(Paie_NetMensuel,252)))),"")</f>
      </c>
    </row>
    <row r="280">
      <c r="A280" s="20">
        <f>IF(AND($B$5="Tous les employés",IFERROR(INDEX(Pointage_ID,253),"")&lt;&gt;""),IFERROR(INDEX(Pointage_ID,253),""),"")</f>
      </c>
      <c r="B280" s="19">
        <f>IF(AND($B$5="Tous les employés",IFERROR(INDEX(Pointage_ID,253),"")&lt;&gt;""),INDEX(Pointage_Nom,253),"")</f>
      </c>
      <c r="C280" s="20">
        <f>IF(AND($B$5="Tous les employés",IFERROR(INDEX(Pointage_ID,253),"")&lt;&gt;""),INDEX(Pointage_Categorie,253),"")</f>
      </c>
      <c r="D280" s="22">
        <f>IF(AND($B$5="Tous les employés",IFERROR(INDEX(Pointage_ID,253),"")&lt;&gt;""),IF(253=0,"-",IF($H$5="1ère quinzaine",INDEX(Paie_Jours1,253),IF($H$5="2ème quinzaine",INDEX(Paie_Jours2,253),INDEX(Pointage_Travailles,253)))),"")</f>
      </c>
      <c r="E280" s="23">
        <f>IF(AND($B$5="Tous les employés",IFERROR(INDEX(Pointage_ID,253),"")&lt;&gt;""),IF(253=0,"-",IF($H$5="1ère quinzaine",INDEX(Paie_HS1,253),IF($H$5="2ème quinzaine",INDEX(Paie_HS2,253),INDEX(Pointage_HS,253)))),"")</f>
      </c>
      <c r="F280" s="24">
        <f>IF(AND($B$5="Tous les employés",IFERROR(INDEX(Pointage_ID,253),"")&lt;&gt;""),INDEX(Paie_SalaireJour,253),"")</f>
      </c>
      <c r="G280" s="24">
        <f>IF(AND($B$5="Tous les employés",IFERROR(INDEX(Pointage_ID,253),"")&lt;&gt;""),IF(253=0,"-",IF($H$5="1ère quinzaine",INDEX(Paie_MontantHS1,253),IF($H$5="2ème quinzaine",INDEX(Paie_MontantHS2,253),INDEX(Paie_MontantHS,253)))),"")</f>
      </c>
      <c r="H280" s="24">
        <f>IF(AND($B$5="Tous les employés",IFERROR(INDEX(Pointage_ID,253),"")&lt;&gt;""),IF(253=0,"-",IF($H$5="1ère quinzaine",INDEX(Paie_Brut1,253),IF($H$5="2ème quinzaine",INDEX(Paie_Brut2,253),INDEX(Paie_BrutMensuel,253)))),"")</f>
      </c>
      <c r="I280" s="24">
        <f>IF(AND($B$5="Tous les employés",IFERROR(INDEX(Pointage_ID,253),"")&lt;&gt;""),IF(253=0,"-",IF($H$5="1ère quinzaine",INDEX(Paie_Retenues1,253),IF($H$5="2ème quinzaine",INDEX(Paie_Retenues2,253),INDEX(Paie_Retenues,253)))),"")</f>
      </c>
      <c r="J280" s="25">
        <f>IF(AND($B$5="Tous les employés",IFERROR(INDEX(Pointage_ID,253),"")&lt;&gt;""),IF(253=0,"-",IF($H$5="1ère quinzaine",INDEX(Paie_Net1,253),IF($H$5="2ème quinzaine",INDEX(Paie_Net2,253),INDEX(Paie_NetMensuel,253)))),"")</f>
      </c>
    </row>
    <row r="281">
      <c r="A281" s="20">
        <f>IF(AND($B$5="Tous les employés",IFERROR(INDEX(Pointage_ID,254),"")&lt;&gt;""),IFERROR(INDEX(Pointage_ID,254),""),"")</f>
      </c>
      <c r="B281" s="19">
        <f>IF(AND($B$5="Tous les employés",IFERROR(INDEX(Pointage_ID,254),"")&lt;&gt;""),INDEX(Pointage_Nom,254),"")</f>
      </c>
      <c r="C281" s="20">
        <f>IF(AND($B$5="Tous les employés",IFERROR(INDEX(Pointage_ID,254),"")&lt;&gt;""),INDEX(Pointage_Categorie,254),"")</f>
      </c>
      <c r="D281" s="22">
        <f>IF(AND($B$5="Tous les employés",IFERROR(INDEX(Pointage_ID,254),"")&lt;&gt;""),IF(254=0,"-",IF($H$5="1ère quinzaine",INDEX(Paie_Jours1,254),IF($H$5="2ème quinzaine",INDEX(Paie_Jours2,254),INDEX(Pointage_Travailles,254)))),"")</f>
      </c>
      <c r="E281" s="23">
        <f>IF(AND($B$5="Tous les employés",IFERROR(INDEX(Pointage_ID,254),"")&lt;&gt;""),IF(254=0,"-",IF($H$5="1ère quinzaine",INDEX(Paie_HS1,254),IF($H$5="2ème quinzaine",INDEX(Paie_HS2,254),INDEX(Pointage_HS,254)))),"")</f>
      </c>
      <c r="F281" s="24">
        <f>IF(AND($B$5="Tous les employés",IFERROR(INDEX(Pointage_ID,254),"")&lt;&gt;""),INDEX(Paie_SalaireJour,254),"")</f>
      </c>
      <c r="G281" s="24">
        <f>IF(AND($B$5="Tous les employés",IFERROR(INDEX(Pointage_ID,254),"")&lt;&gt;""),IF(254=0,"-",IF($H$5="1ère quinzaine",INDEX(Paie_MontantHS1,254),IF($H$5="2ème quinzaine",INDEX(Paie_MontantHS2,254),INDEX(Paie_MontantHS,254)))),"")</f>
      </c>
      <c r="H281" s="24">
        <f>IF(AND($B$5="Tous les employés",IFERROR(INDEX(Pointage_ID,254),"")&lt;&gt;""),IF(254=0,"-",IF($H$5="1ère quinzaine",INDEX(Paie_Brut1,254),IF($H$5="2ème quinzaine",INDEX(Paie_Brut2,254),INDEX(Paie_BrutMensuel,254)))),"")</f>
      </c>
      <c r="I281" s="24">
        <f>IF(AND($B$5="Tous les employés",IFERROR(INDEX(Pointage_ID,254),"")&lt;&gt;""),IF(254=0,"-",IF($H$5="1ère quinzaine",INDEX(Paie_Retenues1,254),IF($H$5="2ème quinzaine",INDEX(Paie_Retenues2,254),INDEX(Paie_Retenues,254)))),"")</f>
      </c>
      <c r="J281" s="25">
        <f>IF(AND($B$5="Tous les employés",IFERROR(INDEX(Pointage_ID,254),"")&lt;&gt;""),IF(254=0,"-",IF($H$5="1ère quinzaine",INDEX(Paie_Net1,254),IF($H$5="2ème quinzaine",INDEX(Paie_Net2,254),INDEX(Paie_NetMensuel,254)))),"")</f>
      </c>
    </row>
    <row r="282">
      <c r="A282" s="20">
        <f>IF(AND($B$5="Tous les employés",IFERROR(INDEX(Pointage_ID,255),"")&lt;&gt;""),IFERROR(INDEX(Pointage_ID,255),""),"")</f>
      </c>
      <c r="B282" s="19">
        <f>IF(AND($B$5="Tous les employés",IFERROR(INDEX(Pointage_ID,255),"")&lt;&gt;""),INDEX(Pointage_Nom,255),"")</f>
      </c>
      <c r="C282" s="20">
        <f>IF(AND($B$5="Tous les employés",IFERROR(INDEX(Pointage_ID,255),"")&lt;&gt;""),INDEX(Pointage_Categorie,255),"")</f>
      </c>
      <c r="D282" s="22">
        <f>IF(AND($B$5="Tous les employés",IFERROR(INDEX(Pointage_ID,255),"")&lt;&gt;""),IF(255=0,"-",IF($H$5="1ère quinzaine",INDEX(Paie_Jours1,255),IF($H$5="2ème quinzaine",INDEX(Paie_Jours2,255),INDEX(Pointage_Travailles,255)))),"")</f>
      </c>
      <c r="E282" s="23">
        <f>IF(AND($B$5="Tous les employés",IFERROR(INDEX(Pointage_ID,255),"")&lt;&gt;""),IF(255=0,"-",IF($H$5="1ère quinzaine",INDEX(Paie_HS1,255),IF($H$5="2ème quinzaine",INDEX(Paie_HS2,255),INDEX(Pointage_HS,255)))),"")</f>
      </c>
      <c r="F282" s="24">
        <f>IF(AND($B$5="Tous les employés",IFERROR(INDEX(Pointage_ID,255),"")&lt;&gt;""),INDEX(Paie_SalaireJour,255),"")</f>
      </c>
      <c r="G282" s="24">
        <f>IF(AND($B$5="Tous les employés",IFERROR(INDEX(Pointage_ID,255),"")&lt;&gt;""),IF(255=0,"-",IF($H$5="1ère quinzaine",INDEX(Paie_MontantHS1,255),IF($H$5="2ème quinzaine",INDEX(Paie_MontantHS2,255),INDEX(Paie_MontantHS,255)))),"")</f>
      </c>
      <c r="H282" s="24">
        <f>IF(AND($B$5="Tous les employés",IFERROR(INDEX(Pointage_ID,255),"")&lt;&gt;""),IF(255=0,"-",IF($H$5="1ère quinzaine",INDEX(Paie_Brut1,255),IF($H$5="2ème quinzaine",INDEX(Paie_Brut2,255),INDEX(Paie_BrutMensuel,255)))),"")</f>
      </c>
      <c r="I282" s="24">
        <f>IF(AND($B$5="Tous les employés",IFERROR(INDEX(Pointage_ID,255),"")&lt;&gt;""),IF(255=0,"-",IF($H$5="1ère quinzaine",INDEX(Paie_Retenues1,255),IF($H$5="2ème quinzaine",INDEX(Paie_Retenues2,255),INDEX(Paie_Retenues,255)))),"")</f>
      </c>
      <c r="J282" s="25">
        <f>IF(AND($B$5="Tous les employés",IFERROR(INDEX(Pointage_ID,255),"")&lt;&gt;""),IF(255=0,"-",IF($H$5="1ère quinzaine",INDEX(Paie_Net1,255),IF($H$5="2ème quinzaine",INDEX(Paie_Net2,255),INDEX(Paie_NetMensuel,255)))),"")</f>
      </c>
    </row>
    <row r="283">
      <c r="A283" s="20">
        <f>IF(AND($B$5="Tous les employés",IFERROR(INDEX(Pointage_ID,256),"")&lt;&gt;""),IFERROR(INDEX(Pointage_ID,256),""),"")</f>
      </c>
      <c r="B283" s="19">
        <f>IF(AND($B$5="Tous les employés",IFERROR(INDEX(Pointage_ID,256),"")&lt;&gt;""),INDEX(Pointage_Nom,256),"")</f>
      </c>
      <c r="C283" s="20">
        <f>IF(AND($B$5="Tous les employés",IFERROR(INDEX(Pointage_ID,256),"")&lt;&gt;""),INDEX(Pointage_Categorie,256),"")</f>
      </c>
      <c r="D283" s="22">
        <f>IF(AND($B$5="Tous les employés",IFERROR(INDEX(Pointage_ID,256),"")&lt;&gt;""),IF(256=0,"-",IF($H$5="1ère quinzaine",INDEX(Paie_Jours1,256),IF($H$5="2ème quinzaine",INDEX(Paie_Jours2,256),INDEX(Pointage_Travailles,256)))),"")</f>
      </c>
      <c r="E283" s="23">
        <f>IF(AND($B$5="Tous les employés",IFERROR(INDEX(Pointage_ID,256),"")&lt;&gt;""),IF(256=0,"-",IF($H$5="1ère quinzaine",INDEX(Paie_HS1,256),IF($H$5="2ème quinzaine",INDEX(Paie_HS2,256),INDEX(Pointage_HS,256)))),"")</f>
      </c>
      <c r="F283" s="24">
        <f>IF(AND($B$5="Tous les employés",IFERROR(INDEX(Pointage_ID,256),"")&lt;&gt;""),INDEX(Paie_SalaireJour,256),"")</f>
      </c>
      <c r="G283" s="24">
        <f>IF(AND($B$5="Tous les employés",IFERROR(INDEX(Pointage_ID,256),"")&lt;&gt;""),IF(256=0,"-",IF($H$5="1ère quinzaine",INDEX(Paie_MontantHS1,256),IF($H$5="2ème quinzaine",INDEX(Paie_MontantHS2,256),INDEX(Paie_MontantHS,256)))),"")</f>
      </c>
      <c r="H283" s="24">
        <f>IF(AND($B$5="Tous les employés",IFERROR(INDEX(Pointage_ID,256),"")&lt;&gt;""),IF(256=0,"-",IF($H$5="1ère quinzaine",INDEX(Paie_Brut1,256),IF($H$5="2ème quinzaine",INDEX(Paie_Brut2,256),INDEX(Paie_BrutMensuel,256)))),"")</f>
      </c>
      <c r="I283" s="24">
        <f>IF(AND($B$5="Tous les employés",IFERROR(INDEX(Pointage_ID,256),"")&lt;&gt;""),IF(256=0,"-",IF($H$5="1ère quinzaine",INDEX(Paie_Retenues1,256),IF($H$5="2ème quinzaine",INDEX(Paie_Retenues2,256),INDEX(Paie_Retenues,256)))),"")</f>
      </c>
      <c r="J283" s="25">
        <f>IF(AND($B$5="Tous les employés",IFERROR(INDEX(Pointage_ID,256),"")&lt;&gt;""),IF(256=0,"-",IF($H$5="1ère quinzaine",INDEX(Paie_Net1,256),IF($H$5="2ème quinzaine",INDEX(Paie_Net2,256),INDEX(Paie_NetMensuel,256)))),"")</f>
      </c>
    </row>
    <row r="284">
      <c r="A284" s="20">
        <f>IF(AND($B$5="Tous les employés",IFERROR(INDEX(Pointage_ID,257),"")&lt;&gt;""),IFERROR(INDEX(Pointage_ID,257),""),"")</f>
      </c>
      <c r="B284" s="19">
        <f>IF(AND($B$5="Tous les employés",IFERROR(INDEX(Pointage_ID,257),"")&lt;&gt;""),INDEX(Pointage_Nom,257),"")</f>
      </c>
      <c r="C284" s="20">
        <f>IF(AND($B$5="Tous les employés",IFERROR(INDEX(Pointage_ID,257),"")&lt;&gt;""),INDEX(Pointage_Categorie,257),"")</f>
      </c>
      <c r="D284" s="22">
        <f>IF(AND($B$5="Tous les employés",IFERROR(INDEX(Pointage_ID,257),"")&lt;&gt;""),IF(257=0,"-",IF($H$5="1ère quinzaine",INDEX(Paie_Jours1,257),IF($H$5="2ème quinzaine",INDEX(Paie_Jours2,257),INDEX(Pointage_Travailles,257)))),"")</f>
      </c>
      <c r="E284" s="23">
        <f>IF(AND($B$5="Tous les employés",IFERROR(INDEX(Pointage_ID,257),"")&lt;&gt;""),IF(257=0,"-",IF($H$5="1ère quinzaine",INDEX(Paie_HS1,257),IF($H$5="2ème quinzaine",INDEX(Paie_HS2,257),INDEX(Pointage_HS,257)))),"")</f>
      </c>
      <c r="F284" s="24">
        <f>IF(AND($B$5="Tous les employés",IFERROR(INDEX(Pointage_ID,257),"")&lt;&gt;""),INDEX(Paie_SalaireJour,257),"")</f>
      </c>
      <c r="G284" s="24">
        <f>IF(AND($B$5="Tous les employés",IFERROR(INDEX(Pointage_ID,257),"")&lt;&gt;""),IF(257=0,"-",IF($H$5="1ère quinzaine",INDEX(Paie_MontantHS1,257),IF($H$5="2ème quinzaine",INDEX(Paie_MontantHS2,257),INDEX(Paie_MontantHS,257)))),"")</f>
      </c>
      <c r="H284" s="24">
        <f>IF(AND($B$5="Tous les employés",IFERROR(INDEX(Pointage_ID,257),"")&lt;&gt;""),IF(257=0,"-",IF($H$5="1ère quinzaine",INDEX(Paie_Brut1,257),IF($H$5="2ème quinzaine",INDEX(Paie_Brut2,257),INDEX(Paie_BrutMensuel,257)))),"")</f>
      </c>
      <c r="I284" s="24">
        <f>IF(AND($B$5="Tous les employés",IFERROR(INDEX(Pointage_ID,257),"")&lt;&gt;""),IF(257=0,"-",IF($H$5="1ère quinzaine",INDEX(Paie_Retenues1,257),IF($H$5="2ème quinzaine",INDEX(Paie_Retenues2,257),INDEX(Paie_Retenues,257)))),"")</f>
      </c>
      <c r="J284" s="25">
        <f>IF(AND($B$5="Tous les employés",IFERROR(INDEX(Pointage_ID,257),"")&lt;&gt;""),IF(257=0,"-",IF($H$5="1ère quinzaine",INDEX(Paie_Net1,257),IF($H$5="2ème quinzaine",INDEX(Paie_Net2,257),INDEX(Paie_NetMensuel,257)))),"")</f>
      </c>
    </row>
    <row r="285">
      <c r="A285" s="20">
        <f>IF(AND($B$5="Tous les employés",IFERROR(INDEX(Pointage_ID,258),"")&lt;&gt;""),IFERROR(INDEX(Pointage_ID,258),""),"")</f>
      </c>
      <c r="B285" s="19">
        <f>IF(AND($B$5="Tous les employés",IFERROR(INDEX(Pointage_ID,258),"")&lt;&gt;""),INDEX(Pointage_Nom,258),"")</f>
      </c>
      <c r="C285" s="20">
        <f>IF(AND($B$5="Tous les employés",IFERROR(INDEX(Pointage_ID,258),"")&lt;&gt;""),INDEX(Pointage_Categorie,258),"")</f>
      </c>
      <c r="D285" s="22">
        <f>IF(AND($B$5="Tous les employés",IFERROR(INDEX(Pointage_ID,258),"")&lt;&gt;""),IF(258=0,"-",IF($H$5="1ère quinzaine",INDEX(Paie_Jours1,258),IF($H$5="2ème quinzaine",INDEX(Paie_Jours2,258),INDEX(Pointage_Travailles,258)))),"")</f>
      </c>
      <c r="E285" s="23">
        <f>IF(AND($B$5="Tous les employés",IFERROR(INDEX(Pointage_ID,258),"")&lt;&gt;""),IF(258=0,"-",IF($H$5="1ère quinzaine",INDEX(Paie_HS1,258),IF($H$5="2ème quinzaine",INDEX(Paie_HS2,258),INDEX(Pointage_HS,258)))),"")</f>
      </c>
      <c r="F285" s="24">
        <f>IF(AND($B$5="Tous les employés",IFERROR(INDEX(Pointage_ID,258),"")&lt;&gt;""),INDEX(Paie_SalaireJour,258),"")</f>
      </c>
      <c r="G285" s="24">
        <f>IF(AND($B$5="Tous les employés",IFERROR(INDEX(Pointage_ID,258),"")&lt;&gt;""),IF(258=0,"-",IF($H$5="1ère quinzaine",INDEX(Paie_MontantHS1,258),IF($H$5="2ème quinzaine",INDEX(Paie_MontantHS2,258),INDEX(Paie_MontantHS,258)))),"")</f>
      </c>
      <c r="H285" s="24">
        <f>IF(AND($B$5="Tous les employés",IFERROR(INDEX(Pointage_ID,258),"")&lt;&gt;""),IF(258=0,"-",IF($H$5="1ère quinzaine",INDEX(Paie_Brut1,258),IF($H$5="2ème quinzaine",INDEX(Paie_Brut2,258),INDEX(Paie_BrutMensuel,258)))),"")</f>
      </c>
      <c r="I285" s="24">
        <f>IF(AND($B$5="Tous les employés",IFERROR(INDEX(Pointage_ID,258),"")&lt;&gt;""),IF(258=0,"-",IF($H$5="1ère quinzaine",INDEX(Paie_Retenues1,258),IF($H$5="2ème quinzaine",INDEX(Paie_Retenues2,258),INDEX(Paie_Retenues,258)))),"")</f>
      </c>
      <c r="J285" s="25">
        <f>IF(AND($B$5="Tous les employés",IFERROR(INDEX(Pointage_ID,258),"")&lt;&gt;""),IF(258=0,"-",IF($H$5="1ère quinzaine",INDEX(Paie_Net1,258),IF($H$5="2ème quinzaine",INDEX(Paie_Net2,258),INDEX(Paie_NetMensuel,258)))),"")</f>
      </c>
    </row>
    <row r="286">
      <c r="A286" s="20">
        <f>IF(AND($B$5="Tous les employés",IFERROR(INDEX(Pointage_ID,259),"")&lt;&gt;""),IFERROR(INDEX(Pointage_ID,259),""),"")</f>
      </c>
      <c r="B286" s="19">
        <f>IF(AND($B$5="Tous les employés",IFERROR(INDEX(Pointage_ID,259),"")&lt;&gt;""),INDEX(Pointage_Nom,259),"")</f>
      </c>
      <c r="C286" s="20">
        <f>IF(AND($B$5="Tous les employés",IFERROR(INDEX(Pointage_ID,259),"")&lt;&gt;""),INDEX(Pointage_Categorie,259),"")</f>
      </c>
      <c r="D286" s="22">
        <f>IF(AND($B$5="Tous les employés",IFERROR(INDEX(Pointage_ID,259),"")&lt;&gt;""),IF(259=0,"-",IF($H$5="1ère quinzaine",INDEX(Paie_Jours1,259),IF($H$5="2ème quinzaine",INDEX(Paie_Jours2,259),INDEX(Pointage_Travailles,259)))),"")</f>
      </c>
      <c r="E286" s="23">
        <f>IF(AND($B$5="Tous les employés",IFERROR(INDEX(Pointage_ID,259),"")&lt;&gt;""),IF(259=0,"-",IF($H$5="1ère quinzaine",INDEX(Paie_HS1,259),IF($H$5="2ème quinzaine",INDEX(Paie_HS2,259),INDEX(Pointage_HS,259)))),"")</f>
      </c>
      <c r="F286" s="24">
        <f>IF(AND($B$5="Tous les employés",IFERROR(INDEX(Pointage_ID,259),"")&lt;&gt;""),INDEX(Paie_SalaireJour,259),"")</f>
      </c>
      <c r="G286" s="24">
        <f>IF(AND($B$5="Tous les employés",IFERROR(INDEX(Pointage_ID,259),"")&lt;&gt;""),IF(259=0,"-",IF($H$5="1ère quinzaine",INDEX(Paie_MontantHS1,259),IF($H$5="2ème quinzaine",INDEX(Paie_MontantHS2,259),INDEX(Paie_MontantHS,259)))),"")</f>
      </c>
      <c r="H286" s="24">
        <f>IF(AND($B$5="Tous les employés",IFERROR(INDEX(Pointage_ID,259),"")&lt;&gt;""),IF(259=0,"-",IF($H$5="1ère quinzaine",INDEX(Paie_Brut1,259),IF($H$5="2ème quinzaine",INDEX(Paie_Brut2,259),INDEX(Paie_BrutMensuel,259)))),"")</f>
      </c>
      <c r="I286" s="24">
        <f>IF(AND($B$5="Tous les employés",IFERROR(INDEX(Pointage_ID,259),"")&lt;&gt;""),IF(259=0,"-",IF($H$5="1ère quinzaine",INDEX(Paie_Retenues1,259),IF($H$5="2ème quinzaine",INDEX(Paie_Retenues2,259),INDEX(Paie_Retenues,259)))),"")</f>
      </c>
      <c r="J286" s="25">
        <f>IF(AND($B$5="Tous les employés",IFERROR(INDEX(Pointage_ID,259),"")&lt;&gt;""),IF(259=0,"-",IF($H$5="1ère quinzaine",INDEX(Paie_Net1,259),IF($H$5="2ème quinzaine",INDEX(Paie_Net2,259),INDEX(Paie_NetMensuel,259)))),"")</f>
      </c>
    </row>
    <row r="287">
      <c r="A287" s="20">
        <f>IF(AND($B$5="Tous les employés",IFERROR(INDEX(Pointage_ID,260),"")&lt;&gt;""),IFERROR(INDEX(Pointage_ID,260),""),"")</f>
      </c>
      <c r="B287" s="19">
        <f>IF(AND($B$5="Tous les employés",IFERROR(INDEX(Pointage_ID,260),"")&lt;&gt;""),INDEX(Pointage_Nom,260),"")</f>
      </c>
      <c r="C287" s="20">
        <f>IF(AND($B$5="Tous les employés",IFERROR(INDEX(Pointage_ID,260),"")&lt;&gt;""),INDEX(Pointage_Categorie,260),"")</f>
      </c>
      <c r="D287" s="22">
        <f>IF(AND($B$5="Tous les employés",IFERROR(INDEX(Pointage_ID,260),"")&lt;&gt;""),IF(260=0,"-",IF($H$5="1ère quinzaine",INDEX(Paie_Jours1,260),IF($H$5="2ème quinzaine",INDEX(Paie_Jours2,260),INDEX(Pointage_Travailles,260)))),"")</f>
      </c>
      <c r="E287" s="23">
        <f>IF(AND($B$5="Tous les employés",IFERROR(INDEX(Pointage_ID,260),"")&lt;&gt;""),IF(260=0,"-",IF($H$5="1ère quinzaine",INDEX(Paie_HS1,260),IF($H$5="2ème quinzaine",INDEX(Paie_HS2,260),INDEX(Pointage_HS,260)))),"")</f>
      </c>
      <c r="F287" s="24">
        <f>IF(AND($B$5="Tous les employés",IFERROR(INDEX(Pointage_ID,260),"")&lt;&gt;""),INDEX(Paie_SalaireJour,260),"")</f>
      </c>
      <c r="G287" s="24">
        <f>IF(AND($B$5="Tous les employés",IFERROR(INDEX(Pointage_ID,260),"")&lt;&gt;""),IF(260=0,"-",IF($H$5="1ère quinzaine",INDEX(Paie_MontantHS1,260),IF($H$5="2ème quinzaine",INDEX(Paie_MontantHS2,260),INDEX(Paie_MontantHS,260)))),"")</f>
      </c>
      <c r="H287" s="24">
        <f>IF(AND($B$5="Tous les employés",IFERROR(INDEX(Pointage_ID,260),"")&lt;&gt;""),IF(260=0,"-",IF($H$5="1ère quinzaine",INDEX(Paie_Brut1,260),IF($H$5="2ème quinzaine",INDEX(Paie_Brut2,260),INDEX(Paie_BrutMensuel,260)))),"")</f>
      </c>
      <c r="I287" s="24">
        <f>IF(AND($B$5="Tous les employés",IFERROR(INDEX(Pointage_ID,260),"")&lt;&gt;""),IF(260=0,"-",IF($H$5="1ère quinzaine",INDEX(Paie_Retenues1,260),IF($H$5="2ème quinzaine",INDEX(Paie_Retenues2,260),INDEX(Paie_Retenues,260)))),"")</f>
      </c>
      <c r="J287" s="25">
        <f>IF(AND($B$5="Tous les employés",IFERROR(INDEX(Pointage_ID,260),"")&lt;&gt;""),IF(260=0,"-",IF($H$5="1ère quinzaine",INDEX(Paie_Net1,260),IF($H$5="2ème quinzaine",INDEX(Paie_Net2,260),INDEX(Paie_NetMensuel,260)))),"")</f>
      </c>
    </row>
    <row r="288">
      <c r="A288" s="20">
        <f>IF(AND($B$5="Tous les employés",IFERROR(INDEX(Pointage_ID,261),"")&lt;&gt;""),IFERROR(INDEX(Pointage_ID,261),""),"")</f>
      </c>
      <c r="B288" s="19">
        <f>IF(AND($B$5="Tous les employés",IFERROR(INDEX(Pointage_ID,261),"")&lt;&gt;""),INDEX(Pointage_Nom,261),"")</f>
      </c>
      <c r="C288" s="20">
        <f>IF(AND($B$5="Tous les employés",IFERROR(INDEX(Pointage_ID,261),"")&lt;&gt;""),INDEX(Pointage_Categorie,261),"")</f>
      </c>
      <c r="D288" s="22">
        <f>IF(AND($B$5="Tous les employés",IFERROR(INDEX(Pointage_ID,261),"")&lt;&gt;""),IF(261=0,"-",IF($H$5="1ère quinzaine",INDEX(Paie_Jours1,261),IF($H$5="2ème quinzaine",INDEX(Paie_Jours2,261),INDEX(Pointage_Travailles,261)))),"")</f>
      </c>
      <c r="E288" s="23">
        <f>IF(AND($B$5="Tous les employés",IFERROR(INDEX(Pointage_ID,261),"")&lt;&gt;""),IF(261=0,"-",IF($H$5="1ère quinzaine",INDEX(Paie_HS1,261),IF($H$5="2ème quinzaine",INDEX(Paie_HS2,261),INDEX(Pointage_HS,261)))),"")</f>
      </c>
      <c r="F288" s="24">
        <f>IF(AND($B$5="Tous les employés",IFERROR(INDEX(Pointage_ID,261),"")&lt;&gt;""),INDEX(Paie_SalaireJour,261),"")</f>
      </c>
      <c r="G288" s="24">
        <f>IF(AND($B$5="Tous les employés",IFERROR(INDEX(Pointage_ID,261),"")&lt;&gt;""),IF(261=0,"-",IF($H$5="1ère quinzaine",INDEX(Paie_MontantHS1,261),IF($H$5="2ème quinzaine",INDEX(Paie_MontantHS2,261),INDEX(Paie_MontantHS,261)))),"")</f>
      </c>
      <c r="H288" s="24">
        <f>IF(AND($B$5="Tous les employés",IFERROR(INDEX(Pointage_ID,261),"")&lt;&gt;""),IF(261=0,"-",IF($H$5="1ère quinzaine",INDEX(Paie_Brut1,261),IF($H$5="2ème quinzaine",INDEX(Paie_Brut2,261),INDEX(Paie_BrutMensuel,261)))),"")</f>
      </c>
      <c r="I288" s="24">
        <f>IF(AND($B$5="Tous les employés",IFERROR(INDEX(Pointage_ID,261),"")&lt;&gt;""),IF(261=0,"-",IF($H$5="1ère quinzaine",INDEX(Paie_Retenues1,261),IF($H$5="2ème quinzaine",INDEX(Paie_Retenues2,261),INDEX(Paie_Retenues,261)))),"")</f>
      </c>
      <c r="J288" s="25">
        <f>IF(AND($B$5="Tous les employés",IFERROR(INDEX(Pointage_ID,261),"")&lt;&gt;""),IF(261=0,"-",IF($H$5="1ère quinzaine",INDEX(Paie_Net1,261),IF($H$5="2ème quinzaine",INDEX(Paie_Net2,261),INDEX(Paie_NetMensuel,261)))),"")</f>
      </c>
    </row>
    <row r="289">
      <c r="A289" s="20">
        <f>IF(AND($B$5="Tous les employés",IFERROR(INDEX(Pointage_ID,262),"")&lt;&gt;""),IFERROR(INDEX(Pointage_ID,262),""),"")</f>
      </c>
      <c r="B289" s="19">
        <f>IF(AND($B$5="Tous les employés",IFERROR(INDEX(Pointage_ID,262),"")&lt;&gt;""),INDEX(Pointage_Nom,262),"")</f>
      </c>
      <c r="C289" s="20">
        <f>IF(AND($B$5="Tous les employés",IFERROR(INDEX(Pointage_ID,262),"")&lt;&gt;""),INDEX(Pointage_Categorie,262),"")</f>
      </c>
      <c r="D289" s="22">
        <f>IF(AND($B$5="Tous les employés",IFERROR(INDEX(Pointage_ID,262),"")&lt;&gt;""),IF(262=0,"-",IF($H$5="1ère quinzaine",INDEX(Paie_Jours1,262),IF($H$5="2ème quinzaine",INDEX(Paie_Jours2,262),INDEX(Pointage_Travailles,262)))),"")</f>
      </c>
      <c r="E289" s="23">
        <f>IF(AND($B$5="Tous les employés",IFERROR(INDEX(Pointage_ID,262),"")&lt;&gt;""),IF(262=0,"-",IF($H$5="1ère quinzaine",INDEX(Paie_HS1,262),IF($H$5="2ème quinzaine",INDEX(Paie_HS2,262),INDEX(Pointage_HS,262)))),"")</f>
      </c>
      <c r="F289" s="24">
        <f>IF(AND($B$5="Tous les employés",IFERROR(INDEX(Pointage_ID,262),"")&lt;&gt;""),INDEX(Paie_SalaireJour,262),"")</f>
      </c>
      <c r="G289" s="24">
        <f>IF(AND($B$5="Tous les employés",IFERROR(INDEX(Pointage_ID,262),"")&lt;&gt;""),IF(262=0,"-",IF($H$5="1ère quinzaine",INDEX(Paie_MontantHS1,262),IF($H$5="2ème quinzaine",INDEX(Paie_MontantHS2,262),INDEX(Paie_MontantHS,262)))),"")</f>
      </c>
      <c r="H289" s="24">
        <f>IF(AND($B$5="Tous les employés",IFERROR(INDEX(Pointage_ID,262),"")&lt;&gt;""),IF(262=0,"-",IF($H$5="1ère quinzaine",INDEX(Paie_Brut1,262),IF($H$5="2ème quinzaine",INDEX(Paie_Brut2,262),INDEX(Paie_BrutMensuel,262)))),"")</f>
      </c>
      <c r="I289" s="24">
        <f>IF(AND($B$5="Tous les employés",IFERROR(INDEX(Pointage_ID,262),"")&lt;&gt;""),IF(262=0,"-",IF($H$5="1ère quinzaine",INDEX(Paie_Retenues1,262),IF($H$5="2ème quinzaine",INDEX(Paie_Retenues2,262),INDEX(Paie_Retenues,262)))),"")</f>
      </c>
      <c r="J289" s="25">
        <f>IF(AND($B$5="Tous les employés",IFERROR(INDEX(Pointage_ID,262),"")&lt;&gt;""),IF(262=0,"-",IF($H$5="1ère quinzaine",INDEX(Paie_Net1,262),IF($H$5="2ème quinzaine",INDEX(Paie_Net2,262),INDEX(Paie_NetMensuel,262)))),"")</f>
      </c>
    </row>
    <row r="290">
      <c r="A290" s="20">
        <f>IF(AND($B$5="Tous les employés",IFERROR(INDEX(Pointage_ID,263),"")&lt;&gt;""),IFERROR(INDEX(Pointage_ID,263),""),"")</f>
      </c>
      <c r="B290" s="19">
        <f>IF(AND($B$5="Tous les employés",IFERROR(INDEX(Pointage_ID,263),"")&lt;&gt;""),INDEX(Pointage_Nom,263),"")</f>
      </c>
      <c r="C290" s="20">
        <f>IF(AND($B$5="Tous les employés",IFERROR(INDEX(Pointage_ID,263),"")&lt;&gt;""),INDEX(Pointage_Categorie,263),"")</f>
      </c>
      <c r="D290" s="22">
        <f>IF(AND($B$5="Tous les employés",IFERROR(INDEX(Pointage_ID,263),"")&lt;&gt;""),IF(263=0,"-",IF($H$5="1ère quinzaine",INDEX(Paie_Jours1,263),IF($H$5="2ème quinzaine",INDEX(Paie_Jours2,263),INDEX(Pointage_Travailles,263)))),"")</f>
      </c>
      <c r="E290" s="23">
        <f>IF(AND($B$5="Tous les employés",IFERROR(INDEX(Pointage_ID,263),"")&lt;&gt;""),IF(263=0,"-",IF($H$5="1ère quinzaine",INDEX(Paie_HS1,263),IF($H$5="2ème quinzaine",INDEX(Paie_HS2,263),INDEX(Pointage_HS,263)))),"")</f>
      </c>
      <c r="F290" s="24">
        <f>IF(AND($B$5="Tous les employés",IFERROR(INDEX(Pointage_ID,263),"")&lt;&gt;""),INDEX(Paie_SalaireJour,263),"")</f>
      </c>
      <c r="G290" s="24">
        <f>IF(AND($B$5="Tous les employés",IFERROR(INDEX(Pointage_ID,263),"")&lt;&gt;""),IF(263=0,"-",IF($H$5="1ère quinzaine",INDEX(Paie_MontantHS1,263),IF($H$5="2ème quinzaine",INDEX(Paie_MontantHS2,263),INDEX(Paie_MontantHS,263)))),"")</f>
      </c>
      <c r="H290" s="24">
        <f>IF(AND($B$5="Tous les employés",IFERROR(INDEX(Pointage_ID,263),"")&lt;&gt;""),IF(263=0,"-",IF($H$5="1ère quinzaine",INDEX(Paie_Brut1,263),IF($H$5="2ème quinzaine",INDEX(Paie_Brut2,263),INDEX(Paie_BrutMensuel,263)))),"")</f>
      </c>
      <c r="I290" s="24">
        <f>IF(AND($B$5="Tous les employés",IFERROR(INDEX(Pointage_ID,263),"")&lt;&gt;""),IF(263=0,"-",IF($H$5="1ère quinzaine",INDEX(Paie_Retenues1,263),IF($H$5="2ème quinzaine",INDEX(Paie_Retenues2,263),INDEX(Paie_Retenues,263)))),"")</f>
      </c>
      <c r="J290" s="25">
        <f>IF(AND($B$5="Tous les employés",IFERROR(INDEX(Pointage_ID,263),"")&lt;&gt;""),IF(263=0,"-",IF($H$5="1ère quinzaine",INDEX(Paie_Net1,263),IF($H$5="2ème quinzaine",INDEX(Paie_Net2,263),INDEX(Paie_NetMensuel,263)))),"")</f>
      </c>
    </row>
    <row r="291">
      <c r="A291" s="20">
        <f>IF(AND($B$5="Tous les employés",IFERROR(INDEX(Pointage_ID,264),"")&lt;&gt;""),IFERROR(INDEX(Pointage_ID,264),""),"")</f>
      </c>
      <c r="B291" s="19">
        <f>IF(AND($B$5="Tous les employés",IFERROR(INDEX(Pointage_ID,264),"")&lt;&gt;""),INDEX(Pointage_Nom,264),"")</f>
      </c>
      <c r="C291" s="20">
        <f>IF(AND($B$5="Tous les employés",IFERROR(INDEX(Pointage_ID,264),"")&lt;&gt;""),INDEX(Pointage_Categorie,264),"")</f>
      </c>
      <c r="D291" s="22">
        <f>IF(AND($B$5="Tous les employés",IFERROR(INDEX(Pointage_ID,264),"")&lt;&gt;""),IF(264=0,"-",IF($H$5="1ère quinzaine",INDEX(Paie_Jours1,264),IF($H$5="2ème quinzaine",INDEX(Paie_Jours2,264),INDEX(Pointage_Travailles,264)))),"")</f>
      </c>
      <c r="E291" s="23">
        <f>IF(AND($B$5="Tous les employés",IFERROR(INDEX(Pointage_ID,264),"")&lt;&gt;""),IF(264=0,"-",IF($H$5="1ère quinzaine",INDEX(Paie_HS1,264),IF($H$5="2ème quinzaine",INDEX(Paie_HS2,264),INDEX(Pointage_HS,264)))),"")</f>
      </c>
      <c r="F291" s="24">
        <f>IF(AND($B$5="Tous les employés",IFERROR(INDEX(Pointage_ID,264),"")&lt;&gt;""),INDEX(Paie_SalaireJour,264),"")</f>
      </c>
      <c r="G291" s="24">
        <f>IF(AND($B$5="Tous les employés",IFERROR(INDEX(Pointage_ID,264),"")&lt;&gt;""),IF(264=0,"-",IF($H$5="1ère quinzaine",INDEX(Paie_MontantHS1,264),IF($H$5="2ème quinzaine",INDEX(Paie_MontantHS2,264),INDEX(Paie_MontantHS,264)))),"")</f>
      </c>
      <c r="H291" s="24">
        <f>IF(AND($B$5="Tous les employés",IFERROR(INDEX(Pointage_ID,264),"")&lt;&gt;""),IF(264=0,"-",IF($H$5="1ère quinzaine",INDEX(Paie_Brut1,264),IF($H$5="2ème quinzaine",INDEX(Paie_Brut2,264),INDEX(Paie_BrutMensuel,264)))),"")</f>
      </c>
      <c r="I291" s="24">
        <f>IF(AND($B$5="Tous les employés",IFERROR(INDEX(Pointage_ID,264),"")&lt;&gt;""),IF(264=0,"-",IF($H$5="1ère quinzaine",INDEX(Paie_Retenues1,264),IF($H$5="2ème quinzaine",INDEX(Paie_Retenues2,264),INDEX(Paie_Retenues,264)))),"")</f>
      </c>
      <c r="J291" s="25">
        <f>IF(AND($B$5="Tous les employés",IFERROR(INDEX(Pointage_ID,264),"")&lt;&gt;""),IF(264=0,"-",IF($H$5="1ère quinzaine",INDEX(Paie_Net1,264),IF($H$5="2ème quinzaine",INDEX(Paie_Net2,264),INDEX(Paie_NetMensuel,264)))),"")</f>
      </c>
    </row>
    <row r="292">
      <c r="A292" s="20">
        <f>IF(AND($B$5="Tous les employés",IFERROR(INDEX(Pointage_ID,265),"")&lt;&gt;""),IFERROR(INDEX(Pointage_ID,265),""),"")</f>
      </c>
      <c r="B292" s="19">
        <f>IF(AND($B$5="Tous les employés",IFERROR(INDEX(Pointage_ID,265),"")&lt;&gt;""),INDEX(Pointage_Nom,265),"")</f>
      </c>
      <c r="C292" s="20">
        <f>IF(AND($B$5="Tous les employés",IFERROR(INDEX(Pointage_ID,265),"")&lt;&gt;""),INDEX(Pointage_Categorie,265),"")</f>
      </c>
      <c r="D292" s="22">
        <f>IF(AND($B$5="Tous les employés",IFERROR(INDEX(Pointage_ID,265),"")&lt;&gt;""),IF(265=0,"-",IF($H$5="1ère quinzaine",INDEX(Paie_Jours1,265),IF($H$5="2ème quinzaine",INDEX(Paie_Jours2,265),INDEX(Pointage_Travailles,265)))),"")</f>
      </c>
      <c r="E292" s="23">
        <f>IF(AND($B$5="Tous les employés",IFERROR(INDEX(Pointage_ID,265),"")&lt;&gt;""),IF(265=0,"-",IF($H$5="1ère quinzaine",INDEX(Paie_HS1,265),IF($H$5="2ème quinzaine",INDEX(Paie_HS2,265),INDEX(Pointage_HS,265)))),"")</f>
      </c>
      <c r="F292" s="24">
        <f>IF(AND($B$5="Tous les employés",IFERROR(INDEX(Pointage_ID,265),"")&lt;&gt;""),INDEX(Paie_SalaireJour,265),"")</f>
      </c>
      <c r="G292" s="24">
        <f>IF(AND($B$5="Tous les employés",IFERROR(INDEX(Pointage_ID,265),"")&lt;&gt;""),IF(265=0,"-",IF($H$5="1ère quinzaine",INDEX(Paie_MontantHS1,265),IF($H$5="2ème quinzaine",INDEX(Paie_MontantHS2,265),INDEX(Paie_MontantHS,265)))),"")</f>
      </c>
      <c r="H292" s="24">
        <f>IF(AND($B$5="Tous les employés",IFERROR(INDEX(Pointage_ID,265),"")&lt;&gt;""),IF(265=0,"-",IF($H$5="1ère quinzaine",INDEX(Paie_Brut1,265),IF($H$5="2ème quinzaine",INDEX(Paie_Brut2,265),INDEX(Paie_BrutMensuel,265)))),"")</f>
      </c>
      <c r="I292" s="24">
        <f>IF(AND($B$5="Tous les employés",IFERROR(INDEX(Pointage_ID,265),"")&lt;&gt;""),IF(265=0,"-",IF($H$5="1ère quinzaine",INDEX(Paie_Retenues1,265),IF($H$5="2ème quinzaine",INDEX(Paie_Retenues2,265),INDEX(Paie_Retenues,265)))),"")</f>
      </c>
      <c r="J292" s="25">
        <f>IF(AND($B$5="Tous les employés",IFERROR(INDEX(Pointage_ID,265),"")&lt;&gt;""),IF(265=0,"-",IF($H$5="1ère quinzaine",INDEX(Paie_Net1,265),IF($H$5="2ème quinzaine",INDEX(Paie_Net2,265),INDEX(Paie_NetMensuel,265)))),"")</f>
      </c>
    </row>
    <row r="293">
      <c r="A293" s="20">
        <f>IF(AND($B$5="Tous les employés",IFERROR(INDEX(Pointage_ID,266),"")&lt;&gt;""),IFERROR(INDEX(Pointage_ID,266),""),"")</f>
      </c>
      <c r="B293" s="19">
        <f>IF(AND($B$5="Tous les employés",IFERROR(INDEX(Pointage_ID,266),"")&lt;&gt;""),INDEX(Pointage_Nom,266),"")</f>
      </c>
      <c r="C293" s="20">
        <f>IF(AND($B$5="Tous les employés",IFERROR(INDEX(Pointage_ID,266),"")&lt;&gt;""),INDEX(Pointage_Categorie,266),"")</f>
      </c>
      <c r="D293" s="22">
        <f>IF(AND($B$5="Tous les employés",IFERROR(INDEX(Pointage_ID,266),"")&lt;&gt;""),IF(266=0,"-",IF($H$5="1ère quinzaine",INDEX(Paie_Jours1,266),IF($H$5="2ème quinzaine",INDEX(Paie_Jours2,266),INDEX(Pointage_Travailles,266)))),"")</f>
      </c>
      <c r="E293" s="23">
        <f>IF(AND($B$5="Tous les employés",IFERROR(INDEX(Pointage_ID,266),"")&lt;&gt;""),IF(266=0,"-",IF($H$5="1ère quinzaine",INDEX(Paie_HS1,266),IF($H$5="2ème quinzaine",INDEX(Paie_HS2,266),INDEX(Pointage_HS,266)))),"")</f>
      </c>
      <c r="F293" s="24">
        <f>IF(AND($B$5="Tous les employés",IFERROR(INDEX(Pointage_ID,266),"")&lt;&gt;""),INDEX(Paie_SalaireJour,266),"")</f>
      </c>
      <c r="G293" s="24">
        <f>IF(AND($B$5="Tous les employés",IFERROR(INDEX(Pointage_ID,266),"")&lt;&gt;""),IF(266=0,"-",IF($H$5="1ère quinzaine",INDEX(Paie_MontantHS1,266),IF($H$5="2ème quinzaine",INDEX(Paie_MontantHS2,266),INDEX(Paie_MontantHS,266)))),"")</f>
      </c>
      <c r="H293" s="24">
        <f>IF(AND($B$5="Tous les employés",IFERROR(INDEX(Pointage_ID,266),"")&lt;&gt;""),IF(266=0,"-",IF($H$5="1ère quinzaine",INDEX(Paie_Brut1,266),IF($H$5="2ème quinzaine",INDEX(Paie_Brut2,266),INDEX(Paie_BrutMensuel,266)))),"")</f>
      </c>
      <c r="I293" s="24">
        <f>IF(AND($B$5="Tous les employés",IFERROR(INDEX(Pointage_ID,266),"")&lt;&gt;""),IF(266=0,"-",IF($H$5="1ère quinzaine",INDEX(Paie_Retenues1,266),IF($H$5="2ème quinzaine",INDEX(Paie_Retenues2,266),INDEX(Paie_Retenues,266)))),"")</f>
      </c>
      <c r="J293" s="25">
        <f>IF(AND($B$5="Tous les employés",IFERROR(INDEX(Pointage_ID,266),"")&lt;&gt;""),IF(266=0,"-",IF($H$5="1ère quinzaine",INDEX(Paie_Net1,266),IF($H$5="2ème quinzaine",INDEX(Paie_Net2,266),INDEX(Paie_NetMensuel,266)))),"")</f>
      </c>
    </row>
    <row r="294">
      <c r="A294" s="20">
        <f>IF(AND($B$5="Tous les employés",IFERROR(INDEX(Pointage_ID,267),"")&lt;&gt;""),IFERROR(INDEX(Pointage_ID,267),""),"")</f>
      </c>
      <c r="B294" s="19">
        <f>IF(AND($B$5="Tous les employés",IFERROR(INDEX(Pointage_ID,267),"")&lt;&gt;""),INDEX(Pointage_Nom,267),"")</f>
      </c>
      <c r="C294" s="20">
        <f>IF(AND($B$5="Tous les employés",IFERROR(INDEX(Pointage_ID,267),"")&lt;&gt;""),INDEX(Pointage_Categorie,267),"")</f>
      </c>
      <c r="D294" s="22">
        <f>IF(AND($B$5="Tous les employés",IFERROR(INDEX(Pointage_ID,267),"")&lt;&gt;""),IF(267=0,"-",IF($H$5="1ère quinzaine",INDEX(Paie_Jours1,267),IF($H$5="2ème quinzaine",INDEX(Paie_Jours2,267),INDEX(Pointage_Travailles,267)))),"")</f>
      </c>
      <c r="E294" s="23">
        <f>IF(AND($B$5="Tous les employés",IFERROR(INDEX(Pointage_ID,267),"")&lt;&gt;""),IF(267=0,"-",IF($H$5="1ère quinzaine",INDEX(Paie_HS1,267),IF($H$5="2ème quinzaine",INDEX(Paie_HS2,267),INDEX(Pointage_HS,267)))),"")</f>
      </c>
      <c r="F294" s="24">
        <f>IF(AND($B$5="Tous les employés",IFERROR(INDEX(Pointage_ID,267),"")&lt;&gt;""),INDEX(Paie_SalaireJour,267),"")</f>
      </c>
      <c r="G294" s="24">
        <f>IF(AND($B$5="Tous les employés",IFERROR(INDEX(Pointage_ID,267),"")&lt;&gt;""),IF(267=0,"-",IF($H$5="1ère quinzaine",INDEX(Paie_MontantHS1,267),IF($H$5="2ème quinzaine",INDEX(Paie_MontantHS2,267),INDEX(Paie_MontantHS,267)))),"")</f>
      </c>
      <c r="H294" s="24">
        <f>IF(AND($B$5="Tous les employés",IFERROR(INDEX(Pointage_ID,267),"")&lt;&gt;""),IF(267=0,"-",IF($H$5="1ère quinzaine",INDEX(Paie_Brut1,267),IF($H$5="2ème quinzaine",INDEX(Paie_Brut2,267),INDEX(Paie_BrutMensuel,267)))),"")</f>
      </c>
      <c r="I294" s="24">
        <f>IF(AND($B$5="Tous les employés",IFERROR(INDEX(Pointage_ID,267),"")&lt;&gt;""),IF(267=0,"-",IF($H$5="1ère quinzaine",INDEX(Paie_Retenues1,267),IF($H$5="2ème quinzaine",INDEX(Paie_Retenues2,267),INDEX(Paie_Retenues,267)))),"")</f>
      </c>
      <c r="J294" s="25">
        <f>IF(AND($B$5="Tous les employés",IFERROR(INDEX(Pointage_ID,267),"")&lt;&gt;""),IF(267=0,"-",IF($H$5="1ère quinzaine",INDEX(Paie_Net1,267),IF($H$5="2ème quinzaine",INDEX(Paie_Net2,267),INDEX(Paie_NetMensuel,267)))),"")</f>
      </c>
    </row>
    <row r="295">
      <c r="A295" s="20">
        <f>IF(AND($B$5="Tous les employés",IFERROR(INDEX(Pointage_ID,268),"")&lt;&gt;""),IFERROR(INDEX(Pointage_ID,268),""),"")</f>
      </c>
      <c r="B295" s="19">
        <f>IF(AND($B$5="Tous les employés",IFERROR(INDEX(Pointage_ID,268),"")&lt;&gt;""),INDEX(Pointage_Nom,268),"")</f>
      </c>
      <c r="C295" s="20">
        <f>IF(AND($B$5="Tous les employés",IFERROR(INDEX(Pointage_ID,268),"")&lt;&gt;""),INDEX(Pointage_Categorie,268),"")</f>
      </c>
      <c r="D295" s="22">
        <f>IF(AND($B$5="Tous les employés",IFERROR(INDEX(Pointage_ID,268),"")&lt;&gt;""),IF(268=0,"-",IF($H$5="1ère quinzaine",INDEX(Paie_Jours1,268),IF($H$5="2ème quinzaine",INDEX(Paie_Jours2,268),INDEX(Pointage_Travailles,268)))),"")</f>
      </c>
      <c r="E295" s="23">
        <f>IF(AND($B$5="Tous les employés",IFERROR(INDEX(Pointage_ID,268),"")&lt;&gt;""),IF(268=0,"-",IF($H$5="1ère quinzaine",INDEX(Paie_HS1,268),IF($H$5="2ème quinzaine",INDEX(Paie_HS2,268),INDEX(Pointage_HS,268)))),"")</f>
      </c>
      <c r="F295" s="24">
        <f>IF(AND($B$5="Tous les employés",IFERROR(INDEX(Pointage_ID,268),"")&lt;&gt;""),INDEX(Paie_SalaireJour,268),"")</f>
      </c>
      <c r="G295" s="24">
        <f>IF(AND($B$5="Tous les employés",IFERROR(INDEX(Pointage_ID,268),"")&lt;&gt;""),IF(268=0,"-",IF($H$5="1ère quinzaine",INDEX(Paie_MontantHS1,268),IF($H$5="2ème quinzaine",INDEX(Paie_MontantHS2,268),INDEX(Paie_MontantHS,268)))),"")</f>
      </c>
      <c r="H295" s="24">
        <f>IF(AND($B$5="Tous les employés",IFERROR(INDEX(Pointage_ID,268),"")&lt;&gt;""),IF(268=0,"-",IF($H$5="1ère quinzaine",INDEX(Paie_Brut1,268),IF($H$5="2ème quinzaine",INDEX(Paie_Brut2,268),INDEX(Paie_BrutMensuel,268)))),"")</f>
      </c>
      <c r="I295" s="24">
        <f>IF(AND($B$5="Tous les employés",IFERROR(INDEX(Pointage_ID,268),"")&lt;&gt;""),IF(268=0,"-",IF($H$5="1ère quinzaine",INDEX(Paie_Retenues1,268),IF($H$5="2ème quinzaine",INDEX(Paie_Retenues2,268),INDEX(Paie_Retenues,268)))),"")</f>
      </c>
      <c r="J295" s="25">
        <f>IF(AND($B$5="Tous les employés",IFERROR(INDEX(Pointage_ID,268),"")&lt;&gt;""),IF(268=0,"-",IF($H$5="1ère quinzaine",INDEX(Paie_Net1,268),IF($H$5="2ème quinzaine",INDEX(Paie_Net2,268),INDEX(Paie_NetMensuel,268)))),"")</f>
      </c>
    </row>
    <row r="296">
      <c r="A296" s="20">
        <f>IF(AND($B$5="Tous les employés",IFERROR(INDEX(Pointage_ID,269),"")&lt;&gt;""),IFERROR(INDEX(Pointage_ID,269),""),"")</f>
      </c>
      <c r="B296" s="19">
        <f>IF(AND($B$5="Tous les employés",IFERROR(INDEX(Pointage_ID,269),"")&lt;&gt;""),INDEX(Pointage_Nom,269),"")</f>
      </c>
      <c r="C296" s="20">
        <f>IF(AND($B$5="Tous les employés",IFERROR(INDEX(Pointage_ID,269),"")&lt;&gt;""),INDEX(Pointage_Categorie,269),"")</f>
      </c>
      <c r="D296" s="22">
        <f>IF(AND($B$5="Tous les employés",IFERROR(INDEX(Pointage_ID,269),"")&lt;&gt;""),IF(269=0,"-",IF($H$5="1ère quinzaine",INDEX(Paie_Jours1,269),IF($H$5="2ème quinzaine",INDEX(Paie_Jours2,269),INDEX(Pointage_Travailles,269)))),"")</f>
      </c>
      <c r="E296" s="23">
        <f>IF(AND($B$5="Tous les employés",IFERROR(INDEX(Pointage_ID,269),"")&lt;&gt;""),IF(269=0,"-",IF($H$5="1ère quinzaine",INDEX(Paie_HS1,269),IF($H$5="2ème quinzaine",INDEX(Paie_HS2,269),INDEX(Pointage_HS,269)))),"")</f>
      </c>
      <c r="F296" s="24">
        <f>IF(AND($B$5="Tous les employés",IFERROR(INDEX(Pointage_ID,269),"")&lt;&gt;""),INDEX(Paie_SalaireJour,269),"")</f>
      </c>
      <c r="G296" s="24">
        <f>IF(AND($B$5="Tous les employés",IFERROR(INDEX(Pointage_ID,269),"")&lt;&gt;""),IF(269=0,"-",IF($H$5="1ère quinzaine",INDEX(Paie_MontantHS1,269),IF($H$5="2ème quinzaine",INDEX(Paie_MontantHS2,269),INDEX(Paie_MontantHS,269)))),"")</f>
      </c>
      <c r="H296" s="24">
        <f>IF(AND($B$5="Tous les employés",IFERROR(INDEX(Pointage_ID,269),"")&lt;&gt;""),IF(269=0,"-",IF($H$5="1ère quinzaine",INDEX(Paie_Brut1,269),IF($H$5="2ème quinzaine",INDEX(Paie_Brut2,269),INDEX(Paie_BrutMensuel,269)))),"")</f>
      </c>
      <c r="I296" s="24">
        <f>IF(AND($B$5="Tous les employés",IFERROR(INDEX(Pointage_ID,269),"")&lt;&gt;""),IF(269=0,"-",IF($H$5="1ère quinzaine",INDEX(Paie_Retenues1,269),IF($H$5="2ème quinzaine",INDEX(Paie_Retenues2,269),INDEX(Paie_Retenues,269)))),"")</f>
      </c>
      <c r="J296" s="25">
        <f>IF(AND($B$5="Tous les employés",IFERROR(INDEX(Pointage_ID,269),"")&lt;&gt;""),IF(269=0,"-",IF($H$5="1ère quinzaine",INDEX(Paie_Net1,269),IF($H$5="2ème quinzaine",INDEX(Paie_Net2,269),INDEX(Paie_NetMensuel,269)))),"")</f>
      </c>
    </row>
    <row r="297">
      <c r="A297" s="20">
        <f>IF(AND($B$5="Tous les employés",IFERROR(INDEX(Pointage_ID,270),"")&lt;&gt;""),IFERROR(INDEX(Pointage_ID,270),""),"")</f>
      </c>
      <c r="B297" s="19">
        <f>IF(AND($B$5="Tous les employés",IFERROR(INDEX(Pointage_ID,270),"")&lt;&gt;""),INDEX(Pointage_Nom,270),"")</f>
      </c>
      <c r="C297" s="20">
        <f>IF(AND($B$5="Tous les employés",IFERROR(INDEX(Pointage_ID,270),"")&lt;&gt;""),INDEX(Pointage_Categorie,270),"")</f>
      </c>
      <c r="D297" s="22">
        <f>IF(AND($B$5="Tous les employés",IFERROR(INDEX(Pointage_ID,270),"")&lt;&gt;""),IF(270=0,"-",IF($H$5="1ère quinzaine",INDEX(Paie_Jours1,270),IF($H$5="2ème quinzaine",INDEX(Paie_Jours2,270),INDEX(Pointage_Travailles,270)))),"")</f>
      </c>
      <c r="E297" s="23">
        <f>IF(AND($B$5="Tous les employés",IFERROR(INDEX(Pointage_ID,270),"")&lt;&gt;""),IF(270=0,"-",IF($H$5="1ère quinzaine",INDEX(Paie_HS1,270),IF($H$5="2ème quinzaine",INDEX(Paie_HS2,270),INDEX(Pointage_HS,270)))),"")</f>
      </c>
      <c r="F297" s="24">
        <f>IF(AND($B$5="Tous les employés",IFERROR(INDEX(Pointage_ID,270),"")&lt;&gt;""),INDEX(Paie_SalaireJour,270),"")</f>
      </c>
      <c r="G297" s="24">
        <f>IF(AND($B$5="Tous les employés",IFERROR(INDEX(Pointage_ID,270),"")&lt;&gt;""),IF(270=0,"-",IF($H$5="1ère quinzaine",INDEX(Paie_MontantHS1,270),IF($H$5="2ème quinzaine",INDEX(Paie_MontantHS2,270),INDEX(Paie_MontantHS,270)))),"")</f>
      </c>
      <c r="H297" s="24">
        <f>IF(AND($B$5="Tous les employés",IFERROR(INDEX(Pointage_ID,270),"")&lt;&gt;""),IF(270=0,"-",IF($H$5="1ère quinzaine",INDEX(Paie_Brut1,270),IF($H$5="2ème quinzaine",INDEX(Paie_Brut2,270),INDEX(Paie_BrutMensuel,270)))),"")</f>
      </c>
      <c r="I297" s="24">
        <f>IF(AND($B$5="Tous les employés",IFERROR(INDEX(Pointage_ID,270),"")&lt;&gt;""),IF(270=0,"-",IF($H$5="1ère quinzaine",INDEX(Paie_Retenues1,270),IF($H$5="2ème quinzaine",INDEX(Paie_Retenues2,270),INDEX(Paie_Retenues,270)))),"")</f>
      </c>
      <c r="J297" s="25">
        <f>IF(AND($B$5="Tous les employés",IFERROR(INDEX(Pointage_ID,270),"")&lt;&gt;""),IF(270=0,"-",IF($H$5="1ère quinzaine",INDEX(Paie_Net1,270),IF($H$5="2ème quinzaine",INDEX(Paie_Net2,270),INDEX(Paie_NetMensuel,270)))),"")</f>
      </c>
    </row>
    <row r="298">
      <c r="A298" s="20">
        <f>IF(AND($B$5="Tous les employés",IFERROR(INDEX(Pointage_ID,271),"")&lt;&gt;""),IFERROR(INDEX(Pointage_ID,271),""),"")</f>
      </c>
      <c r="B298" s="19">
        <f>IF(AND($B$5="Tous les employés",IFERROR(INDEX(Pointage_ID,271),"")&lt;&gt;""),INDEX(Pointage_Nom,271),"")</f>
      </c>
      <c r="C298" s="20">
        <f>IF(AND($B$5="Tous les employés",IFERROR(INDEX(Pointage_ID,271),"")&lt;&gt;""),INDEX(Pointage_Categorie,271),"")</f>
      </c>
      <c r="D298" s="22">
        <f>IF(AND($B$5="Tous les employés",IFERROR(INDEX(Pointage_ID,271),"")&lt;&gt;""),IF(271=0,"-",IF($H$5="1ère quinzaine",INDEX(Paie_Jours1,271),IF($H$5="2ème quinzaine",INDEX(Paie_Jours2,271),INDEX(Pointage_Travailles,271)))),"")</f>
      </c>
      <c r="E298" s="23">
        <f>IF(AND($B$5="Tous les employés",IFERROR(INDEX(Pointage_ID,271),"")&lt;&gt;""),IF(271=0,"-",IF($H$5="1ère quinzaine",INDEX(Paie_HS1,271),IF($H$5="2ème quinzaine",INDEX(Paie_HS2,271),INDEX(Pointage_HS,271)))),"")</f>
      </c>
      <c r="F298" s="24">
        <f>IF(AND($B$5="Tous les employés",IFERROR(INDEX(Pointage_ID,271),"")&lt;&gt;""),INDEX(Paie_SalaireJour,271),"")</f>
      </c>
      <c r="G298" s="24">
        <f>IF(AND($B$5="Tous les employés",IFERROR(INDEX(Pointage_ID,271),"")&lt;&gt;""),IF(271=0,"-",IF($H$5="1ère quinzaine",INDEX(Paie_MontantHS1,271),IF($H$5="2ème quinzaine",INDEX(Paie_MontantHS2,271),INDEX(Paie_MontantHS,271)))),"")</f>
      </c>
      <c r="H298" s="24">
        <f>IF(AND($B$5="Tous les employés",IFERROR(INDEX(Pointage_ID,271),"")&lt;&gt;""),IF(271=0,"-",IF($H$5="1ère quinzaine",INDEX(Paie_Brut1,271),IF($H$5="2ème quinzaine",INDEX(Paie_Brut2,271),INDEX(Paie_BrutMensuel,271)))),"")</f>
      </c>
      <c r="I298" s="24">
        <f>IF(AND($B$5="Tous les employés",IFERROR(INDEX(Pointage_ID,271),"")&lt;&gt;""),IF(271=0,"-",IF($H$5="1ère quinzaine",INDEX(Paie_Retenues1,271),IF($H$5="2ème quinzaine",INDEX(Paie_Retenues2,271),INDEX(Paie_Retenues,271)))),"")</f>
      </c>
      <c r="J298" s="25">
        <f>IF(AND($B$5="Tous les employés",IFERROR(INDEX(Pointage_ID,271),"")&lt;&gt;""),IF(271=0,"-",IF($H$5="1ère quinzaine",INDEX(Paie_Net1,271),IF($H$5="2ème quinzaine",INDEX(Paie_Net2,271),INDEX(Paie_NetMensuel,271)))),"")</f>
      </c>
    </row>
    <row r="299">
      <c r="A299" s="20">
        <f>IF(AND($B$5="Tous les employés",IFERROR(INDEX(Pointage_ID,272),"")&lt;&gt;""),IFERROR(INDEX(Pointage_ID,272),""),"")</f>
      </c>
      <c r="B299" s="19">
        <f>IF(AND($B$5="Tous les employés",IFERROR(INDEX(Pointage_ID,272),"")&lt;&gt;""),INDEX(Pointage_Nom,272),"")</f>
      </c>
      <c r="C299" s="20">
        <f>IF(AND($B$5="Tous les employés",IFERROR(INDEX(Pointage_ID,272),"")&lt;&gt;""),INDEX(Pointage_Categorie,272),"")</f>
      </c>
      <c r="D299" s="22">
        <f>IF(AND($B$5="Tous les employés",IFERROR(INDEX(Pointage_ID,272),"")&lt;&gt;""),IF(272=0,"-",IF($H$5="1ère quinzaine",INDEX(Paie_Jours1,272),IF($H$5="2ème quinzaine",INDEX(Paie_Jours2,272),INDEX(Pointage_Travailles,272)))),"")</f>
      </c>
      <c r="E299" s="23">
        <f>IF(AND($B$5="Tous les employés",IFERROR(INDEX(Pointage_ID,272),"")&lt;&gt;""),IF(272=0,"-",IF($H$5="1ère quinzaine",INDEX(Paie_HS1,272),IF($H$5="2ème quinzaine",INDEX(Paie_HS2,272),INDEX(Pointage_HS,272)))),"")</f>
      </c>
      <c r="F299" s="24">
        <f>IF(AND($B$5="Tous les employés",IFERROR(INDEX(Pointage_ID,272),"")&lt;&gt;""),INDEX(Paie_SalaireJour,272),"")</f>
      </c>
      <c r="G299" s="24">
        <f>IF(AND($B$5="Tous les employés",IFERROR(INDEX(Pointage_ID,272),"")&lt;&gt;""),IF(272=0,"-",IF($H$5="1ère quinzaine",INDEX(Paie_MontantHS1,272),IF($H$5="2ème quinzaine",INDEX(Paie_MontantHS2,272),INDEX(Paie_MontantHS,272)))),"")</f>
      </c>
      <c r="H299" s="24">
        <f>IF(AND($B$5="Tous les employés",IFERROR(INDEX(Pointage_ID,272),"")&lt;&gt;""),IF(272=0,"-",IF($H$5="1ère quinzaine",INDEX(Paie_Brut1,272),IF($H$5="2ème quinzaine",INDEX(Paie_Brut2,272),INDEX(Paie_BrutMensuel,272)))),"")</f>
      </c>
      <c r="I299" s="24">
        <f>IF(AND($B$5="Tous les employés",IFERROR(INDEX(Pointage_ID,272),"")&lt;&gt;""),IF(272=0,"-",IF($H$5="1ère quinzaine",INDEX(Paie_Retenues1,272),IF($H$5="2ème quinzaine",INDEX(Paie_Retenues2,272),INDEX(Paie_Retenues,272)))),"")</f>
      </c>
      <c r="J299" s="25">
        <f>IF(AND($B$5="Tous les employés",IFERROR(INDEX(Pointage_ID,272),"")&lt;&gt;""),IF(272=0,"-",IF($H$5="1ère quinzaine",INDEX(Paie_Net1,272),IF($H$5="2ème quinzaine",INDEX(Paie_Net2,272),INDEX(Paie_NetMensuel,272)))),"")</f>
      </c>
    </row>
    <row r="300">
      <c r="A300" s="20">
        <f>IF(AND($B$5="Tous les employés",IFERROR(INDEX(Pointage_ID,273),"")&lt;&gt;""),IFERROR(INDEX(Pointage_ID,273),""),"")</f>
      </c>
      <c r="B300" s="19">
        <f>IF(AND($B$5="Tous les employés",IFERROR(INDEX(Pointage_ID,273),"")&lt;&gt;""),INDEX(Pointage_Nom,273),"")</f>
      </c>
      <c r="C300" s="20">
        <f>IF(AND($B$5="Tous les employés",IFERROR(INDEX(Pointage_ID,273),"")&lt;&gt;""),INDEX(Pointage_Categorie,273),"")</f>
      </c>
      <c r="D300" s="22">
        <f>IF(AND($B$5="Tous les employés",IFERROR(INDEX(Pointage_ID,273),"")&lt;&gt;""),IF(273=0,"-",IF($H$5="1ère quinzaine",INDEX(Paie_Jours1,273),IF($H$5="2ème quinzaine",INDEX(Paie_Jours2,273),INDEX(Pointage_Travailles,273)))),"")</f>
      </c>
      <c r="E300" s="23">
        <f>IF(AND($B$5="Tous les employés",IFERROR(INDEX(Pointage_ID,273),"")&lt;&gt;""),IF(273=0,"-",IF($H$5="1ère quinzaine",INDEX(Paie_HS1,273),IF($H$5="2ème quinzaine",INDEX(Paie_HS2,273),INDEX(Pointage_HS,273)))),"")</f>
      </c>
      <c r="F300" s="24">
        <f>IF(AND($B$5="Tous les employés",IFERROR(INDEX(Pointage_ID,273),"")&lt;&gt;""),INDEX(Paie_SalaireJour,273),"")</f>
      </c>
      <c r="G300" s="24">
        <f>IF(AND($B$5="Tous les employés",IFERROR(INDEX(Pointage_ID,273),"")&lt;&gt;""),IF(273=0,"-",IF($H$5="1ère quinzaine",INDEX(Paie_MontantHS1,273),IF($H$5="2ème quinzaine",INDEX(Paie_MontantHS2,273),INDEX(Paie_MontantHS,273)))),"")</f>
      </c>
      <c r="H300" s="24">
        <f>IF(AND($B$5="Tous les employés",IFERROR(INDEX(Pointage_ID,273),"")&lt;&gt;""),IF(273=0,"-",IF($H$5="1ère quinzaine",INDEX(Paie_Brut1,273),IF($H$5="2ème quinzaine",INDEX(Paie_Brut2,273),INDEX(Paie_BrutMensuel,273)))),"")</f>
      </c>
      <c r="I300" s="24">
        <f>IF(AND($B$5="Tous les employés",IFERROR(INDEX(Pointage_ID,273),"")&lt;&gt;""),IF(273=0,"-",IF($H$5="1ère quinzaine",INDEX(Paie_Retenues1,273),IF($H$5="2ème quinzaine",INDEX(Paie_Retenues2,273),INDEX(Paie_Retenues,273)))),"")</f>
      </c>
      <c r="J300" s="25">
        <f>IF(AND($B$5="Tous les employés",IFERROR(INDEX(Pointage_ID,273),"")&lt;&gt;""),IF(273=0,"-",IF($H$5="1ère quinzaine",INDEX(Paie_Net1,273),IF($H$5="2ème quinzaine",INDEX(Paie_Net2,273),INDEX(Paie_NetMensuel,273)))),"")</f>
      </c>
    </row>
    <row r="301">
      <c r="A301" s="20">
        <f>IF(AND($B$5="Tous les employés",IFERROR(INDEX(Pointage_ID,274),"")&lt;&gt;""),IFERROR(INDEX(Pointage_ID,274),""),"")</f>
      </c>
      <c r="B301" s="19">
        <f>IF(AND($B$5="Tous les employés",IFERROR(INDEX(Pointage_ID,274),"")&lt;&gt;""),INDEX(Pointage_Nom,274),"")</f>
      </c>
      <c r="C301" s="20">
        <f>IF(AND($B$5="Tous les employés",IFERROR(INDEX(Pointage_ID,274),"")&lt;&gt;""),INDEX(Pointage_Categorie,274),"")</f>
      </c>
      <c r="D301" s="22">
        <f>IF(AND($B$5="Tous les employés",IFERROR(INDEX(Pointage_ID,274),"")&lt;&gt;""),IF(274=0,"-",IF($H$5="1ère quinzaine",INDEX(Paie_Jours1,274),IF($H$5="2ème quinzaine",INDEX(Paie_Jours2,274),INDEX(Pointage_Travailles,274)))),"")</f>
      </c>
      <c r="E301" s="23">
        <f>IF(AND($B$5="Tous les employés",IFERROR(INDEX(Pointage_ID,274),"")&lt;&gt;""),IF(274=0,"-",IF($H$5="1ère quinzaine",INDEX(Paie_HS1,274),IF($H$5="2ème quinzaine",INDEX(Paie_HS2,274),INDEX(Pointage_HS,274)))),"")</f>
      </c>
      <c r="F301" s="24">
        <f>IF(AND($B$5="Tous les employés",IFERROR(INDEX(Pointage_ID,274),"")&lt;&gt;""),INDEX(Paie_SalaireJour,274),"")</f>
      </c>
      <c r="G301" s="24">
        <f>IF(AND($B$5="Tous les employés",IFERROR(INDEX(Pointage_ID,274),"")&lt;&gt;""),IF(274=0,"-",IF($H$5="1ère quinzaine",INDEX(Paie_MontantHS1,274),IF($H$5="2ème quinzaine",INDEX(Paie_MontantHS2,274),INDEX(Paie_MontantHS,274)))),"")</f>
      </c>
      <c r="H301" s="24">
        <f>IF(AND($B$5="Tous les employés",IFERROR(INDEX(Pointage_ID,274),"")&lt;&gt;""),IF(274=0,"-",IF($H$5="1ère quinzaine",INDEX(Paie_Brut1,274),IF($H$5="2ème quinzaine",INDEX(Paie_Brut2,274),INDEX(Paie_BrutMensuel,274)))),"")</f>
      </c>
      <c r="I301" s="24">
        <f>IF(AND($B$5="Tous les employés",IFERROR(INDEX(Pointage_ID,274),"")&lt;&gt;""),IF(274=0,"-",IF($H$5="1ère quinzaine",INDEX(Paie_Retenues1,274),IF($H$5="2ème quinzaine",INDEX(Paie_Retenues2,274),INDEX(Paie_Retenues,274)))),"")</f>
      </c>
      <c r="J301" s="25">
        <f>IF(AND($B$5="Tous les employés",IFERROR(INDEX(Pointage_ID,274),"")&lt;&gt;""),IF(274=0,"-",IF($H$5="1ère quinzaine",INDEX(Paie_Net1,274),IF($H$5="2ème quinzaine",INDEX(Paie_Net2,274),INDEX(Paie_NetMensuel,274)))),"")</f>
      </c>
    </row>
    <row r="302">
      <c r="A302" s="20">
        <f>IF(AND($B$5="Tous les employés",IFERROR(INDEX(Pointage_ID,275),"")&lt;&gt;""),IFERROR(INDEX(Pointage_ID,275),""),"")</f>
      </c>
      <c r="B302" s="19">
        <f>IF(AND($B$5="Tous les employés",IFERROR(INDEX(Pointage_ID,275),"")&lt;&gt;""),INDEX(Pointage_Nom,275),"")</f>
      </c>
      <c r="C302" s="20">
        <f>IF(AND($B$5="Tous les employés",IFERROR(INDEX(Pointage_ID,275),"")&lt;&gt;""),INDEX(Pointage_Categorie,275),"")</f>
      </c>
      <c r="D302" s="22">
        <f>IF(AND($B$5="Tous les employés",IFERROR(INDEX(Pointage_ID,275),"")&lt;&gt;""),IF(275=0,"-",IF($H$5="1ère quinzaine",INDEX(Paie_Jours1,275),IF($H$5="2ème quinzaine",INDEX(Paie_Jours2,275),INDEX(Pointage_Travailles,275)))),"")</f>
      </c>
      <c r="E302" s="23">
        <f>IF(AND($B$5="Tous les employés",IFERROR(INDEX(Pointage_ID,275),"")&lt;&gt;""),IF(275=0,"-",IF($H$5="1ère quinzaine",INDEX(Paie_HS1,275),IF($H$5="2ème quinzaine",INDEX(Paie_HS2,275),INDEX(Pointage_HS,275)))),"")</f>
      </c>
      <c r="F302" s="24">
        <f>IF(AND($B$5="Tous les employés",IFERROR(INDEX(Pointage_ID,275),"")&lt;&gt;""),INDEX(Paie_SalaireJour,275),"")</f>
      </c>
      <c r="G302" s="24">
        <f>IF(AND($B$5="Tous les employés",IFERROR(INDEX(Pointage_ID,275),"")&lt;&gt;""),IF(275=0,"-",IF($H$5="1ère quinzaine",INDEX(Paie_MontantHS1,275),IF($H$5="2ème quinzaine",INDEX(Paie_MontantHS2,275),INDEX(Paie_MontantHS,275)))),"")</f>
      </c>
      <c r="H302" s="24">
        <f>IF(AND($B$5="Tous les employés",IFERROR(INDEX(Pointage_ID,275),"")&lt;&gt;""),IF(275=0,"-",IF($H$5="1ère quinzaine",INDEX(Paie_Brut1,275),IF($H$5="2ème quinzaine",INDEX(Paie_Brut2,275),INDEX(Paie_BrutMensuel,275)))),"")</f>
      </c>
      <c r="I302" s="24">
        <f>IF(AND($B$5="Tous les employés",IFERROR(INDEX(Pointage_ID,275),"")&lt;&gt;""),IF(275=0,"-",IF($H$5="1ère quinzaine",INDEX(Paie_Retenues1,275),IF($H$5="2ème quinzaine",INDEX(Paie_Retenues2,275),INDEX(Paie_Retenues,275)))),"")</f>
      </c>
      <c r="J302" s="25">
        <f>IF(AND($B$5="Tous les employés",IFERROR(INDEX(Pointage_ID,275),"")&lt;&gt;""),IF(275=0,"-",IF($H$5="1ère quinzaine",INDEX(Paie_Net1,275),IF($H$5="2ème quinzaine",INDEX(Paie_Net2,275),INDEX(Paie_NetMensuel,275)))),"")</f>
      </c>
    </row>
    <row r="303">
      <c r="A303" s="20">
        <f>IF(AND($B$5="Tous les employés",IFERROR(INDEX(Pointage_ID,276),"")&lt;&gt;""),IFERROR(INDEX(Pointage_ID,276),""),"")</f>
      </c>
      <c r="B303" s="19">
        <f>IF(AND($B$5="Tous les employés",IFERROR(INDEX(Pointage_ID,276),"")&lt;&gt;""),INDEX(Pointage_Nom,276),"")</f>
      </c>
      <c r="C303" s="20">
        <f>IF(AND($B$5="Tous les employés",IFERROR(INDEX(Pointage_ID,276),"")&lt;&gt;""),INDEX(Pointage_Categorie,276),"")</f>
      </c>
      <c r="D303" s="22">
        <f>IF(AND($B$5="Tous les employés",IFERROR(INDEX(Pointage_ID,276),"")&lt;&gt;""),IF(276=0,"-",IF($H$5="1ère quinzaine",INDEX(Paie_Jours1,276),IF($H$5="2ème quinzaine",INDEX(Paie_Jours2,276),INDEX(Pointage_Travailles,276)))),"")</f>
      </c>
      <c r="E303" s="23">
        <f>IF(AND($B$5="Tous les employés",IFERROR(INDEX(Pointage_ID,276),"")&lt;&gt;""),IF(276=0,"-",IF($H$5="1ère quinzaine",INDEX(Paie_HS1,276),IF($H$5="2ème quinzaine",INDEX(Paie_HS2,276),INDEX(Pointage_HS,276)))),"")</f>
      </c>
      <c r="F303" s="24">
        <f>IF(AND($B$5="Tous les employés",IFERROR(INDEX(Pointage_ID,276),"")&lt;&gt;""),INDEX(Paie_SalaireJour,276),"")</f>
      </c>
      <c r="G303" s="24">
        <f>IF(AND($B$5="Tous les employés",IFERROR(INDEX(Pointage_ID,276),"")&lt;&gt;""),IF(276=0,"-",IF($H$5="1ère quinzaine",INDEX(Paie_MontantHS1,276),IF($H$5="2ème quinzaine",INDEX(Paie_MontantHS2,276),INDEX(Paie_MontantHS,276)))),"")</f>
      </c>
      <c r="H303" s="24">
        <f>IF(AND($B$5="Tous les employés",IFERROR(INDEX(Pointage_ID,276),"")&lt;&gt;""),IF(276=0,"-",IF($H$5="1ère quinzaine",INDEX(Paie_Brut1,276),IF($H$5="2ème quinzaine",INDEX(Paie_Brut2,276),INDEX(Paie_BrutMensuel,276)))),"")</f>
      </c>
      <c r="I303" s="24">
        <f>IF(AND($B$5="Tous les employés",IFERROR(INDEX(Pointage_ID,276),"")&lt;&gt;""),IF(276=0,"-",IF($H$5="1ère quinzaine",INDEX(Paie_Retenues1,276),IF($H$5="2ème quinzaine",INDEX(Paie_Retenues2,276),INDEX(Paie_Retenues,276)))),"")</f>
      </c>
      <c r="J303" s="25">
        <f>IF(AND($B$5="Tous les employés",IFERROR(INDEX(Pointage_ID,276),"")&lt;&gt;""),IF(276=0,"-",IF($H$5="1ère quinzaine",INDEX(Paie_Net1,276),IF($H$5="2ème quinzaine",INDEX(Paie_Net2,276),INDEX(Paie_NetMensuel,276)))),"")</f>
      </c>
    </row>
    <row r="304">
      <c r="A304" s="20">
        <f>IF(AND($B$5="Tous les employés",IFERROR(INDEX(Pointage_ID,277),"")&lt;&gt;""),IFERROR(INDEX(Pointage_ID,277),""),"")</f>
      </c>
      <c r="B304" s="19">
        <f>IF(AND($B$5="Tous les employés",IFERROR(INDEX(Pointage_ID,277),"")&lt;&gt;""),INDEX(Pointage_Nom,277),"")</f>
      </c>
      <c r="C304" s="20">
        <f>IF(AND($B$5="Tous les employés",IFERROR(INDEX(Pointage_ID,277),"")&lt;&gt;""),INDEX(Pointage_Categorie,277),"")</f>
      </c>
      <c r="D304" s="22">
        <f>IF(AND($B$5="Tous les employés",IFERROR(INDEX(Pointage_ID,277),"")&lt;&gt;""),IF(277=0,"-",IF($H$5="1ère quinzaine",INDEX(Paie_Jours1,277),IF($H$5="2ème quinzaine",INDEX(Paie_Jours2,277),INDEX(Pointage_Travailles,277)))),"")</f>
      </c>
      <c r="E304" s="23">
        <f>IF(AND($B$5="Tous les employés",IFERROR(INDEX(Pointage_ID,277),"")&lt;&gt;""),IF(277=0,"-",IF($H$5="1ère quinzaine",INDEX(Paie_HS1,277),IF($H$5="2ème quinzaine",INDEX(Paie_HS2,277),INDEX(Pointage_HS,277)))),"")</f>
      </c>
      <c r="F304" s="24">
        <f>IF(AND($B$5="Tous les employés",IFERROR(INDEX(Pointage_ID,277),"")&lt;&gt;""),INDEX(Paie_SalaireJour,277),"")</f>
      </c>
      <c r="G304" s="24">
        <f>IF(AND($B$5="Tous les employés",IFERROR(INDEX(Pointage_ID,277),"")&lt;&gt;""),IF(277=0,"-",IF($H$5="1ère quinzaine",INDEX(Paie_MontantHS1,277),IF($H$5="2ème quinzaine",INDEX(Paie_MontantHS2,277),INDEX(Paie_MontantHS,277)))),"")</f>
      </c>
      <c r="H304" s="24">
        <f>IF(AND($B$5="Tous les employés",IFERROR(INDEX(Pointage_ID,277),"")&lt;&gt;""),IF(277=0,"-",IF($H$5="1ère quinzaine",INDEX(Paie_Brut1,277),IF($H$5="2ème quinzaine",INDEX(Paie_Brut2,277),INDEX(Paie_BrutMensuel,277)))),"")</f>
      </c>
      <c r="I304" s="24">
        <f>IF(AND($B$5="Tous les employés",IFERROR(INDEX(Pointage_ID,277),"")&lt;&gt;""),IF(277=0,"-",IF($H$5="1ère quinzaine",INDEX(Paie_Retenues1,277),IF($H$5="2ème quinzaine",INDEX(Paie_Retenues2,277),INDEX(Paie_Retenues,277)))),"")</f>
      </c>
      <c r="J304" s="25">
        <f>IF(AND($B$5="Tous les employés",IFERROR(INDEX(Pointage_ID,277),"")&lt;&gt;""),IF(277=0,"-",IF($H$5="1ère quinzaine",INDEX(Paie_Net1,277),IF($H$5="2ème quinzaine",INDEX(Paie_Net2,277),INDEX(Paie_NetMensuel,277)))),"")</f>
      </c>
    </row>
    <row r="305">
      <c r="A305" s="20">
        <f>IF(AND($B$5="Tous les employés",IFERROR(INDEX(Pointage_ID,278),"")&lt;&gt;""),IFERROR(INDEX(Pointage_ID,278),""),"")</f>
      </c>
      <c r="B305" s="19">
        <f>IF(AND($B$5="Tous les employés",IFERROR(INDEX(Pointage_ID,278),"")&lt;&gt;""),INDEX(Pointage_Nom,278),"")</f>
      </c>
      <c r="C305" s="20">
        <f>IF(AND($B$5="Tous les employés",IFERROR(INDEX(Pointage_ID,278),"")&lt;&gt;""),INDEX(Pointage_Categorie,278),"")</f>
      </c>
      <c r="D305" s="22">
        <f>IF(AND($B$5="Tous les employés",IFERROR(INDEX(Pointage_ID,278),"")&lt;&gt;""),IF(278=0,"-",IF($H$5="1ère quinzaine",INDEX(Paie_Jours1,278),IF($H$5="2ème quinzaine",INDEX(Paie_Jours2,278),INDEX(Pointage_Travailles,278)))),"")</f>
      </c>
      <c r="E305" s="23">
        <f>IF(AND($B$5="Tous les employés",IFERROR(INDEX(Pointage_ID,278),"")&lt;&gt;""),IF(278=0,"-",IF($H$5="1ère quinzaine",INDEX(Paie_HS1,278),IF($H$5="2ème quinzaine",INDEX(Paie_HS2,278),INDEX(Pointage_HS,278)))),"")</f>
      </c>
      <c r="F305" s="24">
        <f>IF(AND($B$5="Tous les employés",IFERROR(INDEX(Pointage_ID,278),"")&lt;&gt;""),INDEX(Paie_SalaireJour,278),"")</f>
      </c>
      <c r="G305" s="24">
        <f>IF(AND($B$5="Tous les employés",IFERROR(INDEX(Pointage_ID,278),"")&lt;&gt;""),IF(278=0,"-",IF($H$5="1ère quinzaine",INDEX(Paie_MontantHS1,278),IF($H$5="2ème quinzaine",INDEX(Paie_MontantHS2,278),INDEX(Paie_MontantHS,278)))),"")</f>
      </c>
      <c r="H305" s="24">
        <f>IF(AND($B$5="Tous les employés",IFERROR(INDEX(Pointage_ID,278),"")&lt;&gt;""),IF(278=0,"-",IF($H$5="1ère quinzaine",INDEX(Paie_Brut1,278),IF($H$5="2ème quinzaine",INDEX(Paie_Brut2,278),INDEX(Paie_BrutMensuel,278)))),"")</f>
      </c>
      <c r="I305" s="24">
        <f>IF(AND($B$5="Tous les employés",IFERROR(INDEX(Pointage_ID,278),"")&lt;&gt;""),IF(278=0,"-",IF($H$5="1ère quinzaine",INDEX(Paie_Retenues1,278),IF($H$5="2ème quinzaine",INDEX(Paie_Retenues2,278),INDEX(Paie_Retenues,278)))),"")</f>
      </c>
      <c r="J305" s="25">
        <f>IF(AND($B$5="Tous les employés",IFERROR(INDEX(Pointage_ID,278),"")&lt;&gt;""),IF(278=0,"-",IF($H$5="1ère quinzaine",INDEX(Paie_Net1,278),IF($H$5="2ème quinzaine",INDEX(Paie_Net2,278),INDEX(Paie_NetMensuel,278)))),"")</f>
      </c>
    </row>
    <row r="306">
      <c r="A306" s="20">
        <f>IF(AND($B$5="Tous les employés",IFERROR(INDEX(Pointage_ID,279),"")&lt;&gt;""),IFERROR(INDEX(Pointage_ID,279),""),"")</f>
      </c>
      <c r="B306" s="19">
        <f>IF(AND($B$5="Tous les employés",IFERROR(INDEX(Pointage_ID,279),"")&lt;&gt;""),INDEX(Pointage_Nom,279),"")</f>
      </c>
      <c r="C306" s="20">
        <f>IF(AND($B$5="Tous les employés",IFERROR(INDEX(Pointage_ID,279),"")&lt;&gt;""),INDEX(Pointage_Categorie,279),"")</f>
      </c>
      <c r="D306" s="22">
        <f>IF(AND($B$5="Tous les employés",IFERROR(INDEX(Pointage_ID,279),"")&lt;&gt;""),IF(279=0,"-",IF($H$5="1ère quinzaine",INDEX(Paie_Jours1,279),IF($H$5="2ème quinzaine",INDEX(Paie_Jours2,279),INDEX(Pointage_Travailles,279)))),"")</f>
      </c>
      <c r="E306" s="23">
        <f>IF(AND($B$5="Tous les employés",IFERROR(INDEX(Pointage_ID,279),"")&lt;&gt;""),IF(279=0,"-",IF($H$5="1ère quinzaine",INDEX(Paie_HS1,279),IF($H$5="2ème quinzaine",INDEX(Paie_HS2,279),INDEX(Pointage_HS,279)))),"")</f>
      </c>
      <c r="F306" s="24">
        <f>IF(AND($B$5="Tous les employés",IFERROR(INDEX(Pointage_ID,279),"")&lt;&gt;""),INDEX(Paie_SalaireJour,279),"")</f>
      </c>
      <c r="G306" s="24">
        <f>IF(AND($B$5="Tous les employés",IFERROR(INDEX(Pointage_ID,279),"")&lt;&gt;""),IF(279=0,"-",IF($H$5="1ère quinzaine",INDEX(Paie_MontantHS1,279),IF($H$5="2ème quinzaine",INDEX(Paie_MontantHS2,279),INDEX(Paie_MontantHS,279)))),"")</f>
      </c>
      <c r="H306" s="24">
        <f>IF(AND($B$5="Tous les employés",IFERROR(INDEX(Pointage_ID,279),"")&lt;&gt;""),IF(279=0,"-",IF($H$5="1ère quinzaine",INDEX(Paie_Brut1,279),IF($H$5="2ème quinzaine",INDEX(Paie_Brut2,279),INDEX(Paie_BrutMensuel,279)))),"")</f>
      </c>
      <c r="I306" s="24">
        <f>IF(AND($B$5="Tous les employés",IFERROR(INDEX(Pointage_ID,279),"")&lt;&gt;""),IF(279=0,"-",IF($H$5="1ère quinzaine",INDEX(Paie_Retenues1,279),IF($H$5="2ème quinzaine",INDEX(Paie_Retenues2,279),INDEX(Paie_Retenues,279)))),"")</f>
      </c>
      <c r="J306" s="25">
        <f>IF(AND($B$5="Tous les employés",IFERROR(INDEX(Pointage_ID,279),"")&lt;&gt;""),IF(279=0,"-",IF($H$5="1ère quinzaine",INDEX(Paie_Net1,279),IF($H$5="2ème quinzaine",INDEX(Paie_Net2,279),INDEX(Paie_NetMensuel,279)))),"")</f>
      </c>
    </row>
    <row r="307">
      <c r="A307" s="20">
        <f>IF(AND($B$5="Tous les employés",IFERROR(INDEX(Pointage_ID,280),"")&lt;&gt;""),IFERROR(INDEX(Pointage_ID,280),""),"")</f>
      </c>
      <c r="B307" s="19">
        <f>IF(AND($B$5="Tous les employés",IFERROR(INDEX(Pointage_ID,280),"")&lt;&gt;""),INDEX(Pointage_Nom,280),"")</f>
      </c>
      <c r="C307" s="20">
        <f>IF(AND($B$5="Tous les employés",IFERROR(INDEX(Pointage_ID,280),"")&lt;&gt;""),INDEX(Pointage_Categorie,280),"")</f>
      </c>
      <c r="D307" s="22">
        <f>IF(AND($B$5="Tous les employés",IFERROR(INDEX(Pointage_ID,280),"")&lt;&gt;""),IF(280=0,"-",IF($H$5="1ère quinzaine",INDEX(Paie_Jours1,280),IF($H$5="2ème quinzaine",INDEX(Paie_Jours2,280),INDEX(Pointage_Travailles,280)))),"")</f>
      </c>
      <c r="E307" s="23">
        <f>IF(AND($B$5="Tous les employés",IFERROR(INDEX(Pointage_ID,280),"")&lt;&gt;""),IF(280=0,"-",IF($H$5="1ère quinzaine",INDEX(Paie_HS1,280),IF($H$5="2ème quinzaine",INDEX(Paie_HS2,280),INDEX(Pointage_HS,280)))),"")</f>
      </c>
      <c r="F307" s="24">
        <f>IF(AND($B$5="Tous les employés",IFERROR(INDEX(Pointage_ID,280),"")&lt;&gt;""),INDEX(Paie_SalaireJour,280),"")</f>
      </c>
      <c r="G307" s="24">
        <f>IF(AND($B$5="Tous les employés",IFERROR(INDEX(Pointage_ID,280),"")&lt;&gt;""),IF(280=0,"-",IF($H$5="1ère quinzaine",INDEX(Paie_MontantHS1,280),IF($H$5="2ème quinzaine",INDEX(Paie_MontantHS2,280),INDEX(Paie_MontantHS,280)))),"")</f>
      </c>
      <c r="H307" s="24">
        <f>IF(AND($B$5="Tous les employés",IFERROR(INDEX(Pointage_ID,280),"")&lt;&gt;""),IF(280=0,"-",IF($H$5="1ère quinzaine",INDEX(Paie_Brut1,280),IF($H$5="2ème quinzaine",INDEX(Paie_Brut2,280),INDEX(Paie_BrutMensuel,280)))),"")</f>
      </c>
      <c r="I307" s="24">
        <f>IF(AND($B$5="Tous les employés",IFERROR(INDEX(Pointage_ID,280),"")&lt;&gt;""),IF(280=0,"-",IF($H$5="1ère quinzaine",INDEX(Paie_Retenues1,280),IF($H$5="2ème quinzaine",INDEX(Paie_Retenues2,280),INDEX(Paie_Retenues,280)))),"")</f>
      </c>
      <c r="J307" s="25">
        <f>IF(AND($B$5="Tous les employés",IFERROR(INDEX(Pointage_ID,280),"")&lt;&gt;""),IF(280=0,"-",IF($H$5="1ère quinzaine",INDEX(Paie_Net1,280),IF($H$5="2ème quinzaine",INDEX(Paie_Net2,280),INDEX(Paie_NetMensuel,280)))),"")</f>
      </c>
    </row>
    <row r="308">
      <c r="A308" s="20">
        <f>IF(AND($B$5="Tous les employés",IFERROR(INDEX(Pointage_ID,281),"")&lt;&gt;""),IFERROR(INDEX(Pointage_ID,281),""),"")</f>
      </c>
      <c r="B308" s="19">
        <f>IF(AND($B$5="Tous les employés",IFERROR(INDEX(Pointage_ID,281),"")&lt;&gt;""),INDEX(Pointage_Nom,281),"")</f>
      </c>
      <c r="C308" s="20">
        <f>IF(AND($B$5="Tous les employés",IFERROR(INDEX(Pointage_ID,281),"")&lt;&gt;""),INDEX(Pointage_Categorie,281),"")</f>
      </c>
      <c r="D308" s="22">
        <f>IF(AND($B$5="Tous les employés",IFERROR(INDEX(Pointage_ID,281),"")&lt;&gt;""),IF(281=0,"-",IF($H$5="1ère quinzaine",INDEX(Paie_Jours1,281),IF($H$5="2ème quinzaine",INDEX(Paie_Jours2,281),INDEX(Pointage_Travailles,281)))),"")</f>
      </c>
      <c r="E308" s="23">
        <f>IF(AND($B$5="Tous les employés",IFERROR(INDEX(Pointage_ID,281),"")&lt;&gt;""),IF(281=0,"-",IF($H$5="1ère quinzaine",INDEX(Paie_HS1,281),IF($H$5="2ème quinzaine",INDEX(Paie_HS2,281),INDEX(Pointage_HS,281)))),"")</f>
      </c>
      <c r="F308" s="24">
        <f>IF(AND($B$5="Tous les employés",IFERROR(INDEX(Pointage_ID,281),"")&lt;&gt;""),INDEX(Paie_SalaireJour,281),"")</f>
      </c>
      <c r="G308" s="24">
        <f>IF(AND($B$5="Tous les employés",IFERROR(INDEX(Pointage_ID,281),"")&lt;&gt;""),IF(281=0,"-",IF($H$5="1ère quinzaine",INDEX(Paie_MontantHS1,281),IF($H$5="2ème quinzaine",INDEX(Paie_MontantHS2,281),INDEX(Paie_MontantHS,281)))),"")</f>
      </c>
      <c r="H308" s="24">
        <f>IF(AND($B$5="Tous les employés",IFERROR(INDEX(Pointage_ID,281),"")&lt;&gt;""),IF(281=0,"-",IF($H$5="1ère quinzaine",INDEX(Paie_Brut1,281),IF($H$5="2ème quinzaine",INDEX(Paie_Brut2,281),INDEX(Paie_BrutMensuel,281)))),"")</f>
      </c>
      <c r="I308" s="24">
        <f>IF(AND($B$5="Tous les employés",IFERROR(INDEX(Pointage_ID,281),"")&lt;&gt;""),IF(281=0,"-",IF($H$5="1ère quinzaine",INDEX(Paie_Retenues1,281),IF($H$5="2ème quinzaine",INDEX(Paie_Retenues2,281),INDEX(Paie_Retenues,281)))),"")</f>
      </c>
      <c r="J308" s="25">
        <f>IF(AND($B$5="Tous les employés",IFERROR(INDEX(Pointage_ID,281),"")&lt;&gt;""),IF(281=0,"-",IF($H$5="1ère quinzaine",INDEX(Paie_Net1,281),IF($H$5="2ème quinzaine",INDEX(Paie_Net2,281),INDEX(Paie_NetMensuel,281)))),"")</f>
      </c>
    </row>
    <row r="309">
      <c r="A309" s="20">
        <f>IF(AND($B$5="Tous les employés",IFERROR(INDEX(Pointage_ID,282),"")&lt;&gt;""),IFERROR(INDEX(Pointage_ID,282),""),"")</f>
      </c>
      <c r="B309" s="19">
        <f>IF(AND($B$5="Tous les employés",IFERROR(INDEX(Pointage_ID,282),"")&lt;&gt;""),INDEX(Pointage_Nom,282),"")</f>
      </c>
      <c r="C309" s="20">
        <f>IF(AND($B$5="Tous les employés",IFERROR(INDEX(Pointage_ID,282),"")&lt;&gt;""),INDEX(Pointage_Categorie,282),"")</f>
      </c>
      <c r="D309" s="22">
        <f>IF(AND($B$5="Tous les employés",IFERROR(INDEX(Pointage_ID,282),"")&lt;&gt;""),IF(282=0,"-",IF($H$5="1ère quinzaine",INDEX(Paie_Jours1,282),IF($H$5="2ème quinzaine",INDEX(Paie_Jours2,282),INDEX(Pointage_Travailles,282)))),"")</f>
      </c>
      <c r="E309" s="23">
        <f>IF(AND($B$5="Tous les employés",IFERROR(INDEX(Pointage_ID,282),"")&lt;&gt;""),IF(282=0,"-",IF($H$5="1ère quinzaine",INDEX(Paie_HS1,282),IF($H$5="2ème quinzaine",INDEX(Paie_HS2,282),INDEX(Pointage_HS,282)))),"")</f>
      </c>
      <c r="F309" s="24">
        <f>IF(AND($B$5="Tous les employés",IFERROR(INDEX(Pointage_ID,282),"")&lt;&gt;""),INDEX(Paie_SalaireJour,282),"")</f>
      </c>
      <c r="G309" s="24">
        <f>IF(AND($B$5="Tous les employés",IFERROR(INDEX(Pointage_ID,282),"")&lt;&gt;""),IF(282=0,"-",IF($H$5="1ère quinzaine",INDEX(Paie_MontantHS1,282),IF($H$5="2ème quinzaine",INDEX(Paie_MontantHS2,282),INDEX(Paie_MontantHS,282)))),"")</f>
      </c>
      <c r="H309" s="24">
        <f>IF(AND($B$5="Tous les employés",IFERROR(INDEX(Pointage_ID,282),"")&lt;&gt;""),IF(282=0,"-",IF($H$5="1ère quinzaine",INDEX(Paie_Brut1,282),IF($H$5="2ème quinzaine",INDEX(Paie_Brut2,282),INDEX(Paie_BrutMensuel,282)))),"")</f>
      </c>
      <c r="I309" s="24">
        <f>IF(AND($B$5="Tous les employés",IFERROR(INDEX(Pointage_ID,282),"")&lt;&gt;""),IF(282=0,"-",IF($H$5="1ère quinzaine",INDEX(Paie_Retenues1,282),IF($H$5="2ème quinzaine",INDEX(Paie_Retenues2,282),INDEX(Paie_Retenues,282)))),"")</f>
      </c>
      <c r="J309" s="25">
        <f>IF(AND($B$5="Tous les employés",IFERROR(INDEX(Pointage_ID,282),"")&lt;&gt;""),IF(282=0,"-",IF($H$5="1ère quinzaine",INDEX(Paie_Net1,282),IF($H$5="2ème quinzaine",INDEX(Paie_Net2,282),INDEX(Paie_NetMensuel,282)))),"")</f>
      </c>
    </row>
    <row r="310">
      <c r="A310" s="20">
        <f>IF(AND($B$5="Tous les employés",IFERROR(INDEX(Pointage_ID,283),"")&lt;&gt;""),IFERROR(INDEX(Pointage_ID,283),""),"")</f>
      </c>
      <c r="B310" s="19">
        <f>IF(AND($B$5="Tous les employés",IFERROR(INDEX(Pointage_ID,283),"")&lt;&gt;""),INDEX(Pointage_Nom,283),"")</f>
      </c>
      <c r="C310" s="20">
        <f>IF(AND($B$5="Tous les employés",IFERROR(INDEX(Pointage_ID,283),"")&lt;&gt;""),INDEX(Pointage_Categorie,283),"")</f>
      </c>
      <c r="D310" s="22">
        <f>IF(AND($B$5="Tous les employés",IFERROR(INDEX(Pointage_ID,283),"")&lt;&gt;""),IF(283=0,"-",IF($H$5="1ère quinzaine",INDEX(Paie_Jours1,283),IF($H$5="2ème quinzaine",INDEX(Paie_Jours2,283),INDEX(Pointage_Travailles,283)))),"")</f>
      </c>
      <c r="E310" s="23">
        <f>IF(AND($B$5="Tous les employés",IFERROR(INDEX(Pointage_ID,283),"")&lt;&gt;""),IF(283=0,"-",IF($H$5="1ère quinzaine",INDEX(Paie_HS1,283),IF($H$5="2ème quinzaine",INDEX(Paie_HS2,283),INDEX(Pointage_HS,283)))),"")</f>
      </c>
      <c r="F310" s="24">
        <f>IF(AND($B$5="Tous les employés",IFERROR(INDEX(Pointage_ID,283),"")&lt;&gt;""),INDEX(Paie_SalaireJour,283),"")</f>
      </c>
      <c r="G310" s="24">
        <f>IF(AND($B$5="Tous les employés",IFERROR(INDEX(Pointage_ID,283),"")&lt;&gt;""),IF(283=0,"-",IF($H$5="1ère quinzaine",INDEX(Paie_MontantHS1,283),IF($H$5="2ème quinzaine",INDEX(Paie_MontantHS2,283),INDEX(Paie_MontantHS,283)))),"")</f>
      </c>
      <c r="H310" s="24">
        <f>IF(AND($B$5="Tous les employés",IFERROR(INDEX(Pointage_ID,283),"")&lt;&gt;""),IF(283=0,"-",IF($H$5="1ère quinzaine",INDEX(Paie_Brut1,283),IF($H$5="2ème quinzaine",INDEX(Paie_Brut2,283),INDEX(Paie_BrutMensuel,283)))),"")</f>
      </c>
      <c r="I310" s="24">
        <f>IF(AND($B$5="Tous les employés",IFERROR(INDEX(Pointage_ID,283),"")&lt;&gt;""),IF(283=0,"-",IF($H$5="1ère quinzaine",INDEX(Paie_Retenues1,283),IF($H$5="2ème quinzaine",INDEX(Paie_Retenues2,283),INDEX(Paie_Retenues,283)))),"")</f>
      </c>
      <c r="J310" s="25">
        <f>IF(AND($B$5="Tous les employés",IFERROR(INDEX(Pointage_ID,283),"")&lt;&gt;""),IF(283=0,"-",IF($H$5="1ère quinzaine",INDEX(Paie_Net1,283),IF($H$5="2ème quinzaine",INDEX(Paie_Net2,283),INDEX(Paie_NetMensuel,283)))),"")</f>
      </c>
    </row>
    <row r="311">
      <c r="A311" s="20">
        <f>IF(AND($B$5="Tous les employés",IFERROR(INDEX(Pointage_ID,284),"")&lt;&gt;""),IFERROR(INDEX(Pointage_ID,284),""),"")</f>
      </c>
      <c r="B311" s="19">
        <f>IF(AND($B$5="Tous les employés",IFERROR(INDEX(Pointage_ID,284),"")&lt;&gt;""),INDEX(Pointage_Nom,284),"")</f>
      </c>
      <c r="C311" s="20">
        <f>IF(AND($B$5="Tous les employés",IFERROR(INDEX(Pointage_ID,284),"")&lt;&gt;""),INDEX(Pointage_Categorie,284),"")</f>
      </c>
      <c r="D311" s="22">
        <f>IF(AND($B$5="Tous les employés",IFERROR(INDEX(Pointage_ID,284),"")&lt;&gt;""),IF(284=0,"-",IF($H$5="1ère quinzaine",INDEX(Paie_Jours1,284),IF($H$5="2ème quinzaine",INDEX(Paie_Jours2,284),INDEX(Pointage_Travailles,284)))),"")</f>
      </c>
      <c r="E311" s="23">
        <f>IF(AND($B$5="Tous les employés",IFERROR(INDEX(Pointage_ID,284),"")&lt;&gt;""),IF(284=0,"-",IF($H$5="1ère quinzaine",INDEX(Paie_HS1,284),IF($H$5="2ème quinzaine",INDEX(Paie_HS2,284),INDEX(Pointage_HS,284)))),"")</f>
      </c>
      <c r="F311" s="24">
        <f>IF(AND($B$5="Tous les employés",IFERROR(INDEX(Pointage_ID,284),"")&lt;&gt;""),INDEX(Paie_SalaireJour,284),"")</f>
      </c>
      <c r="G311" s="24">
        <f>IF(AND($B$5="Tous les employés",IFERROR(INDEX(Pointage_ID,284),"")&lt;&gt;""),IF(284=0,"-",IF($H$5="1ère quinzaine",INDEX(Paie_MontantHS1,284),IF($H$5="2ème quinzaine",INDEX(Paie_MontantHS2,284),INDEX(Paie_MontantHS,284)))),"")</f>
      </c>
      <c r="H311" s="24">
        <f>IF(AND($B$5="Tous les employés",IFERROR(INDEX(Pointage_ID,284),"")&lt;&gt;""),IF(284=0,"-",IF($H$5="1ère quinzaine",INDEX(Paie_Brut1,284),IF($H$5="2ème quinzaine",INDEX(Paie_Brut2,284),INDEX(Paie_BrutMensuel,284)))),"")</f>
      </c>
      <c r="I311" s="24">
        <f>IF(AND($B$5="Tous les employés",IFERROR(INDEX(Pointage_ID,284),"")&lt;&gt;""),IF(284=0,"-",IF($H$5="1ère quinzaine",INDEX(Paie_Retenues1,284),IF($H$5="2ème quinzaine",INDEX(Paie_Retenues2,284),INDEX(Paie_Retenues,284)))),"")</f>
      </c>
      <c r="J311" s="25">
        <f>IF(AND($B$5="Tous les employés",IFERROR(INDEX(Pointage_ID,284),"")&lt;&gt;""),IF(284=0,"-",IF($H$5="1ère quinzaine",INDEX(Paie_Net1,284),IF($H$5="2ème quinzaine",INDEX(Paie_Net2,284),INDEX(Paie_NetMensuel,284)))),"")</f>
      </c>
    </row>
    <row r="312">
      <c r="A312" s="20">
        <f>IF(AND($B$5="Tous les employés",IFERROR(INDEX(Pointage_ID,285),"")&lt;&gt;""),IFERROR(INDEX(Pointage_ID,285),""),"")</f>
      </c>
      <c r="B312" s="19">
        <f>IF(AND($B$5="Tous les employés",IFERROR(INDEX(Pointage_ID,285),"")&lt;&gt;""),INDEX(Pointage_Nom,285),"")</f>
      </c>
      <c r="C312" s="20">
        <f>IF(AND($B$5="Tous les employés",IFERROR(INDEX(Pointage_ID,285),"")&lt;&gt;""),INDEX(Pointage_Categorie,285),"")</f>
      </c>
      <c r="D312" s="22">
        <f>IF(AND($B$5="Tous les employés",IFERROR(INDEX(Pointage_ID,285),"")&lt;&gt;""),IF(285=0,"-",IF($H$5="1ère quinzaine",INDEX(Paie_Jours1,285),IF($H$5="2ème quinzaine",INDEX(Paie_Jours2,285),INDEX(Pointage_Travailles,285)))),"")</f>
      </c>
      <c r="E312" s="23">
        <f>IF(AND($B$5="Tous les employés",IFERROR(INDEX(Pointage_ID,285),"")&lt;&gt;""),IF(285=0,"-",IF($H$5="1ère quinzaine",INDEX(Paie_HS1,285),IF($H$5="2ème quinzaine",INDEX(Paie_HS2,285),INDEX(Pointage_HS,285)))),"")</f>
      </c>
      <c r="F312" s="24">
        <f>IF(AND($B$5="Tous les employés",IFERROR(INDEX(Pointage_ID,285),"")&lt;&gt;""),INDEX(Paie_SalaireJour,285),"")</f>
      </c>
      <c r="G312" s="24">
        <f>IF(AND($B$5="Tous les employés",IFERROR(INDEX(Pointage_ID,285),"")&lt;&gt;""),IF(285=0,"-",IF($H$5="1ère quinzaine",INDEX(Paie_MontantHS1,285),IF($H$5="2ème quinzaine",INDEX(Paie_MontantHS2,285),INDEX(Paie_MontantHS,285)))),"")</f>
      </c>
      <c r="H312" s="24">
        <f>IF(AND($B$5="Tous les employés",IFERROR(INDEX(Pointage_ID,285),"")&lt;&gt;""),IF(285=0,"-",IF($H$5="1ère quinzaine",INDEX(Paie_Brut1,285),IF($H$5="2ème quinzaine",INDEX(Paie_Brut2,285),INDEX(Paie_BrutMensuel,285)))),"")</f>
      </c>
      <c r="I312" s="24">
        <f>IF(AND($B$5="Tous les employés",IFERROR(INDEX(Pointage_ID,285),"")&lt;&gt;""),IF(285=0,"-",IF($H$5="1ère quinzaine",INDEX(Paie_Retenues1,285),IF($H$5="2ème quinzaine",INDEX(Paie_Retenues2,285),INDEX(Paie_Retenues,285)))),"")</f>
      </c>
      <c r="J312" s="25">
        <f>IF(AND($B$5="Tous les employés",IFERROR(INDEX(Pointage_ID,285),"")&lt;&gt;""),IF(285=0,"-",IF($H$5="1ère quinzaine",INDEX(Paie_Net1,285),IF($H$5="2ème quinzaine",INDEX(Paie_Net2,285),INDEX(Paie_NetMensuel,285)))),"")</f>
      </c>
    </row>
    <row r="313">
      <c r="A313" s="20">
        <f>IF(AND($B$5="Tous les employés",IFERROR(INDEX(Pointage_ID,286),"")&lt;&gt;""),IFERROR(INDEX(Pointage_ID,286),""),"")</f>
      </c>
      <c r="B313" s="19">
        <f>IF(AND($B$5="Tous les employés",IFERROR(INDEX(Pointage_ID,286),"")&lt;&gt;""),INDEX(Pointage_Nom,286),"")</f>
      </c>
      <c r="C313" s="20">
        <f>IF(AND($B$5="Tous les employés",IFERROR(INDEX(Pointage_ID,286),"")&lt;&gt;""),INDEX(Pointage_Categorie,286),"")</f>
      </c>
      <c r="D313" s="22">
        <f>IF(AND($B$5="Tous les employés",IFERROR(INDEX(Pointage_ID,286),"")&lt;&gt;""),IF(286=0,"-",IF($H$5="1ère quinzaine",INDEX(Paie_Jours1,286),IF($H$5="2ème quinzaine",INDEX(Paie_Jours2,286),INDEX(Pointage_Travailles,286)))),"")</f>
      </c>
      <c r="E313" s="23">
        <f>IF(AND($B$5="Tous les employés",IFERROR(INDEX(Pointage_ID,286),"")&lt;&gt;""),IF(286=0,"-",IF($H$5="1ère quinzaine",INDEX(Paie_HS1,286),IF($H$5="2ème quinzaine",INDEX(Paie_HS2,286),INDEX(Pointage_HS,286)))),"")</f>
      </c>
      <c r="F313" s="24">
        <f>IF(AND($B$5="Tous les employés",IFERROR(INDEX(Pointage_ID,286),"")&lt;&gt;""),INDEX(Paie_SalaireJour,286),"")</f>
      </c>
      <c r="G313" s="24">
        <f>IF(AND($B$5="Tous les employés",IFERROR(INDEX(Pointage_ID,286),"")&lt;&gt;""),IF(286=0,"-",IF($H$5="1ère quinzaine",INDEX(Paie_MontantHS1,286),IF($H$5="2ème quinzaine",INDEX(Paie_MontantHS2,286),INDEX(Paie_MontantHS,286)))),"")</f>
      </c>
      <c r="H313" s="24">
        <f>IF(AND($B$5="Tous les employés",IFERROR(INDEX(Pointage_ID,286),"")&lt;&gt;""),IF(286=0,"-",IF($H$5="1ère quinzaine",INDEX(Paie_Brut1,286),IF($H$5="2ème quinzaine",INDEX(Paie_Brut2,286),INDEX(Paie_BrutMensuel,286)))),"")</f>
      </c>
      <c r="I313" s="24">
        <f>IF(AND($B$5="Tous les employés",IFERROR(INDEX(Pointage_ID,286),"")&lt;&gt;""),IF(286=0,"-",IF($H$5="1ère quinzaine",INDEX(Paie_Retenues1,286),IF($H$5="2ème quinzaine",INDEX(Paie_Retenues2,286),INDEX(Paie_Retenues,286)))),"")</f>
      </c>
      <c r="J313" s="25">
        <f>IF(AND($B$5="Tous les employés",IFERROR(INDEX(Pointage_ID,286),"")&lt;&gt;""),IF(286=0,"-",IF($H$5="1ère quinzaine",INDEX(Paie_Net1,286),IF($H$5="2ème quinzaine",INDEX(Paie_Net2,286),INDEX(Paie_NetMensuel,286)))),"")</f>
      </c>
    </row>
    <row r="314">
      <c r="A314" s="20">
        <f>IF(AND($B$5="Tous les employés",IFERROR(INDEX(Pointage_ID,287),"")&lt;&gt;""),IFERROR(INDEX(Pointage_ID,287),""),"")</f>
      </c>
      <c r="B314" s="19">
        <f>IF(AND($B$5="Tous les employés",IFERROR(INDEX(Pointage_ID,287),"")&lt;&gt;""),INDEX(Pointage_Nom,287),"")</f>
      </c>
      <c r="C314" s="20">
        <f>IF(AND($B$5="Tous les employés",IFERROR(INDEX(Pointage_ID,287),"")&lt;&gt;""),INDEX(Pointage_Categorie,287),"")</f>
      </c>
      <c r="D314" s="22">
        <f>IF(AND($B$5="Tous les employés",IFERROR(INDEX(Pointage_ID,287),"")&lt;&gt;""),IF(287=0,"-",IF($H$5="1ère quinzaine",INDEX(Paie_Jours1,287),IF($H$5="2ème quinzaine",INDEX(Paie_Jours2,287),INDEX(Pointage_Travailles,287)))),"")</f>
      </c>
      <c r="E314" s="23">
        <f>IF(AND($B$5="Tous les employés",IFERROR(INDEX(Pointage_ID,287),"")&lt;&gt;""),IF(287=0,"-",IF($H$5="1ère quinzaine",INDEX(Paie_HS1,287),IF($H$5="2ème quinzaine",INDEX(Paie_HS2,287),INDEX(Pointage_HS,287)))),"")</f>
      </c>
      <c r="F314" s="24">
        <f>IF(AND($B$5="Tous les employés",IFERROR(INDEX(Pointage_ID,287),"")&lt;&gt;""),INDEX(Paie_SalaireJour,287),"")</f>
      </c>
      <c r="G314" s="24">
        <f>IF(AND($B$5="Tous les employés",IFERROR(INDEX(Pointage_ID,287),"")&lt;&gt;""),IF(287=0,"-",IF($H$5="1ère quinzaine",INDEX(Paie_MontantHS1,287),IF($H$5="2ème quinzaine",INDEX(Paie_MontantHS2,287),INDEX(Paie_MontantHS,287)))),"")</f>
      </c>
      <c r="H314" s="24">
        <f>IF(AND($B$5="Tous les employés",IFERROR(INDEX(Pointage_ID,287),"")&lt;&gt;""),IF(287=0,"-",IF($H$5="1ère quinzaine",INDEX(Paie_Brut1,287),IF($H$5="2ème quinzaine",INDEX(Paie_Brut2,287),INDEX(Paie_BrutMensuel,287)))),"")</f>
      </c>
      <c r="I314" s="24">
        <f>IF(AND($B$5="Tous les employés",IFERROR(INDEX(Pointage_ID,287),"")&lt;&gt;""),IF(287=0,"-",IF($H$5="1ère quinzaine",INDEX(Paie_Retenues1,287),IF($H$5="2ème quinzaine",INDEX(Paie_Retenues2,287),INDEX(Paie_Retenues,287)))),"")</f>
      </c>
      <c r="J314" s="25">
        <f>IF(AND($B$5="Tous les employés",IFERROR(INDEX(Pointage_ID,287),"")&lt;&gt;""),IF(287=0,"-",IF($H$5="1ère quinzaine",INDEX(Paie_Net1,287),IF($H$5="2ème quinzaine",INDEX(Paie_Net2,287),INDEX(Paie_NetMensuel,287)))),"")</f>
      </c>
    </row>
    <row r="315">
      <c r="A315" s="20">
        <f>IF(AND($B$5="Tous les employés",IFERROR(INDEX(Pointage_ID,288),"")&lt;&gt;""),IFERROR(INDEX(Pointage_ID,288),""),"")</f>
      </c>
      <c r="B315" s="19">
        <f>IF(AND($B$5="Tous les employés",IFERROR(INDEX(Pointage_ID,288),"")&lt;&gt;""),INDEX(Pointage_Nom,288),"")</f>
      </c>
      <c r="C315" s="20">
        <f>IF(AND($B$5="Tous les employés",IFERROR(INDEX(Pointage_ID,288),"")&lt;&gt;""),INDEX(Pointage_Categorie,288),"")</f>
      </c>
      <c r="D315" s="22">
        <f>IF(AND($B$5="Tous les employés",IFERROR(INDEX(Pointage_ID,288),"")&lt;&gt;""),IF(288=0,"-",IF($H$5="1ère quinzaine",INDEX(Paie_Jours1,288),IF($H$5="2ème quinzaine",INDEX(Paie_Jours2,288),INDEX(Pointage_Travailles,288)))),"")</f>
      </c>
      <c r="E315" s="23">
        <f>IF(AND($B$5="Tous les employés",IFERROR(INDEX(Pointage_ID,288),"")&lt;&gt;""),IF(288=0,"-",IF($H$5="1ère quinzaine",INDEX(Paie_HS1,288),IF($H$5="2ème quinzaine",INDEX(Paie_HS2,288),INDEX(Pointage_HS,288)))),"")</f>
      </c>
      <c r="F315" s="24">
        <f>IF(AND($B$5="Tous les employés",IFERROR(INDEX(Pointage_ID,288),"")&lt;&gt;""),INDEX(Paie_SalaireJour,288),"")</f>
      </c>
      <c r="G315" s="24">
        <f>IF(AND($B$5="Tous les employés",IFERROR(INDEX(Pointage_ID,288),"")&lt;&gt;""),IF(288=0,"-",IF($H$5="1ère quinzaine",INDEX(Paie_MontantHS1,288),IF($H$5="2ème quinzaine",INDEX(Paie_MontantHS2,288),INDEX(Paie_MontantHS,288)))),"")</f>
      </c>
      <c r="H315" s="24">
        <f>IF(AND($B$5="Tous les employés",IFERROR(INDEX(Pointage_ID,288),"")&lt;&gt;""),IF(288=0,"-",IF($H$5="1ère quinzaine",INDEX(Paie_Brut1,288),IF($H$5="2ème quinzaine",INDEX(Paie_Brut2,288),INDEX(Paie_BrutMensuel,288)))),"")</f>
      </c>
      <c r="I315" s="24">
        <f>IF(AND($B$5="Tous les employés",IFERROR(INDEX(Pointage_ID,288),"")&lt;&gt;""),IF(288=0,"-",IF($H$5="1ère quinzaine",INDEX(Paie_Retenues1,288),IF($H$5="2ème quinzaine",INDEX(Paie_Retenues2,288),INDEX(Paie_Retenues,288)))),"")</f>
      </c>
      <c r="J315" s="25">
        <f>IF(AND($B$5="Tous les employés",IFERROR(INDEX(Pointage_ID,288),"")&lt;&gt;""),IF(288=0,"-",IF($H$5="1ère quinzaine",INDEX(Paie_Net1,288),IF($H$5="2ème quinzaine",INDEX(Paie_Net2,288),INDEX(Paie_NetMensuel,288)))),"")</f>
      </c>
    </row>
    <row r="316">
      <c r="A316" s="20">
        <f>IF(AND($B$5="Tous les employés",IFERROR(INDEX(Pointage_ID,289),"")&lt;&gt;""),IFERROR(INDEX(Pointage_ID,289),""),"")</f>
      </c>
      <c r="B316" s="19">
        <f>IF(AND($B$5="Tous les employés",IFERROR(INDEX(Pointage_ID,289),"")&lt;&gt;""),INDEX(Pointage_Nom,289),"")</f>
      </c>
      <c r="C316" s="20">
        <f>IF(AND($B$5="Tous les employés",IFERROR(INDEX(Pointage_ID,289),"")&lt;&gt;""),INDEX(Pointage_Categorie,289),"")</f>
      </c>
      <c r="D316" s="22">
        <f>IF(AND($B$5="Tous les employés",IFERROR(INDEX(Pointage_ID,289),"")&lt;&gt;""),IF(289=0,"-",IF($H$5="1ère quinzaine",INDEX(Paie_Jours1,289),IF($H$5="2ème quinzaine",INDEX(Paie_Jours2,289),INDEX(Pointage_Travailles,289)))),"")</f>
      </c>
      <c r="E316" s="23">
        <f>IF(AND($B$5="Tous les employés",IFERROR(INDEX(Pointage_ID,289),"")&lt;&gt;""),IF(289=0,"-",IF($H$5="1ère quinzaine",INDEX(Paie_HS1,289),IF($H$5="2ème quinzaine",INDEX(Paie_HS2,289),INDEX(Pointage_HS,289)))),"")</f>
      </c>
      <c r="F316" s="24">
        <f>IF(AND($B$5="Tous les employés",IFERROR(INDEX(Pointage_ID,289),"")&lt;&gt;""),INDEX(Paie_SalaireJour,289),"")</f>
      </c>
      <c r="G316" s="24">
        <f>IF(AND($B$5="Tous les employés",IFERROR(INDEX(Pointage_ID,289),"")&lt;&gt;""),IF(289=0,"-",IF($H$5="1ère quinzaine",INDEX(Paie_MontantHS1,289),IF($H$5="2ème quinzaine",INDEX(Paie_MontantHS2,289),INDEX(Paie_MontantHS,289)))),"")</f>
      </c>
      <c r="H316" s="24">
        <f>IF(AND($B$5="Tous les employés",IFERROR(INDEX(Pointage_ID,289),"")&lt;&gt;""),IF(289=0,"-",IF($H$5="1ère quinzaine",INDEX(Paie_Brut1,289),IF($H$5="2ème quinzaine",INDEX(Paie_Brut2,289),INDEX(Paie_BrutMensuel,289)))),"")</f>
      </c>
      <c r="I316" s="24">
        <f>IF(AND($B$5="Tous les employés",IFERROR(INDEX(Pointage_ID,289),"")&lt;&gt;""),IF(289=0,"-",IF($H$5="1ère quinzaine",INDEX(Paie_Retenues1,289),IF($H$5="2ème quinzaine",INDEX(Paie_Retenues2,289),INDEX(Paie_Retenues,289)))),"")</f>
      </c>
      <c r="J316" s="25">
        <f>IF(AND($B$5="Tous les employés",IFERROR(INDEX(Pointage_ID,289),"")&lt;&gt;""),IF(289=0,"-",IF($H$5="1ère quinzaine",INDEX(Paie_Net1,289),IF($H$5="2ème quinzaine",INDEX(Paie_Net2,289),INDEX(Paie_NetMensuel,289)))),"")</f>
      </c>
    </row>
    <row r="317">
      <c r="A317" s="20">
        <f>IF(AND($B$5="Tous les employés",IFERROR(INDEX(Pointage_ID,290),"")&lt;&gt;""),IFERROR(INDEX(Pointage_ID,290),""),"")</f>
      </c>
      <c r="B317" s="19">
        <f>IF(AND($B$5="Tous les employés",IFERROR(INDEX(Pointage_ID,290),"")&lt;&gt;""),INDEX(Pointage_Nom,290),"")</f>
      </c>
      <c r="C317" s="20">
        <f>IF(AND($B$5="Tous les employés",IFERROR(INDEX(Pointage_ID,290),"")&lt;&gt;""),INDEX(Pointage_Categorie,290),"")</f>
      </c>
      <c r="D317" s="22">
        <f>IF(AND($B$5="Tous les employés",IFERROR(INDEX(Pointage_ID,290),"")&lt;&gt;""),IF(290=0,"-",IF($H$5="1ère quinzaine",INDEX(Paie_Jours1,290),IF($H$5="2ème quinzaine",INDEX(Paie_Jours2,290),INDEX(Pointage_Travailles,290)))),"")</f>
      </c>
      <c r="E317" s="23">
        <f>IF(AND($B$5="Tous les employés",IFERROR(INDEX(Pointage_ID,290),"")&lt;&gt;""),IF(290=0,"-",IF($H$5="1ère quinzaine",INDEX(Paie_HS1,290),IF($H$5="2ème quinzaine",INDEX(Paie_HS2,290),INDEX(Pointage_HS,290)))),"")</f>
      </c>
      <c r="F317" s="24">
        <f>IF(AND($B$5="Tous les employés",IFERROR(INDEX(Pointage_ID,290),"")&lt;&gt;""),INDEX(Paie_SalaireJour,290),"")</f>
      </c>
      <c r="G317" s="24">
        <f>IF(AND($B$5="Tous les employés",IFERROR(INDEX(Pointage_ID,290),"")&lt;&gt;""),IF(290=0,"-",IF($H$5="1ère quinzaine",INDEX(Paie_MontantHS1,290),IF($H$5="2ème quinzaine",INDEX(Paie_MontantHS2,290),INDEX(Paie_MontantHS,290)))),"")</f>
      </c>
      <c r="H317" s="24">
        <f>IF(AND($B$5="Tous les employés",IFERROR(INDEX(Pointage_ID,290),"")&lt;&gt;""),IF(290=0,"-",IF($H$5="1ère quinzaine",INDEX(Paie_Brut1,290),IF($H$5="2ème quinzaine",INDEX(Paie_Brut2,290),INDEX(Paie_BrutMensuel,290)))),"")</f>
      </c>
      <c r="I317" s="24">
        <f>IF(AND($B$5="Tous les employés",IFERROR(INDEX(Pointage_ID,290),"")&lt;&gt;""),IF(290=0,"-",IF($H$5="1ère quinzaine",INDEX(Paie_Retenues1,290),IF($H$5="2ème quinzaine",INDEX(Paie_Retenues2,290),INDEX(Paie_Retenues,290)))),"")</f>
      </c>
      <c r="J317" s="25">
        <f>IF(AND($B$5="Tous les employés",IFERROR(INDEX(Pointage_ID,290),"")&lt;&gt;""),IF(290=0,"-",IF($H$5="1ère quinzaine",INDEX(Paie_Net1,290),IF($H$5="2ème quinzaine",INDEX(Paie_Net2,290),INDEX(Paie_NetMensuel,290)))),"")</f>
      </c>
    </row>
    <row r="318">
      <c r="A318" s="20">
        <f>IF(AND($B$5="Tous les employés",IFERROR(INDEX(Pointage_ID,291),"")&lt;&gt;""),IFERROR(INDEX(Pointage_ID,291),""),"")</f>
      </c>
      <c r="B318" s="19">
        <f>IF(AND($B$5="Tous les employés",IFERROR(INDEX(Pointage_ID,291),"")&lt;&gt;""),INDEX(Pointage_Nom,291),"")</f>
      </c>
      <c r="C318" s="20">
        <f>IF(AND($B$5="Tous les employés",IFERROR(INDEX(Pointage_ID,291),"")&lt;&gt;""),INDEX(Pointage_Categorie,291),"")</f>
      </c>
      <c r="D318" s="22">
        <f>IF(AND($B$5="Tous les employés",IFERROR(INDEX(Pointage_ID,291),"")&lt;&gt;""),IF(291=0,"-",IF($H$5="1ère quinzaine",INDEX(Paie_Jours1,291),IF($H$5="2ème quinzaine",INDEX(Paie_Jours2,291),INDEX(Pointage_Travailles,291)))),"")</f>
      </c>
      <c r="E318" s="23">
        <f>IF(AND($B$5="Tous les employés",IFERROR(INDEX(Pointage_ID,291),"")&lt;&gt;""),IF(291=0,"-",IF($H$5="1ère quinzaine",INDEX(Paie_HS1,291),IF($H$5="2ème quinzaine",INDEX(Paie_HS2,291),INDEX(Pointage_HS,291)))),"")</f>
      </c>
      <c r="F318" s="24">
        <f>IF(AND($B$5="Tous les employés",IFERROR(INDEX(Pointage_ID,291),"")&lt;&gt;""),INDEX(Paie_SalaireJour,291),"")</f>
      </c>
      <c r="G318" s="24">
        <f>IF(AND($B$5="Tous les employés",IFERROR(INDEX(Pointage_ID,291),"")&lt;&gt;""),IF(291=0,"-",IF($H$5="1ère quinzaine",INDEX(Paie_MontantHS1,291),IF($H$5="2ème quinzaine",INDEX(Paie_MontantHS2,291),INDEX(Paie_MontantHS,291)))),"")</f>
      </c>
      <c r="H318" s="24">
        <f>IF(AND($B$5="Tous les employés",IFERROR(INDEX(Pointage_ID,291),"")&lt;&gt;""),IF(291=0,"-",IF($H$5="1ère quinzaine",INDEX(Paie_Brut1,291),IF($H$5="2ème quinzaine",INDEX(Paie_Brut2,291),INDEX(Paie_BrutMensuel,291)))),"")</f>
      </c>
      <c r="I318" s="24">
        <f>IF(AND($B$5="Tous les employés",IFERROR(INDEX(Pointage_ID,291),"")&lt;&gt;""),IF(291=0,"-",IF($H$5="1ère quinzaine",INDEX(Paie_Retenues1,291),IF($H$5="2ème quinzaine",INDEX(Paie_Retenues2,291),INDEX(Paie_Retenues,291)))),"")</f>
      </c>
      <c r="J318" s="25">
        <f>IF(AND($B$5="Tous les employés",IFERROR(INDEX(Pointage_ID,291),"")&lt;&gt;""),IF(291=0,"-",IF($H$5="1ère quinzaine",INDEX(Paie_Net1,291),IF($H$5="2ème quinzaine",INDEX(Paie_Net2,291),INDEX(Paie_NetMensuel,291)))),"")</f>
      </c>
    </row>
    <row r="319">
      <c r="A319" s="20">
        <f>IF(AND($B$5="Tous les employés",IFERROR(INDEX(Pointage_ID,292),"")&lt;&gt;""),IFERROR(INDEX(Pointage_ID,292),""),"")</f>
      </c>
      <c r="B319" s="19">
        <f>IF(AND($B$5="Tous les employés",IFERROR(INDEX(Pointage_ID,292),"")&lt;&gt;""),INDEX(Pointage_Nom,292),"")</f>
      </c>
      <c r="C319" s="20">
        <f>IF(AND($B$5="Tous les employés",IFERROR(INDEX(Pointage_ID,292),"")&lt;&gt;""),INDEX(Pointage_Categorie,292),"")</f>
      </c>
      <c r="D319" s="22">
        <f>IF(AND($B$5="Tous les employés",IFERROR(INDEX(Pointage_ID,292),"")&lt;&gt;""),IF(292=0,"-",IF($H$5="1ère quinzaine",INDEX(Paie_Jours1,292),IF($H$5="2ème quinzaine",INDEX(Paie_Jours2,292),INDEX(Pointage_Travailles,292)))),"")</f>
      </c>
      <c r="E319" s="23">
        <f>IF(AND($B$5="Tous les employés",IFERROR(INDEX(Pointage_ID,292),"")&lt;&gt;""),IF(292=0,"-",IF($H$5="1ère quinzaine",INDEX(Paie_HS1,292),IF($H$5="2ème quinzaine",INDEX(Paie_HS2,292),INDEX(Pointage_HS,292)))),"")</f>
      </c>
      <c r="F319" s="24">
        <f>IF(AND($B$5="Tous les employés",IFERROR(INDEX(Pointage_ID,292),"")&lt;&gt;""),INDEX(Paie_SalaireJour,292),"")</f>
      </c>
      <c r="G319" s="24">
        <f>IF(AND($B$5="Tous les employés",IFERROR(INDEX(Pointage_ID,292),"")&lt;&gt;""),IF(292=0,"-",IF($H$5="1ère quinzaine",INDEX(Paie_MontantHS1,292),IF($H$5="2ème quinzaine",INDEX(Paie_MontantHS2,292),INDEX(Paie_MontantHS,292)))),"")</f>
      </c>
      <c r="H319" s="24">
        <f>IF(AND($B$5="Tous les employés",IFERROR(INDEX(Pointage_ID,292),"")&lt;&gt;""),IF(292=0,"-",IF($H$5="1ère quinzaine",INDEX(Paie_Brut1,292),IF($H$5="2ème quinzaine",INDEX(Paie_Brut2,292),INDEX(Paie_BrutMensuel,292)))),"")</f>
      </c>
      <c r="I319" s="24">
        <f>IF(AND($B$5="Tous les employés",IFERROR(INDEX(Pointage_ID,292),"")&lt;&gt;""),IF(292=0,"-",IF($H$5="1ère quinzaine",INDEX(Paie_Retenues1,292),IF($H$5="2ème quinzaine",INDEX(Paie_Retenues2,292),INDEX(Paie_Retenues,292)))),"")</f>
      </c>
      <c r="J319" s="25">
        <f>IF(AND($B$5="Tous les employés",IFERROR(INDEX(Pointage_ID,292),"")&lt;&gt;""),IF(292=0,"-",IF($H$5="1ère quinzaine",INDEX(Paie_Net1,292),IF($H$5="2ème quinzaine",INDEX(Paie_Net2,292),INDEX(Paie_NetMensuel,292)))),"")</f>
      </c>
    </row>
    <row r="320">
      <c r="A320" s="20">
        <f>IF(AND($B$5="Tous les employés",IFERROR(INDEX(Pointage_ID,293),"")&lt;&gt;""),IFERROR(INDEX(Pointage_ID,293),""),"")</f>
      </c>
      <c r="B320" s="19">
        <f>IF(AND($B$5="Tous les employés",IFERROR(INDEX(Pointage_ID,293),"")&lt;&gt;""),INDEX(Pointage_Nom,293),"")</f>
      </c>
      <c r="C320" s="20">
        <f>IF(AND($B$5="Tous les employés",IFERROR(INDEX(Pointage_ID,293),"")&lt;&gt;""),INDEX(Pointage_Categorie,293),"")</f>
      </c>
      <c r="D320" s="22">
        <f>IF(AND($B$5="Tous les employés",IFERROR(INDEX(Pointage_ID,293),"")&lt;&gt;""),IF(293=0,"-",IF($H$5="1ère quinzaine",INDEX(Paie_Jours1,293),IF($H$5="2ème quinzaine",INDEX(Paie_Jours2,293),INDEX(Pointage_Travailles,293)))),"")</f>
      </c>
      <c r="E320" s="23">
        <f>IF(AND($B$5="Tous les employés",IFERROR(INDEX(Pointage_ID,293),"")&lt;&gt;""),IF(293=0,"-",IF($H$5="1ère quinzaine",INDEX(Paie_HS1,293),IF($H$5="2ème quinzaine",INDEX(Paie_HS2,293),INDEX(Pointage_HS,293)))),"")</f>
      </c>
      <c r="F320" s="24">
        <f>IF(AND($B$5="Tous les employés",IFERROR(INDEX(Pointage_ID,293),"")&lt;&gt;""),INDEX(Paie_SalaireJour,293),"")</f>
      </c>
      <c r="G320" s="24">
        <f>IF(AND($B$5="Tous les employés",IFERROR(INDEX(Pointage_ID,293),"")&lt;&gt;""),IF(293=0,"-",IF($H$5="1ère quinzaine",INDEX(Paie_MontantHS1,293),IF($H$5="2ème quinzaine",INDEX(Paie_MontantHS2,293),INDEX(Paie_MontantHS,293)))),"")</f>
      </c>
      <c r="H320" s="24">
        <f>IF(AND($B$5="Tous les employés",IFERROR(INDEX(Pointage_ID,293),"")&lt;&gt;""),IF(293=0,"-",IF($H$5="1ère quinzaine",INDEX(Paie_Brut1,293),IF($H$5="2ème quinzaine",INDEX(Paie_Brut2,293),INDEX(Paie_BrutMensuel,293)))),"")</f>
      </c>
      <c r="I320" s="24">
        <f>IF(AND($B$5="Tous les employés",IFERROR(INDEX(Pointage_ID,293),"")&lt;&gt;""),IF(293=0,"-",IF($H$5="1ère quinzaine",INDEX(Paie_Retenues1,293),IF($H$5="2ème quinzaine",INDEX(Paie_Retenues2,293),INDEX(Paie_Retenues,293)))),"")</f>
      </c>
      <c r="J320" s="25">
        <f>IF(AND($B$5="Tous les employés",IFERROR(INDEX(Pointage_ID,293),"")&lt;&gt;""),IF(293=0,"-",IF($H$5="1ère quinzaine",INDEX(Paie_Net1,293),IF($H$5="2ème quinzaine",INDEX(Paie_Net2,293),INDEX(Paie_NetMensuel,293)))),"")</f>
      </c>
    </row>
    <row r="321">
      <c r="A321" s="20">
        <f>IF(AND($B$5="Tous les employés",IFERROR(INDEX(Pointage_ID,294),"")&lt;&gt;""),IFERROR(INDEX(Pointage_ID,294),""),"")</f>
      </c>
      <c r="B321" s="19">
        <f>IF(AND($B$5="Tous les employés",IFERROR(INDEX(Pointage_ID,294),"")&lt;&gt;""),INDEX(Pointage_Nom,294),"")</f>
      </c>
      <c r="C321" s="20">
        <f>IF(AND($B$5="Tous les employés",IFERROR(INDEX(Pointage_ID,294),"")&lt;&gt;""),INDEX(Pointage_Categorie,294),"")</f>
      </c>
      <c r="D321" s="22">
        <f>IF(AND($B$5="Tous les employés",IFERROR(INDEX(Pointage_ID,294),"")&lt;&gt;""),IF(294=0,"-",IF($H$5="1ère quinzaine",INDEX(Paie_Jours1,294),IF($H$5="2ème quinzaine",INDEX(Paie_Jours2,294),INDEX(Pointage_Travailles,294)))),"")</f>
      </c>
      <c r="E321" s="23">
        <f>IF(AND($B$5="Tous les employés",IFERROR(INDEX(Pointage_ID,294),"")&lt;&gt;""),IF(294=0,"-",IF($H$5="1ère quinzaine",INDEX(Paie_HS1,294),IF($H$5="2ème quinzaine",INDEX(Paie_HS2,294),INDEX(Pointage_HS,294)))),"")</f>
      </c>
      <c r="F321" s="24">
        <f>IF(AND($B$5="Tous les employés",IFERROR(INDEX(Pointage_ID,294),"")&lt;&gt;""),INDEX(Paie_SalaireJour,294),"")</f>
      </c>
      <c r="G321" s="24">
        <f>IF(AND($B$5="Tous les employés",IFERROR(INDEX(Pointage_ID,294),"")&lt;&gt;""),IF(294=0,"-",IF($H$5="1ère quinzaine",INDEX(Paie_MontantHS1,294),IF($H$5="2ème quinzaine",INDEX(Paie_MontantHS2,294),INDEX(Paie_MontantHS,294)))),"")</f>
      </c>
      <c r="H321" s="24">
        <f>IF(AND($B$5="Tous les employés",IFERROR(INDEX(Pointage_ID,294),"")&lt;&gt;""),IF(294=0,"-",IF($H$5="1ère quinzaine",INDEX(Paie_Brut1,294),IF($H$5="2ème quinzaine",INDEX(Paie_Brut2,294),INDEX(Paie_BrutMensuel,294)))),"")</f>
      </c>
      <c r="I321" s="24">
        <f>IF(AND($B$5="Tous les employés",IFERROR(INDEX(Pointage_ID,294),"")&lt;&gt;""),IF(294=0,"-",IF($H$5="1ère quinzaine",INDEX(Paie_Retenues1,294),IF($H$5="2ème quinzaine",INDEX(Paie_Retenues2,294),INDEX(Paie_Retenues,294)))),"")</f>
      </c>
      <c r="J321" s="25">
        <f>IF(AND($B$5="Tous les employés",IFERROR(INDEX(Pointage_ID,294),"")&lt;&gt;""),IF(294=0,"-",IF($H$5="1ère quinzaine",INDEX(Paie_Net1,294),IF($H$5="2ème quinzaine",INDEX(Paie_Net2,294),INDEX(Paie_NetMensuel,294)))),"")</f>
      </c>
    </row>
    <row r="322">
      <c r="A322" s="20">
        <f>IF(AND($B$5="Tous les employés",IFERROR(INDEX(Pointage_ID,295),"")&lt;&gt;""),IFERROR(INDEX(Pointage_ID,295),""),"")</f>
      </c>
      <c r="B322" s="19">
        <f>IF(AND($B$5="Tous les employés",IFERROR(INDEX(Pointage_ID,295),"")&lt;&gt;""),INDEX(Pointage_Nom,295),"")</f>
      </c>
      <c r="C322" s="20">
        <f>IF(AND($B$5="Tous les employés",IFERROR(INDEX(Pointage_ID,295),"")&lt;&gt;""),INDEX(Pointage_Categorie,295),"")</f>
      </c>
      <c r="D322" s="22">
        <f>IF(AND($B$5="Tous les employés",IFERROR(INDEX(Pointage_ID,295),"")&lt;&gt;""),IF(295=0,"-",IF($H$5="1ère quinzaine",INDEX(Paie_Jours1,295),IF($H$5="2ème quinzaine",INDEX(Paie_Jours2,295),INDEX(Pointage_Travailles,295)))),"")</f>
      </c>
      <c r="E322" s="23">
        <f>IF(AND($B$5="Tous les employés",IFERROR(INDEX(Pointage_ID,295),"")&lt;&gt;""),IF(295=0,"-",IF($H$5="1ère quinzaine",INDEX(Paie_HS1,295),IF($H$5="2ème quinzaine",INDEX(Paie_HS2,295),INDEX(Pointage_HS,295)))),"")</f>
      </c>
      <c r="F322" s="24">
        <f>IF(AND($B$5="Tous les employés",IFERROR(INDEX(Pointage_ID,295),"")&lt;&gt;""),INDEX(Paie_SalaireJour,295),"")</f>
      </c>
      <c r="G322" s="24">
        <f>IF(AND($B$5="Tous les employés",IFERROR(INDEX(Pointage_ID,295),"")&lt;&gt;""),IF(295=0,"-",IF($H$5="1ère quinzaine",INDEX(Paie_MontantHS1,295),IF($H$5="2ème quinzaine",INDEX(Paie_MontantHS2,295),INDEX(Paie_MontantHS,295)))),"")</f>
      </c>
      <c r="H322" s="24">
        <f>IF(AND($B$5="Tous les employés",IFERROR(INDEX(Pointage_ID,295),"")&lt;&gt;""),IF(295=0,"-",IF($H$5="1ère quinzaine",INDEX(Paie_Brut1,295),IF($H$5="2ème quinzaine",INDEX(Paie_Brut2,295),INDEX(Paie_BrutMensuel,295)))),"")</f>
      </c>
      <c r="I322" s="24">
        <f>IF(AND($B$5="Tous les employés",IFERROR(INDEX(Pointage_ID,295),"")&lt;&gt;""),IF(295=0,"-",IF($H$5="1ère quinzaine",INDEX(Paie_Retenues1,295),IF($H$5="2ème quinzaine",INDEX(Paie_Retenues2,295),INDEX(Paie_Retenues,295)))),"")</f>
      </c>
      <c r="J322" s="25">
        <f>IF(AND($B$5="Tous les employés",IFERROR(INDEX(Pointage_ID,295),"")&lt;&gt;""),IF(295=0,"-",IF($H$5="1ère quinzaine",INDEX(Paie_Net1,295),IF($H$5="2ème quinzaine",INDEX(Paie_Net2,295),INDEX(Paie_NetMensuel,295)))),"")</f>
      </c>
    </row>
    <row r="323">
      <c r="A323" s="20">
        <f>IF(AND($B$5="Tous les employés",IFERROR(INDEX(Pointage_ID,296),"")&lt;&gt;""),IFERROR(INDEX(Pointage_ID,296),""),"")</f>
      </c>
      <c r="B323" s="19">
        <f>IF(AND($B$5="Tous les employés",IFERROR(INDEX(Pointage_ID,296),"")&lt;&gt;""),INDEX(Pointage_Nom,296),"")</f>
      </c>
      <c r="C323" s="20">
        <f>IF(AND($B$5="Tous les employés",IFERROR(INDEX(Pointage_ID,296),"")&lt;&gt;""),INDEX(Pointage_Categorie,296),"")</f>
      </c>
      <c r="D323" s="22">
        <f>IF(AND($B$5="Tous les employés",IFERROR(INDEX(Pointage_ID,296),"")&lt;&gt;""),IF(296=0,"-",IF($H$5="1ère quinzaine",INDEX(Paie_Jours1,296),IF($H$5="2ème quinzaine",INDEX(Paie_Jours2,296),INDEX(Pointage_Travailles,296)))),"")</f>
      </c>
      <c r="E323" s="23">
        <f>IF(AND($B$5="Tous les employés",IFERROR(INDEX(Pointage_ID,296),"")&lt;&gt;""),IF(296=0,"-",IF($H$5="1ère quinzaine",INDEX(Paie_HS1,296),IF($H$5="2ème quinzaine",INDEX(Paie_HS2,296),INDEX(Pointage_HS,296)))),"")</f>
      </c>
      <c r="F323" s="24">
        <f>IF(AND($B$5="Tous les employés",IFERROR(INDEX(Pointage_ID,296),"")&lt;&gt;""),INDEX(Paie_SalaireJour,296),"")</f>
      </c>
      <c r="G323" s="24">
        <f>IF(AND($B$5="Tous les employés",IFERROR(INDEX(Pointage_ID,296),"")&lt;&gt;""),IF(296=0,"-",IF($H$5="1ère quinzaine",INDEX(Paie_MontantHS1,296),IF($H$5="2ème quinzaine",INDEX(Paie_MontantHS2,296),INDEX(Paie_MontantHS,296)))),"")</f>
      </c>
      <c r="H323" s="24">
        <f>IF(AND($B$5="Tous les employés",IFERROR(INDEX(Pointage_ID,296),"")&lt;&gt;""),IF(296=0,"-",IF($H$5="1ère quinzaine",INDEX(Paie_Brut1,296),IF($H$5="2ème quinzaine",INDEX(Paie_Brut2,296),INDEX(Paie_BrutMensuel,296)))),"")</f>
      </c>
      <c r="I323" s="24">
        <f>IF(AND($B$5="Tous les employés",IFERROR(INDEX(Pointage_ID,296),"")&lt;&gt;""),IF(296=0,"-",IF($H$5="1ère quinzaine",INDEX(Paie_Retenues1,296),IF($H$5="2ème quinzaine",INDEX(Paie_Retenues2,296),INDEX(Paie_Retenues,296)))),"")</f>
      </c>
      <c r="J323" s="25">
        <f>IF(AND($B$5="Tous les employés",IFERROR(INDEX(Pointage_ID,296),"")&lt;&gt;""),IF(296=0,"-",IF($H$5="1ère quinzaine",INDEX(Paie_Net1,296),IF($H$5="2ème quinzaine",INDEX(Paie_Net2,296),INDEX(Paie_NetMensuel,296)))),"")</f>
      </c>
    </row>
    <row r="324">
      <c r="A324" s="20">
        <f>IF(AND($B$5="Tous les employés",IFERROR(INDEX(Pointage_ID,297),"")&lt;&gt;""),IFERROR(INDEX(Pointage_ID,297),""),"")</f>
      </c>
      <c r="B324" s="19">
        <f>IF(AND($B$5="Tous les employés",IFERROR(INDEX(Pointage_ID,297),"")&lt;&gt;""),INDEX(Pointage_Nom,297),"")</f>
      </c>
      <c r="C324" s="20">
        <f>IF(AND($B$5="Tous les employés",IFERROR(INDEX(Pointage_ID,297),"")&lt;&gt;""),INDEX(Pointage_Categorie,297),"")</f>
      </c>
      <c r="D324" s="22">
        <f>IF(AND($B$5="Tous les employés",IFERROR(INDEX(Pointage_ID,297),"")&lt;&gt;""),IF(297=0,"-",IF($H$5="1ère quinzaine",INDEX(Paie_Jours1,297),IF($H$5="2ème quinzaine",INDEX(Paie_Jours2,297),INDEX(Pointage_Travailles,297)))),"")</f>
      </c>
      <c r="E324" s="23">
        <f>IF(AND($B$5="Tous les employés",IFERROR(INDEX(Pointage_ID,297),"")&lt;&gt;""),IF(297=0,"-",IF($H$5="1ère quinzaine",INDEX(Paie_HS1,297),IF($H$5="2ème quinzaine",INDEX(Paie_HS2,297),INDEX(Pointage_HS,297)))),"")</f>
      </c>
      <c r="F324" s="24">
        <f>IF(AND($B$5="Tous les employés",IFERROR(INDEX(Pointage_ID,297),"")&lt;&gt;""),INDEX(Paie_SalaireJour,297),"")</f>
      </c>
      <c r="G324" s="24">
        <f>IF(AND($B$5="Tous les employés",IFERROR(INDEX(Pointage_ID,297),"")&lt;&gt;""),IF(297=0,"-",IF($H$5="1ère quinzaine",INDEX(Paie_MontantHS1,297),IF($H$5="2ème quinzaine",INDEX(Paie_MontantHS2,297),INDEX(Paie_MontantHS,297)))),"")</f>
      </c>
      <c r="H324" s="24">
        <f>IF(AND($B$5="Tous les employés",IFERROR(INDEX(Pointage_ID,297),"")&lt;&gt;""),IF(297=0,"-",IF($H$5="1ère quinzaine",INDEX(Paie_Brut1,297),IF($H$5="2ème quinzaine",INDEX(Paie_Brut2,297),INDEX(Paie_BrutMensuel,297)))),"")</f>
      </c>
      <c r="I324" s="24">
        <f>IF(AND($B$5="Tous les employés",IFERROR(INDEX(Pointage_ID,297),"")&lt;&gt;""),IF(297=0,"-",IF($H$5="1ère quinzaine",INDEX(Paie_Retenues1,297),IF($H$5="2ème quinzaine",INDEX(Paie_Retenues2,297),INDEX(Paie_Retenues,297)))),"")</f>
      </c>
      <c r="J324" s="25">
        <f>IF(AND($B$5="Tous les employés",IFERROR(INDEX(Pointage_ID,297),"")&lt;&gt;""),IF(297=0,"-",IF($H$5="1ère quinzaine",INDEX(Paie_Net1,297),IF($H$5="2ème quinzaine",INDEX(Paie_Net2,297),INDEX(Paie_NetMensuel,297)))),"")</f>
      </c>
    </row>
    <row r="325">
      <c r="A325" s="20">
        <f>IF(AND($B$5="Tous les employés",IFERROR(INDEX(Pointage_ID,298),"")&lt;&gt;""),IFERROR(INDEX(Pointage_ID,298),""),"")</f>
      </c>
      <c r="B325" s="19">
        <f>IF(AND($B$5="Tous les employés",IFERROR(INDEX(Pointage_ID,298),"")&lt;&gt;""),INDEX(Pointage_Nom,298),"")</f>
      </c>
      <c r="C325" s="20">
        <f>IF(AND($B$5="Tous les employés",IFERROR(INDEX(Pointage_ID,298),"")&lt;&gt;""),INDEX(Pointage_Categorie,298),"")</f>
      </c>
      <c r="D325" s="22">
        <f>IF(AND($B$5="Tous les employés",IFERROR(INDEX(Pointage_ID,298),"")&lt;&gt;""),IF(298=0,"-",IF($H$5="1ère quinzaine",INDEX(Paie_Jours1,298),IF($H$5="2ème quinzaine",INDEX(Paie_Jours2,298),INDEX(Pointage_Travailles,298)))),"")</f>
      </c>
      <c r="E325" s="23">
        <f>IF(AND($B$5="Tous les employés",IFERROR(INDEX(Pointage_ID,298),"")&lt;&gt;""),IF(298=0,"-",IF($H$5="1ère quinzaine",INDEX(Paie_HS1,298),IF($H$5="2ème quinzaine",INDEX(Paie_HS2,298),INDEX(Pointage_HS,298)))),"")</f>
      </c>
      <c r="F325" s="24">
        <f>IF(AND($B$5="Tous les employés",IFERROR(INDEX(Pointage_ID,298),"")&lt;&gt;""),INDEX(Paie_SalaireJour,298),"")</f>
      </c>
      <c r="G325" s="24">
        <f>IF(AND($B$5="Tous les employés",IFERROR(INDEX(Pointage_ID,298),"")&lt;&gt;""),IF(298=0,"-",IF($H$5="1ère quinzaine",INDEX(Paie_MontantHS1,298),IF($H$5="2ème quinzaine",INDEX(Paie_MontantHS2,298),INDEX(Paie_MontantHS,298)))),"")</f>
      </c>
      <c r="H325" s="24">
        <f>IF(AND($B$5="Tous les employés",IFERROR(INDEX(Pointage_ID,298),"")&lt;&gt;""),IF(298=0,"-",IF($H$5="1ère quinzaine",INDEX(Paie_Brut1,298),IF($H$5="2ème quinzaine",INDEX(Paie_Brut2,298),INDEX(Paie_BrutMensuel,298)))),"")</f>
      </c>
      <c r="I325" s="24">
        <f>IF(AND($B$5="Tous les employés",IFERROR(INDEX(Pointage_ID,298),"")&lt;&gt;""),IF(298=0,"-",IF($H$5="1ère quinzaine",INDEX(Paie_Retenues1,298),IF($H$5="2ème quinzaine",INDEX(Paie_Retenues2,298),INDEX(Paie_Retenues,298)))),"")</f>
      </c>
      <c r="J325" s="25">
        <f>IF(AND($B$5="Tous les employés",IFERROR(INDEX(Pointage_ID,298),"")&lt;&gt;""),IF(298=0,"-",IF($H$5="1ère quinzaine",INDEX(Paie_Net1,298),IF($H$5="2ème quinzaine",INDEX(Paie_Net2,298),INDEX(Paie_NetMensuel,298)))),"")</f>
      </c>
    </row>
    <row r="326">
      <c r="A326" s="20">
        <f>IF(AND($B$5="Tous les employés",IFERROR(INDEX(Pointage_ID,299),"")&lt;&gt;""),IFERROR(INDEX(Pointage_ID,299),""),"")</f>
      </c>
      <c r="B326" s="19">
        <f>IF(AND($B$5="Tous les employés",IFERROR(INDEX(Pointage_ID,299),"")&lt;&gt;""),INDEX(Pointage_Nom,299),"")</f>
      </c>
      <c r="C326" s="20">
        <f>IF(AND($B$5="Tous les employés",IFERROR(INDEX(Pointage_ID,299),"")&lt;&gt;""),INDEX(Pointage_Categorie,299),"")</f>
      </c>
      <c r="D326" s="22">
        <f>IF(AND($B$5="Tous les employés",IFERROR(INDEX(Pointage_ID,299),"")&lt;&gt;""),IF(299=0,"-",IF($H$5="1ère quinzaine",INDEX(Paie_Jours1,299),IF($H$5="2ème quinzaine",INDEX(Paie_Jours2,299),INDEX(Pointage_Travailles,299)))),"")</f>
      </c>
      <c r="E326" s="23">
        <f>IF(AND($B$5="Tous les employés",IFERROR(INDEX(Pointage_ID,299),"")&lt;&gt;""),IF(299=0,"-",IF($H$5="1ère quinzaine",INDEX(Paie_HS1,299),IF($H$5="2ème quinzaine",INDEX(Paie_HS2,299),INDEX(Pointage_HS,299)))),"")</f>
      </c>
      <c r="F326" s="24">
        <f>IF(AND($B$5="Tous les employés",IFERROR(INDEX(Pointage_ID,299),"")&lt;&gt;""),INDEX(Paie_SalaireJour,299),"")</f>
      </c>
      <c r="G326" s="24">
        <f>IF(AND($B$5="Tous les employés",IFERROR(INDEX(Pointage_ID,299),"")&lt;&gt;""),IF(299=0,"-",IF($H$5="1ère quinzaine",INDEX(Paie_MontantHS1,299),IF($H$5="2ème quinzaine",INDEX(Paie_MontantHS2,299),INDEX(Paie_MontantHS,299)))),"")</f>
      </c>
      <c r="H326" s="24">
        <f>IF(AND($B$5="Tous les employés",IFERROR(INDEX(Pointage_ID,299),"")&lt;&gt;""),IF(299=0,"-",IF($H$5="1ère quinzaine",INDEX(Paie_Brut1,299),IF($H$5="2ème quinzaine",INDEX(Paie_Brut2,299),INDEX(Paie_BrutMensuel,299)))),"")</f>
      </c>
      <c r="I326" s="24">
        <f>IF(AND($B$5="Tous les employés",IFERROR(INDEX(Pointage_ID,299),"")&lt;&gt;""),IF(299=0,"-",IF($H$5="1ère quinzaine",INDEX(Paie_Retenues1,299),IF($H$5="2ème quinzaine",INDEX(Paie_Retenues2,299),INDEX(Paie_Retenues,299)))),"")</f>
      </c>
      <c r="J326" s="25">
        <f>IF(AND($B$5="Tous les employés",IFERROR(INDEX(Pointage_ID,299),"")&lt;&gt;""),IF(299=0,"-",IF($H$5="1ère quinzaine",INDEX(Paie_Net1,299),IF($H$5="2ème quinzaine",INDEX(Paie_Net2,299),INDEX(Paie_NetMensuel,299)))),"")</f>
      </c>
    </row>
    <row r="327">
      <c r="A327" s="20">
        <f>IF(AND($B$5="Tous les employés",IFERROR(INDEX(Pointage_ID,300),"")&lt;&gt;""),IFERROR(INDEX(Pointage_ID,300),""),"")</f>
      </c>
      <c r="B327" s="19">
        <f>IF(AND($B$5="Tous les employés",IFERROR(INDEX(Pointage_ID,300),"")&lt;&gt;""),INDEX(Pointage_Nom,300),"")</f>
      </c>
      <c r="C327" s="20">
        <f>IF(AND($B$5="Tous les employés",IFERROR(INDEX(Pointage_ID,300),"")&lt;&gt;""),INDEX(Pointage_Categorie,300),"")</f>
      </c>
      <c r="D327" s="22">
        <f>IF(AND($B$5="Tous les employés",IFERROR(INDEX(Pointage_ID,300),"")&lt;&gt;""),IF(300=0,"-",IF($H$5="1ère quinzaine",INDEX(Paie_Jours1,300),IF($H$5="2ème quinzaine",INDEX(Paie_Jours2,300),INDEX(Pointage_Travailles,300)))),"")</f>
      </c>
      <c r="E327" s="23">
        <f>IF(AND($B$5="Tous les employés",IFERROR(INDEX(Pointage_ID,300),"")&lt;&gt;""),IF(300=0,"-",IF($H$5="1ère quinzaine",INDEX(Paie_HS1,300),IF($H$5="2ème quinzaine",INDEX(Paie_HS2,300),INDEX(Pointage_HS,300)))),"")</f>
      </c>
      <c r="F327" s="24">
        <f>IF(AND($B$5="Tous les employés",IFERROR(INDEX(Pointage_ID,300),"")&lt;&gt;""),INDEX(Paie_SalaireJour,300),"")</f>
      </c>
      <c r="G327" s="24">
        <f>IF(AND($B$5="Tous les employés",IFERROR(INDEX(Pointage_ID,300),"")&lt;&gt;""),IF(300=0,"-",IF($H$5="1ère quinzaine",INDEX(Paie_MontantHS1,300),IF($H$5="2ème quinzaine",INDEX(Paie_MontantHS2,300),INDEX(Paie_MontantHS,300)))),"")</f>
      </c>
      <c r="H327" s="24">
        <f>IF(AND($B$5="Tous les employés",IFERROR(INDEX(Pointage_ID,300),"")&lt;&gt;""),IF(300=0,"-",IF($H$5="1ère quinzaine",INDEX(Paie_Brut1,300),IF($H$5="2ème quinzaine",INDEX(Paie_Brut2,300),INDEX(Paie_BrutMensuel,300)))),"")</f>
      </c>
      <c r="I327" s="24">
        <f>IF(AND($B$5="Tous les employés",IFERROR(INDEX(Pointage_ID,300),"")&lt;&gt;""),IF(300=0,"-",IF($H$5="1ère quinzaine",INDEX(Paie_Retenues1,300),IF($H$5="2ème quinzaine",INDEX(Paie_Retenues2,300),INDEX(Paie_Retenues,300)))),"")</f>
      </c>
      <c r="J327" s="25">
        <f>IF(AND($B$5="Tous les employés",IFERROR(INDEX(Pointage_ID,300),"")&lt;&gt;""),IF(300=0,"-",IF($H$5="1ère quinzaine",INDEX(Paie_Net1,300),IF($H$5="2ème quinzaine",INDEX(Paie_Net2,300),INDEX(Paie_NetMensuel,300)))),"")</f>
      </c>
    </row>
  </sheetData>
  <sheetProtection sheet="1" objects="1" scenarios="1" formatCells="0" formatColumns="0" formatRows="0" selectLockedCells="1" selectUnlockedCells="0"/>
  <mergeCells count="23">
    <mergeCell ref="A2:H2"/>
    <mergeCell ref="A3:H3"/>
    <mergeCell ref="I2:J3"/>
    <mergeCell ref="B5:C5"/>
    <mergeCell ref="E5:F5"/>
    <mergeCell ref="H5:J5"/>
    <mergeCell ref="A6:J6"/>
    <mergeCell ref="A8:J8"/>
    <mergeCell ref="B9:E9"/>
    <mergeCell ref="G9:J9"/>
    <mergeCell ref="B10:E10"/>
    <mergeCell ref="G10:J10"/>
    <mergeCell ref="B11:E11"/>
    <mergeCell ref="G11:J11"/>
    <mergeCell ref="B12:E12"/>
    <mergeCell ref="G12:J12"/>
    <mergeCell ref="B13:E13"/>
    <mergeCell ref="G13:J13"/>
    <mergeCell ref="A15:D15"/>
    <mergeCell ref="E15:J15"/>
    <mergeCell ref="A20:D20"/>
    <mergeCell ref="G20:J20"/>
    <mergeCell ref="A23:J23"/>
  </mergeCells>
  <conditionalFormatting sqref="A28:J327">
    <cfRule type="expression" dxfId="10" priority="8">
      <formula>MOD(ROW(),2)=0</formula>
    </cfRule>
  </conditionalFormatting>
  <dataValidations count="3">
    <dataValidation type="list" allowBlank="0" showInputMessage="1" showErrorMessage="1" sqref="B5">
      <formula1>"Un employé,Tous les employés"</formula1>
    </dataValidation>
    <dataValidation type="list" allowBlank="1" showInputMessage="1" showErrorMessage="1" sqref="E5">
      <formula1>Pointage_ID</formula1>
    </dataValidation>
    <dataValidation type="list" allowBlank="0" showInputMessage="1" showErrorMessage="1" sqref="H5">
      <formula1>"1ère quinzaine,2ème quinzaine,Mois complet"</formula1>
    </dataValidation>
  </dataValidations>
  <hyperlinks>
    <hyperlink ref="A1" location="'PARAMÈTRES'!A1" display="⚙ PARAMÈTRES"/>
    <hyperlink ref="B1" location="'EMPLOYÉS'!A1" display="👥 EMPLOYÉS"/>
    <hyperlink ref="C1" location="'POINTAGE'!A1" display="✓ POINTAGE"/>
    <hyperlink ref="D1" location="'TABLEAU DE BORD'!A1" display="▦ TABLEAU DE BORD"/>
    <hyperlink ref="E1" location="'RECHERCHE'!A1" display="⌕ RECHERCHE"/>
    <hyperlink ref="F1" location="'PAIE (15 Jours)'!A1" display="MAD PAIE"/>
    <hyperlink ref="G1" location="'IMPRESSION'!A1" display="▤ IMPRESSION"/>
  </hyperlinks>
  <printOptions horizontalCentered="1"/>
  <pageMargins left="0.4" right="0.4" top="0.5" bottom="0.5" header="0.2" footer="0.2"/>
  <pageSetup paperSize="9" orientation="landscape" fitToWidth="1" fitToHeight="0"/>
</worksheet>
</file>

<file path=docProps/app.xml><?xml version="1.0" encoding="utf-8"?>
<Properties xmlns="http://schemas.openxmlformats.org/officeDocument/2006/extended-properties">
  <Application>Kiro xlsxgen</Application>
  <Company/>
</Properties>
</file>

<file path=docProps/core.xml><?xml version="1.0" encoding="utf-8"?>
<cp:coreProperties xmlns:cp="http://schemas.openxmlformats.org/package/2006/metadata/core-properties" xmlns:dc="http://purl.org/dc/elements/1.1/" xmlns:dcterms="http://purl.org/dc/terms/" xmlns:xsi="http://www.w3.org/2001/XMLSchema-instance">
  <dc:title>Gestion de la paie et du pointage</dc:title>
  <dc:creator>Kiro</dc:creator>
  <dcterms:created xsi:type="dcterms:W3CDTF">2026-07-20T11:01:02Z</dcterms:created>
  <dcterms:modified xsi:type="dcterms:W3CDTF">2026-07-20T11:01:02Z</dcterms:modified>
</cp:coreProperties>
</file>