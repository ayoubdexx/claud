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000"/>
  <workbookPr defaultThemeVersion="166925"/>
  <bookViews>
    <workbookView activeTab="3"/>
  </bookViews>
  <sheets>
    <sheet name="Config" sheetId="1" state="hidden" r:id="rId1"/>
    <sheet name="Workers List" sheetId="2" r:id="rId2"/>
    <sheet name="Laborers List" sheetId="3" r:id="rId3"/>
    <sheet name="Daily Attendance" sheetId="4" r:id="rId4"/>
    <sheet name="Payroll" sheetId="5" r:id="rId5"/>
    <sheet name="Search" sheetId="6" r:id="rId6"/>
    <sheet name="Payslip" sheetId="7" r:id="rId7"/>
    <sheet name="Dashboard" sheetId="8" r:id="rId8"/>
    <sheet name="Monthly Report" sheetId="9" r:id="rId9"/>
  </sheets>
  <definedNames>
    <definedName name="CompanyName">Config!$B$3</definedName>
    <definedName name="PayrollMonth">Config!$B$4</definedName>
    <definedName name="Worker_DailyWage">Config!$B$5</definedName>
    <definedName name="Worker_OTRate">Config!$B$6</definedName>
    <definedName name="Laborer_DailyWage">Config!$B$7</definedName>
    <definedName name="Laborer_OTRate">Config!$B$8</definedName>
    <definedName name="Workers_ID">'Workers List'!$A$4:$A$83</definedName>
    <definedName name="Workers_Name">'Workers List'!$B$4:$B$83</definedName>
    <definedName name="Workers_Data">'Workers List'!$A$4:$H$83</definedName>
    <definedName name="Laborers_ID">'Laborers List'!$A$4:$A$83</definedName>
    <definedName name="Laborers_Name">'Laborers List'!$B$4:$B$83</definedName>
    <definedName name="Laborers_Data">'Laborers List'!$A$4:$H$83</definedName>
    <definedName name="Att_ID">'Daily Attendance'!$A$5:$A$164</definedName>
    <definedName name="Att_Name">'Daily Attendance'!$B$5:$B$164</definedName>
    <definedName name="Att_Type">'Daily Attendance'!$C$5:$C$164</definedName>
    <definedName name="Att_Worked">'Daily Attendance'!$BN$5:$BN$164</definedName>
    <definedName name="Att_OT">'Daily Attendance'!$BO$5:$BO$164</definedName>
    <definedName name="Att_Reg">'Daily Attendance'!$BP$5:$BP$164</definedName>
    <definedName name="Att_OTSal">'Daily Attendance'!$BQ$5:$BQ$164</definedName>
    <definedName name="Att_Total">'Daily Attendance'!$BR$5:$BR$164</definedName>
    <definedName name="Pay_ID">'Payroll'!$A$5:$A$164</definedName>
    <definedName name="Pay_FH">'Payroll'!$H$5:$H$164</definedName>
    <definedName name="Pay_SH">'Payroll'!$M$5:$M$164</definedName>
    <definedName name="SelID">Search!$J$1</definedName>
    <definedName name="SelRow">Search!$J$2</definedName>
    <definedName name="PS_ID">Payslip!$J$1</definedName>
    <definedName name="PS_Row">Payslip!$J$2</definedName>
    <definedName name="_xlnm.Print_Area" localSheetId="1">'Workers List'!$A$1:$H$83</definedName>
    <definedName name="_xlnm.Print_Area" localSheetId="2">'Laborers List'!$A$1:$H$83</definedName>
    <definedName name="_xlnm.Print_Area" localSheetId="3">'Daily Attendance'!$A$1:$BR$164</definedName>
    <definedName name="_xlnm.Print_Area" localSheetId="4">'Payroll'!$A$1:$N$164</definedName>
    <definedName name="_xlnm.Print_Area" localSheetId="5">'Search'!$B$1:$G$15</definedName>
    <definedName name="_xlnm.Print_Area" localSheetId="6">'Payslip'!$A$1:$G$24</definedName>
    <definedName name="_xlnm.Print_Area" localSheetId="7">'Dashboard'!$B$1:$I$30</definedName>
    <definedName name="_xlnm.Print_Area" localSheetId="8">'Monthly Report'!$A$1:$K$164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#,##0.00&quot; MAD&quot;"/>
  </numFmts>
  <fonts count="26">
    <font>
      <sz val="11"/>
      <color rgb="FF000000"/>
      <name val="Calibri"/>
    </font>
    <font>
      <b/>
      <sz val="20"/>
      <color rgb="FFFFFFFF"/>
      <name val="Calibri"/>
    </font>
    <font>
      <b/>
      <sz val="20"/>
      <color rgb="FFFFFFFF"/>
      <name val="Calibri"/>
    </font>
    <font>
      <i/>
      <sz val="10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8"/>
      <color rgb="FF1F3864"/>
      <name val="Calibri"/>
    </font>
    <font>
      <sz val="10"/>
      <color rgb="FF000000"/>
      <name val="Calibri"/>
    </font>
    <font>
      <sz val="10"/>
      <color rgb="FF808080"/>
      <name val="Calibri"/>
    </font>
    <font>
      <b/>
      <sz val="11"/>
      <color rgb="FF1F3864"/>
      <name val="Calibri"/>
    </font>
    <font>
      <sz val="9"/>
      <color rgb="FF000000"/>
      <name val="Calibri"/>
    </font>
    <font>
      <sz val="9"/>
      <color rgb="FF808080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b/>
      <sz val="10"/>
      <color rgb="FF1F3864"/>
      <name val="Calibri"/>
    </font>
    <font>
      <sz val="11"/>
      <color rgb="FF000000"/>
      <name val="Calibri"/>
    </font>
    <font>
      <b/>
      <sz val="11"/>
      <color rgb="FF1F3864"/>
      <name val="Calibri"/>
    </font>
    <font>
      <b/>
      <sz val="18"/>
      <color rgb="FF1F3864"/>
      <name val="Calibri"/>
    </font>
    <font>
      <sz val="8"/>
      <color rgb="FFFFFFFF"/>
      <name val="Calibri"/>
    </font>
    <font>
      <b/>
      <sz val="22"/>
      <color rgb="FF1F3864"/>
      <name val="Calibri"/>
    </font>
    <font>
      <i/>
      <sz val="12"/>
      <color rgb="FF808080"/>
      <name val="Calibri"/>
    </font>
    <font>
      <b/>
      <sz val="11"/>
      <color rgb="FF000000"/>
      <name val="Calibri"/>
    </font>
    <font>
      <b/>
      <sz val="20"/>
      <color rgb="FF1F3864"/>
      <name val="Calibri"/>
    </font>
    <font>
      <b/>
      <sz val="16"/>
      <color rgb="FF1F3864"/>
      <name val="Calibri"/>
    </font>
    <font>
      <sz val="11"/>
      <color rgb="FF80808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E7E"/>
        <bgColor rgb="FF2E4E7E"/>
      </patternFill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F2F2F2"/>
        <bgColor rgb="FFF2F2F2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  <fill>
      <patternFill patternType="solid">
        <fgColor rgb="FFEAF1FA"/>
        <bgColor rgb="FFEAF1FA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2A9D8F"/>
        <bgColor rgb="FF2A9D8F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</fills>
  <borders count="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0" fillId="8" borderId="3" xfId="0" applyFill="1" applyBorder="1" applyAlignment="1" applyProtection="1">
      <alignment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164" fontId="0" fillId="8" borderId="3" xfId="0" applyNumberFormat="1" applyFill="1" applyBorder="1" applyAlignment="1" applyProtection="1">
      <alignment horizontal="center" vertical="center"/>
      <protection locked="0"/>
    </xf>
    <xf numFmtId="49" fontId="0" fillId="8" borderId="3" xfId="0" applyNumberForma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165" fontId="9" fillId="9" borderId="3" xfId="0" applyNumberFormat="1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165" fontId="0" fillId="10" borderId="3" xfId="0" applyNumberFormat="1" applyFill="1" applyBorder="1" applyAlignment="1">
      <alignment horizontal="center" vertical="center"/>
    </xf>
    <xf numFmtId="166" fontId="0" fillId="10" borderId="3" xfId="0" applyNumberFormat="1" applyFill="1" applyBorder="1" applyAlignment="1">
      <alignment horizontal="right" vertical="center"/>
    </xf>
    <xf numFmtId="166" fontId="10" fillId="11" borderId="3" xfId="0" applyNumberFormat="1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0" fillId="8" borderId="3" xfId="0" applyNumberFormat="1" applyFill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15" fillId="6" borderId="3" xfId="0" applyFont="1" applyFill="1" applyBorder="1" applyAlignment="1">
      <alignment horizontal="right" vertical="center"/>
    </xf>
    <xf numFmtId="0" fontId="16" fillId="12" borderId="3" xfId="0" applyFont="1" applyFill="1" applyBorder="1" applyAlignment="1">
      <alignment horizontal="left" vertical="center"/>
    </xf>
    <xf numFmtId="0" fontId="17" fillId="12" borderId="3" xfId="0" applyFont="1" applyFill="1" applyBorder="1" applyAlignment="1">
      <alignment horizontal="center" vertical="center"/>
    </xf>
    <xf numFmtId="166" fontId="16" fillId="10" borderId="3" xfId="0" applyNumberFormat="1" applyFont="1" applyFill="1" applyBorder="1" applyAlignment="1">
      <alignment horizontal="right" vertical="center"/>
    </xf>
    <xf numFmtId="0" fontId="14" fillId="7" borderId="2" xfId="0" applyFont="1" applyFill="1" applyBorder="1" applyAlignment="1">
      <alignment horizontal="center" vertical="center"/>
    </xf>
    <xf numFmtId="166" fontId="18" fillId="8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0" fontId="15" fillId="6" borderId="3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166" fontId="22" fillId="10" borderId="3" xfId="0" applyNumberFormat="1" applyFont="1" applyFill="1" applyBorder="1" applyAlignment="1">
      <alignment horizontal="right" vertical="center"/>
    </xf>
    <xf numFmtId="0" fontId="12" fillId="0" borderId="5" xfId="0" applyFont="1" applyBorder="1" applyAlignment="1">
      <alignment horizontal="center" vertical="top"/>
    </xf>
    <xf numFmtId="3" fontId="23" fillId="6" borderId="3" xfId="0" applyNumberFormat="1" applyFont="1" applyFill="1" applyBorder="1" applyAlignment="1">
      <alignment horizontal="center" vertical="center"/>
    </xf>
    <xf numFmtId="166" fontId="24" fillId="6" borderId="3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166" fontId="0" fillId="0" borderId="3" xfId="0" applyNumberFormat="1" applyBorder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5" fillId="7" borderId="2" xfId="0" applyFont="1" applyFill="1" applyBorder="1" applyAlignment="1">
      <alignment horizontal="right" vertical="center"/>
    </xf>
    <xf numFmtId="3" fontId="10" fillId="8" borderId="3" xfId="0" applyNumberFormat="1" applyFont="1" applyFill="1" applyBorder="1" applyAlignment="1">
      <alignment horizontal="center" vertical="center"/>
    </xf>
    <xf numFmtId="166" fontId="10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5">
    <dxf>
      <fill>
        <patternFill>
          <bgColor rgb="FFDDEBF7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8CBA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rPr lang="en-US" b="1" sz="1200"/>
              <a:t>Workforce Split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Dashboard!$B$11</c:f>
            </c:strRef>
          </c:tx>
          <c:dPt>
            <c:idx val="0"/>
            <c:bubble3D val="0"/>
            <c:spPr>
              <a:solidFill>
                <a:srgbClr val="1F3864"/>
              </a:solidFill>
            </c:spPr>
          </c:dPt>
          <c:dPt>
            <c:idx val="1"/>
            <c:bubble3D val="0"/>
            <c:spPr>
              <a:solidFill>
                <a:srgbClr val="2E75B6"/>
              </a:solidFill>
            </c:spPr>
          </c:dPt>
          <c:cat>
            <c:strRef>
              <c:f>Dashboard!$B$12:$B$13</c:f>
            </c:strRef>
          </c:cat>
          <c:val>
            <c:numRef>
              <c:f>Dashboard!$C$12:$C$13</c:f>
            </c:numRef>
          </c:val>
        </c:ser>
        <c:firstSliceAng val="0"/>
      </c:pieChart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rPr lang="en-US" b="1" sz="1200"/>
              <a:t>Payroll Composition (MAD)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Dashboard!$E$11</c:f>
            </c:strRef>
          </c:tx>
          <c:spPr>
            <a:solidFill>
              <a:srgbClr val="1F3864"/>
            </a:solidFill>
          </c:spPr>
          <c:cat>
            <c:strRef>
              <c:f>Dashboard!$E$12:$E$13</c:f>
            </c:strRef>
          </c:cat>
          <c:val>
            <c:numRef>
              <c:f>Dashboard!$F$12:$F$13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6" customWidth="1"/>
    <col min="2" max="2" width="26" customWidth="1"/>
  </cols>
  <sheetData>
    <row r="1">
      <c r="A1" s="4" t="inlineStr">
        <is>
          <t xml:space="preserve">CONFIGURATION (rates &amp; company)</t>
        </is>
      </c>
    </row>
    <row r="3">
      <c r="A3" s="28" t="inlineStr">
        <is>
          <t xml:space="preserve">Company Name</t>
        </is>
      </c>
      <c r="B3" s="12" t="inlineStr">
        <is>
          <t xml:space="preserve">Societe Exemple SARL</t>
        </is>
      </c>
    </row>
    <row r="4">
      <c r="A4" s="28" t="inlineStr">
        <is>
          <t xml:space="preserve">Payroll Month</t>
        </is>
      </c>
      <c r="B4" s="12" t="inlineStr">
        <is>
          <t xml:space="preserve">Janvier 2026</t>
        </is>
      </c>
    </row>
    <row r="5">
      <c r="A5" s="28" t="inlineStr">
        <is>
          <t xml:space="preserve">Worker Daily Wage</t>
        </is>
      </c>
      <c r="B5" s="29">
        <v>150</v>
      </c>
    </row>
    <row r="6">
      <c r="A6" s="28" t="inlineStr">
        <is>
          <t xml:space="preserve">Worker Overtime Rate</t>
        </is>
      </c>
      <c r="B6" s="29">
        <v>16.66</v>
      </c>
    </row>
    <row r="7">
      <c r="A7" s="28" t="inlineStr">
        <is>
          <t xml:space="preserve">Laborer Daily Wage</t>
        </is>
      </c>
      <c r="B7" s="29">
        <v>100</v>
      </c>
    </row>
    <row r="8">
      <c r="A8" s="28" t="inlineStr">
        <is>
          <t xml:space="preserve">Laborer Overtime Rate</t>
        </is>
      </c>
      <c r="B8" s="29">
        <v>11.11</v>
      </c>
    </row>
  </sheetData>
  <sheetProtection sheet="1" objects="1" scenarios="1" formatCells="0" formatColumns="0" formatRows="0" selectLockedCells="1" selectUnlockedCells="1"/>
  <mergeCells count="1">
    <mergeCell ref="A1:B1"/>
  </mergeCells>
  <printOptions horizontalCentered="1"/>
  <pageMargins left="0.4" right="0.4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H83"/>
  <sheetViews>
    <sheetView workbookViewId="0">
      <pane ySplit="3" topLeftCell="A4" activePane="bottomRight" state="frozen"/>
      <selection pane="bottomRight" activeCell="A4" sqref="A4"/>
    </sheetView>
  </sheetViews>
  <sheetFormatPr defaultRowHeight="15"/>
  <cols>
    <col min="1" max="1" width="16" customWidth="1"/>
    <col min="2" max="2" width="26" customWidth="1"/>
    <col min="3" max="3" width="15" customWidth="1"/>
    <col min="4" max="4" width="16" customWidth="1"/>
    <col min="5" max="5" width="16" customWidth="1"/>
    <col min="6" max="6" width="22" customWidth="1"/>
    <col min="7" max="7" width="14" customWidth="1"/>
    <col min="8" max="8" width="12" customWidth="1"/>
  </cols>
  <sheetData>
    <row r="1" ht="34" customHeight="1">
      <c r="A1" s="1" t="inlineStr">
        <is>
          <t xml:space="preserve">  WORKERS LIST</t>
        </is>
      </c>
    </row>
    <row r="2" ht="16" customHeight="1">
      <c r="A2" s="3" t="inlineStr">
        <is>
          <t xml:space="preserve">  Employees paid 150.00 MAD / day  -  overtime 16.66 MAD / hour   (عمال)</t>
        </is>
      </c>
    </row>
    <row r="3" ht="26" customHeight="1">
      <c r="A3" s="5" t="inlineStr">
        <is>
          <t xml:space="preserve">Employee ID</t>
        </is>
      </c>
      <c r="B3" s="5" t="inlineStr">
        <is>
          <t xml:space="preserve">Full Name</t>
        </is>
      </c>
      <c r="C3" s="5" t="inlineStr">
        <is>
          <t xml:space="preserve">CIN Number</t>
        </is>
      </c>
      <c r="D3" s="5" t="inlineStr">
        <is>
          <t xml:space="preserve">CNSS Number</t>
        </is>
      </c>
      <c r="E3" s="5" t="inlineStr">
        <is>
          <t xml:space="preserve">Phone Number</t>
        </is>
      </c>
      <c r="F3" s="5" t="inlineStr">
        <is>
          <t xml:space="preserve">Position</t>
        </is>
      </c>
      <c r="G3" s="5" t="inlineStr">
        <is>
          <t xml:space="preserve">Start Date</t>
        </is>
      </c>
      <c r="H3" s="5" t="inlineStr">
        <is>
          <t xml:space="preserve">Status</t>
        </is>
      </c>
    </row>
    <row r="4">
      <c r="A4" s="12" t="inlineStr">
        <is>
          <t xml:space="preserve">W-1001</t>
        </is>
      </c>
      <c r="B4" s="11" t="inlineStr">
        <is>
          <t xml:space="preserve">Youssef El Amrani</t>
        </is>
      </c>
      <c r="C4" s="14" t="inlineStr">
        <is>
          <t xml:space="preserve">AB12345</t>
        </is>
      </c>
      <c r="D4" s="14" t="inlineStr">
        <is>
          <t xml:space="preserve">1234567</t>
        </is>
      </c>
      <c r="E4" s="14" t="inlineStr">
        <is>
          <t xml:space="preserve">0612345678</t>
        </is>
      </c>
      <c r="F4" s="11" t="inlineStr">
        <is>
          <t xml:space="preserve">Mason</t>
        </is>
      </c>
      <c r="G4" s="13">
        <v>44621</v>
      </c>
      <c r="H4" s="12" t="inlineStr">
        <is>
          <t xml:space="preserve">Active</t>
        </is>
      </c>
    </row>
    <row r="5">
      <c r="A5" s="12" t="inlineStr">
        <is>
          <t xml:space="preserve">W-1002</t>
        </is>
      </c>
      <c r="B5" s="11" t="inlineStr">
        <is>
          <t xml:space="preserve">Karim Benali</t>
        </is>
      </c>
      <c r="C5" s="14" t="inlineStr">
        <is>
          <t xml:space="preserve">AB67890</t>
        </is>
      </c>
      <c r="D5" s="14" t="inlineStr">
        <is>
          <t xml:space="preserve">2345678</t>
        </is>
      </c>
      <c r="E5" s="14" t="inlineStr">
        <is>
          <t xml:space="preserve">0623456789</t>
        </is>
      </c>
      <c r="F5" s="11" t="inlineStr">
        <is>
          <t xml:space="preserve">Carpenter</t>
        </is>
      </c>
      <c r="G5" s="13">
        <v>44392</v>
      </c>
      <c r="H5" s="12" t="inlineStr">
        <is>
          <t xml:space="preserve">Active</t>
        </is>
      </c>
    </row>
    <row r="6">
      <c r="A6" s="12" t="inlineStr">
        <is>
          <t xml:space="preserve">W-1003</t>
        </is>
      </c>
      <c r="B6" s="11" t="inlineStr">
        <is>
          <t xml:space="preserve">Rachid Toumi</t>
        </is>
      </c>
      <c r="C6" s="14" t="inlineStr">
        <is>
          <t xml:space="preserve">AC11223</t>
        </is>
      </c>
      <c r="D6" s="14" t="inlineStr">
        <is>
          <t xml:space="preserve">3456789</t>
        </is>
      </c>
      <c r="E6" s="14" t="inlineStr">
        <is>
          <t xml:space="preserve">0634567890</t>
        </is>
      </c>
      <c r="F6" s="11" t="inlineStr">
        <is>
          <t xml:space="preserve">Electrician</t>
        </is>
      </c>
      <c r="G6" s="13">
        <v>44936</v>
      </c>
      <c r="H6" s="12" t="inlineStr">
        <is>
          <t xml:space="preserve">Active</t>
        </is>
      </c>
    </row>
    <row r="7">
      <c r="A7" s="12"/>
      <c r="B7" s="11"/>
      <c r="C7" s="14"/>
      <c r="D7" s="14"/>
      <c r="E7" s="14"/>
      <c r="F7" s="11"/>
      <c r="G7" s="13"/>
      <c r="H7" s="12"/>
    </row>
    <row r="8">
      <c r="A8" s="12"/>
      <c r="B8" s="11"/>
      <c r="C8" s="14"/>
      <c r="D8" s="14"/>
      <c r="E8" s="14"/>
      <c r="F8" s="11"/>
      <c r="G8" s="13"/>
      <c r="H8" s="12"/>
    </row>
    <row r="9">
      <c r="A9" s="12"/>
      <c r="B9" s="11"/>
      <c r="C9" s="14"/>
      <c r="D9" s="14"/>
      <c r="E9" s="14"/>
      <c r="F9" s="11"/>
      <c r="G9" s="13"/>
      <c r="H9" s="12"/>
    </row>
    <row r="10">
      <c r="A10" s="12"/>
      <c r="B10" s="11"/>
      <c r="C10" s="14"/>
      <c r="D10" s="14"/>
      <c r="E10" s="14"/>
      <c r="F10" s="11"/>
      <c r="G10" s="13"/>
      <c r="H10" s="12"/>
    </row>
    <row r="11">
      <c r="A11" s="12"/>
      <c r="B11" s="11"/>
      <c r="C11" s="14"/>
      <c r="D11" s="14"/>
      <c r="E11" s="14"/>
      <c r="F11" s="11"/>
      <c r="G11" s="13"/>
      <c r="H11" s="12"/>
    </row>
    <row r="12">
      <c r="A12" s="12"/>
      <c r="B12" s="11"/>
      <c r="C12" s="14"/>
      <c r="D12" s="14"/>
      <c r="E12" s="14"/>
      <c r="F12" s="11"/>
      <c r="G12" s="13"/>
      <c r="H12" s="12"/>
    </row>
    <row r="13">
      <c r="A13" s="12"/>
      <c r="B13" s="11"/>
      <c r="C13" s="14"/>
      <c r="D13" s="14"/>
      <c r="E13" s="14"/>
      <c r="F13" s="11"/>
      <c r="G13" s="13"/>
      <c r="H13" s="12"/>
    </row>
    <row r="14">
      <c r="A14" s="12"/>
      <c r="B14" s="11"/>
      <c r="C14" s="14"/>
      <c r="D14" s="14"/>
      <c r="E14" s="14"/>
      <c r="F14" s="11"/>
      <c r="G14" s="13"/>
      <c r="H14" s="12"/>
    </row>
    <row r="15">
      <c r="A15" s="12"/>
      <c r="B15" s="11"/>
      <c r="C15" s="14"/>
      <c r="D15" s="14"/>
      <c r="E15" s="14"/>
      <c r="F15" s="11"/>
      <c r="G15" s="13"/>
      <c r="H15" s="12"/>
    </row>
    <row r="16">
      <c r="A16" s="12"/>
      <c r="B16" s="11"/>
      <c r="C16" s="14"/>
      <c r="D16" s="14"/>
      <c r="E16" s="14"/>
      <c r="F16" s="11"/>
      <c r="G16" s="13"/>
      <c r="H16" s="12"/>
    </row>
    <row r="17">
      <c r="A17" s="12"/>
      <c r="B17" s="11"/>
      <c r="C17" s="14"/>
      <c r="D17" s="14"/>
      <c r="E17" s="14"/>
      <c r="F17" s="11"/>
      <c r="G17" s="13"/>
      <c r="H17" s="12"/>
    </row>
    <row r="18">
      <c r="A18" s="12"/>
      <c r="B18" s="11"/>
      <c r="C18" s="14"/>
      <c r="D18" s="14"/>
      <c r="E18" s="14"/>
      <c r="F18" s="11"/>
      <c r="G18" s="13"/>
      <c r="H18" s="12"/>
    </row>
    <row r="19">
      <c r="A19" s="12"/>
      <c r="B19" s="11"/>
      <c r="C19" s="14"/>
      <c r="D19" s="14"/>
      <c r="E19" s="14"/>
      <c r="F19" s="11"/>
      <c r="G19" s="13"/>
      <c r="H19" s="12"/>
    </row>
    <row r="20">
      <c r="A20" s="12"/>
      <c r="B20" s="11"/>
      <c r="C20" s="14"/>
      <c r="D20" s="14"/>
      <c r="E20" s="14"/>
      <c r="F20" s="11"/>
      <c r="G20" s="13"/>
      <c r="H20" s="12"/>
    </row>
    <row r="21">
      <c r="A21" s="12"/>
      <c r="B21" s="11"/>
      <c r="C21" s="14"/>
      <c r="D21" s="14"/>
      <c r="E21" s="14"/>
      <c r="F21" s="11"/>
      <c r="G21" s="13"/>
      <c r="H21" s="12"/>
    </row>
    <row r="22">
      <c r="A22" s="12"/>
      <c r="B22" s="11"/>
      <c r="C22" s="14"/>
      <c r="D22" s="14"/>
      <c r="E22" s="14"/>
      <c r="F22" s="11"/>
      <c r="G22" s="13"/>
      <c r="H22" s="12"/>
    </row>
    <row r="23">
      <c r="A23" s="12"/>
      <c r="B23" s="11"/>
      <c r="C23" s="14"/>
      <c r="D23" s="14"/>
      <c r="E23" s="14"/>
      <c r="F23" s="11"/>
      <c r="G23" s="13"/>
      <c r="H23" s="12"/>
    </row>
    <row r="24">
      <c r="A24" s="12"/>
      <c r="B24" s="11"/>
      <c r="C24" s="14"/>
      <c r="D24" s="14"/>
      <c r="E24" s="14"/>
      <c r="F24" s="11"/>
      <c r="G24" s="13"/>
      <c r="H24" s="12"/>
    </row>
    <row r="25">
      <c r="A25" s="12"/>
      <c r="B25" s="11"/>
      <c r="C25" s="14"/>
      <c r="D25" s="14"/>
      <c r="E25" s="14"/>
      <c r="F25" s="11"/>
      <c r="G25" s="13"/>
      <c r="H25" s="12"/>
    </row>
    <row r="26">
      <c r="A26" s="12"/>
      <c r="B26" s="11"/>
      <c r="C26" s="14"/>
      <c r="D26" s="14"/>
      <c r="E26" s="14"/>
      <c r="F26" s="11"/>
      <c r="G26" s="13"/>
      <c r="H26" s="12"/>
    </row>
    <row r="27">
      <c r="A27" s="12"/>
      <c r="B27" s="11"/>
      <c r="C27" s="14"/>
      <c r="D27" s="14"/>
      <c r="E27" s="14"/>
      <c r="F27" s="11"/>
      <c r="G27" s="13"/>
      <c r="H27" s="12"/>
    </row>
    <row r="28">
      <c r="A28" s="12"/>
      <c r="B28" s="11"/>
      <c r="C28" s="14"/>
      <c r="D28" s="14"/>
      <c r="E28" s="14"/>
      <c r="F28" s="11"/>
      <c r="G28" s="13"/>
      <c r="H28" s="12"/>
    </row>
    <row r="29">
      <c r="A29" s="12"/>
      <c r="B29" s="11"/>
      <c r="C29" s="14"/>
      <c r="D29" s="14"/>
      <c r="E29" s="14"/>
      <c r="F29" s="11"/>
      <c r="G29" s="13"/>
      <c r="H29" s="12"/>
    </row>
    <row r="30">
      <c r="A30" s="12"/>
      <c r="B30" s="11"/>
      <c r="C30" s="14"/>
      <c r="D30" s="14"/>
      <c r="E30" s="14"/>
      <c r="F30" s="11"/>
      <c r="G30" s="13"/>
      <c r="H30" s="12"/>
    </row>
    <row r="31">
      <c r="A31" s="12"/>
      <c r="B31" s="11"/>
      <c r="C31" s="14"/>
      <c r="D31" s="14"/>
      <c r="E31" s="14"/>
      <c r="F31" s="11"/>
      <c r="G31" s="13"/>
      <c r="H31" s="12"/>
    </row>
    <row r="32">
      <c r="A32" s="12"/>
      <c r="B32" s="11"/>
      <c r="C32" s="14"/>
      <c r="D32" s="14"/>
      <c r="E32" s="14"/>
      <c r="F32" s="11"/>
      <c r="G32" s="13"/>
      <c r="H32" s="12"/>
    </row>
    <row r="33">
      <c r="A33" s="12"/>
      <c r="B33" s="11"/>
      <c r="C33" s="14"/>
      <c r="D33" s="14"/>
      <c r="E33" s="14"/>
      <c r="F33" s="11"/>
      <c r="G33" s="13"/>
      <c r="H33" s="12"/>
    </row>
    <row r="34">
      <c r="A34" s="12"/>
      <c r="B34" s="11"/>
      <c r="C34" s="14"/>
      <c r="D34" s="14"/>
      <c r="E34" s="14"/>
      <c r="F34" s="11"/>
      <c r="G34" s="13"/>
      <c r="H34" s="12"/>
    </row>
    <row r="35">
      <c r="A35" s="12"/>
      <c r="B35" s="11"/>
      <c r="C35" s="14"/>
      <c r="D35" s="14"/>
      <c r="E35" s="14"/>
      <c r="F35" s="11"/>
      <c r="G35" s="13"/>
      <c r="H35" s="12"/>
    </row>
    <row r="36">
      <c r="A36" s="12"/>
      <c r="B36" s="11"/>
      <c r="C36" s="14"/>
      <c r="D36" s="14"/>
      <c r="E36" s="14"/>
      <c r="F36" s="11"/>
      <c r="G36" s="13"/>
      <c r="H36" s="12"/>
    </row>
    <row r="37">
      <c r="A37" s="12"/>
      <c r="B37" s="11"/>
      <c r="C37" s="14"/>
      <c r="D37" s="14"/>
      <c r="E37" s="14"/>
      <c r="F37" s="11"/>
      <c r="G37" s="13"/>
      <c r="H37" s="12"/>
    </row>
    <row r="38">
      <c r="A38" s="12"/>
      <c r="B38" s="11"/>
      <c r="C38" s="14"/>
      <c r="D38" s="14"/>
      <c r="E38" s="14"/>
      <c r="F38" s="11"/>
      <c r="G38" s="13"/>
      <c r="H38" s="12"/>
    </row>
    <row r="39">
      <c r="A39" s="12"/>
      <c r="B39" s="11"/>
      <c r="C39" s="14"/>
      <c r="D39" s="14"/>
      <c r="E39" s="14"/>
      <c r="F39" s="11"/>
      <c r="G39" s="13"/>
      <c r="H39" s="12"/>
    </row>
    <row r="40">
      <c r="A40" s="12"/>
      <c r="B40" s="11"/>
      <c r="C40" s="14"/>
      <c r="D40" s="14"/>
      <c r="E40" s="14"/>
      <c r="F40" s="11"/>
      <c r="G40" s="13"/>
      <c r="H40" s="12"/>
    </row>
    <row r="41">
      <c r="A41" s="12"/>
      <c r="B41" s="11"/>
      <c r="C41" s="14"/>
      <c r="D41" s="14"/>
      <c r="E41" s="14"/>
      <c r="F41" s="11"/>
      <c r="G41" s="13"/>
      <c r="H41" s="12"/>
    </row>
    <row r="42">
      <c r="A42" s="12"/>
      <c r="B42" s="11"/>
      <c r="C42" s="14"/>
      <c r="D42" s="14"/>
      <c r="E42" s="14"/>
      <c r="F42" s="11"/>
      <c r="G42" s="13"/>
      <c r="H42" s="12"/>
    </row>
    <row r="43">
      <c r="A43" s="12"/>
      <c r="B43" s="11"/>
      <c r="C43" s="14"/>
      <c r="D43" s="14"/>
      <c r="E43" s="14"/>
      <c r="F43" s="11"/>
      <c r="G43" s="13"/>
      <c r="H43" s="12"/>
    </row>
    <row r="44">
      <c r="A44" s="12"/>
      <c r="B44" s="11"/>
      <c r="C44" s="14"/>
      <c r="D44" s="14"/>
      <c r="E44" s="14"/>
      <c r="F44" s="11"/>
      <c r="G44" s="13"/>
      <c r="H44" s="12"/>
    </row>
    <row r="45">
      <c r="A45" s="12"/>
      <c r="B45" s="11"/>
      <c r="C45" s="14"/>
      <c r="D45" s="14"/>
      <c r="E45" s="14"/>
      <c r="F45" s="11"/>
      <c r="G45" s="13"/>
      <c r="H45" s="12"/>
    </row>
    <row r="46">
      <c r="A46" s="12"/>
      <c r="B46" s="11"/>
      <c r="C46" s="14"/>
      <c r="D46" s="14"/>
      <c r="E46" s="14"/>
      <c r="F46" s="11"/>
      <c r="G46" s="13"/>
      <c r="H46" s="12"/>
    </row>
    <row r="47">
      <c r="A47" s="12"/>
      <c r="B47" s="11"/>
      <c r="C47" s="14"/>
      <c r="D47" s="14"/>
      <c r="E47" s="14"/>
      <c r="F47" s="11"/>
      <c r="G47" s="13"/>
      <c r="H47" s="12"/>
    </row>
    <row r="48">
      <c r="A48" s="12"/>
      <c r="B48" s="11"/>
      <c r="C48" s="14"/>
      <c r="D48" s="14"/>
      <c r="E48" s="14"/>
      <c r="F48" s="11"/>
      <c r="G48" s="13"/>
      <c r="H48" s="12"/>
    </row>
    <row r="49">
      <c r="A49" s="12"/>
      <c r="B49" s="11"/>
      <c r="C49" s="14"/>
      <c r="D49" s="14"/>
      <c r="E49" s="14"/>
      <c r="F49" s="11"/>
      <c r="G49" s="13"/>
      <c r="H49" s="12"/>
    </row>
    <row r="50">
      <c r="A50" s="12"/>
      <c r="B50" s="11"/>
      <c r="C50" s="14"/>
      <c r="D50" s="14"/>
      <c r="E50" s="14"/>
      <c r="F50" s="11"/>
      <c r="G50" s="13"/>
      <c r="H50" s="12"/>
    </row>
    <row r="51">
      <c r="A51" s="12"/>
      <c r="B51" s="11"/>
      <c r="C51" s="14"/>
      <c r="D51" s="14"/>
      <c r="E51" s="14"/>
      <c r="F51" s="11"/>
      <c r="G51" s="13"/>
      <c r="H51" s="12"/>
    </row>
    <row r="52">
      <c r="A52" s="12"/>
      <c r="B52" s="11"/>
      <c r="C52" s="14"/>
      <c r="D52" s="14"/>
      <c r="E52" s="14"/>
      <c r="F52" s="11"/>
      <c r="G52" s="13"/>
      <c r="H52" s="12"/>
    </row>
    <row r="53">
      <c r="A53" s="12"/>
      <c r="B53" s="11"/>
      <c r="C53" s="14"/>
      <c r="D53" s="14"/>
      <c r="E53" s="14"/>
      <c r="F53" s="11"/>
      <c r="G53" s="13"/>
      <c r="H53" s="12"/>
    </row>
    <row r="54">
      <c r="A54" s="12"/>
      <c r="B54" s="11"/>
      <c r="C54" s="14"/>
      <c r="D54" s="14"/>
      <c r="E54" s="14"/>
      <c r="F54" s="11"/>
      <c r="G54" s="13"/>
      <c r="H54" s="12"/>
    </row>
    <row r="55">
      <c r="A55" s="12"/>
      <c r="B55" s="11"/>
      <c r="C55" s="14"/>
      <c r="D55" s="14"/>
      <c r="E55" s="14"/>
      <c r="F55" s="11"/>
      <c r="G55" s="13"/>
      <c r="H55" s="12"/>
    </row>
    <row r="56">
      <c r="A56" s="12"/>
      <c r="B56" s="11"/>
      <c r="C56" s="14"/>
      <c r="D56" s="14"/>
      <c r="E56" s="14"/>
      <c r="F56" s="11"/>
      <c r="G56" s="13"/>
      <c r="H56" s="12"/>
    </row>
    <row r="57">
      <c r="A57" s="12"/>
      <c r="B57" s="11"/>
      <c r="C57" s="14"/>
      <c r="D57" s="14"/>
      <c r="E57" s="14"/>
      <c r="F57" s="11"/>
      <c r="G57" s="13"/>
      <c r="H57" s="12"/>
    </row>
    <row r="58">
      <c r="A58" s="12"/>
      <c r="B58" s="11"/>
      <c r="C58" s="14"/>
      <c r="D58" s="14"/>
      <c r="E58" s="14"/>
      <c r="F58" s="11"/>
      <c r="G58" s="13"/>
      <c r="H58" s="12"/>
    </row>
    <row r="59">
      <c r="A59" s="12"/>
      <c r="B59" s="11"/>
      <c r="C59" s="14"/>
      <c r="D59" s="14"/>
      <c r="E59" s="14"/>
      <c r="F59" s="11"/>
      <c r="G59" s="13"/>
      <c r="H59" s="12"/>
    </row>
    <row r="60">
      <c r="A60" s="12"/>
      <c r="B60" s="11"/>
      <c r="C60" s="14"/>
      <c r="D60" s="14"/>
      <c r="E60" s="14"/>
      <c r="F60" s="11"/>
      <c r="G60" s="13"/>
      <c r="H60" s="12"/>
    </row>
    <row r="61">
      <c r="A61" s="12"/>
      <c r="B61" s="11"/>
      <c r="C61" s="14"/>
      <c r="D61" s="14"/>
      <c r="E61" s="14"/>
      <c r="F61" s="11"/>
      <c r="G61" s="13"/>
      <c r="H61" s="12"/>
    </row>
    <row r="62">
      <c r="A62" s="12"/>
      <c r="B62" s="11"/>
      <c r="C62" s="14"/>
      <c r="D62" s="14"/>
      <c r="E62" s="14"/>
      <c r="F62" s="11"/>
      <c r="G62" s="13"/>
      <c r="H62" s="12"/>
    </row>
    <row r="63">
      <c r="A63" s="12"/>
      <c r="B63" s="11"/>
      <c r="C63" s="14"/>
      <c r="D63" s="14"/>
      <c r="E63" s="14"/>
      <c r="F63" s="11"/>
      <c r="G63" s="13"/>
      <c r="H63" s="12"/>
    </row>
    <row r="64">
      <c r="A64" s="12"/>
      <c r="B64" s="11"/>
      <c r="C64" s="14"/>
      <c r="D64" s="14"/>
      <c r="E64" s="14"/>
      <c r="F64" s="11"/>
      <c r="G64" s="13"/>
      <c r="H64" s="12"/>
    </row>
    <row r="65">
      <c r="A65" s="12"/>
      <c r="B65" s="11"/>
      <c r="C65" s="14"/>
      <c r="D65" s="14"/>
      <c r="E65" s="14"/>
      <c r="F65" s="11"/>
      <c r="G65" s="13"/>
      <c r="H65" s="12"/>
    </row>
    <row r="66">
      <c r="A66" s="12"/>
      <c r="B66" s="11"/>
      <c r="C66" s="14"/>
      <c r="D66" s="14"/>
      <c r="E66" s="14"/>
      <c r="F66" s="11"/>
      <c r="G66" s="13"/>
      <c r="H66" s="12"/>
    </row>
    <row r="67">
      <c r="A67" s="12"/>
      <c r="B67" s="11"/>
      <c r="C67" s="14"/>
      <c r="D67" s="14"/>
      <c r="E67" s="14"/>
      <c r="F67" s="11"/>
      <c r="G67" s="13"/>
      <c r="H67" s="12"/>
    </row>
    <row r="68">
      <c r="A68" s="12"/>
      <c r="B68" s="11"/>
      <c r="C68" s="14"/>
      <c r="D68" s="14"/>
      <c r="E68" s="14"/>
      <c r="F68" s="11"/>
      <c r="G68" s="13"/>
      <c r="H68" s="12"/>
    </row>
    <row r="69">
      <c r="A69" s="12"/>
      <c r="B69" s="11"/>
      <c r="C69" s="14"/>
      <c r="D69" s="14"/>
      <c r="E69" s="14"/>
      <c r="F69" s="11"/>
      <c r="G69" s="13"/>
      <c r="H69" s="12"/>
    </row>
    <row r="70">
      <c r="A70" s="12"/>
      <c r="B70" s="11"/>
      <c r="C70" s="14"/>
      <c r="D70" s="14"/>
      <c r="E70" s="14"/>
      <c r="F70" s="11"/>
      <c r="G70" s="13"/>
      <c r="H70" s="12"/>
    </row>
    <row r="71">
      <c r="A71" s="12"/>
      <c r="B71" s="11"/>
      <c r="C71" s="14"/>
      <c r="D71" s="14"/>
      <c r="E71" s="14"/>
      <c r="F71" s="11"/>
      <c r="G71" s="13"/>
      <c r="H71" s="12"/>
    </row>
    <row r="72">
      <c r="A72" s="12"/>
      <c r="B72" s="11"/>
      <c r="C72" s="14"/>
      <c r="D72" s="14"/>
      <c r="E72" s="14"/>
      <c r="F72" s="11"/>
      <c r="G72" s="13"/>
      <c r="H72" s="12"/>
    </row>
    <row r="73">
      <c r="A73" s="12"/>
      <c r="B73" s="11"/>
      <c r="C73" s="14"/>
      <c r="D73" s="14"/>
      <c r="E73" s="14"/>
      <c r="F73" s="11"/>
      <c r="G73" s="13"/>
      <c r="H73" s="12"/>
    </row>
    <row r="74">
      <c r="A74" s="12"/>
      <c r="B74" s="11"/>
      <c r="C74" s="14"/>
      <c r="D74" s="14"/>
      <c r="E74" s="14"/>
      <c r="F74" s="11"/>
      <c r="G74" s="13"/>
      <c r="H74" s="12"/>
    </row>
    <row r="75">
      <c r="A75" s="12"/>
      <c r="B75" s="11"/>
      <c r="C75" s="14"/>
      <c r="D75" s="14"/>
      <c r="E75" s="14"/>
      <c r="F75" s="11"/>
      <c r="G75" s="13"/>
      <c r="H75" s="12"/>
    </row>
    <row r="76">
      <c r="A76" s="12"/>
      <c r="B76" s="11"/>
      <c r="C76" s="14"/>
      <c r="D76" s="14"/>
      <c r="E76" s="14"/>
      <c r="F76" s="11"/>
      <c r="G76" s="13"/>
      <c r="H76" s="12"/>
    </row>
    <row r="77">
      <c r="A77" s="12"/>
      <c r="B77" s="11"/>
      <c r="C77" s="14"/>
      <c r="D77" s="14"/>
      <c r="E77" s="14"/>
      <c r="F77" s="11"/>
      <c r="G77" s="13"/>
      <c r="H77" s="12"/>
    </row>
    <row r="78">
      <c r="A78" s="12"/>
      <c r="B78" s="11"/>
      <c r="C78" s="14"/>
      <c r="D78" s="14"/>
      <c r="E78" s="14"/>
      <c r="F78" s="11"/>
      <c r="G78" s="13"/>
      <c r="H78" s="12"/>
    </row>
    <row r="79">
      <c r="A79" s="12"/>
      <c r="B79" s="11"/>
      <c r="C79" s="14"/>
      <c r="D79" s="14"/>
      <c r="E79" s="14"/>
      <c r="F79" s="11"/>
      <c r="G79" s="13"/>
      <c r="H79" s="12"/>
    </row>
    <row r="80">
      <c r="A80" s="12"/>
      <c r="B80" s="11"/>
      <c r="C80" s="14"/>
      <c r="D80" s="14"/>
      <c r="E80" s="14"/>
      <c r="F80" s="11"/>
      <c r="G80" s="13"/>
      <c r="H80" s="12"/>
    </row>
    <row r="81">
      <c r="A81" s="12"/>
      <c r="B81" s="11"/>
      <c r="C81" s="14"/>
      <c r="D81" s="14"/>
      <c r="E81" s="14"/>
      <c r="F81" s="11"/>
      <c r="G81" s="13"/>
      <c r="H81" s="12"/>
    </row>
    <row r="82">
      <c r="A82" s="12"/>
      <c r="B82" s="11"/>
      <c r="C82" s="14"/>
      <c r="D82" s="14"/>
      <c r="E82" s="14"/>
      <c r="F82" s="11"/>
      <c r="G82" s="13"/>
      <c r="H82" s="12"/>
    </row>
    <row r="83">
      <c r="A83" s="12"/>
      <c r="B83" s="11"/>
      <c r="C83" s="14"/>
      <c r="D83" s="14"/>
      <c r="E83" s="14"/>
      <c r="F83" s="11"/>
      <c r="G83" s="13"/>
      <c r="H83" s="12"/>
    </row>
  </sheetData>
  <sheetProtection sheet="1" objects="1" scenarios="1" formatCells="0" formatColumns="0" formatRows="0" selectLockedCells="1" selectUnlockedCells="1"/>
  <mergeCells count="2">
    <mergeCell ref="A1:H1"/>
    <mergeCell ref="A2:H2"/>
  </mergeCells>
  <conditionalFormatting sqref="H4:H83">
    <cfRule type="expression" dxfId="3" priority="1">
      <formula>$H4="Active"</formula>
    </cfRule>
  </conditionalFormatting>
  <conditionalFormatting sqref="H4:H83">
    <cfRule type="expression" dxfId="4" priority="2">
      <formula>$H4="Inactive"</formula>
    </cfRule>
  </conditionalFormatting>
  <dataValidations count="1">
    <dataValidation type="list" allowBlank="1" showInputMessage="1" showErrorMessage="1" sqref="H4:H83">
      <formula1>"Active,Inactive"</formula1>
    </dataValidation>
  </dataValidations>
  <printOptions horizontalCentered="1"/>
  <pageMargins left="0.4" right="0.4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9D8F"/>
    <pageSetUpPr fitToPage="1"/>
  </sheetPr>
  <dimension ref="A1:H83"/>
  <sheetViews>
    <sheetView workbookViewId="0">
      <pane ySplit="3" topLeftCell="A4" activePane="bottomRight" state="frozen"/>
      <selection pane="bottomRight" activeCell="A4" sqref="A4"/>
    </sheetView>
  </sheetViews>
  <sheetFormatPr defaultRowHeight="15"/>
  <cols>
    <col min="1" max="1" width="16" customWidth="1"/>
    <col min="2" max="2" width="26" customWidth="1"/>
    <col min="3" max="3" width="15" customWidth="1"/>
    <col min="4" max="4" width="16" customWidth="1"/>
    <col min="5" max="5" width="16" customWidth="1"/>
    <col min="6" max="6" width="22" customWidth="1"/>
    <col min="7" max="7" width="14" customWidth="1"/>
    <col min="8" max="8" width="12" customWidth="1"/>
  </cols>
  <sheetData>
    <row r="1" ht="34" customHeight="1">
      <c r="A1" s="1" t="inlineStr">
        <is>
          <t xml:space="preserve">  LABORERS LIST</t>
        </is>
      </c>
    </row>
    <row r="2" ht="16" customHeight="1">
      <c r="A2" s="3" t="inlineStr">
        <is>
          <t xml:space="preserve">  Employees paid 100.00 MAD / day  -  overtime 11.11 MAD / hour   (خدام)</t>
        </is>
      </c>
    </row>
    <row r="3" ht="26" customHeight="1">
      <c r="A3" s="5" t="inlineStr">
        <is>
          <t xml:space="preserve">Employee ID</t>
        </is>
      </c>
      <c r="B3" s="5" t="inlineStr">
        <is>
          <t xml:space="preserve">Full Name</t>
        </is>
      </c>
      <c r="C3" s="5" t="inlineStr">
        <is>
          <t xml:space="preserve">CIN Number</t>
        </is>
      </c>
      <c r="D3" s="5" t="inlineStr">
        <is>
          <t xml:space="preserve">CNSS Number</t>
        </is>
      </c>
      <c r="E3" s="5" t="inlineStr">
        <is>
          <t xml:space="preserve">Phone Number</t>
        </is>
      </c>
      <c r="F3" s="5" t="inlineStr">
        <is>
          <t xml:space="preserve">Position</t>
        </is>
      </c>
      <c r="G3" s="5" t="inlineStr">
        <is>
          <t xml:space="preserve">Start Date</t>
        </is>
      </c>
      <c r="H3" s="5" t="inlineStr">
        <is>
          <t xml:space="preserve">Status</t>
        </is>
      </c>
    </row>
    <row r="4">
      <c r="A4" s="12" t="inlineStr">
        <is>
          <t xml:space="preserve">L-2001</t>
        </is>
      </c>
      <c r="B4" s="11" t="inlineStr">
        <is>
          <t xml:space="preserve">Hassan Cherki</t>
        </is>
      </c>
      <c r="C4" s="14" t="inlineStr">
        <is>
          <t xml:space="preserve">BE55667</t>
        </is>
      </c>
      <c r="D4" s="14" t="inlineStr">
        <is>
          <t xml:space="preserve">4567890</t>
        </is>
      </c>
      <c r="E4" s="14" t="inlineStr">
        <is>
          <t xml:space="preserve">0645678901</t>
        </is>
      </c>
      <c r="F4" s="11" t="inlineStr">
        <is>
          <t xml:space="preserve">Helper</t>
        </is>
      </c>
      <c r="G4" s="13">
        <v>45066</v>
      </c>
      <c r="H4" s="12" t="inlineStr">
        <is>
          <t xml:space="preserve">Active</t>
        </is>
      </c>
    </row>
    <row r="5">
      <c r="A5" s="12" t="inlineStr">
        <is>
          <t xml:space="preserve">L-2002</t>
        </is>
      </c>
      <c r="B5" s="11" t="inlineStr">
        <is>
          <t xml:space="preserve">Said Mansouri</t>
        </is>
      </c>
      <c r="C5" s="14" t="inlineStr">
        <is>
          <t xml:space="preserve">BE77889</t>
        </is>
      </c>
      <c r="D5" s="14" t="inlineStr">
        <is>
          <t xml:space="preserve">5678901</t>
        </is>
      </c>
      <c r="E5" s="14" t="inlineStr">
        <is>
          <t xml:space="preserve">0656789012</t>
        </is>
      </c>
      <c r="F5" s="11" t="inlineStr">
        <is>
          <t xml:space="preserve">Loader</t>
        </is>
      </c>
      <c r="G5" s="13">
        <v>44868</v>
      </c>
      <c r="H5" s="12" t="inlineStr">
        <is>
          <t xml:space="preserve">Active</t>
        </is>
      </c>
    </row>
    <row r="6">
      <c r="A6" s="12"/>
      <c r="B6" s="11"/>
      <c r="C6" s="14"/>
      <c r="D6" s="14"/>
      <c r="E6" s="14"/>
      <c r="F6" s="11"/>
      <c r="G6" s="13"/>
      <c r="H6" s="12"/>
    </row>
    <row r="7">
      <c r="A7" s="12"/>
      <c r="B7" s="11"/>
      <c r="C7" s="14"/>
      <c r="D7" s="14"/>
      <c r="E7" s="14"/>
      <c r="F7" s="11"/>
      <c r="G7" s="13"/>
      <c r="H7" s="12"/>
    </row>
    <row r="8">
      <c r="A8" s="12"/>
      <c r="B8" s="11"/>
      <c r="C8" s="14"/>
      <c r="D8" s="14"/>
      <c r="E8" s="14"/>
      <c r="F8" s="11"/>
      <c r="G8" s="13"/>
      <c r="H8" s="12"/>
    </row>
    <row r="9">
      <c r="A9" s="12"/>
      <c r="B9" s="11"/>
      <c r="C9" s="14"/>
      <c r="D9" s="14"/>
      <c r="E9" s="14"/>
      <c r="F9" s="11"/>
      <c r="G9" s="13"/>
      <c r="H9" s="12"/>
    </row>
    <row r="10">
      <c r="A10" s="12"/>
      <c r="B10" s="11"/>
      <c r="C10" s="14"/>
      <c r="D10" s="14"/>
      <c r="E10" s="14"/>
      <c r="F10" s="11"/>
      <c r="G10" s="13"/>
      <c r="H10" s="12"/>
    </row>
    <row r="11">
      <c r="A11" s="12"/>
      <c r="B11" s="11"/>
      <c r="C11" s="14"/>
      <c r="D11" s="14"/>
      <c r="E11" s="14"/>
      <c r="F11" s="11"/>
      <c r="G11" s="13"/>
      <c r="H11" s="12"/>
    </row>
    <row r="12">
      <c r="A12" s="12"/>
      <c r="B12" s="11"/>
      <c r="C12" s="14"/>
      <c r="D12" s="14"/>
      <c r="E12" s="14"/>
      <c r="F12" s="11"/>
      <c r="G12" s="13"/>
      <c r="H12" s="12"/>
    </row>
    <row r="13">
      <c r="A13" s="12"/>
      <c r="B13" s="11"/>
      <c r="C13" s="14"/>
      <c r="D13" s="14"/>
      <c r="E13" s="14"/>
      <c r="F13" s="11"/>
      <c r="G13" s="13"/>
      <c r="H13" s="12"/>
    </row>
    <row r="14">
      <c r="A14" s="12"/>
      <c r="B14" s="11"/>
      <c r="C14" s="14"/>
      <c r="D14" s="14"/>
      <c r="E14" s="14"/>
      <c r="F14" s="11"/>
      <c r="G14" s="13"/>
      <c r="H14" s="12"/>
    </row>
    <row r="15">
      <c r="A15" s="12"/>
      <c r="B15" s="11"/>
      <c r="C15" s="14"/>
      <c r="D15" s="14"/>
      <c r="E15" s="14"/>
      <c r="F15" s="11"/>
      <c r="G15" s="13"/>
      <c r="H15" s="12"/>
    </row>
    <row r="16">
      <c r="A16" s="12"/>
      <c r="B16" s="11"/>
      <c r="C16" s="14"/>
      <c r="D16" s="14"/>
      <c r="E16" s="14"/>
      <c r="F16" s="11"/>
      <c r="G16" s="13"/>
      <c r="H16" s="12"/>
    </row>
    <row r="17">
      <c r="A17" s="12"/>
      <c r="B17" s="11"/>
      <c r="C17" s="14"/>
      <c r="D17" s="14"/>
      <c r="E17" s="14"/>
      <c r="F17" s="11"/>
      <c r="G17" s="13"/>
      <c r="H17" s="12"/>
    </row>
    <row r="18">
      <c r="A18" s="12"/>
      <c r="B18" s="11"/>
      <c r="C18" s="14"/>
      <c r="D18" s="14"/>
      <c r="E18" s="14"/>
      <c r="F18" s="11"/>
      <c r="G18" s="13"/>
      <c r="H18" s="12"/>
    </row>
    <row r="19">
      <c r="A19" s="12"/>
      <c r="B19" s="11"/>
      <c r="C19" s="14"/>
      <c r="D19" s="14"/>
      <c r="E19" s="14"/>
      <c r="F19" s="11"/>
      <c r="G19" s="13"/>
      <c r="H19" s="12"/>
    </row>
    <row r="20">
      <c r="A20" s="12"/>
      <c r="B20" s="11"/>
      <c r="C20" s="14"/>
      <c r="D20" s="14"/>
      <c r="E20" s="14"/>
      <c r="F20" s="11"/>
      <c r="G20" s="13"/>
      <c r="H20" s="12"/>
    </row>
    <row r="21">
      <c r="A21" s="12"/>
      <c r="B21" s="11"/>
      <c r="C21" s="14"/>
      <c r="D21" s="14"/>
      <c r="E21" s="14"/>
      <c r="F21" s="11"/>
      <c r="G21" s="13"/>
      <c r="H21" s="12"/>
    </row>
    <row r="22">
      <c r="A22" s="12"/>
      <c r="B22" s="11"/>
      <c r="C22" s="14"/>
      <c r="D22" s="14"/>
      <c r="E22" s="14"/>
      <c r="F22" s="11"/>
      <c r="G22" s="13"/>
      <c r="H22" s="12"/>
    </row>
    <row r="23">
      <c r="A23" s="12"/>
      <c r="B23" s="11"/>
      <c r="C23" s="14"/>
      <c r="D23" s="14"/>
      <c r="E23" s="14"/>
      <c r="F23" s="11"/>
      <c r="G23" s="13"/>
      <c r="H23" s="12"/>
    </row>
    <row r="24">
      <c r="A24" s="12"/>
      <c r="B24" s="11"/>
      <c r="C24" s="14"/>
      <c r="D24" s="14"/>
      <c r="E24" s="14"/>
      <c r="F24" s="11"/>
      <c r="G24" s="13"/>
      <c r="H24" s="12"/>
    </row>
    <row r="25">
      <c r="A25" s="12"/>
      <c r="B25" s="11"/>
      <c r="C25" s="14"/>
      <c r="D25" s="14"/>
      <c r="E25" s="14"/>
      <c r="F25" s="11"/>
      <c r="G25" s="13"/>
      <c r="H25" s="12"/>
    </row>
    <row r="26">
      <c r="A26" s="12"/>
      <c r="B26" s="11"/>
      <c r="C26" s="14"/>
      <c r="D26" s="14"/>
      <c r="E26" s="14"/>
      <c r="F26" s="11"/>
      <c r="G26" s="13"/>
      <c r="H26" s="12"/>
    </row>
    <row r="27">
      <c r="A27" s="12"/>
      <c r="B27" s="11"/>
      <c r="C27" s="14"/>
      <c r="D27" s="14"/>
      <c r="E27" s="14"/>
      <c r="F27" s="11"/>
      <c r="G27" s="13"/>
      <c r="H27" s="12"/>
    </row>
    <row r="28">
      <c r="A28" s="12"/>
      <c r="B28" s="11"/>
      <c r="C28" s="14"/>
      <c r="D28" s="14"/>
      <c r="E28" s="14"/>
      <c r="F28" s="11"/>
      <c r="G28" s="13"/>
      <c r="H28" s="12"/>
    </row>
    <row r="29">
      <c r="A29" s="12"/>
      <c r="B29" s="11"/>
      <c r="C29" s="14"/>
      <c r="D29" s="14"/>
      <c r="E29" s="14"/>
      <c r="F29" s="11"/>
      <c r="G29" s="13"/>
      <c r="H29" s="12"/>
    </row>
    <row r="30">
      <c r="A30" s="12"/>
      <c r="B30" s="11"/>
      <c r="C30" s="14"/>
      <c r="D30" s="14"/>
      <c r="E30" s="14"/>
      <c r="F30" s="11"/>
      <c r="G30" s="13"/>
      <c r="H30" s="12"/>
    </row>
    <row r="31">
      <c r="A31" s="12"/>
      <c r="B31" s="11"/>
      <c r="C31" s="14"/>
      <c r="D31" s="14"/>
      <c r="E31" s="14"/>
      <c r="F31" s="11"/>
      <c r="G31" s="13"/>
      <c r="H31" s="12"/>
    </row>
    <row r="32">
      <c r="A32" s="12"/>
      <c r="B32" s="11"/>
      <c r="C32" s="14"/>
      <c r="D32" s="14"/>
      <c r="E32" s="14"/>
      <c r="F32" s="11"/>
      <c r="G32" s="13"/>
      <c r="H32" s="12"/>
    </row>
    <row r="33">
      <c r="A33" s="12"/>
      <c r="B33" s="11"/>
      <c r="C33" s="14"/>
      <c r="D33" s="14"/>
      <c r="E33" s="14"/>
      <c r="F33" s="11"/>
      <c r="G33" s="13"/>
      <c r="H33" s="12"/>
    </row>
    <row r="34">
      <c r="A34" s="12"/>
      <c r="B34" s="11"/>
      <c r="C34" s="14"/>
      <c r="D34" s="14"/>
      <c r="E34" s="14"/>
      <c r="F34" s="11"/>
      <c r="G34" s="13"/>
      <c r="H34" s="12"/>
    </row>
    <row r="35">
      <c r="A35" s="12"/>
      <c r="B35" s="11"/>
      <c r="C35" s="14"/>
      <c r="D35" s="14"/>
      <c r="E35" s="14"/>
      <c r="F35" s="11"/>
      <c r="G35" s="13"/>
      <c r="H35" s="12"/>
    </row>
    <row r="36">
      <c r="A36" s="12"/>
      <c r="B36" s="11"/>
      <c r="C36" s="14"/>
      <c r="D36" s="14"/>
      <c r="E36" s="14"/>
      <c r="F36" s="11"/>
      <c r="G36" s="13"/>
      <c r="H36" s="12"/>
    </row>
    <row r="37">
      <c r="A37" s="12"/>
      <c r="B37" s="11"/>
      <c r="C37" s="14"/>
      <c r="D37" s="14"/>
      <c r="E37" s="14"/>
      <c r="F37" s="11"/>
      <c r="G37" s="13"/>
      <c r="H37" s="12"/>
    </row>
    <row r="38">
      <c r="A38" s="12"/>
      <c r="B38" s="11"/>
      <c r="C38" s="14"/>
      <c r="D38" s="14"/>
      <c r="E38" s="14"/>
      <c r="F38" s="11"/>
      <c r="G38" s="13"/>
      <c r="H38" s="12"/>
    </row>
    <row r="39">
      <c r="A39" s="12"/>
      <c r="B39" s="11"/>
      <c r="C39" s="14"/>
      <c r="D39" s="14"/>
      <c r="E39" s="14"/>
      <c r="F39" s="11"/>
      <c r="G39" s="13"/>
      <c r="H39" s="12"/>
    </row>
    <row r="40">
      <c r="A40" s="12"/>
      <c r="B40" s="11"/>
      <c r="C40" s="14"/>
      <c r="D40" s="14"/>
      <c r="E40" s="14"/>
      <c r="F40" s="11"/>
      <c r="G40" s="13"/>
      <c r="H40" s="12"/>
    </row>
    <row r="41">
      <c r="A41" s="12"/>
      <c r="B41" s="11"/>
      <c r="C41" s="14"/>
      <c r="D41" s="14"/>
      <c r="E41" s="14"/>
      <c r="F41" s="11"/>
      <c r="G41" s="13"/>
      <c r="H41" s="12"/>
    </row>
    <row r="42">
      <c r="A42" s="12"/>
      <c r="B42" s="11"/>
      <c r="C42" s="14"/>
      <c r="D42" s="14"/>
      <c r="E42" s="14"/>
      <c r="F42" s="11"/>
      <c r="G42" s="13"/>
      <c r="H42" s="12"/>
    </row>
    <row r="43">
      <c r="A43" s="12"/>
      <c r="B43" s="11"/>
      <c r="C43" s="14"/>
      <c r="D43" s="14"/>
      <c r="E43" s="14"/>
      <c r="F43" s="11"/>
      <c r="G43" s="13"/>
      <c r="H43" s="12"/>
    </row>
    <row r="44">
      <c r="A44" s="12"/>
      <c r="B44" s="11"/>
      <c r="C44" s="14"/>
      <c r="D44" s="14"/>
      <c r="E44" s="14"/>
      <c r="F44" s="11"/>
      <c r="G44" s="13"/>
      <c r="H44" s="12"/>
    </row>
    <row r="45">
      <c r="A45" s="12"/>
      <c r="B45" s="11"/>
      <c r="C45" s="14"/>
      <c r="D45" s="14"/>
      <c r="E45" s="14"/>
      <c r="F45" s="11"/>
      <c r="G45" s="13"/>
      <c r="H45" s="12"/>
    </row>
    <row r="46">
      <c r="A46" s="12"/>
      <c r="B46" s="11"/>
      <c r="C46" s="14"/>
      <c r="D46" s="14"/>
      <c r="E46" s="14"/>
      <c r="F46" s="11"/>
      <c r="G46" s="13"/>
      <c r="H46" s="12"/>
    </row>
    <row r="47">
      <c r="A47" s="12"/>
      <c r="B47" s="11"/>
      <c r="C47" s="14"/>
      <c r="D47" s="14"/>
      <c r="E47" s="14"/>
      <c r="F47" s="11"/>
      <c r="G47" s="13"/>
      <c r="H47" s="12"/>
    </row>
    <row r="48">
      <c r="A48" s="12"/>
      <c r="B48" s="11"/>
      <c r="C48" s="14"/>
      <c r="D48" s="14"/>
      <c r="E48" s="14"/>
      <c r="F48" s="11"/>
      <c r="G48" s="13"/>
      <c r="H48" s="12"/>
    </row>
    <row r="49">
      <c r="A49" s="12"/>
      <c r="B49" s="11"/>
      <c r="C49" s="14"/>
      <c r="D49" s="14"/>
      <c r="E49" s="14"/>
      <c r="F49" s="11"/>
      <c r="G49" s="13"/>
      <c r="H49" s="12"/>
    </row>
    <row r="50">
      <c r="A50" s="12"/>
      <c r="B50" s="11"/>
      <c r="C50" s="14"/>
      <c r="D50" s="14"/>
      <c r="E50" s="14"/>
      <c r="F50" s="11"/>
      <c r="G50" s="13"/>
      <c r="H50" s="12"/>
    </row>
    <row r="51">
      <c r="A51" s="12"/>
      <c r="B51" s="11"/>
      <c r="C51" s="14"/>
      <c r="D51" s="14"/>
      <c r="E51" s="14"/>
      <c r="F51" s="11"/>
      <c r="G51" s="13"/>
      <c r="H51" s="12"/>
    </row>
    <row r="52">
      <c r="A52" s="12"/>
      <c r="B52" s="11"/>
      <c r="C52" s="14"/>
      <c r="D52" s="14"/>
      <c r="E52" s="14"/>
      <c r="F52" s="11"/>
      <c r="G52" s="13"/>
      <c r="H52" s="12"/>
    </row>
    <row r="53">
      <c r="A53" s="12"/>
      <c r="B53" s="11"/>
      <c r="C53" s="14"/>
      <c r="D53" s="14"/>
      <c r="E53" s="14"/>
      <c r="F53" s="11"/>
      <c r="G53" s="13"/>
      <c r="H53" s="12"/>
    </row>
    <row r="54">
      <c r="A54" s="12"/>
      <c r="B54" s="11"/>
      <c r="C54" s="14"/>
      <c r="D54" s="14"/>
      <c r="E54" s="14"/>
      <c r="F54" s="11"/>
      <c r="G54" s="13"/>
      <c r="H54" s="12"/>
    </row>
    <row r="55">
      <c r="A55" s="12"/>
      <c r="B55" s="11"/>
      <c r="C55" s="14"/>
      <c r="D55" s="14"/>
      <c r="E55" s="14"/>
      <c r="F55" s="11"/>
      <c r="G55" s="13"/>
      <c r="H55" s="12"/>
    </row>
    <row r="56">
      <c r="A56" s="12"/>
      <c r="B56" s="11"/>
      <c r="C56" s="14"/>
      <c r="D56" s="14"/>
      <c r="E56" s="14"/>
      <c r="F56" s="11"/>
      <c r="G56" s="13"/>
      <c r="H56" s="12"/>
    </row>
    <row r="57">
      <c r="A57" s="12"/>
      <c r="B57" s="11"/>
      <c r="C57" s="14"/>
      <c r="D57" s="14"/>
      <c r="E57" s="14"/>
      <c r="F57" s="11"/>
      <c r="G57" s="13"/>
      <c r="H57" s="12"/>
    </row>
    <row r="58">
      <c r="A58" s="12"/>
      <c r="B58" s="11"/>
      <c r="C58" s="14"/>
      <c r="D58" s="14"/>
      <c r="E58" s="14"/>
      <c r="F58" s="11"/>
      <c r="G58" s="13"/>
      <c r="H58" s="12"/>
    </row>
    <row r="59">
      <c r="A59" s="12"/>
      <c r="B59" s="11"/>
      <c r="C59" s="14"/>
      <c r="D59" s="14"/>
      <c r="E59" s="14"/>
      <c r="F59" s="11"/>
      <c r="G59" s="13"/>
      <c r="H59" s="12"/>
    </row>
    <row r="60">
      <c r="A60" s="12"/>
      <c r="B60" s="11"/>
      <c r="C60" s="14"/>
      <c r="D60" s="14"/>
      <c r="E60" s="14"/>
      <c r="F60" s="11"/>
      <c r="G60" s="13"/>
      <c r="H60" s="12"/>
    </row>
    <row r="61">
      <c r="A61" s="12"/>
      <c r="B61" s="11"/>
      <c r="C61" s="14"/>
      <c r="D61" s="14"/>
      <c r="E61" s="14"/>
      <c r="F61" s="11"/>
      <c r="G61" s="13"/>
      <c r="H61" s="12"/>
    </row>
    <row r="62">
      <c r="A62" s="12"/>
      <c r="B62" s="11"/>
      <c r="C62" s="14"/>
      <c r="D62" s="14"/>
      <c r="E62" s="14"/>
      <c r="F62" s="11"/>
      <c r="G62" s="13"/>
      <c r="H62" s="12"/>
    </row>
    <row r="63">
      <c r="A63" s="12"/>
      <c r="B63" s="11"/>
      <c r="C63" s="14"/>
      <c r="D63" s="14"/>
      <c r="E63" s="14"/>
      <c r="F63" s="11"/>
      <c r="G63" s="13"/>
      <c r="H63" s="12"/>
    </row>
    <row r="64">
      <c r="A64" s="12"/>
      <c r="B64" s="11"/>
      <c r="C64" s="14"/>
      <c r="D64" s="14"/>
      <c r="E64" s="14"/>
      <c r="F64" s="11"/>
      <c r="G64" s="13"/>
      <c r="H64" s="12"/>
    </row>
    <row r="65">
      <c r="A65" s="12"/>
      <c r="B65" s="11"/>
      <c r="C65" s="14"/>
      <c r="D65" s="14"/>
      <c r="E65" s="14"/>
      <c r="F65" s="11"/>
      <c r="G65" s="13"/>
      <c r="H65" s="12"/>
    </row>
    <row r="66">
      <c r="A66" s="12"/>
      <c r="B66" s="11"/>
      <c r="C66" s="14"/>
      <c r="D66" s="14"/>
      <c r="E66" s="14"/>
      <c r="F66" s="11"/>
      <c r="G66" s="13"/>
      <c r="H66" s="12"/>
    </row>
    <row r="67">
      <c r="A67" s="12"/>
      <c r="B67" s="11"/>
      <c r="C67" s="14"/>
      <c r="D67" s="14"/>
      <c r="E67" s="14"/>
      <c r="F67" s="11"/>
      <c r="G67" s="13"/>
      <c r="H67" s="12"/>
    </row>
    <row r="68">
      <c r="A68" s="12"/>
      <c r="B68" s="11"/>
      <c r="C68" s="14"/>
      <c r="D68" s="14"/>
      <c r="E68" s="14"/>
      <c r="F68" s="11"/>
      <c r="G68" s="13"/>
      <c r="H68" s="12"/>
    </row>
    <row r="69">
      <c r="A69" s="12"/>
      <c r="B69" s="11"/>
      <c r="C69" s="14"/>
      <c r="D69" s="14"/>
      <c r="E69" s="14"/>
      <c r="F69" s="11"/>
      <c r="G69" s="13"/>
      <c r="H69" s="12"/>
    </row>
    <row r="70">
      <c r="A70" s="12"/>
      <c r="B70" s="11"/>
      <c r="C70" s="14"/>
      <c r="D70" s="14"/>
      <c r="E70" s="14"/>
      <c r="F70" s="11"/>
      <c r="G70" s="13"/>
      <c r="H70" s="12"/>
    </row>
    <row r="71">
      <c r="A71" s="12"/>
      <c r="B71" s="11"/>
      <c r="C71" s="14"/>
      <c r="D71" s="14"/>
      <c r="E71" s="14"/>
      <c r="F71" s="11"/>
      <c r="G71" s="13"/>
      <c r="H71" s="12"/>
    </row>
    <row r="72">
      <c r="A72" s="12"/>
      <c r="B72" s="11"/>
      <c r="C72" s="14"/>
      <c r="D72" s="14"/>
      <c r="E72" s="14"/>
      <c r="F72" s="11"/>
      <c r="G72" s="13"/>
      <c r="H72" s="12"/>
    </row>
    <row r="73">
      <c r="A73" s="12"/>
      <c r="B73" s="11"/>
      <c r="C73" s="14"/>
      <c r="D73" s="14"/>
      <c r="E73" s="14"/>
      <c r="F73" s="11"/>
      <c r="G73" s="13"/>
      <c r="H73" s="12"/>
    </row>
    <row r="74">
      <c r="A74" s="12"/>
      <c r="B74" s="11"/>
      <c r="C74" s="14"/>
      <c r="D74" s="14"/>
      <c r="E74" s="14"/>
      <c r="F74" s="11"/>
      <c r="G74" s="13"/>
      <c r="H74" s="12"/>
    </row>
    <row r="75">
      <c r="A75" s="12"/>
      <c r="B75" s="11"/>
      <c r="C75" s="14"/>
      <c r="D75" s="14"/>
      <c r="E75" s="14"/>
      <c r="F75" s="11"/>
      <c r="G75" s="13"/>
      <c r="H75" s="12"/>
    </row>
    <row r="76">
      <c r="A76" s="12"/>
      <c r="B76" s="11"/>
      <c r="C76" s="14"/>
      <c r="D76" s="14"/>
      <c r="E76" s="14"/>
      <c r="F76" s="11"/>
      <c r="G76" s="13"/>
      <c r="H76" s="12"/>
    </row>
    <row r="77">
      <c r="A77" s="12"/>
      <c r="B77" s="11"/>
      <c r="C77" s="14"/>
      <c r="D77" s="14"/>
      <c r="E77" s="14"/>
      <c r="F77" s="11"/>
      <c r="G77" s="13"/>
      <c r="H77" s="12"/>
    </row>
    <row r="78">
      <c r="A78" s="12"/>
      <c r="B78" s="11"/>
      <c r="C78" s="14"/>
      <c r="D78" s="14"/>
      <c r="E78" s="14"/>
      <c r="F78" s="11"/>
      <c r="G78" s="13"/>
      <c r="H78" s="12"/>
    </row>
    <row r="79">
      <c r="A79" s="12"/>
      <c r="B79" s="11"/>
      <c r="C79" s="14"/>
      <c r="D79" s="14"/>
      <c r="E79" s="14"/>
      <c r="F79" s="11"/>
      <c r="G79" s="13"/>
      <c r="H79" s="12"/>
    </row>
    <row r="80">
      <c r="A80" s="12"/>
      <c r="B80" s="11"/>
      <c r="C80" s="14"/>
      <c r="D80" s="14"/>
      <c r="E80" s="14"/>
      <c r="F80" s="11"/>
      <c r="G80" s="13"/>
      <c r="H80" s="12"/>
    </row>
    <row r="81">
      <c r="A81" s="12"/>
      <c r="B81" s="11"/>
      <c r="C81" s="14"/>
      <c r="D81" s="14"/>
      <c r="E81" s="14"/>
      <c r="F81" s="11"/>
      <c r="G81" s="13"/>
      <c r="H81" s="12"/>
    </row>
    <row r="82">
      <c r="A82" s="12"/>
      <c r="B82" s="11"/>
      <c r="C82" s="14"/>
      <c r="D82" s="14"/>
      <c r="E82" s="14"/>
      <c r="F82" s="11"/>
      <c r="G82" s="13"/>
      <c r="H82" s="12"/>
    </row>
    <row r="83">
      <c r="A83" s="12"/>
      <c r="B83" s="11"/>
      <c r="C83" s="14"/>
      <c r="D83" s="14"/>
      <c r="E83" s="14"/>
      <c r="F83" s="11"/>
      <c r="G83" s="13"/>
      <c r="H83" s="12"/>
    </row>
  </sheetData>
  <sheetProtection sheet="1" objects="1" scenarios="1" formatCells="0" formatColumns="0" formatRows="0" selectLockedCells="1" selectUnlockedCells="1"/>
  <mergeCells count="2">
    <mergeCell ref="A1:H1"/>
    <mergeCell ref="A2:H2"/>
  </mergeCells>
  <conditionalFormatting sqref="H4:H83">
    <cfRule type="expression" dxfId="3" priority="1">
      <formula>$H4="Active"</formula>
    </cfRule>
  </conditionalFormatting>
  <conditionalFormatting sqref="H4:H83">
    <cfRule type="expression" dxfId="4" priority="2">
      <formula>$H4="Inactive"</formula>
    </cfRule>
  </conditionalFormatting>
  <dataValidations count="1">
    <dataValidation type="list" allowBlank="1" showInputMessage="1" showErrorMessage="1" sqref="H4:H83">
      <formula1>"Active,Inactive"</formula1>
    </dataValidation>
  </dataValidations>
  <printOptions horizontalCentered="1"/>
  <pageMargins left="0.4" right="0.4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BR164"/>
  <sheetViews>
    <sheetView showGridLines="0" workbookViewId="0">
      <pane xSplit="3" ySplit="4" topLeftCell="D5" activePane="bottomRight" state="frozen"/>
      <selection pane="bottomRight" activeCell="D5" sqref="D5"/>
    </sheetView>
  </sheetViews>
  <sheetFormatPr defaultRowHeight="15"/>
  <cols>
    <col min="1" max="1" width="15" customWidth="1"/>
    <col min="2" max="2" width="24" customWidth="1"/>
    <col min="3" max="3" width="12" customWidth="1"/>
    <col min="4" max="4" width="4.0" customWidth="1"/>
    <col min="5" max="5" width="4.6" customWidth="1"/>
    <col min="6" max="6" width="4.0" customWidth="1"/>
    <col min="7" max="7" width="4.6" customWidth="1"/>
    <col min="8" max="8" width="4.0" customWidth="1"/>
    <col min="9" max="9" width="4.6" customWidth="1"/>
    <col min="10" max="10" width="4.0" customWidth="1"/>
    <col min="11" max="11" width="4.6" customWidth="1"/>
    <col min="12" max="12" width="4.0" customWidth="1"/>
    <col min="13" max="13" width="4.6" customWidth="1"/>
    <col min="14" max="14" width="4.0" customWidth="1"/>
    <col min="15" max="15" width="4.6" customWidth="1"/>
    <col min="16" max="16" width="4.0" customWidth="1"/>
    <col min="17" max="17" width="4.6" customWidth="1"/>
    <col min="18" max="18" width="4.0" customWidth="1"/>
    <col min="19" max="19" width="4.6" customWidth="1"/>
    <col min="20" max="20" width="4.0" customWidth="1"/>
    <col min="21" max="21" width="4.6" customWidth="1"/>
    <col min="22" max="22" width="4.0" customWidth="1"/>
    <col min="23" max="23" width="4.6" customWidth="1"/>
    <col min="24" max="24" width="4.0" customWidth="1"/>
    <col min="25" max="25" width="4.6" customWidth="1"/>
    <col min="26" max="26" width="4.0" customWidth="1"/>
    <col min="27" max="27" width="4.6" customWidth="1"/>
    <col min="28" max="28" width="4.0" customWidth="1"/>
    <col min="29" max="29" width="4.6" customWidth="1"/>
    <col min="30" max="30" width="4.0" customWidth="1"/>
    <col min="31" max="31" width="4.6" customWidth="1"/>
    <col min="32" max="32" width="4.0" customWidth="1"/>
    <col min="33" max="33" width="4.6" customWidth="1"/>
    <col min="34" max="34" width="4.0" customWidth="1"/>
    <col min="35" max="35" width="4.6" customWidth="1"/>
    <col min="36" max="36" width="4.0" customWidth="1"/>
    <col min="37" max="37" width="4.6" customWidth="1"/>
    <col min="38" max="38" width="4.0" customWidth="1"/>
    <col min="39" max="39" width="4.6" customWidth="1"/>
    <col min="40" max="40" width="4.0" customWidth="1"/>
    <col min="41" max="41" width="4.6" customWidth="1"/>
    <col min="42" max="42" width="4.0" customWidth="1"/>
    <col min="43" max="43" width="4.6" customWidth="1"/>
    <col min="44" max="44" width="4.0" customWidth="1"/>
    <col min="45" max="45" width="4.6" customWidth="1"/>
    <col min="46" max="46" width="4.0" customWidth="1"/>
    <col min="47" max="47" width="4.6" customWidth="1"/>
    <col min="48" max="48" width="4.0" customWidth="1"/>
    <col min="49" max="49" width="4.6" customWidth="1"/>
    <col min="50" max="50" width="4.0" customWidth="1"/>
    <col min="51" max="51" width="4.6" customWidth="1"/>
    <col min="52" max="52" width="4.0" customWidth="1"/>
    <col min="53" max="53" width="4.6" customWidth="1"/>
    <col min="54" max="54" width="4.0" customWidth="1"/>
    <col min="55" max="55" width="4.6" customWidth="1"/>
    <col min="56" max="56" width="4.0" customWidth="1"/>
    <col min="57" max="57" width="4.6" customWidth="1"/>
    <col min="58" max="58" width="4.0" customWidth="1"/>
    <col min="59" max="59" width="4.6" customWidth="1"/>
    <col min="60" max="60" width="4.0" customWidth="1"/>
    <col min="61" max="61" width="4.6" customWidth="1"/>
    <col min="62" max="62" width="4.0" customWidth="1"/>
    <col min="63" max="63" width="4.6" customWidth="1"/>
    <col min="64" max="64" width="4.0" customWidth="1"/>
    <col min="65" max="65" width="4.6" customWidth="1"/>
    <col min="66" max="66" width="9" customWidth="1"/>
    <col min="67" max="67" width="9" customWidth="1"/>
    <col min="68" max="68" width="14" customWidth="1"/>
    <col min="69" max="69" width="14" customWidth="1"/>
    <col min="70" max="70" width="15" customWidth="1"/>
  </cols>
  <sheetData>
    <row r="1" ht="34" customHeight="1">
      <c r="A1" s="1" t="inlineStr">
        <is>
          <t xml:space="preserve">  DAILY ATTENDANCE &amp; OVERTIME  —  monthly entry sheet</t>
        </is>
      </c>
    </row>
    <row r="2" ht="18" customHeight="1">
      <c r="A2" s="3">
        <f>"  Month: "&amp;PayrollMonth&amp;"     Enter 1 (present) or 0 (absent) under Wk, and overtime hours under OT.   Green = present, Amber = overtime.  Names and totals fill in automatically."</f>
      </c>
    </row>
    <row r="3" ht="20" customHeight="1">
      <c r="A3" s="5" t="inlineStr">
        <is>
          <t xml:space="preserve">Employee ID</t>
        </is>
      </c>
      <c r="B3" s="5" t="inlineStr">
        <is>
          <t xml:space="preserve">Employee Name</t>
        </is>
      </c>
      <c r="C3" s="5" t="inlineStr">
        <is>
          <t xml:space="preserve">Type</t>
        </is>
      </c>
      <c r="D3" s="7">
        <v>1</v>
      </c>
      <c r="F3" s="7">
        <v>2</v>
      </c>
      <c r="H3" s="7">
        <v>3</v>
      </c>
      <c r="J3" s="7">
        <v>4</v>
      </c>
      <c r="L3" s="7">
        <v>5</v>
      </c>
      <c r="N3" s="7">
        <v>6</v>
      </c>
      <c r="P3" s="7">
        <v>7</v>
      </c>
      <c r="R3" s="7">
        <v>8</v>
      </c>
      <c r="T3" s="7">
        <v>9</v>
      </c>
      <c r="V3" s="7">
        <v>10</v>
      </c>
      <c r="X3" s="7">
        <v>11</v>
      </c>
      <c r="Z3" s="7">
        <v>12</v>
      </c>
      <c r="AB3" s="7">
        <v>13</v>
      </c>
      <c r="AD3" s="7">
        <v>14</v>
      </c>
      <c r="AF3" s="7">
        <v>15</v>
      </c>
      <c r="AH3" s="8">
        <v>16</v>
      </c>
      <c r="AJ3" s="8">
        <v>17</v>
      </c>
      <c r="AL3" s="8">
        <v>18</v>
      </c>
      <c r="AN3" s="8">
        <v>19</v>
      </c>
      <c r="AP3" s="8">
        <v>20</v>
      </c>
      <c r="AR3" s="8">
        <v>21</v>
      </c>
      <c r="AT3" s="8">
        <v>22</v>
      </c>
      <c r="AV3" s="8">
        <v>23</v>
      </c>
      <c r="AX3" s="8">
        <v>24</v>
      </c>
      <c r="AZ3" s="8">
        <v>25</v>
      </c>
      <c r="BB3" s="8">
        <v>26</v>
      </c>
      <c r="BD3" s="8">
        <v>27</v>
      </c>
      <c r="BF3" s="8">
        <v>28</v>
      </c>
      <c r="BH3" s="8">
        <v>29</v>
      </c>
      <c r="BJ3" s="8">
        <v>30</v>
      </c>
      <c r="BL3" s="8">
        <v>31</v>
      </c>
      <c r="BN3" s="10" t="inlineStr">
        <is>
          <t xml:space="preserve">MONTHLY SUMMARY</t>
        </is>
      </c>
    </row>
    <row r="4" ht="18" customHeight="1">
      <c r="D4" s="9" t="inlineStr">
        <is>
          <t xml:space="preserve">Wk</t>
        </is>
      </c>
      <c r="E4" s="9" t="inlineStr">
        <is>
          <t xml:space="preserve">OT</t>
        </is>
      </c>
      <c r="F4" s="9" t="inlineStr">
        <is>
          <t xml:space="preserve">Wk</t>
        </is>
      </c>
      <c r="G4" s="9" t="inlineStr">
        <is>
          <t xml:space="preserve">OT</t>
        </is>
      </c>
      <c r="H4" s="9" t="inlineStr">
        <is>
          <t xml:space="preserve">Wk</t>
        </is>
      </c>
      <c r="I4" s="9" t="inlineStr">
        <is>
          <t xml:space="preserve">OT</t>
        </is>
      </c>
      <c r="J4" s="9" t="inlineStr">
        <is>
          <t xml:space="preserve">Wk</t>
        </is>
      </c>
      <c r="K4" s="9" t="inlineStr">
        <is>
          <t xml:space="preserve">OT</t>
        </is>
      </c>
      <c r="L4" s="9" t="inlineStr">
        <is>
          <t xml:space="preserve">Wk</t>
        </is>
      </c>
      <c r="M4" s="9" t="inlineStr">
        <is>
          <t xml:space="preserve">OT</t>
        </is>
      </c>
      <c r="N4" s="9" t="inlineStr">
        <is>
          <t xml:space="preserve">Wk</t>
        </is>
      </c>
      <c r="O4" s="9" t="inlineStr">
        <is>
          <t xml:space="preserve">OT</t>
        </is>
      </c>
      <c r="P4" s="9" t="inlineStr">
        <is>
          <t xml:space="preserve">Wk</t>
        </is>
      </c>
      <c r="Q4" s="9" t="inlineStr">
        <is>
          <t xml:space="preserve">OT</t>
        </is>
      </c>
      <c r="R4" s="9" t="inlineStr">
        <is>
          <t xml:space="preserve">Wk</t>
        </is>
      </c>
      <c r="S4" s="9" t="inlineStr">
        <is>
          <t xml:space="preserve">OT</t>
        </is>
      </c>
      <c r="T4" s="9" t="inlineStr">
        <is>
          <t xml:space="preserve">Wk</t>
        </is>
      </c>
      <c r="U4" s="9" t="inlineStr">
        <is>
          <t xml:space="preserve">OT</t>
        </is>
      </c>
      <c r="V4" s="9" t="inlineStr">
        <is>
          <t xml:space="preserve">Wk</t>
        </is>
      </c>
      <c r="W4" s="9" t="inlineStr">
        <is>
          <t xml:space="preserve">OT</t>
        </is>
      </c>
      <c r="X4" s="9" t="inlineStr">
        <is>
          <t xml:space="preserve">Wk</t>
        </is>
      </c>
      <c r="Y4" s="9" t="inlineStr">
        <is>
          <t xml:space="preserve">OT</t>
        </is>
      </c>
      <c r="Z4" s="9" t="inlineStr">
        <is>
          <t xml:space="preserve">Wk</t>
        </is>
      </c>
      <c r="AA4" s="9" t="inlineStr">
        <is>
          <t xml:space="preserve">OT</t>
        </is>
      </c>
      <c r="AB4" s="9" t="inlineStr">
        <is>
          <t xml:space="preserve">Wk</t>
        </is>
      </c>
      <c r="AC4" s="9" t="inlineStr">
        <is>
          <t xml:space="preserve">OT</t>
        </is>
      </c>
      <c r="AD4" s="9" t="inlineStr">
        <is>
          <t xml:space="preserve">Wk</t>
        </is>
      </c>
      <c r="AE4" s="9" t="inlineStr">
        <is>
          <t xml:space="preserve">OT</t>
        </is>
      </c>
      <c r="AF4" s="9" t="inlineStr">
        <is>
          <t xml:space="preserve">Wk</t>
        </is>
      </c>
      <c r="AG4" s="9" t="inlineStr">
        <is>
          <t xml:space="preserve">OT</t>
        </is>
      </c>
      <c r="AH4" s="9" t="inlineStr">
        <is>
          <t xml:space="preserve">Wk</t>
        </is>
      </c>
      <c r="AI4" s="9" t="inlineStr">
        <is>
          <t xml:space="preserve">OT</t>
        </is>
      </c>
      <c r="AJ4" s="9" t="inlineStr">
        <is>
          <t xml:space="preserve">Wk</t>
        </is>
      </c>
      <c r="AK4" s="9" t="inlineStr">
        <is>
          <t xml:space="preserve">OT</t>
        </is>
      </c>
      <c r="AL4" s="9" t="inlineStr">
        <is>
          <t xml:space="preserve">Wk</t>
        </is>
      </c>
      <c r="AM4" s="9" t="inlineStr">
        <is>
          <t xml:space="preserve">OT</t>
        </is>
      </c>
      <c r="AN4" s="9" t="inlineStr">
        <is>
          <t xml:space="preserve">Wk</t>
        </is>
      </c>
      <c r="AO4" s="9" t="inlineStr">
        <is>
          <t xml:space="preserve">OT</t>
        </is>
      </c>
      <c r="AP4" s="9" t="inlineStr">
        <is>
          <t xml:space="preserve">Wk</t>
        </is>
      </c>
      <c r="AQ4" s="9" t="inlineStr">
        <is>
          <t xml:space="preserve">OT</t>
        </is>
      </c>
      <c r="AR4" s="9" t="inlineStr">
        <is>
          <t xml:space="preserve">Wk</t>
        </is>
      </c>
      <c r="AS4" s="9" t="inlineStr">
        <is>
          <t xml:space="preserve">OT</t>
        </is>
      </c>
      <c r="AT4" s="9" t="inlineStr">
        <is>
          <t xml:space="preserve">Wk</t>
        </is>
      </c>
      <c r="AU4" s="9" t="inlineStr">
        <is>
          <t xml:space="preserve">OT</t>
        </is>
      </c>
      <c r="AV4" s="9" t="inlineStr">
        <is>
          <t xml:space="preserve">Wk</t>
        </is>
      </c>
      <c r="AW4" s="9" t="inlineStr">
        <is>
          <t xml:space="preserve">OT</t>
        </is>
      </c>
      <c r="AX4" s="9" t="inlineStr">
        <is>
          <t xml:space="preserve">Wk</t>
        </is>
      </c>
      <c r="AY4" s="9" t="inlineStr">
        <is>
          <t xml:space="preserve">OT</t>
        </is>
      </c>
      <c r="AZ4" s="9" t="inlineStr">
        <is>
          <t xml:space="preserve">Wk</t>
        </is>
      </c>
      <c r="BA4" s="9" t="inlineStr">
        <is>
          <t xml:space="preserve">OT</t>
        </is>
      </c>
      <c r="BB4" s="9" t="inlineStr">
        <is>
          <t xml:space="preserve">Wk</t>
        </is>
      </c>
      <c r="BC4" s="9" t="inlineStr">
        <is>
          <t xml:space="preserve">OT</t>
        </is>
      </c>
      <c r="BD4" s="9" t="inlineStr">
        <is>
          <t xml:space="preserve">Wk</t>
        </is>
      </c>
      <c r="BE4" s="9" t="inlineStr">
        <is>
          <t xml:space="preserve">OT</t>
        </is>
      </c>
      <c r="BF4" s="9" t="inlineStr">
        <is>
          <t xml:space="preserve">Wk</t>
        </is>
      </c>
      <c r="BG4" s="9" t="inlineStr">
        <is>
          <t xml:space="preserve">OT</t>
        </is>
      </c>
      <c r="BH4" s="9" t="inlineStr">
        <is>
          <t xml:space="preserve">Wk</t>
        </is>
      </c>
      <c r="BI4" s="9" t="inlineStr">
        <is>
          <t xml:space="preserve">OT</t>
        </is>
      </c>
      <c r="BJ4" s="9" t="inlineStr">
        <is>
          <t xml:space="preserve">Wk</t>
        </is>
      </c>
      <c r="BK4" s="9" t="inlineStr">
        <is>
          <t xml:space="preserve">OT</t>
        </is>
      </c>
      <c r="BL4" s="9" t="inlineStr">
        <is>
          <t xml:space="preserve">Wk</t>
        </is>
      </c>
      <c r="BM4" s="9" t="inlineStr">
        <is>
          <t xml:space="preserve">OT</t>
        </is>
      </c>
      <c r="BN4" s="10" t="inlineStr">
        <is>
          <t xml:space="preserve">Worked Days</t>
        </is>
      </c>
      <c r="BO4" s="10" t="inlineStr">
        <is>
          <t xml:space="preserve">OT Hrs</t>
        </is>
      </c>
      <c r="BP4" s="10" t="inlineStr">
        <is>
          <t xml:space="preserve">Regular Salary</t>
        </is>
      </c>
      <c r="BQ4" s="10" t="inlineStr">
        <is>
          <t xml:space="preserve">Overtime Pay</t>
        </is>
      </c>
      <c r="BR4" s="10" t="inlineStr">
        <is>
          <t xml:space="preserve">Total Salary</t>
        </is>
      </c>
    </row>
    <row r="5">
      <c r="A5" s="17">
        <f>IFERROR(IF((ROW()-4)&lt;=COUNTA(Workers_ID),INDEX(Workers_ID,(ROW()-4)),IF((ROW()-4)&lt;=COUNTA(Workers_ID)+COUNTA(Laborers_ID),INDEX(Laborers_ID,(ROW()-4)-COUNTA(Workers_ID)),"")),"")</f>
      </c>
      <c r="B5" s="18">
        <f>IF($A5="","",IFERROR(VLOOKUP($A5,Workers_Data,2,FALSE),IFERROR(VLOOKUP($A5,Laborers_Data,2,FALSE),"")))</f>
      </c>
      <c r="C5" s="19">
        <f>IF($A5="","",IF(COUNTIF(Workers_ID,$A5)&gt;0,"Worker",IF(COUNTIF(Laborers_ID,$A5)&gt;0,"Laborer","")))</f>
      </c>
      <c r="D5" s="15"/>
      <c r="E5" s="16"/>
      <c r="F5" s="15"/>
      <c r="G5" s="16"/>
      <c r="H5" s="15"/>
      <c r="I5" s="16"/>
      <c r="J5" s="15"/>
      <c r="K5" s="16"/>
      <c r="L5" s="15"/>
      <c r="M5" s="16"/>
      <c r="N5" s="15"/>
      <c r="O5" s="16"/>
      <c r="P5" s="15"/>
      <c r="Q5" s="16"/>
      <c r="R5" s="15"/>
      <c r="S5" s="16"/>
      <c r="T5" s="15"/>
      <c r="U5" s="16"/>
      <c r="V5" s="15"/>
      <c r="W5" s="16"/>
      <c r="X5" s="15"/>
      <c r="Y5" s="16"/>
      <c r="Z5" s="15"/>
      <c r="AA5" s="16"/>
      <c r="AB5" s="15"/>
      <c r="AC5" s="16"/>
      <c r="AD5" s="15"/>
      <c r="AE5" s="16"/>
      <c r="AF5" s="15"/>
      <c r="AG5" s="16"/>
      <c r="AH5" s="15"/>
      <c r="AI5" s="16"/>
      <c r="AJ5" s="15"/>
      <c r="AK5" s="16"/>
      <c r="AL5" s="15"/>
      <c r="AM5" s="16"/>
      <c r="AN5" s="15"/>
      <c r="AO5" s="16"/>
      <c r="AP5" s="15"/>
      <c r="AQ5" s="16"/>
      <c r="AR5" s="15"/>
      <c r="AS5" s="16"/>
      <c r="AT5" s="15"/>
      <c r="AU5" s="16"/>
      <c r="AV5" s="15"/>
      <c r="AW5" s="16"/>
      <c r="AX5" s="15"/>
      <c r="AY5" s="16"/>
      <c r="AZ5" s="15"/>
      <c r="BA5" s="16"/>
      <c r="BB5" s="15"/>
      <c r="BC5" s="16"/>
      <c r="BD5" s="15"/>
      <c r="BE5" s="16"/>
      <c r="BF5" s="15"/>
      <c r="BG5" s="16"/>
      <c r="BH5" s="15"/>
      <c r="BI5" s="16"/>
      <c r="BJ5" s="15"/>
      <c r="BK5" s="16"/>
      <c r="BL5" s="15"/>
      <c r="BM5" s="16"/>
      <c r="BN5" s="20">
        <f>IF($A5="","",SUMPRODUCT((MOD(COLUMN($D5:$BM5)-COLUMN($D5),2)=0)*$D5:$BM5))</f>
      </c>
      <c r="BO5" s="21">
        <f>IF($A5="","",SUMPRODUCT((MOD(COLUMN($D5:$BM5)-COLUMN($D5),2)=1)*$D5:$BM5))</f>
      </c>
      <c r="BP5" s="22">
        <f>IF($A5="","",$BN5*IF($C5="Worker",Worker_DailyWage,IF($C5="Laborer",Laborer_DailyWage,0)))</f>
      </c>
      <c r="BQ5" s="22">
        <f>IF($A5="","",$BO5*IF($C5="Worker",Worker_OTRate,IF($C5="Laborer",Laborer_OTRate,0)))</f>
      </c>
      <c r="BR5" s="23">
        <f>IF($A5="","",$BP5+$BQ5)</f>
      </c>
    </row>
    <row r="6">
      <c r="A6" s="17">
        <f>IFERROR(IF((ROW()-4)&lt;=COUNTA(Workers_ID),INDEX(Workers_ID,(ROW()-4)),IF((ROW()-4)&lt;=COUNTA(Workers_ID)+COUNTA(Laborers_ID),INDEX(Laborers_ID,(ROW()-4)-COUNTA(Workers_ID)),"")),"")</f>
      </c>
      <c r="B6" s="18">
        <f>IF($A6="","",IFERROR(VLOOKUP($A6,Workers_Data,2,FALSE),IFERROR(VLOOKUP($A6,Laborers_Data,2,FALSE),"")))</f>
      </c>
      <c r="C6" s="19">
        <f>IF($A6="","",IF(COUNTIF(Workers_ID,$A6)&gt;0,"Worker",IF(COUNTIF(Laborers_ID,$A6)&gt;0,"Laborer","")))</f>
      </c>
      <c r="D6" s="15"/>
      <c r="E6" s="16"/>
      <c r="F6" s="15"/>
      <c r="G6" s="16"/>
      <c r="H6" s="15"/>
      <c r="I6" s="16"/>
      <c r="J6" s="15"/>
      <c r="K6" s="16"/>
      <c r="L6" s="15"/>
      <c r="M6" s="16"/>
      <c r="N6" s="15"/>
      <c r="O6" s="16"/>
      <c r="P6" s="15"/>
      <c r="Q6" s="16"/>
      <c r="R6" s="15"/>
      <c r="S6" s="16"/>
      <c r="T6" s="15"/>
      <c r="U6" s="16"/>
      <c r="V6" s="15"/>
      <c r="W6" s="16"/>
      <c r="X6" s="15"/>
      <c r="Y6" s="16"/>
      <c r="Z6" s="15"/>
      <c r="AA6" s="16"/>
      <c r="AB6" s="15"/>
      <c r="AC6" s="16"/>
      <c r="AD6" s="15"/>
      <c r="AE6" s="16"/>
      <c r="AF6" s="15"/>
      <c r="AG6" s="16"/>
      <c r="AH6" s="15"/>
      <c r="AI6" s="16"/>
      <c r="AJ6" s="15"/>
      <c r="AK6" s="16"/>
      <c r="AL6" s="15"/>
      <c r="AM6" s="16"/>
      <c r="AN6" s="15"/>
      <c r="AO6" s="16"/>
      <c r="AP6" s="15"/>
      <c r="AQ6" s="16"/>
      <c r="AR6" s="15"/>
      <c r="AS6" s="16"/>
      <c r="AT6" s="15"/>
      <c r="AU6" s="16"/>
      <c r="AV6" s="15"/>
      <c r="AW6" s="16"/>
      <c r="AX6" s="15"/>
      <c r="AY6" s="16"/>
      <c r="AZ6" s="15"/>
      <c r="BA6" s="16"/>
      <c r="BB6" s="15"/>
      <c r="BC6" s="16"/>
      <c r="BD6" s="15"/>
      <c r="BE6" s="16"/>
      <c r="BF6" s="15"/>
      <c r="BG6" s="16"/>
      <c r="BH6" s="15"/>
      <c r="BI6" s="16"/>
      <c r="BJ6" s="15"/>
      <c r="BK6" s="16"/>
      <c r="BL6" s="15"/>
      <c r="BM6" s="16"/>
      <c r="BN6" s="20">
        <f>IF($A6="","",SUMPRODUCT((MOD(COLUMN($D6:$BM6)-COLUMN($D6),2)=0)*$D6:$BM6))</f>
      </c>
      <c r="BO6" s="21">
        <f>IF($A6="","",SUMPRODUCT((MOD(COLUMN($D6:$BM6)-COLUMN($D6),2)=1)*$D6:$BM6))</f>
      </c>
      <c r="BP6" s="22">
        <f>IF($A6="","",$BN6*IF($C6="Worker",Worker_DailyWage,IF($C6="Laborer",Laborer_DailyWage,0)))</f>
      </c>
      <c r="BQ6" s="22">
        <f>IF($A6="","",$BO6*IF($C6="Worker",Worker_OTRate,IF($C6="Laborer",Laborer_OTRate,0)))</f>
      </c>
      <c r="BR6" s="23">
        <f>IF($A6="","",$BP6+$BQ6)</f>
      </c>
    </row>
    <row r="7">
      <c r="A7" s="17">
        <f>IFERROR(IF((ROW()-4)&lt;=COUNTA(Workers_ID),INDEX(Workers_ID,(ROW()-4)),IF((ROW()-4)&lt;=COUNTA(Workers_ID)+COUNTA(Laborers_ID),INDEX(Laborers_ID,(ROW()-4)-COUNTA(Workers_ID)),"")),"")</f>
      </c>
      <c r="B7" s="18">
        <f>IF($A7="","",IFERROR(VLOOKUP($A7,Workers_Data,2,FALSE),IFERROR(VLOOKUP($A7,Laborers_Data,2,FALSE),"")))</f>
      </c>
      <c r="C7" s="19">
        <f>IF($A7="","",IF(COUNTIF(Workers_ID,$A7)&gt;0,"Worker",IF(COUNTIF(Laborers_ID,$A7)&gt;0,"Laborer","")))</f>
      </c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15"/>
      <c r="BM7" s="16"/>
      <c r="BN7" s="20">
        <f>IF($A7="","",SUMPRODUCT((MOD(COLUMN($D7:$BM7)-COLUMN($D7),2)=0)*$D7:$BM7))</f>
      </c>
      <c r="BO7" s="21">
        <f>IF($A7="","",SUMPRODUCT((MOD(COLUMN($D7:$BM7)-COLUMN($D7),2)=1)*$D7:$BM7))</f>
      </c>
      <c r="BP7" s="22">
        <f>IF($A7="","",$BN7*IF($C7="Worker",Worker_DailyWage,IF($C7="Laborer",Laborer_DailyWage,0)))</f>
      </c>
      <c r="BQ7" s="22">
        <f>IF($A7="","",$BO7*IF($C7="Worker",Worker_OTRate,IF($C7="Laborer",Laborer_OTRate,0)))</f>
      </c>
      <c r="BR7" s="23">
        <f>IF($A7="","",$BP7+$BQ7)</f>
      </c>
    </row>
    <row r="8">
      <c r="A8" s="17">
        <f>IFERROR(IF((ROW()-4)&lt;=COUNTA(Workers_ID),INDEX(Workers_ID,(ROW()-4)),IF((ROW()-4)&lt;=COUNTA(Workers_ID)+COUNTA(Laborers_ID),INDEX(Laborers_ID,(ROW()-4)-COUNTA(Workers_ID)),"")),"")</f>
      </c>
      <c r="B8" s="18">
        <f>IF($A8="","",IFERROR(VLOOKUP($A8,Workers_Data,2,FALSE),IFERROR(VLOOKUP($A8,Laborers_Data,2,FALSE),"")))</f>
      </c>
      <c r="C8" s="19">
        <f>IF($A8="","",IF(COUNTIF(Workers_ID,$A8)&gt;0,"Worker",IF(COUNTIF(Laborers_ID,$A8)&gt;0,"Laborer","")))</f>
      </c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15"/>
      <c r="BM8" s="16"/>
      <c r="BN8" s="20">
        <f>IF($A8="","",SUMPRODUCT((MOD(COLUMN($D8:$BM8)-COLUMN($D8),2)=0)*$D8:$BM8))</f>
      </c>
      <c r="BO8" s="21">
        <f>IF($A8="","",SUMPRODUCT((MOD(COLUMN($D8:$BM8)-COLUMN($D8),2)=1)*$D8:$BM8))</f>
      </c>
      <c r="BP8" s="22">
        <f>IF($A8="","",$BN8*IF($C8="Worker",Worker_DailyWage,IF($C8="Laborer",Laborer_DailyWage,0)))</f>
      </c>
      <c r="BQ8" s="22">
        <f>IF($A8="","",$BO8*IF($C8="Worker",Worker_OTRate,IF($C8="Laborer",Laborer_OTRate,0)))</f>
      </c>
      <c r="BR8" s="23">
        <f>IF($A8="","",$BP8+$BQ8)</f>
      </c>
    </row>
    <row r="9">
      <c r="A9" s="17">
        <f>IFERROR(IF((ROW()-4)&lt;=COUNTA(Workers_ID),INDEX(Workers_ID,(ROW()-4)),IF((ROW()-4)&lt;=COUNTA(Workers_ID)+COUNTA(Laborers_ID),INDEX(Laborers_ID,(ROW()-4)-COUNTA(Workers_ID)),"")),"")</f>
      </c>
      <c r="B9" s="18">
        <f>IF($A9="","",IFERROR(VLOOKUP($A9,Workers_Data,2,FALSE),IFERROR(VLOOKUP($A9,Laborers_Data,2,FALSE),"")))</f>
      </c>
      <c r="C9" s="19">
        <f>IF($A9="","",IF(COUNTIF(Workers_ID,$A9)&gt;0,"Worker",IF(COUNTIF(Laborers_ID,$A9)&gt;0,"Laborer","")))</f>
      </c>
      <c r="D9" s="15"/>
      <c r="E9" s="16"/>
      <c r="F9" s="15"/>
      <c r="G9" s="16"/>
      <c r="H9" s="15"/>
      <c r="I9" s="16"/>
      <c r="J9" s="15"/>
      <c r="K9" s="16"/>
      <c r="L9" s="15"/>
      <c r="M9" s="16"/>
      <c r="N9" s="15"/>
      <c r="O9" s="16"/>
      <c r="P9" s="15"/>
      <c r="Q9" s="16"/>
      <c r="R9" s="15"/>
      <c r="S9" s="16"/>
      <c r="T9" s="15"/>
      <c r="U9" s="16"/>
      <c r="V9" s="15"/>
      <c r="W9" s="16"/>
      <c r="X9" s="15"/>
      <c r="Y9" s="16"/>
      <c r="Z9" s="15"/>
      <c r="AA9" s="16"/>
      <c r="AB9" s="15"/>
      <c r="AC9" s="16"/>
      <c r="AD9" s="15"/>
      <c r="AE9" s="16"/>
      <c r="AF9" s="15"/>
      <c r="AG9" s="16"/>
      <c r="AH9" s="15"/>
      <c r="AI9" s="16"/>
      <c r="AJ9" s="15"/>
      <c r="AK9" s="16"/>
      <c r="AL9" s="15"/>
      <c r="AM9" s="16"/>
      <c r="AN9" s="15"/>
      <c r="AO9" s="16"/>
      <c r="AP9" s="15"/>
      <c r="AQ9" s="16"/>
      <c r="AR9" s="15"/>
      <c r="AS9" s="16"/>
      <c r="AT9" s="15"/>
      <c r="AU9" s="16"/>
      <c r="AV9" s="15"/>
      <c r="AW9" s="16"/>
      <c r="AX9" s="15"/>
      <c r="AY9" s="16"/>
      <c r="AZ9" s="15"/>
      <c r="BA9" s="16"/>
      <c r="BB9" s="15"/>
      <c r="BC9" s="16"/>
      <c r="BD9" s="15"/>
      <c r="BE9" s="16"/>
      <c r="BF9" s="15"/>
      <c r="BG9" s="16"/>
      <c r="BH9" s="15"/>
      <c r="BI9" s="16"/>
      <c r="BJ9" s="15"/>
      <c r="BK9" s="16"/>
      <c r="BL9" s="15"/>
      <c r="BM9" s="16"/>
      <c r="BN9" s="20">
        <f>IF($A9="","",SUMPRODUCT((MOD(COLUMN($D9:$BM9)-COLUMN($D9),2)=0)*$D9:$BM9))</f>
      </c>
      <c r="BO9" s="21">
        <f>IF($A9="","",SUMPRODUCT((MOD(COLUMN($D9:$BM9)-COLUMN($D9),2)=1)*$D9:$BM9))</f>
      </c>
      <c r="BP9" s="22">
        <f>IF($A9="","",$BN9*IF($C9="Worker",Worker_DailyWage,IF($C9="Laborer",Laborer_DailyWage,0)))</f>
      </c>
      <c r="BQ9" s="22">
        <f>IF($A9="","",$BO9*IF($C9="Worker",Worker_OTRate,IF($C9="Laborer",Laborer_OTRate,0)))</f>
      </c>
      <c r="BR9" s="23">
        <f>IF($A9="","",$BP9+$BQ9)</f>
      </c>
    </row>
    <row r="10">
      <c r="A10" s="17">
        <f>IFERROR(IF((ROW()-4)&lt;=COUNTA(Workers_ID),INDEX(Workers_ID,(ROW()-4)),IF((ROW()-4)&lt;=COUNTA(Workers_ID)+COUNTA(Laborers_ID),INDEX(Laborers_ID,(ROW()-4)-COUNTA(Workers_ID)),"")),"")</f>
      </c>
      <c r="B10" s="18">
        <f>IF($A10="","",IFERROR(VLOOKUP($A10,Workers_Data,2,FALSE),IFERROR(VLOOKUP($A10,Laborers_Data,2,FALSE),"")))</f>
      </c>
      <c r="C10" s="19">
        <f>IF($A10="","",IF(COUNTIF(Workers_ID,$A10)&gt;0,"Worker",IF(COUNTIF(Laborers_ID,$A10)&gt;0,"Laborer","")))</f>
      </c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15"/>
      <c r="BM10" s="16"/>
      <c r="BN10" s="20">
        <f>IF($A10="","",SUMPRODUCT((MOD(COLUMN($D10:$BM10)-COLUMN($D10),2)=0)*$D10:$BM10))</f>
      </c>
      <c r="BO10" s="21">
        <f>IF($A10="","",SUMPRODUCT((MOD(COLUMN($D10:$BM10)-COLUMN($D10),2)=1)*$D10:$BM10))</f>
      </c>
      <c r="BP10" s="22">
        <f>IF($A10="","",$BN10*IF($C10="Worker",Worker_DailyWage,IF($C10="Laborer",Laborer_DailyWage,0)))</f>
      </c>
      <c r="BQ10" s="22">
        <f>IF($A10="","",$BO10*IF($C10="Worker",Worker_OTRate,IF($C10="Laborer",Laborer_OTRate,0)))</f>
      </c>
      <c r="BR10" s="23">
        <f>IF($A10="","",$BP10+$BQ10)</f>
      </c>
    </row>
    <row r="11">
      <c r="A11" s="17">
        <f>IFERROR(IF((ROW()-4)&lt;=COUNTA(Workers_ID),INDEX(Workers_ID,(ROW()-4)),IF((ROW()-4)&lt;=COUNTA(Workers_ID)+COUNTA(Laborers_ID),INDEX(Laborers_ID,(ROW()-4)-COUNTA(Workers_ID)),"")),"")</f>
      </c>
      <c r="B11" s="18">
        <f>IF($A11="","",IFERROR(VLOOKUP($A11,Workers_Data,2,FALSE),IFERROR(VLOOKUP($A11,Laborers_Data,2,FALSE),"")))</f>
      </c>
      <c r="C11" s="19">
        <f>IF($A11="","",IF(COUNTIF(Workers_ID,$A11)&gt;0,"Worker",IF(COUNTIF(Laborers_ID,$A11)&gt;0,"Laborer","")))</f>
      </c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15"/>
      <c r="BM11" s="16"/>
      <c r="BN11" s="20">
        <f>IF($A11="","",SUMPRODUCT((MOD(COLUMN($D11:$BM11)-COLUMN($D11),2)=0)*$D11:$BM11))</f>
      </c>
      <c r="BO11" s="21">
        <f>IF($A11="","",SUMPRODUCT((MOD(COLUMN($D11:$BM11)-COLUMN($D11),2)=1)*$D11:$BM11))</f>
      </c>
      <c r="BP11" s="22">
        <f>IF($A11="","",$BN11*IF($C11="Worker",Worker_DailyWage,IF($C11="Laborer",Laborer_DailyWage,0)))</f>
      </c>
      <c r="BQ11" s="22">
        <f>IF($A11="","",$BO11*IF($C11="Worker",Worker_OTRate,IF($C11="Laborer",Laborer_OTRate,0)))</f>
      </c>
      <c r="BR11" s="23">
        <f>IF($A11="","",$BP11+$BQ11)</f>
      </c>
    </row>
    <row r="12">
      <c r="A12" s="17">
        <f>IFERROR(IF((ROW()-4)&lt;=COUNTA(Workers_ID),INDEX(Workers_ID,(ROW()-4)),IF((ROW()-4)&lt;=COUNTA(Workers_ID)+COUNTA(Laborers_ID),INDEX(Laborers_ID,(ROW()-4)-COUNTA(Workers_ID)),"")),"")</f>
      </c>
      <c r="B12" s="18">
        <f>IF($A12="","",IFERROR(VLOOKUP($A12,Workers_Data,2,FALSE),IFERROR(VLOOKUP($A12,Laborers_Data,2,FALSE),"")))</f>
      </c>
      <c r="C12" s="19">
        <f>IF($A12="","",IF(COUNTIF(Workers_ID,$A12)&gt;0,"Worker",IF(COUNTIF(Laborers_ID,$A12)&gt;0,"Laborer","")))</f>
      </c>
      <c r="D12" s="15"/>
      <c r="E12" s="16"/>
      <c r="F12" s="15"/>
      <c r="G12" s="16"/>
      <c r="H12" s="15"/>
      <c r="I12" s="16"/>
      <c r="J12" s="15"/>
      <c r="K12" s="16"/>
      <c r="L12" s="15"/>
      <c r="M12" s="16"/>
      <c r="N12" s="15"/>
      <c r="O12" s="16"/>
      <c r="P12" s="15"/>
      <c r="Q12" s="16"/>
      <c r="R12" s="15"/>
      <c r="S12" s="16"/>
      <c r="T12" s="15"/>
      <c r="U12" s="16"/>
      <c r="V12" s="15"/>
      <c r="W12" s="16"/>
      <c r="X12" s="15"/>
      <c r="Y12" s="16"/>
      <c r="Z12" s="15"/>
      <c r="AA12" s="16"/>
      <c r="AB12" s="15"/>
      <c r="AC12" s="16"/>
      <c r="AD12" s="15"/>
      <c r="AE12" s="16"/>
      <c r="AF12" s="15"/>
      <c r="AG12" s="16"/>
      <c r="AH12" s="15"/>
      <c r="AI12" s="16"/>
      <c r="AJ12" s="15"/>
      <c r="AK12" s="16"/>
      <c r="AL12" s="15"/>
      <c r="AM12" s="16"/>
      <c r="AN12" s="15"/>
      <c r="AO12" s="16"/>
      <c r="AP12" s="15"/>
      <c r="AQ12" s="16"/>
      <c r="AR12" s="15"/>
      <c r="AS12" s="16"/>
      <c r="AT12" s="15"/>
      <c r="AU12" s="16"/>
      <c r="AV12" s="15"/>
      <c r="AW12" s="16"/>
      <c r="AX12" s="15"/>
      <c r="AY12" s="16"/>
      <c r="AZ12" s="15"/>
      <c r="BA12" s="16"/>
      <c r="BB12" s="15"/>
      <c r="BC12" s="16"/>
      <c r="BD12" s="15"/>
      <c r="BE12" s="16"/>
      <c r="BF12" s="15"/>
      <c r="BG12" s="16"/>
      <c r="BH12" s="15"/>
      <c r="BI12" s="16"/>
      <c r="BJ12" s="15"/>
      <c r="BK12" s="16"/>
      <c r="BL12" s="15"/>
      <c r="BM12" s="16"/>
      <c r="BN12" s="20">
        <f>IF($A12="","",SUMPRODUCT((MOD(COLUMN($D12:$BM12)-COLUMN($D12),2)=0)*$D12:$BM12))</f>
      </c>
      <c r="BO12" s="21">
        <f>IF($A12="","",SUMPRODUCT((MOD(COLUMN($D12:$BM12)-COLUMN($D12),2)=1)*$D12:$BM12))</f>
      </c>
      <c r="BP12" s="22">
        <f>IF($A12="","",$BN12*IF($C12="Worker",Worker_DailyWage,IF($C12="Laborer",Laborer_DailyWage,0)))</f>
      </c>
      <c r="BQ12" s="22">
        <f>IF($A12="","",$BO12*IF($C12="Worker",Worker_OTRate,IF($C12="Laborer",Laborer_OTRate,0)))</f>
      </c>
      <c r="BR12" s="23">
        <f>IF($A12="","",$BP12+$BQ12)</f>
      </c>
    </row>
    <row r="13">
      <c r="A13" s="17">
        <f>IFERROR(IF((ROW()-4)&lt;=COUNTA(Workers_ID),INDEX(Workers_ID,(ROW()-4)),IF((ROW()-4)&lt;=COUNTA(Workers_ID)+COUNTA(Laborers_ID),INDEX(Laborers_ID,(ROW()-4)-COUNTA(Workers_ID)),"")),"")</f>
      </c>
      <c r="B13" s="18">
        <f>IF($A13="","",IFERROR(VLOOKUP($A13,Workers_Data,2,FALSE),IFERROR(VLOOKUP($A13,Laborers_Data,2,FALSE),"")))</f>
      </c>
      <c r="C13" s="19">
        <f>IF($A13="","",IF(COUNTIF(Workers_ID,$A13)&gt;0,"Worker",IF(COUNTIF(Laborers_ID,$A13)&gt;0,"Laborer","")))</f>
      </c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15"/>
      <c r="BM13" s="16"/>
      <c r="BN13" s="20">
        <f>IF($A13="","",SUMPRODUCT((MOD(COLUMN($D13:$BM13)-COLUMN($D13),2)=0)*$D13:$BM13))</f>
      </c>
      <c r="BO13" s="21">
        <f>IF($A13="","",SUMPRODUCT((MOD(COLUMN($D13:$BM13)-COLUMN($D13),2)=1)*$D13:$BM13))</f>
      </c>
      <c r="BP13" s="22">
        <f>IF($A13="","",$BN13*IF($C13="Worker",Worker_DailyWage,IF($C13="Laborer",Laborer_DailyWage,0)))</f>
      </c>
      <c r="BQ13" s="22">
        <f>IF($A13="","",$BO13*IF($C13="Worker",Worker_OTRate,IF($C13="Laborer",Laborer_OTRate,0)))</f>
      </c>
      <c r="BR13" s="23">
        <f>IF($A13="","",$BP13+$BQ13)</f>
      </c>
    </row>
    <row r="14">
      <c r="A14" s="17">
        <f>IFERROR(IF((ROW()-4)&lt;=COUNTA(Workers_ID),INDEX(Workers_ID,(ROW()-4)),IF((ROW()-4)&lt;=COUNTA(Workers_ID)+COUNTA(Laborers_ID),INDEX(Laborers_ID,(ROW()-4)-COUNTA(Workers_ID)),"")),"")</f>
      </c>
      <c r="B14" s="18">
        <f>IF($A14="","",IFERROR(VLOOKUP($A14,Workers_Data,2,FALSE),IFERROR(VLOOKUP($A14,Laborers_Data,2,FALSE),"")))</f>
      </c>
      <c r="C14" s="19">
        <f>IF($A14="","",IF(COUNTIF(Workers_ID,$A14)&gt;0,"Worker",IF(COUNTIF(Laborers_ID,$A14)&gt;0,"Laborer","")))</f>
      </c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15"/>
      <c r="BM14" s="16"/>
      <c r="BN14" s="20">
        <f>IF($A14="","",SUMPRODUCT((MOD(COLUMN($D14:$BM14)-COLUMN($D14),2)=0)*$D14:$BM14))</f>
      </c>
      <c r="BO14" s="21">
        <f>IF($A14="","",SUMPRODUCT((MOD(COLUMN($D14:$BM14)-COLUMN($D14),2)=1)*$D14:$BM14))</f>
      </c>
      <c r="BP14" s="22">
        <f>IF($A14="","",$BN14*IF($C14="Worker",Worker_DailyWage,IF($C14="Laborer",Laborer_DailyWage,0)))</f>
      </c>
      <c r="BQ14" s="22">
        <f>IF($A14="","",$BO14*IF($C14="Worker",Worker_OTRate,IF($C14="Laborer",Laborer_OTRate,0)))</f>
      </c>
      <c r="BR14" s="23">
        <f>IF($A14="","",$BP14+$BQ14)</f>
      </c>
    </row>
    <row r="15">
      <c r="A15" s="17">
        <f>IFERROR(IF((ROW()-4)&lt;=COUNTA(Workers_ID),INDEX(Workers_ID,(ROW()-4)),IF((ROW()-4)&lt;=COUNTA(Workers_ID)+COUNTA(Laborers_ID),INDEX(Laborers_ID,(ROW()-4)-COUNTA(Workers_ID)),"")),"")</f>
      </c>
      <c r="B15" s="18">
        <f>IF($A15="","",IFERROR(VLOOKUP($A15,Workers_Data,2,FALSE),IFERROR(VLOOKUP($A15,Laborers_Data,2,FALSE),"")))</f>
      </c>
      <c r="C15" s="19">
        <f>IF($A15="","",IF(COUNTIF(Workers_ID,$A15)&gt;0,"Worker",IF(COUNTIF(Laborers_ID,$A15)&gt;0,"Laborer","")))</f>
      </c>
      <c r="D15" s="15"/>
      <c r="E15" s="16"/>
      <c r="F15" s="15"/>
      <c r="G15" s="16"/>
      <c r="H15" s="15"/>
      <c r="I15" s="16"/>
      <c r="J15" s="15"/>
      <c r="K15" s="16"/>
      <c r="L15" s="15"/>
      <c r="M15" s="16"/>
      <c r="N15" s="15"/>
      <c r="O15" s="16"/>
      <c r="P15" s="15"/>
      <c r="Q15" s="16"/>
      <c r="R15" s="15"/>
      <c r="S15" s="16"/>
      <c r="T15" s="15"/>
      <c r="U15" s="16"/>
      <c r="V15" s="15"/>
      <c r="W15" s="16"/>
      <c r="X15" s="15"/>
      <c r="Y15" s="16"/>
      <c r="Z15" s="15"/>
      <c r="AA15" s="16"/>
      <c r="AB15" s="15"/>
      <c r="AC15" s="16"/>
      <c r="AD15" s="15"/>
      <c r="AE15" s="16"/>
      <c r="AF15" s="15"/>
      <c r="AG15" s="16"/>
      <c r="AH15" s="15"/>
      <c r="AI15" s="16"/>
      <c r="AJ15" s="15"/>
      <c r="AK15" s="16"/>
      <c r="AL15" s="15"/>
      <c r="AM15" s="16"/>
      <c r="AN15" s="15"/>
      <c r="AO15" s="16"/>
      <c r="AP15" s="15"/>
      <c r="AQ15" s="16"/>
      <c r="AR15" s="15"/>
      <c r="AS15" s="16"/>
      <c r="AT15" s="15"/>
      <c r="AU15" s="16"/>
      <c r="AV15" s="15"/>
      <c r="AW15" s="16"/>
      <c r="AX15" s="15"/>
      <c r="AY15" s="16"/>
      <c r="AZ15" s="15"/>
      <c r="BA15" s="16"/>
      <c r="BB15" s="15"/>
      <c r="BC15" s="16"/>
      <c r="BD15" s="15"/>
      <c r="BE15" s="16"/>
      <c r="BF15" s="15"/>
      <c r="BG15" s="16"/>
      <c r="BH15" s="15"/>
      <c r="BI15" s="16"/>
      <c r="BJ15" s="15"/>
      <c r="BK15" s="16"/>
      <c r="BL15" s="15"/>
      <c r="BM15" s="16"/>
      <c r="BN15" s="20">
        <f>IF($A15="","",SUMPRODUCT((MOD(COLUMN($D15:$BM15)-COLUMN($D15),2)=0)*$D15:$BM15))</f>
      </c>
      <c r="BO15" s="21">
        <f>IF($A15="","",SUMPRODUCT((MOD(COLUMN($D15:$BM15)-COLUMN($D15),2)=1)*$D15:$BM15))</f>
      </c>
      <c r="BP15" s="22">
        <f>IF($A15="","",$BN15*IF($C15="Worker",Worker_DailyWage,IF($C15="Laborer",Laborer_DailyWage,0)))</f>
      </c>
      <c r="BQ15" s="22">
        <f>IF($A15="","",$BO15*IF($C15="Worker",Worker_OTRate,IF($C15="Laborer",Laborer_OTRate,0)))</f>
      </c>
      <c r="BR15" s="23">
        <f>IF($A15="","",$BP15+$BQ15)</f>
      </c>
    </row>
    <row r="16">
      <c r="A16" s="17">
        <f>IFERROR(IF((ROW()-4)&lt;=COUNTA(Workers_ID),INDEX(Workers_ID,(ROW()-4)),IF((ROW()-4)&lt;=COUNTA(Workers_ID)+COUNTA(Laborers_ID),INDEX(Laborers_ID,(ROW()-4)-COUNTA(Workers_ID)),"")),"")</f>
      </c>
      <c r="B16" s="18">
        <f>IF($A16="","",IFERROR(VLOOKUP($A16,Workers_Data,2,FALSE),IFERROR(VLOOKUP($A16,Laborers_Data,2,FALSE),"")))</f>
      </c>
      <c r="C16" s="19">
        <f>IF($A16="","",IF(COUNTIF(Workers_ID,$A16)&gt;0,"Worker",IF(COUNTIF(Laborers_ID,$A16)&gt;0,"Laborer","")))</f>
      </c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15"/>
      <c r="BM16" s="16"/>
      <c r="BN16" s="20">
        <f>IF($A16="","",SUMPRODUCT((MOD(COLUMN($D16:$BM16)-COLUMN($D16),2)=0)*$D16:$BM16))</f>
      </c>
      <c r="BO16" s="21">
        <f>IF($A16="","",SUMPRODUCT((MOD(COLUMN($D16:$BM16)-COLUMN($D16),2)=1)*$D16:$BM16))</f>
      </c>
      <c r="BP16" s="22">
        <f>IF($A16="","",$BN16*IF($C16="Worker",Worker_DailyWage,IF($C16="Laborer",Laborer_DailyWage,0)))</f>
      </c>
      <c r="BQ16" s="22">
        <f>IF($A16="","",$BO16*IF($C16="Worker",Worker_OTRate,IF($C16="Laborer",Laborer_OTRate,0)))</f>
      </c>
      <c r="BR16" s="23">
        <f>IF($A16="","",$BP16+$BQ16)</f>
      </c>
    </row>
    <row r="17">
      <c r="A17" s="17">
        <f>IFERROR(IF((ROW()-4)&lt;=COUNTA(Workers_ID),INDEX(Workers_ID,(ROW()-4)),IF((ROW()-4)&lt;=COUNTA(Workers_ID)+COUNTA(Laborers_ID),INDEX(Laborers_ID,(ROW()-4)-COUNTA(Workers_ID)),"")),"")</f>
      </c>
      <c r="B17" s="18">
        <f>IF($A17="","",IFERROR(VLOOKUP($A17,Workers_Data,2,FALSE),IFERROR(VLOOKUP($A17,Laborers_Data,2,FALSE),"")))</f>
      </c>
      <c r="C17" s="19">
        <f>IF($A17="","",IF(COUNTIF(Workers_ID,$A17)&gt;0,"Worker",IF(COUNTIF(Laborers_ID,$A17)&gt;0,"Laborer","")))</f>
      </c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15"/>
      <c r="BM17" s="16"/>
      <c r="BN17" s="20">
        <f>IF($A17="","",SUMPRODUCT((MOD(COLUMN($D17:$BM17)-COLUMN($D17),2)=0)*$D17:$BM17))</f>
      </c>
      <c r="BO17" s="21">
        <f>IF($A17="","",SUMPRODUCT((MOD(COLUMN($D17:$BM17)-COLUMN($D17),2)=1)*$D17:$BM17))</f>
      </c>
      <c r="BP17" s="22">
        <f>IF($A17="","",$BN17*IF($C17="Worker",Worker_DailyWage,IF($C17="Laborer",Laborer_DailyWage,0)))</f>
      </c>
      <c r="BQ17" s="22">
        <f>IF($A17="","",$BO17*IF($C17="Worker",Worker_OTRate,IF($C17="Laborer",Laborer_OTRate,0)))</f>
      </c>
      <c r="BR17" s="23">
        <f>IF($A17="","",$BP17+$BQ17)</f>
      </c>
    </row>
    <row r="18">
      <c r="A18" s="17">
        <f>IFERROR(IF((ROW()-4)&lt;=COUNTA(Workers_ID),INDEX(Workers_ID,(ROW()-4)),IF((ROW()-4)&lt;=COUNTA(Workers_ID)+COUNTA(Laborers_ID),INDEX(Laborers_ID,(ROW()-4)-COUNTA(Workers_ID)),"")),"")</f>
      </c>
      <c r="B18" s="18">
        <f>IF($A18="","",IFERROR(VLOOKUP($A18,Workers_Data,2,FALSE),IFERROR(VLOOKUP($A18,Laborers_Data,2,FALSE),"")))</f>
      </c>
      <c r="C18" s="19">
        <f>IF($A18="","",IF(COUNTIF(Workers_ID,$A18)&gt;0,"Worker",IF(COUNTIF(Laborers_ID,$A18)&gt;0,"Laborer","")))</f>
      </c>
      <c r="D18" s="15"/>
      <c r="E18" s="16"/>
      <c r="F18" s="15"/>
      <c r="G18" s="16"/>
      <c r="H18" s="15"/>
      <c r="I18" s="16"/>
      <c r="J18" s="15"/>
      <c r="K18" s="16"/>
      <c r="L18" s="15"/>
      <c r="M18" s="16"/>
      <c r="N18" s="15"/>
      <c r="O18" s="16"/>
      <c r="P18" s="15"/>
      <c r="Q18" s="16"/>
      <c r="R18" s="15"/>
      <c r="S18" s="16"/>
      <c r="T18" s="15"/>
      <c r="U18" s="16"/>
      <c r="V18" s="15"/>
      <c r="W18" s="16"/>
      <c r="X18" s="15"/>
      <c r="Y18" s="16"/>
      <c r="Z18" s="15"/>
      <c r="AA18" s="16"/>
      <c r="AB18" s="15"/>
      <c r="AC18" s="16"/>
      <c r="AD18" s="15"/>
      <c r="AE18" s="16"/>
      <c r="AF18" s="15"/>
      <c r="AG18" s="16"/>
      <c r="AH18" s="15"/>
      <c r="AI18" s="16"/>
      <c r="AJ18" s="15"/>
      <c r="AK18" s="16"/>
      <c r="AL18" s="15"/>
      <c r="AM18" s="16"/>
      <c r="AN18" s="15"/>
      <c r="AO18" s="16"/>
      <c r="AP18" s="15"/>
      <c r="AQ18" s="16"/>
      <c r="AR18" s="15"/>
      <c r="AS18" s="16"/>
      <c r="AT18" s="15"/>
      <c r="AU18" s="16"/>
      <c r="AV18" s="15"/>
      <c r="AW18" s="16"/>
      <c r="AX18" s="15"/>
      <c r="AY18" s="16"/>
      <c r="AZ18" s="15"/>
      <c r="BA18" s="16"/>
      <c r="BB18" s="15"/>
      <c r="BC18" s="16"/>
      <c r="BD18" s="15"/>
      <c r="BE18" s="16"/>
      <c r="BF18" s="15"/>
      <c r="BG18" s="16"/>
      <c r="BH18" s="15"/>
      <c r="BI18" s="16"/>
      <c r="BJ18" s="15"/>
      <c r="BK18" s="16"/>
      <c r="BL18" s="15"/>
      <c r="BM18" s="16"/>
      <c r="BN18" s="20">
        <f>IF($A18="","",SUMPRODUCT((MOD(COLUMN($D18:$BM18)-COLUMN($D18),2)=0)*$D18:$BM18))</f>
      </c>
      <c r="BO18" s="21">
        <f>IF($A18="","",SUMPRODUCT((MOD(COLUMN($D18:$BM18)-COLUMN($D18),2)=1)*$D18:$BM18))</f>
      </c>
      <c r="BP18" s="22">
        <f>IF($A18="","",$BN18*IF($C18="Worker",Worker_DailyWage,IF($C18="Laborer",Laborer_DailyWage,0)))</f>
      </c>
      <c r="BQ18" s="22">
        <f>IF($A18="","",$BO18*IF($C18="Worker",Worker_OTRate,IF($C18="Laborer",Laborer_OTRate,0)))</f>
      </c>
      <c r="BR18" s="23">
        <f>IF($A18="","",$BP18+$BQ18)</f>
      </c>
    </row>
    <row r="19">
      <c r="A19" s="17">
        <f>IFERROR(IF((ROW()-4)&lt;=COUNTA(Workers_ID),INDEX(Workers_ID,(ROW()-4)),IF((ROW()-4)&lt;=COUNTA(Workers_ID)+COUNTA(Laborers_ID),INDEX(Laborers_ID,(ROW()-4)-COUNTA(Workers_ID)),"")),"")</f>
      </c>
      <c r="B19" s="18">
        <f>IF($A19="","",IFERROR(VLOOKUP($A19,Workers_Data,2,FALSE),IFERROR(VLOOKUP($A19,Laborers_Data,2,FALSE),"")))</f>
      </c>
      <c r="C19" s="19">
        <f>IF($A19="","",IF(COUNTIF(Workers_ID,$A19)&gt;0,"Worker",IF(COUNTIF(Laborers_ID,$A19)&gt;0,"Laborer","")))</f>
      </c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15"/>
      <c r="BM19" s="16"/>
      <c r="BN19" s="20">
        <f>IF($A19="","",SUMPRODUCT((MOD(COLUMN($D19:$BM19)-COLUMN($D19),2)=0)*$D19:$BM19))</f>
      </c>
      <c r="BO19" s="21">
        <f>IF($A19="","",SUMPRODUCT((MOD(COLUMN($D19:$BM19)-COLUMN($D19),2)=1)*$D19:$BM19))</f>
      </c>
      <c r="BP19" s="22">
        <f>IF($A19="","",$BN19*IF($C19="Worker",Worker_DailyWage,IF($C19="Laborer",Laborer_DailyWage,0)))</f>
      </c>
      <c r="BQ19" s="22">
        <f>IF($A19="","",$BO19*IF($C19="Worker",Worker_OTRate,IF($C19="Laborer",Laborer_OTRate,0)))</f>
      </c>
      <c r="BR19" s="23">
        <f>IF($A19="","",$BP19+$BQ19)</f>
      </c>
    </row>
    <row r="20">
      <c r="A20" s="17">
        <f>IFERROR(IF((ROW()-4)&lt;=COUNTA(Workers_ID),INDEX(Workers_ID,(ROW()-4)),IF((ROW()-4)&lt;=COUNTA(Workers_ID)+COUNTA(Laborers_ID),INDEX(Laborers_ID,(ROW()-4)-COUNTA(Workers_ID)),"")),"")</f>
      </c>
      <c r="B20" s="18">
        <f>IF($A20="","",IFERROR(VLOOKUP($A20,Workers_Data,2,FALSE),IFERROR(VLOOKUP($A20,Laborers_Data,2,FALSE),"")))</f>
      </c>
      <c r="C20" s="19">
        <f>IF($A20="","",IF(COUNTIF(Workers_ID,$A20)&gt;0,"Worker",IF(COUNTIF(Laborers_ID,$A20)&gt;0,"Laborer","")))</f>
      </c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15"/>
      <c r="BM20" s="16"/>
      <c r="BN20" s="20">
        <f>IF($A20="","",SUMPRODUCT((MOD(COLUMN($D20:$BM20)-COLUMN($D20),2)=0)*$D20:$BM20))</f>
      </c>
      <c r="BO20" s="21">
        <f>IF($A20="","",SUMPRODUCT((MOD(COLUMN($D20:$BM20)-COLUMN($D20),2)=1)*$D20:$BM20))</f>
      </c>
      <c r="BP20" s="22">
        <f>IF($A20="","",$BN20*IF($C20="Worker",Worker_DailyWage,IF($C20="Laborer",Laborer_DailyWage,0)))</f>
      </c>
      <c r="BQ20" s="22">
        <f>IF($A20="","",$BO20*IF($C20="Worker",Worker_OTRate,IF($C20="Laborer",Laborer_OTRate,0)))</f>
      </c>
      <c r="BR20" s="23">
        <f>IF($A20="","",$BP20+$BQ20)</f>
      </c>
    </row>
    <row r="21">
      <c r="A21" s="17">
        <f>IFERROR(IF((ROW()-4)&lt;=COUNTA(Workers_ID),INDEX(Workers_ID,(ROW()-4)),IF((ROW()-4)&lt;=COUNTA(Workers_ID)+COUNTA(Laborers_ID),INDEX(Laborers_ID,(ROW()-4)-COUNTA(Workers_ID)),"")),"")</f>
      </c>
      <c r="B21" s="18">
        <f>IF($A21="","",IFERROR(VLOOKUP($A21,Workers_Data,2,FALSE),IFERROR(VLOOKUP($A21,Laborers_Data,2,FALSE),"")))</f>
      </c>
      <c r="C21" s="19">
        <f>IF($A21="","",IF(COUNTIF(Workers_ID,$A21)&gt;0,"Worker",IF(COUNTIF(Laborers_ID,$A21)&gt;0,"Laborer","")))</f>
      </c>
      <c r="D21" s="15"/>
      <c r="E21" s="16"/>
      <c r="F21" s="15"/>
      <c r="G21" s="16"/>
      <c r="H21" s="15"/>
      <c r="I21" s="16"/>
      <c r="J21" s="15"/>
      <c r="K21" s="16"/>
      <c r="L21" s="15"/>
      <c r="M21" s="16"/>
      <c r="N21" s="15"/>
      <c r="O21" s="16"/>
      <c r="P21" s="15"/>
      <c r="Q21" s="16"/>
      <c r="R21" s="15"/>
      <c r="S21" s="16"/>
      <c r="T21" s="15"/>
      <c r="U21" s="16"/>
      <c r="V21" s="15"/>
      <c r="W21" s="16"/>
      <c r="X21" s="15"/>
      <c r="Y21" s="16"/>
      <c r="Z21" s="15"/>
      <c r="AA21" s="16"/>
      <c r="AB21" s="15"/>
      <c r="AC21" s="16"/>
      <c r="AD21" s="15"/>
      <c r="AE21" s="16"/>
      <c r="AF21" s="15"/>
      <c r="AG21" s="16"/>
      <c r="AH21" s="15"/>
      <c r="AI21" s="16"/>
      <c r="AJ21" s="15"/>
      <c r="AK21" s="16"/>
      <c r="AL21" s="15"/>
      <c r="AM21" s="16"/>
      <c r="AN21" s="15"/>
      <c r="AO21" s="16"/>
      <c r="AP21" s="15"/>
      <c r="AQ21" s="16"/>
      <c r="AR21" s="15"/>
      <c r="AS21" s="16"/>
      <c r="AT21" s="15"/>
      <c r="AU21" s="16"/>
      <c r="AV21" s="15"/>
      <c r="AW21" s="16"/>
      <c r="AX21" s="15"/>
      <c r="AY21" s="16"/>
      <c r="AZ21" s="15"/>
      <c r="BA21" s="16"/>
      <c r="BB21" s="15"/>
      <c r="BC21" s="16"/>
      <c r="BD21" s="15"/>
      <c r="BE21" s="16"/>
      <c r="BF21" s="15"/>
      <c r="BG21" s="16"/>
      <c r="BH21" s="15"/>
      <c r="BI21" s="16"/>
      <c r="BJ21" s="15"/>
      <c r="BK21" s="16"/>
      <c r="BL21" s="15"/>
      <c r="BM21" s="16"/>
      <c r="BN21" s="20">
        <f>IF($A21="","",SUMPRODUCT((MOD(COLUMN($D21:$BM21)-COLUMN($D21),2)=0)*$D21:$BM21))</f>
      </c>
      <c r="BO21" s="21">
        <f>IF($A21="","",SUMPRODUCT((MOD(COLUMN($D21:$BM21)-COLUMN($D21),2)=1)*$D21:$BM21))</f>
      </c>
      <c r="BP21" s="22">
        <f>IF($A21="","",$BN21*IF($C21="Worker",Worker_DailyWage,IF($C21="Laborer",Laborer_DailyWage,0)))</f>
      </c>
      <c r="BQ21" s="22">
        <f>IF($A21="","",$BO21*IF($C21="Worker",Worker_OTRate,IF($C21="Laborer",Laborer_OTRate,0)))</f>
      </c>
      <c r="BR21" s="23">
        <f>IF($A21="","",$BP21+$BQ21)</f>
      </c>
    </row>
    <row r="22">
      <c r="A22" s="17">
        <f>IFERROR(IF((ROW()-4)&lt;=COUNTA(Workers_ID),INDEX(Workers_ID,(ROW()-4)),IF((ROW()-4)&lt;=COUNTA(Workers_ID)+COUNTA(Laborers_ID),INDEX(Laborers_ID,(ROW()-4)-COUNTA(Workers_ID)),"")),"")</f>
      </c>
      <c r="B22" s="18">
        <f>IF($A22="","",IFERROR(VLOOKUP($A22,Workers_Data,2,FALSE),IFERROR(VLOOKUP($A22,Laborers_Data,2,FALSE),"")))</f>
      </c>
      <c r="C22" s="19">
        <f>IF($A22="","",IF(COUNTIF(Workers_ID,$A22)&gt;0,"Worker",IF(COUNTIF(Laborers_ID,$A22)&gt;0,"Laborer","")))</f>
      </c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15"/>
      <c r="BM22" s="16"/>
      <c r="BN22" s="20">
        <f>IF($A22="","",SUMPRODUCT((MOD(COLUMN($D22:$BM22)-COLUMN($D22),2)=0)*$D22:$BM22))</f>
      </c>
      <c r="BO22" s="21">
        <f>IF($A22="","",SUMPRODUCT((MOD(COLUMN($D22:$BM22)-COLUMN($D22),2)=1)*$D22:$BM22))</f>
      </c>
      <c r="BP22" s="22">
        <f>IF($A22="","",$BN22*IF($C22="Worker",Worker_DailyWage,IF($C22="Laborer",Laborer_DailyWage,0)))</f>
      </c>
      <c r="BQ22" s="22">
        <f>IF($A22="","",$BO22*IF($C22="Worker",Worker_OTRate,IF($C22="Laborer",Laborer_OTRate,0)))</f>
      </c>
      <c r="BR22" s="23">
        <f>IF($A22="","",$BP22+$BQ22)</f>
      </c>
    </row>
    <row r="23">
      <c r="A23" s="17">
        <f>IFERROR(IF((ROW()-4)&lt;=COUNTA(Workers_ID),INDEX(Workers_ID,(ROW()-4)),IF((ROW()-4)&lt;=COUNTA(Workers_ID)+COUNTA(Laborers_ID),INDEX(Laborers_ID,(ROW()-4)-COUNTA(Workers_ID)),"")),"")</f>
      </c>
      <c r="B23" s="18">
        <f>IF($A23="","",IFERROR(VLOOKUP($A23,Workers_Data,2,FALSE),IFERROR(VLOOKUP($A23,Laborers_Data,2,FALSE),"")))</f>
      </c>
      <c r="C23" s="19">
        <f>IF($A23="","",IF(COUNTIF(Workers_ID,$A23)&gt;0,"Worker",IF(COUNTIF(Laborers_ID,$A23)&gt;0,"Laborer","")))</f>
      </c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15"/>
      <c r="BM23" s="16"/>
      <c r="BN23" s="20">
        <f>IF($A23="","",SUMPRODUCT((MOD(COLUMN($D23:$BM23)-COLUMN($D23),2)=0)*$D23:$BM23))</f>
      </c>
      <c r="BO23" s="21">
        <f>IF($A23="","",SUMPRODUCT((MOD(COLUMN($D23:$BM23)-COLUMN($D23),2)=1)*$D23:$BM23))</f>
      </c>
      <c r="BP23" s="22">
        <f>IF($A23="","",$BN23*IF($C23="Worker",Worker_DailyWage,IF($C23="Laborer",Laborer_DailyWage,0)))</f>
      </c>
      <c r="BQ23" s="22">
        <f>IF($A23="","",$BO23*IF($C23="Worker",Worker_OTRate,IF($C23="Laborer",Laborer_OTRate,0)))</f>
      </c>
      <c r="BR23" s="23">
        <f>IF($A23="","",$BP23+$BQ23)</f>
      </c>
    </row>
    <row r="24">
      <c r="A24" s="17">
        <f>IFERROR(IF((ROW()-4)&lt;=COUNTA(Workers_ID),INDEX(Workers_ID,(ROW()-4)),IF((ROW()-4)&lt;=COUNTA(Workers_ID)+COUNTA(Laborers_ID),INDEX(Laborers_ID,(ROW()-4)-COUNTA(Workers_ID)),"")),"")</f>
      </c>
      <c r="B24" s="18">
        <f>IF($A24="","",IFERROR(VLOOKUP($A24,Workers_Data,2,FALSE),IFERROR(VLOOKUP($A24,Laborers_Data,2,FALSE),"")))</f>
      </c>
      <c r="C24" s="19">
        <f>IF($A24="","",IF(COUNTIF(Workers_ID,$A24)&gt;0,"Worker",IF(COUNTIF(Laborers_ID,$A24)&gt;0,"Laborer","")))</f>
      </c>
      <c r="D24" s="15"/>
      <c r="E24" s="16"/>
      <c r="F24" s="15"/>
      <c r="G24" s="16"/>
      <c r="H24" s="15"/>
      <c r="I24" s="16"/>
      <c r="J24" s="15"/>
      <c r="K24" s="16"/>
      <c r="L24" s="15"/>
      <c r="M24" s="16"/>
      <c r="N24" s="15"/>
      <c r="O24" s="16"/>
      <c r="P24" s="15"/>
      <c r="Q24" s="16"/>
      <c r="R24" s="15"/>
      <c r="S24" s="16"/>
      <c r="T24" s="15"/>
      <c r="U24" s="16"/>
      <c r="V24" s="15"/>
      <c r="W24" s="16"/>
      <c r="X24" s="15"/>
      <c r="Y24" s="16"/>
      <c r="Z24" s="15"/>
      <c r="AA24" s="16"/>
      <c r="AB24" s="15"/>
      <c r="AC24" s="16"/>
      <c r="AD24" s="15"/>
      <c r="AE24" s="16"/>
      <c r="AF24" s="15"/>
      <c r="AG24" s="16"/>
      <c r="AH24" s="15"/>
      <c r="AI24" s="16"/>
      <c r="AJ24" s="15"/>
      <c r="AK24" s="16"/>
      <c r="AL24" s="15"/>
      <c r="AM24" s="16"/>
      <c r="AN24" s="15"/>
      <c r="AO24" s="16"/>
      <c r="AP24" s="15"/>
      <c r="AQ24" s="16"/>
      <c r="AR24" s="15"/>
      <c r="AS24" s="16"/>
      <c r="AT24" s="15"/>
      <c r="AU24" s="16"/>
      <c r="AV24" s="15"/>
      <c r="AW24" s="16"/>
      <c r="AX24" s="15"/>
      <c r="AY24" s="16"/>
      <c r="AZ24" s="15"/>
      <c r="BA24" s="16"/>
      <c r="BB24" s="15"/>
      <c r="BC24" s="16"/>
      <c r="BD24" s="15"/>
      <c r="BE24" s="16"/>
      <c r="BF24" s="15"/>
      <c r="BG24" s="16"/>
      <c r="BH24" s="15"/>
      <c r="BI24" s="16"/>
      <c r="BJ24" s="15"/>
      <c r="BK24" s="16"/>
      <c r="BL24" s="15"/>
      <c r="BM24" s="16"/>
      <c r="BN24" s="20">
        <f>IF($A24="","",SUMPRODUCT((MOD(COLUMN($D24:$BM24)-COLUMN($D24),2)=0)*$D24:$BM24))</f>
      </c>
      <c r="BO24" s="21">
        <f>IF($A24="","",SUMPRODUCT((MOD(COLUMN($D24:$BM24)-COLUMN($D24),2)=1)*$D24:$BM24))</f>
      </c>
      <c r="BP24" s="22">
        <f>IF($A24="","",$BN24*IF($C24="Worker",Worker_DailyWage,IF($C24="Laborer",Laborer_DailyWage,0)))</f>
      </c>
      <c r="BQ24" s="22">
        <f>IF($A24="","",$BO24*IF($C24="Worker",Worker_OTRate,IF($C24="Laborer",Laborer_OTRate,0)))</f>
      </c>
      <c r="BR24" s="23">
        <f>IF($A24="","",$BP24+$BQ24)</f>
      </c>
    </row>
    <row r="25">
      <c r="A25" s="17">
        <f>IFERROR(IF((ROW()-4)&lt;=COUNTA(Workers_ID),INDEX(Workers_ID,(ROW()-4)),IF((ROW()-4)&lt;=COUNTA(Workers_ID)+COUNTA(Laborers_ID),INDEX(Laborers_ID,(ROW()-4)-COUNTA(Workers_ID)),"")),"")</f>
      </c>
      <c r="B25" s="18">
        <f>IF($A25="","",IFERROR(VLOOKUP($A25,Workers_Data,2,FALSE),IFERROR(VLOOKUP($A25,Laborers_Data,2,FALSE),"")))</f>
      </c>
      <c r="C25" s="19">
        <f>IF($A25="","",IF(COUNTIF(Workers_ID,$A25)&gt;0,"Worker",IF(COUNTIF(Laborers_ID,$A25)&gt;0,"Laborer","")))</f>
      </c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15"/>
      <c r="BM25" s="16"/>
      <c r="BN25" s="20">
        <f>IF($A25="","",SUMPRODUCT((MOD(COLUMN($D25:$BM25)-COLUMN($D25),2)=0)*$D25:$BM25))</f>
      </c>
      <c r="BO25" s="21">
        <f>IF($A25="","",SUMPRODUCT((MOD(COLUMN($D25:$BM25)-COLUMN($D25),2)=1)*$D25:$BM25))</f>
      </c>
      <c r="BP25" s="22">
        <f>IF($A25="","",$BN25*IF($C25="Worker",Worker_DailyWage,IF($C25="Laborer",Laborer_DailyWage,0)))</f>
      </c>
      <c r="BQ25" s="22">
        <f>IF($A25="","",$BO25*IF($C25="Worker",Worker_OTRate,IF($C25="Laborer",Laborer_OTRate,0)))</f>
      </c>
      <c r="BR25" s="23">
        <f>IF($A25="","",$BP25+$BQ25)</f>
      </c>
    </row>
    <row r="26">
      <c r="A26" s="17">
        <f>IFERROR(IF((ROW()-4)&lt;=COUNTA(Workers_ID),INDEX(Workers_ID,(ROW()-4)),IF((ROW()-4)&lt;=COUNTA(Workers_ID)+COUNTA(Laborers_ID),INDEX(Laborers_ID,(ROW()-4)-COUNTA(Workers_ID)),"")),"")</f>
      </c>
      <c r="B26" s="18">
        <f>IF($A26="","",IFERROR(VLOOKUP($A26,Workers_Data,2,FALSE),IFERROR(VLOOKUP($A26,Laborers_Data,2,FALSE),"")))</f>
      </c>
      <c r="C26" s="19">
        <f>IF($A26="","",IF(COUNTIF(Workers_ID,$A26)&gt;0,"Worker",IF(COUNTIF(Laborers_ID,$A26)&gt;0,"Laborer","")))</f>
      </c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15"/>
      <c r="BM26" s="16"/>
      <c r="BN26" s="20">
        <f>IF($A26="","",SUMPRODUCT((MOD(COLUMN($D26:$BM26)-COLUMN($D26),2)=0)*$D26:$BM26))</f>
      </c>
      <c r="BO26" s="21">
        <f>IF($A26="","",SUMPRODUCT((MOD(COLUMN($D26:$BM26)-COLUMN($D26),2)=1)*$D26:$BM26))</f>
      </c>
      <c r="BP26" s="22">
        <f>IF($A26="","",$BN26*IF($C26="Worker",Worker_DailyWage,IF($C26="Laborer",Laborer_DailyWage,0)))</f>
      </c>
      <c r="BQ26" s="22">
        <f>IF($A26="","",$BO26*IF($C26="Worker",Worker_OTRate,IF($C26="Laborer",Laborer_OTRate,0)))</f>
      </c>
      <c r="BR26" s="23">
        <f>IF($A26="","",$BP26+$BQ26)</f>
      </c>
    </row>
    <row r="27">
      <c r="A27" s="17">
        <f>IFERROR(IF((ROW()-4)&lt;=COUNTA(Workers_ID),INDEX(Workers_ID,(ROW()-4)),IF((ROW()-4)&lt;=COUNTA(Workers_ID)+COUNTA(Laborers_ID),INDEX(Laborers_ID,(ROW()-4)-COUNTA(Workers_ID)),"")),"")</f>
      </c>
      <c r="B27" s="18">
        <f>IF($A27="","",IFERROR(VLOOKUP($A27,Workers_Data,2,FALSE),IFERROR(VLOOKUP($A27,Laborers_Data,2,FALSE),"")))</f>
      </c>
      <c r="C27" s="19">
        <f>IF($A27="","",IF(COUNTIF(Workers_ID,$A27)&gt;0,"Worker",IF(COUNTIF(Laborers_ID,$A27)&gt;0,"Laborer","")))</f>
      </c>
      <c r="D27" s="15"/>
      <c r="E27" s="16"/>
      <c r="F27" s="15"/>
      <c r="G27" s="16"/>
      <c r="H27" s="15"/>
      <c r="I27" s="16"/>
      <c r="J27" s="15"/>
      <c r="K27" s="16"/>
      <c r="L27" s="15"/>
      <c r="M27" s="16"/>
      <c r="N27" s="15"/>
      <c r="O27" s="16"/>
      <c r="P27" s="15"/>
      <c r="Q27" s="16"/>
      <c r="R27" s="15"/>
      <c r="S27" s="16"/>
      <c r="T27" s="15"/>
      <c r="U27" s="16"/>
      <c r="V27" s="15"/>
      <c r="W27" s="16"/>
      <c r="X27" s="15"/>
      <c r="Y27" s="16"/>
      <c r="Z27" s="15"/>
      <c r="AA27" s="16"/>
      <c r="AB27" s="15"/>
      <c r="AC27" s="16"/>
      <c r="AD27" s="15"/>
      <c r="AE27" s="16"/>
      <c r="AF27" s="15"/>
      <c r="AG27" s="16"/>
      <c r="AH27" s="15"/>
      <c r="AI27" s="16"/>
      <c r="AJ27" s="15"/>
      <c r="AK27" s="16"/>
      <c r="AL27" s="15"/>
      <c r="AM27" s="16"/>
      <c r="AN27" s="15"/>
      <c r="AO27" s="16"/>
      <c r="AP27" s="15"/>
      <c r="AQ27" s="16"/>
      <c r="AR27" s="15"/>
      <c r="AS27" s="16"/>
      <c r="AT27" s="15"/>
      <c r="AU27" s="16"/>
      <c r="AV27" s="15"/>
      <c r="AW27" s="16"/>
      <c r="AX27" s="15"/>
      <c r="AY27" s="16"/>
      <c r="AZ27" s="15"/>
      <c r="BA27" s="16"/>
      <c r="BB27" s="15"/>
      <c r="BC27" s="16"/>
      <c r="BD27" s="15"/>
      <c r="BE27" s="16"/>
      <c r="BF27" s="15"/>
      <c r="BG27" s="16"/>
      <c r="BH27" s="15"/>
      <c r="BI27" s="16"/>
      <c r="BJ27" s="15"/>
      <c r="BK27" s="16"/>
      <c r="BL27" s="15"/>
      <c r="BM27" s="16"/>
      <c r="BN27" s="20">
        <f>IF($A27="","",SUMPRODUCT((MOD(COLUMN($D27:$BM27)-COLUMN($D27),2)=0)*$D27:$BM27))</f>
      </c>
      <c r="BO27" s="21">
        <f>IF($A27="","",SUMPRODUCT((MOD(COLUMN($D27:$BM27)-COLUMN($D27),2)=1)*$D27:$BM27))</f>
      </c>
      <c r="BP27" s="22">
        <f>IF($A27="","",$BN27*IF($C27="Worker",Worker_DailyWage,IF($C27="Laborer",Laborer_DailyWage,0)))</f>
      </c>
      <c r="BQ27" s="22">
        <f>IF($A27="","",$BO27*IF($C27="Worker",Worker_OTRate,IF($C27="Laborer",Laborer_OTRate,0)))</f>
      </c>
      <c r="BR27" s="23">
        <f>IF($A27="","",$BP27+$BQ27)</f>
      </c>
    </row>
    <row r="28">
      <c r="A28" s="17">
        <f>IFERROR(IF((ROW()-4)&lt;=COUNTA(Workers_ID),INDEX(Workers_ID,(ROW()-4)),IF((ROW()-4)&lt;=COUNTA(Workers_ID)+COUNTA(Laborers_ID),INDEX(Laborers_ID,(ROW()-4)-COUNTA(Workers_ID)),"")),"")</f>
      </c>
      <c r="B28" s="18">
        <f>IF($A28="","",IFERROR(VLOOKUP($A28,Workers_Data,2,FALSE),IFERROR(VLOOKUP($A28,Laborers_Data,2,FALSE),"")))</f>
      </c>
      <c r="C28" s="19">
        <f>IF($A28="","",IF(COUNTIF(Workers_ID,$A28)&gt;0,"Worker",IF(COUNTIF(Laborers_ID,$A28)&gt;0,"Laborer","")))</f>
      </c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15"/>
      <c r="BM28" s="16"/>
      <c r="BN28" s="20">
        <f>IF($A28="","",SUMPRODUCT((MOD(COLUMN($D28:$BM28)-COLUMN($D28),2)=0)*$D28:$BM28))</f>
      </c>
      <c r="BO28" s="21">
        <f>IF($A28="","",SUMPRODUCT((MOD(COLUMN($D28:$BM28)-COLUMN($D28),2)=1)*$D28:$BM28))</f>
      </c>
      <c r="BP28" s="22">
        <f>IF($A28="","",$BN28*IF($C28="Worker",Worker_DailyWage,IF($C28="Laborer",Laborer_DailyWage,0)))</f>
      </c>
      <c r="BQ28" s="22">
        <f>IF($A28="","",$BO28*IF($C28="Worker",Worker_OTRate,IF($C28="Laborer",Laborer_OTRate,0)))</f>
      </c>
      <c r="BR28" s="23">
        <f>IF($A28="","",$BP28+$BQ28)</f>
      </c>
    </row>
    <row r="29">
      <c r="A29" s="17">
        <f>IFERROR(IF((ROW()-4)&lt;=COUNTA(Workers_ID),INDEX(Workers_ID,(ROW()-4)),IF((ROW()-4)&lt;=COUNTA(Workers_ID)+COUNTA(Laborers_ID),INDEX(Laborers_ID,(ROW()-4)-COUNTA(Workers_ID)),"")),"")</f>
      </c>
      <c r="B29" s="18">
        <f>IF($A29="","",IFERROR(VLOOKUP($A29,Workers_Data,2,FALSE),IFERROR(VLOOKUP($A29,Laborers_Data,2,FALSE),"")))</f>
      </c>
      <c r="C29" s="19">
        <f>IF($A29="","",IF(COUNTIF(Workers_ID,$A29)&gt;0,"Worker",IF(COUNTIF(Laborers_ID,$A29)&gt;0,"Laborer","")))</f>
      </c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15"/>
      <c r="BM29" s="16"/>
      <c r="BN29" s="20">
        <f>IF($A29="","",SUMPRODUCT((MOD(COLUMN($D29:$BM29)-COLUMN($D29),2)=0)*$D29:$BM29))</f>
      </c>
      <c r="BO29" s="21">
        <f>IF($A29="","",SUMPRODUCT((MOD(COLUMN($D29:$BM29)-COLUMN($D29),2)=1)*$D29:$BM29))</f>
      </c>
      <c r="BP29" s="22">
        <f>IF($A29="","",$BN29*IF($C29="Worker",Worker_DailyWage,IF($C29="Laborer",Laborer_DailyWage,0)))</f>
      </c>
      <c r="BQ29" s="22">
        <f>IF($A29="","",$BO29*IF($C29="Worker",Worker_OTRate,IF($C29="Laborer",Laborer_OTRate,0)))</f>
      </c>
      <c r="BR29" s="23">
        <f>IF($A29="","",$BP29+$BQ29)</f>
      </c>
    </row>
    <row r="30">
      <c r="A30" s="17">
        <f>IFERROR(IF((ROW()-4)&lt;=COUNTA(Workers_ID),INDEX(Workers_ID,(ROW()-4)),IF((ROW()-4)&lt;=COUNTA(Workers_ID)+COUNTA(Laborers_ID),INDEX(Laborers_ID,(ROW()-4)-COUNTA(Workers_ID)),"")),"")</f>
      </c>
      <c r="B30" s="18">
        <f>IF($A30="","",IFERROR(VLOOKUP($A30,Workers_Data,2,FALSE),IFERROR(VLOOKUP($A30,Laborers_Data,2,FALSE),"")))</f>
      </c>
      <c r="C30" s="19">
        <f>IF($A30="","",IF(COUNTIF(Workers_ID,$A30)&gt;0,"Worker",IF(COUNTIF(Laborers_ID,$A30)&gt;0,"Laborer","")))</f>
      </c>
      <c r="D30" s="15"/>
      <c r="E30" s="16"/>
      <c r="F30" s="15"/>
      <c r="G30" s="16"/>
      <c r="H30" s="15"/>
      <c r="I30" s="16"/>
      <c r="J30" s="15"/>
      <c r="K30" s="16"/>
      <c r="L30" s="15"/>
      <c r="M30" s="16"/>
      <c r="N30" s="15"/>
      <c r="O30" s="16"/>
      <c r="P30" s="15"/>
      <c r="Q30" s="16"/>
      <c r="R30" s="15"/>
      <c r="S30" s="16"/>
      <c r="T30" s="15"/>
      <c r="U30" s="16"/>
      <c r="V30" s="15"/>
      <c r="W30" s="16"/>
      <c r="X30" s="15"/>
      <c r="Y30" s="16"/>
      <c r="Z30" s="15"/>
      <c r="AA30" s="16"/>
      <c r="AB30" s="15"/>
      <c r="AC30" s="16"/>
      <c r="AD30" s="15"/>
      <c r="AE30" s="16"/>
      <c r="AF30" s="15"/>
      <c r="AG30" s="16"/>
      <c r="AH30" s="15"/>
      <c r="AI30" s="16"/>
      <c r="AJ30" s="15"/>
      <c r="AK30" s="16"/>
      <c r="AL30" s="15"/>
      <c r="AM30" s="16"/>
      <c r="AN30" s="15"/>
      <c r="AO30" s="16"/>
      <c r="AP30" s="15"/>
      <c r="AQ30" s="16"/>
      <c r="AR30" s="15"/>
      <c r="AS30" s="16"/>
      <c r="AT30" s="15"/>
      <c r="AU30" s="16"/>
      <c r="AV30" s="15"/>
      <c r="AW30" s="16"/>
      <c r="AX30" s="15"/>
      <c r="AY30" s="16"/>
      <c r="AZ30" s="15"/>
      <c r="BA30" s="16"/>
      <c r="BB30" s="15"/>
      <c r="BC30" s="16"/>
      <c r="BD30" s="15"/>
      <c r="BE30" s="16"/>
      <c r="BF30" s="15"/>
      <c r="BG30" s="16"/>
      <c r="BH30" s="15"/>
      <c r="BI30" s="16"/>
      <c r="BJ30" s="15"/>
      <c r="BK30" s="16"/>
      <c r="BL30" s="15"/>
      <c r="BM30" s="16"/>
      <c r="BN30" s="20">
        <f>IF($A30="","",SUMPRODUCT((MOD(COLUMN($D30:$BM30)-COLUMN($D30),2)=0)*$D30:$BM30))</f>
      </c>
      <c r="BO30" s="21">
        <f>IF($A30="","",SUMPRODUCT((MOD(COLUMN($D30:$BM30)-COLUMN($D30),2)=1)*$D30:$BM30))</f>
      </c>
      <c r="BP30" s="22">
        <f>IF($A30="","",$BN30*IF($C30="Worker",Worker_DailyWage,IF($C30="Laborer",Laborer_DailyWage,0)))</f>
      </c>
      <c r="BQ30" s="22">
        <f>IF($A30="","",$BO30*IF($C30="Worker",Worker_OTRate,IF($C30="Laborer",Laborer_OTRate,0)))</f>
      </c>
      <c r="BR30" s="23">
        <f>IF($A30="","",$BP30+$BQ30)</f>
      </c>
    </row>
    <row r="31">
      <c r="A31" s="17">
        <f>IFERROR(IF((ROW()-4)&lt;=COUNTA(Workers_ID),INDEX(Workers_ID,(ROW()-4)),IF((ROW()-4)&lt;=COUNTA(Workers_ID)+COUNTA(Laborers_ID),INDEX(Laborers_ID,(ROW()-4)-COUNTA(Workers_ID)),"")),"")</f>
      </c>
      <c r="B31" s="18">
        <f>IF($A31="","",IFERROR(VLOOKUP($A31,Workers_Data,2,FALSE),IFERROR(VLOOKUP($A31,Laborers_Data,2,FALSE),"")))</f>
      </c>
      <c r="C31" s="19">
        <f>IF($A31="","",IF(COUNTIF(Workers_ID,$A31)&gt;0,"Worker",IF(COUNTIF(Laborers_ID,$A31)&gt;0,"Laborer","")))</f>
      </c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15"/>
      <c r="BM31" s="16"/>
      <c r="BN31" s="20">
        <f>IF($A31="","",SUMPRODUCT((MOD(COLUMN($D31:$BM31)-COLUMN($D31),2)=0)*$D31:$BM31))</f>
      </c>
      <c r="BO31" s="21">
        <f>IF($A31="","",SUMPRODUCT((MOD(COLUMN($D31:$BM31)-COLUMN($D31),2)=1)*$D31:$BM31))</f>
      </c>
      <c r="BP31" s="22">
        <f>IF($A31="","",$BN31*IF($C31="Worker",Worker_DailyWage,IF($C31="Laborer",Laborer_DailyWage,0)))</f>
      </c>
      <c r="BQ31" s="22">
        <f>IF($A31="","",$BO31*IF($C31="Worker",Worker_OTRate,IF($C31="Laborer",Laborer_OTRate,0)))</f>
      </c>
      <c r="BR31" s="23">
        <f>IF($A31="","",$BP31+$BQ31)</f>
      </c>
    </row>
    <row r="32">
      <c r="A32" s="17">
        <f>IFERROR(IF((ROW()-4)&lt;=COUNTA(Workers_ID),INDEX(Workers_ID,(ROW()-4)),IF((ROW()-4)&lt;=COUNTA(Workers_ID)+COUNTA(Laborers_ID),INDEX(Laborers_ID,(ROW()-4)-COUNTA(Workers_ID)),"")),"")</f>
      </c>
      <c r="B32" s="18">
        <f>IF($A32="","",IFERROR(VLOOKUP($A32,Workers_Data,2,FALSE),IFERROR(VLOOKUP($A32,Laborers_Data,2,FALSE),"")))</f>
      </c>
      <c r="C32" s="19">
        <f>IF($A32="","",IF(COUNTIF(Workers_ID,$A32)&gt;0,"Worker",IF(COUNTIF(Laborers_ID,$A32)&gt;0,"Laborer","")))</f>
      </c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15"/>
      <c r="BM32" s="16"/>
      <c r="BN32" s="20">
        <f>IF($A32="","",SUMPRODUCT((MOD(COLUMN($D32:$BM32)-COLUMN($D32),2)=0)*$D32:$BM32))</f>
      </c>
      <c r="BO32" s="21">
        <f>IF($A32="","",SUMPRODUCT((MOD(COLUMN($D32:$BM32)-COLUMN($D32),2)=1)*$D32:$BM32))</f>
      </c>
      <c r="BP32" s="22">
        <f>IF($A32="","",$BN32*IF($C32="Worker",Worker_DailyWage,IF($C32="Laborer",Laborer_DailyWage,0)))</f>
      </c>
      <c r="BQ32" s="22">
        <f>IF($A32="","",$BO32*IF($C32="Worker",Worker_OTRate,IF($C32="Laborer",Laborer_OTRate,0)))</f>
      </c>
      <c r="BR32" s="23">
        <f>IF($A32="","",$BP32+$BQ32)</f>
      </c>
    </row>
    <row r="33">
      <c r="A33" s="17">
        <f>IFERROR(IF((ROW()-4)&lt;=COUNTA(Workers_ID),INDEX(Workers_ID,(ROW()-4)),IF((ROW()-4)&lt;=COUNTA(Workers_ID)+COUNTA(Laborers_ID),INDEX(Laborers_ID,(ROW()-4)-COUNTA(Workers_ID)),"")),"")</f>
      </c>
      <c r="B33" s="18">
        <f>IF($A33="","",IFERROR(VLOOKUP($A33,Workers_Data,2,FALSE),IFERROR(VLOOKUP($A33,Laborers_Data,2,FALSE),"")))</f>
      </c>
      <c r="C33" s="19">
        <f>IF($A33="","",IF(COUNTIF(Workers_ID,$A33)&gt;0,"Worker",IF(COUNTIF(Laborers_ID,$A33)&gt;0,"Laborer","")))</f>
      </c>
      <c r="D33" s="15"/>
      <c r="E33" s="16"/>
      <c r="F33" s="15"/>
      <c r="G33" s="16"/>
      <c r="H33" s="15"/>
      <c r="I33" s="16"/>
      <c r="J33" s="15"/>
      <c r="K33" s="16"/>
      <c r="L33" s="15"/>
      <c r="M33" s="16"/>
      <c r="N33" s="15"/>
      <c r="O33" s="16"/>
      <c r="P33" s="15"/>
      <c r="Q33" s="16"/>
      <c r="R33" s="15"/>
      <c r="S33" s="16"/>
      <c r="T33" s="15"/>
      <c r="U33" s="16"/>
      <c r="V33" s="15"/>
      <c r="W33" s="16"/>
      <c r="X33" s="15"/>
      <c r="Y33" s="16"/>
      <c r="Z33" s="15"/>
      <c r="AA33" s="16"/>
      <c r="AB33" s="15"/>
      <c r="AC33" s="16"/>
      <c r="AD33" s="15"/>
      <c r="AE33" s="16"/>
      <c r="AF33" s="15"/>
      <c r="AG33" s="16"/>
      <c r="AH33" s="15"/>
      <c r="AI33" s="16"/>
      <c r="AJ33" s="15"/>
      <c r="AK33" s="16"/>
      <c r="AL33" s="15"/>
      <c r="AM33" s="16"/>
      <c r="AN33" s="15"/>
      <c r="AO33" s="16"/>
      <c r="AP33" s="15"/>
      <c r="AQ33" s="16"/>
      <c r="AR33" s="15"/>
      <c r="AS33" s="16"/>
      <c r="AT33" s="15"/>
      <c r="AU33" s="16"/>
      <c r="AV33" s="15"/>
      <c r="AW33" s="16"/>
      <c r="AX33" s="15"/>
      <c r="AY33" s="16"/>
      <c r="AZ33" s="15"/>
      <c r="BA33" s="16"/>
      <c r="BB33" s="15"/>
      <c r="BC33" s="16"/>
      <c r="BD33" s="15"/>
      <c r="BE33" s="16"/>
      <c r="BF33" s="15"/>
      <c r="BG33" s="16"/>
      <c r="BH33" s="15"/>
      <c r="BI33" s="16"/>
      <c r="BJ33" s="15"/>
      <c r="BK33" s="16"/>
      <c r="BL33" s="15"/>
      <c r="BM33" s="16"/>
      <c r="BN33" s="20">
        <f>IF($A33="","",SUMPRODUCT((MOD(COLUMN($D33:$BM33)-COLUMN($D33),2)=0)*$D33:$BM33))</f>
      </c>
      <c r="BO33" s="21">
        <f>IF($A33="","",SUMPRODUCT((MOD(COLUMN($D33:$BM33)-COLUMN($D33),2)=1)*$D33:$BM33))</f>
      </c>
      <c r="BP33" s="22">
        <f>IF($A33="","",$BN33*IF($C33="Worker",Worker_DailyWage,IF($C33="Laborer",Laborer_DailyWage,0)))</f>
      </c>
      <c r="BQ33" s="22">
        <f>IF($A33="","",$BO33*IF($C33="Worker",Worker_OTRate,IF($C33="Laborer",Laborer_OTRate,0)))</f>
      </c>
      <c r="BR33" s="23">
        <f>IF($A33="","",$BP33+$BQ33)</f>
      </c>
    </row>
    <row r="34">
      <c r="A34" s="17">
        <f>IFERROR(IF((ROW()-4)&lt;=COUNTA(Workers_ID),INDEX(Workers_ID,(ROW()-4)),IF((ROW()-4)&lt;=COUNTA(Workers_ID)+COUNTA(Laborers_ID),INDEX(Laborers_ID,(ROW()-4)-COUNTA(Workers_ID)),"")),"")</f>
      </c>
      <c r="B34" s="18">
        <f>IF($A34="","",IFERROR(VLOOKUP($A34,Workers_Data,2,FALSE),IFERROR(VLOOKUP($A34,Laborers_Data,2,FALSE),"")))</f>
      </c>
      <c r="C34" s="19">
        <f>IF($A34="","",IF(COUNTIF(Workers_ID,$A34)&gt;0,"Worker",IF(COUNTIF(Laborers_ID,$A34)&gt;0,"Laborer","")))</f>
      </c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15"/>
      <c r="BM34" s="16"/>
      <c r="BN34" s="20">
        <f>IF($A34="","",SUMPRODUCT((MOD(COLUMN($D34:$BM34)-COLUMN($D34),2)=0)*$D34:$BM34))</f>
      </c>
      <c r="BO34" s="21">
        <f>IF($A34="","",SUMPRODUCT((MOD(COLUMN($D34:$BM34)-COLUMN($D34),2)=1)*$D34:$BM34))</f>
      </c>
      <c r="BP34" s="22">
        <f>IF($A34="","",$BN34*IF($C34="Worker",Worker_DailyWage,IF($C34="Laborer",Laborer_DailyWage,0)))</f>
      </c>
      <c r="BQ34" s="22">
        <f>IF($A34="","",$BO34*IF($C34="Worker",Worker_OTRate,IF($C34="Laborer",Laborer_OTRate,0)))</f>
      </c>
      <c r="BR34" s="23">
        <f>IF($A34="","",$BP34+$BQ34)</f>
      </c>
    </row>
    <row r="35">
      <c r="A35" s="17">
        <f>IFERROR(IF((ROW()-4)&lt;=COUNTA(Workers_ID),INDEX(Workers_ID,(ROW()-4)),IF((ROW()-4)&lt;=COUNTA(Workers_ID)+COUNTA(Laborers_ID),INDEX(Laborers_ID,(ROW()-4)-COUNTA(Workers_ID)),"")),"")</f>
      </c>
      <c r="B35" s="18">
        <f>IF($A35="","",IFERROR(VLOOKUP($A35,Workers_Data,2,FALSE),IFERROR(VLOOKUP($A35,Laborers_Data,2,FALSE),"")))</f>
      </c>
      <c r="C35" s="19">
        <f>IF($A35="","",IF(COUNTIF(Workers_ID,$A35)&gt;0,"Worker",IF(COUNTIF(Laborers_ID,$A35)&gt;0,"Laborer","")))</f>
      </c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15"/>
      <c r="BM35" s="16"/>
      <c r="BN35" s="20">
        <f>IF($A35="","",SUMPRODUCT((MOD(COLUMN($D35:$BM35)-COLUMN($D35),2)=0)*$D35:$BM35))</f>
      </c>
      <c r="BO35" s="21">
        <f>IF($A35="","",SUMPRODUCT((MOD(COLUMN($D35:$BM35)-COLUMN($D35),2)=1)*$D35:$BM35))</f>
      </c>
      <c r="BP35" s="22">
        <f>IF($A35="","",$BN35*IF($C35="Worker",Worker_DailyWage,IF($C35="Laborer",Laborer_DailyWage,0)))</f>
      </c>
      <c r="BQ35" s="22">
        <f>IF($A35="","",$BO35*IF($C35="Worker",Worker_OTRate,IF($C35="Laborer",Laborer_OTRate,0)))</f>
      </c>
      <c r="BR35" s="23">
        <f>IF($A35="","",$BP35+$BQ35)</f>
      </c>
    </row>
    <row r="36">
      <c r="A36" s="17">
        <f>IFERROR(IF((ROW()-4)&lt;=COUNTA(Workers_ID),INDEX(Workers_ID,(ROW()-4)),IF((ROW()-4)&lt;=COUNTA(Workers_ID)+COUNTA(Laborers_ID),INDEX(Laborers_ID,(ROW()-4)-COUNTA(Workers_ID)),"")),"")</f>
      </c>
      <c r="B36" s="18">
        <f>IF($A36="","",IFERROR(VLOOKUP($A36,Workers_Data,2,FALSE),IFERROR(VLOOKUP($A36,Laborers_Data,2,FALSE),"")))</f>
      </c>
      <c r="C36" s="19">
        <f>IF($A36="","",IF(COUNTIF(Workers_ID,$A36)&gt;0,"Worker",IF(COUNTIF(Laborers_ID,$A36)&gt;0,"Laborer","")))</f>
      </c>
      <c r="D36" s="15"/>
      <c r="E36" s="16"/>
      <c r="F36" s="15"/>
      <c r="G36" s="16"/>
      <c r="H36" s="15"/>
      <c r="I36" s="16"/>
      <c r="J36" s="15"/>
      <c r="K36" s="16"/>
      <c r="L36" s="15"/>
      <c r="M36" s="16"/>
      <c r="N36" s="15"/>
      <c r="O36" s="16"/>
      <c r="P36" s="15"/>
      <c r="Q36" s="16"/>
      <c r="R36" s="15"/>
      <c r="S36" s="16"/>
      <c r="T36" s="15"/>
      <c r="U36" s="16"/>
      <c r="V36" s="15"/>
      <c r="W36" s="16"/>
      <c r="X36" s="15"/>
      <c r="Y36" s="16"/>
      <c r="Z36" s="15"/>
      <c r="AA36" s="16"/>
      <c r="AB36" s="15"/>
      <c r="AC36" s="16"/>
      <c r="AD36" s="15"/>
      <c r="AE36" s="16"/>
      <c r="AF36" s="15"/>
      <c r="AG36" s="16"/>
      <c r="AH36" s="15"/>
      <c r="AI36" s="16"/>
      <c r="AJ36" s="15"/>
      <c r="AK36" s="16"/>
      <c r="AL36" s="15"/>
      <c r="AM36" s="16"/>
      <c r="AN36" s="15"/>
      <c r="AO36" s="16"/>
      <c r="AP36" s="15"/>
      <c r="AQ36" s="16"/>
      <c r="AR36" s="15"/>
      <c r="AS36" s="16"/>
      <c r="AT36" s="15"/>
      <c r="AU36" s="16"/>
      <c r="AV36" s="15"/>
      <c r="AW36" s="16"/>
      <c r="AX36" s="15"/>
      <c r="AY36" s="16"/>
      <c r="AZ36" s="15"/>
      <c r="BA36" s="16"/>
      <c r="BB36" s="15"/>
      <c r="BC36" s="16"/>
      <c r="BD36" s="15"/>
      <c r="BE36" s="16"/>
      <c r="BF36" s="15"/>
      <c r="BG36" s="16"/>
      <c r="BH36" s="15"/>
      <c r="BI36" s="16"/>
      <c r="BJ36" s="15"/>
      <c r="BK36" s="16"/>
      <c r="BL36" s="15"/>
      <c r="BM36" s="16"/>
      <c r="BN36" s="20">
        <f>IF($A36="","",SUMPRODUCT((MOD(COLUMN($D36:$BM36)-COLUMN($D36),2)=0)*$D36:$BM36))</f>
      </c>
      <c r="BO36" s="21">
        <f>IF($A36="","",SUMPRODUCT((MOD(COLUMN($D36:$BM36)-COLUMN($D36),2)=1)*$D36:$BM36))</f>
      </c>
      <c r="BP36" s="22">
        <f>IF($A36="","",$BN36*IF($C36="Worker",Worker_DailyWage,IF($C36="Laborer",Laborer_DailyWage,0)))</f>
      </c>
      <c r="BQ36" s="22">
        <f>IF($A36="","",$BO36*IF($C36="Worker",Worker_OTRate,IF($C36="Laborer",Laborer_OTRate,0)))</f>
      </c>
      <c r="BR36" s="23">
        <f>IF($A36="","",$BP36+$BQ36)</f>
      </c>
    </row>
    <row r="37">
      <c r="A37" s="17">
        <f>IFERROR(IF((ROW()-4)&lt;=COUNTA(Workers_ID),INDEX(Workers_ID,(ROW()-4)),IF((ROW()-4)&lt;=COUNTA(Workers_ID)+COUNTA(Laborers_ID),INDEX(Laborers_ID,(ROW()-4)-COUNTA(Workers_ID)),"")),"")</f>
      </c>
      <c r="B37" s="18">
        <f>IF($A37="","",IFERROR(VLOOKUP($A37,Workers_Data,2,FALSE),IFERROR(VLOOKUP($A37,Laborers_Data,2,FALSE),"")))</f>
      </c>
      <c r="C37" s="19">
        <f>IF($A37="","",IF(COUNTIF(Workers_ID,$A37)&gt;0,"Worker",IF(COUNTIF(Laborers_ID,$A37)&gt;0,"Laborer","")))</f>
      </c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15"/>
      <c r="BM37" s="16"/>
      <c r="BN37" s="20">
        <f>IF($A37="","",SUMPRODUCT((MOD(COLUMN($D37:$BM37)-COLUMN($D37),2)=0)*$D37:$BM37))</f>
      </c>
      <c r="BO37" s="21">
        <f>IF($A37="","",SUMPRODUCT((MOD(COLUMN($D37:$BM37)-COLUMN($D37),2)=1)*$D37:$BM37))</f>
      </c>
      <c r="BP37" s="22">
        <f>IF($A37="","",$BN37*IF($C37="Worker",Worker_DailyWage,IF($C37="Laborer",Laborer_DailyWage,0)))</f>
      </c>
      <c r="BQ37" s="22">
        <f>IF($A37="","",$BO37*IF($C37="Worker",Worker_OTRate,IF($C37="Laborer",Laborer_OTRate,0)))</f>
      </c>
      <c r="BR37" s="23">
        <f>IF($A37="","",$BP37+$BQ37)</f>
      </c>
    </row>
    <row r="38">
      <c r="A38" s="17">
        <f>IFERROR(IF((ROW()-4)&lt;=COUNTA(Workers_ID),INDEX(Workers_ID,(ROW()-4)),IF((ROW()-4)&lt;=COUNTA(Workers_ID)+COUNTA(Laborers_ID),INDEX(Laborers_ID,(ROW()-4)-COUNTA(Workers_ID)),"")),"")</f>
      </c>
      <c r="B38" s="18">
        <f>IF($A38="","",IFERROR(VLOOKUP($A38,Workers_Data,2,FALSE),IFERROR(VLOOKUP($A38,Laborers_Data,2,FALSE),"")))</f>
      </c>
      <c r="C38" s="19">
        <f>IF($A38="","",IF(COUNTIF(Workers_ID,$A38)&gt;0,"Worker",IF(COUNTIF(Laborers_ID,$A38)&gt;0,"Laborer","")))</f>
      </c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15"/>
      <c r="BM38" s="16"/>
      <c r="BN38" s="20">
        <f>IF($A38="","",SUMPRODUCT((MOD(COLUMN($D38:$BM38)-COLUMN($D38),2)=0)*$D38:$BM38))</f>
      </c>
      <c r="BO38" s="21">
        <f>IF($A38="","",SUMPRODUCT((MOD(COLUMN($D38:$BM38)-COLUMN($D38),2)=1)*$D38:$BM38))</f>
      </c>
      <c r="BP38" s="22">
        <f>IF($A38="","",$BN38*IF($C38="Worker",Worker_DailyWage,IF($C38="Laborer",Laborer_DailyWage,0)))</f>
      </c>
      <c r="BQ38" s="22">
        <f>IF($A38="","",$BO38*IF($C38="Worker",Worker_OTRate,IF($C38="Laborer",Laborer_OTRate,0)))</f>
      </c>
      <c r="BR38" s="23">
        <f>IF($A38="","",$BP38+$BQ38)</f>
      </c>
    </row>
    <row r="39">
      <c r="A39" s="17">
        <f>IFERROR(IF((ROW()-4)&lt;=COUNTA(Workers_ID),INDEX(Workers_ID,(ROW()-4)),IF((ROW()-4)&lt;=COUNTA(Workers_ID)+COUNTA(Laborers_ID),INDEX(Laborers_ID,(ROW()-4)-COUNTA(Workers_ID)),"")),"")</f>
      </c>
      <c r="B39" s="18">
        <f>IF($A39="","",IFERROR(VLOOKUP($A39,Workers_Data,2,FALSE),IFERROR(VLOOKUP($A39,Laborers_Data,2,FALSE),"")))</f>
      </c>
      <c r="C39" s="19">
        <f>IF($A39="","",IF(COUNTIF(Workers_ID,$A39)&gt;0,"Worker",IF(COUNTIF(Laborers_ID,$A39)&gt;0,"Laborer","")))</f>
      </c>
      <c r="D39" s="15"/>
      <c r="E39" s="16"/>
      <c r="F39" s="15"/>
      <c r="G39" s="16"/>
      <c r="H39" s="15"/>
      <c r="I39" s="16"/>
      <c r="J39" s="15"/>
      <c r="K39" s="16"/>
      <c r="L39" s="15"/>
      <c r="M39" s="16"/>
      <c r="N39" s="15"/>
      <c r="O39" s="16"/>
      <c r="P39" s="15"/>
      <c r="Q39" s="16"/>
      <c r="R39" s="15"/>
      <c r="S39" s="16"/>
      <c r="T39" s="15"/>
      <c r="U39" s="16"/>
      <c r="V39" s="15"/>
      <c r="W39" s="16"/>
      <c r="X39" s="15"/>
      <c r="Y39" s="16"/>
      <c r="Z39" s="15"/>
      <c r="AA39" s="16"/>
      <c r="AB39" s="15"/>
      <c r="AC39" s="16"/>
      <c r="AD39" s="15"/>
      <c r="AE39" s="16"/>
      <c r="AF39" s="15"/>
      <c r="AG39" s="16"/>
      <c r="AH39" s="15"/>
      <c r="AI39" s="16"/>
      <c r="AJ39" s="15"/>
      <c r="AK39" s="16"/>
      <c r="AL39" s="15"/>
      <c r="AM39" s="16"/>
      <c r="AN39" s="15"/>
      <c r="AO39" s="16"/>
      <c r="AP39" s="15"/>
      <c r="AQ39" s="16"/>
      <c r="AR39" s="15"/>
      <c r="AS39" s="16"/>
      <c r="AT39" s="15"/>
      <c r="AU39" s="16"/>
      <c r="AV39" s="15"/>
      <c r="AW39" s="16"/>
      <c r="AX39" s="15"/>
      <c r="AY39" s="16"/>
      <c r="AZ39" s="15"/>
      <c r="BA39" s="16"/>
      <c r="BB39" s="15"/>
      <c r="BC39" s="16"/>
      <c r="BD39" s="15"/>
      <c r="BE39" s="16"/>
      <c r="BF39" s="15"/>
      <c r="BG39" s="16"/>
      <c r="BH39" s="15"/>
      <c r="BI39" s="16"/>
      <c r="BJ39" s="15"/>
      <c r="BK39" s="16"/>
      <c r="BL39" s="15"/>
      <c r="BM39" s="16"/>
      <c r="BN39" s="20">
        <f>IF($A39="","",SUMPRODUCT((MOD(COLUMN($D39:$BM39)-COLUMN($D39),2)=0)*$D39:$BM39))</f>
      </c>
      <c r="BO39" s="21">
        <f>IF($A39="","",SUMPRODUCT((MOD(COLUMN($D39:$BM39)-COLUMN($D39),2)=1)*$D39:$BM39))</f>
      </c>
      <c r="BP39" s="22">
        <f>IF($A39="","",$BN39*IF($C39="Worker",Worker_DailyWage,IF($C39="Laborer",Laborer_DailyWage,0)))</f>
      </c>
      <c r="BQ39" s="22">
        <f>IF($A39="","",$BO39*IF($C39="Worker",Worker_OTRate,IF($C39="Laborer",Laborer_OTRate,0)))</f>
      </c>
      <c r="BR39" s="23">
        <f>IF($A39="","",$BP39+$BQ39)</f>
      </c>
    </row>
    <row r="40">
      <c r="A40" s="17">
        <f>IFERROR(IF((ROW()-4)&lt;=COUNTA(Workers_ID),INDEX(Workers_ID,(ROW()-4)),IF((ROW()-4)&lt;=COUNTA(Workers_ID)+COUNTA(Laborers_ID),INDEX(Laborers_ID,(ROW()-4)-COUNTA(Workers_ID)),"")),"")</f>
      </c>
      <c r="B40" s="18">
        <f>IF($A40="","",IFERROR(VLOOKUP($A40,Workers_Data,2,FALSE),IFERROR(VLOOKUP($A40,Laborers_Data,2,FALSE),"")))</f>
      </c>
      <c r="C40" s="19">
        <f>IF($A40="","",IF(COUNTIF(Workers_ID,$A40)&gt;0,"Worker",IF(COUNTIF(Laborers_ID,$A40)&gt;0,"Laborer","")))</f>
      </c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15"/>
      <c r="BM40" s="16"/>
      <c r="BN40" s="20">
        <f>IF($A40="","",SUMPRODUCT((MOD(COLUMN($D40:$BM40)-COLUMN($D40),2)=0)*$D40:$BM40))</f>
      </c>
      <c r="BO40" s="21">
        <f>IF($A40="","",SUMPRODUCT((MOD(COLUMN($D40:$BM40)-COLUMN($D40),2)=1)*$D40:$BM40))</f>
      </c>
      <c r="BP40" s="22">
        <f>IF($A40="","",$BN40*IF($C40="Worker",Worker_DailyWage,IF($C40="Laborer",Laborer_DailyWage,0)))</f>
      </c>
      <c r="BQ40" s="22">
        <f>IF($A40="","",$BO40*IF($C40="Worker",Worker_OTRate,IF($C40="Laborer",Laborer_OTRate,0)))</f>
      </c>
      <c r="BR40" s="23">
        <f>IF($A40="","",$BP40+$BQ40)</f>
      </c>
    </row>
    <row r="41">
      <c r="A41" s="17">
        <f>IFERROR(IF((ROW()-4)&lt;=COUNTA(Workers_ID),INDEX(Workers_ID,(ROW()-4)),IF((ROW()-4)&lt;=COUNTA(Workers_ID)+COUNTA(Laborers_ID),INDEX(Laborers_ID,(ROW()-4)-COUNTA(Workers_ID)),"")),"")</f>
      </c>
      <c r="B41" s="18">
        <f>IF($A41="","",IFERROR(VLOOKUP($A41,Workers_Data,2,FALSE),IFERROR(VLOOKUP($A41,Laborers_Data,2,FALSE),"")))</f>
      </c>
      <c r="C41" s="19">
        <f>IF($A41="","",IF(COUNTIF(Workers_ID,$A41)&gt;0,"Worker",IF(COUNTIF(Laborers_ID,$A41)&gt;0,"Laborer","")))</f>
      </c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15"/>
      <c r="BM41" s="16"/>
      <c r="BN41" s="20">
        <f>IF($A41="","",SUMPRODUCT((MOD(COLUMN($D41:$BM41)-COLUMN($D41),2)=0)*$D41:$BM41))</f>
      </c>
      <c r="BO41" s="21">
        <f>IF($A41="","",SUMPRODUCT((MOD(COLUMN($D41:$BM41)-COLUMN($D41),2)=1)*$D41:$BM41))</f>
      </c>
      <c r="BP41" s="22">
        <f>IF($A41="","",$BN41*IF($C41="Worker",Worker_DailyWage,IF($C41="Laborer",Laborer_DailyWage,0)))</f>
      </c>
      <c r="BQ41" s="22">
        <f>IF($A41="","",$BO41*IF($C41="Worker",Worker_OTRate,IF($C41="Laborer",Laborer_OTRate,0)))</f>
      </c>
      <c r="BR41" s="23">
        <f>IF($A41="","",$BP41+$BQ41)</f>
      </c>
    </row>
    <row r="42">
      <c r="A42" s="17">
        <f>IFERROR(IF((ROW()-4)&lt;=COUNTA(Workers_ID),INDEX(Workers_ID,(ROW()-4)),IF((ROW()-4)&lt;=COUNTA(Workers_ID)+COUNTA(Laborers_ID),INDEX(Laborers_ID,(ROW()-4)-COUNTA(Workers_ID)),"")),"")</f>
      </c>
      <c r="B42" s="18">
        <f>IF($A42="","",IFERROR(VLOOKUP($A42,Workers_Data,2,FALSE),IFERROR(VLOOKUP($A42,Laborers_Data,2,FALSE),"")))</f>
      </c>
      <c r="C42" s="19">
        <f>IF($A42="","",IF(COUNTIF(Workers_ID,$A42)&gt;0,"Worker",IF(COUNTIF(Laborers_ID,$A42)&gt;0,"Laborer","")))</f>
      </c>
      <c r="D42" s="15"/>
      <c r="E42" s="16"/>
      <c r="F42" s="15"/>
      <c r="G42" s="16"/>
      <c r="H42" s="15"/>
      <c r="I42" s="16"/>
      <c r="J42" s="15"/>
      <c r="K42" s="16"/>
      <c r="L42" s="15"/>
      <c r="M42" s="16"/>
      <c r="N42" s="15"/>
      <c r="O42" s="16"/>
      <c r="P42" s="15"/>
      <c r="Q42" s="16"/>
      <c r="R42" s="15"/>
      <c r="S42" s="16"/>
      <c r="T42" s="15"/>
      <c r="U42" s="16"/>
      <c r="V42" s="15"/>
      <c r="W42" s="16"/>
      <c r="X42" s="15"/>
      <c r="Y42" s="16"/>
      <c r="Z42" s="15"/>
      <c r="AA42" s="16"/>
      <c r="AB42" s="15"/>
      <c r="AC42" s="16"/>
      <c r="AD42" s="15"/>
      <c r="AE42" s="16"/>
      <c r="AF42" s="15"/>
      <c r="AG42" s="16"/>
      <c r="AH42" s="15"/>
      <c r="AI42" s="16"/>
      <c r="AJ42" s="15"/>
      <c r="AK42" s="16"/>
      <c r="AL42" s="15"/>
      <c r="AM42" s="16"/>
      <c r="AN42" s="15"/>
      <c r="AO42" s="16"/>
      <c r="AP42" s="15"/>
      <c r="AQ42" s="16"/>
      <c r="AR42" s="15"/>
      <c r="AS42" s="16"/>
      <c r="AT42" s="15"/>
      <c r="AU42" s="16"/>
      <c r="AV42" s="15"/>
      <c r="AW42" s="16"/>
      <c r="AX42" s="15"/>
      <c r="AY42" s="16"/>
      <c r="AZ42" s="15"/>
      <c r="BA42" s="16"/>
      <c r="BB42" s="15"/>
      <c r="BC42" s="16"/>
      <c r="BD42" s="15"/>
      <c r="BE42" s="16"/>
      <c r="BF42" s="15"/>
      <c r="BG42" s="16"/>
      <c r="BH42" s="15"/>
      <c r="BI42" s="16"/>
      <c r="BJ42" s="15"/>
      <c r="BK42" s="16"/>
      <c r="BL42" s="15"/>
      <c r="BM42" s="16"/>
      <c r="BN42" s="20">
        <f>IF($A42="","",SUMPRODUCT((MOD(COLUMN($D42:$BM42)-COLUMN($D42),2)=0)*$D42:$BM42))</f>
      </c>
      <c r="BO42" s="21">
        <f>IF($A42="","",SUMPRODUCT((MOD(COLUMN($D42:$BM42)-COLUMN($D42),2)=1)*$D42:$BM42))</f>
      </c>
      <c r="BP42" s="22">
        <f>IF($A42="","",$BN42*IF($C42="Worker",Worker_DailyWage,IF($C42="Laborer",Laborer_DailyWage,0)))</f>
      </c>
      <c r="BQ42" s="22">
        <f>IF($A42="","",$BO42*IF($C42="Worker",Worker_OTRate,IF($C42="Laborer",Laborer_OTRate,0)))</f>
      </c>
      <c r="BR42" s="23">
        <f>IF($A42="","",$BP42+$BQ42)</f>
      </c>
    </row>
    <row r="43">
      <c r="A43" s="17">
        <f>IFERROR(IF((ROW()-4)&lt;=COUNTA(Workers_ID),INDEX(Workers_ID,(ROW()-4)),IF((ROW()-4)&lt;=COUNTA(Workers_ID)+COUNTA(Laborers_ID),INDEX(Laborers_ID,(ROW()-4)-COUNTA(Workers_ID)),"")),"")</f>
      </c>
      <c r="B43" s="18">
        <f>IF($A43="","",IFERROR(VLOOKUP($A43,Workers_Data,2,FALSE),IFERROR(VLOOKUP($A43,Laborers_Data,2,FALSE),"")))</f>
      </c>
      <c r="C43" s="19">
        <f>IF($A43="","",IF(COUNTIF(Workers_ID,$A43)&gt;0,"Worker",IF(COUNTIF(Laborers_ID,$A43)&gt;0,"Laborer","")))</f>
      </c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15"/>
      <c r="BM43" s="16"/>
      <c r="BN43" s="20">
        <f>IF($A43="","",SUMPRODUCT((MOD(COLUMN($D43:$BM43)-COLUMN($D43),2)=0)*$D43:$BM43))</f>
      </c>
      <c r="BO43" s="21">
        <f>IF($A43="","",SUMPRODUCT((MOD(COLUMN($D43:$BM43)-COLUMN($D43),2)=1)*$D43:$BM43))</f>
      </c>
      <c r="BP43" s="22">
        <f>IF($A43="","",$BN43*IF($C43="Worker",Worker_DailyWage,IF($C43="Laborer",Laborer_DailyWage,0)))</f>
      </c>
      <c r="BQ43" s="22">
        <f>IF($A43="","",$BO43*IF($C43="Worker",Worker_OTRate,IF($C43="Laborer",Laborer_OTRate,0)))</f>
      </c>
      <c r="BR43" s="23">
        <f>IF($A43="","",$BP43+$BQ43)</f>
      </c>
    </row>
    <row r="44">
      <c r="A44" s="17">
        <f>IFERROR(IF((ROW()-4)&lt;=COUNTA(Workers_ID),INDEX(Workers_ID,(ROW()-4)),IF((ROW()-4)&lt;=COUNTA(Workers_ID)+COUNTA(Laborers_ID),INDEX(Laborers_ID,(ROW()-4)-COUNTA(Workers_ID)),"")),"")</f>
      </c>
      <c r="B44" s="18">
        <f>IF($A44="","",IFERROR(VLOOKUP($A44,Workers_Data,2,FALSE),IFERROR(VLOOKUP($A44,Laborers_Data,2,FALSE),"")))</f>
      </c>
      <c r="C44" s="19">
        <f>IF($A44="","",IF(COUNTIF(Workers_ID,$A44)&gt;0,"Worker",IF(COUNTIF(Laborers_ID,$A44)&gt;0,"Laborer","")))</f>
      </c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15"/>
      <c r="BM44" s="16"/>
      <c r="BN44" s="20">
        <f>IF($A44="","",SUMPRODUCT((MOD(COLUMN($D44:$BM44)-COLUMN($D44),2)=0)*$D44:$BM44))</f>
      </c>
      <c r="BO44" s="21">
        <f>IF($A44="","",SUMPRODUCT((MOD(COLUMN($D44:$BM44)-COLUMN($D44),2)=1)*$D44:$BM44))</f>
      </c>
      <c r="BP44" s="22">
        <f>IF($A44="","",$BN44*IF($C44="Worker",Worker_DailyWage,IF($C44="Laborer",Laborer_DailyWage,0)))</f>
      </c>
      <c r="BQ44" s="22">
        <f>IF($A44="","",$BO44*IF($C44="Worker",Worker_OTRate,IF($C44="Laborer",Laborer_OTRate,0)))</f>
      </c>
      <c r="BR44" s="23">
        <f>IF($A44="","",$BP44+$BQ44)</f>
      </c>
    </row>
    <row r="45">
      <c r="A45" s="17">
        <f>IFERROR(IF((ROW()-4)&lt;=COUNTA(Workers_ID),INDEX(Workers_ID,(ROW()-4)),IF((ROW()-4)&lt;=COUNTA(Workers_ID)+COUNTA(Laborers_ID),INDEX(Laborers_ID,(ROW()-4)-COUNTA(Workers_ID)),"")),"")</f>
      </c>
      <c r="B45" s="18">
        <f>IF($A45="","",IFERROR(VLOOKUP($A45,Workers_Data,2,FALSE),IFERROR(VLOOKUP($A45,Laborers_Data,2,FALSE),"")))</f>
      </c>
      <c r="C45" s="19">
        <f>IF($A45="","",IF(COUNTIF(Workers_ID,$A45)&gt;0,"Worker",IF(COUNTIF(Laborers_ID,$A45)&gt;0,"Laborer","")))</f>
      </c>
      <c r="D45" s="15"/>
      <c r="E45" s="16"/>
      <c r="F45" s="15"/>
      <c r="G45" s="16"/>
      <c r="H45" s="15"/>
      <c r="I45" s="16"/>
      <c r="J45" s="15"/>
      <c r="K45" s="16"/>
      <c r="L45" s="15"/>
      <c r="M45" s="16"/>
      <c r="N45" s="15"/>
      <c r="O45" s="16"/>
      <c r="P45" s="15"/>
      <c r="Q45" s="16"/>
      <c r="R45" s="15"/>
      <c r="S45" s="16"/>
      <c r="T45" s="15"/>
      <c r="U45" s="16"/>
      <c r="V45" s="15"/>
      <c r="W45" s="16"/>
      <c r="X45" s="15"/>
      <c r="Y45" s="16"/>
      <c r="Z45" s="15"/>
      <c r="AA45" s="16"/>
      <c r="AB45" s="15"/>
      <c r="AC45" s="16"/>
      <c r="AD45" s="15"/>
      <c r="AE45" s="16"/>
      <c r="AF45" s="15"/>
      <c r="AG45" s="16"/>
      <c r="AH45" s="15"/>
      <c r="AI45" s="16"/>
      <c r="AJ45" s="15"/>
      <c r="AK45" s="16"/>
      <c r="AL45" s="15"/>
      <c r="AM45" s="16"/>
      <c r="AN45" s="15"/>
      <c r="AO45" s="16"/>
      <c r="AP45" s="15"/>
      <c r="AQ45" s="16"/>
      <c r="AR45" s="15"/>
      <c r="AS45" s="16"/>
      <c r="AT45" s="15"/>
      <c r="AU45" s="16"/>
      <c r="AV45" s="15"/>
      <c r="AW45" s="16"/>
      <c r="AX45" s="15"/>
      <c r="AY45" s="16"/>
      <c r="AZ45" s="15"/>
      <c r="BA45" s="16"/>
      <c r="BB45" s="15"/>
      <c r="BC45" s="16"/>
      <c r="BD45" s="15"/>
      <c r="BE45" s="16"/>
      <c r="BF45" s="15"/>
      <c r="BG45" s="16"/>
      <c r="BH45" s="15"/>
      <c r="BI45" s="16"/>
      <c r="BJ45" s="15"/>
      <c r="BK45" s="16"/>
      <c r="BL45" s="15"/>
      <c r="BM45" s="16"/>
      <c r="BN45" s="20">
        <f>IF($A45="","",SUMPRODUCT((MOD(COLUMN($D45:$BM45)-COLUMN($D45),2)=0)*$D45:$BM45))</f>
      </c>
      <c r="BO45" s="21">
        <f>IF($A45="","",SUMPRODUCT((MOD(COLUMN($D45:$BM45)-COLUMN($D45),2)=1)*$D45:$BM45))</f>
      </c>
      <c r="BP45" s="22">
        <f>IF($A45="","",$BN45*IF($C45="Worker",Worker_DailyWage,IF($C45="Laborer",Laborer_DailyWage,0)))</f>
      </c>
      <c r="BQ45" s="22">
        <f>IF($A45="","",$BO45*IF($C45="Worker",Worker_OTRate,IF($C45="Laborer",Laborer_OTRate,0)))</f>
      </c>
      <c r="BR45" s="23">
        <f>IF($A45="","",$BP45+$BQ45)</f>
      </c>
    </row>
    <row r="46">
      <c r="A46" s="17">
        <f>IFERROR(IF((ROW()-4)&lt;=COUNTA(Workers_ID),INDEX(Workers_ID,(ROW()-4)),IF((ROW()-4)&lt;=COUNTA(Workers_ID)+COUNTA(Laborers_ID),INDEX(Laborers_ID,(ROW()-4)-COUNTA(Workers_ID)),"")),"")</f>
      </c>
      <c r="B46" s="18">
        <f>IF($A46="","",IFERROR(VLOOKUP($A46,Workers_Data,2,FALSE),IFERROR(VLOOKUP($A46,Laborers_Data,2,FALSE),"")))</f>
      </c>
      <c r="C46" s="19">
        <f>IF($A46="","",IF(COUNTIF(Workers_ID,$A46)&gt;0,"Worker",IF(COUNTIF(Laborers_ID,$A46)&gt;0,"Laborer","")))</f>
      </c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15"/>
      <c r="BM46" s="16"/>
      <c r="BN46" s="20">
        <f>IF($A46="","",SUMPRODUCT((MOD(COLUMN($D46:$BM46)-COLUMN($D46),2)=0)*$D46:$BM46))</f>
      </c>
      <c r="BO46" s="21">
        <f>IF($A46="","",SUMPRODUCT((MOD(COLUMN($D46:$BM46)-COLUMN($D46),2)=1)*$D46:$BM46))</f>
      </c>
      <c r="BP46" s="22">
        <f>IF($A46="","",$BN46*IF($C46="Worker",Worker_DailyWage,IF($C46="Laborer",Laborer_DailyWage,0)))</f>
      </c>
      <c r="BQ46" s="22">
        <f>IF($A46="","",$BO46*IF($C46="Worker",Worker_OTRate,IF($C46="Laborer",Laborer_OTRate,0)))</f>
      </c>
      <c r="BR46" s="23">
        <f>IF($A46="","",$BP46+$BQ46)</f>
      </c>
    </row>
    <row r="47">
      <c r="A47" s="17">
        <f>IFERROR(IF((ROW()-4)&lt;=COUNTA(Workers_ID),INDEX(Workers_ID,(ROW()-4)),IF((ROW()-4)&lt;=COUNTA(Workers_ID)+COUNTA(Laborers_ID),INDEX(Laborers_ID,(ROW()-4)-COUNTA(Workers_ID)),"")),"")</f>
      </c>
      <c r="B47" s="18">
        <f>IF($A47="","",IFERROR(VLOOKUP($A47,Workers_Data,2,FALSE),IFERROR(VLOOKUP($A47,Laborers_Data,2,FALSE),"")))</f>
      </c>
      <c r="C47" s="19">
        <f>IF($A47="","",IF(COUNTIF(Workers_ID,$A47)&gt;0,"Worker",IF(COUNTIF(Laborers_ID,$A47)&gt;0,"Laborer","")))</f>
      </c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15"/>
      <c r="BM47" s="16"/>
      <c r="BN47" s="20">
        <f>IF($A47="","",SUMPRODUCT((MOD(COLUMN($D47:$BM47)-COLUMN($D47),2)=0)*$D47:$BM47))</f>
      </c>
      <c r="BO47" s="21">
        <f>IF($A47="","",SUMPRODUCT((MOD(COLUMN($D47:$BM47)-COLUMN($D47),2)=1)*$D47:$BM47))</f>
      </c>
      <c r="BP47" s="22">
        <f>IF($A47="","",$BN47*IF($C47="Worker",Worker_DailyWage,IF($C47="Laborer",Laborer_DailyWage,0)))</f>
      </c>
      <c r="BQ47" s="22">
        <f>IF($A47="","",$BO47*IF($C47="Worker",Worker_OTRate,IF($C47="Laborer",Laborer_OTRate,0)))</f>
      </c>
      <c r="BR47" s="23">
        <f>IF($A47="","",$BP47+$BQ47)</f>
      </c>
    </row>
    <row r="48">
      <c r="A48" s="17">
        <f>IFERROR(IF((ROW()-4)&lt;=COUNTA(Workers_ID),INDEX(Workers_ID,(ROW()-4)),IF((ROW()-4)&lt;=COUNTA(Workers_ID)+COUNTA(Laborers_ID),INDEX(Laborers_ID,(ROW()-4)-COUNTA(Workers_ID)),"")),"")</f>
      </c>
      <c r="B48" s="18">
        <f>IF($A48="","",IFERROR(VLOOKUP($A48,Workers_Data,2,FALSE),IFERROR(VLOOKUP($A48,Laborers_Data,2,FALSE),"")))</f>
      </c>
      <c r="C48" s="19">
        <f>IF($A48="","",IF(COUNTIF(Workers_ID,$A48)&gt;0,"Worker",IF(COUNTIF(Laborers_ID,$A48)&gt;0,"Laborer","")))</f>
      </c>
      <c r="D48" s="15"/>
      <c r="E48" s="16"/>
      <c r="F48" s="15"/>
      <c r="G48" s="16"/>
      <c r="H48" s="15"/>
      <c r="I48" s="16"/>
      <c r="J48" s="15"/>
      <c r="K48" s="16"/>
      <c r="L48" s="15"/>
      <c r="M48" s="16"/>
      <c r="N48" s="15"/>
      <c r="O48" s="16"/>
      <c r="P48" s="15"/>
      <c r="Q48" s="16"/>
      <c r="R48" s="15"/>
      <c r="S48" s="16"/>
      <c r="T48" s="15"/>
      <c r="U48" s="16"/>
      <c r="V48" s="15"/>
      <c r="W48" s="16"/>
      <c r="X48" s="15"/>
      <c r="Y48" s="16"/>
      <c r="Z48" s="15"/>
      <c r="AA48" s="16"/>
      <c r="AB48" s="15"/>
      <c r="AC48" s="16"/>
      <c r="AD48" s="15"/>
      <c r="AE48" s="16"/>
      <c r="AF48" s="15"/>
      <c r="AG48" s="16"/>
      <c r="AH48" s="15"/>
      <c r="AI48" s="16"/>
      <c r="AJ48" s="15"/>
      <c r="AK48" s="16"/>
      <c r="AL48" s="15"/>
      <c r="AM48" s="16"/>
      <c r="AN48" s="15"/>
      <c r="AO48" s="16"/>
      <c r="AP48" s="15"/>
      <c r="AQ48" s="16"/>
      <c r="AR48" s="15"/>
      <c r="AS48" s="16"/>
      <c r="AT48" s="15"/>
      <c r="AU48" s="16"/>
      <c r="AV48" s="15"/>
      <c r="AW48" s="16"/>
      <c r="AX48" s="15"/>
      <c r="AY48" s="16"/>
      <c r="AZ48" s="15"/>
      <c r="BA48" s="16"/>
      <c r="BB48" s="15"/>
      <c r="BC48" s="16"/>
      <c r="BD48" s="15"/>
      <c r="BE48" s="16"/>
      <c r="BF48" s="15"/>
      <c r="BG48" s="16"/>
      <c r="BH48" s="15"/>
      <c r="BI48" s="16"/>
      <c r="BJ48" s="15"/>
      <c r="BK48" s="16"/>
      <c r="BL48" s="15"/>
      <c r="BM48" s="16"/>
      <c r="BN48" s="20">
        <f>IF($A48="","",SUMPRODUCT((MOD(COLUMN($D48:$BM48)-COLUMN($D48),2)=0)*$D48:$BM48))</f>
      </c>
      <c r="BO48" s="21">
        <f>IF($A48="","",SUMPRODUCT((MOD(COLUMN($D48:$BM48)-COLUMN($D48),2)=1)*$D48:$BM48))</f>
      </c>
      <c r="BP48" s="22">
        <f>IF($A48="","",$BN48*IF($C48="Worker",Worker_DailyWage,IF($C48="Laborer",Laborer_DailyWage,0)))</f>
      </c>
      <c r="BQ48" s="22">
        <f>IF($A48="","",$BO48*IF($C48="Worker",Worker_OTRate,IF($C48="Laborer",Laborer_OTRate,0)))</f>
      </c>
      <c r="BR48" s="23">
        <f>IF($A48="","",$BP48+$BQ48)</f>
      </c>
    </row>
    <row r="49">
      <c r="A49" s="17">
        <f>IFERROR(IF((ROW()-4)&lt;=COUNTA(Workers_ID),INDEX(Workers_ID,(ROW()-4)),IF((ROW()-4)&lt;=COUNTA(Workers_ID)+COUNTA(Laborers_ID),INDEX(Laborers_ID,(ROW()-4)-COUNTA(Workers_ID)),"")),"")</f>
      </c>
      <c r="B49" s="18">
        <f>IF($A49="","",IFERROR(VLOOKUP($A49,Workers_Data,2,FALSE),IFERROR(VLOOKUP($A49,Laborers_Data,2,FALSE),"")))</f>
      </c>
      <c r="C49" s="19">
        <f>IF($A49="","",IF(COUNTIF(Workers_ID,$A49)&gt;0,"Worker",IF(COUNTIF(Laborers_ID,$A49)&gt;0,"Laborer","")))</f>
      </c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15"/>
      <c r="BM49" s="16"/>
      <c r="BN49" s="20">
        <f>IF($A49="","",SUMPRODUCT((MOD(COLUMN($D49:$BM49)-COLUMN($D49),2)=0)*$D49:$BM49))</f>
      </c>
      <c r="BO49" s="21">
        <f>IF($A49="","",SUMPRODUCT((MOD(COLUMN($D49:$BM49)-COLUMN($D49),2)=1)*$D49:$BM49))</f>
      </c>
      <c r="BP49" s="22">
        <f>IF($A49="","",$BN49*IF($C49="Worker",Worker_DailyWage,IF($C49="Laborer",Laborer_DailyWage,0)))</f>
      </c>
      <c r="BQ49" s="22">
        <f>IF($A49="","",$BO49*IF($C49="Worker",Worker_OTRate,IF($C49="Laborer",Laborer_OTRate,0)))</f>
      </c>
      <c r="BR49" s="23">
        <f>IF($A49="","",$BP49+$BQ49)</f>
      </c>
    </row>
    <row r="50">
      <c r="A50" s="17">
        <f>IFERROR(IF((ROW()-4)&lt;=COUNTA(Workers_ID),INDEX(Workers_ID,(ROW()-4)),IF((ROW()-4)&lt;=COUNTA(Workers_ID)+COUNTA(Laborers_ID),INDEX(Laborers_ID,(ROW()-4)-COUNTA(Workers_ID)),"")),"")</f>
      </c>
      <c r="B50" s="18">
        <f>IF($A50="","",IFERROR(VLOOKUP($A50,Workers_Data,2,FALSE),IFERROR(VLOOKUP($A50,Laborers_Data,2,FALSE),"")))</f>
      </c>
      <c r="C50" s="19">
        <f>IF($A50="","",IF(COUNTIF(Workers_ID,$A50)&gt;0,"Worker",IF(COUNTIF(Laborers_ID,$A50)&gt;0,"Laborer","")))</f>
      </c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15"/>
      <c r="BM50" s="16"/>
      <c r="BN50" s="20">
        <f>IF($A50="","",SUMPRODUCT((MOD(COLUMN($D50:$BM50)-COLUMN($D50),2)=0)*$D50:$BM50))</f>
      </c>
      <c r="BO50" s="21">
        <f>IF($A50="","",SUMPRODUCT((MOD(COLUMN($D50:$BM50)-COLUMN($D50),2)=1)*$D50:$BM50))</f>
      </c>
      <c r="BP50" s="22">
        <f>IF($A50="","",$BN50*IF($C50="Worker",Worker_DailyWage,IF($C50="Laborer",Laborer_DailyWage,0)))</f>
      </c>
      <c r="BQ50" s="22">
        <f>IF($A50="","",$BO50*IF($C50="Worker",Worker_OTRate,IF($C50="Laborer",Laborer_OTRate,0)))</f>
      </c>
      <c r="BR50" s="23">
        <f>IF($A50="","",$BP50+$BQ50)</f>
      </c>
    </row>
    <row r="51">
      <c r="A51" s="17">
        <f>IFERROR(IF((ROW()-4)&lt;=COUNTA(Workers_ID),INDEX(Workers_ID,(ROW()-4)),IF((ROW()-4)&lt;=COUNTA(Workers_ID)+COUNTA(Laborers_ID),INDEX(Laborers_ID,(ROW()-4)-COUNTA(Workers_ID)),"")),"")</f>
      </c>
      <c r="B51" s="18">
        <f>IF($A51="","",IFERROR(VLOOKUP($A51,Workers_Data,2,FALSE),IFERROR(VLOOKUP($A51,Laborers_Data,2,FALSE),"")))</f>
      </c>
      <c r="C51" s="19">
        <f>IF($A51="","",IF(COUNTIF(Workers_ID,$A51)&gt;0,"Worker",IF(COUNTIF(Laborers_ID,$A51)&gt;0,"Laborer","")))</f>
      </c>
      <c r="D51" s="15"/>
      <c r="E51" s="16"/>
      <c r="F51" s="15"/>
      <c r="G51" s="16"/>
      <c r="H51" s="15"/>
      <c r="I51" s="16"/>
      <c r="J51" s="15"/>
      <c r="K51" s="16"/>
      <c r="L51" s="15"/>
      <c r="M51" s="16"/>
      <c r="N51" s="15"/>
      <c r="O51" s="16"/>
      <c r="P51" s="15"/>
      <c r="Q51" s="16"/>
      <c r="R51" s="15"/>
      <c r="S51" s="16"/>
      <c r="T51" s="15"/>
      <c r="U51" s="16"/>
      <c r="V51" s="15"/>
      <c r="W51" s="16"/>
      <c r="X51" s="15"/>
      <c r="Y51" s="16"/>
      <c r="Z51" s="15"/>
      <c r="AA51" s="16"/>
      <c r="AB51" s="15"/>
      <c r="AC51" s="16"/>
      <c r="AD51" s="15"/>
      <c r="AE51" s="16"/>
      <c r="AF51" s="15"/>
      <c r="AG51" s="16"/>
      <c r="AH51" s="15"/>
      <c r="AI51" s="16"/>
      <c r="AJ51" s="15"/>
      <c r="AK51" s="16"/>
      <c r="AL51" s="15"/>
      <c r="AM51" s="16"/>
      <c r="AN51" s="15"/>
      <c r="AO51" s="16"/>
      <c r="AP51" s="15"/>
      <c r="AQ51" s="16"/>
      <c r="AR51" s="15"/>
      <c r="AS51" s="16"/>
      <c r="AT51" s="15"/>
      <c r="AU51" s="16"/>
      <c r="AV51" s="15"/>
      <c r="AW51" s="16"/>
      <c r="AX51" s="15"/>
      <c r="AY51" s="16"/>
      <c r="AZ51" s="15"/>
      <c r="BA51" s="16"/>
      <c r="BB51" s="15"/>
      <c r="BC51" s="16"/>
      <c r="BD51" s="15"/>
      <c r="BE51" s="16"/>
      <c r="BF51" s="15"/>
      <c r="BG51" s="16"/>
      <c r="BH51" s="15"/>
      <c r="BI51" s="16"/>
      <c r="BJ51" s="15"/>
      <c r="BK51" s="16"/>
      <c r="BL51" s="15"/>
      <c r="BM51" s="16"/>
      <c r="BN51" s="20">
        <f>IF($A51="","",SUMPRODUCT((MOD(COLUMN($D51:$BM51)-COLUMN($D51),2)=0)*$D51:$BM51))</f>
      </c>
      <c r="BO51" s="21">
        <f>IF($A51="","",SUMPRODUCT((MOD(COLUMN($D51:$BM51)-COLUMN($D51),2)=1)*$D51:$BM51))</f>
      </c>
      <c r="BP51" s="22">
        <f>IF($A51="","",$BN51*IF($C51="Worker",Worker_DailyWage,IF($C51="Laborer",Laborer_DailyWage,0)))</f>
      </c>
      <c r="BQ51" s="22">
        <f>IF($A51="","",$BO51*IF($C51="Worker",Worker_OTRate,IF($C51="Laborer",Laborer_OTRate,0)))</f>
      </c>
      <c r="BR51" s="23">
        <f>IF($A51="","",$BP51+$BQ51)</f>
      </c>
    </row>
    <row r="52">
      <c r="A52" s="17">
        <f>IFERROR(IF((ROW()-4)&lt;=COUNTA(Workers_ID),INDEX(Workers_ID,(ROW()-4)),IF((ROW()-4)&lt;=COUNTA(Workers_ID)+COUNTA(Laborers_ID),INDEX(Laborers_ID,(ROW()-4)-COUNTA(Workers_ID)),"")),"")</f>
      </c>
      <c r="B52" s="18">
        <f>IF($A52="","",IFERROR(VLOOKUP($A52,Workers_Data,2,FALSE),IFERROR(VLOOKUP($A52,Laborers_Data,2,FALSE),"")))</f>
      </c>
      <c r="C52" s="19">
        <f>IF($A52="","",IF(COUNTIF(Workers_ID,$A52)&gt;0,"Worker",IF(COUNTIF(Laborers_ID,$A52)&gt;0,"Laborer","")))</f>
      </c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15"/>
      <c r="BM52" s="16"/>
      <c r="BN52" s="20">
        <f>IF($A52="","",SUMPRODUCT((MOD(COLUMN($D52:$BM52)-COLUMN($D52),2)=0)*$D52:$BM52))</f>
      </c>
      <c r="BO52" s="21">
        <f>IF($A52="","",SUMPRODUCT((MOD(COLUMN($D52:$BM52)-COLUMN($D52),2)=1)*$D52:$BM52))</f>
      </c>
      <c r="BP52" s="22">
        <f>IF($A52="","",$BN52*IF($C52="Worker",Worker_DailyWage,IF($C52="Laborer",Laborer_DailyWage,0)))</f>
      </c>
      <c r="BQ52" s="22">
        <f>IF($A52="","",$BO52*IF($C52="Worker",Worker_OTRate,IF($C52="Laborer",Laborer_OTRate,0)))</f>
      </c>
      <c r="BR52" s="23">
        <f>IF($A52="","",$BP52+$BQ52)</f>
      </c>
    </row>
    <row r="53">
      <c r="A53" s="17">
        <f>IFERROR(IF((ROW()-4)&lt;=COUNTA(Workers_ID),INDEX(Workers_ID,(ROW()-4)),IF((ROW()-4)&lt;=COUNTA(Workers_ID)+COUNTA(Laborers_ID),INDEX(Laborers_ID,(ROW()-4)-COUNTA(Workers_ID)),"")),"")</f>
      </c>
      <c r="B53" s="18">
        <f>IF($A53="","",IFERROR(VLOOKUP($A53,Workers_Data,2,FALSE),IFERROR(VLOOKUP($A53,Laborers_Data,2,FALSE),"")))</f>
      </c>
      <c r="C53" s="19">
        <f>IF($A53="","",IF(COUNTIF(Workers_ID,$A53)&gt;0,"Worker",IF(COUNTIF(Laborers_ID,$A53)&gt;0,"Laborer","")))</f>
      </c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15"/>
      <c r="BM53" s="16"/>
      <c r="BN53" s="20">
        <f>IF($A53="","",SUMPRODUCT((MOD(COLUMN($D53:$BM53)-COLUMN($D53),2)=0)*$D53:$BM53))</f>
      </c>
      <c r="BO53" s="21">
        <f>IF($A53="","",SUMPRODUCT((MOD(COLUMN($D53:$BM53)-COLUMN($D53),2)=1)*$D53:$BM53))</f>
      </c>
      <c r="BP53" s="22">
        <f>IF($A53="","",$BN53*IF($C53="Worker",Worker_DailyWage,IF($C53="Laborer",Laborer_DailyWage,0)))</f>
      </c>
      <c r="BQ53" s="22">
        <f>IF($A53="","",$BO53*IF($C53="Worker",Worker_OTRate,IF($C53="Laborer",Laborer_OTRate,0)))</f>
      </c>
      <c r="BR53" s="23">
        <f>IF($A53="","",$BP53+$BQ53)</f>
      </c>
    </row>
    <row r="54">
      <c r="A54" s="17">
        <f>IFERROR(IF((ROW()-4)&lt;=COUNTA(Workers_ID),INDEX(Workers_ID,(ROW()-4)),IF((ROW()-4)&lt;=COUNTA(Workers_ID)+COUNTA(Laborers_ID),INDEX(Laborers_ID,(ROW()-4)-COUNTA(Workers_ID)),"")),"")</f>
      </c>
      <c r="B54" s="18">
        <f>IF($A54="","",IFERROR(VLOOKUP($A54,Workers_Data,2,FALSE),IFERROR(VLOOKUP($A54,Laborers_Data,2,FALSE),"")))</f>
      </c>
      <c r="C54" s="19">
        <f>IF($A54="","",IF(COUNTIF(Workers_ID,$A54)&gt;0,"Worker",IF(COUNTIF(Laborers_ID,$A54)&gt;0,"Laborer","")))</f>
      </c>
      <c r="D54" s="15"/>
      <c r="E54" s="16"/>
      <c r="F54" s="15"/>
      <c r="G54" s="16"/>
      <c r="H54" s="15"/>
      <c r="I54" s="16"/>
      <c r="J54" s="15"/>
      <c r="K54" s="16"/>
      <c r="L54" s="15"/>
      <c r="M54" s="16"/>
      <c r="N54" s="15"/>
      <c r="O54" s="16"/>
      <c r="P54" s="15"/>
      <c r="Q54" s="16"/>
      <c r="R54" s="15"/>
      <c r="S54" s="16"/>
      <c r="T54" s="15"/>
      <c r="U54" s="16"/>
      <c r="V54" s="15"/>
      <c r="W54" s="16"/>
      <c r="X54" s="15"/>
      <c r="Y54" s="16"/>
      <c r="Z54" s="15"/>
      <c r="AA54" s="16"/>
      <c r="AB54" s="15"/>
      <c r="AC54" s="16"/>
      <c r="AD54" s="15"/>
      <c r="AE54" s="16"/>
      <c r="AF54" s="15"/>
      <c r="AG54" s="16"/>
      <c r="AH54" s="15"/>
      <c r="AI54" s="16"/>
      <c r="AJ54" s="15"/>
      <c r="AK54" s="16"/>
      <c r="AL54" s="15"/>
      <c r="AM54" s="16"/>
      <c r="AN54" s="15"/>
      <c r="AO54" s="16"/>
      <c r="AP54" s="15"/>
      <c r="AQ54" s="16"/>
      <c r="AR54" s="15"/>
      <c r="AS54" s="16"/>
      <c r="AT54" s="15"/>
      <c r="AU54" s="16"/>
      <c r="AV54" s="15"/>
      <c r="AW54" s="16"/>
      <c r="AX54" s="15"/>
      <c r="AY54" s="16"/>
      <c r="AZ54" s="15"/>
      <c r="BA54" s="16"/>
      <c r="BB54" s="15"/>
      <c r="BC54" s="16"/>
      <c r="BD54" s="15"/>
      <c r="BE54" s="16"/>
      <c r="BF54" s="15"/>
      <c r="BG54" s="16"/>
      <c r="BH54" s="15"/>
      <c r="BI54" s="16"/>
      <c r="BJ54" s="15"/>
      <c r="BK54" s="16"/>
      <c r="BL54" s="15"/>
      <c r="BM54" s="16"/>
      <c r="BN54" s="20">
        <f>IF($A54="","",SUMPRODUCT((MOD(COLUMN($D54:$BM54)-COLUMN($D54),2)=0)*$D54:$BM54))</f>
      </c>
      <c r="BO54" s="21">
        <f>IF($A54="","",SUMPRODUCT((MOD(COLUMN($D54:$BM54)-COLUMN($D54),2)=1)*$D54:$BM54))</f>
      </c>
      <c r="BP54" s="22">
        <f>IF($A54="","",$BN54*IF($C54="Worker",Worker_DailyWage,IF($C54="Laborer",Laborer_DailyWage,0)))</f>
      </c>
      <c r="BQ54" s="22">
        <f>IF($A54="","",$BO54*IF($C54="Worker",Worker_OTRate,IF($C54="Laborer",Laborer_OTRate,0)))</f>
      </c>
      <c r="BR54" s="23">
        <f>IF($A54="","",$BP54+$BQ54)</f>
      </c>
    </row>
    <row r="55">
      <c r="A55" s="17">
        <f>IFERROR(IF((ROW()-4)&lt;=COUNTA(Workers_ID),INDEX(Workers_ID,(ROW()-4)),IF((ROW()-4)&lt;=COUNTA(Workers_ID)+COUNTA(Laborers_ID),INDEX(Laborers_ID,(ROW()-4)-COUNTA(Workers_ID)),"")),"")</f>
      </c>
      <c r="B55" s="18">
        <f>IF($A55="","",IFERROR(VLOOKUP($A55,Workers_Data,2,FALSE),IFERROR(VLOOKUP($A55,Laborers_Data,2,FALSE),"")))</f>
      </c>
      <c r="C55" s="19">
        <f>IF($A55="","",IF(COUNTIF(Workers_ID,$A55)&gt;0,"Worker",IF(COUNTIF(Laborers_ID,$A55)&gt;0,"Laborer","")))</f>
      </c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15"/>
      <c r="BM55" s="16"/>
      <c r="BN55" s="20">
        <f>IF($A55="","",SUMPRODUCT((MOD(COLUMN($D55:$BM55)-COLUMN($D55),2)=0)*$D55:$BM55))</f>
      </c>
      <c r="BO55" s="21">
        <f>IF($A55="","",SUMPRODUCT((MOD(COLUMN($D55:$BM55)-COLUMN($D55),2)=1)*$D55:$BM55))</f>
      </c>
      <c r="BP55" s="22">
        <f>IF($A55="","",$BN55*IF($C55="Worker",Worker_DailyWage,IF($C55="Laborer",Laborer_DailyWage,0)))</f>
      </c>
      <c r="BQ55" s="22">
        <f>IF($A55="","",$BO55*IF($C55="Worker",Worker_OTRate,IF($C55="Laborer",Laborer_OTRate,0)))</f>
      </c>
      <c r="BR55" s="23">
        <f>IF($A55="","",$BP55+$BQ55)</f>
      </c>
    </row>
    <row r="56">
      <c r="A56" s="17">
        <f>IFERROR(IF((ROW()-4)&lt;=COUNTA(Workers_ID),INDEX(Workers_ID,(ROW()-4)),IF((ROW()-4)&lt;=COUNTA(Workers_ID)+COUNTA(Laborers_ID),INDEX(Laborers_ID,(ROW()-4)-COUNTA(Workers_ID)),"")),"")</f>
      </c>
      <c r="B56" s="18">
        <f>IF($A56="","",IFERROR(VLOOKUP($A56,Workers_Data,2,FALSE),IFERROR(VLOOKUP($A56,Laborers_Data,2,FALSE),"")))</f>
      </c>
      <c r="C56" s="19">
        <f>IF($A56="","",IF(COUNTIF(Workers_ID,$A56)&gt;0,"Worker",IF(COUNTIF(Laborers_ID,$A56)&gt;0,"Laborer","")))</f>
      </c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15"/>
      <c r="BM56" s="16"/>
      <c r="BN56" s="20">
        <f>IF($A56="","",SUMPRODUCT((MOD(COLUMN($D56:$BM56)-COLUMN($D56),2)=0)*$D56:$BM56))</f>
      </c>
      <c r="BO56" s="21">
        <f>IF($A56="","",SUMPRODUCT((MOD(COLUMN($D56:$BM56)-COLUMN($D56),2)=1)*$D56:$BM56))</f>
      </c>
      <c r="BP56" s="22">
        <f>IF($A56="","",$BN56*IF($C56="Worker",Worker_DailyWage,IF($C56="Laborer",Laborer_DailyWage,0)))</f>
      </c>
      <c r="BQ56" s="22">
        <f>IF($A56="","",$BO56*IF($C56="Worker",Worker_OTRate,IF($C56="Laborer",Laborer_OTRate,0)))</f>
      </c>
      <c r="BR56" s="23">
        <f>IF($A56="","",$BP56+$BQ56)</f>
      </c>
    </row>
    <row r="57">
      <c r="A57" s="17">
        <f>IFERROR(IF((ROW()-4)&lt;=COUNTA(Workers_ID),INDEX(Workers_ID,(ROW()-4)),IF((ROW()-4)&lt;=COUNTA(Workers_ID)+COUNTA(Laborers_ID),INDEX(Laborers_ID,(ROW()-4)-COUNTA(Workers_ID)),"")),"")</f>
      </c>
      <c r="B57" s="18">
        <f>IF($A57="","",IFERROR(VLOOKUP($A57,Workers_Data,2,FALSE),IFERROR(VLOOKUP($A57,Laborers_Data,2,FALSE),"")))</f>
      </c>
      <c r="C57" s="19">
        <f>IF($A57="","",IF(COUNTIF(Workers_ID,$A57)&gt;0,"Worker",IF(COUNTIF(Laborers_ID,$A57)&gt;0,"Laborer","")))</f>
      </c>
      <c r="D57" s="15"/>
      <c r="E57" s="16"/>
      <c r="F57" s="15"/>
      <c r="G57" s="16"/>
      <c r="H57" s="15"/>
      <c r="I57" s="16"/>
      <c r="J57" s="15"/>
      <c r="K57" s="16"/>
      <c r="L57" s="15"/>
      <c r="M57" s="16"/>
      <c r="N57" s="15"/>
      <c r="O57" s="16"/>
      <c r="P57" s="15"/>
      <c r="Q57" s="16"/>
      <c r="R57" s="15"/>
      <c r="S57" s="16"/>
      <c r="T57" s="15"/>
      <c r="U57" s="16"/>
      <c r="V57" s="15"/>
      <c r="W57" s="16"/>
      <c r="X57" s="15"/>
      <c r="Y57" s="16"/>
      <c r="Z57" s="15"/>
      <c r="AA57" s="16"/>
      <c r="AB57" s="15"/>
      <c r="AC57" s="16"/>
      <c r="AD57" s="15"/>
      <c r="AE57" s="16"/>
      <c r="AF57" s="15"/>
      <c r="AG57" s="16"/>
      <c r="AH57" s="15"/>
      <c r="AI57" s="16"/>
      <c r="AJ57" s="15"/>
      <c r="AK57" s="16"/>
      <c r="AL57" s="15"/>
      <c r="AM57" s="16"/>
      <c r="AN57" s="15"/>
      <c r="AO57" s="16"/>
      <c r="AP57" s="15"/>
      <c r="AQ57" s="16"/>
      <c r="AR57" s="15"/>
      <c r="AS57" s="16"/>
      <c r="AT57" s="15"/>
      <c r="AU57" s="16"/>
      <c r="AV57" s="15"/>
      <c r="AW57" s="16"/>
      <c r="AX57" s="15"/>
      <c r="AY57" s="16"/>
      <c r="AZ57" s="15"/>
      <c r="BA57" s="16"/>
      <c r="BB57" s="15"/>
      <c r="BC57" s="16"/>
      <c r="BD57" s="15"/>
      <c r="BE57" s="16"/>
      <c r="BF57" s="15"/>
      <c r="BG57" s="16"/>
      <c r="BH57" s="15"/>
      <c r="BI57" s="16"/>
      <c r="BJ57" s="15"/>
      <c r="BK57" s="16"/>
      <c r="BL57" s="15"/>
      <c r="BM57" s="16"/>
      <c r="BN57" s="20">
        <f>IF($A57="","",SUMPRODUCT((MOD(COLUMN($D57:$BM57)-COLUMN($D57),2)=0)*$D57:$BM57))</f>
      </c>
      <c r="BO57" s="21">
        <f>IF($A57="","",SUMPRODUCT((MOD(COLUMN($D57:$BM57)-COLUMN($D57),2)=1)*$D57:$BM57))</f>
      </c>
      <c r="BP57" s="22">
        <f>IF($A57="","",$BN57*IF($C57="Worker",Worker_DailyWage,IF($C57="Laborer",Laborer_DailyWage,0)))</f>
      </c>
      <c r="BQ57" s="22">
        <f>IF($A57="","",$BO57*IF($C57="Worker",Worker_OTRate,IF($C57="Laborer",Laborer_OTRate,0)))</f>
      </c>
      <c r="BR57" s="23">
        <f>IF($A57="","",$BP57+$BQ57)</f>
      </c>
    </row>
    <row r="58">
      <c r="A58" s="17">
        <f>IFERROR(IF((ROW()-4)&lt;=COUNTA(Workers_ID),INDEX(Workers_ID,(ROW()-4)),IF((ROW()-4)&lt;=COUNTA(Workers_ID)+COUNTA(Laborers_ID),INDEX(Laborers_ID,(ROW()-4)-COUNTA(Workers_ID)),"")),"")</f>
      </c>
      <c r="B58" s="18">
        <f>IF($A58="","",IFERROR(VLOOKUP($A58,Workers_Data,2,FALSE),IFERROR(VLOOKUP($A58,Laborers_Data,2,FALSE),"")))</f>
      </c>
      <c r="C58" s="19">
        <f>IF($A58="","",IF(COUNTIF(Workers_ID,$A58)&gt;0,"Worker",IF(COUNTIF(Laborers_ID,$A58)&gt;0,"Laborer","")))</f>
      </c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15"/>
      <c r="BM58" s="16"/>
      <c r="BN58" s="20">
        <f>IF($A58="","",SUMPRODUCT((MOD(COLUMN($D58:$BM58)-COLUMN($D58),2)=0)*$D58:$BM58))</f>
      </c>
      <c r="BO58" s="21">
        <f>IF($A58="","",SUMPRODUCT((MOD(COLUMN($D58:$BM58)-COLUMN($D58),2)=1)*$D58:$BM58))</f>
      </c>
      <c r="BP58" s="22">
        <f>IF($A58="","",$BN58*IF($C58="Worker",Worker_DailyWage,IF($C58="Laborer",Laborer_DailyWage,0)))</f>
      </c>
      <c r="BQ58" s="22">
        <f>IF($A58="","",$BO58*IF($C58="Worker",Worker_OTRate,IF($C58="Laborer",Laborer_OTRate,0)))</f>
      </c>
      <c r="BR58" s="23">
        <f>IF($A58="","",$BP58+$BQ58)</f>
      </c>
    </row>
    <row r="59">
      <c r="A59" s="17">
        <f>IFERROR(IF((ROW()-4)&lt;=COUNTA(Workers_ID),INDEX(Workers_ID,(ROW()-4)),IF((ROW()-4)&lt;=COUNTA(Workers_ID)+COUNTA(Laborers_ID),INDEX(Laborers_ID,(ROW()-4)-COUNTA(Workers_ID)),"")),"")</f>
      </c>
      <c r="B59" s="18">
        <f>IF($A59="","",IFERROR(VLOOKUP($A59,Workers_Data,2,FALSE),IFERROR(VLOOKUP($A59,Laborers_Data,2,FALSE),"")))</f>
      </c>
      <c r="C59" s="19">
        <f>IF($A59="","",IF(COUNTIF(Workers_ID,$A59)&gt;0,"Worker",IF(COUNTIF(Laborers_ID,$A59)&gt;0,"Laborer","")))</f>
      </c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15"/>
      <c r="BM59" s="16"/>
      <c r="BN59" s="20">
        <f>IF($A59="","",SUMPRODUCT((MOD(COLUMN($D59:$BM59)-COLUMN($D59),2)=0)*$D59:$BM59))</f>
      </c>
      <c r="BO59" s="21">
        <f>IF($A59="","",SUMPRODUCT((MOD(COLUMN($D59:$BM59)-COLUMN($D59),2)=1)*$D59:$BM59))</f>
      </c>
      <c r="BP59" s="22">
        <f>IF($A59="","",$BN59*IF($C59="Worker",Worker_DailyWage,IF($C59="Laborer",Laborer_DailyWage,0)))</f>
      </c>
      <c r="BQ59" s="22">
        <f>IF($A59="","",$BO59*IF($C59="Worker",Worker_OTRate,IF($C59="Laborer",Laborer_OTRate,0)))</f>
      </c>
      <c r="BR59" s="23">
        <f>IF($A59="","",$BP59+$BQ59)</f>
      </c>
    </row>
    <row r="60">
      <c r="A60" s="17">
        <f>IFERROR(IF((ROW()-4)&lt;=COUNTA(Workers_ID),INDEX(Workers_ID,(ROW()-4)),IF((ROW()-4)&lt;=COUNTA(Workers_ID)+COUNTA(Laborers_ID),INDEX(Laborers_ID,(ROW()-4)-COUNTA(Workers_ID)),"")),"")</f>
      </c>
      <c r="B60" s="18">
        <f>IF($A60="","",IFERROR(VLOOKUP($A60,Workers_Data,2,FALSE),IFERROR(VLOOKUP($A60,Laborers_Data,2,FALSE),"")))</f>
      </c>
      <c r="C60" s="19">
        <f>IF($A60="","",IF(COUNTIF(Workers_ID,$A60)&gt;0,"Worker",IF(COUNTIF(Laborers_ID,$A60)&gt;0,"Laborer","")))</f>
      </c>
      <c r="D60" s="15"/>
      <c r="E60" s="16"/>
      <c r="F60" s="15"/>
      <c r="G60" s="16"/>
      <c r="H60" s="15"/>
      <c r="I60" s="16"/>
      <c r="J60" s="15"/>
      <c r="K60" s="16"/>
      <c r="L60" s="15"/>
      <c r="M60" s="16"/>
      <c r="N60" s="15"/>
      <c r="O60" s="16"/>
      <c r="P60" s="15"/>
      <c r="Q60" s="16"/>
      <c r="R60" s="15"/>
      <c r="S60" s="16"/>
      <c r="T60" s="15"/>
      <c r="U60" s="16"/>
      <c r="V60" s="15"/>
      <c r="W60" s="16"/>
      <c r="X60" s="15"/>
      <c r="Y60" s="16"/>
      <c r="Z60" s="15"/>
      <c r="AA60" s="16"/>
      <c r="AB60" s="15"/>
      <c r="AC60" s="16"/>
      <c r="AD60" s="15"/>
      <c r="AE60" s="16"/>
      <c r="AF60" s="15"/>
      <c r="AG60" s="16"/>
      <c r="AH60" s="15"/>
      <c r="AI60" s="16"/>
      <c r="AJ60" s="15"/>
      <c r="AK60" s="16"/>
      <c r="AL60" s="15"/>
      <c r="AM60" s="16"/>
      <c r="AN60" s="15"/>
      <c r="AO60" s="16"/>
      <c r="AP60" s="15"/>
      <c r="AQ60" s="16"/>
      <c r="AR60" s="15"/>
      <c r="AS60" s="16"/>
      <c r="AT60" s="15"/>
      <c r="AU60" s="16"/>
      <c r="AV60" s="15"/>
      <c r="AW60" s="16"/>
      <c r="AX60" s="15"/>
      <c r="AY60" s="16"/>
      <c r="AZ60" s="15"/>
      <c r="BA60" s="16"/>
      <c r="BB60" s="15"/>
      <c r="BC60" s="16"/>
      <c r="BD60" s="15"/>
      <c r="BE60" s="16"/>
      <c r="BF60" s="15"/>
      <c r="BG60" s="16"/>
      <c r="BH60" s="15"/>
      <c r="BI60" s="16"/>
      <c r="BJ60" s="15"/>
      <c r="BK60" s="16"/>
      <c r="BL60" s="15"/>
      <c r="BM60" s="16"/>
      <c r="BN60" s="20">
        <f>IF($A60="","",SUMPRODUCT((MOD(COLUMN($D60:$BM60)-COLUMN($D60),2)=0)*$D60:$BM60))</f>
      </c>
      <c r="BO60" s="21">
        <f>IF($A60="","",SUMPRODUCT((MOD(COLUMN($D60:$BM60)-COLUMN($D60),2)=1)*$D60:$BM60))</f>
      </c>
      <c r="BP60" s="22">
        <f>IF($A60="","",$BN60*IF($C60="Worker",Worker_DailyWage,IF($C60="Laborer",Laborer_DailyWage,0)))</f>
      </c>
      <c r="BQ60" s="22">
        <f>IF($A60="","",$BO60*IF($C60="Worker",Worker_OTRate,IF($C60="Laborer",Laborer_OTRate,0)))</f>
      </c>
      <c r="BR60" s="23">
        <f>IF($A60="","",$BP60+$BQ60)</f>
      </c>
    </row>
    <row r="61">
      <c r="A61" s="17">
        <f>IFERROR(IF((ROW()-4)&lt;=COUNTA(Workers_ID),INDEX(Workers_ID,(ROW()-4)),IF((ROW()-4)&lt;=COUNTA(Workers_ID)+COUNTA(Laborers_ID),INDEX(Laborers_ID,(ROW()-4)-COUNTA(Workers_ID)),"")),"")</f>
      </c>
      <c r="B61" s="18">
        <f>IF($A61="","",IFERROR(VLOOKUP($A61,Workers_Data,2,FALSE),IFERROR(VLOOKUP($A61,Laborers_Data,2,FALSE),"")))</f>
      </c>
      <c r="C61" s="19">
        <f>IF($A61="","",IF(COUNTIF(Workers_ID,$A61)&gt;0,"Worker",IF(COUNTIF(Laborers_ID,$A61)&gt;0,"Laborer","")))</f>
      </c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15"/>
      <c r="BM61" s="16"/>
      <c r="BN61" s="20">
        <f>IF($A61="","",SUMPRODUCT((MOD(COLUMN($D61:$BM61)-COLUMN($D61),2)=0)*$D61:$BM61))</f>
      </c>
      <c r="BO61" s="21">
        <f>IF($A61="","",SUMPRODUCT((MOD(COLUMN($D61:$BM61)-COLUMN($D61),2)=1)*$D61:$BM61))</f>
      </c>
      <c r="BP61" s="22">
        <f>IF($A61="","",$BN61*IF($C61="Worker",Worker_DailyWage,IF($C61="Laborer",Laborer_DailyWage,0)))</f>
      </c>
      <c r="BQ61" s="22">
        <f>IF($A61="","",$BO61*IF($C61="Worker",Worker_OTRate,IF($C61="Laborer",Laborer_OTRate,0)))</f>
      </c>
      <c r="BR61" s="23">
        <f>IF($A61="","",$BP61+$BQ61)</f>
      </c>
    </row>
    <row r="62">
      <c r="A62" s="17">
        <f>IFERROR(IF((ROW()-4)&lt;=COUNTA(Workers_ID),INDEX(Workers_ID,(ROW()-4)),IF((ROW()-4)&lt;=COUNTA(Workers_ID)+COUNTA(Laborers_ID),INDEX(Laborers_ID,(ROW()-4)-COUNTA(Workers_ID)),"")),"")</f>
      </c>
      <c r="B62" s="18">
        <f>IF($A62="","",IFERROR(VLOOKUP($A62,Workers_Data,2,FALSE),IFERROR(VLOOKUP($A62,Laborers_Data,2,FALSE),"")))</f>
      </c>
      <c r="C62" s="19">
        <f>IF($A62="","",IF(COUNTIF(Workers_ID,$A62)&gt;0,"Worker",IF(COUNTIF(Laborers_ID,$A62)&gt;0,"Laborer","")))</f>
      </c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15"/>
      <c r="BM62" s="16"/>
      <c r="BN62" s="20">
        <f>IF($A62="","",SUMPRODUCT((MOD(COLUMN($D62:$BM62)-COLUMN($D62),2)=0)*$D62:$BM62))</f>
      </c>
      <c r="BO62" s="21">
        <f>IF($A62="","",SUMPRODUCT((MOD(COLUMN($D62:$BM62)-COLUMN($D62),2)=1)*$D62:$BM62))</f>
      </c>
      <c r="BP62" s="22">
        <f>IF($A62="","",$BN62*IF($C62="Worker",Worker_DailyWage,IF($C62="Laborer",Laborer_DailyWage,0)))</f>
      </c>
      <c r="BQ62" s="22">
        <f>IF($A62="","",$BO62*IF($C62="Worker",Worker_OTRate,IF($C62="Laborer",Laborer_OTRate,0)))</f>
      </c>
      <c r="BR62" s="23">
        <f>IF($A62="","",$BP62+$BQ62)</f>
      </c>
    </row>
    <row r="63">
      <c r="A63" s="17">
        <f>IFERROR(IF((ROW()-4)&lt;=COUNTA(Workers_ID),INDEX(Workers_ID,(ROW()-4)),IF((ROW()-4)&lt;=COUNTA(Workers_ID)+COUNTA(Laborers_ID),INDEX(Laborers_ID,(ROW()-4)-COUNTA(Workers_ID)),"")),"")</f>
      </c>
      <c r="B63" s="18">
        <f>IF($A63="","",IFERROR(VLOOKUP($A63,Workers_Data,2,FALSE),IFERROR(VLOOKUP($A63,Laborers_Data,2,FALSE),"")))</f>
      </c>
      <c r="C63" s="19">
        <f>IF($A63="","",IF(COUNTIF(Workers_ID,$A63)&gt;0,"Worker",IF(COUNTIF(Laborers_ID,$A63)&gt;0,"Laborer","")))</f>
      </c>
      <c r="D63" s="15"/>
      <c r="E63" s="16"/>
      <c r="F63" s="15"/>
      <c r="G63" s="16"/>
      <c r="H63" s="15"/>
      <c r="I63" s="16"/>
      <c r="J63" s="15"/>
      <c r="K63" s="16"/>
      <c r="L63" s="15"/>
      <c r="M63" s="16"/>
      <c r="N63" s="15"/>
      <c r="O63" s="16"/>
      <c r="P63" s="15"/>
      <c r="Q63" s="16"/>
      <c r="R63" s="15"/>
      <c r="S63" s="16"/>
      <c r="T63" s="15"/>
      <c r="U63" s="16"/>
      <c r="V63" s="15"/>
      <c r="W63" s="16"/>
      <c r="X63" s="15"/>
      <c r="Y63" s="16"/>
      <c r="Z63" s="15"/>
      <c r="AA63" s="16"/>
      <c r="AB63" s="15"/>
      <c r="AC63" s="16"/>
      <c r="AD63" s="15"/>
      <c r="AE63" s="16"/>
      <c r="AF63" s="15"/>
      <c r="AG63" s="16"/>
      <c r="AH63" s="15"/>
      <c r="AI63" s="16"/>
      <c r="AJ63" s="15"/>
      <c r="AK63" s="16"/>
      <c r="AL63" s="15"/>
      <c r="AM63" s="16"/>
      <c r="AN63" s="15"/>
      <c r="AO63" s="16"/>
      <c r="AP63" s="15"/>
      <c r="AQ63" s="16"/>
      <c r="AR63" s="15"/>
      <c r="AS63" s="16"/>
      <c r="AT63" s="15"/>
      <c r="AU63" s="16"/>
      <c r="AV63" s="15"/>
      <c r="AW63" s="16"/>
      <c r="AX63" s="15"/>
      <c r="AY63" s="16"/>
      <c r="AZ63" s="15"/>
      <c r="BA63" s="16"/>
      <c r="BB63" s="15"/>
      <c r="BC63" s="16"/>
      <c r="BD63" s="15"/>
      <c r="BE63" s="16"/>
      <c r="BF63" s="15"/>
      <c r="BG63" s="16"/>
      <c r="BH63" s="15"/>
      <c r="BI63" s="16"/>
      <c r="BJ63" s="15"/>
      <c r="BK63" s="16"/>
      <c r="BL63" s="15"/>
      <c r="BM63" s="16"/>
      <c r="BN63" s="20">
        <f>IF($A63="","",SUMPRODUCT((MOD(COLUMN($D63:$BM63)-COLUMN($D63),2)=0)*$D63:$BM63))</f>
      </c>
      <c r="BO63" s="21">
        <f>IF($A63="","",SUMPRODUCT((MOD(COLUMN($D63:$BM63)-COLUMN($D63),2)=1)*$D63:$BM63))</f>
      </c>
      <c r="BP63" s="22">
        <f>IF($A63="","",$BN63*IF($C63="Worker",Worker_DailyWage,IF($C63="Laborer",Laborer_DailyWage,0)))</f>
      </c>
      <c r="BQ63" s="22">
        <f>IF($A63="","",$BO63*IF($C63="Worker",Worker_OTRate,IF($C63="Laborer",Laborer_OTRate,0)))</f>
      </c>
      <c r="BR63" s="23">
        <f>IF($A63="","",$BP63+$BQ63)</f>
      </c>
    </row>
    <row r="64">
      <c r="A64" s="17">
        <f>IFERROR(IF((ROW()-4)&lt;=COUNTA(Workers_ID),INDEX(Workers_ID,(ROW()-4)),IF((ROW()-4)&lt;=COUNTA(Workers_ID)+COUNTA(Laborers_ID),INDEX(Laborers_ID,(ROW()-4)-COUNTA(Workers_ID)),"")),"")</f>
      </c>
      <c r="B64" s="18">
        <f>IF($A64="","",IFERROR(VLOOKUP($A64,Workers_Data,2,FALSE),IFERROR(VLOOKUP($A64,Laborers_Data,2,FALSE),"")))</f>
      </c>
      <c r="C64" s="19">
        <f>IF($A64="","",IF(COUNTIF(Workers_ID,$A64)&gt;0,"Worker",IF(COUNTIF(Laborers_ID,$A64)&gt;0,"Laborer","")))</f>
      </c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15"/>
      <c r="BM64" s="16"/>
      <c r="BN64" s="20">
        <f>IF($A64="","",SUMPRODUCT((MOD(COLUMN($D64:$BM64)-COLUMN($D64),2)=0)*$D64:$BM64))</f>
      </c>
      <c r="BO64" s="21">
        <f>IF($A64="","",SUMPRODUCT((MOD(COLUMN($D64:$BM64)-COLUMN($D64),2)=1)*$D64:$BM64))</f>
      </c>
      <c r="BP64" s="22">
        <f>IF($A64="","",$BN64*IF($C64="Worker",Worker_DailyWage,IF($C64="Laborer",Laborer_DailyWage,0)))</f>
      </c>
      <c r="BQ64" s="22">
        <f>IF($A64="","",$BO64*IF($C64="Worker",Worker_OTRate,IF($C64="Laborer",Laborer_OTRate,0)))</f>
      </c>
      <c r="BR64" s="23">
        <f>IF($A64="","",$BP64+$BQ64)</f>
      </c>
    </row>
    <row r="65">
      <c r="A65" s="17">
        <f>IFERROR(IF((ROW()-4)&lt;=COUNTA(Workers_ID),INDEX(Workers_ID,(ROW()-4)),IF((ROW()-4)&lt;=COUNTA(Workers_ID)+COUNTA(Laborers_ID),INDEX(Laborers_ID,(ROW()-4)-COUNTA(Workers_ID)),"")),"")</f>
      </c>
      <c r="B65" s="18">
        <f>IF($A65="","",IFERROR(VLOOKUP($A65,Workers_Data,2,FALSE),IFERROR(VLOOKUP($A65,Laborers_Data,2,FALSE),"")))</f>
      </c>
      <c r="C65" s="19">
        <f>IF($A65="","",IF(COUNTIF(Workers_ID,$A65)&gt;0,"Worker",IF(COUNTIF(Laborers_ID,$A65)&gt;0,"Laborer","")))</f>
      </c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15"/>
      <c r="BM65" s="16"/>
      <c r="BN65" s="20">
        <f>IF($A65="","",SUMPRODUCT((MOD(COLUMN($D65:$BM65)-COLUMN($D65),2)=0)*$D65:$BM65))</f>
      </c>
      <c r="BO65" s="21">
        <f>IF($A65="","",SUMPRODUCT((MOD(COLUMN($D65:$BM65)-COLUMN($D65),2)=1)*$D65:$BM65))</f>
      </c>
      <c r="BP65" s="22">
        <f>IF($A65="","",$BN65*IF($C65="Worker",Worker_DailyWage,IF($C65="Laborer",Laborer_DailyWage,0)))</f>
      </c>
      <c r="BQ65" s="22">
        <f>IF($A65="","",$BO65*IF($C65="Worker",Worker_OTRate,IF($C65="Laborer",Laborer_OTRate,0)))</f>
      </c>
      <c r="BR65" s="23">
        <f>IF($A65="","",$BP65+$BQ65)</f>
      </c>
    </row>
    <row r="66">
      <c r="A66" s="17">
        <f>IFERROR(IF((ROW()-4)&lt;=COUNTA(Workers_ID),INDEX(Workers_ID,(ROW()-4)),IF((ROW()-4)&lt;=COUNTA(Workers_ID)+COUNTA(Laborers_ID),INDEX(Laborers_ID,(ROW()-4)-COUNTA(Workers_ID)),"")),"")</f>
      </c>
      <c r="B66" s="18">
        <f>IF($A66="","",IFERROR(VLOOKUP($A66,Workers_Data,2,FALSE),IFERROR(VLOOKUP($A66,Laborers_Data,2,FALSE),"")))</f>
      </c>
      <c r="C66" s="19">
        <f>IF($A66="","",IF(COUNTIF(Workers_ID,$A66)&gt;0,"Worker",IF(COUNTIF(Laborers_ID,$A66)&gt;0,"Laborer","")))</f>
      </c>
      <c r="D66" s="15"/>
      <c r="E66" s="16"/>
      <c r="F66" s="15"/>
      <c r="G66" s="16"/>
      <c r="H66" s="15"/>
      <c r="I66" s="16"/>
      <c r="J66" s="15"/>
      <c r="K66" s="16"/>
      <c r="L66" s="15"/>
      <c r="M66" s="16"/>
      <c r="N66" s="15"/>
      <c r="O66" s="16"/>
      <c r="P66" s="15"/>
      <c r="Q66" s="16"/>
      <c r="R66" s="15"/>
      <c r="S66" s="16"/>
      <c r="T66" s="15"/>
      <c r="U66" s="16"/>
      <c r="V66" s="15"/>
      <c r="W66" s="16"/>
      <c r="X66" s="15"/>
      <c r="Y66" s="16"/>
      <c r="Z66" s="15"/>
      <c r="AA66" s="16"/>
      <c r="AB66" s="15"/>
      <c r="AC66" s="16"/>
      <c r="AD66" s="15"/>
      <c r="AE66" s="16"/>
      <c r="AF66" s="15"/>
      <c r="AG66" s="16"/>
      <c r="AH66" s="15"/>
      <c r="AI66" s="16"/>
      <c r="AJ66" s="15"/>
      <c r="AK66" s="16"/>
      <c r="AL66" s="15"/>
      <c r="AM66" s="16"/>
      <c r="AN66" s="15"/>
      <c r="AO66" s="16"/>
      <c r="AP66" s="15"/>
      <c r="AQ66" s="16"/>
      <c r="AR66" s="15"/>
      <c r="AS66" s="16"/>
      <c r="AT66" s="15"/>
      <c r="AU66" s="16"/>
      <c r="AV66" s="15"/>
      <c r="AW66" s="16"/>
      <c r="AX66" s="15"/>
      <c r="AY66" s="16"/>
      <c r="AZ66" s="15"/>
      <c r="BA66" s="16"/>
      <c r="BB66" s="15"/>
      <c r="BC66" s="16"/>
      <c r="BD66" s="15"/>
      <c r="BE66" s="16"/>
      <c r="BF66" s="15"/>
      <c r="BG66" s="16"/>
      <c r="BH66" s="15"/>
      <c r="BI66" s="16"/>
      <c r="BJ66" s="15"/>
      <c r="BK66" s="16"/>
      <c r="BL66" s="15"/>
      <c r="BM66" s="16"/>
      <c r="BN66" s="20">
        <f>IF($A66="","",SUMPRODUCT((MOD(COLUMN($D66:$BM66)-COLUMN($D66),2)=0)*$D66:$BM66))</f>
      </c>
      <c r="BO66" s="21">
        <f>IF($A66="","",SUMPRODUCT((MOD(COLUMN($D66:$BM66)-COLUMN($D66),2)=1)*$D66:$BM66))</f>
      </c>
      <c r="BP66" s="22">
        <f>IF($A66="","",$BN66*IF($C66="Worker",Worker_DailyWage,IF($C66="Laborer",Laborer_DailyWage,0)))</f>
      </c>
      <c r="BQ66" s="22">
        <f>IF($A66="","",$BO66*IF($C66="Worker",Worker_OTRate,IF($C66="Laborer",Laborer_OTRate,0)))</f>
      </c>
      <c r="BR66" s="23">
        <f>IF($A66="","",$BP66+$BQ66)</f>
      </c>
    </row>
    <row r="67">
      <c r="A67" s="17">
        <f>IFERROR(IF((ROW()-4)&lt;=COUNTA(Workers_ID),INDEX(Workers_ID,(ROW()-4)),IF((ROW()-4)&lt;=COUNTA(Workers_ID)+COUNTA(Laborers_ID),INDEX(Laborers_ID,(ROW()-4)-COUNTA(Workers_ID)),"")),"")</f>
      </c>
      <c r="B67" s="18">
        <f>IF($A67="","",IFERROR(VLOOKUP($A67,Workers_Data,2,FALSE),IFERROR(VLOOKUP($A67,Laborers_Data,2,FALSE),"")))</f>
      </c>
      <c r="C67" s="19">
        <f>IF($A67="","",IF(COUNTIF(Workers_ID,$A67)&gt;0,"Worker",IF(COUNTIF(Laborers_ID,$A67)&gt;0,"Laborer","")))</f>
      </c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15"/>
      <c r="BM67" s="16"/>
      <c r="BN67" s="20">
        <f>IF($A67="","",SUMPRODUCT((MOD(COLUMN($D67:$BM67)-COLUMN($D67),2)=0)*$D67:$BM67))</f>
      </c>
      <c r="BO67" s="21">
        <f>IF($A67="","",SUMPRODUCT((MOD(COLUMN($D67:$BM67)-COLUMN($D67),2)=1)*$D67:$BM67))</f>
      </c>
      <c r="BP67" s="22">
        <f>IF($A67="","",$BN67*IF($C67="Worker",Worker_DailyWage,IF($C67="Laborer",Laborer_DailyWage,0)))</f>
      </c>
      <c r="BQ67" s="22">
        <f>IF($A67="","",$BO67*IF($C67="Worker",Worker_OTRate,IF($C67="Laborer",Laborer_OTRate,0)))</f>
      </c>
      <c r="BR67" s="23">
        <f>IF($A67="","",$BP67+$BQ67)</f>
      </c>
    </row>
    <row r="68">
      <c r="A68" s="17">
        <f>IFERROR(IF((ROW()-4)&lt;=COUNTA(Workers_ID),INDEX(Workers_ID,(ROW()-4)),IF((ROW()-4)&lt;=COUNTA(Workers_ID)+COUNTA(Laborers_ID),INDEX(Laborers_ID,(ROW()-4)-COUNTA(Workers_ID)),"")),"")</f>
      </c>
      <c r="B68" s="18">
        <f>IF($A68="","",IFERROR(VLOOKUP($A68,Workers_Data,2,FALSE),IFERROR(VLOOKUP($A68,Laborers_Data,2,FALSE),"")))</f>
      </c>
      <c r="C68" s="19">
        <f>IF($A68="","",IF(COUNTIF(Workers_ID,$A68)&gt;0,"Worker",IF(COUNTIF(Laborers_ID,$A68)&gt;0,"Laborer","")))</f>
      </c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15"/>
      <c r="BM68" s="16"/>
      <c r="BN68" s="20">
        <f>IF($A68="","",SUMPRODUCT((MOD(COLUMN($D68:$BM68)-COLUMN($D68),2)=0)*$D68:$BM68))</f>
      </c>
      <c r="BO68" s="21">
        <f>IF($A68="","",SUMPRODUCT((MOD(COLUMN($D68:$BM68)-COLUMN($D68),2)=1)*$D68:$BM68))</f>
      </c>
      <c r="BP68" s="22">
        <f>IF($A68="","",$BN68*IF($C68="Worker",Worker_DailyWage,IF($C68="Laborer",Laborer_DailyWage,0)))</f>
      </c>
      <c r="BQ68" s="22">
        <f>IF($A68="","",$BO68*IF($C68="Worker",Worker_OTRate,IF($C68="Laborer",Laborer_OTRate,0)))</f>
      </c>
      <c r="BR68" s="23">
        <f>IF($A68="","",$BP68+$BQ68)</f>
      </c>
    </row>
    <row r="69">
      <c r="A69" s="17">
        <f>IFERROR(IF((ROW()-4)&lt;=COUNTA(Workers_ID),INDEX(Workers_ID,(ROW()-4)),IF((ROW()-4)&lt;=COUNTA(Workers_ID)+COUNTA(Laborers_ID),INDEX(Laborers_ID,(ROW()-4)-COUNTA(Workers_ID)),"")),"")</f>
      </c>
      <c r="B69" s="18">
        <f>IF($A69="","",IFERROR(VLOOKUP($A69,Workers_Data,2,FALSE),IFERROR(VLOOKUP($A69,Laborers_Data,2,FALSE),"")))</f>
      </c>
      <c r="C69" s="19">
        <f>IF($A69="","",IF(COUNTIF(Workers_ID,$A69)&gt;0,"Worker",IF(COUNTIF(Laborers_ID,$A69)&gt;0,"Laborer","")))</f>
      </c>
      <c r="D69" s="15"/>
      <c r="E69" s="16"/>
      <c r="F69" s="15"/>
      <c r="G69" s="16"/>
      <c r="H69" s="15"/>
      <c r="I69" s="16"/>
      <c r="J69" s="15"/>
      <c r="K69" s="16"/>
      <c r="L69" s="15"/>
      <c r="M69" s="16"/>
      <c r="N69" s="15"/>
      <c r="O69" s="16"/>
      <c r="P69" s="15"/>
      <c r="Q69" s="16"/>
      <c r="R69" s="15"/>
      <c r="S69" s="16"/>
      <c r="T69" s="15"/>
      <c r="U69" s="16"/>
      <c r="V69" s="15"/>
      <c r="W69" s="16"/>
      <c r="X69" s="15"/>
      <c r="Y69" s="16"/>
      <c r="Z69" s="15"/>
      <c r="AA69" s="16"/>
      <c r="AB69" s="15"/>
      <c r="AC69" s="16"/>
      <c r="AD69" s="15"/>
      <c r="AE69" s="16"/>
      <c r="AF69" s="15"/>
      <c r="AG69" s="16"/>
      <c r="AH69" s="15"/>
      <c r="AI69" s="16"/>
      <c r="AJ69" s="15"/>
      <c r="AK69" s="16"/>
      <c r="AL69" s="15"/>
      <c r="AM69" s="16"/>
      <c r="AN69" s="15"/>
      <c r="AO69" s="16"/>
      <c r="AP69" s="15"/>
      <c r="AQ69" s="16"/>
      <c r="AR69" s="15"/>
      <c r="AS69" s="16"/>
      <c r="AT69" s="15"/>
      <c r="AU69" s="16"/>
      <c r="AV69" s="15"/>
      <c r="AW69" s="16"/>
      <c r="AX69" s="15"/>
      <c r="AY69" s="16"/>
      <c r="AZ69" s="15"/>
      <c r="BA69" s="16"/>
      <c r="BB69" s="15"/>
      <c r="BC69" s="16"/>
      <c r="BD69" s="15"/>
      <c r="BE69" s="16"/>
      <c r="BF69" s="15"/>
      <c r="BG69" s="16"/>
      <c r="BH69" s="15"/>
      <c r="BI69" s="16"/>
      <c r="BJ69" s="15"/>
      <c r="BK69" s="16"/>
      <c r="BL69" s="15"/>
      <c r="BM69" s="16"/>
      <c r="BN69" s="20">
        <f>IF($A69="","",SUMPRODUCT((MOD(COLUMN($D69:$BM69)-COLUMN($D69),2)=0)*$D69:$BM69))</f>
      </c>
      <c r="BO69" s="21">
        <f>IF($A69="","",SUMPRODUCT((MOD(COLUMN($D69:$BM69)-COLUMN($D69),2)=1)*$D69:$BM69))</f>
      </c>
      <c r="BP69" s="22">
        <f>IF($A69="","",$BN69*IF($C69="Worker",Worker_DailyWage,IF($C69="Laborer",Laborer_DailyWage,0)))</f>
      </c>
      <c r="BQ69" s="22">
        <f>IF($A69="","",$BO69*IF($C69="Worker",Worker_OTRate,IF($C69="Laborer",Laborer_OTRate,0)))</f>
      </c>
      <c r="BR69" s="23">
        <f>IF($A69="","",$BP69+$BQ69)</f>
      </c>
    </row>
    <row r="70">
      <c r="A70" s="17">
        <f>IFERROR(IF((ROW()-4)&lt;=COUNTA(Workers_ID),INDEX(Workers_ID,(ROW()-4)),IF((ROW()-4)&lt;=COUNTA(Workers_ID)+COUNTA(Laborers_ID),INDEX(Laborers_ID,(ROW()-4)-COUNTA(Workers_ID)),"")),"")</f>
      </c>
      <c r="B70" s="18">
        <f>IF($A70="","",IFERROR(VLOOKUP($A70,Workers_Data,2,FALSE),IFERROR(VLOOKUP($A70,Laborers_Data,2,FALSE),"")))</f>
      </c>
      <c r="C70" s="19">
        <f>IF($A70="","",IF(COUNTIF(Workers_ID,$A70)&gt;0,"Worker",IF(COUNTIF(Laborers_ID,$A70)&gt;0,"Laborer","")))</f>
      </c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15"/>
      <c r="BM70" s="16"/>
      <c r="BN70" s="20">
        <f>IF($A70="","",SUMPRODUCT((MOD(COLUMN($D70:$BM70)-COLUMN($D70),2)=0)*$D70:$BM70))</f>
      </c>
      <c r="BO70" s="21">
        <f>IF($A70="","",SUMPRODUCT((MOD(COLUMN($D70:$BM70)-COLUMN($D70),2)=1)*$D70:$BM70))</f>
      </c>
      <c r="BP70" s="22">
        <f>IF($A70="","",$BN70*IF($C70="Worker",Worker_DailyWage,IF($C70="Laborer",Laborer_DailyWage,0)))</f>
      </c>
      <c r="BQ70" s="22">
        <f>IF($A70="","",$BO70*IF($C70="Worker",Worker_OTRate,IF($C70="Laborer",Laborer_OTRate,0)))</f>
      </c>
      <c r="BR70" s="23">
        <f>IF($A70="","",$BP70+$BQ70)</f>
      </c>
    </row>
    <row r="71">
      <c r="A71" s="17">
        <f>IFERROR(IF((ROW()-4)&lt;=COUNTA(Workers_ID),INDEX(Workers_ID,(ROW()-4)),IF((ROW()-4)&lt;=COUNTA(Workers_ID)+COUNTA(Laborers_ID),INDEX(Laborers_ID,(ROW()-4)-COUNTA(Workers_ID)),"")),"")</f>
      </c>
      <c r="B71" s="18">
        <f>IF($A71="","",IFERROR(VLOOKUP($A71,Workers_Data,2,FALSE),IFERROR(VLOOKUP($A71,Laborers_Data,2,FALSE),"")))</f>
      </c>
      <c r="C71" s="19">
        <f>IF($A71="","",IF(COUNTIF(Workers_ID,$A71)&gt;0,"Worker",IF(COUNTIF(Laborers_ID,$A71)&gt;0,"Laborer","")))</f>
      </c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15"/>
      <c r="BM71" s="16"/>
      <c r="BN71" s="20">
        <f>IF($A71="","",SUMPRODUCT((MOD(COLUMN($D71:$BM71)-COLUMN($D71),2)=0)*$D71:$BM71))</f>
      </c>
      <c r="BO71" s="21">
        <f>IF($A71="","",SUMPRODUCT((MOD(COLUMN($D71:$BM71)-COLUMN($D71),2)=1)*$D71:$BM71))</f>
      </c>
      <c r="BP71" s="22">
        <f>IF($A71="","",$BN71*IF($C71="Worker",Worker_DailyWage,IF($C71="Laborer",Laborer_DailyWage,0)))</f>
      </c>
      <c r="BQ71" s="22">
        <f>IF($A71="","",$BO71*IF($C71="Worker",Worker_OTRate,IF($C71="Laborer",Laborer_OTRate,0)))</f>
      </c>
      <c r="BR71" s="23">
        <f>IF($A71="","",$BP71+$BQ71)</f>
      </c>
    </row>
    <row r="72">
      <c r="A72" s="17">
        <f>IFERROR(IF((ROW()-4)&lt;=COUNTA(Workers_ID),INDEX(Workers_ID,(ROW()-4)),IF((ROW()-4)&lt;=COUNTA(Workers_ID)+COUNTA(Laborers_ID),INDEX(Laborers_ID,(ROW()-4)-COUNTA(Workers_ID)),"")),"")</f>
      </c>
      <c r="B72" s="18">
        <f>IF($A72="","",IFERROR(VLOOKUP($A72,Workers_Data,2,FALSE),IFERROR(VLOOKUP($A72,Laborers_Data,2,FALSE),"")))</f>
      </c>
      <c r="C72" s="19">
        <f>IF($A72="","",IF(COUNTIF(Workers_ID,$A72)&gt;0,"Worker",IF(COUNTIF(Laborers_ID,$A72)&gt;0,"Laborer","")))</f>
      </c>
      <c r="D72" s="15"/>
      <c r="E72" s="16"/>
      <c r="F72" s="15"/>
      <c r="G72" s="16"/>
      <c r="H72" s="15"/>
      <c r="I72" s="16"/>
      <c r="J72" s="15"/>
      <c r="K72" s="16"/>
      <c r="L72" s="15"/>
      <c r="M72" s="16"/>
      <c r="N72" s="15"/>
      <c r="O72" s="16"/>
      <c r="P72" s="15"/>
      <c r="Q72" s="16"/>
      <c r="R72" s="15"/>
      <c r="S72" s="16"/>
      <c r="T72" s="15"/>
      <c r="U72" s="16"/>
      <c r="V72" s="15"/>
      <c r="W72" s="16"/>
      <c r="X72" s="15"/>
      <c r="Y72" s="16"/>
      <c r="Z72" s="15"/>
      <c r="AA72" s="16"/>
      <c r="AB72" s="15"/>
      <c r="AC72" s="16"/>
      <c r="AD72" s="15"/>
      <c r="AE72" s="16"/>
      <c r="AF72" s="15"/>
      <c r="AG72" s="16"/>
      <c r="AH72" s="15"/>
      <c r="AI72" s="16"/>
      <c r="AJ72" s="15"/>
      <c r="AK72" s="16"/>
      <c r="AL72" s="15"/>
      <c r="AM72" s="16"/>
      <c r="AN72" s="15"/>
      <c r="AO72" s="16"/>
      <c r="AP72" s="15"/>
      <c r="AQ72" s="16"/>
      <c r="AR72" s="15"/>
      <c r="AS72" s="16"/>
      <c r="AT72" s="15"/>
      <c r="AU72" s="16"/>
      <c r="AV72" s="15"/>
      <c r="AW72" s="16"/>
      <c r="AX72" s="15"/>
      <c r="AY72" s="16"/>
      <c r="AZ72" s="15"/>
      <c r="BA72" s="16"/>
      <c r="BB72" s="15"/>
      <c r="BC72" s="16"/>
      <c r="BD72" s="15"/>
      <c r="BE72" s="16"/>
      <c r="BF72" s="15"/>
      <c r="BG72" s="16"/>
      <c r="BH72" s="15"/>
      <c r="BI72" s="16"/>
      <c r="BJ72" s="15"/>
      <c r="BK72" s="16"/>
      <c r="BL72" s="15"/>
      <c r="BM72" s="16"/>
      <c r="BN72" s="20">
        <f>IF($A72="","",SUMPRODUCT((MOD(COLUMN($D72:$BM72)-COLUMN($D72),2)=0)*$D72:$BM72))</f>
      </c>
      <c r="BO72" s="21">
        <f>IF($A72="","",SUMPRODUCT((MOD(COLUMN($D72:$BM72)-COLUMN($D72),2)=1)*$D72:$BM72))</f>
      </c>
      <c r="BP72" s="22">
        <f>IF($A72="","",$BN72*IF($C72="Worker",Worker_DailyWage,IF($C72="Laborer",Laborer_DailyWage,0)))</f>
      </c>
      <c r="BQ72" s="22">
        <f>IF($A72="","",$BO72*IF($C72="Worker",Worker_OTRate,IF($C72="Laborer",Laborer_OTRate,0)))</f>
      </c>
      <c r="BR72" s="23">
        <f>IF($A72="","",$BP72+$BQ72)</f>
      </c>
    </row>
    <row r="73">
      <c r="A73" s="17">
        <f>IFERROR(IF((ROW()-4)&lt;=COUNTA(Workers_ID),INDEX(Workers_ID,(ROW()-4)),IF((ROW()-4)&lt;=COUNTA(Workers_ID)+COUNTA(Laborers_ID),INDEX(Laborers_ID,(ROW()-4)-COUNTA(Workers_ID)),"")),"")</f>
      </c>
      <c r="B73" s="18">
        <f>IF($A73="","",IFERROR(VLOOKUP($A73,Workers_Data,2,FALSE),IFERROR(VLOOKUP($A73,Laborers_Data,2,FALSE),"")))</f>
      </c>
      <c r="C73" s="19">
        <f>IF($A73="","",IF(COUNTIF(Workers_ID,$A73)&gt;0,"Worker",IF(COUNTIF(Laborers_ID,$A73)&gt;0,"Laborer","")))</f>
      </c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15"/>
      <c r="BM73" s="16"/>
      <c r="BN73" s="20">
        <f>IF($A73="","",SUMPRODUCT((MOD(COLUMN($D73:$BM73)-COLUMN($D73),2)=0)*$D73:$BM73))</f>
      </c>
      <c r="BO73" s="21">
        <f>IF($A73="","",SUMPRODUCT((MOD(COLUMN($D73:$BM73)-COLUMN($D73),2)=1)*$D73:$BM73))</f>
      </c>
      <c r="BP73" s="22">
        <f>IF($A73="","",$BN73*IF($C73="Worker",Worker_DailyWage,IF($C73="Laborer",Laborer_DailyWage,0)))</f>
      </c>
      <c r="BQ73" s="22">
        <f>IF($A73="","",$BO73*IF($C73="Worker",Worker_OTRate,IF($C73="Laborer",Laborer_OTRate,0)))</f>
      </c>
      <c r="BR73" s="23">
        <f>IF($A73="","",$BP73+$BQ73)</f>
      </c>
    </row>
    <row r="74">
      <c r="A74" s="17">
        <f>IFERROR(IF((ROW()-4)&lt;=COUNTA(Workers_ID),INDEX(Workers_ID,(ROW()-4)),IF((ROW()-4)&lt;=COUNTA(Workers_ID)+COUNTA(Laborers_ID),INDEX(Laborers_ID,(ROW()-4)-COUNTA(Workers_ID)),"")),"")</f>
      </c>
      <c r="B74" s="18">
        <f>IF($A74="","",IFERROR(VLOOKUP($A74,Workers_Data,2,FALSE),IFERROR(VLOOKUP($A74,Laborers_Data,2,FALSE),"")))</f>
      </c>
      <c r="C74" s="19">
        <f>IF($A74="","",IF(COUNTIF(Workers_ID,$A74)&gt;0,"Worker",IF(COUNTIF(Laborers_ID,$A74)&gt;0,"Laborer","")))</f>
      </c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15"/>
      <c r="BM74" s="16"/>
      <c r="BN74" s="20">
        <f>IF($A74="","",SUMPRODUCT((MOD(COLUMN($D74:$BM74)-COLUMN($D74),2)=0)*$D74:$BM74))</f>
      </c>
      <c r="BO74" s="21">
        <f>IF($A74="","",SUMPRODUCT((MOD(COLUMN($D74:$BM74)-COLUMN($D74),2)=1)*$D74:$BM74))</f>
      </c>
      <c r="BP74" s="22">
        <f>IF($A74="","",$BN74*IF($C74="Worker",Worker_DailyWage,IF($C74="Laborer",Laborer_DailyWage,0)))</f>
      </c>
      <c r="BQ74" s="22">
        <f>IF($A74="","",$BO74*IF($C74="Worker",Worker_OTRate,IF($C74="Laborer",Laborer_OTRate,0)))</f>
      </c>
      <c r="BR74" s="23">
        <f>IF($A74="","",$BP74+$BQ74)</f>
      </c>
    </row>
    <row r="75">
      <c r="A75" s="17">
        <f>IFERROR(IF((ROW()-4)&lt;=COUNTA(Workers_ID),INDEX(Workers_ID,(ROW()-4)),IF((ROW()-4)&lt;=COUNTA(Workers_ID)+COUNTA(Laborers_ID),INDEX(Laborers_ID,(ROW()-4)-COUNTA(Workers_ID)),"")),"")</f>
      </c>
      <c r="B75" s="18">
        <f>IF($A75="","",IFERROR(VLOOKUP($A75,Workers_Data,2,FALSE),IFERROR(VLOOKUP($A75,Laborers_Data,2,FALSE),"")))</f>
      </c>
      <c r="C75" s="19">
        <f>IF($A75="","",IF(COUNTIF(Workers_ID,$A75)&gt;0,"Worker",IF(COUNTIF(Laborers_ID,$A75)&gt;0,"Laborer","")))</f>
      </c>
      <c r="D75" s="15"/>
      <c r="E75" s="16"/>
      <c r="F75" s="15"/>
      <c r="G75" s="16"/>
      <c r="H75" s="15"/>
      <c r="I75" s="16"/>
      <c r="J75" s="15"/>
      <c r="K75" s="16"/>
      <c r="L75" s="15"/>
      <c r="M75" s="16"/>
      <c r="N75" s="15"/>
      <c r="O75" s="16"/>
      <c r="P75" s="15"/>
      <c r="Q75" s="16"/>
      <c r="R75" s="15"/>
      <c r="S75" s="16"/>
      <c r="T75" s="15"/>
      <c r="U75" s="16"/>
      <c r="V75" s="15"/>
      <c r="W75" s="16"/>
      <c r="X75" s="15"/>
      <c r="Y75" s="16"/>
      <c r="Z75" s="15"/>
      <c r="AA75" s="16"/>
      <c r="AB75" s="15"/>
      <c r="AC75" s="16"/>
      <c r="AD75" s="15"/>
      <c r="AE75" s="16"/>
      <c r="AF75" s="15"/>
      <c r="AG75" s="16"/>
      <c r="AH75" s="15"/>
      <c r="AI75" s="16"/>
      <c r="AJ75" s="15"/>
      <c r="AK75" s="16"/>
      <c r="AL75" s="15"/>
      <c r="AM75" s="16"/>
      <c r="AN75" s="15"/>
      <c r="AO75" s="16"/>
      <c r="AP75" s="15"/>
      <c r="AQ75" s="16"/>
      <c r="AR75" s="15"/>
      <c r="AS75" s="16"/>
      <c r="AT75" s="15"/>
      <c r="AU75" s="16"/>
      <c r="AV75" s="15"/>
      <c r="AW75" s="16"/>
      <c r="AX75" s="15"/>
      <c r="AY75" s="16"/>
      <c r="AZ75" s="15"/>
      <c r="BA75" s="16"/>
      <c r="BB75" s="15"/>
      <c r="BC75" s="16"/>
      <c r="BD75" s="15"/>
      <c r="BE75" s="16"/>
      <c r="BF75" s="15"/>
      <c r="BG75" s="16"/>
      <c r="BH75" s="15"/>
      <c r="BI75" s="16"/>
      <c r="BJ75" s="15"/>
      <c r="BK75" s="16"/>
      <c r="BL75" s="15"/>
      <c r="BM75" s="16"/>
      <c r="BN75" s="20">
        <f>IF($A75="","",SUMPRODUCT((MOD(COLUMN($D75:$BM75)-COLUMN($D75),2)=0)*$D75:$BM75))</f>
      </c>
      <c r="BO75" s="21">
        <f>IF($A75="","",SUMPRODUCT((MOD(COLUMN($D75:$BM75)-COLUMN($D75),2)=1)*$D75:$BM75))</f>
      </c>
      <c r="BP75" s="22">
        <f>IF($A75="","",$BN75*IF($C75="Worker",Worker_DailyWage,IF($C75="Laborer",Laborer_DailyWage,0)))</f>
      </c>
      <c r="BQ75" s="22">
        <f>IF($A75="","",$BO75*IF($C75="Worker",Worker_OTRate,IF($C75="Laborer",Laborer_OTRate,0)))</f>
      </c>
      <c r="BR75" s="23">
        <f>IF($A75="","",$BP75+$BQ75)</f>
      </c>
    </row>
    <row r="76">
      <c r="A76" s="17">
        <f>IFERROR(IF((ROW()-4)&lt;=COUNTA(Workers_ID),INDEX(Workers_ID,(ROW()-4)),IF((ROW()-4)&lt;=COUNTA(Workers_ID)+COUNTA(Laborers_ID),INDEX(Laborers_ID,(ROW()-4)-COUNTA(Workers_ID)),"")),"")</f>
      </c>
      <c r="B76" s="18">
        <f>IF($A76="","",IFERROR(VLOOKUP($A76,Workers_Data,2,FALSE),IFERROR(VLOOKUP($A76,Laborers_Data,2,FALSE),"")))</f>
      </c>
      <c r="C76" s="19">
        <f>IF($A76="","",IF(COUNTIF(Workers_ID,$A76)&gt;0,"Worker",IF(COUNTIF(Laborers_ID,$A76)&gt;0,"Laborer","")))</f>
      </c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15"/>
      <c r="BM76" s="16"/>
      <c r="BN76" s="20">
        <f>IF($A76="","",SUMPRODUCT((MOD(COLUMN($D76:$BM76)-COLUMN($D76),2)=0)*$D76:$BM76))</f>
      </c>
      <c r="BO76" s="21">
        <f>IF($A76="","",SUMPRODUCT((MOD(COLUMN($D76:$BM76)-COLUMN($D76),2)=1)*$D76:$BM76))</f>
      </c>
      <c r="BP76" s="22">
        <f>IF($A76="","",$BN76*IF($C76="Worker",Worker_DailyWage,IF($C76="Laborer",Laborer_DailyWage,0)))</f>
      </c>
      <c r="BQ76" s="22">
        <f>IF($A76="","",$BO76*IF($C76="Worker",Worker_OTRate,IF($C76="Laborer",Laborer_OTRate,0)))</f>
      </c>
      <c r="BR76" s="23">
        <f>IF($A76="","",$BP76+$BQ76)</f>
      </c>
    </row>
    <row r="77">
      <c r="A77" s="17">
        <f>IFERROR(IF((ROW()-4)&lt;=COUNTA(Workers_ID),INDEX(Workers_ID,(ROW()-4)),IF((ROW()-4)&lt;=COUNTA(Workers_ID)+COUNTA(Laborers_ID),INDEX(Laborers_ID,(ROW()-4)-COUNTA(Workers_ID)),"")),"")</f>
      </c>
      <c r="B77" s="18">
        <f>IF($A77="","",IFERROR(VLOOKUP($A77,Workers_Data,2,FALSE),IFERROR(VLOOKUP($A77,Laborers_Data,2,FALSE),"")))</f>
      </c>
      <c r="C77" s="19">
        <f>IF($A77="","",IF(COUNTIF(Workers_ID,$A77)&gt;0,"Worker",IF(COUNTIF(Laborers_ID,$A77)&gt;0,"Laborer","")))</f>
      </c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15"/>
      <c r="BM77" s="16"/>
      <c r="BN77" s="20">
        <f>IF($A77="","",SUMPRODUCT((MOD(COLUMN($D77:$BM77)-COLUMN($D77),2)=0)*$D77:$BM77))</f>
      </c>
      <c r="BO77" s="21">
        <f>IF($A77="","",SUMPRODUCT((MOD(COLUMN($D77:$BM77)-COLUMN($D77),2)=1)*$D77:$BM77))</f>
      </c>
      <c r="BP77" s="22">
        <f>IF($A77="","",$BN77*IF($C77="Worker",Worker_DailyWage,IF($C77="Laborer",Laborer_DailyWage,0)))</f>
      </c>
      <c r="BQ77" s="22">
        <f>IF($A77="","",$BO77*IF($C77="Worker",Worker_OTRate,IF($C77="Laborer",Laborer_OTRate,0)))</f>
      </c>
      <c r="BR77" s="23">
        <f>IF($A77="","",$BP77+$BQ77)</f>
      </c>
    </row>
    <row r="78">
      <c r="A78" s="17">
        <f>IFERROR(IF((ROW()-4)&lt;=COUNTA(Workers_ID),INDEX(Workers_ID,(ROW()-4)),IF((ROW()-4)&lt;=COUNTA(Workers_ID)+COUNTA(Laborers_ID),INDEX(Laborers_ID,(ROW()-4)-COUNTA(Workers_ID)),"")),"")</f>
      </c>
      <c r="B78" s="18">
        <f>IF($A78="","",IFERROR(VLOOKUP($A78,Workers_Data,2,FALSE),IFERROR(VLOOKUP($A78,Laborers_Data,2,FALSE),"")))</f>
      </c>
      <c r="C78" s="19">
        <f>IF($A78="","",IF(COUNTIF(Workers_ID,$A78)&gt;0,"Worker",IF(COUNTIF(Laborers_ID,$A78)&gt;0,"Laborer","")))</f>
      </c>
      <c r="D78" s="15"/>
      <c r="E78" s="16"/>
      <c r="F78" s="15"/>
      <c r="G78" s="16"/>
      <c r="H78" s="15"/>
      <c r="I78" s="16"/>
      <c r="J78" s="15"/>
      <c r="K78" s="16"/>
      <c r="L78" s="15"/>
      <c r="M78" s="16"/>
      <c r="N78" s="15"/>
      <c r="O78" s="16"/>
      <c r="P78" s="15"/>
      <c r="Q78" s="16"/>
      <c r="R78" s="15"/>
      <c r="S78" s="16"/>
      <c r="T78" s="15"/>
      <c r="U78" s="16"/>
      <c r="V78" s="15"/>
      <c r="W78" s="16"/>
      <c r="X78" s="15"/>
      <c r="Y78" s="16"/>
      <c r="Z78" s="15"/>
      <c r="AA78" s="16"/>
      <c r="AB78" s="15"/>
      <c r="AC78" s="16"/>
      <c r="AD78" s="15"/>
      <c r="AE78" s="16"/>
      <c r="AF78" s="15"/>
      <c r="AG78" s="16"/>
      <c r="AH78" s="15"/>
      <c r="AI78" s="16"/>
      <c r="AJ78" s="15"/>
      <c r="AK78" s="16"/>
      <c r="AL78" s="15"/>
      <c r="AM78" s="16"/>
      <c r="AN78" s="15"/>
      <c r="AO78" s="16"/>
      <c r="AP78" s="15"/>
      <c r="AQ78" s="16"/>
      <c r="AR78" s="15"/>
      <c r="AS78" s="16"/>
      <c r="AT78" s="15"/>
      <c r="AU78" s="16"/>
      <c r="AV78" s="15"/>
      <c r="AW78" s="16"/>
      <c r="AX78" s="15"/>
      <c r="AY78" s="16"/>
      <c r="AZ78" s="15"/>
      <c r="BA78" s="16"/>
      <c r="BB78" s="15"/>
      <c r="BC78" s="16"/>
      <c r="BD78" s="15"/>
      <c r="BE78" s="16"/>
      <c r="BF78" s="15"/>
      <c r="BG78" s="16"/>
      <c r="BH78" s="15"/>
      <c r="BI78" s="16"/>
      <c r="BJ78" s="15"/>
      <c r="BK78" s="16"/>
      <c r="BL78" s="15"/>
      <c r="BM78" s="16"/>
      <c r="BN78" s="20">
        <f>IF($A78="","",SUMPRODUCT((MOD(COLUMN($D78:$BM78)-COLUMN($D78),2)=0)*$D78:$BM78))</f>
      </c>
      <c r="BO78" s="21">
        <f>IF($A78="","",SUMPRODUCT((MOD(COLUMN($D78:$BM78)-COLUMN($D78),2)=1)*$D78:$BM78))</f>
      </c>
      <c r="BP78" s="22">
        <f>IF($A78="","",$BN78*IF($C78="Worker",Worker_DailyWage,IF($C78="Laborer",Laborer_DailyWage,0)))</f>
      </c>
      <c r="BQ78" s="22">
        <f>IF($A78="","",$BO78*IF($C78="Worker",Worker_OTRate,IF($C78="Laborer",Laborer_OTRate,0)))</f>
      </c>
      <c r="BR78" s="23">
        <f>IF($A78="","",$BP78+$BQ78)</f>
      </c>
    </row>
    <row r="79">
      <c r="A79" s="17">
        <f>IFERROR(IF((ROW()-4)&lt;=COUNTA(Workers_ID),INDEX(Workers_ID,(ROW()-4)),IF((ROW()-4)&lt;=COUNTA(Workers_ID)+COUNTA(Laborers_ID),INDEX(Laborers_ID,(ROW()-4)-COUNTA(Workers_ID)),"")),"")</f>
      </c>
      <c r="B79" s="18">
        <f>IF($A79="","",IFERROR(VLOOKUP($A79,Workers_Data,2,FALSE),IFERROR(VLOOKUP($A79,Laborers_Data,2,FALSE),"")))</f>
      </c>
      <c r="C79" s="19">
        <f>IF($A79="","",IF(COUNTIF(Workers_ID,$A79)&gt;0,"Worker",IF(COUNTIF(Laborers_ID,$A79)&gt;0,"Laborer","")))</f>
      </c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15"/>
      <c r="BM79" s="16"/>
      <c r="BN79" s="20">
        <f>IF($A79="","",SUMPRODUCT((MOD(COLUMN($D79:$BM79)-COLUMN($D79),2)=0)*$D79:$BM79))</f>
      </c>
      <c r="BO79" s="21">
        <f>IF($A79="","",SUMPRODUCT((MOD(COLUMN($D79:$BM79)-COLUMN($D79),2)=1)*$D79:$BM79))</f>
      </c>
      <c r="BP79" s="22">
        <f>IF($A79="","",$BN79*IF($C79="Worker",Worker_DailyWage,IF($C79="Laborer",Laborer_DailyWage,0)))</f>
      </c>
      <c r="BQ79" s="22">
        <f>IF($A79="","",$BO79*IF($C79="Worker",Worker_OTRate,IF($C79="Laborer",Laborer_OTRate,0)))</f>
      </c>
      <c r="BR79" s="23">
        <f>IF($A79="","",$BP79+$BQ79)</f>
      </c>
    </row>
    <row r="80">
      <c r="A80" s="17">
        <f>IFERROR(IF((ROW()-4)&lt;=COUNTA(Workers_ID),INDEX(Workers_ID,(ROW()-4)),IF((ROW()-4)&lt;=COUNTA(Workers_ID)+COUNTA(Laborers_ID),INDEX(Laborers_ID,(ROW()-4)-COUNTA(Workers_ID)),"")),"")</f>
      </c>
      <c r="B80" s="18">
        <f>IF($A80="","",IFERROR(VLOOKUP($A80,Workers_Data,2,FALSE),IFERROR(VLOOKUP($A80,Laborers_Data,2,FALSE),"")))</f>
      </c>
      <c r="C80" s="19">
        <f>IF($A80="","",IF(COUNTIF(Workers_ID,$A80)&gt;0,"Worker",IF(COUNTIF(Laborers_ID,$A80)&gt;0,"Laborer","")))</f>
      </c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15"/>
      <c r="BM80" s="16"/>
      <c r="BN80" s="20">
        <f>IF($A80="","",SUMPRODUCT((MOD(COLUMN($D80:$BM80)-COLUMN($D80),2)=0)*$D80:$BM80))</f>
      </c>
      <c r="BO80" s="21">
        <f>IF($A80="","",SUMPRODUCT((MOD(COLUMN($D80:$BM80)-COLUMN($D80),2)=1)*$D80:$BM80))</f>
      </c>
      <c r="BP80" s="22">
        <f>IF($A80="","",$BN80*IF($C80="Worker",Worker_DailyWage,IF($C80="Laborer",Laborer_DailyWage,0)))</f>
      </c>
      <c r="BQ80" s="22">
        <f>IF($A80="","",$BO80*IF($C80="Worker",Worker_OTRate,IF($C80="Laborer",Laborer_OTRate,0)))</f>
      </c>
      <c r="BR80" s="23">
        <f>IF($A80="","",$BP80+$BQ80)</f>
      </c>
    </row>
    <row r="81">
      <c r="A81" s="17">
        <f>IFERROR(IF((ROW()-4)&lt;=COUNTA(Workers_ID),INDEX(Workers_ID,(ROW()-4)),IF((ROW()-4)&lt;=COUNTA(Workers_ID)+COUNTA(Laborers_ID),INDEX(Laborers_ID,(ROW()-4)-COUNTA(Workers_ID)),"")),"")</f>
      </c>
      <c r="B81" s="18">
        <f>IF($A81="","",IFERROR(VLOOKUP($A81,Workers_Data,2,FALSE),IFERROR(VLOOKUP($A81,Laborers_Data,2,FALSE),"")))</f>
      </c>
      <c r="C81" s="19">
        <f>IF($A81="","",IF(COUNTIF(Workers_ID,$A81)&gt;0,"Worker",IF(COUNTIF(Laborers_ID,$A81)&gt;0,"Laborer","")))</f>
      </c>
      <c r="D81" s="15"/>
      <c r="E81" s="16"/>
      <c r="F81" s="15"/>
      <c r="G81" s="16"/>
      <c r="H81" s="15"/>
      <c r="I81" s="16"/>
      <c r="J81" s="15"/>
      <c r="K81" s="16"/>
      <c r="L81" s="15"/>
      <c r="M81" s="16"/>
      <c r="N81" s="15"/>
      <c r="O81" s="16"/>
      <c r="P81" s="15"/>
      <c r="Q81" s="16"/>
      <c r="R81" s="15"/>
      <c r="S81" s="16"/>
      <c r="T81" s="15"/>
      <c r="U81" s="16"/>
      <c r="V81" s="15"/>
      <c r="W81" s="16"/>
      <c r="X81" s="15"/>
      <c r="Y81" s="16"/>
      <c r="Z81" s="15"/>
      <c r="AA81" s="16"/>
      <c r="AB81" s="15"/>
      <c r="AC81" s="16"/>
      <c r="AD81" s="15"/>
      <c r="AE81" s="16"/>
      <c r="AF81" s="15"/>
      <c r="AG81" s="16"/>
      <c r="AH81" s="15"/>
      <c r="AI81" s="16"/>
      <c r="AJ81" s="15"/>
      <c r="AK81" s="16"/>
      <c r="AL81" s="15"/>
      <c r="AM81" s="16"/>
      <c r="AN81" s="15"/>
      <c r="AO81" s="16"/>
      <c r="AP81" s="15"/>
      <c r="AQ81" s="16"/>
      <c r="AR81" s="15"/>
      <c r="AS81" s="16"/>
      <c r="AT81" s="15"/>
      <c r="AU81" s="16"/>
      <c r="AV81" s="15"/>
      <c r="AW81" s="16"/>
      <c r="AX81" s="15"/>
      <c r="AY81" s="16"/>
      <c r="AZ81" s="15"/>
      <c r="BA81" s="16"/>
      <c r="BB81" s="15"/>
      <c r="BC81" s="16"/>
      <c r="BD81" s="15"/>
      <c r="BE81" s="16"/>
      <c r="BF81" s="15"/>
      <c r="BG81" s="16"/>
      <c r="BH81" s="15"/>
      <c r="BI81" s="16"/>
      <c r="BJ81" s="15"/>
      <c r="BK81" s="16"/>
      <c r="BL81" s="15"/>
      <c r="BM81" s="16"/>
      <c r="BN81" s="20">
        <f>IF($A81="","",SUMPRODUCT((MOD(COLUMN($D81:$BM81)-COLUMN($D81),2)=0)*$D81:$BM81))</f>
      </c>
      <c r="BO81" s="21">
        <f>IF($A81="","",SUMPRODUCT((MOD(COLUMN($D81:$BM81)-COLUMN($D81),2)=1)*$D81:$BM81))</f>
      </c>
      <c r="BP81" s="22">
        <f>IF($A81="","",$BN81*IF($C81="Worker",Worker_DailyWage,IF($C81="Laborer",Laborer_DailyWage,0)))</f>
      </c>
      <c r="BQ81" s="22">
        <f>IF($A81="","",$BO81*IF($C81="Worker",Worker_OTRate,IF($C81="Laborer",Laborer_OTRate,0)))</f>
      </c>
      <c r="BR81" s="23">
        <f>IF($A81="","",$BP81+$BQ81)</f>
      </c>
    </row>
    <row r="82">
      <c r="A82" s="17">
        <f>IFERROR(IF((ROW()-4)&lt;=COUNTA(Workers_ID),INDEX(Workers_ID,(ROW()-4)),IF((ROW()-4)&lt;=COUNTA(Workers_ID)+COUNTA(Laborers_ID),INDEX(Laborers_ID,(ROW()-4)-COUNTA(Workers_ID)),"")),"")</f>
      </c>
      <c r="B82" s="18">
        <f>IF($A82="","",IFERROR(VLOOKUP($A82,Workers_Data,2,FALSE),IFERROR(VLOOKUP($A82,Laborers_Data,2,FALSE),"")))</f>
      </c>
      <c r="C82" s="19">
        <f>IF($A82="","",IF(COUNTIF(Workers_ID,$A82)&gt;0,"Worker",IF(COUNTIF(Laborers_ID,$A82)&gt;0,"Laborer","")))</f>
      </c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15"/>
      <c r="BM82" s="16"/>
      <c r="BN82" s="20">
        <f>IF($A82="","",SUMPRODUCT((MOD(COLUMN($D82:$BM82)-COLUMN($D82),2)=0)*$D82:$BM82))</f>
      </c>
      <c r="BO82" s="21">
        <f>IF($A82="","",SUMPRODUCT((MOD(COLUMN($D82:$BM82)-COLUMN($D82),2)=1)*$D82:$BM82))</f>
      </c>
      <c r="BP82" s="22">
        <f>IF($A82="","",$BN82*IF($C82="Worker",Worker_DailyWage,IF($C82="Laborer",Laborer_DailyWage,0)))</f>
      </c>
      <c r="BQ82" s="22">
        <f>IF($A82="","",$BO82*IF($C82="Worker",Worker_OTRate,IF($C82="Laborer",Laborer_OTRate,0)))</f>
      </c>
      <c r="BR82" s="23">
        <f>IF($A82="","",$BP82+$BQ82)</f>
      </c>
    </row>
    <row r="83">
      <c r="A83" s="17">
        <f>IFERROR(IF((ROW()-4)&lt;=COUNTA(Workers_ID),INDEX(Workers_ID,(ROW()-4)),IF((ROW()-4)&lt;=COUNTA(Workers_ID)+COUNTA(Laborers_ID),INDEX(Laborers_ID,(ROW()-4)-COUNTA(Workers_ID)),"")),"")</f>
      </c>
      <c r="B83" s="18">
        <f>IF($A83="","",IFERROR(VLOOKUP($A83,Workers_Data,2,FALSE),IFERROR(VLOOKUP($A83,Laborers_Data,2,FALSE),"")))</f>
      </c>
      <c r="C83" s="19">
        <f>IF($A83="","",IF(COUNTIF(Workers_ID,$A83)&gt;0,"Worker",IF(COUNTIF(Laborers_ID,$A83)&gt;0,"Laborer","")))</f>
      </c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15"/>
      <c r="BM83" s="16"/>
      <c r="BN83" s="20">
        <f>IF($A83="","",SUMPRODUCT((MOD(COLUMN($D83:$BM83)-COLUMN($D83),2)=0)*$D83:$BM83))</f>
      </c>
      <c r="BO83" s="21">
        <f>IF($A83="","",SUMPRODUCT((MOD(COLUMN($D83:$BM83)-COLUMN($D83),2)=1)*$D83:$BM83))</f>
      </c>
      <c r="BP83" s="22">
        <f>IF($A83="","",$BN83*IF($C83="Worker",Worker_DailyWage,IF($C83="Laborer",Laborer_DailyWage,0)))</f>
      </c>
      <c r="BQ83" s="22">
        <f>IF($A83="","",$BO83*IF($C83="Worker",Worker_OTRate,IF($C83="Laborer",Laborer_OTRate,0)))</f>
      </c>
      <c r="BR83" s="23">
        <f>IF($A83="","",$BP83+$BQ83)</f>
      </c>
    </row>
    <row r="84">
      <c r="A84" s="17">
        <f>IFERROR(IF((ROW()-4)&lt;=COUNTA(Workers_ID),INDEX(Workers_ID,(ROW()-4)),IF((ROW()-4)&lt;=COUNTA(Workers_ID)+COUNTA(Laborers_ID),INDEX(Laborers_ID,(ROW()-4)-COUNTA(Workers_ID)),"")),"")</f>
      </c>
      <c r="B84" s="18">
        <f>IF($A84="","",IFERROR(VLOOKUP($A84,Workers_Data,2,FALSE),IFERROR(VLOOKUP($A84,Laborers_Data,2,FALSE),"")))</f>
      </c>
      <c r="C84" s="19">
        <f>IF($A84="","",IF(COUNTIF(Workers_ID,$A84)&gt;0,"Worker",IF(COUNTIF(Laborers_ID,$A84)&gt;0,"Laborer","")))</f>
      </c>
      <c r="D84" s="15"/>
      <c r="E84" s="16"/>
      <c r="F84" s="15"/>
      <c r="G84" s="16"/>
      <c r="H84" s="15"/>
      <c r="I84" s="16"/>
      <c r="J84" s="15"/>
      <c r="K84" s="16"/>
      <c r="L84" s="15"/>
      <c r="M84" s="16"/>
      <c r="N84" s="15"/>
      <c r="O84" s="16"/>
      <c r="P84" s="15"/>
      <c r="Q84" s="16"/>
      <c r="R84" s="15"/>
      <c r="S84" s="16"/>
      <c r="T84" s="15"/>
      <c r="U84" s="16"/>
      <c r="V84" s="15"/>
      <c r="W84" s="16"/>
      <c r="X84" s="15"/>
      <c r="Y84" s="16"/>
      <c r="Z84" s="15"/>
      <c r="AA84" s="16"/>
      <c r="AB84" s="15"/>
      <c r="AC84" s="16"/>
      <c r="AD84" s="15"/>
      <c r="AE84" s="16"/>
      <c r="AF84" s="15"/>
      <c r="AG84" s="16"/>
      <c r="AH84" s="15"/>
      <c r="AI84" s="16"/>
      <c r="AJ84" s="15"/>
      <c r="AK84" s="16"/>
      <c r="AL84" s="15"/>
      <c r="AM84" s="16"/>
      <c r="AN84" s="15"/>
      <c r="AO84" s="16"/>
      <c r="AP84" s="15"/>
      <c r="AQ84" s="16"/>
      <c r="AR84" s="15"/>
      <c r="AS84" s="16"/>
      <c r="AT84" s="15"/>
      <c r="AU84" s="16"/>
      <c r="AV84" s="15"/>
      <c r="AW84" s="16"/>
      <c r="AX84" s="15"/>
      <c r="AY84" s="16"/>
      <c r="AZ84" s="15"/>
      <c r="BA84" s="16"/>
      <c r="BB84" s="15"/>
      <c r="BC84" s="16"/>
      <c r="BD84" s="15"/>
      <c r="BE84" s="16"/>
      <c r="BF84" s="15"/>
      <c r="BG84" s="16"/>
      <c r="BH84" s="15"/>
      <c r="BI84" s="16"/>
      <c r="BJ84" s="15"/>
      <c r="BK84" s="16"/>
      <c r="BL84" s="15"/>
      <c r="BM84" s="16"/>
      <c r="BN84" s="20">
        <f>IF($A84="","",SUMPRODUCT((MOD(COLUMN($D84:$BM84)-COLUMN($D84),2)=0)*$D84:$BM84))</f>
      </c>
      <c r="BO84" s="21">
        <f>IF($A84="","",SUMPRODUCT((MOD(COLUMN($D84:$BM84)-COLUMN($D84),2)=1)*$D84:$BM84))</f>
      </c>
      <c r="BP84" s="22">
        <f>IF($A84="","",$BN84*IF($C84="Worker",Worker_DailyWage,IF($C84="Laborer",Laborer_DailyWage,0)))</f>
      </c>
      <c r="BQ84" s="22">
        <f>IF($A84="","",$BO84*IF($C84="Worker",Worker_OTRate,IF($C84="Laborer",Laborer_OTRate,0)))</f>
      </c>
      <c r="BR84" s="23">
        <f>IF($A84="","",$BP84+$BQ84)</f>
      </c>
    </row>
    <row r="85">
      <c r="A85" s="17">
        <f>IFERROR(IF((ROW()-4)&lt;=COUNTA(Workers_ID),INDEX(Workers_ID,(ROW()-4)),IF((ROW()-4)&lt;=COUNTA(Workers_ID)+COUNTA(Laborers_ID),INDEX(Laborers_ID,(ROW()-4)-COUNTA(Workers_ID)),"")),"")</f>
      </c>
      <c r="B85" s="18">
        <f>IF($A85="","",IFERROR(VLOOKUP($A85,Workers_Data,2,FALSE),IFERROR(VLOOKUP($A85,Laborers_Data,2,FALSE),"")))</f>
      </c>
      <c r="C85" s="19">
        <f>IF($A85="","",IF(COUNTIF(Workers_ID,$A85)&gt;0,"Worker",IF(COUNTIF(Laborers_ID,$A85)&gt;0,"Laborer","")))</f>
      </c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15"/>
      <c r="BM85" s="16"/>
      <c r="BN85" s="20">
        <f>IF($A85="","",SUMPRODUCT((MOD(COLUMN($D85:$BM85)-COLUMN($D85),2)=0)*$D85:$BM85))</f>
      </c>
      <c r="BO85" s="21">
        <f>IF($A85="","",SUMPRODUCT((MOD(COLUMN($D85:$BM85)-COLUMN($D85),2)=1)*$D85:$BM85))</f>
      </c>
      <c r="BP85" s="22">
        <f>IF($A85="","",$BN85*IF($C85="Worker",Worker_DailyWage,IF($C85="Laborer",Laborer_DailyWage,0)))</f>
      </c>
      <c r="BQ85" s="22">
        <f>IF($A85="","",$BO85*IF($C85="Worker",Worker_OTRate,IF($C85="Laborer",Laborer_OTRate,0)))</f>
      </c>
      <c r="BR85" s="23">
        <f>IF($A85="","",$BP85+$BQ85)</f>
      </c>
    </row>
    <row r="86">
      <c r="A86" s="17">
        <f>IFERROR(IF((ROW()-4)&lt;=COUNTA(Workers_ID),INDEX(Workers_ID,(ROW()-4)),IF((ROW()-4)&lt;=COUNTA(Workers_ID)+COUNTA(Laborers_ID),INDEX(Laborers_ID,(ROW()-4)-COUNTA(Workers_ID)),"")),"")</f>
      </c>
      <c r="B86" s="18">
        <f>IF($A86="","",IFERROR(VLOOKUP($A86,Workers_Data,2,FALSE),IFERROR(VLOOKUP($A86,Laborers_Data,2,FALSE),"")))</f>
      </c>
      <c r="C86" s="19">
        <f>IF($A86="","",IF(COUNTIF(Workers_ID,$A86)&gt;0,"Worker",IF(COUNTIF(Laborers_ID,$A86)&gt;0,"Laborer","")))</f>
      </c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15"/>
      <c r="BM86" s="16"/>
      <c r="BN86" s="20">
        <f>IF($A86="","",SUMPRODUCT((MOD(COLUMN($D86:$BM86)-COLUMN($D86),2)=0)*$D86:$BM86))</f>
      </c>
      <c r="BO86" s="21">
        <f>IF($A86="","",SUMPRODUCT((MOD(COLUMN($D86:$BM86)-COLUMN($D86),2)=1)*$D86:$BM86))</f>
      </c>
      <c r="BP86" s="22">
        <f>IF($A86="","",$BN86*IF($C86="Worker",Worker_DailyWage,IF($C86="Laborer",Laborer_DailyWage,0)))</f>
      </c>
      <c r="BQ86" s="22">
        <f>IF($A86="","",$BO86*IF($C86="Worker",Worker_OTRate,IF($C86="Laborer",Laborer_OTRate,0)))</f>
      </c>
      <c r="BR86" s="23">
        <f>IF($A86="","",$BP86+$BQ86)</f>
      </c>
    </row>
    <row r="87">
      <c r="A87" s="17">
        <f>IFERROR(IF((ROW()-4)&lt;=COUNTA(Workers_ID),INDEX(Workers_ID,(ROW()-4)),IF((ROW()-4)&lt;=COUNTA(Workers_ID)+COUNTA(Laborers_ID),INDEX(Laborers_ID,(ROW()-4)-COUNTA(Workers_ID)),"")),"")</f>
      </c>
      <c r="B87" s="18">
        <f>IF($A87="","",IFERROR(VLOOKUP($A87,Workers_Data,2,FALSE),IFERROR(VLOOKUP($A87,Laborers_Data,2,FALSE),"")))</f>
      </c>
      <c r="C87" s="19">
        <f>IF($A87="","",IF(COUNTIF(Workers_ID,$A87)&gt;0,"Worker",IF(COUNTIF(Laborers_ID,$A87)&gt;0,"Laborer","")))</f>
      </c>
      <c r="D87" s="15"/>
      <c r="E87" s="16"/>
      <c r="F87" s="15"/>
      <c r="G87" s="16"/>
      <c r="H87" s="15"/>
      <c r="I87" s="16"/>
      <c r="J87" s="15"/>
      <c r="K87" s="16"/>
      <c r="L87" s="15"/>
      <c r="M87" s="16"/>
      <c r="N87" s="15"/>
      <c r="O87" s="16"/>
      <c r="P87" s="15"/>
      <c r="Q87" s="16"/>
      <c r="R87" s="15"/>
      <c r="S87" s="16"/>
      <c r="T87" s="15"/>
      <c r="U87" s="16"/>
      <c r="V87" s="15"/>
      <c r="W87" s="16"/>
      <c r="X87" s="15"/>
      <c r="Y87" s="16"/>
      <c r="Z87" s="15"/>
      <c r="AA87" s="16"/>
      <c r="AB87" s="15"/>
      <c r="AC87" s="16"/>
      <c r="AD87" s="15"/>
      <c r="AE87" s="16"/>
      <c r="AF87" s="15"/>
      <c r="AG87" s="16"/>
      <c r="AH87" s="15"/>
      <c r="AI87" s="16"/>
      <c r="AJ87" s="15"/>
      <c r="AK87" s="16"/>
      <c r="AL87" s="15"/>
      <c r="AM87" s="16"/>
      <c r="AN87" s="15"/>
      <c r="AO87" s="16"/>
      <c r="AP87" s="15"/>
      <c r="AQ87" s="16"/>
      <c r="AR87" s="15"/>
      <c r="AS87" s="16"/>
      <c r="AT87" s="15"/>
      <c r="AU87" s="16"/>
      <c r="AV87" s="15"/>
      <c r="AW87" s="16"/>
      <c r="AX87" s="15"/>
      <c r="AY87" s="16"/>
      <c r="AZ87" s="15"/>
      <c r="BA87" s="16"/>
      <c r="BB87" s="15"/>
      <c r="BC87" s="16"/>
      <c r="BD87" s="15"/>
      <c r="BE87" s="16"/>
      <c r="BF87" s="15"/>
      <c r="BG87" s="16"/>
      <c r="BH87" s="15"/>
      <c r="BI87" s="16"/>
      <c r="BJ87" s="15"/>
      <c r="BK87" s="16"/>
      <c r="BL87" s="15"/>
      <c r="BM87" s="16"/>
      <c r="BN87" s="20">
        <f>IF($A87="","",SUMPRODUCT((MOD(COLUMN($D87:$BM87)-COLUMN($D87),2)=0)*$D87:$BM87))</f>
      </c>
      <c r="BO87" s="21">
        <f>IF($A87="","",SUMPRODUCT((MOD(COLUMN($D87:$BM87)-COLUMN($D87),2)=1)*$D87:$BM87))</f>
      </c>
      <c r="BP87" s="22">
        <f>IF($A87="","",$BN87*IF($C87="Worker",Worker_DailyWage,IF($C87="Laborer",Laborer_DailyWage,0)))</f>
      </c>
      <c r="BQ87" s="22">
        <f>IF($A87="","",$BO87*IF($C87="Worker",Worker_OTRate,IF($C87="Laborer",Laborer_OTRate,0)))</f>
      </c>
      <c r="BR87" s="23">
        <f>IF($A87="","",$BP87+$BQ87)</f>
      </c>
    </row>
    <row r="88">
      <c r="A88" s="17">
        <f>IFERROR(IF((ROW()-4)&lt;=COUNTA(Workers_ID),INDEX(Workers_ID,(ROW()-4)),IF((ROW()-4)&lt;=COUNTA(Workers_ID)+COUNTA(Laborers_ID),INDEX(Laborers_ID,(ROW()-4)-COUNTA(Workers_ID)),"")),"")</f>
      </c>
      <c r="B88" s="18">
        <f>IF($A88="","",IFERROR(VLOOKUP($A88,Workers_Data,2,FALSE),IFERROR(VLOOKUP($A88,Laborers_Data,2,FALSE),"")))</f>
      </c>
      <c r="C88" s="19">
        <f>IF($A88="","",IF(COUNTIF(Workers_ID,$A88)&gt;0,"Worker",IF(COUNTIF(Laborers_ID,$A88)&gt;0,"Laborer","")))</f>
      </c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15"/>
      <c r="BM88" s="16"/>
      <c r="BN88" s="20">
        <f>IF($A88="","",SUMPRODUCT((MOD(COLUMN($D88:$BM88)-COLUMN($D88),2)=0)*$D88:$BM88))</f>
      </c>
      <c r="BO88" s="21">
        <f>IF($A88="","",SUMPRODUCT((MOD(COLUMN($D88:$BM88)-COLUMN($D88),2)=1)*$D88:$BM88))</f>
      </c>
      <c r="BP88" s="22">
        <f>IF($A88="","",$BN88*IF($C88="Worker",Worker_DailyWage,IF($C88="Laborer",Laborer_DailyWage,0)))</f>
      </c>
      <c r="BQ88" s="22">
        <f>IF($A88="","",$BO88*IF($C88="Worker",Worker_OTRate,IF($C88="Laborer",Laborer_OTRate,0)))</f>
      </c>
      <c r="BR88" s="23">
        <f>IF($A88="","",$BP88+$BQ88)</f>
      </c>
    </row>
    <row r="89">
      <c r="A89" s="17">
        <f>IFERROR(IF((ROW()-4)&lt;=COUNTA(Workers_ID),INDEX(Workers_ID,(ROW()-4)),IF((ROW()-4)&lt;=COUNTA(Workers_ID)+COUNTA(Laborers_ID),INDEX(Laborers_ID,(ROW()-4)-COUNTA(Workers_ID)),"")),"")</f>
      </c>
      <c r="B89" s="18">
        <f>IF($A89="","",IFERROR(VLOOKUP($A89,Workers_Data,2,FALSE),IFERROR(VLOOKUP($A89,Laborers_Data,2,FALSE),"")))</f>
      </c>
      <c r="C89" s="19">
        <f>IF($A89="","",IF(COUNTIF(Workers_ID,$A89)&gt;0,"Worker",IF(COUNTIF(Laborers_ID,$A89)&gt;0,"Laborer","")))</f>
      </c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15"/>
      <c r="BM89" s="16"/>
      <c r="BN89" s="20">
        <f>IF($A89="","",SUMPRODUCT((MOD(COLUMN($D89:$BM89)-COLUMN($D89),2)=0)*$D89:$BM89))</f>
      </c>
      <c r="BO89" s="21">
        <f>IF($A89="","",SUMPRODUCT((MOD(COLUMN($D89:$BM89)-COLUMN($D89),2)=1)*$D89:$BM89))</f>
      </c>
      <c r="BP89" s="22">
        <f>IF($A89="","",$BN89*IF($C89="Worker",Worker_DailyWage,IF($C89="Laborer",Laborer_DailyWage,0)))</f>
      </c>
      <c r="BQ89" s="22">
        <f>IF($A89="","",$BO89*IF($C89="Worker",Worker_OTRate,IF($C89="Laborer",Laborer_OTRate,0)))</f>
      </c>
      <c r="BR89" s="23">
        <f>IF($A89="","",$BP89+$BQ89)</f>
      </c>
    </row>
    <row r="90">
      <c r="A90" s="17">
        <f>IFERROR(IF((ROW()-4)&lt;=COUNTA(Workers_ID),INDEX(Workers_ID,(ROW()-4)),IF((ROW()-4)&lt;=COUNTA(Workers_ID)+COUNTA(Laborers_ID),INDEX(Laborers_ID,(ROW()-4)-COUNTA(Workers_ID)),"")),"")</f>
      </c>
      <c r="B90" s="18">
        <f>IF($A90="","",IFERROR(VLOOKUP($A90,Workers_Data,2,FALSE),IFERROR(VLOOKUP($A90,Laborers_Data,2,FALSE),"")))</f>
      </c>
      <c r="C90" s="19">
        <f>IF($A90="","",IF(COUNTIF(Workers_ID,$A90)&gt;0,"Worker",IF(COUNTIF(Laborers_ID,$A90)&gt;0,"Laborer","")))</f>
      </c>
      <c r="D90" s="15"/>
      <c r="E90" s="16"/>
      <c r="F90" s="15"/>
      <c r="G90" s="16"/>
      <c r="H90" s="15"/>
      <c r="I90" s="16"/>
      <c r="J90" s="15"/>
      <c r="K90" s="16"/>
      <c r="L90" s="15"/>
      <c r="M90" s="16"/>
      <c r="N90" s="15"/>
      <c r="O90" s="16"/>
      <c r="P90" s="15"/>
      <c r="Q90" s="16"/>
      <c r="R90" s="15"/>
      <c r="S90" s="16"/>
      <c r="T90" s="15"/>
      <c r="U90" s="16"/>
      <c r="V90" s="15"/>
      <c r="W90" s="16"/>
      <c r="X90" s="15"/>
      <c r="Y90" s="16"/>
      <c r="Z90" s="15"/>
      <c r="AA90" s="16"/>
      <c r="AB90" s="15"/>
      <c r="AC90" s="16"/>
      <c r="AD90" s="15"/>
      <c r="AE90" s="16"/>
      <c r="AF90" s="15"/>
      <c r="AG90" s="16"/>
      <c r="AH90" s="15"/>
      <c r="AI90" s="16"/>
      <c r="AJ90" s="15"/>
      <c r="AK90" s="16"/>
      <c r="AL90" s="15"/>
      <c r="AM90" s="16"/>
      <c r="AN90" s="15"/>
      <c r="AO90" s="16"/>
      <c r="AP90" s="15"/>
      <c r="AQ90" s="16"/>
      <c r="AR90" s="15"/>
      <c r="AS90" s="16"/>
      <c r="AT90" s="15"/>
      <c r="AU90" s="16"/>
      <c r="AV90" s="15"/>
      <c r="AW90" s="16"/>
      <c r="AX90" s="15"/>
      <c r="AY90" s="16"/>
      <c r="AZ90" s="15"/>
      <c r="BA90" s="16"/>
      <c r="BB90" s="15"/>
      <c r="BC90" s="16"/>
      <c r="BD90" s="15"/>
      <c r="BE90" s="16"/>
      <c r="BF90" s="15"/>
      <c r="BG90" s="16"/>
      <c r="BH90" s="15"/>
      <c r="BI90" s="16"/>
      <c r="BJ90" s="15"/>
      <c r="BK90" s="16"/>
      <c r="BL90" s="15"/>
      <c r="BM90" s="16"/>
      <c r="BN90" s="20">
        <f>IF($A90="","",SUMPRODUCT((MOD(COLUMN($D90:$BM90)-COLUMN($D90),2)=0)*$D90:$BM90))</f>
      </c>
      <c r="BO90" s="21">
        <f>IF($A90="","",SUMPRODUCT((MOD(COLUMN($D90:$BM90)-COLUMN($D90),2)=1)*$D90:$BM90))</f>
      </c>
      <c r="BP90" s="22">
        <f>IF($A90="","",$BN90*IF($C90="Worker",Worker_DailyWage,IF($C90="Laborer",Laborer_DailyWage,0)))</f>
      </c>
      <c r="BQ90" s="22">
        <f>IF($A90="","",$BO90*IF($C90="Worker",Worker_OTRate,IF($C90="Laborer",Laborer_OTRate,0)))</f>
      </c>
      <c r="BR90" s="23">
        <f>IF($A90="","",$BP90+$BQ90)</f>
      </c>
    </row>
    <row r="91">
      <c r="A91" s="17">
        <f>IFERROR(IF((ROW()-4)&lt;=COUNTA(Workers_ID),INDEX(Workers_ID,(ROW()-4)),IF((ROW()-4)&lt;=COUNTA(Workers_ID)+COUNTA(Laborers_ID),INDEX(Laborers_ID,(ROW()-4)-COUNTA(Workers_ID)),"")),"")</f>
      </c>
      <c r="B91" s="18">
        <f>IF($A91="","",IFERROR(VLOOKUP($A91,Workers_Data,2,FALSE),IFERROR(VLOOKUP($A91,Laborers_Data,2,FALSE),"")))</f>
      </c>
      <c r="C91" s="19">
        <f>IF($A91="","",IF(COUNTIF(Workers_ID,$A91)&gt;0,"Worker",IF(COUNTIF(Laborers_ID,$A91)&gt;0,"Laborer","")))</f>
      </c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15"/>
      <c r="BM91" s="16"/>
      <c r="BN91" s="20">
        <f>IF($A91="","",SUMPRODUCT((MOD(COLUMN($D91:$BM91)-COLUMN($D91),2)=0)*$D91:$BM91))</f>
      </c>
      <c r="BO91" s="21">
        <f>IF($A91="","",SUMPRODUCT((MOD(COLUMN($D91:$BM91)-COLUMN($D91),2)=1)*$D91:$BM91))</f>
      </c>
      <c r="BP91" s="22">
        <f>IF($A91="","",$BN91*IF($C91="Worker",Worker_DailyWage,IF($C91="Laborer",Laborer_DailyWage,0)))</f>
      </c>
      <c r="BQ91" s="22">
        <f>IF($A91="","",$BO91*IF($C91="Worker",Worker_OTRate,IF($C91="Laborer",Laborer_OTRate,0)))</f>
      </c>
      <c r="BR91" s="23">
        <f>IF($A91="","",$BP91+$BQ91)</f>
      </c>
    </row>
    <row r="92">
      <c r="A92" s="17">
        <f>IFERROR(IF((ROW()-4)&lt;=COUNTA(Workers_ID),INDEX(Workers_ID,(ROW()-4)),IF((ROW()-4)&lt;=COUNTA(Workers_ID)+COUNTA(Laborers_ID),INDEX(Laborers_ID,(ROW()-4)-COUNTA(Workers_ID)),"")),"")</f>
      </c>
      <c r="B92" s="18">
        <f>IF($A92="","",IFERROR(VLOOKUP($A92,Workers_Data,2,FALSE),IFERROR(VLOOKUP($A92,Laborers_Data,2,FALSE),"")))</f>
      </c>
      <c r="C92" s="19">
        <f>IF($A92="","",IF(COUNTIF(Workers_ID,$A92)&gt;0,"Worker",IF(COUNTIF(Laborers_ID,$A92)&gt;0,"Laborer","")))</f>
      </c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15"/>
      <c r="BM92" s="16"/>
      <c r="BN92" s="20">
        <f>IF($A92="","",SUMPRODUCT((MOD(COLUMN($D92:$BM92)-COLUMN($D92),2)=0)*$D92:$BM92))</f>
      </c>
      <c r="BO92" s="21">
        <f>IF($A92="","",SUMPRODUCT((MOD(COLUMN($D92:$BM92)-COLUMN($D92),2)=1)*$D92:$BM92))</f>
      </c>
      <c r="BP92" s="22">
        <f>IF($A92="","",$BN92*IF($C92="Worker",Worker_DailyWage,IF($C92="Laborer",Laborer_DailyWage,0)))</f>
      </c>
      <c r="BQ92" s="22">
        <f>IF($A92="","",$BO92*IF($C92="Worker",Worker_OTRate,IF($C92="Laborer",Laborer_OTRate,0)))</f>
      </c>
      <c r="BR92" s="23">
        <f>IF($A92="","",$BP92+$BQ92)</f>
      </c>
    </row>
    <row r="93">
      <c r="A93" s="17">
        <f>IFERROR(IF((ROW()-4)&lt;=COUNTA(Workers_ID),INDEX(Workers_ID,(ROW()-4)),IF((ROW()-4)&lt;=COUNTA(Workers_ID)+COUNTA(Laborers_ID),INDEX(Laborers_ID,(ROW()-4)-COUNTA(Workers_ID)),"")),"")</f>
      </c>
      <c r="B93" s="18">
        <f>IF($A93="","",IFERROR(VLOOKUP($A93,Workers_Data,2,FALSE),IFERROR(VLOOKUP($A93,Laborers_Data,2,FALSE),"")))</f>
      </c>
      <c r="C93" s="19">
        <f>IF($A93="","",IF(COUNTIF(Workers_ID,$A93)&gt;0,"Worker",IF(COUNTIF(Laborers_ID,$A93)&gt;0,"Laborer","")))</f>
      </c>
      <c r="D93" s="15"/>
      <c r="E93" s="16"/>
      <c r="F93" s="15"/>
      <c r="G93" s="16"/>
      <c r="H93" s="15"/>
      <c r="I93" s="16"/>
      <c r="J93" s="15"/>
      <c r="K93" s="16"/>
      <c r="L93" s="15"/>
      <c r="M93" s="16"/>
      <c r="N93" s="15"/>
      <c r="O93" s="16"/>
      <c r="P93" s="15"/>
      <c r="Q93" s="16"/>
      <c r="R93" s="15"/>
      <c r="S93" s="16"/>
      <c r="T93" s="15"/>
      <c r="U93" s="16"/>
      <c r="V93" s="15"/>
      <c r="W93" s="16"/>
      <c r="X93" s="15"/>
      <c r="Y93" s="16"/>
      <c r="Z93" s="15"/>
      <c r="AA93" s="16"/>
      <c r="AB93" s="15"/>
      <c r="AC93" s="16"/>
      <c r="AD93" s="15"/>
      <c r="AE93" s="16"/>
      <c r="AF93" s="15"/>
      <c r="AG93" s="16"/>
      <c r="AH93" s="15"/>
      <c r="AI93" s="16"/>
      <c r="AJ93" s="15"/>
      <c r="AK93" s="16"/>
      <c r="AL93" s="15"/>
      <c r="AM93" s="16"/>
      <c r="AN93" s="15"/>
      <c r="AO93" s="16"/>
      <c r="AP93" s="15"/>
      <c r="AQ93" s="16"/>
      <c r="AR93" s="15"/>
      <c r="AS93" s="16"/>
      <c r="AT93" s="15"/>
      <c r="AU93" s="16"/>
      <c r="AV93" s="15"/>
      <c r="AW93" s="16"/>
      <c r="AX93" s="15"/>
      <c r="AY93" s="16"/>
      <c r="AZ93" s="15"/>
      <c r="BA93" s="16"/>
      <c r="BB93" s="15"/>
      <c r="BC93" s="16"/>
      <c r="BD93" s="15"/>
      <c r="BE93" s="16"/>
      <c r="BF93" s="15"/>
      <c r="BG93" s="16"/>
      <c r="BH93" s="15"/>
      <c r="BI93" s="16"/>
      <c r="BJ93" s="15"/>
      <c r="BK93" s="16"/>
      <c r="BL93" s="15"/>
      <c r="BM93" s="16"/>
      <c r="BN93" s="20">
        <f>IF($A93="","",SUMPRODUCT((MOD(COLUMN($D93:$BM93)-COLUMN($D93),2)=0)*$D93:$BM93))</f>
      </c>
      <c r="BO93" s="21">
        <f>IF($A93="","",SUMPRODUCT((MOD(COLUMN($D93:$BM93)-COLUMN($D93),2)=1)*$D93:$BM93))</f>
      </c>
      <c r="BP93" s="22">
        <f>IF($A93="","",$BN93*IF($C93="Worker",Worker_DailyWage,IF($C93="Laborer",Laborer_DailyWage,0)))</f>
      </c>
      <c r="BQ93" s="22">
        <f>IF($A93="","",$BO93*IF($C93="Worker",Worker_OTRate,IF($C93="Laborer",Laborer_OTRate,0)))</f>
      </c>
      <c r="BR93" s="23">
        <f>IF($A93="","",$BP93+$BQ93)</f>
      </c>
    </row>
    <row r="94">
      <c r="A94" s="17">
        <f>IFERROR(IF((ROW()-4)&lt;=COUNTA(Workers_ID),INDEX(Workers_ID,(ROW()-4)),IF((ROW()-4)&lt;=COUNTA(Workers_ID)+COUNTA(Laborers_ID),INDEX(Laborers_ID,(ROW()-4)-COUNTA(Workers_ID)),"")),"")</f>
      </c>
      <c r="B94" s="18">
        <f>IF($A94="","",IFERROR(VLOOKUP($A94,Workers_Data,2,FALSE),IFERROR(VLOOKUP($A94,Laborers_Data,2,FALSE),"")))</f>
      </c>
      <c r="C94" s="19">
        <f>IF($A94="","",IF(COUNTIF(Workers_ID,$A94)&gt;0,"Worker",IF(COUNTIF(Laborers_ID,$A94)&gt;0,"Laborer","")))</f>
      </c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15"/>
      <c r="BM94" s="16"/>
      <c r="BN94" s="20">
        <f>IF($A94="","",SUMPRODUCT((MOD(COLUMN($D94:$BM94)-COLUMN($D94),2)=0)*$D94:$BM94))</f>
      </c>
      <c r="BO94" s="21">
        <f>IF($A94="","",SUMPRODUCT((MOD(COLUMN($D94:$BM94)-COLUMN($D94),2)=1)*$D94:$BM94))</f>
      </c>
      <c r="BP94" s="22">
        <f>IF($A94="","",$BN94*IF($C94="Worker",Worker_DailyWage,IF($C94="Laborer",Laborer_DailyWage,0)))</f>
      </c>
      <c r="BQ94" s="22">
        <f>IF($A94="","",$BO94*IF($C94="Worker",Worker_OTRate,IF($C94="Laborer",Laborer_OTRate,0)))</f>
      </c>
      <c r="BR94" s="23">
        <f>IF($A94="","",$BP94+$BQ94)</f>
      </c>
    </row>
    <row r="95">
      <c r="A95" s="17">
        <f>IFERROR(IF((ROW()-4)&lt;=COUNTA(Workers_ID),INDEX(Workers_ID,(ROW()-4)),IF((ROW()-4)&lt;=COUNTA(Workers_ID)+COUNTA(Laborers_ID),INDEX(Laborers_ID,(ROW()-4)-COUNTA(Workers_ID)),"")),"")</f>
      </c>
      <c r="B95" s="18">
        <f>IF($A95="","",IFERROR(VLOOKUP($A95,Workers_Data,2,FALSE),IFERROR(VLOOKUP($A95,Laborers_Data,2,FALSE),"")))</f>
      </c>
      <c r="C95" s="19">
        <f>IF($A95="","",IF(COUNTIF(Workers_ID,$A95)&gt;0,"Worker",IF(COUNTIF(Laborers_ID,$A95)&gt;0,"Laborer","")))</f>
      </c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15"/>
      <c r="BM95" s="16"/>
      <c r="BN95" s="20">
        <f>IF($A95="","",SUMPRODUCT((MOD(COLUMN($D95:$BM95)-COLUMN($D95),2)=0)*$D95:$BM95))</f>
      </c>
      <c r="BO95" s="21">
        <f>IF($A95="","",SUMPRODUCT((MOD(COLUMN($D95:$BM95)-COLUMN($D95),2)=1)*$D95:$BM95))</f>
      </c>
      <c r="BP95" s="22">
        <f>IF($A95="","",$BN95*IF($C95="Worker",Worker_DailyWage,IF($C95="Laborer",Laborer_DailyWage,0)))</f>
      </c>
      <c r="BQ95" s="22">
        <f>IF($A95="","",$BO95*IF($C95="Worker",Worker_OTRate,IF($C95="Laborer",Laborer_OTRate,0)))</f>
      </c>
      <c r="BR95" s="23">
        <f>IF($A95="","",$BP95+$BQ95)</f>
      </c>
    </row>
    <row r="96">
      <c r="A96" s="17">
        <f>IFERROR(IF((ROW()-4)&lt;=COUNTA(Workers_ID),INDEX(Workers_ID,(ROW()-4)),IF((ROW()-4)&lt;=COUNTA(Workers_ID)+COUNTA(Laborers_ID),INDEX(Laborers_ID,(ROW()-4)-COUNTA(Workers_ID)),"")),"")</f>
      </c>
      <c r="B96" s="18">
        <f>IF($A96="","",IFERROR(VLOOKUP($A96,Workers_Data,2,FALSE),IFERROR(VLOOKUP($A96,Laborers_Data,2,FALSE),"")))</f>
      </c>
      <c r="C96" s="19">
        <f>IF($A96="","",IF(COUNTIF(Workers_ID,$A96)&gt;0,"Worker",IF(COUNTIF(Laborers_ID,$A96)&gt;0,"Laborer","")))</f>
      </c>
      <c r="D96" s="15"/>
      <c r="E96" s="16"/>
      <c r="F96" s="15"/>
      <c r="G96" s="16"/>
      <c r="H96" s="15"/>
      <c r="I96" s="16"/>
      <c r="J96" s="15"/>
      <c r="K96" s="16"/>
      <c r="L96" s="15"/>
      <c r="M96" s="16"/>
      <c r="N96" s="15"/>
      <c r="O96" s="16"/>
      <c r="P96" s="15"/>
      <c r="Q96" s="16"/>
      <c r="R96" s="15"/>
      <c r="S96" s="16"/>
      <c r="T96" s="15"/>
      <c r="U96" s="16"/>
      <c r="V96" s="15"/>
      <c r="W96" s="16"/>
      <c r="X96" s="15"/>
      <c r="Y96" s="16"/>
      <c r="Z96" s="15"/>
      <c r="AA96" s="16"/>
      <c r="AB96" s="15"/>
      <c r="AC96" s="16"/>
      <c r="AD96" s="15"/>
      <c r="AE96" s="16"/>
      <c r="AF96" s="15"/>
      <c r="AG96" s="16"/>
      <c r="AH96" s="15"/>
      <c r="AI96" s="16"/>
      <c r="AJ96" s="15"/>
      <c r="AK96" s="16"/>
      <c r="AL96" s="15"/>
      <c r="AM96" s="16"/>
      <c r="AN96" s="15"/>
      <c r="AO96" s="16"/>
      <c r="AP96" s="15"/>
      <c r="AQ96" s="16"/>
      <c r="AR96" s="15"/>
      <c r="AS96" s="16"/>
      <c r="AT96" s="15"/>
      <c r="AU96" s="16"/>
      <c r="AV96" s="15"/>
      <c r="AW96" s="16"/>
      <c r="AX96" s="15"/>
      <c r="AY96" s="16"/>
      <c r="AZ96" s="15"/>
      <c r="BA96" s="16"/>
      <c r="BB96" s="15"/>
      <c r="BC96" s="16"/>
      <c r="BD96" s="15"/>
      <c r="BE96" s="16"/>
      <c r="BF96" s="15"/>
      <c r="BG96" s="16"/>
      <c r="BH96" s="15"/>
      <c r="BI96" s="16"/>
      <c r="BJ96" s="15"/>
      <c r="BK96" s="16"/>
      <c r="BL96" s="15"/>
      <c r="BM96" s="16"/>
      <c r="BN96" s="20">
        <f>IF($A96="","",SUMPRODUCT((MOD(COLUMN($D96:$BM96)-COLUMN($D96),2)=0)*$D96:$BM96))</f>
      </c>
      <c r="BO96" s="21">
        <f>IF($A96="","",SUMPRODUCT((MOD(COLUMN($D96:$BM96)-COLUMN($D96),2)=1)*$D96:$BM96))</f>
      </c>
      <c r="BP96" s="22">
        <f>IF($A96="","",$BN96*IF($C96="Worker",Worker_DailyWage,IF($C96="Laborer",Laborer_DailyWage,0)))</f>
      </c>
      <c r="BQ96" s="22">
        <f>IF($A96="","",$BO96*IF($C96="Worker",Worker_OTRate,IF($C96="Laborer",Laborer_OTRate,0)))</f>
      </c>
      <c r="BR96" s="23">
        <f>IF($A96="","",$BP96+$BQ96)</f>
      </c>
    </row>
    <row r="97">
      <c r="A97" s="17">
        <f>IFERROR(IF((ROW()-4)&lt;=COUNTA(Workers_ID),INDEX(Workers_ID,(ROW()-4)),IF((ROW()-4)&lt;=COUNTA(Workers_ID)+COUNTA(Laborers_ID),INDEX(Laborers_ID,(ROW()-4)-COUNTA(Workers_ID)),"")),"")</f>
      </c>
      <c r="B97" s="18">
        <f>IF($A97="","",IFERROR(VLOOKUP($A97,Workers_Data,2,FALSE),IFERROR(VLOOKUP($A97,Laborers_Data,2,FALSE),"")))</f>
      </c>
      <c r="C97" s="19">
        <f>IF($A97="","",IF(COUNTIF(Workers_ID,$A97)&gt;0,"Worker",IF(COUNTIF(Laborers_ID,$A97)&gt;0,"Laborer","")))</f>
      </c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15"/>
      <c r="BM97" s="16"/>
      <c r="BN97" s="20">
        <f>IF($A97="","",SUMPRODUCT((MOD(COLUMN($D97:$BM97)-COLUMN($D97),2)=0)*$D97:$BM97))</f>
      </c>
      <c r="BO97" s="21">
        <f>IF($A97="","",SUMPRODUCT((MOD(COLUMN($D97:$BM97)-COLUMN($D97),2)=1)*$D97:$BM97))</f>
      </c>
      <c r="BP97" s="22">
        <f>IF($A97="","",$BN97*IF($C97="Worker",Worker_DailyWage,IF($C97="Laborer",Laborer_DailyWage,0)))</f>
      </c>
      <c r="BQ97" s="22">
        <f>IF($A97="","",$BO97*IF($C97="Worker",Worker_OTRate,IF($C97="Laborer",Laborer_OTRate,0)))</f>
      </c>
      <c r="BR97" s="23">
        <f>IF($A97="","",$BP97+$BQ97)</f>
      </c>
    </row>
    <row r="98">
      <c r="A98" s="17">
        <f>IFERROR(IF((ROW()-4)&lt;=COUNTA(Workers_ID),INDEX(Workers_ID,(ROW()-4)),IF((ROW()-4)&lt;=COUNTA(Workers_ID)+COUNTA(Laborers_ID),INDEX(Laborers_ID,(ROW()-4)-COUNTA(Workers_ID)),"")),"")</f>
      </c>
      <c r="B98" s="18">
        <f>IF($A98="","",IFERROR(VLOOKUP($A98,Workers_Data,2,FALSE),IFERROR(VLOOKUP($A98,Laborers_Data,2,FALSE),"")))</f>
      </c>
      <c r="C98" s="19">
        <f>IF($A98="","",IF(COUNTIF(Workers_ID,$A98)&gt;0,"Worker",IF(COUNTIF(Laborers_ID,$A98)&gt;0,"Laborer","")))</f>
      </c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15"/>
      <c r="BM98" s="16"/>
      <c r="BN98" s="20">
        <f>IF($A98="","",SUMPRODUCT((MOD(COLUMN($D98:$BM98)-COLUMN($D98),2)=0)*$D98:$BM98))</f>
      </c>
      <c r="BO98" s="21">
        <f>IF($A98="","",SUMPRODUCT((MOD(COLUMN($D98:$BM98)-COLUMN($D98),2)=1)*$D98:$BM98))</f>
      </c>
      <c r="BP98" s="22">
        <f>IF($A98="","",$BN98*IF($C98="Worker",Worker_DailyWage,IF($C98="Laborer",Laborer_DailyWage,0)))</f>
      </c>
      <c r="BQ98" s="22">
        <f>IF($A98="","",$BO98*IF($C98="Worker",Worker_OTRate,IF($C98="Laborer",Laborer_OTRate,0)))</f>
      </c>
      <c r="BR98" s="23">
        <f>IF($A98="","",$BP98+$BQ98)</f>
      </c>
    </row>
    <row r="99">
      <c r="A99" s="17">
        <f>IFERROR(IF((ROW()-4)&lt;=COUNTA(Workers_ID),INDEX(Workers_ID,(ROW()-4)),IF((ROW()-4)&lt;=COUNTA(Workers_ID)+COUNTA(Laborers_ID),INDEX(Laborers_ID,(ROW()-4)-COUNTA(Workers_ID)),"")),"")</f>
      </c>
      <c r="B99" s="18">
        <f>IF($A99="","",IFERROR(VLOOKUP($A99,Workers_Data,2,FALSE),IFERROR(VLOOKUP($A99,Laborers_Data,2,FALSE),"")))</f>
      </c>
      <c r="C99" s="19">
        <f>IF($A99="","",IF(COUNTIF(Workers_ID,$A99)&gt;0,"Worker",IF(COUNTIF(Laborers_ID,$A99)&gt;0,"Laborer","")))</f>
      </c>
      <c r="D99" s="15"/>
      <c r="E99" s="16"/>
      <c r="F99" s="15"/>
      <c r="G99" s="16"/>
      <c r="H99" s="15"/>
      <c r="I99" s="16"/>
      <c r="J99" s="15"/>
      <c r="K99" s="16"/>
      <c r="L99" s="15"/>
      <c r="M99" s="16"/>
      <c r="N99" s="15"/>
      <c r="O99" s="16"/>
      <c r="P99" s="15"/>
      <c r="Q99" s="16"/>
      <c r="R99" s="15"/>
      <c r="S99" s="16"/>
      <c r="T99" s="15"/>
      <c r="U99" s="16"/>
      <c r="V99" s="15"/>
      <c r="W99" s="16"/>
      <c r="X99" s="15"/>
      <c r="Y99" s="16"/>
      <c r="Z99" s="15"/>
      <c r="AA99" s="16"/>
      <c r="AB99" s="15"/>
      <c r="AC99" s="16"/>
      <c r="AD99" s="15"/>
      <c r="AE99" s="16"/>
      <c r="AF99" s="15"/>
      <c r="AG99" s="16"/>
      <c r="AH99" s="15"/>
      <c r="AI99" s="16"/>
      <c r="AJ99" s="15"/>
      <c r="AK99" s="16"/>
      <c r="AL99" s="15"/>
      <c r="AM99" s="16"/>
      <c r="AN99" s="15"/>
      <c r="AO99" s="16"/>
      <c r="AP99" s="15"/>
      <c r="AQ99" s="16"/>
      <c r="AR99" s="15"/>
      <c r="AS99" s="16"/>
      <c r="AT99" s="15"/>
      <c r="AU99" s="16"/>
      <c r="AV99" s="15"/>
      <c r="AW99" s="16"/>
      <c r="AX99" s="15"/>
      <c r="AY99" s="16"/>
      <c r="AZ99" s="15"/>
      <c r="BA99" s="16"/>
      <c r="BB99" s="15"/>
      <c r="BC99" s="16"/>
      <c r="BD99" s="15"/>
      <c r="BE99" s="16"/>
      <c r="BF99" s="15"/>
      <c r="BG99" s="16"/>
      <c r="BH99" s="15"/>
      <c r="BI99" s="16"/>
      <c r="BJ99" s="15"/>
      <c r="BK99" s="16"/>
      <c r="BL99" s="15"/>
      <c r="BM99" s="16"/>
      <c r="BN99" s="20">
        <f>IF($A99="","",SUMPRODUCT((MOD(COLUMN($D99:$BM99)-COLUMN($D99),2)=0)*$D99:$BM99))</f>
      </c>
      <c r="BO99" s="21">
        <f>IF($A99="","",SUMPRODUCT((MOD(COLUMN($D99:$BM99)-COLUMN($D99),2)=1)*$D99:$BM99))</f>
      </c>
      <c r="BP99" s="22">
        <f>IF($A99="","",$BN99*IF($C99="Worker",Worker_DailyWage,IF($C99="Laborer",Laborer_DailyWage,0)))</f>
      </c>
      <c r="BQ99" s="22">
        <f>IF($A99="","",$BO99*IF($C99="Worker",Worker_OTRate,IF($C99="Laborer",Laborer_OTRate,0)))</f>
      </c>
      <c r="BR99" s="23">
        <f>IF($A99="","",$BP99+$BQ99)</f>
      </c>
    </row>
    <row r="100">
      <c r="A100" s="17">
        <f>IFERROR(IF((ROW()-4)&lt;=COUNTA(Workers_ID),INDEX(Workers_ID,(ROW()-4)),IF((ROW()-4)&lt;=COUNTA(Workers_ID)+COUNTA(Laborers_ID),INDEX(Laborers_ID,(ROW()-4)-COUNTA(Workers_ID)),"")),"")</f>
      </c>
      <c r="B100" s="18">
        <f>IF($A100="","",IFERROR(VLOOKUP($A100,Workers_Data,2,FALSE),IFERROR(VLOOKUP($A100,Laborers_Data,2,FALSE),"")))</f>
      </c>
      <c r="C100" s="19">
        <f>IF($A100="","",IF(COUNTIF(Workers_ID,$A100)&gt;0,"Worker",IF(COUNTIF(Laborers_ID,$A100)&gt;0,"Laborer","")))</f>
      </c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15"/>
      <c r="BM100" s="16"/>
      <c r="BN100" s="20">
        <f>IF($A100="","",SUMPRODUCT((MOD(COLUMN($D100:$BM100)-COLUMN($D100),2)=0)*$D100:$BM100))</f>
      </c>
      <c r="BO100" s="21">
        <f>IF($A100="","",SUMPRODUCT((MOD(COLUMN($D100:$BM100)-COLUMN($D100),2)=1)*$D100:$BM100))</f>
      </c>
      <c r="BP100" s="22">
        <f>IF($A100="","",$BN100*IF($C100="Worker",Worker_DailyWage,IF($C100="Laborer",Laborer_DailyWage,0)))</f>
      </c>
      <c r="BQ100" s="22">
        <f>IF($A100="","",$BO100*IF($C100="Worker",Worker_OTRate,IF($C100="Laborer",Laborer_OTRate,0)))</f>
      </c>
      <c r="BR100" s="23">
        <f>IF($A100="","",$BP100+$BQ100)</f>
      </c>
    </row>
    <row r="101">
      <c r="A101" s="17">
        <f>IFERROR(IF((ROW()-4)&lt;=COUNTA(Workers_ID),INDEX(Workers_ID,(ROW()-4)),IF((ROW()-4)&lt;=COUNTA(Workers_ID)+COUNTA(Laborers_ID),INDEX(Laborers_ID,(ROW()-4)-COUNTA(Workers_ID)),"")),"")</f>
      </c>
      <c r="B101" s="18">
        <f>IF($A101="","",IFERROR(VLOOKUP($A101,Workers_Data,2,FALSE),IFERROR(VLOOKUP($A101,Laborers_Data,2,FALSE),"")))</f>
      </c>
      <c r="C101" s="19">
        <f>IF($A101="","",IF(COUNTIF(Workers_ID,$A101)&gt;0,"Worker",IF(COUNTIF(Laborers_ID,$A101)&gt;0,"Laborer","")))</f>
      </c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15"/>
      <c r="BM101" s="16"/>
      <c r="BN101" s="20">
        <f>IF($A101="","",SUMPRODUCT((MOD(COLUMN($D101:$BM101)-COLUMN($D101),2)=0)*$D101:$BM101))</f>
      </c>
      <c r="BO101" s="21">
        <f>IF($A101="","",SUMPRODUCT((MOD(COLUMN($D101:$BM101)-COLUMN($D101),2)=1)*$D101:$BM101))</f>
      </c>
      <c r="BP101" s="22">
        <f>IF($A101="","",$BN101*IF($C101="Worker",Worker_DailyWage,IF($C101="Laborer",Laborer_DailyWage,0)))</f>
      </c>
      <c r="BQ101" s="22">
        <f>IF($A101="","",$BO101*IF($C101="Worker",Worker_OTRate,IF($C101="Laborer",Laborer_OTRate,0)))</f>
      </c>
      <c r="BR101" s="23">
        <f>IF($A101="","",$BP101+$BQ101)</f>
      </c>
    </row>
    <row r="102">
      <c r="A102" s="17">
        <f>IFERROR(IF((ROW()-4)&lt;=COUNTA(Workers_ID),INDEX(Workers_ID,(ROW()-4)),IF((ROW()-4)&lt;=COUNTA(Workers_ID)+COUNTA(Laborers_ID),INDEX(Laborers_ID,(ROW()-4)-COUNTA(Workers_ID)),"")),"")</f>
      </c>
      <c r="B102" s="18">
        <f>IF($A102="","",IFERROR(VLOOKUP($A102,Workers_Data,2,FALSE),IFERROR(VLOOKUP($A102,Laborers_Data,2,FALSE),"")))</f>
      </c>
      <c r="C102" s="19">
        <f>IF($A102="","",IF(COUNTIF(Workers_ID,$A102)&gt;0,"Worker",IF(COUNTIF(Laborers_ID,$A102)&gt;0,"Laborer","")))</f>
      </c>
      <c r="D102" s="15"/>
      <c r="E102" s="16"/>
      <c r="F102" s="15"/>
      <c r="G102" s="16"/>
      <c r="H102" s="15"/>
      <c r="I102" s="16"/>
      <c r="J102" s="15"/>
      <c r="K102" s="16"/>
      <c r="L102" s="15"/>
      <c r="M102" s="16"/>
      <c r="N102" s="15"/>
      <c r="O102" s="16"/>
      <c r="P102" s="15"/>
      <c r="Q102" s="16"/>
      <c r="R102" s="15"/>
      <c r="S102" s="16"/>
      <c r="T102" s="15"/>
      <c r="U102" s="16"/>
      <c r="V102" s="15"/>
      <c r="W102" s="16"/>
      <c r="X102" s="15"/>
      <c r="Y102" s="16"/>
      <c r="Z102" s="15"/>
      <c r="AA102" s="16"/>
      <c r="AB102" s="15"/>
      <c r="AC102" s="16"/>
      <c r="AD102" s="15"/>
      <c r="AE102" s="16"/>
      <c r="AF102" s="15"/>
      <c r="AG102" s="16"/>
      <c r="AH102" s="15"/>
      <c r="AI102" s="16"/>
      <c r="AJ102" s="15"/>
      <c r="AK102" s="16"/>
      <c r="AL102" s="15"/>
      <c r="AM102" s="16"/>
      <c r="AN102" s="15"/>
      <c r="AO102" s="16"/>
      <c r="AP102" s="15"/>
      <c r="AQ102" s="16"/>
      <c r="AR102" s="15"/>
      <c r="AS102" s="16"/>
      <c r="AT102" s="15"/>
      <c r="AU102" s="16"/>
      <c r="AV102" s="15"/>
      <c r="AW102" s="16"/>
      <c r="AX102" s="15"/>
      <c r="AY102" s="16"/>
      <c r="AZ102" s="15"/>
      <c r="BA102" s="16"/>
      <c r="BB102" s="15"/>
      <c r="BC102" s="16"/>
      <c r="BD102" s="15"/>
      <c r="BE102" s="16"/>
      <c r="BF102" s="15"/>
      <c r="BG102" s="16"/>
      <c r="BH102" s="15"/>
      <c r="BI102" s="16"/>
      <c r="BJ102" s="15"/>
      <c r="BK102" s="16"/>
      <c r="BL102" s="15"/>
      <c r="BM102" s="16"/>
      <c r="BN102" s="20">
        <f>IF($A102="","",SUMPRODUCT((MOD(COLUMN($D102:$BM102)-COLUMN($D102),2)=0)*$D102:$BM102))</f>
      </c>
      <c r="BO102" s="21">
        <f>IF($A102="","",SUMPRODUCT((MOD(COLUMN($D102:$BM102)-COLUMN($D102),2)=1)*$D102:$BM102))</f>
      </c>
      <c r="BP102" s="22">
        <f>IF($A102="","",$BN102*IF($C102="Worker",Worker_DailyWage,IF($C102="Laborer",Laborer_DailyWage,0)))</f>
      </c>
      <c r="BQ102" s="22">
        <f>IF($A102="","",$BO102*IF($C102="Worker",Worker_OTRate,IF($C102="Laborer",Laborer_OTRate,0)))</f>
      </c>
      <c r="BR102" s="23">
        <f>IF($A102="","",$BP102+$BQ102)</f>
      </c>
    </row>
    <row r="103">
      <c r="A103" s="17">
        <f>IFERROR(IF((ROW()-4)&lt;=COUNTA(Workers_ID),INDEX(Workers_ID,(ROW()-4)),IF((ROW()-4)&lt;=COUNTA(Workers_ID)+COUNTA(Laborers_ID),INDEX(Laborers_ID,(ROW()-4)-COUNTA(Workers_ID)),"")),"")</f>
      </c>
      <c r="B103" s="18">
        <f>IF($A103="","",IFERROR(VLOOKUP($A103,Workers_Data,2,FALSE),IFERROR(VLOOKUP($A103,Laborers_Data,2,FALSE),"")))</f>
      </c>
      <c r="C103" s="19">
        <f>IF($A103="","",IF(COUNTIF(Workers_ID,$A103)&gt;0,"Worker",IF(COUNTIF(Laborers_ID,$A103)&gt;0,"Laborer","")))</f>
      </c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15"/>
      <c r="BM103" s="16"/>
      <c r="BN103" s="20">
        <f>IF($A103="","",SUMPRODUCT((MOD(COLUMN($D103:$BM103)-COLUMN($D103),2)=0)*$D103:$BM103))</f>
      </c>
      <c r="BO103" s="21">
        <f>IF($A103="","",SUMPRODUCT((MOD(COLUMN($D103:$BM103)-COLUMN($D103),2)=1)*$D103:$BM103))</f>
      </c>
      <c r="BP103" s="22">
        <f>IF($A103="","",$BN103*IF($C103="Worker",Worker_DailyWage,IF($C103="Laborer",Laborer_DailyWage,0)))</f>
      </c>
      <c r="BQ103" s="22">
        <f>IF($A103="","",$BO103*IF($C103="Worker",Worker_OTRate,IF($C103="Laborer",Laborer_OTRate,0)))</f>
      </c>
      <c r="BR103" s="23">
        <f>IF($A103="","",$BP103+$BQ103)</f>
      </c>
    </row>
    <row r="104">
      <c r="A104" s="17">
        <f>IFERROR(IF((ROW()-4)&lt;=COUNTA(Workers_ID),INDEX(Workers_ID,(ROW()-4)),IF((ROW()-4)&lt;=COUNTA(Workers_ID)+COUNTA(Laborers_ID),INDEX(Laborers_ID,(ROW()-4)-COUNTA(Workers_ID)),"")),"")</f>
      </c>
      <c r="B104" s="18">
        <f>IF($A104="","",IFERROR(VLOOKUP($A104,Workers_Data,2,FALSE),IFERROR(VLOOKUP($A104,Laborers_Data,2,FALSE),"")))</f>
      </c>
      <c r="C104" s="19">
        <f>IF($A104="","",IF(COUNTIF(Workers_ID,$A104)&gt;0,"Worker",IF(COUNTIF(Laborers_ID,$A104)&gt;0,"Laborer","")))</f>
      </c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15"/>
      <c r="BM104" s="16"/>
      <c r="BN104" s="20">
        <f>IF($A104="","",SUMPRODUCT((MOD(COLUMN($D104:$BM104)-COLUMN($D104),2)=0)*$D104:$BM104))</f>
      </c>
      <c r="BO104" s="21">
        <f>IF($A104="","",SUMPRODUCT((MOD(COLUMN($D104:$BM104)-COLUMN($D104),2)=1)*$D104:$BM104))</f>
      </c>
      <c r="BP104" s="22">
        <f>IF($A104="","",$BN104*IF($C104="Worker",Worker_DailyWage,IF($C104="Laborer",Laborer_DailyWage,0)))</f>
      </c>
      <c r="BQ104" s="22">
        <f>IF($A104="","",$BO104*IF($C104="Worker",Worker_OTRate,IF($C104="Laborer",Laborer_OTRate,0)))</f>
      </c>
      <c r="BR104" s="23">
        <f>IF($A104="","",$BP104+$BQ104)</f>
      </c>
    </row>
    <row r="105">
      <c r="A105" s="17">
        <f>IFERROR(IF((ROW()-4)&lt;=COUNTA(Workers_ID),INDEX(Workers_ID,(ROW()-4)),IF((ROW()-4)&lt;=COUNTA(Workers_ID)+COUNTA(Laborers_ID),INDEX(Laborers_ID,(ROW()-4)-COUNTA(Workers_ID)),"")),"")</f>
      </c>
      <c r="B105" s="18">
        <f>IF($A105="","",IFERROR(VLOOKUP($A105,Workers_Data,2,FALSE),IFERROR(VLOOKUP($A105,Laborers_Data,2,FALSE),"")))</f>
      </c>
      <c r="C105" s="19">
        <f>IF($A105="","",IF(COUNTIF(Workers_ID,$A105)&gt;0,"Worker",IF(COUNTIF(Laborers_ID,$A105)&gt;0,"Laborer","")))</f>
      </c>
      <c r="D105" s="15"/>
      <c r="E105" s="16"/>
      <c r="F105" s="15"/>
      <c r="G105" s="16"/>
      <c r="H105" s="15"/>
      <c r="I105" s="16"/>
      <c r="J105" s="15"/>
      <c r="K105" s="16"/>
      <c r="L105" s="15"/>
      <c r="M105" s="16"/>
      <c r="N105" s="15"/>
      <c r="O105" s="16"/>
      <c r="P105" s="15"/>
      <c r="Q105" s="16"/>
      <c r="R105" s="15"/>
      <c r="S105" s="16"/>
      <c r="T105" s="15"/>
      <c r="U105" s="16"/>
      <c r="V105" s="15"/>
      <c r="W105" s="16"/>
      <c r="X105" s="15"/>
      <c r="Y105" s="16"/>
      <c r="Z105" s="15"/>
      <c r="AA105" s="16"/>
      <c r="AB105" s="15"/>
      <c r="AC105" s="16"/>
      <c r="AD105" s="15"/>
      <c r="AE105" s="16"/>
      <c r="AF105" s="15"/>
      <c r="AG105" s="16"/>
      <c r="AH105" s="15"/>
      <c r="AI105" s="16"/>
      <c r="AJ105" s="15"/>
      <c r="AK105" s="16"/>
      <c r="AL105" s="15"/>
      <c r="AM105" s="16"/>
      <c r="AN105" s="15"/>
      <c r="AO105" s="16"/>
      <c r="AP105" s="15"/>
      <c r="AQ105" s="16"/>
      <c r="AR105" s="15"/>
      <c r="AS105" s="16"/>
      <c r="AT105" s="15"/>
      <c r="AU105" s="16"/>
      <c r="AV105" s="15"/>
      <c r="AW105" s="16"/>
      <c r="AX105" s="15"/>
      <c r="AY105" s="16"/>
      <c r="AZ105" s="15"/>
      <c r="BA105" s="16"/>
      <c r="BB105" s="15"/>
      <c r="BC105" s="16"/>
      <c r="BD105" s="15"/>
      <c r="BE105" s="16"/>
      <c r="BF105" s="15"/>
      <c r="BG105" s="16"/>
      <c r="BH105" s="15"/>
      <c r="BI105" s="16"/>
      <c r="BJ105" s="15"/>
      <c r="BK105" s="16"/>
      <c r="BL105" s="15"/>
      <c r="BM105" s="16"/>
      <c r="BN105" s="20">
        <f>IF($A105="","",SUMPRODUCT((MOD(COLUMN($D105:$BM105)-COLUMN($D105),2)=0)*$D105:$BM105))</f>
      </c>
      <c r="BO105" s="21">
        <f>IF($A105="","",SUMPRODUCT((MOD(COLUMN($D105:$BM105)-COLUMN($D105),2)=1)*$D105:$BM105))</f>
      </c>
      <c r="BP105" s="22">
        <f>IF($A105="","",$BN105*IF($C105="Worker",Worker_DailyWage,IF($C105="Laborer",Laborer_DailyWage,0)))</f>
      </c>
      <c r="BQ105" s="22">
        <f>IF($A105="","",$BO105*IF($C105="Worker",Worker_OTRate,IF($C105="Laborer",Laborer_OTRate,0)))</f>
      </c>
      <c r="BR105" s="23">
        <f>IF($A105="","",$BP105+$BQ105)</f>
      </c>
    </row>
    <row r="106">
      <c r="A106" s="17">
        <f>IFERROR(IF((ROW()-4)&lt;=COUNTA(Workers_ID),INDEX(Workers_ID,(ROW()-4)),IF((ROW()-4)&lt;=COUNTA(Workers_ID)+COUNTA(Laborers_ID),INDEX(Laborers_ID,(ROW()-4)-COUNTA(Workers_ID)),"")),"")</f>
      </c>
      <c r="B106" s="18">
        <f>IF($A106="","",IFERROR(VLOOKUP($A106,Workers_Data,2,FALSE),IFERROR(VLOOKUP($A106,Laborers_Data,2,FALSE),"")))</f>
      </c>
      <c r="C106" s="19">
        <f>IF($A106="","",IF(COUNTIF(Workers_ID,$A106)&gt;0,"Worker",IF(COUNTIF(Laborers_ID,$A106)&gt;0,"Laborer","")))</f>
      </c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15"/>
      <c r="BM106" s="16"/>
      <c r="BN106" s="20">
        <f>IF($A106="","",SUMPRODUCT((MOD(COLUMN($D106:$BM106)-COLUMN($D106),2)=0)*$D106:$BM106))</f>
      </c>
      <c r="BO106" s="21">
        <f>IF($A106="","",SUMPRODUCT((MOD(COLUMN($D106:$BM106)-COLUMN($D106),2)=1)*$D106:$BM106))</f>
      </c>
      <c r="BP106" s="22">
        <f>IF($A106="","",$BN106*IF($C106="Worker",Worker_DailyWage,IF($C106="Laborer",Laborer_DailyWage,0)))</f>
      </c>
      <c r="BQ106" s="22">
        <f>IF($A106="","",$BO106*IF($C106="Worker",Worker_OTRate,IF($C106="Laborer",Laborer_OTRate,0)))</f>
      </c>
      <c r="BR106" s="23">
        <f>IF($A106="","",$BP106+$BQ106)</f>
      </c>
    </row>
    <row r="107">
      <c r="A107" s="17">
        <f>IFERROR(IF((ROW()-4)&lt;=COUNTA(Workers_ID),INDEX(Workers_ID,(ROW()-4)),IF((ROW()-4)&lt;=COUNTA(Workers_ID)+COUNTA(Laborers_ID),INDEX(Laborers_ID,(ROW()-4)-COUNTA(Workers_ID)),"")),"")</f>
      </c>
      <c r="B107" s="18">
        <f>IF($A107="","",IFERROR(VLOOKUP($A107,Workers_Data,2,FALSE),IFERROR(VLOOKUP($A107,Laborers_Data,2,FALSE),"")))</f>
      </c>
      <c r="C107" s="19">
        <f>IF($A107="","",IF(COUNTIF(Workers_ID,$A107)&gt;0,"Worker",IF(COUNTIF(Laborers_ID,$A107)&gt;0,"Laborer","")))</f>
      </c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15"/>
      <c r="BM107" s="16"/>
      <c r="BN107" s="20">
        <f>IF($A107="","",SUMPRODUCT((MOD(COLUMN($D107:$BM107)-COLUMN($D107),2)=0)*$D107:$BM107))</f>
      </c>
      <c r="BO107" s="21">
        <f>IF($A107="","",SUMPRODUCT((MOD(COLUMN($D107:$BM107)-COLUMN($D107),2)=1)*$D107:$BM107))</f>
      </c>
      <c r="BP107" s="22">
        <f>IF($A107="","",$BN107*IF($C107="Worker",Worker_DailyWage,IF($C107="Laborer",Laborer_DailyWage,0)))</f>
      </c>
      <c r="BQ107" s="22">
        <f>IF($A107="","",$BO107*IF($C107="Worker",Worker_OTRate,IF($C107="Laborer",Laborer_OTRate,0)))</f>
      </c>
      <c r="BR107" s="23">
        <f>IF($A107="","",$BP107+$BQ107)</f>
      </c>
    </row>
    <row r="108">
      <c r="A108" s="17">
        <f>IFERROR(IF((ROW()-4)&lt;=COUNTA(Workers_ID),INDEX(Workers_ID,(ROW()-4)),IF((ROW()-4)&lt;=COUNTA(Workers_ID)+COUNTA(Laborers_ID),INDEX(Laborers_ID,(ROW()-4)-COUNTA(Workers_ID)),"")),"")</f>
      </c>
      <c r="B108" s="18">
        <f>IF($A108="","",IFERROR(VLOOKUP($A108,Workers_Data,2,FALSE),IFERROR(VLOOKUP($A108,Laborers_Data,2,FALSE),"")))</f>
      </c>
      <c r="C108" s="19">
        <f>IF($A108="","",IF(COUNTIF(Workers_ID,$A108)&gt;0,"Worker",IF(COUNTIF(Laborers_ID,$A108)&gt;0,"Laborer","")))</f>
      </c>
      <c r="D108" s="15"/>
      <c r="E108" s="16"/>
      <c r="F108" s="15"/>
      <c r="G108" s="16"/>
      <c r="H108" s="15"/>
      <c r="I108" s="16"/>
      <c r="J108" s="15"/>
      <c r="K108" s="16"/>
      <c r="L108" s="15"/>
      <c r="M108" s="16"/>
      <c r="N108" s="15"/>
      <c r="O108" s="16"/>
      <c r="P108" s="15"/>
      <c r="Q108" s="16"/>
      <c r="R108" s="15"/>
      <c r="S108" s="16"/>
      <c r="T108" s="15"/>
      <c r="U108" s="16"/>
      <c r="V108" s="15"/>
      <c r="W108" s="16"/>
      <c r="X108" s="15"/>
      <c r="Y108" s="16"/>
      <c r="Z108" s="15"/>
      <c r="AA108" s="16"/>
      <c r="AB108" s="15"/>
      <c r="AC108" s="16"/>
      <c r="AD108" s="15"/>
      <c r="AE108" s="16"/>
      <c r="AF108" s="15"/>
      <c r="AG108" s="16"/>
      <c r="AH108" s="15"/>
      <c r="AI108" s="16"/>
      <c r="AJ108" s="15"/>
      <c r="AK108" s="16"/>
      <c r="AL108" s="15"/>
      <c r="AM108" s="16"/>
      <c r="AN108" s="15"/>
      <c r="AO108" s="16"/>
      <c r="AP108" s="15"/>
      <c r="AQ108" s="16"/>
      <c r="AR108" s="15"/>
      <c r="AS108" s="16"/>
      <c r="AT108" s="15"/>
      <c r="AU108" s="16"/>
      <c r="AV108" s="15"/>
      <c r="AW108" s="16"/>
      <c r="AX108" s="15"/>
      <c r="AY108" s="16"/>
      <c r="AZ108" s="15"/>
      <c r="BA108" s="16"/>
      <c r="BB108" s="15"/>
      <c r="BC108" s="16"/>
      <c r="BD108" s="15"/>
      <c r="BE108" s="16"/>
      <c r="BF108" s="15"/>
      <c r="BG108" s="16"/>
      <c r="BH108" s="15"/>
      <c r="BI108" s="16"/>
      <c r="BJ108" s="15"/>
      <c r="BK108" s="16"/>
      <c r="BL108" s="15"/>
      <c r="BM108" s="16"/>
      <c r="BN108" s="20">
        <f>IF($A108="","",SUMPRODUCT((MOD(COLUMN($D108:$BM108)-COLUMN($D108),2)=0)*$D108:$BM108))</f>
      </c>
      <c r="BO108" s="21">
        <f>IF($A108="","",SUMPRODUCT((MOD(COLUMN($D108:$BM108)-COLUMN($D108),2)=1)*$D108:$BM108))</f>
      </c>
      <c r="BP108" s="22">
        <f>IF($A108="","",$BN108*IF($C108="Worker",Worker_DailyWage,IF($C108="Laborer",Laborer_DailyWage,0)))</f>
      </c>
      <c r="BQ108" s="22">
        <f>IF($A108="","",$BO108*IF($C108="Worker",Worker_OTRate,IF($C108="Laborer",Laborer_OTRate,0)))</f>
      </c>
      <c r="BR108" s="23">
        <f>IF($A108="","",$BP108+$BQ108)</f>
      </c>
    </row>
    <row r="109">
      <c r="A109" s="17">
        <f>IFERROR(IF((ROW()-4)&lt;=COUNTA(Workers_ID),INDEX(Workers_ID,(ROW()-4)),IF((ROW()-4)&lt;=COUNTA(Workers_ID)+COUNTA(Laborers_ID),INDEX(Laborers_ID,(ROW()-4)-COUNTA(Workers_ID)),"")),"")</f>
      </c>
      <c r="B109" s="18">
        <f>IF($A109="","",IFERROR(VLOOKUP($A109,Workers_Data,2,FALSE),IFERROR(VLOOKUP($A109,Laborers_Data,2,FALSE),"")))</f>
      </c>
      <c r="C109" s="19">
        <f>IF($A109="","",IF(COUNTIF(Workers_ID,$A109)&gt;0,"Worker",IF(COUNTIF(Laborers_ID,$A109)&gt;0,"Laborer","")))</f>
      </c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15"/>
      <c r="BM109" s="16"/>
      <c r="BN109" s="20">
        <f>IF($A109="","",SUMPRODUCT((MOD(COLUMN($D109:$BM109)-COLUMN($D109),2)=0)*$D109:$BM109))</f>
      </c>
      <c r="BO109" s="21">
        <f>IF($A109="","",SUMPRODUCT((MOD(COLUMN($D109:$BM109)-COLUMN($D109),2)=1)*$D109:$BM109))</f>
      </c>
      <c r="BP109" s="22">
        <f>IF($A109="","",$BN109*IF($C109="Worker",Worker_DailyWage,IF($C109="Laborer",Laborer_DailyWage,0)))</f>
      </c>
      <c r="BQ109" s="22">
        <f>IF($A109="","",$BO109*IF($C109="Worker",Worker_OTRate,IF($C109="Laborer",Laborer_OTRate,0)))</f>
      </c>
      <c r="BR109" s="23">
        <f>IF($A109="","",$BP109+$BQ109)</f>
      </c>
    </row>
    <row r="110">
      <c r="A110" s="17">
        <f>IFERROR(IF((ROW()-4)&lt;=COUNTA(Workers_ID),INDEX(Workers_ID,(ROW()-4)),IF((ROW()-4)&lt;=COUNTA(Workers_ID)+COUNTA(Laborers_ID),INDEX(Laborers_ID,(ROW()-4)-COUNTA(Workers_ID)),"")),"")</f>
      </c>
      <c r="B110" s="18">
        <f>IF($A110="","",IFERROR(VLOOKUP($A110,Workers_Data,2,FALSE),IFERROR(VLOOKUP($A110,Laborers_Data,2,FALSE),"")))</f>
      </c>
      <c r="C110" s="19">
        <f>IF($A110="","",IF(COUNTIF(Workers_ID,$A110)&gt;0,"Worker",IF(COUNTIF(Laborers_ID,$A110)&gt;0,"Laborer","")))</f>
      </c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15"/>
      <c r="BM110" s="16"/>
      <c r="BN110" s="20">
        <f>IF($A110="","",SUMPRODUCT((MOD(COLUMN($D110:$BM110)-COLUMN($D110),2)=0)*$D110:$BM110))</f>
      </c>
      <c r="BO110" s="21">
        <f>IF($A110="","",SUMPRODUCT((MOD(COLUMN($D110:$BM110)-COLUMN($D110),2)=1)*$D110:$BM110))</f>
      </c>
      <c r="BP110" s="22">
        <f>IF($A110="","",$BN110*IF($C110="Worker",Worker_DailyWage,IF($C110="Laborer",Laborer_DailyWage,0)))</f>
      </c>
      <c r="BQ110" s="22">
        <f>IF($A110="","",$BO110*IF($C110="Worker",Worker_OTRate,IF($C110="Laborer",Laborer_OTRate,0)))</f>
      </c>
      <c r="BR110" s="23">
        <f>IF($A110="","",$BP110+$BQ110)</f>
      </c>
    </row>
    <row r="111">
      <c r="A111" s="17">
        <f>IFERROR(IF((ROW()-4)&lt;=COUNTA(Workers_ID),INDEX(Workers_ID,(ROW()-4)),IF((ROW()-4)&lt;=COUNTA(Workers_ID)+COUNTA(Laborers_ID),INDEX(Laborers_ID,(ROW()-4)-COUNTA(Workers_ID)),"")),"")</f>
      </c>
      <c r="B111" s="18">
        <f>IF($A111="","",IFERROR(VLOOKUP($A111,Workers_Data,2,FALSE),IFERROR(VLOOKUP($A111,Laborers_Data,2,FALSE),"")))</f>
      </c>
      <c r="C111" s="19">
        <f>IF($A111="","",IF(COUNTIF(Workers_ID,$A111)&gt;0,"Worker",IF(COUNTIF(Laborers_ID,$A111)&gt;0,"Laborer","")))</f>
      </c>
      <c r="D111" s="15"/>
      <c r="E111" s="16"/>
      <c r="F111" s="15"/>
      <c r="G111" s="16"/>
      <c r="H111" s="15"/>
      <c r="I111" s="16"/>
      <c r="J111" s="15"/>
      <c r="K111" s="16"/>
      <c r="L111" s="15"/>
      <c r="M111" s="16"/>
      <c r="N111" s="15"/>
      <c r="O111" s="16"/>
      <c r="P111" s="15"/>
      <c r="Q111" s="16"/>
      <c r="R111" s="15"/>
      <c r="S111" s="16"/>
      <c r="T111" s="15"/>
      <c r="U111" s="16"/>
      <c r="V111" s="15"/>
      <c r="W111" s="16"/>
      <c r="X111" s="15"/>
      <c r="Y111" s="16"/>
      <c r="Z111" s="15"/>
      <c r="AA111" s="16"/>
      <c r="AB111" s="15"/>
      <c r="AC111" s="16"/>
      <c r="AD111" s="15"/>
      <c r="AE111" s="16"/>
      <c r="AF111" s="15"/>
      <c r="AG111" s="16"/>
      <c r="AH111" s="15"/>
      <c r="AI111" s="16"/>
      <c r="AJ111" s="15"/>
      <c r="AK111" s="16"/>
      <c r="AL111" s="15"/>
      <c r="AM111" s="16"/>
      <c r="AN111" s="15"/>
      <c r="AO111" s="16"/>
      <c r="AP111" s="15"/>
      <c r="AQ111" s="16"/>
      <c r="AR111" s="15"/>
      <c r="AS111" s="16"/>
      <c r="AT111" s="15"/>
      <c r="AU111" s="16"/>
      <c r="AV111" s="15"/>
      <c r="AW111" s="16"/>
      <c r="AX111" s="15"/>
      <c r="AY111" s="16"/>
      <c r="AZ111" s="15"/>
      <c r="BA111" s="16"/>
      <c r="BB111" s="15"/>
      <c r="BC111" s="16"/>
      <c r="BD111" s="15"/>
      <c r="BE111" s="16"/>
      <c r="BF111" s="15"/>
      <c r="BG111" s="16"/>
      <c r="BH111" s="15"/>
      <c r="BI111" s="16"/>
      <c r="BJ111" s="15"/>
      <c r="BK111" s="16"/>
      <c r="BL111" s="15"/>
      <c r="BM111" s="16"/>
      <c r="BN111" s="20">
        <f>IF($A111="","",SUMPRODUCT((MOD(COLUMN($D111:$BM111)-COLUMN($D111),2)=0)*$D111:$BM111))</f>
      </c>
      <c r="BO111" s="21">
        <f>IF($A111="","",SUMPRODUCT((MOD(COLUMN($D111:$BM111)-COLUMN($D111),2)=1)*$D111:$BM111))</f>
      </c>
      <c r="BP111" s="22">
        <f>IF($A111="","",$BN111*IF($C111="Worker",Worker_DailyWage,IF($C111="Laborer",Laborer_DailyWage,0)))</f>
      </c>
      <c r="BQ111" s="22">
        <f>IF($A111="","",$BO111*IF($C111="Worker",Worker_OTRate,IF($C111="Laborer",Laborer_OTRate,0)))</f>
      </c>
      <c r="BR111" s="23">
        <f>IF($A111="","",$BP111+$BQ111)</f>
      </c>
    </row>
    <row r="112">
      <c r="A112" s="17">
        <f>IFERROR(IF((ROW()-4)&lt;=COUNTA(Workers_ID),INDEX(Workers_ID,(ROW()-4)),IF((ROW()-4)&lt;=COUNTA(Workers_ID)+COUNTA(Laborers_ID),INDEX(Laborers_ID,(ROW()-4)-COUNTA(Workers_ID)),"")),"")</f>
      </c>
      <c r="B112" s="18">
        <f>IF($A112="","",IFERROR(VLOOKUP($A112,Workers_Data,2,FALSE),IFERROR(VLOOKUP($A112,Laborers_Data,2,FALSE),"")))</f>
      </c>
      <c r="C112" s="19">
        <f>IF($A112="","",IF(COUNTIF(Workers_ID,$A112)&gt;0,"Worker",IF(COUNTIF(Laborers_ID,$A112)&gt;0,"Laborer","")))</f>
      </c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15"/>
      <c r="BM112" s="16"/>
      <c r="BN112" s="20">
        <f>IF($A112="","",SUMPRODUCT((MOD(COLUMN($D112:$BM112)-COLUMN($D112),2)=0)*$D112:$BM112))</f>
      </c>
      <c r="BO112" s="21">
        <f>IF($A112="","",SUMPRODUCT((MOD(COLUMN($D112:$BM112)-COLUMN($D112),2)=1)*$D112:$BM112))</f>
      </c>
      <c r="BP112" s="22">
        <f>IF($A112="","",$BN112*IF($C112="Worker",Worker_DailyWage,IF($C112="Laborer",Laborer_DailyWage,0)))</f>
      </c>
      <c r="BQ112" s="22">
        <f>IF($A112="","",$BO112*IF($C112="Worker",Worker_OTRate,IF($C112="Laborer",Laborer_OTRate,0)))</f>
      </c>
      <c r="BR112" s="23">
        <f>IF($A112="","",$BP112+$BQ112)</f>
      </c>
    </row>
    <row r="113">
      <c r="A113" s="17">
        <f>IFERROR(IF((ROW()-4)&lt;=COUNTA(Workers_ID),INDEX(Workers_ID,(ROW()-4)),IF((ROW()-4)&lt;=COUNTA(Workers_ID)+COUNTA(Laborers_ID),INDEX(Laborers_ID,(ROW()-4)-COUNTA(Workers_ID)),"")),"")</f>
      </c>
      <c r="B113" s="18">
        <f>IF($A113="","",IFERROR(VLOOKUP($A113,Workers_Data,2,FALSE),IFERROR(VLOOKUP($A113,Laborers_Data,2,FALSE),"")))</f>
      </c>
      <c r="C113" s="19">
        <f>IF($A113="","",IF(COUNTIF(Workers_ID,$A113)&gt;0,"Worker",IF(COUNTIF(Laborers_ID,$A113)&gt;0,"Laborer","")))</f>
      </c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15"/>
      <c r="BM113" s="16"/>
      <c r="BN113" s="20">
        <f>IF($A113="","",SUMPRODUCT((MOD(COLUMN($D113:$BM113)-COLUMN($D113),2)=0)*$D113:$BM113))</f>
      </c>
      <c r="BO113" s="21">
        <f>IF($A113="","",SUMPRODUCT((MOD(COLUMN($D113:$BM113)-COLUMN($D113),2)=1)*$D113:$BM113))</f>
      </c>
      <c r="BP113" s="22">
        <f>IF($A113="","",$BN113*IF($C113="Worker",Worker_DailyWage,IF($C113="Laborer",Laborer_DailyWage,0)))</f>
      </c>
      <c r="BQ113" s="22">
        <f>IF($A113="","",$BO113*IF($C113="Worker",Worker_OTRate,IF($C113="Laborer",Laborer_OTRate,0)))</f>
      </c>
      <c r="BR113" s="23">
        <f>IF($A113="","",$BP113+$BQ113)</f>
      </c>
    </row>
    <row r="114">
      <c r="A114" s="17">
        <f>IFERROR(IF((ROW()-4)&lt;=COUNTA(Workers_ID),INDEX(Workers_ID,(ROW()-4)),IF((ROW()-4)&lt;=COUNTA(Workers_ID)+COUNTA(Laborers_ID),INDEX(Laborers_ID,(ROW()-4)-COUNTA(Workers_ID)),"")),"")</f>
      </c>
      <c r="B114" s="18">
        <f>IF($A114="","",IFERROR(VLOOKUP($A114,Workers_Data,2,FALSE),IFERROR(VLOOKUP($A114,Laborers_Data,2,FALSE),"")))</f>
      </c>
      <c r="C114" s="19">
        <f>IF($A114="","",IF(COUNTIF(Workers_ID,$A114)&gt;0,"Worker",IF(COUNTIF(Laborers_ID,$A114)&gt;0,"Laborer","")))</f>
      </c>
      <c r="D114" s="15"/>
      <c r="E114" s="16"/>
      <c r="F114" s="15"/>
      <c r="G114" s="16"/>
      <c r="H114" s="15"/>
      <c r="I114" s="16"/>
      <c r="J114" s="15"/>
      <c r="K114" s="16"/>
      <c r="L114" s="15"/>
      <c r="M114" s="16"/>
      <c r="N114" s="15"/>
      <c r="O114" s="16"/>
      <c r="P114" s="15"/>
      <c r="Q114" s="16"/>
      <c r="R114" s="15"/>
      <c r="S114" s="16"/>
      <c r="T114" s="15"/>
      <c r="U114" s="16"/>
      <c r="V114" s="15"/>
      <c r="W114" s="16"/>
      <c r="X114" s="15"/>
      <c r="Y114" s="16"/>
      <c r="Z114" s="15"/>
      <c r="AA114" s="16"/>
      <c r="AB114" s="15"/>
      <c r="AC114" s="16"/>
      <c r="AD114" s="15"/>
      <c r="AE114" s="16"/>
      <c r="AF114" s="15"/>
      <c r="AG114" s="16"/>
      <c r="AH114" s="15"/>
      <c r="AI114" s="16"/>
      <c r="AJ114" s="15"/>
      <c r="AK114" s="16"/>
      <c r="AL114" s="15"/>
      <c r="AM114" s="16"/>
      <c r="AN114" s="15"/>
      <c r="AO114" s="16"/>
      <c r="AP114" s="15"/>
      <c r="AQ114" s="16"/>
      <c r="AR114" s="15"/>
      <c r="AS114" s="16"/>
      <c r="AT114" s="15"/>
      <c r="AU114" s="16"/>
      <c r="AV114" s="15"/>
      <c r="AW114" s="16"/>
      <c r="AX114" s="15"/>
      <c r="AY114" s="16"/>
      <c r="AZ114" s="15"/>
      <c r="BA114" s="16"/>
      <c r="BB114" s="15"/>
      <c r="BC114" s="16"/>
      <c r="BD114" s="15"/>
      <c r="BE114" s="16"/>
      <c r="BF114" s="15"/>
      <c r="BG114" s="16"/>
      <c r="BH114" s="15"/>
      <c r="BI114" s="16"/>
      <c r="BJ114" s="15"/>
      <c r="BK114" s="16"/>
      <c r="BL114" s="15"/>
      <c r="BM114" s="16"/>
      <c r="BN114" s="20">
        <f>IF($A114="","",SUMPRODUCT((MOD(COLUMN($D114:$BM114)-COLUMN($D114),2)=0)*$D114:$BM114))</f>
      </c>
      <c r="BO114" s="21">
        <f>IF($A114="","",SUMPRODUCT((MOD(COLUMN($D114:$BM114)-COLUMN($D114),2)=1)*$D114:$BM114))</f>
      </c>
      <c r="BP114" s="22">
        <f>IF($A114="","",$BN114*IF($C114="Worker",Worker_DailyWage,IF($C114="Laborer",Laborer_DailyWage,0)))</f>
      </c>
      <c r="BQ114" s="22">
        <f>IF($A114="","",$BO114*IF($C114="Worker",Worker_OTRate,IF($C114="Laborer",Laborer_OTRate,0)))</f>
      </c>
      <c r="BR114" s="23">
        <f>IF($A114="","",$BP114+$BQ114)</f>
      </c>
    </row>
    <row r="115">
      <c r="A115" s="17">
        <f>IFERROR(IF((ROW()-4)&lt;=COUNTA(Workers_ID),INDEX(Workers_ID,(ROW()-4)),IF((ROW()-4)&lt;=COUNTA(Workers_ID)+COUNTA(Laborers_ID),INDEX(Laborers_ID,(ROW()-4)-COUNTA(Workers_ID)),"")),"")</f>
      </c>
      <c r="B115" s="18">
        <f>IF($A115="","",IFERROR(VLOOKUP($A115,Workers_Data,2,FALSE),IFERROR(VLOOKUP($A115,Laborers_Data,2,FALSE),"")))</f>
      </c>
      <c r="C115" s="19">
        <f>IF($A115="","",IF(COUNTIF(Workers_ID,$A115)&gt;0,"Worker",IF(COUNTIF(Laborers_ID,$A115)&gt;0,"Laborer","")))</f>
      </c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15"/>
      <c r="BM115" s="16"/>
      <c r="BN115" s="20">
        <f>IF($A115="","",SUMPRODUCT((MOD(COLUMN($D115:$BM115)-COLUMN($D115),2)=0)*$D115:$BM115))</f>
      </c>
      <c r="BO115" s="21">
        <f>IF($A115="","",SUMPRODUCT((MOD(COLUMN($D115:$BM115)-COLUMN($D115),2)=1)*$D115:$BM115))</f>
      </c>
      <c r="BP115" s="22">
        <f>IF($A115="","",$BN115*IF($C115="Worker",Worker_DailyWage,IF($C115="Laborer",Laborer_DailyWage,0)))</f>
      </c>
      <c r="BQ115" s="22">
        <f>IF($A115="","",$BO115*IF($C115="Worker",Worker_OTRate,IF($C115="Laborer",Laborer_OTRate,0)))</f>
      </c>
      <c r="BR115" s="23">
        <f>IF($A115="","",$BP115+$BQ115)</f>
      </c>
    </row>
    <row r="116">
      <c r="A116" s="17">
        <f>IFERROR(IF((ROW()-4)&lt;=COUNTA(Workers_ID),INDEX(Workers_ID,(ROW()-4)),IF((ROW()-4)&lt;=COUNTA(Workers_ID)+COUNTA(Laborers_ID),INDEX(Laborers_ID,(ROW()-4)-COUNTA(Workers_ID)),"")),"")</f>
      </c>
      <c r="B116" s="18">
        <f>IF($A116="","",IFERROR(VLOOKUP($A116,Workers_Data,2,FALSE),IFERROR(VLOOKUP($A116,Laborers_Data,2,FALSE),"")))</f>
      </c>
      <c r="C116" s="19">
        <f>IF($A116="","",IF(COUNTIF(Workers_ID,$A116)&gt;0,"Worker",IF(COUNTIF(Laborers_ID,$A116)&gt;0,"Laborer","")))</f>
      </c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15"/>
      <c r="BM116" s="16"/>
      <c r="BN116" s="20">
        <f>IF($A116="","",SUMPRODUCT((MOD(COLUMN($D116:$BM116)-COLUMN($D116),2)=0)*$D116:$BM116))</f>
      </c>
      <c r="BO116" s="21">
        <f>IF($A116="","",SUMPRODUCT((MOD(COLUMN($D116:$BM116)-COLUMN($D116),2)=1)*$D116:$BM116))</f>
      </c>
      <c r="BP116" s="22">
        <f>IF($A116="","",$BN116*IF($C116="Worker",Worker_DailyWage,IF($C116="Laborer",Laborer_DailyWage,0)))</f>
      </c>
      <c r="BQ116" s="22">
        <f>IF($A116="","",$BO116*IF($C116="Worker",Worker_OTRate,IF($C116="Laborer",Laborer_OTRate,0)))</f>
      </c>
      <c r="BR116" s="23">
        <f>IF($A116="","",$BP116+$BQ116)</f>
      </c>
    </row>
    <row r="117">
      <c r="A117" s="17">
        <f>IFERROR(IF((ROW()-4)&lt;=COUNTA(Workers_ID),INDEX(Workers_ID,(ROW()-4)),IF((ROW()-4)&lt;=COUNTA(Workers_ID)+COUNTA(Laborers_ID),INDEX(Laborers_ID,(ROW()-4)-COUNTA(Workers_ID)),"")),"")</f>
      </c>
      <c r="B117" s="18">
        <f>IF($A117="","",IFERROR(VLOOKUP($A117,Workers_Data,2,FALSE),IFERROR(VLOOKUP($A117,Laborers_Data,2,FALSE),"")))</f>
      </c>
      <c r="C117" s="19">
        <f>IF($A117="","",IF(COUNTIF(Workers_ID,$A117)&gt;0,"Worker",IF(COUNTIF(Laborers_ID,$A117)&gt;0,"Laborer","")))</f>
      </c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15"/>
      <c r="BM117" s="16"/>
      <c r="BN117" s="20">
        <f>IF($A117="","",SUMPRODUCT((MOD(COLUMN($D117:$BM117)-COLUMN($D117),2)=0)*$D117:$BM117))</f>
      </c>
      <c r="BO117" s="21">
        <f>IF($A117="","",SUMPRODUCT((MOD(COLUMN($D117:$BM117)-COLUMN($D117),2)=1)*$D117:$BM117))</f>
      </c>
      <c r="BP117" s="22">
        <f>IF($A117="","",$BN117*IF($C117="Worker",Worker_DailyWage,IF($C117="Laborer",Laborer_DailyWage,0)))</f>
      </c>
      <c r="BQ117" s="22">
        <f>IF($A117="","",$BO117*IF($C117="Worker",Worker_OTRate,IF($C117="Laborer",Laborer_OTRate,0)))</f>
      </c>
      <c r="BR117" s="23">
        <f>IF($A117="","",$BP117+$BQ117)</f>
      </c>
    </row>
    <row r="118">
      <c r="A118" s="17">
        <f>IFERROR(IF((ROW()-4)&lt;=COUNTA(Workers_ID),INDEX(Workers_ID,(ROW()-4)),IF((ROW()-4)&lt;=COUNTA(Workers_ID)+COUNTA(Laborers_ID),INDEX(Laborers_ID,(ROW()-4)-COUNTA(Workers_ID)),"")),"")</f>
      </c>
      <c r="B118" s="18">
        <f>IF($A118="","",IFERROR(VLOOKUP($A118,Workers_Data,2,FALSE),IFERROR(VLOOKUP($A118,Laborers_Data,2,FALSE),"")))</f>
      </c>
      <c r="C118" s="19">
        <f>IF($A118="","",IF(COUNTIF(Workers_ID,$A118)&gt;0,"Worker",IF(COUNTIF(Laborers_ID,$A118)&gt;0,"Laborer","")))</f>
      </c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15"/>
      <c r="BM118" s="16"/>
      <c r="BN118" s="20">
        <f>IF($A118="","",SUMPRODUCT((MOD(COLUMN($D118:$BM118)-COLUMN($D118),2)=0)*$D118:$BM118))</f>
      </c>
      <c r="BO118" s="21">
        <f>IF($A118="","",SUMPRODUCT((MOD(COLUMN($D118:$BM118)-COLUMN($D118),2)=1)*$D118:$BM118))</f>
      </c>
      <c r="BP118" s="22">
        <f>IF($A118="","",$BN118*IF($C118="Worker",Worker_DailyWage,IF($C118="Laborer",Laborer_DailyWage,0)))</f>
      </c>
      <c r="BQ118" s="22">
        <f>IF($A118="","",$BO118*IF($C118="Worker",Worker_OTRate,IF($C118="Laborer",Laborer_OTRate,0)))</f>
      </c>
      <c r="BR118" s="23">
        <f>IF($A118="","",$BP118+$BQ118)</f>
      </c>
    </row>
    <row r="119">
      <c r="A119" s="17">
        <f>IFERROR(IF((ROW()-4)&lt;=COUNTA(Workers_ID),INDEX(Workers_ID,(ROW()-4)),IF((ROW()-4)&lt;=COUNTA(Workers_ID)+COUNTA(Laborers_ID),INDEX(Laborers_ID,(ROW()-4)-COUNTA(Workers_ID)),"")),"")</f>
      </c>
      <c r="B119" s="18">
        <f>IF($A119="","",IFERROR(VLOOKUP($A119,Workers_Data,2,FALSE),IFERROR(VLOOKUP($A119,Laborers_Data,2,FALSE),"")))</f>
      </c>
      <c r="C119" s="19">
        <f>IF($A119="","",IF(COUNTIF(Workers_ID,$A119)&gt;0,"Worker",IF(COUNTIF(Laborers_ID,$A119)&gt;0,"Laborer","")))</f>
      </c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15"/>
      <c r="BM119" s="16"/>
      <c r="BN119" s="20">
        <f>IF($A119="","",SUMPRODUCT((MOD(COLUMN($D119:$BM119)-COLUMN($D119),2)=0)*$D119:$BM119))</f>
      </c>
      <c r="BO119" s="21">
        <f>IF($A119="","",SUMPRODUCT((MOD(COLUMN($D119:$BM119)-COLUMN($D119),2)=1)*$D119:$BM119))</f>
      </c>
      <c r="BP119" s="22">
        <f>IF($A119="","",$BN119*IF($C119="Worker",Worker_DailyWage,IF($C119="Laborer",Laborer_DailyWage,0)))</f>
      </c>
      <c r="BQ119" s="22">
        <f>IF($A119="","",$BO119*IF($C119="Worker",Worker_OTRate,IF($C119="Laborer",Laborer_OTRate,0)))</f>
      </c>
      <c r="BR119" s="23">
        <f>IF($A119="","",$BP119+$BQ119)</f>
      </c>
    </row>
    <row r="120">
      <c r="A120" s="17">
        <f>IFERROR(IF((ROW()-4)&lt;=COUNTA(Workers_ID),INDEX(Workers_ID,(ROW()-4)),IF((ROW()-4)&lt;=COUNTA(Workers_ID)+COUNTA(Laborers_ID),INDEX(Laborers_ID,(ROW()-4)-COUNTA(Workers_ID)),"")),"")</f>
      </c>
      <c r="B120" s="18">
        <f>IF($A120="","",IFERROR(VLOOKUP($A120,Workers_Data,2,FALSE),IFERROR(VLOOKUP($A120,Laborers_Data,2,FALSE),"")))</f>
      </c>
      <c r="C120" s="19">
        <f>IF($A120="","",IF(COUNTIF(Workers_ID,$A120)&gt;0,"Worker",IF(COUNTIF(Laborers_ID,$A120)&gt;0,"Laborer","")))</f>
      </c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15"/>
      <c r="BM120" s="16"/>
      <c r="BN120" s="20">
        <f>IF($A120="","",SUMPRODUCT((MOD(COLUMN($D120:$BM120)-COLUMN($D120),2)=0)*$D120:$BM120))</f>
      </c>
      <c r="BO120" s="21">
        <f>IF($A120="","",SUMPRODUCT((MOD(COLUMN($D120:$BM120)-COLUMN($D120),2)=1)*$D120:$BM120))</f>
      </c>
      <c r="BP120" s="22">
        <f>IF($A120="","",$BN120*IF($C120="Worker",Worker_DailyWage,IF($C120="Laborer",Laborer_DailyWage,0)))</f>
      </c>
      <c r="BQ120" s="22">
        <f>IF($A120="","",$BO120*IF($C120="Worker",Worker_OTRate,IF($C120="Laborer",Laborer_OTRate,0)))</f>
      </c>
      <c r="BR120" s="23">
        <f>IF($A120="","",$BP120+$BQ120)</f>
      </c>
    </row>
    <row r="121">
      <c r="A121" s="17">
        <f>IFERROR(IF((ROW()-4)&lt;=COUNTA(Workers_ID),INDEX(Workers_ID,(ROW()-4)),IF((ROW()-4)&lt;=COUNTA(Workers_ID)+COUNTA(Laborers_ID),INDEX(Laborers_ID,(ROW()-4)-COUNTA(Workers_ID)),"")),"")</f>
      </c>
      <c r="B121" s="18">
        <f>IF($A121="","",IFERROR(VLOOKUP($A121,Workers_Data,2,FALSE),IFERROR(VLOOKUP($A121,Laborers_Data,2,FALSE),"")))</f>
      </c>
      <c r="C121" s="19">
        <f>IF($A121="","",IF(COUNTIF(Workers_ID,$A121)&gt;0,"Worker",IF(COUNTIF(Laborers_ID,$A121)&gt;0,"Laborer","")))</f>
      </c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15"/>
      <c r="BM121" s="16"/>
      <c r="BN121" s="20">
        <f>IF($A121="","",SUMPRODUCT((MOD(COLUMN($D121:$BM121)-COLUMN($D121),2)=0)*$D121:$BM121))</f>
      </c>
      <c r="BO121" s="21">
        <f>IF($A121="","",SUMPRODUCT((MOD(COLUMN($D121:$BM121)-COLUMN($D121),2)=1)*$D121:$BM121))</f>
      </c>
      <c r="BP121" s="22">
        <f>IF($A121="","",$BN121*IF($C121="Worker",Worker_DailyWage,IF($C121="Laborer",Laborer_DailyWage,0)))</f>
      </c>
      <c r="BQ121" s="22">
        <f>IF($A121="","",$BO121*IF($C121="Worker",Worker_OTRate,IF($C121="Laborer",Laborer_OTRate,0)))</f>
      </c>
      <c r="BR121" s="23">
        <f>IF($A121="","",$BP121+$BQ121)</f>
      </c>
    </row>
    <row r="122">
      <c r="A122" s="17">
        <f>IFERROR(IF((ROW()-4)&lt;=COUNTA(Workers_ID),INDEX(Workers_ID,(ROW()-4)),IF((ROW()-4)&lt;=COUNTA(Workers_ID)+COUNTA(Laborers_ID),INDEX(Laborers_ID,(ROW()-4)-COUNTA(Workers_ID)),"")),"")</f>
      </c>
      <c r="B122" s="18">
        <f>IF($A122="","",IFERROR(VLOOKUP($A122,Workers_Data,2,FALSE),IFERROR(VLOOKUP($A122,Laborers_Data,2,FALSE),"")))</f>
      </c>
      <c r="C122" s="19">
        <f>IF($A122="","",IF(COUNTIF(Workers_ID,$A122)&gt;0,"Worker",IF(COUNTIF(Laborers_ID,$A122)&gt;0,"Laborer","")))</f>
      </c>
      <c r="D122" s="15"/>
      <c r="E122" s="16"/>
      <c r="F122" s="15"/>
      <c r="G122" s="16"/>
      <c r="H122" s="15"/>
      <c r="I122" s="16"/>
      <c r="J122" s="15"/>
      <c r="K122" s="16"/>
      <c r="L122" s="15"/>
      <c r="M122" s="16"/>
      <c r="N122" s="15"/>
      <c r="O122" s="16"/>
      <c r="P122" s="15"/>
      <c r="Q122" s="16"/>
      <c r="R122" s="15"/>
      <c r="S122" s="16"/>
      <c r="T122" s="15"/>
      <c r="U122" s="16"/>
      <c r="V122" s="15"/>
      <c r="W122" s="16"/>
      <c r="X122" s="15"/>
      <c r="Y122" s="16"/>
      <c r="Z122" s="15"/>
      <c r="AA122" s="16"/>
      <c r="AB122" s="15"/>
      <c r="AC122" s="16"/>
      <c r="AD122" s="15"/>
      <c r="AE122" s="16"/>
      <c r="AF122" s="15"/>
      <c r="AG122" s="16"/>
      <c r="AH122" s="15"/>
      <c r="AI122" s="16"/>
      <c r="AJ122" s="15"/>
      <c r="AK122" s="16"/>
      <c r="AL122" s="15"/>
      <c r="AM122" s="16"/>
      <c r="AN122" s="15"/>
      <c r="AO122" s="16"/>
      <c r="AP122" s="15"/>
      <c r="AQ122" s="16"/>
      <c r="AR122" s="15"/>
      <c r="AS122" s="16"/>
      <c r="AT122" s="15"/>
      <c r="AU122" s="16"/>
      <c r="AV122" s="15"/>
      <c r="AW122" s="16"/>
      <c r="AX122" s="15"/>
      <c r="AY122" s="16"/>
      <c r="AZ122" s="15"/>
      <c r="BA122" s="16"/>
      <c r="BB122" s="15"/>
      <c r="BC122" s="16"/>
      <c r="BD122" s="15"/>
      <c r="BE122" s="16"/>
      <c r="BF122" s="15"/>
      <c r="BG122" s="16"/>
      <c r="BH122" s="15"/>
      <c r="BI122" s="16"/>
      <c r="BJ122" s="15"/>
      <c r="BK122" s="16"/>
      <c r="BL122" s="15"/>
      <c r="BM122" s="16"/>
      <c r="BN122" s="20">
        <f>IF($A122="","",SUMPRODUCT((MOD(COLUMN($D122:$BM122)-COLUMN($D122),2)=0)*$D122:$BM122))</f>
      </c>
      <c r="BO122" s="21">
        <f>IF($A122="","",SUMPRODUCT((MOD(COLUMN($D122:$BM122)-COLUMN($D122),2)=1)*$D122:$BM122))</f>
      </c>
      <c r="BP122" s="22">
        <f>IF($A122="","",$BN122*IF($C122="Worker",Worker_DailyWage,IF($C122="Laborer",Laborer_DailyWage,0)))</f>
      </c>
      <c r="BQ122" s="22">
        <f>IF($A122="","",$BO122*IF($C122="Worker",Worker_OTRate,IF($C122="Laborer",Laborer_OTRate,0)))</f>
      </c>
      <c r="BR122" s="23">
        <f>IF($A122="","",$BP122+$BQ122)</f>
      </c>
    </row>
    <row r="123">
      <c r="A123" s="17">
        <f>IFERROR(IF((ROW()-4)&lt;=COUNTA(Workers_ID),INDEX(Workers_ID,(ROW()-4)),IF((ROW()-4)&lt;=COUNTA(Workers_ID)+COUNTA(Laborers_ID),INDEX(Laborers_ID,(ROW()-4)-COUNTA(Workers_ID)),"")),"")</f>
      </c>
      <c r="B123" s="18">
        <f>IF($A123="","",IFERROR(VLOOKUP($A123,Workers_Data,2,FALSE),IFERROR(VLOOKUP($A123,Laborers_Data,2,FALSE),"")))</f>
      </c>
      <c r="C123" s="19">
        <f>IF($A123="","",IF(COUNTIF(Workers_ID,$A123)&gt;0,"Worker",IF(COUNTIF(Laborers_ID,$A123)&gt;0,"Laborer","")))</f>
      </c>
      <c r="D123" s="15"/>
      <c r="E123" s="16"/>
      <c r="F123" s="15"/>
      <c r="G123" s="16"/>
      <c r="H123" s="15"/>
      <c r="I123" s="16"/>
      <c r="J123" s="15"/>
      <c r="K123" s="16"/>
      <c r="L123" s="15"/>
      <c r="M123" s="16"/>
      <c r="N123" s="15"/>
      <c r="O123" s="16"/>
      <c r="P123" s="15"/>
      <c r="Q123" s="16"/>
      <c r="R123" s="15"/>
      <c r="S123" s="16"/>
      <c r="T123" s="15"/>
      <c r="U123" s="16"/>
      <c r="V123" s="15"/>
      <c r="W123" s="16"/>
      <c r="X123" s="15"/>
      <c r="Y123" s="16"/>
      <c r="Z123" s="15"/>
      <c r="AA123" s="16"/>
      <c r="AB123" s="15"/>
      <c r="AC123" s="16"/>
      <c r="AD123" s="15"/>
      <c r="AE123" s="16"/>
      <c r="AF123" s="15"/>
      <c r="AG123" s="16"/>
      <c r="AH123" s="15"/>
      <c r="AI123" s="16"/>
      <c r="AJ123" s="15"/>
      <c r="AK123" s="16"/>
      <c r="AL123" s="15"/>
      <c r="AM123" s="16"/>
      <c r="AN123" s="15"/>
      <c r="AO123" s="16"/>
      <c r="AP123" s="15"/>
      <c r="AQ123" s="16"/>
      <c r="AR123" s="15"/>
      <c r="AS123" s="16"/>
      <c r="AT123" s="15"/>
      <c r="AU123" s="16"/>
      <c r="AV123" s="15"/>
      <c r="AW123" s="16"/>
      <c r="AX123" s="15"/>
      <c r="AY123" s="16"/>
      <c r="AZ123" s="15"/>
      <c r="BA123" s="16"/>
      <c r="BB123" s="15"/>
      <c r="BC123" s="16"/>
      <c r="BD123" s="15"/>
      <c r="BE123" s="16"/>
      <c r="BF123" s="15"/>
      <c r="BG123" s="16"/>
      <c r="BH123" s="15"/>
      <c r="BI123" s="16"/>
      <c r="BJ123" s="15"/>
      <c r="BK123" s="16"/>
      <c r="BL123" s="15"/>
      <c r="BM123" s="16"/>
      <c r="BN123" s="20">
        <f>IF($A123="","",SUMPRODUCT((MOD(COLUMN($D123:$BM123)-COLUMN($D123),2)=0)*$D123:$BM123))</f>
      </c>
      <c r="BO123" s="21">
        <f>IF($A123="","",SUMPRODUCT((MOD(COLUMN($D123:$BM123)-COLUMN($D123),2)=1)*$D123:$BM123))</f>
      </c>
      <c r="BP123" s="22">
        <f>IF($A123="","",$BN123*IF($C123="Worker",Worker_DailyWage,IF($C123="Laborer",Laborer_DailyWage,0)))</f>
      </c>
      <c r="BQ123" s="22">
        <f>IF($A123="","",$BO123*IF($C123="Worker",Worker_OTRate,IF($C123="Laborer",Laborer_OTRate,0)))</f>
      </c>
      <c r="BR123" s="23">
        <f>IF($A123="","",$BP123+$BQ123)</f>
      </c>
    </row>
    <row r="124">
      <c r="A124" s="17">
        <f>IFERROR(IF((ROW()-4)&lt;=COUNTA(Workers_ID),INDEX(Workers_ID,(ROW()-4)),IF((ROW()-4)&lt;=COUNTA(Workers_ID)+COUNTA(Laborers_ID),INDEX(Laborers_ID,(ROW()-4)-COUNTA(Workers_ID)),"")),"")</f>
      </c>
      <c r="B124" s="18">
        <f>IF($A124="","",IFERROR(VLOOKUP($A124,Workers_Data,2,FALSE),IFERROR(VLOOKUP($A124,Laborers_Data,2,FALSE),"")))</f>
      </c>
      <c r="C124" s="19">
        <f>IF($A124="","",IF(COUNTIF(Workers_ID,$A124)&gt;0,"Worker",IF(COUNTIF(Laborers_ID,$A124)&gt;0,"Laborer","")))</f>
      </c>
      <c r="D124" s="15"/>
      <c r="E124" s="16"/>
      <c r="F124" s="15"/>
      <c r="G124" s="16"/>
      <c r="H124" s="15"/>
      <c r="I124" s="16"/>
      <c r="J124" s="15"/>
      <c r="K124" s="16"/>
      <c r="L124" s="15"/>
      <c r="M124" s="16"/>
      <c r="N124" s="15"/>
      <c r="O124" s="16"/>
      <c r="P124" s="15"/>
      <c r="Q124" s="16"/>
      <c r="R124" s="15"/>
      <c r="S124" s="16"/>
      <c r="T124" s="15"/>
      <c r="U124" s="16"/>
      <c r="V124" s="15"/>
      <c r="W124" s="16"/>
      <c r="X124" s="15"/>
      <c r="Y124" s="16"/>
      <c r="Z124" s="15"/>
      <c r="AA124" s="16"/>
      <c r="AB124" s="15"/>
      <c r="AC124" s="16"/>
      <c r="AD124" s="15"/>
      <c r="AE124" s="16"/>
      <c r="AF124" s="15"/>
      <c r="AG124" s="16"/>
      <c r="AH124" s="15"/>
      <c r="AI124" s="16"/>
      <c r="AJ124" s="15"/>
      <c r="AK124" s="16"/>
      <c r="AL124" s="15"/>
      <c r="AM124" s="16"/>
      <c r="AN124" s="15"/>
      <c r="AO124" s="16"/>
      <c r="AP124" s="15"/>
      <c r="AQ124" s="16"/>
      <c r="AR124" s="15"/>
      <c r="AS124" s="16"/>
      <c r="AT124" s="15"/>
      <c r="AU124" s="16"/>
      <c r="AV124" s="15"/>
      <c r="AW124" s="16"/>
      <c r="AX124" s="15"/>
      <c r="AY124" s="16"/>
      <c r="AZ124" s="15"/>
      <c r="BA124" s="16"/>
      <c r="BB124" s="15"/>
      <c r="BC124" s="16"/>
      <c r="BD124" s="15"/>
      <c r="BE124" s="16"/>
      <c r="BF124" s="15"/>
      <c r="BG124" s="16"/>
      <c r="BH124" s="15"/>
      <c r="BI124" s="16"/>
      <c r="BJ124" s="15"/>
      <c r="BK124" s="16"/>
      <c r="BL124" s="15"/>
      <c r="BM124" s="16"/>
      <c r="BN124" s="20">
        <f>IF($A124="","",SUMPRODUCT((MOD(COLUMN($D124:$BM124)-COLUMN($D124),2)=0)*$D124:$BM124))</f>
      </c>
      <c r="BO124" s="21">
        <f>IF($A124="","",SUMPRODUCT((MOD(COLUMN($D124:$BM124)-COLUMN($D124),2)=1)*$D124:$BM124))</f>
      </c>
      <c r="BP124" s="22">
        <f>IF($A124="","",$BN124*IF($C124="Worker",Worker_DailyWage,IF($C124="Laborer",Laborer_DailyWage,0)))</f>
      </c>
      <c r="BQ124" s="22">
        <f>IF($A124="","",$BO124*IF($C124="Worker",Worker_OTRate,IF($C124="Laborer",Laborer_OTRate,0)))</f>
      </c>
      <c r="BR124" s="23">
        <f>IF($A124="","",$BP124+$BQ124)</f>
      </c>
    </row>
    <row r="125">
      <c r="A125" s="17">
        <f>IFERROR(IF((ROW()-4)&lt;=COUNTA(Workers_ID),INDEX(Workers_ID,(ROW()-4)),IF((ROW()-4)&lt;=COUNTA(Workers_ID)+COUNTA(Laborers_ID),INDEX(Laborers_ID,(ROW()-4)-COUNTA(Workers_ID)),"")),"")</f>
      </c>
      <c r="B125" s="18">
        <f>IF($A125="","",IFERROR(VLOOKUP($A125,Workers_Data,2,FALSE),IFERROR(VLOOKUP($A125,Laborers_Data,2,FALSE),"")))</f>
      </c>
      <c r="C125" s="19">
        <f>IF($A125="","",IF(COUNTIF(Workers_ID,$A125)&gt;0,"Worker",IF(COUNTIF(Laborers_ID,$A125)&gt;0,"Laborer","")))</f>
      </c>
      <c r="D125" s="15"/>
      <c r="E125" s="16"/>
      <c r="F125" s="15"/>
      <c r="G125" s="16"/>
      <c r="H125" s="15"/>
      <c r="I125" s="16"/>
      <c r="J125" s="15"/>
      <c r="K125" s="16"/>
      <c r="L125" s="15"/>
      <c r="M125" s="16"/>
      <c r="N125" s="15"/>
      <c r="O125" s="16"/>
      <c r="P125" s="15"/>
      <c r="Q125" s="16"/>
      <c r="R125" s="15"/>
      <c r="S125" s="16"/>
      <c r="T125" s="15"/>
      <c r="U125" s="16"/>
      <c r="V125" s="15"/>
      <c r="W125" s="16"/>
      <c r="X125" s="15"/>
      <c r="Y125" s="16"/>
      <c r="Z125" s="15"/>
      <c r="AA125" s="16"/>
      <c r="AB125" s="15"/>
      <c r="AC125" s="16"/>
      <c r="AD125" s="15"/>
      <c r="AE125" s="16"/>
      <c r="AF125" s="15"/>
      <c r="AG125" s="16"/>
      <c r="AH125" s="15"/>
      <c r="AI125" s="16"/>
      <c r="AJ125" s="15"/>
      <c r="AK125" s="16"/>
      <c r="AL125" s="15"/>
      <c r="AM125" s="16"/>
      <c r="AN125" s="15"/>
      <c r="AO125" s="16"/>
      <c r="AP125" s="15"/>
      <c r="AQ125" s="16"/>
      <c r="AR125" s="15"/>
      <c r="AS125" s="16"/>
      <c r="AT125" s="15"/>
      <c r="AU125" s="16"/>
      <c r="AV125" s="15"/>
      <c r="AW125" s="16"/>
      <c r="AX125" s="15"/>
      <c r="AY125" s="16"/>
      <c r="AZ125" s="15"/>
      <c r="BA125" s="16"/>
      <c r="BB125" s="15"/>
      <c r="BC125" s="16"/>
      <c r="BD125" s="15"/>
      <c r="BE125" s="16"/>
      <c r="BF125" s="15"/>
      <c r="BG125" s="16"/>
      <c r="BH125" s="15"/>
      <c r="BI125" s="16"/>
      <c r="BJ125" s="15"/>
      <c r="BK125" s="16"/>
      <c r="BL125" s="15"/>
      <c r="BM125" s="16"/>
      <c r="BN125" s="20">
        <f>IF($A125="","",SUMPRODUCT((MOD(COLUMN($D125:$BM125)-COLUMN($D125),2)=0)*$D125:$BM125))</f>
      </c>
      <c r="BO125" s="21">
        <f>IF($A125="","",SUMPRODUCT((MOD(COLUMN($D125:$BM125)-COLUMN($D125),2)=1)*$D125:$BM125))</f>
      </c>
      <c r="BP125" s="22">
        <f>IF($A125="","",$BN125*IF($C125="Worker",Worker_DailyWage,IF($C125="Laborer",Laborer_DailyWage,0)))</f>
      </c>
      <c r="BQ125" s="22">
        <f>IF($A125="","",$BO125*IF($C125="Worker",Worker_OTRate,IF($C125="Laborer",Laborer_OTRate,0)))</f>
      </c>
      <c r="BR125" s="23">
        <f>IF($A125="","",$BP125+$BQ125)</f>
      </c>
    </row>
    <row r="126">
      <c r="A126" s="17">
        <f>IFERROR(IF((ROW()-4)&lt;=COUNTA(Workers_ID),INDEX(Workers_ID,(ROW()-4)),IF((ROW()-4)&lt;=COUNTA(Workers_ID)+COUNTA(Laborers_ID),INDEX(Laborers_ID,(ROW()-4)-COUNTA(Workers_ID)),"")),"")</f>
      </c>
      <c r="B126" s="18">
        <f>IF($A126="","",IFERROR(VLOOKUP($A126,Workers_Data,2,FALSE),IFERROR(VLOOKUP($A126,Laborers_Data,2,FALSE),"")))</f>
      </c>
      <c r="C126" s="19">
        <f>IF($A126="","",IF(COUNTIF(Workers_ID,$A126)&gt;0,"Worker",IF(COUNTIF(Laborers_ID,$A126)&gt;0,"Laborer","")))</f>
      </c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15"/>
      <c r="BM126" s="16"/>
      <c r="BN126" s="20">
        <f>IF($A126="","",SUMPRODUCT((MOD(COLUMN($D126:$BM126)-COLUMN($D126),2)=0)*$D126:$BM126))</f>
      </c>
      <c r="BO126" s="21">
        <f>IF($A126="","",SUMPRODUCT((MOD(COLUMN($D126:$BM126)-COLUMN($D126),2)=1)*$D126:$BM126))</f>
      </c>
      <c r="BP126" s="22">
        <f>IF($A126="","",$BN126*IF($C126="Worker",Worker_DailyWage,IF($C126="Laborer",Laborer_DailyWage,0)))</f>
      </c>
      <c r="BQ126" s="22">
        <f>IF($A126="","",$BO126*IF($C126="Worker",Worker_OTRate,IF($C126="Laborer",Laborer_OTRate,0)))</f>
      </c>
      <c r="BR126" s="23">
        <f>IF($A126="","",$BP126+$BQ126)</f>
      </c>
    </row>
    <row r="127">
      <c r="A127" s="17">
        <f>IFERROR(IF((ROW()-4)&lt;=COUNTA(Workers_ID),INDEX(Workers_ID,(ROW()-4)),IF((ROW()-4)&lt;=COUNTA(Workers_ID)+COUNTA(Laborers_ID),INDEX(Laborers_ID,(ROW()-4)-COUNTA(Workers_ID)),"")),"")</f>
      </c>
      <c r="B127" s="18">
        <f>IF($A127="","",IFERROR(VLOOKUP($A127,Workers_Data,2,FALSE),IFERROR(VLOOKUP($A127,Laborers_Data,2,FALSE),"")))</f>
      </c>
      <c r="C127" s="19">
        <f>IF($A127="","",IF(COUNTIF(Workers_ID,$A127)&gt;0,"Worker",IF(COUNTIF(Laborers_ID,$A127)&gt;0,"Laborer","")))</f>
      </c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15"/>
      <c r="BM127" s="16"/>
      <c r="BN127" s="20">
        <f>IF($A127="","",SUMPRODUCT((MOD(COLUMN($D127:$BM127)-COLUMN($D127),2)=0)*$D127:$BM127))</f>
      </c>
      <c r="BO127" s="21">
        <f>IF($A127="","",SUMPRODUCT((MOD(COLUMN($D127:$BM127)-COLUMN($D127),2)=1)*$D127:$BM127))</f>
      </c>
      <c r="BP127" s="22">
        <f>IF($A127="","",$BN127*IF($C127="Worker",Worker_DailyWage,IF($C127="Laborer",Laborer_DailyWage,0)))</f>
      </c>
      <c r="BQ127" s="22">
        <f>IF($A127="","",$BO127*IF($C127="Worker",Worker_OTRate,IF($C127="Laborer",Laborer_OTRate,0)))</f>
      </c>
      <c r="BR127" s="23">
        <f>IF($A127="","",$BP127+$BQ127)</f>
      </c>
    </row>
    <row r="128">
      <c r="A128" s="17">
        <f>IFERROR(IF((ROW()-4)&lt;=COUNTA(Workers_ID),INDEX(Workers_ID,(ROW()-4)),IF((ROW()-4)&lt;=COUNTA(Workers_ID)+COUNTA(Laborers_ID),INDEX(Laborers_ID,(ROW()-4)-COUNTA(Workers_ID)),"")),"")</f>
      </c>
      <c r="B128" s="18">
        <f>IF($A128="","",IFERROR(VLOOKUP($A128,Workers_Data,2,FALSE),IFERROR(VLOOKUP($A128,Laborers_Data,2,FALSE),"")))</f>
      </c>
      <c r="C128" s="19">
        <f>IF($A128="","",IF(COUNTIF(Workers_ID,$A128)&gt;0,"Worker",IF(COUNTIF(Laborers_ID,$A128)&gt;0,"Laborer","")))</f>
      </c>
      <c r="D128" s="15"/>
      <c r="E128" s="16"/>
      <c r="F128" s="15"/>
      <c r="G128" s="16"/>
      <c r="H128" s="15"/>
      <c r="I128" s="16"/>
      <c r="J128" s="15"/>
      <c r="K128" s="16"/>
      <c r="L128" s="15"/>
      <c r="M128" s="16"/>
      <c r="N128" s="15"/>
      <c r="O128" s="16"/>
      <c r="P128" s="15"/>
      <c r="Q128" s="16"/>
      <c r="R128" s="15"/>
      <c r="S128" s="16"/>
      <c r="T128" s="15"/>
      <c r="U128" s="16"/>
      <c r="V128" s="15"/>
      <c r="W128" s="16"/>
      <c r="X128" s="15"/>
      <c r="Y128" s="16"/>
      <c r="Z128" s="15"/>
      <c r="AA128" s="16"/>
      <c r="AB128" s="15"/>
      <c r="AC128" s="16"/>
      <c r="AD128" s="15"/>
      <c r="AE128" s="16"/>
      <c r="AF128" s="15"/>
      <c r="AG128" s="16"/>
      <c r="AH128" s="15"/>
      <c r="AI128" s="16"/>
      <c r="AJ128" s="15"/>
      <c r="AK128" s="16"/>
      <c r="AL128" s="15"/>
      <c r="AM128" s="16"/>
      <c r="AN128" s="15"/>
      <c r="AO128" s="16"/>
      <c r="AP128" s="15"/>
      <c r="AQ128" s="16"/>
      <c r="AR128" s="15"/>
      <c r="AS128" s="16"/>
      <c r="AT128" s="15"/>
      <c r="AU128" s="16"/>
      <c r="AV128" s="15"/>
      <c r="AW128" s="16"/>
      <c r="AX128" s="15"/>
      <c r="AY128" s="16"/>
      <c r="AZ128" s="15"/>
      <c r="BA128" s="16"/>
      <c r="BB128" s="15"/>
      <c r="BC128" s="16"/>
      <c r="BD128" s="15"/>
      <c r="BE128" s="16"/>
      <c r="BF128" s="15"/>
      <c r="BG128" s="16"/>
      <c r="BH128" s="15"/>
      <c r="BI128" s="16"/>
      <c r="BJ128" s="15"/>
      <c r="BK128" s="16"/>
      <c r="BL128" s="15"/>
      <c r="BM128" s="16"/>
      <c r="BN128" s="20">
        <f>IF($A128="","",SUMPRODUCT((MOD(COLUMN($D128:$BM128)-COLUMN($D128),2)=0)*$D128:$BM128))</f>
      </c>
      <c r="BO128" s="21">
        <f>IF($A128="","",SUMPRODUCT((MOD(COLUMN($D128:$BM128)-COLUMN($D128),2)=1)*$D128:$BM128))</f>
      </c>
      <c r="BP128" s="22">
        <f>IF($A128="","",$BN128*IF($C128="Worker",Worker_DailyWage,IF($C128="Laborer",Laborer_DailyWage,0)))</f>
      </c>
      <c r="BQ128" s="22">
        <f>IF($A128="","",$BO128*IF($C128="Worker",Worker_OTRate,IF($C128="Laborer",Laborer_OTRate,0)))</f>
      </c>
      <c r="BR128" s="23">
        <f>IF($A128="","",$BP128+$BQ128)</f>
      </c>
    </row>
    <row r="129">
      <c r="A129" s="17">
        <f>IFERROR(IF((ROW()-4)&lt;=COUNTA(Workers_ID),INDEX(Workers_ID,(ROW()-4)),IF((ROW()-4)&lt;=COUNTA(Workers_ID)+COUNTA(Laborers_ID),INDEX(Laborers_ID,(ROW()-4)-COUNTA(Workers_ID)),"")),"")</f>
      </c>
      <c r="B129" s="18">
        <f>IF($A129="","",IFERROR(VLOOKUP($A129,Workers_Data,2,FALSE),IFERROR(VLOOKUP($A129,Laborers_Data,2,FALSE),"")))</f>
      </c>
      <c r="C129" s="19">
        <f>IF($A129="","",IF(COUNTIF(Workers_ID,$A129)&gt;0,"Worker",IF(COUNTIF(Laborers_ID,$A129)&gt;0,"Laborer","")))</f>
      </c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15"/>
      <c r="BM129" s="16"/>
      <c r="BN129" s="20">
        <f>IF($A129="","",SUMPRODUCT((MOD(COLUMN($D129:$BM129)-COLUMN($D129),2)=0)*$D129:$BM129))</f>
      </c>
      <c r="BO129" s="21">
        <f>IF($A129="","",SUMPRODUCT((MOD(COLUMN($D129:$BM129)-COLUMN($D129),2)=1)*$D129:$BM129))</f>
      </c>
      <c r="BP129" s="22">
        <f>IF($A129="","",$BN129*IF($C129="Worker",Worker_DailyWage,IF($C129="Laborer",Laborer_DailyWage,0)))</f>
      </c>
      <c r="BQ129" s="22">
        <f>IF($A129="","",$BO129*IF($C129="Worker",Worker_OTRate,IF($C129="Laborer",Laborer_OTRate,0)))</f>
      </c>
      <c r="BR129" s="23">
        <f>IF($A129="","",$BP129+$BQ129)</f>
      </c>
    </row>
    <row r="130">
      <c r="A130" s="17">
        <f>IFERROR(IF((ROW()-4)&lt;=COUNTA(Workers_ID),INDEX(Workers_ID,(ROW()-4)),IF((ROW()-4)&lt;=COUNTA(Workers_ID)+COUNTA(Laborers_ID),INDEX(Laborers_ID,(ROW()-4)-COUNTA(Workers_ID)),"")),"")</f>
      </c>
      <c r="B130" s="18">
        <f>IF($A130="","",IFERROR(VLOOKUP($A130,Workers_Data,2,FALSE),IFERROR(VLOOKUP($A130,Laborers_Data,2,FALSE),"")))</f>
      </c>
      <c r="C130" s="19">
        <f>IF($A130="","",IF(COUNTIF(Workers_ID,$A130)&gt;0,"Worker",IF(COUNTIF(Laborers_ID,$A130)&gt;0,"Laborer","")))</f>
      </c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15"/>
      <c r="BM130" s="16"/>
      <c r="BN130" s="20">
        <f>IF($A130="","",SUMPRODUCT((MOD(COLUMN($D130:$BM130)-COLUMN($D130),2)=0)*$D130:$BM130))</f>
      </c>
      <c r="BO130" s="21">
        <f>IF($A130="","",SUMPRODUCT((MOD(COLUMN($D130:$BM130)-COLUMN($D130),2)=1)*$D130:$BM130))</f>
      </c>
      <c r="BP130" s="22">
        <f>IF($A130="","",$BN130*IF($C130="Worker",Worker_DailyWage,IF($C130="Laborer",Laborer_DailyWage,0)))</f>
      </c>
      <c r="BQ130" s="22">
        <f>IF($A130="","",$BO130*IF($C130="Worker",Worker_OTRate,IF($C130="Laborer",Laborer_OTRate,0)))</f>
      </c>
      <c r="BR130" s="23">
        <f>IF($A130="","",$BP130+$BQ130)</f>
      </c>
    </row>
    <row r="131">
      <c r="A131" s="17">
        <f>IFERROR(IF((ROW()-4)&lt;=COUNTA(Workers_ID),INDEX(Workers_ID,(ROW()-4)),IF((ROW()-4)&lt;=COUNTA(Workers_ID)+COUNTA(Laborers_ID),INDEX(Laborers_ID,(ROW()-4)-COUNTA(Workers_ID)),"")),"")</f>
      </c>
      <c r="B131" s="18">
        <f>IF($A131="","",IFERROR(VLOOKUP($A131,Workers_Data,2,FALSE),IFERROR(VLOOKUP($A131,Laborers_Data,2,FALSE),"")))</f>
      </c>
      <c r="C131" s="19">
        <f>IF($A131="","",IF(COUNTIF(Workers_ID,$A131)&gt;0,"Worker",IF(COUNTIF(Laborers_ID,$A131)&gt;0,"Laborer","")))</f>
      </c>
      <c r="D131" s="15"/>
      <c r="E131" s="16"/>
      <c r="F131" s="15"/>
      <c r="G131" s="16"/>
      <c r="H131" s="15"/>
      <c r="I131" s="16"/>
      <c r="J131" s="15"/>
      <c r="K131" s="16"/>
      <c r="L131" s="15"/>
      <c r="M131" s="16"/>
      <c r="N131" s="15"/>
      <c r="O131" s="16"/>
      <c r="P131" s="15"/>
      <c r="Q131" s="16"/>
      <c r="R131" s="15"/>
      <c r="S131" s="16"/>
      <c r="T131" s="15"/>
      <c r="U131" s="16"/>
      <c r="V131" s="15"/>
      <c r="W131" s="16"/>
      <c r="X131" s="15"/>
      <c r="Y131" s="16"/>
      <c r="Z131" s="15"/>
      <c r="AA131" s="16"/>
      <c r="AB131" s="15"/>
      <c r="AC131" s="16"/>
      <c r="AD131" s="15"/>
      <c r="AE131" s="16"/>
      <c r="AF131" s="15"/>
      <c r="AG131" s="16"/>
      <c r="AH131" s="15"/>
      <c r="AI131" s="16"/>
      <c r="AJ131" s="15"/>
      <c r="AK131" s="16"/>
      <c r="AL131" s="15"/>
      <c r="AM131" s="16"/>
      <c r="AN131" s="15"/>
      <c r="AO131" s="16"/>
      <c r="AP131" s="15"/>
      <c r="AQ131" s="16"/>
      <c r="AR131" s="15"/>
      <c r="AS131" s="16"/>
      <c r="AT131" s="15"/>
      <c r="AU131" s="16"/>
      <c r="AV131" s="15"/>
      <c r="AW131" s="16"/>
      <c r="AX131" s="15"/>
      <c r="AY131" s="16"/>
      <c r="AZ131" s="15"/>
      <c r="BA131" s="16"/>
      <c r="BB131" s="15"/>
      <c r="BC131" s="16"/>
      <c r="BD131" s="15"/>
      <c r="BE131" s="16"/>
      <c r="BF131" s="15"/>
      <c r="BG131" s="16"/>
      <c r="BH131" s="15"/>
      <c r="BI131" s="16"/>
      <c r="BJ131" s="15"/>
      <c r="BK131" s="16"/>
      <c r="BL131" s="15"/>
      <c r="BM131" s="16"/>
      <c r="BN131" s="20">
        <f>IF($A131="","",SUMPRODUCT((MOD(COLUMN($D131:$BM131)-COLUMN($D131),2)=0)*$D131:$BM131))</f>
      </c>
      <c r="BO131" s="21">
        <f>IF($A131="","",SUMPRODUCT((MOD(COLUMN($D131:$BM131)-COLUMN($D131),2)=1)*$D131:$BM131))</f>
      </c>
      <c r="BP131" s="22">
        <f>IF($A131="","",$BN131*IF($C131="Worker",Worker_DailyWage,IF($C131="Laborer",Laborer_DailyWage,0)))</f>
      </c>
      <c r="BQ131" s="22">
        <f>IF($A131="","",$BO131*IF($C131="Worker",Worker_OTRate,IF($C131="Laborer",Laborer_OTRate,0)))</f>
      </c>
      <c r="BR131" s="23">
        <f>IF($A131="","",$BP131+$BQ131)</f>
      </c>
    </row>
    <row r="132">
      <c r="A132" s="17">
        <f>IFERROR(IF((ROW()-4)&lt;=COUNTA(Workers_ID),INDEX(Workers_ID,(ROW()-4)),IF((ROW()-4)&lt;=COUNTA(Workers_ID)+COUNTA(Laborers_ID),INDEX(Laborers_ID,(ROW()-4)-COUNTA(Workers_ID)),"")),"")</f>
      </c>
      <c r="B132" s="18">
        <f>IF($A132="","",IFERROR(VLOOKUP($A132,Workers_Data,2,FALSE),IFERROR(VLOOKUP($A132,Laborers_Data,2,FALSE),"")))</f>
      </c>
      <c r="C132" s="19">
        <f>IF($A132="","",IF(COUNTIF(Workers_ID,$A132)&gt;0,"Worker",IF(COUNTIF(Laborers_ID,$A132)&gt;0,"Laborer","")))</f>
      </c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15"/>
      <c r="BM132" s="16"/>
      <c r="BN132" s="20">
        <f>IF($A132="","",SUMPRODUCT((MOD(COLUMN($D132:$BM132)-COLUMN($D132),2)=0)*$D132:$BM132))</f>
      </c>
      <c r="BO132" s="21">
        <f>IF($A132="","",SUMPRODUCT((MOD(COLUMN($D132:$BM132)-COLUMN($D132),2)=1)*$D132:$BM132))</f>
      </c>
      <c r="BP132" s="22">
        <f>IF($A132="","",$BN132*IF($C132="Worker",Worker_DailyWage,IF($C132="Laborer",Laborer_DailyWage,0)))</f>
      </c>
      <c r="BQ132" s="22">
        <f>IF($A132="","",$BO132*IF($C132="Worker",Worker_OTRate,IF($C132="Laborer",Laborer_OTRate,0)))</f>
      </c>
      <c r="BR132" s="23">
        <f>IF($A132="","",$BP132+$BQ132)</f>
      </c>
    </row>
    <row r="133">
      <c r="A133" s="17">
        <f>IFERROR(IF((ROW()-4)&lt;=COUNTA(Workers_ID),INDEX(Workers_ID,(ROW()-4)),IF((ROW()-4)&lt;=COUNTA(Workers_ID)+COUNTA(Laborers_ID),INDEX(Laborers_ID,(ROW()-4)-COUNTA(Workers_ID)),"")),"")</f>
      </c>
      <c r="B133" s="18">
        <f>IF($A133="","",IFERROR(VLOOKUP($A133,Workers_Data,2,FALSE),IFERROR(VLOOKUP($A133,Laborers_Data,2,FALSE),"")))</f>
      </c>
      <c r="C133" s="19">
        <f>IF($A133="","",IF(COUNTIF(Workers_ID,$A133)&gt;0,"Worker",IF(COUNTIF(Laborers_ID,$A133)&gt;0,"Laborer","")))</f>
      </c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15"/>
      <c r="BM133" s="16"/>
      <c r="BN133" s="20">
        <f>IF($A133="","",SUMPRODUCT((MOD(COLUMN($D133:$BM133)-COLUMN($D133),2)=0)*$D133:$BM133))</f>
      </c>
      <c r="BO133" s="21">
        <f>IF($A133="","",SUMPRODUCT((MOD(COLUMN($D133:$BM133)-COLUMN($D133),2)=1)*$D133:$BM133))</f>
      </c>
      <c r="BP133" s="22">
        <f>IF($A133="","",$BN133*IF($C133="Worker",Worker_DailyWage,IF($C133="Laborer",Laborer_DailyWage,0)))</f>
      </c>
      <c r="BQ133" s="22">
        <f>IF($A133="","",$BO133*IF($C133="Worker",Worker_OTRate,IF($C133="Laborer",Laborer_OTRate,0)))</f>
      </c>
      <c r="BR133" s="23">
        <f>IF($A133="","",$BP133+$BQ133)</f>
      </c>
    </row>
    <row r="134">
      <c r="A134" s="17">
        <f>IFERROR(IF((ROW()-4)&lt;=COUNTA(Workers_ID),INDEX(Workers_ID,(ROW()-4)),IF((ROW()-4)&lt;=COUNTA(Workers_ID)+COUNTA(Laborers_ID),INDEX(Laborers_ID,(ROW()-4)-COUNTA(Workers_ID)),"")),"")</f>
      </c>
      <c r="B134" s="18">
        <f>IF($A134="","",IFERROR(VLOOKUP($A134,Workers_Data,2,FALSE),IFERROR(VLOOKUP($A134,Laborers_Data,2,FALSE),"")))</f>
      </c>
      <c r="C134" s="19">
        <f>IF($A134="","",IF(COUNTIF(Workers_ID,$A134)&gt;0,"Worker",IF(COUNTIF(Laborers_ID,$A134)&gt;0,"Laborer","")))</f>
      </c>
      <c r="D134" s="15"/>
      <c r="E134" s="16"/>
      <c r="F134" s="15"/>
      <c r="G134" s="16"/>
      <c r="H134" s="15"/>
      <c r="I134" s="16"/>
      <c r="J134" s="15"/>
      <c r="K134" s="16"/>
      <c r="L134" s="15"/>
      <c r="M134" s="16"/>
      <c r="N134" s="15"/>
      <c r="O134" s="16"/>
      <c r="P134" s="15"/>
      <c r="Q134" s="16"/>
      <c r="R134" s="15"/>
      <c r="S134" s="16"/>
      <c r="T134" s="15"/>
      <c r="U134" s="16"/>
      <c r="V134" s="15"/>
      <c r="W134" s="16"/>
      <c r="X134" s="15"/>
      <c r="Y134" s="16"/>
      <c r="Z134" s="15"/>
      <c r="AA134" s="16"/>
      <c r="AB134" s="15"/>
      <c r="AC134" s="16"/>
      <c r="AD134" s="15"/>
      <c r="AE134" s="16"/>
      <c r="AF134" s="15"/>
      <c r="AG134" s="16"/>
      <c r="AH134" s="15"/>
      <c r="AI134" s="16"/>
      <c r="AJ134" s="15"/>
      <c r="AK134" s="16"/>
      <c r="AL134" s="15"/>
      <c r="AM134" s="16"/>
      <c r="AN134" s="15"/>
      <c r="AO134" s="16"/>
      <c r="AP134" s="15"/>
      <c r="AQ134" s="16"/>
      <c r="AR134" s="15"/>
      <c r="AS134" s="16"/>
      <c r="AT134" s="15"/>
      <c r="AU134" s="16"/>
      <c r="AV134" s="15"/>
      <c r="AW134" s="16"/>
      <c r="AX134" s="15"/>
      <c r="AY134" s="16"/>
      <c r="AZ134" s="15"/>
      <c r="BA134" s="16"/>
      <c r="BB134" s="15"/>
      <c r="BC134" s="16"/>
      <c r="BD134" s="15"/>
      <c r="BE134" s="16"/>
      <c r="BF134" s="15"/>
      <c r="BG134" s="16"/>
      <c r="BH134" s="15"/>
      <c r="BI134" s="16"/>
      <c r="BJ134" s="15"/>
      <c r="BK134" s="16"/>
      <c r="BL134" s="15"/>
      <c r="BM134" s="16"/>
      <c r="BN134" s="20">
        <f>IF($A134="","",SUMPRODUCT((MOD(COLUMN($D134:$BM134)-COLUMN($D134),2)=0)*$D134:$BM134))</f>
      </c>
      <c r="BO134" s="21">
        <f>IF($A134="","",SUMPRODUCT((MOD(COLUMN($D134:$BM134)-COLUMN($D134),2)=1)*$D134:$BM134))</f>
      </c>
      <c r="BP134" s="22">
        <f>IF($A134="","",$BN134*IF($C134="Worker",Worker_DailyWage,IF($C134="Laborer",Laborer_DailyWage,0)))</f>
      </c>
      <c r="BQ134" s="22">
        <f>IF($A134="","",$BO134*IF($C134="Worker",Worker_OTRate,IF($C134="Laborer",Laborer_OTRate,0)))</f>
      </c>
      <c r="BR134" s="23">
        <f>IF($A134="","",$BP134+$BQ134)</f>
      </c>
    </row>
    <row r="135">
      <c r="A135" s="17">
        <f>IFERROR(IF((ROW()-4)&lt;=COUNTA(Workers_ID),INDEX(Workers_ID,(ROW()-4)),IF((ROW()-4)&lt;=COUNTA(Workers_ID)+COUNTA(Laborers_ID),INDEX(Laborers_ID,(ROW()-4)-COUNTA(Workers_ID)),"")),"")</f>
      </c>
      <c r="B135" s="18">
        <f>IF($A135="","",IFERROR(VLOOKUP($A135,Workers_Data,2,FALSE),IFERROR(VLOOKUP($A135,Laborers_Data,2,FALSE),"")))</f>
      </c>
      <c r="C135" s="19">
        <f>IF($A135="","",IF(COUNTIF(Workers_ID,$A135)&gt;0,"Worker",IF(COUNTIF(Laborers_ID,$A135)&gt;0,"Laborer","")))</f>
      </c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15"/>
      <c r="BM135" s="16"/>
      <c r="BN135" s="20">
        <f>IF($A135="","",SUMPRODUCT((MOD(COLUMN($D135:$BM135)-COLUMN($D135),2)=0)*$D135:$BM135))</f>
      </c>
      <c r="BO135" s="21">
        <f>IF($A135="","",SUMPRODUCT((MOD(COLUMN($D135:$BM135)-COLUMN($D135),2)=1)*$D135:$BM135))</f>
      </c>
      <c r="BP135" s="22">
        <f>IF($A135="","",$BN135*IF($C135="Worker",Worker_DailyWage,IF($C135="Laborer",Laborer_DailyWage,0)))</f>
      </c>
      <c r="BQ135" s="22">
        <f>IF($A135="","",$BO135*IF($C135="Worker",Worker_OTRate,IF($C135="Laborer",Laborer_OTRate,0)))</f>
      </c>
      <c r="BR135" s="23">
        <f>IF($A135="","",$BP135+$BQ135)</f>
      </c>
    </row>
    <row r="136">
      <c r="A136" s="17">
        <f>IFERROR(IF((ROW()-4)&lt;=COUNTA(Workers_ID),INDEX(Workers_ID,(ROW()-4)),IF((ROW()-4)&lt;=COUNTA(Workers_ID)+COUNTA(Laborers_ID),INDEX(Laborers_ID,(ROW()-4)-COUNTA(Workers_ID)),"")),"")</f>
      </c>
      <c r="B136" s="18">
        <f>IF($A136="","",IFERROR(VLOOKUP($A136,Workers_Data,2,FALSE),IFERROR(VLOOKUP($A136,Laborers_Data,2,FALSE),"")))</f>
      </c>
      <c r="C136" s="19">
        <f>IF($A136="","",IF(COUNTIF(Workers_ID,$A136)&gt;0,"Worker",IF(COUNTIF(Laborers_ID,$A136)&gt;0,"Laborer","")))</f>
      </c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15"/>
      <c r="BM136" s="16"/>
      <c r="BN136" s="20">
        <f>IF($A136="","",SUMPRODUCT((MOD(COLUMN($D136:$BM136)-COLUMN($D136),2)=0)*$D136:$BM136))</f>
      </c>
      <c r="BO136" s="21">
        <f>IF($A136="","",SUMPRODUCT((MOD(COLUMN($D136:$BM136)-COLUMN($D136),2)=1)*$D136:$BM136))</f>
      </c>
      <c r="BP136" s="22">
        <f>IF($A136="","",$BN136*IF($C136="Worker",Worker_DailyWage,IF($C136="Laborer",Laborer_DailyWage,0)))</f>
      </c>
      <c r="BQ136" s="22">
        <f>IF($A136="","",$BO136*IF($C136="Worker",Worker_OTRate,IF($C136="Laborer",Laborer_OTRate,0)))</f>
      </c>
      <c r="BR136" s="23">
        <f>IF($A136="","",$BP136+$BQ136)</f>
      </c>
    </row>
    <row r="137">
      <c r="A137" s="17">
        <f>IFERROR(IF((ROW()-4)&lt;=COUNTA(Workers_ID),INDEX(Workers_ID,(ROW()-4)),IF((ROW()-4)&lt;=COUNTA(Workers_ID)+COUNTA(Laborers_ID),INDEX(Laborers_ID,(ROW()-4)-COUNTA(Workers_ID)),"")),"")</f>
      </c>
      <c r="B137" s="18">
        <f>IF($A137="","",IFERROR(VLOOKUP($A137,Workers_Data,2,FALSE),IFERROR(VLOOKUP($A137,Laborers_Data,2,FALSE),"")))</f>
      </c>
      <c r="C137" s="19">
        <f>IF($A137="","",IF(COUNTIF(Workers_ID,$A137)&gt;0,"Worker",IF(COUNTIF(Laborers_ID,$A137)&gt;0,"Laborer","")))</f>
      </c>
      <c r="D137" s="15"/>
      <c r="E137" s="16"/>
      <c r="F137" s="15"/>
      <c r="G137" s="16"/>
      <c r="H137" s="15"/>
      <c r="I137" s="16"/>
      <c r="J137" s="15"/>
      <c r="K137" s="16"/>
      <c r="L137" s="15"/>
      <c r="M137" s="16"/>
      <c r="N137" s="15"/>
      <c r="O137" s="16"/>
      <c r="P137" s="15"/>
      <c r="Q137" s="16"/>
      <c r="R137" s="15"/>
      <c r="S137" s="16"/>
      <c r="T137" s="15"/>
      <c r="U137" s="16"/>
      <c r="V137" s="15"/>
      <c r="W137" s="16"/>
      <c r="X137" s="15"/>
      <c r="Y137" s="16"/>
      <c r="Z137" s="15"/>
      <c r="AA137" s="16"/>
      <c r="AB137" s="15"/>
      <c r="AC137" s="16"/>
      <c r="AD137" s="15"/>
      <c r="AE137" s="16"/>
      <c r="AF137" s="15"/>
      <c r="AG137" s="16"/>
      <c r="AH137" s="15"/>
      <c r="AI137" s="16"/>
      <c r="AJ137" s="15"/>
      <c r="AK137" s="16"/>
      <c r="AL137" s="15"/>
      <c r="AM137" s="16"/>
      <c r="AN137" s="15"/>
      <c r="AO137" s="16"/>
      <c r="AP137" s="15"/>
      <c r="AQ137" s="16"/>
      <c r="AR137" s="15"/>
      <c r="AS137" s="16"/>
      <c r="AT137" s="15"/>
      <c r="AU137" s="16"/>
      <c r="AV137" s="15"/>
      <c r="AW137" s="16"/>
      <c r="AX137" s="15"/>
      <c r="AY137" s="16"/>
      <c r="AZ137" s="15"/>
      <c r="BA137" s="16"/>
      <c r="BB137" s="15"/>
      <c r="BC137" s="16"/>
      <c r="BD137" s="15"/>
      <c r="BE137" s="16"/>
      <c r="BF137" s="15"/>
      <c r="BG137" s="16"/>
      <c r="BH137" s="15"/>
      <c r="BI137" s="16"/>
      <c r="BJ137" s="15"/>
      <c r="BK137" s="16"/>
      <c r="BL137" s="15"/>
      <c r="BM137" s="16"/>
      <c r="BN137" s="20">
        <f>IF($A137="","",SUMPRODUCT((MOD(COLUMN($D137:$BM137)-COLUMN($D137),2)=0)*$D137:$BM137))</f>
      </c>
      <c r="BO137" s="21">
        <f>IF($A137="","",SUMPRODUCT((MOD(COLUMN($D137:$BM137)-COLUMN($D137),2)=1)*$D137:$BM137))</f>
      </c>
      <c r="BP137" s="22">
        <f>IF($A137="","",$BN137*IF($C137="Worker",Worker_DailyWage,IF($C137="Laborer",Laborer_DailyWage,0)))</f>
      </c>
      <c r="BQ137" s="22">
        <f>IF($A137="","",$BO137*IF($C137="Worker",Worker_OTRate,IF($C137="Laborer",Laborer_OTRate,0)))</f>
      </c>
      <c r="BR137" s="23">
        <f>IF($A137="","",$BP137+$BQ137)</f>
      </c>
    </row>
    <row r="138">
      <c r="A138" s="17">
        <f>IFERROR(IF((ROW()-4)&lt;=COUNTA(Workers_ID),INDEX(Workers_ID,(ROW()-4)),IF((ROW()-4)&lt;=COUNTA(Workers_ID)+COUNTA(Laborers_ID),INDEX(Laborers_ID,(ROW()-4)-COUNTA(Workers_ID)),"")),"")</f>
      </c>
      <c r="B138" s="18">
        <f>IF($A138="","",IFERROR(VLOOKUP($A138,Workers_Data,2,FALSE),IFERROR(VLOOKUP($A138,Laborers_Data,2,FALSE),"")))</f>
      </c>
      <c r="C138" s="19">
        <f>IF($A138="","",IF(COUNTIF(Workers_ID,$A138)&gt;0,"Worker",IF(COUNTIF(Laborers_ID,$A138)&gt;0,"Laborer","")))</f>
      </c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15"/>
      <c r="BM138" s="16"/>
      <c r="BN138" s="20">
        <f>IF($A138="","",SUMPRODUCT((MOD(COLUMN($D138:$BM138)-COLUMN($D138),2)=0)*$D138:$BM138))</f>
      </c>
      <c r="BO138" s="21">
        <f>IF($A138="","",SUMPRODUCT((MOD(COLUMN($D138:$BM138)-COLUMN($D138),2)=1)*$D138:$BM138))</f>
      </c>
      <c r="BP138" s="22">
        <f>IF($A138="","",$BN138*IF($C138="Worker",Worker_DailyWage,IF($C138="Laborer",Laborer_DailyWage,0)))</f>
      </c>
      <c r="BQ138" s="22">
        <f>IF($A138="","",$BO138*IF($C138="Worker",Worker_OTRate,IF($C138="Laborer",Laborer_OTRate,0)))</f>
      </c>
      <c r="BR138" s="23">
        <f>IF($A138="","",$BP138+$BQ138)</f>
      </c>
    </row>
    <row r="139">
      <c r="A139" s="17">
        <f>IFERROR(IF((ROW()-4)&lt;=COUNTA(Workers_ID),INDEX(Workers_ID,(ROW()-4)),IF((ROW()-4)&lt;=COUNTA(Workers_ID)+COUNTA(Laborers_ID),INDEX(Laborers_ID,(ROW()-4)-COUNTA(Workers_ID)),"")),"")</f>
      </c>
      <c r="B139" s="18">
        <f>IF($A139="","",IFERROR(VLOOKUP($A139,Workers_Data,2,FALSE),IFERROR(VLOOKUP($A139,Laborers_Data,2,FALSE),"")))</f>
      </c>
      <c r="C139" s="19">
        <f>IF($A139="","",IF(COUNTIF(Workers_ID,$A139)&gt;0,"Worker",IF(COUNTIF(Laborers_ID,$A139)&gt;0,"Laborer","")))</f>
      </c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15"/>
      <c r="BM139" s="16"/>
      <c r="BN139" s="20">
        <f>IF($A139="","",SUMPRODUCT((MOD(COLUMN($D139:$BM139)-COLUMN($D139),2)=0)*$D139:$BM139))</f>
      </c>
      <c r="BO139" s="21">
        <f>IF($A139="","",SUMPRODUCT((MOD(COLUMN($D139:$BM139)-COLUMN($D139),2)=1)*$D139:$BM139))</f>
      </c>
      <c r="BP139" s="22">
        <f>IF($A139="","",$BN139*IF($C139="Worker",Worker_DailyWage,IF($C139="Laborer",Laborer_DailyWage,0)))</f>
      </c>
      <c r="BQ139" s="22">
        <f>IF($A139="","",$BO139*IF($C139="Worker",Worker_OTRate,IF($C139="Laborer",Laborer_OTRate,0)))</f>
      </c>
      <c r="BR139" s="23">
        <f>IF($A139="","",$BP139+$BQ139)</f>
      </c>
    </row>
    <row r="140">
      <c r="A140" s="17">
        <f>IFERROR(IF((ROW()-4)&lt;=COUNTA(Workers_ID),INDEX(Workers_ID,(ROW()-4)),IF((ROW()-4)&lt;=COUNTA(Workers_ID)+COUNTA(Laborers_ID),INDEX(Laborers_ID,(ROW()-4)-COUNTA(Workers_ID)),"")),"")</f>
      </c>
      <c r="B140" s="18">
        <f>IF($A140="","",IFERROR(VLOOKUP($A140,Workers_Data,2,FALSE),IFERROR(VLOOKUP($A140,Laborers_Data,2,FALSE),"")))</f>
      </c>
      <c r="C140" s="19">
        <f>IF($A140="","",IF(COUNTIF(Workers_ID,$A140)&gt;0,"Worker",IF(COUNTIF(Laborers_ID,$A140)&gt;0,"Laborer","")))</f>
      </c>
      <c r="D140" s="15"/>
      <c r="E140" s="16"/>
      <c r="F140" s="15"/>
      <c r="G140" s="16"/>
      <c r="H140" s="15"/>
      <c r="I140" s="16"/>
      <c r="J140" s="15"/>
      <c r="K140" s="16"/>
      <c r="L140" s="15"/>
      <c r="M140" s="16"/>
      <c r="N140" s="15"/>
      <c r="O140" s="16"/>
      <c r="P140" s="15"/>
      <c r="Q140" s="16"/>
      <c r="R140" s="15"/>
      <c r="S140" s="16"/>
      <c r="T140" s="15"/>
      <c r="U140" s="16"/>
      <c r="V140" s="15"/>
      <c r="W140" s="16"/>
      <c r="X140" s="15"/>
      <c r="Y140" s="16"/>
      <c r="Z140" s="15"/>
      <c r="AA140" s="16"/>
      <c r="AB140" s="15"/>
      <c r="AC140" s="16"/>
      <c r="AD140" s="15"/>
      <c r="AE140" s="16"/>
      <c r="AF140" s="15"/>
      <c r="AG140" s="16"/>
      <c r="AH140" s="15"/>
      <c r="AI140" s="16"/>
      <c r="AJ140" s="15"/>
      <c r="AK140" s="16"/>
      <c r="AL140" s="15"/>
      <c r="AM140" s="16"/>
      <c r="AN140" s="15"/>
      <c r="AO140" s="16"/>
      <c r="AP140" s="15"/>
      <c r="AQ140" s="16"/>
      <c r="AR140" s="15"/>
      <c r="AS140" s="16"/>
      <c r="AT140" s="15"/>
      <c r="AU140" s="16"/>
      <c r="AV140" s="15"/>
      <c r="AW140" s="16"/>
      <c r="AX140" s="15"/>
      <c r="AY140" s="16"/>
      <c r="AZ140" s="15"/>
      <c r="BA140" s="16"/>
      <c r="BB140" s="15"/>
      <c r="BC140" s="16"/>
      <c r="BD140" s="15"/>
      <c r="BE140" s="16"/>
      <c r="BF140" s="15"/>
      <c r="BG140" s="16"/>
      <c r="BH140" s="15"/>
      <c r="BI140" s="16"/>
      <c r="BJ140" s="15"/>
      <c r="BK140" s="16"/>
      <c r="BL140" s="15"/>
      <c r="BM140" s="16"/>
      <c r="BN140" s="20">
        <f>IF($A140="","",SUMPRODUCT((MOD(COLUMN($D140:$BM140)-COLUMN($D140),2)=0)*$D140:$BM140))</f>
      </c>
      <c r="BO140" s="21">
        <f>IF($A140="","",SUMPRODUCT((MOD(COLUMN($D140:$BM140)-COLUMN($D140),2)=1)*$D140:$BM140))</f>
      </c>
      <c r="BP140" s="22">
        <f>IF($A140="","",$BN140*IF($C140="Worker",Worker_DailyWage,IF($C140="Laborer",Laborer_DailyWage,0)))</f>
      </c>
      <c r="BQ140" s="22">
        <f>IF($A140="","",$BO140*IF($C140="Worker",Worker_OTRate,IF($C140="Laborer",Laborer_OTRate,0)))</f>
      </c>
      <c r="BR140" s="23">
        <f>IF($A140="","",$BP140+$BQ140)</f>
      </c>
    </row>
    <row r="141">
      <c r="A141" s="17">
        <f>IFERROR(IF((ROW()-4)&lt;=COUNTA(Workers_ID),INDEX(Workers_ID,(ROW()-4)),IF((ROW()-4)&lt;=COUNTA(Workers_ID)+COUNTA(Laborers_ID),INDEX(Laborers_ID,(ROW()-4)-COUNTA(Workers_ID)),"")),"")</f>
      </c>
      <c r="B141" s="18">
        <f>IF($A141="","",IFERROR(VLOOKUP($A141,Workers_Data,2,FALSE),IFERROR(VLOOKUP($A141,Laborers_Data,2,FALSE),"")))</f>
      </c>
      <c r="C141" s="19">
        <f>IF($A141="","",IF(COUNTIF(Workers_ID,$A141)&gt;0,"Worker",IF(COUNTIF(Laborers_ID,$A141)&gt;0,"Laborer","")))</f>
      </c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15"/>
      <c r="BM141" s="16"/>
      <c r="BN141" s="20">
        <f>IF($A141="","",SUMPRODUCT((MOD(COLUMN($D141:$BM141)-COLUMN($D141),2)=0)*$D141:$BM141))</f>
      </c>
      <c r="BO141" s="21">
        <f>IF($A141="","",SUMPRODUCT((MOD(COLUMN($D141:$BM141)-COLUMN($D141),2)=1)*$D141:$BM141))</f>
      </c>
      <c r="BP141" s="22">
        <f>IF($A141="","",$BN141*IF($C141="Worker",Worker_DailyWage,IF($C141="Laborer",Laborer_DailyWage,0)))</f>
      </c>
      <c r="BQ141" s="22">
        <f>IF($A141="","",$BO141*IF($C141="Worker",Worker_OTRate,IF($C141="Laborer",Laborer_OTRate,0)))</f>
      </c>
      <c r="BR141" s="23">
        <f>IF($A141="","",$BP141+$BQ141)</f>
      </c>
    </row>
    <row r="142">
      <c r="A142" s="17">
        <f>IFERROR(IF((ROW()-4)&lt;=COUNTA(Workers_ID),INDEX(Workers_ID,(ROW()-4)),IF((ROW()-4)&lt;=COUNTA(Workers_ID)+COUNTA(Laborers_ID),INDEX(Laborers_ID,(ROW()-4)-COUNTA(Workers_ID)),"")),"")</f>
      </c>
      <c r="B142" s="18">
        <f>IF($A142="","",IFERROR(VLOOKUP($A142,Workers_Data,2,FALSE),IFERROR(VLOOKUP($A142,Laborers_Data,2,FALSE),"")))</f>
      </c>
      <c r="C142" s="19">
        <f>IF($A142="","",IF(COUNTIF(Workers_ID,$A142)&gt;0,"Worker",IF(COUNTIF(Laborers_ID,$A142)&gt;0,"Laborer","")))</f>
      </c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15"/>
      <c r="BM142" s="16"/>
      <c r="BN142" s="20">
        <f>IF($A142="","",SUMPRODUCT((MOD(COLUMN($D142:$BM142)-COLUMN($D142),2)=0)*$D142:$BM142))</f>
      </c>
      <c r="BO142" s="21">
        <f>IF($A142="","",SUMPRODUCT((MOD(COLUMN($D142:$BM142)-COLUMN($D142),2)=1)*$D142:$BM142))</f>
      </c>
      <c r="BP142" s="22">
        <f>IF($A142="","",$BN142*IF($C142="Worker",Worker_DailyWage,IF($C142="Laborer",Laborer_DailyWage,0)))</f>
      </c>
      <c r="BQ142" s="22">
        <f>IF($A142="","",$BO142*IF($C142="Worker",Worker_OTRate,IF($C142="Laborer",Laborer_OTRate,0)))</f>
      </c>
      <c r="BR142" s="23">
        <f>IF($A142="","",$BP142+$BQ142)</f>
      </c>
    </row>
    <row r="143">
      <c r="A143" s="17">
        <f>IFERROR(IF((ROW()-4)&lt;=COUNTA(Workers_ID),INDEX(Workers_ID,(ROW()-4)),IF((ROW()-4)&lt;=COUNTA(Workers_ID)+COUNTA(Laborers_ID),INDEX(Laborers_ID,(ROW()-4)-COUNTA(Workers_ID)),"")),"")</f>
      </c>
      <c r="B143" s="18">
        <f>IF($A143="","",IFERROR(VLOOKUP($A143,Workers_Data,2,FALSE),IFERROR(VLOOKUP($A143,Laborers_Data,2,FALSE),"")))</f>
      </c>
      <c r="C143" s="19">
        <f>IF($A143="","",IF(COUNTIF(Workers_ID,$A143)&gt;0,"Worker",IF(COUNTIF(Laborers_ID,$A143)&gt;0,"Laborer","")))</f>
      </c>
      <c r="D143" s="15"/>
      <c r="E143" s="16"/>
      <c r="F143" s="15"/>
      <c r="G143" s="16"/>
      <c r="H143" s="15"/>
      <c r="I143" s="16"/>
      <c r="J143" s="15"/>
      <c r="K143" s="16"/>
      <c r="L143" s="15"/>
      <c r="M143" s="16"/>
      <c r="N143" s="15"/>
      <c r="O143" s="16"/>
      <c r="P143" s="15"/>
      <c r="Q143" s="16"/>
      <c r="R143" s="15"/>
      <c r="S143" s="16"/>
      <c r="T143" s="15"/>
      <c r="U143" s="16"/>
      <c r="V143" s="15"/>
      <c r="W143" s="16"/>
      <c r="X143" s="15"/>
      <c r="Y143" s="16"/>
      <c r="Z143" s="15"/>
      <c r="AA143" s="16"/>
      <c r="AB143" s="15"/>
      <c r="AC143" s="16"/>
      <c r="AD143" s="15"/>
      <c r="AE143" s="16"/>
      <c r="AF143" s="15"/>
      <c r="AG143" s="16"/>
      <c r="AH143" s="15"/>
      <c r="AI143" s="16"/>
      <c r="AJ143" s="15"/>
      <c r="AK143" s="16"/>
      <c r="AL143" s="15"/>
      <c r="AM143" s="16"/>
      <c r="AN143" s="15"/>
      <c r="AO143" s="16"/>
      <c r="AP143" s="15"/>
      <c r="AQ143" s="16"/>
      <c r="AR143" s="15"/>
      <c r="AS143" s="16"/>
      <c r="AT143" s="15"/>
      <c r="AU143" s="16"/>
      <c r="AV143" s="15"/>
      <c r="AW143" s="16"/>
      <c r="AX143" s="15"/>
      <c r="AY143" s="16"/>
      <c r="AZ143" s="15"/>
      <c r="BA143" s="16"/>
      <c r="BB143" s="15"/>
      <c r="BC143" s="16"/>
      <c r="BD143" s="15"/>
      <c r="BE143" s="16"/>
      <c r="BF143" s="15"/>
      <c r="BG143" s="16"/>
      <c r="BH143" s="15"/>
      <c r="BI143" s="16"/>
      <c r="BJ143" s="15"/>
      <c r="BK143" s="16"/>
      <c r="BL143" s="15"/>
      <c r="BM143" s="16"/>
      <c r="BN143" s="20">
        <f>IF($A143="","",SUMPRODUCT((MOD(COLUMN($D143:$BM143)-COLUMN($D143),2)=0)*$D143:$BM143))</f>
      </c>
      <c r="BO143" s="21">
        <f>IF($A143="","",SUMPRODUCT((MOD(COLUMN($D143:$BM143)-COLUMN($D143),2)=1)*$D143:$BM143))</f>
      </c>
      <c r="BP143" s="22">
        <f>IF($A143="","",$BN143*IF($C143="Worker",Worker_DailyWage,IF($C143="Laborer",Laborer_DailyWage,0)))</f>
      </c>
      <c r="BQ143" s="22">
        <f>IF($A143="","",$BO143*IF($C143="Worker",Worker_OTRate,IF($C143="Laborer",Laborer_OTRate,0)))</f>
      </c>
      <c r="BR143" s="23">
        <f>IF($A143="","",$BP143+$BQ143)</f>
      </c>
    </row>
    <row r="144">
      <c r="A144" s="17">
        <f>IFERROR(IF((ROW()-4)&lt;=COUNTA(Workers_ID),INDEX(Workers_ID,(ROW()-4)),IF((ROW()-4)&lt;=COUNTA(Workers_ID)+COUNTA(Laborers_ID),INDEX(Laborers_ID,(ROW()-4)-COUNTA(Workers_ID)),"")),"")</f>
      </c>
      <c r="B144" s="18">
        <f>IF($A144="","",IFERROR(VLOOKUP($A144,Workers_Data,2,FALSE),IFERROR(VLOOKUP($A144,Laborers_Data,2,FALSE),"")))</f>
      </c>
      <c r="C144" s="19">
        <f>IF($A144="","",IF(COUNTIF(Workers_ID,$A144)&gt;0,"Worker",IF(COUNTIF(Laborers_ID,$A144)&gt;0,"Laborer","")))</f>
      </c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15"/>
      <c r="BM144" s="16"/>
      <c r="BN144" s="20">
        <f>IF($A144="","",SUMPRODUCT((MOD(COLUMN($D144:$BM144)-COLUMN($D144),2)=0)*$D144:$BM144))</f>
      </c>
      <c r="BO144" s="21">
        <f>IF($A144="","",SUMPRODUCT((MOD(COLUMN($D144:$BM144)-COLUMN($D144),2)=1)*$D144:$BM144))</f>
      </c>
      <c r="BP144" s="22">
        <f>IF($A144="","",$BN144*IF($C144="Worker",Worker_DailyWage,IF($C144="Laborer",Laborer_DailyWage,0)))</f>
      </c>
      <c r="BQ144" s="22">
        <f>IF($A144="","",$BO144*IF($C144="Worker",Worker_OTRate,IF($C144="Laborer",Laborer_OTRate,0)))</f>
      </c>
      <c r="BR144" s="23">
        <f>IF($A144="","",$BP144+$BQ144)</f>
      </c>
    </row>
    <row r="145">
      <c r="A145" s="17">
        <f>IFERROR(IF((ROW()-4)&lt;=COUNTA(Workers_ID),INDEX(Workers_ID,(ROW()-4)),IF((ROW()-4)&lt;=COUNTA(Workers_ID)+COUNTA(Laborers_ID),INDEX(Laborers_ID,(ROW()-4)-COUNTA(Workers_ID)),"")),"")</f>
      </c>
      <c r="B145" s="18">
        <f>IF($A145="","",IFERROR(VLOOKUP($A145,Workers_Data,2,FALSE),IFERROR(VLOOKUP($A145,Laborers_Data,2,FALSE),"")))</f>
      </c>
      <c r="C145" s="19">
        <f>IF($A145="","",IF(COUNTIF(Workers_ID,$A145)&gt;0,"Worker",IF(COUNTIF(Laborers_ID,$A145)&gt;0,"Laborer","")))</f>
      </c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15"/>
      <c r="BM145" s="16"/>
      <c r="BN145" s="20">
        <f>IF($A145="","",SUMPRODUCT((MOD(COLUMN($D145:$BM145)-COLUMN($D145),2)=0)*$D145:$BM145))</f>
      </c>
      <c r="BO145" s="21">
        <f>IF($A145="","",SUMPRODUCT((MOD(COLUMN($D145:$BM145)-COLUMN($D145),2)=1)*$D145:$BM145))</f>
      </c>
      <c r="BP145" s="22">
        <f>IF($A145="","",$BN145*IF($C145="Worker",Worker_DailyWage,IF($C145="Laborer",Laborer_DailyWage,0)))</f>
      </c>
      <c r="BQ145" s="22">
        <f>IF($A145="","",$BO145*IF($C145="Worker",Worker_OTRate,IF($C145="Laborer",Laborer_OTRate,0)))</f>
      </c>
      <c r="BR145" s="23">
        <f>IF($A145="","",$BP145+$BQ145)</f>
      </c>
    </row>
    <row r="146">
      <c r="A146" s="17">
        <f>IFERROR(IF((ROW()-4)&lt;=COUNTA(Workers_ID),INDEX(Workers_ID,(ROW()-4)),IF((ROW()-4)&lt;=COUNTA(Workers_ID)+COUNTA(Laborers_ID),INDEX(Laborers_ID,(ROW()-4)-COUNTA(Workers_ID)),"")),"")</f>
      </c>
      <c r="B146" s="18">
        <f>IF($A146="","",IFERROR(VLOOKUP($A146,Workers_Data,2,FALSE),IFERROR(VLOOKUP($A146,Laborers_Data,2,FALSE),"")))</f>
      </c>
      <c r="C146" s="19">
        <f>IF($A146="","",IF(COUNTIF(Workers_ID,$A146)&gt;0,"Worker",IF(COUNTIF(Laborers_ID,$A146)&gt;0,"Laborer","")))</f>
      </c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15"/>
      <c r="BM146" s="16"/>
      <c r="BN146" s="20">
        <f>IF($A146="","",SUMPRODUCT((MOD(COLUMN($D146:$BM146)-COLUMN($D146),2)=0)*$D146:$BM146))</f>
      </c>
      <c r="BO146" s="21">
        <f>IF($A146="","",SUMPRODUCT((MOD(COLUMN($D146:$BM146)-COLUMN($D146),2)=1)*$D146:$BM146))</f>
      </c>
      <c r="BP146" s="22">
        <f>IF($A146="","",$BN146*IF($C146="Worker",Worker_DailyWage,IF($C146="Laborer",Laborer_DailyWage,0)))</f>
      </c>
      <c r="BQ146" s="22">
        <f>IF($A146="","",$BO146*IF($C146="Worker",Worker_OTRate,IF($C146="Laborer",Laborer_OTRate,0)))</f>
      </c>
      <c r="BR146" s="23">
        <f>IF($A146="","",$BP146+$BQ146)</f>
      </c>
    </row>
    <row r="147">
      <c r="A147" s="17">
        <f>IFERROR(IF((ROW()-4)&lt;=COUNTA(Workers_ID),INDEX(Workers_ID,(ROW()-4)),IF((ROW()-4)&lt;=COUNTA(Workers_ID)+COUNTA(Laborers_ID),INDEX(Laborers_ID,(ROW()-4)-COUNTA(Workers_ID)),"")),"")</f>
      </c>
      <c r="B147" s="18">
        <f>IF($A147="","",IFERROR(VLOOKUP($A147,Workers_Data,2,FALSE),IFERROR(VLOOKUP($A147,Laborers_Data,2,FALSE),"")))</f>
      </c>
      <c r="C147" s="19">
        <f>IF($A147="","",IF(COUNTIF(Workers_ID,$A147)&gt;0,"Worker",IF(COUNTIF(Laborers_ID,$A147)&gt;0,"Laborer","")))</f>
      </c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15"/>
      <c r="BM147" s="16"/>
      <c r="BN147" s="20">
        <f>IF($A147="","",SUMPRODUCT((MOD(COLUMN($D147:$BM147)-COLUMN($D147),2)=0)*$D147:$BM147))</f>
      </c>
      <c r="BO147" s="21">
        <f>IF($A147="","",SUMPRODUCT((MOD(COLUMN($D147:$BM147)-COLUMN($D147),2)=1)*$D147:$BM147))</f>
      </c>
      <c r="BP147" s="22">
        <f>IF($A147="","",$BN147*IF($C147="Worker",Worker_DailyWage,IF($C147="Laborer",Laborer_DailyWage,0)))</f>
      </c>
      <c r="BQ147" s="22">
        <f>IF($A147="","",$BO147*IF($C147="Worker",Worker_OTRate,IF($C147="Laborer",Laborer_OTRate,0)))</f>
      </c>
      <c r="BR147" s="23">
        <f>IF($A147="","",$BP147+$BQ147)</f>
      </c>
    </row>
    <row r="148">
      <c r="A148" s="17">
        <f>IFERROR(IF((ROW()-4)&lt;=COUNTA(Workers_ID),INDEX(Workers_ID,(ROW()-4)),IF((ROW()-4)&lt;=COUNTA(Workers_ID)+COUNTA(Laborers_ID),INDEX(Laborers_ID,(ROW()-4)-COUNTA(Workers_ID)),"")),"")</f>
      </c>
      <c r="B148" s="18">
        <f>IF($A148="","",IFERROR(VLOOKUP($A148,Workers_Data,2,FALSE),IFERROR(VLOOKUP($A148,Laborers_Data,2,FALSE),"")))</f>
      </c>
      <c r="C148" s="19">
        <f>IF($A148="","",IF(COUNTIF(Workers_ID,$A148)&gt;0,"Worker",IF(COUNTIF(Laborers_ID,$A148)&gt;0,"Laborer","")))</f>
      </c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15"/>
      <c r="BM148" s="16"/>
      <c r="BN148" s="20">
        <f>IF($A148="","",SUMPRODUCT((MOD(COLUMN($D148:$BM148)-COLUMN($D148),2)=0)*$D148:$BM148))</f>
      </c>
      <c r="BO148" s="21">
        <f>IF($A148="","",SUMPRODUCT((MOD(COLUMN($D148:$BM148)-COLUMN($D148),2)=1)*$D148:$BM148))</f>
      </c>
      <c r="BP148" s="22">
        <f>IF($A148="","",$BN148*IF($C148="Worker",Worker_DailyWage,IF($C148="Laborer",Laborer_DailyWage,0)))</f>
      </c>
      <c r="BQ148" s="22">
        <f>IF($A148="","",$BO148*IF($C148="Worker",Worker_OTRate,IF($C148="Laborer",Laborer_OTRate,0)))</f>
      </c>
      <c r="BR148" s="23">
        <f>IF($A148="","",$BP148+$BQ148)</f>
      </c>
    </row>
    <row r="149">
      <c r="A149" s="17">
        <f>IFERROR(IF((ROW()-4)&lt;=COUNTA(Workers_ID),INDEX(Workers_ID,(ROW()-4)),IF((ROW()-4)&lt;=COUNTA(Workers_ID)+COUNTA(Laborers_ID),INDEX(Laborers_ID,(ROW()-4)-COUNTA(Workers_ID)),"")),"")</f>
      </c>
      <c r="B149" s="18">
        <f>IF($A149="","",IFERROR(VLOOKUP($A149,Workers_Data,2,FALSE),IFERROR(VLOOKUP($A149,Laborers_Data,2,FALSE),"")))</f>
      </c>
      <c r="C149" s="19">
        <f>IF($A149="","",IF(COUNTIF(Workers_ID,$A149)&gt;0,"Worker",IF(COUNTIF(Laborers_ID,$A149)&gt;0,"Laborer","")))</f>
      </c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15"/>
      <c r="BM149" s="16"/>
      <c r="BN149" s="20">
        <f>IF($A149="","",SUMPRODUCT((MOD(COLUMN($D149:$BM149)-COLUMN($D149),2)=0)*$D149:$BM149))</f>
      </c>
      <c r="BO149" s="21">
        <f>IF($A149="","",SUMPRODUCT((MOD(COLUMN($D149:$BM149)-COLUMN($D149),2)=1)*$D149:$BM149))</f>
      </c>
      <c r="BP149" s="22">
        <f>IF($A149="","",$BN149*IF($C149="Worker",Worker_DailyWage,IF($C149="Laborer",Laborer_DailyWage,0)))</f>
      </c>
      <c r="BQ149" s="22">
        <f>IF($A149="","",$BO149*IF($C149="Worker",Worker_OTRate,IF($C149="Laborer",Laborer_OTRate,0)))</f>
      </c>
      <c r="BR149" s="23">
        <f>IF($A149="","",$BP149+$BQ149)</f>
      </c>
    </row>
    <row r="150">
      <c r="A150" s="17">
        <f>IFERROR(IF((ROW()-4)&lt;=COUNTA(Workers_ID),INDEX(Workers_ID,(ROW()-4)),IF((ROW()-4)&lt;=COUNTA(Workers_ID)+COUNTA(Laborers_ID),INDEX(Laborers_ID,(ROW()-4)-COUNTA(Workers_ID)),"")),"")</f>
      </c>
      <c r="B150" s="18">
        <f>IF($A150="","",IFERROR(VLOOKUP($A150,Workers_Data,2,FALSE),IFERROR(VLOOKUP($A150,Laborers_Data,2,FALSE),"")))</f>
      </c>
      <c r="C150" s="19">
        <f>IF($A150="","",IF(COUNTIF(Workers_ID,$A150)&gt;0,"Worker",IF(COUNTIF(Laborers_ID,$A150)&gt;0,"Laborer","")))</f>
      </c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15"/>
      <c r="BM150" s="16"/>
      <c r="BN150" s="20">
        <f>IF($A150="","",SUMPRODUCT((MOD(COLUMN($D150:$BM150)-COLUMN($D150),2)=0)*$D150:$BM150))</f>
      </c>
      <c r="BO150" s="21">
        <f>IF($A150="","",SUMPRODUCT((MOD(COLUMN($D150:$BM150)-COLUMN($D150),2)=1)*$D150:$BM150))</f>
      </c>
      <c r="BP150" s="22">
        <f>IF($A150="","",$BN150*IF($C150="Worker",Worker_DailyWage,IF($C150="Laborer",Laborer_DailyWage,0)))</f>
      </c>
      <c r="BQ150" s="22">
        <f>IF($A150="","",$BO150*IF($C150="Worker",Worker_OTRate,IF($C150="Laborer",Laborer_OTRate,0)))</f>
      </c>
      <c r="BR150" s="23">
        <f>IF($A150="","",$BP150+$BQ150)</f>
      </c>
    </row>
    <row r="151">
      <c r="A151" s="17">
        <f>IFERROR(IF((ROW()-4)&lt;=COUNTA(Workers_ID),INDEX(Workers_ID,(ROW()-4)),IF((ROW()-4)&lt;=COUNTA(Workers_ID)+COUNTA(Laborers_ID),INDEX(Laborers_ID,(ROW()-4)-COUNTA(Workers_ID)),"")),"")</f>
      </c>
      <c r="B151" s="18">
        <f>IF($A151="","",IFERROR(VLOOKUP($A151,Workers_Data,2,FALSE),IFERROR(VLOOKUP($A151,Laborers_Data,2,FALSE),"")))</f>
      </c>
      <c r="C151" s="19">
        <f>IF($A151="","",IF(COUNTIF(Workers_ID,$A151)&gt;0,"Worker",IF(COUNTIF(Laborers_ID,$A151)&gt;0,"Laborer","")))</f>
      </c>
      <c r="D151" s="15"/>
      <c r="E151" s="16"/>
      <c r="F151" s="15"/>
      <c r="G151" s="16"/>
      <c r="H151" s="15"/>
      <c r="I151" s="16"/>
      <c r="J151" s="15"/>
      <c r="K151" s="16"/>
      <c r="L151" s="15"/>
      <c r="M151" s="16"/>
      <c r="N151" s="15"/>
      <c r="O151" s="16"/>
      <c r="P151" s="15"/>
      <c r="Q151" s="16"/>
      <c r="R151" s="15"/>
      <c r="S151" s="16"/>
      <c r="T151" s="15"/>
      <c r="U151" s="16"/>
      <c r="V151" s="15"/>
      <c r="W151" s="16"/>
      <c r="X151" s="15"/>
      <c r="Y151" s="16"/>
      <c r="Z151" s="15"/>
      <c r="AA151" s="16"/>
      <c r="AB151" s="15"/>
      <c r="AC151" s="16"/>
      <c r="AD151" s="15"/>
      <c r="AE151" s="16"/>
      <c r="AF151" s="15"/>
      <c r="AG151" s="16"/>
      <c r="AH151" s="15"/>
      <c r="AI151" s="16"/>
      <c r="AJ151" s="15"/>
      <c r="AK151" s="16"/>
      <c r="AL151" s="15"/>
      <c r="AM151" s="16"/>
      <c r="AN151" s="15"/>
      <c r="AO151" s="16"/>
      <c r="AP151" s="15"/>
      <c r="AQ151" s="16"/>
      <c r="AR151" s="15"/>
      <c r="AS151" s="16"/>
      <c r="AT151" s="15"/>
      <c r="AU151" s="16"/>
      <c r="AV151" s="15"/>
      <c r="AW151" s="16"/>
      <c r="AX151" s="15"/>
      <c r="AY151" s="16"/>
      <c r="AZ151" s="15"/>
      <c r="BA151" s="16"/>
      <c r="BB151" s="15"/>
      <c r="BC151" s="16"/>
      <c r="BD151" s="15"/>
      <c r="BE151" s="16"/>
      <c r="BF151" s="15"/>
      <c r="BG151" s="16"/>
      <c r="BH151" s="15"/>
      <c r="BI151" s="16"/>
      <c r="BJ151" s="15"/>
      <c r="BK151" s="16"/>
      <c r="BL151" s="15"/>
      <c r="BM151" s="16"/>
      <c r="BN151" s="20">
        <f>IF($A151="","",SUMPRODUCT((MOD(COLUMN($D151:$BM151)-COLUMN($D151),2)=0)*$D151:$BM151))</f>
      </c>
      <c r="BO151" s="21">
        <f>IF($A151="","",SUMPRODUCT((MOD(COLUMN($D151:$BM151)-COLUMN($D151),2)=1)*$D151:$BM151))</f>
      </c>
      <c r="BP151" s="22">
        <f>IF($A151="","",$BN151*IF($C151="Worker",Worker_DailyWage,IF($C151="Laborer",Laborer_DailyWage,0)))</f>
      </c>
      <c r="BQ151" s="22">
        <f>IF($A151="","",$BO151*IF($C151="Worker",Worker_OTRate,IF($C151="Laborer",Laborer_OTRate,0)))</f>
      </c>
      <c r="BR151" s="23">
        <f>IF($A151="","",$BP151+$BQ151)</f>
      </c>
    </row>
    <row r="152">
      <c r="A152" s="17">
        <f>IFERROR(IF((ROW()-4)&lt;=COUNTA(Workers_ID),INDEX(Workers_ID,(ROW()-4)),IF((ROW()-4)&lt;=COUNTA(Workers_ID)+COUNTA(Laborers_ID),INDEX(Laborers_ID,(ROW()-4)-COUNTA(Workers_ID)),"")),"")</f>
      </c>
      <c r="B152" s="18">
        <f>IF($A152="","",IFERROR(VLOOKUP($A152,Workers_Data,2,FALSE),IFERROR(VLOOKUP($A152,Laborers_Data,2,FALSE),"")))</f>
      </c>
      <c r="C152" s="19">
        <f>IF($A152="","",IF(COUNTIF(Workers_ID,$A152)&gt;0,"Worker",IF(COUNTIF(Laborers_ID,$A152)&gt;0,"Laborer","")))</f>
      </c>
      <c r="D152" s="15"/>
      <c r="E152" s="16"/>
      <c r="F152" s="15"/>
      <c r="G152" s="16"/>
      <c r="H152" s="15"/>
      <c r="I152" s="16"/>
      <c r="J152" s="15"/>
      <c r="K152" s="16"/>
      <c r="L152" s="15"/>
      <c r="M152" s="16"/>
      <c r="N152" s="15"/>
      <c r="O152" s="16"/>
      <c r="P152" s="15"/>
      <c r="Q152" s="16"/>
      <c r="R152" s="15"/>
      <c r="S152" s="16"/>
      <c r="T152" s="15"/>
      <c r="U152" s="16"/>
      <c r="V152" s="15"/>
      <c r="W152" s="16"/>
      <c r="X152" s="15"/>
      <c r="Y152" s="16"/>
      <c r="Z152" s="15"/>
      <c r="AA152" s="16"/>
      <c r="AB152" s="15"/>
      <c r="AC152" s="16"/>
      <c r="AD152" s="15"/>
      <c r="AE152" s="16"/>
      <c r="AF152" s="15"/>
      <c r="AG152" s="16"/>
      <c r="AH152" s="15"/>
      <c r="AI152" s="16"/>
      <c r="AJ152" s="15"/>
      <c r="AK152" s="16"/>
      <c r="AL152" s="15"/>
      <c r="AM152" s="16"/>
      <c r="AN152" s="15"/>
      <c r="AO152" s="16"/>
      <c r="AP152" s="15"/>
      <c r="AQ152" s="16"/>
      <c r="AR152" s="15"/>
      <c r="AS152" s="16"/>
      <c r="AT152" s="15"/>
      <c r="AU152" s="16"/>
      <c r="AV152" s="15"/>
      <c r="AW152" s="16"/>
      <c r="AX152" s="15"/>
      <c r="AY152" s="16"/>
      <c r="AZ152" s="15"/>
      <c r="BA152" s="16"/>
      <c r="BB152" s="15"/>
      <c r="BC152" s="16"/>
      <c r="BD152" s="15"/>
      <c r="BE152" s="16"/>
      <c r="BF152" s="15"/>
      <c r="BG152" s="16"/>
      <c r="BH152" s="15"/>
      <c r="BI152" s="16"/>
      <c r="BJ152" s="15"/>
      <c r="BK152" s="16"/>
      <c r="BL152" s="15"/>
      <c r="BM152" s="16"/>
      <c r="BN152" s="20">
        <f>IF($A152="","",SUMPRODUCT((MOD(COLUMN($D152:$BM152)-COLUMN($D152),2)=0)*$D152:$BM152))</f>
      </c>
      <c r="BO152" s="21">
        <f>IF($A152="","",SUMPRODUCT((MOD(COLUMN($D152:$BM152)-COLUMN($D152),2)=1)*$D152:$BM152))</f>
      </c>
      <c r="BP152" s="22">
        <f>IF($A152="","",$BN152*IF($C152="Worker",Worker_DailyWage,IF($C152="Laborer",Laborer_DailyWage,0)))</f>
      </c>
      <c r="BQ152" s="22">
        <f>IF($A152="","",$BO152*IF($C152="Worker",Worker_OTRate,IF($C152="Laborer",Laborer_OTRate,0)))</f>
      </c>
      <c r="BR152" s="23">
        <f>IF($A152="","",$BP152+$BQ152)</f>
      </c>
    </row>
    <row r="153">
      <c r="A153" s="17">
        <f>IFERROR(IF((ROW()-4)&lt;=COUNTA(Workers_ID),INDEX(Workers_ID,(ROW()-4)),IF((ROW()-4)&lt;=COUNTA(Workers_ID)+COUNTA(Laborers_ID),INDEX(Laborers_ID,(ROW()-4)-COUNTA(Workers_ID)),"")),"")</f>
      </c>
      <c r="B153" s="18">
        <f>IF($A153="","",IFERROR(VLOOKUP($A153,Workers_Data,2,FALSE),IFERROR(VLOOKUP($A153,Laborers_Data,2,FALSE),"")))</f>
      </c>
      <c r="C153" s="19">
        <f>IF($A153="","",IF(COUNTIF(Workers_ID,$A153)&gt;0,"Worker",IF(COUNTIF(Laborers_ID,$A153)&gt;0,"Laborer","")))</f>
      </c>
      <c r="D153" s="15"/>
      <c r="E153" s="16"/>
      <c r="F153" s="15"/>
      <c r="G153" s="16"/>
      <c r="H153" s="15"/>
      <c r="I153" s="16"/>
      <c r="J153" s="15"/>
      <c r="K153" s="16"/>
      <c r="L153" s="15"/>
      <c r="M153" s="16"/>
      <c r="N153" s="15"/>
      <c r="O153" s="16"/>
      <c r="P153" s="15"/>
      <c r="Q153" s="16"/>
      <c r="R153" s="15"/>
      <c r="S153" s="16"/>
      <c r="T153" s="15"/>
      <c r="U153" s="16"/>
      <c r="V153" s="15"/>
      <c r="W153" s="16"/>
      <c r="X153" s="15"/>
      <c r="Y153" s="16"/>
      <c r="Z153" s="15"/>
      <c r="AA153" s="16"/>
      <c r="AB153" s="15"/>
      <c r="AC153" s="16"/>
      <c r="AD153" s="15"/>
      <c r="AE153" s="16"/>
      <c r="AF153" s="15"/>
      <c r="AG153" s="16"/>
      <c r="AH153" s="15"/>
      <c r="AI153" s="16"/>
      <c r="AJ153" s="15"/>
      <c r="AK153" s="16"/>
      <c r="AL153" s="15"/>
      <c r="AM153" s="16"/>
      <c r="AN153" s="15"/>
      <c r="AO153" s="16"/>
      <c r="AP153" s="15"/>
      <c r="AQ153" s="16"/>
      <c r="AR153" s="15"/>
      <c r="AS153" s="16"/>
      <c r="AT153" s="15"/>
      <c r="AU153" s="16"/>
      <c r="AV153" s="15"/>
      <c r="AW153" s="16"/>
      <c r="AX153" s="15"/>
      <c r="AY153" s="16"/>
      <c r="AZ153" s="15"/>
      <c r="BA153" s="16"/>
      <c r="BB153" s="15"/>
      <c r="BC153" s="16"/>
      <c r="BD153" s="15"/>
      <c r="BE153" s="16"/>
      <c r="BF153" s="15"/>
      <c r="BG153" s="16"/>
      <c r="BH153" s="15"/>
      <c r="BI153" s="16"/>
      <c r="BJ153" s="15"/>
      <c r="BK153" s="16"/>
      <c r="BL153" s="15"/>
      <c r="BM153" s="16"/>
      <c r="BN153" s="20">
        <f>IF($A153="","",SUMPRODUCT((MOD(COLUMN($D153:$BM153)-COLUMN($D153),2)=0)*$D153:$BM153))</f>
      </c>
      <c r="BO153" s="21">
        <f>IF($A153="","",SUMPRODUCT((MOD(COLUMN($D153:$BM153)-COLUMN($D153),2)=1)*$D153:$BM153))</f>
      </c>
      <c r="BP153" s="22">
        <f>IF($A153="","",$BN153*IF($C153="Worker",Worker_DailyWage,IF($C153="Laborer",Laborer_DailyWage,0)))</f>
      </c>
      <c r="BQ153" s="22">
        <f>IF($A153="","",$BO153*IF($C153="Worker",Worker_OTRate,IF($C153="Laborer",Laborer_OTRate,0)))</f>
      </c>
      <c r="BR153" s="23">
        <f>IF($A153="","",$BP153+$BQ153)</f>
      </c>
    </row>
    <row r="154">
      <c r="A154" s="17">
        <f>IFERROR(IF((ROW()-4)&lt;=COUNTA(Workers_ID),INDEX(Workers_ID,(ROW()-4)),IF((ROW()-4)&lt;=COUNTA(Workers_ID)+COUNTA(Laborers_ID),INDEX(Laborers_ID,(ROW()-4)-COUNTA(Workers_ID)),"")),"")</f>
      </c>
      <c r="B154" s="18">
        <f>IF($A154="","",IFERROR(VLOOKUP($A154,Workers_Data,2,FALSE),IFERROR(VLOOKUP($A154,Laborers_Data,2,FALSE),"")))</f>
      </c>
      <c r="C154" s="19">
        <f>IF($A154="","",IF(COUNTIF(Workers_ID,$A154)&gt;0,"Worker",IF(COUNTIF(Laborers_ID,$A154)&gt;0,"Laborer","")))</f>
      </c>
      <c r="D154" s="15"/>
      <c r="E154" s="16"/>
      <c r="F154" s="15"/>
      <c r="G154" s="16"/>
      <c r="H154" s="15"/>
      <c r="I154" s="16"/>
      <c r="J154" s="15"/>
      <c r="K154" s="16"/>
      <c r="L154" s="15"/>
      <c r="M154" s="16"/>
      <c r="N154" s="15"/>
      <c r="O154" s="16"/>
      <c r="P154" s="15"/>
      <c r="Q154" s="16"/>
      <c r="R154" s="15"/>
      <c r="S154" s="16"/>
      <c r="T154" s="15"/>
      <c r="U154" s="16"/>
      <c r="V154" s="15"/>
      <c r="W154" s="16"/>
      <c r="X154" s="15"/>
      <c r="Y154" s="16"/>
      <c r="Z154" s="15"/>
      <c r="AA154" s="16"/>
      <c r="AB154" s="15"/>
      <c r="AC154" s="16"/>
      <c r="AD154" s="15"/>
      <c r="AE154" s="16"/>
      <c r="AF154" s="15"/>
      <c r="AG154" s="16"/>
      <c r="AH154" s="15"/>
      <c r="AI154" s="16"/>
      <c r="AJ154" s="15"/>
      <c r="AK154" s="16"/>
      <c r="AL154" s="15"/>
      <c r="AM154" s="16"/>
      <c r="AN154" s="15"/>
      <c r="AO154" s="16"/>
      <c r="AP154" s="15"/>
      <c r="AQ154" s="16"/>
      <c r="AR154" s="15"/>
      <c r="AS154" s="16"/>
      <c r="AT154" s="15"/>
      <c r="AU154" s="16"/>
      <c r="AV154" s="15"/>
      <c r="AW154" s="16"/>
      <c r="AX154" s="15"/>
      <c r="AY154" s="16"/>
      <c r="AZ154" s="15"/>
      <c r="BA154" s="16"/>
      <c r="BB154" s="15"/>
      <c r="BC154" s="16"/>
      <c r="BD154" s="15"/>
      <c r="BE154" s="16"/>
      <c r="BF154" s="15"/>
      <c r="BG154" s="16"/>
      <c r="BH154" s="15"/>
      <c r="BI154" s="16"/>
      <c r="BJ154" s="15"/>
      <c r="BK154" s="16"/>
      <c r="BL154" s="15"/>
      <c r="BM154" s="16"/>
      <c r="BN154" s="20">
        <f>IF($A154="","",SUMPRODUCT((MOD(COLUMN($D154:$BM154)-COLUMN($D154),2)=0)*$D154:$BM154))</f>
      </c>
      <c r="BO154" s="21">
        <f>IF($A154="","",SUMPRODUCT((MOD(COLUMN($D154:$BM154)-COLUMN($D154),2)=1)*$D154:$BM154))</f>
      </c>
      <c r="BP154" s="22">
        <f>IF($A154="","",$BN154*IF($C154="Worker",Worker_DailyWage,IF($C154="Laborer",Laborer_DailyWage,0)))</f>
      </c>
      <c r="BQ154" s="22">
        <f>IF($A154="","",$BO154*IF($C154="Worker",Worker_OTRate,IF($C154="Laborer",Laborer_OTRate,0)))</f>
      </c>
      <c r="BR154" s="23">
        <f>IF($A154="","",$BP154+$BQ154)</f>
      </c>
    </row>
    <row r="155">
      <c r="A155" s="17">
        <f>IFERROR(IF((ROW()-4)&lt;=COUNTA(Workers_ID),INDEX(Workers_ID,(ROW()-4)),IF((ROW()-4)&lt;=COUNTA(Workers_ID)+COUNTA(Laborers_ID),INDEX(Laborers_ID,(ROW()-4)-COUNTA(Workers_ID)),"")),"")</f>
      </c>
      <c r="B155" s="18">
        <f>IF($A155="","",IFERROR(VLOOKUP($A155,Workers_Data,2,FALSE),IFERROR(VLOOKUP($A155,Laborers_Data,2,FALSE),"")))</f>
      </c>
      <c r="C155" s="19">
        <f>IF($A155="","",IF(COUNTIF(Workers_ID,$A155)&gt;0,"Worker",IF(COUNTIF(Laborers_ID,$A155)&gt;0,"Laborer","")))</f>
      </c>
      <c r="D155" s="15"/>
      <c r="E155" s="16"/>
      <c r="F155" s="15"/>
      <c r="G155" s="16"/>
      <c r="H155" s="15"/>
      <c r="I155" s="16"/>
      <c r="J155" s="15"/>
      <c r="K155" s="16"/>
      <c r="L155" s="15"/>
      <c r="M155" s="16"/>
      <c r="N155" s="15"/>
      <c r="O155" s="16"/>
      <c r="P155" s="15"/>
      <c r="Q155" s="16"/>
      <c r="R155" s="15"/>
      <c r="S155" s="16"/>
      <c r="T155" s="15"/>
      <c r="U155" s="16"/>
      <c r="V155" s="15"/>
      <c r="W155" s="16"/>
      <c r="X155" s="15"/>
      <c r="Y155" s="16"/>
      <c r="Z155" s="15"/>
      <c r="AA155" s="16"/>
      <c r="AB155" s="15"/>
      <c r="AC155" s="16"/>
      <c r="AD155" s="15"/>
      <c r="AE155" s="16"/>
      <c r="AF155" s="15"/>
      <c r="AG155" s="16"/>
      <c r="AH155" s="15"/>
      <c r="AI155" s="16"/>
      <c r="AJ155" s="15"/>
      <c r="AK155" s="16"/>
      <c r="AL155" s="15"/>
      <c r="AM155" s="16"/>
      <c r="AN155" s="15"/>
      <c r="AO155" s="16"/>
      <c r="AP155" s="15"/>
      <c r="AQ155" s="16"/>
      <c r="AR155" s="15"/>
      <c r="AS155" s="16"/>
      <c r="AT155" s="15"/>
      <c r="AU155" s="16"/>
      <c r="AV155" s="15"/>
      <c r="AW155" s="16"/>
      <c r="AX155" s="15"/>
      <c r="AY155" s="16"/>
      <c r="AZ155" s="15"/>
      <c r="BA155" s="16"/>
      <c r="BB155" s="15"/>
      <c r="BC155" s="16"/>
      <c r="BD155" s="15"/>
      <c r="BE155" s="16"/>
      <c r="BF155" s="15"/>
      <c r="BG155" s="16"/>
      <c r="BH155" s="15"/>
      <c r="BI155" s="16"/>
      <c r="BJ155" s="15"/>
      <c r="BK155" s="16"/>
      <c r="BL155" s="15"/>
      <c r="BM155" s="16"/>
      <c r="BN155" s="20">
        <f>IF($A155="","",SUMPRODUCT((MOD(COLUMN($D155:$BM155)-COLUMN($D155),2)=0)*$D155:$BM155))</f>
      </c>
      <c r="BO155" s="21">
        <f>IF($A155="","",SUMPRODUCT((MOD(COLUMN($D155:$BM155)-COLUMN($D155),2)=1)*$D155:$BM155))</f>
      </c>
      <c r="BP155" s="22">
        <f>IF($A155="","",$BN155*IF($C155="Worker",Worker_DailyWage,IF($C155="Laborer",Laborer_DailyWage,0)))</f>
      </c>
      <c r="BQ155" s="22">
        <f>IF($A155="","",$BO155*IF($C155="Worker",Worker_OTRate,IF($C155="Laborer",Laborer_OTRate,0)))</f>
      </c>
      <c r="BR155" s="23">
        <f>IF($A155="","",$BP155+$BQ155)</f>
      </c>
    </row>
    <row r="156">
      <c r="A156" s="17">
        <f>IFERROR(IF((ROW()-4)&lt;=COUNTA(Workers_ID),INDEX(Workers_ID,(ROW()-4)),IF((ROW()-4)&lt;=COUNTA(Workers_ID)+COUNTA(Laborers_ID),INDEX(Laborers_ID,(ROW()-4)-COUNTA(Workers_ID)),"")),"")</f>
      </c>
      <c r="B156" s="18">
        <f>IF($A156="","",IFERROR(VLOOKUP($A156,Workers_Data,2,FALSE),IFERROR(VLOOKUP($A156,Laborers_Data,2,FALSE),"")))</f>
      </c>
      <c r="C156" s="19">
        <f>IF($A156="","",IF(COUNTIF(Workers_ID,$A156)&gt;0,"Worker",IF(COUNTIF(Laborers_ID,$A156)&gt;0,"Laborer","")))</f>
      </c>
      <c r="D156" s="15"/>
      <c r="E156" s="16"/>
      <c r="F156" s="15"/>
      <c r="G156" s="16"/>
      <c r="H156" s="15"/>
      <c r="I156" s="16"/>
      <c r="J156" s="15"/>
      <c r="K156" s="16"/>
      <c r="L156" s="15"/>
      <c r="M156" s="16"/>
      <c r="N156" s="15"/>
      <c r="O156" s="16"/>
      <c r="P156" s="15"/>
      <c r="Q156" s="16"/>
      <c r="R156" s="15"/>
      <c r="S156" s="16"/>
      <c r="T156" s="15"/>
      <c r="U156" s="16"/>
      <c r="V156" s="15"/>
      <c r="W156" s="16"/>
      <c r="X156" s="15"/>
      <c r="Y156" s="16"/>
      <c r="Z156" s="15"/>
      <c r="AA156" s="16"/>
      <c r="AB156" s="15"/>
      <c r="AC156" s="16"/>
      <c r="AD156" s="15"/>
      <c r="AE156" s="16"/>
      <c r="AF156" s="15"/>
      <c r="AG156" s="16"/>
      <c r="AH156" s="15"/>
      <c r="AI156" s="16"/>
      <c r="AJ156" s="15"/>
      <c r="AK156" s="16"/>
      <c r="AL156" s="15"/>
      <c r="AM156" s="16"/>
      <c r="AN156" s="15"/>
      <c r="AO156" s="16"/>
      <c r="AP156" s="15"/>
      <c r="AQ156" s="16"/>
      <c r="AR156" s="15"/>
      <c r="AS156" s="16"/>
      <c r="AT156" s="15"/>
      <c r="AU156" s="16"/>
      <c r="AV156" s="15"/>
      <c r="AW156" s="16"/>
      <c r="AX156" s="15"/>
      <c r="AY156" s="16"/>
      <c r="AZ156" s="15"/>
      <c r="BA156" s="16"/>
      <c r="BB156" s="15"/>
      <c r="BC156" s="16"/>
      <c r="BD156" s="15"/>
      <c r="BE156" s="16"/>
      <c r="BF156" s="15"/>
      <c r="BG156" s="16"/>
      <c r="BH156" s="15"/>
      <c r="BI156" s="16"/>
      <c r="BJ156" s="15"/>
      <c r="BK156" s="16"/>
      <c r="BL156" s="15"/>
      <c r="BM156" s="16"/>
      <c r="BN156" s="20">
        <f>IF($A156="","",SUMPRODUCT((MOD(COLUMN($D156:$BM156)-COLUMN($D156),2)=0)*$D156:$BM156))</f>
      </c>
      <c r="BO156" s="21">
        <f>IF($A156="","",SUMPRODUCT((MOD(COLUMN($D156:$BM156)-COLUMN($D156),2)=1)*$D156:$BM156))</f>
      </c>
      <c r="BP156" s="22">
        <f>IF($A156="","",$BN156*IF($C156="Worker",Worker_DailyWage,IF($C156="Laborer",Laborer_DailyWage,0)))</f>
      </c>
      <c r="BQ156" s="22">
        <f>IF($A156="","",$BO156*IF($C156="Worker",Worker_OTRate,IF($C156="Laborer",Laborer_OTRate,0)))</f>
      </c>
      <c r="BR156" s="23">
        <f>IF($A156="","",$BP156+$BQ156)</f>
      </c>
    </row>
    <row r="157">
      <c r="A157" s="17">
        <f>IFERROR(IF((ROW()-4)&lt;=COUNTA(Workers_ID),INDEX(Workers_ID,(ROW()-4)),IF((ROW()-4)&lt;=COUNTA(Workers_ID)+COUNTA(Laborers_ID),INDEX(Laborers_ID,(ROW()-4)-COUNTA(Workers_ID)),"")),"")</f>
      </c>
      <c r="B157" s="18">
        <f>IF($A157="","",IFERROR(VLOOKUP($A157,Workers_Data,2,FALSE),IFERROR(VLOOKUP($A157,Laborers_Data,2,FALSE),"")))</f>
      </c>
      <c r="C157" s="19">
        <f>IF($A157="","",IF(COUNTIF(Workers_ID,$A157)&gt;0,"Worker",IF(COUNTIF(Laborers_ID,$A157)&gt;0,"Laborer","")))</f>
      </c>
      <c r="D157" s="15"/>
      <c r="E157" s="16"/>
      <c r="F157" s="15"/>
      <c r="G157" s="16"/>
      <c r="H157" s="15"/>
      <c r="I157" s="16"/>
      <c r="J157" s="15"/>
      <c r="K157" s="16"/>
      <c r="L157" s="15"/>
      <c r="M157" s="16"/>
      <c r="N157" s="15"/>
      <c r="O157" s="16"/>
      <c r="P157" s="15"/>
      <c r="Q157" s="16"/>
      <c r="R157" s="15"/>
      <c r="S157" s="16"/>
      <c r="T157" s="15"/>
      <c r="U157" s="16"/>
      <c r="V157" s="15"/>
      <c r="W157" s="16"/>
      <c r="X157" s="15"/>
      <c r="Y157" s="16"/>
      <c r="Z157" s="15"/>
      <c r="AA157" s="16"/>
      <c r="AB157" s="15"/>
      <c r="AC157" s="16"/>
      <c r="AD157" s="15"/>
      <c r="AE157" s="16"/>
      <c r="AF157" s="15"/>
      <c r="AG157" s="16"/>
      <c r="AH157" s="15"/>
      <c r="AI157" s="16"/>
      <c r="AJ157" s="15"/>
      <c r="AK157" s="16"/>
      <c r="AL157" s="15"/>
      <c r="AM157" s="16"/>
      <c r="AN157" s="15"/>
      <c r="AO157" s="16"/>
      <c r="AP157" s="15"/>
      <c r="AQ157" s="16"/>
      <c r="AR157" s="15"/>
      <c r="AS157" s="16"/>
      <c r="AT157" s="15"/>
      <c r="AU157" s="16"/>
      <c r="AV157" s="15"/>
      <c r="AW157" s="16"/>
      <c r="AX157" s="15"/>
      <c r="AY157" s="16"/>
      <c r="AZ157" s="15"/>
      <c r="BA157" s="16"/>
      <c r="BB157" s="15"/>
      <c r="BC157" s="16"/>
      <c r="BD157" s="15"/>
      <c r="BE157" s="16"/>
      <c r="BF157" s="15"/>
      <c r="BG157" s="16"/>
      <c r="BH157" s="15"/>
      <c r="BI157" s="16"/>
      <c r="BJ157" s="15"/>
      <c r="BK157" s="16"/>
      <c r="BL157" s="15"/>
      <c r="BM157" s="16"/>
      <c r="BN157" s="20">
        <f>IF($A157="","",SUMPRODUCT((MOD(COLUMN($D157:$BM157)-COLUMN($D157),2)=0)*$D157:$BM157))</f>
      </c>
      <c r="BO157" s="21">
        <f>IF($A157="","",SUMPRODUCT((MOD(COLUMN($D157:$BM157)-COLUMN($D157),2)=1)*$D157:$BM157))</f>
      </c>
      <c r="BP157" s="22">
        <f>IF($A157="","",$BN157*IF($C157="Worker",Worker_DailyWage,IF($C157="Laborer",Laborer_DailyWage,0)))</f>
      </c>
      <c r="BQ157" s="22">
        <f>IF($A157="","",$BO157*IF($C157="Worker",Worker_OTRate,IF($C157="Laborer",Laborer_OTRate,0)))</f>
      </c>
      <c r="BR157" s="23">
        <f>IF($A157="","",$BP157+$BQ157)</f>
      </c>
    </row>
    <row r="158">
      <c r="A158" s="17">
        <f>IFERROR(IF((ROW()-4)&lt;=COUNTA(Workers_ID),INDEX(Workers_ID,(ROW()-4)),IF((ROW()-4)&lt;=COUNTA(Workers_ID)+COUNTA(Laborers_ID),INDEX(Laborers_ID,(ROW()-4)-COUNTA(Workers_ID)),"")),"")</f>
      </c>
      <c r="B158" s="18">
        <f>IF($A158="","",IFERROR(VLOOKUP($A158,Workers_Data,2,FALSE),IFERROR(VLOOKUP($A158,Laborers_Data,2,FALSE),"")))</f>
      </c>
      <c r="C158" s="19">
        <f>IF($A158="","",IF(COUNTIF(Workers_ID,$A158)&gt;0,"Worker",IF(COUNTIF(Laborers_ID,$A158)&gt;0,"Laborer","")))</f>
      </c>
      <c r="D158" s="15"/>
      <c r="E158" s="16"/>
      <c r="F158" s="15"/>
      <c r="G158" s="16"/>
      <c r="H158" s="15"/>
      <c r="I158" s="16"/>
      <c r="J158" s="15"/>
      <c r="K158" s="16"/>
      <c r="L158" s="15"/>
      <c r="M158" s="16"/>
      <c r="N158" s="15"/>
      <c r="O158" s="16"/>
      <c r="P158" s="15"/>
      <c r="Q158" s="16"/>
      <c r="R158" s="15"/>
      <c r="S158" s="16"/>
      <c r="T158" s="15"/>
      <c r="U158" s="16"/>
      <c r="V158" s="15"/>
      <c r="W158" s="16"/>
      <c r="X158" s="15"/>
      <c r="Y158" s="16"/>
      <c r="Z158" s="15"/>
      <c r="AA158" s="16"/>
      <c r="AB158" s="15"/>
      <c r="AC158" s="16"/>
      <c r="AD158" s="15"/>
      <c r="AE158" s="16"/>
      <c r="AF158" s="15"/>
      <c r="AG158" s="16"/>
      <c r="AH158" s="15"/>
      <c r="AI158" s="16"/>
      <c r="AJ158" s="15"/>
      <c r="AK158" s="16"/>
      <c r="AL158" s="15"/>
      <c r="AM158" s="16"/>
      <c r="AN158" s="15"/>
      <c r="AO158" s="16"/>
      <c r="AP158" s="15"/>
      <c r="AQ158" s="16"/>
      <c r="AR158" s="15"/>
      <c r="AS158" s="16"/>
      <c r="AT158" s="15"/>
      <c r="AU158" s="16"/>
      <c r="AV158" s="15"/>
      <c r="AW158" s="16"/>
      <c r="AX158" s="15"/>
      <c r="AY158" s="16"/>
      <c r="AZ158" s="15"/>
      <c r="BA158" s="16"/>
      <c r="BB158" s="15"/>
      <c r="BC158" s="16"/>
      <c r="BD158" s="15"/>
      <c r="BE158" s="16"/>
      <c r="BF158" s="15"/>
      <c r="BG158" s="16"/>
      <c r="BH158" s="15"/>
      <c r="BI158" s="16"/>
      <c r="BJ158" s="15"/>
      <c r="BK158" s="16"/>
      <c r="BL158" s="15"/>
      <c r="BM158" s="16"/>
      <c r="BN158" s="20">
        <f>IF($A158="","",SUMPRODUCT((MOD(COLUMN($D158:$BM158)-COLUMN($D158),2)=0)*$D158:$BM158))</f>
      </c>
      <c r="BO158" s="21">
        <f>IF($A158="","",SUMPRODUCT((MOD(COLUMN($D158:$BM158)-COLUMN($D158),2)=1)*$D158:$BM158))</f>
      </c>
      <c r="BP158" s="22">
        <f>IF($A158="","",$BN158*IF($C158="Worker",Worker_DailyWage,IF($C158="Laborer",Laborer_DailyWage,0)))</f>
      </c>
      <c r="BQ158" s="22">
        <f>IF($A158="","",$BO158*IF($C158="Worker",Worker_OTRate,IF($C158="Laborer",Laborer_OTRate,0)))</f>
      </c>
      <c r="BR158" s="23">
        <f>IF($A158="","",$BP158+$BQ158)</f>
      </c>
    </row>
    <row r="159">
      <c r="A159" s="17">
        <f>IFERROR(IF((ROW()-4)&lt;=COUNTA(Workers_ID),INDEX(Workers_ID,(ROW()-4)),IF((ROW()-4)&lt;=COUNTA(Workers_ID)+COUNTA(Laborers_ID),INDEX(Laborers_ID,(ROW()-4)-COUNTA(Workers_ID)),"")),"")</f>
      </c>
      <c r="B159" s="18">
        <f>IF($A159="","",IFERROR(VLOOKUP($A159,Workers_Data,2,FALSE),IFERROR(VLOOKUP($A159,Laborers_Data,2,FALSE),"")))</f>
      </c>
      <c r="C159" s="19">
        <f>IF($A159="","",IF(COUNTIF(Workers_ID,$A159)&gt;0,"Worker",IF(COUNTIF(Laborers_ID,$A159)&gt;0,"Laborer","")))</f>
      </c>
      <c r="D159" s="15"/>
      <c r="E159" s="16"/>
      <c r="F159" s="15"/>
      <c r="G159" s="16"/>
      <c r="H159" s="15"/>
      <c r="I159" s="16"/>
      <c r="J159" s="15"/>
      <c r="K159" s="16"/>
      <c r="L159" s="15"/>
      <c r="M159" s="16"/>
      <c r="N159" s="15"/>
      <c r="O159" s="16"/>
      <c r="P159" s="15"/>
      <c r="Q159" s="16"/>
      <c r="R159" s="15"/>
      <c r="S159" s="16"/>
      <c r="T159" s="15"/>
      <c r="U159" s="16"/>
      <c r="V159" s="15"/>
      <c r="W159" s="16"/>
      <c r="X159" s="15"/>
      <c r="Y159" s="16"/>
      <c r="Z159" s="15"/>
      <c r="AA159" s="16"/>
      <c r="AB159" s="15"/>
      <c r="AC159" s="16"/>
      <c r="AD159" s="15"/>
      <c r="AE159" s="16"/>
      <c r="AF159" s="15"/>
      <c r="AG159" s="16"/>
      <c r="AH159" s="15"/>
      <c r="AI159" s="16"/>
      <c r="AJ159" s="15"/>
      <c r="AK159" s="16"/>
      <c r="AL159" s="15"/>
      <c r="AM159" s="16"/>
      <c r="AN159" s="15"/>
      <c r="AO159" s="16"/>
      <c r="AP159" s="15"/>
      <c r="AQ159" s="16"/>
      <c r="AR159" s="15"/>
      <c r="AS159" s="16"/>
      <c r="AT159" s="15"/>
      <c r="AU159" s="16"/>
      <c r="AV159" s="15"/>
      <c r="AW159" s="16"/>
      <c r="AX159" s="15"/>
      <c r="AY159" s="16"/>
      <c r="AZ159" s="15"/>
      <c r="BA159" s="16"/>
      <c r="BB159" s="15"/>
      <c r="BC159" s="16"/>
      <c r="BD159" s="15"/>
      <c r="BE159" s="16"/>
      <c r="BF159" s="15"/>
      <c r="BG159" s="16"/>
      <c r="BH159" s="15"/>
      <c r="BI159" s="16"/>
      <c r="BJ159" s="15"/>
      <c r="BK159" s="16"/>
      <c r="BL159" s="15"/>
      <c r="BM159" s="16"/>
      <c r="BN159" s="20">
        <f>IF($A159="","",SUMPRODUCT((MOD(COLUMN($D159:$BM159)-COLUMN($D159),2)=0)*$D159:$BM159))</f>
      </c>
      <c r="BO159" s="21">
        <f>IF($A159="","",SUMPRODUCT((MOD(COLUMN($D159:$BM159)-COLUMN($D159),2)=1)*$D159:$BM159))</f>
      </c>
      <c r="BP159" s="22">
        <f>IF($A159="","",$BN159*IF($C159="Worker",Worker_DailyWage,IF($C159="Laborer",Laborer_DailyWage,0)))</f>
      </c>
      <c r="BQ159" s="22">
        <f>IF($A159="","",$BO159*IF($C159="Worker",Worker_OTRate,IF($C159="Laborer",Laborer_OTRate,0)))</f>
      </c>
      <c r="BR159" s="23">
        <f>IF($A159="","",$BP159+$BQ159)</f>
      </c>
    </row>
    <row r="160">
      <c r="A160" s="17">
        <f>IFERROR(IF((ROW()-4)&lt;=COUNTA(Workers_ID),INDEX(Workers_ID,(ROW()-4)),IF((ROW()-4)&lt;=COUNTA(Workers_ID)+COUNTA(Laborers_ID),INDEX(Laborers_ID,(ROW()-4)-COUNTA(Workers_ID)),"")),"")</f>
      </c>
      <c r="B160" s="18">
        <f>IF($A160="","",IFERROR(VLOOKUP($A160,Workers_Data,2,FALSE),IFERROR(VLOOKUP($A160,Laborers_Data,2,FALSE),"")))</f>
      </c>
      <c r="C160" s="19">
        <f>IF($A160="","",IF(COUNTIF(Workers_ID,$A160)&gt;0,"Worker",IF(COUNTIF(Laborers_ID,$A160)&gt;0,"Laborer","")))</f>
      </c>
      <c r="D160" s="15"/>
      <c r="E160" s="16"/>
      <c r="F160" s="15"/>
      <c r="G160" s="16"/>
      <c r="H160" s="15"/>
      <c r="I160" s="16"/>
      <c r="J160" s="15"/>
      <c r="K160" s="16"/>
      <c r="L160" s="15"/>
      <c r="M160" s="16"/>
      <c r="N160" s="15"/>
      <c r="O160" s="16"/>
      <c r="P160" s="15"/>
      <c r="Q160" s="16"/>
      <c r="R160" s="15"/>
      <c r="S160" s="16"/>
      <c r="T160" s="15"/>
      <c r="U160" s="16"/>
      <c r="V160" s="15"/>
      <c r="W160" s="16"/>
      <c r="X160" s="15"/>
      <c r="Y160" s="16"/>
      <c r="Z160" s="15"/>
      <c r="AA160" s="16"/>
      <c r="AB160" s="15"/>
      <c r="AC160" s="16"/>
      <c r="AD160" s="15"/>
      <c r="AE160" s="16"/>
      <c r="AF160" s="15"/>
      <c r="AG160" s="16"/>
      <c r="AH160" s="15"/>
      <c r="AI160" s="16"/>
      <c r="AJ160" s="15"/>
      <c r="AK160" s="16"/>
      <c r="AL160" s="15"/>
      <c r="AM160" s="16"/>
      <c r="AN160" s="15"/>
      <c r="AO160" s="16"/>
      <c r="AP160" s="15"/>
      <c r="AQ160" s="16"/>
      <c r="AR160" s="15"/>
      <c r="AS160" s="16"/>
      <c r="AT160" s="15"/>
      <c r="AU160" s="16"/>
      <c r="AV160" s="15"/>
      <c r="AW160" s="16"/>
      <c r="AX160" s="15"/>
      <c r="AY160" s="16"/>
      <c r="AZ160" s="15"/>
      <c r="BA160" s="16"/>
      <c r="BB160" s="15"/>
      <c r="BC160" s="16"/>
      <c r="BD160" s="15"/>
      <c r="BE160" s="16"/>
      <c r="BF160" s="15"/>
      <c r="BG160" s="16"/>
      <c r="BH160" s="15"/>
      <c r="BI160" s="16"/>
      <c r="BJ160" s="15"/>
      <c r="BK160" s="16"/>
      <c r="BL160" s="15"/>
      <c r="BM160" s="16"/>
      <c r="BN160" s="20">
        <f>IF($A160="","",SUMPRODUCT((MOD(COLUMN($D160:$BM160)-COLUMN($D160),2)=0)*$D160:$BM160))</f>
      </c>
      <c r="BO160" s="21">
        <f>IF($A160="","",SUMPRODUCT((MOD(COLUMN($D160:$BM160)-COLUMN($D160),2)=1)*$D160:$BM160))</f>
      </c>
      <c r="BP160" s="22">
        <f>IF($A160="","",$BN160*IF($C160="Worker",Worker_DailyWage,IF($C160="Laborer",Laborer_DailyWage,0)))</f>
      </c>
      <c r="BQ160" s="22">
        <f>IF($A160="","",$BO160*IF($C160="Worker",Worker_OTRate,IF($C160="Laborer",Laborer_OTRate,0)))</f>
      </c>
      <c r="BR160" s="23">
        <f>IF($A160="","",$BP160+$BQ160)</f>
      </c>
    </row>
    <row r="161">
      <c r="A161" s="17">
        <f>IFERROR(IF((ROW()-4)&lt;=COUNTA(Workers_ID),INDEX(Workers_ID,(ROW()-4)),IF((ROW()-4)&lt;=COUNTA(Workers_ID)+COUNTA(Laborers_ID),INDEX(Laborers_ID,(ROW()-4)-COUNTA(Workers_ID)),"")),"")</f>
      </c>
      <c r="B161" s="18">
        <f>IF($A161="","",IFERROR(VLOOKUP($A161,Workers_Data,2,FALSE),IFERROR(VLOOKUP($A161,Laborers_Data,2,FALSE),"")))</f>
      </c>
      <c r="C161" s="19">
        <f>IF($A161="","",IF(COUNTIF(Workers_ID,$A161)&gt;0,"Worker",IF(COUNTIF(Laborers_ID,$A161)&gt;0,"Laborer","")))</f>
      </c>
      <c r="D161" s="15"/>
      <c r="E161" s="16"/>
      <c r="F161" s="15"/>
      <c r="G161" s="16"/>
      <c r="H161" s="15"/>
      <c r="I161" s="16"/>
      <c r="J161" s="15"/>
      <c r="K161" s="16"/>
      <c r="L161" s="15"/>
      <c r="M161" s="16"/>
      <c r="N161" s="15"/>
      <c r="O161" s="16"/>
      <c r="P161" s="15"/>
      <c r="Q161" s="16"/>
      <c r="R161" s="15"/>
      <c r="S161" s="16"/>
      <c r="T161" s="15"/>
      <c r="U161" s="16"/>
      <c r="V161" s="15"/>
      <c r="W161" s="16"/>
      <c r="X161" s="15"/>
      <c r="Y161" s="16"/>
      <c r="Z161" s="15"/>
      <c r="AA161" s="16"/>
      <c r="AB161" s="15"/>
      <c r="AC161" s="16"/>
      <c r="AD161" s="15"/>
      <c r="AE161" s="16"/>
      <c r="AF161" s="15"/>
      <c r="AG161" s="16"/>
      <c r="AH161" s="15"/>
      <c r="AI161" s="16"/>
      <c r="AJ161" s="15"/>
      <c r="AK161" s="16"/>
      <c r="AL161" s="15"/>
      <c r="AM161" s="16"/>
      <c r="AN161" s="15"/>
      <c r="AO161" s="16"/>
      <c r="AP161" s="15"/>
      <c r="AQ161" s="16"/>
      <c r="AR161" s="15"/>
      <c r="AS161" s="16"/>
      <c r="AT161" s="15"/>
      <c r="AU161" s="16"/>
      <c r="AV161" s="15"/>
      <c r="AW161" s="16"/>
      <c r="AX161" s="15"/>
      <c r="AY161" s="16"/>
      <c r="AZ161" s="15"/>
      <c r="BA161" s="16"/>
      <c r="BB161" s="15"/>
      <c r="BC161" s="16"/>
      <c r="BD161" s="15"/>
      <c r="BE161" s="16"/>
      <c r="BF161" s="15"/>
      <c r="BG161" s="16"/>
      <c r="BH161" s="15"/>
      <c r="BI161" s="16"/>
      <c r="BJ161" s="15"/>
      <c r="BK161" s="16"/>
      <c r="BL161" s="15"/>
      <c r="BM161" s="16"/>
      <c r="BN161" s="20">
        <f>IF($A161="","",SUMPRODUCT((MOD(COLUMN($D161:$BM161)-COLUMN($D161),2)=0)*$D161:$BM161))</f>
      </c>
      <c r="BO161" s="21">
        <f>IF($A161="","",SUMPRODUCT((MOD(COLUMN($D161:$BM161)-COLUMN($D161),2)=1)*$D161:$BM161))</f>
      </c>
      <c r="BP161" s="22">
        <f>IF($A161="","",$BN161*IF($C161="Worker",Worker_DailyWage,IF($C161="Laborer",Laborer_DailyWage,0)))</f>
      </c>
      <c r="BQ161" s="22">
        <f>IF($A161="","",$BO161*IF($C161="Worker",Worker_OTRate,IF($C161="Laborer",Laborer_OTRate,0)))</f>
      </c>
      <c r="BR161" s="23">
        <f>IF($A161="","",$BP161+$BQ161)</f>
      </c>
    </row>
    <row r="162">
      <c r="A162" s="17">
        <f>IFERROR(IF((ROW()-4)&lt;=COUNTA(Workers_ID),INDEX(Workers_ID,(ROW()-4)),IF((ROW()-4)&lt;=COUNTA(Workers_ID)+COUNTA(Laborers_ID),INDEX(Laborers_ID,(ROW()-4)-COUNTA(Workers_ID)),"")),"")</f>
      </c>
      <c r="B162" s="18">
        <f>IF($A162="","",IFERROR(VLOOKUP($A162,Workers_Data,2,FALSE),IFERROR(VLOOKUP($A162,Laborers_Data,2,FALSE),"")))</f>
      </c>
      <c r="C162" s="19">
        <f>IF($A162="","",IF(COUNTIF(Workers_ID,$A162)&gt;0,"Worker",IF(COUNTIF(Laborers_ID,$A162)&gt;0,"Laborer","")))</f>
      </c>
      <c r="D162" s="15"/>
      <c r="E162" s="16"/>
      <c r="F162" s="15"/>
      <c r="G162" s="16"/>
      <c r="H162" s="15"/>
      <c r="I162" s="16"/>
      <c r="J162" s="15"/>
      <c r="K162" s="16"/>
      <c r="L162" s="15"/>
      <c r="M162" s="16"/>
      <c r="N162" s="15"/>
      <c r="O162" s="16"/>
      <c r="P162" s="15"/>
      <c r="Q162" s="16"/>
      <c r="R162" s="15"/>
      <c r="S162" s="16"/>
      <c r="T162" s="15"/>
      <c r="U162" s="16"/>
      <c r="V162" s="15"/>
      <c r="W162" s="16"/>
      <c r="X162" s="15"/>
      <c r="Y162" s="16"/>
      <c r="Z162" s="15"/>
      <c r="AA162" s="16"/>
      <c r="AB162" s="15"/>
      <c r="AC162" s="16"/>
      <c r="AD162" s="15"/>
      <c r="AE162" s="16"/>
      <c r="AF162" s="15"/>
      <c r="AG162" s="16"/>
      <c r="AH162" s="15"/>
      <c r="AI162" s="16"/>
      <c r="AJ162" s="15"/>
      <c r="AK162" s="16"/>
      <c r="AL162" s="15"/>
      <c r="AM162" s="16"/>
      <c r="AN162" s="15"/>
      <c r="AO162" s="16"/>
      <c r="AP162" s="15"/>
      <c r="AQ162" s="16"/>
      <c r="AR162" s="15"/>
      <c r="AS162" s="16"/>
      <c r="AT162" s="15"/>
      <c r="AU162" s="16"/>
      <c r="AV162" s="15"/>
      <c r="AW162" s="16"/>
      <c r="AX162" s="15"/>
      <c r="AY162" s="16"/>
      <c r="AZ162" s="15"/>
      <c r="BA162" s="16"/>
      <c r="BB162" s="15"/>
      <c r="BC162" s="16"/>
      <c r="BD162" s="15"/>
      <c r="BE162" s="16"/>
      <c r="BF162" s="15"/>
      <c r="BG162" s="16"/>
      <c r="BH162" s="15"/>
      <c r="BI162" s="16"/>
      <c r="BJ162" s="15"/>
      <c r="BK162" s="16"/>
      <c r="BL162" s="15"/>
      <c r="BM162" s="16"/>
      <c r="BN162" s="20">
        <f>IF($A162="","",SUMPRODUCT((MOD(COLUMN($D162:$BM162)-COLUMN($D162),2)=0)*$D162:$BM162))</f>
      </c>
      <c r="BO162" s="21">
        <f>IF($A162="","",SUMPRODUCT((MOD(COLUMN($D162:$BM162)-COLUMN($D162),2)=1)*$D162:$BM162))</f>
      </c>
      <c r="BP162" s="22">
        <f>IF($A162="","",$BN162*IF($C162="Worker",Worker_DailyWage,IF($C162="Laborer",Laborer_DailyWage,0)))</f>
      </c>
      <c r="BQ162" s="22">
        <f>IF($A162="","",$BO162*IF($C162="Worker",Worker_OTRate,IF($C162="Laborer",Laborer_OTRate,0)))</f>
      </c>
      <c r="BR162" s="23">
        <f>IF($A162="","",$BP162+$BQ162)</f>
      </c>
    </row>
    <row r="163">
      <c r="A163" s="17">
        <f>IFERROR(IF((ROW()-4)&lt;=COUNTA(Workers_ID),INDEX(Workers_ID,(ROW()-4)),IF((ROW()-4)&lt;=COUNTA(Workers_ID)+COUNTA(Laborers_ID),INDEX(Laborers_ID,(ROW()-4)-COUNTA(Workers_ID)),"")),"")</f>
      </c>
      <c r="B163" s="18">
        <f>IF($A163="","",IFERROR(VLOOKUP($A163,Workers_Data,2,FALSE),IFERROR(VLOOKUP($A163,Laborers_Data,2,FALSE),"")))</f>
      </c>
      <c r="C163" s="19">
        <f>IF($A163="","",IF(COUNTIF(Workers_ID,$A163)&gt;0,"Worker",IF(COUNTIF(Laborers_ID,$A163)&gt;0,"Laborer","")))</f>
      </c>
      <c r="D163" s="15"/>
      <c r="E163" s="16"/>
      <c r="F163" s="15"/>
      <c r="G163" s="16"/>
      <c r="H163" s="15"/>
      <c r="I163" s="16"/>
      <c r="J163" s="15"/>
      <c r="K163" s="16"/>
      <c r="L163" s="15"/>
      <c r="M163" s="16"/>
      <c r="N163" s="15"/>
      <c r="O163" s="16"/>
      <c r="P163" s="15"/>
      <c r="Q163" s="16"/>
      <c r="R163" s="15"/>
      <c r="S163" s="16"/>
      <c r="T163" s="15"/>
      <c r="U163" s="16"/>
      <c r="V163" s="15"/>
      <c r="W163" s="16"/>
      <c r="X163" s="15"/>
      <c r="Y163" s="16"/>
      <c r="Z163" s="15"/>
      <c r="AA163" s="16"/>
      <c r="AB163" s="15"/>
      <c r="AC163" s="16"/>
      <c r="AD163" s="15"/>
      <c r="AE163" s="16"/>
      <c r="AF163" s="15"/>
      <c r="AG163" s="16"/>
      <c r="AH163" s="15"/>
      <c r="AI163" s="16"/>
      <c r="AJ163" s="15"/>
      <c r="AK163" s="16"/>
      <c r="AL163" s="15"/>
      <c r="AM163" s="16"/>
      <c r="AN163" s="15"/>
      <c r="AO163" s="16"/>
      <c r="AP163" s="15"/>
      <c r="AQ163" s="16"/>
      <c r="AR163" s="15"/>
      <c r="AS163" s="16"/>
      <c r="AT163" s="15"/>
      <c r="AU163" s="16"/>
      <c r="AV163" s="15"/>
      <c r="AW163" s="16"/>
      <c r="AX163" s="15"/>
      <c r="AY163" s="16"/>
      <c r="AZ163" s="15"/>
      <c r="BA163" s="16"/>
      <c r="BB163" s="15"/>
      <c r="BC163" s="16"/>
      <c r="BD163" s="15"/>
      <c r="BE163" s="16"/>
      <c r="BF163" s="15"/>
      <c r="BG163" s="16"/>
      <c r="BH163" s="15"/>
      <c r="BI163" s="16"/>
      <c r="BJ163" s="15"/>
      <c r="BK163" s="16"/>
      <c r="BL163" s="15"/>
      <c r="BM163" s="16"/>
      <c r="BN163" s="20">
        <f>IF($A163="","",SUMPRODUCT((MOD(COLUMN($D163:$BM163)-COLUMN($D163),2)=0)*$D163:$BM163))</f>
      </c>
      <c r="BO163" s="21">
        <f>IF($A163="","",SUMPRODUCT((MOD(COLUMN($D163:$BM163)-COLUMN($D163),2)=1)*$D163:$BM163))</f>
      </c>
      <c r="BP163" s="22">
        <f>IF($A163="","",$BN163*IF($C163="Worker",Worker_DailyWage,IF($C163="Laborer",Laborer_DailyWage,0)))</f>
      </c>
      <c r="BQ163" s="22">
        <f>IF($A163="","",$BO163*IF($C163="Worker",Worker_OTRate,IF($C163="Laborer",Laborer_OTRate,0)))</f>
      </c>
      <c r="BR163" s="23">
        <f>IF($A163="","",$BP163+$BQ163)</f>
      </c>
    </row>
    <row r="164">
      <c r="A164" s="17">
        <f>IFERROR(IF((ROW()-4)&lt;=COUNTA(Workers_ID),INDEX(Workers_ID,(ROW()-4)),IF((ROW()-4)&lt;=COUNTA(Workers_ID)+COUNTA(Laborers_ID),INDEX(Laborers_ID,(ROW()-4)-COUNTA(Workers_ID)),"")),"")</f>
      </c>
      <c r="B164" s="18">
        <f>IF($A164="","",IFERROR(VLOOKUP($A164,Workers_Data,2,FALSE),IFERROR(VLOOKUP($A164,Laborers_Data,2,FALSE),"")))</f>
      </c>
      <c r="C164" s="19">
        <f>IF($A164="","",IF(COUNTIF(Workers_ID,$A164)&gt;0,"Worker",IF(COUNTIF(Laborers_ID,$A164)&gt;0,"Laborer","")))</f>
      </c>
      <c r="D164" s="15"/>
      <c r="E164" s="16"/>
      <c r="F164" s="15"/>
      <c r="G164" s="16"/>
      <c r="H164" s="15"/>
      <c r="I164" s="16"/>
      <c r="J164" s="15"/>
      <c r="K164" s="16"/>
      <c r="L164" s="15"/>
      <c r="M164" s="16"/>
      <c r="N164" s="15"/>
      <c r="O164" s="16"/>
      <c r="P164" s="15"/>
      <c r="Q164" s="16"/>
      <c r="R164" s="15"/>
      <c r="S164" s="16"/>
      <c r="T164" s="15"/>
      <c r="U164" s="16"/>
      <c r="V164" s="15"/>
      <c r="W164" s="16"/>
      <c r="X164" s="15"/>
      <c r="Y164" s="16"/>
      <c r="Z164" s="15"/>
      <c r="AA164" s="16"/>
      <c r="AB164" s="15"/>
      <c r="AC164" s="16"/>
      <c r="AD164" s="15"/>
      <c r="AE164" s="16"/>
      <c r="AF164" s="15"/>
      <c r="AG164" s="16"/>
      <c r="AH164" s="15"/>
      <c r="AI164" s="16"/>
      <c r="AJ164" s="15"/>
      <c r="AK164" s="16"/>
      <c r="AL164" s="15"/>
      <c r="AM164" s="16"/>
      <c r="AN164" s="15"/>
      <c r="AO164" s="16"/>
      <c r="AP164" s="15"/>
      <c r="AQ164" s="16"/>
      <c r="AR164" s="15"/>
      <c r="AS164" s="16"/>
      <c r="AT164" s="15"/>
      <c r="AU164" s="16"/>
      <c r="AV164" s="15"/>
      <c r="AW164" s="16"/>
      <c r="AX164" s="15"/>
      <c r="AY164" s="16"/>
      <c r="AZ164" s="15"/>
      <c r="BA164" s="16"/>
      <c r="BB164" s="15"/>
      <c r="BC164" s="16"/>
      <c r="BD164" s="15"/>
      <c r="BE164" s="16"/>
      <c r="BF164" s="15"/>
      <c r="BG164" s="16"/>
      <c r="BH164" s="15"/>
      <c r="BI164" s="16"/>
      <c r="BJ164" s="15"/>
      <c r="BK164" s="16"/>
      <c r="BL164" s="15"/>
      <c r="BM164" s="16"/>
      <c r="BN164" s="20">
        <f>IF($A164="","",SUMPRODUCT((MOD(COLUMN($D164:$BM164)-COLUMN($D164),2)=0)*$D164:$BM164))</f>
      </c>
      <c r="BO164" s="21">
        <f>IF($A164="","",SUMPRODUCT((MOD(COLUMN($D164:$BM164)-COLUMN($D164),2)=1)*$D164:$BM164))</f>
      </c>
      <c r="BP164" s="22">
        <f>IF($A164="","",$BN164*IF($C164="Worker",Worker_DailyWage,IF($C164="Laborer",Laborer_DailyWage,0)))</f>
      </c>
      <c r="BQ164" s="22">
        <f>IF($A164="","",$BO164*IF($C164="Worker",Worker_OTRate,IF($C164="Laborer",Laborer_OTRate,0)))</f>
      </c>
      <c r="BR164" s="23">
        <f>IF($A164="","",$BP164+$BQ164)</f>
      </c>
    </row>
  </sheetData>
  <sheetProtection sheet="1" objects="1" scenarios="1" formatCells="0" formatColumns="0" formatRows="0" selectLockedCells="1" selectUnlockedCells="1"/>
  <mergeCells count="37">
    <mergeCell ref="A1:BR1"/>
    <mergeCell ref="A2:BR2"/>
    <mergeCell ref="A3:A4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R3"/>
  </mergeCells>
  <conditionalFormatting sqref="D5:D164 F5:F164 H5:H164 J5:J164 L5:L164 N5:N164 P5:P164 R5:R164 T5:T164 V5:V164 X5:X164 Z5:Z164 AB5:AB164 AD5:AD164 AF5:AF164 AH5:AH164 AJ5:AJ164 AL5:AL164 AN5:AN164 AP5:AP164 AR5:AR164 AT5:AT164 AV5:AV164 AX5:AX164 AZ5:AZ164 BB5:BB164 BD5:BD164 BF5:BF164 BH5:BH164 BJ5:BJ164 BL5:BL164">
    <cfRule type="cellIs" dxfId="1" priority="1" operator="equal">
      <formula>1</formula>
    </cfRule>
  </conditionalFormatting>
  <conditionalFormatting sqref="E5:E164 G5:G164 I5:I164 K5:K164 M5:M164 O5:O164 Q5:Q164 S5:S164 U5:U164 W5:W164 Y5:Y164 AA5:AA164 AC5:AC164 AE5:AE164 AG5:AG164 AI5:AI164 AK5:AK164 AM5:AM164 AO5:AO164 AQ5:AQ164 AS5:AS164 AU5:AU164 AW5:AW164 AY5:AY164 BA5:BA164 BC5:BC164 BE5:BE164 BG5:BG164 BI5:BI164 BK5:BK164 BM5:BM164">
    <cfRule type="cellIs" dxfId="2" priority="2" operator="greaterThan">
      <formula>0</formula>
    </cfRule>
  </conditionalFormatting>
  <conditionalFormatting sqref="A5:C164">
    <cfRule type="expression" dxfId="0" priority="6">
      <formula>MOD(ROW(),2)=0</formula>
    </cfRule>
  </conditionalFormatting>
  <conditionalFormatting sqref="BN5:BR164">
    <cfRule type="expression" dxfId="0" priority="6">
      <formula>MOD(ROW(),2)=0</formula>
    </cfRule>
  </conditionalFormatting>
  <dataValidations count="2">
    <dataValidation type="whole" operator="between" allowBlank="1" showInputMessage="1" showErrorMessage="1" sqref="D5:D164 F5:F164 H5:H164 J5:J164 L5:L164 N5:N164 P5:P164 R5:R164 T5:T164 V5:V164 X5:X164 Z5:Z164 AB5:AB164 AD5:AD164 AF5:AF164 AH5:AH164 AJ5:AJ164 AL5:AL164 AN5:AN164 AP5:AP164 AR5:AR164 AT5:AT164 AV5:AV164 AX5:AX164 AZ5:AZ164 BB5:BB164 BD5:BD164 BF5:BF164 BH5:BH164 BJ5:BJ164 BL5:BL164">
      <formula1>0</formula1>
      <formula2>1</formula2>
    </dataValidation>
    <dataValidation type="decimal" operator="greaterThanOrEqual" allowBlank="1" showInputMessage="1" showErrorMessage="1" sqref="E5:E164 G5:G164 I5:I164 K5:K164 M5:M164 O5:O164 Q5:Q164 S5:S164 U5:U164 W5:W164 Y5:Y164 AA5:AA164 AC5:AC164 AE5:AE164 AG5:AG164 AI5:AI164 AK5:AK164 AM5:AM164 AO5:AO164 AQ5:AQ164 AS5:AS164 AU5:AU164 AW5:AW164 AY5:AY164 BA5:BA164 BC5:BC164 BE5:BE164 BG5:BG164 BI5:BI164 BK5:BK164 BM5:BM164">
      <formula1>0</formula1>
    </dataValidation>
  </dataValidations>
  <printOptions horizontalCentered="1"/>
  <pageMargins left="0.4" right="0.4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F9000"/>
    <pageSetUpPr fitToPage="1"/>
  </sheetPr>
  <dimension ref="A1:N164"/>
  <sheetViews>
    <sheetView showGridLines="0" workbookViewId="0">
      <pane xSplit="3" ySplit="4" topLeftCell="D5" activePane="bottomRight" state="frozen"/>
      <selection pane="bottomRight" activeCell="D5" sqref="D5"/>
    </sheetView>
  </sheetViews>
  <sheetFormatPr defaultRowHeight="15"/>
  <cols>
    <col min="1" max="1" width="14" customWidth="1"/>
    <col min="2" max="2" width="24" customWidth="1"/>
    <col min="3" max="3" width="12" customWidth="1"/>
    <col min="4" max="4" width="10" customWidth="1"/>
    <col min="5" max="5" width="9" customWidth="1"/>
    <col min="6" max="6" width="13" customWidth="1"/>
    <col min="7" max="7" width="13" customWidth="1"/>
    <col min="8" max="8" width="14" customWidth="1"/>
    <col min="9" max="9" width="10" customWidth="1"/>
    <col min="10" max="10" width="9" customWidth="1"/>
    <col min="11" max="11" width="13" customWidth="1"/>
    <col min="12" max="12" width="13" customWidth="1"/>
    <col min="13" max="13" width="14" customWidth="1"/>
    <col min="14" max="14" width="15" customWidth="1"/>
  </cols>
  <sheetData>
    <row r="1" ht="34" customHeight="1">
      <c r="A1" s="1" t="inlineStr">
        <is>
          <t xml:space="preserve">  PAYROLL  —  first &amp; second half of the month</t>
        </is>
      </c>
    </row>
    <row r="2" ht="16" customHeight="1">
      <c r="A2" s="3" t="inlineStr">
        <is>
          <t xml:space="preserve">  Automatically split from the Daily Attendance sheet. First Half = days 1-15, Second Half = days 16-31.</t>
        </is>
      </c>
    </row>
    <row r="3" ht="20" customHeight="1">
      <c r="A3" s="5" t="inlineStr">
        <is>
          <t xml:space="preserve">Employee ID</t>
        </is>
      </c>
      <c r="B3" s="5" t="inlineStr">
        <is>
          <t xml:space="preserve">Employee Name</t>
        </is>
      </c>
      <c r="C3" s="5" t="inlineStr">
        <is>
          <t xml:space="preserve">Type</t>
        </is>
      </c>
      <c r="D3" s="7" t="inlineStr">
        <is>
          <t xml:space="preserve">FIRST HALF  (Days 1 - 15)</t>
        </is>
      </c>
      <c r="I3" s="8" t="inlineStr">
        <is>
          <t xml:space="preserve">SECOND HALF  (Days 16 - 31)</t>
        </is>
      </c>
      <c r="N3" s="10" t="inlineStr">
        <is>
          <t xml:space="preserve">Month Total</t>
        </is>
      </c>
    </row>
    <row r="4" ht="26" customHeight="1">
      <c r="D4" s="30" t="inlineStr">
        <is>
          <t xml:space="preserve">Worked Days</t>
        </is>
      </c>
      <c r="E4" s="30" t="inlineStr">
        <is>
          <t xml:space="preserve">OT Hours</t>
        </is>
      </c>
      <c r="F4" s="30" t="inlineStr">
        <is>
          <t xml:space="preserve">Regular Pay</t>
        </is>
      </c>
      <c r="G4" s="30" t="inlineStr">
        <is>
          <t xml:space="preserve">Overtime Pay</t>
        </is>
      </c>
      <c r="H4" s="30" t="inlineStr">
        <is>
          <t xml:space="preserve">Total Due</t>
        </is>
      </c>
      <c r="I4" s="31" t="inlineStr">
        <is>
          <t xml:space="preserve">Worked Days</t>
        </is>
      </c>
      <c r="J4" s="31" t="inlineStr">
        <is>
          <t xml:space="preserve">OT Hours</t>
        </is>
      </c>
      <c r="K4" s="31" t="inlineStr">
        <is>
          <t xml:space="preserve">Regular Pay</t>
        </is>
      </c>
      <c r="L4" s="31" t="inlineStr">
        <is>
          <t xml:space="preserve">Overtime Pay</t>
        </is>
      </c>
      <c r="M4" s="31" t="inlineStr">
        <is>
          <t xml:space="preserve">Total Due</t>
        </is>
      </c>
    </row>
    <row r="5">
      <c r="A5" s="17">
        <f>IF('Daily Attendance'!A5="","",'Daily Attendance'!A5)</f>
      </c>
      <c r="B5" s="18">
        <f>IF($A5="","",'Daily Attendance'!B5)</f>
      </c>
      <c r="C5" s="19">
        <f>IF($A5="","",'Daily Attendance'!C5)</f>
      </c>
      <c r="D5" s="20">
        <f>IF($A5="","",SUMPRODUCT((MOD(COLUMN('Daily Attendance'!$D5:$AG5)-COLUMN('Daily Attendance'!$D5),2)=0)*'Daily Attendance'!$D5:$AG5))</f>
      </c>
      <c r="E5" s="21">
        <f>IF($A5="","",SUMPRODUCT((MOD(COLUMN('Daily Attendance'!$D5:$AG5)-COLUMN('Daily Attendance'!$D5),2)=1)*'Daily Attendance'!$D5:$AG5))</f>
      </c>
      <c r="F5" s="22">
        <f>IF($A5="","",$D5*IF($C5="Worker",Worker_DailyWage,IF($C5="Laborer",Laborer_DailyWage,0)))</f>
      </c>
      <c r="G5" s="22">
        <f>IF($A5="","",$E5*IF($C5="Worker",Worker_OTRate,IF($C5="Laborer",Laborer_OTRate,0)))</f>
      </c>
      <c r="H5" s="23">
        <f>IF($A5="","",$F5+$G5)</f>
      </c>
      <c r="I5" s="20">
        <f>IF($A5="","",SUMPRODUCT((MOD(COLUMN('Daily Attendance'!$AH5:$BM5)-COLUMN('Daily Attendance'!$AH5),2)=0)*'Daily Attendance'!$AH5:$BM5))</f>
      </c>
      <c r="J5" s="21">
        <f>IF($A5="","",SUMPRODUCT((MOD(COLUMN('Daily Attendance'!$AH5:$BM5)-COLUMN('Daily Attendance'!$AH5),2)=1)*'Daily Attendance'!$AH5:$BM5))</f>
      </c>
      <c r="K5" s="22">
        <f>IF($A5="","",$I5*IF($C5="Worker",Worker_DailyWage,IF($C5="Laborer",Laborer_DailyWage,0)))</f>
      </c>
      <c r="L5" s="22">
        <f>IF($A5="","",$J5*IF($C5="Worker",Worker_OTRate,IF($C5="Laborer",Laborer_OTRate,0)))</f>
      </c>
      <c r="M5" s="23">
        <f>IF($A5="","",$K5+$L5)</f>
      </c>
      <c r="N5" s="23">
        <f>IF($A5="","",$H5+$M5)</f>
      </c>
    </row>
    <row r="6">
      <c r="A6" s="17">
        <f>IF('Daily Attendance'!A6="","",'Daily Attendance'!A6)</f>
      </c>
      <c r="B6" s="18">
        <f>IF($A6="","",'Daily Attendance'!B6)</f>
      </c>
      <c r="C6" s="19">
        <f>IF($A6="","",'Daily Attendance'!C6)</f>
      </c>
      <c r="D6" s="20">
        <f>IF($A6="","",SUMPRODUCT((MOD(COLUMN('Daily Attendance'!$D6:$AG6)-COLUMN('Daily Attendance'!$D6),2)=0)*'Daily Attendance'!$D6:$AG6))</f>
      </c>
      <c r="E6" s="21">
        <f>IF($A6="","",SUMPRODUCT((MOD(COLUMN('Daily Attendance'!$D6:$AG6)-COLUMN('Daily Attendance'!$D6),2)=1)*'Daily Attendance'!$D6:$AG6))</f>
      </c>
      <c r="F6" s="22">
        <f>IF($A6="","",$D6*IF($C6="Worker",Worker_DailyWage,IF($C6="Laborer",Laborer_DailyWage,0)))</f>
      </c>
      <c r="G6" s="22">
        <f>IF($A6="","",$E6*IF($C6="Worker",Worker_OTRate,IF($C6="Laborer",Laborer_OTRate,0)))</f>
      </c>
      <c r="H6" s="23">
        <f>IF($A6="","",$F6+$G6)</f>
      </c>
      <c r="I6" s="20">
        <f>IF($A6="","",SUMPRODUCT((MOD(COLUMN('Daily Attendance'!$AH6:$BM6)-COLUMN('Daily Attendance'!$AH6),2)=0)*'Daily Attendance'!$AH6:$BM6))</f>
      </c>
      <c r="J6" s="21">
        <f>IF($A6="","",SUMPRODUCT((MOD(COLUMN('Daily Attendance'!$AH6:$BM6)-COLUMN('Daily Attendance'!$AH6),2)=1)*'Daily Attendance'!$AH6:$BM6))</f>
      </c>
      <c r="K6" s="22">
        <f>IF($A6="","",$I6*IF($C6="Worker",Worker_DailyWage,IF($C6="Laborer",Laborer_DailyWage,0)))</f>
      </c>
      <c r="L6" s="22">
        <f>IF($A6="","",$J6*IF($C6="Worker",Worker_OTRate,IF($C6="Laborer",Laborer_OTRate,0)))</f>
      </c>
      <c r="M6" s="23">
        <f>IF($A6="","",$K6+$L6)</f>
      </c>
      <c r="N6" s="23">
        <f>IF($A6="","",$H6+$M6)</f>
      </c>
    </row>
    <row r="7">
      <c r="A7" s="17">
        <f>IF('Daily Attendance'!A7="","",'Daily Attendance'!A7)</f>
      </c>
      <c r="B7" s="18">
        <f>IF($A7="","",'Daily Attendance'!B7)</f>
      </c>
      <c r="C7" s="19">
        <f>IF($A7="","",'Daily Attendance'!C7)</f>
      </c>
      <c r="D7" s="20">
        <f>IF($A7="","",SUMPRODUCT((MOD(COLUMN('Daily Attendance'!$D7:$AG7)-COLUMN('Daily Attendance'!$D7),2)=0)*'Daily Attendance'!$D7:$AG7))</f>
      </c>
      <c r="E7" s="21">
        <f>IF($A7="","",SUMPRODUCT((MOD(COLUMN('Daily Attendance'!$D7:$AG7)-COLUMN('Daily Attendance'!$D7),2)=1)*'Daily Attendance'!$D7:$AG7))</f>
      </c>
      <c r="F7" s="22">
        <f>IF($A7="","",$D7*IF($C7="Worker",Worker_DailyWage,IF($C7="Laborer",Laborer_DailyWage,0)))</f>
      </c>
      <c r="G7" s="22">
        <f>IF($A7="","",$E7*IF($C7="Worker",Worker_OTRate,IF($C7="Laborer",Laborer_OTRate,0)))</f>
      </c>
      <c r="H7" s="23">
        <f>IF($A7="","",$F7+$G7)</f>
      </c>
      <c r="I7" s="20">
        <f>IF($A7="","",SUMPRODUCT((MOD(COLUMN('Daily Attendance'!$AH7:$BM7)-COLUMN('Daily Attendance'!$AH7),2)=0)*'Daily Attendance'!$AH7:$BM7))</f>
      </c>
      <c r="J7" s="21">
        <f>IF($A7="","",SUMPRODUCT((MOD(COLUMN('Daily Attendance'!$AH7:$BM7)-COLUMN('Daily Attendance'!$AH7),2)=1)*'Daily Attendance'!$AH7:$BM7))</f>
      </c>
      <c r="K7" s="22">
        <f>IF($A7="","",$I7*IF($C7="Worker",Worker_DailyWage,IF($C7="Laborer",Laborer_DailyWage,0)))</f>
      </c>
      <c r="L7" s="22">
        <f>IF($A7="","",$J7*IF($C7="Worker",Worker_OTRate,IF($C7="Laborer",Laborer_OTRate,0)))</f>
      </c>
      <c r="M7" s="23">
        <f>IF($A7="","",$K7+$L7)</f>
      </c>
      <c r="N7" s="23">
        <f>IF($A7="","",$H7+$M7)</f>
      </c>
    </row>
    <row r="8">
      <c r="A8" s="17">
        <f>IF('Daily Attendance'!A8="","",'Daily Attendance'!A8)</f>
      </c>
      <c r="B8" s="18">
        <f>IF($A8="","",'Daily Attendance'!B8)</f>
      </c>
      <c r="C8" s="19">
        <f>IF($A8="","",'Daily Attendance'!C8)</f>
      </c>
      <c r="D8" s="20">
        <f>IF($A8="","",SUMPRODUCT((MOD(COLUMN('Daily Attendance'!$D8:$AG8)-COLUMN('Daily Attendance'!$D8),2)=0)*'Daily Attendance'!$D8:$AG8))</f>
      </c>
      <c r="E8" s="21">
        <f>IF($A8="","",SUMPRODUCT((MOD(COLUMN('Daily Attendance'!$D8:$AG8)-COLUMN('Daily Attendance'!$D8),2)=1)*'Daily Attendance'!$D8:$AG8))</f>
      </c>
      <c r="F8" s="22">
        <f>IF($A8="","",$D8*IF($C8="Worker",Worker_DailyWage,IF($C8="Laborer",Laborer_DailyWage,0)))</f>
      </c>
      <c r="G8" s="22">
        <f>IF($A8="","",$E8*IF($C8="Worker",Worker_OTRate,IF($C8="Laborer",Laborer_OTRate,0)))</f>
      </c>
      <c r="H8" s="23">
        <f>IF($A8="","",$F8+$G8)</f>
      </c>
      <c r="I8" s="20">
        <f>IF($A8="","",SUMPRODUCT((MOD(COLUMN('Daily Attendance'!$AH8:$BM8)-COLUMN('Daily Attendance'!$AH8),2)=0)*'Daily Attendance'!$AH8:$BM8))</f>
      </c>
      <c r="J8" s="21">
        <f>IF($A8="","",SUMPRODUCT((MOD(COLUMN('Daily Attendance'!$AH8:$BM8)-COLUMN('Daily Attendance'!$AH8),2)=1)*'Daily Attendance'!$AH8:$BM8))</f>
      </c>
      <c r="K8" s="22">
        <f>IF($A8="","",$I8*IF($C8="Worker",Worker_DailyWage,IF($C8="Laborer",Laborer_DailyWage,0)))</f>
      </c>
      <c r="L8" s="22">
        <f>IF($A8="","",$J8*IF($C8="Worker",Worker_OTRate,IF($C8="Laborer",Laborer_OTRate,0)))</f>
      </c>
      <c r="M8" s="23">
        <f>IF($A8="","",$K8+$L8)</f>
      </c>
      <c r="N8" s="23">
        <f>IF($A8="","",$H8+$M8)</f>
      </c>
    </row>
    <row r="9">
      <c r="A9" s="17">
        <f>IF('Daily Attendance'!A9="","",'Daily Attendance'!A9)</f>
      </c>
      <c r="B9" s="18">
        <f>IF($A9="","",'Daily Attendance'!B9)</f>
      </c>
      <c r="C9" s="19">
        <f>IF($A9="","",'Daily Attendance'!C9)</f>
      </c>
      <c r="D9" s="20">
        <f>IF($A9="","",SUMPRODUCT((MOD(COLUMN('Daily Attendance'!$D9:$AG9)-COLUMN('Daily Attendance'!$D9),2)=0)*'Daily Attendance'!$D9:$AG9))</f>
      </c>
      <c r="E9" s="21">
        <f>IF($A9="","",SUMPRODUCT((MOD(COLUMN('Daily Attendance'!$D9:$AG9)-COLUMN('Daily Attendance'!$D9),2)=1)*'Daily Attendance'!$D9:$AG9))</f>
      </c>
      <c r="F9" s="22">
        <f>IF($A9="","",$D9*IF($C9="Worker",Worker_DailyWage,IF($C9="Laborer",Laborer_DailyWage,0)))</f>
      </c>
      <c r="G9" s="22">
        <f>IF($A9="","",$E9*IF($C9="Worker",Worker_OTRate,IF($C9="Laborer",Laborer_OTRate,0)))</f>
      </c>
      <c r="H9" s="23">
        <f>IF($A9="","",$F9+$G9)</f>
      </c>
      <c r="I9" s="20">
        <f>IF($A9="","",SUMPRODUCT((MOD(COLUMN('Daily Attendance'!$AH9:$BM9)-COLUMN('Daily Attendance'!$AH9),2)=0)*'Daily Attendance'!$AH9:$BM9))</f>
      </c>
      <c r="J9" s="21">
        <f>IF($A9="","",SUMPRODUCT((MOD(COLUMN('Daily Attendance'!$AH9:$BM9)-COLUMN('Daily Attendance'!$AH9),2)=1)*'Daily Attendance'!$AH9:$BM9))</f>
      </c>
      <c r="K9" s="22">
        <f>IF($A9="","",$I9*IF($C9="Worker",Worker_DailyWage,IF($C9="Laborer",Laborer_DailyWage,0)))</f>
      </c>
      <c r="L9" s="22">
        <f>IF($A9="","",$J9*IF($C9="Worker",Worker_OTRate,IF($C9="Laborer",Laborer_OTRate,0)))</f>
      </c>
      <c r="M9" s="23">
        <f>IF($A9="","",$K9+$L9)</f>
      </c>
      <c r="N9" s="23">
        <f>IF($A9="","",$H9+$M9)</f>
      </c>
    </row>
    <row r="10">
      <c r="A10" s="17">
        <f>IF('Daily Attendance'!A10="","",'Daily Attendance'!A10)</f>
      </c>
      <c r="B10" s="18">
        <f>IF($A10="","",'Daily Attendance'!B10)</f>
      </c>
      <c r="C10" s="19">
        <f>IF($A10="","",'Daily Attendance'!C10)</f>
      </c>
      <c r="D10" s="20">
        <f>IF($A10="","",SUMPRODUCT((MOD(COLUMN('Daily Attendance'!$D10:$AG10)-COLUMN('Daily Attendance'!$D10),2)=0)*'Daily Attendance'!$D10:$AG10))</f>
      </c>
      <c r="E10" s="21">
        <f>IF($A10="","",SUMPRODUCT((MOD(COLUMN('Daily Attendance'!$D10:$AG10)-COLUMN('Daily Attendance'!$D10),2)=1)*'Daily Attendance'!$D10:$AG10))</f>
      </c>
      <c r="F10" s="22">
        <f>IF($A10="","",$D10*IF($C10="Worker",Worker_DailyWage,IF($C10="Laborer",Laborer_DailyWage,0)))</f>
      </c>
      <c r="G10" s="22">
        <f>IF($A10="","",$E10*IF($C10="Worker",Worker_OTRate,IF($C10="Laborer",Laborer_OTRate,0)))</f>
      </c>
      <c r="H10" s="23">
        <f>IF($A10="","",$F10+$G10)</f>
      </c>
      <c r="I10" s="20">
        <f>IF($A10="","",SUMPRODUCT((MOD(COLUMN('Daily Attendance'!$AH10:$BM10)-COLUMN('Daily Attendance'!$AH10),2)=0)*'Daily Attendance'!$AH10:$BM10))</f>
      </c>
      <c r="J10" s="21">
        <f>IF($A10="","",SUMPRODUCT((MOD(COLUMN('Daily Attendance'!$AH10:$BM10)-COLUMN('Daily Attendance'!$AH10),2)=1)*'Daily Attendance'!$AH10:$BM10))</f>
      </c>
      <c r="K10" s="22">
        <f>IF($A10="","",$I10*IF($C10="Worker",Worker_DailyWage,IF($C10="Laborer",Laborer_DailyWage,0)))</f>
      </c>
      <c r="L10" s="22">
        <f>IF($A10="","",$J10*IF($C10="Worker",Worker_OTRate,IF($C10="Laborer",Laborer_OTRate,0)))</f>
      </c>
      <c r="M10" s="23">
        <f>IF($A10="","",$K10+$L10)</f>
      </c>
      <c r="N10" s="23">
        <f>IF($A10="","",$H10+$M10)</f>
      </c>
    </row>
    <row r="11">
      <c r="A11" s="17">
        <f>IF('Daily Attendance'!A11="","",'Daily Attendance'!A11)</f>
      </c>
      <c r="B11" s="18">
        <f>IF($A11="","",'Daily Attendance'!B11)</f>
      </c>
      <c r="C11" s="19">
        <f>IF($A11="","",'Daily Attendance'!C11)</f>
      </c>
      <c r="D11" s="20">
        <f>IF($A11="","",SUMPRODUCT((MOD(COLUMN('Daily Attendance'!$D11:$AG11)-COLUMN('Daily Attendance'!$D11),2)=0)*'Daily Attendance'!$D11:$AG11))</f>
      </c>
      <c r="E11" s="21">
        <f>IF($A11="","",SUMPRODUCT((MOD(COLUMN('Daily Attendance'!$D11:$AG11)-COLUMN('Daily Attendance'!$D11),2)=1)*'Daily Attendance'!$D11:$AG11))</f>
      </c>
      <c r="F11" s="22">
        <f>IF($A11="","",$D11*IF($C11="Worker",Worker_DailyWage,IF($C11="Laborer",Laborer_DailyWage,0)))</f>
      </c>
      <c r="G11" s="22">
        <f>IF($A11="","",$E11*IF($C11="Worker",Worker_OTRate,IF($C11="Laborer",Laborer_OTRate,0)))</f>
      </c>
      <c r="H11" s="23">
        <f>IF($A11="","",$F11+$G11)</f>
      </c>
      <c r="I11" s="20">
        <f>IF($A11="","",SUMPRODUCT((MOD(COLUMN('Daily Attendance'!$AH11:$BM11)-COLUMN('Daily Attendance'!$AH11),2)=0)*'Daily Attendance'!$AH11:$BM11))</f>
      </c>
      <c r="J11" s="21">
        <f>IF($A11="","",SUMPRODUCT((MOD(COLUMN('Daily Attendance'!$AH11:$BM11)-COLUMN('Daily Attendance'!$AH11),2)=1)*'Daily Attendance'!$AH11:$BM11))</f>
      </c>
      <c r="K11" s="22">
        <f>IF($A11="","",$I11*IF($C11="Worker",Worker_DailyWage,IF($C11="Laborer",Laborer_DailyWage,0)))</f>
      </c>
      <c r="L11" s="22">
        <f>IF($A11="","",$J11*IF($C11="Worker",Worker_OTRate,IF($C11="Laborer",Laborer_OTRate,0)))</f>
      </c>
      <c r="M11" s="23">
        <f>IF($A11="","",$K11+$L11)</f>
      </c>
      <c r="N11" s="23">
        <f>IF($A11="","",$H11+$M11)</f>
      </c>
    </row>
    <row r="12">
      <c r="A12" s="17">
        <f>IF('Daily Attendance'!A12="","",'Daily Attendance'!A12)</f>
      </c>
      <c r="B12" s="18">
        <f>IF($A12="","",'Daily Attendance'!B12)</f>
      </c>
      <c r="C12" s="19">
        <f>IF($A12="","",'Daily Attendance'!C12)</f>
      </c>
      <c r="D12" s="20">
        <f>IF($A12="","",SUMPRODUCT((MOD(COLUMN('Daily Attendance'!$D12:$AG12)-COLUMN('Daily Attendance'!$D12),2)=0)*'Daily Attendance'!$D12:$AG12))</f>
      </c>
      <c r="E12" s="21">
        <f>IF($A12="","",SUMPRODUCT((MOD(COLUMN('Daily Attendance'!$D12:$AG12)-COLUMN('Daily Attendance'!$D12),2)=1)*'Daily Attendance'!$D12:$AG12))</f>
      </c>
      <c r="F12" s="22">
        <f>IF($A12="","",$D12*IF($C12="Worker",Worker_DailyWage,IF($C12="Laborer",Laborer_DailyWage,0)))</f>
      </c>
      <c r="G12" s="22">
        <f>IF($A12="","",$E12*IF($C12="Worker",Worker_OTRate,IF($C12="Laborer",Laborer_OTRate,0)))</f>
      </c>
      <c r="H12" s="23">
        <f>IF($A12="","",$F12+$G12)</f>
      </c>
      <c r="I12" s="20">
        <f>IF($A12="","",SUMPRODUCT((MOD(COLUMN('Daily Attendance'!$AH12:$BM12)-COLUMN('Daily Attendance'!$AH12),2)=0)*'Daily Attendance'!$AH12:$BM12))</f>
      </c>
      <c r="J12" s="21">
        <f>IF($A12="","",SUMPRODUCT((MOD(COLUMN('Daily Attendance'!$AH12:$BM12)-COLUMN('Daily Attendance'!$AH12),2)=1)*'Daily Attendance'!$AH12:$BM12))</f>
      </c>
      <c r="K12" s="22">
        <f>IF($A12="","",$I12*IF($C12="Worker",Worker_DailyWage,IF($C12="Laborer",Laborer_DailyWage,0)))</f>
      </c>
      <c r="L12" s="22">
        <f>IF($A12="","",$J12*IF($C12="Worker",Worker_OTRate,IF($C12="Laborer",Laborer_OTRate,0)))</f>
      </c>
      <c r="M12" s="23">
        <f>IF($A12="","",$K12+$L12)</f>
      </c>
      <c r="N12" s="23">
        <f>IF($A12="","",$H12+$M12)</f>
      </c>
    </row>
    <row r="13">
      <c r="A13" s="17">
        <f>IF('Daily Attendance'!A13="","",'Daily Attendance'!A13)</f>
      </c>
      <c r="B13" s="18">
        <f>IF($A13="","",'Daily Attendance'!B13)</f>
      </c>
      <c r="C13" s="19">
        <f>IF($A13="","",'Daily Attendance'!C13)</f>
      </c>
      <c r="D13" s="20">
        <f>IF($A13="","",SUMPRODUCT((MOD(COLUMN('Daily Attendance'!$D13:$AG13)-COLUMN('Daily Attendance'!$D13),2)=0)*'Daily Attendance'!$D13:$AG13))</f>
      </c>
      <c r="E13" s="21">
        <f>IF($A13="","",SUMPRODUCT((MOD(COLUMN('Daily Attendance'!$D13:$AG13)-COLUMN('Daily Attendance'!$D13),2)=1)*'Daily Attendance'!$D13:$AG13))</f>
      </c>
      <c r="F13" s="22">
        <f>IF($A13="","",$D13*IF($C13="Worker",Worker_DailyWage,IF($C13="Laborer",Laborer_DailyWage,0)))</f>
      </c>
      <c r="G13" s="22">
        <f>IF($A13="","",$E13*IF($C13="Worker",Worker_OTRate,IF($C13="Laborer",Laborer_OTRate,0)))</f>
      </c>
      <c r="H13" s="23">
        <f>IF($A13="","",$F13+$G13)</f>
      </c>
      <c r="I13" s="20">
        <f>IF($A13="","",SUMPRODUCT((MOD(COLUMN('Daily Attendance'!$AH13:$BM13)-COLUMN('Daily Attendance'!$AH13),2)=0)*'Daily Attendance'!$AH13:$BM13))</f>
      </c>
      <c r="J13" s="21">
        <f>IF($A13="","",SUMPRODUCT((MOD(COLUMN('Daily Attendance'!$AH13:$BM13)-COLUMN('Daily Attendance'!$AH13),2)=1)*'Daily Attendance'!$AH13:$BM13))</f>
      </c>
      <c r="K13" s="22">
        <f>IF($A13="","",$I13*IF($C13="Worker",Worker_DailyWage,IF($C13="Laborer",Laborer_DailyWage,0)))</f>
      </c>
      <c r="L13" s="22">
        <f>IF($A13="","",$J13*IF($C13="Worker",Worker_OTRate,IF($C13="Laborer",Laborer_OTRate,0)))</f>
      </c>
      <c r="M13" s="23">
        <f>IF($A13="","",$K13+$L13)</f>
      </c>
      <c r="N13" s="23">
        <f>IF($A13="","",$H13+$M13)</f>
      </c>
    </row>
    <row r="14">
      <c r="A14" s="17">
        <f>IF('Daily Attendance'!A14="","",'Daily Attendance'!A14)</f>
      </c>
      <c r="B14" s="18">
        <f>IF($A14="","",'Daily Attendance'!B14)</f>
      </c>
      <c r="C14" s="19">
        <f>IF($A14="","",'Daily Attendance'!C14)</f>
      </c>
      <c r="D14" s="20">
        <f>IF($A14="","",SUMPRODUCT((MOD(COLUMN('Daily Attendance'!$D14:$AG14)-COLUMN('Daily Attendance'!$D14),2)=0)*'Daily Attendance'!$D14:$AG14))</f>
      </c>
      <c r="E14" s="21">
        <f>IF($A14="","",SUMPRODUCT((MOD(COLUMN('Daily Attendance'!$D14:$AG14)-COLUMN('Daily Attendance'!$D14),2)=1)*'Daily Attendance'!$D14:$AG14))</f>
      </c>
      <c r="F14" s="22">
        <f>IF($A14="","",$D14*IF($C14="Worker",Worker_DailyWage,IF($C14="Laborer",Laborer_DailyWage,0)))</f>
      </c>
      <c r="G14" s="22">
        <f>IF($A14="","",$E14*IF($C14="Worker",Worker_OTRate,IF($C14="Laborer",Laborer_OTRate,0)))</f>
      </c>
      <c r="H14" s="23">
        <f>IF($A14="","",$F14+$G14)</f>
      </c>
      <c r="I14" s="20">
        <f>IF($A14="","",SUMPRODUCT((MOD(COLUMN('Daily Attendance'!$AH14:$BM14)-COLUMN('Daily Attendance'!$AH14),2)=0)*'Daily Attendance'!$AH14:$BM14))</f>
      </c>
      <c r="J14" s="21">
        <f>IF($A14="","",SUMPRODUCT((MOD(COLUMN('Daily Attendance'!$AH14:$BM14)-COLUMN('Daily Attendance'!$AH14),2)=1)*'Daily Attendance'!$AH14:$BM14))</f>
      </c>
      <c r="K14" s="22">
        <f>IF($A14="","",$I14*IF($C14="Worker",Worker_DailyWage,IF($C14="Laborer",Laborer_DailyWage,0)))</f>
      </c>
      <c r="L14" s="22">
        <f>IF($A14="","",$J14*IF($C14="Worker",Worker_OTRate,IF($C14="Laborer",Laborer_OTRate,0)))</f>
      </c>
      <c r="M14" s="23">
        <f>IF($A14="","",$K14+$L14)</f>
      </c>
      <c r="N14" s="23">
        <f>IF($A14="","",$H14+$M14)</f>
      </c>
    </row>
    <row r="15">
      <c r="A15" s="17">
        <f>IF('Daily Attendance'!A15="","",'Daily Attendance'!A15)</f>
      </c>
      <c r="B15" s="18">
        <f>IF($A15="","",'Daily Attendance'!B15)</f>
      </c>
      <c r="C15" s="19">
        <f>IF($A15="","",'Daily Attendance'!C15)</f>
      </c>
      <c r="D15" s="20">
        <f>IF($A15="","",SUMPRODUCT((MOD(COLUMN('Daily Attendance'!$D15:$AG15)-COLUMN('Daily Attendance'!$D15),2)=0)*'Daily Attendance'!$D15:$AG15))</f>
      </c>
      <c r="E15" s="21">
        <f>IF($A15="","",SUMPRODUCT((MOD(COLUMN('Daily Attendance'!$D15:$AG15)-COLUMN('Daily Attendance'!$D15),2)=1)*'Daily Attendance'!$D15:$AG15))</f>
      </c>
      <c r="F15" s="22">
        <f>IF($A15="","",$D15*IF($C15="Worker",Worker_DailyWage,IF($C15="Laborer",Laborer_DailyWage,0)))</f>
      </c>
      <c r="G15" s="22">
        <f>IF($A15="","",$E15*IF($C15="Worker",Worker_OTRate,IF($C15="Laborer",Laborer_OTRate,0)))</f>
      </c>
      <c r="H15" s="23">
        <f>IF($A15="","",$F15+$G15)</f>
      </c>
      <c r="I15" s="20">
        <f>IF($A15="","",SUMPRODUCT((MOD(COLUMN('Daily Attendance'!$AH15:$BM15)-COLUMN('Daily Attendance'!$AH15),2)=0)*'Daily Attendance'!$AH15:$BM15))</f>
      </c>
      <c r="J15" s="21">
        <f>IF($A15="","",SUMPRODUCT((MOD(COLUMN('Daily Attendance'!$AH15:$BM15)-COLUMN('Daily Attendance'!$AH15),2)=1)*'Daily Attendance'!$AH15:$BM15))</f>
      </c>
      <c r="K15" s="22">
        <f>IF($A15="","",$I15*IF($C15="Worker",Worker_DailyWage,IF($C15="Laborer",Laborer_DailyWage,0)))</f>
      </c>
      <c r="L15" s="22">
        <f>IF($A15="","",$J15*IF($C15="Worker",Worker_OTRate,IF($C15="Laborer",Laborer_OTRate,0)))</f>
      </c>
      <c r="M15" s="23">
        <f>IF($A15="","",$K15+$L15)</f>
      </c>
      <c r="N15" s="23">
        <f>IF($A15="","",$H15+$M15)</f>
      </c>
    </row>
    <row r="16">
      <c r="A16" s="17">
        <f>IF('Daily Attendance'!A16="","",'Daily Attendance'!A16)</f>
      </c>
      <c r="B16" s="18">
        <f>IF($A16="","",'Daily Attendance'!B16)</f>
      </c>
      <c r="C16" s="19">
        <f>IF($A16="","",'Daily Attendance'!C16)</f>
      </c>
      <c r="D16" s="20">
        <f>IF($A16="","",SUMPRODUCT((MOD(COLUMN('Daily Attendance'!$D16:$AG16)-COLUMN('Daily Attendance'!$D16),2)=0)*'Daily Attendance'!$D16:$AG16))</f>
      </c>
      <c r="E16" s="21">
        <f>IF($A16="","",SUMPRODUCT((MOD(COLUMN('Daily Attendance'!$D16:$AG16)-COLUMN('Daily Attendance'!$D16),2)=1)*'Daily Attendance'!$D16:$AG16))</f>
      </c>
      <c r="F16" s="22">
        <f>IF($A16="","",$D16*IF($C16="Worker",Worker_DailyWage,IF($C16="Laborer",Laborer_DailyWage,0)))</f>
      </c>
      <c r="G16" s="22">
        <f>IF($A16="","",$E16*IF($C16="Worker",Worker_OTRate,IF($C16="Laborer",Laborer_OTRate,0)))</f>
      </c>
      <c r="H16" s="23">
        <f>IF($A16="","",$F16+$G16)</f>
      </c>
      <c r="I16" s="20">
        <f>IF($A16="","",SUMPRODUCT((MOD(COLUMN('Daily Attendance'!$AH16:$BM16)-COLUMN('Daily Attendance'!$AH16),2)=0)*'Daily Attendance'!$AH16:$BM16))</f>
      </c>
      <c r="J16" s="21">
        <f>IF($A16="","",SUMPRODUCT((MOD(COLUMN('Daily Attendance'!$AH16:$BM16)-COLUMN('Daily Attendance'!$AH16),2)=1)*'Daily Attendance'!$AH16:$BM16))</f>
      </c>
      <c r="K16" s="22">
        <f>IF($A16="","",$I16*IF($C16="Worker",Worker_DailyWage,IF($C16="Laborer",Laborer_DailyWage,0)))</f>
      </c>
      <c r="L16" s="22">
        <f>IF($A16="","",$J16*IF($C16="Worker",Worker_OTRate,IF($C16="Laborer",Laborer_OTRate,0)))</f>
      </c>
      <c r="M16" s="23">
        <f>IF($A16="","",$K16+$L16)</f>
      </c>
      <c r="N16" s="23">
        <f>IF($A16="","",$H16+$M16)</f>
      </c>
    </row>
    <row r="17">
      <c r="A17" s="17">
        <f>IF('Daily Attendance'!A17="","",'Daily Attendance'!A17)</f>
      </c>
      <c r="B17" s="18">
        <f>IF($A17="","",'Daily Attendance'!B17)</f>
      </c>
      <c r="C17" s="19">
        <f>IF($A17="","",'Daily Attendance'!C17)</f>
      </c>
      <c r="D17" s="20">
        <f>IF($A17="","",SUMPRODUCT((MOD(COLUMN('Daily Attendance'!$D17:$AG17)-COLUMN('Daily Attendance'!$D17),2)=0)*'Daily Attendance'!$D17:$AG17))</f>
      </c>
      <c r="E17" s="21">
        <f>IF($A17="","",SUMPRODUCT((MOD(COLUMN('Daily Attendance'!$D17:$AG17)-COLUMN('Daily Attendance'!$D17),2)=1)*'Daily Attendance'!$D17:$AG17))</f>
      </c>
      <c r="F17" s="22">
        <f>IF($A17="","",$D17*IF($C17="Worker",Worker_DailyWage,IF($C17="Laborer",Laborer_DailyWage,0)))</f>
      </c>
      <c r="G17" s="22">
        <f>IF($A17="","",$E17*IF($C17="Worker",Worker_OTRate,IF($C17="Laborer",Laborer_OTRate,0)))</f>
      </c>
      <c r="H17" s="23">
        <f>IF($A17="","",$F17+$G17)</f>
      </c>
      <c r="I17" s="20">
        <f>IF($A17="","",SUMPRODUCT((MOD(COLUMN('Daily Attendance'!$AH17:$BM17)-COLUMN('Daily Attendance'!$AH17),2)=0)*'Daily Attendance'!$AH17:$BM17))</f>
      </c>
      <c r="J17" s="21">
        <f>IF($A17="","",SUMPRODUCT((MOD(COLUMN('Daily Attendance'!$AH17:$BM17)-COLUMN('Daily Attendance'!$AH17),2)=1)*'Daily Attendance'!$AH17:$BM17))</f>
      </c>
      <c r="K17" s="22">
        <f>IF($A17="","",$I17*IF($C17="Worker",Worker_DailyWage,IF($C17="Laborer",Laborer_DailyWage,0)))</f>
      </c>
      <c r="L17" s="22">
        <f>IF($A17="","",$J17*IF($C17="Worker",Worker_OTRate,IF($C17="Laborer",Laborer_OTRate,0)))</f>
      </c>
      <c r="M17" s="23">
        <f>IF($A17="","",$K17+$L17)</f>
      </c>
      <c r="N17" s="23">
        <f>IF($A17="","",$H17+$M17)</f>
      </c>
    </row>
    <row r="18">
      <c r="A18" s="17">
        <f>IF('Daily Attendance'!A18="","",'Daily Attendance'!A18)</f>
      </c>
      <c r="B18" s="18">
        <f>IF($A18="","",'Daily Attendance'!B18)</f>
      </c>
      <c r="C18" s="19">
        <f>IF($A18="","",'Daily Attendance'!C18)</f>
      </c>
      <c r="D18" s="20">
        <f>IF($A18="","",SUMPRODUCT((MOD(COLUMN('Daily Attendance'!$D18:$AG18)-COLUMN('Daily Attendance'!$D18),2)=0)*'Daily Attendance'!$D18:$AG18))</f>
      </c>
      <c r="E18" s="21">
        <f>IF($A18="","",SUMPRODUCT((MOD(COLUMN('Daily Attendance'!$D18:$AG18)-COLUMN('Daily Attendance'!$D18),2)=1)*'Daily Attendance'!$D18:$AG18))</f>
      </c>
      <c r="F18" s="22">
        <f>IF($A18="","",$D18*IF($C18="Worker",Worker_DailyWage,IF($C18="Laborer",Laborer_DailyWage,0)))</f>
      </c>
      <c r="G18" s="22">
        <f>IF($A18="","",$E18*IF($C18="Worker",Worker_OTRate,IF($C18="Laborer",Laborer_OTRate,0)))</f>
      </c>
      <c r="H18" s="23">
        <f>IF($A18="","",$F18+$G18)</f>
      </c>
      <c r="I18" s="20">
        <f>IF($A18="","",SUMPRODUCT((MOD(COLUMN('Daily Attendance'!$AH18:$BM18)-COLUMN('Daily Attendance'!$AH18),2)=0)*'Daily Attendance'!$AH18:$BM18))</f>
      </c>
      <c r="J18" s="21">
        <f>IF($A18="","",SUMPRODUCT((MOD(COLUMN('Daily Attendance'!$AH18:$BM18)-COLUMN('Daily Attendance'!$AH18),2)=1)*'Daily Attendance'!$AH18:$BM18))</f>
      </c>
      <c r="K18" s="22">
        <f>IF($A18="","",$I18*IF($C18="Worker",Worker_DailyWage,IF($C18="Laborer",Laborer_DailyWage,0)))</f>
      </c>
      <c r="L18" s="22">
        <f>IF($A18="","",$J18*IF($C18="Worker",Worker_OTRate,IF($C18="Laborer",Laborer_OTRate,0)))</f>
      </c>
      <c r="M18" s="23">
        <f>IF($A18="","",$K18+$L18)</f>
      </c>
      <c r="N18" s="23">
        <f>IF($A18="","",$H18+$M18)</f>
      </c>
    </row>
    <row r="19">
      <c r="A19" s="17">
        <f>IF('Daily Attendance'!A19="","",'Daily Attendance'!A19)</f>
      </c>
      <c r="B19" s="18">
        <f>IF($A19="","",'Daily Attendance'!B19)</f>
      </c>
      <c r="C19" s="19">
        <f>IF($A19="","",'Daily Attendance'!C19)</f>
      </c>
      <c r="D19" s="20">
        <f>IF($A19="","",SUMPRODUCT((MOD(COLUMN('Daily Attendance'!$D19:$AG19)-COLUMN('Daily Attendance'!$D19),2)=0)*'Daily Attendance'!$D19:$AG19))</f>
      </c>
      <c r="E19" s="21">
        <f>IF($A19="","",SUMPRODUCT((MOD(COLUMN('Daily Attendance'!$D19:$AG19)-COLUMN('Daily Attendance'!$D19),2)=1)*'Daily Attendance'!$D19:$AG19))</f>
      </c>
      <c r="F19" s="22">
        <f>IF($A19="","",$D19*IF($C19="Worker",Worker_DailyWage,IF($C19="Laborer",Laborer_DailyWage,0)))</f>
      </c>
      <c r="G19" s="22">
        <f>IF($A19="","",$E19*IF($C19="Worker",Worker_OTRate,IF($C19="Laborer",Laborer_OTRate,0)))</f>
      </c>
      <c r="H19" s="23">
        <f>IF($A19="","",$F19+$G19)</f>
      </c>
      <c r="I19" s="20">
        <f>IF($A19="","",SUMPRODUCT((MOD(COLUMN('Daily Attendance'!$AH19:$BM19)-COLUMN('Daily Attendance'!$AH19),2)=0)*'Daily Attendance'!$AH19:$BM19))</f>
      </c>
      <c r="J19" s="21">
        <f>IF($A19="","",SUMPRODUCT((MOD(COLUMN('Daily Attendance'!$AH19:$BM19)-COLUMN('Daily Attendance'!$AH19),2)=1)*'Daily Attendance'!$AH19:$BM19))</f>
      </c>
      <c r="K19" s="22">
        <f>IF($A19="","",$I19*IF($C19="Worker",Worker_DailyWage,IF($C19="Laborer",Laborer_DailyWage,0)))</f>
      </c>
      <c r="L19" s="22">
        <f>IF($A19="","",$J19*IF($C19="Worker",Worker_OTRate,IF($C19="Laborer",Laborer_OTRate,0)))</f>
      </c>
      <c r="M19" s="23">
        <f>IF($A19="","",$K19+$L19)</f>
      </c>
      <c r="N19" s="23">
        <f>IF($A19="","",$H19+$M19)</f>
      </c>
    </row>
    <row r="20">
      <c r="A20" s="17">
        <f>IF('Daily Attendance'!A20="","",'Daily Attendance'!A20)</f>
      </c>
      <c r="B20" s="18">
        <f>IF($A20="","",'Daily Attendance'!B20)</f>
      </c>
      <c r="C20" s="19">
        <f>IF($A20="","",'Daily Attendance'!C20)</f>
      </c>
      <c r="D20" s="20">
        <f>IF($A20="","",SUMPRODUCT((MOD(COLUMN('Daily Attendance'!$D20:$AG20)-COLUMN('Daily Attendance'!$D20),2)=0)*'Daily Attendance'!$D20:$AG20))</f>
      </c>
      <c r="E20" s="21">
        <f>IF($A20="","",SUMPRODUCT((MOD(COLUMN('Daily Attendance'!$D20:$AG20)-COLUMN('Daily Attendance'!$D20),2)=1)*'Daily Attendance'!$D20:$AG20))</f>
      </c>
      <c r="F20" s="22">
        <f>IF($A20="","",$D20*IF($C20="Worker",Worker_DailyWage,IF($C20="Laborer",Laborer_DailyWage,0)))</f>
      </c>
      <c r="G20" s="22">
        <f>IF($A20="","",$E20*IF($C20="Worker",Worker_OTRate,IF($C20="Laborer",Laborer_OTRate,0)))</f>
      </c>
      <c r="H20" s="23">
        <f>IF($A20="","",$F20+$G20)</f>
      </c>
      <c r="I20" s="20">
        <f>IF($A20="","",SUMPRODUCT((MOD(COLUMN('Daily Attendance'!$AH20:$BM20)-COLUMN('Daily Attendance'!$AH20),2)=0)*'Daily Attendance'!$AH20:$BM20))</f>
      </c>
      <c r="J20" s="21">
        <f>IF($A20="","",SUMPRODUCT((MOD(COLUMN('Daily Attendance'!$AH20:$BM20)-COLUMN('Daily Attendance'!$AH20),2)=1)*'Daily Attendance'!$AH20:$BM20))</f>
      </c>
      <c r="K20" s="22">
        <f>IF($A20="","",$I20*IF($C20="Worker",Worker_DailyWage,IF($C20="Laborer",Laborer_DailyWage,0)))</f>
      </c>
      <c r="L20" s="22">
        <f>IF($A20="","",$J20*IF($C20="Worker",Worker_OTRate,IF($C20="Laborer",Laborer_OTRate,0)))</f>
      </c>
      <c r="M20" s="23">
        <f>IF($A20="","",$K20+$L20)</f>
      </c>
      <c r="N20" s="23">
        <f>IF($A20="","",$H20+$M20)</f>
      </c>
    </row>
    <row r="21">
      <c r="A21" s="17">
        <f>IF('Daily Attendance'!A21="","",'Daily Attendance'!A21)</f>
      </c>
      <c r="B21" s="18">
        <f>IF($A21="","",'Daily Attendance'!B21)</f>
      </c>
      <c r="C21" s="19">
        <f>IF($A21="","",'Daily Attendance'!C21)</f>
      </c>
      <c r="D21" s="20">
        <f>IF($A21="","",SUMPRODUCT((MOD(COLUMN('Daily Attendance'!$D21:$AG21)-COLUMN('Daily Attendance'!$D21),2)=0)*'Daily Attendance'!$D21:$AG21))</f>
      </c>
      <c r="E21" s="21">
        <f>IF($A21="","",SUMPRODUCT((MOD(COLUMN('Daily Attendance'!$D21:$AG21)-COLUMN('Daily Attendance'!$D21),2)=1)*'Daily Attendance'!$D21:$AG21))</f>
      </c>
      <c r="F21" s="22">
        <f>IF($A21="","",$D21*IF($C21="Worker",Worker_DailyWage,IF($C21="Laborer",Laborer_DailyWage,0)))</f>
      </c>
      <c r="G21" s="22">
        <f>IF($A21="","",$E21*IF($C21="Worker",Worker_OTRate,IF($C21="Laborer",Laborer_OTRate,0)))</f>
      </c>
      <c r="H21" s="23">
        <f>IF($A21="","",$F21+$G21)</f>
      </c>
      <c r="I21" s="20">
        <f>IF($A21="","",SUMPRODUCT((MOD(COLUMN('Daily Attendance'!$AH21:$BM21)-COLUMN('Daily Attendance'!$AH21),2)=0)*'Daily Attendance'!$AH21:$BM21))</f>
      </c>
      <c r="J21" s="21">
        <f>IF($A21="","",SUMPRODUCT((MOD(COLUMN('Daily Attendance'!$AH21:$BM21)-COLUMN('Daily Attendance'!$AH21),2)=1)*'Daily Attendance'!$AH21:$BM21))</f>
      </c>
      <c r="K21" s="22">
        <f>IF($A21="","",$I21*IF($C21="Worker",Worker_DailyWage,IF($C21="Laborer",Laborer_DailyWage,0)))</f>
      </c>
      <c r="L21" s="22">
        <f>IF($A21="","",$J21*IF($C21="Worker",Worker_OTRate,IF($C21="Laborer",Laborer_OTRate,0)))</f>
      </c>
      <c r="M21" s="23">
        <f>IF($A21="","",$K21+$L21)</f>
      </c>
      <c r="N21" s="23">
        <f>IF($A21="","",$H21+$M21)</f>
      </c>
    </row>
    <row r="22">
      <c r="A22" s="17">
        <f>IF('Daily Attendance'!A22="","",'Daily Attendance'!A22)</f>
      </c>
      <c r="B22" s="18">
        <f>IF($A22="","",'Daily Attendance'!B22)</f>
      </c>
      <c r="C22" s="19">
        <f>IF($A22="","",'Daily Attendance'!C22)</f>
      </c>
      <c r="D22" s="20">
        <f>IF($A22="","",SUMPRODUCT((MOD(COLUMN('Daily Attendance'!$D22:$AG22)-COLUMN('Daily Attendance'!$D22),2)=0)*'Daily Attendance'!$D22:$AG22))</f>
      </c>
      <c r="E22" s="21">
        <f>IF($A22="","",SUMPRODUCT((MOD(COLUMN('Daily Attendance'!$D22:$AG22)-COLUMN('Daily Attendance'!$D22),2)=1)*'Daily Attendance'!$D22:$AG22))</f>
      </c>
      <c r="F22" s="22">
        <f>IF($A22="","",$D22*IF($C22="Worker",Worker_DailyWage,IF($C22="Laborer",Laborer_DailyWage,0)))</f>
      </c>
      <c r="G22" s="22">
        <f>IF($A22="","",$E22*IF($C22="Worker",Worker_OTRate,IF($C22="Laborer",Laborer_OTRate,0)))</f>
      </c>
      <c r="H22" s="23">
        <f>IF($A22="","",$F22+$G22)</f>
      </c>
      <c r="I22" s="20">
        <f>IF($A22="","",SUMPRODUCT((MOD(COLUMN('Daily Attendance'!$AH22:$BM22)-COLUMN('Daily Attendance'!$AH22),2)=0)*'Daily Attendance'!$AH22:$BM22))</f>
      </c>
      <c r="J22" s="21">
        <f>IF($A22="","",SUMPRODUCT((MOD(COLUMN('Daily Attendance'!$AH22:$BM22)-COLUMN('Daily Attendance'!$AH22),2)=1)*'Daily Attendance'!$AH22:$BM22))</f>
      </c>
      <c r="K22" s="22">
        <f>IF($A22="","",$I22*IF($C22="Worker",Worker_DailyWage,IF($C22="Laborer",Laborer_DailyWage,0)))</f>
      </c>
      <c r="L22" s="22">
        <f>IF($A22="","",$J22*IF($C22="Worker",Worker_OTRate,IF($C22="Laborer",Laborer_OTRate,0)))</f>
      </c>
      <c r="M22" s="23">
        <f>IF($A22="","",$K22+$L22)</f>
      </c>
      <c r="N22" s="23">
        <f>IF($A22="","",$H22+$M22)</f>
      </c>
    </row>
    <row r="23">
      <c r="A23" s="17">
        <f>IF('Daily Attendance'!A23="","",'Daily Attendance'!A23)</f>
      </c>
      <c r="B23" s="18">
        <f>IF($A23="","",'Daily Attendance'!B23)</f>
      </c>
      <c r="C23" s="19">
        <f>IF($A23="","",'Daily Attendance'!C23)</f>
      </c>
      <c r="D23" s="20">
        <f>IF($A23="","",SUMPRODUCT((MOD(COLUMN('Daily Attendance'!$D23:$AG23)-COLUMN('Daily Attendance'!$D23),2)=0)*'Daily Attendance'!$D23:$AG23))</f>
      </c>
      <c r="E23" s="21">
        <f>IF($A23="","",SUMPRODUCT((MOD(COLUMN('Daily Attendance'!$D23:$AG23)-COLUMN('Daily Attendance'!$D23),2)=1)*'Daily Attendance'!$D23:$AG23))</f>
      </c>
      <c r="F23" s="22">
        <f>IF($A23="","",$D23*IF($C23="Worker",Worker_DailyWage,IF($C23="Laborer",Laborer_DailyWage,0)))</f>
      </c>
      <c r="G23" s="22">
        <f>IF($A23="","",$E23*IF($C23="Worker",Worker_OTRate,IF($C23="Laborer",Laborer_OTRate,0)))</f>
      </c>
      <c r="H23" s="23">
        <f>IF($A23="","",$F23+$G23)</f>
      </c>
      <c r="I23" s="20">
        <f>IF($A23="","",SUMPRODUCT((MOD(COLUMN('Daily Attendance'!$AH23:$BM23)-COLUMN('Daily Attendance'!$AH23),2)=0)*'Daily Attendance'!$AH23:$BM23))</f>
      </c>
      <c r="J23" s="21">
        <f>IF($A23="","",SUMPRODUCT((MOD(COLUMN('Daily Attendance'!$AH23:$BM23)-COLUMN('Daily Attendance'!$AH23),2)=1)*'Daily Attendance'!$AH23:$BM23))</f>
      </c>
      <c r="K23" s="22">
        <f>IF($A23="","",$I23*IF($C23="Worker",Worker_DailyWage,IF($C23="Laborer",Laborer_DailyWage,0)))</f>
      </c>
      <c r="L23" s="22">
        <f>IF($A23="","",$J23*IF($C23="Worker",Worker_OTRate,IF($C23="Laborer",Laborer_OTRate,0)))</f>
      </c>
      <c r="M23" s="23">
        <f>IF($A23="","",$K23+$L23)</f>
      </c>
      <c r="N23" s="23">
        <f>IF($A23="","",$H23+$M23)</f>
      </c>
    </row>
    <row r="24">
      <c r="A24" s="17">
        <f>IF('Daily Attendance'!A24="","",'Daily Attendance'!A24)</f>
      </c>
      <c r="B24" s="18">
        <f>IF($A24="","",'Daily Attendance'!B24)</f>
      </c>
      <c r="C24" s="19">
        <f>IF($A24="","",'Daily Attendance'!C24)</f>
      </c>
      <c r="D24" s="20">
        <f>IF($A24="","",SUMPRODUCT((MOD(COLUMN('Daily Attendance'!$D24:$AG24)-COLUMN('Daily Attendance'!$D24),2)=0)*'Daily Attendance'!$D24:$AG24))</f>
      </c>
      <c r="E24" s="21">
        <f>IF($A24="","",SUMPRODUCT((MOD(COLUMN('Daily Attendance'!$D24:$AG24)-COLUMN('Daily Attendance'!$D24),2)=1)*'Daily Attendance'!$D24:$AG24))</f>
      </c>
      <c r="F24" s="22">
        <f>IF($A24="","",$D24*IF($C24="Worker",Worker_DailyWage,IF($C24="Laborer",Laborer_DailyWage,0)))</f>
      </c>
      <c r="G24" s="22">
        <f>IF($A24="","",$E24*IF($C24="Worker",Worker_OTRate,IF($C24="Laborer",Laborer_OTRate,0)))</f>
      </c>
      <c r="H24" s="23">
        <f>IF($A24="","",$F24+$G24)</f>
      </c>
      <c r="I24" s="20">
        <f>IF($A24="","",SUMPRODUCT((MOD(COLUMN('Daily Attendance'!$AH24:$BM24)-COLUMN('Daily Attendance'!$AH24),2)=0)*'Daily Attendance'!$AH24:$BM24))</f>
      </c>
      <c r="J24" s="21">
        <f>IF($A24="","",SUMPRODUCT((MOD(COLUMN('Daily Attendance'!$AH24:$BM24)-COLUMN('Daily Attendance'!$AH24),2)=1)*'Daily Attendance'!$AH24:$BM24))</f>
      </c>
      <c r="K24" s="22">
        <f>IF($A24="","",$I24*IF($C24="Worker",Worker_DailyWage,IF($C24="Laborer",Laborer_DailyWage,0)))</f>
      </c>
      <c r="L24" s="22">
        <f>IF($A24="","",$J24*IF($C24="Worker",Worker_OTRate,IF($C24="Laborer",Laborer_OTRate,0)))</f>
      </c>
      <c r="M24" s="23">
        <f>IF($A24="","",$K24+$L24)</f>
      </c>
      <c r="N24" s="23">
        <f>IF($A24="","",$H24+$M24)</f>
      </c>
    </row>
    <row r="25">
      <c r="A25" s="17">
        <f>IF('Daily Attendance'!A25="","",'Daily Attendance'!A25)</f>
      </c>
      <c r="B25" s="18">
        <f>IF($A25="","",'Daily Attendance'!B25)</f>
      </c>
      <c r="C25" s="19">
        <f>IF($A25="","",'Daily Attendance'!C25)</f>
      </c>
      <c r="D25" s="20">
        <f>IF($A25="","",SUMPRODUCT((MOD(COLUMN('Daily Attendance'!$D25:$AG25)-COLUMN('Daily Attendance'!$D25),2)=0)*'Daily Attendance'!$D25:$AG25))</f>
      </c>
      <c r="E25" s="21">
        <f>IF($A25="","",SUMPRODUCT((MOD(COLUMN('Daily Attendance'!$D25:$AG25)-COLUMN('Daily Attendance'!$D25),2)=1)*'Daily Attendance'!$D25:$AG25))</f>
      </c>
      <c r="F25" s="22">
        <f>IF($A25="","",$D25*IF($C25="Worker",Worker_DailyWage,IF($C25="Laborer",Laborer_DailyWage,0)))</f>
      </c>
      <c r="G25" s="22">
        <f>IF($A25="","",$E25*IF($C25="Worker",Worker_OTRate,IF($C25="Laborer",Laborer_OTRate,0)))</f>
      </c>
      <c r="H25" s="23">
        <f>IF($A25="","",$F25+$G25)</f>
      </c>
      <c r="I25" s="20">
        <f>IF($A25="","",SUMPRODUCT((MOD(COLUMN('Daily Attendance'!$AH25:$BM25)-COLUMN('Daily Attendance'!$AH25),2)=0)*'Daily Attendance'!$AH25:$BM25))</f>
      </c>
      <c r="J25" s="21">
        <f>IF($A25="","",SUMPRODUCT((MOD(COLUMN('Daily Attendance'!$AH25:$BM25)-COLUMN('Daily Attendance'!$AH25),2)=1)*'Daily Attendance'!$AH25:$BM25))</f>
      </c>
      <c r="K25" s="22">
        <f>IF($A25="","",$I25*IF($C25="Worker",Worker_DailyWage,IF($C25="Laborer",Laborer_DailyWage,0)))</f>
      </c>
      <c r="L25" s="22">
        <f>IF($A25="","",$J25*IF($C25="Worker",Worker_OTRate,IF($C25="Laborer",Laborer_OTRate,0)))</f>
      </c>
      <c r="M25" s="23">
        <f>IF($A25="","",$K25+$L25)</f>
      </c>
      <c r="N25" s="23">
        <f>IF($A25="","",$H25+$M25)</f>
      </c>
    </row>
    <row r="26">
      <c r="A26" s="17">
        <f>IF('Daily Attendance'!A26="","",'Daily Attendance'!A26)</f>
      </c>
      <c r="B26" s="18">
        <f>IF($A26="","",'Daily Attendance'!B26)</f>
      </c>
      <c r="C26" s="19">
        <f>IF($A26="","",'Daily Attendance'!C26)</f>
      </c>
      <c r="D26" s="20">
        <f>IF($A26="","",SUMPRODUCT((MOD(COLUMN('Daily Attendance'!$D26:$AG26)-COLUMN('Daily Attendance'!$D26),2)=0)*'Daily Attendance'!$D26:$AG26))</f>
      </c>
      <c r="E26" s="21">
        <f>IF($A26="","",SUMPRODUCT((MOD(COLUMN('Daily Attendance'!$D26:$AG26)-COLUMN('Daily Attendance'!$D26),2)=1)*'Daily Attendance'!$D26:$AG26))</f>
      </c>
      <c r="F26" s="22">
        <f>IF($A26="","",$D26*IF($C26="Worker",Worker_DailyWage,IF($C26="Laborer",Laborer_DailyWage,0)))</f>
      </c>
      <c r="G26" s="22">
        <f>IF($A26="","",$E26*IF($C26="Worker",Worker_OTRate,IF($C26="Laborer",Laborer_OTRate,0)))</f>
      </c>
      <c r="H26" s="23">
        <f>IF($A26="","",$F26+$G26)</f>
      </c>
      <c r="I26" s="20">
        <f>IF($A26="","",SUMPRODUCT((MOD(COLUMN('Daily Attendance'!$AH26:$BM26)-COLUMN('Daily Attendance'!$AH26),2)=0)*'Daily Attendance'!$AH26:$BM26))</f>
      </c>
      <c r="J26" s="21">
        <f>IF($A26="","",SUMPRODUCT((MOD(COLUMN('Daily Attendance'!$AH26:$BM26)-COLUMN('Daily Attendance'!$AH26),2)=1)*'Daily Attendance'!$AH26:$BM26))</f>
      </c>
      <c r="K26" s="22">
        <f>IF($A26="","",$I26*IF($C26="Worker",Worker_DailyWage,IF($C26="Laborer",Laborer_DailyWage,0)))</f>
      </c>
      <c r="L26" s="22">
        <f>IF($A26="","",$J26*IF($C26="Worker",Worker_OTRate,IF($C26="Laborer",Laborer_OTRate,0)))</f>
      </c>
      <c r="M26" s="23">
        <f>IF($A26="","",$K26+$L26)</f>
      </c>
      <c r="N26" s="23">
        <f>IF($A26="","",$H26+$M26)</f>
      </c>
    </row>
    <row r="27">
      <c r="A27" s="17">
        <f>IF('Daily Attendance'!A27="","",'Daily Attendance'!A27)</f>
      </c>
      <c r="B27" s="18">
        <f>IF($A27="","",'Daily Attendance'!B27)</f>
      </c>
      <c r="C27" s="19">
        <f>IF($A27="","",'Daily Attendance'!C27)</f>
      </c>
      <c r="D27" s="20">
        <f>IF($A27="","",SUMPRODUCT((MOD(COLUMN('Daily Attendance'!$D27:$AG27)-COLUMN('Daily Attendance'!$D27),2)=0)*'Daily Attendance'!$D27:$AG27))</f>
      </c>
      <c r="E27" s="21">
        <f>IF($A27="","",SUMPRODUCT((MOD(COLUMN('Daily Attendance'!$D27:$AG27)-COLUMN('Daily Attendance'!$D27),2)=1)*'Daily Attendance'!$D27:$AG27))</f>
      </c>
      <c r="F27" s="22">
        <f>IF($A27="","",$D27*IF($C27="Worker",Worker_DailyWage,IF($C27="Laborer",Laborer_DailyWage,0)))</f>
      </c>
      <c r="G27" s="22">
        <f>IF($A27="","",$E27*IF($C27="Worker",Worker_OTRate,IF($C27="Laborer",Laborer_OTRate,0)))</f>
      </c>
      <c r="H27" s="23">
        <f>IF($A27="","",$F27+$G27)</f>
      </c>
      <c r="I27" s="20">
        <f>IF($A27="","",SUMPRODUCT((MOD(COLUMN('Daily Attendance'!$AH27:$BM27)-COLUMN('Daily Attendance'!$AH27),2)=0)*'Daily Attendance'!$AH27:$BM27))</f>
      </c>
      <c r="J27" s="21">
        <f>IF($A27="","",SUMPRODUCT((MOD(COLUMN('Daily Attendance'!$AH27:$BM27)-COLUMN('Daily Attendance'!$AH27),2)=1)*'Daily Attendance'!$AH27:$BM27))</f>
      </c>
      <c r="K27" s="22">
        <f>IF($A27="","",$I27*IF($C27="Worker",Worker_DailyWage,IF($C27="Laborer",Laborer_DailyWage,0)))</f>
      </c>
      <c r="L27" s="22">
        <f>IF($A27="","",$J27*IF($C27="Worker",Worker_OTRate,IF($C27="Laborer",Laborer_OTRate,0)))</f>
      </c>
      <c r="M27" s="23">
        <f>IF($A27="","",$K27+$L27)</f>
      </c>
      <c r="N27" s="23">
        <f>IF($A27="","",$H27+$M27)</f>
      </c>
    </row>
    <row r="28">
      <c r="A28" s="17">
        <f>IF('Daily Attendance'!A28="","",'Daily Attendance'!A28)</f>
      </c>
      <c r="B28" s="18">
        <f>IF($A28="","",'Daily Attendance'!B28)</f>
      </c>
      <c r="C28" s="19">
        <f>IF($A28="","",'Daily Attendance'!C28)</f>
      </c>
      <c r="D28" s="20">
        <f>IF($A28="","",SUMPRODUCT((MOD(COLUMN('Daily Attendance'!$D28:$AG28)-COLUMN('Daily Attendance'!$D28),2)=0)*'Daily Attendance'!$D28:$AG28))</f>
      </c>
      <c r="E28" s="21">
        <f>IF($A28="","",SUMPRODUCT((MOD(COLUMN('Daily Attendance'!$D28:$AG28)-COLUMN('Daily Attendance'!$D28),2)=1)*'Daily Attendance'!$D28:$AG28))</f>
      </c>
      <c r="F28" s="22">
        <f>IF($A28="","",$D28*IF($C28="Worker",Worker_DailyWage,IF($C28="Laborer",Laborer_DailyWage,0)))</f>
      </c>
      <c r="G28" s="22">
        <f>IF($A28="","",$E28*IF($C28="Worker",Worker_OTRate,IF($C28="Laborer",Laborer_OTRate,0)))</f>
      </c>
      <c r="H28" s="23">
        <f>IF($A28="","",$F28+$G28)</f>
      </c>
      <c r="I28" s="20">
        <f>IF($A28="","",SUMPRODUCT((MOD(COLUMN('Daily Attendance'!$AH28:$BM28)-COLUMN('Daily Attendance'!$AH28),2)=0)*'Daily Attendance'!$AH28:$BM28))</f>
      </c>
      <c r="J28" s="21">
        <f>IF($A28="","",SUMPRODUCT((MOD(COLUMN('Daily Attendance'!$AH28:$BM28)-COLUMN('Daily Attendance'!$AH28),2)=1)*'Daily Attendance'!$AH28:$BM28))</f>
      </c>
      <c r="K28" s="22">
        <f>IF($A28="","",$I28*IF($C28="Worker",Worker_DailyWage,IF($C28="Laborer",Laborer_DailyWage,0)))</f>
      </c>
      <c r="L28" s="22">
        <f>IF($A28="","",$J28*IF($C28="Worker",Worker_OTRate,IF($C28="Laborer",Laborer_OTRate,0)))</f>
      </c>
      <c r="M28" s="23">
        <f>IF($A28="","",$K28+$L28)</f>
      </c>
      <c r="N28" s="23">
        <f>IF($A28="","",$H28+$M28)</f>
      </c>
    </row>
    <row r="29">
      <c r="A29" s="17">
        <f>IF('Daily Attendance'!A29="","",'Daily Attendance'!A29)</f>
      </c>
      <c r="B29" s="18">
        <f>IF($A29="","",'Daily Attendance'!B29)</f>
      </c>
      <c r="C29" s="19">
        <f>IF($A29="","",'Daily Attendance'!C29)</f>
      </c>
      <c r="D29" s="20">
        <f>IF($A29="","",SUMPRODUCT((MOD(COLUMN('Daily Attendance'!$D29:$AG29)-COLUMN('Daily Attendance'!$D29),2)=0)*'Daily Attendance'!$D29:$AG29))</f>
      </c>
      <c r="E29" s="21">
        <f>IF($A29="","",SUMPRODUCT((MOD(COLUMN('Daily Attendance'!$D29:$AG29)-COLUMN('Daily Attendance'!$D29),2)=1)*'Daily Attendance'!$D29:$AG29))</f>
      </c>
      <c r="F29" s="22">
        <f>IF($A29="","",$D29*IF($C29="Worker",Worker_DailyWage,IF($C29="Laborer",Laborer_DailyWage,0)))</f>
      </c>
      <c r="G29" s="22">
        <f>IF($A29="","",$E29*IF($C29="Worker",Worker_OTRate,IF($C29="Laborer",Laborer_OTRate,0)))</f>
      </c>
      <c r="H29" s="23">
        <f>IF($A29="","",$F29+$G29)</f>
      </c>
      <c r="I29" s="20">
        <f>IF($A29="","",SUMPRODUCT((MOD(COLUMN('Daily Attendance'!$AH29:$BM29)-COLUMN('Daily Attendance'!$AH29),2)=0)*'Daily Attendance'!$AH29:$BM29))</f>
      </c>
      <c r="J29" s="21">
        <f>IF($A29="","",SUMPRODUCT((MOD(COLUMN('Daily Attendance'!$AH29:$BM29)-COLUMN('Daily Attendance'!$AH29),2)=1)*'Daily Attendance'!$AH29:$BM29))</f>
      </c>
      <c r="K29" s="22">
        <f>IF($A29="","",$I29*IF($C29="Worker",Worker_DailyWage,IF($C29="Laborer",Laborer_DailyWage,0)))</f>
      </c>
      <c r="L29" s="22">
        <f>IF($A29="","",$J29*IF($C29="Worker",Worker_OTRate,IF($C29="Laborer",Laborer_OTRate,0)))</f>
      </c>
      <c r="M29" s="23">
        <f>IF($A29="","",$K29+$L29)</f>
      </c>
      <c r="N29" s="23">
        <f>IF($A29="","",$H29+$M29)</f>
      </c>
    </row>
    <row r="30">
      <c r="A30" s="17">
        <f>IF('Daily Attendance'!A30="","",'Daily Attendance'!A30)</f>
      </c>
      <c r="B30" s="18">
        <f>IF($A30="","",'Daily Attendance'!B30)</f>
      </c>
      <c r="C30" s="19">
        <f>IF($A30="","",'Daily Attendance'!C30)</f>
      </c>
      <c r="D30" s="20">
        <f>IF($A30="","",SUMPRODUCT((MOD(COLUMN('Daily Attendance'!$D30:$AG30)-COLUMN('Daily Attendance'!$D30),2)=0)*'Daily Attendance'!$D30:$AG30))</f>
      </c>
      <c r="E30" s="21">
        <f>IF($A30="","",SUMPRODUCT((MOD(COLUMN('Daily Attendance'!$D30:$AG30)-COLUMN('Daily Attendance'!$D30),2)=1)*'Daily Attendance'!$D30:$AG30))</f>
      </c>
      <c r="F30" s="22">
        <f>IF($A30="","",$D30*IF($C30="Worker",Worker_DailyWage,IF($C30="Laborer",Laborer_DailyWage,0)))</f>
      </c>
      <c r="G30" s="22">
        <f>IF($A30="","",$E30*IF($C30="Worker",Worker_OTRate,IF($C30="Laborer",Laborer_OTRate,0)))</f>
      </c>
      <c r="H30" s="23">
        <f>IF($A30="","",$F30+$G30)</f>
      </c>
      <c r="I30" s="20">
        <f>IF($A30="","",SUMPRODUCT((MOD(COLUMN('Daily Attendance'!$AH30:$BM30)-COLUMN('Daily Attendance'!$AH30),2)=0)*'Daily Attendance'!$AH30:$BM30))</f>
      </c>
      <c r="J30" s="21">
        <f>IF($A30="","",SUMPRODUCT((MOD(COLUMN('Daily Attendance'!$AH30:$BM30)-COLUMN('Daily Attendance'!$AH30),2)=1)*'Daily Attendance'!$AH30:$BM30))</f>
      </c>
      <c r="K30" s="22">
        <f>IF($A30="","",$I30*IF($C30="Worker",Worker_DailyWage,IF($C30="Laborer",Laborer_DailyWage,0)))</f>
      </c>
      <c r="L30" s="22">
        <f>IF($A30="","",$J30*IF($C30="Worker",Worker_OTRate,IF($C30="Laborer",Laborer_OTRate,0)))</f>
      </c>
      <c r="M30" s="23">
        <f>IF($A30="","",$K30+$L30)</f>
      </c>
      <c r="N30" s="23">
        <f>IF($A30="","",$H30+$M30)</f>
      </c>
    </row>
    <row r="31">
      <c r="A31" s="17">
        <f>IF('Daily Attendance'!A31="","",'Daily Attendance'!A31)</f>
      </c>
      <c r="B31" s="18">
        <f>IF($A31="","",'Daily Attendance'!B31)</f>
      </c>
      <c r="C31" s="19">
        <f>IF($A31="","",'Daily Attendance'!C31)</f>
      </c>
      <c r="D31" s="20">
        <f>IF($A31="","",SUMPRODUCT((MOD(COLUMN('Daily Attendance'!$D31:$AG31)-COLUMN('Daily Attendance'!$D31),2)=0)*'Daily Attendance'!$D31:$AG31))</f>
      </c>
      <c r="E31" s="21">
        <f>IF($A31="","",SUMPRODUCT((MOD(COLUMN('Daily Attendance'!$D31:$AG31)-COLUMN('Daily Attendance'!$D31),2)=1)*'Daily Attendance'!$D31:$AG31))</f>
      </c>
      <c r="F31" s="22">
        <f>IF($A31="","",$D31*IF($C31="Worker",Worker_DailyWage,IF($C31="Laborer",Laborer_DailyWage,0)))</f>
      </c>
      <c r="G31" s="22">
        <f>IF($A31="","",$E31*IF($C31="Worker",Worker_OTRate,IF($C31="Laborer",Laborer_OTRate,0)))</f>
      </c>
      <c r="H31" s="23">
        <f>IF($A31="","",$F31+$G31)</f>
      </c>
      <c r="I31" s="20">
        <f>IF($A31="","",SUMPRODUCT((MOD(COLUMN('Daily Attendance'!$AH31:$BM31)-COLUMN('Daily Attendance'!$AH31),2)=0)*'Daily Attendance'!$AH31:$BM31))</f>
      </c>
      <c r="J31" s="21">
        <f>IF($A31="","",SUMPRODUCT((MOD(COLUMN('Daily Attendance'!$AH31:$BM31)-COLUMN('Daily Attendance'!$AH31),2)=1)*'Daily Attendance'!$AH31:$BM31))</f>
      </c>
      <c r="K31" s="22">
        <f>IF($A31="","",$I31*IF($C31="Worker",Worker_DailyWage,IF($C31="Laborer",Laborer_DailyWage,0)))</f>
      </c>
      <c r="L31" s="22">
        <f>IF($A31="","",$J31*IF($C31="Worker",Worker_OTRate,IF($C31="Laborer",Laborer_OTRate,0)))</f>
      </c>
      <c r="M31" s="23">
        <f>IF($A31="","",$K31+$L31)</f>
      </c>
      <c r="N31" s="23">
        <f>IF($A31="","",$H31+$M31)</f>
      </c>
    </row>
    <row r="32">
      <c r="A32" s="17">
        <f>IF('Daily Attendance'!A32="","",'Daily Attendance'!A32)</f>
      </c>
      <c r="B32" s="18">
        <f>IF($A32="","",'Daily Attendance'!B32)</f>
      </c>
      <c r="C32" s="19">
        <f>IF($A32="","",'Daily Attendance'!C32)</f>
      </c>
      <c r="D32" s="20">
        <f>IF($A32="","",SUMPRODUCT((MOD(COLUMN('Daily Attendance'!$D32:$AG32)-COLUMN('Daily Attendance'!$D32),2)=0)*'Daily Attendance'!$D32:$AG32))</f>
      </c>
      <c r="E32" s="21">
        <f>IF($A32="","",SUMPRODUCT((MOD(COLUMN('Daily Attendance'!$D32:$AG32)-COLUMN('Daily Attendance'!$D32),2)=1)*'Daily Attendance'!$D32:$AG32))</f>
      </c>
      <c r="F32" s="22">
        <f>IF($A32="","",$D32*IF($C32="Worker",Worker_DailyWage,IF($C32="Laborer",Laborer_DailyWage,0)))</f>
      </c>
      <c r="G32" s="22">
        <f>IF($A32="","",$E32*IF($C32="Worker",Worker_OTRate,IF($C32="Laborer",Laborer_OTRate,0)))</f>
      </c>
      <c r="H32" s="23">
        <f>IF($A32="","",$F32+$G32)</f>
      </c>
      <c r="I32" s="20">
        <f>IF($A32="","",SUMPRODUCT((MOD(COLUMN('Daily Attendance'!$AH32:$BM32)-COLUMN('Daily Attendance'!$AH32),2)=0)*'Daily Attendance'!$AH32:$BM32))</f>
      </c>
      <c r="J32" s="21">
        <f>IF($A32="","",SUMPRODUCT((MOD(COLUMN('Daily Attendance'!$AH32:$BM32)-COLUMN('Daily Attendance'!$AH32),2)=1)*'Daily Attendance'!$AH32:$BM32))</f>
      </c>
      <c r="K32" s="22">
        <f>IF($A32="","",$I32*IF($C32="Worker",Worker_DailyWage,IF($C32="Laborer",Laborer_DailyWage,0)))</f>
      </c>
      <c r="L32" s="22">
        <f>IF($A32="","",$J32*IF($C32="Worker",Worker_OTRate,IF($C32="Laborer",Laborer_OTRate,0)))</f>
      </c>
      <c r="M32" s="23">
        <f>IF($A32="","",$K32+$L32)</f>
      </c>
      <c r="N32" s="23">
        <f>IF($A32="","",$H32+$M32)</f>
      </c>
    </row>
    <row r="33">
      <c r="A33" s="17">
        <f>IF('Daily Attendance'!A33="","",'Daily Attendance'!A33)</f>
      </c>
      <c r="B33" s="18">
        <f>IF($A33="","",'Daily Attendance'!B33)</f>
      </c>
      <c r="C33" s="19">
        <f>IF($A33="","",'Daily Attendance'!C33)</f>
      </c>
      <c r="D33" s="20">
        <f>IF($A33="","",SUMPRODUCT((MOD(COLUMN('Daily Attendance'!$D33:$AG33)-COLUMN('Daily Attendance'!$D33),2)=0)*'Daily Attendance'!$D33:$AG33))</f>
      </c>
      <c r="E33" s="21">
        <f>IF($A33="","",SUMPRODUCT((MOD(COLUMN('Daily Attendance'!$D33:$AG33)-COLUMN('Daily Attendance'!$D33),2)=1)*'Daily Attendance'!$D33:$AG33))</f>
      </c>
      <c r="F33" s="22">
        <f>IF($A33="","",$D33*IF($C33="Worker",Worker_DailyWage,IF($C33="Laborer",Laborer_DailyWage,0)))</f>
      </c>
      <c r="G33" s="22">
        <f>IF($A33="","",$E33*IF($C33="Worker",Worker_OTRate,IF($C33="Laborer",Laborer_OTRate,0)))</f>
      </c>
      <c r="H33" s="23">
        <f>IF($A33="","",$F33+$G33)</f>
      </c>
      <c r="I33" s="20">
        <f>IF($A33="","",SUMPRODUCT((MOD(COLUMN('Daily Attendance'!$AH33:$BM33)-COLUMN('Daily Attendance'!$AH33),2)=0)*'Daily Attendance'!$AH33:$BM33))</f>
      </c>
      <c r="J33" s="21">
        <f>IF($A33="","",SUMPRODUCT((MOD(COLUMN('Daily Attendance'!$AH33:$BM33)-COLUMN('Daily Attendance'!$AH33),2)=1)*'Daily Attendance'!$AH33:$BM33))</f>
      </c>
      <c r="K33" s="22">
        <f>IF($A33="","",$I33*IF($C33="Worker",Worker_DailyWage,IF($C33="Laborer",Laborer_DailyWage,0)))</f>
      </c>
      <c r="L33" s="22">
        <f>IF($A33="","",$J33*IF($C33="Worker",Worker_OTRate,IF($C33="Laborer",Laborer_OTRate,0)))</f>
      </c>
      <c r="M33" s="23">
        <f>IF($A33="","",$K33+$L33)</f>
      </c>
      <c r="N33" s="23">
        <f>IF($A33="","",$H33+$M33)</f>
      </c>
    </row>
    <row r="34">
      <c r="A34" s="17">
        <f>IF('Daily Attendance'!A34="","",'Daily Attendance'!A34)</f>
      </c>
      <c r="B34" s="18">
        <f>IF($A34="","",'Daily Attendance'!B34)</f>
      </c>
      <c r="C34" s="19">
        <f>IF($A34="","",'Daily Attendance'!C34)</f>
      </c>
      <c r="D34" s="20">
        <f>IF($A34="","",SUMPRODUCT((MOD(COLUMN('Daily Attendance'!$D34:$AG34)-COLUMN('Daily Attendance'!$D34),2)=0)*'Daily Attendance'!$D34:$AG34))</f>
      </c>
      <c r="E34" s="21">
        <f>IF($A34="","",SUMPRODUCT((MOD(COLUMN('Daily Attendance'!$D34:$AG34)-COLUMN('Daily Attendance'!$D34),2)=1)*'Daily Attendance'!$D34:$AG34))</f>
      </c>
      <c r="F34" s="22">
        <f>IF($A34="","",$D34*IF($C34="Worker",Worker_DailyWage,IF($C34="Laborer",Laborer_DailyWage,0)))</f>
      </c>
      <c r="G34" s="22">
        <f>IF($A34="","",$E34*IF($C34="Worker",Worker_OTRate,IF($C34="Laborer",Laborer_OTRate,0)))</f>
      </c>
      <c r="H34" s="23">
        <f>IF($A34="","",$F34+$G34)</f>
      </c>
      <c r="I34" s="20">
        <f>IF($A34="","",SUMPRODUCT((MOD(COLUMN('Daily Attendance'!$AH34:$BM34)-COLUMN('Daily Attendance'!$AH34),2)=0)*'Daily Attendance'!$AH34:$BM34))</f>
      </c>
      <c r="J34" s="21">
        <f>IF($A34="","",SUMPRODUCT((MOD(COLUMN('Daily Attendance'!$AH34:$BM34)-COLUMN('Daily Attendance'!$AH34),2)=1)*'Daily Attendance'!$AH34:$BM34))</f>
      </c>
      <c r="K34" s="22">
        <f>IF($A34="","",$I34*IF($C34="Worker",Worker_DailyWage,IF($C34="Laborer",Laborer_DailyWage,0)))</f>
      </c>
      <c r="L34" s="22">
        <f>IF($A34="","",$J34*IF($C34="Worker",Worker_OTRate,IF($C34="Laborer",Laborer_OTRate,0)))</f>
      </c>
      <c r="M34" s="23">
        <f>IF($A34="","",$K34+$L34)</f>
      </c>
      <c r="N34" s="23">
        <f>IF($A34="","",$H34+$M34)</f>
      </c>
    </row>
    <row r="35">
      <c r="A35" s="17">
        <f>IF('Daily Attendance'!A35="","",'Daily Attendance'!A35)</f>
      </c>
      <c r="B35" s="18">
        <f>IF($A35="","",'Daily Attendance'!B35)</f>
      </c>
      <c r="C35" s="19">
        <f>IF($A35="","",'Daily Attendance'!C35)</f>
      </c>
      <c r="D35" s="20">
        <f>IF($A35="","",SUMPRODUCT((MOD(COLUMN('Daily Attendance'!$D35:$AG35)-COLUMN('Daily Attendance'!$D35),2)=0)*'Daily Attendance'!$D35:$AG35))</f>
      </c>
      <c r="E35" s="21">
        <f>IF($A35="","",SUMPRODUCT((MOD(COLUMN('Daily Attendance'!$D35:$AG35)-COLUMN('Daily Attendance'!$D35),2)=1)*'Daily Attendance'!$D35:$AG35))</f>
      </c>
      <c r="F35" s="22">
        <f>IF($A35="","",$D35*IF($C35="Worker",Worker_DailyWage,IF($C35="Laborer",Laborer_DailyWage,0)))</f>
      </c>
      <c r="G35" s="22">
        <f>IF($A35="","",$E35*IF($C35="Worker",Worker_OTRate,IF($C35="Laborer",Laborer_OTRate,0)))</f>
      </c>
      <c r="H35" s="23">
        <f>IF($A35="","",$F35+$G35)</f>
      </c>
      <c r="I35" s="20">
        <f>IF($A35="","",SUMPRODUCT((MOD(COLUMN('Daily Attendance'!$AH35:$BM35)-COLUMN('Daily Attendance'!$AH35),2)=0)*'Daily Attendance'!$AH35:$BM35))</f>
      </c>
      <c r="J35" s="21">
        <f>IF($A35="","",SUMPRODUCT((MOD(COLUMN('Daily Attendance'!$AH35:$BM35)-COLUMN('Daily Attendance'!$AH35),2)=1)*'Daily Attendance'!$AH35:$BM35))</f>
      </c>
      <c r="K35" s="22">
        <f>IF($A35="","",$I35*IF($C35="Worker",Worker_DailyWage,IF($C35="Laborer",Laborer_DailyWage,0)))</f>
      </c>
      <c r="L35" s="22">
        <f>IF($A35="","",$J35*IF($C35="Worker",Worker_OTRate,IF($C35="Laborer",Laborer_OTRate,0)))</f>
      </c>
      <c r="M35" s="23">
        <f>IF($A35="","",$K35+$L35)</f>
      </c>
      <c r="N35" s="23">
        <f>IF($A35="","",$H35+$M35)</f>
      </c>
    </row>
    <row r="36">
      <c r="A36" s="17">
        <f>IF('Daily Attendance'!A36="","",'Daily Attendance'!A36)</f>
      </c>
      <c r="B36" s="18">
        <f>IF($A36="","",'Daily Attendance'!B36)</f>
      </c>
      <c r="C36" s="19">
        <f>IF($A36="","",'Daily Attendance'!C36)</f>
      </c>
      <c r="D36" s="20">
        <f>IF($A36="","",SUMPRODUCT((MOD(COLUMN('Daily Attendance'!$D36:$AG36)-COLUMN('Daily Attendance'!$D36),2)=0)*'Daily Attendance'!$D36:$AG36))</f>
      </c>
      <c r="E36" s="21">
        <f>IF($A36="","",SUMPRODUCT((MOD(COLUMN('Daily Attendance'!$D36:$AG36)-COLUMN('Daily Attendance'!$D36),2)=1)*'Daily Attendance'!$D36:$AG36))</f>
      </c>
      <c r="F36" s="22">
        <f>IF($A36="","",$D36*IF($C36="Worker",Worker_DailyWage,IF($C36="Laborer",Laborer_DailyWage,0)))</f>
      </c>
      <c r="G36" s="22">
        <f>IF($A36="","",$E36*IF($C36="Worker",Worker_OTRate,IF($C36="Laborer",Laborer_OTRate,0)))</f>
      </c>
      <c r="H36" s="23">
        <f>IF($A36="","",$F36+$G36)</f>
      </c>
      <c r="I36" s="20">
        <f>IF($A36="","",SUMPRODUCT((MOD(COLUMN('Daily Attendance'!$AH36:$BM36)-COLUMN('Daily Attendance'!$AH36),2)=0)*'Daily Attendance'!$AH36:$BM36))</f>
      </c>
      <c r="J36" s="21">
        <f>IF($A36="","",SUMPRODUCT((MOD(COLUMN('Daily Attendance'!$AH36:$BM36)-COLUMN('Daily Attendance'!$AH36),2)=1)*'Daily Attendance'!$AH36:$BM36))</f>
      </c>
      <c r="K36" s="22">
        <f>IF($A36="","",$I36*IF($C36="Worker",Worker_DailyWage,IF($C36="Laborer",Laborer_DailyWage,0)))</f>
      </c>
      <c r="L36" s="22">
        <f>IF($A36="","",$J36*IF($C36="Worker",Worker_OTRate,IF($C36="Laborer",Laborer_OTRate,0)))</f>
      </c>
      <c r="M36" s="23">
        <f>IF($A36="","",$K36+$L36)</f>
      </c>
      <c r="N36" s="23">
        <f>IF($A36="","",$H36+$M36)</f>
      </c>
    </row>
    <row r="37">
      <c r="A37" s="17">
        <f>IF('Daily Attendance'!A37="","",'Daily Attendance'!A37)</f>
      </c>
      <c r="B37" s="18">
        <f>IF($A37="","",'Daily Attendance'!B37)</f>
      </c>
      <c r="C37" s="19">
        <f>IF($A37="","",'Daily Attendance'!C37)</f>
      </c>
      <c r="D37" s="20">
        <f>IF($A37="","",SUMPRODUCT((MOD(COLUMN('Daily Attendance'!$D37:$AG37)-COLUMN('Daily Attendance'!$D37),2)=0)*'Daily Attendance'!$D37:$AG37))</f>
      </c>
      <c r="E37" s="21">
        <f>IF($A37="","",SUMPRODUCT((MOD(COLUMN('Daily Attendance'!$D37:$AG37)-COLUMN('Daily Attendance'!$D37),2)=1)*'Daily Attendance'!$D37:$AG37))</f>
      </c>
      <c r="F37" s="22">
        <f>IF($A37="","",$D37*IF($C37="Worker",Worker_DailyWage,IF($C37="Laborer",Laborer_DailyWage,0)))</f>
      </c>
      <c r="G37" s="22">
        <f>IF($A37="","",$E37*IF($C37="Worker",Worker_OTRate,IF($C37="Laborer",Laborer_OTRate,0)))</f>
      </c>
      <c r="H37" s="23">
        <f>IF($A37="","",$F37+$G37)</f>
      </c>
      <c r="I37" s="20">
        <f>IF($A37="","",SUMPRODUCT((MOD(COLUMN('Daily Attendance'!$AH37:$BM37)-COLUMN('Daily Attendance'!$AH37),2)=0)*'Daily Attendance'!$AH37:$BM37))</f>
      </c>
      <c r="J37" s="21">
        <f>IF($A37="","",SUMPRODUCT((MOD(COLUMN('Daily Attendance'!$AH37:$BM37)-COLUMN('Daily Attendance'!$AH37),2)=1)*'Daily Attendance'!$AH37:$BM37))</f>
      </c>
      <c r="K37" s="22">
        <f>IF($A37="","",$I37*IF($C37="Worker",Worker_DailyWage,IF($C37="Laborer",Laborer_DailyWage,0)))</f>
      </c>
      <c r="L37" s="22">
        <f>IF($A37="","",$J37*IF($C37="Worker",Worker_OTRate,IF($C37="Laborer",Laborer_OTRate,0)))</f>
      </c>
      <c r="M37" s="23">
        <f>IF($A37="","",$K37+$L37)</f>
      </c>
      <c r="N37" s="23">
        <f>IF($A37="","",$H37+$M37)</f>
      </c>
    </row>
    <row r="38">
      <c r="A38" s="17">
        <f>IF('Daily Attendance'!A38="","",'Daily Attendance'!A38)</f>
      </c>
      <c r="B38" s="18">
        <f>IF($A38="","",'Daily Attendance'!B38)</f>
      </c>
      <c r="C38" s="19">
        <f>IF($A38="","",'Daily Attendance'!C38)</f>
      </c>
      <c r="D38" s="20">
        <f>IF($A38="","",SUMPRODUCT((MOD(COLUMN('Daily Attendance'!$D38:$AG38)-COLUMN('Daily Attendance'!$D38),2)=0)*'Daily Attendance'!$D38:$AG38))</f>
      </c>
      <c r="E38" s="21">
        <f>IF($A38="","",SUMPRODUCT((MOD(COLUMN('Daily Attendance'!$D38:$AG38)-COLUMN('Daily Attendance'!$D38),2)=1)*'Daily Attendance'!$D38:$AG38))</f>
      </c>
      <c r="F38" s="22">
        <f>IF($A38="","",$D38*IF($C38="Worker",Worker_DailyWage,IF($C38="Laborer",Laborer_DailyWage,0)))</f>
      </c>
      <c r="G38" s="22">
        <f>IF($A38="","",$E38*IF($C38="Worker",Worker_OTRate,IF($C38="Laborer",Laborer_OTRate,0)))</f>
      </c>
      <c r="H38" s="23">
        <f>IF($A38="","",$F38+$G38)</f>
      </c>
      <c r="I38" s="20">
        <f>IF($A38="","",SUMPRODUCT((MOD(COLUMN('Daily Attendance'!$AH38:$BM38)-COLUMN('Daily Attendance'!$AH38),2)=0)*'Daily Attendance'!$AH38:$BM38))</f>
      </c>
      <c r="J38" s="21">
        <f>IF($A38="","",SUMPRODUCT((MOD(COLUMN('Daily Attendance'!$AH38:$BM38)-COLUMN('Daily Attendance'!$AH38),2)=1)*'Daily Attendance'!$AH38:$BM38))</f>
      </c>
      <c r="K38" s="22">
        <f>IF($A38="","",$I38*IF($C38="Worker",Worker_DailyWage,IF($C38="Laborer",Laborer_DailyWage,0)))</f>
      </c>
      <c r="L38" s="22">
        <f>IF($A38="","",$J38*IF($C38="Worker",Worker_OTRate,IF($C38="Laborer",Laborer_OTRate,0)))</f>
      </c>
      <c r="M38" s="23">
        <f>IF($A38="","",$K38+$L38)</f>
      </c>
      <c r="N38" s="23">
        <f>IF($A38="","",$H38+$M38)</f>
      </c>
    </row>
    <row r="39">
      <c r="A39" s="17">
        <f>IF('Daily Attendance'!A39="","",'Daily Attendance'!A39)</f>
      </c>
      <c r="B39" s="18">
        <f>IF($A39="","",'Daily Attendance'!B39)</f>
      </c>
      <c r="C39" s="19">
        <f>IF($A39="","",'Daily Attendance'!C39)</f>
      </c>
      <c r="D39" s="20">
        <f>IF($A39="","",SUMPRODUCT((MOD(COLUMN('Daily Attendance'!$D39:$AG39)-COLUMN('Daily Attendance'!$D39),2)=0)*'Daily Attendance'!$D39:$AG39))</f>
      </c>
      <c r="E39" s="21">
        <f>IF($A39="","",SUMPRODUCT((MOD(COLUMN('Daily Attendance'!$D39:$AG39)-COLUMN('Daily Attendance'!$D39),2)=1)*'Daily Attendance'!$D39:$AG39))</f>
      </c>
      <c r="F39" s="22">
        <f>IF($A39="","",$D39*IF($C39="Worker",Worker_DailyWage,IF($C39="Laborer",Laborer_DailyWage,0)))</f>
      </c>
      <c r="G39" s="22">
        <f>IF($A39="","",$E39*IF($C39="Worker",Worker_OTRate,IF($C39="Laborer",Laborer_OTRate,0)))</f>
      </c>
      <c r="H39" s="23">
        <f>IF($A39="","",$F39+$G39)</f>
      </c>
      <c r="I39" s="20">
        <f>IF($A39="","",SUMPRODUCT((MOD(COLUMN('Daily Attendance'!$AH39:$BM39)-COLUMN('Daily Attendance'!$AH39),2)=0)*'Daily Attendance'!$AH39:$BM39))</f>
      </c>
      <c r="J39" s="21">
        <f>IF($A39="","",SUMPRODUCT((MOD(COLUMN('Daily Attendance'!$AH39:$BM39)-COLUMN('Daily Attendance'!$AH39),2)=1)*'Daily Attendance'!$AH39:$BM39))</f>
      </c>
      <c r="K39" s="22">
        <f>IF($A39="","",$I39*IF($C39="Worker",Worker_DailyWage,IF($C39="Laborer",Laborer_DailyWage,0)))</f>
      </c>
      <c r="L39" s="22">
        <f>IF($A39="","",$J39*IF($C39="Worker",Worker_OTRate,IF($C39="Laborer",Laborer_OTRate,0)))</f>
      </c>
      <c r="M39" s="23">
        <f>IF($A39="","",$K39+$L39)</f>
      </c>
      <c r="N39" s="23">
        <f>IF($A39="","",$H39+$M39)</f>
      </c>
    </row>
    <row r="40">
      <c r="A40" s="17">
        <f>IF('Daily Attendance'!A40="","",'Daily Attendance'!A40)</f>
      </c>
      <c r="B40" s="18">
        <f>IF($A40="","",'Daily Attendance'!B40)</f>
      </c>
      <c r="C40" s="19">
        <f>IF($A40="","",'Daily Attendance'!C40)</f>
      </c>
      <c r="D40" s="20">
        <f>IF($A40="","",SUMPRODUCT((MOD(COLUMN('Daily Attendance'!$D40:$AG40)-COLUMN('Daily Attendance'!$D40),2)=0)*'Daily Attendance'!$D40:$AG40))</f>
      </c>
      <c r="E40" s="21">
        <f>IF($A40="","",SUMPRODUCT((MOD(COLUMN('Daily Attendance'!$D40:$AG40)-COLUMN('Daily Attendance'!$D40),2)=1)*'Daily Attendance'!$D40:$AG40))</f>
      </c>
      <c r="F40" s="22">
        <f>IF($A40="","",$D40*IF($C40="Worker",Worker_DailyWage,IF($C40="Laborer",Laborer_DailyWage,0)))</f>
      </c>
      <c r="G40" s="22">
        <f>IF($A40="","",$E40*IF($C40="Worker",Worker_OTRate,IF($C40="Laborer",Laborer_OTRate,0)))</f>
      </c>
      <c r="H40" s="23">
        <f>IF($A40="","",$F40+$G40)</f>
      </c>
      <c r="I40" s="20">
        <f>IF($A40="","",SUMPRODUCT((MOD(COLUMN('Daily Attendance'!$AH40:$BM40)-COLUMN('Daily Attendance'!$AH40),2)=0)*'Daily Attendance'!$AH40:$BM40))</f>
      </c>
      <c r="J40" s="21">
        <f>IF($A40="","",SUMPRODUCT((MOD(COLUMN('Daily Attendance'!$AH40:$BM40)-COLUMN('Daily Attendance'!$AH40),2)=1)*'Daily Attendance'!$AH40:$BM40))</f>
      </c>
      <c r="K40" s="22">
        <f>IF($A40="","",$I40*IF($C40="Worker",Worker_DailyWage,IF($C40="Laborer",Laborer_DailyWage,0)))</f>
      </c>
      <c r="L40" s="22">
        <f>IF($A40="","",$J40*IF($C40="Worker",Worker_OTRate,IF($C40="Laborer",Laborer_OTRate,0)))</f>
      </c>
      <c r="M40" s="23">
        <f>IF($A40="","",$K40+$L40)</f>
      </c>
      <c r="N40" s="23">
        <f>IF($A40="","",$H40+$M40)</f>
      </c>
    </row>
    <row r="41">
      <c r="A41" s="17">
        <f>IF('Daily Attendance'!A41="","",'Daily Attendance'!A41)</f>
      </c>
      <c r="B41" s="18">
        <f>IF($A41="","",'Daily Attendance'!B41)</f>
      </c>
      <c r="C41" s="19">
        <f>IF($A41="","",'Daily Attendance'!C41)</f>
      </c>
      <c r="D41" s="20">
        <f>IF($A41="","",SUMPRODUCT((MOD(COLUMN('Daily Attendance'!$D41:$AG41)-COLUMN('Daily Attendance'!$D41),2)=0)*'Daily Attendance'!$D41:$AG41))</f>
      </c>
      <c r="E41" s="21">
        <f>IF($A41="","",SUMPRODUCT((MOD(COLUMN('Daily Attendance'!$D41:$AG41)-COLUMN('Daily Attendance'!$D41),2)=1)*'Daily Attendance'!$D41:$AG41))</f>
      </c>
      <c r="F41" s="22">
        <f>IF($A41="","",$D41*IF($C41="Worker",Worker_DailyWage,IF($C41="Laborer",Laborer_DailyWage,0)))</f>
      </c>
      <c r="G41" s="22">
        <f>IF($A41="","",$E41*IF($C41="Worker",Worker_OTRate,IF($C41="Laborer",Laborer_OTRate,0)))</f>
      </c>
      <c r="H41" s="23">
        <f>IF($A41="","",$F41+$G41)</f>
      </c>
      <c r="I41" s="20">
        <f>IF($A41="","",SUMPRODUCT((MOD(COLUMN('Daily Attendance'!$AH41:$BM41)-COLUMN('Daily Attendance'!$AH41),2)=0)*'Daily Attendance'!$AH41:$BM41))</f>
      </c>
      <c r="J41" s="21">
        <f>IF($A41="","",SUMPRODUCT((MOD(COLUMN('Daily Attendance'!$AH41:$BM41)-COLUMN('Daily Attendance'!$AH41),2)=1)*'Daily Attendance'!$AH41:$BM41))</f>
      </c>
      <c r="K41" s="22">
        <f>IF($A41="","",$I41*IF($C41="Worker",Worker_DailyWage,IF($C41="Laborer",Laborer_DailyWage,0)))</f>
      </c>
      <c r="L41" s="22">
        <f>IF($A41="","",$J41*IF($C41="Worker",Worker_OTRate,IF($C41="Laborer",Laborer_OTRate,0)))</f>
      </c>
      <c r="M41" s="23">
        <f>IF($A41="","",$K41+$L41)</f>
      </c>
      <c r="N41" s="23">
        <f>IF($A41="","",$H41+$M41)</f>
      </c>
    </row>
    <row r="42">
      <c r="A42" s="17">
        <f>IF('Daily Attendance'!A42="","",'Daily Attendance'!A42)</f>
      </c>
      <c r="B42" s="18">
        <f>IF($A42="","",'Daily Attendance'!B42)</f>
      </c>
      <c r="C42" s="19">
        <f>IF($A42="","",'Daily Attendance'!C42)</f>
      </c>
      <c r="D42" s="20">
        <f>IF($A42="","",SUMPRODUCT((MOD(COLUMN('Daily Attendance'!$D42:$AG42)-COLUMN('Daily Attendance'!$D42),2)=0)*'Daily Attendance'!$D42:$AG42))</f>
      </c>
      <c r="E42" s="21">
        <f>IF($A42="","",SUMPRODUCT((MOD(COLUMN('Daily Attendance'!$D42:$AG42)-COLUMN('Daily Attendance'!$D42),2)=1)*'Daily Attendance'!$D42:$AG42))</f>
      </c>
      <c r="F42" s="22">
        <f>IF($A42="","",$D42*IF($C42="Worker",Worker_DailyWage,IF($C42="Laborer",Laborer_DailyWage,0)))</f>
      </c>
      <c r="G42" s="22">
        <f>IF($A42="","",$E42*IF($C42="Worker",Worker_OTRate,IF($C42="Laborer",Laborer_OTRate,0)))</f>
      </c>
      <c r="H42" s="23">
        <f>IF($A42="","",$F42+$G42)</f>
      </c>
      <c r="I42" s="20">
        <f>IF($A42="","",SUMPRODUCT((MOD(COLUMN('Daily Attendance'!$AH42:$BM42)-COLUMN('Daily Attendance'!$AH42),2)=0)*'Daily Attendance'!$AH42:$BM42))</f>
      </c>
      <c r="J42" s="21">
        <f>IF($A42="","",SUMPRODUCT((MOD(COLUMN('Daily Attendance'!$AH42:$BM42)-COLUMN('Daily Attendance'!$AH42),2)=1)*'Daily Attendance'!$AH42:$BM42))</f>
      </c>
      <c r="K42" s="22">
        <f>IF($A42="","",$I42*IF($C42="Worker",Worker_DailyWage,IF($C42="Laborer",Laborer_DailyWage,0)))</f>
      </c>
      <c r="L42" s="22">
        <f>IF($A42="","",$J42*IF($C42="Worker",Worker_OTRate,IF($C42="Laborer",Laborer_OTRate,0)))</f>
      </c>
      <c r="M42" s="23">
        <f>IF($A42="","",$K42+$L42)</f>
      </c>
      <c r="N42" s="23">
        <f>IF($A42="","",$H42+$M42)</f>
      </c>
    </row>
    <row r="43">
      <c r="A43" s="17">
        <f>IF('Daily Attendance'!A43="","",'Daily Attendance'!A43)</f>
      </c>
      <c r="B43" s="18">
        <f>IF($A43="","",'Daily Attendance'!B43)</f>
      </c>
      <c r="C43" s="19">
        <f>IF($A43="","",'Daily Attendance'!C43)</f>
      </c>
      <c r="D43" s="20">
        <f>IF($A43="","",SUMPRODUCT((MOD(COLUMN('Daily Attendance'!$D43:$AG43)-COLUMN('Daily Attendance'!$D43),2)=0)*'Daily Attendance'!$D43:$AG43))</f>
      </c>
      <c r="E43" s="21">
        <f>IF($A43="","",SUMPRODUCT((MOD(COLUMN('Daily Attendance'!$D43:$AG43)-COLUMN('Daily Attendance'!$D43),2)=1)*'Daily Attendance'!$D43:$AG43))</f>
      </c>
      <c r="F43" s="22">
        <f>IF($A43="","",$D43*IF($C43="Worker",Worker_DailyWage,IF($C43="Laborer",Laborer_DailyWage,0)))</f>
      </c>
      <c r="G43" s="22">
        <f>IF($A43="","",$E43*IF($C43="Worker",Worker_OTRate,IF($C43="Laborer",Laborer_OTRate,0)))</f>
      </c>
      <c r="H43" s="23">
        <f>IF($A43="","",$F43+$G43)</f>
      </c>
      <c r="I43" s="20">
        <f>IF($A43="","",SUMPRODUCT((MOD(COLUMN('Daily Attendance'!$AH43:$BM43)-COLUMN('Daily Attendance'!$AH43),2)=0)*'Daily Attendance'!$AH43:$BM43))</f>
      </c>
      <c r="J43" s="21">
        <f>IF($A43="","",SUMPRODUCT((MOD(COLUMN('Daily Attendance'!$AH43:$BM43)-COLUMN('Daily Attendance'!$AH43),2)=1)*'Daily Attendance'!$AH43:$BM43))</f>
      </c>
      <c r="K43" s="22">
        <f>IF($A43="","",$I43*IF($C43="Worker",Worker_DailyWage,IF($C43="Laborer",Laborer_DailyWage,0)))</f>
      </c>
      <c r="L43" s="22">
        <f>IF($A43="","",$J43*IF($C43="Worker",Worker_OTRate,IF($C43="Laborer",Laborer_OTRate,0)))</f>
      </c>
      <c r="M43" s="23">
        <f>IF($A43="","",$K43+$L43)</f>
      </c>
      <c r="N43" s="23">
        <f>IF($A43="","",$H43+$M43)</f>
      </c>
    </row>
    <row r="44">
      <c r="A44" s="17">
        <f>IF('Daily Attendance'!A44="","",'Daily Attendance'!A44)</f>
      </c>
      <c r="B44" s="18">
        <f>IF($A44="","",'Daily Attendance'!B44)</f>
      </c>
      <c r="C44" s="19">
        <f>IF($A44="","",'Daily Attendance'!C44)</f>
      </c>
      <c r="D44" s="20">
        <f>IF($A44="","",SUMPRODUCT((MOD(COLUMN('Daily Attendance'!$D44:$AG44)-COLUMN('Daily Attendance'!$D44),2)=0)*'Daily Attendance'!$D44:$AG44))</f>
      </c>
      <c r="E44" s="21">
        <f>IF($A44="","",SUMPRODUCT((MOD(COLUMN('Daily Attendance'!$D44:$AG44)-COLUMN('Daily Attendance'!$D44),2)=1)*'Daily Attendance'!$D44:$AG44))</f>
      </c>
      <c r="F44" s="22">
        <f>IF($A44="","",$D44*IF($C44="Worker",Worker_DailyWage,IF($C44="Laborer",Laborer_DailyWage,0)))</f>
      </c>
      <c r="G44" s="22">
        <f>IF($A44="","",$E44*IF($C44="Worker",Worker_OTRate,IF($C44="Laborer",Laborer_OTRate,0)))</f>
      </c>
      <c r="H44" s="23">
        <f>IF($A44="","",$F44+$G44)</f>
      </c>
      <c r="I44" s="20">
        <f>IF($A44="","",SUMPRODUCT((MOD(COLUMN('Daily Attendance'!$AH44:$BM44)-COLUMN('Daily Attendance'!$AH44),2)=0)*'Daily Attendance'!$AH44:$BM44))</f>
      </c>
      <c r="J44" s="21">
        <f>IF($A44="","",SUMPRODUCT((MOD(COLUMN('Daily Attendance'!$AH44:$BM44)-COLUMN('Daily Attendance'!$AH44),2)=1)*'Daily Attendance'!$AH44:$BM44))</f>
      </c>
      <c r="K44" s="22">
        <f>IF($A44="","",$I44*IF($C44="Worker",Worker_DailyWage,IF($C44="Laborer",Laborer_DailyWage,0)))</f>
      </c>
      <c r="L44" s="22">
        <f>IF($A44="","",$J44*IF($C44="Worker",Worker_OTRate,IF($C44="Laborer",Laborer_OTRate,0)))</f>
      </c>
      <c r="M44" s="23">
        <f>IF($A44="","",$K44+$L44)</f>
      </c>
      <c r="N44" s="23">
        <f>IF($A44="","",$H44+$M44)</f>
      </c>
    </row>
    <row r="45">
      <c r="A45" s="17">
        <f>IF('Daily Attendance'!A45="","",'Daily Attendance'!A45)</f>
      </c>
      <c r="B45" s="18">
        <f>IF($A45="","",'Daily Attendance'!B45)</f>
      </c>
      <c r="C45" s="19">
        <f>IF($A45="","",'Daily Attendance'!C45)</f>
      </c>
      <c r="D45" s="20">
        <f>IF($A45="","",SUMPRODUCT((MOD(COLUMN('Daily Attendance'!$D45:$AG45)-COLUMN('Daily Attendance'!$D45),2)=0)*'Daily Attendance'!$D45:$AG45))</f>
      </c>
      <c r="E45" s="21">
        <f>IF($A45="","",SUMPRODUCT((MOD(COLUMN('Daily Attendance'!$D45:$AG45)-COLUMN('Daily Attendance'!$D45),2)=1)*'Daily Attendance'!$D45:$AG45))</f>
      </c>
      <c r="F45" s="22">
        <f>IF($A45="","",$D45*IF($C45="Worker",Worker_DailyWage,IF($C45="Laborer",Laborer_DailyWage,0)))</f>
      </c>
      <c r="G45" s="22">
        <f>IF($A45="","",$E45*IF($C45="Worker",Worker_OTRate,IF($C45="Laborer",Laborer_OTRate,0)))</f>
      </c>
      <c r="H45" s="23">
        <f>IF($A45="","",$F45+$G45)</f>
      </c>
      <c r="I45" s="20">
        <f>IF($A45="","",SUMPRODUCT((MOD(COLUMN('Daily Attendance'!$AH45:$BM45)-COLUMN('Daily Attendance'!$AH45),2)=0)*'Daily Attendance'!$AH45:$BM45))</f>
      </c>
      <c r="J45" s="21">
        <f>IF($A45="","",SUMPRODUCT((MOD(COLUMN('Daily Attendance'!$AH45:$BM45)-COLUMN('Daily Attendance'!$AH45),2)=1)*'Daily Attendance'!$AH45:$BM45))</f>
      </c>
      <c r="K45" s="22">
        <f>IF($A45="","",$I45*IF($C45="Worker",Worker_DailyWage,IF($C45="Laborer",Laborer_DailyWage,0)))</f>
      </c>
      <c r="L45" s="22">
        <f>IF($A45="","",$J45*IF($C45="Worker",Worker_OTRate,IF($C45="Laborer",Laborer_OTRate,0)))</f>
      </c>
      <c r="M45" s="23">
        <f>IF($A45="","",$K45+$L45)</f>
      </c>
      <c r="N45" s="23">
        <f>IF($A45="","",$H45+$M45)</f>
      </c>
    </row>
    <row r="46">
      <c r="A46" s="17">
        <f>IF('Daily Attendance'!A46="","",'Daily Attendance'!A46)</f>
      </c>
      <c r="B46" s="18">
        <f>IF($A46="","",'Daily Attendance'!B46)</f>
      </c>
      <c r="C46" s="19">
        <f>IF($A46="","",'Daily Attendance'!C46)</f>
      </c>
      <c r="D46" s="20">
        <f>IF($A46="","",SUMPRODUCT((MOD(COLUMN('Daily Attendance'!$D46:$AG46)-COLUMN('Daily Attendance'!$D46),2)=0)*'Daily Attendance'!$D46:$AG46))</f>
      </c>
      <c r="E46" s="21">
        <f>IF($A46="","",SUMPRODUCT((MOD(COLUMN('Daily Attendance'!$D46:$AG46)-COLUMN('Daily Attendance'!$D46),2)=1)*'Daily Attendance'!$D46:$AG46))</f>
      </c>
      <c r="F46" s="22">
        <f>IF($A46="","",$D46*IF($C46="Worker",Worker_DailyWage,IF($C46="Laborer",Laborer_DailyWage,0)))</f>
      </c>
      <c r="G46" s="22">
        <f>IF($A46="","",$E46*IF($C46="Worker",Worker_OTRate,IF($C46="Laborer",Laborer_OTRate,0)))</f>
      </c>
      <c r="H46" s="23">
        <f>IF($A46="","",$F46+$G46)</f>
      </c>
      <c r="I46" s="20">
        <f>IF($A46="","",SUMPRODUCT((MOD(COLUMN('Daily Attendance'!$AH46:$BM46)-COLUMN('Daily Attendance'!$AH46),2)=0)*'Daily Attendance'!$AH46:$BM46))</f>
      </c>
      <c r="J46" s="21">
        <f>IF($A46="","",SUMPRODUCT((MOD(COLUMN('Daily Attendance'!$AH46:$BM46)-COLUMN('Daily Attendance'!$AH46),2)=1)*'Daily Attendance'!$AH46:$BM46))</f>
      </c>
      <c r="K46" s="22">
        <f>IF($A46="","",$I46*IF($C46="Worker",Worker_DailyWage,IF($C46="Laborer",Laborer_DailyWage,0)))</f>
      </c>
      <c r="L46" s="22">
        <f>IF($A46="","",$J46*IF($C46="Worker",Worker_OTRate,IF($C46="Laborer",Laborer_OTRate,0)))</f>
      </c>
      <c r="M46" s="23">
        <f>IF($A46="","",$K46+$L46)</f>
      </c>
      <c r="N46" s="23">
        <f>IF($A46="","",$H46+$M46)</f>
      </c>
    </row>
    <row r="47">
      <c r="A47" s="17">
        <f>IF('Daily Attendance'!A47="","",'Daily Attendance'!A47)</f>
      </c>
      <c r="B47" s="18">
        <f>IF($A47="","",'Daily Attendance'!B47)</f>
      </c>
      <c r="C47" s="19">
        <f>IF($A47="","",'Daily Attendance'!C47)</f>
      </c>
      <c r="D47" s="20">
        <f>IF($A47="","",SUMPRODUCT((MOD(COLUMN('Daily Attendance'!$D47:$AG47)-COLUMN('Daily Attendance'!$D47),2)=0)*'Daily Attendance'!$D47:$AG47))</f>
      </c>
      <c r="E47" s="21">
        <f>IF($A47="","",SUMPRODUCT((MOD(COLUMN('Daily Attendance'!$D47:$AG47)-COLUMN('Daily Attendance'!$D47),2)=1)*'Daily Attendance'!$D47:$AG47))</f>
      </c>
      <c r="F47" s="22">
        <f>IF($A47="","",$D47*IF($C47="Worker",Worker_DailyWage,IF($C47="Laborer",Laborer_DailyWage,0)))</f>
      </c>
      <c r="G47" s="22">
        <f>IF($A47="","",$E47*IF($C47="Worker",Worker_OTRate,IF($C47="Laborer",Laborer_OTRate,0)))</f>
      </c>
      <c r="H47" s="23">
        <f>IF($A47="","",$F47+$G47)</f>
      </c>
      <c r="I47" s="20">
        <f>IF($A47="","",SUMPRODUCT((MOD(COLUMN('Daily Attendance'!$AH47:$BM47)-COLUMN('Daily Attendance'!$AH47),2)=0)*'Daily Attendance'!$AH47:$BM47))</f>
      </c>
      <c r="J47" s="21">
        <f>IF($A47="","",SUMPRODUCT((MOD(COLUMN('Daily Attendance'!$AH47:$BM47)-COLUMN('Daily Attendance'!$AH47),2)=1)*'Daily Attendance'!$AH47:$BM47))</f>
      </c>
      <c r="K47" s="22">
        <f>IF($A47="","",$I47*IF($C47="Worker",Worker_DailyWage,IF($C47="Laborer",Laborer_DailyWage,0)))</f>
      </c>
      <c r="L47" s="22">
        <f>IF($A47="","",$J47*IF($C47="Worker",Worker_OTRate,IF($C47="Laborer",Laborer_OTRate,0)))</f>
      </c>
      <c r="M47" s="23">
        <f>IF($A47="","",$K47+$L47)</f>
      </c>
      <c r="N47" s="23">
        <f>IF($A47="","",$H47+$M47)</f>
      </c>
    </row>
    <row r="48">
      <c r="A48" s="17">
        <f>IF('Daily Attendance'!A48="","",'Daily Attendance'!A48)</f>
      </c>
      <c r="B48" s="18">
        <f>IF($A48="","",'Daily Attendance'!B48)</f>
      </c>
      <c r="C48" s="19">
        <f>IF($A48="","",'Daily Attendance'!C48)</f>
      </c>
      <c r="D48" s="20">
        <f>IF($A48="","",SUMPRODUCT((MOD(COLUMN('Daily Attendance'!$D48:$AG48)-COLUMN('Daily Attendance'!$D48),2)=0)*'Daily Attendance'!$D48:$AG48))</f>
      </c>
      <c r="E48" s="21">
        <f>IF($A48="","",SUMPRODUCT((MOD(COLUMN('Daily Attendance'!$D48:$AG48)-COLUMN('Daily Attendance'!$D48),2)=1)*'Daily Attendance'!$D48:$AG48))</f>
      </c>
      <c r="F48" s="22">
        <f>IF($A48="","",$D48*IF($C48="Worker",Worker_DailyWage,IF($C48="Laborer",Laborer_DailyWage,0)))</f>
      </c>
      <c r="G48" s="22">
        <f>IF($A48="","",$E48*IF($C48="Worker",Worker_OTRate,IF($C48="Laborer",Laborer_OTRate,0)))</f>
      </c>
      <c r="H48" s="23">
        <f>IF($A48="","",$F48+$G48)</f>
      </c>
      <c r="I48" s="20">
        <f>IF($A48="","",SUMPRODUCT((MOD(COLUMN('Daily Attendance'!$AH48:$BM48)-COLUMN('Daily Attendance'!$AH48),2)=0)*'Daily Attendance'!$AH48:$BM48))</f>
      </c>
      <c r="J48" s="21">
        <f>IF($A48="","",SUMPRODUCT((MOD(COLUMN('Daily Attendance'!$AH48:$BM48)-COLUMN('Daily Attendance'!$AH48),2)=1)*'Daily Attendance'!$AH48:$BM48))</f>
      </c>
      <c r="K48" s="22">
        <f>IF($A48="","",$I48*IF($C48="Worker",Worker_DailyWage,IF($C48="Laborer",Laborer_DailyWage,0)))</f>
      </c>
      <c r="L48" s="22">
        <f>IF($A48="","",$J48*IF($C48="Worker",Worker_OTRate,IF($C48="Laborer",Laborer_OTRate,0)))</f>
      </c>
      <c r="M48" s="23">
        <f>IF($A48="","",$K48+$L48)</f>
      </c>
      <c r="N48" s="23">
        <f>IF($A48="","",$H48+$M48)</f>
      </c>
    </row>
    <row r="49">
      <c r="A49" s="17">
        <f>IF('Daily Attendance'!A49="","",'Daily Attendance'!A49)</f>
      </c>
      <c r="B49" s="18">
        <f>IF($A49="","",'Daily Attendance'!B49)</f>
      </c>
      <c r="C49" s="19">
        <f>IF($A49="","",'Daily Attendance'!C49)</f>
      </c>
      <c r="D49" s="20">
        <f>IF($A49="","",SUMPRODUCT((MOD(COLUMN('Daily Attendance'!$D49:$AG49)-COLUMN('Daily Attendance'!$D49),2)=0)*'Daily Attendance'!$D49:$AG49))</f>
      </c>
      <c r="E49" s="21">
        <f>IF($A49="","",SUMPRODUCT((MOD(COLUMN('Daily Attendance'!$D49:$AG49)-COLUMN('Daily Attendance'!$D49),2)=1)*'Daily Attendance'!$D49:$AG49))</f>
      </c>
      <c r="F49" s="22">
        <f>IF($A49="","",$D49*IF($C49="Worker",Worker_DailyWage,IF($C49="Laborer",Laborer_DailyWage,0)))</f>
      </c>
      <c r="G49" s="22">
        <f>IF($A49="","",$E49*IF($C49="Worker",Worker_OTRate,IF($C49="Laborer",Laborer_OTRate,0)))</f>
      </c>
      <c r="H49" s="23">
        <f>IF($A49="","",$F49+$G49)</f>
      </c>
      <c r="I49" s="20">
        <f>IF($A49="","",SUMPRODUCT((MOD(COLUMN('Daily Attendance'!$AH49:$BM49)-COLUMN('Daily Attendance'!$AH49),2)=0)*'Daily Attendance'!$AH49:$BM49))</f>
      </c>
      <c r="J49" s="21">
        <f>IF($A49="","",SUMPRODUCT((MOD(COLUMN('Daily Attendance'!$AH49:$BM49)-COLUMN('Daily Attendance'!$AH49),2)=1)*'Daily Attendance'!$AH49:$BM49))</f>
      </c>
      <c r="K49" s="22">
        <f>IF($A49="","",$I49*IF($C49="Worker",Worker_DailyWage,IF($C49="Laborer",Laborer_DailyWage,0)))</f>
      </c>
      <c r="L49" s="22">
        <f>IF($A49="","",$J49*IF($C49="Worker",Worker_OTRate,IF($C49="Laborer",Laborer_OTRate,0)))</f>
      </c>
      <c r="M49" s="23">
        <f>IF($A49="","",$K49+$L49)</f>
      </c>
      <c r="N49" s="23">
        <f>IF($A49="","",$H49+$M49)</f>
      </c>
    </row>
    <row r="50">
      <c r="A50" s="17">
        <f>IF('Daily Attendance'!A50="","",'Daily Attendance'!A50)</f>
      </c>
      <c r="B50" s="18">
        <f>IF($A50="","",'Daily Attendance'!B50)</f>
      </c>
      <c r="C50" s="19">
        <f>IF($A50="","",'Daily Attendance'!C50)</f>
      </c>
      <c r="D50" s="20">
        <f>IF($A50="","",SUMPRODUCT((MOD(COLUMN('Daily Attendance'!$D50:$AG50)-COLUMN('Daily Attendance'!$D50),2)=0)*'Daily Attendance'!$D50:$AG50))</f>
      </c>
      <c r="E50" s="21">
        <f>IF($A50="","",SUMPRODUCT((MOD(COLUMN('Daily Attendance'!$D50:$AG50)-COLUMN('Daily Attendance'!$D50),2)=1)*'Daily Attendance'!$D50:$AG50))</f>
      </c>
      <c r="F50" s="22">
        <f>IF($A50="","",$D50*IF($C50="Worker",Worker_DailyWage,IF($C50="Laborer",Laborer_DailyWage,0)))</f>
      </c>
      <c r="G50" s="22">
        <f>IF($A50="","",$E50*IF($C50="Worker",Worker_OTRate,IF($C50="Laborer",Laborer_OTRate,0)))</f>
      </c>
      <c r="H50" s="23">
        <f>IF($A50="","",$F50+$G50)</f>
      </c>
      <c r="I50" s="20">
        <f>IF($A50="","",SUMPRODUCT((MOD(COLUMN('Daily Attendance'!$AH50:$BM50)-COLUMN('Daily Attendance'!$AH50),2)=0)*'Daily Attendance'!$AH50:$BM50))</f>
      </c>
      <c r="J50" s="21">
        <f>IF($A50="","",SUMPRODUCT((MOD(COLUMN('Daily Attendance'!$AH50:$BM50)-COLUMN('Daily Attendance'!$AH50),2)=1)*'Daily Attendance'!$AH50:$BM50))</f>
      </c>
      <c r="K50" s="22">
        <f>IF($A50="","",$I50*IF($C50="Worker",Worker_DailyWage,IF($C50="Laborer",Laborer_DailyWage,0)))</f>
      </c>
      <c r="L50" s="22">
        <f>IF($A50="","",$J50*IF($C50="Worker",Worker_OTRate,IF($C50="Laborer",Laborer_OTRate,0)))</f>
      </c>
      <c r="M50" s="23">
        <f>IF($A50="","",$K50+$L50)</f>
      </c>
      <c r="N50" s="23">
        <f>IF($A50="","",$H50+$M50)</f>
      </c>
    </row>
    <row r="51">
      <c r="A51" s="17">
        <f>IF('Daily Attendance'!A51="","",'Daily Attendance'!A51)</f>
      </c>
      <c r="B51" s="18">
        <f>IF($A51="","",'Daily Attendance'!B51)</f>
      </c>
      <c r="C51" s="19">
        <f>IF($A51="","",'Daily Attendance'!C51)</f>
      </c>
      <c r="D51" s="20">
        <f>IF($A51="","",SUMPRODUCT((MOD(COLUMN('Daily Attendance'!$D51:$AG51)-COLUMN('Daily Attendance'!$D51),2)=0)*'Daily Attendance'!$D51:$AG51))</f>
      </c>
      <c r="E51" s="21">
        <f>IF($A51="","",SUMPRODUCT((MOD(COLUMN('Daily Attendance'!$D51:$AG51)-COLUMN('Daily Attendance'!$D51),2)=1)*'Daily Attendance'!$D51:$AG51))</f>
      </c>
      <c r="F51" s="22">
        <f>IF($A51="","",$D51*IF($C51="Worker",Worker_DailyWage,IF($C51="Laborer",Laborer_DailyWage,0)))</f>
      </c>
      <c r="G51" s="22">
        <f>IF($A51="","",$E51*IF($C51="Worker",Worker_OTRate,IF($C51="Laborer",Laborer_OTRate,0)))</f>
      </c>
      <c r="H51" s="23">
        <f>IF($A51="","",$F51+$G51)</f>
      </c>
      <c r="I51" s="20">
        <f>IF($A51="","",SUMPRODUCT((MOD(COLUMN('Daily Attendance'!$AH51:$BM51)-COLUMN('Daily Attendance'!$AH51),2)=0)*'Daily Attendance'!$AH51:$BM51))</f>
      </c>
      <c r="J51" s="21">
        <f>IF($A51="","",SUMPRODUCT((MOD(COLUMN('Daily Attendance'!$AH51:$BM51)-COLUMN('Daily Attendance'!$AH51),2)=1)*'Daily Attendance'!$AH51:$BM51))</f>
      </c>
      <c r="K51" s="22">
        <f>IF($A51="","",$I51*IF($C51="Worker",Worker_DailyWage,IF($C51="Laborer",Laborer_DailyWage,0)))</f>
      </c>
      <c r="L51" s="22">
        <f>IF($A51="","",$J51*IF($C51="Worker",Worker_OTRate,IF($C51="Laborer",Laborer_OTRate,0)))</f>
      </c>
      <c r="M51" s="23">
        <f>IF($A51="","",$K51+$L51)</f>
      </c>
      <c r="N51" s="23">
        <f>IF($A51="","",$H51+$M51)</f>
      </c>
    </row>
    <row r="52">
      <c r="A52" s="17">
        <f>IF('Daily Attendance'!A52="","",'Daily Attendance'!A52)</f>
      </c>
      <c r="B52" s="18">
        <f>IF($A52="","",'Daily Attendance'!B52)</f>
      </c>
      <c r="C52" s="19">
        <f>IF($A52="","",'Daily Attendance'!C52)</f>
      </c>
      <c r="D52" s="20">
        <f>IF($A52="","",SUMPRODUCT((MOD(COLUMN('Daily Attendance'!$D52:$AG52)-COLUMN('Daily Attendance'!$D52),2)=0)*'Daily Attendance'!$D52:$AG52))</f>
      </c>
      <c r="E52" s="21">
        <f>IF($A52="","",SUMPRODUCT((MOD(COLUMN('Daily Attendance'!$D52:$AG52)-COLUMN('Daily Attendance'!$D52),2)=1)*'Daily Attendance'!$D52:$AG52))</f>
      </c>
      <c r="F52" s="22">
        <f>IF($A52="","",$D52*IF($C52="Worker",Worker_DailyWage,IF($C52="Laborer",Laborer_DailyWage,0)))</f>
      </c>
      <c r="G52" s="22">
        <f>IF($A52="","",$E52*IF($C52="Worker",Worker_OTRate,IF($C52="Laborer",Laborer_OTRate,0)))</f>
      </c>
      <c r="H52" s="23">
        <f>IF($A52="","",$F52+$G52)</f>
      </c>
      <c r="I52" s="20">
        <f>IF($A52="","",SUMPRODUCT((MOD(COLUMN('Daily Attendance'!$AH52:$BM52)-COLUMN('Daily Attendance'!$AH52),2)=0)*'Daily Attendance'!$AH52:$BM52))</f>
      </c>
      <c r="J52" s="21">
        <f>IF($A52="","",SUMPRODUCT((MOD(COLUMN('Daily Attendance'!$AH52:$BM52)-COLUMN('Daily Attendance'!$AH52),2)=1)*'Daily Attendance'!$AH52:$BM52))</f>
      </c>
      <c r="K52" s="22">
        <f>IF($A52="","",$I52*IF($C52="Worker",Worker_DailyWage,IF($C52="Laborer",Laborer_DailyWage,0)))</f>
      </c>
      <c r="L52" s="22">
        <f>IF($A52="","",$J52*IF($C52="Worker",Worker_OTRate,IF($C52="Laborer",Laborer_OTRate,0)))</f>
      </c>
      <c r="M52" s="23">
        <f>IF($A52="","",$K52+$L52)</f>
      </c>
      <c r="N52" s="23">
        <f>IF($A52="","",$H52+$M52)</f>
      </c>
    </row>
    <row r="53">
      <c r="A53" s="17">
        <f>IF('Daily Attendance'!A53="","",'Daily Attendance'!A53)</f>
      </c>
      <c r="B53" s="18">
        <f>IF($A53="","",'Daily Attendance'!B53)</f>
      </c>
      <c r="C53" s="19">
        <f>IF($A53="","",'Daily Attendance'!C53)</f>
      </c>
      <c r="D53" s="20">
        <f>IF($A53="","",SUMPRODUCT((MOD(COLUMN('Daily Attendance'!$D53:$AG53)-COLUMN('Daily Attendance'!$D53),2)=0)*'Daily Attendance'!$D53:$AG53))</f>
      </c>
      <c r="E53" s="21">
        <f>IF($A53="","",SUMPRODUCT((MOD(COLUMN('Daily Attendance'!$D53:$AG53)-COLUMN('Daily Attendance'!$D53),2)=1)*'Daily Attendance'!$D53:$AG53))</f>
      </c>
      <c r="F53" s="22">
        <f>IF($A53="","",$D53*IF($C53="Worker",Worker_DailyWage,IF($C53="Laborer",Laborer_DailyWage,0)))</f>
      </c>
      <c r="G53" s="22">
        <f>IF($A53="","",$E53*IF($C53="Worker",Worker_OTRate,IF($C53="Laborer",Laborer_OTRate,0)))</f>
      </c>
      <c r="H53" s="23">
        <f>IF($A53="","",$F53+$G53)</f>
      </c>
      <c r="I53" s="20">
        <f>IF($A53="","",SUMPRODUCT((MOD(COLUMN('Daily Attendance'!$AH53:$BM53)-COLUMN('Daily Attendance'!$AH53),2)=0)*'Daily Attendance'!$AH53:$BM53))</f>
      </c>
      <c r="J53" s="21">
        <f>IF($A53="","",SUMPRODUCT((MOD(COLUMN('Daily Attendance'!$AH53:$BM53)-COLUMN('Daily Attendance'!$AH53),2)=1)*'Daily Attendance'!$AH53:$BM53))</f>
      </c>
      <c r="K53" s="22">
        <f>IF($A53="","",$I53*IF($C53="Worker",Worker_DailyWage,IF($C53="Laborer",Laborer_DailyWage,0)))</f>
      </c>
      <c r="L53" s="22">
        <f>IF($A53="","",$J53*IF($C53="Worker",Worker_OTRate,IF($C53="Laborer",Laborer_OTRate,0)))</f>
      </c>
      <c r="M53" s="23">
        <f>IF($A53="","",$K53+$L53)</f>
      </c>
      <c r="N53" s="23">
        <f>IF($A53="","",$H53+$M53)</f>
      </c>
    </row>
    <row r="54">
      <c r="A54" s="17">
        <f>IF('Daily Attendance'!A54="","",'Daily Attendance'!A54)</f>
      </c>
      <c r="B54" s="18">
        <f>IF($A54="","",'Daily Attendance'!B54)</f>
      </c>
      <c r="C54" s="19">
        <f>IF($A54="","",'Daily Attendance'!C54)</f>
      </c>
      <c r="D54" s="20">
        <f>IF($A54="","",SUMPRODUCT((MOD(COLUMN('Daily Attendance'!$D54:$AG54)-COLUMN('Daily Attendance'!$D54),2)=0)*'Daily Attendance'!$D54:$AG54))</f>
      </c>
      <c r="E54" s="21">
        <f>IF($A54="","",SUMPRODUCT((MOD(COLUMN('Daily Attendance'!$D54:$AG54)-COLUMN('Daily Attendance'!$D54),2)=1)*'Daily Attendance'!$D54:$AG54))</f>
      </c>
      <c r="F54" s="22">
        <f>IF($A54="","",$D54*IF($C54="Worker",Worker_DailyWage,IF($C54="Laborer",Laborer_DailyWage,0)))</f>
      </c>
      <c r="G54" s="22">
        <f>IF($A54="","",$E54*IF($C54="Worker",Worker_OTRate,IF($C54="Laborer",Laborer_OTRate,0)))</f>
      </c>
      <c r="H54" s="23">
        <f>IF($A54="","",$F54+$G54)</f>
      </c>
      <c r="I54" s="20">
        <f>IF($A54="","",SUMPRODUCT((MOD(COLUMN('Daily Attendance'!$AH54:$BM54)-COLUMN('Daily Attendance'!$AH54),2)=0)*'Daily Attendance'!$AH54:$BM54))</f>
      </c>
      <c r="J54" s="21">
        <f>IF($A54="","",SUMPRODUCT((MOD(COLUMN('Daily Attendance'!$AH54:$BM54)-COLUMN('Daily Attendance'!$AH54),2)=1)*'Daily Attendance'!$AH54:$BM54))</f>
      </c>
      <c r="K54" s="22">
        <f>IF($A54="","",$I54*IF($C54="Worker",Worker_DailyWage,IF($C54="Laborer",Laborer_DailyWage,0)))</f>
      </c>
      <c r="L54" s="22">
        <f>IF($A54="","",$J54*IF($C54="Worker",Worker_OTRate,IF($C54="Laborer",Laborer_OTRate,0)))</f>
      </c>
      <c r="M54" s="23">
        <f>IF($A54="","",$K54+$L54)</f>
      </c>
      <c r="N54" s="23">
        <f>IF($A54="","",$H54+$M54)</f>
      </c>
    </row>
    <row r="55">
      <c r="A55" s="17">
        <f>IF('Daily Attendance'!A55="","",'Daily Attendance'!A55)</f>
      </c>
      <c r="B55" s="18">
        <f>IF($A55="","",'Daily Attendance'!B55)</f>
      </c>
      <c r="C55" s="19">
        <f>IF($A55="","",'Daily Attendance'!C55)</f>
      </c>
      <c r="D55" s="20">
        <f>IF($A55="","",SUMPRODUCT((MOD(COLUMN('Daily Attendance'!$D55:$AG55)-COLUMN('Daily Attendance'!$D55),2)=0)*'Daily Attendance'!$D55:$AG55))</f>
      </c>
      <c r="E55" s="21">
        <f>IF($A55="","",SUMPRODUCT((MOD(COLUMN('Daily Attendance'!$D55:$AG55)-COLUMN('Daily Attendance'!$D55),2)=1)*'Daily Attendance'!$D55:$AG55))</f>
      </c>
      <c r="F55" s="22">
        <f>IF($A55="","",$D55*IF($C55="Worker",Worker_DailyWage,IF($C55="Laborer",Laborer_DailyWage,0)))</f>
      </c>
      <c r="G55" s="22">
        <f>IF($A55="","",$E55*IF($C55="Worker",Worker_OTRate,IF($C55="Laborer",Laborer_OTRate,0)))</f>
      </c>
      <c r="H55" s="23">
        <f>IF($A55="","",$F55+$G55)</f>
      </c>
      <c r="I55" s="20">
        <f>IF($A55="","",SUMPRODUCT((MOD(COLUMN('Daily Attendance'!$AH55:$BM55)-COLUMN('Daily Attendance'!$AH55),2)=0)*'Daily Attendance'!$AH55:$BM55))</f>
      </c>
      <c r="J55" s="21">
        <f>IF($A55="","",SUMPRODUCT((MOD(COLUMN('Daily Attendance'!$AH55:$BM55)-COLUMN('Daily Attendance'!$AH55),2)=1)*'Daily Attendance'!$AH55:$BM55))</f>
      </c>
      <c r="K55" s="22">
        <f>IF($A55="","",$I55*IF($C55="Worker",Worker_DailyWage,IF($C55="Laborer",Laborer_DailyWage,0)))</f>
      </c>
      <c r="L55" s="22">
        <f>IF($A55="","",$J55*IF($C55="Worker",Worker_OTRate,IF($C55="Laborer",Laborer_OTRate,0)))</f>
      </c>
      <c r="M55" s="23">
        <f>IF($A55="","",$K55+$L55)</f>
      </c>
      <c r="N55" s="23">
        <f>IF($A55="","",$H55+$M55)</f>
      </c>
    </row>
    <row r="56">
      <c r="A56" s="17">
        <f>IF('Daily Attendance'!A56="","",'Daily Attendance'!A56)</f>
      </c>
      <c r="B56" s="18">
        <f>IF($A56="","",'Daily Attendance'!B56)</f>
      </c>
      <c r="C56" s="19">
        <f>IF($A56="","",'Daily Attendance'!C56)</f>
      </c>
      <c r="D56" s="20">
        <f>IF($A56="","",SUMPRODUCT((MOD(COLUMN('Daily Attendance'!$D56:$AG56)-COLUMN('Daily Attendance'!$D56),2)=0)*'Daily Attendance'!$D56:$AG56))</f>
      </c>
      <c r="E56" s="21">
        <f>IF($A56="","",SUMPRODUCT((MOD(COLUMN('Daily Attendance'!$D56:$AG56)-COLUMN('Daily Attendance'!$D56),2)=1)*'Daily Attendance'!$D56:$AG56))</f>
      </c>
      <c r="F56" s="22">
        <f>IF($A56="","",$D56*IF($C56="Worker",Worker_DailyWage,IF($C56="Laborer",Laborer_DailyWage,0)))</f>
      </c>
      <c r="G56" s="22">
        <f>IF($A56="","",$E56*IF($C56="Worker",Worker_OTRate,IF($C56="Laborer",Laborer_OTRate,0)))</f>
      </c>
      <c r="H56" s="23">
        <f>IF($A56="","",$F56+$G56)</f>
      </c>
      <c r="I56" s="20">
        <f>IF($A56="","",SUMPRODUCT((MOD(COLUMN('Daily Attendance'!$AH56:$BM56)-COLUMN('Daily Attendance'!$AH56),2)=0)*'Daily Attendance'!$AH56:$BM56))</f>
      </c>
      <c r="J56" s="21">
        <f>IF($A56="","",SUMPRODUCT((MOD(COLUMN('Daily Attendance'!$AH56:$BM56)-COLUMN('Daily Attendance'!$AH56),2)=1)*'Daily Attendance'!$AH56:$BM56))</f>
      </c>
      <c r="K56" s="22">
        <f>IF($A56="","",$I56*IF($C56="Worker",Worker_DailyWage,IF($C56="Laborer",Laborer_DailyWage,0)))</f>
      </c>
      <c r="L56" s="22">
        <f>IF($A56="","",$J56*IF($C56="Worker",Worker_OTRate,IF($C56="Laborer",Laborer_OTRate,0)))</f>
      </c>
      <c r="M56" s="23">
        <f>IF($A56="","",$K56+$L56)</f>
      </c>
      <c r="N56" s="23">
        <f>IF($A56="","",$H56+$M56)</f>
      </c>
    </row>
    <row r="57">
      <c r="A57" s="17">
        <f>IF('Daily Attendance'!A57="","",'Daily Attendance'!A57)</f>
      </c>
      <c r="B57" s="18">
        <f>IF($A57="","",'Daily Attendance'!B57)</f>
      </c>
      <c r="C57" s="19">
        <f>IF($A57="","",'Daily Attendance'!C57)</f>
      </c>
      <c r="D57" s="20">
        <f>IF($A57="","",SUMPRODUCT((MOD(COLUMN('Daily Attendance'!$D57:$AG57)-COLUMN('Daily Attendance'!$D57),2)=0)*'Daily Attendance'!$D57:$AG57))</f>
      </c>
      <c r="E57" s="21">
        <f>IF($A57="","",SUMPRODUCT((MOD(COLUMN('Daily Attendance'!$D57:$AG57)-COLUMN('Daily Attendance'!$D57),2)=1)*'Daily Attendance'!$D57:$AG57))</f>
      </c>
      <c r="F57" s="22">
        <f>IF($A57="","",$D57*IF($C57="Worker",Worker_DailyWage,IF($C57="Laborer",Laborer_DailyWage,0)))</f>
      </c>
      <c r="G57" s="22">
        <f>IF($A57="","",$E57*IF($C57="Worker",Worker_OTRate,IF($C57="Laborer",Laborer_OTRate,0)))</f>
      </c>
      <c r="H57" s="23">
        <f>IF($A57="","",$F57+$G57)</f>
      </c>
      <c r="I57" s="20">
        <f>IF($A57="","",SUMPRODUCT((MOD(COLUMN('Daily Attendance'!$AH57:$BM57)-COLUMN('Daily Attendance'!$AH57),2)=0)*'Daily Attendance'!$AH57:$BM57))</f>
      </c>
      <c r="J57" s="21">
        <f>IF($A57="","",SUMPRODUCT((MOD(COLUMN('Daily Attendance'!$AH57:$BM57)-COLUMN('Daily Attendance'!$AH57),2)=1)*'Daily Attendance'!$AH57:$BM57))</f>
      </c>
      <c r="K57" s="22">
        <f>IF($A57="","",$I57*IF($C57="Worker",Worker_DailyWage,IF($C57="Laborer",Laborer_DailyWage,0)))</f>
      </c>
      <c r="L57" s="22">
        <f>IF($A57="","",$J57*IF($C57="Worker",Worker_OTRate,IF($C57="Laborer",Laborer_OTRate,0)))</f>
      </c>
      <c r="M57" s="23">
        <f>IF($A57="","",$K57+$L57)</f>
      </c>
      <c r="N57" s="23">
        <f>IF($A57="","",$H57+$M57)</f>
      </c>
    </row>
    <row r="58">
      <c r="A58" s="17">
        <f>IF('Daily Attendance'!A58="","",'Daily Attendance'!A58)</f>
      </c>
      <c r="B58" s="18">
        <f>IF($A58="","",'Daily Attendance'!B58)</f>
      </c>
      <c r="C58" s="19">
        <f>IF($A58="","",'Daily Attendance'!C58)</f>
      </c>
      <c r="D58" s="20">
        <f>IF($A58="","",SUMPRODUCT((MOD(COLUMN('Daily Attendance'!$D58:$AG58)-COLUMN('Daily Attendance'!$D58),2)=0)*'Daily Attendance'!$D58:$AG58))</f>
      </c>
      <c r="E58" s="21">
        <f>IF($A58="","",SUMPRODUCT((MOD(COLUMN('Daily Attendance'!$D58:$AG58)-COLUMN('Daily Attendance'!$D58),2)=1)*'Daily Attendance'!$D58:$AG58))</f>
      </c>
      <c r="F58" s="22">
        <f>IF($A58="","",$D58*IF($C58="Worker",Worker_DailyWage,IF($C58="Laborer",Laborer_DailyWage,0)))</f>
      </c>
      <c r="G58" s="22">
        <f>IF($A58="","",$E58*IF($C58="Worker",Worker_OTRate,IF($C58="Laborer",Laborer_OTRate,0)))</f>
      </c>
      <c r="H58" s="23">
        <f>IF($A58="","",$F58+$G58)</f>
      </c>
      <c r="I58" s="20">
        <f>IF($A58="","",SUMPRODUCT((MOD(COLUMN('Daily Attendance'!$AH58:$BM58)-COLUMN('Daily Attendance'!$AH58),2)=0)*'Daily Attendance'!$AH58:$BM58))</f>
      </c>
      <c r="J58" s="21">
        <f>IF($A58="","",SUMPRODUCT((MOD(COLUMN('Daily Attendance'!$AH58:$BM58)-COLUMN('Daily Attendance'!$AH58),2)=1)*'Daily Attendance'!$AH58:$BM58))</f>
      </c>
      <c r="K58" s="22">
        <f>IF($A58="","",$I58*IF($C58="Worker",Worker_DailyWage,IF($C58="Laborer",Laborer_DailyWage,0)))</f>
      </c>
      <c r="L58" s="22">
        <f>IF($A58="","",$J58*IF($C58="Worker",Worker_OTRate,IF($C58="Laborer",Laborer_OTRate,0)))</f>
      </c>
      <c r="M58" s="23">
        <f>IF($A58="","",$K58+$L58)</f>
      </c>
      <c r="N58" s="23">
        <f>IF($A58="","",$H58+$M58)</f>
      </c>
    </row>
    <row r="59">
      <c r="A59" s="17">
        <f>IF('Daily Attendance'!A59="","",'Daily Attendance'!A59)</f>
      </c>
      <c r="B59" s="18">
        <f>IF($A59="","",'Daily Attendance'!B59)</f>
      </c>
      <c r="C59" s="19">
        <f>IF($A59="","",'Daily Attendance'!C59)</f>
      </c>
      <c r="D59" s="20">
        <f>IF($A59="","",SUMPRODUCT((MOD(COLUMN('Daily Attendance'!$D59:$AG59)-COLUMN('Daily Attendance'!$D59),2)=0)*'Daily Attendance'!$D59:$AG59))</f>
      </c>
      <c r="E59" s="21">
        <f>IF($A59="","",SUMPRODUCT((MOD(COLUMN('Daily Attendance'!$D59:$AG59)-COLUMN('Daily Attendance'!$D59),2)=1)*'Daily Attendance'!$D59:$AG59))</f>
      </c>
      <c r="F59" s="22">
        <f>IF($A59="","",$D59*IF($C59="Worker",Worker_DailyWage,IF($C59="Laborer",Laborer_DailyWage,0)))</f>
      </c>
      <c r="G59" s="22">
        <f>IF($A59="","",$E59*IF($C59="Worker",Worker_OTRate,IF($C59="Laborer",Laborer_OTRate,0)))</f>
      </c>
      <c r="H59" s="23">
        <f>IF($A59="","",$F59+$G59)</f>
      </c>
      <c r="I59" s="20">
        <f>IF($A59="","",SUMPRODUCT((MOD(COLUMN('Daily Attendance'!$AH59:$BM59)-COLUMN('Daily Attendance'!$AH59),2)=0)*'Daily Attendance'!$AH59:$BM59))</f>
      </c>
      <c r="J59" s="21">
        <f>IF($A59="","",SUMPRODUCT((MOD(COLUMN('Daily Attendance'!$AH59:$BM59)-COLUMN('Daily Attendance'!$AH59),2)=1)*'Daily Attendance'!$AH59:$BM59))</f>
      </c>
      <c r="K59" s="22">
        <f>IF($A59="","",$I59*IF($C59="Worker",Worker_DailyWage,IF($C59="Laborer",Laborer_DailyWage,0)))</f>
      </c>
      <c r="L59" s="22">
        <f>IF($A59="","",$J59*IF($C59="Worker",Worker_OTRate,IF($C59="Laborer",Laborer_OTRate,0)))</f>
      </c>
      <c r="M59" s="23">
        <f>IF($A59="","",$K59+$L59)</f>
      </c>
      <c r="N59" s="23">
        <f>IF($A59="","",$H59+$M59)</f>
      </c>
    </row>
    <row r="60">
      <c r="A60" s="17">
        <f>IF('Daily Attendance'!A60="","",'Daily Attendance'!A60)</f>
      </c>
      <c r="B60" s="18">
        <f>IF($A60="","",'Daily Attendance'!B60)</f>
      </c>
      <c r="C60" s="19">
        <f>IF($A60="","",'Daily Attendance'!C60)</f>
      </c>
      <c r="D60" s="20">
        <f>IF($A60="","",SUMPRODUCT((MOD(COLUMN('Daily Attendance'!$D60:$AG60)-COLUMN('Daily Attendance'!$D60),2)=0)*'Daily Attendance'!$D60:$AG60))</f>
      </c>
      <c r="E60" s="21">
        <f>IF($A60="","",SUMPRODUCT((MOD(COLUMN('Daily Attendance'!$D60:$AG60)-COLUMN('Daily Attendance'!$D60),2)=1)*'Daily Attendance'!$D60:$AG60))</f>
      </c>
      <c r="F60" s="22">
        <f>IF($A60="","",$D60*IF($C60="Worker",Worker_DailyWage,IF($C60="Laborer",Laborer_DailyWage,0)))</f>
      </c>
      <c r="G60" s="22">
        <f>IF($A60="","",$E60*IF($C60="Worker",Worker_OTRate,IF($C60="Laborer",Laborer_OTRate,0)))</f>
      </c>
      <c r="H60" s="23">
        <f>IF($A60="","",$F60+$G60)</f>
      </c>
      <c r="I60" s="20">
        <f>IF($A60="","",SUMPRODUCT((MOD(COLUMN('Daily Attendance'!$AH60:$BM60)-COLUMN('Daily Attendance'!$AH60),2)=0)*'Daily Attendance'!$AH60:$BM60))</f>
      </c>
      <c r="J60" s="21">
        <f>IF($A60="","",SUMPRODUCT((MOD(COLUMN('Daily Attendance'!$AH60:$BM60)-COLUMN('Daily Attendance'!$AH60),2)=1)*'Daily Attendance'!$AH60:$BM60))</f>
      </c>
      <c r="K60" s="22">
        <f>IF($A60="","",$I60*IF($C60="Worker",Worker_DailyWage,IF($C60="Laborer",Laborer_DailyWage,0)))</f>
      </c>
      <c r="L60" s="22">
        <f>IF($A60="","",$J60*IF($C60="Worker",Worker_OTRate,IF($C60="Laborer",Laborer_OTRate,0)))</f>
      </c>
      <c r="M60" s="23">
        <f>IF($A60="","",$K60+$L60)</f>
      </c>
      <c r="N60" s="23">
        <f>IF($A60="","",$H60+$M60)</f>
      </c>
    </row>
    <row r="61">
      <c r="A61" s="17">
        <f>IF('Daily Attendance'!A61="","",'Daily Attendance'!A61)</f>
      </c>
      <c r="B61" s="18">
        <f>IF($A61="","",'Daily Attendance'!B61)</f>
      </c>
      <c r="C61" s="19">
        <f>IF($A61="","",'Daily Attendance'!C61)</f>
      </c>
      <c r="D61" s="20">
        <f>IF($A61="","",SUMPRODUCT((MOD(COLUMN('Daily Attendance'!$D61:$AG61)-COLUMN('Daily Attendance'!$D61),2)=0)*'Daily Attendance'!$D61:$AG61))</f>
      </c>
      <c r="E61" s="21">
        <f>IF($A61="","",SUMPRODUCT((MOD(COLUMN('Daily Attendance'!$D61:$AG61)-COLUMN('Daily Attendance'!$D61),2)=1)*'Daily Attendance'!$D61:$AG61))</f>
      </c>
      <c r="F61" s="22">
        <f>IF($A61="","",$D61*IF($C61="Worker",Worker_DailyWage,IF($C61="Laborer",Laborer_DailyWage,0)))</f>
      </c>
      <c r="G61" s="22">
        <f>IF($A61="","",$E61*IF($C61="Worker",Worker_OTRate,IF($C61="Laborer",Laborer_OTRate,0)))</f>
      </c>
      <c r="H61" s="23">
        <f>IF($A61="","",$F61+$G61)</f>
      </c>
      <c r="I61" s="20">
        <f>IF($A61="","",SUMPRODUCT((MOD(COLUMN('Daily Attendance'!$AH61:$BM61)-COLUMN('Daily Attendance'!$AH61),2)=0)*'Daily Attendance'!$AH61:$BM61))</f>
      </c>
      <c r="J61" s="21">
        <f>IF($A61="","",SUMPRODUCT((MOD(COLUMN('Daily Attendance'!$AH61:$BM61)-COLUMN('Daily Attendance'!$AH61),2)=1)*'Daily Attendance'!$AH61:$BM61))</f>
      </c>
      <c r="K61" s="22">
        <f>IF($A61="","",$I61*IF($C61="Worker",Worker_DailyWage,IF($C61="Laborer",Laborer_DailyWage,0)))</f>
      </c>
      <c r="L61" s="22">
        <f>IF($A61="","",$J61*IF($C61="Worker",Worker_OTRate,IF($C61="Laborer",Laborer_OTRate,0)))</f>
      </c>
      <c r="M61" s="23">
        <f>IF($A61="","",$K61+$L61)</f>
      </c>
      <c r="N61" s="23">
        <f>IF($A61="","",$H61+$M61)</f>
      </c>
    </row>
    <row r="62">
      <c r="A62" s="17">
        <f>IF('Daily Attendance'!A62="","",'Daily Attendance'!A62)</f>
      </c>
      <c r="B62" s="18">
        <f>IF($A62="","",'Daily Attendance'!B62)</f>
      </c>
      <c r="C62" s="19">
        <f>IF($A62="","",'Daily Attendance'!C62)</f>
      </c>
      <c r="D62" s="20">
        <f>IF($A62="","",SUMPRODUCT((MOD(COLUMN('Daily Attendance'!$D62:$AG62)-COLUMN('Daily Attendance'!$D62),2)=0)*'Daily Attendance'!$D62:$AG62))</f>
      </c>
      <c r="E62" s="21">
        <f>IF($A62="","",SUMPRODUCT((MOD(COLUMN('Daily Attendance'!$D62:$AG62)-COLUMN('Daily Attendance'!$D62),2)=1)*'Daily Attendance'!$D62:$AG62))</f>
      </c>
      <c r="F62" s="22">
        <f>IF($A62="","",$D62*IF($C62="Worker",Worker_DailyWage,IF($C62="Laborer",Laborer_DailyWage,0)))</f>
      </c>
      <c r="G62" s="22">
        <f>IF($A62="","",$E62*IF($C62="Worker",Worker_OTRate,IF($C62="Laborer",Laborer_OTRate,0)))</f>
      </c>
      <c r="H62" s="23">
        <f>IF($A62="","",$F62+$G62)</f>
      </c>
      <c r="I62" s="20">
        <f>IF($A62="","",SUMPRODUCT((MOD(COLUMN('Daily Attendance'!$AH62:$BM62)-COLUMN('Daily Attendance'!$AH62),2)=0)*'Daily Attendance'!$AH62:$BM62))</f>
      </c>
      <c r="J62" s="21">
        <f>IF($A62="","",SUMPRODUCT((MOD(COLUMN('Daily Attendance'!$AH62:$BM62)-COLUMN('Daily Attendance'!$AH62),2)=1)*'Daily Attendance'!$AH62:$BM62))</f>
      </c>
      <c r="K62" s="22">
        <f>IF($A62="","",$I62*IF($C62="Worker",Worker_DailyWage,IF($C62="Laborer",Laborer_DailyWage,0)))</f>
      </c>
      <c r="L62" s="22">
        <f>IF($A62="","",$J62*IF($C62="Worker",Worker_OTRate,IF($C62="Laborer",Laborer_OTRate,0)))</f>
      </c>
      <c r="M62" s="23">
        <f>IF($A62="","",$K62+$L62)</f>
      </c>
      <c r="N62" s="23">
        <f>IF($A62="","",$H62+$M62)</f>
      </c>
    </row>
    <row r="63">
      <c r="A63" s="17">
        <f>IF('Daily Attendance'!A63="","",'Daily Attendance'!A63)</f>
      </c>
      <c r="B63" s="18">
        <f>IF($A63="","",'Daily Attendance'!B63)</f>
      </c>
      <c r="C63" s="19">
        <f>IF($A63="","",'Daily Attendance'!C63)</f>
      </c>
      <c r="D63" s="20">
        <f>IF($A63="","",SUMPRODUCT((MOD(COLUMN('Daily Attendance'!$D63:$AG63)-COLUMN('Daily Attendance'!$D63),2)=0)*'Daily Attendance'!$D63:$AG63))</f>
      </c>
      <c r="E63" s="21">
        <f>IF($A63="","",SUMPRODUCT((MOD(COLUMN('Daily Attendance'!$D63:$AG63)-COLUMN('Daily Attendance'!$D63),2)=1)*'Daily Attendance'!$D63:$AG63))</f>
      </c>
      <c r="F63" s="22">
        <f>IF($A63="","",$D63*IF($C63="Worker",Worker_DailyWage,IF($C63="Laborer",Laborer_DailyWage,0)))</f>
      </c>
      <c r="G63" s="22">
        <f>IF($A63="","",$E63*IF($C63="Worker",Worker_OTRate,IF($C63="Laborer",Laborer_OTRate,0)))</f>
      </c>
      <c r="H63" s="23">
        <f>IF($A63="","",$F63+$G63)</f>
      </c>
      <c r="I63" s="20">
        <f>IF($A63="","",SUMPRODUCT((MOD(COLUMN('Daily Attendance'!$AH63:$BM63)-COLUMN('Daily Attendance'!$AH63),2)=0)*'Daily Attendance'!$AH63:$BM63))</f>
      </c>
      <c r="J63" s="21">
        <f>IF($A63="","",SUMPRODUCT((MOD(COLUMN('Daily Attendance'!$AH63:$BM63)-COLUMN('Daily Attendance'!$AH63),2)=1)*'Daily Attendance'!$AH63:$BM63))</f>
      </c>
      <c r="K63" s="22">
        <f>IF($A63="","",$I63*IF($C63="Worker",Worker_DailyWage,IF($C63="Laborer",Laborer_DailyWage,0)))</f>
      </c>
      <c r="L63" s="22">
        <f>IF($A63="","",$J63*IF($C63="Worker",Worker_OTRate,IF($C63="Laborer",Laborer_OTRate,0)))</f>
      </c>
      <c r="M63" s="23">
        <f>IF($A63="","",$K63+$L63)</f>
      </c>
      <c r="N63" s="23">
        <f>IF($A63="","",$H63+$M63)</f>
      </c>
    </row>
    <row r="64">
      <c r="A64" s="17">
        <f>IF('Daily Attendance'!A64="","",'Daily Attendance'!A64)</f>
      </c>
      <c r="B64" s="18">
        <f>IF($A64="","",'Daily Attendance'!B64)</f>
      </c>
      <c r="C64" s="19">
        <f>IF($A64="","",'Daily Attendance'!C64)</f>
      </c>
      <c r="D64" s="20">
        <f>IF($A64="","",SUMPRODUCT((MOD(COLUMN('Daily Attendance'!$D64:$AG64)-COLUMN('Daily Attendance'!$D64),2)=0)*'Daily Attendance'!$D64:$AG64))</f>
      </c>
      <c r="E64" s="21">
        <f>IF($A64="","",SUMPRODUCT((MOD(COLUMN('Daily Attendance'!$D64:$AG64)-COLUMN('Daily Attendance'!$D64),2)=1)*'Daily Attendance'!$D64:$AG64))</f>
      </c>
      <c r="F64" s="22">
        <f>IF($A64="","",$D64*IF($C64="Worker",Worker_DailyWage,IF($C64="Laborer",Laborer_DailyWage,0)))</f>
      </c>
      <c r="G64" s="22">
        <f>IF($A64="","",$E64*IF($C64="Worker",Worker_OTRate,IF($C64="Laborer",Laborer_OTRate,0)))</f>
      </c>
      <c r="H64" s="23">
        <f>IF($A64="","",$F64+$G64)</f>
      </c>
      <c r="I64" s="20">
        <f>IF($A64="","",SUMPRODUCT((MOD(COLUMN('Daily Attendance'!$AH64:$BM64)-COLUMN('Daily Attendance'!$AH64),2)=0)*'Daily Attendance'!$AH64:$BM64))</f>
      </c>
      <c r="J64" s="21">
        <f>IF($A64="","",SUMPRODUCT((MOD(COLUMN('Daily Attendance'!$AH64:$BM64)-COLUMN('Daily Attendance'!$AH64),2)=1)*'Daily Attendance'!$AH64:$BM64))</f>
      </c>
      <c r="K64" s="22">
        <f>IF($A64="","",$I64*IF($C64="Worker",Worker_DailyWage,IF($C64="Laborer",Laborer_DailyWage,0)))</f>
      </c>
      <c r="L64" s="22">
        <f>IF($A64="","",$J64*IF($C64="Worker",Worker_OTRate,IF($C64="Laborer",Laborer_OTRate,0)))</f>
      </c>
      <c r="M64" s="23">
        <f>IF($A64="","",$K64+$L64)</f>
      </c>
      <c r="N64" s="23">
        <f>IF($A64="","",$H64+$M64)</f>
      </c>
    </row>
    <row r="65">
      <c r="A65" s="17">
        <f>IF('Daily Attendance'!A65="","",'Daily Attendance'!A65)</f>
      </c>
      <c r="B65" s="18">
        <f>IF($A65="","",'Daily Attendance'!B65)</f>
      </c>
      <c r="C65" s="19">
        <f>IF($A65="","",'Daily Attendance'!C65)</f>
      </c>
      <c r="D65" s="20">
        <f>IF($A65="","",SUMPRODUCT((MOD(COLUMN('Daily Attendance'!$D65:$AG65)-COLUMN('Daily Attendance'!$D65),2)=0)*'Daily Attendance'!$D65:$AG65))</f>
      </c>
      <c r="E65" s="21">
        <f>IF($A65="","",SUMPRODUCT((MOD(COLUMN('Daily Attendance'!$D65:$AG65)-COLUMN('Daily Attendance'!$D65),2)=1)*'Daily Attendance'!$D65:$AG65))</f>
      </c>
      <c r="F65" s="22">
        <f>IF($A65="","",$D65*IF($C65="Worker",Worker_DailyWage,IF($C65="Laborer",Laborer_DailyWage,0)))</f>
      </c>
      <c r="G65" s="22">
        <f>IF($A65="","",$E65*IF($C65="Worker",Worker_OTRate,IF($C65="Laborer",Laborer_OTRate,0)))</f>
      </c>
      <c r="H65" s="23">
        <f>IF($A65="","",$F65+$G65)</f>
      </c>
      <c r="I65" s="20">
        <f>IF($A65="","",SUMPRODUCT((MOD(COLUMN('Daily Attendance'!$AH65:$BM65)-COLUMN('Daily Attendance'!$AH65),2)=0)*'Daily Attendance'!$AH65:$BM65))</f>
      </c>
      <c r="J65" s="21">
        <f>IF($A65="","",SUMPRODUCT((MOD(COLUMN('Daily Attendance'!$AH65:$BM65)-COLUMN('Daily Attendance'!$AH65),2)=1)*'Daily Attendance'!$AH65:$BM65))</f>
      </c>
      <c r="K65" s="22">
        <f>IF($A65="","",$I65*IF($C65="Worker",Worker_DailyWage,IF($C65="Laborer",Laborer_DailyWage,0)))</f>
      </c>
      <c r="L65" s="22">
        <f>IF($A65="","",$J65*IF($C65="Worker",Worker_OTRate,IF($C65="Laborer",Laborer_OTRate,0)))</f>
      </c>
      <c r="M65" s="23">
        <f>IF($A65="","",$K65+$L65)</f>
      </c>
      <c r="N65" s="23">
        <f>IF($A65="","",$H65+$M65)</f>
      </c>
    </row>
    <row r="66">
      <c r="A66" s="17">
        <f>IF('Daily Attendance'!A66="","",'Daily Attendance'!A66)</f>
      </c>
      <c r="B66" s="18">
        <f>IF($A66="","",'Daily Attendance'!B66)</f>
      </c>
      <c r="C66" s="19">
        <f>IF($A66="","",'Daily Attendance'!C66)</f>
      </c>
      <c r="D66" s="20">
        <f>IF($A66="","",SUMPRODUCT((MOD(COLUMN('Daily Attendance'!$D66:$AG66)-COLUMN('Daily Attendance'!$D66),2)=0)*'Daily Attendance'!$D66:$AG66))</f>
      </c>
      <c r="E66" s="21">
        <f>IF($A66="","",SUMPRODUCT((MOD(COLUMN('Daily Attendance'!$D66:$AG66)-COLUMN('Daily Attendance'!$D66),2)=1)*'Daily Attendance'!$D66:$AG66))</f>
      </c>
      <c r="F66" s="22">
        <f>IF($A66="","",$D66*IF($C66="Worker",Worker_DailyWage,IF($C66="Laborer",Laborer_DailyWage,0)))</f>
      </c>
      <c r="G66" s="22">
        <f>IF($A66="","",$E66*IF($C66="Worker",Worker_OTRate,IF($C66="Laborer",Laborer_OTRate,0)))</f>
      </c>
      <c r="H66" s="23">
        <f>IF($A66="","",$F66+$G66)</f>
      </c>
      <c r="I66" s="20">
        <f>IF($A66="","",SUMPRODUCT((MOD(COLUMN('Daily Attendance'!$AH66:$BM66)-COLUMN('Daily Attendance'!$AH66),2)=0)*'Daily Attendance'!$AH66:$BM66))</f>
      </c>
      <c r="J66" s="21">
        <f>IF($A66="","",SUMPRODUCT((MOD(COLUMN('Daily Attendance'!$AH66:$BM66)-COLUMN('Daily Attendance'!$AH66),2)=1)*'Daily Attendance'!$AH66:$BM66))</f>
      </c>
      <c r="K66" s="22">
        <f>IF($A66="","",$I66*IF($C66="Worker",Worker_DailyWage,IF($C66="Laborer",Laborer_DailyWage,0)))</f>
      </c>
      <c r="L66" s="22">
        <f>IF($A66="","",$J66*IF($C66="Worker",Worker_OTRate,IF($C66="Laborer",Laborer_OTRate,0)))</f>
      </c>
      <c r="M66" s="23">
        <f>IF($A66="","",$K66+$L66)</f>
      </c>
      <c r="N66" s="23">
        <f>IF($A66="","",$H66+$M66)</f>
      </c>
    </row>
    <row r="67">
      <c r="A67" s="17">
        <f>IF('Daily Attendance'!A67="","",'Daily Attendance'!A67)</f>
      </c>
      <c r="B67" s="18">
        <f>IF($A67="","",'Daily Attendance'!B67)</f>
      </c>
      <c r="C67" s="19">
        <f>IF($A67="","",'Daily Attendance'!C67)</f>
      </c>
      <c r="D67" s="20">
        <f>IF($A67="","",SUMPRODUCT((MOD(COLUMN('Daily Attendance'!$D67:$AG67)-COLUMN('Daily Attendance'!$D67),2)=0)*'Daily Attendance'!$D67:$AG67))</f>
      </c>
      <c r="E67" s="21">
        <f>IF($A67="","",SUMPRODUCT((MOD(COLUMN('Daily Attendance'!$D67:$AG67)-COLUMN('Daily Attendance'!$D67),2)=1)*'Daily Attendance'!$D67:$AG67))</f>
      </c>
      <c r="F67" s="22">
        <f>IF($A67="","",$D67*IF($C67="Worker",Worker_DailyWage,IF($C67="Laborer",Laborer_DailyWage,0)))</f>
      </c>
      <c r="G67" s="22">
        <f>IF($A67="","",$E67*IF($C67="Worker",Worker_OTRate,IF($C67="Laborer",Laborer_OTRate,0)))</f>
      </c>
      <c r="H67" s="23">
        <f>IF($A67="","",$F67+$G67)</f>
      </c>
      <c r="I67" s="20">
        <f>IF($A67="","",SUMPRODUCT((MOD(COLUMN('Daily Attendance'!$AH67:$BM67)-COLUMN('Daily Attendance'!$AH67),2)=0)*'Daily Attendance'!$AH67:$BM67))</f>
      </c>
      <c r="J67" s="21">
        <f>IF($A67="","",SUMPRODUCT((MOD(COLUMN('Daily Attendance'!$AH67:$BM67)-COLUMN('Daily Attendance'!$AH67),2)=1)*'Daily Attendance'!$AH67:$BM67))</f>
      </c>
      <c r="K67" s="22">
        <f>IF($A67="","",$I67*IF($C67="Worker",Worker_DailyWage,IF($C67="Laborer",Laborer_DailyWage,0)))</f>
      </c>
      <c r="L67" s="22">
        <f>IF($A67="","",$J67*IF($C67="Worker",Worker_OTRate,IF($C67="Laborer",Laborer_OTRate,0)))</f>
      </c>
      <c r="M67" s="23">
        <f>IF($A67="","",$K67+$L67)</f>
      </c>
      <c r="N67" s="23">
        <f>IF($A67="","",$H67+$M67)</f>
      </c>
    </row>
    <row r="68">
      <c r="A68" s="17">
        <f>IF('Daily Attendance'!A68="","",'Daily Attendance'!A68)</f>
      </c>
      <c r="B68" s="18">
        <f>IF($A68="","",'Daily Attendance'!B68)</f>
      </c>
      <c r="C68" s="19">
        <f>IF($A68="","",'Daily Attendance'!C68)</f>
      </c>
      <c r="D68" s="20">
        <f>IF($A68="","",SUMPRODUCT((MOD(COLUMN('Daily Attendance'!$D68:$AG68)-COLUMN('Daily Attendance'!$D68),2)=0)*'Daily Attendance'!$D68:$AG68))</f>
      </c>
      <c r="E68" s="21">
        <f>IF($A68="","",SUMPRODUCT((MOD(COLUMN('Daily Attendance'!$D68:$AG68)-COLUMN('Daily Attendance'!$D68),2)=1)*'Daily Attendance'!$D68:$AG68))</f>
      </c>
      <c r="F68" s="22">
        <f>IF($A68="","",$D68*IF($C68="Worker",Worker_DailyWage,IF($C68="Laborer",Laborer_DailyWage,0)))</f>
      </c>
      <c r="G68" s="22">
        <f>IF($A68="","",$E68*IF($C68="Worker",Worker_OTRate,IF($C68="Laborer",Laborer_OTRate,0)))</f>
      </c>
      <c r="H68" s="23">
        <f>IF($A68="","",$F68+$G68)</f>
      </c>
      <c r="I68" s="20">
        <f>IF($A68="","",SUMPRODUCT((MOD(COLUMN('Daily Attendance'!$AH68:$BM68)-COLUMN('Daily Attendance'!$AH68),2)=0)*'Daily Attendance'!$AH68:$BM68))</f>
      </c>
      <c r="J68" s="21">
        <f>IF($A68="","",SUMPRODUCT((MOD(COLUMN('Daily Attendance'!$AH68:$BM68)-COLUMN('Daily Attendance'!$AH68),2)=1)*'Daily Attendance'!$AH68:$BM68))</f>
      </c>
      <c r="K68" s="22">
        <f>IF($A68="","",$I68*IF($C68="Worker",Worker_DailyWage,IF($C68="Laborer",Laborer_DailyWage,0)))</f>
      </c>
      <c r="L68" s="22">
        <f>IF($A68="","",$J68*IF($C68="Worker",Worker_OTRate,IF($C68="Laborer",Laborer_OTRate,0)))</f>
      </c>
      <c r="M68" s="23">
        <f>IF($A68="","",$K68+$L68)</f>
      </c>
      <c r="N68" s="23">
        <f>IF($A68="","",$H68+$M68)</f>
      </c>
    </row>
    <row r="69">
      <c r="A69" s="17">
        <f>IF('Daily Attendance'!A69="","",'Daily Attendance'!A69)</f>
      </c>
      <c r="B69" s="18">
        <f>IF($A69="","",'Daily Attendance'!B69)</f>
      </c>
      <c r="C69" s="19">
        <f>IF($A69="","",'Daily Attendance'!C69)</f>
      </c>
      <c r="D69" s="20">
        <f>IF($A69="","",SUMPRODUCT((MOD(COLUMN('Daily Attendance'!$D69:$AG69)-COLUMN('Daily Attendance'!$D69),2)=0)*'Daily Attendance'!$D69:$AG69))</f>
      </c>
      <c r="E69" s="21">
        <f>IF($A69="","",SUMPRODUCT((MOD(COLUMN('Daily Attendance'!$D69:$AG69)-COLUMN('Daily Attendance'!$D69),2)=1)*'Daily Attendance'!$D69:$AG69))</f>
      </c>
      <c r="F69" s="22">
        <f>IF($A69="","",$D69*IF($C69="Worker",Worker_DailyWage,IF($C69="Laborer",Laborer_DailyWage,0)))</f>
      </c>
      <c r="G69" s="22">
        <f>IF($A69="","",$E69*IF($C69="Worker",Worker_OTRate,IF($C69="Laborer",Laborer_OTRate,0)))</f>
      </c>
      <c r="H69" s="23">
        <f>IF($A69="","",$F69+$G69)</f>
      </c>
      <c r="I69" s="20">
        <f>IF($A69="","",SUMPRODUCT((MOD(COLUMN('Daily Attendance'!$AH69:$BM69)-COLUMN('Daily Attendance'!$AH69),2)=0)*'Daily Attendance'!$AH69:$BM69))</f>
      </c>
      <c r="J69" s="21">
        <f>IF($A69="","",SUMPRODUCT((MOD(COLUMN('Daily Attendance'!$AH69:$BM69)-COLUMN('Daily Attendance'!$AH69),2)=1)*'Daily Attendance'!$AH69:$BM69))</f>
      </c>
      <c r="K69" s="22">
        <f>IF($A69="","",$I69*IF($C69="Worker",Worker_DailyWage,IF($C69="Laborer",Laborer_DailyWage,0)))</f>
      </c>
      <c r="L69" s="22">
        <f>IF($A69="","",$J69*IF($C69="Worker",Worker_OTRate,IF($C69="Laborer",Laborer_OTRate,0)))</f>
      </c>
      <c r="M69" s="23">
        <f>IF($A69="","",$K69+$L69)</f>
      </c>
      <c r="N69" s="23">
        <f>IF($A69="","",$H69+$M69)</f>
      </c>
    </row>
    <row r="70">
      <c r="A70" s="17">
        <f>IF('Daily Attendance'!A70="","",'Daily Attendance'!A70)</f>
      </c>
      <c r="B70" s="18">
        <f>IF($A70="","",'Daily Attendance'!B70)</f>
      </c>
      <c r="C70" s="19">
        <f>IF($A70="","",'Daily Attendance'!C70)</f>
      </c>
      <c r="D70" s="20">
        <f>IF($A70="","",SUMPRODUCT((MOD(COLUMN('Daily Attendance'!$D70:$AG70)-COLUMN('Daily Attendance'!$D70),2)=0)*'Daily Attendance'!$D70:$AG70))</f>
      </c>
      <c r="E70" s="21">
        <f>IF($A70="","",SUMPRODUCT((MOD(COLUMN('Daily Attendance'!$D70:$AG70)-COLUMN('Daily Attendance'!$D70),2)=1)*'Daily Attendance'!$D70:$AG70))</f>
      </c>
      <c r="F70" s="22">
        <f>IF($A70="","",$D70*IF($C70="Worker",Worker_DailyWage,IF($C70="Laborer",Laborer_DailyWage,0)))</f>
      </c>
      <c r="G70" s="22">
        <f>IF($A70="","",$E70*IF($C70="Worker",Worker_OTRate,IF($C70="Laborer",Laborer_OTRate,0)))</f>
      </c>
      <c r="H70" s="23">
        <f>IF($A70="","",$F70+$G70)</f>
      </c>
      <c r="I70" s="20">
        <f>IF($A70="","",SUMPRODUCT((MOD(COLUMN('Daily Attendance'!$AH70:$BM70)-COLUMN('Daily Attendance'!$AH70),2)=0)*'Daily Attendance'!$AH70:$BM70))</f>
      </c>
      <c r="J70" s="21">
        <f>IF($A70="","",SUMPRODUCT((MOD(COLUMN('Daily Attendance'!$AH70:$BM70)-COLUMN('Daily Attendance'!$AH70),2)=1)*'Daily Attendance'!$AH70:$BM70))</f>
      </c>
      <c r="K70" s="22">
        <f>IF($A70="","",$I70*IF($C70="Worker",Worker_DailyWage,IF($C70="Laborer",Laborer_DailyWage,0)))</f>
      </c>
      <c r="L70" s="22">
        <f>IF($A70="","",$J70*IF($C70="Worker",Worker_OTRate,IF($C70="Laborer",Laborer_OTRate,0)))</f>
      </c>
      <c r="M70" s="23">
        <f>IF($A70="","",$K70+$L70)</f>
      </c>
      <c r="N70" s="23">
        <f>IF($A70="","",$H70+$M70)</f>
      </c>
    </row>
    <row r="71">
      <c r="A71" s="17">
        <f>IF('Daily Attendance'!A71="","",'Daily Attendance'!A71)</f>
      </c>
      <c r="B71" s="18">
        <f>IF($A71="","",'Daily Attendance'!B71)</f>
      </c>
      <c r="C71" s="19">
        <f>IF($A71="","",'Daily Attendance'!C71)</f>
      </c>
      <c r="D71" s="20">
        <f>IF($A71="","",SUMPRODUCT((MOD(COLUMN('Daily Attendance'!$D71:$AG71)-COLUMN('Daily Attendance'!$D71),2)=0)*'Daily Attendance'!$D71:$AG71))</f>
      </c>
      <c r="E71" s="21">
        <f>IF($A71="","",SUMPRODUCT((MOD(COLUMN('Daily Attendance'!$D71:$AG71)-COLUMN('Daily Attendance'!$D71),2)=1)*'Daily Attendance'!$D71:$AG71))</f>
      </c>
      <c r="F71" s="22">
        <f>IF($A71="","",$D71*IF($C71="Worker",Worker_DailyWage,IF($C71="Laborer",Laborer_DailyWage,0)))</f>
      </c>
      <c r="G71" s="22">
        <f>IF($A71="","",$E71*IF($C71="Worker",Worker_OTRate,IF($C71="Laborer",Laborer_OTRate,0)))</f>
      </c>
      <c r="H71" s="23">
        <f>IF($A71="","",$F71+$G71)</f>
      </c>
      <c r="I71" s="20">
        <f>IF($A71="","",SUMPRODUCT((MOD(COLUMN('Daily Attendance'!$AH71:$BM71)-COLUMN('Daily Attendance'!$AH71),2)=0)*'Daily Attendance'!$AH71:$BM71))</f>
      </c>
      <c r="J71" s="21">
        <f>IF($A71="","",SUMPRODUCT((MOD(COLUMN('Daily Attendance'!$AH71:$BM71)-COLUMN('Daily Attendance'!$AH71),2)=1)*'Daily Attendance'!$AH71:$BM71))</f>
      </c>
      <c r="K71" s="22">
        <f>IF($A71="","",$I71*IF($C71="Worker",Worker_DailyWage,IF($C71="Laborer",Laborer_DailyWage,0)))</f>
      </c>
      <c r="L71" s="22">
        <f>IF($A71="","",$J71*IF($C71="Worker",Worker_OTRate,IF($C71="Laborer",Laborer_OTRate,0)))</f>
      </c>
      <c r="M71" s="23">
        <f>IF($A71="","",$K71+$L71)</f>
      </c>
      <c r="N71" s="23">
        <f>IF($A71="","",$H71+$M71)</f>
      </c>
    </row>
    <row r="72">
      <c r="A72" s="17">
        <f>IF('Daily Attendance'!A72="","",'Daily Attendance'!A72)</f>
      </c>
      <c r="B72" s="18">
        <f>IF($A72="","",'Daily Attendance'!B72)</f>
      </c>
      <c r="C72" s="19">
        <f>IF($A72="","",'Daily Attendance'!C72)</f>
      </c>
      <c r="D72" s="20">
        <f>IF($A72="","",SUMPRODUCT((MOD(COLUMN('Daily Attendance'!$D72:$AG72)-COLUMN('Daily Attendance'!$D72),2)=0)*'Daily Attendance'!$D72:$AG72))</f>
      </c>
      <c r="E72" s="21">
        <f>IF($A72="","",SUMPRODUCT((MOD(COLUMN('Daily Attendance'!$D72:$AG72)-COLUMN('Daily Attendance'!$D72),2)=1)*'Daily Attendance'!$D72:$AG72))</f>
      </c>
      <c r="F72" s="22">
        <f>IF($A72="","",$D72*IF($C72="Worker",Worker_DailyWage,IF($C72="Laborer",Laborer_DailyWage,0)))</f>
      </c>
      <c r="G72" s="22">
        <f>IF($A72="","",$E72*IF($C72="Worker",Worker_OTRate,IF($C72="Laborer",Laborer_OTRate,0)))</f>
      </c>
      <c r="H72" s="23">
        <f>IF($A72="","",$F72+$G72)</f>
      </c>
      <c r="I72" s="20">
        <f>IF($A72="","",SUMPRODUCT((MOD(COLUMN('Daily Attendance'!$AH72:$BM72)-COLUMN('Daily Attendance'!$AH72),2)=0)*'Daily Attendance'!$AH72:$BM72))</f>
      </c>
      <c r="J72" s="21">
        <f>IF($A72="","",SUMPRODUCT((MOD(COLUMN('Daily Attendance'!$AH72:$BM72)-COLUMN('Daily Attendance'!$AH72),2)=1)*'Daily Attendance'!$AH72:$BM72))</f>
      </c>
      <c r="K72" s="22">
        <f>IF($A72="","",$I72*IF($C72="Worker",Worker_DailyWage,IF($C72="Laborer",Laborer_DailyWage,0)))</f>
      </c>
      <c r="L72" s="22">
        <f>IF($A72="","",$J72*IF($C72="Worker",Worker_OTRate,IF($C72="Laborer",Laborer_OTRate,0)))</f>
      </c>
      <c r="M72" s="23">
        <f>IF($A72="","",$K72+$L72)</f>
      </c>
      <c r="N72" s="23">
        <f>IF($A72="","",$H72+$M72)</f>
      </c>
    </row>
    <row r="73">
      <c r="A73" s="17">
        <f>IF('Daily Attendance'!A73="","",'Daily Attendance'!A73)</f>
      </c>
      <c r="B73" s="18">
        <f>IF($A73="","",'Daily Attendance'!B73)</f>
      </c>
      <c r="C73" s="19">
        <f>IF($A73="","",'Daily Attendance'!C73)</f>
      </c>
      <c r="D73" s="20">
        <f>IF($A73="","",SUMPRODUCT((MOD(COLUMN('Daily Attendance'!$D73:$AG73)-COLUMN('Daily Attendance'!$D73),2)=0)*'Daily Attendance'!$D73:$AG73))</f>
      </c>
      <c r="E73" s="21">
        <f>IF($A73="","",SUMPRODUCT((MOD(COLUMN('Daily Attendance'!$D73:$AG73)-COLUMN('Daily Attendance'!$D73),2)=1)*'Daily Attendance'!$D73:$AG73))</f>
      </c>
      <c r="F73" s="22">
        <f>IF($A73="","",$D73*IF($C73="Worker",Worker_DailyWage,IF($C73="Laborer",Laborer_DailyWage,0)))</f>
      </c>
      <c r="G73" s="22">
        <f>IF($A73="","",$E73*IF($C73="Worker",Worker_OTRate,IF($C73="Laborer",Laborer_OTRate,0)))</f>
      </c>
      <c r="H73" s="23">
        <f>IF($A73="","",$F73+$G73)</f>
      </c>
      <c r="I73" s="20">
        <f>IF($A73="","",SUMPRODUCT((MOD(COLUMN('Daily Attendance'!$AH73:$BM73)-COLUMN('Daily Attendance'!$AH73),2)=0)*'Daily Attendance'!$AH73:$BM73))</f>
      </c>
      <c r="J73" s="21">
        <f>IF($A73="","",SUMPRODUCT((MOD(COLUMN('Daily Attendance'!$AH73:$BM73)-COLUMN('Daily Attendance'!$AH73),2)=1)*'Daily Attendance'!$AH73:$BM73))</f>
      </c>
      <c r="K73" s="22">
        <f>IF($A73="","",$I73*IF($C73="Worker",Worker_DailyWage,IF($C73="Laborer",Laborer_DailyWage,0)))</f>
      </c>
      <c r="L73" s="22">
        <f>IF($A73="","",$J73*IF($C73="Worker",Worker_OTRate,IF($C73="Laborer",Laborer_OTRate,0)))</f>
      </c>
      <c r="M73" s="23">
        <f>IF($A73="","",$K73+$L73)</f>
      </c>
      <c r="N73" s="23">
        <f>IF($A73="","",$H73+$M73)</f>
      </c>
    </row>
    <row r="74">
      <c r="A74" s="17">
        <f>IF('Daily Attendance'!A74="","",'Daily Attendance'!A74)</f>
      </c>
      <c r="B74" s="18">
        <f>IF($A74="","",'Daily Attendance'!B74)</f>
      </c>
      <c r="C74" s="19">
        <f>IF($A74="","",'Daily Attendance'!C74)</f>
      </c>
      <c r="D74" s="20">
        <f>IF($A74="","",SUMPRODUCT((MOD(COLUMN('Daily Attendance'!$D74:$AG74)-COLUMN('Daily Attendance'!$D74),2)=0)*'Daily Attendance'!$D74:$AG74))</f>
      </c>
      <c r="E74" s="21">
        <f>IF($A74="","",SUMPRODUCT((MOD(COLUMN('Daily Attendance'!$D74:$AG74)-COLUMN('Daily Attendance'!$D74),2)=1)*'Daily Attendance'!$D74:$AG74))</f>
      </c>
      <c r="F74" s="22">
        <f>IF($A74="","",$D74*IF($C74="Worker",Worker_DailyWage,IF($C74="Laborer",Laborer_DailyWage,0)))</f>
      </c>
      <c r="G74" s="22">
        <f>IF($A74="","",$E74*IF($C74="Worker",Worker_OTRate,IF($C74="Laborer",Laborer_OTRate,0)))</f>
      </c>
      <c r="H74" s="23">
        <f>IF($A74="","",$F74+$G74)</f>
      </c>
      <c r="I74" s="20">
        <f>IF($A74="","",SUMPRODUCT((MOD(COLUMN('Daily Attendance'!$AH74:$BM74)-COLUMN('Daily Attendance'!$AH74),2)=0)*'Daily Attendance'!$AH74:$BM74))</f>
      </c>
      <c r="J74" s="21">
        <f>IF($A74="","",SUMPRODUCT((MOD(COLUMN('Daily Attendance'!$AH74:$BM74)-COLUMN('Daily Attendance'!$AH74),2)=1)*'Daily Attendance'!$AH74:$BM74))</f>
      </c>
      <c r="K74" s="22">
        <f>IF($A74="","",$I74*IF($C74="Worker",Worker_DailyWage,IF($C74="Laborer",Laborer_DailyWage,0)))</f>
      </c>
      <c r="L74" s="22">
        <f>IF($A74="","",$J74*IF($C74="Worker",Worker_OTRate,IF($C74="Laborer",Laborer_OTRate,0)))</f>
      </c>
      <c r="M74" s="23">
        <f>IF($A74="","",$K74+$L74)</f>
      </c>
      <c r="N74" s="23">
        <f>IF($A74="","",$H74+$M74)</f>
      </c>
    </row>
    <row r="75">
      <c r="A75" s="17">
        <f>IF('Daily Attendance'!A75="","",'Daily Attendance'!A75)</f>
      </c>
      <c r="B75" s="18">
        <f>IF($A75="","",'Daily Attendance'!B75)</f>
      </c>
      <c r="C75" s="19">
        <f>IF($A75="","",'Daily Attendance'!C75)</f>
      </c>
      <c r="D75" s="20">
        <f>IF($A75="","",SUMPRODUCT((MOD(COLUMN('Daily Attendance'!$D75:$AG75)-COLUMN('Daily Attendance'!$D75),2)=0)*'Daily Attendance'!$D75:$AG75))</f>
      </c>
      <c r="E75" s="21">
        <f>IF($A75="","",SUMPRODUCT((MOD(COLUMN('Daily Attendance'!$D75:$AG75)-COLUMN('Daily Attendance'!$D75),2)=1)*'Daily Attendance'!$D75:$AG75))</f>
      </c>
      <c r="F75" s="22">
        <f>IF($A75="","",$D75*IF($C75="Worker",Worker_DailyWage,IF($C75="Laborer",Laborer_DailyWage,0)))</f>
      </c>
      <c r="G75" s="22">
        <f>IF($A75="","",$E75*IF($C75="Worker",Worker_OTRate,IF($C75="Laborer",Laborer_OTRate,0)))</f>
      </c>
      <c r="H75" s="23">
        <f>IF($A75="","",$F75+$G75)</f>
      </c>
      <c r="I75" s="20">
        <f>IF($A75="","",SUMPRODUCT((MOD(COLUMN('Daily Attendance'!$AH75:$BM75)-COLUMN('Daily Attendance'!$AH75),2)=0)*'Daily Attendance'!$AH75:$BM75))</f>
      </c>
      <c r="J75" s="21">
        <f>IF($A75="","",SUMPRODUCT((MOD(COLUMN('Daily Attendance'!$AH75:$BM75)-COLUMN('Daily Attendance'!$AH75),2)=1)*'Daily Attendance'!$AH75:$BM75))</f>
      </c>
      <c r="K75" s="22">
        <f>IF($A75="","",$I75*IF($C75="Worker",Worker_DailyWage,IF($C75="Laborer",Laborer_DailyWage,0)))</f>
      </c>
      <c r="L75" s="22">
        <f>IF($A75="","",$J75*IF($C75="Worker",Worker_OTRate,IF($C75="Laborer",Laborer_OTRate,0)))</f>
      </c>
      <c r="M75" s="23">
        <f>IF($A75="","",$K75+$L75)</f>
      </c>
      <c r="N75" s="23">
        <f>IF($A75="","",$H75+$M75)</f>
      </c>
    </row>
    <row r="76">
      <c r="A76" s="17">
        <f>IF('Daily Attendance'!A76="","",'Daily Attendance'!A76)</f>
      </c>
      <c r="B76" s="18">
        <f>IF($A76="","",'Daily Attendance'!B76)</f>
      </c>
      <c r="C76" s="19">
        <f>IF($A76="","",'Daily Attendance'!C76)</f>
      </c>
      <c r="D76" s="20">
        <f>IF($A76="","",SUMPRODUCT((MOD(COLUMN('Daily Attendance'!$D76:$AG76)-COLUMN('Daily Attendance'!$D76),2)=0)*'Daily Attendance'!$D76:$AG76))</f>
      </c>
      <c r="E76" s="21">
        <f>IF($A76="","",SUMPRODUCT((MOD(COLUMN('Daily Attendance'!$D76:$AG76)-COLUMN('Daily Attendance'!$D76),2)=1)*'Daily Attendance'!$D76:$AG76))</f>
      </c>
      <c r="F76" s="22">
        <f>IF($A76="","",$D76*IF($C76="Worker",Worker_DailyWage,IF($C76="Laborer",Laborer_DailyWage,0)))</f>
      </c>
      <c r="G76" s="22">
        <f>IF($A76="","",$E76*IF($C76="Worker",Worker_OTRate,IF($C76="Laborer",Laborer_OTRate,0)))</f>
      </c>
      <c r="H76" s="23">
        <f>IF($A76="","",$F76+$G76)</f>
      </c>
      <c r="I76" s="20">
        <f>IF($A76="","",SUMPRODUCT((MOD(COLUMN('Daily Attendance'!$AH76:$BM76)-COLUMN('Daily Attendance'!$AH76),2)=0)*'Daily Attendance'!$AH76:$BM76))</f>
      </c>
      <c r="J76" s="21">
        <f>IF($A76="","",SUMPRODUCT((MOD(COLUMN('Daily Attendance'!$AH76:$BM76)-COLUMN('Daily Attendance'!$AH76),2)=1)*'Daily Attendance'!$AH76:$BM76))</f>
      </c>
      <c r="K76" s="22">
        <f>IF($A76="","",$I76*IF($C76="Worker",Worker_DailyWage,IF($C76="Laborer",Laborer_DailyWage,0)))</f>
      </c>
      <c r="L76" s="22">
        <f>IF($A76="","",$J76*IF($C76="Worker",Worker_OTRate,IF($C76="Laborer",Laborer_OTRate,0)))</f>
      </c>
      <c r="M76" s="23">
        <f>IF($A76="","",$K76+$L76)</f>
      </c>
      <c r="N76" s="23">
        <f>IF($A76="","",$H76+$M76)</f>
      </c>
    </row>
    <row r="77">
      <c r="A77" s="17">
        <f>IF('Daily Attendance'!A77="","",'Daily Attendance'!A77)</f>
      </c>
      <c r="B77" s="18">
        <f>IF($A77="","",'Daily Attendance'!B77)</f>
      </c>
      <c r="C77" s="19">
        <f>IF($A77="","",'Daily Attendance'!C77)</f>
      </c>
      <c r="D77" s="20">
        <f>IF($A77="","",SUMPRODUCT((MOD(COLUMN('Daily Attendance'!$D77:$AG77)-COLUMN('Daily Attendance'!$D77),2)=0)*'Daily Attendance'!$D77:$AG77))</f>
      </c>
      <c r="E77" s="21">
        <f>IF($A77="","",SUMPRODUCT((MOD(COLUMN('Daily Attendance'!$D77:$AG77)-COLUMN('Daily Attendance'!$D77),2)=1)*'Daily Attendance'!$D77:$AG77))</f>
      </c>
      <c r="F77" s="22">
        <f>IF($A77="","",$D77*IF($C77="Worker",Worker_DailyWage,IF($C77="Laborer",Laborer_DailyWage,0)))</f>
      </c>
      <c r="G77" s="22">
        <f>IF($A77="","",$E77*IF($C77="Worker",Worker_OTRate,IF($C77="Laborer",Laborer_OTRate,0)))</f>
      </c>
      <c r="H77" s="23">
        <f>IF($A77="","",$F77+$G77)</f>
      </c>
      <c r="I77" s="20">
        <f>IF($A77="","",SUMPRODUCT((MOD(COLUMN('Daily Attendance'!$AH77:$BM77)-COLUMN('Daily Attendance'!$AH77),2)=0)*'Daily Attendance'!$AH77:$BM77))</f>
      </c>
      <c r="J77" s="21">
        <f>IF($A77="","",SUMPRODUCT((MOD(COLUMN('Daily Attendance'!$AH77:$BM77)-COLUMN('Daily Attendance'!$AH77),2)=1)*'Daily Attendance'!$AH77:$BM77))</f>
      </c>
      <c r="K77" s="22">
        <f>IF($A77="","",$I77*IF($C77="Worker",Worker_DailyWage,IF($C77="Laborer",Laborer_DailyWage,0)))</f>
      </c>
      <c r="L77" s="22">
        <f>IF($A77="","",$J77*IF($C77="Worker",Worker_OTRate,IF($C77="Laborer",Laborer_OTRate,0)))</f>
      </c>
      <c r="M77" s="23">
        <f>IF($A77="","",$K77+$L77)</f>
      </c>
      <c r="N77" s="23">
        <f>IF($A77="","",$H77+$M77)</f>
      </c>
    </row>
    <row r="78">
      <c r="A78" s="17">
        <f>IF('Daily Attendance'!A78="","",'Daily Attendance'!A78)</f>
      </c>
      <c r="B78" s="18">
        <f>IF($A78="","",'Daily Attendance'!B78)</f>
      </c>
      <c r="C78" s="19">
        <f>IF($A78="","",'Daily Attendance'!C78)</f>
      </c>
      <c r="D78" s="20">
        <f>IF($A78="","",SUMPRODUCT((MOD(COLUMN('Daily Attendance'!$D78:$AG78)-COLUMN('Daily Attendance'!$D78),2)=0)*'Daily Attendance'!$D78:$AG78))</f>
      </c>
      <c r="E78" s="21">
        <f>IF($A78="","",SUMPRODUCT((MOD(COLUMN('Daily Attendance'!$D78:$AG78)-COLUMN('Daily Attendance'!$D78),2)=1)*'Daily Attendance'!$D78:$AG78))</f>
      </c>
      <c r="F78" s="22">
        <f>IF($A78="","",$D78*IF($C78="Worker",Worker_DailyWage,IF($C78="Laborer",Laborer_DailyWage,0)))</f>
      </c>
      <c r="G78" s="22">
        <f>IF($A78="","",$E78*IF($C78="Worker",Worker_OTRate,IF($C78="Laborer",Laborer_OTRate,0)))</f>
      </c>
      <c r="H78" s="23">
        <f>IF($A78="","",$F78+$G78)</f>
      </c>
      <c r="I78" s="20">
        <f>IF($A78="","",SUMPRODUCT((MOD(COLUMN('Daily Attendance'!$AH78:$BM78)-COLUMN('Daily Attendance'!$AH78),2)=0)*'Daily Attendance'!$AH78:$BM78))</f>
      </c>
      <c r="J78" s="21">
        <f>IF($A78="","",SUMPRODUCT((MOD(COLUMN('Daily Attendance'!$AH78:$BM78)-COLUMN('Daily Attendance'!$AH78),2)=1)*'Daily Attendance'!$AH78:$BM78))</f>
      </c>
      <c r="K78" s="22">
        <f>IF($A78="","",$I78*IF($C78="Worker",Worker_DailyWage,IF($C78="Laborer",Laborer_DailyWage,0)))</f>
      </c>
      <c r="L78" s="22">
        <f>IF($A78="","",$J78*IF($C78="Worker",Worker_OTRate,IF($C78="Laborer",Laborer_OTRate,0)))</f>
      </c>
      <c r="M78" s="23">
        <f>IF($A78="","",$K78+$L78)</f>
      </c>
      <c r="N78" s="23">
        <f>IF($A78="","",$H78+$M78)</f>
      </c>
    </row>
    <row r="79">
      <c r="A79" s="17">
        <f>IF('Daily Attendance'!A79="","",'Daily Attendance'!A79)</f>
      </c>
      <c r="B79" s="18">
        <f>IF($A79="","",'Daily Attendance'!B79)</f>
      </c>
      <c r="C79" s="19">
        <f>IF($A79="","",'Daily Attendance'!C79)</f>
      </c>
      <c r="D79" s="20">
        <f>IF($A79="","",SUMPRODUCT((MOD(COLUMN('Daily Attendance'!$D79:$AG79)-COLUMN('Daily Attendance'!$D79),2)=0)*'Daily Attendance'!$D79:$AG79))</f>
      </c>
      <c r="E79" s="21">
        <f>IF($A79="","",SUMPRODUCT((MOD(COLUMN('Daily Attendance'!$D79:$AG79)-COLUMN('Daily Attendance'!$D79),2)=1)*'Daily Attendance'!$D79:$AG79))</f>
      </c>
      <c r="F79" s="22">
        <f>IF($A79="","",$D79*IF($C79="Worker",Worker_DailyWage,IF($C79="Laborer",Laborer_DailyWage,0)))</f>
      </c>
      <c r="G79" s="22">
        <f>IF($A79="","",$E79*IF($C79="Worker",Worker_OTRate,IF($C79="Laborer",Laborer_OTRate,0)))</f>
      </c>
      <c r="H79" s="23">
        <f>IF($A79="","",$F79+$G79)</f>
      </c>
      <c r="I79" s="20">
        <f>IF($A79="","",SUMPRODUCT((MOD(COLUMN('Daily Attendance'!$AH79:$BM79)-COLUMN('Daily Attendance'!$AH79),2)=0)*'Daily Attendance'!$AH79:$BM79))</f>
      </c>
      <c r="J79" s="21">
        <f>IF($A79="","",SUMPRODUCT((MOD(COLUMN('Daily Attendance'!$AH79:$BM79)-COLUMN('Daily Attendance'!$AH79),2)=1)*'Daily Attendance'!$AH79:$BM79))</f>
      </c>
      <c r="K79" s="22">
        <f>IF($A79="","",$I79*IF($C79="Worker",Worker_DailyWage,IF($C79="Laborer",Laborer_DailyWage,0)))</f>
      </c>
      <c r="L79" s="22">
        <f>IF($A79="","",$J79*IF($C79="Worker",Worker_OTRate,IF($C79="Laborer",Laborer_OTRate,0)))</f>
      </c>
      <c r="M79" s="23">
        <f>IF($A79="","",$K79+$L79)</f>
      </c>
      <c r="N79" s="23">
        <f>IF($A79="","",$H79+$M79)</f>
      </c>
    </row>
    <row r="80">
      <c r="A80" s="17">
        <f>IF('Daily Attendance'!A80="","",'Daily Attendance'!A80)</f>
      </c>
      <c r="B80" s="18">
        <f>IF($A80="","",'Daily Attendance'!B80)</f>
      </c>
      <c r="C80" s="19">
        <f>IF($A80="","",'Daily Attendance'!C80)</f>
      </c>
      <c r="D80" s="20">
        <f>IF($A80="","",SUMPRODUCT((MOD(COLUMN('Daily Attendance'!$D80:$AG80)-COLUMN('Daily Attendance'!$D80),2)=0)*'Daily Attendance'!$D80:$AG80))</f>
      </c>
      <c r="E80" s="21">
        <f>IF($A80="","",SUMPRODUCT((MOD(COLUMN('Daily Attendance'!$D80:$AG80)-COLUMN('Daily Attendance'!$D80),2)=1)*'Daily Attendance'!$D80:$AG80))</f>
      </c>
      <c r="F80" s="22">
        <f>IF($A80="","",$D80*IF($C80="Worker",Worker_DailyWage,IF($C80="Laborer",Laborer_DailyWage,0)))</f>
      </c>
      <c r="G80" s="22">
        <f>IF($A80="","",$E80*IF($C80="Worker",Worker_OTRate,IF($C80="Laborer",Laborer_OTRate,0)))</f>
      </c>
      <c r="H80" s="23">
        <f>IF($A80="","",$F80+$G80)</f>
      </c>
      <c r="I80" s="20">
        <f>IF($A80="","",SUMPRODUCT((MOD(COLUMN('Daily Attendance'!$AH80:$BM80)-COLUMN('Daily Attendance'!$AH80),2)=0)*'Daily Attendance'!$AH80:$BM80))</f>
      </c>
      <c r="J80" s="21">
        <f>IF($A80="","",SUMPRODUCT((MOD(COLUMN('Daily Attendance'!$AH80:$BM80)-COLUMN('Daily Attendance'!$AH80),2)=1)*'Daily Attendance'!$AH80:$BM80))</f>
      </c>
      <c r="K80" s="22">
        <f>IF($A80="","",$I80*IF($C80="Worker",Worker_DailyWage,IF($C80="Laborer",Laborer_DailyWage,0)))</f>
      </c>
      <c r="L80" s="22">
        <f>IF($A80="","",$J80*IF($C80="Worker",Worker_OTRate,IF($C80="Laborer",Laborer_OTRate,0)))</f>
      </c>
      <c r="M80" s="23">
        <f>IF($A80="","",$K80+$L80)</f>
      </c>
      <c r="N80" s="23">
        <f>IF($A80="","",$H80+$M80)</f>
      </c>
    </row>
    <row r="81">
      <c r="A81" s="17">
        <f>IF('Daily Attendance'!A81="","",'Daily Attendance'!A81)</f>
      </c>
      <c r="B81" s="18">
        <f>IF($A81="","",'Daily Attendance'!B81)</f>
      </c>
      <c r="C81" s="19">
        <f>IF($A81="","",'Daily Attendance'!C81)</f>
      </c>
      <c r="D81" s="20">
        <f>IF($A81="","",SUMPRODUCT((MOD(COLUMN('Daily Attendance'!$D81:$AG81)-COLUMN('Daily Attendance'!$D81),2)=0)*'Daily Attendance'!$D81:$AG81))</f>
      </c>
      <c r="E81" s="21">
        <f>IF($A81="","",SUMPRODUCT((MOD(COLUMN('Daily Attendance'!$D81:$AG81)-COLUMN('Daily Attendance'!$D81),2)=1)*'Daily Attendance'!$D81:$AG81))</f>
      </c>
      <c r="F81" s="22">
        <f>IF($A81="","",$D81*IF($C81="Worker",Worker_DailyWage,IF($C81="Laborer",Laborer_DailyWage,0)))</f>
      </c>
      <c r="G81" s="22">
        <f>IF($A81="","",$E81*IF($C81="Worker",Worker_OTRate,IF($C81="Laborer",Laborer_OTRate,0)))</f>
      </c>
      <c r="H81" s="23">
        <f>IF($A81="","",$F81+$G81)</f>
      </c>
      <c r="I81" s="20">
        <f>IF($A81="","",SUMPRODUCT((MOD(COLUMN('Daily Attendance'!$AH81:$BM81)-COLUMN('Daily Attendance'!$AH81),2)=0)*'Daily Attendance'!$AH81:$BM81))</f>
      </c>
      <c r="J81" s="21">
        <f>IF($A81="","",SUMPRODUCT((MOD(COLUMN('Daily Attendance'!$AH81:$BM81)-COLUMN('Daily Attendance'!$AH81),2)=1)*'Daily Attendance'!$AH81:$BM81))</f>
      </c>
      <c r="K81" s="22">
        <f>IF($A81="","",$I81*IF($C81="Worker",Worker_DailyWage,IF($C81="Laborer",Laborer_DailyWage,0)))</f>
      </c>
      <c r="L81" s="22">
        <f>IF($A81="","",$J81*IF($C81="Worker",Worker_OTRate,IF($C81="Laborer",Laborer_OTRate,0)))</f>
      </c>
      <c r="M81" s="23">
        <f>IF($A81="","",$K81+$L81)</f>
      </c>
      <c r="N81" s="23">
        <f>IF($A81="","",$H81+$M81)</f>
      </c>
    </row>
    <row r="82">
      <c r="A82" s="17">
        <f>IF('Daily Attendance'!A82="","",'Daily Attendance'!A82)</f>
      </c>
      <c r="B82" s="18">
        <f>IF($A82="","",'Daily Attendance'!B82)</f>
      </c>
      <c r="C82" s="19">
        <f>IF($A82="","",'Daily Attendance'!C82)</f>
      </c>
      <c r="D82" s="20">
        <f>IF($A82="","",SUMPRODUCT((MOD(COLUMN('Daily Attendance'!$D82:$AG82)-COLUMN('Daily Attendance'!$D82),2)=0)*'Daily Attendance'!$D82:$AG82))</f>
      </c>
      <c r="E82" s="21">
        <f>IF($A82="","",SUMPRODUCT((MOD(COLUMN('Daily Attendance'!$D82:$AG82)-COLUMN('Daily Attendance'!$D82),2)=1)*'Daily Attendance'!$D82:$AG82))</f>
      </c>
      <c r="F82" s="22">
        <f>IF($A82="","",$D82*IF($C82="Worker",Worker_DailyWage,IF($C82="Laborer",Laborer_DailyWage,0)))</f>
      </c>
      <c r="G82" s="22">
        <f>IF($A82="","",$E82*IF($C82="Worker",Worker_OTRate,IF($C82="Laborer",Laborer_OTRate,0)))</f>
      </c>
      <c r="H82" s="23">
        <f>IF($A82="","",$F82+$G82)</f>
      </c>
      <c r="I82" s="20">
        <f>IF($A82="","",SUMPRODUCT((MOD(COLUMN('Daily Attendance'!$AH82:$BM82)-COLUMN('Daily Attendance'!$AH82),2)=0)*'Daily Attendance'!$AH82:$BM82))</f>
      </c>
      <c r="J82" s="21">
        <f>IF($A82="","",SUMPRODUCT((MOD(COLUMN('Daily Attendance'!$AH82:$BM82)-COLUMN('Daily Attendance'!$AH82),2)=1)*'Daily Attendance'!$AH82:$BM82))</f>
      </c>
      <c r="K82" s="22">
        <f>IF($A82="","",$I82*IF($C82="Worker",Worker_DailyWage,IF($C82="Laborer",Laborer_DailyWage,0)))</f>
      </c>
      <c r="L82" s="22">
        <f>IF($A82="","",$J82*IF($C82="Worker",Worker_OTRate,IF($C82="Laborer",Laborer_OTRate,0)))</f>
      </c>
      <c r="M82" s="23">
        <f>IF($A82="","",$K82+$L82)</f>
      </c>
      <c r="N82" s="23">
        <f>IF($A82="","",$H82+$M82)</f>
      </c>
    </row>
    <row r="83">
      <c r="A83" s="17">
        <f>IF('Daily Attendance'!A83="","",'Daily Attendance'!A83)</f>
      </c>
      <c r="B83" s="18">
        <f>IF($A83="","",'Daily Attendance'!B83)</f>
      </c>
      <c r="C83" s="19">
        <f>IF($A83="","",'Daily Attendance'!C83)</f>
      </c>
      <c r="D83" s="20">
        <f>IF($A83="","",SUMPRODUCT((MOD(COLUMN('Daily Attendance'!$D83:$AG83)-COLUMN('Daily Attendance'!$D83),2)=0)*'Daily Attendance'!$D83:$AG83))</f>
      </c>
      <c r="E83" s="21">
        <f>IF($A83="","",SUMPRODUCT((MOD(COLUMN('Daily Attendance'!$D83:$AG83)-COLUMN('Daily Attendance'!$D83),2)=1)*'Daily Attendance'!$D83:$AG83))</f>
      </c>
      <c r="F83" s="22">
        <f>IF($A83="","",$D83*IF($C83="Worker",Worker_DailyWage,IF($C83="Laborer",Laborer_DailyWage,0)))</f>
      </c>
      <c r="G83" s="22">
        <f>IF($A83="","",$E83*IF($C83="Worker",Worker_OTRate,IF($C83="Laborer",Laborer_OTRate,0)))</f>
      </c>
      <c r="H83" s="23">
        <f>IF($A83="","",$F83+$G83)</f>
      </c>
      <c r="I83" s="20">
        <f>IF($A83="","",SUMPRODUCT((MOD(COLUMN('Daily Attendance'!$AH83:$BM83)-COLUMN('Daily Attendance'!$AH83),2)=0)*'Daily Attendance'!$AH83:$BM83))</f>
      </c>
      <c r="J83" s="21">
        <f>IF($A83="","",SUMPRODUCT((MOD(COLUMN('Daily Attendance'!$AH83:$BM83)-COLUMN('Daily Attendance'!$AH83),2)=1)*'Daily Attendance'!$AH83:$BM83))</f>
      </c>
      <c r="K83" s="22">
        <f>IF($A83="","",$I83*IF($C83="Worker",Worker_DailyWage,IF($C83="Laborer",Laborer_DailyWage,0)))</f>
      </c>
      <c r="L83" s="22">
        <f>IF($A83="","",$J83*IF($C83="Worker",Worker_OTRate,IF($C83="Laborer",Laborer_OTRate,0)))</f>
      </c>
      <c r="M83" s="23">
        <f>IF($A83="","",$K83+$L83)</f>
      </c>
      <c r="N83" s="23">
        <f>IF($A83="","",$H83+$M83)</f>
      </c>
    </row>
    <row r="84">
      <c r="A84" s="17">
        <f>IF('Daily Attendance'!A84="","",'Daily Attendance'!A84)</f>
      </c>
      <c r="B84" s="18">
        <f>IF($A84="","",'Daily Attendance'!B84)</f>
      </c>
      <c r="C84" s="19">
        <f>IF($A84="","",'Daily Attendance'!C84)</f>
      </c>
      <c r="D84" s="20">
        <f>IF($A84="","",SUMPRODUCT((MOD(COLUMN('Daily Attendance'!$D84:$AG84)-COLUMN('Daily Attendance'!$D84),2)=0)*'Daily Attendance'!$D84:$AG84))</f>
      </c>
      <c r="E84" s="21">
        <f>IF($A84="","",SUMPRODUCT((MOD(COLUMN('Daily Attendance'!$D84:$AG84)-COLUMN('Daily Attendance'!$D84),2)=1)*'Daily Attendance'!$D84:$AG84))</f>
      </c>
      <c r="F84" s="22">
        <f>IF($A84="","",$D84*IF($C84="Worker",Worker_DailyWage,IF($C84="Laborer",Laborer_DailyWage,0)))</f>
      </c>
      <c r="G84" s="22">
        <f>IF($A84="","",$E84*IF($C84="Worker",Worker_OTRate,IF($C84="Laborer",Laborer_OTRate,0)))</f>
      </c>
      <c r="H84" s="23">
        <f>IF($A84="","",$F84+$G84)</f>
      </c>
      <c r="I84" s="20">
        <f>IF($A84="","",SUMPRODUCT((MOD(COLUMN('Daily Attendance'!$AH84:$BM84)-COLUMN('Daily Attendance'!$AH84),2)=0)*'Daily Attendance'!$AH84:$BM84))</f>
      </c>
      <c r="J84" s="21">
        <f>IF($A84="","",SUMPRODUCT((MOD(COLUMN('Daily Attendance'!$AH84:$BM84)-COLUMN('Daily Attendance'!$AH84),2)=1)*'Daily Attendance'!$AH84:$BM84))</f>
      </c>
      <c r="K84" s="22">
        <f>IF($A84="","",$I84*IF($C84="Worker",Worker_DailyWage,IF($C84="Laborer",Laborer_DailyWage,0)))</f>
      </c>
      <c r="L84" s="22">
        <f>IF($A84="","",$J84*IF($C84="Worker",Worker_OTRate,IF($C84="Laborer",Laborer_OTRate,0)))</f>
      </c>
      <c r="M84" s="23">
        <f>IF($A84="","",$K84+$L84)</f>
      </c>
      <c r="N84" s="23">
        <f>IF($A84="","",$H84+$M84)</f>
      </c>
    </row>
    <row r="85">
      <c r="A85" s="17">
        <f>IF('Daily Attendance'!A85="","",'Daily Attendance'!A85)</f>
      </c>
      <c r="B85" s="18">
        <f>IF($A85="","",'Daily Attendance'!B85)</f>
      </c>
      <c r="C85" s="19">
        <f>IF($A85="","",'Daily Attendance'!C85)</f>
      </c>
      <c r="D85" s="20">
        <f>IF($A85="","",SUMPRODUCT((MOD(COLUMN('Daily Attendance'!$D85:$AG85)-COLUMN('Daily Attendance'!$D85),2)=0)*'Daily Attendance'!$D85:$AG85))</f>
      </c>
      <c r="E85" s="21">
        <f>IF($A85="","",SUMPRODUCT((MOD(COLUMN('Daily Attendance'!$D85:$AG85)-COLUMN('Daily Attendance'!$D85),2)=1)*'Daily Attendance'!$D85:$AG85))</f>
      </c>
      <c r="F85" s="22">
        <f>IF($A85="","",$D85*IF($C85="Worker",Worker_DailyWage,IF($C85="Laborer",Laborer_DailyWage,0)))</f>
      </c>
      <c r="G85" s="22">
        <f>IF($A85="","",$E85*IF($C85="Worker",Worker_OTRate,IF($C85="Laborer",Laborer_OTRate,0)))</f>
      </c>
      <c r="H85" s="23">
        <f>IF($A85="","",$F85+$G85)</f>
      </c>
      <c r="I85" s="20">
        <f>IF($A85="","",SUMPRODUCT((MOD(COLUMN('Daily Attendance'!$AH85:$BM85)-COLUMN('Daily Attendance'!$AH85),2)=0)*'Daily Attendance'!$AH85:$BM85))</f>
      </c>
      <c r="J85" s="21">
        <f>IF($A85="","",SUMPRODUCT((MOD(COLUMN('Daily Attendance'!$AH85:$BM85)-COLUMN('Daily Attendance'!$AH85),2)=1)*'Daily Attendance'!$AH85:$BM85))</f>
      </c>
      <c r="K85" s="22">
        <f>IF($A85="","",$I85*IF($C85="Worker",Worker_DailyWage,IF($C85="Laborer",Laborer_DailyWage,0)))</f>
      </c>
      <c r="L85" s="22">
        <f>IF($A85="","",$J85*IF($C85="Worker",Worker_OTRate,IF($C85="Laborer",Laborer_OTRate,0)))</f>
      </c>
      <c r="M85" s="23">
        <f>IF($A85="","",$K85+$L85)</f>
      </c>
      <c r="N85" s="23">
        <f>IF($A85="","",$H85+$M85)</f>
      </c>
    </row>
    <row r="86">
      <c r="A86" s="17">
        <f>IF('Daily Attendance'!A86="","",'Daily Attendance'!A86)</f>
      </c>
      <c r="B86" s="18">
        <f>IF($A86="","",'Daily Attendance'!B86)</f>
      </c>
      <c r="C86" s="19">
        <f>IF($A86="","",'Daily Attendance'!C86)</f>
      </c>
      <c r="D86" s="20">
        <f>IF($A86="","",SUMPRODUCT((MOD(COLUMN('Daily Attendance'!$D86:$AG86)-COLUMN('Daily Attendance'!$D86),2)=0)*'Daily Attendance'!$D86:$AG86))</f>
      </c>
      <c r="E86" s="21">
        <f>IF($A86="","",SUMPRODUCT((MOD(COLUMN('Daily Attendance'!$D86:$AG86)-COLUMN('Daily Attendance'!$D86),2)=1)*'Daily Attendance'!$D86:$AG86))</f>
      </c>
      <c r="F86" s="22">
        <f>IF($A86="","",$D86*IF($C86="Worker",Worker_DailyWage,IF($C86="Laborer",Laborer_DailyWage,0)))</f>
      </c>
      <c r="G86" s="22">
        <f>IF($A86="","",$E86*IF($C86="Worker",Worker_OTRate,IF($C86="Laborer",Laborer_OTRate,0)))</f>
      </c>
      <c r="H86" s="23">
        <f>IF($A86="","",$F86+$G86)</f>
      </c>
      <c r="I86" s="20">
        <f>IF($A86="","",SUMPRODUCT((MOD(COLUMN('Daily Attendance'!$AH86:$BM86)-COLUMN('Daily Attendance'!$AH86),2)=0)*'Daily Attendance'!$AH86:$BM86))</f>
      </c>
      <c r="J86" s="21">
        <f>IF($A86="","",SUMPRODUCT((MOD(COLUMN('Daily Attendance'!$AH86:$BM86)-COLUMN('Daily Attendance'!$AH86),2)=1)*'Daily Attendance'!$AH86:$BM86))</f>
      </c>
      <c r="K86" s="22">
        <f>IF($A86="","",$I86*IF($C86="Worker",Worker_DailyWage,IF($C86="Laborer",Laborer_DailyWage,0)))</f>
      </c>
      <c r="L86" s="22">
        <f>IF($A86="","",$J86*IF($C86="Worker",Worker_OTRate,IF($C86="Laborer",Laborer_OTRate,0)))</f>
      </c>
      <c r="M86" s="23">
        <f>IF($A86="","",$K86+$L86)</f>
      </c>
      <c r="N86" s="23">
        <f>IF($A86="","",$H86+$M86)</f>
      </c>
    </row>
    <row r="87">
      <c r="A87" s="17">
        <f>IF('Daily Attendance'!A87="","",'Daily Attendance'!A87)</f>
      </c>
      <c r="B87" s="18">
        <f>IF($A87="","",'Daily Attendance'!B87)</f>
      </c>
      <c r="C87" s="19">
        <f>IF($A87="","",'Daily Attendance'!C87)</f>
      </c>
      <c r="D87" s="20">
        <f>IF($A87="","",SUMPRODUCT((MOD(COLUMN('Daily Attendance'!$D87:$AG87)-COLUMN('Daily Attendance'!$D87),2)=0)*'Daily Attendance'!$D87:$AG87))</f>
      </c>
      <c r="E87" s="21">
        <f>IF($A87="","",SUMPRODUCT((MOD(COLUMN('Daily Attendance'!$D87:$AG87)-COLUMN('Daily Attendance'!$D87),2)=1)*'Daily Attendance'!$D87:$AG87))</f>
      </c>
      <c r="F87" s="22">
        <f>IF($A87="","",$D87*IF($C87="Worker",Worker_DailyWage,IF($C87="Laborer",Laborer_DailyWage,0)))</f>
      </c>
      <c r="G87" s="22">
        <f>IF($A87="","",$E87*IF($C87="Worker",Worker_OTRate,IF($C87="Laborer",Laborer_OTRate,0)))</f>
      </c>
      <c r="H87" s="23">
        <f>IF($A87="","",$F87+$G87)</f>
      </c>
      <c r="I87" s="20">
        <f>IF($A87="","",SUMPRODUCT((MOD(COLUMN('Daily Attendance'!$AH87:$BM87)-COLUMN('Daily Attendance'!$AH87),2)=0)*'Daily Attendance'!$AH87:$BM87))</f>
      </c>
      <c r="J87" s="21">
        <f>IF($A87="","",SUMPRODUCT((MOD(COLUMN('Daily Attendance'!$AH87:$BM87)-COLUMN('Daily Attendance'!$AH87),2)=1)*'Daily Attendance'!$AH87:$BM87))</f>
      </c>
      <c r="K87" s="22">
        <f>IF($A87="","",$I87*IF($C87="Worker",Worker_DailyWage,IF($C87="Laborer",Laborer_DailyWage,0)))</f>
      </c>
      <c r="L87" s="22">
        <f>IF($A87="","",$J87*IF($C87="Worker",Worker_OTRate,IF($C87="Laborer",Laborer_OTRate,0)))</f>
      </c>
      <c r="M87" s="23">
        <f>IF($A87="","",$K87+$L87)</f>
      </c>
      <c r="N87" s="23">
        <f>IF($A87="","",$H87+$M87)</f>
      </c>
    </row>
    <row r="88">
      <c r="A88" s="17">
        <f>IF('Daily Attendance'!A88="","",'Daily Attendance'!A88)</f>
      </c>
      <c r="B88" s="18">
        <f>IF($A88="","",'Daily Attendance'!B88)</f>
      </c>
      <c r="C88" s="19">
        <f>IF($A88="","",'Daily Attendance'!C88)</f>
      </c>
      <c r="D88" s="20">
        <f>IF($A88="","",SUMPRODUCT((MOD(COLUMN('Daily Attendance'!$D88:$AG88)-COLUMN('Daily Attendance'!$D88),2)=0)*'Daily Attendance'!$D88:$AG88))</f>
      </c>
      <c r="E88" s="21">
        <f>IF($A88="","",SUMPRODUCT((MOD(COLUMN('Daily Attendance'!$D88:$AG88)-COLUMN('Daily Attendance'!$D88),2)=1)*'Daily Attendance'!$D88:$AG88))</f>
      </c>
      <c r="F88" s="22">
        <f>IF($A88="","",$D88*IF($C88="Worker",Worker_DailyWage,IF($C88="Laborer",Laborer_DailyWage,0)))</f>
      </c>
      <c r="G88" s="22">
        <f>IF($A88="","",$E88*IF($C88="Worker",Worker_OTRate,IF($C88="Laborer",Laborer_OTRate,0)))</f>
      </c>
      <c r="H88" s="23">
        <f>IF($A88="","",$F88+$G88)</f>
      </c>
      <c r="I88" s="20">
        <f>IF($A88="","",SUMPRODUCT((MOD(COLUMN('Daily Attendance'!$AH88:$BM88)-COLUMN('Daily Attendance'!$AH88),2)=0)*'Daily Attendance'!$AH88:$BM88))</f>
      </c>
      <c r="J88" s="21">
        <f>IF($A88="","",SUMPRODUCT((MOD(COLUMN('Daily Attendance'!$AH88:$BM88)-COLUMN('Daily Attendance'!$AH88),2)=1)*'Daily Attendance'!$AH88:$BM88))</f>
      </c>
      <c r="K88" s="22">
        <f>IF($A88="","",$I88*IF($C88="Worker",Worker_DailyWage,IF($C88="Laborer",Laborer_DailyWage,0)))</f>
      </c>
      <c r="L88" s="22">
        <f>IF($A88="","",$J88*IF($C88="Worker",Worker_OTRate,IF($C88="Laborer",Laborer_OTRate,0)))</f>
      </c>
      <c r="M88" s="23">
        <f>IF($A88="","",$K88+$L88)</f>
      </c>
      <c r="N88" s="23">
        <f>IF($A88="","",$H88+$M88)</f>
      </c>
    </row>
    <row r="89">
      <c r="A89" s="17">
        <f>IF('Daily Attendance'!A89="","",'Daily Attendance'!A89)</f>
      </c>
      <c r="B89" s="18">
        <f>IF($A89="","",'Daily Attendance'!B89)</f>
      </c>
      <c r="C89" s="19">
        <f>IF($A89="","",'Daily Attendance'!C89)</f>
      </c>
      <c r="D89" s="20">
        <f>IF($A89="","",SUMPRODUCT((MOD(COLUMN('Daily Attendance'!$D89:$AG89)-COLUMN('Daily Attendance'!$D89),2)=0)*'Daily Attendance'!$D89:$AG89))</f>
      </c>
      <c r="E89" s="21">
        <f>IF($A89="","",SUMPRODUCT((MOD(COLUMN('Daily Attendance'!$D89:$AG89)-COLUMN('Daily Attendance'!$D89),2)=1)*'Daily Attendance'!$D89:$AG89))</f>
      </c>
      <c r="F89" s="22">
        <f>IF($A89="","",$D89*IF($C89="Worker",Worker_DailyWage,IF($C89="Laborer",Laborer_DailyWage,0)))</f>
      </c>
      <c r="G89" s="22">
        <f>IF($A89="","",$E89*IF($C89="Worker",Worker_OTRate,IF($C89="Laborer",Laborer_OTRate,0)))</f>
      </c>
      <c r="H89" s="23">
        <f>IF($A89="","",$F89+$G89)</f>
      </c>
      <c r="I89" s="20">
        <f>IF($A89="","",SUMPRODUCT((MOD(COLUMN('Daily Attendance'!$AH89:$BM89)-COLUMN('Daily Attendance'!$AH89),2)=0)*'Daily Attendance'!$AH89:$BM89))</f>
      </c>
      <c r="J89" s="21">
        <f>IF($A89="","",SUMPRODUCT((MOD(COLUMN('Daily Attendance'!$AH89:$BM89)-COLUMN('Daily Attendance'!$AH89),2)=1)*'Daily Attendance'!$AH89:$BM89))</f>
      </c>
      <c r="K89" s="22">
        <f>IF($A89="","",$I89*IF($C89="Worker",Worker_DailyWage,IF($C89="Laborer",Laborer_DailyWage,0)))</f>
      </c>
      <c r="L89" s="22">
        <f>IF($A89="","",$J89*IF($C89="Worker",Worker_OTRate,IF($C89="Laborer",Laborer_OTRate,0)))</f>
      </c>
      <c r="M89" s="23">
        <f>IF($A89="","",$K89+$L89)</f>
      </c>
      <c r="N89" s="23">
        <f>IF($A89="","",$H89+$M89)</f>
      </c>
    </row>
    <row r="90">
      <c r="A90" s="17">
        <f>IF('Daily Attendance'!A90="","",'Daily Attendance'!A90)</f>
      </c>
      <c r="B90" s="18">
        <f>IF($A90="","",'Daily Attendance'!B90)</f>
      </c>
      <c r="C90" s="19">
        <f>IF($A90="","",'Daily Attendance'!C90)</f>
      </c>
      <c r="D90" s="20">
        <f>IF($A90="","",SUMPRODUCT((MOD(COLUMN('Daily Attendance'!$D90:$AG90)-COLUMN('Daily Attendance'!$D90),2)=0)*'Daily Attendance'!$D90:$AG90))</f>
      </c>
      <c r="E90" s="21">
        <f>IF($A90="","",SUMPRODUCT((MOD(COLUMN('Daily Attendance'!$D90:$AG90)-COLUMN('Daily Attendance'!$D90),2)=1)*'Daily Attendance'!$D90:$AG90))</f>
      </c>
      <c r="F90" s="22">
        <f>IF($A90="","",$D90*IF($C90="Worker",Worker_DailyWage,IF($C90="Laborer",Laborer_DailyWage,0)))</f>
      </c>
      <c r="G90" s="22">
        <f>IF($A90="","",$E90*IF($C90="Worker",Worker_OTRate,IF($C90="Laborer",Laborer_OTRate,0)))</f>
      </c>
      <c r="H90" s="23">
        <f>IF($A90="","",$F90+$G90)</f>
      </c>
      <c r="I90" s="20">
        <f>IF($A90="","",SUMPRODUCT((MOD(COLUMN('Daily Attendance'!$AH90:$BM90)-COLUMN('Daily Attendance'!$AH90),2)=0)*'Daily Attendance'!$AH90:$BM90))</f>
      </c>
      <c r="J90" s="21">
        <f>IF($A90="","",SUMPRODUCT((MOD(COLUMN('Daily Attendance'!$AH90:$BM90)-COLUMN('Daily Attendance'!$AH90),2)=1)*'Daily Attendance'!$AH90:$BM90))</f>
      </c>
      <c r="K90" s="22">
        <f>IF($A90="","",$I90*IF($C90="Worker",Worker_DailyWage,IF($C90="Laborer",Laborer_DailyWage,0)))</f>
      </c>
      <c r="L90" s="22">
        <f>IF($A90="","",$J90*IF($C90="Worker",Worker_OTRate,IF($C90="Laborer",Laborer_OTRate,0)))</f>
      </c>
      <c r="M90" s="23">
        <f>IF($A90="","",$K90+$L90)</f>
      </c>
      <c r="N90" s="23">
        <f>IF($A90="","",$H90+$M90)</f>
      </c>
    </row>
    <row r="91">
      <c r="A91" s="17">
        <f>IF('Daily Attendance'!A91="","",'Daily Attendance'!A91)</f>
      </c>
      <c r="B91" s="18">
        <f>IF($A91="","",'Daily Attendance'!B91)</f>
      </c>
      <c r="C91" s="19">
        <f>IF($A91="","",'Daily Attendance'!C91)</f>
      </c>
      <c r="D91" s="20">
        <f>IF($A91="","",SUMPRODUCT((MOD(COLUMN('Daily Attendance'!$D91:$AG91)-COLUMN('Daily Attendance'!$D91),2)=0)*'Daily Attendance'!$D91:$AG91))</f>
      </c>
      <c r="E91" s="21">
        <f>IF($A91="","",SUMPRODUCT((MOD(COLUMN('Daily Attendance'!$D91:$AG91)-COLUMN('Daily Attendance'!$D91),2)=1)*'Daily Attendance'!$D91:$AG91))</f>
      </c>
      <c r="F91" s="22">
        <f>IF($A91="","",$D91*IF($C91="Worker",Worker_DailyWage,IF($C91="Laborer",Laborer_DailyWage,0)))</f>
      </c>
      <c r="G91" s="22">
        <f>IF($A91="","",$E91*IF($C91="Worker",Worker_OTRate,IF($C91="Laborer",Laborer_OTRate,0)))</f>
      </c>
      <c r="H91" s="23">
        <f>IF($A91="","",$F91+$G91)</f>
      </c>
      <c r="I91" s="20">
        <f>IF($A91="","",SUMPRODUCT((MOD(COLUMN('Daily Attendance'!$AH91:$BM91)-COLUMN('Daily Attendance'!$AH91),2)=0)*'Daily Attendance'!$AH91:$BM91))</f>
      </c>
      <c r="J91" s="21">
        <f>IF($A91="","",SUMPRODUCT((MOD(COLUMN('Daily Attendance'!$AH91:$BM91)-COLUMN('Daily Attendance'!$AH91),2)=1)*'Daily Attendance'!$AH91:$BM91))</f>
      </c>
      <c r="K91" s="22">
        <f>IF($A91="","",$I91*IF($C91="Worker",Worker_DailyWage,IF($C91="Laborer",Laborer_DailyWage,0)))</f>
      </c>
      <c r="L91" s="22">
        <f>IF($A91="","",$J91*IF($C91="Worker",Worker_OTRate,IF($C91="Laborer",Laborer_OTRate,0)))</f>
      </c>
      <c r="M91" s="23">
        <f>IF($A91="","",$K91+$L91)</f>
      </c>
      <c r="N91" s="23">
        <f>IF($A91="","",$H91+$M91)</f>
      </c>
    </row>
    <row r="92">
      <c r="A92" s="17">
        <f>IF('Daily Attendance'!A92="","",'Daily Attendance'!A92)</f>
      </c>
      <c r="B92" s="18">
        <f>IF($A92="","",'Daily Attendance'!B92)</f>
      </c>
      <c r="C92" s="19">
        <f>IF($A92="","",'Daily Attendance'!C92)</f>
      </c>
      <c r="D92" s="20">
        <f>IF($A92="","",SUMPRODUCT((MOD(COLUMN('Daily Attendance'!$D92:$AG92)-COLUMN('Daily Attendance'!$D92),2)=0)*'Daily Attendance'!$D92:$AG92))</f>
      </c>
      <c r="E92" s="21">
        <f>IF($A92="","",SUMPRODUCT((MOD(COLUMN('Daily Attendance'!$D92:$AG92)-COLUMN('Daily Attendance'!$D92),2)=1)*'Daily Attendance'!$D92:$AG92))</f>
      </c>
      <c r="F92" s="22">
        <f>IF($A92="","",$D92*IF($C92="Worker",Worker_DailyWage,IF($C92="Laborer",Laborer_DailyWage,0)))</f>
      </c>
      <c r="G92" s="22">
        <f>IF($A92="","",$E92*IF($C92="Worker",Worker_OTRate,IF($C92="Laborer",Laborer_OTRate,0)))</f>
      </c>
      <c r="H92" s="23">
        <f>IF($A92="","",$F92+$G92)</f>
      </c>
      <c r="I92" s="20">
        <f>IF($A92="","",SUMPRODUCT((MOD(COLUMN('Daily Attendance'!$AH92:$BM92)-COLUMN('Daily Attendance'!$AH92),2)=0)*'Daily Attendance'!$AH92:$BM92))</f>
      </c>
      <c r="J92" s="21">
        <f>IF($A92="","",SUMPRODUCT((MOD(COLUMN('Daily Attendance'!$AH92:$BM92)-COLUMN('Daily Attendance'!$AH92),2)=1)*'Daily Attendance'!$AH92:$BM92))</f>
      </c>
      <c r="K92" s="22">
        <f>IF($A92="","",$I92*IF($C92="Worker",Worker_DailyWage,IF($C92="Laborer",Laborer_DailyWage,0)))</f>
      </c>
      <c r="L92" s="22">
        <f>IF($A92="","",$J92*IF($C92="Worker",Worker_OTRate,IF($C92="Laborer",Laborer_OTRate,0)))</f>
      </c>
      <c r="M92" s="23">
        <f>IF($A92="","",$K92+$L92)</f>
      </c>
      <c r="N92" s="23">
        <f>IF($A92="","",$H92+$M92)</f>
      </c>
    </row>
    <row r="93">
      <c r="A93" s="17">
        <f>IF('Daily Attendance'!A93="","",'Daily Attendance'!A93)</f>
      </c>
      <c r="B93" s="18">
        <f>IF($A93="","",'Daily Attendance'!B93)</f>
      </c>
      <c r="C93" s="19">
        <f>IF($A93="","",'Daily Attendance'!C93)</f>
      </c>
      <c r="D93" s="20">
        <f>IF($A93="","",SUMPRODUCT((MOD(COLUMN('Daily Attendance'!$D93:$AG93)-COLUMN('Daily Attendance'!$D93),2)=0)*'Daily Attendance'!$D93:$AG93))</f>
      </c>
      <c r="E93" s="21">
        <f>IF($A93="","",SUMPRODUCT((MOD(COLUMN('Daily Attendance'!$D93:$AG93)-COLUMN('Daily Attendance'!$D93),2)=1)*'Daily Attendance'!$D93:$AG93))</f>
      </c>
      <c r="F93" s="22">
        <f>IF($A93="","",$D93*IF($C93="Worker",Worker_DailyWage,IF($C93="Laborer",Laborer_DailyWage,0)))</f>
      </c>
      <c r="G93" s="22">
        <f>IF($A93="","",$E93*IF($C93="Worker",Worker_OTRate,IF($C93="Laborer",Laborer_OTRate,0)))</f>
      </c>
      <c r="H93" s="23">
        <f>IF($A93="","",$F93+$G93)</f>
      </c>
      <c r="I93" s="20">
        <f>IF($A93="","",SUMPRODUCT((MOD(COLUMN('Daily Attendance'!$AH93:$BM93)-COLUMN('Daily Attendance'!$AH93),2)=0)*'Daily Attendance'!$AH93:$BM93))</f>
      </c>
      <c r="J93" s="21">
        <f>IF($A93="","",SUMPRODUCT((MOD(COLUMN('Daily Attendance'!$AH93:$BM93)-COLUMN('Daily Attendance'!$AH93),2)=1)*'Daily Attendance'!$AH93:$BM93))</f>
      </c>
      <c r="K93" s="22">
        <f>IF($A93="","",$I93*IF($C93="Worker",Worker_DailyWage,IF($C93="Laborer",Laborer_DailyWage,0)))</f>
      </c>
      <c r="L93" s="22">
        <f>IF($A93="","",$J93*IF($C93="Worker",Worker_OTRate,IF($C93="Laborer",Laborer_OTRate,0)))</f>
      </c>
      <c r="M93" s="23">
        <f>IF($A93="","",$K93+$L93)</f>
      </c>
      <c r="N93" s="23">
        <f>IF($A93="","",$H93+$M93)</f>
      </c>
    </row>
    <row r="94">
      <c r="A94" s="17">
        <f>IF('Daily Attendance'!A94="","",'Daily Attendance'!A94)</f>
      </c>
      <c r="B94" s="18">
        <f>IF($A94="","",'Daily Attendance'!B94)</f>
      </c>
      <c r="C94" s="19">
        <f>IF($A94="","",'Daily Attendance'!C94)</f>
      </c>
      <c r="D94" s="20">
        <f>IF($A94="","",SUMPRODUCT((MOD(COLUMN('Daily Attendance'!$D94:$AG94)-COLUMN('Daily Attendance'!$D94),2)=0)*'Daily Attendance'!$D94:$AG94))</f>
      </c>
      <c r="E94" s="21">
        <f>IF($A94="","",SUMPRODUCT((MOD(COLUMN('Daily Attendance'!$D94:$AG94)-COLUMN('Daily Attendance'!$D94),2)=1)*'Daily Attendance'!$D94:$AG94))</f>
      </c>
      <c r="F94" s="22">
        <f>IF($A94="","",$D94*IF($C94="Worker",Worker_DailyWage,IF($C94="Laborer",Laborer_DailyWage,0)))</f>
      </c>
      <c r="G94" s="22">
        <f>IF($A94="","",$E94*IF($C94="Worker",Worker_OTRate,IF($C94="Laborer",Laborer_OTRate,0)))</f>
      </c>
      <c r="H94" s="23">
        <f>IF($A94="","",$F94+$G94)</f>
      </c>
      <c r="I94" s="20">
        <f>IF($A94="","",SUMPRODUCT((MOD(COLUMN('Daily Attendance'!$AH94:$BM94)-COLUMN('Daily Attendance'!$AH94),2)=0)*'Daily Attendance'!$AH94:$BM94))</f>
      </c>
      <c r="J94" s="21">
        <f>IF($A94="","",SUMPRODUCT((MOD(COLUMN('Daily Attendance'!$AH94:$BM94)-COLUMN('Daily Attendance'!$AH94),2)=1)*'Daily Attendance'!$AH94:$BM94))</f>
      </c>
      <c r="K94" s="22">
        <f>IF($A94="","",$I94*IF($C94="Worker",Worker_DailyWage,IF($C94="Laborer",Laborer_DailyWage,0)))</f>
      </c>
      <c r="L94" s="22">
        <f>IF($A94="","",$J94*IF($C94="Worker",Worker_OTRate,IF($C94="Laborer",Laborer_OTRate,0)))</f>
      </c>
      <c r="M94" s="23">
        <f>IF($A94="","",$K94+$L94)</f>
      </c>
      <c r="N94" s="23">
        <f>IF($A94="","",$H94+$M94)</f>
      </c>
    </row>
    <row r="95">
      <c r="A95" s="17">
        <f>IF('Daily Attendance'!A95="","",'Daily Attendance'!A95)</f>
      </c>
      <c r="B95" s="18">
        <f>IF($A95="","",'Daily Attendance'!B95)</f>
      </c>
      <c r="C95" s="19">
        <f>IF($A95="","",'Daily Attendance'!C95)</f>
      </c>
      <c r="D95" s="20">
        <f>IF($A95="","",SUMPRODUCT((MOD(COLUMN('Daily Attendance'!$D95:$AG95)-COLUMN('Daily Attendance'!$D95),2)=0)*'Daily Attendance'!$D95:$AG95))</f>
      </c>
      <c r="E95" s="21">
        <f>IF($A95="","",SUMPRODUCT((MOD(COLUMN('Daily Attendance'!$D95:$AG95)-COLUMN('Daily Attendance'!$D95),2)=1)*'Daily Attendance'!$D95:$AG95))</f>
      </c>
      <c r="F95" s="22">
        <f>IF($A95="","",$D95*IF($C95="Worker",Worker_DailyWage,IF($C95="Laborer",Laborer_DailyWage,0)))</f>
      </c>
      <c r="G95" s="22">
        <f>IF($A95="","",$E95*IF($C95="Worker",Worker_OTRate,IF($C95="Laborer",Laborer_OTRate,0)))</f>
      </c>
      <c r="H95" s="23">
        <f>IF($A95="","",$F95+$G95)</f>
      </c>
      <c r="I95" s="20">
        <f>IF($A95="","",SUMPRODUCT((MOD(COLUMN('Daily Attendance'!$AH95:$BM95)-COLUMN('Daily Attendance'!$AH95),2)=0)*'Daily Attendance'!$AH95:$BM95))</f>
      </c>
      <c r="J95" s="21">
        <f>IF($A95="","",SUMPRODUCT((MOD(COLUMN('Daily Attendance'!$AH95:$BM95)-COLUMN('Daily Attendance'!$AH95),2)=1)*'Daily Attendance'!$AH95:$BM95))</f>
      </c>
      <c r="K95" s="22">
        <f>IF($A95="","",$I95*IF($C95="Worker",Worker_DailyWage,IF($C95="Laborer",Laborer_DailyWage,0)))</f>
      </c>
      <c r="L95" s="22">
        <f>IF($A95="","",$J95*IF($C95="Worker",Worker_OTRate,IF($C95="Laborer",Laborer_OTRate,0)))</f>
      </c>
      <c r="M95" s="23">
        <f>IF($A95="","",$K95+$L95)</f>
      </c>
      <c r="N95" s="23">
        <f>IF($A95="","",$H95+$M95)</f>
      </c>
    </row>
    <row r="96">
      <c r="A96" s="17">
        <f>IF('Daily Attendance'!A96="","",'Daily Attendance'!A96)</f>
      </c>
      <c r="B96" s="18">
        <f>IF($A96="","",'Daily Attendance'!B96)</f>
      </c>
      <c r="C96" s="19">
        <f>IF($A96="","",'Daily Attendance'!C96)</f>
      </c>
      <c r="D96" s="20">
        <f>IF($A96="","",SUMPRODUCT((MOD(COLUMN('Daily Attendance'!$D96:$AG96)-COLUMN('Daily Attendance'!$D96),2)=0)*'Daily Attendance'!$D96:$AG96))</f>
      </c>
      <c r="E96" s="21">
        <f>IF($A96="","",SUMPRODUCT((MOD(COLUMN('Daily Attendance'!$D96:$AG96)-COLUMN('Daily Attendance'!$D96),2)=1)*'Daily Attendance'!$D96:$AG96))</f>
      </c>
      <c r="F96" s="22">
        <f>IF($A96="","",$D96*IF($C96="Worker",Worker_DailyWage,IF($C96="Laborer",Laborer_DailyWage,0)))</f>
      </c>
      <c r="G96" s="22">
        <f>IF($A96="","",$E96*IF($C96="Worker",Worker_OTRate,IF($C96="Laborer",Laborer_OTRate,0)))</f>
      </c>
      <c r="H96" s="23">
        <f>IF($A96="","",$F96+$G96)</f>
      </c>
      <c r="I96" s="20">
        <f>IF($A96="","",SUMPRODUCT((MOD(COLUMN('Daily Attendance'!$AH96:$BM96)-COLUMN('Daily Attendance'!$AH96),2)=0)*'Daily Attendance'!$AH96:$BM96))</f>
      </c>
      <c r="J96" s="21">
        <f>IF($A96="","",SUMPRODUCT((MOD(COLUMN('Daily Attendance'!$AH96:$BM96)-COLUMN('Daily Attendance'!$AH96),2)=1)*'Daily Attendance'!$AH96:$BM96))</f>
      </c>
      <c r="K96" s="22">
        <f>IF($A96="","",$I96*IF($C96="Worker",Worker_DailyWage,IF($C96="Laborer",Laborer_DailyWage,0)))</f>
      </c>
      <c r="L96" s="22">
        <f>IF($A96="","",$J96*IF($C96="Worker",Worker_OTRate,IF($C96="Laborer",Laborer_OTRate,0)))</f>
      </c>
      <c r="M96" s="23">
        <f>IF($A96="","",$K96+$L96)</f>
      </c>
      <c r="N96" s="23">
        <f>IF($A96="","",$H96+$M96)</f>
      </c>
    </row>
    <row r="97">
      <c r="A97" s="17">
        <f>IF('Daily Attendance'!A97="","",'Daily Attendance'!A97)</f>
      </c>
      <c r="B97" s="18">
        <f>IF($A97="","",'Daily Attendance'!B97)</f>
      </c>
      <c r="C97" s="19">
        <f>IF($A97="","",'Daily Attendance'!C97)</f>
      </c>
      <c r="D97" s="20">
        <f>IF($A97="","",SUMPRODUCT((MOD(COLUMN('Daily Attendance'!$D97:$AG97)-COLUMN('Daily Attendance'!$D97),2)=0)*'Daily Attendance'!$D97:$AG97))</f>
      </c>
      <c r="E97" s="21">
        <f>IF($A97="","",SUMPRODUCT((MOD(COLUMN('Daily Attendance'!$D97:$AG97)-COLUMN('Daily Attendance'!$D97),2)=1)*'Daily Attendance'!$D97:$AG97))</f>
      </c>
      <c r="F97" s="22">
        <f>IF($A97="","",$D97*IF($C97="Worker",Worker_DailyWage,IF($C97="Laborer",Laborer_DailyWage,0)))</f>
      </c>
      <c r="G97" s="22">
        <f>IF($A97="","",$E97*IF($C97="Worker",Worker_OTRate,IF($C97="Laborer",Laborer_OTRate,0)))</f>
      </c>
      <c r="H97" s="23">
        <f>IF($A97="","",$F97+$G97)</f>
      </c>
      <c r="I97" s="20">
        <f>IF($A97="","",SUMPRODUCT((MOD(COLUMN('Daily Attendance'!$AH97:$BM97)-COLUMN('Daily Attendance'!$AH97),2)=0)*'Daily Attendance'!$AH97:$BM97))</f>
      </c>
      <c r="J97" s="21">
        <f>IF($A97="","",SUMPRODUCT((MOD(COLUMN('Daily Attendance'!$AH97:$BM97)-COLUMN('Daily Attendance'!$AH97),2)=1)*'Daily Attendance'!$AH97:$BM97))</f>
      </c>
      <c r="K97" s="22">
        <f>IF($A97="","",$I97*IF($C97="Worker",Worker_DailyWage,IF($C97="Laborer",Laborer_DailyWage,0)))</f>
      </c>
      <c r="L97" s="22">
        <f>IF($A97="","",$J97*IF($C97="Worker",Worker_OTRate,IF($C97="Laborer",Laborer_OTRate,0)))</f>
      </c>
      <c r="M97" s="23">
        <f>IF($A97="","",$K97+$L97)</f>
      </c>
      <c r="N97" s="23">
        <f>IF($A97="","",$H97+$M97)</f>
      </c>
    </row>
    <row r="98">
      <c r="A98" s="17">
        <f>IF('Daily Attendance'!A98="","",'Daily Attendance'!A98)</f>
      </c>
      <c r="B98" s="18">
        <f>IF($A98="","",'Daily Attendance'!B98)</f>
      </c>
      <c r="C98" s="19">
        <f>IF($A98="","",'Daily Attendance'!C98)</f>
      </c>
      <c r="D98" s="20">
        <f>IF($A98="","",SUMPRODUCT((MOD(COLUMN('Daily Attendance'!$D98:$AG98)-COLUMN('Daily Attendance'!$D98),2)=0)*'Daily Attendance'!$D98:$AG98))</f>
      </c>
      <c r="E98" s="21">
        <f>IF($A98="","",SUMPRODUCT((MOD(COLUMN('Daily Attendance'!$D98:$AG98)-COLUMN('Daily Attendance'!$D98),2)=1)*'Daily Attendance'!$D98:$AG98))</f>
      </c>
      <c r="F98" s="22">
        <f>IF($A98="","",$D98*IF($C98="Worker",Worker_DailyWage,IF($C98="Laborer",Laborer_DailyWage,0)))</f>
      </c>
      <c r="G98" s="22">
        <f>IF($A98="","",$E98*IF($C98="Worker",Worker_OTRate,IF($C98="Laborer",Laborer_OTRate,0)))</f>
      </c>
      <c r="H98" s="23">
        <f>IF($A98="","",$F98+$G98)</f>
      </c>
      <c r="I98" s="20">
        <f>IF($A98="","",SUMPRODUCT((MOD(COLUMN('Daily Attendance'!$AH98:$BM98)-COLUMN('Daily Attendance'!$AH98),2)=0)*'Daily Attendance'!$AH98:$BM98))</f>
      </c>
      <c r="J98" s="21">
        <f>IF($A98="","",SUMPRODUCT((MOD(COLUMN('Daily Attendance'!$AH98:$BM98)-COLUMN('Daily Attendance'!$AH98),2)=1)*'Daily Attendance'!$AH98:$BM98))</f>
      </c>
      <c r="K98" s="22">
        <f>IF($A98="","",$I98*IF($C98="Worker",Worker_DailyWage,IF($C98="Laborer",Laborer_DailyWage,0)))</f>
      </c>
      <c r="L98" s="22">
        <f>IF($A98="","",$J98*IF($C98="Worker",Worker_OTRate,IF($C98="Laborer",Laborer_OTRate,0)))</f>
      </c>
      <c r="M98" s="23">
        <f>IF($A98="","",$K98+$L98)</f>
      </c>
      <c r="N98" s="23">
        <f>IF($A98="","",$H98+$M98)</f>
      </c>
    </row>
    <row r="99">
      <c r="A99" s="17">
        <f>IF('Daily Attendance'!A99="","",'Daily Attendance'!A99)</f>
      </c>
      <c r="B99" s="18">
        <f>IF($A99="","",'Daily Attendance'!B99)</f>
      </c>
      <c r="C99" s="19">
        <f>IF($A99="","",'Daily Attendance'!C99)</f>
      </c>
      <c r="D99" s="20">
        <f>IF($A99="","",SUMPRODUCT((MOD(COLUMN('Daily Attendance'!$D99:$AG99)-COLUMN('Daily Attendance'!$D99),2)=0)*'Daily Attendance'!$D99:$AG99))</f>
      </c>
      <c r="E99" s="21">
        <f>IF($A99="","",SUMPRODUCT((MOD(COLUMN('Daily Attendance'!$D99:$AG99)-COLUMN('Daily Attendance'!$D99),2)=1)*'Daily Attendance'!$D99:$AG99))</f>
      </c>
      <c r="F99" s="22">
        <f>IF($A99="","",$D99*IF($C99="Worker",Worker_DailyWage,IF($C99="Laborer",Laborer_DailyWage,0)))</f>
      </c>
      <c r="G99" s="22">
        <f>IF($A99="","",$E99*IF($C99="Worker",Worker_OTRate,IF($C99="Laborer",Laborer_OTRate,0)))</f>
      </c>
      <c r="H99" s="23">
        <f>IF($A99="","",$F99+$G99)</f>
      </c>
      <c r="I99" s="20">
        <f>IF($A99="","",SUMPRODUCT((MOD(COLUMN('Daily Attendance'!$AH99:$BM99)-COLUMN('Daily Attendance'!$AH99),2)=0)*'Daily Attendance'!$AH99:$BM99))</f>
      </c>
      <c r="J99" s="21">
        <f>IF($A99="","",SUMPRODUCT((MOD(COLUMN('Daily Attendance'!$AH99:$BM99)-COLUMN('Daily Attendance'!$AH99),2)=1)*'Daily Attendance'!$AH99:$BM99))</f>
      </c>
      <c r="K99" s="22">
        <f>IF($A99="","",$I99*IF($C99="Worker",Worker_DailyWage,IF($C99="Laborer",Laborer_DailyWage,0)))</f>
      </c>
      <c r="L99" s="22">
        <f>IF($A99="","",$J99*IF($C99="Worker",Worker_OTRate,IF($C99="Laborer",Laborer_OTRate,0)))</f>
      </c>
      <c r="M99" s="23">
        <f>IF($A99="","",$K99+$L99)</f>
      </c>
      <c r="N99" s="23">
        <f>IF($A99="","",$H99+$M99)</f>
      </c>
    </row>
    <row r="100">
      <c r="A100" s="17">
        <f>IF('Daily Attendance'!A100="","",'Daily Attendance'!A100)</f>
      </c>
      <c r="B100" s="18">
        <f>IF($A100="","",'Daily Attendance'!B100)</f>
      </c>
      <c r="C100" s="19">
        <f>IF($A100="","",'Daily Attendance'!C100)</f>
      </c>
      <c r="D100" s="20">
        <f>IF($A100="","",SUMPRODUCT((MOD(COLUMN('Daily Attendance'!$D100:$AG100)-COLUMN('Daily Attendance'!$D100),2)=0)*'Daily Attendance'!$D100:$AG100))</f>
      </c>
      <c r="E100" s="21">
        <f>IF($A100="","",SUMPRODUCT((MOD(COLUMN('Daily Attendance'!$D100:$AG100)-COLUMN('Daily Attendance'!$D100),2)=1)*'Daily Attendance'!$D100:$AG100))</f>
      </c>
      <c r="F100" s="22">
        <f>IF($A100="","",$D100*IF($C100="Worker",Worker_DailyWage,IF($C100="Laborer",Laborer_DailyWage,0)))</f>
      </c>
      <c r="G100" s="22">
        <f>IF($A100="","",$E100*IF($C100="Worker",Worker_OTRate,IF($C100="Laborer",Laborer_OTRate,0)))</f>
      </c>
      <c r="H100" s="23">
        <f>IF($A100="","",$F100+$G100)</f>
      </c>
      <c r="I100" s="20">
        <f>IF($A100="","",SUMPRODUCT((MOD(COLUMN('Daily Attendance'!$AH100:$BM100)-COLUMN('Daily Attendance'!$AH100),2)=0)*'Daily Attendance'!$AH100:$BM100))</f>
      </c>
      <c r="J100" s="21">
        <f>IF($A100="","",SUMPRODUCT((MOD(COLUMN('Daily Attendance'!$AH100:$BM100)-COLUMN('Daily Attendance'!$AH100),2)=1)*'Daily Attendance'!$AH100:$BM100))</f>
      </c>
      <c r="K100" s="22">
        <f>IF($A100="","",$I100*IF($C100="Worker",Worker_DailyWage,IF($C100="Laborer",Laborer_DailyWage,0)))</f>
      </c>
      <c r="L100" s="22">
        <f>IF($A100="","",$J100*IF($C100="Worker",Worker_OTRate,IF($C100="Laborer",Laborer_OTRate,0)))</f>
      </c>
      <c r="M100" s="23">
        <f>IF($A100="","",$K100+$L100)</f>
      </c>
      <c r="N100" s="23">
        <f>IF($A100="","",$H100+$M100)</f>
      </c>
    </row>
    <row r="101">
      <c r="A101" s="17">
        <f>IF('Daily Attendance'!A101="","",'Daily Attendance'!A101)</f>
      </c>
      <c r="B101" s="18">
        <f>IF($A101="","",'Daily Attendance'!B101)</f>
      </c>
      <c r="C101" s="19">
        <f>IF($A101="","",'Daily Attendance'!C101)</f>
      </c>
      <c r="D101" s="20">
        <f>IF($A101="","",SUMPRODUCT((MOD(COLUMN('Daily Attendance'!$D101:$AG101)-COLUMN('Daily Attendance'!$D101),2)=0)*'Daily Attendance'!$D101:$AG101))</f>
      </c>
      <c r="E101" s="21">
        <f>IF($A101="","",SUMPRODUCT((MOD(COLUMN('Daily Attendance'!$D101:$AG101)-COLUMN('Daily Attendance'!$D101),2)=1)*'Daily Attendance'!$D101:$AG101))</f>
      </c>
      <c r="F101" s="22">
        <f>IF($A101="","",$D101*IF($C101="Worker",Worker_DailyWage,IF($C101="Laborer",Laborer_DailyWage,0)))</f>
      </c>
      <c r="G101" s="22">
        <f>IF($A101="","",$E101*IF($C101="Worker",Worker_OTRate,IF($C101="Laborer",Laborer_OTRate,0)))</f>
      </c>
      <c r="H101" s="23">
        <f>IF($A101="","",$F101+$G101)</f>
      </c>
      <c r="I101" s="20">
        <f>IF($A101="","",SUMPRODUCT((MOD(COLUMN('Daily Attendance'!$AH101:$BM101)-COLUMN('Daily Attendance'!$AH101),2)=0)*'Daily Attendance'!$AH101:$BM101))</f>
      </c>
      <c r="J101" s="21">
        <f>IF($A101="","",SUMPRODUCT((MOD(COLUMN('Daily Attendance'!$AH101:$BM101)-COLUMN('Daily Attendance'!$AH101),2)=1)*'Daily Attendance'!$AH101:$BM101))</f>
      </c>
      <c r="K101" s="22">
        <f>IF($A101="","",$I101*IF($C101="Worker",Worker_DailyWage,IF($C101="Laborer",Laborer_DailyWage,0)))</f>
      </c>
      <c r="L101" s="22">
        <f>IF($A101="","",$J101*IF($C101="Worker",Worker_OTRate,IF($C101="Laborer",Laborer_OTRate,0)))</f>
      </c>
      <c r="M101" s="23">
        <f>IF($A101="","",$K101+$L101)</f>
      </c>
      <c r="N101" s="23">
        <f>IF($A101="","",$H101+$M101)</f>
      </c>
    </row>
    <row r="102">
      <c r="A102" s="17">
        <f>IF('Daily Attendance'!A102="","",'Daily Attendance'!A102)</f>
      </c>
      <c r="B102" s="18">
        <f>IF($A102="","",'Daily Attendance'!B102)</f>
      </c>
      <c r="C102" s="19">
        <f>IF($A102="","",'Daily Attendance'!C102)</f>
      </c>
      <c r="D102" s="20">
        <f>IF($A102="","",SUMPRODUCT((MOD(COLUMN('Daily Attendance'!$D102:$AG102)-COLUMN('Daily Attendance'!$D102),2)=0)*'Daily Attendance'!$D102:$AG102))</f>
      </c>
      <c r="E102" s="21">
        <f>IF($A102="","",SUMPRODUCT((MOD(COLUMN('Daily Attendance'!$D102:$AG102)-COLUMN('Daily Attendance'!$D102),2)=1)*'Daily Attendance'!$D102:$AG102))</f>
      </c>
      <c r="F102" s="22">
        <f>IF($A102="","",$D102*IF($C102="Worker",Worker_DailyWage,IF($C102="Laborer",Laborer_DailyWage,0)))</f>
      </c>
      <c r="G102" s="22">
        <f>IF($A102="","",$E102*IF($C102="Worker",Worker_OTRate,IF($C102="Laborer",Laborer_OTRate,0)))</f>
      </c>
      <c r="H102" s="23">
        <f>IF($A102="","",$F102+$G102)</f>
      </c>
      <c r="I102" s="20">
        <f>IF($A102="","",SUMPRODUCT((MOD(COLUMN('Daily Attendance'!$AH102:$BM102)-COLUMN('Daily Attendance'!$AH102),2)=0)*'Daily Attendance'!$AH102:$BM102))</f>
      </c>
      <c r="J102" s="21">
        <f>IF($A102="","",SUMPRODUCT((MOD(COLUMN('Daily Attendance'!$AH102:$BM102)-COLUMN('Daily Attendance'!$AH102),2)=1)*'Daily Attendance'!$AH102:$BM102))</f>
      </c>
      <c r="K102" s="22">
        <f>IF($A102="","",$I102*IF($C102="Worker",Worker_DailyWage,IF($C102="Laborer",Laborer_DailyWage,0)))</f>
      </c>
      <c r="L102" s="22">
        <f>IF($A102="","",$J102*IF($C102="Worker",Worker_OTRate,IF($C102="Laborer",Laborer_OTRate,0)))</f>
      </c>
      <c r="M102" s="23">
        <f>IF($A102="","",$K102+$L102)</f>
      </c>
      <c r="N102" s="23">
        <f>IF($A102="","",$H102+$M102)</f>
      </c>
    </row>
    <row r="103">
      <c r="A103" s="17">
        <f>IF('Daily Attendance'!A103="","",'Daily Attendance'!A103)</f>
      </c>
      <c r="B103" s="18">
        <f>IF($A103="","",'Daily Attendance'!B103)</f>
      </c>
      <c r="C103" s="19">
        <f>IF($A103="","",'Daily Attendance'!C103)</f>
      </c>
      <c r="D103" s="20">
        <f>IF($A103="","",SUMPRODUCT((MOD(COLUMN('Daily Attendance'!$D103:$AG103)-COLUMN('Daily Attendance'!$D103),2)=0)*'Daily Attendance'!$D103:$AG103))</f>
      </c>
      <c r="E103" s="21">
        <f>IF($A103="","",SUMPRODUCT((MOD(COLUMN('Daily Attendance'!$D103:$AG103)-COLUMN('Daily Attendance'!$D103),2)=1)*'Daily Attendance'!$D103:$AG103))</f>
      </c>
      <c r="F103" s="22">
        <f>IF($A103="","",$D103*IF($C103="Worker",Worker_DailyWage,IF($C103="Laborer",Laborer_DailyWage,0)))</f>
      </c>
      <c r="G103" s="22">
        <f>IF($A103="","",$E103*IF($C103="Worker",Worker_OTRate,IF($C103="Laborer",Laborer_OTRate,0)))</f>
      </c>
      <c r="H103" s="23">
        <f>IF($A103="","",$F103+$G103)</f>
      </c>
      <c r="I103" s="20">
        <f>IF($A103="","",SUMPRODUCT((MOD(COLUMN('Daily Attendance'!$AH103:$BM103)-COLUMN('Daily Attendance'!$AH103),2)=0)*'Daily Attendance'!$AH103:$BM103))</f>
      </c>
      <c r="J103" s="21">
        <f>IF($A103="","",SUMPRODUCT((MOD(COLUMN('Daily Attendance'!$AH103:$BM103)-COLUMN('Daily Attendance'!$AH103),2)=1)*'Daily Attendance'!$AH103:$BM103))</f>
      </c>
      <c r="K103" s="22">
        <f>IF($A103="","",$I103*IF($C103="Worker",Worker_DailyWage,IF($C103="Laborer",Laborer_DailyWage,0)))</f>
      </c>
      <c r="L103" s="22">
        <f>IF($A103="","",$J103*IF($C103="Worker",Worker_OTRate,IF($C103="Laborer",Laborer_OTRate,0)))</f>
      </c>
      <c r="M103" s="23">
        <f>IF($A103="","",$K103+$L103)</f>
      </c>
      <c r="N103" s="23">
        <f>IF($A103="","",$H103+$M103)</f>
      </c>
    </row>
    <row r="104">
      <c r="A104" s="17">
        <f>IF('Daily Attendance'!A104="","",'Daily Attendance'!A104)</f>
      </c>
      <c r="B104" s="18">
        <f>IF($A104="","",'Daily Attendance'!B104)</f>
      </c>
      <c r="C104" s="19">
        <f>IF($A104="","",'Daily Attendance'!C104)</f>
      </c>
      <c r="D104" s="20">
        <f>IF($A104="","",SUMPRODUCT((MOD(COLUMN('Daily Attendance'!$D104:$AG104)-COLUMN('Daily Attendance'!$D104),2)=0)*'Daily Attendance'!$D104:$AG104))</f>
      </c>
      <c r="E104" s="21">
        <f>IF($A104="","",SUMPRODUCT((MOD(COLUMN('Daily Attendance'!$D104:$AG104)-COLUMN('Daily Attendance'!$D104),2)=1)*'Daily Attendance'!$D104:$AG104))</f>
      </c>
      <c r="F104" s="22">
        <f>IF($A104="","",$D104*IF($C104="Worker",Worker_DailyWage,IF($C104="Laborer",Laborer_DailyWage,0)))</f>
      </c>
      <c r="G104" s="22">
        <f>IF($A104="","",$E104*IF($C104="Worker",Worker_OTRate,IF($C104="Laborer",Laborer_OTRate,0)))</f>
      </c>
      <c r="H104" s="23">
        <f>IF($A104="","",$F104+$G104)</f>
      </c>
      <c r="I104" s="20">
        <f>IF($A104="","",SUMPRODUCT((MOD(COLUMN('Daily Attendance'!$AH104:$BM104)-COLUMN('Daily Attendance'!$AH104),2)=0)*'Daily Attendance'!$AH104:$BM104))</f>
      </c>
      <c r="J104" s="21">
        <f>IF($A104="","",SUMPRODUCT((MOD(COLUMN('Daily Attendance'!$AH104:$BM104)-COLUMN('Daily Attendance'!$AH104),2)=1)*'Daily Attendance'!$AH104:$BM104))</f>
      </c>
      <c r="K104" s="22">
        <f>IF($A104="","",$I104*IF($C104="Worker",Worker_DailyWage,IF($C104="Laborer",Laborer_DailyWage,0)))</f>
      </c>
      <c r="L104" s="22">
        <f>IF($A104="","",$J104*IF($C104="Worker",Worker_OTRate,IF($C104="Laborer",Laborer_OTRate,0)))</f>
      </c>
      <c r="M104" s="23">
        <f>IF($A104="","",$K104+$L104)</f>
      </c>
      <c r="N104" s="23">
        <f>IF($A104="","",$H104+$M104)</f>
      </c>
    </row>
    <row r="105">
      <c r="A105" s="17">
        <f>IF('Daily Attendance'!A105="","",'Daily Attendance'!A105)</f>
      </c>
      <c r="B105" s="18">
        <f>IF($A105="","",'Daily Attendance'!B105)</f>
      </c>
      <c r="C105" s="19">
        <f>IF($A105="","",'Daily Attendance'!C105)</f>
      </c>
      <c r="D105" s="20">
        <f>IF($A105="","",SUMPRODUCT((MOD(COLUMN('Daily Attendance'!$D105:$AG105)-COLUMN('Daily Attendance'!$D105),2)=0)*'Daily Attendance'!$D105:$AG105))</f>
      </c>
      <c r="E105" s="21">
        <f>IF($A105="","",SUMPRODUCT((MOD(COLUMN('Daily Attendance'!$D105:$AG105)-COLUMN('Daily Attendance'!$D105),2)=1)*'Daily Attendance'!$D105:$AG105))</f>
      </c>
      <c r="F105" s="22">
        <f>IF($A105="","",$D105*IF($C105="Worker",Worker_DailyWage,IF($C105="Laborer",Laborer_DailyWage,0)))</f>
      </c>
      <c r="G105" s="22">
        <f>IF($A105="","",$E105*IF($C105="Worker",Worker_OTRate,IF($C105="Laborer",Laborer_OTRate,0)))</f>
      </c>
      <c r="H105" s="23">
        <f>IF($A105="","",$F105+$G105)</f>
      </c>
      <c r="I105" s="20">
        <f>IF($A105="","",SUMPRODUCT((MOD(COLUMN('Daily Attendance'!$AH105:$BM105)-COLUMN('Daily Attendance'!$AH105),2)=0)*'Daily Attendance'!$AH105:$BM105))</f>
      </c>
      <c r="J105" s="21">
        <f>IF($A105="","",SUMPRODUCT((MOD(COLUMN('Daily Attendance'!$AH105:$BM105)-COLUMN('Daily Attendance'!$AH105),2)=1)*'Daily Attendance'!$AH105:$BM105))</f>
      </c>
      <c r="K105" s="22">
        <f>IF($A105="","",$I105*IF($C105="Worker",Worker_DailyWage,IF($C105="Laborer",Laborer_DailyWage,0)))</f>
      </c>
      <c r="L105" s="22">
        <f>IF($A105="","",$J105*IF($C105="Worker",Worker_OTRate,IF($C105="Laborer",Laborer_OTRate,0)))</f>
      </c>
      <c r="M105" s="23">
        <f>IF($A105="","",$K105+$L105)</f>
      </c>
      <c r="N105" s="23">
        <f>IF($A105="","",$H105+$M105)</f>
      </c>
    </row>
    <row r="106">
      <c r="A106" s="17">
        <f>IF('Daily Attendance'!A106="","",'Daily Attendance'!A106)</f>
      </c>
      <c r="B106" s="18">
        <f>IF($A106="","",'Daily Attendance'!B106)</f>
      </c>
      <c r="C106" s="19">
        <f>IF($A106="","",'Daily Attendance'!C106)</f>
      </c>
      <c r="D106" s="20">
        <f>IF($A106="","",SUMPRODUCT((MOD(COLUMN('Daily Attendance'!$D106:$AG106)-COLUMN('Daily Attendance'!$D106),2)=0)*'Daily Attendance'!$D106:$AG106))</f>
      </c>
      <c r="E106" s="21">
        <f>IF($A106="","",SUMPRODUCT((MOD(COLUMN('Daily Attendance'!$D106:$AG106)-COLUMN('Daily Attendance'!$D106),2)=1)*'Daily Attendance'!$D106:$AG106))</f>
      </c>
      <c r="F106" s="22">
        <f>IF($A106="","",$D106*IF($C106="Worker",Worker_DailyWage,IF($C106="Laborer",Laborer_DailyWage,0)))</f>
      </c>
      <c r="G106" s="22">
        <f>IF($A106="","",$E106*IF($C106="Worker",Worker_OTRate,IF($C106="Laborer",Laborer_OTRate,0)))</f>
      </c>
      <c r="H106" s="23">
        <f>IF($A106="","",$F106+$G106)</f>
      </c>
      <c r="I106" s="20">
        <f>IF($A106="","",SUMPRODUCT((MOD(COLUMN('Daily Attendance'!$AH106:$BM106)-COLUMN('Daily Attendance'!$AH106),2)=0)*'Daily Attendance'!$AH106:$BM106))</f>
      </c>
      <c r="J106" s="21">
        <f>IF($A106="","",SUMPRODUCT((MOD(COLUMN('Daily Attendance'!$AH106:$BM106)-COLUMN('Daily Attendance'!$AH106),2)=1)*'Daily Attendance'!$AH106:$BM106))</f>
      </c>
      <c r="K106" s="22">
        <f>IF($A106="","",$I106*IF($C106="Worker",Worker_DailyWage,IF($C106="Laborer",Laborer_DailyWage,0)))</f>
      </c>
      <c r="L106" s="22">
        <f>IF($A106="","",$J106*IF($C106="Worker",Worker_OTRate,IF($C106="Laborer",Laborer_OTRate,0)))</f>
      </c>
      <c r="M106" s="23">
        <f>IF($A106="","",$K106+$L106)</f>
      </c>
      <c r="N106" s="23">
        <f>IF($A106="","",$H106+$M106)</f>
      </c>
    </row>
    <row r="107">
      <c r="A107" s="17">
        <f>IF('Daily Attendance'!A107="","",'Daily Attendance'!A107)</f>
      </c>
      <c r="B107" s="18">
        <f>IF($A107="","",'Daily Attendance'!B107)</f>
      </c>
      <c r="C107" s="19">
        <f>IF($A107="","",'Daily Attendance'!C107)</f>
      </c>
      <c r="D107" s="20">
        <f>IF($A107="","",SUMPRODUCT((MOD(COLUMN('Daily Attendance'!$D107:$AG107)-COLUMN('Daily Attendance'!$D107),2)=0)*'Daily Attendance'!$D107:$AG107))</f>
      </c>
      <c r="E107" s="21">
        <f>IF($A107="","",SUMPRODUCT((MOD(COLUMN('Daily Attendance'!$D107:$AG107)-COLUMN('Daily Attendance'!$D107),2)=1)*'Daily Attendance'!$D107:$AG107))</f>
      </c>
      <c r="F107" s="22">
        <f>IF($A107="","",$D107*IF($C107="Worker",Worker_DailyWage,IF($C107="Laborer",Laborer_DailyWage,0)))</f>
      </c>
      <c r="G107" s="22">
        <f>IF($A107="","",$E107*IF($C107="Worker",Worker_OTRate,IF($C107="Laborer",Laborer_OTRate,0)))</f>
      </c>
      <c r="H107" s="23">
        <f>IF($A107="","",$F107+$G107)</f>
      </c>
      <c r="I107" s="20">
        <f>IF($A107="","",SUMPRODUCT((MOD(COLUMN('Daily Attendance'!$AH107:$BM107)-COLUMN('Daily Attendance'!$AH107),2)=0)*'Daily Attendance'!$AH107:$BM107))</f>
      </c>
      <c r="J107" s="21">
        <f>IF($A107="","",SUMPRODUCT((MOD(COLUMN('Daily Attendance'!$AH107:$BM107)-COLUMN('Daily Attendance'!$AH107),2)=1)*'Daily Attendance'!$AH107:$BM107))</f>
      </c>
      <c r="K107" s="22">
        <f>IF($A107="","",$I107*IF($C107="Worker",Worker_DailyWage,IF($C107="Laborer",Laborer_DailyWage,0)))</f>
      </c>
      <c r="L107" s="22">
        <f>IF($A107="","",$J107*IF($C107="Worker",Worker_OTRate,IF($C107="Laborer",Laborer_OTRate,0)))</f>
      </c>
      <c r="M107" s="23">
        <f>IF($A107="","",$K107+$L107)</f>
      </c>
      <c r="N107" s="23">
        <f>IF($A107="","",$H107+$M107)</f>
      </c>
    </row>
    <row r="108">
      <c r="A108" s="17">
        <f>IF('Daily Attendance'!A108="","",'Daily Attendance'!A108)</f>
      </c>
      <c r="B108" s="18">
        <f>IF($A108="","",'Daily Attendance'!B108)</f>
      </c>
      <c r="C108" s="19">
        <f>IF($A108="","",'Daily Attendance'!C108)</f>
      </c>
      <c r="D108" s="20">
        <f>IF($A108="","",SUMPRODUCT((MOD(COLUMN('Daily Attendance'!$D108:$AG108)-COLUMN('Daily Attendance'!$D108),2)=0)*'Daily Attendance'!$D108:$AG108))</f>
      </c>
      <c r="E108" s="21">
        <f>IF($A108="","",SUMPRODUCT((MOD(COLUMN('Daily Attendance'!$D108:$AG108)-COLUMN('Daily Attendance'!$D108),2)=1)*'Daily Attendance'!$D108:$AG108))</f>
      </c>
      <c r="F108" s="22">
        <f>IF($A108="","",$D108*IF($C108="Worker",Worker_DailyWage,IF($C108="Laborer",Laborer_DailyWage,0)))</f>
      </c>
      <c r="G108" s="22">
        <f>IF($A108="","",$E108*IF($C108="Worker",Worker_OTRate,IF($C108="Laborer",Laborer_OTRate,0)))</f>
      </c>
      <c r="H108" s="23">
        <f>IF($A108="","",$F108+$G108)</f>
      </c>
      <c r="I108" s="20">
        <f>IF($A108="","",SUMPRODUCT((MOD(COLUMN('Daily Attendance'!$AH108:$BM108)-COLUMN('Daily Attendance'!$AH108),2)=0)*'Daily Attendance'!$AH108:$BM108))</f>
      </c>
      <c r="J108" s="21">
        <f>IF($A108="","",SUMPRODUCT((MOD(COLUMN('Daily Attendance'!$AH108:$BM108)-COLUMN('Daily Attendance'!$AH108),2)=1)*'Daily Attendance'!$AH108:$BM108))</f>
      </c>
      <c r="K108" s="22">
        <f>IF($A108="","",$I108*IF($C108="Worker",Worker_DailyWage,IF($C108="Laborer",Laborer_DailyWage,0)))</f>
      </c>
      <c r="L108" s="22">
        <f>IF($A108="","",$J108*IF($C108="Worker",Worker_OTRate,IF($C108="Laborer",Laborer_OTRate,0)))</f>
      </c>
      <c r="M108" s="23">
        <f>IF($A108="","",$K108+$L108)</f>
      </c>
      <c r="N108" s="23">
        <f>IF($A108="","",$H108+$M108)</f>
      </c>
    </row>
    <row r="109">
      <c r="A109" s="17">
        <f>IF('Daily Attendance'!A109="","",'Daily Attendance'!A109)</f>
      </c>
      <c r="B109" s="18">
        <f>IF($A109="","",'Daily Attendance'!B109)</f>
      </c>
      <c r="C109" s="19">
        <f>IF($A109="","",'Daily Attendance'!C109)</f>
      </c>
      <c r="D109" s="20">
        <f>IF($A109="","",SUMPRODUCT((MOD(COLUMN('Daily Attendance'!$D109:$AG109)-COLUMN('Daily Attendance'!$D109),2)=0)*'Daily Attendance'!$D109:$AG109))</f>
      </c>
      <c r="E109" s="21">
        <f>IF($A109="","",SUMPRODUCT((MOD(COLUMN('Daily Attendance'!$D109:$AG109)-COLUMN('Daily Attendance'!$D109),2)=1)*'Daily Attendance'!$D109:$AG109))</f>
      </c>
      <c r="F109" s="22">
        <f>IF($A109="","",$D109*IF($C109="Worker",Worker_DailyWage,IF($C109="Laborer",Laborer_DailyWage,0)))</f>
      </c>
      <c r="G109" s="22">
        <f>IF($A109="","",$E109*IF($C109="Worker",Worker_OTRate,IF($C109="Laborer",Laborer_OTRate,0)))</f>
      </c>
      <c r="H109" s="23">
        <f>IF($A109="","",$F109+$G109)</f>
      </c>
      <c r="I109" s="20">
        <f>IF($A109="","",SUMPRODUCT((MOD(COLUMN('Daily Attendance'!$AH109:$BM109)-COLUMN('Daily Attendance'!$AH109),2)=0)*'Daily Attendance'!$AH109:$BM109))</f>
      </c>
      <c r="J109" s="21">
        <f>IF($A109="","",SUMPRODUCT((MOD(COLUMN('Daily Attendance'!$AH109:$BM109)-COLUMN('Daily Attendance'!$AH109),2)=1)*'Daily Attendance'!$AH109:$BM109))</f>
      </c>
      <c r="K109" s="22">
        <f>IF($A109="","",$I109*IF($C109="Worker",Worker_DailyWage,IF($C109="Laborer",Laborer_DailyWage,0)))</f>
      </c>
      <c r="L109" s="22">
        <f>IF($A109="","",$J109*IF($C109="Worker",Worker_OTRate,IF($C109="Laborer",Laborer_OTRate,0)))</f>
      </c>
      <c r="M109" s="23">
        <f>IF($A109="","",$K109+$L109)</f>
      </c>
      <c r="N109" s="23">
        <f>IF($A109="","",$H109+$M109)</f>
      </c>
    </row>
    <row r="110">
      <c r="A110" s="17">
        <f>IF('Daily Attendance'!A110="","",'Daily Attendance'!A110)</f>
      </c>
      <c r="B110" s="18">
        <f>IF($A110="","",'Daily Attendance'!B110)</f>
      </c>
      <c r="C110" s="19">
        <f>IF($A110="","",'Daily Attendance'!C110)</f>
      </c>
      <c r="D110" s="20">
        <f>IF($A110="","",SUMPRODUCT((MOD(COLUMN('Daily Attendance'!$D110:$AG110)-COLUMN('Daily Attendance'!$D110),2)=0)*'Daily Attendance'!$D110:$AG110))</f>
      </c>
      <c r="E110" s="21">
        <f>IF($A110="","",SUMPRODUCT((MOD(COLUMN('Daily Attendance'!$D110:$AG110)-COLUMN('Daily Attendance'!$D110),2)=1)*'Daily Attendance'!$D110:$AG110))</f>
      </c>
      <c r="F110" s="22">
        <f>IF($A110="","",$D110*IF($C110="Worker",Worker_DailyWage,IF($C110="Laborer",Laborer_DailyWage,0)))</f>
      </c>
      <c r="G110" s="22">
        <f>IF($A110="","",$E110*IF($C110="Worker",Worker_OTRate,IF($C110="Laborer",Laborer_OTRate,0)))</f>
      </c>
      <c r="H110" s="23">
        <f>IF($A110="","",$F110+$G110)</f>
      </c>
      <c r="I110" s="20">
        <f>IF($A110="","",SUMPRODUCT((MOD(COLUMN('Daily Attendance'!$AH110:$BM110)-COLUMN('Daily Attendance'!$AH110),2)=0)*'Daily Attendance'!$AH110:$BM110))</f>
      </c>
      <c r="J110" s="21">
        <f>IF($A110="","",SUMPRODUCT((MOD(COLUMN('Daily Attendance'!$AH110:$BM110)-COLUMN('Daily Attendance'!$AH110),2)=1)*'Daily Attendance'!$AH110:$BM110))</f>
      </c>
      <c r="K110" s="22">
        <f>IF($A110="","",$I110*IF($C110="Worker",Worker_DailyWage,IF($C110="Laborer",Laborer_DailyWage,0)))</f>
      </c>
      <c r="L110" s="22">
        <f>IF($A110="","",$J110*IF($C110="Worker",Worker_OTRate,IF($C110="Laborer",Laborer_OTRate,0)))</f>
      </c>
      <c r="M110" s="23">
        <f>IF($A110="","",$K110+$L110)</f>
      </c>
      <c r="N110" s="23">
        <f>IF($A110="","",$H110+$M110)</f>
      </c>
    </row>
    <row r="111">
      <c r="A111" s="17">
        <f>IF('Daily Attendance'!A111="","",'Daily Attendance'!A111)</f>
      </c>
      <c r="B111" s="18">
        <f>IF($A111="","",'Daily Attendance'!B111)</f>
      </c>
      <c r="C111" s="19">
        <f>IF($A111="","",'Daily Attendance'!C111)</f>
      </c>
      <c r="D111" s="20">
        <f>IF($A111="","",SUMPRODUCT((MOD(COLUMN('Daily Attendance'!$D111:$AG111)-COLUMN('Daily Attendance'!$D111),2)=0)*'Daily Attendance'!$D111:$AG111))</f>
      </c>
      <c r="E111" s="21">
        <f>IF($A111="","",SUMPRODUCT((MOD(COLUMN('Daily Attendance'!$D111:$AG111)-COLUMN('Daily Attendance'!$D111),2)=1)*'Daily Attendance'!$D111:$AG111))</f>
      </c>
      <c r="F111" s="22">
        <f>IF($A111="","",$D111*IF($C111="Worker",Worker_DailyWage,IF($C111="Laborer",Laborer_DailyWage,0)))</f>
      </c>
      <c r="G111" s="22">
        <f>IF($A111="","",$E111*IF($C111="Worker",Worker_OTRate,IF($C111="Laborer",Laborer_OTRate,0)))</f>
      </c>
      <c r="H111" s="23">
        <f>IF($A111="","",$F111+$G111)</f>
      </c>
      <c r="I111" s="20">
        <f>IF($A111="","",SUMPRODUCT((MOD(COLUMN('Daily Attendance'!$AH111:$BM111)-COLUMN('Daily Attendance'!$AH111),2)=0)*'Daily Attendance'!$AH111:$BM111))</f>
      </c>
      <c r="J111" s="21">
        <f>IF($A111="","",SUMPRODUCT((MOD(COLUMN('Daily Attendance'!$AH111:$BM111)-COLUMN('Daily Attendance'!$AH111),2)=1)*'Daily Attendance'!$AH111:$BM111))</f>
      </c>
      <c r="K111" s="22">
        <f>IF($A111="","",$I111*IF($C111="Worker",Worker_DailyWage,IF($C111="Laborer",Laborer_DailyWage,0)))</f>
      </c>
      <c r="L111" s="22">
        <f>IF($A111="","",$J111*IF($C111="Worker",Worker_OTRate,IF($C111="Laborer",Laborer_OTRate,0)))</f>
      </c>
      <c r="M111" s="23">
        <f>IF($A111="","",$K111+$L111)</f>
      </c>
      <c r="N111" s="23">
        <f>IF($A111="","",$H111+$M111)</f>
      </c>
    </row>
    <row r="112">
      <c r="A112" s="17">
        <f>IF('Daily Attendance'!A112="","",'Daily Attendance'!A112)</f>
      </c>
      <c r="B112" s="18">
        <f>IF($A112="","",'Daily Attendance'!B112)</f>
      </c>
      <c r="C112" s="19">
        <f>IF($A112="","",'Daily Attendance'!C112)</f>
      </c>
      <c r="D112" s="20">
        <f>IF($A112="","",SUMPRODUCT((MOD(COLUMN('Daily Attendance'!$D112:$AG112)-COLUMN('Daily Attendance'!$D112),2)=0)*'Daily Attendance'!$D112:$AG112))</f>
      </c>
      <c r="E112" s="21">
        <f>IF($A112="","",SUMPRODUCT((MOD(COLUMN('Daily Attendance'!$D112:$AG112)-COLUMN('Daily Attendance'!$D112),2)=1)*'Daily Attendance'!$D112:$AG112))</f>
      </c>
      <c r="F112" s="22">
        <f>IF($A112="","",$D112*IF($C112="Worker",Worker_DailyWage,IF($C112="Laborer",Laborer_DailyWage,0)))</f>
      </c>
      <c r="G112" s="22">
        <f>IF($A112="","",$E112*IF($C112="Worker",Worker_OTRate,IF($C112="Laborer",Laborer_OTRate,0)))</f>
      </c>
      <c r="H112" s="23">
        <f>IF($A112="","",$F112+$G112)</f>
      </c>
      <c r="I112" s="20">
        <f>IF($A112="","",SUMPRODUCT((MOD(COLUMN('Daily Attendance'!$AH112:$BM112)-COLUMN('Daily Attendance'!$AH112),2)=0)*'Daily Attendance'!$AH112:$BM112))</f>
      </c>
      <c r="J112" s="21">
        <f>IF($A112="","",SUMPRODUCT((MOD(COLUMN('Daily Attendance'!$AH112:$BM112)-COLUMN('Daily Attendance'!$AH112),2)=1)*'Daily Attendance'!$AH112:$BM112))</f>
      </c>
      <c r="K112" s="22">
        <f>IF($A112="","",$I112*IF($C112="Worker",Worker_DailyWage,IF($C112="Laborer",Laborer_DailyWage,0)))</f>
      </c>
      <c r="L112" s="22">
        <f>IF($A112="","",$J112*IF($C112="Worker",Worker_OTRate,IF($C112="Laborer",Laborer_OTRate,0)))</f>
      </c>
      <c r="M112" s="23">
        <f>IF($A112="","",$K112+$L112)</f>
      </c>
      <c r="N112" s="23">
        <f>IF($A112="","",$H112+$M112)</f>
      </c>
    </row>
    <row r="113">
      <c r="A113" s="17">
        <f>IF('Daily Attendance'!A113="","",'Daily Attendance'!A113)</f>
      </c>
      <c r="B113" s="18">
        <f>IF($A113="","",'Daily Attendance'!B113)</f>
      </c>
      <c r="C113" s="19">
        <f>IF($A113="","",'Daily Attendance'!C113)</f>
      </c>
      <c r="D113" s="20">
        <f>IF($A113="","",SUMPRODUCT((MOD(COLUMN('Daily Attendance'!$D113:$AG113)-COLUMN('Daily Attendance'!$D113),2)=0)*'Daily Attendance'!$D113:$AG113))</f>
      </c>
      <c r="E113" s="21">
        <f>IF($A113="","",SUMPRODUCT((MOD(COLUMN('Daily Attendance'!$D113:$AG113)-COLUMN('Daily Attendance'!$D113),2)=1)*'Daily Attendance'!$D113:$AG113))</f>
      </c>
      <c r="F113" s="22">
        <f>IF($A113="","",$D113*IF($C113="Worker",Worker_DailyWage,IF($C113="Laborer",Laborer_DailyWage,0)))</f>
      </c>
      <c r="G113" s="22">
        <f>IF($A113="","",$E113*IF($C113="Worker",Worker_OTRate,IF($C113="Laborer",Laborer_OTRate,0)))</f>
      </c>
      <c r="H113" s="23">
        <f>IF($A113="","",$F113+$G113)</f>
      </c>
      <c r="I113" s="20">
        <f>IF($A113="","",SUMPRODUCT((MOD(COLUMN('Daily Attendance'!$AH113:$BM113)-COLUMN('Daily Attendance'!$AH113),2)=0)*'Daily Attendance'!$AH113:$BM113))</f>
      </c>
      <c r="J113" s="21">
        <f>IF($A113="","",SUMPRODUCT((MOD(COLUMN('Daily Attendance'!$AH113:$BM113)-COLUMN('Daily Attendance'!$AH113),2)=1)*'Daily Attendance'!$AH113:$BM113))</f>
      </c>
      <c r="K113" s="22">
        <f>IF($A113="","",$I113*IF($C113="Worker",Worker_DailyWage,IF($C113="Laborer",Laborer_DailyWage,0)))</f>
      </c>
      <c r="L113" s="22">
        <f>IF($A113="","",$J113*IF($C113="Worker",Worker_OTRate,IF($C113="Laborer",Laborer_OTRate,0)))</f>
      </c>
      <c r="M113" s="23">
        <f>IF($A113="","",$K113+$L113)</f>
      </c>
      <c r="N113" s="23">
        <f>IF($A113="","",$H113+$M113)</f>
      </c>
    </row>
    <row r="114">
      <c r="A114" s="17">
        <f>IF('Daily Attendance'!A114="","",'Daily Attendance'!A114)</f>
      </c>
      <c r="B114" s="18">
        <f>IF($A114="","",'Daily Attendance'!B114)</f>
      </c>
      <c r="C114" s="19">
        <f>IF($A114="","",'Daily Attendance'!C114)</f>
      </c>
      <c r="D114" s="20">
        <f>IF($A114="","",SUMPRODUCT((MOD(COLUMN('Daily Attendance'!$D114:$AG114)-COLUMN('Daily Attendance'!$D114),2)=0)*'Daily Attendance'!$D114:$AG114))</f>
      </c>
      <c r="E114" s="21">
        <f>IF($A114="","",SUMPRODUCT((MOD(COLUMN('Daily Attendance'!$D114:$AG114)-COLUMN('Daily Attendance'!$D114),2)=1)*'Daily Attendance'!$D114:$AG114))</f>
      </c>
      <c r="F114" s="22">
        <f>IF($A114="","",$D114*IF($C114="Worker",Worker_DailyWage,IF($C114="Laborer",Laborer_DailyWage,0)))</f>
      </c>
      <c r="G114" s="22">
        <f>IF($A114="","",$E114*IF($C114="Worker",Worker_OTRate,IF($C114="Laborer",Laborer_OTRate,0)))</f>
      </c>
      <c r="H114" s="23">
        <f>IF($A114="","",$F114+$G114)</f>
      </c>
      <c r="I114" s="20">
        <f>IF($A114="","",SUMPRODUCT((MOD(COLUMN('Daily Attendance'!$AH114:$BM114)-COLUMN('Daily Attendance'!$AH114),2)=0)*'Daily Attendance'!$AH114:$BM114))</f>
      </c>
      <c r="J114" s="21">
        <f>IF($A114="","",SUMPRODUCT((MOD(COLUMN('Daily Attendance'!$AH114:$BM114)-COLUMN('Daily Attendance'!$AH114),2)=1)*'Daily Attendance'!$AH114:$BM114))</f>
      </c>
      <c r="K114" s="22">
        <f>IF($A114="","",$I114*IF($C114="Worker",Worker_DailyWage,IF($C114="Laborer",Laborer_DailyWage,0)))</f>
      </c>
      <c r="L114" s="22">
        <f>IF($A114="","",$J114*IF($C114="Worker",Worker_OTRate,IF($C114="Laborer",Laborer_OTRate,0)))</f>
      </c>
      <c r="M114" s="23">
        <f>IF($A114="","",$K114+$L114)</f>
      </c>
      <c r="N114" s="23">
        <f>IF($A114="","",$H114+$M114)</f>
      </c>
    </row>
    <row r="115">
      <c r="A115" s="17">
        <f>IF('Daily Attendance'!A115="","",'Daily Attendance'!A115)</f>
      </c>
      <c r="B115" s="18">
        <f>IF($A115="","",'Daily Attendance'!B115)</f>
      </c>
      <c r="C115" s="19">
        <f>IF($A115="","",'Daily Attendance'!C115)</f>
      </c>
      <c r="D115" s="20">
        <f>IF($A115="","",SUMPRODUCT((MOD(COLUMN('Daily Attendance'!$D115:$AG115)-COLUMN('Daily Attendance'!$D115),2)=0)*'Daily Attendance'!$D115:$AG115))</f>
      </c>
      <c r="E115" s="21">
        <f>IF($A115="","",SUMPRODUCT((MOD(COLUMN('Daily Attendance'!$D115:$AG115)-COLUMN('Daily Attendance'!$D115),2)=1)*'Daily Attendance'!$D115:$AG115))</f>
      </c>
      <c r="F115" s="22">
        <f>IF($A115="","",$D115*IF($C115="Worker",Worker_DailyWage,IF($C115="Laborer",Laborer_DailyWage,0)))</f>
      </c>
      <c r="G115" s="22">
        <f>IF($A115="","",$E115*IF($C115="Worker",Worker_OTRate,IF($C115="Laborer",Laborer_OTRate,0)))</f>
      </c>
      <c r="H115" s="23">
        <f>IF($A115="","",$F115+$G115)</f>
      </c>
      <c r="I115" s="20">
        <f>IF($A115="","",SUMPRODUCT((MOD(COLUMN('Daily Attendance'!$AH115:$BM115)-COLUMN('Daily Attendance'!$AH115),2)=0)*'Daily Attendance'!$AH115:$BM115))</f>
      </c>
      <c r="J115" s="21">
        <f>IF($A115="","",SUMPRODUCT((MOD(COLUMN('Daily Attendance'!$AH115:$BM115)-COLUMN('Daily Attendance'!$AH115),2)=1)*'Daily Attendance'!$AH115:$BM115))</f>
      </c>
      <c r="K115" s="22">
        <f>IF($A115="","",$I115*IF($C115="Worker",Worker_DailyWage,IF($C115="Laborer",Laborer_DailyWage,0)))</f>
      </c>
      <c r="L115" s="22">
        <f>IF($A115="","",$J115*IF($C115="Worker",Worker_OTRate,IF($C115="Laborer",Laborer_OTRate,0)))</f>
      </c>
      <c r="M115" s="23">
        <f>IF($A115="","",$K115+$L115)</f>
      </c>
      <c r="N115" s="23">
        <f>IF($A115="","",$H115+$M115)</f>
      </c>
    </row>
    <row r="116">
      <c r="A116" s="17">
        <f>IF('Daily Attendance'!A116="","",'Daily Attendance'!A116)</f>
      </c>
      <c r="B116" s="18">
        <f>IF($A116="","",'Daily Attendance'!B116)</f>
      </c>
      <c r="C116" s="19">
        <f>IF($A116="","",'Daily Attendance'!C116)</f>
      </c>
      <c r="D116" s="20">
        <f>IF($A116="","",SUMPRODUCT((MOD(COLUMN('Daily Attendance'!$D116:$AG116)-COLUMN('Daily Attendance'!$D116),2)=0)*'Daily Attendance'!$D116:$AG116))</f>
      </c>
      <c r="E116" s="21">
        <f>IF($A116="","",SUMPRODUCT((MOD(COLUMN('Daily Attendance'!$D116:$AG116)-COLUMN('Daily Attendance'!$D116),2)=1)*'Daily Attendance'!$D116:$AG116))</f>
      </c>
      <c r="F116" s="22">
        <f>IF($A116="","",$D116*IF($C116="Worker",Worker_DailyWage,IF($C116="Laborer",Laborer_DailyWage,0)))</f>
      </c>
      <c r="G116" s="22">
        <f>IF($A116="","",$E116*IF($C116="Worker",Worker_OTRate,IF($C116="Laborer",Laborer_OTRate,0)))</f>
      </c>
      <c r="H116" s="23">
        <f>IF($A116="","",$F116+$G116)</f>
      </c>
      <c r="I116" s="20">
        <f>IF($A116="","",SUMPRODUCT((MOD(COLUMN('Daily Attendance'!$AH116:$BM116)-COLUMN('Daily Attendance'!$AH116),2)=0)*'Daily Attendance'!$AH116:$BM116))</f>
      </c>
      <c r="J116" s="21">
        <f>IF($A116="","",SUMPRODUCT((MOD(COLUMN('Daily Attendance'!$AH116:$BM116)-COLUMN('Daily Attendance'!$AH116),2)=1)*'Daily Attendance'!$AH116:$BM116))</f>
      </c>
      <c r="K116" s="22">
        <f>IF($A116="","",$I116*IF($C116="Worker",Worker_DailyWage,IF($C116="Laborer",Laborer_DailyWage,0)))</f>
      </c>
      <c r="L116" s="22">
        <f>IF($A116="","",$J116*IF($C116="Worker",Worker_OTRate,IF($C116="Laborer",Laborer_OTRate,0)))</f>
      </c>
      <c r="M116" s="23">
        <f>IF($A116="","",$K116+$L116)</f>
      </c>
      <c r="N116" s="23">
        <f>IF($A116="","",$H116+$M116)</f>
      </c>
    </row>
    <row r="117">
      <c r="A117" s="17">
        <f>IF('Daily Attendance'!A117="","",'Daily Attendance'!A117)</f>
      </c>
      <c r="B117" s="18">
        <f>IF($A117="","",'Daily Attendance'!B117)</f>
      </c>
      <c r="C117" s="19">
        <f>IF($A117="","",'Daily Attendance'!C117)</f>
      </c>
      <c r="D117" s="20">
        <f>IF($A117="","",SUMPRODUCT((MOD(COLUMN('Daily Attendance'!$D117:$AG117)-COLUMN('Daily Attendance'!$D117),2)=0)*'Daily Attendance'!$D117:$AG117))</f>
      </c>
      <c r="E117" s="21">
        <f>IF($A117="","",SUMPRODUCT((MOD(COLUMN('Daily Attendance'!$D117:$AG117)-COLUMN('Daily Attendance'!$D117),2)=1)*'Daily Attendance'!$D117:$AG117))</f>
      </c>
      <c r="F117" s="22">
        <f>IF($A117="","",$D117*IF($C117="Worker",Worker_DailyWage,IF($C117="Laborer",Laborer_DailyWage,0)))</f>
      </c>
      <c r="G117" s="22">
        <f>IF($A117="","",$E117*IF($C117="Worker",Worker_OTRate,IF($C117="Laborer",Laborer_OTRate,0)))</f>
      </c>
      <c r="H117" s="23">
        <f>IF($A117="","",$F117+$G117)</f>
      </c>
      <c r="I117" s="20">
        <f>IF($A117="","",SUMPRODUCT((MOD(COLUMN('Daily Attendance'!$AH117:$BM117)-COLUMN('Daily Attendance'!$AH117),2)=0)*'Daily Attendance'!$AH117:$BM117))</f>
      </c>
      <c r="J117" s="21">
        <f>IF($A117="","",SUMPRODUCT((MOD(COLUMN('Daily Attendance'!$AH117:$BM117)-COLUMN('Daily Attendance'!$AH117),2)=1)*'Daily Attendance'!$AH117:$BM117))</f>
      </c>
      <c r="K117" s="22">
        <f>IF($A117="","",$I117*IF($C117="Worker",Worker_DailyWage,IF($C117="Laborer",Laborer_DailyWage,0)))</f>
      </c>
      <c r="L117" s="22">
        <f>IF($A117="","",$J117*IF($C117="Worker",Worker_OTRate,IF($C117="Laborer",Laborer_OTRate,0)))</f>
      </c>
      <c r="M117" s="23">
        <f>IF($A117="","",$K117+$L117)</f>
      </c>
      <c r="N117" s="23">
        <f>IF($A117="","",$H117+$M117)</f>
      </c>
    </row>
    <row r="118">
      <c r="A118" s="17">
        <f>IF('Daily Attendance'!A118="","",'Daily Attendance'!A118)</f>
      </c>
      <c r="B118" s="18">
        <f>IF($A118="","",'Daily Attendance'!B118)</f>
      </c>
      <c r="C118" s="19">
        <f>IF($A118="","",'Daily Attendance'!C118)</f>
      </c>
      <c r="D118" s="20">
        <f>IF($A118="","",SUMPRODUCT((MOD(COLUMN('Daily Attendance'!$D118:$AG118)-COLUMN('Daily Attendance'!$D118),2)=0)*'Daily Attendance'!$D118:$AG118))</f>
      </c>
      <c r="E118" s="21">
        <f>IF($A118="","",SUMPRODUCT((MOD(COLUMN('Daily Attendance'!$D118:$AG118)-COLUMN('Daily Attendance'!$D118),2)=1)*'Daily Attendance'!$D118:$AG118))</f>
      </c>
      <c r="F118" s="22">
        <f>IF($A118="","",$D118*IF($C118="Worker",Worker_DailyWage,IF($C118="Laborer",Laborer_DailyWage,0)))</f>
      </c>
      <c r="G118" s="22">
        <f>IF($A118="","",$E118*IF($C118="Worker",Worker_OTRate,IF($C118="Laborer",Laborer_OTRate,0)))</f>
      </c>
      <c r="H118" s="23">
        <f>IF($A118="","",$F118+$G118)</f>
      </c>
      <c r="I118" s="20">
        <f>IF($A118="","",SUMPRODUCT((MOD(COLUMN('Daily Attendance'!$AH118:$BM118)-COLUMN('Daily Attendance'!$AH118),2)=0)*'Daily Attendance'!$AH118:$BM118))</f>
      </c>
      <c r="J118" s="21">
        <f>IF($A118="","",SUMPRODUCT((MOD(COLUMN('Daily Attendance'!$AH118:$BM118)-COLUMN('Daily Attendance'!$AH118),2)=1)*'Daily Attendance'!$AH118:$BM118))</f>
      </c>
      <c r="K118" s="22">
        <f>IF($A118="","",$I118*IF($C118="Worker",Worker_DailyWage,IF($C118="Laborer",Laborer_DailyWage,0)))</f>
      </c>
      <c r="L118" s="22">
        <f>IF($A118="","",$J118*IF($C118="Worker",Worker_OTRate,IF($C118="Laborer",Laborer_OTRate,0)))</f>
      </c>
      <c r="M118" s="23">
        <f>IF($A118="","",$K118+$L118)</f>
      </c>
      <c r="N118" s="23">
        <f>IF($A118="","",$H118+$M118)</f>
      </c>
    </row>
    <row r="119">
      <c r="A119" s="17">
        <f>IF('Daily Attendance'!A119="","",'Daily Attendance'!A119)</f>
      </c>
      <c r="B119" s="18">
        <f>IF($A119="","",'Daily Attendance'!B119)</f>
      </c>
      <c r="C119" s="19">
        <f>IF($A119="","",'Daily Attendance'!C119)</f>
      </c>
      <c r="D119" s="20">
        <f>IF($A119="","",SUMPRODUCT((MOD(COLUMN('Daily Attendance'!$D119:$AG119)-COLUMN('Daily Attendance'!$D119),2)=0)*'Daily Attendance'!$D119:$AG119))</f>
      </c>
      <c r="E119" s="21">
        <f>IF($A119="","",SUMPRODUCT((MOD(COLUMN('Daily Attendance'!$D119:$AG119)-COLUMN('Daily Attendance'!$D119),2)=1)*'Daily Attendance'!$D119:$AG119))</f>
      </c>
      <c r="F119" s="22">
        <f>IF($A119="","",$D119*IF($C119="Worker",Worker_DailyWage,IF($C119="Laborer",Laborer_DailyWage,0)))</f>
      </c>
      <c r="G119" s="22">
        <f>IF($A119="","",$E119*IF($C119="Worker",Worker_OTRate,IF($C119="Laborer",Laborer_OTRate,0)))</f>
      </c>
      <c r="H119" s="23">
        <f>IF($A119="","",$F119+$G119)</f>
      </c>
      <c r="I119" s="20">
        <f>IF($A119="","",SUMPRODUCT((MOD(COLUMN('Daily Attendance'!$AH119:$BM119)-COLUMN('Daily Attendance'!$AH119),2)=0)*'Daily Attendance'!$AH119:$BM119))</f>
      </c>
      <c r="J119" s="21">
        <f>IF($A119="","",SUMPRODUCT((MOD(COLUMN('Daily Attendance'!$AH119:$BM119)-COLUMN('Daily Attendance'!$AH119),2)=1)*'Daily Attendance'!$AH119:$BM119))</f>
      </c>
      <c r="K119" s="22">
        <f>IF($A119="","",$I119*IF($C119="Worker",Worker_DailyWage,IF($C119="Laborer",Laborer_DailyWage,0)))</f>
      </c>
      <c r="L119" s="22">
        <f>IF($A119="","",$J119*IF($C119="Worker",Worker_OTRate,IF($C119="Laborer",Laborer_OTRate,0)))</f>
      </c>
      <c r="M119" s="23">
        <f>IF($A119="","",$K119+$L119)</f>
      </c>
      <c r="N119" s="23">
        <f>IF($A119="","",$H119+$M119)</f>
      </c>
    </row>
    <row r="120">
      <c r="A120" s="17">
        <f>IF('Daily Attendance'!A120="","",'Daily Attendance'!A120)</f>
      </c>
      <c r="B120" s="18">
        <f>IF($A120="","",'Daily Attendance'!B120)</f>
      </c>
      <c r="C120" s="19">
        <f>IF($A120="","",'Daily Attendance'!C120)</f>
      </c>
      <c r="D120" s="20">
        <f>IF($A120="","",SUMPRODUCT((MOD(COLUMN('Daily Attendance'!$D120:$AG120)-COLUMN('Daily Attendance'!$D120),2)=0)*'Daily Attendance'!$D120:$AG120))</f>
      </c>
      <c r="E120" s="21">
        <f>IF($A120="","",SUMPRODUCT((MOD(COLUMN('Daily Attendance'!$D120:$AG120)-COLUMN('Daily Attendance'!$D120),2)=1)*'Daily Attendance'!$D120:$AG120))</f>
      </c>
      <c r="F120" s="22">
        <f>IF($A120="","",$D120*IF($C120="Worker",Worker_DailyWage,IF($C120="Laborer",Laborer_DailyWage,0)))</f>
      </c>
      <c r="G120" s="22">
        <f>IF($A120="","",$E120*IF($C120="Worker",Worker_OTRate,IF($C120="Laborer",Laborer_OTRate,0)))</f>
      </c>
      <c r="H120" s="23">
        <f>IF($A120="","",$F120+$G120)</f>
      </c>
      <c r="I120" s="20">
        <f>IF($A120="","",SUMPRODUCT((MOD(COLUMN('Daily Attendance'!$AH120:$BM120)-COLUMN('Daily Attendance'!$AH120),2)=0)*'Daily Attendance'!$AH120:$BM120))</f>
      </c>
      <c r="J120" s="21">
        <f>IF($A120="","",SUMPRODUCT((MOD(COLUMN('Daily Attendance'!$AH120:$BM120)-COLUMN('Daily Attendance'!$AH120),2)=1)*'Daily Attendance'!$AH120:$BM120))</f>
      </c>
      <c r="K120" s="22">
        <f>IF($A120="","",$I120*IF($C120="Worker",Worker_DailyWage,IF($C120="Laborer",Laborer_DailyWage,0)))</f>
      </c>
      <c r="L120" s="22">
        <f>IF($A120="","",$J120*IF($C120="Worker",Worker_OTRate,IF($C120="Laborer",Laborer_OTRate,0)))</f>
      </c>
      <c r="M120" s="23">
        <f>IF($A120="","",$K120+$L120)</f>
      </c>
      <c r="N120" s="23">
        <f>IF($A120="","",$H120+$M120)</f>
      </c>
    </row>
    <row r="121">
      <c r="A121" s="17">
        <f>IF('Daily Attendance'!A121="","",'Daily Attendance'!A121)</f>
      </c>
      <c r="B121" s="18">
        <f>IF($A121="","",'Daily Attendance'!B121)</f>
      </c>
      <c r="C121" s="19">
        <f>IF($A121="","",'Daily Attendance'!C121)</f>
      </c>
      <c r="D121" s="20">
        <f>IF($A121="","",SUMPRODUCT((MOD(COLUMN('Daily Attendance'!$D121:$AG121)-COLUMN('Daily Attendance'!$D121),2)=0)*'Daily Attendance'!$D121:$AG121))</f>
      </c>
      <c r="E121" s="21">
        <f>IF($A121="","",SUMPRODUCT((MOD(COLUMN('Daily Attendance'!$D121:$AG121)-COLUMN('Daily Attendance'!$D121),2)=1)*'Daily Attendance'!$D121:$AG121))</f>
      </c>
      <c r="F121" s="22">
        <f>IF($A121="","",$D121*IF($C121="Worker",Worker_DailyWage,IF($C121="Laborer",Laborer_DailyWage,0)))</f>
      </c>
      <c r="G121" s="22">
        <f>IF($A121="","",$E121*IF($C121="Worker",Worker_OTRate,IF($C121="Laborer",Laborer_OTRate,0)))</f>
      </c>
      <c r="H121" s="23">
        <f>IF($A121="","",$F121+$G121)</f>
      </c>
      <c r="I121" s="20">
        <f>IF($A121="","",SUMPRODUCT((MOD(COLUMN('Daily Attendance'!$AH121:$BM121)-COLUMN('Daily Attendance'!$AH121),2)=0)*'Daily Attendance'!$AH121:$BM121))</f>
      </c>
      <c r="J121" s="21">
        <f>IF($A121="","",SUMPRODUCT((MOD(COLUMN('Daily Attendance'!$AH121:$BM121)-COLUMN('Daily Attendance'!$AH121),2)=1)*'Daily Attendance'!$AH121:$BM121))</f>
      </c>
      <c r="K121" s="22">
        <f>IF($A121="","",$I121*IF($C121="Worker",Worker_DailyWage,IF($C121="Laborer",Laborer_DailyWage,0)))</f>
      </c>
      <c r="L121" s="22">
        <f>IF($A121="","",$J121*IF($C121="Worker",Worker_OTRate,IF($C121="Laborer",Laborer_OTRate,0)))</f>
      </c>
      <c r="M121" s="23">
        <f>IF($A121="","",$K121+$L121)</f>
      </c>
      <c r="N121" s="23">
        <f>IF($A121="","",$H121+$M121)</f>
      </c>
    </row>
    <row r="122">
      <c r="A122" s="17">
        <f>IF('Daily Attendance'!A122="","",'Daily Attendance'!A122)</f>
      </c>
      <c r="B122" s="18">
        <f>IF($A122="","",'Daily Attendance'!B122)</f>
      </c>
      <c r="C122" s="19">
        <f>IF($A122="","",'Daily Attendance'!C122)</f>
      </c>
      <c r="D122" s="20">
        <f>IF($A122="","",SUMPRODUCT((MOD(COLUMN('Daily Attendance'!$D122:$AG122)-COLUMN('Daily Attendance'!$D122),2)=0)*'Daily Attendance'!$D122:$AG122))</f>
      </c>
      <c r="E122" s="21">
        <f>IF($A122="","",SUMPRODUCT((MOD(COLUMN('Daily Attendance'!$D122:$AG122)-COLUMN('Daily Attendance'!$D122),2)=1)*'Daily Attendance'!$D122:$AG122))</f>
      </c>
      <c r="F122" s="22">
        <f>IF($A122="","",$D122*IF($C122="Worker",Worker_DailyWage,IF($C122="Laborer",Laborer_DailyWage,0)))</f>
      </c>
      <c r="G122" s="22">
        <f>IF($A122="","",$E122*IF($C122="Worker",Worker_OTRate,IF($C122="Laborer",Laborer_OTRate,0)))</f>
      </c>
      <c r="H122" s="23">
        <f>IF($A122="","",$F122+$G122)</f>
      </c>
      <c r="I122" s="20">
        <f>IF($A122="","",SUMPRODUCT((MOD(COLUMN('Daily Attendance'!$AH122:$BM122)-COLUMN('Daily Attendance'!$AH122),2)=0)*'Daily Attendance'!$AH122:$BM122))</f>
      </c>
      <c r="J122" s="21">
        <f>IF($A122="","",SUMPRODUCT((MOD(COLUMN('Daily Attendance'!$AH122:$BM122)-COLUMN('Daily Attendance'!$AH122),2)=1)*'Daily Attendance'!$AH122:$BM122))</f>
      </c>
      <c r="K122" s="22">
        <f>IF($A122="","",$I122*IF($C122="Worker",Worker_DailyWage,IF($C122="Laborer",Laborer_DailyWage,0)))</f>
      </c>
      <c r="L122" s="22">
        <f>IF($A122="","",$J122*IF($C122="Worker",Worker_OTRate,IF($C122="Laborer",Laborer_OTRate,0)))</f>
      </c>
      <c r="M122" s="23">
        <f>IF($A122="","",$K122+$L122)</f>
      </c>
      <c r="N122" s="23">
        <f>IF($A122="","",$H122+$M122)</f>
      </c>
    </row>
    <row r="123">
      <c r="A123" s="17">
        <f>IF('Daily Attendance'!A123="","",'Daily Attendance'!A123)</f>
      </c>
      <c r="B123" s="18">
        <f>IF($A123="","",'Daily Attendance'!B123)</f>
      </c>
      <c r="C123" s="19">
        <f>IF($A123="","",'Daily Attendance'!C123)</f>
      </c>
      <c r="D123" s="20">
        <f>IF($A123="","",SUMPRODUCT((MOD(COLUMN('Daily Attendance'!$D123:$AG123)-COLUMN('Daily Attendance'!$D123),2)=0)*'Daily Attendance'!$D123:$AG123))</f>
      </c>
      <c r="E123" s="21">
        <f>IF($A123="","",SUMPRODUCT((MOD(COLUMN('Daily Attendance'!$D123:$AG123)-COLUMN('Daily Attendance'!$D123),2)=1)*'Daily Attendance'!$D123:$AG123))</f>
      </c>
      <c r="F123" s="22">
        <f>IF($A123="","",$D123*IF($C123="Worker",Worker_DailyWage,IF($C123="Laborer",Laborer_DailyWage,0)))</f>
      </c>
      <c r="G123" s="22">
        <f>IF($A123="","",$E123*IF($C123="Worker",Worker_OTRate,IF($C123="Laborer",Laborer_OTRate,0)))</f>
      </c>
      <c r="H123" s="23">
        <f>IF($A123="","",$F123+$G123)</f>
      </c>
      <c r="I123" s="20">
        <f>IF($A123="","",SUMPRODUCT((MOD(COLUMN('Daily Attendance'!$AH123:$BM123)-COLUMN('Daily Attendance'!$AH123),2)=0)*'Daily Attendance'!$AH123:$BM123))</f>
      </c>
      <c r="J123" s="21">
        <f>IF($A123="","",SUMPRODUCT((MOD(COLUMN('Daily Attendance'!$AH123:$BM123)-COLUMN('Daily Attendance'!$AH123),2)=1)*'Daily Attendance'!$AH123:$BM123))</f>
      </c>
      <c r="K123" s="22">
        <f>IF($A123="","",$I123*IF($C123="Worker",Worker_DailyWage,IF($C123="Laborer",Laborer_DailyWage,0)))</f>
      </c>
      <c r="L123" s="22">
        <f>IF($A123="","",$J123*IF($C123="Worker",Worker_OTRate,IF($C123="Laborer",Laborer_OTRate,0)))</f>
      </c>
      <c r="M123" s="23">
        <f>IF($A123="","",$K123+$L123)</f>
      </c>
      <c r="N123" s="23">
        <f>IF($A123="","",$H123+$M123)</f>
      </c>
    </row>
    <row r="124">
      <c r="A124" s="17">
        <f>IF('Daily Attendance'!A124="","",'Daily Attendance'!A124)</f>
      </c>
      <c r="B124" s="18">
        <f>IF($A124="","",'Daily Attendance'!B124)</f>
      </c>
      <c r="C124" s="19">
        <f>IF($A124="","",'Daily Attendance'!C124)</f>
      </c>
      <c r="D124" s="20">
        <f>IF($A124="","",SUMPRODUCT((MOD(COLUMN('Daily Attendance'!$D124:$AG124)-COLUMN('Daily Attendance'!$D124),2)=0)*'Daily Attendance'!$D124:$AG124))</f>
      </c>
      <c r="E124" s="21">
        <f>IF($A124="","",SUMPRODUCT((MOD(COLUMN('Daily Attendance'!$D124:$AG124)-COLUMN('Daily Attendance'!$D124),2)=1)*'Daily Attendance'!$D124:$AG124))</f>
      </c>
      <c r="F124" s="22">
        <f>IF($A124="","",$D124*IF($C124="Worker",Worker_DailyWage,IF($C124="Laborer",Laborer_DailyWage,0)))</f>
      </c>
      <c r="G124" s="22">
        <f>IF($A124="","",$E124*IF($C124="Worker",Worker_OTRate,IF($C124="Laborer",Laborer_OTRate,0)))</f>
      </c>
      <c r="H124" s="23">
        <f>IF($A124="","",$F124+$G124)</f>
      </c>
      <c r="I124" s="20">
        <f>IF($A124="","",SUMPRODUCT((MOD(COLUMN('Daily Attendance'!$AH124:$BM124)-COLUMN('Daily Attendance'!$AH124),2)=0)*'Daily Attendance'!$AH124:$BM124))</f>
      </c>
      <c r="J124" s="21">
        <f>IF($A124="","",SUMPRODUCT((MOD(COLUMN('Daily Attendance'!$AH124:$BM124)-COLUMN('Daily Attendance'!$AH124),2)=1)*'Daily Attendance'!$AH124:$BM124))</f>
      </c>
      <c r="K124" s="22">
        <f>IF($A124="","",$I124*IF($C124="Worker",Worker_DailyWage,IF($C124="Laborer",Laborer_DailyWage,0)))</f>
      </c>
      <c r="L124" s="22">
        <f>IF($A124="","",$J124*IF($C124="Worker",Worker_OTRate,IF($C124="Laborer",Laborer_OTRate,0)))</f>
      </c>
      <c r="M124" s="23">
        <f>IF($A124="","",$K124+$L124)</f>
      </c>
      <c r="N124" s="23">
        <f>IF($A124="","",$H124+$M124)</f>
      </c>
    </row>
    <row r="125">
      <c r="A125" s="17">
        <f>IF('Daily Attendance'!A125="","",'Daily Attendance'!A125)</f>
      </c>
      <c r="B125" s="18">
        <f>IF($A125="","",'Daily Attendance'!B125)</f>
      </c>
      <c r="C125" s="19">
        <f>IF($A125="","",'Daily Attendance'!C125)</f>
      </c>
      <c r="D125" s="20">
        <f>IF($A125="","",SUMPRODUCT((MOD(COLUMN('Daily Attendance'!$D125:$AG125)-COLUMN('Daily Attendance'!$D125),2)=0)*'Daily Attendance'!$D125:$AG125))</f>
      </c>
      <c r="E125" s="21">
        <f>IF($A125="","",SUMPRODUCT((MOD(COLUMN('Daily Attendance'!$D125:$AG125)-COLUMN('Daily Attendance'!$D125),2)=1)*'Daily Attendance'!$D125:$AG125))</f>
      </c>
      <c r="F125" s="22">
        <f>IF($A125="","",$D125*IF($C125="Worker",Worker_DailyWage,IF($C125="Laborer",Laborer_DailyWage,0)))</f>
      </c>
      <c r="G125" s="22">
        <f>IF($A125="","",$E125*IF($C125="Worker",Worker_OTRate,IF($C125="Laborer",Laborer_OTRate,0)))</f>
      </c>
      <c r="H125" s="23">
        <f>IF($A125="","",$F125+$G125)</f>
      </c>
      <c r="I125" s="20">
        <f>IF($A125="","",SUMPRODUCT((MOD(COLUMN('Daily Attendance'!$AH125:$BM125)-COLUMN('Daily Attendance'!$AH125),2)=0)*'Daily Attendance'!$AH125:$BM125))</f>
      </c>
      <c r="J125" s="21">
        <f>IF($A125="","",SUMPRODUCT((MOD(COLUMN('Daily Attendance'!$AH125:$BM125)-COLUMN('Daily Attendance'!$AH125),2)=1)*'Daily Attendance'!$AH125:$BM125))</f>
      </c>
      <c r="K125" s="22">
        <f>IF($A125="","",$I125*IF($C125="Worker",Worker_DailyWage,IF($C125="Laborer",Laborer_DailyWage,0)))</f>
      </c>
      <c r="L125" s="22">
        <f>IF($A125="","",$J125*IF($C125="Worker",Worker_OTRate,IF($C125="Laborer",Laborer_OTRate,0)))</f>
      </c>
      <c r="M125" s="23">
        <f>IF($A125="","",$K125+$L125)</f>
      </c>
      <c r="N125" s="23">
        <f>IF($A125="","",$H125+$M125)</f>
      </c>
    </row>
    <row r="126">
      <c r="A126" s="17">
        <f>IF('Daily Attendance'!A126="","",'Daily Attendance'!A126)</f>
      </c>
      <c r="B126" s="18">
        <f>IF($A126="","",'Daily Attendance'!B126)</f>
      </c>
      <c r="C126" s="19">
        <f>IF($A126="","",'Daily Attendance'!C126)</f>
      </c>
      <c r="D126" s="20">
        <f>IF($A126="","",SUMPRODUCT((MOD(COLUMN('Daily Attendance'!$D126:$AG126)-COLUMN('Daily Attendance'!$D126),2)=0)*'Daily Attendance'!$D126:$AG126))</f>
      </c>
      <c r="E126" s="21">
        <f>IF($A126="","",SUMPRODUCT((MOD(COLUMN('Daily Attendance'!$D126:$AG126)-COLUMN('Daily Attendance'!$D126),2)=1)*'Daily Attendance'!$D126:$AG126))</f>
      </c>
      <c r="F126" s="22">
        <f>IF($A126="","",$D126*IF($C126="Worker",Worker_DailyWage,IF($C126="Laborer",Laborer_DailyWage,0)))</f>
      </c>
      <c r="G126" s="22">
        <f>IF($A126="","",$E126*IF($C126="Worker",Worker_OTRate,IF($C126="Laborer",Laborer_OTRate,0)))</f>
      </c>
      <c r="H126" s="23">
        <f>IF($A126="","",$F126+$G126)</f>
      </c>
      <c r="I126" s="20">
        <f>IF($A126="","",SUMPRODUCT((MOD(COLUMN('Daily Attendance'!$AH126:$BM126)-COLUMN('Daily Attendance'!$AH126),2)=0)*'Daily Attendance'!$AH126:$BM126))</f>
      </c>
      <c r="J126" s="21">
        <f>IF($A126="","",SUMPRODUCT((MOD(COLUMN('Daily Attendance'!$AH126:$BM126)-COLUMN('Daily Attendance'!$AH126),2)=1)*'Daily Attendance'!$AH126:$BM126))</f>
      </c>
      <c r="K126" s="22">
        <f>IF($A126="","",$I126*IF($C126="Worker",Worker_DailyWage,IF($C126="Laborer",Laborer_DailyWage,0)))</f>
      </c>
      <c r="L126" s="22">
        <f>IF($A126="","",$J126*IF($C126="Worker",Worker_OTRate,IF($C126="Laborer",Laborer_OTRate,0)))</f>
      </c>
      <c r="M126" s="23">
        <f>IF($A126="","",$K126+$L126)</f>
      </c>
      <c r="N126" s="23">
        <f>IF($A126="","",$H126+$M126)</f>
      </c>
    </row>
    <row r="127">
      <c r="A127" s="17">
        <f>IF('Daily Attendance'!A127="","",'Daily Attendance'!A127)</f>
      </c>
      <c r="B127" s="18">
        <f>IF($A127="","",'Daily Attendance'!B127)</f>
      </c>
      <c r="C127" s="19">
        <f>IF($A127="","",'Daily Attendance'!C127)</f>
      </c>
      <c r="D127" s="20">
        <f>IF($A127="","",SUMPRODUCT((MOD(COLUMN('Daily Attendance'!$D127:$AG127)-COLUMN('Daily Attendance'!$D127),2)=0)*'Daily Attendance'!$D127:$AG127))</f>
      </c>
      <c r="E127" s="21">
        <f>IF($A127="","",SUMPRODUCT((MOD(COLUMN('Daily Attendance'!$D127:$AG127)-COLUMN('Daily Attendance'!$D127),2)=1)*'Daily Attendance'!$D127:$AG127))</f>
      </c>
      <c r="F127" s="22">
        <f>IF($A127="","",$D127*IF($C127="Worker",Worker_DailyWage,IF($C127="Laborer",Laborer_DailyWage,0)))</f>
      </c>
      <c r="G127" s="22">
        <f>IF($A127="","",$E127*IF($C127="Worker",Worker_OTRate,IF($C127="Laborer",Laborer_OTRate,0)))</f>
      </c>
      <c r="H127" s="23">
        <f>IF($A127="","",$F127+$G127)</f>
      </c>
      <c r="I127" s="20">
        <f>IF($A127="","",SUMPRODUCT((MOD(COLUMN('Daily Attendance'!$AH127:$BM127)-COLUMN('Daily Attendance'!$AH127),2)=0)*'Daily Attendance'!$AH127:$BM127))</f>
      </c>
      <c r="J127" s="21">
        <f>IF($A127="","",SUMPRODUCT((MOD(COLUMN('Daily Attendance'!$AH127:$BM127)-COLUMN('Daily Attendance'!$AH127),2)=1)*'Daily Attendance'!$AH127:$BM127))</f>
      </c>
      <c r="K127" s="22">
        <f>IF($A127="","",$I127*IF($C127="Worker",Worker_DailyWage,IF($C127="Laborer",Laborer_DailyWage,0)))</f>
      </c>
      <c r="L127" s="22">
        <f>IF($A127="","",$J127*IF($C127="Worker",Worker_OTRate,IF($C127="Laborer",Laborer_OTRate,0)))</f>
      </c>
      <c r="M127" s="23">
        <f>IF($A127="","",$K127+$L127)</f>
      </c>
      <c r="N127" s="23">
        <f>IF($A127="","",$H127+$M127)</f>
      </c>
    </row>
    <row r="128">
      <c r="A128" s="17">
        <f>IF('Daily Attendance'!A128="","",'Daily Attendance'!A128)</f>
      </c>
      <c r="B128" s="18">
        <f>IF($A128="","",'Daily Attendance'!B128)</f>
      </c>
      <c r="C128" s="19">
        <f>IF($A128="","",'Daily Attendance'!C128)</f>
      </c>
      <c r="D128" s="20">
        <f>IF($A128="","",SUMPRODUCT((MOD(COLUMN('Daily Attendance'!$D128:$AG128)-COLUMN('Daily Attendance'!$D128),2)=0)*'Daily Attendance'!$D128:$AG128))</f>
      </c>
      <c r="E128" s="21">
        <f>IF($A128="","",SUMPRODUCT((MOD(COLUMN('Daily Attendance'!$D128:$AG128)-COLUMN('Daily Attendance'!$D128),2)=1)*'Daily Attendance'!$D128:$AG128))</f>
      </c>
      <c r="F128" s="22">
        <f>IF($A128="","",$D128*IF($C128="Worker",Worker_DailyWage,IF($C128="Laborer",Laborer_DailyWage,0)))</f>
      </c>
      <c r="G128" s="22">
        <f>IF($A128="","",$E128*IF($C128="Worker",Worker_OTRate,IF($C128="Laborer",Laborer_OTRate,0)))</f>
      </c>
      <c r="H128" s="23">
        <f>IF($A128="","",$F128+$G128)</f>
      </c>
      <c r="I128" s="20">
        <f>IF($A128="","",SUMPRODUCT((MOD(COLUMN('Daily Attendance'!$AH128:$BM128)-COLUMN('Daily Attendance'!$AH128),2)=0)*'Daily Attendance'!$AH128:$BM128))</f>
      </c>
      <c r="J128" s="21">
        <f>IF($A128="","",SUMPRODUCT((MOD(COLUMN('Daily Attendance'!$AH128:$BM128)-COLUMN('Daily Attendance'!$AH128),2)=1)*'Daily Attendance'!$AH128:$BM128))</f>
      </c>
      <c r="K128" s="22">
        <f>IF($A128="","",$I128*IF($C128="Worker",Worker_DailyWage,IF($C128="Laborer",Laborer_DailyWage,0)))</f>
      </c>
      <c r="L128" s="22">
        <f>IF($A128="","",$J128*IF($C128="Worker",Worker_OTRate,IF($C128="Laborer",Laborer_OTRate,0)))</f>
      </c>
      <c r="M128" s="23">
        <f>IF($A128="","",$K128+$L128)</f>
      </c>
      <c r="N128" s="23">
        <f>IF($A128="","",$H128+$M128)</f>
      </c>
    </row>
    <row r="129">
      <c r="A129" s="17">
        <f>IF('Daily Attendance'!A129="","",'Daily Attendance'!A129)</f>
      </c>
      <c r="B129" s="18">
        <f>IF($A129="","",'Daily Attendance'!B129)</f>
      </c>
      <c r="C129" s="19">
        <f>IF($A129="","",'Daily Attendance'!C129)</f>
      </c>
      <c r="D129" s="20">
        <f>IF($A129="","",SUMPRODUCT((MOD(COLUMN('Daily Attendance'!$D129:$AG129)-COLUMN('Daily Attendance'!$D129),2)=0)*'Daily Attendance'!$D129:$AG129))</f>
      </c>
      <c r="E129" s="21">
        <f>IF($A129="","",SUMPRODUCT((MOD(COLUMN('Daily Attendance'!$D129:$AG129)-COLUMN('Daily Attendance'!$D129),2)=1)*'Daily Attendance'!$D129:$AG129))</f>
      </c>
      <c r="F129" s="22">
        <f>IF($A129="","",$D129*IF($C129="Worker",Worker_DailyWage,IF($C129="Laborer",Laborer_DailyWage,0)))</f>
      </c>
      <c r="G129" s="22">
        <f>IF($A129="","",$E129*IF($C129="Worker",Worker_OTRate,IF($C129="Laborer",Laborer_OTRate,0)))</f>
      </c>
      <c r="H129" s="23">
        <f>IF($A129="","",$F129+$G129)</f>
      </c>
      <c r="I129" s="20">
        <f>IF($A129="","",SUMPRODUCT((MOD(COLUMN('Daily Attendance'!$AH129:$BM129)-COLUMN('Daily Attendance'!$AH129),2)=0)*'Daily Attendance'!$AH129:$BM129))</f>
      </c>
      <c r="J129" s="21">
        <f>IF($A129="","",SUMPRODUCT((MOD(COLUMN('Daily Attendance'!$AH129:$BM129)-COLUMN('Daily Attendance'!$AH129),2)=1)*'Daily Attendance'!$AH129:$BM129))</f>
      </c>
      <c r="K129" s="22">
        <f>IF($A129="","",$I129*IF($C129="Worker",Worker_DailyWage,IF($C129="Laborer",Laborer_DailyWage,0)))</f>
      </c>
      <c r="L129" s="22">
        <f>IF($A129="","",$J129*IF($C129="Worker",Worker_OTRate,IF($C129="Laborer",Laborer_OTRate,0)))</f>
      </c>
      <c r="M129" s="23">
        <f>IF($A129="","",$K129+$L129)</f>
      </c>
      <c r="N129" s="23">
        <f>IF($A129="","",$H129+$M129)</f>
      </c>
    </row>
    <row r="130">
      <c r="A130" s="17">
        <f>IF('Daily Attendance'!A130="","",'Daily Attendance'!A130)</f>
      </c>
      <c r="B130" s="18">
        <f>IF($A130="","",'Daily Attendance'!B130)</f>
      </c>
      <c r="C130" s="19">
        <f>IF($A130="","",'Daily Attendance'!C130)</f>
      </c>
      <c r="D130" s="20">
        <f>IF($A130="","",SUMPRODUCT((MOD(COLUMN('Daily Attendance'!$D130:$AG130)-COLUMN('Daily Attendance'!$D130),2)=0)*'Daily Attendance'!$D130:$AG130))</f>
      </c>
      <c r="E130" s="21">
        <f>IF($A130="","",SUMPRODUCT((MOD(COLUMN('Daily Attendance'!$D130:$AG130)-COLUMN('Daily Attendance'!$D130),2)=1)*'Daily Attendance'!$D130:$AG130))</f>
      </c>
      <c r="F130" s="22">
        <f>IF($A130="","",$D130*IF($C130="Worker",Worker_DailyWage,IF($C130="Laborer",Laborer_DailyWage,0)))</f>
      </c>
      <c r="G130" s="22">
        <f>IF($A130="","",$E130*IF($C130="Worker",Worker_OTRate,IF($C130="Laborer",Laborer_OTRate,0)))</f>
      </c>
      <c r="H130" s="23">
        <f>IF($A130="","",$F130+$G130)</f>
      </c>
      <c r="I130" s="20">
        <f>IF($A130="","",SUMPRODUCT((MOD(COLUMN('Daily Attendance'!$AH130:$BM130)-COLUMN('Daily Attendance'!$AH130),2)=0)*'Daily Attendance'!$AH130:$BM130))</f>
      </c>
      <c r="J130" s="21">
        <f>IF($A130="","",SUMPRODUCT((MOD(COLUMN('Daily Attendance'!$AH130:$BM130)-COLUMN('Daily Attendance'!$AH130),2)=1)*'Daily Attendance'!$AH130:$BM130))</f>
      </c>
      <c r="K130" s="22">
        <f>IF($A130="","",$I130*IF($C130="Worker",Worker_DailyWage,IF($C130="Laborer",Laborer_DailyWage,0)))</f>
      </c>
      <c r="L130" s="22">
        <f>IF($A130="","",$J130*IF($C130="Worker",Worker_OTRate,IF($C130="Laborer",Laborer_OTRate,0)))</f>
      </c>
      <c r="M130" s="23">
        <f>IF($A130="","",$K130+$L130)</f>
      </c>
      <c r="N130" s="23">
        <f>IF($A130="","",$H130+$M130)</f>
      </c>
    </row>
    <row r="131">
      <c r="A131" s="17">
        <f>IF('Daily Attendance'!A131="","",'Daily Attendance'!A131)</f>
      </c>
      <c r="B131" s="18">
        <f>IF($A131="","",'Daily Attendance'!B131)</f>
      </c>
      <c r="C131" s="19">
        <f>IF($A131="","",'Daily Attendance'!C131)</f>
      </c>
      <c r="D131" s="20">
        <f>IF($A131="","",SUMPRODUCT((MOD(COLUMN('Daily Attendance'!$D131:$AG131)-COLUMN('Daily Attendance'!$D131),2)=0)*'Daily Attendance'!$D131:$AG131))</f>
      </c>
      <c r="E131" s="21">
        <f>IF($A131="","",SUMPRODUCT((MOD(COLUMN('Daily Attendance'!$D131:$AG131)-COLUMN('Daily Attendance'!$D131),2)=1)*'Daily Attendance'!$D131:$AG131))</f>
      </c>
      <c r="F131" s="22">
        <f>IF($A131="","",$D131*IF($C131="Worker",Worker_DailyWage,IF($C131="Laborer",Laborer_DailyWage,0)))</f>
      </c>
      <c r="G131" s="22">
        <f>IF($A131="","",$E131*IF($C131="Worker",Worker_OTRate,IF($C131="Laborer",Laborer_OTRate,0)))</f>
      </c>
      <c r="H131" s="23">
        <f>IF($A131="","",$F131+$G131)</f>
      </c>
      <c r="I131" s="20">
        <f>IF($A131="","",SUMPRODUCT((MOD(COLUMN('Daily Attendance'!$AH131:$BM131)-COLUMN('Daily Attendance'!$AH131),2)=0)*'Daily Attendance'!$AH131:$BM131))</f>
      </c>
      <c r="J131" s="21">
        <f>IF($A131="","",SUMPRODUCT((MOD(COLUMN('Daily Attendance'!$AH131:$BM131)-COLUMN('Daily Attendance'!$AH131),2)=1)*'Daily Attendance'!$AH131:$BM131))</f>
      </c>
      <c r="K131" s="22">
        <f>IF($A131="","",$I131*IF($C131="Worker",Worker_DailyWage,IF($C131="Laborer",Laborer_DailyWage,0)))</f>
      </c>
      <c r="L131" s="22">
        <f>IF($A131="","",$J131*IF($C131="Worker",Worker_OTRate,IF($C131="Laborer",Laborer_OTRate,0)))</f>
      </c>
      <c r="M131" s="23">
        <f>IF($A131="","",$K131+$L131)</f>
      </c>
      <c r="N131" s="23">
        <f>IF($A131="","",$H131+$M131)</f>
      </c>
    </row>
    <row r="132">
      <c r="A132" s="17">
        <f>IF('Daily Attendance'!A132="","",'Daily Attendance'!A132)</f>
      </c>
      <c r="B132" s="18">
        <f>IF($A132="","",'Daily Attendance'!B132)</f>
      </c>
      <c r="C132" s="19">
        <f>IF($A132="","",'Daily Attendance'!C132)</f>
      </c>
      <c r="D132" s="20">
        <f>IF($A132="","",SUMPRODUCT((MOD(COLUMN('Daily Attendance'!$D132:$AG132)-COLUMN('Daily Attendance'!$D132),2)=0)*'Daily Attendance'!$D132:$AG132))</f>
      </c>
      <c r="E132" s="21">
        <f>IF($A132="","",SUMPRODUCT((MOD(COLUMN('Daily Attendance'!$D132:$AG132)-COLUMN('Daily Attendance'!$D132),2)=1)*'Daily Attendance'!$D132:$AG132))</f>
      </c>
      <c r="F132" s="22">
        <f>IF($A132="","",$D132*IF($C132="Worker",Worker_DailyWage,IF($C132="Laborer",Laborer_DailyWage,0)))</f>
      </c>
      <c r="G132" s="22">
        <f>IF($A132="","",$E132*IF($C132="Worker",Worker_OTRate,IF($C132="Laborer",Laborer_OTRate,0)))</f>
      </c>
      <c r="H132" s="23">
        <f>IF($A132="","",$F132+$G132)</f>
      </c>
      <c r="I132" s="20">
        <f>IF($A132="","",SUMPRODUCT((MOD(COLUMN('Daily Attendance'!$AH132:$BM132)-COLUMN('Daily Attendance'!$AH132),2)=0)*'Daily Attendance'!$AH132:$BM132))</f>
      </c>
      <c r="J132" s="21">
        <f>IF($A132="","",SUMPRODUCT((MOD(COLUMN('Daily Attendance'!$AH132:$BM132)-COLUMN('Daily Attendance'!$AH132),2)=1)*'Daily Attendance'!$AH132:$BM132))</f>
      </c>
      <c r="K132" s="22">
        <f>IF($A132="","",$I132*IF($C132="Worker",Worker_DailyWage,IF($C132="Laborer",Laborer_DailyWage,0)))</f>
      </c>
      <c r="L132" s="22">
        <f>IF($A132="","",$J132*IF($C132="Worker",Worker_OTRate,IF($C132="Laborer",Laborer_OTRate,0)))</f>
      </c>
      <c r="M132" s="23">
        <f>IF($A132="","",$K132+$L132)</f>
      </c>
      <c r="N132" s="23">
        <f>IF($A132="","",$H132+$M132)</f>
      </c>
    </row>
    <row r="133">
      <c r="A133" s="17">
        <f>IF('Daily Attendance'!A133="","",'Daily Attendance'!A133)</f>
      </c>
      <c r="B133" s="18">
        <f>IF($A133="","",'Daily Attendance'!B133)</f>
      </c>
      <c r="C133" s="19">
        <f>IF($A133="","",'Daily Attendance'!C133)</f>
      </c>
      <c r="D133" s="20">
        <f>IF($A133="","",SUMPRODUCT((MOD(COLUMN('Daily Attendance'!$D133:$AG133)-COLUMN('Daily Attendance'!$D133),2)=0)*'Daily Attendance'!$D133:$AG133))</f>
      </c>
      <c r="E133" s="21">
        <f>IF($A133="","",SUMPRODUCT((MOD(COLUMN('Daily Attendance'!$D133:$AG133)-COLUMN('Daily Attendance'!$D133),2)=1)*'Daily Attendance'!$D133:$AG133))</f>
      </c>
      <c r="F133" s="22">
        <f>IF($A133="","",$D133*IF($C133="Worker",Worker_DailyWage,IF($C133="Laborer",Laborer_DailyWage,0)))</f>
      </c>
      <c r="G133" s="22">
        <f>IF($A133="","",$E133*IF($C133="Worker",Worker_OTRate,IF($C133="Laborer",Laborer_OTRate,0)))</f>
      </c>
      <c r="H133" s="23">
        <f>IF($A133="","",$F133+$G133)</f>
      </c>
      <c r="I133" s="20">
        <f>IF($A133="","",SUMPRODUCT((MOD(COLUMN('Daily Attendance'!$AH133:$BM133)-COLUMN('Daily Attendance'!$AH133),2)=0)*'Daily Attendance'!$AH133:$BM133))</f>
      </c>
      <c r="J133" s="21">
        <f>IF($A133="","",SUMPRODUCT((MOD(COLUMN('Daily Attendance'!$AH133:$BM133)-COLUMN('Daily Attendance'!$AH133),2)=1)*'Daily Attendance'!$AH133:$BM133))</f>
      </c>
      <c r="K133" s="22">
        <f>IF($A133="","",$I133*IF($C133="Worker",Worker_DailyWage,IF($C133="Laborer",Laborer_DailyWage,0)))</f>
      </c>
      <c r="L133" s="22">
        <f>IF($A133="","",$J133*IF($C133="Worker",Worker_OTRate,IF($C133="Laborer",Laborer_OTRate,0)))</f>
      </c>
      <c r="M133" s="23">
        <f>IF($A133="","",$K133+$L133)</f>
      </c>
      <c r="N133" s="23">
        <f>IF($A133="","",$H133+$M133)</f>
      </c>
    </row>
    <row r="134">
      <c r="A134" s="17">
        <f>IF('Daily Attendance'!A134="","",'Daily Attendance'!A134)</f>
      </c>
      <c r="B134" s="18">
        <f>IF($A134="","",'Daily Attendance'!B134)</f>
      </c>
      <c r="C134" s="19">
        <f>IF($A134="","",'Daily Attendance'!C134)</f>
      </c>
      <c r="D134" s="20">
        <f>IF($A134="","",SUMPRODUCT((MOD(COLUMN('Daily Attendance'!$D134:$AG134)-COLUMN('Daily Attendance'!$D134),2)=0)*'Daily Attendance'!$D134:$AG134))</f>
      </c>
      <c r="E134" s="21">
        <f>IF($A134="","",SUMPRODUCT((MOD(COLUMN('Daily Attendance'!$D134:$AG134)-COLUMN('Daily Attendance'!$D134),2)=1)*'Daily Attendance'!$D134:$AG134))</f>
      </c>
      <c r="F134" s="22">
        <f>IF($A134="","",$D134*IF($C134="Worker",Worker_DailyWage,IF($C134="Laborer",Laborer_DailyWage,0)))</f>
      </c>
      <c r="G134" s="22">
        <f>IF($A134="","",$E134*IF($C134="Worker",Worker_OTRate,IF($C134="Laborer",Laborer_OTRate,0)))</f>
      </c>
      <c r="H134" s="23">
        <f>IF($A134="","",$F134+$G134)</f>
      </c>
      <c r="I134" s="20">
        <f>IF($A134="","",SUMPRODUCT((MOD(COLUMN('Daily Attendance'!$AH134:$BM134)-COLUMN('Daily Attendance'!$AH134),2)=0)*'Daily Attendance'!$AH134:$BM134))</f>
      </c>
      <c r="J134" s="21">
        <f>IF($A134="","",SUMPRODUCT((MOD(COLUMN('Daily Attendance'!$AH134:$BM134)-COLUMN('Daily Attendance'!$AH134),2)=1)*'Daily Attendance'!$AH134:$BM134))</f>
      </c>
      <c r="K134" s="22">
        <f>IF($A134="","",$I134*IF($C134="Worker",Worker_DailyWage,IF($C134="Laborer",Laborer_DailyWage,0)))</f>
      </c>
      <c r="L134" s="22">
        <f>IF($A134="","",$J134*IF($C134="Worker",Worker_OTRate,IF($C134="Laborer",Laborer_OTRate,0)))</f>
      </c>
      <c r="M134" s="23">
        <f>IF($A134="","",$K134+$L134)</f>
      </c>
      <c r="N134" s="23">
        <f>IF($A134="","",$H134+$M134)</f>
      </c>
    </row>
    <row r="135">
      <c r="A135" s="17">
        <f>IF('Daily Attendance'!A135="","",'Daily Attendance'!A135)</f>
      </c>
      <c r="B135" s="18">
        <f>IF($A135="","",'Daily Attendance'!B135)</f>
      </c>
      <c r="C135" s="19">
        <f>IF($A135="","",'Daily Attendance'!C135)</f>
      </c>
      <c r="D135" s="20">
        <f>IF($A135="","",SUMPRODUCT((MOD(COLUMN('Daily Attendance'!$D135:$AG135)-COLUMN('Daily Attendance'!$D135),2)=0)*'Daily Attendance'!$D135:$AG135))</f>
      </c>
      <c r="E135" s="21">
        <f>IF($A135="","",SUMPRODUCT((MOD(COLUMN('Daily Attendance'!$D135:$AG135)-COLUMN('Daily Attendance'!$D135),2)=1)*'Daily Attendance'!$D135:$AG135))</f>
      </c>
      <c r="F135" s="22">
        <f>IF($A135="","",$D135*IF($C135="Worker",Worker_DailyWage,IF($C135="Laborer",Laborer_DailyWage,0)))</f>
      </c>
      <c r="G135" s="22">
        <f>IF($A135="","",$E135*IF($C135="Worker",Worker_OTRate,IF($C135="Laborer",Laborer_OTRate,0)))</f>
      </c>
      <c r="H135" s="23">
        <f>IF($A135="","",$F135+$G135)</f>
      </c>
      <c r="I135" s="20">
        <f>IF($A135="","",SUMPRODUCT((MOD(COLUMN('Daily Attendance'!$AH135:$BM135)-COLUMN('Daily Attendance'!$AH135),2)=0)*'Daily Attendance'!$AH135:$BM135))</f>
      </c>
      <c r="J135" s="21">
        <f>IF($A135="","",SUMPRODUCT((MOD(COLUMN('Daily Attendance'!$AH135:$BM135)-COLUMN('Daily Attendance'!$AH135),2)=1)*'Daily Attendance'!$AH135:$BM135))</f>
      </c>
      <c r="K135" s="22">
        <f>IF($A135="","",$I135*IF($C135="Worker",Worker_DailyWage,IF($C135="Laborer",Laborer_DailyWage,0)))</f>
      </c>
      <c r="L135" s="22">
        <f>IF($A135="","",$J135*IF($C135="Worker",Worker_OTRate,IF($C135="Laborer",Laborer_OTRate,0)))</f>
      </c>
      <c r="M135" s="23">
        <f>IF($A135="","",$K135+$L135)</f>
      </c>
      <c r="N135" s="23">
        <f>IF($A135="","",$H135+$M135)</f>
      </c>
    </row>
    <row r="136">
      <c r="A136" s="17">
        <f>IF('Daily Attendance'!A136="","",'Daily Attendance'!A136)</f>
      </c>
      <c r="B136" s="18">
        <f>IF($A136="","",'Daily Attendance'!B136)</f>
      </c>
      <c r="C136" s="19">
        <f>IF($A136="","",'Daily Attendance'!C136)</f>
      </c>
      <c r="D136" s="20">
        <f>IF($A136="","",SUMPRODUCT((MOD(COLUMN('Daily Attendance'!$D136:$AG136)-COLUMN('Daily Attendance'!$D136),2)=0)*'Daily Attendance'!$D136:$AG136))</f>
      </c>
      <c r="E136" s="21">
        <f>IF($A136="","",SUMPRODUCT((MOD(COLUMN('Daily Attendance'!$D136:$AG136)-COLUMN('Daily Attendance'!$D136),2)=1)*'Daily Attendance'!$D136:$AG136))</f>
      </c>
      <c r="F136" s="22">
        <f>IF($A136="","",$D136*IF($C136="Worker",Worker_DailyWage,IF($C136="Laborer",Laborer_DailyWage,0)))</f>
      </c>
      <c r="G136" s="22">
        <f>IF($A136="","",$E136*IF($C136="Worker",Worker_OTRate,IF($C136="Laborer",Laborer_OTRate,0)))</f>
      </c>
      <c r="H136" s="23">
        <f>IF($A136="","",$F136+$G136)</f>
      </c>
      <c r="I136" s="20">
        <f>IF($A136="","",SUMPRODUCT((MOD(COLUMN('Daily Attendance'!$AH136:$BM136)-COLUMN('Daily Attendance'!$AH136),2)=0)*'Daily Attendance'!$AH136:$BM136))</f>
      </c>
      <c r="J136" s="21">
        <f>IF($A136="","",SUMPRODUCT((MOD(COLUMN('Daily Attendance'!$AH136:$BM136)-COLUMN('Daily Attendance'!$AH136),2)=1)*'Daily Attendance'!$AH136:$BM136))</f>
      </c>
      <c r="K136" s="22">
        <f>IF($A136="","",$I136*IF($C136="Worker",Worker_DailyWage,IF($C136="Laborer",Laborer_DailyWage,0)))</f>
      </c>
      <c r="L136" s="22">
        <f>IF($A136="","",$J136*IF($C136="Worker",Worker_OTRate,IF($C136="Laborer",Laborer_OTRate,0)))</f>
      </c>
      <c r="M136" s="23">
        <f>IF($A136="","",$K136+$L136)</f>
      </c>
      <c r="N136" s="23">
        <f>IF($A136="","",$H136+$M136)</f>
      </c>
    </row>
    <row r="137">
      <c r="A137" s="17">
        <f>IF('Daily Attendance'!A137="","",'Daily Attendance'!A137)</f>
      </c>
      <c r="B137" s="18">
        <f>IF($A137="","",'Daily Attendance'!B137)</f>
      </c>
      <c r="C137" s="19">
        <f>IF($A137="","",'Daily Attendance'!C137)</f>
      </c>
      <c r="D137" s="20">
        <f>IF($A137="","",SUMPRODUCT((MOD(COLUMN('Daily Attendance'!$D137:$AG137)-COLUMN('Daily Attendance'!$D137),2)=0)*'Daily Attendance'!$D137:$AG137))</f>
      </c>
      <c r="E137" s="21">
        <f>IF($A137="","",SUMPRODUCT((MOD(COLUMN('Daily Attendance'!$D137:$AG137)-COLUMN('Daily Attendance'!$D137),2)=1)*'Daily Attendance'!$D137:$AG137))</f>
      </c>
      <c r="F137" s="22">
        <f>IF($A137="","",$D137*IF($C137="Worker",Worker_DailyWage,IF($C137="Laborer",Laborer_DailyWage,0)))</f>
      </c>
      <c r="G137" s="22">
        <f>IF($A137="","",$E137*IF($C137="Worker",Worker_OTRate,IF($C137="Laborer",Laborer_OTRate,0)))</f>
      </c>
      <c r="H137" s="23">
        <f>IF($A137="","",$F137+$G137)</f>
      </c>
      <c r="I137" s="20">
        <f>IF($A137="","",SUMPRODUCT((MOD(COLUMN('Daily Attendance'!$AH137:$BM137)-COLUMN('Daily Attendance'!$AH137),2)=0)*'Daily Attendance'!$AH137:$BM137))</f>
      </c>
      <c r="J137" s="21">
        <f>IF($A137="","",SUMPRODUCT((MOD(COLUMN('Daily Attendance'!$AH137:$BM137)-COLUMN('Daily Attendance'!$AH137),2)=1)*'Daily Attendance'!$AH137:$BM137))</f>
      </c>
      <c r="K137" s="22">
        <f>IF($A137="","",$I137*IF($C137="Worker",Worker_DailyWage,IF($C137="Laborer",Laborer_DailyWage,0)))</f>
      </c>
      <c r="L137" s="22">
        <f>IF($A137="","",$J137*IF($C137="Worker",Worker_OTRate,IF($C137="Laborer",Laborer_OTRate,0)))</f>
      </c>
      <c r="M137" s="23">
        <f>IF($A137="","",$K137+$L137)</f>
      </c>
      <c r="N137" s="23">
        <f>IF($A137="","",$H137+$M137)</f>
      </c>
    </row>
    <row r="138">
      <c r="A138" s="17">
        <f>IF('Daily Attendance'!A138="","",'Daily Attendance'!A138)</f>
      </c>
      <c r="B138" s="18">
        <f>IF($A138="","",'Daily Attendance'!B138)</f>
      </c>
      <c r="C138" s="19">
        <f>IF($A138="","",'Daily Attendance'!C138)</f>
      </c>
      <c r="D138" s="20">
        <f>IF($A138="","",SUMPRODUCT((MOD(COLUMN('Daily Attendance'!$D138:$AG138)-COLUMN('Daily Attendance'!$D138),2)=0)*'Daily Attendance'!$D138:$AG138))</f>
      </c>
      <c r="E138" s="21">
        <f>IF($A138="","",SUMPRODUCT((MOD(COLUMN('Daily Attendance'!$D138:$AG138)-COLUMN('Daily Attendance'!$D138),2)=1)*'Daily Attendance'!$D138:$AG138))</f>
      </c>
      <c r="F138" s="22">
        <f>IF($A138="","",$D138*IF($C138="Worker",Worker_DailyWage,IF($C138="Laborer",Laborer_DailyWage,0)))</f>
      </c>
      <c r="G138" s="22">
        <f>IF($A138="","",$E138*IF($C138="Worker",Worker_OTRate,IF($C138="Laborer",Laborer_OTRate,0)))</f>
      </c>
      <c r="H138" s="23">
        <f>IF($A138="","",$F138+$G138)</f>
      </c>
      <c r="I138" s="20">
        <f>IF($A138="","",SUMPRODUCT((MOD(COLUMN('Daily Attendance'!$AH138:$BM138)-COLUMN('Daily Attendance'!$AH138),2)=0)*'Daily Attendance'!$AH138:$BM138))</f>
      </c>
      <c r="J138" s="21">
        <f>IF($A138="","",SUMPRODUCT((MOD(COLUMN('Daily Attendance'!$AH138:$BM138)-COLUMN('Daily Attendance'!$AH138),2)=1)*'Daily Attendance'!$AH138:$BM138))</f>
      </c>
      <c r="K138" s="22">
        <f>IF($A138="","",$I138*IF($C138="Worker",Worker_DailyWage,IF($C138="Laborer",Laborer_DailyWage,0)))</f>
      </c>
      <c r="L138" s="22">
        <f>IF($A138="","",$J138*IF($C138="Worker",Worker_OTRate,IF($C138="Laborer",Laborer_OTRate,0)))</f>
      </c>
      <c r="M138" s="23">
        <f>IF($A138="","",$K138+$L138)</f>
      </c>
      <c r="N138" s="23">
        <f>IF($A138="","",$H138+$M138)</f>
      </c>
    </row>
    <row r="139">
      <c r="A139" s="17">
        <f>IF('Daily Attendance'!A139="","",'Daily Attendance'!A139)</f>
      </c>
      <c r="B139" s="18">
        <f>IF($A139="","",'Daily Attendance'!B139)</f>
      </c>
      <c r="C139" s="19">
        <f>IF($A139="","",'Daily Attendance'!C139)</f>
      </c>
      <c r="D139" s="20">
        <f>IF($A139="","",SUMPRODUCT((MOD(COLUMN('Daily Attendance'!$D139:$AG139)-COLUMN('Daily Attendance'!$D139),2)=0)*'Daily Attendance'!$D139:$AG139))</f>
      </c>
      <c r="E139" s="21">
        <f>IF($A139="","",SUMPRODUCT((MOD(COLUMN('Daily Attendance'!$D139:$AG139)-COLUMN('Daily Attendance'!$D139),2)=1)*'Daily Attendance'!$D139:$AG139))</f>
      </c>
      <c r="F139" s="22">
        <f>IF($A139="","",$D139*IF($C139="Worker",Worker_DailyWage,IF($C139="Laborer",Laborer_DailyWage,0)))</f>
      </c>
      <c r="G139" s="22">
        <f>IF($A139="","",$E139*IF($C139="Worker",Worker_OTRate,IF($C139="Laborer",Laborer_OTRate,0)))</f>
      </c>
      <c r="H139" s="23">
        <f>IF($A139="","",$F139+$G139)</f>
      </c>
      <c r="I139" s="20">
        <f>IF($A139="","",SUMPRODUCT((MOD(COLUMN('Daily Attendance'!$AH139:$BM139)-COLUMN('Daily Attendance'!$AH139),2)=0)*'Daily Attendance'!$AH139:$BM139))</f>
      </c>
      <c r="J139" s="21">
        <f>IF($A139="","",SUMPRODUCT((MOD(COLUMN('Daily Attendance'!$AH139:$BM139)-COLUMN('Daily Attendance'!$AH139),2)=1)*'Daily Attendance'!$AH139:$BM139))</f>
      </c>
      <c r="K139" s="22">
        <f>IF($A139="","",$I139*IF($C139="Worker",Worker_DailyWage,IF($C139="Laborer",Laborer_DailyWage,0)))</f>
      </c>
      <c r="L139" s="22">
        <f>IF($A139="","",$J139*IF($C139="Worker",Worker_OTRate,IF($C139="Laborer",Laborer_OTRate,0)))</f>
      </c>
      <c r="M139" s="23">
        <f>IF($A139="","",$K139+$L139)</f>
      </c>
      <c r="N139" s="23">
        <f>IF($A139="","",$H139+$M139)</f>
      </c>
    </row>
    <row r="140">
      <c r="A140" s="17">
        <f>IF('Daily Attendance'!A140="","",'Daily Attendance'!A140)</f>
      </c>
      <c r="B140" s="18">
        <f>IF($A140="","",'Daily Attendance'!B140)</f>
      </c>
      <c r="C140" s="19">
        <f>IF($A140="","",'Daily Attendance'!C140)</f>
      </c>
      <c r="D140" s="20">
        <f>IF($A140="","",SUMPRODUCT((MOD(COLUMN('Daily Attendance'!$D140:$AG140)-COLUMN('Daily Attendance'!$D140),2)=0)*'Daily Attendance'!$D140:$AG140))</f>
      </c>
      <c r="E140" s="21">
        <f>IF($A140="","",SUMPRODUCT((MOD(COLUMN('Daily Attendance'!$D140:$AG140)-COLUMN('Daily Attendance'!$D140),2)=1)*'Daily Attendance'!$D140:$AG140))</f>
      </c>
      <c r="F140" s="22">
        <f>IF($A140="","",$D140*IF($C140="Worker",Worker_DailyWage,IF($C140="Laborer",Laborer_DailyWage,0)))</f>
      </c>
      <c r="G140" s="22">
        <f>IF($A140="","",$E140*IF($C140="Worker",Worker_OTRate,IF($C140="Laborer",Laborer_OTRate,0)))</f>
      </c>
      <c r="H140" s="23">
        <f>IF($A140="","",$F140+$G140)</f>
      </c>
      <c r="I140" s="20">
        <f>IF($A140="","",SUMPRODUCT((MOD(COLUMN('Daily Attendance'!$AH140:$BM140)-COLUMN('Daily Attendance'!$AH140),2)=0)*'Daily Attendance'!$AH140:$BM140))</f>
      </c>
      <c r="J140" s="21">
        <f>IF($A140="","",SUMPRODUCT((MOD(COLUMN('Daily Attendance'!$AH140:$BM140)-COLUMN('Daily Attendance'!$AH140),2)=1)*'Daily Attendance'!$AH140:$BM140))</f>
      </c>
      <c r="K140" s="22">
        <f>IF($A140="","",$I140*IF($C140="Worker",Worker_DailyWage,IF($C140="Laborer",Laborer_DailyWage,0)))</f>
      </c>
      <c r="L140" s="22">
        <f>IF($A140="","",$J140*IF($C140="Worker",Worker_OTRate,IF($C140="Laborer",Laborer_OTRate,0)))</f>
      </c>
      <c r="M140" s="23">
        <f>IF($A140="","",$K140+$L140)</f>
      </c>
      <c r="N140" s="23">
        <f>IF($A140="","",$H140+$M140)</f>
      </c>
    </row>
    <row r="141">
      <c r="A141" s="17">
        <f>IF('Daily Attendance'!A141="","",'Daily Attendance'!A141)</f>
      </c>
      <c r="B141" s="18">
        <f>IF($A141="","",'Daily Attendance'!B141)</f>
      </c>
      <c r="C141" s="19">
        <f>IF($A141="","",'Daily Attendance'!C141)</f>
      </c>
      <c r="D141" s="20">
        <f>IF($A141="","",SUMPRODUCT((MOD(COLUMN('Daily Attendance'!$D141:$AG141)-COLUMN('Daily Attendance'!$D141),2)=0)*'Daily Attendance'!$D141:$AG141))</f>
      </c>
      <c r="E141" s="21">
        <f>IF($A141="","",SUMPRODUCT((MOD(COLUMN('Daily Attendance'!$D141:$AG141)-COLUMN('Daily Attendance'!$D141),2)=1)*'Daily Attendance'!$D141:$AG141))</f>
      </c>
      <c r="F141" s="22">
        <f>IF($A141="","",$D141*IF($C141="Worker",Worker_DailyWage,IF($C141="Laborer",Laborer_DailyWage,0)))</f>
      </c>
      <c r="G141" s="22">
        <f>IF($A141="","",$E141*IF($C141="Worker",Worker_OTRate,IF($C141="Laborer",Laborer_OTRate,0)))</f>
      </c>
      <c r="H141" s="23">
        <f>IF($A141="","",$F141+$G141)</f>
      </c>
      <c r="I141" s="20">
        <f>IF($A141="","",SUMPRODUCT((MOD(COLUMN('Daily Attendance'!$AH141:$BM141)-COLUMN('Daily Attendance'!$AH141),2)=0)*'Daily Attendance'!$AH141:$BM141))</f>
      </c>
      <c r="J141" s="21">
        <f>IF($A141="","",SUMPRODUCT((MOD(COLUMN('Daily Attendance'!$AH141:$BM141)-COLUMN('Daily Attendance'!$AH141),2)=1)*'Daily Attendance'!$AH141:$BM141))</f>
      </c>
      <c r="K141" s="22">
        <f>IF($A141="","",$I141*IF($C141="Worker",Worker_DailyWage,IF($C141="Laborer",Laborer_DailyWage,0)))</f>
      </c>
      <c r="L141" s="22">
        <f>IF($A141="","",$J141*IF($C141="Worker",Worker_OTRate,IF($C141="Laborer",Laborer_OTRate,0)))</f>
      </c>
      <c r="M141" s="23">
        <f>IF($A141="","",$K141+$L141)</f>
      </c>
      <c r="N141" s="23">
        <f>IF($A141="","",$H141+$M141)</f>
      </c>
    </row>
    <row r="142">
      <c r="A142" s="17">
        <f>IF('Daily Attendance'!A142="","",'Daily Attendance'!A142)</f>
      </c>
      <c r="B142" s="18">
        <f>IF($A142="","",'Daily Attendance'!B142)</f>
      </c>
      <c r="C142" s="19">
        <f>IF($A142="","",'Daily Attendance'!C142)</f>
      </c>
      <c r="D142" s="20">
        <f>IF($A142="","",SUMPRODUCT((MOD(COLUMN('Daily Attendance'!$D142:$AG142)-COLUMN('Daily Attendance'!$D142),2)=0)*'Daily Attendance'!$D142:$AG142))</f>
      </c>
      <c r="E142" s="21">
        <f>IF($A142="","",SUMPRODUCT((MOD(COLUMN('Daily Attendance'!$D142:$AG142)-COLUMN('Daily Attendance'!$D142),2)=1)*'Daily Attendance'!$D142:$AG142))</f>
      </c>
      <c r="F142" s="22">
        <f>IF($A142="","",$D142*IF($C142="Worker",Worker_DailyWage,IF($C142="Laborer",Laborer_DailyWage,0)))</f>
      </c>
      <c r="G142" s="22">
        <f>IF($A142="","",$E142*IF($C142="Worker",Worker_OTRate,IF($C142="Laborer",Laborer_OTRate,0)))</f>
      </c>
      <c r="H142" s="23">
        <f>IF($A142="","",$F142+$G142)</f>
      </c>
      <c r="I142" s="20">
        <f>IF($A142="","",SUMPRODUCT((MOD(COLUMN('Daily Attendance'!$AH142:$BM142)-COLUMN('Daily Attendance'!$AH142),2)=0)*'Daily Attendance'!$AH142:$BM142))</f>
      </c>
      <c r="J142" s="21">
        <f>IF($A142="","",SUMPRODUCT((MOD(COLUMN('Daily Attendance'!$AH142:$BM142)-COLUMN('Daily Attendance'!$AH142),2)=1)*'Daily Attendance'!$AH142:$BM142))</f>
      </c>
      <c r="K142" s="22">
        <f>IF($A142="","",$I142*IF($C142="Worker",Worker_DailyWage,IF($C142="Laborer",Laborer_DailyWage,0)))</f>
      </c>
      <c r="L142" s="22">
        <f>IF($A142="","",$J142*IF($C142="Worker",Worker_OTRate,IF($C142="Laborer",Laborer_OTRate,0)))</f>
      </c>
      <c r="M142" s="23">
        <f>IF($A142="","",$K142+$L142)</f>
      </c>
      <c r="N142" s="23">
        <f>IF($A142="","",$H142+$M142)</f>
      </c>
    </row>
    <row r="143">
      <c r="A143" s="17">
        <f>IF('Daily Attendance'!A143="","",'Daily Attendance'!A143)</f>
      </c>
      <c r="B143" s="18">
        <f>IF($A143="","",'Daily Attendance'!B143)</f>
      </c>
      <c r="C143" s="19">
        <f>IF($A143="","",'Daily Attendance'!C143)</f>
      </c>
      <c r="D143" s="20">
        <f>IF($A143="","",SUMPRODUCT((MOD(COLUMN('Daily Attendance'!$D143:$AG143)-COLUMN('Daily Attendance'!$D143),2)=0)*'Daily Attendance'!$D143:$AG143))</f>
      </c>
      <c r="E143" s="21">
        <f>IF($A143="","",SUMPRODUCT((MOD(COLUMN('Daily Attendance'!$D143:$AG143)-COLUMN('Daily Attendance'!$D143),2)=1)*'Daily Attendance'!$D143:$AG143))</f>
      </c>
      <c r="F143" s="22">
        <f>IF($A143="","",$D143*IF($C143="Worker",Worker_DailyWage,IF($C143="Laborer",Laborer_DailyWage,0)))</f>
      </c>
      <c r="G143" s="22">
        <f>IF($A143="","",$E143*IF($C143="Worker",Worker_OTRate,IF($C143="Laborer",Laborer_OTRate,0)))</f>
      </c>
      <c r="H143" s="23">
        <f>IF($A143="","",$F143+$G143)</f>
      </c>
      <c r="I143" s="20">
        <f>IF($A143="","",SUMPRODUCT((MOD(COLUMN('Daily Attendance'!$AH143:$BM143)-COLUMN('Daily Attendance'!$AH143),2)=0)*'Daily Attendance'!$AH143:$BM143))</f>
      </c>
      <c r="J143" s="21">
        <f>IF($A143="","",SUMPRODUCT((MOD(COLUMN('Daily Attendance'!$AH143:$BM143)-COLUMN('Daily Attendance'!$AH143),2)=1)*'Daily Attendance'!$AH143:$BM143))</f>
      </c>
      <c r="K143" s="22">
        <f>IF($A143="","",$I143*IF($C143="Worker",Worker_DailyWage,IF($C143="Laborer",Laborer_DailyWage,0)))</f>
      </c>
      <c r="L143" s="22">
        <f>IF($A143="","",$J143*IF($C143="Worker",Worker_OTRate,IF($C143="Laborer",Laborer_OTRate,0)))</f>
      </c>
      <c r="M143" s="23">
        <f>IF($A143="","",$K143+$L143)</f>
      </c>
      <c r="N143" s="23">
        <f>IF($A143="","",$H143+$M143)</f>
      </c>
    </row>
    <row r="144">
      <c r="A144" s="17">
        <f>IF('Daily Attendance'!A144="","",'Daily Attendance'!A144)</f>
      </c>
      <c r="B144" s="18">
        <f>IF($A144="","",'Daily Attendance'!B144)</f>
      </c>
      <c r="C144" s="19">
        <f>IF($A144="","",'Daily Attendance'!C144)</f>
      </c>
      <c r="D144" s="20">
        <f>IF($A144="","",SUMPRODUCT((MOD(COLUMN('Daily Attendance'!$D144:$AG144)-COLUMN('Daily Attendance'!$D144),2)=0)*'Daily Attendance'!$D144:$AG144))</f>
      </c>
      <c r="E144" s="21">
        <f>IF($A144="","",SUMPRODUCT((MOD(COLUMN('Daily Attendance'!$D144:$AG144)-COLUMN('Daily Attendance'!$D144),2)=1)*'Daily Attendance'!$D144:$AG144))</f>
      </c>
      <c r="F144" s="22">
        <f>IF($A144="","",$D144*IF($C144="Worker",Worker_DailyWage,IF($C144="Laborer",Laborer_DailyWage,0)))</f>
      </c>
      <c r="G144" s="22">
        <f>IF($A144="","",$E144*IF($C144="Worker",Worker_OTRate,IF($C144="Laborer",Laborer_OTRate,0)))</f>
      </c>
      <c r="H144" s="23">
        <f>IF($A144="","",$F144+$G144)</f>
      </c>
      <c r="I144" s="20">
        <f>IF($A144="","",SUMPRODUCT((MOD(COLUMN('Daily Attendance'!$AH144:$BM144)-COLUMN('Daily Attendance'!$AH144),2)=0)*'Daily Attendance'!$AH144:$BM144))</f>
      </c>
      <c r="J144" s="21">
        <f>IF($A144="","",SUMPRODUCT((MOD(COLUMN('Daily Attendance'!$AH144:$BM144)-COLUMN('Daily Attendance'!$AH144),2)=1)*'Daily Attendance'!$AH144:$BM144))</f>
      </c>
      <c r="K144" s="22">
        <f>IF($A144="","",$I144*IF($C144="Worker",Worker_DailyWage,IF($C144="Laborer",Laborer_DailyWage,0)))</f>
      </c>
      <c r="L144" s="22">
        <f>IF($A144="","",$J144*IF($C144="Worker",Worker_OTRate,IF($C144="Laborer",Laborer_OTRate,0)))</f>
      </c>
      <c r="M144" s="23">
        <f>IF($A144="","",$K144+$L144)</f>
      </c>
      <c r="N144" s="23">
        <f>IF($A144="","",$H144+$M144)</f>
      </c>
    </row>
    <row r="145">
      <c r="A145" s="17">
        <f>IF('Daily Attendance'!A145="","",'Daily Attendance'!A145)</f>
      </c>
      <c r="B145" s="18">
        <f>IF($A145="","",'Daily Attendance'!B145)</f>
      </c>
      <c r="C145" s="19">
        <f>IF($A145="","",'Daily Attendance'!C145)</f>
      </c>
      <c r="D145" s="20">
        <f>IF($A145="","",SUMPRODUCT((MOD(COLUMN('Daily Attendance'!$D145:$AG145)-COLUMN('Daily Attendance'!$D145),2)=0)*'Daily Attendance'!$D145:$AG145))</f>
      </c>
      <c r="E145" s="21">
        <f>IF($A145="","",SUMPRODUCT((MOD(COLUMN('Daily Attendance'!$D145:$AG145)-COLUMN('Daily Attendance'!$D145),2)=1)*'Daily Attendance'!$D145:$AG145))</f>
      </c>
      <c r="F145" s="22">
        <f>IF($A145="","",$D145*IF($C145="Worker",Worker_DailyWage,IF($C145="Laborer",Laborer_DailyWage,0)))</f>
      </c>
      <c r="G145" s="22">
        <f>IF($A145="","",$E145*IF($C145="Worker",Worker_OTRate,IF($C145="Laborer",Laborer_OTRate,0)))</f>
      </c>
      <c r="H145" s="23">
        <f>IF($A145="","",$F145+$G145)</f>
      </c>
      <c r="I145" s="20">
        <f>IF($A145="","",SUMPRODUCT((MOD(COLUMN('Daily Attendance'!$AH145:$BM145)-COLUMN('Daily Attendance'!$AH145),2)=0)*'Daily Attendance'!$AH145:$BM145))</f>
      </c>
      <c r="J145" s="21">
        <f>IF($A145="","",SUMPRODUCT((MOD(COLUMN('Daily Attendance'!$AH145:$BM145)-COLUMN('Daily Attendance'!$AH145),2)=1)*'Daily Attendance'!$AH145:$BM145))</f>
      </c>
      <c r="K145" s="22">
        <f>IF($A145="","",$I145*IF($C145="Worker",Worker_DailyWage,IF($C145="Laborer",Laborer_DailyWage,0)))</f>
      </c>
      <c r="L145" s="22">
        <f>IF($A145="","",$J145*IF($C145="Worker",Worker_OTRate,IF($C145="Laborer",Laborer_OTRate,0)))</f>
      </c>
      <c r="M145" s="23">
        <f>IF($A145="","",$K145+$L145)</f>
      </c>
      <c r="N145" s="23">
        <f>IF($A145="","",$H145+$M145)</f>
      </c>
    </row>
    <row r="146">
      <c r="A146" s="17">
        <f>IF('Daily Attendance'!A146="","",'Daily Attendance'!A146)</f>
      </c>
      <c r="B146" s="18">
        <f>IF($A146="","",'Daily Attendance'!B146)</f>
      </c>
      <c r="C146" s="19">
        <f>IF($A146="","",'Daily Attendance'!C146)</f>
      </c>
      <c r="D146" s="20">
        <f>IF($A146="","",SUMPRODUCT((MOD(COLUMN('Daily Attendance'!$D146:$AG146)-COLUMN('Daily Attendance'!$D146),2)=0)*'Daily Attendance'!$D146:$AG146))</f>
      </c>
      <c r="E146" s="21">
        <f>IF($A146="","",SUMPRODUCT((MOD(COLUMN('Daily Attendance'!$D146:$AG146)-COLUMN('Daily Attendance'!$D146),2)=1)*'Daily Attendance'!$D146:$AG146))</f>
      </c>
      <c r="F146" s="22">
        <f>IF($A146="","",$D146*IF($C146="Worker",Worker_DailyWage,IF($C146="Laborer",Laborer_DailyWage,0)))</f>
      </c>
      <c r="G146" s="22">
        <f>IF($A146="","",$E146*IF($C146="Worker",Worker_OTRate,IF($C146="Laborer",Laborer_OTRate,0)))</f>
      </c>
      <c r="H146" s="23">
        <f>IF($A146="","",$F146+$G146)</f>
      </c>
      <c r="I146" s="20">
        <f>IF($A146="","",SUMPRODUCT((MOD(COLUMN('Daily Attendance'!$AH146:$BM146)-COLUMN('Daily Attendance'!$AH146),2)=0)*'Daily Attendance'!$AH146:$BM146))</f>
      </c>
      <c r="J146" s="21">
        <f>IF($A146="","",SUMPRODUCT((MOD(COLUMN('Daily Attendance'!$AH146:$BM146)-COLUMN('Daily Attendance'!$AH146),2)=1)*'Daily Attendance'!$AH146:$BM146))</f>
      </c>
      <c r="K146" s="22">
        <f>IF($A146="","",$I146*IF($C146="Worker",Worker_DailyWage,IF($C146="Laborer",Laborer_DailyWage,0)))</f>
      </c>
      <c r="L146" s="22">
        <f>IF($A146="","",$J146*IF($C146="Worker",Worker_OTRate,IF($C146="Laborer",Laborer_OTRate,0)))</f>
      </c>
      <c r="M146" s="23">
        <f>IF($A146="","",$K146+$L146)</f>
      </c>
      <c r="N146" s="23">
        <f>IF($A146="","",$H146+$M146)</f>
      </c>
    </row>
    <row r="147">
      <c r="A147" s="17">
        <f>IF('Daily Attendance'!A147="","",'Daily Attendance'!A147)</f>
      </c>
      <c r="B147" s="18">
        <f>IF($A147="","",'Daily Attendance'!B147)</f>
      </c>
      <c r="C147" s="19">
        <f>IF($A147="","",'Daily Attendance'!C147)</f>
      </c>
      <c r="D147" s="20">
        <f>IF($A147="","",SUMPRODUCT((MOD(COLUMN('Daily Attendance'!$D147:$AG147)-COLUMN('Daily Attendance'!$D147),2)=0)*'Daily Attendance'!$D147:$AG147))</f>
      </c>
      <c r="E147" s="21">
        <f>IF($A147="","",SUMPRODUCT((MOD(COLUMN('Daily Attendance'!$D147:$AG147)-COLUMN('Daily Attendance'!$D147),2)=1)*'Daily Attendance'!$D147:$AG147))</f>
      </c>
      <c r="F147" s="22">
        <f>IF($A147="","",$D147*IF($C147="Worker",Worker_DailyWage,IF($C147="Laborer",Laborer_DailyWage,0)))</f>
      </c>
      <c r="G147" s="22">
        <f>IF($A147="","",$E147*IF($C147="Worker",Worker_OTRate,IF($C147="Laborer",Laborer_OTRate,0)))</f>
      </c>
      <c r="H147" s="23">
        <f>IF($A147="","",$F147+$G147)</f>
      </c>
      <c r="I147" s="20">
        <f>IF($A147="","",SUMPRODUCT((MOD(COLUMN('Daily Attendance'!$AH147:$BM147)-COLUMN('Daily Attendance'!$AH147),2)=0)*'Daily Attendance'!$AH147:$BM147))</f>
      </c>
      <c r="J147" s="21">
        <f>IF($A147="","",SUMPRODUCT((MOD(COLUMN('Daily Attendance'!$AH147:$BM147)-COLUMN('Daily Attendance'!$AH147),2)=1)*'Daily Attendance'!$AH147:$BM147))</f>
      </c>
      <c r="K147" s="22">
        <f>IF($A147="","",$I147*IF($C147="Worker",Worker_DailyWage,IF($C147="Laborer",Laborer_DailyWage,0)))</f>
      </c>
      <c r="L147" s="22">
        <f>IF($A147="","",$J147*IF($C147="Worker",Worker_OTRate,IF($C147="Laborer",Laborer_OTRate,0)))</f>
      </c>
      <c r="M147" s="23">
        <f>IF($A147="","",$K147+$L147)</f>
      </c>
      <c r="N147" s="23">
        <f>IF($A147="","",$H147+$M147)</f>
      </c>
    </row>
    <row r="148">
      <c r="A148" s="17">
        <f>IF('Daily Attendance'!A148="","",'Daily Attendance'!A148)</f>
      </c>
      <c r="B148" s="18">
        <f>IF($A148="","",'Daily Attendance'!B148)</f>
      </c>
      <c r="C148" s="19">
        <f>IF($A148="","",'Daily Attendance'!C148)</f>
      </c>
      <c r="D148" s="20">
        <f>IF($A148="","",SUMPRODUCT((MOD(COLUMN('Daily Attendance'!$D148:$AG148)-COLUMN('Daily Attendance'!$D148),2)=0)*'Daily Attendance'!$D148:$AG148))</f>
      </c>
      <c r="E148" s="21">
        <f>IF($A148="","",SUMPRODUCT((MOD(COLUMN('Daily Attendance'!$D148:$AG148)-COLUMN('Daily Attendance'!$D148),2)=1)*'Daily Attendance'!$D148:$AG148))</f>
      </c>
      <c r="F148" s="22">
        <f>IF($A148="","",$D148*IF($C148="Worker",Worker_DailyWage,IF($C148="Laborer",Laborer_DailyWage,0)))</f>
      </c>
      <c r="G148" s="22">
        <f>IF($A148="","",$E148*IF($C148="Worker",Worker_OTRate,IF($C148="Laborer",Laborer_OTRate,0)))</f>
      </c>
      <c r="H148" s="23">
        <f>IF($A148="","",$F148+$G148)</f>
      </c>
      <c r="I148" s="20">
        <f>IF($A148="","",SUMPRODUCT((MOD(COLUMN('Daily Attendance'!$AH148:$BM148)-COLUMN('Daily Attendance'!$AH148),2)=0)*'Daily Attendance'!$AH148:$BM148))</f>
      </c>
      <c r="J148" s="21">
        <f>IF($A148="","",SUMPRODUCT((MOD(COLUMN('Daily Attendance'!$AH148:$BM148)-COLUMN('Daily Attendance'!$AH148),2)=1)*'Daily Attendance'!$AH148:$BM148))</f>
      </c>
      <c r="K148" s="22">
        <f>IF($A148="","",$I148*IF($C148="Worker",Worker_DailyWage,IF($C148="Laborer",Laborer_DailyWage,0)))</f>
      </c>
      <c r="L148" s="22">
        <f>IF($A148="","",$J148*IF($C148="Worker",Worker_OTRate,IF($C148="Laborer",Laborer_OTRate,0)))</f>
      </c>
      <c r="M148" s="23">
        <f>IF($A148="","",$K148+$L148)</f>
      </c>
      <c r="N148" s="23">
        <f>IF($A148="","",$H148+$M148)</f>
      </c>
    </row>
    <row r="149">
      <c r="A149" s="17">
        <f>IF('Daily Attendance'!A149="","",'Daily Attendance'!A149)</f>
      </c>
      <c r="B149" s="18">
        <f>IF($A149="","",'Daily Attendance'!B149)</f>
      </c>
      <c r="C149" s="19">
        <f>IF($A149="","",'Daily Attendance'!C149)</f>
      </c>
      <c r="D149" s="20">
        <f>IF($A149="","",SUMPRODUCT((MOD(COLUMN('Daily Attendance'!$D149:$AG149)-COLUMN('Daily Attendance'!$D149),2)=0)*'Daily Attendance'!$D149:$AG149))</f>
      </c>
      <c r="E149" s="21">
        <f>IF($A149="","",SUMPRODUCT((MOD(COLUMN('Daily Attendance'!$D149:$AG149)-COLUMN('Daily Attendance'!$D149),2)=1)*'Daily Attendance'!$D149:$AG149))</f>
      </c>
      <c r="F149" s="22">
        <f>IF($A149="","",$D149*IF($C149="Worker",Worker_DailyWage,IF($C149="Laborer",Laborer_DailyWage,0)))</f>
      </c>
      <c r="G149" s="22">
        <f>IF($A149="","",$E149*IF($C149="Worker",Worker_OTRate,IF($C149="Laborer",Laborer_OTRate,0)))</f>
      </c>
      <c r="H149" s="23">
        <f>IF($A149="","",$F149+$G149)</f>
      </c>
      <c r="I149" s="20">
        <f>IF($A149="","",SUMPRODUCT((MOD(COLUMN('Daily Attendance'!$AH149:$BM149)-COLUMN('Daily Attendance'!$AH149),2)=0)*'Daily Attendance'!$AH149:$BM149))</f>
      </c>
      <c r="J149" s="21">
        <f>IF($A149="","",SUMPRODUCT((MOD(COLUMN('Daily Attendance'!$AH149:$BM149)-COLUMN('Daily Attendance'!$AH149),2)=1)*'Daily Attendance'!$AH149:$BM149))</f>
      </c>
      <c r="K149" s="22">
        <f>IF($A149="","",$I149*IF($C149="Worker",Worker_DailyWage,IF($C149="Laborer",Laborer_DailyWage,0)))</f>
      </c>
      <c r="L149" s="22">
        <f>IF($A149="","",$J149*IF($C149="Worker",Worker_OTRate,IF($C149="Laborer",Laborer_OTRate,0)))</f>
      </c>
      <c r="M149" s="23">
        <f>IF($A149="","",$K149+$L149)</f>
      </c>
      <c r="N149" s="23">
        <f>IF($A149="","",$H149+$M149)</f>
      </c>
    </row>
    <row r="150">
      <c r="A150" s="17">
        <f>IF('Daily Attendance'!A150="","",'Daily Attendance'!A150)</f>
      </c>
      <c r="B150" s="18">
        <f>IF($A150="","",'Daily Attendance'!B150)</f>
      </c>
      <c r="C150" s="19">
        <f>IF($A150="","",'Daily Attendance'!C150)</f>
      </c>
      <c r="D150" s="20">
        <f>IF($A150="","",SUMPRODUCT((MOD(COLUMN('Daily Attendance'!$D150:$AG150)-COLUMN('Daily Attendance'!$D150),2)=0)*'Daily Attendance'!$D150:$AG150))</f>
      </c>
      <c r="E150" s="21">
        <f>IF($A150="","",SUMPRODUCT((MOD(COLUMN('Daily Attendance'!$D150:$AG150)-COLUMN('Daily Attendance'!$D150),2)=1)*'Daily Attendance'!$D150:$AG150))</f>
      </c>
      <c r="F150" s="22">
        <f>IF($A150="","",$D150*IF($C150="Worker",Worker_DailyWage,IF($C150="Laborer",Laborer_DailyWage,0)))</f>
      </c>
      <c r="G150" s="22">
        <f>IF($A150="","",$E150*IF($C150="Worker",Worker_OTRate,IF($C150="Laborer",Laborer_OTRate,0)))</f>
      </c>
      <c r="H150" s="23">
        <f>IF($A150="","",$F150+$G150)</f>
      </c>
      <c r="I150" s="20">
        <f>IF($A150="","",SUMPRODUCT((MOD(COLUMN('Daily Attendance'!$AH150:$BM150)-COLUMN('Daily Attendance'!$AH150),2)=0)*'Daily Attendance'!$AH150:$BM150))</f>
      </c>
      <c r="J150" s="21">
        <f>IF($A150="","",SUMPRODUCT((MOD(COLUMN('Daily Attendance'!$AH150:$BM150)-COLUMN('Daily Attendance'!$AH150),2)=1)*'Daily Attendance'!$AH150:$BM150))</f>
      </c>
      <c r="K150" s="22">
        <f>IF($A150="","",$I150*IF($C150="Worker",Worker_DailyWage,IF($C150="Laborer",Laborer_DailyWage,0)))</f>
      </c>
      <c r="L150" s="22">
        <f>IF($A150="","",$J150*IF($C150="Worker",Worker_OTRate,IF($C150="Laborer",Laborer_OTRate,0)))</f>
      </c>
      <c r="M150" s="23">
        <f>IF($A150="","",$K150+$L150)</f>
      </c>
      <c r="N150" s="23">
        <f>IF($A150="","",$H150+$M150)</f>
      </c>
    </row>
    <row r="151">
      <c r="A151" s="17">
        <f>IF('Daily Attendance'!A151="","",'Daily Attendance'!A151)</f>
      </c>
      <c r="B151" s="18">
        <f>IF($A151="","",'Daily Attendance'!B151)</f>
      </c>
      <c r="C151" s="19">
        <f>IF($A151="","",'Daily Attendance'!C151)</f>
      </c>
      <c r="D151" s="20">
        <f>IF($A151="","",SUMPRODUCT((MOD(COLUMN('Daily Attendance'!$D151:$AG151)-COLUMN('Daily Attendance'!$D151),2)=0)*'Daily Attendance'!$D151:$AG151))</f>
      </c>
      <c r="E151" s="21">
        <f>IF($A151="","",SUMPRODUCT((MOD(COLUMN('Daily Attendance'!$D151:$AG151)-COLUMN('Daily Attendance'!$D151),2)=1)*'Daily Attendance'!$D151:$AG151))</f>
      </c>
      <c r="F151" s="22">
        <f>IF($A151="","",$D151*IF($C151="Worker",Worker_DailyWage,IF($C151="Laborer",Laborer_DailyWage,0)))</f>
      </c>
      <c r="G151" s="22">
        <f>IF($A151="","",$E151*IF($C151="Worker",Worker_OTRate,IF($C151="Laborer",Laborer_OTRate,0)))</f>
      </c>
      <c r="H151" s="23">
        <f>IF($A151="","",$F151+$G151)</f>
      </c>
      <c r="I151" s="20">
        <f>IF($A151="","",SUMPRODUCT((MOD(COLUMN('Daily Attendance'!$AH151:$BM151)-COLUMN('Daily Attendance'!$AH151),2)=0)*'Daily Attendance'!$AH151:$BM151))</f>
      </c>
      <c r="J151" s="21">
        <f>IF($A151="","",SUMPRODUCT((MOD(COLUMN('Daily Attendance'!$AH151:$BM151)-COLUMN('Daily Attendance'!$AH151),2)=1)*'Daily Attendance'!$AH151:$BM151))</f>
      </c>
      <c r="K151" s="22">
        <f>IF($A151="","",$I151*IF($C151="Worker",Worker_DailyWage,IF($C151="Laborer",Laborer_DailyWage,0)))</f>
      </c>
      <c r="L151" s="22">
        <f>IF($A151="","",$J151*IF($C151="Worker",Worker_OTRate,IF($C151="Laborer",Laborer_OTRate,0)))</f>
      </c>
      <c r="M151" s="23">
        <f>IF($A151="","",$K151+$L151)</f>
      </c>
      <c r="N151" s="23">
        <f>IF($A151="","",$H151+$M151)</f>
      </c>
    </row>
    <row r="152">
      <c r="A152" s="17">
        <f>IF('Daily Attendance'!A152="","",'Daily Attendance'!A152)</f>
      </c>
      <c r="B152" s="18">
        <f>IF($A152="","",'Daily Attendance'!B152)</f>
      </c>
      <c r="C152" s="19">
        <f>IF($A152="","",'Daily Attendance'!C152)</f>
      </c>
      <c r="D152" s="20">
        <f>IF($A152="","",SUMPRODUCT((MOD(COLUMN('Daily Attendance'!$D152:$AG152)-COLUMN('Daily Attendance'!$D152),2)=0)*'Daily Attendance'!$D152:$AG152))</f>
      </c>
      <c r="E152" s="21">
        <f>IF($A152="","",SUMPRODUCT((MOD(COLUMN('Daily Attendance'!$D152:$AG152)-COLUMN('Daily Attendance'!$D152),2)=1)*'Daily Attendance'!$D152:$AG152))</f>
      </c>
      <c r="F152" s="22">
        <f>IF($A152="","",$D152*IF($C152="Worker",Worker_DailyWage,IF($C152="Laborer",Laborer_DailyWage,0)))</f>
      </c>
      <c r="G152" s="22">
        <f>IF($A152="","",$E152*IF($C152="Worker",Worker_OTRate,IF($C152="Laborer",Laborer_OTRate,0)))</f>
      </c>
      <c r="H152" s="23">
        <f>IF($A152="","",$F152+$G152)</f>
      </c>
      <c r="I152" s="20">
        <f>IF($A152="","",SUMPRODUCT((MOD(COLUMN('Daily Attendance'!$AH152:$BM152)-COLUMN('Daily Attendance'!$AH152),2)=0)*'Daily Attendance'!$AH152:$BM152))</f>
      </c>
      <c r="J152" s="21">
        <f>IF($A152="","",SUMPRODUCT((MOD(COLUMN('Daily Attendance'!$AH152:$BM152)-COLUMN('Daily Attendance'!$AH152),2)=1)*'Daily Attendance'!$AH152:$BM152))</f>
      </c>
      <c r="K152" s="22">
        <f>IF($A152="","",$I152*IF($C152="Worker",Worker_DailyWage,IF($C152="Laborer",Laborer_DailyWage,0)))</f>
      </c>
      <c r="L152" s="22">
        <f>IF($A152="","",$J152*IF($C152="Worker",Worker_OTRate,IF($C152="Laborer",Laborer_OTRate,0)))</f>
      </c>
      <c r="M152" s="23">
        <f>IF($A152="","",$K152+$L152)</f>
      </c>
      <c r="N152" s="23">
        <f>IF($A152="","",$H152+$M152)</f>
      </c>
    </row>
    <row r="153">
      <c r="A153" s="17">
        <f>IF('Daily Attendance'!A153="","",'Daily Attendance'!A153)</f>
      </c>
      <c r="B153" s="18">
        <f>IF($A153="","",'Daily Attendance'!B153)</f>
      </c>
      <c r="C153" s="19">
        <f>IF($A153="","",'Daily Attendance'!C153)</f>
      </c>
      <c r="D153" s="20">
        <f>IF($A153="","",SUMPRODUCT((MOD(COLUMN('Daily Attendance'!$D153:$AG153)-COLUMN('Daily Attendance'!$D153),2)=0)*'Daily Attendance'!$D153:$AG153))</f>
      </c>
      <c r="E153" s="21">
        <f>IF($A153="","",SUMPRODUCT((MOD(COLUMN('Daily Attendance'!$D153:$AG153)-COLUMN('Daily Attendance'!$D153),2)=1)*'Daily Attendance'!$D153:$AG153))</f>
      </c>
      <c r="F153" s="22">
        <f>IF($A153="","",$D153*IF($C153="Worker",Worker_DailyWage,IF($C153="Laborer",Laborer_DailyWage,0)))</f>
      </c>
      <c r="G153" s="22">
        <f>IF($A153="","",$E153*IF($C153="Worker",Worker_OTRate,IF($C153="Laborer",Laborer_OTRate,0)))</f>
      </c>
      <c r="H153" s="23">
        <f>IF($A153="","",$F153+$G153)</f>
      </c>
      <c r="I153" s="20">
        <f>IF($A153="","",SUMPRODUCT((MOD(COLUMN('Daily Attendance'!$AH153:$BM153)-COLUMN('Daily Attendance'!$AH153),2)=0)*'Daily Attendance'!$AH153:$BM153))</f>
      </c>
      <c r="J153" s="21">
        <f>IF($A153="","",SUMPRODUCT((MOD(COLUMN('Daily Attendance'!$AH153:$BM153)-COLUMN('Daily Attendance'!$AH153),2)=1)*'Daily Attendance'!$AH153:$BM153))</f>
      </c>
      <c r="K153" s="22">
        <f>IF($A153="","",$I153*IF($C153="Worker",Worker_DailyWage,IF($C153="Laborer",Laborer_DailyWage,0)))</f>
      </c>
      <c r="L153" s="22">
        <f>IF($A153="","",$J153*IF($C153="Worker",Worker_OTRate,IF($C153="Laborer",Laborer_OTRate,0)))</f>
      </c>
      <c r="M153" s="23">
        <f>IF($A153="","",$K153+$L153)</f>
      </c>
      <c r="N153" s="23">
        <f>IF($A153="","",$H153+$M153)</f>
      </c>
    </row>
    <row r="154">
      <c r="A154" s="17">
        <f>IF('Daily Attendance'!A154="","",'Daily Attendance'!A154)</f>
      </c>
      <c r="B154" s="18">
        <f>IF($A154="","",'Daily Attendance'!B154)</f>
      </c>
      <c r="C154" s="19">
        <f>IF($A154="","",'Daily Attendance'!C154)</f>
      </c>
      <c r="D154" s="20">
        <f>IF($A154="","",SUMPRODUCT((MOD(COLUMN('Daily Attendance'!$D154:$AG154)-COLUMN('Daily Attendance'!$D154),2)=0)*'Daily Attendance'!$D154:$AG154))</f>
      </c>
      <c r="E154" s="21">
        <f>IF($A154="","",SUMPRODUCT((MOD(COLUMN('Daily Attendance'!$D154:$AG154)-COLUMN('Daily Attendance'!$D154),2)=1)*'Daily Attendance'!$D154:$AG154))</f>
      </c>
      <c r="F154" s="22">
        <f>IF($A154="","",$D154*IF($C154="Worker",Worker_DailyWage,IF($C154="Laborer",Laborer_DailyWage,0)))</f>
      </c>
      <c r="G154" s="22">
        <f>IF($A154="","",$E154*IF($C154="Worker",Worker_OTRate,IF($C154="Laborer",Laborer_OTRate,0)))</f>
      </c>
      <c r="H154" s="23">
        <f>IF($A154="","",$F154+$G154)</f>
      </c>
      <c r="I154" s="20">
        <f>IF($A154="","",SUMPRODUCT((MOD(COLUMN('Daily Attendance'!$AH154:$BM154)-COLUMN('Daily Attendance'!$AH154),2)=0)*'Daily Attendance'!$AH154:$BM154))</f>
      </c>
      <c r="J154" s="21">
        <f>IF($A154="","",SUMPRODUCT((MOD(COLUMN('Daily Attendance'!$AH154:$BM154)-COLUMN('Daily Attendance'!$AH154),2)=1)*'Daily Attendance'!$AH154:$BM154))</f>
      </c>
      <c r="K154" s="22">
        <f>IF($A154="","",$I154*IF($C154="Worker",Worker_DailyWage,IF($C154="Laborer",Laborer_DailyWage,0)))</f>
      </c>
      <c r="L154" s="22">
        <f>IF($A154="","",$J154*IF($C154="Worker",Worker_OTRate,IF($C154="Laborer",Laborer_OTRate,0)))</f>
      </c>
      <c r="M154" s="23">
        <f>IF($A154="","",$K154+$L154)</f>
      </c>
      <c r="N154" s="23">
        <f>IF($A154="","",$H154+$M154)</f>
      </c>
    </row>
    <row r="155">
      <c r="A155" s="17">
        <f>IF('Daily Attendance'!A155="","",'Daily Attendance'!A155)</f>
      </c>
      <c r="B155" s="18">
        <f>IF($A155="","",'Daily Attendance'!B155)</f>
      </c>
      <c r="C155" s="19">
        <f>IF($A155="","",'Daily Attendance'!C155)</f>
      </c>
      <c r="D155" s="20">
        <f>IF($A155="","",SUMPRODUCT((MOD(COLUMN('Daily Attendance'!$D155:$AG155)-COLUMN('Daily Attendance'!$D155),2)=0)*'Daily Attendance'!$D155:$AG155))</f>
      </c>
      <c r="E155" s="21">
        <f>IF($A155="","",SUMPRODUCT((MOD(COLUMN('Daily Attendance'!$D155:$AG155)-COLUMN('Daily Attendance'!$D155),2)=1)*'Daily Attendance'!$D155:$AG155))</f>
      </c>
      <c r="F155" s="22">
        <f>IF($A155="","",$D155*IF($C155="Worker",Worker_DailyWage,IF($C155="Laborer",Laborer_DailyWage,0)))</f>
      </c>
      <c r="G155" s="22">
        <f>IF($A155="","",$E155*IF($C155="Worker",Worker_OTRate,IF($C155="Laborer",Laborer_OTRate,0)))</f>
      </c>
      <c r="H155" s="23">
        <f>IF($A155="","",$F155+$G155)</f>
      </c>
      <c r="I155" s="20">
        <f>IF($A155="","",SUMPRODUCT((MOD(COLUMN('Daily Attendance'!$AH155:$BM155)-COLUMN('Daily Attendance'!$AH155),2)=0)*'Daily Attendance'!$AH155:$BM155))</f>
      </c>
      <c r="J155" s="21">
        <f>IF($A155="","",SUMPRODUCT((MOD(COLUMN('Daily Attendance'!$AH155:$BM155)-COLUMN('Daily Attendance'!$AH155),2)=1)*'Daily Attendance'!$AH155:$BM155))</f>
      </c>
      <c r="K155" s="22">
        <f>IF($A155="","",$I155*IF($C155="Worker",Worker_DailyWage,IF($C155="Laborer",Laborer_DailyWage,0)))</f>
      </c>
      <c r="L155" s="22">
        <f>IF($A155="","",$J155*IF($C155="Worker",Worker_OTRate,IF($C155="Laborer",Laborer_OTRate,0)))</f>
      </c>
      <c r="M155" s="23">
        <f>IF($A155="","",$K155+$L155)</f>
      </c>
      <c r="N155" s="23">
        <f>IF($A155="","",$H155+$M155)</f>
      </c>
    </row>
    <row r="156">
      <c r="A156" s="17">
        <f>IF('Daily Attendance'!A156="","",'Daily Attendance'!A156)</f>
      </c>
      <c r="B156" s="18">
        <f>IF($A156="","",'Daily Attendance'!B156)</f>
      </c>
      <c r="C156" s="19">
        <f>IF($A156="","",'Daily Attendance'!C156)</f>
      </c>
      <c r="D156" s="20">
        <f>IF($A156="","",SUMPRODUCT((MOD(COLUMN('Daily Attendance'!$D156:$AG156)-COLUMN('Daily Attendance'!$D156),2)=0)*'Daily Attendance'!$D156:$AG156))</f>
      </c>
      <c r="E156" s="21">
        <f>IF($A156="","",SUMPRODUCT((MOD(COLUMN('Daily Attendance'!$D156:$AG156)-COLUMN('Daily Attendance'!$D156),2)=1)*'Daily Attendance'!$D156:$AG156))</f>
      </c>
      <c r="F156" s="22">
        <f>IF($A156="","",$D156*IF($C156="Worker",Worker_DailyWage,IF($C156="Laborer",Laborer_DailyWage,0)))</f>
      </c>
      <c r="G156" s="22">
        <f>IF($A156="","",$E156*IF($C156="Worker",Worker_OTRate,IF($C156="Laborer",Laborer_OTRate,0)))</f>
      </c>
      <c r="H156" s="23">
        <f>IF($A156="","",$F156+$G156)</f>
      </c>
      <c r="I156" s="20">
        <f>IF($A156="","",SUMPRODUCT((MOD(COLUMN('Daily Attendance'!$AH156:$BM156)-COLUMN('Daily Attendance'!$AH156),2)=0)*'Daily Attendance'!$AH156:$BM156))</f>
      </c>
      <c r="J156" s="21">
        <f>IF($A156="","",SUMPRODUCT((MOD(COLUMN('Daily Attendance'!$AH156:$BM156)-COLUMN('Daily Attendance'!$AH156),2)=1)*'Daily Attendance'!$AH156:$BM156))</f>
      </c>
      <c r="K156" s="22">
        <f>IF($A156="","",$I156*IF($C156="Worker",Worker_DailyWage,IF($C156="Laborer",Laborer_DailyWage,0)))</f>
      </c>
      <c r="L156" s="22">
        <f>IF($A156="","",$J156*IF($C156="Worker",Worker_OTRate,IF($C156="Laborer",Laborer_OTRate,0)))</f>
      </c>
      <c r="M156" s="23">
        <f>IF($A156="","",$K156+$L156)</f>
      </c>
      <c r="N156" s="23">
        <f>IF($A156="","",$H156+$M156)</f>
      </c>
    </row>
    <row r="157">
      <c r="A157" s="17">
        <f>IF('Daily Attendance'!A157="","",'Daily Attendance'!A157)</f>
      </c>
      <c r="B157" s="18">
        <f>IF($A157="","",'Daily Attendance'!B157)</f>
      </c>
      <c r="C157" s="19">
        <f>IF($A157="","",'Daily Attendance'!C157)</f>
      </c>
      <c r="D157" s="20">
        <f>IF($A157="","",SUMPRODUCT((MOD(COLUMN('Daily Attendance'!$D157:$AG157)-COLUMN('Daily Attendance'!$D157),2)=0)*'Daily Attendance'!$D157:$AG157))</f>
      </c>
      <c r="E157" s="21">
        <f>IF($A157="","",SUMPRODUCT((MOD(COLUMN('Daily Attendance'!$D157:$AG157)-COLUMN('Daily Attendance'!$D157),2)=1)*'Daily Attendance'!$D157:$AG157))</f>
      </c>
      <c r="F157" s="22">
        <f>IF($A157="","",$D157*IF($C157="Worker",Worker_DailyWage,IF($C157="Laborer",Laborer_DailyWage,0)))</f>
      </c>
      <c r="G157" s="22">
        <f>IF($A157="","",$E157*IF($C157="Worker",Worker_OTRate,IF($C157="Laborer",Laborer_OTRate,0)))</f>
      </c>
      <c r="H157" s="23">
        <f>IF($A157="","",$F157+$G157)</f>
      </c>
      <c r="I157" s="20">
        <f>IF($A157="","",SUMPRODUCT((MOD(COLUMN('Daily Attendance'!$AH157:$BM157)-COLUMN('Daily Attendance'!$AH157),2)=0)*'Daily Attendance'!$AH157:$BM157))</f>
      </c>
      <c r="J157" s="21">
        <f>IF($A157="","",SUMPRODUCT((MOD(COLUMN('Daily Attendance'!$AH157:$BM157)-COLUMN('Daily Attendance'!$AH157),2)=1)*'Daily Attendance'!$AH157:$BM157))</f>
      </c>
      <c r="K157" s="22">
        <f>IF($A157="","",$I157*IF($C157="Worker",Worker_DailyWage,IF($C157="Laborer",Laborer_DailyWage,0)))</f>
      </c>
      <c r="L157" s="22">
        <f>IF($A157="","",$J157*IF($C157="Worker",Worker_OTRate,IF($C157="Laborer",Laborer_OTRate,0)))</f>
      </c>
      <c r="M157" s="23">
        <f>IF($A157="","",$K157+$L157)</f>
      </c>
      <c r="N157" s="23">
        <f>IF($A157="","",$H157+$M157)</f>
      </c>
    </row>
    <row r="158">
      <c r="A158" s="17">
        <f>IF('Daily Attendance'!A158="","",'Daily Attendance'!A158)</f>
      </c>
      <c r="B158" s="18">
        <f>IF($A158="","",'Daily Attendance'!B158)</f>
      </c>
      <c r="C158" s="19">
        <f>IF($A158="","",'Daily Attendance'!C158)</f>
      </c>
      <c r="D158" s="20">
        <f>IF($A158="","",SUMPRODUCT((MOD(COLUMN('Daily Attendance'!$D158:$AG158)-COLUMN('Daily Attendance'!$D158),2)=0)*'Daily Attendance'!$D158:$AG158))</f>
      </c>
      <c r="E158" s="21">
        <f>IF($A158="","",SUMPRODUCT((MOD(COLUMN('Daily Attendance'!$D158:$AG158)-COLUMN('Daily Attendance'!$D158),2)=1)*'Daily Attendance'!$D158:$AG158))</f>
      </c>
      <c r="F158" s="22">
        <f>IF($A158="","",$D158*IF($C158="Worker",Worker_DailyWage,IF($C158="Laborer",Laborer_DailyWage,0)))</f>
      </c>
      <c r="G158" s="22">
        <f>IF($A158="","",$E158*IF($C158="Worker",Worker_OTRate,IF($C158="Laborer",Laborer_OTRate,0)))</f>
      </c>
      <c r="H158" s="23">
        <f>IF($A158="","",$F158+$G158)</f>
      </c>
      <c r="I158" s="20">
        <f>IF($A158="","",SUMPRODUCT((MOD(COLUMN('Daily Attendance'!$AH158:$BM158)-COLUMN('Daily Attendance'!$AH158),2)=0)*'Daily Attendance'!$AH158:$BM158))</f>
      </c>
      <c r="J158" s="21">
        <f>IF($A158="","",SUMPRODUCT((MOD(COLUMN('Daily Attendance'!$AH158:$BM158)-COLUMN('Daily Attendance'!$AH158),2)=1)*'Daily Attendance'!$AH158:$BM158))</f>
      </c>
      <c r="K158" s="22">
        <f>IF($A158="","",$I158*IF($C158="Worker",Worker_DailyWage,IF($C158="Laborer",Laborer_DailyWage,0)))</f>
      </c>
      <c r="L158" s="22">
        <f>IF($A158="","",$J158*IF($C158="Worker",Worker_OTRate,IF($C158="Laborer",Laborer_OTRate,0)))</f>
      </c>
      <c r="M158" s="23">
        <f>IF($A158="","",$K158+$L158)</f>
      </c>
      <c r="N158" s="23">
        <f>IF($A158="","",$H158+$M158)</f>
      </c>
    </row>
    <row r="159">
      <c r="A159" s="17">
        <f>IF('Daily Attendance'!A159="","",'Daily Attendance'!A159)</f>
      </c>
      <c r="B159" s="18">
        <f>IF($A159="","",'Daily Attendance'!B159)</f>
      </c>
      <c r="C159" s="19">
        <f>IF($A159="","",'Daily Attendance'!C159)</f>
      </c>
      <c r="D159" s="20">
        <f>IF($A159="","",SUMPRODUCT((MOD(COLUMN('Daily Attendance'!$D159:$AG159)-COLUMN('Daily Attendance'!$D159),2)=0)*'Daily Attendance'!$D159:$AG159))</f>
      </c>
      <c r="E159" s="21">
        <f>IF($A159="","",SUMPRODUCT((MOD(COLUMN('Daily Attendance'!$D159:$AG159)-COLUMN('Daily Attendance'!$D159),2)=1)*'Daily Attendance'!$D159:$AG159))</f>
      </c>
      <c r="F159" s="22">
        <f>IF($A159="","",$D159*IF($C159="Worker",Worker_DailyWage,IF($C159="Laborer",Laborer_DailyWage,0)))</f>
      </c>
      <c r="G159" s="22">
        <f>IF($A159="","",$E159*IF($C159="Worker",Worker_OTRate,IF($C159="Laborer",Laborer_OTRate,0)))</f>
      </c>
      <c r="H159" s="23">
        <f>IF($A159="","",$F159+$G159)</f>
      </c>
      <c r="I159" s="20">
        <f>IF($A159="","",SUMPRODUCT((MOD(COLUMN('Daily Attendance'!$AH159:$BM159)-COLUMN('Daily Attendance'!$AH159),2)=0)*'Daily Attendance'!$AH159:$BM159))</f>
      </c>
      <c r="J159" s="21">
        <f>IF($A159="","",SUMPRODUCT((MOD(COLUMN('Daily Attendance'!$AH159:$BM159)-COLUMN('Daily Attendance'!$AH159),2)=1)*'Daily Attendance'!$AH159:$BM159))</f>
      </c>
      <c r="K159" s="22">
        <f>IF($A159="","",$I159*IF($C159="Worker",Worker_DailyWage,IF($C159="Laborer",Laborer_DailyWage,0)))</f>
      </c>
      <c r="L159" s="22">
        <f>IF($A159="","",$J159*IF($C159="Worker",Worker_OTRate,IF($C159="Laborer",Laborer_OTRate,0)))</f>
      </c>
      <c r="M159" s="23">
        <f>IF($A159="","",$K159+$L159)</f>
      </c>
      <c r="N159" s="23">
        <f>IF($A159="","",$H159+$M159)</f>
      </c>
    </row>
    <row r="160">
      <c r="A160" s="17">
        <f>IF('Daily Attendance'!A160="","",'Daily Attendance'!A160)</f>
      </c>
      <c r="B160" s="18">
        <f>IF($A160="","",'Daily Attendance'!B160)</f>
      </c>
      <c r="C160" s="19">
        <f>IF($A160="","",'Daily Attendance'!C160)</f>
      </c>
      <c r="D160" s="20">
        <f>IF($A160="","",SUMPRODUCT((MOD(COLUMN('Daily Attendance'!$D160:$AG160)-COLUMN('Daily Attendance'!$D160),2)=0)*'Daily Attendance'!$D160:$AG160))</f>
      </c>
      <c r="E160" s="21">
        <f>IF($A160="","",SUMPRODUCT((MOD(COLUMN('Daily Attendance'!$D160:$AG160)-COLUMN('Daily Attendance'!$D160),2)=1)*'Daily Attendance'!$D160:$AG160))</f>
      </c>
      <c r="F160" s="22">
        <f>IF($A160="","",$D160*IF($C160="Worker",Worker_DailyWage,IF($C160="Laborer",Laborer_DailyWage,0)))</f>
      </c>
      <c r="G160" s="22">
        <f>IF($A160="","",$E160*IF($C160="Worker",Worker_OTRate,IF($C160="Laborer",Laborer_OTRate,0)))</f>
      </c>
      <c r="H160" s="23">
        <f>IF($A160="","",$F160+$G160)</f>
      </c>
      <c r="I160" s="20">
        <f>IF($A160="","",SUMPRODUCT((MOD(COLUMN('Daily Attendance'!$AH160:$BM160)-COLUMN('Daily Attendance'!$AH160),2)=0)*'Daily Attendance'!$AH160:$BM160))</f>
      </c>
      <c r="J160" s="21">
        <f>IF($A160="","",SUMPRODUCT((MOD(COLUMN('Daily Attendance'!$AH160:$BM160)-COLUMN('Daily Attendance'!$AH160),2)=1)*'Daily Attendance'!$AH160:$BM160))</f>
      </c>
      <c r="K160" s="22">
        <f>IF($A160="","",$I160*IF($C160="Worker",Worker_DailyWage,IF($C160="Laborer",Laborer_DailyWage,0)))</f>
      </c>
      <c r="L160" s="22">
        <f>IF($A160="","",$J160*IF($C160="Worker",Worker_OTRate,IF($C160="Laborer",Laborer_OTRate,0)))</f>
      </c>
      <c r="M160" s="23">
        <f>IF($A160="","",$K160+$L160)</f>
      </c>
      <c r="N160" s="23">
        <f>IF($A160="","",$H160+$M160)</f>
      </c>
    </row>
    <row r="161">
      <c r="A161" s="17">
        <f>IF('Daily Attendance'!A161="","",'Daily Attendance'!A161)</f>
      </c>
      <c r="B161" s="18">
        <f>IF($A161="","",'Daily Attendance'!B161)</f>
      </c>
      <c r="C161" s="19">
        <f>IF($A161="","",'Daily Attendance'!C161)</f>
      </c>
      <c r="D161" s="20">
        <f>IF($A161="","",SUMPRODUCT((MOD(COLUMN('Daily Attendance'!$D161:$AG161)-COLUMN('Daily Attendance'!$D161),2)=0)*'Daily Attendance'!$D161:$AG161))</f>
      </c>
      <c r="E161" s="21">
        <f>IF($A161="","",SUMPRODUCT((MOD(COLUMN('Daily Attendance'!$D161:$AG161)-COLUMN('Daily Attendance'!$D161),2)=1)*'Daily Attendance'!$D161:$AG161))</f>
      </c>
      <c r="F161" s="22">
        <f>IF($A161="","",$D161*IF($C161="Worker",Worker_DailyWage,IF($C161="Laborer",Laborer_DailyWage,0)))</f>
      </c>
      <c r="G161" s="22">
        <f>IF($A161="","",$E161*IF($C161="Worker",Worker_OTRate,IF($C161="Laborer",Laborer_OTRate,0)))</f>
      </c>
      <c r="H161" s="23">
        <f>IF($A161="","",$F161+$G161)</f>
      </c>
      <c r="I161" s="20">
        <f>IF($A161="","",SUMPRODUCT((MOD(COLUMN('Daily Attendance'!$AH161:$BM161)-COLUMN('Daily Attendance'!$AH161),2)=0)*'Daily Attendance'!$AH161:$BM161))</f>
      </c>
      <c r="J161" s="21">
        <f>IF($A161="","",SUMPRODUCT((MOD(COLUMN('Daily Attendance'!$AH161:$BM161)-COLUMN('Daily Attendance'!$AH161),2)=1)*'Daily Attendance'!$AH161:$BM161))</f>
      </c>
      <c r="K161" s="22">
        <f>IF($A161="","",$I161*IF($C161="Worker",Worker_DailyWage,IF($C161="Laborer",Laborer_DailyWage,0)))</f>
      </c>
      <c r="L161" s="22">
        <f>IF($A161="","",$J161*IF($C161="Worker",Worker_OTRate,IF($C161="Laborer",Laborer_OTRate,0)))</f>
      </c>
      <c r="M161" s="23">
        <f>IF($A161="","",$K161+$L161)</f>
      </c>
      <c r="N161" s="23">
        <f>IF($A161="","",$H161+$M161)</f>
      </c>
    </row>
    <row r="162">
      <c r="A162" s="17">
        <f>IF('Daily Attendance'!A162="","",'Daily Attendance'!A162)</f>
      </c>
      <c r="B162" s="18">
        <f>IF($A162="","",'Daily Attendance'!B162)</f>
      </c>
      <c r="C162" s="19">
        <f>IF($A162="","",'Daily Attendance'!C162)</f>
      </c>
      <c r="D162" s="20">
        <f>IF($A162="","",SUMPRODUCT((MOD(COLUMN('Daily Attendance'!$D162:$AG162)-COLUMN('Daily Attendance'!$D162),2)=0)*'Daily Attendance'!$D162:$AG162))</f>
      </c>
      <c r="E162" s="21">
        <f>IF($A162="","",SUMPRODUCT((MOD(COLUMN('Daily Attendance'!$D162:$AG162)-COLUMN('Daily Attendance'!$D162),2)=1)*'Daily Attendance'!$D162:$AG162))</f>
      </c>
      <c r="F162" s="22">
        <f>IF($A162="","",$D162*IF($C162="Worker",Worker_DailyWage,IF($C162="Laborer",Laborer_DailyWage,0)))</f>
      </c>
      <c r="G162" s="22">
        <f>IF($A162="","",$E162*IF($C162="Worker",Worker_OTRate,IF($C162="Laborer",Laborer_OTRate,0)))</f>
      </c>
      <c r="H162" s="23">
        <f>IF($A162="","",$F162+$G162)</f>
      </c>
      <c r="I162" s="20">
        <f>IF($A162="","",SUMPRODUCT((MOD(COLUMN('Daily Attendance'!$AH162:$BM162)-COLUMN('Daily Attendance'!$AH162),2)=0)*'Daily Attendance'!$AH162:$BM162))</f>
      </c>
      <c r="J162" s="21">
        <f>IF($A162="","",SUMPRODUCT((MOD(COLUMN('Daily Attendance'!$AH162:$BM162)-COLUMN('Daily Attendance'!$AH162),2)=1)*'Daily Attendance'!$AH162:$BM162))</f>
      </c>
      <c r="K162" s="22">
        <f>IF($A162="","",$I162*IF($C162="Worker",Worker_DailyWage,IF($C162="Laborer",Laborer_DailyWage,0)))</f>
      </c>
      <c r="L162" s="22">
        <f>IF($A162="","",$J162*IF($C162="Worker",Worker_OTRate,IF($C162="Laborer",Laborer_OTRate,0)))</f>
      </c>
      <c r="M162" s="23">
        <f>IF($A162="","",$K162+$L162)</f>
      </c>
      <c r="N162" s="23">
        <f>IF($A162="","",$H162+$M162)</f>
      </c>
    </row>
    <row r="163">
      <c r="A163" s="17">
        <f>IF('Daily Attendance'!A163="","",'Daily Attendance'!A163)</f>
      </c>
      <c r="B163" s="18">
        <f>IF($A163="","",'Daily Attendance'!B163)</f>
      </c>
      <c r="C163" s="19">
        <f>IF($A163="","",'Daily Attendance'!C163)</f>
      </c>
      <c r="D163" s="20">
        <f>IF($A163="","",SUMPRODUCT((MOD(COLUMN('Daily Attendance'!$D163:$AG163)-COLUMN('Daily Attendance'!$D163),2)=0)*'Daily Attendance'!$D163:$AG163))</f>
      </c>
      <c r="E163" s="21">
        <f>IF($A163="","",SUMPRODUCT((MOD(COLUMN('Daily Attendance'!$D163:$AG163)-COLUMN('Daily Attendance'!$D163),2)=1)*'Daily Attendance'!$D163:$AG163))</f>
      </c>
      <c r="F163" s="22">
        <f>IF($A163="","",$D163*IF($C163="Worker",Worker_DailyWage,IF($C163="Laborer",Laborer_DailyWage,0)))</f>
      </c>
      <c r="G163" s="22">
        <f>IF($A163="","",$E163*IF($C163="Worker",Worker_OTRate,IF($C163="Laborer",Laborer_OTRate,0)))</f>
      </c>
      <c r="H163" s="23">
        <f>IF($A163="","",$F163+$G163)</f>
      </c>
      <c r="I163" s="20">
        <f>IF($A163="","",SUMPRODUCT((MOD(COLUMN('Daily Attendance'!$AH163:$BM163)-COLUMN('Daily Attendance'!$AH163),2)=0)*'Daily Attendance'!$AH163:$BM163))</f>
      </c>
      <c r="J163" s="21">
        <f>IF($A163="","",SUMPRODUCT((MOD(COLUMN('Daily Attendance'!$AH163:$BM163)-COLUMN('Daily Attendance'!$AH163),2)=1)*'Daily Attendance'!$AH163:$BM163))</f>
      </c>
      <c r="K163" s="22">
        <f>IF($A163="","",$I163*IF($C163="Worker",Worker_DailyWage,IF($C163="Laborer",Laborer_DailyWage,0)))</f>
      </c>
      <c r="L163" s="22">
        <f>IF($A163="","",$J163*IF($C163="Worker",Worker_OTRate,IF($C163="Laborer",Laborer_OTRate,0)))</f>
      </c>
      <c r="M163" s="23">
        <f>IF($A163="","",$K163+$L163)</f>
      </c>
      <c r="N163" s="23">
        <f>IF($A163="","",$H163+$M163)</f>
      </c>
    </row>
    <row r="164">
      <c r="A164" s="17">
        <f>IF('Daily Attendance'!A164="","",'Daily Attendance'!A164)</f>
      </c>
      <c r="B164" s="18">
        <f>IF($A164="","",'Daily Attendance'!B164)</f>
      </c>
      <c r="C164" s="19">
        <f>IF($A164="","",'Daily Attendance'!C164)</f>
      </c>
      <c r="D164" s="20">
        <f>IF($A164="","",SUMPRODUCT((MOD(COLUMN('Daily Attendance'!$D164:$AG164)-COLUMN('Daily Attendance'!$D164),2)=0)*'Daily Attendance'!$D164:$AG164))</f>
      </c>
      <c r="E164" s="21">
        <f>IF($A164="","",SUMPRODUCT((MOD(COLUMN('Daily Attendance'!$D164:$AG164)-COLUMN('Daily Attendance'!$D164),2)=1)*'Daily Attendance'!$D164:$AG164))</f>
      </c>
      <c r="F164" s="22">
        <f>IF($A164="","",$D164*IF($C164="Worker",Worker_DailyWage,IF($C164="Laborer",Laborer_DailyWage,0)))</f>
      </c>
      <c r="G164" s="22">
        <f>IF($A164="","",$E164*IF($C164="Worker",Worker_OTRate,IF($C164="Laborer",Laborer_OTRate,0)))</f>
      </c>
      <c r="H164" s="23">
        <f>IF($A164="","",$F164+$G164)</f>
      </c>
      <c r="I164" s="20">
        <f>IF($A164="","",SUMPRODUCT((MOD(COLUMN('Daily Attendance'!$AH164:$BM164)-COLUMN('Daily Attendance'!$AH164),2)=0)*'Daily Attendance'!$AH164:$BM164))</f>
      </c>
      <c r="J164" s="21">
        <f>IF($A164="","",SUMPRODUCT((MOD(COLUMN('Daily Attendance'!$AH164:$BM164)-COLUMN('Daily Attendance'!$AH164),2)=1)*'Daily Attendance'!$AH164:$BM164))</f>
      </c>
      <c r="K164" s="22">
        <f>IF($A164="","",$I164*IF($C164="Worker",Worker_DailyWage,IF($C164="Laborer",Laborer_DailyWage,0)))</f>
      </c>
      <c r="L164" s="22">
        <f>IF($A164="","",$J164*IF($C164="Worker",Worker_OTRate,IF($C164="Laborer",Laborer_OTRate,0)))</f>
      </c>
      <c r="M164" s="23">
        <f>IF($A164="","",$K164+$L164)</f>
      </c>
      <c r="N164" s="23">
        <f>IF($A164="","",$H164+$M164)</f>
      </c>
    </row>
  </sheetData>
  <sheetProtection sheet="1" objects="1" scenarios="1" formatCells="0" formatColumns="0" formatRows="0" selectLockedCells="1" selectUnlockedCells="1"/>
  <mergeCells count="8">
    <mergeCell ref="A1:N1"/>
    <mergeCell ref="A2:N2"/>
    <mergeCell ref="A3:A4"/>
    <mergeCell ref="B3:B4"/>
    <mergeCell ref="C3:C4"/>
    <mergeCell ref="D3:H3"/>
    <mergeCell ref="I3:M3"/>
    <mergeCell ref="N3:N4"/>
  </mergeCells>
  <conditionalFormatting sqref="A5:N164">
    <cfRule type="expression" dxfId="0" priority="6">
      <formula>MOD(ROW(),2)=0</formula>
    </cfRule>
  </conditionalFormatting>
  <printOptions horizontalCentered="1"/>
  <pageMargins left="0.4" right="0.4" top="0.5" bottom="0.5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B1:J15"/>
  <sheetViews>
    <sheetView showGridLines="0" workbookViewId="0"/>
  </sheetViews>
  <sheetFormatPr defaultRowHeight="15"/>
  <cols>
    <col min="1" max="1" width="3" customWidth="1"/>
    <col min="2" max="2" width="20" customWidth="1"/>
    <col min="3" max="3" width="22" customWidth="1"/>
    <col min="4" max="4" width="20" customWidth="1"/>
    <col min="5" max="5" width="20" customWidth="1"/>
    <col min="6" max="6" width="22" customWidth="1"/>
    <col min="7" max="7" width="6" customWidth="1"/>
  </cols>
  <sheetData>
    <row r="1" ht="34" customHeight="1">
      <c r="B1" s="1" t="inlineStr">
        <is>
          <t xml:space="preserve">  EMPLOYEE SEARCH</t>
        </is>
      </c>
      <c r="J1" s="41">
        <f>IF($C$5&lt;&gt;"",IFERROR(INDEX(Att_ID,MATCH($C$5,Att_Name,0)),$C$4),$C$4)</f>
      </c>
    </row>
    <row r="2" ht="16" customHeight="1">
      <c r="B2" s="3" t="inlineStr">
        <is>
          <t xml:space="preserve">  Pick an Employee ID or a Name. The card fills instantly. (If both are set, Name wins.)</t>
        </is>
      </c>
      <c r="J2" s="41">
        <f>IFERROR(MATCH(SelID,Att_ID,0),0)</f>
      </c>
    </row>
    <row r="4">
      <c r="B4" s="40" t="inlineStr">
        <is>
          <t xml:space="preserve">Search by Employee ID:</t>
        </is>
      </c>
      <c r="C4" s="12"/>
    </row>
    <row r="5">
      <c r="B5" s="40" t="inlineStr">
        <is>
          <t xml:space="preserve">or Search by Name:</t>
        </is>
      </c>
      <c r="C5" s="11"/>
    </row>
    <row r="7" ht="26" customHeight="1">
      <c r="B7" s="32" t="inlineStr">
        <is>
          <t xml:space="preserve">EMPLOYEE SUMMARY</t>
        </is>
      </c>
    </row>
    <row r="8">
      <c r="B8" s="34" t="inlineStr">
        <is>
          <t xml:space="preserve">Employee Name</t>
        </is>
      </c>
      <c r="C8" s="36">
        <f>IF(OR(SelID="",SelRow=0),"-",INDEX(Att_Name,SelRow))</f>
      </c>
    </row>
    <row r="9">
      <c r="B9" s="34" t="inlineStr">
        <is>
          <t xml:space="preserve">Employee ID</t>
        </is>
      </c>
      <c r="C9" s="36">
        <f>IF(OR(SelID="",SelRow=0),"-",INDEX(Att_ID,SelRow))</f>
      </c>
      <c r="D9" s="34" t="inlineStr">
        <is>
          <t xml:space="preserve">Employee Type</t>
        </is>
      </c>
      <c r="E9" s="36">
        <f>IF(OR(SelID="",SelRow=0),"-",INDEX(Att_Type,SelRow))</f>
      </c>
    </row>
    <row r="10">
      <c r="B10" s="34" t="inlineStr">
        <is>
          <t xml:space="preserve">CIN Number</t>
        </is>
      </c>
      <c r="C10" s="36">
        <f>IF(SelID="","-",IFERROR(VLOOKUP(SelID,Workers_Data,3,FALSE),IFERROR(VLOOKUP(SelID,Laborers_Data,3,FALSE),"-")))</f>
      </c>
      <c r="D10" s="34" t="inlineStr">
        <is>
          <t xml:space="preserve">CNSS Number</t>
        </is>
      </c>
      <c r="E10" s="36">
        <f>IF(SelID="","-",IFERROR(VLOOKUP(SelID,Workers_Data,4,FALSE),IFERROR(VLOOKUP(SelID,Laborers_Data,4,FALSE),"-")))</f>
      </c>
    </row>
    <row r="11" ht="20" customHeight="1">
      <c r="B11" s="33" t="inlineStr">
        <is>
          <t xml:space="preserve">  PAYROLL DETAILS</t>
        </is>
      </c>
    </row>
    <row r="12">
      <c r="B12" s="34" t="inlineStr">
        <is>
          <t xml:space="preserve">Worked Days</t>
        </is>
      </c>
      <c r="C12" s="36">
        <f>IF(OR(SelID="",SelRow=0),"-",INDEX(Att_Worked,SelRow))</f>
      </c>
      <c r="D12" s="34" t="inlineStr">
        <is>
          <t xml:space="preserve">Overtime Hours</t>
        </is>
      </c>
      <c r="E12" s="36">
        <f>IF(OR(SelID="",SelRow=0),"-",INDEX(Att_OT,SelRow))</f>
      </c>
    </row>
    <row r="13">
      <c r="B13" s="34" t="inlineStr">
        <is>
          <t xml:space="preserve">First Half Salary</t>
        </is>
      </c>
      <c r="C13" s="37">
        <f>IF(OR(SelID="",SelRow=0),"-",INDEX(Pay_FH,SelRow))</f>
      </c>
      <c r="D13" s="34" t="inlineStr">
        <is>
          <t xml:space="preserve">Second Half Salary</t>
        </is>
      </c>
      <c r="E13" s="37">
        <f>IF(OR(SelID="",SelRow=0),"-",INDEX(Pay_SH,SelRow))</f>
      </c>
    </row>
    <row r="14">
      <c r="B14" s="34" t="inlineStr">
        <is>
          <t xml:space="preserve">Monthly (Regular) Salary</t>
        </is>
      </c>
      <c r="C14" s="37">
        <f>IF(OR(SelID="",SelRow=0),"-",INDEX(Att_Reg,SelRow))</f>
      </c>
      <c r="D14" s="34" t="inlineStr">
        <is>
          <t xml:space="preserve">Overtime Pay</t>
        </is>
      </c>
      <c r="E14" s="37">
        <f>IF(OR(SelID="",SelRow=0),"-",INDEX(Att_OTSal,SelRow))</f>
      </c>
    </row>
    <row r="15" ht="34" customHeight="1">
      <c r="B15" s="38" t="inlineStr">
        <is>
          <t xml:space="preserve">TOTAL AMOUNT DUE</t>
        </is>
      </c>
      <c r="D15" s="39">
        <f>IF(OR(SelID="",SelRow=0),"-",INDEX(Att_Total,SelRow))</f>
      </c>
    </row>
  </sheetData>
  <sheetProtection sheet="1" objects="1" scenarios="1" formatCells="0" formatColumns="0" formatRows="0" selectLockedCells="1" selectUnlockedCells="1"/>
  <mergeCells count="14">
    <mergeCell ref="B1:G1"/>
    <mergeCell ref="B2:G2"/>
    <mergeCell ref="C4:D4"/>
    <mergeCell ref="C5:E5"/>
    <mergeCell ref="B7:G7"/>
    <mergeCell ref="C8:G8"/>
    <mergeCell ref="E9:G9"/>
    <mergeCell ref="E10:G10"/>
    <mergeCell ref="B11:G11"/>
    <mergeCell ref="E12:G12"/>
    <mergeCell ref="E13:G13"/>
    <mergeCell ref="E14:G14"/>
    <mergeCell ref="B15:C15"/>
    <mergeCell ref="D15:G15"/>
  </mergeCells>
  <dataValidations count="2">
    <dataValidation type="list" allowBlank="1" showInputMessage="1" showErrorMessage="1" sqref="C4:D4">
      <formula1>Att_ID</formula1>
    </dataValidation>
    <dataValidation type="list" allowBlank="1" showInputMessage="1" showErrorMessage="1" sqref="C5:E5">
      <formula1>Att_Name</formula1>
    </dataValidation>
  </dataValidations>
  <printOptions horizontalCentered="1"/>
  <pageMargins left="0.4" right="0.4" top="0.5" bottom="0.5" header="0.2" footer="0.2"/>
  <pageSetup paperSize="9"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B1:J22"/>
  <sheetViews>
    <sheetView showGridLines="0" workbookViewId="0"/>
  </sheetViews>
  <sheetFormatPr defaultRowHeight="15"/>
  <cols>
    <col min="1" max="1" width="3" customWidth="1"/>
    <col min="2" max="2" width="20" customWidth="1"/>
    <col min="3" max="3" width="20" customWidth="1"/>
    <col min="4" max="4" width="18" customWidth="1"/>
    <col min="5" max="5" width="20" customWidth="1"/>
    <col min="6" max="6" width="18" customWidth="1"/>
    <col min="7" max="7" width="3" customWidth="1"/>
  </cols>
  <sheetData>
    <row r="1" ht="32" customHeight="1">
      <c r="B1" s="42">
        <f>CompanyName</f>
      </c>
      <c r="J1" s="41">
        <f>$C$4</f>
      </c>
    </row>
    <row r="2" ht="20" customHeight="1">
      <c r="B2" s="43">
        <f>"PAYSLIP  /  BULLETIN DE PAIE   -   "&amp;PayrollMonth</f>
      </c>
      <c r="J2" s="41">
        <f>IFERROR(MATCH(PS_ID,Att_ID,0),0)</f>
      </c>
    </row>
    <row r="4">
      <c r="B4" s="40" t="inlineStr">
        <is>
          <t xml:space="preserve">Select Employee ID:</t>
        </is>
      </c>
      <c r="C4" s="12"/>
    </row>
    <row r="6" ht="20" customHeight="1">
      <c r="B6" s="6" t="inlineStr">
        <is>
          <t xml:space="preserve">  EMPLOYEE INFORMATION</t>
        </is>
      </c>
    </row>
    <row r="7">
      <c r="B7" s="45" t="inlineStr">
        <is>
          <t xml:space="preserve">Employee ID</t>
        </is>
      </c>
      <c r="C7" s="46">
        <f>IF(OR(PS_ID="",PS_Row=0),"-",INDEX(Att_ID,PS_Row))</f>
      </c>
      <c r="E7" s="45" t="inlineStr">
        <is>
          <t xml:space="preserve">Month</t>
        </is>
      </c>
      <c r="F7" s="46">
        <f>PayrollMonth</f>
      </c>
    </row>
    <row r="8">
      <c r="B8" s="45" t="inlineStr">
        <is>
          <t xml:space="preserve">Employee Name</t>
        </is>
      </c>
      <c r="C8" s="46">
        <f>IF(OR(PS_ID="",PS_Row=0),"-",INDEX(Att_Name,PS_Row))</f>
      </c>
    </row>
    <row r="9">
      <c r="B9" s="45" t="inlineStr">
        <is>
          <t xml:space="preserve">Employee Type</t>
        </is>
      </c>
      <c r="C9" s="46">
        <f>IF(OR(PS_ID="",PS_Row=0),"-",INDEX(Att_Type,PS_Row))</f>
      </c>
      <c r="E9" s="45" t="inlineStr">
        <is>
          <t xml:space="preserve">CIN Number</t>
        </is>
      </c>
      <c r="F9" s="46">
        <f>IF(PS_ID="","-",IFERROR(VLOOKUP(PS_ID,Workers_Data,3,FALSE),IFERROR(VLOOKUP(PS_ID,Laborers_Data,3,FALSE),"-")))</f>
      </c>
    </row>
    <row r="10">
      <c r="B10" s="45" t="inlineStr">
        <is>
          <t xml:space="preserve">CNSS Number</t>
        </is>
      </c>
      <c r="C10" s="46">
        <f>IF(PS_ID="","-",IFERROR(VLOOKUP(PS_ID,Workers_Data,4,FALSE),IFERROR(VLOOKUP(PS_ID,Laborers_Data,4,FALSE),"-")))</f>
      </c>
    </row>
    <row r="12" ht="20" customHeight="1">
      <c r="B12" s="6" t="inlineStr">
        <is>
          <t xml:space="preserve">  EARNINGS</t>
        </is>
      </c>
    </row>
    <row r="13">
      <c r="B13" s="45" t="inlineStr">
        <is>
          <t xml:space="preserve">Worked Days</t>
        </is>
      </c>
      <c r="C13" s="46">
        <f>IF(OR(PS_ID="",PS_Row=0),"-",INDEX(Att_Worked,PS_Row))</f>
      </c>
      <c r="E13" s="45" t="inlineStr">
        <is>
          <t xml:space="preserve">Overtime Hours</t>
        </is>
      </c>
      <c r="F13" s="46">
        <f>IF(OR(PS_ID="",PS_Row=0),"-",INDEX(Att_OT,PS_Row))</f>
      </c>
    </row>
    <row r="14">
      <c r="B14" s="45" t="inlineStr">
        <is>
          <t xml:space="preserve">Regular Salary</t>
        </is>
      </c>
      <c r="C14" s="47">
        <f>IF(OR(PS_ID="",PS_Row=0),"-",INDEX(Att_Reg,PS_Row))</f>
      </c>
      <c r="E14" s="45" t="inlineStr">
        <is>
          <t xml:space="preserve">Overtime Salary</t>
        </is>
      </c>
      <c r="F14" s="47">
        <f>IF(OR(PS_ID="",PS_Row=0),"-",INDEX(Att_OTSal,PS_Row))</f>
      </c>
    </row>
    <row r="16" ht="34" customHeight="1">
      <c r="B16" s="38" t="inlineStr">
        <is>
          <t xml:space="preserve">TOTAL SALARY</t>
        </is>
      </c>
      <c r="D16" s="39">
        <f>IF(OR(PS_ID="",PS_Row=0),"-",INDEX(Att_Total,PS_Row))</f>
      </c>
    </row>
    <row r="20" ht="30" customHeight="1">
      <c r="B20" s="48">
        <f>"Date: "&amp;TEXT(TODAY(),"dd/mm/yyyy")</f>
      </c>
    </row>
    <row r="22" ht="30" customHeight="1">
      <c r="B22" s="48" t="inlineStr">
        <is>
          <t xml:space="preserve">Employee Signature</t>
        </is>
      </c>
      <c r="E22" s="48" t="inlineStr">
        <is>
          <t xml:space="preserve">Manager Signature</t>
        </is>
      </c>
    </row>
  </sheetData>
  <sheetProtection sheet="1" objects="1" scenarios="1" formatCells="0" formatColumns="0" formatRows="0" selectLockedCells="1" selectUnlockedCells="1"/>
  <mergeCells count="16">
    <mergeCell ref="B1:F1"/>
    <mergeCell ref="B2:F2"/>
    <mergeCell ref="C4:D4"/>
    <mergeCell ref="B6:F6"/>
    <mergeCell ref="C7:D7"/>
    <mergeCell ref="C8:F8"/>
    <mergeCell ref="C9:D9"/>
    <mergeCell ref="C10:F10"/>
    <mergeCell ref="B12:F12"/>
    <mergeCell ref="C13:D13"/>
    <mergeCell ref="C14:D14"/>
    <mergeCell ref="B16:C16"/>
    <mergeCell ref="D16:F16"/>
    <mergeCell ref="B20:C20"/>
    <mergeCell ref="B22:C22"/>
    <mergeCell ref="E22:F22"/>
  </mergeCells>
  <dataValidations count="1">
    <dataValidation type="list" allowBlank="1" showInputMessage="1" showErrorMessage="1" sqref="C4:D4">
      <formula1>Att_ID</formula1>
    </dataValidation>
  </dataValidations>
  <printOptions horizontalCentered="1"/>
  <pageMargins left="0.4" right="0.4" top="0.5" bottom="0.5" header="0.2" footer="0.2"/>
  <pageSetup paperSize="9" orientation="portrait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B1:H13"/>
  <sheetViews>
    <sheetView showGridLines="0" workbookViewId="0"/>
  </sheetViews>
  <sheetFormatPr defaultRowHeight="15"/>
  <cols>
    <col min="1" max="1" width="3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 ht="34" customHeight="1">
      <c r="B1" s="1" t="inlineStr">
        <is>
          <t xml:space="preserve">  PAYROLL DASHBOARD</t>
        </is>
      </c>
    </row>
    <row r="2" ht="16" customHeight="1">
      <c r="B2" s="3" t="inlineStr">
        <is>
          <t xml:space="preserve">  Live statistics — everything recalculates as attendance is entered.</t>
        </is>
      </c>
    </row>
    <row r="4" ht="20" customHeight="1">
      <c r="B4" s="8" t="inlineStr">
        <is>
          <t xml:space="preserve">Total Workers</t>
        </is>
      </c>
      <c r="D4" s="53" t="inlineStr">
        <is>
          <t xml:space="preserve">Total Laborers</t>
        </is>
      </c>
      <c r="F4" s="54" t="inlineStr">
        <is>
          <t xml:space="preserve">Total Worked Days</t>
        </is>
      </c>
      <c r="H4" s="55" t="inlineStr">
        <is>
          <t xml:space="preserve">Total Overtime Cost</t>
        </is>
      </c>
    </row>
    <row r="5" ht="34" customHeight="1">
      <c r="B5" s="49">
        <f>COUNTA(Workers_ID)</f>
      </c>
      <c r="D5" s="49">
        <f>COUNTA(Laborers_ID)</f>
      </c>
      <c r="F5" s="49">
        <f>SUM(Att_Worked)</f>
      </c>
      <c r="H5" s="50">
        <f>SUM(Att_OTSal)</f>
      </c>
    </row>
    <row r="7" ht="20" customHeight="1">
      <c r="B7" s="56" t="inlineStr">
        <is>
          <t xml:space="preserve">Total Payroll</t>
        </is>
      </c>
      <c r="D7" s="8" t="inlineStr">
        <is>
          <t xml:space="preserve">Average Salary</t>
        </is>
      </c>
      <c r="F7" s="54" t="inlineStr">
        <is>
          <t xml:space="preserve">Highest Salary</t>
        </is>
      </c>
      <c r="H7" s="57" t="inlineStr">
        <is>
          <t xml:space="preserve">Lowest Salary</t>
        </is>
      </c>
    </row>
    <row r="8" ht="34" customHeight="1">
      <c r="B8" s="50">
        <f>SUM(Att_Total)</f>
      </c>
      <c r="D8" s="50">
        <f>IFERROR(AVERAGEIF(Att_Total,"&gt;0"),0)</f>
      </c>
      <c r="F8" s="50">
        <f>IFERROR(MAX(Att_Total),0)</f>
      </c>
      <c r="H8" s="50">
        <f>IFERROR(MINIFS(Att_Total,Att_Total,"&gt;0"),0)</f>
      </c>
    </row>
    <row r="11">
      <c r="B11" s="45" t="inlineStr">
        <is>
          <t xml:space="preserve">Workforce</t>
        </is>
      </c>
      <c r="C11" s="45" t="inlineStr">
        <is>
          <t xml:space="preserve">Count</t>
        </is>
      </c>
      <c r="E11" s="45" t="inlineStr">
        <is>
          <t xml:space="preserve">Payroll Split</t>
        </is>
      </c>
      <c r="F11" s="45" t="inlineStr">
        <is>
          <t xml:space="preserve">MAD</t>
        </is>
      </c>
    </row>
    <row r="12">
      <c r="B12" s="45" t="inlineStr">
        <is>
          <t xml:space="preserve">Workers</t>
        </is>
      </c>
      <c r="C12" s="51">
        <f>COUNTA(Workers_ID)</f>
      </c>
      <c r="E12" s="45" t="inlineStr">
        <is>
          <t xml:space="preserve">Regular Pay</t>
        </is>
      </c>
      <c r="F12" s="52">
        <f>SUM(Att_Reg)</f>
      </c>
    </row>
    <row r="13">
      <c r="B13" s="45" t="inlineStr">
        <is>
          <t xml:space="preserve">Laborers</t>
        </is>
      </c>
      <c r="C13" s="51">
        <f>COUNTA(Laborers_ID)</f>
      </c>
      <c r="E13" s="45" t="inlineStr">
        <is>
          <t xml:space="preserve">Overtime Pay</t>
        </is>
      </c>
      <c r="F13" s="52">
        <f>SUM(Att_OTSal)</f>
      </c>
    </row>
  </sheetData>
  <sheetProtection sheet="1" objects="1" scenarios="1" formatCells="0" formatColumns="0" formatRows="0" selectLockedCells="1" selectUnlockedCells="1"/>
  <mergeCells count="18">
    <mergeCell ref="B1:I1"/>
    <mergeCell ref="B2:I2"/>
    <mergeCell ref="B4:C4"/>
    <mergeCell ref="B5:C5"/>
    <mergeCell ref="D4:E4"/>
    <mergeCell ref="D5:E5"/>
    <mergeCell ref="F4:G4"/>
    <mergeCell ref="F5:G5"/>
    <mergeCell ref="H4:I4"/>
    <mergeCell ref="H5:I5"/>
    <mergeCell ref="B7:C7"/>
    <mergeCell ref="B8:C8"/>
    <mergeCell ref="D7:E7"/>
    <mergeCell ref="D8:E8"/>
    <mergeCell ref="F7:G7"/>
    <mergeCell ref="F8:G8"/>
    <mergeCell ref="H7:I7"/>
    <mergeCell ref="H8:I8"/>
  </mergeCells>
  <printOptions horizontalCentered="1"/>
  <pageMargins left="0.4" right="0.4" top="0.5" bottom="0.5" header="0.2" footer="0.2"/>
  <pageSetup paperSize="9" orientation="landscape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BF9000"/>
    <pageSetUpPr fitToPage="1"/>
  </sheetPr>
  <dimension ref="A1:K164"/>
  <sheetViews>
    <sheetView showGridLines="0" workbookViewId="0">
      <pane ySplit="3" topLeftCell="A4" activePane="bottomRight" state="frozen"/>
      <selection pane="bottomRight" activeCell="A4" sqref="A4"/>
    </sheetView>
  </sheetViews>
  <sheetFormatPr defaultRowHeight="15"/>
  <cols>
    <col min="1" max="1" width="5" customWidth="1"/>
    <col min="2" max="2" width="14" customWidth="1"/>
    <col min="3" max="3" width="24" customWidth="1"/>
    <col min="4" max="4" width="11" customWidth="1"/>
    <col min="5" max="5" width="14" customWidth="1"/>
    <col min="6" max="6" width="15" customWidth="1"/>
    <col min="7" max="7" width="11" customWidth="1"/>
    <col min="8" max="8" width="10" customWidth="1"/>
    <col min="9" max="9" width="14" customWidth="1"/>
    <col min="10" max="10" width="15" customWidth="1"/>
    <col min="11" max="11" width="15" customWidth="1"/>
  </cols>
  <sheetData>
    <row r="1" ht="34" customHeight="1">
      <c r="A1" s="1" t="inlineStr">
        <is>
          <t xml:space="preserve">  MONTHLY PAYROLL REPORT</t>
        </is>
      </c>
    </row>
    <row r="2" ht="18" customHeight="1">
      <c r="A2" s="3">
        <f>"  Company: "&amp;CompanyName&amp;"     Month: "&amp;PayrollMonth</f>
      </c>
    </row>
    <row r="3" ht="26" customHeight="1">
      <c r="A3" s="5" t="inlineStr">
        <is>
          <t xml:space="preserve">#</t>
        </is>
      </c>
      <c r="B3" s="5" t="inlineStr">
        <is>
          <t xml:space="preserve">Employee ID</t>
        </is>
      </c>
      <c r="C3" s="5" t="inlineStr">
        <is>
          <t xml:space="preserve">Name</t>
        </is>
      </c>
      <c r="D3" s="5" t="inlineStr">
        <is>
          <t xml:space="preserve">Type</t>
        </is>
      </c>
      <c r="E3" s="5" t="inlineStr">
        <is>
          <t xml:space="preserve">CIN Number</t>
        </is>
      </c>
      <c r="F3" s="5" t="inlineStr">
        <is>
          <t xml:space="preserve">CNSS Number</t>
        </is>
      </c>
      <c r="G3" s="5" t="inlineStr">
        <is>
          <t xml:space="preserve">Worked Days</t>
        </is>
      </c>
      <c r="H3" s="5" t="inlineStr">
        <is>
          <t xml:space="preserve">OT Hours</t>
        </is>
      </c>
      <c r="I3" s="5" t="inlineStr">
        <is>
          <t xml:space="preserve">Regular Salary</t>
        </is>
      </c>
      <c r="J3" s="5" t="inlineStr">
        <is>
          <t xml:space="preserve">Overtime Salary</t>
        </is>
      </c>
      <c r="K3" s="5" t="inlineStr">
        <is>
          <t xml:space="preserve">Total Salary</t>
        </is>
      </c>
    </row>
    <row r="4">
      <c r="A4" s="58">
        <f>IF($B4="","",SUMPRODUCT(--($B$4:$B4&lt;&gt;"")))</f>
      </c>
      <c r="B4" s="17">
        <f>IF('Daily Attendance'!A5="","",'Daily Attendance'!A5)</f>
      </c>
      <c r="C4" s="18">
        <f>IF($B4="","",'Daily Attendance'!B5)</f>
      </c>
      <c r="D4" s="19">
        <f>IF($B4="","",'Daily Attendance'!C5)</f>
      </c>
      <c r="E4" s="19">
        <f>IF($B4="","",IFERROR(VLOOKUP($B4,Workers_Data,3,FALSE),IFERROR(VLOOKUP($B4,Laborers_Data,3,FALSE),"")))</f>
      </c>
      <c r="F4" s="19">
        <f>IF($B4="","",IFERROR(VLOOKUP($B4,Workers_Data,4,FALSE),IFERROR(VLOOKUP($B4,Laborers_Data,4,FALSE),"")))</f>
      </c>
      <c r="G4" s="20">
        <f>IF($B4="","",'Daily Attendance'!BN5)</f>
      </c>
      <c r="H4" s="21">
        <f>IF($B4="","",'Daily Attendance'!BO5)</f>
      </c>
      <c r="I4" s="22">
        <f>IF($B4="","",'Daily Attendance'!BP5)</f>
      </c>
      <c r="J4" s="22">
        <f>IF($B4="","",'Daily Attendance'!BQ5)</f>
      </c>
      <c r="K4" s="23">
        <f>IF($B4="","",'Daily Attendance'!BR5)</f>
      </c>
    </row>
    <row r="5">
      <c r="A5" s="58">
        <f>IF($B5="","",SUMPRODUCT(--($B$4:$B5&lt;&gt;"")))</f>
      </c>
      <c r="B5" s="17">
        <f>IF('Daily Attendance'!A6="","",'Daily Attendance'!A6)</f>
      </c>
      <c r="C5" s="18">
        <f>IF($B5="","",'Daily Attendance'!B6)</f>
      </c>
      <c r="D5" s="19">
        <f>IF($B5="","",'Daily Attendance'!C6)</f>
      </c>
      <c r="E5" s="19">
        <f>IF($B5="","",IFERROR(VLOOKUP($B5,Workers_Data,3,FALSE),IFERROR(VLOOKUP($B5,Laborers_Data,3,FALSE),"")))</f>
      </c>
      <c r="F5" s="19">
        <f>IF($B5="","",IFERROR(VLOOKUP($B5,Workers_Data,4,FALSE),IFERROR(VLOOKUP($B5,Laborers_Data,4,FALSE),"")))</f>
      </c>
      <c r="G5" s="20">
        <f>IF($B5="","",'Daily Attendance'!BN6)</f>
      </c>
      <c r="H5" s="21">
        <f>IF($B5="","",'Daily Attendance'!BO6)</f>
      </c>
      <c r="I5" s="22">
        <f>IF($B5="","",'Daily Attendance'!BP6)</f>
      </c>
      <c r="J5" s="22">
        <f>IF($B5="","",'Daily Attendance'!BQ6)</f>
      </c>
      <c r="K5" s="23">
        <f>IF($B5="","",'Daily Attendance'!BR6)</f>
      </c>
    </row>
    <row r="6">
      <c r="A6" s="58">
        <f>IF($B6="","",SUMPRODUCT(--($B$4:$B6&lt;&gt;"")))</f>
      </c>
      <c r="B6" s="17">
        <f>IF('Daily Attendance'!A7="","",'Daily Attendance'!A7)</f>
      </c>
      <c r="C6" s="18">
        <f>IF($B6="","",'Daily Attendance'!B7)</f>
      </c>
      <c r="D6" s="19">
        <f>IF($B6="","",'Daily Attendance'!C7)</f>
      </c>
      <c r="E6" s="19">
        <f>IF($B6="","",IFERROR(VLOOKUP($B6,Workers_Data,3,FALSE),IFERROR(VLOOKUP($B6,Laborers_Data,3,FALSE),"")))</f>
      </c>
      <c r="F6" s="19">
        <f>IF($B6="","",IFERROR(VLOOKUP($B6,Workers_Data,4,FALSE),IFERROR(VLOOKUP($B6,Laborers_Data,4,FALSE),"")))</f>
      </c>
      <c r="G6" s="20">
        <f>IF($B6="","",'Daily Attendance'!BN7)</f>
      </c>
      <c r="H6" s="21">
        <f>IF($B6="","",'Daily Attendance'!BO7)</f>
      </c>
      <c r="I6" s="22">
        <f>IF($B6="","",'Daily Attendance'!BP7)</f>
      </c>
      <c r="J6" s="22">
        <f>IF($B6="","",'Daily Attendance'!BQ7)</f>
      </c>
      <c r="K6" s="23">
        <f>IF($B6="","",'Daily Attendance'!BR7)</f>
      </c>
    </row>
    <row r="7">
      <c r="A7" s="58">
        <f>IF($B7="","",SUMPRODUCT(--($B$4:$B7&lt;&gt;"")))</f>
      </c>
      <c r="B7" s="17">
        <f>IF('Daily Attendance'!A8="","",'Daily Attendance'!A8)</f>
      </c>
      <c r="C7" s="18">
        <f>IF($B7="","",'Daily Attendance'!B8)</f>
      </c>
      <c r="D7" s="19">
        <f>IF($B7="","",'Daily Attendance'!C8)</f>
      </c>
      <c r="E7" s="19">
        <f>IF($B7="","",IFERROR(VLOOKUP($B7,Workers_Data,3,FALSE),IFERROR(VLOOKUP($B7,Laborers_Data,3,FALSE),"")))</f>
      </c>
      <c r="F7" s="19">
        <f>IF($B7="","",IFERROR(VLOOKUP($B7,Workers_Data,4,FALSE),IFERROR(VLOOKUP($B7,Laborers_Data,4,FALSE),"")))</f>
      </c>
      <c r="G7" s="20">
        <f>IF($B7="","",'Daily Attendance'!BN8)</f>
      </c>
      <c r="H7" s="21">
        <f>IF($B7="","",'Daily Attendance'!BO8)</f>
      </c>
      <c r="I7" s="22">
        <f>IF($B7="","",'Daily Attendance'!BP8)</f>
      </c>
      <c r="J7" s="22">
        <f>IF($B7="","",'Daily Attendance'!BQ8)</f>
      </c>
      <c r="K7" s="23">
        <f>IF($B7="","",'Daily Attendance'!BR8)</f>
      </c>
    </row>
    <row r="8">
      <c r="A8" s="58">
        <f>IF($B8="","",SUMPRODUCT(--($B$4:$B8&lt;&gt;"")))</f>
      </c>
      <c r="B8" s="17">
        <f>IF('Daily Attendance'!A9="","",'Daily Attendance'!A9)</f>
      </c>
      <c r="C8" s="18">
        <f>IF($B8="","",'Daily Attendance'!B9)</f>
      </c>
      <c r="D8" s="19">
        <f>IF($B8="","",'Daily Attendance'!C9)</f>
      </c>
      <c r="E8" s="19">
        <f>IF($B8="","",IFERROR(VLOOKUP($B8,Workers_Data,3,FALSE),IFERROR(VLOOKUP($B8,Laborers_Data,3,FALSE),"")))</f>
      </c>
      <c r="F8" s="19">
        <f>IF($B8="","",IFERROR(VLOOKUP($B8,Workers_Data,4,FALSE),IFERROR(VLOOKUP($B8,Laborers_Data,4,FALSE),"")))</f>
      </c>
      <c r="G8" s="20">
        <f>IF($B8="","",'Daily Attendance'!BN9)</f>
      </c>
      <c r="H8" s="21">
        <f>IF($B8="","",'Daily Attendance'!BO9)</f>
      </c>
      <c r="I8" s="22">
        <f>IF($B8="","",'Daily Attendance'!BP9)</f>
      </c>
      <c r="J8" s="22">
        <f>IF($B8="","",'Daily Attendance'!BQ9)</f>
      </c>
      <c r="K8" s="23">
        <f>IF($B8="","",'Daily Attendance'!BR9)</f>
      </c>
    </row>
    <row r="9">
      <c r="A9" s="58">
        <f>IF($B9="","",SUMPRODUCT(--($B$4:$B9&lt;&gt;"")))</f>
      </c>
      <c r="B9" s="17">
        <f>IF('Daily Attendance'!A10="","",'Daily Attendance'!A10)</f>
      </c>
      <c r="C9" s="18">
        <f>IF($B9="","",'Daily Attendance'!B10)</f>
      </c>
      <c r="D9" s="19">
        <f>IF($B9="","",'Daily Attendance'!C10)</f>
      </c>
      <c r="E9" s="19">
        <f>IF($B9="","",IFERROR(VLOOKUP($B9,Workers_Data,3,FALSE),IFERROR(VLOOKUP($B9,Laborers_Data,3,FALSE),"")))</f>
      </c>
      <c r="F9" s="19">
        <f>IF($B9="","",IFERROR(VLOOKUP($B9,Workers_Data,4,FALSE),IFERROR(VLOOKUP($B9,Laborers_Data,4,FALSE),"")))</f>
      </c>
      <c r="G9" s="20">
        <f>IF($B9="","",'Daily Attendance'!BN10)</f>
      </c>
      <c r="H9" s="21">
        <f>IF($B9="","",'Daily Attendance'!BO10)</f>
      </c>
      <c r="I9" s="22">
        <f>IF($B9="","",'Daily Attendance'!BP10)</f>
      </c>
      <c r="J9" s="22">
        <f>IF($B9="","",'Daily Attendance'!BQ10)</f>
      </c>
      <c r="K9" s="23">
        <f>IF($B9="","",'Daily Attendance'!BR10)</f>
      </c>
    </row>
    <row r="10">
      <c r="A10" s="58">
        <f>IF($B10="","",SUMPRODUCT(--($B$4:$B10&lt;&gt;"")))</f>
      </c>
      <c r="B10" s="17">
        <f>IF('Daily Attendance'!A11="","",'Daily Attendance'!A11)</f>
      </c>
      <c r="C10" s="18">
        <f>IF($B10="","",'Daily Attendance'!B11)</f>
      </c>
      <c r="D10" s="19">
        <f>IF($B10="","",'Daily Attendance'!C11)</f>
      </c>
      <c r="E10" s="19">
        <f>IF($B10="","",IFERROR(VLOOKUP($B10,Workers_Data,3,FALSE),IFERROR(VLOOKUP($B10,Laborers_Data,3,FALSE),"")))</f>
      </c>
      <c r="F10" s="19">
        <f>IF($B10="","",IFERROR(VLOOKUP($B10,Workers_Data,4,FALSE),IFERROR(VLOOKUP($B10,Laborers_Data,4,FALSE),"")))</f>
      </c>
      <c r="G10" s="20">
        <f>IF($B10="","",'Daily Attendance'!BN11)</f>
      </c>
      <c r="H10" s="21">
        <f>IF($B10="","",'Daily Attendance'!BO11)</f>
      </c>
      <c r="I10" s="22">
        <f>IF($B10="","",'Daily Attendance'!BP11)</f>
      </c>
      <c r="J10" s="22">
        <f>IF($B10="","",'Daily Attendance'!BQ11)</f>
      </c>
      <c r="K10" s="23">
        <f>IF($B10="","",'Daily Attendance'!BR11)</f>
      </c>
    </row>
    <row r="11">
      <c r="A11" s="58">
        <f>IF($B11="","",SUMPRODUCT(--($B$4:$B11&lt;&gt;"")))</f>
      </c>
      <c r="B11" s="17">
        <f>IF('Daily Attendance'!A12="","",'Daily Attendance'!A12)</f>
      </c>
      <c r="C11" s="18">
        <f>IF($B11="","",'Daily Attendance'!B12)</f>
      </c>
      <c r="D11" s="19">
        <f>IF($B11="","",'Daily Attendance'!C12)</f>
      </c>
      <c r="E11" s="19">
        <f>IF($B11="","",IFERROR(VLOOKUP($B11,Workers_Data,3,FALSE),IFERROR(VLOOKUP($B11,Laborers_Data,3,FALSE),"")))</f>
      </c>
      <c r="F11" s="19">
        <f>IF($B11="","",IFERROR(VLOOKUP($B11,Workers_Data,4,FALSE),IFERROR(VLOOKUP($B11,Laborers_Data,4,FALSE),"")))</f>
      </c>
      <c r="G11" s="20">
        <f>IF($B11="","",'Daily Attendance'!BN12)</f>
      </c>
      <c r="H11" s="21">
        <f>IF($B11="","",'Daily Attendance'!BO12)</f>
      </c>
      <c r="I11" s="22">
        <f>IF($B11="","",'Daily Attendance'!BP12)</f>
      </c>
      <c r="J11" s="22">
        <f>IF($B11="","",'Daily Attendance'!BQ12)</f>
      </c>
      <c r="K11" s="23">
        <f>IF($B11="","",'Daily Attendance'!BR12)</f>
      </c>
    </row>
    <row r="12">
      <c r="A12" s="58">
        <f>IF($B12="","",SUMPRODUCT(--($B$4:$B12&lt;&gt;"")))</f>
      </c>
      <c r="B12" s="17">
        <f>IF('Daily Attendance'!A13="","",'Daily Attendance'!A13)</f>
      </c>
      <c r="C12" s="18">
        <f>IF($B12="","",'Daily Attendance'!B13)</f>
      </c>
      <c r="D12" s="19">
        <f>IF($B12="","",'Daily Attendance'!C13)</f>
      </c>
      <c r="E12" s="19">
        <f>IF($B12="","",IFERROR(VLOOKUP($B12,Workers_Data,3,FALSE),IFERROR(VLOOKUP($B12,Laborers_Data,3,FALSE),"")))</f>
      </c>
      <c r="F12" s="19">
        <f>IF($B12="","",IFERROR(VLOOKUP($B12,Workers_Data,4,FALSE),IFERROR(VLOOKUP($B12,Laborers_Data,4,FALSE),"")))</f>
      </c>
      <c r="G12" s="20">
        <f>IF($B12="","",'Daily Attendance'!BN13)</f>
      </c>
      <c r="H12" s="21">
        <f>IF($B12="","",'Daily Attendance'!BO13)</f>
      </c>
      <c r="I12" s="22">
        <f>IF($B12="","",'Daily Attendance'!BP13)</f>
      </c>
      <c r="J12" s="22">
        <f>IF($B12="","",'Daily Attendance'!BQ13)</f>
      </c>
      <c r="K12" s="23">
        <f>IF($B12="","",'Daily Attendance'!BR13)</f>
      </c>
    </row>
    <row r="13">
      <c r="A13" s="58">
        <f>IF($B13="","",SUMPRODUCT(--($B$4:$B13&lt;&gt;"")))</f>
      </c>
      <c r="B13" s="17">
        <f>IF('Daily Attendance'!A14="","",'Daily Attendance'!A14)</f>
      </c>
      <c r="C13" s="18">
        <f>IF($B13="","",'Daily Attendance'!B14)</f>
      </c>
      <c r="D13" s="19">
        <f>IF($B13="","",'Daily Attendance'!C14)</f>
      </c>
      <c r="E13" s="19">
        <f>IF($B13="","",IFERROR(VLOOKUP($B13,Workers_Data,3,FALSE),IFERROR(VLOOKUP($B13,Laborers_Data,3,FALSE),"")))</f>
      </c>
      <c r="F13" s="19">
        <f>IF($B13="","",IFERROR(VLOOKUP($B13,Workers_Data,4,FALSE),IFERROR(VLOOKUP($B13,Laborers_Data,4,FALSE),"")))</f>
      </c>
      <c r="G13" s="20">
        <f>IF($B13="","",'Daily Attendance'!BN14)</f>
      </c>
      <c r="H13" s="21">
        <f>IF($B13="","",'Daily Attendance'!BO14)</f>
      </c>
      <c r="I13" s="22">
        <f>IF($B13="","",'Daily Attendance'!BP14)</f>
      </c>
      <c r="J13" s="22">
        <f>IF($B13="","",'Daily Attendance'!BQ14)</f>
      </c>
      <c r="K13" s="23">
        <f>IF($B13="","",'Daily Attendance'!BR14)</f>
      </c>
    </row>
    <row r="14">
      <c r="A14" s="58">
        <f>IF($B14="","",SUMPRODUCT(--($B$4:$B14&lt;&gt;"")))</f>
      </c>
      <c r="B14" s="17">
        <f>IF('Daily Attendance'!A15="","",'Daily Attendance'!A15)</f>
      </c>
      <c r="C14" s="18">
        <f>IF($B14="","",'Daily Attendance'!B15)</f>
      </c>
      <c r="D14" s="19">
        <f>IF($B14="","",'Daily Attendance'!C15)</f>
      </c>
      <c r="E14" s="19">
        <f>IF($B14="","",IFERROR(VLOOKUP($B14,Workers_Data,3,FALSE),IFERROR(VLOOKUP($B14,Laborers_Data,3,FALSE),"")))</f>
      </c>
      <c r="F14" s="19">
        <f>IF($B14="","",IFERROR(VLOOKUP($B14,Workers_Data,4,FALSE),IFERROR(VLOOKUP($B14,Laborers_Data,4,FALSE),"")))</f>
      </c>
      <c r="G14" s="20">
        <f>IF($B14="","",'Daily Attendance'!BN15)</f>
      </c>
      <c r="H14" s="21">
        <f>IF($B14="","",'Daily Attendance'!BO15)</f>
      </c>
      <c r="I14" s="22">
        <f>IF($B14="","",'Daily Attendance'!BP15)</f>
      </c>
      <c r="J14" s="22">
        <f>IF($B14="","",'Daily Attendance'!BQ15)</f>
      </c>
      <c r="K14" s="23">
        <f>IF($B14="","",'Daily Attendance'!BR15)</f>
      </c>
    </row>
    <row r="15">
      <c r="A15" s="58">
        <f>IF($B15="","",SUMPRODUCT(--($B$4:$B15&lt;&gt;"")))</f>
      </c>
      <c r="B15" s="17">
        <f>IF('Daily Attendance'!A16="","",'Daily Attendance'!A16)</f>
      </c>
      <c r="C15" s="18">
        <f>IF($B15="","",'Daily Attendance'!B16)</f>
      </c>
      <c r="D15" s="19">
        <f>IF($B15="","",'Daily Attendance'!C16)</f>
      </c>
      <c r="E15" s="19">
        <f>IF($B15="","",IFERROR(VLOOKUP($B15,Workers_Data,3,FALSE),IFERROR(VLOOKUP($B15,Laborers_Data,3,FALSE),"")))</f>
      </c>
      <c r="F15" s="19">
        <f>IF($B15="","",IFERROR(VLOOKUP($B15,Workers_Data,4,FALSE),IFERROR(VLOOKUP($B15,Laborers_Data,4,FALSE),"")))</f>
      </c>
      <c r="G15" s="20">
        <f>IF($B15="","",'Daily Attendance'!BN16)</f>
      </c>
      <c r="H15" s="21">
        <f>IF($B15="","",'Daily Attendance'!BO16)</f>
      </c>
      <c r="I15" s="22">
        <f>IF($B15="","",'Daily Attendance'!BP16)</f>
      </c>
      <c r="J15" s="22">
        <f>IF($B15="","",'Daily Attendance'!BQ16)</f>
      </c>
      <c r="K15" s="23">
        <f>IF($B15="","",'Daily Attendance'!BR16)</f>
      </c>
    </row>
    <row r="16">
      <c r="A16" s="58">
        <f>IF($B16="","",SUMPRODUCT(--($B$4:$B16&lt;&gt;"")))</f>
      </c>
      <c r="B16" s="17">
        <f>IF('Daily Attendance'!A17="","",'Daily Attendance'!A17)</f>
      </c>
      <c r="C16" s="18">
        <f>IF($B16="","",'Daily Attendance'!B17)</f>
      </c>
      <c r="D16" s="19">
        <f>IF($B16="","",'Daily Attendance'!C17)</f>
      </c>
      <c r="E16" s="19">
        <f>IF($B16="","",IFERROR(VLOOKUP($B16,Workers_Data,3,FALSE),IFERROR(VLOOKUP($B16,Laborers_Data,3,FALSE),"")))</f>
      </c>
      <c r="F16" s="19">
        <f>IF($B16="","",IFERROR(VLOOKUP($B16,Workers_Data,4,FALSE),IFERROR(VLOOKUP($B16,Laborers_Data,4,FALSE),"")))</f>
      </c>
      <c r="G16" s="20">
        <f>IF($B16="","",'Daily Attendance'!BN17)</f>
      </c>
      <c r="H16" s="21">
        <f>IF($B16="","",'Daily Attendance'!BO17)</f>
      </c>
      <c r="I16" s="22">
        <f>IF($B16="","",'Daily Attendance'!BP17)</f>
      </c>
      <c r="J16" s="22">
        <f>IF($B16="","",'Daily Attendance'!BQ17)</f>
      </c>
      <c r="K16" s="23">
        <f>IF($B16="","",'Daily Attendance'!BR17)</f>
      </c>
    </row>
    <row r="17">
      <c r="A17" s="58">
        <f>IF($B17="","",SUMPRODUCT(--($B$4:$B17&lt;&gt;"")))</f>
      </c>
      <c r="B17" s="17">
        <f>IF('Daily Attendance'!A18="","",'Daily Attendance'!A18)</f>
      </c>
      <c r="C17" s="18">
        <f>IF($B17="","",'Daily Attendance'!B18)</f>
      </c>
      <c r="D17" s="19">
        <f>IF($B17="","",'Daily Attendance'!C18)</f>
      </c>
      <c r="E17" s="19">
        <f>IF($B17="","",IFERROR(VLOOKUP($B17,Workers_Data,3,FALSE),IFERROR(VLOOKUP($B17,Laborers_Data,3,FALSE),"")))</f>
      </c>
      <c r="F17" s="19">
        <f>IF($B17="","",IFERROR(VLOOKUP($B17,Workers_Data,4,FALSE),IFERROR(VLOOKUP($B17,Laborers_Data,4,FALSE),"")))</f>
      </c>
      <c r="G17" s="20">
        <f>IF($B17="","",'Daily Attendance'!BN18)</f>
      </c>
      <c r="H17" s="21">
        <f>IF($B17="","",'Daily Attendance'!BO18)</f>
      </c>
      <c r="I17" s="22">
        <f>IF($B17="","",'Daily Attendance'!BP18)</f>
      </c>
      <c r="J17" s="22">
        <f>IF($B17="","",'Daily Attendance'!BQ18)</f>
      </c>
      <c r="K17" s="23">
        <f>IF($B17="","",'Daily Attendance'!BR18)</f>
      </c>
    </row>
    <row r="18">
      <c r="A18" s="58">
        <f>IF($B18="","",SUMPRODUCT(--($B$4:$B18&lt;&gt;"")))</f>
      </c>
      <c r="B18" s="17">
        <f>IF('Daily Attendance'!A19="","",'Daily Attendance'!A19)</f>
      </c>
      <c r="C18" s="18">
        <f>IF($B18="","",'Daily Attendance'!B19)</f>
      </c>
      <c r="D18" s="19">
        <f>IF($B18="","",'Daily Attendance'!C19)</f>
      </c>
      <c r="E18" s="19">
        <f>IF($B18="","",IFERROR(VLOOKUP($B18,Workers_Data,3,FALSE),IFERROR(VLOOKUP($B18,Laborers_Data,3,FALSE),"")))</f>
      </c>
      <c r="F18" s="19">
        <f>IF($B18="","",IFERROR(VLOOKUP($B18,Workers_Data,4,FALSE),IFERROR(VLOOKUP($B18,Laborers_Data,4,FALSE),"")))</f>
      </c>
      <c r="G18" s="20">
        <f>IF($B18="","",'Daily Attendance'!BN19)</f>
      </c>
      <c r="H18" s="21">
        <f>IF($B18="","",'Daily Attendance'!BO19)</f>
      </c>
      <c r="I18" s="22">
        <f>IF($B18="","",'Daily Attendance'!BP19)</f>
      </c>
      <c r="J18" s="22">
        <f>IF($B18="","",'Daily Attendance'!BQ19)</f>
      </c>
      <c r="K18" s="23">
        <f>IF($B18="","",'Daily Attendance'!BR19)</f>
      </c>
    </row>
    <row r="19">
      <c r="A19" s="58">
        <f>IF($B19="","",SUMPRODUCT(--($B$4:$B19&lt;&gt;"")))</f>
      </c>
      <c r="B19" s="17">
        <f>IF('Daily Attendance'!A20="","",'Daily Attendance'!A20)</f>
      </c>
      <c r="C19" s="18">
        <f>IF($B19="","",'Daily Attendance'!B20)</f>
      </c>
      <c r="D19" s="19">
        <f>IF($B19="","",'Daily Attendance'!C20)</f>
      </c>
      <c r="E19" s="19">
        <f>IF($B19="","",IFERROR(VLOOKUP($B19,Workers_Data,3,FALSE),IFERROR(VLOOKUP($B19,Laborers_Data,3,FALSE),"")))</f>
      </c>
      <c r="F19" s="19">
        <f>IF($B19="","",IFERROR(VLOOKUP($B19,Workers_Data,4,FALSE),IFERROR(VLOOKUP($B19,Laborers_Data,4,FALSE),"")))</f>
      </c>
      <c r="G19" s="20">
        <f>IF($B19="","",'Daily Attendance'!BN20)</f>
      </c>
      <c r="H19" s="21">
        <f>IF($B19="","",'Daily Attendance'!BO20)</f>
      </c>
      <c r="I19" s="22">
        <f>IF($B19="","",'Daily Attendance'!BP20)</f>
      </c>
      <c r="J19" s="22">
        <f>IF($B19="","",'Daily Attendance'!BQ20)</f>
      </c>
      <c r="K19" s="23">
        <f>IF($B19="","",'Daily Attendance'!BR20)</f>
      </c>
    </row>
    <row r="20">
      <c r="A20" s="58">
        <f>IF($B20="","",SUMPRODUCT(--($B$4:$B20&lt;&gt;"")))</f>
      </c>
      <c r="B20" s="17">
        <f>IF('Daily Attendance'!A21="","",'Daily Attendance'!A21)</f>
      </c>
      <c r="C20" s="18">
        <f>IF($B20="","",'Daily Attendance'!B21)</f>
      </c>
      <c r="D20" s="19">
        <f>IF($B20="","",'Daily Attendance'!C21)</f>
      </c>
      <c r="E20" s="19">
        <f>IF($B20="","",IFERROR(VLOOKUP($B20,Workers_Data,3,FALSE),IFERROR(VLOOKUP($B20,Laborers_Data,3,FALSE),"")))</f>
      </c>
      <c r="F20" s="19">
        <f>IF($B20="","",IFERROR(VLOOKUP($B20,Workers_Data,4,FALSE),IFERROR(VLOOKUP($B20,Laborers_Data,4,FALSE),"")))</f>
      </c>
      <c r="G20" s="20">
        <f>IF($B20="","",'Daily Attendance'!BN21)</f>
      </c>
      <c r="H20" s="21">
        <f>IF($B20="","",'Daily Attendance'!BO21)</f>
      </c>
      <c r="I20" s="22">
        <f>IF($B20="","",'Daily Attendance'!BP21)</f>
      </c>
      <c r="J20" s="22">
        <f>IF($B20="","",'Daily Attendance'!BQ21)</f>
      </c>
      <c r="K20" s="23">
        <f>IF($B20="","",'Daily Attendance'!BR21)</f>
      </c>
    </row>
    <row r="21">
      <c r="A21" s="58">
        <f>IF($B21="","",SUMPRODUCT(--($B$4:$B21&lt;&gt;"")))</f>
      </c>
      <c r="B21" s="17">
        <f>IF('Daily Attendance'!A22="","",'Daily Attendance'!A22)</f>
      </c>
      <c r="C21" s="18">
        <f>IF($B21="","",'Daily Attendance'!B22)</f>
      </c>
      <c r="D21" s="19">
        <f>IF($B21="","",'Daily Attendance'!C22)</f>
      </c>
      <c r="E21" s="19">
        <f>IF($B21="","",IFERROR(VLOOKUP($B21,Workers_Data,3,FALSE),IFERROR(VLOOKUP($B21,Laborers_Data,3,FALSE),"")))</f>
      </c>
      <c r="F21" s="19">
        <f>IF($B21="","",IFERROR(VLOOKUP($B21,Workers_Data,4,FALSE),IFERROR(VLOOKUP($B21,Laborers_Data,4,FALSE),"")))</f>
      </c>
      <c r="G21" s="20">
        <f>IF($B21="","",'Daily Attendance'!BN22)</f>
      </c>
      <c r="H21" s="21">
        <f>IF($B21="","",'Daily Attendance'!BO22)</f>
      </c>
      <c r="I21" s="22">
        <f>IF($B21="","",'Daily Attendance'!BP22)</f>
      </c>
      <c r="J21" s="22">
        <f>IF($B21="","",'Daily Attendance'!BQ22)</f>
      </c>
      <c r="K21" s="23">
        <f>IF($B21="","",'Daily Attendance'!BR22)</f>
      </c>
    </row>
    <row r="22">
      <c r="A22" s="58">
        <f>IF($B22="","",SUMPRODUCT(--($B$4:$B22&lt;&gt;"")))</f>
      </c>
      <c r="B22" s="17">
        <f>IF('Daily Attendance'!A23="","",'Daily Attendance'!A23)</f>
      </c>
      <c r="C22" s="18">
        <f>IF($B22="","",'Daily Attendance'!B23)</f>
      </c>
      <c r="D22" s="19">
        <f>IF($B22="","",'Daily Attendance'!C23)</f>
      </c>
      <c r="E22" s="19">
        <f>IF($B22="","",IFERROR(VLOOKUP($B22,Workers_Data,3,FALSE),IFERROR(VLOOKUP($B22,Laborers_Data,3,FALSE),"")))</f>
      </c>
      <c r="F22" s="19">
        <f>IF($B22="","",IFERROR(VLOOKUP($B22,Workers_Data,4,FALSE),IFERROR(VLOOKUP($B22,Laborers_Data,4,FALSE),"")))</f>
      </c>
      <c r="G22" s="20">
        <f>IF($B22="","",'Daily Attendance'!BN23)</f>
      </c>
      <c r="H22" s="21">
        <f>IF($B22="","",'Daily Attendance'!BO23)</f>
      </c>
      <c r="I22" s="22">
        <f>IF($B22="","",'Daily Attendance'!BP23)</f>
      </c>
      <c r="J22" s="22">
        <f>IF($B22="","",'Daily Attendance'!BQ23)</f>
      </c>
      <c r="K22" s="23">
        <f>IF($B22="","",'Daily Attendance'!BR23)</f>
      </c>
    </row>
    <row r="23">
      <c r="A23" s="58">
        <f>IF($B23="","",SUMPRODUCT(--($B$4:$B23&lt;&gt;"")))</f>
      </c>
      <c r="B23" s="17">
        <f>IF('Daily Attendance'!A24="","",'Daily Attendance'!A24)</f>
      </c>
      <c r="C23" s="18">
        <f>IF($B23="","",'Daily Attendance'!B24)</f>
      </c>
      <c r="D23" s="19">
        <f>IF($B23="","",'Daily Attendance'!C24)</f>
      </c>
      <c r="E23" s="19">
        <f>IF($B23="","",IFERROR(VLOOKUP($B23,Workers_Data,3,FALSE),IFERROR(VLOOKUP($B23,Laborers_Data,3,FALSE),"")))</f>
      </c>
      <c r="F23" s="19">
        <f>IF($B23="","",IFERROR(VLOOKUP($B23,Workers_Data,4,FALSE),IFERROR(VLOOKUP($B23,Laborers_Data,4,FALSE),"")))</f>
      </c>
      <c r="G23" s="20">
        <f>IF($B23="","",'Daily Attendance'!BN24)</f>
      </c>
      <c r="H23" s="21">
        <f>IF($B23="","",'Daily Attendance'!BO24)</f>
      </c>
      <c r="I23" s="22">
        <f>IF($B23="","",'Daily Attendance'!BP24)</f>
      </c>
      <c r="J23" s="22">
        <f>IF($B23="","",'Daily Attendance'!BQ24)</f>
      </c>
      <c r="K23" s="23">
        <f>IF($B23="","",'Daily Attendance'!BR24)</f>
      </c>
    </row>
    <row r="24">
      <c r="A24" s="58">
        <f>IF($B24="","",SUMPRODUCT(--($B$4:$B24&lt;&gt;"")))</f>
      </c>
      <c r="B24" s="17">
        <f>IF('Daily Attendance'!A25="","",'Daily Attendance'!A25)</f>
      </c>
      <c r="C24" s="18">
        <f>IF($B24="","",'Daily Attendance'!B25)</f>
      </c>
      <c r="D24" s="19">
        <f>IF($B24="","",'Daily Attendance'!C25)</f>
      </c>
      <c r="E24" s="19">
        <f>IF($B24="","",IFERROR(VLOOKUP($B24,Workers_Data,3,FALSE),IFERROR(VLOOKUP($B24,Laborers_Data,3,FALSE),"")))</f>
      </c>
      <c r="F24" s="19">
        <f>IF($B24="","",IFERROR(VLOOKUP($B24,Workers_Data,4,FALSE),IFERROR(VLOOKUP($B24,Laborers_Data,4,FALSE),"")))</f>
      </c>
      <c r="G24" s="20">
        <f>IF($B24="","",'Daily Attendance'!BN25)</f>
      </c>
      <c r="H24" s="21">
        <f>IF($B24="","",'Daily Attendance'!BO25)</f>
      </c>
      <c r="I24" s="22">
        <f>IF($B24="","",'Daily Attendance'!BP25)</f>
      </c>
      <c r="J24" s="22">
        <f>IF($B24="","",'Daily Attendance'!BQ25)</f>
      </c>
      <c r="K24" s="23">
        <f>IF($B24="","",'Daily Attendance'!BR25)</f>
      </c>
    </row>
    <row r="25">
      <c r="A25" s="58">
        <f>IF($B25="","",SUMPRODUCT(--($B$4:$B25&lt;&gt;"")))</f>
      </c>
      <c r="B25" s="17">
        <f>IF('Daily Attendance'!A26="","",'Daily Attendance'!A26)</f>
      </c>
      <c r="C25" s="18">
        <f>IF($B25="","",'Daily Attendance'!B26)</f>
      </c>
      <c r="D25" s="19">
        <f>IF($B25="","",'Daily Attendance'!C26)</f>
      </c>
      <c r="E25" s="19">
        <f>IF($B25="","",IFERROR(VLOOKUP($B25,Workers_Data,3,FALSE),IFERROR(VLOOKUP($B25,Laborers_Data,3,FALSE),"")))</f>
      </c>
      <c r="F25" s="19">
        <f>IF($B25="","",IFERROR(VLOOKUP($B25,Workers_Data,4,FALSE),IFERROR(VLOOKUP($B25,Laborers_Data,4,FALSE),"")))</f>
      </c>
      <c r="G25" s="20">
        <f>IF($B25="","",'Daily Attendance'!BN26)</f>
      </c>
      <c r="H25" s="21">
        <f>IF($B25="","",'Daily Attendance'!BO26)</f>
      </c>
      <c r="I25" s="22">
        <f>IF($B25="","",'Daily Attendance'!BP26)</f>
      </c>
      <c r="J25" s="22">
        <f>IF($B25="","",'Daily Attendance'!BQ26)</f>
      </c>
      <c r="K25" s="23">
        <f>IF($B25="","",'Daily Attendance'!BR26)</f>
      </c>
    </row>
    <row r="26">
      <c r="A26" s="58">
        <f>IF($B26="","",SUMPRODUCT(--($B$4:$B26&lt;&gt;"")))</f>
      </c>
      <c r="B26" s="17">
        <f>IF('Daily Attendance'!A27="","",'Daily Attendance'!A27)</f>
      </c>
      <c r="C26" s="18">
        <f>IF($B26="","",'Daily Attendance'!B27)</f>
      </c>
      <c r="D26" s="19">
        <f>IF($B26="","",'Daily Attendance'!C27)</f>
      </c>
      <c r="E26" s="19">
        <f>IF($B26="","",IFERROR(VLOOKUP($B26,Workers_Data,3,FALSE),IFERROR(VLOOKUP($B26,Laborers_Data,3,FALSE),"")))</f>
      </c>
      <c r="F26" s="19">
        <f>IF($B26="","",IFERROR(VLOOKUP($B26,Workers_Data,4,FALSE),IFERROR(VLOOKUP($B26,Laborers_Data,4,FALSE),"")))</f>
      </c>
      <c r="G26" s="20">
        <f>IF($B26="","",'Daily Attendance'!BN27)</f>
      </c>
      <c r="H26" s="21">
        <f>IF($B26="","",'Daily Attendance'!BO27)</f>
      </c>
      <c r="I26" s="22">
        <f>IF($B26="","",'Daily Attendance'!BP27)</f>
      </c>
      <c r="J26" s="22">
        <f>IF($B26="","",'Daily Attendance'!BQ27)</f>
      </c>
      <c r="K26" s="23">
        <f>IF($B26="","",'Daily Attendance'!BR27)</f>
      </c>
    </row>
    <row r="27">
      <c r="A27" s="58">
        <f>IF($B27="","",SUMPRODUCT(--($B$4:$B27&lt;&gt;"")))</f>
      </c>
      <c r="B27" s="17">
        <f>IF('Daily Attendance'!A28="","",'Daily Attendance'!A28)</f>
      </c>
      <c r="C27" s="18">
        <f>IF($B27="","",'Daily Attendance'!B28)</f>
      </c>
      <c r="D27" s="19">
        <f>IF($B27="","",'Daily Attendance'!C28)</f>
      </c>
      <c r="E27" s="19">
        <f>IF($B27="","",IFERROR(VLOOKUP($B27,Workers_Data,3,FALSE),IFERROR(VLOOKUP($B27,Laborers_Data,3,FALSE),"")))</f>
      </c>
      <c r="F27" s="19">
        <f>IF($B27="","",IFERROR(VLOOKUP($B27,Workers_Data,4,FALSE),IFERROR(VLOOKUP($B27,Laborers_Data,4,FALSE),"")))</f>
      </c>
      <c r="G27" s="20">
        <f>IF($B27="","",'Daily Attendance'!BN28)</f>
      </c>
      <c r="H27" s="21">
        <f>IF($B27="","",'Daily Attendance'!BO28)</f>
      </c>
      <c r="I27" s="22">
        <f>IF($B27="","",'Daily Attendance'!BP28)</f>
      </c>
      <c r="J27" s="22">
        <f>IF($B27="","",'Daily Attendance'!BQ28)</f>
      </c>
      <c r="K27" s="23">
        <f>IF($B27="","",'Daily Attendance'!BR28)</f>
      </c>
    </row>
    <row r="28">
      <c r="A28" s="58">
        <f>IF($B28="","",SUMPRODUCT(--($B$4:$B28&lt;&gt;"")))</f>
      </c>
      <c r="B28" s="17">
        <f>IF('Daily Attendance'!A29="","",'Daily Attendance'!A29)</f>
      </c>
      <c r="C28" s="18">
        <f>IF($B28="","",'Daily Attendance'!B29)</f>
      </c>
      <c r="D28" s="19">
        <f>IF($B28="","",'Daily Attendance'!C29)</f>
      </c>
      <c r="E28" s="19">
        <f>IF($B28="","",IFERROR(VLOOKUP($B28,Workers_Data,3,FALSE),IFERROR(VLOOKUP($B28,Laborers_Data,3,FALSE),"")))</f>
      </c>
      <c r="F28" s="19">
        <f>IF($B28="","",IFERROR(VLOOKUP($B28,Workers_Data,4,FALSE),IFERROR(VLOOKUP($B28,Laborers_Data,4,FALSE),"")))</f>
      </c>
      <c r="G28" s="20">
        <f>IF($B28="","",'Daily Attendance'!BN29)</f>
      </c>
      <c r="H28" s="21">
        <f>IF($B28="","",'Daily Attendance'!BO29)</f>
      </c>
      <c r="I28" s="22">
        <f>IF($B28="","",'Daily Attendance'!BP29)</f>
      </c>
      <c r="J28" s="22">
        <f>IF($B28="","",'Daily Attendance'!BQ29)</f>
      </c>
      <c r="K28" s="23">
        <f>IF($B28="","",'Daily Attendance'!BR29)</f>
      </c>
    </row>
    <row r="29">
      <c r="A29" s="58">
        <f>IF($B29="","",SUMPRODUCT(--($B$4:$B29&lt;&gt;"")))</f>
      </c>
      <c r="B29" s="17">
        <f>IF('Daily Attendance'!A30="","",'Daily Attendance'!A30)</f>
      </c>
      <c r="C29" s="18">
        <f>IF($B29="","",'Daily Attendance'!B30)</f>
      </c>
      <c r="D29" s="19">
        <f>IF($B29="","",'Daily Attendance'!C30)</f>
      </c>
      <c r="E29" s="19">
        <f>IF($B29="","",IFERROR(VLOOKUP($B29,Workers_Data,3,FALSE),IFERROR(VLOOKUP($B29,Laborers_Data,3,FALSE),"")))</f>
      </c>
      <c r="F29" s="19">
        <f>IF($B29="","",IFERROR(VLOOKUP($B29,Workers_Data,4,FALSE),IFERROR(VLOOKUP($B29,Laborers_Data,4,FALSE),"")))</f>
      </c>
      <c r="G29" s="20">
        <f>IF($B29="","",'Daily Attendance'!BN30)</f>
      </c>
      <c r="H29" s="21">
        <f>IF($B29="","",'Daily Attendance'!BO30)</f>
      </c>
      <c r="I29" s="22">
        <f>IF($B29="","",'Daily Attendance'!BP30)</f>
      </c>
      <c r="J29" s="22">
        <f>IF($B29="","",'Daily Attendance'!BQ30)</f>
      </c>
      <c r="K29" s="23">
        <f>IF($B29="","",'Daily Attendance'!BR30)</f>
      </c>
    </row>
    <row r="30">
      <c r="A30" s="58">
        <f>IF($B30="","",SUMPRODUCT(--($B$4:$B30&lt;&gt;"")))</f>
      </c>
      <c r="B30" s="17">
        <f>IF('Daily Attendance'!A31="","",'Daily Attendance'!A31)</f>
      </c>
      <c r="C30" s="18">
        <f>IF($B30="","",'Daily Attendance'!B31)</f>
      </c>
      <c r="D30" s="19">
        <f>IF($B30="","",'Daily Attendance'!C31)</f>
      </c>
      <c r="E30" s="19">
        <f>IF($B30="","",IFERROR(VLOOKUP($B30,Workers_Data,3,FALSE),IFERROR(VLOOKUP($B30,Laborers_Data,3,FALSE),"")))</f>
      </c>
      <c r="F30" s="19">
        <f>IF($B30="","",IFERROR(VLOOKUP($B30,Workers_Data,4,FALSE),IFERROR(VLOOKUP($B30,Laborers_Data,4,FALSE),"")))</f>
      </c>
      <c r="G30" s="20">
        <f>IF($B30="","",'Daily Attendance'!BN31)</f>
      </c>
      <c r="H30" s="21">
        <f>IF($B30="","",'Daily Attendance'!BO31)</f>
      </c>
      <c r="I30" s="22">
        <f>IF($B30="","",'Daily Attendance'!BP31)</f>
      </c>
      <c r="J30" s="22">
        <f>IF($B30="","",'Daily Attendance'!BQ31)</f>
      </c>
      <c r="K30" s="23">
        <f>IF($B30="","",'Daily Attendance'!BR31)</f>
      </c>
    </row>
    <row r="31">
      <c r="A31" s="58">
        <f>IF($B31="","",SUMPRODUCT(--($B$4:$B31&lt;&gt;"")))</f>
      </c>
      <c r="B31" s="17">
        <f>IF('Daily Attendance'!A32="","",'Daily Attendance'!A32)</f>
      </c>
      <c r="C31" s="18">
        <f>IF($B31="","",'Daily Attendance'!B32)</f>
      </c>
      <c r="D31" s="19">
        <f>IF($B31="","",'Daily Attendance'!C32)</f>
      </c>
      <c r="E31" s="19">
        <f>IF($B31="","",IFERROR(VLOOKUP($B31,Workers_Data,3,FALSE),IFERROR(VLOOKUP($B31,Laborers_Data,3,FALSE),"")))</f>
      </c>
      <c r="F31" s="19">
        <f>IF($B31="","",IFERROR(VLOOKUP($B31,Workers_Data,4,FALSE),IFERROR(VLOOKUP($B31,Laborers_Data,4,FALSE),"")))</f>
      </c>
      <c r="G31" s="20">
        <f>IF($B31="","",'Daily Attendance'!BN32)</f>
      </c>
      <c r="H31" s="21">
        <f>IF($B31="","",'Daily Attendance'!BO32)</f>
      </c>
      <c r="I31" s="22">
        <f>IF($B31="","",'Daily Attendance'!BP32)</f>
      </c>
      <c r="J31" s="22">
        <f>IF($B31="","",'Daily Attendance'!BQ32)</f>
      </c>
      <c r="K31" s="23">
        <f>IF($B31="","",'Daily Attendance'!BR32)</f>
      </c>
    </row>
    <row r="32">
      <c r="A32" s="58">
        <f>IF($B32="","",SUMPRODUCT(--($B$4:$B32&lt;&gt;"")))</f>
      </c>
      <c r="B32" s="17">
        <f>IF('Daily Attendance'!A33="","",'Daily Attendance'!A33)</f>
      </c>
      <c r="C32" s="18">
        <f>IF($B32="","",'Daily Attendance'!B33)</f>
      </c>
      <c r="D32" s="19">
        <f>IF($B32="","",'Daily Attendance'!C33)</f>
      </c>
      <c r="E32" s="19">
        <f>IF($B32="","",IFERROR(VLOOKUP($B32,Workers_Data,3,FALSE),IFERROR(VLOOKUP($B32,Laborers_Data,3,FALSE),"")))</f>
      </c>
      <c r="F32" s="19">
        <f>IF($B32="","",IFERROR(VLOOKUP($B32,Workers_Data,4,FALSE),IFERROR(VLOOKUP($B32,Laborers_Data,4,FALSE),"")))</f>
      </c>
      <c r="G32" s="20">
        <f>IF($B32="","",'Daily Attendance'!BN33)</f>
      </c>
      <c r="H32" s="21">
        <f>IF($B32="","",'Daily Attendance'!BO33)</f>
      </c>
      <c r="I32" s="22">
        <f>IF($B32="","",'Daily Attendance'!BP33)</f>
      </c>
      <c r="J32" s="22">
        <f>IF($B32="","",'Daily Attendance'!BQ33)</f>
      </c>
      <c r="K32" s="23">
        <f>IF($B32="","",'Daily Attendance'!BR33)</f>
      </c>
    </row>
    <row r="33">
      <c r="A33" s="58">
        <f>IF($B33="","",SUMPRODUCT(--($B$4:$B33&lt;&gt;"")))</f>
      </c>
      <c r="B33" s="17">
        <f>IF('Daily Attendance'!A34="","",'Daily Attendance'!A34)</f>
      </c>
      <c r="C33" s="18">
        <f>IF($B33="","",'Daily Attendance'!B34)</f>
      </c>
      <c r="D33" s="19">
        <f>IF($B33="","",'Daily Attendance'!C34)</f>
      </c>
      <c r="E33" s="19">
        <f>IF($B33="","",IFERROR(VLOOKUP($B33,Workers_Data,3,FALSE),IFERROR(VLOOKUP($B33,Laborers_Data,3,FALSE),"")))</f>
      </c>
      <c r="F33" s="19">
        <f>IF($B33="","",IFERROR(VLOOKUP($B33,Workers_Data,4,FALSE),IFERROR(VLOOKUP($B33,Laborers_Data,4,FALSE),"")))</f>
      </c>
      <c r="G33" s="20">
        <f>IF($B33="","",'Daily Attendance'!BN34)</f>
      </c>
      <c r="H33" s="21">
        <f>IF($B33="","",'Daily Attendance'!BO34)</f>
      </c>
      <c r="I33" s="22">
        <f>IF($B33="","",'Daily Attendance'!BP34)</f>
      </c>
      <c r="J33" s="22">
        <f>IF($B33="","",'Daily Attendance'!BQ34)</f>
      </c>
      <c r="K33" s="23">
        <f>IF($B33="","",'Daily Attendance'!BR34)</f>
      </c>
    </row>
    <row r="34">
      <c r="A34" s="58">
        <f>IF($B34="","",SUMPRODUCT(--($B$4:$B34&lt;&gt;"")))</f>
      </c>
      <c r="B34" s="17">
        <f>IF('Daily Attendance'!A35="","",'Daily Attendance'!A35)</f>
      </c>
      <c r="C34" s="18">
        <f>IF($B34="","",'Daily Attendance'!B35)</f>
      </c>
      <c r="D34" s="19">
        <f>IF($B34="","",'Daily Attendance'!C35)</f>
      </c>
      <c r="E34" s="19">
        <f>IF($B34="","",IFERROR(VLOOKUP($B34,Workers_Data,3,FALSE),IFERROR(VLOOKUP($B34,Laborers_Data,3,FALSE),"")))</f>
      </c>
      <c r="F34" s="19">
        <f>IF($B34="","",IFERROR(VLOOKUP($B34,Workers_Data,4,FALSE),IFERROR(VLOOKUP($B34,Laborers_Data,4,FALSE),"")))</f>
      </c>
      <c r="G34" s="20">
        <f>IF($B34="","",'Daily Attendance'!BN35)</f>
      </c>
      <c r="H34" s="21">
        <f>IF($B34="","",'Daily Attendance'!BO35)</f>
      </c>
      <c r="I34" s="22">
        <f>IF($B34="","",'Daily Attendance'!BP35)</f>
      </c>
      <c r="J34" s="22">
        <f>IF($B34="","",'Daily Attendance'!BQ35)</f>
      </c>
      <c r="K34" s="23">
        <f>IF($B34="","",'Daily Attendance'!BR35)</f>
      </c>
    </row>
    <row r="35">
      <c r="A35" s="58">
        <f>IF($B35="","",SUMPRODUCT(--($B$4:$B35&lt;&gt;"")))</f>
      </c>
      <c r="B35" s="17">
        <f>IF('Daily Attendance'!A36="","",'Daily Attendance'!A36)</f>
      </c>
      <c r="C35" s="18">
        <f>IF($B35="","",'Daily Attendance'!B36)</f>
      </c>
      <c r="D35" s="19">
        <f>IF($B35="","",'Daily Attendance'!C36)</f>
      </c>
      <c r="E35" s="19">
        <f>IF($B35="","",IFERROR(VLOOKUP($B35,Workers_Data,3,FALSE),IFERROR(VLOOKUP($B35,Laborers_Data,3,FALSE),"")))</f>
      </c>
      <c r="F35" s="19">
        <f>IF($B35="","",IFERROR(VLOOKUP($B35,Workers_Data,4,FALSE),IFERROR(VLOOKUP($B35,Laborers_Data,4,FALSE),"")))</f>
      </c>
      <c r="G35" s="20">
        <f>IF($B35="","",'Daily Attendance'!BN36)</f>
      </c>
      <c r="H35" s="21">
        <f>IF($B35="","",'Daily Attendance'!BO36)</f>
      </c>
      <c r="I35" s="22">
        <f>IF($B35="","",'Daily Attendance'!BP36)</f>
      </c>
      <c r="J35" s="22">
        <f>IF($B35="","",'Daily Attendance'!BQ36)</f>
      </c>
      <c r="K35" s="23">
        <f>IF($B35="","",'Daily Attendance'!BR36)</f>
      </c>
    </row>
    <row r="36">
      <c r="A36" s="58">
        <f>IF($B36="","",SUMPRODUCT(--($B$4:$B36&lt;&gt;"")))</f>
      </c>
      <c r="B36" s="17">
        <f>IF('Daily Attendance'!A37="","",'Daily Attendance'!A37)</f>
      </c>
      <c r="C36" s="18">
        <f>IF($B36="","",'Daily Attendance'!B37)</f>
      </c>
      <c r="D36" s="19">
        <f>IF($B36="","",'Daily Attendance'!C37)</f>
      </c>
      <c r="E36" s="19">
        <f>IF($B36="","",IFERROR(VLOOKUP($B36,Workers_Data,3,FALSE),IFERROR(VLOOKUP($B36,Laborers_Data,3,FALSE),"")))</f>
      </c>
      <c r="F36" s="19">
        <f>IF($B36="","",IFERROR(VLOOKUP($B36,Workers_Data,4,FALSE),IFERROR(VLOOKUP($B36,Laborers_Data,4,FALSE),"")))</f>
      </c>
      <c r="G36" s="20">
        <f>IF($B36="","",'Daily Attendance'!BN37)</f>
      </c>
      <c r="H36" s="21">
        <f>IF($B36="","",'Daily Attendance'!BO37)</f>
      </c>
      <c r="I36" s="22">
        <f>IF($B36="","",'Daily Attendance'!BP37)</f>
      </c>
      <c r="J36" s="22">
        <f>IF($B36="","",'Daily Attendance'!BQ37)</f>
      </c>
      <c r="K36" s="23">
        <f>IF($B36="","",'Daily Attendance'!BR37)</f>
      </c>
    </row>
    <row r="37">
      <c r="A37" s="58">
        <f>IF($B37="","",SUMPRODUCT(--($B$4:$B37&lt;&gt;"")))</f>
      </c>
      <c r="B37" s="17">
        <f>IF('Daily Attendance'!A38="","",'Daily Attendance'!A38)</f>
      </c>
      <c r="C37" s="18">
        <f>IF($B37="","",'Daily Attendance'!B38)</f>
      </c>
      <c r="D37" s="19">
        <f>IF($B37="","",'Daily Attendance'!C38)</f>
      </c>
      <c r="E37" s="19">
        <f>IF($B37="","",IFERROR(VLOOKUP($B37,Workers_Data,3,FALSE),IFERROR(VLOOKUP($B37,Laborers_Data,3,FALSE),"")))</f>
      </c>
      <c r="F37" s="19">
        <f>IF($B37="","",IFERROR(VLOOKUP($B37,Workers_Data,4,FALSE),IFERROR(VLOOKUP($B37,Laborers_Data,4,FALSE),"")))</f>
      </c>
      <c r="G37" s="20">
        <f>IF($B37="","",'Daily Attendance'!BN38)</f>
      </c>
      <c r="H37" s="21">
        <f>IF($B37="","",'Daily Attendance'!BO38)</f>
      </c>
      <c r="I37" s="22">
        <f>IF($B37="","",'Daily Attendance'!BP38)</f>
      </c>
      <c r="J37" s="22">
        <f>IF($B37="","",'Daily Attendance'!BQ38)</f>
      </c>
      <c r="K37" s="23">
        <f>IF($B37="","",'Daily Attendance'!BR38)</f>
      </c>
    </row>
    <row r="38">
      <c r="A38" s="58">
        <f>IF($B38="","",SUMPRODUCT(--($B$4:$B38&lt;&gt;"")))</f>
      </c>
      <c r="B38" s="17">
        <f>IF('Daily Attendance'!A39="","",'Daily Attendance'!A39)</f>
      </c>
      <c r="C38" s="18">
        <f>IF($B38="","",'Daily Attendance'!B39)</f>
      </c>
      <c r="D38" s="19">
        <f>IF($B38="","",'Daily Attendance'!C39)</f>
      </c>
      <c r="E38" s="19">
        <f>IF($B38="","",IFERROR(VLOOKUP($B38,Workers_Data,3,FALSE),IFERROR(VLOOKUP($B38,Laborers_Data,3,FALSE),"")))</f>
      </c>
      <c r="F38" s="19">
        <f>IF($B38="","",IFERROR(VLOOKUP($B38,Workers_Data,4,FALSE),IFERROR(VLOOKUP($B38,Laborers_Data,4,FALSE),"")))</f>
      </c>
      <c r="G38" s="20">
        <f>IF($B38="","",'Daily Attendance'!BN39)</f>
      </c>
      <c r="H38" s="21">
        <f>IF($B38="","",'Daily Attendance'!BO39)</f>
      </c>
      <c r="I38" s="22">
        <f>IF($B38="","",'Daily Attendance'!BP39)</f>
      </c>
      <c r="J38" s="22">
        <f>IF($B38="","",'Daily Attendance'!BQ39)</f>
      </c>
      <c r="K38" s="23">
        <f>IF($B38="","",'Daily Attendance'!BR39)</f>
      </c>
    </row>
    <row r="39">
      <c r="A39" s="58">
        <f>IF($B39="","",SUMPRODUCT(--($B$4:$B39&lt;&gt;"")))</f>
      </c>
      <c r="B39" s="17">
        <f>IF('Daily Attendance'!A40="","",'Daily Attendance'!A40)</f>
      </c>
      <c r="C39" s="18">
        <f>IF($B39="","",'Daily Attendance'!B40)</f>
      </c>
      <c r="D39" s="19">
        <f>IF($B39="","",'Daily Attendance'!C40)</f>
      </c>
      <c r="E39" s="19">
        <f>IF($B39="","",IFERROR(VLOOKUP($B39,Workers_Data,3,FALSE),IFERROR(VLOOKUP($B39,Laborers_Data,3,FALSE),"")))</f>
      </c>
      <c r="F39" s="19">
        <f>IF($B39="","",IFERROR(VLOOKUP($B39,Workers_Data,4,FALSE),IFERROR(VLOOKUP($B39,Laborers_Data,4,FALSE),"")))</f>
      </c>
      <c r="G39" s="20">
        <f>IF($B39="","",'Daily Attendance'!BN40)</f>
      </c>
      <c r="H39" s="21">
        <f>IF($B39="","",'Daily Attendance'!BO40)</f>
      </c>
      <c r="I39" s="22">
        <f>IF($B39="","",'Daily Attendance'!BP40)</f>
      </c>
      <c r="J39" s="22">
        <f>IF($B39="","",'Daily Attendance'!BQ40)</f>
      </c>
      <c r="K39" s="23">
        <f>IF($B39="","",'Daily Attendance'!BR40)</f>
      </c>
    </row>
    <row r="40">
      <c r="A40" s="58">
        <f>IF($B40="","",SUMPRODUCT(--($B$4:$B40&lt;&gt;"")))</f>
      </c>
      <c r="B40" s="17">
        <f>IF('Daily Attendance'!A41="","",'Daily Attendance'!A41)</f>
      </c>
      <c r="C40" s="18">
        <f>IF($B40="","",'Daily Attendance'!B41)</f>
      </c>
      <c r="D40" s="19">
        <f>IF($B40="","",'Daily Attendance'!C41)</f>
      </c>
      <c r="E40" s="19">
        <f>IF($B40="","",IFERROR(VLOOKUP($B40,Workers_Data,3,FALSE),IFERROR(VLOOKUP($B40,Laborers_Data,3,FALSE),"")))</f>
      </c>
      <c r="F40" s="19">
        <f>IF($B40="","",IFERROR(VLOOKUP($B40,Workers_Data,4,FALSE),IFERROR(VLOOKUP($B40,Laborers_Data,4,FALSE),"")))</f>
      </c>
      <c r="G40" s="20">
        <f>IF($B40="","",'Daily Attendance'!BN41)</f>
      </c>
      <c r="H40" s="21">
        <f>IF($B40="","",'Daily Attendance'!BO41)</f>
      </c>
      <c r="I40" s="22">
        <f>IF($B40="","",'Daily Attendance'!BP41)</f>
      </c>
      <c r="J40" s="22">
        <f>IF($B40="","",'Daily Attendance'!BQ41)</f>
      </c>
      <c r="K40" s="23">
        <f>IF($B40="","",'Daily Attendance'!BR41)</f>
      </c>
    </row>
    <row r="41">
      <c r="A41" s="58">
        <f>IF($B41="","",SUMPRODUCT(--($B$4:$B41&lt;&gt;"")))</f>
      </c>
      <c r="B41" s="17">
        <f>IF('Daily Attendance'!A42="","",'Daily Attendance'!A42)</f>
      </c>
      <c r="C41" s="18">
        <f>IF($B41="","",'Daily Attendance'!B42)</f>
      </c>
      <c r="D41" s="19">
        <f>IF($B41="","",'Daily Attendance'!C42)</f>
      </c>
      <c r="E41" s="19">
        <f>IF($B41="","",IFERROR(VLOOKUP($B41,Workers_Data,3,FALSE),IFERROR(VLOOKUP($B41,Laborers_Data,3,FALSE),"")))</f>
      </c>
      <c r="F41" s="19">
        <f>IF($B41="","",IFERROR(VLOOKUP($B41,Workers_Data,4,FALSE),IFERROR(VLOOKUP($B41,Laborers_Data,4,FALSE),"")))</f>
      </c>
      <c r="G41" s="20">
        <f>IF($B41="","",'Daily Attendance'!BN42)</f>
      </c>
      <c r="H41" s="21">
        <f>IF($B41="","",'Daily Attendance'!BO42)</f>
      </c>
      <c r="I41" s="22">
        <f>IF($B41="","",'Daily Attendance'!BP42)</f>
      </c>
      <c r="J41" s="22">
        <f>IF($B41="","",'Daily Attendance'!BQ42)</f>
      </c>
      <c r="K41" s="23">
        <f>IF($B41="","",'Daily Attendance'!BR42)</f>
      </c>
    </row>
    <row r="42">
      <c r="A42" s="58">
        <f>IF($B42="","",SUMPRODUCT(--($B$4:$B42&lt;&gt;"")))</f>
      </c>
      <c r="B42" s="17">
        <f>IF('Daily Attendance'!A43="","",'Daily Attendance'!A43)</f>
      </c>
      <c r="C42" s="18">
        <f>IF($B42="","",'Daily Attendance'!B43)</f>
      </c>
      <c r="D42" s="19">
        <f>IF($B42="","",'Daily Attendance'!C43)</f>
      </c>
      <c r="E42" s="19">
        <f>IF($B42="","",IFERROR(VLOOKUP($B42,Workers_Data,3,FALSE),IFERROR(VLOOKUP($B42,Laborers_Data,3,FALSE),"")))</f>
      </c>
      <c r="F42" s="19">
        <f>IF($B42="","",IFERROR(VLOOKUP($B42,Workers_Data,4,FALSE),IFERROR(VLOOKUP($B42,Laborers_Data,4,FALSE),"")))</f>
      </c>
      <c r="G42" s="20">
        <f>IF($B42="","",'Daily Attendance'!BN43)</f>
      </c>
      <c r="H42" s="21">
        <f>IF($B42="","",'Daily Attendance'!BO43)</f>
      </c>
      <c r="I42" s="22">
        <f>IF($B42="","",'Daily Attendance'!BP43)</f>
      </c>
      <c r="J42" s="22">
        <f>IF($B42="","",'Daily Attendance'!BQ43)</f>
      </c>
      <c r="K42" s="23">
        <f>IF($B42="","",'Daily Attendance'!BR43)</f>
      </c>
    </row>
    <row r="43">
      <c r="A43" s="58">
        <f>IF($B43="","",SUMPRODUCT(--($B$4:$B43&lt;&gt;"")))</f>
      </c>
      <c r="B43" s="17">
        <f>IF('Daily Attendance'!A44="","",'Daily Attendance'!A44)</f>
      </c>
      <c r="C43" s="18">
        <f>IF($B43="","",'Daily Attendance'!B44)</f>
      </c>
      <c r="D43" s="19">
        <f>IF($B43="","",'Daily Attendance'!C44)</f>
      </c>
      <c r="E43" s="19">
        <f>IF($B43="","",IFERROR(VLOOKUP($B43,Workers_Data,3,FALSE),IFERROR(VLOOKUP($B43,Laborers_Data,3,FALSE),"")))</f>
      </c>
      <c r="F43" s="19">
        <f>IF($B43="","",IFERROR(VLOOKUP($B43,Workers_Data,4,FALSE),IFERROR(VLOOKUP($B43,Laborers_Data,4,FALSE),"")))</f>
      </c>
      <c r="G43" s="20">
        <f>IF($B43="","",'Daily Attendance'!BN44)</f>
      </c>
      <c r="H43" s="21">
        <f>IF($B43="","",'Daily Attendance'!BO44)</f>
      </c>
      <c r="I43" s="22">
        <f>IF($B43="","",'Daily Attendance'!BP44)</f>
      </c>
      <c r="J43" s="22">
        <f>IF($B43="","",'Daily Attendance'!BQ44)</f>
      </c>
      <c r="K43" s="23">
        <f>IF($B43="","",'Daily Attendance'!BR44)</f>
      </c>
    </row>
    <row r="44">
      <c r="A44" s="58">
        <f>IF($B44="","",SUMPRODUCT(--($B$4:$B44&lt;&gt;"")))</f>
      </c>
      <c r="B44" s="17">
        <f>IF('Daily Attendance'!A45="","",'Daily Attendance'!A45)</f>
      </c>
      <c r="C44" s="18">
        <f>IF($B44="","",'Daily Attendance'!B45)</f>
      </c>
      <c r="D44" s="19">
        <f>IF($B44="","",'Daily Attendance'!C45)</f>
      </c>
      <c r="E44" s="19">
        <f>IF($B44="","",IFERROR(VLOOKUP($B44,Workers_Data,3,FALSE),IFERROR(VLOOKUP($B44,Laborers_Data,3,FALSE),"")))</f>
      </c>
      <c r="F44" s="19">
        <f>IF($B44="","",IFERROR(VLOOKUP($B44,Workers_Data,4,FALSE),IFERROR(VLOOKUP($B44,Laborers_Data,4,FALSE),"")))</f>
      </c>
      <c r="G44" s="20">
        <f>IF($B44="","",'Daily Attendance'!BN45)</f>
      </c>
      <c r="H44" s="21">
        <f>IF($B44="","",'Daily Attendance'!BO45)</f>
      </c>
      <c r="I44" s="22">
        <f>IF($B44="","",'Daily Attendance'!BP45)</f>
      </c>
      <c r="J44" s="22">
        <f>IF($B44="","",'Daily Attendance'!BQ45)</f>
      </c>
      <c r="K44" s="23">
        <f>IF($B44="","",'Daily Attendance'!BR45)</f>
      </c>
    </row>
    <row r="45">
      <c r="A45" s="58">
        <f>IF($B45="","",SUMPRODUCT(--($B$4:$B45&lt;&gt;"")))</f>
      </c>
      <c r="B45" s="17">
        <f>IF('Daily Attendance'!A46="","",'Daily Attendance'!A46)</f>
      </c>
      <c r="C45" s="18">
        <f>IF($B45="","",'Daily Attendance'!B46)</f>
      </c>
      <c r="D45" s="19">
        <f>IF($B45="","",'Daily Attendance'!C46)</f>
      </c>
      <c r="E45" s="19">
        <f>IF($B45="","",IFERROR(VLOOKUP($B45,Workers_Data,3,FALSE),IFERROR(VLOOKUP($B45,Laborers_Data,3,FALSE),"")))</f>
      </c>
      <c r="F45" s="19">
        <f>IF($B45="","",IFERROR(VLOOKUP($B45,Workers_Data,4,FALSE),IFERROR(VLOOKUP($B45,Laborers_Data,4,FALSE),"")))</f>
      </c>
      <c r="G45" s="20">
        <f>IF($B45="","",'Daily Attendance'!BN46)</f>
      </c>
      <c r="H45" s="21">
        <f>IF($B45="","",'Daily Attendance'!BO46)</f>
      </c>
      <c r="I45" s="22">
        <f>IF($B45="","",'Daily Attendance'!BP46)</f>
      </c>
      <c r="J45" s="22">
        <f>IF($B45="","",'Daily Attendance'!BQ46)</f>
      </c>
      <c r="K45" s="23">
        <f>IF($B45="","",'Daily Attendance'!BR46)</f>
      </c>
    </row>
    <row r="46">
      <c r="A46" s="58">
        <f>IF($B46="","",SUMPRODUCT(--($B$4:$B46&lt;&gt;"")))</f>
      </c>
      <c r="B46" s="17">
        <f>IF('Daily Attendance'!A47="","",'Daily Attendance'!A47)</f>
      </c>
      <c r="C46" s="18">
        <f>IF($B46="","",'Daily Attendance'!B47)</f>
      </c>
      <c r="D46" s="19">
        <f>IF($B46="","",'Daily Attendance'!C47)</f>
      </c>
      <c r="E46" s="19">
        <f>IF($B46="","",IFERROR(VLOOKUP($B46,Workers_Data,3,FALSE),IFERROR(VLOOKUP($B46,Laborers_Data,3,FALSE),"")))</f>
      </c>
      <c r="F46" s="19">
        <f>IF($B46="","",IFERROR(VLOOKUP($B46,Workers_Data,4,FALSE),IFERROR(VLOOKUP($B46,Laborers_Data,4,FALSE),"")))</f>
      </c>
      <c r="G46" s="20">
        <f>IF($B46="","",'Daily Attendance'!BN47)</f>
      </c>
      <c r="H46" s="21">
        <f>IF($B46="","",'Daily Attendance'!BO47)</f>
      </c>
      <c r="I46" s="22">
        <f>IF($B46="","",'Daily Attendance'!BP47)</f>
      </c>
      <c r="J46" s="22">
        <f>IF($B46="","",'Daily Attendance'!BQ47)</f>
      </c>
      <c r="K46" s="23">
        <f>IF($B46="","",'Daily Attendance'!BR47)</f>
      </c>
    </row>
    <row r="47">
      <c r="A47" s="58">
        <f>IF($B47="","",SUMPRODUCT(--($B$4:$B47&lt;&gt;"")))</f>
      </c>
      <c r="B47" s="17">
        <f>IF('Daily Attendance'!A48="","",'Daily Attendance'!A48)</f>
      </c>
      <c r="C47" s="18">
        <f>IF($B47="","",'Daily Attendance'!B48)</f>
      </c>
      <c r="D47" s="19">
        <f>IF($B47="","",'Daily Attendance'!C48)</f>
      </c>
      <c r="E47" s="19">
        <f>IF($B47="","",IFERROR(VLOOKUP($B47,Workers_Data,3,FALSE),IFERROR(VLOOKUP($B47,Laborers_Data,3,FALSE),"")))</f>
      </c>
      <c r="F47" s="19">
        <f>IF($B47="","",IFERROR(VLOOKUP($B47,Workers_Data,4,FALSE),IFERROR(VLOOKUP($B47,Laborers_Data,4,FALSE),"")))</f>
      </c>
      <c r="G47" s="20">
        <f>IF($B47="","",'Daily Attendance'!BN48)</f>
      </c>
      <c r="H47" s="21">
        <f>IF($B47="","",'Daily Attendance'!BO48)</f>
      </c>
      <c r="I47" s="22">
        <f>IF($B47="","",'Daily Attendance'!BP48)</f>
      </c>
      <c r="J47" s="22">
        <f>IF($B47="","",'Daily Attendance'!BQ48)</f>
      </c>
      <c r="K47" s="23">
        <f>IF($B47="","",'Daily Attendance'!BR48)</f>
      </c>
    </row>
    <row r="48">
      <c r="A48" s="58">
        <f>IF($B48="","",SUMPRODUCT(--($B$4:$B48&lt;&gt;"")))</f>
      </c>
      <c r="B48" s="17">
        <f>IF('Daily Attendance'!A49="","",'Daily Attendance'!A49)</f>
      </c>
      <c r="C48" s="18">
        <f>IF($B48="","",'Daily Attendance'!B49)</f>
      </c>
      <c r="D48" s="19">
        <f>IF($B48="","",'Daily Attendance'!C49)</f>
      </c>
      <c r="E48" s="19">
        <f>IF($B48="","",IFERROR(VLOOKUP($B48,Workers_Data,3,FALSE),IFERROR(VLOOKUP($B48,Laborers_Data,3,FALSE),"")))</f>
      </c>
      <c r="F48" s="19">
        <f>IF($B48="","",IFERROR(VLOOKUP($B48,Workers_Data,4,FALSE),IFERROR(VLOOKUP($B48,Laborers_Data,4,FALSE),"")))</f>
      </c>
      <c r="G48" s="20">
        <f>IF($B48="","",'Daily Attendance'!BN49)</f>
      </c>
      <c r="H48" s="21">
        <f>IF($B48="","",'Daily Attendance'!BO49)</f>
      </c>
      <c r="I48" s="22">
        <f>IF($B48="","",'Daily Attendance'!BP49)</f>
      </c>
      <c r="J48" s="22">
        <f>IF($B48="","",'Daily Attendance'!BQ49)</f>
      </c>
      <c r="K48" s="23">
        <f>IF($B48="","",'Daily Attendance'!BR49)</f>
      </c>
    </row>
    <row r="49">
      <c r="A49" s="58">
        <f>IF($B49="","",SUMPRODUCT(--($B$4:$B49&lt;&gt;"")))</f>
      </c>
      <c r="B49" s="17">
        <f>IF('Daily Attendance'!A50="","",'Daily Attendance'!A50)</f>
      </c>
      <c r="C49" s="18">
        <f>IF($B49="","",'Daily Attendance'!B50)</f>
      </c>
      <c r="D49" s="19">
        <f>IF($B49="","",'Daily Attendance'!C50)</f>
      </c>
      <c r="E49" s="19">
        <f>IF($B49="","",IFERROR(VLOOKUP($B49,Workers_Data,3,FALSE),IFERROR(VLOOKUP($B49,Laborers_Data,3,FALSE),"")))</f>
      </c>
      <c r="F49" s="19">
        <f>IF($B49="","",IFERROR(VLOOKUP($B49,Workers_Data,4,FALSE),IFERROR(VLOOKUP($B49,Laborers_Data,4,FALSE),"")))</f>
      </c>
      <c r="G49" s="20">
        <f>IF($B49="","",'Daily Attendance'!BN50)</f>
      </c>
      <c r="H49" s="21">
        <f>IF($B49="","",'Daily Attendance'!BO50)</f>
      </c>
      <c r="I49" s="22">
        <f>IF($B49="","",'Daily Attendance'!BP50)</f>
      </c>
      <c r="J49" s="22">
        <f>IF($B49="","",'Daily Attendance'!BQ50)</f>
      </c>
      <c r="K49" s="23">
        <f>IF($B49="","",'Daily Attendance'!BR50)</f>
      </c>
    </row>
    <row r="50">
      <c r="A50" s="58">
        <f>IF($B50="","",SUMPRODUCT(--($B$4:$B50&lt;&gt;"")))</f>
      </c>
      <c r="B50" s="17">
        <f>IF('Daily Attendance'!A51="","",'Daily Attendance'!A51)</f>
      </c>
      <c r="C50" s="18">
        <f>IF($B50="","",'Daily Attendance'!B51)</f>
      </c>
      <c r="D50" s="19">
        <f>IF($B50="","",'Daily Attendance'!C51)</f>
      </c>
      <c r="E50" s="19">
        <f>IF($B50="","",IFERROR(VLOOKUP($B50,Workers_Data,3,FALSE),IFERROR(VLOOKUP($B50,Laborers_Data,3,FALSE),"")))</f>
      </c>
      <c r="F50" s="19">
        <f>IF($B50="","",IFERROR(VLOOKUP($B50,Workers_Data,4,FALSE),IFERROR(VLOOKUP($B50,Laborers_Data,4,FALSE),"")))</f>
      </c>
      <c r="G50" s="20">
        <f>IF($B50="","",'Daily Attendance'!BN51)</f>
      </c>
      <c r="H50" s="21">
        <f>IF($B50="","",'Daily Attendance'!BO51)</f>
      </c>
      <c r="I50" s="22">
        <f>IF($B50="","",'Daily Attendance'!BP51)</f>
      </c>
      <c r="J50" s="22">
        <f>IF($B50="","",'Daily Attendance'!BQ51)</f>
      </c>
      <c r="K50" s="23">
        <f>IF($B50="","",'Daily Attendance'!BR51)</f>
      </c>
    </row>
    <row r="51">
      <c r="A51" s="58">
        <f>IF($B51="","",SUMPRODUCT(--($B$4:$B51&lt;&gt;"")))</f>
      </c>
      <c r="B51" s="17">
        <f>IF('Daily Attendance'!A52="","",'Daily Attendance'!A52)</f>
      </c>
      <c r="C51" s="18">
        <f>IF($B51="","",'Daily Attendance'!B52)</f>
      </c>
      <c r="D51" s="19">
        <f>IF($B51="","",'Daily Attendance'!C52)</f>
      </c>
      <c r="E51" s="19">
        <f>IF($B51="","",IFERROR(VLOOKUP($B51,Workers_Data,3,FALSE),IFERROR(VLOOKUP($B51,Laborers_Data,3,FALSE),"")))</f>
      </c>
      <c r="F51" s="19">
        <f>IF($B51="","",IFERROR(VLOOKUP($B51,Workers_Data,4,FALSE),IFERROR(VLOOKUP($B51,Laborers_Data,4,FALSE),"")))</f>
      </c>
      <c r="G51" s="20">
        <f>IF($B51="","",'Daily Attendance'!BN52)</f>
      </c>
      <c r="H51" s="21">
        <f>IF($B51="","",'Daily Attendance'!BO52)</f>
      </c>
      <c r="I51" s="22">
        <f>IF($B51="","",'Daily Attendance'!BP52)</f>
      </c>
      <c r="J51" s="22">
        <f>IF($B51="","",'Daily Attendance'!BQ52)</f>
      </c>
      <c r="K51" s="23">
        <f>IF($B51="","",'Daily Attendance'!BR52)</f>
      </c>
    </row>
    <row r="52">
      <c r="A52" s="58">
        <f>IF($B52="","",SUMPRODUCT(--($B$4:$B52&lt;&gt;"")))</f>
      </c>
      <c r="B52" s="17">
        <f>IF('Daily Attendance'!A53="","",'Daily Attendance'!A53)</f>
      </c>
      <c r="C52" s="18">
        <f>IF($B52="","",'Daily Attendance'!B53)</f>
      </c>
      <c r="D52" s="19">
        <f>IF($B52="","",'Daily Attendance'!C53)</f>
      </c>
      <c r="E52" s="19">
        <f>IF($B52="","",IFERROR(VLOOKUP($B52,Workers_Data,3,FALSE),IFERROR(VLOOKUP($B52,Laborers_Data,3,FALSE),"")))</f>
      </c>
      <c r="F52" s="19">
        <f>IF($B52="","",IFERROR(VLOOKUP($B52,Workers_Data,4,FALSE),IFERROR(VLOOKUP($B52,Laborers_Data,4,FALSE),"")))</f>
      </c>
      <c r="G52" s="20">
        <f>IF($B52="","",'Daily Attendance'!BN53)</f>
      </c>
      <c r="H52" s="21">
        <f>IF($B52="","",'Daily Attendance'!BO53)</f>
      </c>
      <c r="I52" s="22">
        <f>IF($B52="","",'Daily Attendance'!BP53)</f>
      </c>
      <c r="J52" s="22">
        <f>IF($B52="","",'Daily Attendance'!BQ53)</f>
      </c>
      <c r="K52" s="23">
        <f>IF($B52="","",'Daily Attendance'!BR53)</f>
      </c>
    </row>
    <row r="53">
      <c r="A53" s="58">
        <f>IF($B53="","",SUMPRODUCT(--($B$4:$B53&lt;&gt;"")))</f>
      </c>
      <c r="B53" s="17">
        <f>IF('Daily Attendance'!A54="","",'Daily Attendance'!A54)</f>
      </c>
      <c r="C53" s="18">
        <f>IF($B53="","",'Daily Attendance'!B54)</f>
      </c>
      <c r="D53" s="19">
        <f>IF($B53="","",'Daily Attendance'!C54)</f>
      </c>
      <c r="E53" s="19">
        <f>IF($B53="","",IFERROR(VLOOKUP($B53,Workers_Data,3,FALSE),IFERROR(VLOOKUP($B53,Laborers_Data,3,FALSE),"")))</f>
      </c>
      <c r="F53" s="19">
        <f>IF($B53="","",IFERROR(VLOOKUP($B53,Workers_Data,4,FALSE),IFERROR(VLOOKUP($B53,Laborers_Data,4,FALSE),"")))</f>
      </c>
      <c r="G53" s="20">
        <f>IF($B53="","",'Daily Attendance'!BN54)</f>
      </c>
      <c r="H53" s="21">
        <f>IF($B53="","",'Daily Attendance'!BO54)</f>
      </c>
      <c r="I53" s="22">
        <f>IF($B53="","",'Daily Attendance'!BP54)</f>
      </c>
      <c r="J53" s="22">
        <f>IF($B53="","",'Daily Attendance'!BQ54)</f>
      </c>
      <c r="K53" s="23">
        <f>IF($B53="","",'Daily Attendance'!BR54)</f>
      </c>
    </row>
    <row r="54">
      <c r="A54" s="58">
        <f>IF($B54="","",SUMPRODUCT(--($B$4:$B54&lt;&gt;"")))</f>
      </c>
      <c r="B54" s="17">
        <f>IF('Daily Attendance'!A55="","",'Daily Attendance'!A55)</f>
      </c>
      <c r="C54" s="18">
        <f>IF($B54="","",'Daily Attendance'!B55)</f>
      </c>
      <c r="D54" s="19">
        <f>IF($B54="","",'Daily Attendance'!C55)</f>
      </c>
      <c r="E54" s="19">
        <f>IF($B54="","",IFERROR(VLOOKUP($B54,Workers_Data,3,FALSE),IFERROR(VLOOKUP($B54,Laborers_Data,3,FALSE),"")))</f>
      </c>
      <c r="F54" s="19">
        <f>IF($B54="","",IFERROR(VLOOKUP($B54,Workers_Data,4,FALSE),IFERROR(VLOOKUP($B54,Laborers_Data,4,FALSE),"")))</f>
      </c>
      <c r="G54" s="20">
        <f>IF($B54="","",'Daily Attendance'!BN55)</f>
      </c>
      <c r="H54" s="21">
        <f>IF($B54="","",'Daily Attendance'!BO55)</f>
      </c>
      <c r="I54" s="22">
        <f>IF($B54="","",'Daily Attendance'!BP55)</f>
      </c>
      <c r="J54" s="22">
        <f>IF($B54="","",'Daily Attendance'!BQ55)</f>
      </c>
      <c r="K54" s="23">
        <f>IF($B54="","",'Daily Attendance'!BR55)</f>
      </c>
    </row>
    <row r="55">
      <c r="A55" s="58">
        <f>IF($B55="","",SUMPRODUCT(--($B$4:$B55&lt;&gt;"")))</f>
      </c>
      <c r="B55" s="17">
        <f>IF('Daily Attendance'!A56="","",'Daily Attendance'!A56)</f>
      </c>
      <c r="C55" s="18">
        <f>IF($B55="","",'Daily Attendance'!B56)</f>
      </c>
      <c r="D55" s="19">
        <f>IF($B55="","",'Daily Attendance'!C56)</f>
      </c>
      <c r="E55" s="19">
        <f>IF($B55="","",IFERROR(VLOOKUP($B55,Workers_Data,3,FALSE),IFERROR(VLOOKUP($B55,Laborers_Data,3,FALSE),"")))</f>
      </c>
      <c r="F55" s="19">
        <f>IF($B55="","",IFERROR(VLOOKUP($B55,Workers_Data,4,FALSE),IFERROR(VLOOKUP($B55,Laborers_Data,4,FALSE),"")))</f>
      </c>
      <c r="G55" s="20">
        <f>IF($B55="","",'Daily Attendance'!BN56)</f>
      </c>
      <c r="H55" s="21">
        <f>IF($B55="","",'Daily Attendance'!BO56)</f>
      </c>
      <c r="I55" s="22">
        <f>IF($B55="","",'Daily Attendance'!BP56)</f>
      </c>
      <c r="J55" s="22">
        <f>IF($B55="","",'Daily Attendance'!BQ56)</f>
      </c>
      <c r="K55" s="23">
        <f>IF($B55="","",'Daily Attendance'!BR56)</f>
      </c>
    </row>
    <row r="56">
      <c r="A56" s="58">
        <f>IF($B56="","",SUMPRODUCT(--($B$4:$B56&lt;&gt;"")))</f>
      </c>
      <c r="B56" s="17">
        <f>IF('Daily Attendance'!A57="","",'Daily Attendance'!A57)</f>
      </c>
      <c r="C56" s="18">
        <f>IF($B56="","",'Daily Attendance'!B57)</f>
      </c>
      <c r="D56" s="19">
        <f>IF($B56="","",'Daily Attendance'!C57)</f>
      </c>
      <c r="E56" s="19">
        <f>IF($B56="","",IFERROR(VLOOKUP($B56,Workers_Data,3,FALSE),IFERROR(VLOOKUP($B56,Laborers_Data,3,FALSE),"")))</f>
      </c>
      <c r="F56" s="19">
        <f>IF($B56="","",IFERROR(VLOOKUP($B56,Workers_Data,4,FALSE),IFERROR(VLOOKUP($B56,Laborers_Data,4,FALSE),"")))</f>
      </c>
      <c r="G56" s="20">
        <f>IF($B56="","",'Daily Attendance'!BN57)</f>
      </c>
      <c r="H56" s="21">
        <f>IF($B56="","",'Daily Attendance'!BO57)</f>
      </c>
      <c r="I56" s="22">
        <f>IF($B56="","",'Daily Attendance'!BP57)</f>
      </c>
      <c r="J56" s="22">
        <f>IF($B56="","",'Daily Attendance'!BQ57)</f>
      </c>
      <c r="K56" s="23">
        <f>IF($B56="","",'Daily Attendance'!BR57)</f>
      </c>
    </row>
    <row r="57">
      <c r="A57" s="58">
        <f>IF($B57="","",SUMPRODUCT(--($B$4:$B57&lt;&gt;"")))</f>
      </c>
      <c r="B57" s="17">
        <f>IF('Daily Attendance'!A58="","",'Daily Attendance'!A58)</f>
      </c>
      <c r="C57" s="18">
        <f>IF($B57="","",'Daily Attendance'!B58)</f>
      </c>
      <c r="D57" s="19">
        <f>IF($B57="","",'Daily Attendance'!C58)</f>
      </c>
      <c r="E57" s="19">
        <f>IF($B57="","",IFERROR(VLOOKUP($B57,Workers_Data,3,FALSE),IFERROR(VLOOKUP($B57,Laborers_Data,3,FALSE),"")))</f>
      </c>
      <c r="F57" s="19">
        <f>IF($B57="","",IFERROR(VLOOKUP($B57,Workers_Data,4,FALSE),IFERROR(VLOOKUP($B57,Laborers_Data,4,FALSE),"")))</f>
      </c>
      <c r="G57" s="20">
        <f>IF($B57="","",'Daily Attendance'!BN58)</f>
      </c>
      <c r="H57" s="21">
        <f>IF($B57="","",'Daily Attendance'!BO58)</f>
      </c>
      <c r="I57" s="22">
        <f>IF($B57="","",'Daily Attendance'!BP58)</f>
      </c>
      <c r="J57" s="22">
        <f>IF($B57="","",'Daily Attendance'!BQ58)</f>
      </c>
      <c r="K57" s="23">
        <f>IF($B57="","",'Daily Attendance'!BR58)</f>
      </c>
    </row>
    <row r="58">
      <c r="A58" s="58">
        <f>IF($B58="","",SUMPRODUCT(--($B$4:$B58&lt;&gt;"")))</f>
      </c>
      <c r="B58" s="17">
        <f>IF('Daily Attendance'!A59="","",'Daily Attendance'!A59)</f>
      </c>
      <c r="C58" s="18">
        <f>IF($B58="","",'Daily Attendance'!B59)</f>
      </c>
      <c r="D58" s="19">
        <f>IF($B58="","",'Daily Attendance'!C59)</f>
      </c>
      <c r="E58" s="19">
        <f>IF($B58="","",IFERROR(VLOOKUP($B58,Workers_Data,3,FALSE),IFERROR(VLOOKUP($B58,Laborers_Data,3,FALSE),"")))</f>
      </c>
      <c r="F58" s="19">
        <f>IF($B58="","",IFERROR(VLOOKUP($B58,Workers_Data,4,FALSE),IFERROR(VLOOKUP($B58,Laborers_Data,4,FALSE),"")))</f>
      </c>
      <c r="G58" s="20">
        <f>IF($B58="","",'Daily Attendance'!BN59)</f>
      </c>
      <c r="H58" s="21">
        <f>IF($B58="","",'Daily Attendance'!BO59)</f>
      </c>
      <c r="I58" s="22">
        <f>IF($B58="","",'Daily Attendance'!BP59)</f>
      </c>
      <c r="J58" s="22">
        <f>IF($B58="","",'Daily Attendance'!BQ59)</f>
      </c>
      <c r="K58" s="23">
        <f>IF($B58="","",'Daily Attendance'!BR59)</f>
      </c>
    </row>
    <row r="59">
      <c r="A59" s="58">
        <f>IF($B59="","",SUMPRODUCT(--($B$4:$B59&lt;&gt;"")))</f>
      </c>
      <c r="B59" s="17">
        <f>IF('Daily Attendance'!A60="","",'Daily Attendance'!A60)</f>
      </c>
      <c r="C59" s="18">
        <f>IF($B59="","",'Daily Attendance'!B60)</f>
      </c>
      <c r="D59" s="19">
        <f>IF($B59="","",'Daily Attendance'!C60)</f>
      </c>
      <c r="E59" s="19">
        <f>IF($B59="","",IFERROR(VLOOKUP($B59,Workers_Data,3,FALSE),IFERROR(VLOOKUP($B59,Laborers_Data,3,FALSE),"")))</f>
      </c>
      <c r="F59" s="19">
        <f>IF($B59="","",IFERROR(VLOOKUP($B59,Workers_Data,4,FALSE),IFERROR(VLOOKUP($B59,Laborers_Data,4,FALSE),"")))</f>
      </c>
      <c r="G59" s="20">
        <f>IF($B59="","",'Daily Attendance'!BN60)</f>
      </c>
      <c r="H59" s="21">
        <f>IF($B59="","",'Daily Attendance'!BO60)</f>
      </c>
      <c r="I59" s="22">
        <f>IF($B59="","",'Daily Attendance'!BP60)</f>
      </c>
      <c r="J59" s="22">
        <f>IF($B59="","",'Daily Attendance'!BQ60)</f>
      </c>
      <c r="K59" s="23">
        <f>IF($B59="","",'Daily Attendance'!BR60)</f>
      </c>
    </row>
    <row r="60">
      <c r="A60" s="58">
        <f>IF($B60="","",SUMPRODUCT(--($B$4:$B60&lt;&gt;"")))</f>
      </c>
      <c r="B60" s="17">
        <f>IF('Daily Attendance'!A61="","",'Daily Attendance'!A61)</f>
      </c>
      <c r="C60" s="18">
        <f>IF($B60="","",'Daily Attendance'!B61)</f>
      </c>
      <c r="D60" s="19">
        <f>IF($B60="","",'Daily Attendance'!C61)</f>
      </c>
      <c r="E60" s="19">
        <f>IF($B60="","",IFERROR(VLOOKUP($B60,Workers_Data,3,FALSE),IFERROR(VLOOKUP($B60,Laborers_Data,3,FALSE),"")))</f>
      </c>
      <c r="F60" s="19">
        <f>IF($B60="","",IFERROR(VLOOKUP($B60,Workers_Data,4,FALSE),IFERROR(VLOOKUP($B60,Laborers_Data,4,FALSE),"")))</f>
      </c>
      <c r="G60" s="20">
        <f>IF($B60="","",'Daily Attendance'!BN61)</f>
      </c>
      <c r="H60" s="21">
        <f>IF($B60="","",'Daily Attendance'!BO61)</f>
      </c>
      <c r="I60" s="22">
        <f>IF($B60="","",'Daily Attendance'!BP61)</f>
      </c>
      <c r="J60" s="22">
        <f>IF($B60="","",'Daily Attendance'!BQ61)</f>
      </c>
      <c r="K60" s="23">
        <f>IF($B60="","",'Daily Attendance'!BR61)</f>
      </c>
    </row>
    <row r="61">
      <c r="A61" s="58">
        <f>IF($B61="","",SUMPRODUCT(--($B$4:$B61&lt;&gt;"")))</f>
      </c>
      <c r="B61" s="17">
        <f>IF('Daily Attendance'!A62="","",'Daily Attendance'!A62)</f>
      </c>
      <c r="C61" s="18">
        <f>IF($B61="","",'Daily Attendance'!B62)</f>
      </c>
      <c r="D61" s="19">
        <f>IF($B61="","",'Daily Attendance'!C62)</f>
      </c>
      <c r="E61" s="19">
        <f>IF($B61="","",IFERROR(VLOOKUP($B61,Workers_Data,3,FALSE),IFERROR(VLOOKUP($B61,Laborers_Data,3,FALSE),"")))</f>
      </c>
      <c r="F61" s="19">
        <f>IF($B61="","",IFERROR(VLOOKUP($B61,Workers_Data,4,FALSE),IFERROR(VLOOKUP($B61,Laborers_Data,4,FALSE),"")))</f>
      </c>
      <c r="G61" s="20">
        <f>IF($B61="","",'Daily Attendance'!BN62)</f>
      </c>
      <c r="H61" s="21">
        <f>IF($B61="","",'Daily Attendance'!BO62)</f>
      </c>
      <c r="I61" s="22">
        <f>IF($B61="","",'Daily Attendance'!BP62)</f>
      </c>
      <c r="J61" s="22">
        <f>IF($B61="","",'Daily Attendance'!BQ62)</f>
      </c>
      <c r="K61" s="23">
        <f>IF($B61="","",'Daily Attendance'!BR62)</f>
      </c>
    </row>
    <row r="62">
      <c r="A62" s="58">
        <f>IF($B62="","",SUMPRODUCT(--($B$4:$B62&lt;&gt;"")))</f>
      </c>
      <c r="B62" s="17">
        <f>IF('Daily Attendance'!A63="","",'Daily Attendance'!A63)</f>
      </c>
      <c r="C62" s="18">
        <f>IF($B62="","",'Daily Attendance'!B63)</f>
      </c>
      <c r="D62" s="19">
        <f>IF($B62="","",'Daily Attendance'!C63)</f>
      </c>
      <c r="E62" s="19">
        <f>IF($B62="","",IFERROR(VLOOKUP($B62,Workers_Data,3,FALSE),IFERROR(VLOOKUP($B62,Laborers_Data,3,FALSE),"")))</f>
      </c>
      <c r="F62" s="19">
        <f>IF($B62="","",IFERROR(VLOOKUP($B62,Workers_Data,4,FALSE),IFERROR(VLOOKUP($B62,Laborers_Data,4,FALSE),"")))</f>
      </c>
      <c r="G62" s="20">
        <f>IF($B62="","",'Daily Attendance'!BN63)</f>
      </c>
      <c r="H62" s="21">
        <f>IF($B62="","",'Daily Attendance'!BO63)</f>
      </c>
      <c r="I62" s="22">
        <f>IF($B62="","",'Daily Attendance'!BP63)</f>
      </c>
      <c r="J62" s="22">
        <f>IF($B62="","",'Daily Attendance'!BQ63)</f>
      </c>
      <c r="K62" s="23">
        <f>IF($B62="","",'Daily Attendance'!BR63)</f>
      </c>
    </row>
    <row r="63">
      <c r="A63" s="58">
        <f>IF($B63="","",SUMPRODUCT(--($B$4:$B63&lt;&gt;"")))</f>
      </c>
      <c r="B63" s="17">
        <f>IF('Daily Attendance'!A64="","",'Daily Attendance'!A64)</f>
      </c>
      <c r="C63" s="18">
        <f>IF($B63="","",'Daily Attendance'!B64)</f>
      </c>
      <c r="D63" s="19">
        <f>IF($B63="","",'Daily Attendance'!C64)</f>
      </c>
      <c r="E63" s="19">
        <f>IF($B63="","",IFERROR(VLOOKUP($B63,Workers_Data,3,FALSE),IFERROR(VLOOKUP($B63,Laborers_Data,3,FALSE),"")))</f>
      </c>
      <c r="F63" s="19">
        <f>IF($B63="","",IFERROR(VLOOKUP($B63,Workers_Data,4,FALSE),IFERROR(VLOOKUP($B63,Laborers_Data,4,FALSE),"")))</f>
      </c>
      <c r="G63" s="20">
        <f>IF($B63="","",'Daily Attendance'!BN64)</f>
      </c>
      <c r="H63" s="21">
        <f>IF($B63="","",'Daily Attendance'!BO64)</f>
      </c>
      <c r="I63" s="22">
        <f>IF($B63="","",'Daily Attendance'!BP64)</f>
      </c>
      <c r="J63" s="22">
        <f>IF($B63="","",'Daily Attendance'!BQ64)</f>
      </c>
      <c r="K63" s="23">
        <f>IF($B63="","",'Daily Attendance'!BR64)</f>
      </c>
    </row>
    <row r="64">
      <c r="A64" s="58">
        <f>IF($B64="","",SUMPRODUCT(--($B$4:$B64&lt;&gt;"")))</f>
      </c>
      <c r="B64" s="17">
        <f>IF('Daily Attendance'!A65="","",'Daily Attendance'!A65)</f>
      </c>
      <c r="C64" s="18">
        <f>IF($B64="","",'Daily Attendance'!B65)</f>
      </c>
      <c r="D64" s="19">
        <f>IF($B64="","",'Daily Attendance'!C65)</f>
      </c>
      <c r="E64" s="19">
        <f>IF($B64="","",IFERROR(VLOOKUP($B64,Workers_Data,3,FALSE),IFERROR(VLOOKUP($B64,Laborers_Data,3,FALSE),"")))</f>
      </c>
      <c r="F64" s="19">
        <f>IF($B64="","",IFERROR(VLOOKUP($B64,Workers_Data,4,FALSE),IFERROR(VLOOKUP($B64,Laborers_Data,4,FALSE),"")))</f>
      </c>
      <c r="G64" s="20">
        <f>IF($B64="","",'Daily Attendance'!BN65)</f>
      </c>
      <c r="H64" s="21">
        <f>IF($B64="","",'Daily Attendance'!BO65)</f>
      </c>
      <c r="I64" s="22">
        <f>IF($B64="","",'Daily Attendance'!BP65)</f>
      </c>
      <c r="J64" s="22">
        <f>IF($B64="","",'Daily Attendance'!BQ65)</f>
      </c>
      <c r="K64" s="23">
        <f>IF($B64="","",'Daily Attendance'!BR65)</f>
      </c>
    </row>
    <row r="65">
      <c r="A65" s="58">
        <f>IF($B65="","",SUMPRODUCT(--($B$4:$B65&lt;&gt;"")))</f>
      </c>
      <c r="B65" s="17">
        <f>IF('Daily Attendance'!A66="","",'Daily Attendance'!A66)</f>
      </c>
      <c r="C65" s="18">
        <f>IF($B65="","",'Daily Attendance'!B66)</f>
      </c>
      <c r="D65" s="19">
        <f>IF($B65="","",'Daily Attendance'!C66)</f>
      </c>
      <c r="E65" s="19">
        <f>IF($B65="","",IFERROR(VLOOKUP($B65,Workers_Data,3,FALSE),IFERROR(VLOOKUP($B65,Laborers_Data,3,FALSE),"")))</f>
      </c>
      <c r="F65" s="19">
        <f>IF($B65="","",IFERROR(VLOOKUP($B65,Workers_Data,4,FALSE),IFERROR(VLOOKUP($B65,Laborers_Data,4,FALSE),"")))</f>
      </c>
      <c r="G65" s="20">
        <f>IF($B65="","",'Daily Attendance'!BN66)</f>
      </c>
      <c r="H65" s="21">
        <f>IF($B65="","",'Daily Attendance'!BO66)</f>
      </c>
      <c r="I65" s="22">
        <f>IF($B65="","",'Daily Attendance'!BP66)</f>
      </c>
      <c r="J65" s="22">
        <f>IF($B65="","",'Daily Attendance'!BQ66)</f>
      </c>
      <c r="K65" s="23">
        <f>IF($B65="","",'Daily Attendance'!BR66)</f>
      </c>
    </row>
    <row r="66">
      <c r="A66" s="58">
        <f>IF($B66="","",SUMPRODUCT(--($B$4:$B66&lt;&gt;"")))</f>
      </c>
      <c r="B66" s="17">
        <f>IF('Daily Attendance'!A67="","",'Daily Attendance'!A67)</f>
      </c>
      <c r="C66" s="18">
        <f>IF($B66="","",'Daily Attendance'!B67)</f>
      </c>
      <c r="D66" s="19">
        <f>IF($B66="","",'Daily Attendance'!C67)</f>
      </c>
      <c r="E66" s="19">
        <f>IF($B66="","",IFERROR(VLOOKUP($B66,Workers_Data,3,FALSE),IFERROR(VLOOKUP($B66,Laborers_Data,3,FALSE),"")))</f>
      </c>
      <c r="F66" s="19">
        <f>IF($B66="","",IFERROR(VLOOKUP($B66,Workers_Data,4,FALSE),IFERROR(VLOOKUP($B66,Laborers_Data,4,FALSE),"")))</f>
      </c>
      <c r="G66" s="20">
        <f>IF($B66="","",'Daily Attendance'!BN67)</f>
      </c>
      <c r="H66" s="21">
        <f>IF($B66="","",'Daily Attendance'!BO67)</f>
      </c>
      <c r="I66" s="22">
        <f>IF($B66="","",'Daily Attendance'!BP67)</f>
      </c>
      <c r="J66" s="22">
        <f>IF($B66="","",'Daily Attendance'!BQ67)</f>
      </c>
      <c r="K66" s="23">
        <f>IF($B66="","",'Daily Attendance'!BR67)</f>
      </c>
    </row>
    <row r="67">
      <c r="A67" s="58">
        <f>IF($B67="","",SUMPRODUCT(--($B$4:$B67&lt;&gt;"")))</f>
      </c>
      <c r="B67" s="17">
        <f>IF('Daily Attendance'!A68="","",'Daily Attendance'!A68)</f>
      </c>
      <c r="C67" s="18">
        <f>IF($B67="","",'Daily Attendance'!B68)</f>
      </c>
      <c r="D67" s="19">
        <f>IF($B67="","",'Daily Attendance'!C68)</f>
      </c>
      <c r="E67" s="19">
        <f>IF($B67="","",IFERROR(VLOOKUP($B67,Workers_Data,3,FALSE),IFERROR(VLOOKUP($B67,Laborers_Data,3,FALSE),"")))</f>
      </c>
      <c r="F67" s="19">
        <f>IF($B67="","",IFERROR(VLOOKUP($B67,Workers_Data,4,FALSE),IFERROR(VLOOKUP($B67,Laborers_Data,4,FALSE),"")))</f>
      </c>
      <c r="G67" s="20">
        <f>IF($B67="","",'Daily Attendance'!BN68)</f>
      </c>
      <c r="H67" s="21">
        <f>IF($B67="","",'Daily Attendance'!BO68)</f>
      </c>
      <c r="I67" s="22">
        <f>IF($B67="","",'Daily Attendance'!BP68)</f>
      </c>
      <c r="J67" s="22">
        <f>IF($B67="","",'Daily Attendance'!BQ68)</f>
      </c>
      <c r="K67" s="23">
        <f>IF($B67="","",'Daily Attendance'!BR68)</f>
      </c>
    </row>
    <row r="68">
      <c r="A68" s="58">
        <f>IF($B68="","",SUMPRODUCT(--($B$4:$B68&lt;&gt;"")))</f>
      </c>
      <c r="B68" s="17">
        <f>IF('Daily Attendance'!A69="","",'Daily Attendance'!A69)</f>
      </c>
      <c r="C68" s="18">
        <f>IF($B68="","",'Daily Attendance'!B69)</f>
      </c>
      <c r="D68" s="19">
        <f>IF($B68="","",'Daily Attendance'!C69)</f>
      </c>
      <c r="E68" s="19">
        <f>IF($B68="","",IFERROR(VLOOKUP($B68,Workers_Data,3,FALSE),IFERROR(VLOOKUP($B68,Laborers_Data,3,FALSE),"")))</f>
      </c>
      <c r="F68" s="19">
        <f>IF($B68="","",IFERROR(VLOOKUP($B68,Workers_Data,4,FALSE),IFERROR(VLOOKUP($B68,Laborers_Data,4,FALSE),"")))</f>
      </c>
      <c r="G68" s="20">
        <f>IF($B68="","",'Daily Attendance'!BN69)</f>
      </c>
      <c r="H68" s="21">
        <f>IF($B68="","",'Daily Attendance'!BO69)</f>
      </c>
      <c r="I68" s="22">
        <f>IF($B68="","",'Daily Attendance'!BP69)</f>
      </c>
      <c r="J68" s="22">
        <f>IF($B68="","",'Daily Attendance'!BQ69)</f>
      </c>
      <c r="K68" s="23">
        <f>IF($B68="","",'Daily Attendance'!BR69)</f>
      </c>
    </row>
    <row r="69">
      <c r="A69" s="58">
        <f>IF($B69="","",SUMPRODUCT(--($B$4:$B69&lt;&gt;"")))</f>
      </c>
      <c r="B69" s="17">
        <f>IF('Daily Attendance'!A70="","",'Daily Attendance'!A70)</f>
      </c>
      <c r="C69" s="18">
        <f>IF($B69="","",'Daily Attendance'!B70)</f>
      </c>
      <c r="D69" s="19">
        <f>IF($B69="","",'Daily Attendance'!C70)</f>
      </c>
      <c r="E69" s="19">
        <f>IF($B69="","",IFERROR(VLOOKUP($B69,Workers_Data,3,FALSE),IFERROR(VLOOKUP($B69,Laborers_Data,3,FALSE),"")))</f>
      </c>
      <c r="F69" s="19">
        <f>IF($B69="","",IFERROR(VLOOKUP($B69,Workers_Data,4,FALSE),IFERROR(VLOOKUP($B69,Laborers_Data,4,FALSE),"")))</f>
      </c>
      <c r="G69" s="20">
        <f>IF($B69="","",'Daily Attendance'!BN70)</f>
      </c>
      <c r="H69" s="21">
        <f>IF($B69="","",'Daily Attendance'!BO70)</f>
      </c>
      <c r="I69" s="22">
        <f>IF($B69="","",'Daily Attendance'!BP70)</f>
      </c>
      <c r="J69" s="22">
        <f>IF($B69="","",'Daily Attendance'!BQ70)</f>
      </c>
      <c r="K69" s="23">
        <f>IF($B69="","",'Daily Attendance'!BR70)</f>
      </c>
    </row>
    <row r="70">
      <c r="A70" s="58">
        <f>IF($B70="","",SUMPRODUCT(--($B$4:$B70&lt;&gt;"")))</f>
      </c>
      <c r="B70" s="17">
        <f>IF('Daily Attendance'!A71="","",'Daily Attendance'!A71)</f>
      </c>
      <c r="C70" s="18">
        <f>IF($B70="","",'Daily Attendance'!B71)</f>
      </c>
      <c r="D70" s="19">
        <f>IF($B70="","",'Daily Attendance'!C71)</f>
      </c>
      <c r="E70" s="19">
        <f>IF($B70="","",IFERROR(VLOOKUP($B70,Workers_Data,3,FALSE),IFERROR(VLOOKUP($B70,Laborers_Data,3,FALSE),"")))</f>
      </c>
      <c r="F70" s="19">
        <f>IF($B70="","",IFERROR(VLOOKUP($B70,Workers_Data,4,FALSE),IFERROR(VLOOKUP($B70,Laborers_Data,4,FALSE),"")))</f>
      </c>
      <c r="G70" s="20">
        <f>IF($B70="","",'Daily Attendance'!BN71)</f>
      </c>
      <c r="H70" s="21">
        <f>IF($B70="","",'Daily Attendance'!BO71)</f>
      </c>
      <c r="I70" s="22">
        <f>IF($B70="","",'Daily Attendance'!BP71)</f>
      </c>
      <c r="J70" s="22">
        <f>IF($B70="","",'Daily Attendance'!BQ71)</f>
      </c>
      <c r="K70" s="23">
        <f>IF($B70="","",'Daily Attendance'!BR71)</f>
      </c>
    </row>
    <row r="71">
      <c r="A71" s="58">
        <f>IF($B71="","",SUMPRODUCT(--($B$4:$B71&lt;&gt;"")))</f>
      </c>
      <c r="B71" s="17">
        <f>IF('Daily Attendance'!A72="","",'Daily Attendance'!A72)</f>
      </c>
      <c r="C71" s="18">
        <f>IF($B71="","",'Daily Attendance'!B72)</f>
      </c>
      <c r="D71" s="19">
        <f>IF($B71="","",'Daily Attendance'!C72)</f>
      </c>
      <c r="E71" s="19">
        <f>IF($B71="","",IFERROR(VLOOKUP($B71,Workers_Data,3,FALSE),IFERROR(VLOOKUP($B71,Laborers_Data,3,FALSE),"")))</f>
      </c>
      <c r="F71" s="19">
        <f>IF($B71="","",IFERROR(VLOOKUP($B71,Workers_Data,4,FALSE),IFERROR(VLOOKUP($B71,Laborers_Data,4,FALSE),"")))</f>
      </c>
      <c r="G71" s="20">
        <f>IF($B71="","",'Daily Attendance'!BN72)</f>
      </c>
      <c r="H71" s="21">
        <f>IF($B71="","",'Daily Attendance'!BO72)</f>
      </c>
      <c r="I71" s="22">
        <f>IF($B71="","",'Daily Attendance'!BP72)</f>
      </c>
      <c r="J71" s="22">
        <f>IF($B71="","",'Daily Attendance'!BQ72)</f>
      </c>
      <c r="K71" s="23">
        <f>IF($B71="","",'Daily Attendance'!BR72)</f>
      </c>
    </row>
    <row r="72">
      <c r="A72" s="58">
        <f>IF($B72="","",SUMPRODUCT(--($B$4:$B72&lt;&gt;"")))</f>
      </c>
      <c r="B72" s="17">
        <f>IF('Daily Attendance'!A73="","",'Daily Attendance'!A73)</f>
      </c>
      <c r="C72" s="18">
        <f>IF($B72="","",'Daily Attendance'!B73)</f>
      </c>
      <c r="D72" s="19">
        <f>IF($B72="","",'Daily Attendance'!C73)</f>
      </c>
      <c r="E72" s="19">
        <f>IF($B72="","",IFERROR(VLOOKUP($B72,Workers_Data,3,FALSE),IFERROR(VLOOKUP($B72,Laborers_Data,3,FALSE),"")))</f>
      </c>
      <c r="F72" s="19">
        <f>IF($B72="","",IFERROR(VLOOKUP($B72,Workers_Data,4,FALSE),IFERROR(VLOOKUP($B72,Laborers_Data,4,FALSE),"")))</f>
      </c>
      <c r="G72" s="20">
        <f>IF($B72="","",'Daily Attendance'!BN73)</f>
      </c>
      <c r="H72" s="21">
        <f>IF($B72="","",'Daily Attendance'!BO73)</f>
      </c>
      <c r="I72" s="22">
        <f>IF($B72="","",'Daily Attendance'!BP73)</f>
      </c>
      <c r="J72" s="22">
        <f>IF($B72="","",'Daily Attendance'!BQ73)</f>
      </c>
      <c r="K72" s="23">
        <f>IF($B72="","",'Daily Attendance'!BR73)</f>
      </c>
    </row>
    <row r="73">
      <c r="A73" s="58">
        <f>IF($B73="","",SUMPRODUCT(--($B$4:$B73&lt;&gt;"")))</f>
      </c>
      <c r="B73" s="17">
        <f>IF('Daily Attendance'!A74="","",'Daily Attendance'!A74)</f>
      </c>
      <c r="C73" s="18">
        <f>IF($B73="","",'Daily Attendance'!B74)</f>
      </c>
      <c r="D73" s="19">
        <f>IF($B73="","",'Daily Attendance'!C74)</f>
      </c>
      <c r="E73" s="19">
        <f>IF($B73="","",IFERROR(VLOOKUP($B73,Workers_Data,3,FALSE),IFERROR(VLOOKUP($B73,Laborers_Data,3,FALSE),"")))</f>
      </c>
      <c r="F73" s="19">
        <f>IF($B73="","",IFERROR(VLOOKUP($B73,Workers_Data,4,FALSE),IFERROR(VLOOKUP($B73,Laborers_Data,4,FALSE),"")))</f>
      </c>
      <c r="G73" s="20">
        <f>IF($B73="","",'Daily Attendance'!BN74)</f>
      </c>
      <c r="H73" s="21">
        <f>IF($B73="","",'Daily Attendance'!BO74)</f>
      </c>
      <c r="I73" s="22">
        <f>IF($B73="","",'Daily Attendance'!BP74)</f>
      </c>
      <c r="J73" s="22">
        <f>IF($B73="","",'Daily Attendance'!BQ74)</f>
      </c>
      <c r="K73" s="23">
        <f>IF($B73="","",'Daily Attendance'!BR74)</f>
      </c>
    </row>
    <row r="74">
      <c r="A74" s="58">
        <f>IF($B74="","",SUMPRODUCT(--($B$4:$B74&lt;&gt;"")))</f>
      </c>
      <c r="B74" s="17">
        <f>IF('Daily Attendance'!A75="","",'Daily Attendance'!A75)</f>
      </c>
      <c r="C74" s="18">
        <f>IF($B74="","",'Daily Attendance'!B75)</f>
      </c>
      <c r="D74" s="19">
        <f>IF($B74="","",'Daily Attendance'!C75)</f>
      </c>
      <c r="E74" s="19">
        <f>IF($B74="","",IFERROR(VLOOKUP($B74,Workers_Data,3,FALSE),IFERROR(VLOOKUP($B74,Laborers_Data,3,FALSE),"")))</f>
      </c>
      <c r="F74" s="19">
        <f>IF($B74="","",IFERROR(VLOOKUP($B74,Workers_Data,4,FALSE),IFERROR(VLOOKUP($B74,Laborers_Data,4,FALSE),"")))</f>
      </c>
      <c r="G74" s="20">
        <f>IF($B74="","",'Daily Attendance'!BN75)</f>
      </c>
      <c r="H74" s="21">
        <f>IF($B74="","",'Daily Attendance'!BO75)</f>
      </c>
      <c r="I74" s="22">
        <f>IF($B74="","",'Daily Attendance'!BP75)</f>
      </c>
      <c r="J74" s="22">
        <f>IF($B74="","",'Daily Attendance'!BQ75)</f>
      </c>
      <c r="K74" s="23">
        <f>IF($B74="","",'Daily Attendance'!BR75)</f>
      </c>
    </row>
    <row r="75">
      <c r="A75" s="58">
        <f>IF($B75="","",SUMPRODUCT(--($B$4:$B75&lt;&gt;"")))</f>
      </c>
      <c r="B75" s="17">
        <f>IF('Daily Attendance'!A76="","",'Daily Attendance'!A76)</f>
      </c>
      <c r="C75" s="18">
        <f>IF($B75="","",'Daily Attendance'!B76)</f>
      </c>
      <c r="D75" s="19">
        <f>IF($B75="","",'Daily Attendance'!C76)</f>
      </c>
      <c r="E75" s="19">
        <f>IF($B75="","",IFERROR(VLOOKUP($B75,Workers_Data,3,FALSE),IFERROR(VLOOKUP($B75,Laborers_Data,3,FALSE),"")))</f>
      </c>
      <c r="F75" s="19">
        <f>IF($B75="","",IFERROR(VLOOKUP($B75,Workers_Data,4,FALSE),IFERROR(VLOOKUP($B75,Laborers_Data,4,FALSE),"")))</f>
      </c>
      <c r="G75" s="20">
        <f>IF($B75="","",'Daily Attendance'!BN76)</f>
      </c>
      <c r="H75" s="21">
        <f>IF($B75="","",'Daily Attendance'!BO76)</f>
      </c>
      <c r="I75" s="22">
        <f>IF($B75="","",'Daily Attendance'!BP76)</f>
      </c>
      <c r="J75" s="22">
        <f>IF($B75="","",'Daily Attendance'!BQ76)</f>
      </c>
      <c r="K75" s="23">
        <f>IF($B75="","",'Daily Attendance'!BR76)</f>
      </c>
    </row>
    <row r="76">
      <c r="A76" s="58">
        <f>IF($B76="","",SUMPRODUCT(--($B$4:$B76&lt;&gt;"")))</f>
      </c>
      <c r="B76" s="17">
        <f>IF('Daily Attendance'!A77="","",'Daily Attendance'!A77)</f>
      </c>
      <c r="C76" s="18">
        <f>IF($B76="","",'Daily Attendance'!B77)</f>
      </c>
      <c r="D76" s="19">
        <f>IF($B76="","",'Daily Attendance'!C77)</f>
      </c>
      <c r="E76" s="19">
        <f>IF($B76="","",IFERROR(VLOOKUP($B76,Workers_Data,3,FALSE),IFERROR(VLOOKUP($B76,Laborers_Data,3,FALSE),"")))</f>
      </c>
      <c r="F76" s="19">
        <f>IF($B76="","",IFERROR(VLOOKUP($B76,Workers_Data,4,FALSE),IFERROR(VLOOKUP($B76,Laborers_Data,4,FALSE),"")))</f>
      </c>
      <c r="G76" s="20">
        <f>IF($B76="","",'Daily Attendance'!BN77)</f>
      </c>
      <c r="H76" s="21">
        <f>IF($B76="","",'Daily Attendance'!BO77)</f>
      </c>
      <c r="I76" s="22">
        <f>IF($B76="","",'Daily Attendance'!BP77)</f>
      </c>
      <c r="J76" s="22">
        <f>IF($B76="","",'Daily Attendance'!BQ77)</f>
      </c>
      <c r="K76" s="23">
        <f>IF($B76="","",'Daily Attendance'!BR77)</f>
      </c>
    </row>
    <row r="77">
      <c r="A77" s="58">
        <f>IF($B77="","",SUMPRODUCT(--($B$4:$B77&lt;&gt;"")))</f>
      </c>
      <c r="B77" s="17">
        <f>IF('Daily Attendance'!A78="","",'Daily Attendance'!A78)</f>
      </c>
      <c r="C77" s="18">
        <f>IF($B77="","",'Daily Attendance'!B78)</f>
      </c>
      <c r="D77" s="19">
        <f>IF($B77="","",'Daily Attendance'!C78)</f>
      </c>
      <c r="E77" s="19">
        <f>IF($B77="","",IFERROR(VLOOKUP($B77,Workers_Data,3,FALSE),IFERROR(VLOOKUP($B77,Laborers_Data,3,FALSE),"")))</f>
      </c>
      <c r="F77" s="19">
        <f>IF($B77="","",IFERROR(VLOOKUP($B77,Workers_Data,4,FALSE),IFERROR(VLOOKUP($B77,Laborers_Data,4,FALSE),"")))</f>
      </c>
      <c r="G77" s="20">
        <f>IF($B77="","",'Daily Attendance'!BN78)</f>
      </c>
      <c r="H77" s="21">
        <f>IF($B77="","",'Daily Attendance'!BO78)</f>
      </c>
      <c r="I77" s="22">
        <f>IF($B77="","",'Daily Attendance'!BP78)</f>
      </c>
      <c r="J77" s="22">
        <f>IF($B77="","",'Daily Attendance'!BQ78)</f>
      </c>
      <c r="K77" s="23">
        <f>IF($B77="","",'Daily Attendance'!BR78)</f>
      </c>
    </row>
    <row r="78">
      <c r="A78" s="58">
        <f>IF($B78="","",SUMPRODUCT(--($B$4:$B78&lt;&gt;"")))</f>
      </c>
      <c r="B78" s="17">
        <f>IF('Daily Attendance'!A79="","",'Daily Attendance'!A79)</f>
      </c>
      <c r="C78" s="18">
        <f>IF($B78="","",'Daily Attendance'!B79)</f>
      </c>
      <c r="D78" s="19">
        <f>IF($B78="","",'Daily Attendance'!C79)</f>
      </c>
      <c r="E78" s="19">
        <f>IF($B78="","",IFERROR(VLOOKUP($B78,Workers_Data,3,FALSE),IFERROR(VLOOKUP($B78,Laborers_Data,3,FALSE),"")))</f>
      </c>
      <c r="F78" s="19">
        <f>IF($B78="","",IFERROR(VLOOKUP($B78,Workers_Data,4,FALSE),IFERROR(VLOOKUP($B78,Laborers_Data,4,FALSE),"")))</f>
      </c>
      <c r="G78" s="20">
        <f>IF($B78="","",'Daily Attendance'!BN79)</f>
      </c>
      <c r="H78" s="21">
        <f>IF($B78="","",'Daily Attendance'!BO79)</f>
      </c>
      <c r="I78" s="22">
        <f>IF($B78="","",'Daily Attendance'!BP79)</f>
      </c>
      <c r="J78" s="22">
        <f>IF($B78="","",'Daily Attendance'!BQ79)</f>
      </c>
      <c r="K78" s="23">
        <f>IF($B78="","",'Daily Attendance'!BR79)</f>
      </c>
    </row>
    <row r="79">
      <c r="A79" s="58">
        <f>IF($B79="","",SUMPRODUCT(--($B$4:$B79&lt;&gt;"")))</f>
      </c>
      <c r="B79" s="17">
        <f>IF('Daily Attendance'!A80="","",'Daily Attendance'!A80)</f>
      </c>
      <c r="C79" s="18">
        <f>IF($B79="","",'Daily Attendance'!B80)</f>
      </c>
      <c r="D79" s="19">
        <f>IF($B79="","",'Daily Attendance'!C80)</f>
      </c>
      <c r="E79" s="19">
        <f>IF($B79="","",IFERROR(VLOOKUP($B79,Workers_Data,3,FALSE),IFERROR(VLOOKUP($B79,Laborers_Data,3,FALSE),"")))</f>
      </c>
      <c r="F79" s="19">
        <f>IF($B79="","",IFERROR(VLOOKUP($B79,Workers_Data,4,FALSE),IFERROR(VLOOKUP($B79,Laborers_Data,4,FALSE),"")))</f>
      </c>
      <c r="G79" s="20">
        <f>IF($B79="","",'Daily Attendance'!BN80)</f>
      </c>
      <c r="H79" s="21">
        <f>IF($B79="","",'Daily Attendance'!BO80)</f>
      </c>
      <c r="I79" s="22">
        <f>IF($B79="","",'Daily Attendance'!BP80)</f>
      </c>
      <c r="J79" s="22">
        <f>IF($B79="","",'Daily Attendance'!BQ80)</f>
      </c>
      <c r="K79" s="23">
        <f>IF($B79="","",'Daily Attendance'!BR80)</f>
      </c>
    </row>
    <row r="80">
      <c r="A80" s="58">
        <f>IF($B80="","",SUMPRODUCT(--($B$4:$B80&lt;&gt;"")))</f>
      </c>
      <c r="B80" s="17">
        <f>IF('Daily Attendance'!A81="","",'Daily Attendance'!A81)</f>
      </c>
      <c r="C80" s="18">
        <f>IF($B80="","",'Daily Attendance'!B81)</f>
      </c>
      <c r="D80" s="19">
        <f>IF($B80="","",'Daily Attendance'!C81)</f>
      </c>
      <c r="E80" s="19">
        <f>IF($B80="","",IFERROR(VLOOKUP($B80,Workers_Data,3,FALSE),IFERROR(VLOOKUP($B80,Laborers_Data,3,FALSE),"")))</f>
      </c>
      <c r="F80" s="19">
        <f>IF($B80="","",IFERROR(VLOOKUP($B80,Workers_Data,4,FALSE),IFERROR(VLOOKUP($B80,Laborers_Data,4,FALSE),"")))</f>
      </c>
      <c r="G80" s="20">
        <f>IF($B80="","",'Daily Attendance'!BN81)</f>
      </c>
      <c r="H80" s="21">
        <f>IF($B80="","",'Daily Attendance'!BO81)</f>
      </c>
      <c r="I80" s="22">
        <f>IF($B80="","",'Daily Attendance'!BP81)</f>
      </c>
      <c r="J80" s="22">
        <f>IF($B80="","",'Daily Attendance'!BQ81)</f>
      </c>
      <c r="K80" s="23">
        <f>IF($B80="","",'Daily Attendance'!BR81)</f>
      </c>
    </row>
    <row r="81">
      <c r="A81" s="58">
        <f>IF($B81="","",SUMPRODUCT(--($B$4:$B81&lt;&gt;"")))</f>
      </c>
      <c r="B81" s="17">
        <f>IF('Daily Attendance'!A82="","",'Daily Attendance'!A82)</f>
      </c>
      <c r="C81" s="18">
        <f>IF($B81="","",'Daily Attendance'!B82)</f>
      </c>
      <c r="D81" s="19">
        <f>IF($B81="","",'Daily Attendance'!C82)</f>
      </c>
      <c r="E81" s="19">
        <f>IF($B81="","",IFERROR(VLOOKUP($B81,Workers_Data,3,FALSE),IFERROR(VLOOKUP($B81,Laborers_Data,3,FALSE),"")))</f>
      </c>
      <c r="F81" s="19">
        <f>IF($B81="","",IFERROR(VLOOKUP($B81,Workers_Data,4,FALSE),IFERROR(VLOOKUP($B81,Laborers_Data,4,FALSE),"")))</f>
      </c>
      <c r="G81" s="20">
        <f>IF($B81="","",'Daily Attendance'!BN82)</f>
      </c>
      <c r="H81" s="21">
        <f>IF($B81="","",'Daily Attendance'!BO82)</f>
      </c>
      <c r="I81" s="22">
        <f>IF($B81="","",'Daily Attendance'!BP82)</f>
      </c>
      <c r="J81" s="22">
        <f>IF($B81="","",'Daily Attendance'!BQ82)</f>
      </c>
      <c r="K81" s="23">
        <f>IF($B81="","",'Daily Attendance'!BR82)</f>
      </c>
    </row>
    <row r="82">
      <c r="A82" s="58">
        <f>IF($B82="","",SUMPRODUCT(--($B$4:$B82&lt;&gt;"")))</f>
      </c>
      <c r="B82" s="17">
        <f>IF('Daily Attendance'!A83="","",'Daily Attendance'!A83)</f>
      </c>
      <c r="C82" s="18">
        <f>IF($B82="","",'Daily Attendance'!B83)</f>
      </c>
      <c r="D82" s="19">
        <f>IF($B82="","",'Daily Attendance'!C83)</f>
      </c>
      <c r="E82" s="19">
        <f>IF($B82="","",IFERROR(VLOOKUP($B82,Workers_Data,3,FALSE),IFERROR(VLOOKUP($B82,Laborers_Data,3,FALSE),"")))</f>
      </c>
      <c r="F82" s="19">
        <f>IF($B82="","",IFERROR(VLOOKUP($B82,Workers_Data,4,FALSE),IFERROR(VLOOKUP($B82,Laborers_Data,4,FALSE),"")))</f>
      </c>
      <c r="G82" s="20">
        <f>IF($B82="","",'Daily Attendance'!BN83)</f>
      </c>
      <c r="H82" s="21">
        <f>IF($B82="","",'Daily Attendance'!BO83)</f>
      </c>
      <c r="I82" s="22">
        <f>IF($B82="","",'Daily Attendance'!BP83)</f>
      </c>
      <c r="J82" s="22">
        <f>IF($B82="","",'Daily Attendance'!BQ83)</f>
      </c>
      <c r="K82" s="23">
        <f>IF($B82="","",'Daily Attendance'!BR83)</f>
      </c>
    </row>
    <row r="83">
      <c r="A83" s="58">
        <f>IF($B83="","",SUMPRODUCT(--($B$4:$B83&lt;&gt;"")))</f>
      </c>
      <c r="B83" s="17">
        <f>IF('Daily Attendance'!A84="","",'Daily Attendance'!A84)</f>
      </c>
      <c r="C83" s="18">
        <f>IF($B83="","",'Daily Attendance'!B84)</f>
      </c>
      <c r="D83" s="19">
        <f>IF($B83="","",'Daily Attendance'!C84)</f>
      </c>
      <c r="E83" s="19">
        <f>IF($B83="","",IFERROR(VLOOKUP($B83,Workers_Data,3,FALSE),IFERROR(VLOOKUP($B83,Laborers_Data,3,FALSE),"")))</f>
      </c>
      <c r="F83" s="19">
        <f>IF($B83="","",IFERROR(VLOOKUP($B83,Workers_Data,4,FALSE),IFERROR(VLOOKUP($B83,Laborers_Data,4,FALSE),"")))</f>
      </c>
      <c r="G83" s="20">
        <f>IF($B83="","",'Daily Attendance'!BN84)</f>
      </c>
      <c r="H83" s="21">
        <f>IF($B83="","",'Daily Attendance'!BO84)</f>
      </c>
      <c r="I83" s="22">
        <f>IF($B83="","",'Daily Attendance'!BP84)</f>
      </c>
      <c r="J83" s="22">
        <f>IF($B83="","",'Daily Attendance'!BQ84)</f>
      </c>
      <c r="K83" s="23">
        <f>IF($B83="","",'Daily Attendance'!BR84)</f>
      </c>
    </row>
    <row r="84">
      <c r="A84" s="58">
        <f>IF($B84="","",SUMPRODUCT(--($B$4:$B84&lt;&gt;"")))</f>
      </c>
      <c r="B84" s="17">
        <f>IF('Daily Attendance'!A85="","",'Daily Attendance'!A85)</f>
      </c>
      <c r="C84" s="18">
        <f>IF($B84="","",'Daily Attendance'!B85)</f>
      </c>
      <c r="D84" s="19">
        <f>IF($B84="","",'Daily Attendance'!C85)</f>
      </c>
      <c r="E84" s="19">
        <f>IF($B84="","",IFERROR(VLOOKUP($B84,Workers_Data,3,FALSE),IFERROR(VLOOKUP($B84,Laborers_Data,3,FALSE),"")))</f>
      </c>
      <c r="F84" s="19">
        <f>IF($B84="","",IFERROR(VLOOKUP($B84,Workers_Data,4,FALSE),IFERROR(VLOOKUP($B84,Laborers_Data,4,FALSE),"")))</f>
      </c>
      <c r="G84" s="20">
        <f>IF($B84="","",'Daily Attendance'!BN85)</f>
      </c>
      <c r="H84" s="21">
        <f>IF($B84="","",'Daily Attendance'!BO85)</f>
      </c>
      <c r="I84" s="22">
        <f>IF($B84="","",'Daily Attendance'!BP85)</f>
      </c>
      <c r="J84" s="22">
        <f>IF($B84="","",'Daily Attendance'!BQ85)</f>
      </c>
      <c r="K84" s="23">
        <f>IF($B84="","",'Daily Attendance'!BR85)</f>
      </c>
    </row>
    <row r="85">
      <c r="A85" s="58">
        <f>IF($B85="","",SUMPRODUCT(--($B$4:$B85&lt;&gt;"")))</f>
      </c>
      <c r="B85" s="17">
        <f>IF('Daily Attendance'!A86="","",'Daily Attendance'!A86)</f>
      </c>
      <c r="C85" s="18">
        <f>IF($B85="","",'Daily Attendance'!B86)</f>
      </c>
      <c r="D85" s="19">
        <f>IF($B85="","",'Daily Attendance'!C86)</f>
      </c>
      <c r="E85" s="19">
        <f>IF($B85="","",IFERROR(VLOOKUP($B85,Workers_Data,3,FALSE),IFERROR(VLOOKUP($B85,Laborers_Data,3,FALSE),"")))</f>
      </c>
      <c r="F85" s="19">
        <f>IF($B85="","",IFERROR(VLOOKUP($B85,Workers_Data,4,FALSE),IFERROR(VLOOKUP($B85,Laborers_Data,4,FALSE),"")))</f>
      </c>
      <c r="G85" s="20">
        <f>IF($B85="","",'Daily Attendance'!BN86)</f>
      </c>
      <c r="H85" s="21">
        <f>IF($B85="","",'Daily Attendance'!BO86)</f>
      </c>
      <c r="I85" s="22">
        <f>IF($B85="","",'Daily Attendance'!BP86)</f>
      </c>
      <c r="J85" s="22">
        <f>IF($B85="","",'Daily Attendance'!BQ86)</f>
      </c>
      <c r="K85" s="23">
        <f>IF($B85="","",'Daily Attendance'!BR86)</f>
      </c>
    </row>
    <row r="86">
      <c r="A86" s="58">
        <f>IF($B86="","",SUMPRODUCT(--($B$4:$B86&lt;&gt;"")))</f>
      </c>
      <c r="B86" s="17">
        <f>IF('Daily Attendance'!A87="","",'Daily Attendance'!A87)</f>
      </c>
      <c r="C86" s="18">
        <f>IF($B86="","",'Daily Attendance'!B87)</f>
      </c>
      <c r="D86" s="19">
        <f>IF($B86="","",'Daily Attendance'!C87)</f>
      </c>
      <c r="E86" s="19">
        <f>IF($B86="","",IFERROR(VLOOKUP($B86,Workers_Data,3,FALSE),IFERROR(VLOOKUP($B86,Laborers_Data,3,FALSE),"")))</f>
      </c>
      <c r="F86" s="19">
        <f>IF($B86="","",IFERROR(VLOOKUP($B86,Workers_Data,4,FALSE),IFERROR(VLOOKUP($B86,Laborers_Data,4,FALSE),"")))</f>
      </c>
      <c r="G86" s="20">
        <f>IF($B86="","",'Daily Attendance'!BN87)</f>
      </c>
      <c r="H86" s="21">
        <f>IF($B86="","",'Daily Attendance'!BO87)</f>
      </c>
      <c r="I86" s="22">
        <f>IF($B86="","",'Daily Attendance'!BP87)</f>
      </c>
      <c r="J86" s="22">
        <f>IF($B86="","",'Daily Attendance'!BQ87)</f>
      </c>
      <c r="K86" s="23">
        <f>IF($B86="","",'Daily Attendance'!BR87)</f>
      </c>
    </row>
    <row r="87">
      <c r="A87" s="58">
        <f>IF($B87="","",SUMPRODUCT(--($B$4:$B87&lt;&gt;"")))</f>
      </c>
      <c r="B87" s="17">
        <f>IF('Daily Attendance'!A88="","",'Daily Attendance'!A88)</f>
      </c>
      <c r="C87" s="18">
        <f>IF($B87="","",'Daily Attendance'!B88)</f>
      </c>
      <c r="D87" s="19">
        <f>IF($B87="","",'Daily Attendance'!C88)</f>
      </c>
      <c r="E87" s="19">
        <f>IF($B87="","",IFERROR(VLOOKUP($B87,Workers_Data,3,FALSE),IFERROR(VLOOKUP($B87,Laborers_Data,3,FALSE),"")))</f>
      </c>
      <c r="F87" s="19">
        <f>IF($B87="","",IFERROR(VLOOKUP($B87,Workers_Data,4,FALSE),IFERROR(VLOOKUP($B87,Laborers_Data,4,FALSE),"")))</f>
      </c>
      <c r="G87" s="20">
        <f>IF($B87="","",'Daily Attendance'!BN88)</f>
      </c>
      <c r="H87" s="21">
        <f>IF($B87="","",'Daily Attendance'!BO88)</f>
      </c>
      <c r="I87" s="22">
        <f>IF($B87="","",'Daily Attendance'!BP88)</f>
      </c>
      <c r="J87" s="22">
        <f>IF($B87="","",'Daily Attendance'!BQ88)</f>
      </c>
      <c r="K87" s="23">
        <f>IF($B87="","",'Daily Attendance'!BR88)</f>
      </c>
    </row>
    <row r="88">
      <c r="A88" s="58">
        <f>IF($B88="","",SUMPRODUCT(--($B$4:$B88&lt;&gt;"")))</f>
      </c>
      <c r="B88" s="17">
        <f>IF('Daily Attendance'!A89="","",'Daily Attendance'!A89)</f>
      </c>
      <c r="C88" s="18">
        <f>IF($B88="","",'Daily Attendance'!B89)</f>
      </c>
      <c r="D88" s="19">
        <f>IF($B88="","",'Daily Attendance'!C89)</f>
      </c>
      <c r="E88" s="19">
        <f>IF($B88="","",IFERROR(VLOOKUP($B88,Workers_Data,3,FALSE),IFERROR(VLOOKUP($B88,Laborers_Data,3,FALSE),"")))</f>
      </c>
      <c r="F88" s="19">
        <f>IF($B88="","",IFERROR(VLOOKUP($B88,Workers_Data,4,FALSE),IFERROR(VLOOKUP($B88,Laborers_Data,4,FALSE),"")))</f>
      </c>
      <c r="G88" s="20">
        <f>IF($B88="","",'Daily Attendance'!BN89)</f>
      </c>
      <c r="H88" s="21">
        <f>IF($B88="","",'Daily Attendance'!BO89)</f>
      </c>
      <c r="I88" s="22">
        <f>IF($B88="","",'Daily Attendance'!BP89)</f>
      </c>
      <c r="J88" s="22">
        <f>IF($B88="","",'Daily Attendance'!BQ89)</f>
      </c>
      <c r="K88" s="23">
        <f>IF($B88="","",'Daily Attendance'!BR89)</f>
      </c>
    </row>
    <row r="89">
      <c r="A89" s="58">
        <f>IF($B89="","",SUMPRODUCT(--($B$4:$B89&lt;&gt;"")))</f>
      </c>
      <c r="B89" s="17">
        <f>IF('Daily Attendance'!A90="","",'Daily Attendance'!A90)</f>
      </c>
      <c r="C89" s="18">
        <f>IF($B89="","",'Daily Attendance'!B90)</f>
      </c>
      <c r="D89" s="19">
        <f>IF($B89="","",'Daily Attendance'!C90)</f>
      </c>
      <c r="E89" s="19">
        <f>IF($B89="","",IFERROR(VLOOKUP($B89,Workers_Data,3,FALSE),IFERROR(VLOOKUP($B89,Laborers_Data,3,FALSE),"")))</f>
      </c>
      <c r="F89" s="19">
        <f>IF($B89="","",IFERROR(VLOOKUP($B89,Workers_Data,4,FALSE),IFERROR(VLOOKUP($B89,Laborers_Data,4,FALSE),"")))</f>
      </c>
      <c r="G89" s="20">
        <f>IF($B89="","",'Daily Attendance'!BN90)</f>
      </c>
      <c r="H89" s="21">
        <f>IF($B89="","",'Daily Attendance'!BO90)</f>
      </c>
      <c r="I89" s="22">
        <f>IF($B89="","",'Daily Attendance'!BP90)</f>
      </c>
      <c r="J89" s="22">
        <f>IF($B89="","",'Daily Attendance'!BQ90)</f>
      </c>
      <c r="K89" s="23">
        <f>IF($B89="","",'Daily Attendance'!BR90)</f>
      </c>
    </row>
    <row r="90">
      <c r="A90" s="58">
        <f>IF($B90="","",SUMPRODUCT(--($B$4:$B90&lt;&gt;"")))</f>
      </c>
      <c r="B90" s="17">
        <f>IF('Daily Attendance'!A91="","",'Daily Attendance'!A91)</f>
      </c>
      <c r="C90" s="18">
        <f>IF($B90="","",'Daily Attendance'!B91)</f>
      </c>
      <c r="D90" s="19">
        <f>IF($B90="","",'Daily Attendance'!C91)</f>
      </c>
      <c r="E90" s="19">
        <f>IF($B90="","",IFERROR(VLOOKUP($B90,Workers_Data,3,FALSE),IFERROR(VLOOKUP($B90,Laborers_Data,3,FALSE),"")))</f>
      </c>
      <c r="F90" s="19">
        <f>IF($B90="","",IFERROR(VLOOKUP($B90,Workers_Data,4,FALSE),IFERROR(VLOOKUP($B90,Laborers_Data,4,FALSE),"")))</f>
      </c>
      <c r="G90" s="20">
        <f>IF($B90="","",'Daily Attendance'!BN91)</f>
      </c>
      <c r="H90" s="21">
        <f>IF($B90="","",'Daily Attendance'!BO91)</f>
      </c>
      <c r="I90" s="22">
        <f>IF($B90="","",'Daily Attendance'!BP91)</f>
      </c>
      <c r="J90" s="22">
        <f>IF($B90="","",'Daily Attendance'!BQ91)</f>
      </c>
      <c r="K90" s="23">
        <f>IF($B90="","",'Daily Attendance'!BR91)</f>
      </c>
    </row>
    <row r="91">
      <c r="A91" s="58">
        <f>IF($B91="","",SUMPRODUCT(--($B$4:$B91&lt;&gt;"")))</f>
      </c>
      <c r="B91" s="17">
        <f>IF('Daily Attendance'!A92="","",'Daily Attendance'!A92)</f>
      </c>
      <c r="C91" s="18">
        <f>IF($B91="","",'Daily Attendance'!B92)</f>
      </c>
      <c r="D91" s="19">
        <f>IF($B91="","",'Daily Attendance'!C92)</f>
      </c>
      <c r="E91" s="19">
        <f>IF($B91="","",IFERROR(VLOOKUP($B91,Workers_Data,3,FALSE),IFERROR(VLOOKUP($B91,Laborers_Data,3,FALSE),"")))</f>
      </c>
      <c r="F91" s="19">
        <f>IF($B91="","",IFERROR(VLOOKUP($B91,Workers_Data,4,FALSE),IFERROR(VLOOKUP($B91,Laborers_Data,4,FALSE),"")))</f>
      </c>
      <c r="G91" s="20">
        <f>IF($B91="","",'Daily Attendance'!BN92)</f>
      </c>
      <c r="H91" s="21">
        <f>IF($B91="","",'Daily Attendance'!BO92)</f>
      </c>
      <c r="I91" s="22">
        <f>IF($B91="","",'Daily Attendance'!BP92)</f>
      </c>
      <c r="J91" s="22">
        <f>IF($B91="","",'Daily Attendance'!BQ92)</f>
      </c>
      <c r="K91" s="23">
        <f>IF($B91="","",'Daily Attendance'!BR92)</f>
      </c>
    </row>
    <row r="92">
      <c r="A92" s="58">
        <f>IF($B92="","",SUMPRODUCT(--($B$4:$B92&lt;&gt;"")))</f>
      </c>
      <c r="B92" s="17">
        <f>IF('Daily Attendance'!A93="","",'Daily Attendance'!A93)</f>
      </c>
      <c r="C92" s="18">
        <f>IF($B92="","",'Daily Attendance'!B93)</f>
      </c>
      <c r="D92" s="19">
        <f>IF($B92="","",'Daily Attendance'!C93)</f>
      </c>
      <c r="E92" s="19">
        <f>IF($B92="","",IFERROR(VLOOKUP($B92,Workers_Data,3,FALSE),IFERROR(VLOOKUP($B92,Laborers_Data,3,FALSE),"")))</f>
      </c>
      <c r="F92" s="19">
        <f>IF($B92="","",IFERROR(VLOOKUP($B92,Workers_Data,4,FALSE),IFERROR(VLOOKUP($B92,Laborers_Data,4,FALSE),"")))</f>
      </c>
      <c r="G92" s="20">
        <f>IF($B92="","",'Daily Attendance'!BN93)</f>
      </c>
      <c r="H92" s="21">
        <f>IF($B92="","",'Daily Attendance'!BO93)</f>
      </c>
      <c r="I92" s="22">
        <f>IF($B92="","",'Daily Attendance'!BP93)</f>
      </c>
      <c r="J92" s="22">
        <f>IF($B92="","",'Daily Attendance'!BQ93)</f>
      </c>
      <c r="K92" s="23">
        <f>IF($B92="","",'Daily Attendance'!BR93)</f>
      </c>
    </row>
    <row r="93">
      <c r="A93" s="58">
        <f>IF($B93="","",SUMPRODUCT(--($B$4:$B93&lt;&gt;"")))</f>
      </c>
      <c r="B93" s="17">
        <f>IF('Daily Attendance'!A94="","",'Daily Attendance'!A94)</f>
      </c>
      <c r="C93" s="18">
        <f>IF($B93="","",'Daily Attendance'!B94)</f>
      </c>
      <c r="D93" s="19">
        <f>IF($B93="","",'Daily Attendance'!C94)</f>
      </c>
      <c r="E93" s="19">
        <f>IF($B93="","",IFERROR(VLOOKUP($B93,Workers_Data,3,FALSE),IFERROR(VLOOKUP($B93,Laborers_Data,3,FALSE),"")))</f>
      </c>
      <c r="F93" s="19">
        <f>IF($B93="","",IFERROR(VLOOKUP($B93,Workers_Data,4,FALSE),IFERROR(VLOOKUP($B93,Laborers_Data,4,FALSE),"")))</f>
      </c>
      <c r="G93" s="20">
        <f>IF($B93="","",'Daily Attendance'!BN94)</f>
      </c>
      <c r="H93" s="21">
        <f>IF($B93="","",'Daily Attendance'!BO94)</f>
      </c>
      <c r="I93" s="22">
        <f>IF($B93="","",'Daily Attendance'!BP94)</f>
      </c>
      <c r="J93" s="22">
        <f>IF($B93="","",'Daily Attendance'!BQ94)</f>
      </c>
      <c r="K93" s="23">
        <f>IF($B93="","",'Daily Attendance'!BR94)</f>
      </c>
    </row>
    <row r="94">
      <c r="A94" s="58">
        <f>IF($B94="","",SUMPRODUCT(--($B$4:$B94&lt;&gt;"")))</f>
      </c>
      <c r="B94" s="17">
        <f>IF('Daily Attendance'!A95="","",'Daily Attendance'!A95)</f>
      </c>
      <c r="C94" s="18">
        <f>IF($B94="","",'Daily Attendance'!B95)</f>
      </c>
      <c r="D94" s="19">
        <f>IF($B94="","",'Daily Attendance'!C95)</f>
      </c>
      <c r="E94" s="19">
        <f>IF($B94="","",IFERROR(VLOOKUP($B94,Workers_Data,3,FALSE),IFERROR(VLOOKUP($B94,Laborers_Data,3,FALSE),"")))</f>
      </c>
      <c r="F94" s="19">
        <f>IF($B94="","",IFERROR(VLOOKUP($B94,Workers_Data,4,FALSE),IFERROR(VLOOKUP($B94,Laborers_Data,4,FALSE),"")))</f>
      </c>
      <c r="G94" s="20">
        <f>IF($B94="","",'Daily Attendance'!BN95)</f>
      </c>
      <c r="H94" s="21">
        <f>IF($B94="","",'Daily Attendance'!BO95)</f>
      </c>
      <c r="I94" s="22">
        <f>IF($B94="","",'Daily Attendance'!BP95)</f>
      </c>
      <c r="J94" s="22">
        <f>IF($B94="","",'Daily Attendance'!BQ95)</f>
      </c>
      <c r="K94" s="23">
        <f>IF($B94="","",'Daily Attendance'!BR95)</f>
      </c>
    </row>
    <row r="95">
      <c r="A95" s="58">
        <f>IF($B95="","",SUMPRODUCT(--($B$4:$B95&lt;&gt;"")))</f>
      </c>
      <c r="B95" s="17">
        <f>IF('Daily Attendance'!A96="","",'Daily Attendance'!A96)</f>
      </c>
      <c r="C95" s="18">
        <f>IF($B95="","",'Daily Attendance'!B96)</f>
      </c>
      <c r="D95" s="19">
        <f>IF($B95="","",'Daily Attendance'!C96)</f>
      </c>
      <c r="E95" s="19">
        <f>IF($B95="","",IFERROR(VLOOKUP($B95,Workers_Data,3,FALSE),IFERROR(VLOOKUP($B95,Laborers_Data,3,FALSE),"")))</f>
      </c>
      <c r="F95" s="19">
        <f>IF($B95="","",IFERROR(VLOOKUP($B95,Workers_Data,4,FALSE),IFERROR(VLOOKUP($B95,Laborers_Data,4,FALSE),"")))</f>
      </c>
      <c r="G95" s="20">
        <f>IF($B95="","",'Daily Attendance'!BN96)</f>
      </c>
      <c r="H95" s="21">
        <f>IF($B95="","",'Daily Attendance'!BO96)</f>
      </c>
      <c r="I95" s="22">
        <f>IF($B95="","",'Daily Attendance'!BP96)</f>
      </c>
      <c r="J95" s="22">
        <f>IF($B95="","",'Daily Attendance'!BQ96)</f>
      </c>
      <c r="K95" s="23">
        <f>IF($B95="","",'Daily Attendance'!BR96)</f>
      </c>
    </row>
    <row r="96">
      <c r="A96" s="58">
        <f>IF($B96="","",SUMPRODUCT(--($B$4:$B96&lt;&gt;"")))</f>
      </c>
      <c r="B96" s="17">
        <f>IF('Daily Attendance'!A97="","",'Daily Attendance'!A97)</f>
      </c>
      <c r="C96" s="18">
        <f>IF($B96="","",'Daily Attendance'!B97)</f>
      </c>
      <c r="D96" s="19">
        <f>IF($B96="","",'Daily Attendance'!C97)</f>
      </c>
      <c r="E96" s="19">
        <f>IF($B96="","",IFERROR(VLOOKUP($B96,Workers_Data,3,FALSE),IFERROR(VLOOKUP($B96,Laborers_Data,3,FALSE),"")))</f>
      </c>
      <c r="F96" s="19">
        <f>IF($B96="","",IFERROR(VLOOKUP($B96,Workers_Data,4,FALSE),IFERROR(VLOOKUP($B96,Laborers_Data,4,FALSE),"")))</f>
      </c>
      <c r="G96" s="20">
        <f>IF($B96="","",'Daily Attendance'!BN97)</f>
      </c>
      <c r="H96" s="21">
        <f>IF($B96="","",'Daily Attendance'!BO97)</f>
      </c>
      <c r="I96" s="22">
        <f>IF($B96="","",'Daily Attendance'!BP97)</f>
      </c>
      <c r="J96" s="22">
        <f>IF($B96="","",'Daily Attendance'!BQ97)</f>
      </c>
      <c r="K96" s="23">
        <f>IF($B96="","",'Daily Attendance'!BR97)</f>
      </c>
    </row>
    <row r="97">
      <c r="A97" s="58">
        <f>IF($B97="","",SUMPRODUCT(--($B$4:$B97&lt;&gt;"")))</f>
      </c>
      <c r="B97" s="17">
        <f>IF('Daily Attendance'!A98="","",'Daily Attendance'!A98)</f>
      </c>
      <c r="C97" s="18">
        <f>IF($B97="","",'Daily Attendance'!B98)</f>
      </c>
      <c r="D97" s="19">
        <f>IF($B97="","",'Daily Attendance'!C98)</f>
      </c>
      <c r="E97" s="19">
        <f>IF($B97="","",IFERROR(VLOOKUP($B97,Workers_Data,3,FALSE),IFERROR(VLOOKUP($B97,Laborers_Data,3,FALSE),"")))</f>
      </c>
      <c r="F97" s="19">
        <f>IF($B97="","",IFERROR(VLOOKUP($B97,Workers_Data,4,FALSE),IFERROR(VLOOKUP($B97,Laborers_Data,4,FALSE),"")))</f>
      </c>
      <c r="G97" s="20">
        <f>IF($B97="","",'Daily Attendance'!BN98)</f>
      </c>
      <c r="H97" s="21">
        <f>IF($B97="","",'Daily Attendance'!BO98)</f>
      </c>
      <c r="I97" s="22">
        <f>IF($B97="","",'Daily Attendance'!BP98)</f>
      </c>
      <c r="J97" s="22">
        <f>IF($B97="","",'Daily Attendance'!BQ98)</f>
      </c>
      <c r="K97" s="23">
        <f>IF($B97="","",'Daily Attendance'!BR98)</f>
      </c>
    </row>
    <row r="98">
      <c r="A98" s="58">
        <f>IF($B98="","",SUMPRODUCT(--($B$4:$B98&lt;&gt;"")))</f>
      </c>
      <c r="B98" s="17">
        <f>IF('Daily Attendance'!A99="","",'Daily Attendance'!A99)</f>
      </c>
      <c r="C98" s="18">
        <f>IF($B98="","",'Daily Attendance'!B99)</f>
      </c>
      <c r="D98" s="19">
        <f>IF($B98="","",'Daily Attendance'!C99)</f>
      </c>
      <c r="E98" s="19">
        <f>IF($B98="","",IFERROR(VLOOKUP($B98,Workers_Data,3,FALSE),IFERROR(VLOOKUP($B98,Laborers_Data,3,FALSE),"")))</f>
      </c>
      <c r="F98" s="19">
        <f>IF($B98="","",IFERROR(VLOOKUP($B98,Workers_Data,4,FALSE),IFERROR(VLOOKUP($B98,Laborers_Data,4,FALSE),"")))</f>
      </c>
      <c r="G98" s="20">
        <f>IF($B98="","",'Daily Attendance'!BN99)</f>
      </c>
      <c r="H98" s="21">
        <f>IF($B98="","",'Daily Attendance'!BO99)</f>
      </c>
      <c r="I98" s="22">
        <f>IF($B98="","",'Daily Attendance'!BP99)</f>
      </c>
      <c r="J98" s="22">
        <f>IF($B98="","",'Daily Attendance'!BQ99)</f>
      </c>
      <c r="K98" s="23">
        <f>IF($B98="","",'Daily Attendance'!BR99)</f>
      </c>
    </row>
    <row r="99">
      <c r="A99" s="58">
        <f>IF($B99="","",SUMPRODUCT(--($B$4:$B99&lt;&gt;"")))</f>
      </c>
      <c r="B99" s="17">
        <f>IF('Daily Attendance'!A100="","",'Daily Attendance'!A100)</f>
      </c>
      <c r="C99" s="18">
        <f>IF($B99="","",'Daily Attendance'!B100)</f>
      </c>
      <c r="D99" s="19">
        <f>IF($B99="","",'Daily Attendance'!C100)</f>
      </c>
      <c r="E99" s="19">
        <f>IF($B99="","",IFERROR(VLOOKUP($B99,Workers_Data,3,FALSE),IFERROR(VLOOKUP($B99,Laborers_Data,3,FALSE),"")))</f>
      </c>
      <c r="F99" s="19">
        <f>IF($B99="","",IFERROR(VLOOKUP($B99,Workers_Data,4,FALSE),IFERROR(VLOOKUP($B99,Laborers_Data,4,FALSE),"")))</f>
      </c>
      <c r="G99" s="20">
        <f>IF($B99="","",'Daily Attendance'!BN100)</f>
      </c>
      <c r="H99" s="21">
        <f>IF($B99="","",'Daily Attendance'!BO100)</f>
      </c>
      <c r="I99" s="22">
        <f>IF($B99="","",'Daily Attendance'!BP100)</f>
      </c>
      <c r="J99" s="22">
        <f>IF($B99="","",'Daily Attendance'!BQ100)</f>
      </c>
      <c r="K99" s="23">
        <f>IF($B99="","",'Daily Attendance'!BR100)</f>
      </c>
    </row>
    <row r="100">
      <c r="A100" s="58">
        <f>IF($B100="","",SUMPRODUCT(--($B$4:$B100&lt;&gt;"")))</f>
      </c>
      <c r="B100" s="17">
        <f>IF('Daily Attendance'!A101="","",'Daily Attendance'!A101)</f>
      </c>
      <c r="C100" s="18">
        <f>IF($B100="","",'Daily Attendance'!B101)</f>
      </c>
      <c r="D100" s="19">
        <f>IF($B100="","",'Daily Attendance'!C101)</f>
      </c>
      <c r="E100" s="19">
        <f>IF($B100="","",IFERROR(VLOOKUP($B100,Workers_Data,3,FALSE),IFERROR(VLOOKUP($B100,Laborers_Data,3,FALSE),"")))</f>
      </c>
      <c r="F100" s="19">
        <f>IF($B100="","",IFERROR(VLOOKUP($B100,Workers_Data,4,FALSE),IFERROR(VLOOKUP($B100,Laborers_Data,4,FALSE),"")))</f>
      </c>
      <c r="G100" s="20">
        <f>IF($B100="","",'Daily Attendance'!BN101)</f>
      </c>
      <c r="H100" s="21">
        <f>IF($B100="","",'Daily Attendance'!BO101)</f>
      </c>
      <c r="I100" s="22">
        <f>IF($B100="","",'Daily Attendance'!BP101)</f>
      </c>
      <c r="J100" s="22">
        <f>IF($B100="","",'Daily Attendance'!BQ101)</f>
      </c>
      <c r="K100" s="23">
        <f>IF($B100="","",'Daily Attendance'!BR101)</f>
      </c>
    </row>
    <row r="101">
      <c r="A101" s="58">
        <f>IF($B101="","",SUMPRODUCT(--($B$4:$B101&lt;&gt;"")))</f>
      </c>
      <c r="B101" s="17">
        <f>IF('Daily Attendance'!A102="","",'Daily Attendance'!A102)</f>
      </c>
      <c r="C101" s="18">
        <f>IF($B101="","",'Daily Attendance'!B102)</f>
      </c>
      <c r="D101" s="19">
        <f>IF($B101="","",'Daily Attendance'!C102)</f>
      </c>
      <c r="E101" s="19">
        <f>IF($B101="","",IFERROR(VLOOKUP($B101,Workers_Data,3,FALSE),IFERROR(VLOOKUP($B101,Laborers_Data,3,FALSE),"")))</f>
      </c>
      <c r="F101" s="19">
        <f>IF($B101="","",IFERROR(VLOOKUP($B101,Workers_Data,4,FALSE),IFERROR(VLOOKUP($B101,Laborers_Data,4,FALSE),"")))</f>
      </c>
      <c r="G101" s="20">
        <f>IF($B101="","",'Daily Attendance'!BN102)</f>
      </c>
      <c r="H101" s="21">
        <f>IF($B101="","",'Daily Attendance'!BO102)</f>
      </c>
      <c r="I101" s="22">
        <f>IF($B101="","",'Daily Attendance'!BP102)</f>
      </c>
      <c r="J101" s="22">
        <f>IF($B101="","",'Daily Attendance'!BQ102)</f>
      </c>
      <c r="K101" s="23">
        <f>IF($B101="","",'Daily Attendance'!BR102)</f>
      </c>
    </row>
    <row r="102">
      <c r="A102" s="58">
        <f>IF($B102="","",SUMPRODUCT(--($B$4:$B102&lt;&gt;"")))</f>
      </c>
      <c r="B102" s="17">
        <f>IF('Daily Attendance'!A103="","",'Daily Attendance'!A103)</f>
      </c>
      <c r="C102" s="18">
        <f>IF($B102="","",'Daily Attendance'!B103)</f>
      </c>
      <c r="D102" s="19">
        <f>IF($B102="","",'Daily Attendance'!C103)</f>
      </c>
      <c r="E102" s="19">
        <f>IF($B102="","",IFERROR(VLOOKUP($B102,Workers_Data,3,FALSE),IFERROR(VLOOKUP($B102,Laborers_Data,3,FALSE),"")))</f>
      </c>
      <c r="F102" s="19">
        <f>IF($B102="","",IFERROR(VLOOKUP($B102,Workers_Data,4,FALSE),IFERROR(VLOOKUP($B102,Laborers_Data,4,FALSE),"")))</f>
      </c>
      <c r="G102" s="20">
        <f>IF($B102="","",'Daily Attendance'!BN103)</f>
      </c>
      <c r="H102" s="21">
        <f>IF($B102="","",'Daily Attendance'!BO103)</f>
      </c>
      <c r="I102" s="22">
        <f>IF($B102="","",'Daily Attendance'!BP103)</f>
      </c>
      <c r="J102" s="22">
        <f>IF($B102="","",'Daily Attendance'!BQ103)</f>
      </c>
      <c r="K102" s="23">
        <f>IF($B102="","",'Daily Attendance'!BR103)</f>
      </c>
    </row>
    <row r="103">
      <c r="A103" s="58">
        <f>IF($B103="","",SUMPRODUCT(--($B$4:$B103&lt;&gt;"")))</f>
      </c>
      <c r="B103" s="17">
        <f>IF('Daily Attendance'!A104="","",'Daily Attendance'!A104)</f>
      </c>
      <c r="C103" s="18">
        <f>IF($B103="","",'Daily Attendance'!B104)</f>
      </c>
      <c r="D103" s="19">
        <f>IF($B103="","",'Daily Attendance'!C104)</f>
      </c>
      <c r="E103" s="19">
        <f>IF($B103="","",IFERROR(VLOOKUP($B103,Workers_Data,3,FALSE),IFERROR(VLOOKUP($B103,Laborers_Data,3,FALSE),"")))</f>
      </c>
      <c r="F103" s="19">
        <f>IF($B103="","",IFERROR(VLOOKUP($B103,Workers_Data,4,FALSE),IFERROR(VLOOKUP($B103,Laborers_Data,4,FALSE),"")))</f>
      </c>
      <c r="G103" s="20">
        <f>IF($B103="","",'Daily Attendance'!BN104)</f>
      </c>
      <c r="H103" s="21">
        <f>IF($B103="","",'Daily Attendance'!BO104)</f>
      </c>
      <c r="I103" s="22">
        <f>IF($B103="","",'Daily Attendance'!BP104)</f>
      </c>
      <c r="J103" s="22">
        <f>IF($B103="","",'Daily Attendance'!BQ104)</f>
      </c>
      <c r="K103" s="23">
        <f>IF($B103="","",'Daily Attendance'!BR104)</f>
      </c>
    </row>
    <row r="104">
      <c r="A104" s="58">
        <f>IF($B104="","",SUMPRODUCT(--($B$4:$B104&lt;&gt;"")))</f>
      </c>
      <c r="B104" s="17">
        <f>IF('Daily Attendance'!A105="","",'Daily Attendance'!A105)</f>
      </c>
      <c r="C104" s="18">
        <f>IF($B104="","",'Daily Attendance'!B105)</f>
      </c>
      <c r="D104" s="19">
        <f>IF($B104="","",'Daily Attendance'!C105)</f>
      </c>
      <c r="E104" s="19">
        <f>IF($B104="","",IFERROR(VLOOKUP($B104,Workers_Data,3,FALSE),IFERROR(VLOOKUP($B104,Laborers_Data,3,FALSE),"")))</f>
      </c>
      <c r="F104" s="19">
        <f>IF($B104="","",IFERROR(VLOOKUP($B104,Workers_Data,4,FALSE),IFERROR(VLOOKUP($B104,Laborers_Data,4,FALSE),"")))</f>
      </c>
      <c r="G104" s="20">
        <f>IF($B104="","",'Daily Attendance'!BN105)</f>
      </c>
      <c r="H104" s="21">
        <f>IF($B104="","",'Daily Attendance'!BO105)</f>
      </c>
      <c r="I104" s="22">
        <f>IF($B104="","",'Daily Attendance'!BP105)</f>
      </c>
      <c r="J104" s="22">
        <f>IF($B104="","",'Daily Attendance'!BQ105)</f>
      </c>
      <c r="K104" s="23">
        <f>IF($B104="","",'Daily Attendance'!BR105)</f>
      </c>
    </row>
    <row r="105">
      <c r="A105" s="58">
        <f>IF($B105="","",SUMPRODUCT(--($B$4:$B105&lt;&gt;"")))</f>
      </c>
      <c r="B105" s="17">
        <f>IF('Daily Attendance'!A106="","",'Daily Attendance'!A106)</f>
      </c>
      <c r="C105" s="18">
        <f>IF($B105="","",'Daily Attendance'!B106)</f>
      </c>
      <c r="D105" s="19">
        <f>IF($B105="","",'Daily Attendance'!C106)</f>
      </c>
      <c r="E105" s="19">
        <f>IF($B105="","",IFERROR(VLOOKUP($B105,Workers_Data,3,FALSE),IFERROR(VLOOKUP($B105,Laborers_Data,3,FALSE),"")))</f>
      </c>
      <c r="F105" s="19">
        <f>IF($B105="","",IFERROR(VLOOKUP($B105,Workers_Data,4,FALSE),IFERROR(VLOOKUP($B105,Laborers_Data,4,FALSE),"")))</f>
      </c>
      <c r="G105" s="20">
        <f>IF($B105="","",'Daily Attendance'!BN106)</f>
      </c>
      <c r="H105" s="21">
        <f>IF($B105="","",'Daily Attendance'!BO106)</f>
      </c>
      <c r="I105" s="22">
        <f>IF($B105="","",'Daily Attendance'!BP106)</f>
      </c>
      <c r="J105" s="22">
        <f>IF($B105="","",'Daily Attendance'!BQ106)</f>
      </c>
      <c r="K105" s="23">
        <f>IF($B105="","",'Daily Attendance'!BR106)</f>
      </c>
    </row>
    <row r="106">
      <c r="A106" s="58">
        <f>IF($B106="","",SUMPRODUCT(--($B$4:$B106&lt;&gt;"")))</f>
      </c>
      <c r="B106" s="17">
        <f>IF('Daily Attendance'!A107="","",'Daily Attendance'!A107)</f>
      </c>
      <c r="C106" s="18">
        <f>IF($B106="","",'Daily Attendance'!B107)</f>
      </c>
      <c r="D106" s="19">
        <f>IF($B106="","",'Daily Attendance'!C107)</f>
      </c>
      <c r="E106" s="19">
        <f>IF($B106="","",IFERROR(VLOOKUP($B106,Workers_Data,3,FALSE),IFERROR(VLOOKUP($B106,Laborers_Data,3,FALSE),"")))</f>
      </c>
      <c r="F106" s="19">
        <f>IF($B106="","",IFERROR(VLOOKUP($B106,Workers_Data,4,FALSE),IFERROR(VLOOKUP($B106,Laborers_Data,4,FALSE),"")))</f>
      </c>
      <c r="G106" s="20">
        <f>IF($B106="","",'Daily Attendance'!BN107)</f>
      </c>
      <c r="H106" s="21">
        <f>IF($B106="","",'Daily Attendance'!BO107)</f>
      </c>
      <c r="I106" s="22">
        <f>IF($B106="","",'Daily Attendance'!BP107)</f>
      </c>
      <c r="J106" s="22">
        <f>IF($B106="","",'Daily Attendance'!BQ107)</f>
      </c>
      <c r="K106" s="23">
        <f>IF($B106="","",'Daily Attendance'!BR107)</f>
      </c>
    </row>
    <row r="107">
      <c r="A107" s="58">
        <f>IF($B107="","",SUMPRODUCT(--($B$4:$B107&lt;&gt;"")))</f>
      </c>
      <c r="B107" s="17">
        <f>IF('Daily Attendance'!A108="","",'Daily Attendance'!A108)</f>
      </c>
      <c r="C107" s="18">
        <f>IF($B107="","",'Daily Attendance'!B108)</f>
      </c>
      <c r="D107" s="19">
        <f>IF($B107="","",'Daily Attendance'!C108)</f>
      </c>
      <c r="E107" s="19">
        <f>IF($B107="","",IFERROR(VLOOKUP($B107,Workers_Data,3,FALSE),IFERROR(VLOOKUP($B107,Laborers_Data,3,FALSE),"")))</f>
      </c>
      <c r="F107" s="19">
        <f>IF($B107="","",IFERROR(VLOOKUP($B107,Workers_Data,4,FALSE),IFERROR(VLOOKUP($B107,Laborers_Data,4,FALSE),"")))</f>
      </c>
      <c r="G107" s="20">
        <f>IF($B107="","",'Daily Attendance'!BN108)</f>
      </c>
      <c r="H107" s="21">
        <f>IF($B107="","",'Daily Attendance'!BO108)</f>
      </c>
      <c r="I107" s="22">
        <f>IF($B107="","",'Daily Attendance'!BP108)</f>
      </c>
      <c r="J107" s="22">
        <f>IF($B107="","",'Daily Attendance'!BQ108)</f>
      </c>
      <c r="K107" s="23">
        <f>IF($B107="","",'Daily Attendance'!BR108)</f>
      </c>
    </row>
    <row r="108">
      <c r="A108" s="58">
        <f>IF($B108="","",SUMPRODUCT(--($B$4:$B108&lt;&gt;"")))</f>
      </c>
      <c r="B108" s="17">
        <f>IF('Daily Attendance'!A109="","",'Daily Attendance'!A109)</f>
      </c>
      <c r="C108" s="18">
        <f>IF($B108="","",'Daily Attendance'!B109)</f>
      </c>
      <c r="D108" s="19">
        <f>IF($B108="","",'Daily Attendance'!C109)</f>
      </c>
      <c r="E108" s="19">
        <f>IF($B108="","",IFERROR(VLOOKUP($B108,Workers_Data,3,FALSE),IFERROR(VLOOKUP($B108,Laborers_Data,3,FALSE),"")))</f>
      </c>
      <c r="F108" s="19">
        <f>IF($B108="","",IFERROR(VLOOKUP($B108,Workers_Data,4,FALSE),IFERROR(VLOOKUP($B108,Laborers_Data,4,FALSE),"")))</f>
      </c>
      <c r="G108" s="20">
        <f>IF($B108="","",'Daily Attendance'!BN109)</f>
      </c>
      <c r="H108" s="21">
        <f>IF($B108="","",'Daily Attendance'!BO109)</f>
      </c>
      <c r="I108" s="22">
        <f>IF($B108="","",'Daily Attendance'!BP109)</f>
      </c>
      <c r="J108" s="22">
        <f>IF($B108="","",'Daily Attendance'!BQ109)</f>
      </c>
      <c r="K108" s="23">
        <f>IF($B108="","",'Daily Attendance'!BR109)</f>
      </c>
    </row>
    <row r="109">
      <c r="A109" s="58">
        <f>IF($B109="","",SUMPRODUCT(--($B$4:$B109&lt;&gt;"")))</f>
      </c>
      <c r="B109" s="17">
        <f>IF('Daily Attendance'!A110="","",'Daily Attendance'!A110)</f>
      </c>
      <c r="C109" s="18">
        <f>IF($B109="","",'Daily Attendance'!B110)</f>
      </c>
      <c r="D109" s="19">
        <f>IF($B109="","",'Daily Attendance'!C110)</f>
      </c>
      <c r="E109" s="19">
        <f>IF($B109="","",IFERROR(VLOOKUP($B109,Workers_Data,3,FALSE),IFERROR(VLOOKUP($B109,Laborers_Data,3,FALSE),"")))</f>
      </c>
      <c r="F109" s="19">
        <f>IF($B109="","",IFERROR(VLOOKUP($B109,Workers_Data,4,FALSE),IFERROR(VLOOKUP($B109,Laborers_Data,4,FALSE),"")))</f>
      </c>
      <c r="G109" s="20">
        <f>IF($B109="","",'Daily Attendance'!BN110)</f>
      </c>
      <c r="H109" s="21">
        <f>IF($B109="","",'Daily Attendance'!BO110)</f>
      </c>
      <c r="I109" s="22">
        <f>IF($B109="","",'Daily Attendance'!BP110)</f>
      </c>
      <c r="J109" s="22">
        <f>IF($B109="","",'Daily Attendance'!BQ110)</f>
      </c>
      <c r="K109" s="23">
        <f>IF($B109="","",'Daily Attendance'!BR110)</f>
      </c>
    </row>
    <row r="110">
      <c r="A110" s="58">
        <f>IF($B110="","",SUMPRODUCT(--($B$4:$B110&lt;&gt;"")))</f>
      </c>
      <c r="B110" s="17">
        <f>IF('Daily Attendance'!A111="","",'Daily Attendance'!A111)</f>
      </c>
      <c r="C110" s="18">
        <f>IF($B110="","",'Daily Attendance'!B111)</f>
      </c>
      <c r="D110" s="19">
        <f>IF($B110="","",'Daily Attendance'!C111)</f>
      </c>
      <c r="E110" s="19">
        <f>IF($B110="","",IFERROR(VLOOKUP($B110,Workers_Data,3,FALSE),IFERROR(VLOOKUP($B110,Laborers_Data,3,FALSE),"")))</f>
      </c>
      <c r="F110" s="19">
        <f>IF($B110="","",IFERROR(VLOOKUP($B110,Workers_Data,4,FALSE),IFERROR(VLOOKUP($B110,Laborers_Data,4,FALSE),"")))</f>
      </c>
      <c r="G110" s="20">
        <f>IF($B110="","",'Daily Attendance'!BN111)</f>
      </c>
      <c r="H110" s="21">
        <f>IF($B110="","",'Daily Attendance'!BO111)</f>
      </c>
      <c r="I110" s="22">
        <f>IF($B110="","",'Daily Attendance'!BP111)</f>
      </c>
      <c r="J110" s="22">
        <f>IF($B110="","",'Daily Attendance'!BQ111)</f>
      </c>
      <c r="K110" s="23">
        <f>IF($B110="","",'Daily Attendance'!BR111)</f>
      </c>
    </row>
    <row r="111">
      <c r="A111" s="58">
        <f>IF($B111="","",SUMPRODUCT(--($B$4:$B111&lt;&gt;"")))</f>
      </c>
      <c r="B111" s="17">
        <f>IF('Daily Attendance'!A112="","",'Daily Attendance'!A112)</f>
      </c>
      <c r="C111" s="18">
        <f>IF($B111="","",'Daily Attendance'!B112)</f>
      </c>
      <c r="D111" s="19">
        <f>IF($B111="","",'Daily Attendance'!C112)</f>
      </c>
      <c r="E111" s="19">
        <f>IF($B111="","",IFERROR(VLOOKUP($B111,Workers_Data,3,FALSE),IFERROR(VLOOKUP($B111,Laborers_Data,3,FALSE),"")))</f>
      </c>
      <c r="F111" s="19">
        <f>IF($B111="","",IFERROR(VLOOKUP($B111,Workers_Data,4,FALSE),IFERROR(VLOOKUP($B111,Laborers_Data,4,FALSE),"")))</f>
      </c>
      <c r="G111" s="20">
        <f>IF($B111="","",'Daily Attendance'!BN112)</f>
      </c>
      <c r="H111" s="21">
        <f>IF($B111="","",'Daily Attendance'!BO112)</f>
      </c>
      <c r="I111" s="22">
        <f>IF($B111="","",'Daily Attendance'!BP112)</f>
      </c>
      <c r="J111" s="22">
        <f>IF($B111="","",'Daily Attendance'!BQ112)</f>
      </c>
      <c r="K111" s="23">
        <f>IF($B111="","",'Daily Attendance'!BR112)</f>
      </c>
    </row>
    <row r="112">
      <c r="A112" s="58">
        <f>IF($B112="","",SUMPRODUCT(--($B$4:$B112&lt;&gt;"")))</f>
      </c>
      <c r="B112" s="17">
        <f>IF('Daily Attendance'!A113="","",'Daily Attendance'!A113)</f>
      </c>
      <c r="C112" s="18">
        <f>IF($B112="","",'Daily Attendance'!B113)</f>
      </c>
      <c r="D112" s="19">
        <f>IF($B112="","",'Daily Attendance'!C113)</f>
      </c>
      <c r="E112" s="19">
        <f>IF($B112="","",IFERROR(VLOOKUP($B112,Workers_Data,3,FALSE),IFERROR(VLOOKUP($B112,Laborers_Data,3,FALSE),"")))</f>
      </c>
      <c r="F112" s="19">
        <f>IF($B112="","",IFERROR(VLOOKUP($B112,Workers_Data,4,FALSE),IFERROR(VLOOKUP($B112,Laborers_Data,4,FALSE),"")))</f>
      </c>
      <c r="G112" s="20">
        <f>IF($B112="","",'Daily Attendance'!BN113)</f>
      </c>
      <c r="H112" s="21">
        <f>IF($B112="","",'Daily Attendance'!BO113)</f>
      </c>
      <c r="I112" s="22">
        <f>IF($B112="","",'Daily Attendance'!BP113)</f>
      </c>
      <c r="J112" s="22">
        <f>IF($B112="","",'Daily Attendance'!BQ113)</f>
      </c>
      <c r="K112" s="23">
        <f>IF($B112="","",'Daily Attendance'!BR113)</f>
      </c>
    </row>
    <row r="113">
      <c r="A113" s="58">
        <f>IF($B113="","",SUMPRODUCT(--($B$4:$B113&lt;&gt;"")))</f>
      </c>
      <c r="B113" s="17">
        <f>IF('Daily Attendance'!A114="","",'Daily Attendance'!A114)</f>
      </c>
      <c r="C113" s="18">
        <f>IF($B113="","",'Daily Attendance'!B114)</f>
      </c>
      <c r="D113" s="19">
        <f>IF($B113="","",'Daily Attendance'!C114)</f>
      </c>
      <c r="E113" s="19">
        <f>IF($B113="","",IFERROR(VLOOKUP($B113,Workers_Data,3,FALSE),IFERROR(VLOOKUP($B113,Laborers_Data,3,FALSE),"")))</f>
      </c>
      <c r="F113" s="19">
        <f>IF($B113="","",IFERROR(VLOOKUP($B113,Workers_Data,4,FALSE),IFERROR(VLOOKUP($B113,Laborers_Data,4,FALSE),"")))</f>
      </c>
      <c r="G113" s="20">
        <f>IF($B113="","",'Daily Attendance'!BN114)</f>
      </c>
      <c r="H113" s="21">
        <f>IF($B113="","",'Daily Attendance'!BO114)</f>
      </c>
      <c r="I113" s="22">
        <f>IF($B113="","",'Daily Attendance'!BP114)</f>
      </c>
      <c r="J113" s="22">
        <f>IF($B113="","",'Daily Attendance'!BQ114)</f>
      </c>
      <c r="K113" s="23">
        <f>IF($B113="","",'Daily Attendance'!BR114)</f>
      </c>
    </row>
    <row r="114">
      <c r="A114" s="58">
        <f>IF($B114="","",SUMPRODUCT(--($B$4:$B114&lt;&gt;"")))</f>
      </c>
      <c r="B114" s="17">
        <f>IF('Daily Attendance'!A115="","",'Daily Attendance'!A115)</f>
      </c>
      <c r="C114" s="18">
        <f>IF($B114="","",'Daily Attendance'!B115)</f>
      </c>
      <c r="D114" s="19">
        <f>IF($B114="","",'Daily Attendance'!C115)</f>
      </c>
      <c r="E114" s="19">
        <f>IF($B114="","",IFERROR(VLOOKUP($B114,Workers_Data,3,FALSE),IFERROR(VLOOKUP($B114,Laborers_Data,3,FALSE),"")))</f>
      </c>
      <c r="F114" s="19">
        <f>IF($B114="","",IFERROR(VLOOKUP($B114,Workers_Data,4,FALSE),IFERROR(VLOOKUP($B114,Laborers_Data,4,FALSE),"")))</f>
      </c>
      <c r="G114" s="20">
        <f>IF($B114="","",'Daily Attendance'!BN115)</f>
      </c>
      <c r="H114" s="21">
        <f>IF($B114="","",'Daily Attendance'!BO115)</f>
      </c>
      <c r="I114" s="22">
        <f>IF($B114="","",'Daily Attendance'!BP115)</f>
      </c>
      <c r="J114" s="22">
        <f>IF($B114="","",'Daily Attendance'!BQ115)</f>
      </c>
      <c r="K114" s="23">
        <f>IF($B114="","",'Daily Attendance'!BR115)</f>
      </c>
    </row>
    <row r="115">
      <c r="A115" s="58">
        <f>IF($B115="","",SUMPRODUCT(--($B$4:$B115&lt;&gt;"")))</f>
      </c>
      <c r="B115" s="17">
        <f>IF('Daily Attendance'!A116="","",'Daily Attendance'!A116)</f>
      </c>
      <c r="C115" s="18">
        <f>IF($B115="","",'Daily Attendance'!B116)</f>
      </c>
      <c r="D115" s="19">
        <f>IF($B115="","",'Daily Attendance'!C116)</f>
      </c>
      <c r="E115" s="19">
        <f>IF($B115="","",IFERROR(VLOOKUP($B115,Workers_Data,3,FALSE),IFERROR(VLOOKUP($B115,Laborers_Data,3,FALSE),"")))</f>
      </c>
      <c r="F115" s="19">
        <f>IF($B115="","",IFERROR(VLOOKUP($B115,Workers_Data,4,FALSE),IFERROR(VLOOKUP($B115,Laborers_Data,4,FALSE),"")))</f>
      </c>
      <c r="G115" s="20">
        <f>IF($B115="","",'Daily Attendance'!BN116)</f>
      </c>
      <c r="H115" s="21">
        <f>IF($B115="","",'Daily Attendance'!BO116)</f>
      </c>
      <c r="I115" s="22">
        <f>IF($B115="","",'Daily Attendance'!BP116)</f>
      </c>
      <c r="J115" s="22">
        <f>IF($B115="","",'Daily Attendance'!BQ116)</f>
      </c>
      <c r="K115" s="23">
        <f>IF($B115="","",'Daily Attendance'!BR116)</f>
      </c>
    </row>
    <row r="116">
      <c r="A116" s="58">
        <f>IF($B116="","",SUMPRODUCT(--($B$4:$B116&lt;&gt;"")))</f>
      </c>
      <c r="B116" s="17">
        <f>IF('Daily Attendance'!A117="","",'Daily Attendance'!A117)</f>
      </c>
      <c r="C116" s="18">
        <f>IF($B116="","",'Daily Attendance'!B117)</f>
      </c>
      <c r="D116" s="19">
        <f>IF($B116="","",'Daily Attendance'!C117)</f>
      </c>
      <c r="E116" s="19">
        <f>IF($B116="","",IFERROR(VLOOKUP($B116,Workers_Data,3,FALSE),IFERROR(VLOOKUP($B116,Laborers_Data,3,FALSE),"")))</f>
      </c>
      <c r="F116" s="19">
        <f>IF($B116="","",IFERROR(VLOOKUP($B116,Workers_Data,4,FALSE),IFERROR(VLOOKUP($B116,Laborers_Data,4,FALSE),"")))</f>
      </c>
      <c r="G116" s="20">
        <f>IF($B116="","",'Daily Attendance'!BN117)</f>
      </c>
      <c r="H116" s="21">
        <f>IF($B116="","",'Daily Attendance'!BO117)</f>
      </c>
      <c r="I116" s="22">
        <f>IF($B116="","",'Daily Attendance'!BP117)</f>
      </c>
      <c r="J116" s="22">
        <f>IF($B116="","",'Daily Attendance'!BQ117)</f>
      </c>
      <c r="K116" s="23">
        <f>IF($B116="","",'Daily Attendance'!BR117)</f>
      </c>
    </row>
    <row r="117">
      <c r="A117" s="58">
        <f>IF($B117="","",SUMPRODUCT(--($B$4:$B117&lt;&gt;"")))</f>
      </c>
      <c r="B117" s="17">
        <f>IF('Daily Attendance'!A118="","",'Daily Attendance'!A118)</f>
      </c>
      <c r="C117" s="18">
        <f>IF($B117="","",'Daily Attendance'!B118)</f>
      </c>
      <c r="D117" s="19">
        <f>IF($B117="","",'Daily Attendance'!C118)</f>
      </c>
      <c r="E117" s="19">
        <f>IF($B117="","",IFERROR(VLOOKUP($B117,Workers_Data,3,FALSE),IFERROR(VLOOKUP($B117,Laborers_Data,3,FALSE),"")))</f>
      </c>
      <c r="F117" s="19">
        <f>IF($B117="","",IFERROR(VLOOKUP($B117,Workers_Data,4,FALSE),IFERROR(VLOOKUP($B117,Laborers_Data,4,FALSE),"")))</f>
      </c>
      <c r="G117" s="20">
        <f>IF($B117="","",'Daily Attendance'!BN118)</f>
      </c>
      <c r="H117" s="21">
        <f>IF($B117="","",'Daily Attendance'!BO118)</f>
      </c>
      <c r="I117" s="22">
        <f>IF($B117="","",'Daily Attendance'!BP118)</f>
      </c>
      <c r="J117" s="22">
        <f>IF($B117="","",'Daily Attendance'!BQ118)</f>
      </c>
      <c r="K117" s="23">
        <f>IF($B117="","",'Daily Attendance'!BR118)</f>
      </c>
    </row>
    <row r="118">
      <c r="A118" s="58">
        <f>IF($B118="","",SUMPRODUCT(--($B$4:$B118&lt;&gt;"")))</f>
      </c>
      <c r="B118" s="17">
        <f>IF('Daily Attendance'!A119="","",'Daily Attendance'!A119)</f>
      </c>
      <c r="C118" s="18">
        <f>IF($B118="","",'Daily Attendance'!B119)</f>
      </c>
      <c r="D118" s="19">
        <f>IF($B118="","",'Daily Attendance'!C119)</f>
      </c>
      <c r="E118" s="19">
        <f>IF($B118="","",IFERROR(VLOOKUP($B118,Workers_Data,3,FALSE),IFERROR(VLOOKUP($B118,Laborers_Data,3,FALSE),"")))</f>
      </c>
      <c r="F118" s="19">
        <f>IF($B118="","",IFERROR(VLOOKUP($B118,Workers_Data,4,FALSE),IFERROR(VLOOKUP($B118,Laborers_Data,4,FALSE),"")))</f>
      </c>
      <c r="G118" s="20">
        <f>IF($B118="","",'Daily Attendance'!BN119)</f>
      </c>
      <c r="H118" s="21">
        <f>IF($B118="","",'Daily Attendance'!BO119)</f>
      </c>
      <c r="I118" s="22">
        <f>IF($B118="","",'Daily Attendance'!BP119)</f>
      </c>
      <c r="J118" s="22">
        <f>IF($B118="","",'Daily Attendance'!BQ119)</f>
      </c>
      <c r="K118" s="23">
        <f>IF($B118="","",'Daily Attendance'!BR119)</f>
      </c>
    </row>
    <row r="119">
      <c r="A119" s="58">
        <f>IF($B119="","",SUMPRODUCT(--($B$4:$B119&lt;&gt;"")))</f>
      </c>
      <c r="B119" s="17">
        <f>IF('Daily Attendance'!A120="","",'Daily Attendance'!A120)</f>
      </c>
      <c r="C119" s="18">
        <f>IF($B119="","",'Daily Attendance'!B120)</f>
      </c>
      <c r="D119" s="19">
        <f>IF($B119="","",'Daily Attendance'!C120)</f>
      </c>
      <c r="E119" s="19">
        <f>IF($B119="","",IFERROR(VLOOKUP($B119,Workers_Data,3,FALSE),IFERROR(VLOOKUP($B119,Laborers_Data,3,FALSE),"")))</f>
      </c>
      <c r="F119" s="19">
        <f>IF($B119="","",IFERROR(VLOOKUP($B119,Workers_Data,4,FALSE),IFERROR(VLOOKUP($B119,Laborers_Data,4,FALSE),"")))</f>
      </c>
      <c r="G119" s="20">
        <f>IF($B119="","",'Daily Attendance'!BN120)</f>
      </c>
      <c r="H119" s="21">
        <f>IF($B119="","",'Daily Attendance'!BO120)</f>
      </c>
      <c r="I119" s="22">
        <f>IF($B119="","",'Daily Attendance'!BP120)</f>
      </c>
      <c r="J119" s="22">
        <f>IF($B119="","",'Daily Attendance'!BQ120)</f>
      </c>
      <c r="K119" s="23">
        <f>IF($B119="","",'Daily Attendance'!BR120)</f>
      </c>
    </row>
    <row r="120">
      <c r="A120" s="58">
        <f>IF($B120="","",SUMPRODUCT(--($B$4:$B120&lt;&gt;"")))</f>
      </c>
      <c r="B120" s="17">
        <f>IF('Daily Attendance'!A121="","",'Daily Attendance'!A121)</f>
      </c>
      <c r="C120" s="18">
        <f>IF($B120="","",'Daily Attendance'!B121)</f>
      </c>
      <c r="D120" s="19">
        <f>IF($B120="","",'Daily Attendance'!C121)</f>
      </c>
      <c r="E120" s="19">
        <f>IF($B120="","",IFERROR(VLOOKUP($B120,Workers_Data,3,FALSE),IFERROR(VLOOKUP($B120,Laborers_Data,3,FALSE),"")))</f>
      </c>
      <c r="F120" s="19">
        <f>IF($B120="","",IFERROR(VLOOKUP($B120,Workers_Data,4,FALSE),IFERROR(VLOOKUP($B120,Laborers_Data,4,FALSE),"")))</f>
      </c>
      <c r="G120" s="20">
        <f>IF($B120="","",'Daily Attendance'!BN121)</f>
      </c>
      <c r="H120" s="21">
        <f>IF($B120="","",'Daily Attendance'!BO121)</f>
      </c>
      <c r="I120" s="22">
        <f>IF($B120="","",'Daily Attendance'!BP121)</f>
      </c>
      <c r="J120" s="22">
        <f>IF($B120="","",'Daily Attendance'!BQ121)</f>
      </c>
      <c r="K120" s="23">
        <f>IF($B120="","",'Daily Attendance'!BR121)</f>
      </c>
    </row>
    <row r="121">
      <c r="A121" s="58">
        <f>IF($B121="","",SUMPRODUCT(--($B$4:$B121&lt;&gt;"")))</f>
      </c>
      <c r="B121" s="17">
        <f>IF('Daily Attendance'!A122="","",'Daily Attendance'!A122)</f>
      </c>
      <c r="C121" s="18">
        <f>IF($B121="","",'Daily Attendance'!B122)</f>
      </c>
      <c r="D121" s="19">
        <f>IF($B121="","",'Daily Attendance'!C122)</f>
      </c>
      <c r="E121" s="19">
        <f>IF($B121="","",IFERROR(VLOOKUP($B121,Workers_Data,3,FALSE),IFERROR(VLOOKUP($B121,Laborers_Data,3,FALSE),"")))</f>
      </c>
      <c r="F121" s="19">
        <f>IF($B121="","",IFERROR(VLOOKUP($B121,Workers_Data,4,FALSE),IFERROR(VLOOKUP($B121,Laborers_Data,4,FALSE),"")))</f>
      </c>
      <c r="G121" s="20">
        <f>IF($B121="","",'Daily Attendance'!BN122)</f>
      </c>
      <c r="H121" s="21">
        <f>IF($B121="","",'Daily Attendance'!BO122)</f>
      </c>
      <c r="I121" s="22">
        <f>IF($B121="","",'Daily Attendance'!BP122)</f>
      </c>
      <c r="J121" s="22">
        <f>IF($B121="","",'Daily Attendance'!BQ122)</f>
      </c>
      <c r="K121" s="23">
        <f>IF($B121="","",'Daily Attendance'!BR122)</f>
      </c>
    </row>
    <row r="122">
      <c r="A122" s="58">
        <f>IF($B122="","",SUMPRODUCT(--($B$4:$B122&lt;&gt;"")))</f>
      </c>
      <c r="B122" s="17">
        <f>IF('Daily Attendance'!A123="","",'Daily Attendance'!A123)</f>
      </c>
      <c r="C122" s="18">
        <f>IF($B122="","",'Daily Attendance'!B123)</f>
      </c>
      <c r="D122" s="19">
        <f>IF($B122="","",'Daily Attendance'!C123)</f>
      </c>
      <c r="E122" s="19">
        <f>IF($B122="","",IFERROR(VLOOKUP($B122,Workers_Data,3,FALSE),IFERROR(VLOOKUP($B122,Laborers_Data,3,FALSE),"")))</f>
      </c>
      <c r="F122" s="19">
        <f>IF($B122="","",IFERROR(VLOOKUP($B122,Workers_Data,4,FALSE),IFERROR(VLOOKUP($B122,Laborers_Data,4,FALSE),"")))</f>
      </c>
      <c r="G122" s="20">
        <f>IF($B122="","",'Daily Attendance'!BN123)</f>
      </c>
      <c r="H122" s="21">
        <f>IF($B122="","",'Daily Attendance'!BO123)</f>
      </c>
      <c r="I122" s="22">
        <f>IF($B122="","",'Daily Attendance'!BP123)</f>
      </c>
      <c r="J122" s="22">
        <f>IF($B122="","",'Daily Attendance'!BQ123)</f>
      </c>
      <c r="K122" s="23">
        <f>IF($B122="","",'Daily Attendance'!BR123)</f>
      </c>
    </row>
    <row r="123">
      <c r="A123" s="58">
        <f>IF($B123="","",SUMPRODUCT(--($B$4:$B123&lt;&gt;"")))</f>
      </c>
      <c r="B123" s="17">
        <f>IF('Daily Attendance'!A124="","",'Daily Attendance'!A124)</f>
      </c>
      <c r="C123" s="18">
        <f>IF($B123="","",'Daily Attendance'!B124)</f>
      </c>
      <c r="D123" s="19">
        <f>IF($B123="","",'Daily Attendance'!C124)</f>
      </c>
      <c r="E123" s="19">
        <f>IF($B123="","",IFERROR(VLOOKUP($B123,Workers_Data,3,FALSE),IFERROR(VLOOKUP($B123,Laborers_Data,3,FALSE),"")))</f>
      </c>
      <c r="F123" s="19">
        <f>IF($B123="","",IFERROR(VLOOKUP($B123,Workers_Data,4,FALSE),IFERROR(VLOOKUP($B123,Laborers_Data,4,FALSE),"")))</f>
      </c>
      <c r="G123" s="20">
        <f>IF($B123="","",'Daily Attendance'!BN124)</f>
      </c>
      <c r="H123" s="21">
        <f>IF($B123="","",'Daily Attendance'!BO124)</f>
      </c>
      <c r="I123" s="22">
        <f>IF($B123="","",'Daily Attendance'!BP124)</f>
      </c>
      <c r="J123" s="22">
        <f>IF($B123="","",'Daily Attendance'!BQ124)</f>
      </c>
      <c r="K123" s="23">
        <f>IF($B123="","",'Daily Attendance'!BR124)</f>
      </c>
    </row>
    <row r="124">
      <c r="A124" s="58">
        <f>IF($B124="","",SUMPRODUCT(--($B$4:$B124&lt;&gt;"")))</f>
      </c>
      <c r="B124" s="17">
        <f>IF('Daily Attendance'!A125="","",'Daily Attendance'!A125)</f>
      </c>
      <c r="C124" s="18">
        <f>IF($B124="","",'Daily Attendance'!B125)</f>
      </c>
      <c r="D124" s="19">
        <f>IF($B124="","",'Daily Attendance'!C125)</f>
      </c>
      <c r="E124" s="19">
        <f>IF($B124="","",IFERROR(VLOOKUP($B124,Workers_Data,3,FALSE),IFERROR(VLOOKUP($B124,Laborers_Data,3,FALSE),"")))</f>
      </c>
      <c r="F124" s="19">
        <f>IF($B124="","",IFERROR(VLOOKUP($B124,Workers_Data,4,FALSE),IFERROR(VLOOKUP($B124,Laborers_Data,4,FALSE),"")))</f>
      </c>
      <c r="G124" s="20">
        <f>IF($B124="","",'Daily Attendance'!BN125)</f>
      </c>
      <c r="H124" s="21">
        <f>IF($B124="","",'Daily Attendance'!BO125)</f>
      </c>
      <c r="I124" s="22">
        <f>IF($B124="","",'Daily Attendance'!BP125)</f>
      </c>
      <c r="J124" s="22">
        <f>IF($B124="","",'Daily Attendance'!BQ125)</f>
      </c>
      <c r="K124" s="23">
        <f>IF($B124="","",'Daily Attendance'!BR125)</f>
      </c>
    </row>
    <row r="125">
      <c r="A125" s="58">
        <f>IF($B125="","",SUMPRODUCT(--($B$4:$B125&lt;&gt;"")))</f>
      </c>
      <c r="B125" s="17">
        <f>IF('Daily Attendance'!A126="","",'Daily Attendance'!A126)</f>
      </c>
      <c r="C125" s="18">
        <f>IF($B125="","",'Daily Attendance'!B126)</f>
      </c>
      <c r="D125" s="19">
        <f>IF($B125="","",'Daily Attendance'!C126)</f>
      </c>
      <c r="E125" s="19">
        <f>IF($B125="","",IFERROR(VLOOKUP($B125,Workers_Data,3,FALSE),IFERROR(VLOOKUP($B125,Laborers_Data,3,FALSE),"")))</f>
      </c>
      <c r="F125" s="19">
        <f>IF($B125="","",IFERROR(VLOOKUP($B125,Workers_Data,4,FALSE),IFERROR(VLOOKUP($B125,Laborers_Data,4,FALSE),"")))</f>
      </c>
      <c r="G125" s="20">
        <f>IF($B125="","",'Daily Attendance'!BN126)</f>
      </c>
      <c r="H125" s="21">
        <f>IF($B125="","",'Daily Attendance'!BO126)</f>
      </c>
      <c r="I125" s="22">
        <f>IF($B125="","",'Daily Attendance'!BP126)</f>
      </c>
      <c r="J125" s="22">
        <f>IF($B125="","",'Daily Attendance'!BQ126)</f>
      </c>
      <c r="K125" s="23">
        <f>IF($B125="","",'Daily Attendance'!BR126)</f>
      </c>
    </row>
    <row r="126">
      <c r="A126" s="58">
        <f>IF($B126="","",SUMPRODUCT(--($B$4:$B126&lt;&gt;"")))</f>
      </c>
      <c r="B126" s="17">
        <f>IF('Daily Attendance'!A127="","",'Daily Attendance'!A127)</f>
      </c>
      <c r="C126" s="18">
        <f>IF($B126="","",'Daily Attendance'!B127)</f>
      </c>
      <c r="D126" s="19">
        <f>IF($B126="","",'Daily Attendance'!C127)</f>
      </c>
      <c r="E126" s="19">
        <f>IF($B126="","",IFERROR(VLOOKUP($B126,Workers_Data,3,FALSE),IFERROR(VLOOKUP($B126,Laborers_Data,3,FALSE),"")))</f>
      </c>
      <c r="F126" s="19">
        <f>IF($B126="","",IFERROR(VLOOKUP($B126,Workers_Data,4,FALSE),IFERROR(VLOOKUP($B126,Laborers_Data,4,FALSE),"")))</f>
      </c>
      <c r="G126" s="20">
        <f>IF($B126="","",'Daily Attendance'!BN127)</f>
      </c>
      <c r="H126" s="21">
        <f>IF($B126="","",'Daily Attendance'!BO127)</f>
      </c>
      <c r="I126" s="22">
        <f>IF($B126="","",'Daily Attendance'!BP127)</f>
      </c>
      <c r="J126" s="22">
        <f>IF($B126="","",'Daily Attendance'!BQ127)</f>
      </c>
      <c r="K126" s="23">
        <f>IF($B126="","",'Daily Attendance'!BR127)</f>
      </c>
    </row>
    <row r="127">
      <c r="A127" s="58">
        <f>IF($B127="","",SUMPRODUCT(--($B$4:$B127&lt;&gt;"")))</f>
      </c>
      <c r="B127" s="17">
        <f>IF('Daily Attendance'!A128="","",'Daily Attendance'!A128)</f>
      </c>
      <c r="C127" s="18">
        <f>IF($B127="","",'Daily Attendance'!B128)</f>
      </c>
      <c r="D127" s="19">
        <f>IF($B127="","",'Daily Attendance'!C128)</f>
      </c>
      <c r="E127" s="19">
        <f>IF($B127="","",IFERROR(VLOOKUP($B127,Workers_Data,3,FALSE),IFERROR(VLOOKUP($B127,Laborers_Data,3,FALSE),"")))</f>
      </c>
      <c r="F127" s="19">
        <f>IF($B127="","",IFERROR(VLOOKUP($B127,Workers_Data,4,FALSE),IFERROR(VLOOKUP($B127,Laborers_Data,4,FALSE),"")))</f>
      </c>
      <c r="G127" s="20">
        <f>IF($B127="","",'Daily Attendance'!BN128)</f>
      </c>
      <c r="H127" s="21">
        <f>IF($B127="","",'Daily Attendance'!BO128)</f>
      </c>
      <c r="I127" s="22">
        <f>IF($B127="","",'Daily Attendance'!BP128)</f>
      </c>
      <c r="J127" s="22">
        <f>IF($B127="","",'Daily Attendance'!BQ128)</f>
      </c>
      <c r="K127" s="23">
        <f>IF($B127="","",'Daily Attendance'!BR128)</f>
      </c>
    </row>
    <row r="128">
      <c r="A128" s="58">
        <f>IF($B128="","",SUMPRODUCT(--($B$4:$B128&lt;&gt;"")))</f>
      </c>
      <c r="B128" s="17">
        <f>IF('Daily Attendance'!A129="","",'Daily Attendance'!A129)</f>
      </c>
      <c r="C128" s="18">
        <f>IF($B128="","",'Daily Attendance'!B129)</f>
      </c>
      <c r="D128" s="19">
        <f>IF($B128="","",'Daily Attendance'!C129)</f>
      </c>
      <c r="E128" s="19">
        <f>IF($B128="","",IFERROR(VLOOKUP($B128,Workers_Data,3,FALSE),IFERROR(VLOOKUP($B128,Laborers_Data,3,FALSE),"")))</f>
      </c>
      <c r="F128" s="19">
        <f>IF($B128="","",IFERROR(VLOOKUP($B128,Workers_Data,4,FALSE),IFERROR(VLOOKUP($B128,Laborers_Data,4,FALSE),"")))</f>
      </c>
      <c r="G128" s="20">
        <f>IF($B128="","",'Daily Attendance'!BN129)</f>
      </c>
      <c r="H128" s="21">
        <f>IF($B128="","",'Daily Attendance'!BO129)</f>
      </c>
      <c r="I128" s="22">
        <f>IF($B128="","",'Daily Attendance'!BP129)</f>
      </c>
      <c r="J128" s="22">
        <f>IF($B128="","",'Daily Attendance'!BQ129)</f>
      </c>
      <c r="K128" s="23">
        <f>IF($B128="","",'Daily Attendance'!BR129)</f>
      </c>
    </row>
    <row r="129">
      <c r="A129" s="58">
        <f>IF($B129="","",SUMPRODUCT(--($B$4:$B129&lt;&gt;"")))</f>
      </c>
      <c r="B129" s="17">
        <f>IF('Daily Attendance'!A130="","",'Daily Attendance'!A130)</f>
      </c>
      <c r="C129" s="18">
        <f>IF($B129="","",'Daily Attendance'!B130)</f>
      </c>
      <c r="D129" s="19">
        <f>IF($B129="","",'Daily Attendance'!C130)</f>
      </c>
      <c r="E129" s="19">
        <f>IF($B129="","",IFERROR(VLOOKUP($B129,Workers_Data,3,FALSE),IFERROR(VLOOKUP($B129,Laborers_Data,3,FALSE),"")))</f>
      </c>
      <c r="F129" s="19">
        <f>IF($B129="","",IFERROR(VLOOKUP($B129,Workers_Data,4,FALSE),IFERROR(VLOOKUP($B129,Laborers_Data,4,FALSE),"")))</f>
      </c>
      <c r="G129" s="20">
        <f>IF($B129="","",'Daily Attendance'!BN130)</f>
      </c>
      <c r="H129" s="21">
        <f>IF($B129="","",'Daily Attendance'!BO130)</f>
      </c>
      <c r="I129" s="22">
        <f>IF($B129="","",'Daily Attendance'!BP130)</f>
      </c>
      <c r="J129" s="22">
        <f>IF($B129="","",'Daily Attendance'!BQ130)</f>
      </c>
      <c r="K129" s="23">
        <f>IF($B129="","",'Daily Attendance'!BR130)</f>
      </c>
    </row>
    <row r="130">
      <c r="A130" s="58">
        <f>IF($B130="","",SUMPRODUCT(--($B$4:$B130&lt;&gt;"")))</f>
      </c>
      <c r="B130" s="17">
        <f>IF('Daily Attendance'!A131="","",'Daily Attendance'!A131)</f>
      </c>
      <c r="C130" s="18">
        <f>IF($B130="","",'Daily Attendance'!B131)</f>
      </c>
      <c r="D130" s="19">
        <f>IF($B130="","",'Daily Attendance'!C131)</f>
      </c>
      <c r="E130" s="19">
        <f>IF($B130="","",IFERROR(VLOOKUP($B130,Workers_Data,3,FALSE),IFERROR(VLOOKUP($B130,Laborers_Data,3,FALSE),"")))</f>
      </c>
      <c r="F130" s="19">
        <f>IF($B130="","",IFERROR(VLOOKUP($B130,Workers_Data,4,FALSE),IFERROR(VLOOKUP($B130,Laborers_Data,4,FALSE),"")))</f>
      </c>
      <c r="G130" s="20">
        <f>IF($B130="","",'Daily Attendance'!BN131)</f>
      </c>
      <c r="H130" s="21">
        <f>IF($B130="","",'Daily Attendance'!BO131)</f>
      </c>
      <c r="I130" s="22">
        <f>IF($B130="","",'Daily Attendance'!BP131)</f>
      </c>
      <c r="J130" s="22">
        <f>IF($B130="","",'Daily Attendance'!BQ131)</f>
      </c>
      <c r="K130" s="23">
        <f>IF($B130="","",'Daily Attendance'!BR131)</f>
      </c>
    </row>
    <row r="131">
      <c r="A131" s="58">
        <f>IF($B131="","",SUMPRODUCT(--($B$4:$B131&lt;&gt;"")))</f>
      </c>
      <c r="B131" s="17">
        <f>IF('Daily Attendance'!A132="","",'Daily Attendance'!A132)</f>
      </c>
      <c r="C131" s="18">
        <f>IF($B131="","",'Daily Attendance'!B132)</f>
      </c>
      <c r="D131" s="19">
        <f>IF($B131="","",'Daily Attendance'!C132)</f>
      </c>
      <c r="E131" s="19">
        <f>IF($B131="","",IFERROR(VLOOKUP($B131,Workers_Data,3,FALSE),IFERROR(VLOOKUP($B131,Laborers_Data,3,FALSE),"")))</f>
      </c>
      <c r="F131" s="19">
        <f>IF($B131="","",IFERROR(VLOOKUP($B131,Workers_Data,4,FALSE),IFERROR(VLOOKUP($B131,Laborers_Data,4,FALSE),"")))</f>
      </c>
      <c r="G131" s="20">
        <f>IF($B131="","",'Daily Attendance'!BN132)</f>
      </c>
      <c r="H131" s="21">
        <f>IF($B131="","",'Daily Attendance'!BO132)</f>
      </c>
      <c r="I131" s="22">
        <f>IF($B131="","",'Daily Attendance'!BP132)</f>
      </c>
      <c r="J131" s="22">
        <f>IF($B131="","",'Daily Attendance'!BQ132)</f>
      </c>
      <c r="K131" s="23">
        <f>IF($B131="","",'Daily Attendance'!BR132)</f>
      </c>
    </row>
    <row r="132">
      <c r="A132" s="58">
        <f>IF($B132="","",SUMPRODUCT(--($B$4:$B132&lt;&gt;"")))</f>
      </c>
      <c r="B132" s="17">
        <f>IF('Daily Attendance'!A133="","",'Daily Attendance'!A133)</f>
      </c>
      <c r="C132" s="18">
        <f>IF($B132="","",'Daily Attendance'!B133)</f>
      </c>
      <c r="D132" s="19">
        <f>IF($B132="","",'Daily Attendance'!C133)</f>
      </c>
      <c r="E132" s="19">
        <f>IF($B132="","",IFERROR(VLOOKUP($B132,Workers_Data,3,FALSE),IFERROR(VLOOKUP($B132,Laborers_Data,3,FALSE),"")))</f>
      </c>
      <c r="F132" s="19">
        <f>IF($B132="","",IFERROR(VLOOKUP($B132,Workers_Data,4,FALSE),IFERROR(VLOOKUP($B132,Laborers_Data,4,FALSE),"")))</f>
      </c>
      <c r="G132" s="20">
        <f>IF($B132="","",'Daily Attendance'!BN133)</f>
      </c>
      <c r="H132" s="21">
        <f>IF($B132="","",'Daily Attendance'!BO133)</f>
      </c>
      <c r="I132" s="22">
        <f>IF($B132="","",'Daily Attendance'!BP133)</f>
      </c>
      <c r="J132" s="22">
        <f>IF($B132="","",'Daily Attendance'!BQ133)</f>
      </c>
      <c r="K132" s="23">
        <f>IF($B132="","",'Daily Attendance'!BR133)</f>
      </c>
    </row>
    <row r="133">
      <c r="A133" s="58">
        <f>IF($B133="","",SUMPRODUCT(--($B$4:$B133&lt;&gt;"")))</f>
      </c>
      <c r="B133" s="17">
        <f>IF('Daily Attendance'!A134="","",'Daily Attendance'!A134)</f>
      </c>
      <c r="C133" s="18">
        <f>IF($B133="","",'Daily Attendance'!B134)</f>
      </c>
      <c r="D133" s="19">
        <f>IF($B133="","",'Daily Attendance'!C134)</f>
      </c>
      <c r="E133" s="19">
        <f>IF($B133="","",IFERROR(VLOOKUP($B133,Workers_Data,3,FALSE),IFERROR(VLOOKUP($B133,Laborers_Data,3,FALSE),"")))</f>
      </c>
      <c r="F133" s="19">
        <f>IF($B133="","",IFERROR(VLOOKUP($B133,Workers_Data,4,FALSE),IFERROR(VLOOKUP($B133,Laborers_Data,4,FALSE),"")))</f>
      </c>
      <c r="G133" s="20">
        <f>IF($B133="","",'Daily Attendance'!BN134)</f>
      </c>
      <c r="H133" s="21">
        <f>IF($B133="","",'Daily Attendance'!BO134)</f>
      </c>
      <c r="I133" s="22">
        <f>IF($B133="","",'Daily Attendance'!BP134)</f>
      </c>
      <c r="J133" s="22">
        <f>IF($B133="","",'Daily Attendance'!BQ134)</f>
      </c>
      <c r="K133" s="23">
        <f>IF($B133="","",'Daily Attendance'!BR134)</f>
      </c>
    </row>
    <row r="134">
      <c r="A134" s="58">
        <f>IF($B134="","",SUMPRODUCT(--($B$4:$B134&lt;&gt;"")))</f>
      </c>
      <c r="B134" s="17">
        <f>IF('Daily Attendance'!A135="","",'Daily Attendance'!A135)</f>
      </c>
      <c r="C134" s="18">
        <f>IF($B134="","",'Daily Attendance'!B135)</f>
      </c>
      <c r="D134" s="19">
        <f>IF($B134="","",'Daily Attendance'!C135)</f>
      </c>
      <c r="E134" s="19">
        <f>IF($B134="","",IFERROR(VLOOKUP($B134,Workers_Data,3,FALSE),IFERROR(VLOOKUP($B134,Laborers_Data,3,FALSE),"")))</f>
      </c>
      <c r="F134" s="19">
        <f>IF($B134="","",IFERROR(VLOOKUP($B134,Workers_Data,4,FALSE),IFERROR(VLOOKUP($B134,Laborers_Data,4,FALSE),"")))</f>
      </c>
      <c r="G134" s="20">
        <f>IF($B134="","",'Daily Attendance'!BN135)</f>
      </c>
      <c r="H134" s="21">
        <f>IF($B134="","",'Daily Attendance'!BO135)</f>
      </c>
      <c r="I134" s="22">
        <f>IF($B134="","",'Daily Attendance'!BP135)</f>
      </c>
      <c r="J134" s="22">
        <f>IF($B134="","",'Daily Attendance'!BQ135)</f>
      </c>
      <c r="K134" s="23">
        <f>IF($B134="","",'Daily Attendance'!BR135)</f>
      </c>
    </row>
    <row r="135">
      <c r="A135" s="58">
        <f>IF($B135="","",SUMPRODUCT(--($B$4:$B135&lt;&gt;"")))</f>
      </c>
      <c r="B135" s="17">
        <f>IF('Daily Attendance'!A136="","",'Daily Attendance'!A136)</f>
      </c>
      <c r="C135" s="18">
        <f>IF($B135="","",'Daily Attendance'!B136)</f>
      </c>
      <c r="D135" s="19">
        <f>IF($B135="","",'Daily Attendance'!C136)</f>
      </c>
      <c r="E135" s="19">
        <f>IF($B135="","",IFERROR(VLOOKUP($B135,Workers_Data,3,FALSE),IFERROR(VLOOKUP($B135,Laborers_Data,3,FALSE),"")))</f>
      </c>
      <c r="F135" s="19">
        <f>IF($B135="","",IFERROR(VLOOKUP($B135,Workers_Data,4,FALSE),IFERROR(VLOOKUP($B135,Laborers_Data,4,FALSE),"")))</f>
      </c>
      <c r="G135" s="20">
        <f>IF($B135="","",'Daily Attendance'!BN136)</f>
      </c>
      <c r="H135" s="21">
        <f>IF($B135="","",'Daily Attendance'!BO136)</f>
      </c>
      <c r="I135" s="22">
        <f>IF($B135="","",'Daily Attendance'!BP136)</f>
      </c>
      <c r="J135" s="22">
        <f>IF($B135="","",'Daily Attendance'!BQ136)</f>
      </c>
      <c r="K135" s="23">
        <f>IF($B135="","",'Daily Attendance'!BR136)</f>
      </c>
    </row>
    <row r="136">
      <c r="A136" s="58">
        <f>IF($B136="","",SUMPRODUCT(--($B$4:$B136&lt;&gt;"")))</f>
      </c>
      <c r="B136" s="17">
        <f>IF('Daily Attendance'!A137="","",'Daily Attendance'!A137)</f>
      </c>
      <c r="C136" s="18">
        <f>IF($B136="","",'Daily Attendance'!B137)</f>
      </c>
      <c r="D136" s="19">
        <f>IF($B136="","",'Daily Attendance'!C137)</f>
      </c>
      <c r="E136" s="19">
        <f>IF($B136="","",IFERROR(VLOOKUP($B136,Workers_Data,3,FALSE),IFERROR(VLOOKUP($B136,Laborers_Data,3,FALSE),"")))</f>
      </c>
      <c r="F136" s="19">
        <f>IF($B136="","",IFERROR(VLOOKUP($B136,Workers_Data,4,FALSE),IFERROR(VLOOKUP($B136,Laborers_Data,4,FALSE),"")))</f>
      </c>
      <c r="G136" s="20">
        <f>IF($B136="","",'Daily Attendance'!BN137)</f>
      </c>
      <c r="H136" s="21">
        <f>IF($B136="","",'Daily Attendance'!BO137)</f>
      </c>
      <c r="I136" s="22">
        <f>IF($B136="","",'Daily Attendance'!BP137)</f>
      </c>
      <c r="J136" s="22">
        <f>IF($B136="","",'Daily Attendance'!BQ137)</f>
      </c>
      <c r="K136" s="23">
        <f>IF($B136="","",'Daily Attendance'!BR137)</f>
      </c>
    </row>
    <row r="137">
      <c r="A137" s="58">
        <f>IF($B137="","",SUMPRODUCT(--($B$4:$B137&lt;&gt;"")))</f>
      </c>
      <c r="B137" s="17">
        <f>IF('Daily Attendance'!A138="","",'Daily Attendance'!A138)</f>
      </c>
      <c r="C137" s="18">
        <f>IF($B137="","",'Daily Attendance'!B138)</f>
      </c>
      <c r="D137" s="19">
        <f>IF($B137="","",'Daily Attendance'!C138)</f>
      </c>
      <c r="E137" s="19">
        <f>IF($B137="","",IFERROR(VLOOKUP($B137,Workers_Data,3,FALSE),IFERROR(VLOOKUP($B137,Laborers_Data,3,FALSE),"")))</f>
      </c>
      <c r="F137" s="19">
        <f>IF($B137="","",IFERROR(VLOOKUP($B137,Workers_Data,4,FALSE),IFERROR(VLOOKUP($B137,Laborers_Data,4,FALSE),"")))</f>
      </c>
      <c r="G137" s="20">
        <f>IF($B137="","",'Daily Attendance'!BN138)</f>
      </c>
      <c r="H137" s="21">
        <f>IF($B137="","",'Daily Attendance'!BO138)</f>
      </c>
      <c r="I137" s="22">
        <f>IF($B137="","",'Daily Attendance'!BP138)</f>
      </c>
      <c r="J137" s="22">
        <f>IF($B137="","",'Daily Attendance'!BQ138)</f>
      </c>
      <c r="K137" s="23">
        <f>IF($B137="","",'Daily Attendance'!BR138)</f>
      </c>
    </row>
    <row r="138">
      <c r="A138" s="58">
        <f>IF($B138="","",SUMPRODUCT(--($B$4:$B138&lt;&gt;"")))</f>
      </c>
      <c r="B138" s="17">
        <f>IF('Daily Attendance'!A139="","",'Daily Attendance'!A139)</f>
      </c>
      <c r="C138" s="18">
        <f>IF($B138="","",'Daily Attendance'!B139)</f>
      </c>
      <c r="D138" s="19">
        <f>IF($B138="","",'Daily Attendance'!C139)</f>
      </c>
      <c r="E138" s="19">
        <f>IF($B138="","",IFERROR(VLOOKUP($B138,Workers_Data,3,FALSE),IFERROR(VLOOKUP($B138,Laborers_Data,3,FALSE),"")))</f>
      </c>
      <c r="F138" s="19">
        <f>IF($B138="","",IFERROR(VLOOKUP($B138,Workers_Data,4,FALSE),IFERROR(VLOOKUP($B138,Laborers_Data,4,FALSE),"")))</f>
      </c>
      <c r="G138" s="20">
        <f>IF($B138="","",'Daily Attendance'!BN139)</f>
      </c>
      <c r="H138" s="21">
        <f>IF($B138="","",'Daily Attendance'!BO139)</f>
      </c>
      <c r="I138" s="22">
        <f>IF($B138="","",'Daily Attendance'!BP139)</f>
      </c>
      <c r="J138" s="22">
        <f>IF($B138="","",'Daily Attendance'!BQ139)</f>
      </c>
      <c r="K138" s="23">
        <f>IF($B138="","",'Daily Attendance'!BR139)</f>
      </c>
    </row>
    <row r="139">
      <c r="A139" s="58">
        <f>IF($B139="","",SUMPRODUCT(--($B$4:$B139&lt;&gt;"")))</f>
      </c>
      <c r="B139" s="17">
        <f>IF('Daily Attendance'!A140="","",'Daily Attendance'!A140)</f>
      </c>
      <c r="C139" s="18">
        <f>IF($B139="","",'Daily Attendance'!B140)</f>
      </c>
      <c r="D139" s="19">
        <f>IF($B139="","",'Daily Attendance'!C140)</f>
      </c>
      <c r="E139" s="19">
        <f>IF($B139="","",IFERROR(VLOOKUP($B139,Workers_Data,3,FALSE),IFERROR(VLOOKUP($B139,Laborers_Data,3,FALSE),"")))</f>
      </c>
      <c r="F139" s="19">
        <f>IF($B139="","",IFERROR(VLOOKUP($B139,Workers_Data,4,FALSE),IFERROR(VLOOKUP($B139,Laborers_Data,4,FALSE),"")))</f>
      </c>
      <c r="G139" s="20">
        <f>IF($B139="","",'Daily Attendance'!BN140)</f>
      </c>
      <c r="H139" s="21">
        <f>IF($B139="","",'Daily Attendance'!BO140)</f>
      </c>
      <c r="I139" s="22">
        <f>IF($B139="","",'Daily Attendance'!BP140)</f>
      </c>
      <c r="J139" s="22">
        <f>IF($B139="","",'Daily Attendance'!BQ140)</f>
      </c>
      <c r="K139" s="23">
        <f>IF($B139="","",'Daily Attendance'!BR140)</f>
      </c>
    </row>
    <row r="140">
      <c r="A140" s="58">
        <f>IF($B140="","",SUMPRODUCT(--($B$4:$B140&lt;&gt;"")))</f>
      </c>
      <c r="B140" s="17">
        <f>IF('Daily Attendance'!A141="","",'Daily Attendance'!A141)</f>
      </c>
      <c r="C140" s="18">
        <f>IF($B140="","",'Daily Attendance'!B141)</f>
      </c>
      <c r="D140" s="19">
        <f>IF($B140="","",'Daily Attendance'!C141)</f>
      </c>
      <c r="E140" s="19">
        <f>IF($B140="","",IFERROR(VLOOKUP($B140,Workers_Data,3,FALSE),IFERROR(VLOOKUP($B140,Laborers_Data,3,FALSE),"")))</f>
      </c>
      <c r="F140" s="19">
        <f>IF($B140="","",IFERROR(VLOOKUP($B140,Workers_Data,4,FALSE),IFERROR(VLOOKUP($B140,Laborers_Data,4,FALSE),"")))</f>
      </c>
      <c r="G140" s="20">
        <f>IF($B140="","",'Daily Attendance'!BN141)</f>
      </c>
      <c r="H140" s="21">
        <f>IF($B140="","",'Daily Attendance'!BO141)</f>
      </c>
      <c r="I140" s="22">
        <f>IF($B140="","",'Daily Attendance'!BP141)</f>
      </c>
      <c r="J140" s="22">
        <f>IF($B140="","",'Daily Attendance'!BQ141)</f>
      </c>
      <c r="K140" s="23">
        <f>IF($B140="","",'Daily Attendance'!BR141)</f>
      </c>
    </row>
    <row r="141">
      <c r="A141" s="58">
        <f>IF($B141="","",SUMPRODUCT(--($B$4:$B141&lt;&gt;"")))</f>
      </c>
      <c r="B141" s="17">
        <f>IF('Daily Attendance'!A142="","",'Daily Attendance'!A142)</f>
      </c>
      <c r="C141" s="18">
        <f>IF($B141="","",'Daily Attendance'!B142)</f>
      </c>
      <c r="D141" s="19">
        <f>IF($B141="","",'Daily Attendance'!C142)</f>
      </c>
      <c r="E141" s="19">
        <f>IF($B141="","",IFERROR(VLOOKUP($B141,Workers_Data,3,FALSE),IFERROR(VLOOKUP($B141,Laborers_Data,3,FALSE),"")))</f>
      </c>
      <c r="F141" s="19">
        <f>IF($B141="","",IFERROR(VLOOKUP($B141,Workers_Data,4,FALSE),IFERROR(VLOOKUP($B141,Laborers_Data,4,FALSE),"")))</f>
      </c>
      <c r="G141" s="20">
        <f>IF($B141="","",'Daily Attendance'!BN142)</f>
      </c>
      <c r="H141" s="21">
        <f>IF($B141="","",'Daily Attendance'!BO142)</f>
      </c>
      <c r="I141" s="22">
        <f>IF($B141="","",'Daily Attendance'!BP142)</f>
      </c>
      <c r="J141" s="22">
        <f>IF($B141="","",'Daily Attendance'!BQ142)</f>
      </c>
      <c r="K141" s="23">
        <f>IF($B141="","",'Daily Attendance'!BR142)</f>
      </c>
    </row>
    <row r="142">
      <c r="A142" s="58">
        <f>IF($B142="","",SUMPRODUCT(--($B$4:$B142&lt;&gt;"")))</f>
      </c>
      <c r="B142" s="17">
        <f>IF('Daily Attendance'!A143="","",'Daily Attendance'!A143)</f>
      </c>
      <c r="C142" s="18">
        <f>IF($B142="","",'Daily Attendance'!B143)</f>
      </c>
      <c r="D142" s="19">
        <f>IF($B142="","",'Daily Attendance'!C143)</f>
      </c>
      <c r="E142" s="19">
        <f>IF($B142="","",IFERROR(VLOOKUP($B142,Workers_Data,3,FALSE),IFERROR(VLOOKUP($B142,Laborers_Data,3,FALSE),"")))</f>
      </c>
      <c r="F142" s="19">
        <f>IF($B142="","",IFERROR(VLOOKUP($B142,Workers_Data,4,FALSE),IFERROR(VLOOKUP($B142,Laborers_Data,4,FALSE),"")))</f>
      </c>
      <c r="G142" s="20">
        <f>IF($B142="","",'Daily Attendance'!BN143)</f>
      </c>
      <c r="H142" s="21">
        <f>IF($B142="","",'Daily Attendance'!BO143)</f>
      </c>
      <c r="I142" s="22">
        <f>IF($B142="","",'Daily Attendance'!BP143)</f>
      </c>
      <c r="J142" s="22">
        <f>IF($B142="","",'Daily Attendance'!BQ143)</f>
      </c>
      <c r="K142" s="23">
        <f>IF($B142="","",'Daily Attendance'!BR143)</f>
      </c>
    </row>
    <row r="143">
      <c r="A143" s="58">
        <f>IF($B143="","",SUMPRODUCT(--($B$4:$B143&lt;&gt;"")))</f>
      </c>
      <c r="B143" s="17">
        <f>IF('Daily Attendance'!A144="","",'Daily Attendance'!A144)</f>
      </c>
      <c r="C143" s="18">
        <f>IF($B143="","",'Daily Attendance'!B144)</f>
      </c>
      <c r="D143" s="19">
        <f>IF($B143="","",'Daily Attendance'!C144)</f>
      </c>
      <c r="E143" s="19">
        <f>IF($B143="","",IFERROR(VLOOKUP($B143,Workers_Data,3,FALSE),IFERROR(VLOOKUP($B143,Laborers_Data,3,FALSE),"")))</f>
      </c>
      <c r="F143" s="19">
        <f>IF($B143="","",IFERROR(VLOOKUP($B143,Workers_Data,4,FALSE),IFERROR(VLOOKUP($B143,Laborers_Data,4,FALSE),"")))</f>
      </c>
      <c r="G143" s="20">
        <f>IF($B143="","",'Daily Attendance'!BN144)</f>
      </c>
      <c r="H143" s="21">
        <f>IF($B143="","",'Daily Attendance'!BO144)</f>
      </c>
      <c r="I143" s="22">
        <f>IF($B143="","",'Daily Attendance'!BP144)</f>
      </c>
      <c r="J143" s="22">
        <f>IF($B143="","",'Daily Attendance'!BQ144)</f>
      </c>
      <c r="K143" s="23">
        <f>IF($B143="","",'Daily Attendance'!BR144)</f>
      </c>
    </row>
    <row r="144">
      <c r="A144" s="58">
        <f>IF($B144="","",SUMPRODUCT(--($B$4:$B144&lt;&gt;"")))</f>
      </c>
      <c r="B144" s="17">
        <f>IF('Daily Attendance'!A145="","",'Daily Attendance'!A145)</f>
      </c>
      <c r="C144" s="18">
        <f>IF($B144="","",'Daily Attendance'!B145)</f>
      </c>
      <c r="D144" s="19">
        <f>IF($B144="","",'Daily Attendance'!C145)</f>
      </c>
      <c r="E144" s="19">
        <f>IF($B144="","",IFERROR(VLOOKUP($B144,Workers_Data,3,FALSE),IFERROR(VLOOKUP($B144,Laborers_Data,3,FALSE),"")))</f>
      </c>
      <c r="F144" s="19">
        <f>IF($B144="","",IFERROR(VLOOKUP($B144,Workers_Data,4,FALSE),IFERROR(VLOOKUP($B144,Laborers_Data,4,FALSE),"")))</f>
      </c>
      <c r="G144" s="20">
        <f>IF($B144="","",'Daily Attendance'!BN145)</f>
      </c>
      <c r="H144" s="21">
        <f>IF($B144="","",'Daily Attendance'!BO145)</f>
      </c>
      <c r="I144" s="22">
        <f>IF($B144="","",'Daily Attendance'!BP145)</f>
      </c>
      <c r="J144" s="22">
        <f>IF($B144="","",'Daily Attendance'!BQ145)</f>
      </c>
      <c r="K144" s="23">
        <f>IF($B144="","",'Daily Attendance'!BR145)</f>
      </c>
    </row>
    <row r="145">
      <c r="A145" s="58">
        <f>IF($B145="","",SUMPRODUCT(--($B$4:$B145&lt;&gt;"")))</f>
      </c>
      <c r="B145" s="17">
        <f>IF('Daily Attendance'!A146="","",'Daily Attendance'!A146)</f>
      </c>
      <c r="C145" s="18">
        <f>IF($B145="","",'Daily Attendance'!B146)</f>
      </c>
      <c r="D145" s="19">
        <f>IF($B145="","",'Daily Attendance'!C146)</f>
      </c>
      <c r="E145" s="19">
        <f>IF($B145="","",IFERROR(VLOOKUP($B145,Workers_Data,3,FALSE),IFERROR(VLOOKUP($B145,Laborers_Data,3,FALSE),"")))</f>
      </c>
      <c r="F145" s="19">
        <f>IF($B145="","",IFERROR(VLOOKUP($B145,Workers_Data,4,FALSE),IFERROR(VLOOKUP($B145,Laborers_Data,4,FALSE),"")))</f>
      </c>
      <c r="G145" s="20">
        <f>IF($B145="","",'Daily Attendance'!BN146)</f>
      </c>
      <c r="H145" s="21">
        <f>IF($B145="","",'Daily Attendance'!BO146)</f>
      </c>
      <c r="I145" s="22">
        <f>IF($B145="","",'Daily Attendance'!BP146)</f>
      </c>
      <c r="J145" s="22">
        <f>IF($B145="","",'Daily Attendance'!BQ146)</f>
      </c>
      <c r="K145" s="23">
        <f>IF($B145="","",'Daily Attendance'!BR146)</f>
      </c>
    </row>
    <row r="146">
      <c r="A146" s="58">
        <f>IF($B146="","",SUMPRODUCT(--($B$4:$B146&lt;&gt;"")))</f>
      </c>
      <c r="B146" s="17">
        <f>IF('Daily Attendance'!A147="","",'Daily Attendance'!A147)</f>
      </c>
      <c r="C146" s="18">
        <f>IF($B146="","",'Daily Attendance'!B147)</f>
      </c>
      <c r="D146" s="19">
        <f>IF($B146="","",'Daily Attendance'!C147)</f>
      </c>
      <c r="E146" s="19">
        <f>IF($B146="","",IFERROR(VLOOKUP($B146,Workers_Data,3,FALSE),IFERROR(VLOOKUP($B146,Laborers_Data,3,FALSE),"")))</f>
      </c>
      <c r="F146" s="19">
        <f>IF($B146="","",IFERROR(VLOOKUP($B146,Workers_Data,4,FALSE),IFERROR(VLOOKUP($B146,Laborers_Data,4,FALSE),"")))</f>
      </c>
      <c r="G146" s="20">
        <f>IF($B146="","",'Daily Attendance'!BN147)</f>
      </c>
      <c r="H146" s="21">
        <f>IF($B146="","",'Daily Attendance'!BO147)</f>
      </c>
      <c r="I146" s="22">
        <f>IF($B146="","",'Daily Attendance'!BP147)</f>
      </c>
      <c r="J146" s="22">
        <f>IF($B146="","",'Daily Attendance'!BQ147)</f>
      </c>
      <c r="K146" s="23">
        <f>IF($B146="","",'Daily Attendance'!BR147)</f>
      </c>
    </row>
    <row r="147">
      <c r="A147" s="58">
        <f>IF($B147="","",SUMPRODUCT(--($B$4:$B147&lt;&gt;"")))</f>
      </c>
      <c r="B147" s="17">
        <f>IF('Daily Attendance'!A148="","",'Daily Attendance'!A148)</f>
      </c>
      <c r="C147" s="18">
        <f>IF($B147="","",'Daily Attendance'!B148)</f>
      </c>
      <c r="D147" s="19">
        <f>IF($B147="","",'Daily Attendance'!C148)</f>
      </c>
      <c r="E147" s="19">
        <f>IF($B147="","",IFERROR(VLOOKUP($B147,Workers_Data,3,FALSE),IFERROR(VLOOKUP($B147,Laborers_Data,3,FALSE),"")))</f>
      </c>
      <c r="F147" s="19">
        <f>IF($B147="","",IFERROR(VLOOKUP($B147,Workers_Data,4,FALSE),IFERROR(VLOOKUP($B147,Laborers_Data,4,FALSE),"")))</f>
      </c>
      <c r="G147" s="20">
        <f>IF($B147="","",'Daily Attendance'!BN148)</f>
      </c>
      <c r="H147" s="21">
        <f>IF($B147="","",'Daily Attendance'!BO148)</f>
      </c>
      <c r="I147" s="22">
        <f>IF($B147="","",'Daily Attendance'!BP148)</f>
      </c>
      <c r="J147" s="22">
        <f>IF($B147="","",'Daily Attendance'!BQ148)</f>
      </c>
      <c r="K147" s="23">
        <f>IF($B147="","",'Daily Attendance'!BR148)</f>
      </c>
    </row>
    <row r="148">
      <c r="A148" s="58">
        <f>IF($B148="","",SUMPRODUCT(--($B$4:$B148&lt;&gt;"")))</f>
      </c>
      <c r="B148" s="17">
        <f>IF('Daily Attendance'!A149="","",'Daily Attendance'!A149)</f>
      </c>
      <c r="C148" s="18">
        <f>IF($B148="","",'Daily Attendance'!B149)</f>
      </c>
      <c r="D148" s="19">
        <f>IF($B148="","",'Daily Attendance'!C149)</f>
      </c>
      <c r="E148" s="19">
        <f>IF($B148="","",IFERROR(VLOOKUP($B148,Workers_Data,3,FALSE),IFERROR(VLOOKUP($B148,Laborers_Data,3,FALSE),"")))</f>
      </c>
      <c r="F148" s="19">
        <f>IF($B148="","",IFERROR(VLOOKUP($B148,Workers_Data,4,FALSE),IFERROR(VLOOKUP($B148,Laborers_Data,4,FALSE),"")))</f>
      </c>
      <c r="G148" s="20">
        <f>IF($B148="","",'Daily Attendance'!BN149)</f>
      </c>
      <c r="H148" s="21">
        <f>IF($B148="","",'Daily Attendance'!BO149)</f>
      </c>
      <c r="I148" s="22">
        <f>IF($B148="","",'Daily Attendance'!BP149)</f>
      </c>
      <c r="J148" s="22">
        <f>IF($B148="","",'Daily Attendance'!BQ149)</f>
      </c>
      <c r="K148" s="23">
        <f>IF($B148="","",'Daily Attendance'!BR149)</f>
      </c>
    </row>
    <row r="149">
      <c r="A149" s="58">
        <f>IF($B149="","",SUMPRODUCT(--($B$4:$B149&lt;&gt;"")))</f>
      </c>
      <c r="B149" s="17">
        <f>IF('Daily Attendance'!A150="","",'Daily Attendance'!A150)</f>
      </c>
      <c r="C149" s="18">
        <f>IF($B149="","",'Daily Attendance'!B150)</f>
      </c>
      <c r="D149" s="19">
        <f>IF($B149="","",'Daily Attendance'!C150)</f>
      </c>
      <c r="E149" s="19">
        <f>IF($B149="","",IFERROR(VLOOKUP($B149,Workers_Data,3,FALSE),IFERROR(VLOOKUP($B149,Laborers_Data,3,FALSE),"")))</f>
      </c>
      <c r="F149" s="19">
        <f>IF($B149="","",IFERROR(VLOOKUP($B149,Workers_Data,4,FALSE),IFERROR(VLOOKUP($B149,Laborers_Data,4,FALSE),"")))</f>
      </c>
      <c r="G149" s="20">
        <f>IF($B149="","",'Daily Attendance'!BN150)</f>
      </c>
      <c r="H149" s="21">
        <f>IF($B149="","",'Daily Attendance'!BO150)</f>
      </c>
      <c r="I149" s="22">
        <f>IF($B149="","",'Daily Attendance'!BP150)</f>
      </c>
      <c r="J149" s="22">
        <f>IF($B149="","",'Daily Attendance'!BQ150)</f>
      </c>
      <c r="K149" s="23">
        <f>IF($B149="","",'Daily Attendance'!BR150)</f>
      </c>
    </row>
    <row r="150">
      <c r="A150" s="58">
        <f>IF($B150="","",SUMPRODUCT(--($B$4:$B150&lt;&gt;"")))</f>
      </c>
      <c r="B150" s="17">
        <f>IF('Daily Attendance'!A151="","",'Daily Attendance'!A151)</f>
      </c>
      <c r="C150" s="18">
        <f>IF($B150="","",'Daily Attendance'!B151)</f>
      </c>
      <c r="D150" s="19">
        <f>IF($B150="","",'Daily Attendance'!C151)</f>
      </c>
      <c r="E150" s="19">
        <f>IF($B150="","",IFERROR(VLOOKUP($B150,Workers_Data,3,FALSE),IFERROR(VLOOKUP($B150,Laborers_Data,3,FALSE),"")))</f>
      </c>
      <c r="F150" s="19">
        <f>IF($B150="","",IFERROR(VLOOKUP($B150,Workers_Data,4,FALSE),IFERROR(VLOOKUP($B150,Laborers_Data,4,FALSE),"")))</f>
      </c>
      <c r="G150" s="20">
        <f>IF($B150="","",'Daily Attendance'!BN151)</f>
      </c>
      <c r="H150" s="21">
        <f>IF($B150="","",'Daily Attendance'!BO151)</f>
      </c>
      <c r="I150" s="22">
        <f>IF($B150="","",'Daily Attendance'!BP151)</f>
      </c>
      <c r="J150" s="22">
        <f>IF($B150="","",'Daily Attendance'!BQ151)</f>
      </c>
      <c r="K150" s="23">
        <f>IF($B150="","",'Daily Attendance'!BR151)</f>
      </c>
    </row>
    <row r="151">
      <c r="A151" s="58">
        <f>IF($B151="","",SUMPRODUCT(--($B$4:$B151&lt;&gt;"")))</f>
      </c>
      <c r="B151" s="17">
        <f>IF('Daily Attendance'!A152="","",'Daily Attendance'!A152)</f>
      </c>
      <c r="C151" s="18">
        <f>IF($B151="","",'Daily Attendance'!B152)</f>
      </c>
      <c r="D151" s="19">
        <f>IF($B151="","",'Daily Attendance'!C152)</f>
      </c>
      <c r="E151" s="19">
        <f>IF($B151="","",IFERROR(VLOOKUP($B151,Workers_Data,3,FALSE),IFERROR(VLOOKUP($B151,Laborers_Data,3,FALSE),"")))</f>
      </c>
      <c r="F151" s="19">
        <f>IF($B151="","",IFERROR(VLOOKUP($B151,Workers_Data,4,FALSE),IFERROR(VLOOKUP($B151,Laborers_Data,4,FALSE),"")))</f>
      </c>
      <c r="G151" s="20">
        <f>IF($B151="","",'Daily Attendance'!BN152)</f>
      </c>
      <c r="H151" s="21">
        <f>IF($B151="","",'Daily Attendance'!BO152)</f>
      </c>
      <c r="I151" s="22">
        <f>IF($B151="","",'Daily Attendance'!BP152)</f>
      </c>
      <c r="J151" s="22">
        <f>IF($B151="","",'Daily Attendance'!BQ152)</f>
      </c>
      <c r="K151" s="23">
        <f>IF($B151="","",'Daily Attendance'!BR152)</f>
      </c>
    </row>
    <row r="152">
      <c r="A152" s="58">
        <f>IF($B152="","",SUMPRODUCT(--($B$4:$B152&lt;&gt;"")))</f>
      </c>
      <c r="B152" s="17">
        <f>IF('Daily Attendance'!A153="","",'Daily Attendance'!A153)</f>
      </c>
      <c r="C152" s="18">
        <f>IF($B152="","",'Daily Attendance'!B153)</f>
      </c>
      <c r="D152" s="19">
        <f>IF($B152="","",'Daily Attendance'!C153)</f>
      </c>
      <c r="E152" s="19">
        <f>IF($B152="","",IFERROR(VLOOKUP($B152,Workers_Data,3,FALSE),IFERROR(VLOOKUP($B152,Laborers_Data,3,FALSE),"")))</f>
      </c>
      <c r="F152" s="19">
        <f>IF($B152="","",IFERROR(VLOOKUP($B152,Workers_Data,4,FALSE),IFERROR(VLOOKUP($B152,Laborers_Data,4,FALSE),"")))</f>
      </c>
      <c r="G152" s="20">
        <f>IF($B152="","",'Daily Attendance'!BN153)</f>
      </c>
      <c r="H152" s="21">
        <f>IF($B152="","",'Daily Attendance'!BO153)</f>
      </c>
      <c r="I152" s="22">
        <f>IF($B152="","",'Daily Attendance'!BP153)</f>
      </c>
      <c r="J152" s="22">
        <f>IF($B152="","",'Daily Attendance'!BQ153)</f>
      </c>
      <c r="K152" s="23">
        <f>IF($B152="","",'Daily Attendance'!BR153)</f>
      </c>
    </row>
    <row r="153">
      <c r="A153" s="58">
        <f>IF($B153="","",SUMPRODUCT(--($B$4:$B153&lt;&gt;"")))</f>
      </c>
      <c r="B153" s="17">
        <f>IF('Daily Attendance'!A154="","",'Daily Attendance'!A154)</f>
      </c>
      <c r="C153" s="18">
        <f>IF($B153="","",'Daily Attendance'!B154)</f>
      </c>
      <c r="D153" s="19">
        <f>IF($B153="","",'Daily Attendance'!C154)</f>
      </c>
      <c r="E153" s="19">
        <f>IF($B153="","",IFERROR(VLOOKUP($B153,Workers_Data,3,FALSE),IFERROR(VLOOKUP($B153,Laborers_Data,3,FALSE),"")))</f>
      </c>
      <c r="F153" s="19">
        <f>IF($B153="","",IFERROR(VLOOKUP($B153,Workers_Data,4,FALSE),IFERROR(VLOOKUP($B153,Laborers_Data,4,FALSE),"")))</f>
      </c>
      <c r="G153" s="20">
        <f>IF($B153="","",'Daily Attendance'!BN154)</f>
      </c>
      <c r="H153" s="21">
        <f>IF($B153="","",'Daily Attendance'!BO154)</f>
      </c>
      <c r="I153" s="22">
        <f>IF($B153="","",'Daily Attendance'!BP154)</f>
      </c>
      <c r="J153" s="22">
        <f>IF($B153="","",'Daily Attendance'!BQ154)</f>
      </c>
      <c r="K153" s="23">
        <f>IF($B153="","",'Daily Attendance'!BR154)</f>
      </c>
    </row>
    <row r="154">
      <c r="A154" s="58">
        <f>IF($B154="","",SUMPRODUCT(--($B$4:$B154&lt;&gt;"")))</f>
      </c>
      <c r="B154" s="17">
        <f>IF('Daily Attendance'!A155="","",'Daily Attendance'!A155)</f>
      </c>
      <c r="C154" s="18">
        <f>IF($B154="","",'Daily Attendance'!B155)</f>
      </c>
      <c r="D154" s="19">
        <f>IF($B154="","",'Daily Attendance'!C155)</f>
      </c>
      <c r="E154" s="19">
        <f>IF($B154="","",IFERROR(VLOOKUP($B154,Workers_Data,3,FALSE),IFERROR(VLOOKUP($B154,Laborers_Data,3,FALSE),"")))</f>
      </c>
      <c r="F154" s="19">
        <f>IF($B154="","",IFERROR(VLOOKUP($B154,Workers_Data,4,FALSE),IFERROR(VLOOKUP($B154,Laborers_Data,4,FALSE),"")))</f>
      </c>
      <c r="G154" s="20">
        <f>IF($B154="","",'Daily Attendance'!BN155)</f>
      </c>
      <c r="H154" s="21">
        <f>IF($B154="","",'Daily Attendance'!BO155)</f>
      </c>
      <c r="I154" s="22">
        <f>IF($B154="","",'Daily Attendance'!BP155)</f>
      </c>
      <c r="J154" s="22">
        <f>IF($B154="","",'Daily Attendance'!BQ155)</f>
      </c>
      <c r="K154" s="23">
        <f>IF($B154="","",'Daily Attendance'!BR155)</f>
      </c>
    </row>
    <row r="155">
      <c r="A155" s="58">
        <f>IF($B155="","",SUMPRODUCT(--($B$4:$B155&lt;&gt;"")))</f>
      </c>
      <c r="B155" s="17">
        <f>IF('Daily Attendance'!A156="","",'Daily Attendance'!A156)</f>
      </c>
      <c r="C155" s="18">
        <f>IF($B155="","",'Daily Attendance'!B156)</f>
      </c>
      <c r="D155" s="19">
        <f>IF($B155="","",'Daily Attendance'!C156)</f>
      </c>
      <c r="E155" s="19">
        <f>IF($B155="","",IFERROR(VLOOKUP($B155,Workers_Data,3,FALSE),IFERROR(VLOOKUP($B155,Laborers_Data,3,FALSE),"")))</f>
      </c>
      <c r="F155" s="19">
        <f>IF($B155="","",IFERROR(VLOOKUP($B155,Workers_Data,4,FALSE),IFERROR(VLOOKUP($B155,Laborers_Data,4,FALSE),"")))</f>
      </c>
      <c r="G155" s="20">
        <f>IF($B155="","",'Daily Attendance'!BN156)</f>
      </c>
      <c r="H155" s="21">
        <f>IF($B155="","",'Daily Attendance'!BO156)</f>
      </c>
      <c r="I155" s="22">
        <f>IF($B155="","",'Daily Attendance'!BP156)</f>
      </c>
      <c r="J155" s="22">
        <f>IF($B155="","",'Daily Attendance'!BQ156)</f>
      </c>
      <c r="K155" s="23">
        <f>IF($B155="","",'Daily Attendance'!BR156)</f>
      </c>
    </row>
    <row r="156">
      <c r="A156" s="58">
        <f>IF($B156="","",SUMPRODUCT(--($B$4:$B156&lt;&gt;"")))</f>
      </c>
      <c r="B156" s="17">
        <f>IF('Daily Attendance'!A157="","",'Daily Attendance'!A157)</f>
      </c>
      <c r="C156" s="18">
        <f>IF($B156="","",'Daily Attendance'!B157)</f>
      </c>
      <c r="D156" s="19">
        <f>IF($B156="","",'Daily Attendance'!C157)</f>
      </c>
      <c r="E156" s="19">
        <f>IF($B156="","",IFERROR(VLOOKUP($B156,Workers_Data,3,FALSE),IFERROR(VLOOKUP($B156,Laborers_Data,3,FALSE),"")))</f>
      </c>
      <c r="F156" s="19">
        <f>IF($B156="","",IFERROR(VLOOKUP($B156,Workers_Data,4,FALSE),IFERROR(VLOOKUP($B156,Laborers_Data,4,FALSE),"")))</f>
      </c>
      <c r="G156" s="20">
        <f>IF($B156="","",'Daily Attendance'!BN157)</f>
      </c>
      <c r="H156" s="21">
        <f>IF($B156="","",'Daily Attendance'!BO157)</f>
      </c>
      <c r="I156" s="22">
        <f>IF($B156="","",'Daily Attendance'!BP157)</f>
      </c>
      <c r="J156" s="22">
        <f>IF($B156="","",'Daily Attendance'!BQ157)</f>
      </c>
      <c r="K156" s="23">
        <f>IF($B156="","",'Daily Attendance'!BR157)</f>
      </c>
    </row>
    <row r="157">
      <c r="A157" s="58">
        <f>IF($B157="","",SUMPRODUCT(--($B$4:$B157&lt;&gt;"")))</f>
      </c>
      <c r="B157" s="17">
        <f>IF('Daily Attendance'!A158="","",'Daily Attendance'!A158)</f>
      </c>
      <c r="C157" s="18">
        <f>IF($B157="","",'Daily Attendance'!B158)</f>
      </c>
      <c r="D157" s="19">
        <f>IF($B157="","",'Daily Attendance'!C158)</f>
      </c>
      <c r="E157" s="19">
        <f>IF($B157="","",IFERROR(VLOOKUP($B157,Workers_Data,3,FALSE),IFERROR(VLOOKUP($B157,Laborers_Data,3,FALSE),"")))</f>
      </c>
      <c r="F157" s="19">
        <f>IF($B157="","",IFERROR(VLOOKUP($B157,Workers_Data,4,FALSE),IFERROR(VLOOKUP($B157,Laborers_Data,4,FALSE),"")))</f>
      </c>
      <c r="G157" s="20">
        <f>IF($B157="","",'Daily Attendance'!BN158)</f>
      </c>
      <c r="H157" s="21">
        <f>IF($B157="","",'Daily Attendance'!BO158)</f>
      </c>
      <c r="I157" s="22">
        <f>IF($B157="","",'Daily Attendance'!BP158)</f>
      </c>
      <c r="J157" s="22">
        <f>IF($B157="","",'Daily Attendance'!BQ158)</f>
      </c>
      <c r="K157" s="23">
        <f>IF($B157="","",'Daily Attendance'!BR158)</f>
      </c>
    </row>
    <row r="158">
      <c r="A158" s="58">
        <f>IF($B158="","",SUMPRODUCT(--($B$4:$B158&lt;&gt;"")))</f>
      </c>
      <c r="B158" s="17">
        <f>IF('Daily Attendance'!A159="","",'Daily Attendance'!A159)</f>
      </c>
      <c r="C158" s="18">
        <f>IF($B158="","",'Daily Attendance'!B159)</f>
      </c>
      <c r="D158" s="19">
        <f>IF($B158="","",'Daily Attendance'!C159)</f>
      </c>
      <c r="E158" s="19">
        <f>IF($B158="","",IFERROR(VLOOKUP($B158,Workers_Data,3,FALSE),IFERROR(VLOOKUP($B158,Laborers_Data,3,FALSE),"")))</f>
      </c>
      <c r="F158" s="19">
        <f>IF($B158="","",IFERROR(VLOOKUP($B158,Workers_Data,4,FALSE),IFERROR(VLOOKUP($B158,Laborers_Data,4,FALSE),"")))</f>
      </c>
      <c r="G158" s="20">
        <f>IF($B158="","",'Daily Attendance'!BN159)</f>
      </c>
      <c r="H158" s="21">
        <f>IF($B158="","",'Daily Attendance'!BO159)</f>
      </c>
      <c r="I158" s="22">
        <f>IF($B158="","",'Daily Attendance'!BP159)</f>
      </c>
      <c r="J158" s="22">
        <f>IF($B158="","",'Daily Attendance'!BQ159)</f>
      </c>
      <c r="K158" s="23">
        <f>IF($B158="","",'Daily Attendance'!BR159)</f>
      </c>
    </row>
    <row r="159">
      <c r="A159" s="58">
        <f>IF($B159="","",SUMPRODUCT(--($B$4:$B159&lt;&gt;"")))</f>
      </c>
      <c r="B159" s="17">
        <f>IF('Daily Attendance'!A160="","",'Daily Attendance'!A160)</f>
      </c>
      <c r="C159" s="18">
        <f>IF($B159="","",'Daily Attendance'!B160)</f>
      </c>
      <c r="D159" s="19">
        <f>IF($B159="","",'Daily Attendance'!C160)</f>
      </c>
      <c r="E159" s="19">
        <f>IF($B159="","",IFERROR(VLOOKUP($B159,Workers_Data,3,FALSE),IFERROR(VLOOKUP($B159,Laborers_Data,3,FALSE),"")))</f>
      </c>
      <c r="F159" s="19">
        <f>IF($B159="","",IFERROR(VLOOKUP($B159,Workers_Data,4,FALSE),IFERROR(VLOOKUP($B159,Laborers_Data,4,FALSE),"")))</f>
      </c>
      <c r="G159" s="20">
        <f>IF($B159="","",'Daily Attendance'!BN160)</f>
      </c>
      <c r="H159" s="21">
        <f>IF($B159="","",'Daily Attendance'!BO160)</f>
      </c>
      <c r="I159" s="22">
        <f>IF($B159="","",'Daily Attendance'!BP160)</f>
      </c>
      <c r="J159" s="22">
        <f>IF($B159="","",'Daily Attendance'!BQ160)</f>
      </c>
      <c r="K159" s="23">
        <f>IF($B159="","",'Daily Attendance'!BR160)</f>
      </c>
    </row>
    <row r="160">
      <c r="A160" s="58">
        <f>IF($B160="","",SUMPRODUCT(--($B$4:$B160&lt;&gt;"")))</f>
      </c>
      <c r="B160" s="17">
        <f>IF('Daily Attendance'!A161="","",'Daily Attendance'!A161)</f>
      </c>
      <c r="C160" s="18">
        <f>IF($B160="","",'Daily Attendance'!B161)</f>
      </c>
      <c r="D160" s="19">
        <f>IF($B160="","",'Daily Attendance'!C161)</f>
      </c>
      <c r="E160" s="19">
        <f>IF($B160="","",IFERROR(VLOOKUP($B160,Workers_Data,3,FALSE),IFERROR(VLOOKUP($B160,Laborers_Data,3,FALSE),"")))</f>
      </c>
      <c r="F160" s="19">
        <f>IF($B160="","",IFERROR(VLOOKUP($B160,Workers_Data,4,FALSE),IFERROR(VLOOKUP($B160,Laborers_Data,4,FALSE),"")))</f>
      </c>
      <c r="G160" s="20">
        <f>IF($B160="","",'Daily Attendance'!BN161)</f>
      </c>
      <c r="H160" s="21">
        <f>IF($B160="","",'Daily Attendance'!BO161)</f>
      </c>
      <c r="I160" s="22">
        <f>IF($B160="","",'Daily Attendance'!BP161)</f>
      </c>
      <c r="J160" s="22">
        <f>IF($B160="","",'Daily Attendance'!BQ161)</f>
      </c>
      <c r="K160" s="23">
        <f>IF($B160="","",'Daily Attendance'!BR161)</f>
      </c>
    </row>
    <row r="161">
      <c r="A161" s="58">
        <f>IF($B161="","",SUMPRODUCT(--($B$4:$B161&lt;&gt;"")))</f>
      </c>
      <c r="B161" s="17">
        <f>IF('Daily Attendance'!A162="","",'Daily Attendance'!A162)</f>
      </c>
      <c r="C161" s="18">
        <f>IF($B161="","",'Daily Attendance'!B162)</f>
      </c>
      <c r="D161" s="19">
        <f>IF($B161="","",'Daily Attendance'!C162)</f>
      </c>
      <c r="E161" s="19">
        <f>IF($B161="","",IFERROR(VLOOKUP($B161,Workers_Data,3,FALSE),IFERROR(VLOOKUP($B161,Laborers_Data,3,FALSE),"")))</f>
      </c>
      <c r="F161" s="19">
        <f>IF($B161="","",IFERROR(VLOOKUP($B161,Workers_Data,4,FALSE),IFERROR(VLOOKUP($B161,Laborers_Data,4,FALSE),"")))</f>
      </c>
      <c r="G161" s="20">
        <f>IF($B161="","",'Daily Attendance'!BN162)</f>
      </c>
      <c r="H161" s="21">
        <f>IF($B161="","",'Daily Attendance'!BO162)</f>
      </c>
      <c r="I161" s="22">
        <f>IF($B161="","",'Daily Attendance'!BP162)</f>
      </c>
      <c r="J161" s="22">
        <f>IF($B161="","",'Daily Attendance'!BQ162)</f>
      </c>
      <c r="K161" s="23">
        <f>IF($B161="","",'Daily Attendance'!BR162)</f>
      </c>
    </row>
    <row r="162">
      <c r="A162" s="58">
        <f>IF($B162="","",SUMPRODUCT(--($B$4:$B162&lt;&gt;"")))</f>
      </c>
      <c r="B162" s="17">
        <f>IF('Daily Attendance'!A163="","",'Daily Attendance'!A163)</f>
      </c>
      <c r="C162" s="18">
        <f>IF($B162="","",'Daily Attendance'!B163)</f>
      </c>
      <c r="D162" s="19">
        <f>IF($B162="","",'Daily Attendance'!C163)</f>
      </c>
      <c r="E162" s="19">
        <f>IF($B162="","",IFERROR(VLOOKUP($B162,Workers_Data,3,FALSE),IFERROR(VLOOKUP($B162,Laborers_Data,3,FALSE),"")))</f>
      </c>
      <c r="F162" s="19">
        <f>IF($B162="","",IFERROR(VLOOKUP($B162,Workers_Data,4,FALSE),IFERROR(VLOOKUP($B162,Laborers_Data,4,FALSE),"")))</f>
      </c>
      <c r="G162" s="20">
        <f>IF($B162="","",'Daily Attendance'!BN163)</f>
      </c>
      <c r="H162" s="21">
        <f>IF($B162="","",'Daily Attendance'!BO163)</f>
      </c>
      <c r="I162" s="22">
        <f>IF($B162="","",'Daily Attendance'!BP163)</f>
      </c>
      <c r="J162" s="22">
        <f>IF($B162="","",'Daily Attendance'!BQ163)</f>
      </c>
      <c r="K162" s="23">
        <f>IF($B162="","",'Daily Attendance'!BR163)</f>
      </c>
    </row>
    <row r="163">
      <c r="A163" s="58">
        <f>IF($B163="","",SUMPRODUCT(--($B$4:$B163&lt;&gt;"")))</f>
      </c>
      <c r="B163" s="17">
        <f>IF('Daily Attendance'!A164="","",'Daily Attendance'!A164)</f>
      </c>
      <c r="C163" s="18">
        <f>IF($B163="","",'Daily Attendance'!B164)</f>
      </c>
      <c r="D163" s="19">
        <f>IF($B163="","",'Daily Attendance'!C164)</f>
      </c>
      <c r="E163" s="19">
        <f>IF($B163="","",IFERROR(VLOOKUP($B163,Workers_Data,3,FALSE),IFERROR(VLOOKUP($B163,Laborers_Data,3,FALSE),"")))</f>
      </c>
      <c r="F163" s="19">
        <f>IF($B163="","",IFERROR(VLOOKUP($B163,Workers_Data,4,FALSE),IFERROR(VLOOKUP($B163,Laborers_Data,4,FALSE),"")))</f>
      </c>
      <c r="G163" s="20">
        <f>IF($B163="","",'Daily Attendance'!BN164)</f>
      </c>
      <c r="H163" s="21">
        <f>IF($B163="","",'Daily Attendance'!BO164)</f>
      </c>
      <c r="I163" s="22">
        <f>IF($B163="","",'Daily Attendance'!BP164)</f>
      </c>
      <c r="J163" s="22">
        <f>IF($B163="","",'Daily Attendance'!BQ164)</f>
      </c>
      <c r="K163" s="23">
        <f>IF($B163="","",'Daily Attendance'!BR164)</f>
      </c>
    </row>
    <row r="164" ht="24" customHeight="1">
      <c r="A164" s="59" t="inlineStr">
        <is>
          <t xml:space="preserve">GRAND TOTAL   </t>
        </is>
      </c>
      <c r="G164" s="60">
        <f>SUM(G4:G163)</f>
      </c>
      <c r="H164" s="60">
        <f>SUM(H4:H163)</f>
      </c>
      <c r="I164" s="61">
        <f>SUM(I4:I163)</f>
      </c>
      <c r="J164" s="61">
        <f>SUM(J4:J163)</f>
      </c>
      <c r="K164" s="61">
        <f>SUM(K4:K163)</f>
      </c>
    </row>
  </sheetData>
  <sheetProtection sheet="1" objects="1" scenarios="1" formatCells="0" formatColumns="0" formatRows="0" selectLockedCells="1" selectUnlockedCells="1"/>
  <mergeCells count="3">
    <mergeCell ref="A1:K1"/>
    <mergeCell ref="A2:K2"/>
    <mergeCell ref="A164:F164"/>
  </mergeCells>
  <conditionalFormatting sqref="A4:K163">
    <cfRule type="expression" dxfId="0" priority="6">
      <formula>MOD(ROW(),2)=0</formula>
    </cfRule>
  </conditionalFormatting>
  <printOptions horizontalCentered="1"/>
  <pageMargins left="0.4" right="0.4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Kiro xlsxgen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Payroll Management System</dc:title>
  <dc:creator>Kiro</dc:creator>
  <dcterms:created xsi:type="dcterms:W3CDTF">2026-07-01T21:51:17Z</dcterms:created>
  <dcterms:modified xsi:type="dcterms:W3CDTF">2026-07-01T21:51:17Z</dcterms:modified>
</cp:coreProperties>
</file>