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000"/>
  <workbookPr defaultThemeVersion="166925"/>
  <bookViews>
    <workbookView activeTab="0"/>
  </bookViews>
  <sheets>
    <sheet name="Presence du Jour" sheetId="1" r:id="rId1"/>
    <sheet name="Employes" sheetId="2" r:id="rId2"/>
    <sheet name="Liste a imprimer" sheetId="3" r:id="rId3"/>
    <sheet name="Historique" sheetId="4" r:id="rId4"/>
    <sheet name="Parametres" sheetId="5" r:id="rId5"/>
    <sheet name="Guide d utilisation" sheetId="6" r:id="rId6"/>
  </sheets>
  <definedNames>
    <definedName name="_xlnm.Print_Area" localSheetId="0">'Presence du Jour'!$A$1:$D$86</definedName>
    <definedName name="_xlnm.Print_Area" localSheetId="1">'Employes'!$A$1:$E$82</definedName>
    <definedName name="_xlnm.Print_Area" localSheetId="2">'Liste a imprimer'!$A$1:$D$60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0">
    <font>
      <sz val="11"/>
      <color rgb="FF000000"/>
      <name val="Calibri"/>
    </font>
    <font>
      <b/>
      <sz val="18"/>
      <color rgb="FFFFFF"/>
      <name val="Calibri"/>
    </font>
    <font>
      <b/>
      <sz val="16"/>
      <color rgb="FFFFFF"/>
      <name val="Calibri"/>
    </font>
    <font>
      <i/>
      <sz val="10"/>
      <color rgb="FFFFFF"/>
      <name val="Calibri"/>
    </font>
    <font>
      <b/>
      <sz val="11"/>
      <color rgb="FFFFFF"/>
      <name val="Calibri"/>
    </font>
    <font>
      <b/>
      <sz val="14"/>
      <color rgb="548235"/>
      <name val="Calibri"/>
    </font>
    <font>
      <b/>
      <sz val="11"/>
      <color rgb="FF000000"/>
      <name val="Calibri"/>
    </font>
    <font>
      <b/>
      <sz val="11"/>
      <color rgb="1F3864"/>
      <name val="Calibri"/>
    </font>
    <font>
      <b/>
      <sz val="11"/>
      <color rgb="1F3864"/>
      <name val="Calibri"/>
    </font>
    <font>
      <sz val="10"/>
      <color rgb="808080"/>
      <name val="Calibri"/>
    </font>
    <font>
      <b/>
      <sz val="16"/>
      <color rgb="1F3864"/>
      <name val="Calibri"/>
    </font>
    <font>
      <b/>
      <sz val="10"/>
      <color rgb="548235"/>
      <name val="Calibri"/>
    </font>
    <font>
      <i/>
      <sz val="10"/>
      <color rgb="808080"/>
      <name val="Calibri"/>
    </font>
    <font>
      <b/>
      <sz val="10"/>
      <color rgb="1F3864"/>
      <name val="Calibri"/>
    </font>
    <font>
      <b/>
      <sz val="11"/>
      <color rgb="FF000000"/>
      <name val="Calibri"/>
    </font>
    <font>
      <sz val="9"/>
      <color rgb="808080"/>
      <name val="Calibri"/>
    </font>
    <font>
      <b/>
      <sz val="13"/>
      <color rgb="2E75B6"/>
      <name val="Calibri"/>
    </font>
    <font>
      <b/>
      <sz val="11"/>
      <color rgb="548235"/>
      <name val="Calibri"/>
    </font>
    <font>
      <sz val="11"/>
      <color rgb="FF000000"/>
      <name val="Calibri"/>
    </font>
    <font>
      <b/>
      <sz val="10"/>
      <color rgb="C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4E7E"/>
        <bgColor rgb="FF2E4E7E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FFF2CC"/>
        <bgColor rgb="FFFFF2CC"/>
      </patternFill>
    </fill>
    <fill>
      <patternFill patternType="solid">
        <fgColor rgb="FFEAF1FA"/>
        <bgColor rgb="FFEAF1FA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548235"/>
      </left>
      <right style="thin">
        <color rgb="FF548235"/>
      </right>
      <top style="thin">
        <color rgb="FF548235"/>
      </top>
      <bottom style="thin">
        <color rgb="FF54823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left" vertical="center"/>
      <protection locked="0"/>
    </xf>
    <xf numFmtId="164" fontId="6" fillId="6" borderId="4" xfId="0" applyNumberFormat="1" applyFont="1" applyFill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7" borderId="4" xfId="0" applyFill="1" applyBorder="1" applyAlignment="1">
      <alignment horizontal="center" vertical="center"/>
    </xf>
    <xf numFmtId="0" fontId="5" fillId="7" borderId="4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8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4">
    <dxf>
      <font>
        <b/>
        <color rgb="006100"/>
      </font>
      <fill>
        <patternFill>
          <bgColor rgb="FFC6EFCE"/>
        </patternFill>
      </fill>
    </dxf>
    <dxf>
      <font>
        <color rgb="C00000"/>
      </font>
      <fill>
        <patternFill>
          <bgColor rgb="FFF8CBAD"/>
        </patternFill>
      </fill>
    </dxf>
    <dxf>
      <font>
        <color rgb="006100"/>
      </font>
      <fill>
        <patternFill>
          <bgColor rgb="FFC6EFCE"/>
        </patternFill>
      </fill>
    </dxf>
    <dxf>
      <fill>
        <patternFill>
          <bgColor rgb="FFEAF1FA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  <pageSetUpPr fitToPage="1"/>
  </sheetPr>
  <dimension ref="A1:D86"/>
  <sheetViews>
    <sheetView showGridLines="0" workbookViewId="0">
      <pane ySplit="6" topLeftCell="A7" activePane="bottomRight" state="frozen"/>
      <selection pane="bottomRight" activeCell="A7" sqref="A7"/>
    </sheetView>
  </sheetViews>
  <sheetFormatPr defaultRowHeight="15"/>
  <cols>
    <col min="1" max="1" width="12" customWidth="1"/>
    <col min="2" max="2" width="14" customWidth="1"/>
    <col min="3" max="3" width="32" customWidth="1"/>
    <col min="4" max="4" width="20" customWidth="1"/>
    <col min="5" max="5" width="3" customWidth="1"/>
    <col min="6" max="6" width="16" customWidth="1"/>
  </cols>
  <sheetData>
    <row r="1" ht="38" customHeight="1">
      <c r="A1" s="1" t="inlineStr">
        <is>
          <t xml:space="preserve">  GESTION DES PRÉSENCES</t>
        </is>
      </c>
    </row>
    <row r="2" ht="20" customHeight="1">
      <c r="A2" s="3" t="inlineStr">
        <is>
          <t xml:space="preserve">  Cochez (X) les employés présents puis cliquez sur « Enregistrer la journée »</t>
        </is>
      </c>
    </row>
    <row r="3" ht="22" customHeight="1">
      <c r="A3" s="17" t="inlineStr">
        <is>
          <t xml:space="preserve">Date :</t>
        </is>
      </c>
      <c r="B3" s="9">
        <v>46209</v>
      </c>
      <c r="C3" s="20" t="inlineStr">
        <is>
          <t xml:space="preserve">Présents :</t>
        </is>
      </c>
      <c r="D3" s="19">
        <f>COUNTIF(A7:A86,"X")</f>
      </c>
    </row>
    <row r="4" ht="22" customHeight="1">
      <c r="A4" s="17" t="inlineStr">
        <is>
          <t xml:space="preserve">Chantier :</t>
        </is>
      </c>
      <c r="B4" s="8" t="inlineStr">
        <is>
          <t xml:space="preserve"/>
        </is>
      </c>
      <c r="C4" s="20" t="inlineStr">
        <is>
          <t xml:space="preserve">Total actifs :</t>
        </is>
      </c>
      <c r="D4" s="19">
        <f>COUNTA(B7:B86)</f>
      </c>
    </row>
    <row r="6" ht="26" customHeight="1">
      <c r="A6" s="4" t="inlineStr">
        <is>
          <t xml:space="preserve">☐ Présent</t>
        </is>
      </c>
      <c r="B6" s="4" t="inlineStr">
        <is>
          <t xml:space="preserve">ID</t>
        </is>
      </c>
      <c r="C6" s="4" t="inlineStr">
        <is>
          <t xml:space="preserve">Nom et Prénom</t>
        </is>
      </c>
      <c r="D6" s="4" t="inlineStr">
        <is>
          <t xml:space="preserve">Poste</t>
        </is>
      </c>
    </row>
    <row r="7" ht="22" customHeight="1">
      <c r="A7" s="7" t="inlineStr">
        <is>
          <t xml:space="preserve"/>
        </is>
      </c>
      <c r="B7" s="10">
        <f>IF(Employes!E3="Actif",Employes!A3,"")</f>
      </c>
      <c r="C7" s="11">
        <f>IF(B7&lt;&gt;"",Employes!B3,"")</f>
      </c>
      <c r="D7" s="12">
        <f>IF(B7&lt;&gt;"",Employes!C3,"")</f>
      </c>
    </row>
    <row r="8" ht="22" customHeight="1">
      <c r="A8" s="16" t="inlineStr">
        <is>
          <t xml:space="preserve"/>
        </is>
      </c>
      <c r="B8" s="13">
        <f>IF(Employes!E4="Actif",Employes!A4,"")</f>
      </c>
      <c r="C8" s="14">
        <f>IF(B8&lt;&gt;"",Employes!B4,"")</f>
      </c>
      <c r="D8" s="15">
        <f>IF(B8&lt;&gt;"",Employes!C4,"")</f>
      </c>
    </row>
    <row r="9" ht="22" customHeight="1">
      <c r="A9" s="7" t="inlineStr">
        <is>
          <t xml:space="preserve"/>
        </is>
      </c>
      <c r="B9" s="10">
        <f>IF(Employes!E5="Actif",Employes!A5,"")</f>
      </c>
      <c r="C9" s="11">
        <f>IF(B9&lt;&gt;"",Employes!B5,"")</f>
      </c>
      <c r="D9" s="12">
        <f>IF(B9&lt;&gt;"",Employes!C5,"")</f>
      </c>
    </row>
    <row r="10" ht="22" customHeight="1">
      <c r="A10" s="16" t="inlineStr">
        <is>
          <t xml:space="preserve"/>
        </is>
      </c>
      <c r="B10" s="13">
        <f>IF(Employes!E6="Actif",Employes!A6,"")</f>
      </c>
      <c r="C10" s="14">
        <f>IF(B10&lt;&gt;"",Employes!B6,"")</f>
      </c>
      <c r="D10" s="15">
        <f>IF(B10&lt;&gt;"",Employes!C6,"")</f>
      </c>
    </row>
    <row r="11" ht="22" customHeight="1">
      <c r="A11" s="7" t="inlineStr">
        <is>
          <t xml:space="preserve"/>
        </is>
      </c>
      <c r="B11" s="10">
        <f>IF(Employes!E7="Actif",Employes!A7,"")</f>
      </c>
      <c r="C11" s="11">
        <f>IF(B11&lt;&gt;"",Employes!B7,"")</f>
      </c>
      <c r="D11" s="12">
        <f>IF(B11&lt;&gt;"",Employes!C7,"")</f>
      </c>
    </row>
    <row r="12" ht="22" customHeight="1">
      <c r="A12" s="16" t="inlineStr">
        <is>
          <t xml:space="preserve"/>
        </is>
      </c>
      <c r="B12" s="13">
        <f>IF(Employes!E8="Actif",Employes!A8,"")</f>
      </c>
      <c r="C12" s="14">
        <f>IF(B12&lt;&gt;"",Employes!B8,"")</f>
      </c>
      <c r="D12" s="15">
        <f>IF(B12&lt;&gt;"",Employes!C8,"")</f>
      </c>
    </row>
    <row r="13" ht="22" customHeight="1">
      <c r="A13" s="7" t="inlineStr">
        <is>
          <t xml:space="preserve"/>
        </is>
      </c>
      <c r="B13" s="10">
        <f>IF(Employes!E9="Actif",Employes!A9,"")</f>
      </c>
      <c r="C13" s="11">
        <f>IF(B13&lt;&gt;"",Employes!B9,"")</f>
      </c>
      <c r="D13" s="12">
        <f>IF(B13&lt;&gt;"",Employes!C9,"")</f>
      </c>
    </row>
    <row r="14" ht="22" customHeight="1">
      <c r="A14" s="16" t="inlineStr">
        <is>
          <t xml:space="preserve"/>
        </is>
      </c>
      <c r="B14" s="13">
        <f>IF(Employes!E10="Actif",Employes!A10,"")</f>
      </c>
      <c r="C14" s="14">
        <f>IF(B14&lt;&gt;"",Employes!B10,"")</f>
      </c>
      <c r="D14" s="15">
        <f>IF(B14&lt;&gt;"",Employes!C10,"")</f>
      </c>
    </row>
    <row r="15" ht="22" customHeight="1">
      <c r="A15" s="7" t="inlineStr">
        <is>
          <t xml:space="preserve"/>
        </is>
      </c>
      <c r="B15" s="10">
        <f>IF(Employes!E11="Actif",Employes!A11,"")</f>
      </c>
      <c r="C15" s="11">
        <f>IF(B15&lt;&gt;"",Employes!B11,"")</f>
      </c>
      <c r="D15" s="12">
        <f>IF(B15&lt;&gt;"",Employes!C11,"")</f>
      </c>
    </row>
    <row r="16" ht="22" customHeight="1">
      <c r="A16" s="16" t="inlineStr">
        <is>
          <t xml:space="preserve"/>
        </is>
      </c>
      <c r="B16" s="13">
        <f>IF(Employes!E12="Actif",Employes!A12,"")</f>
      </c>
      <c r="C16" s="14">
        <f>IF(B16&lt;&gt;"",Employes!B12,"")</f>
      </c>
      <c r="D16" s="15">
        <f>IF(B16&lt;&gt;"",Employes!C12,"")</f>
      </c>
    </row>
    <row r="17" ht="22" customHeight="1">
      <c r="A17" s="7" t="inlineStr">
        <is>
          <t xml:space="preserve"/>
        </is>
      </c>
      <c r="B17" s="10">
        <f>IF(Employes!E13="Actif",Employes!A13,"")</f>
      </c>
      <c r="C17" s="11">
        <f>IF(B17&lt;&gt;"",Employes!B13,"")</f>
      </c>
      <c r="D17" s="12">
        <f>IF(B17&lt;&gt;"",Employes!C13,"")</f>
      </c>
    </row>
    <row r="18" ht="22" customHeight="1">
      <c r="A18" s="16" t="inlineStr">
        <is>
          <t xml:space="preserve"/>
        </is>
      </c>
      <c r="B18" s="13">
        <f>IF(Employes!E14="Actif",Employes!A14,"")</f>
      </c>
      <c r="C18" s="14">
        <f>IF(B18&lt;&gt;"",Employes!B14,"")</f>
      </c>
      <c r="D18" s="15">
        <f>IF(B18&lt;&gt;"",Employes!C14,"")</f>
      </c>
    </row>
    <row r="19" ht="22" customHeight="1">
      <c r="A19" s="7" t="inlineStr">
        <is>
          <t xml:space="preserve"/>
        </is>
      </c>
      <c r="B19" s="10">
        <f>IF(Employes!E15="Actif",Employes!A15,"")</f>
      </c>
      <c r="C19" s="11">
        <f>IF(B19&lt;&gt;"",Employes!B15,"")</f>
      </c>
      <c r="D19" s="12">
        <f>IF(B19&lt;&gt;"",Employes!C15,"")</f>
      </c>
    </row>
    <row r="20" ht="22" customHeight="1">
      <c r="A20" s="16" t="inlineStr">
        <is>
          <t xml:space="preserve"/>
        </is>
      </c>
      <c r="B20" s="13">
        <f>IF(Employes!E16="Actif",Employes!A16,"")</f>
      </c>
      <c r="C20" s="14">
        <f>IF(B20&lt;&gt;"",Employes!B16,"")</f>
      </c>
      <c r="D20" s="15">
        <f>IF(B20&lt;&gt;"",Employes!C16,"")</f>
      </c>
    </row>
    <row r="21" ht="22" customHeight="1">
      <c r="A21" s="7" t="inlineStr">
        <is>
          <t xml:space="preserve"/>
        </is>
      </c>
      <c r="B21" s="10">
        <f>IF(Employes!E17="Actif",Employes!A17,"")</f>
      </c>
      <c r="C21" s="11">
        <f>IF(B21&lt;&gt;"",Employes!B17,"")</f>
      </c>
      <c r="D21" s="12">
        <f>IF(B21&lt;&gt;"",Employes!C17,"")</f>
      </c>
    </row>
    <row r="22" ht="22" customHeight="1">
      <c r="A22" s="16" t="inlineStr">
        <is>
          <t xml:space="preserve"/>
        </is>
      </c>
      <c r="B22" s="13">
        <f>IF(Employes!E18="Actif",Employes!A18,"")</f>
      </c>
      <c r="C22" s="14">
        <f>IF(B22&lt;&gt;"",Employes!B18,"")</f>
      </c>
      <c r="D22" s="15">
        <f>IF(B22&lt;&gt;"",Employes!C18,"")</f>
      </c>
    </row>
    <row r="23" ht="22" customHeight="1">
      <c r="A23" s="7" t="inlineStr">
        <is>
          <t xml:space="preserve"/>
        </is>
      </c>
      <c r="B23" s="10">
        <f>IF(Employes!E19="Actif",Employes!A19,"")</f>
      </c>
      <c r="C23" s="11">
        <f>IF(B23&lt;&gt;"",Employes!B19,"")</f>
      </c>
      <c r="D23" s="12">
        <f>IF(B23&lt;&gt;"",Employes!C19,"")</f>
      </c>
    </row>
    <row r="24" ht="22" customHeight="1">
      <c r="A24" s="16" t="inlineStr">
        <is>
          <t xml:space="preserve"/>
        </is>
      </c>
      <c r="B24" s="13">
        <f>IF(Employes!E20="Actif",Employes!A20,"")</f>
      </c>
      <c r="C24" s="14">
        <f>IF(B24&lt;&gt;"",Employes!B20,"")</f>
      </c>
      <c r="D24" s="15">
        <f>IF(B24&lt;&gt;"",Employes!C20,"")</f>
      </c>
    </row>
    <row r="25" ht="22" customHeight="1">
      <c r="A25" s="7" t="inlineStr">
        <is>
          <t xml:space="preserve"/>
        </is>
      </c>
      <c r="B25" s="10">
        <f>IF(Employes!E21="Actif",Employes!A21,"")</f>
      </c>
      <c r="C25" s="11">
        <f>IF(B25&lt;&gt;"",Employes!B21,"")</f>
      </c>
      <c r="D25" s="12">
        <f>IF(B25&lt;&gt;"",Employes!C21,"")</f>
      </c>
    </row>
    <row r="26" ht="22" customHeight="1">
      <c r="A26" s="16" t="inlineStr">
        <is>
          <t xml:space="preserve"/>
        </is>
      </c>
      <c r="B26" s="13">
        <f>IF(Employes!E22="Actif",Employes!A22,"")</f>
      </c>
      <c r="C26" s="14">
        <f>IF(B26&lt;&gt;"",Employes!B22,"")</f>
      </c>
      <c r="D26" s="15">
        <f>IF(B26&lt;&gt;"",Employes!C22,"")</f>
      </c>
    </row>
    <row r="27" ht="22" customHeight="1">
      <c r="A27" s="7" t="inlineStr">
        <is>
          <t xml:space="preserve"/>
        </is>
      </c>
      <c r="B27" s="10">
        <f>IF(Employes!E23="Actif",Employes!A23,"")</f>
      </c>
      <c r="C27" s="11">
        <f>IF(B27&lt;&gt;"",Employes!B23,"")</f>
      </c>
      <c r="D27" s="12">
        <f>IF(B27&lt;&gt;"",Employes!C23,"")</f>
      </c>
    </row>
    <row r="28" ht="22" customHeight="1">
      <c r="A28" s="16" t="inlineStr">
        <is>
          <t xml:space="preserve"/>
        </is>
      </c>
      <c r="B28" s="13">
        <f>IF(Employes!E24="Actif",Employes!A24,"")</f>
      </c>
      <c r="C28" s="14">
        <f>IF(B28&lt;&gt;"",Employes!B24,"")</f>
      </c>
      <c r="D28" s="15">
        <f>IF(B28&lt;&gt;"",Employes!C24,"")</f>
      </c>
    </row>
    <row r="29" ht="22" customHeight="1">
      <c r="A29" s="7" t="inlineStr">
        <is>
          <t xml:space="preserve"/>
        </is>
      </c>
      <c r="B29" s="10">
        <f>IF(Employes!E25="Actif",Employes!A25,"")</f>
      </c>
      <c r="C29" s="11">
        <f>IF(B29&lt;&gt;"",Employes!B25,"")</f>
      </c>
      <c r="D29" s="12">
        <f>IF(B29&lt;&gt;"",Employes!C25,"")</f>
      </c>
    </row>
    <row r="30" ht="22" customHeight="1">
      <c r="A30" s="16" t="inlineStr">
        <is>
          <t xml:space="preserve"/>
        </is>
      </c>
      <c r="B30" s="13">
        <f>IF(Employes!E26="Actif",Employes!A26,"")</f>
      </c>
      <c r="C30" s="14">
        <f>IF(B30&lt;&gt;"",Employes!B26,"")</f>
      </c>
      <c r="D30" s="15">
        <f>IF(B30&lt;&gt;"",Employes!C26,"")</f>
      </c>
    </row>
    <row r="31" ht="22" customHeight="1">
      <c r="A31" s="7" t="inlineStr">
        <is>
          <t xml:space="preserve"/>
        </is>
      </c>
      <c r="B31" s="10">
        <f>IF(Employes!E27="Actif",Employes!A27,"")</f>
      </c>
      <c r="C31" s="11">
        <f>IF(B31&lt;&gt;"",Employes!B27,"")</f>
      </c>
      <c r="D31" s="12">
        <f>IF(B31&lt;&gt;"",Employes!C27,"")</f>
      </c>
    </row>
    <row r="32" ht="22" customHeight="1">
      <c r="A32" s="16" t="inlineStr">
        <is>
          <t xml:space="preserve"/>
        </is>
      </c>
      <c r="B32" s="13">
        <f>IF(Employes!E28="Actif",Employes!A28,"")</f>
      </c>
      <c r="C32" s="14">
        <f>IF(B32&lt;&gt;"",Employes!B28,"")</f>
      </c>
      <c r="D32" s="15">
        <f>IF(B32&lt;&gt;"",Employes!C28,"")</f>
      </c>
    </row>
    <row r="33" ht="22" customHeight="1">
      <c r="A33" s="7" t="inlineStr">
        <is>
          <t xml:space="preserve"/>
        </is>
      </c>
      <c r="B33" s="10">
        <f>IF(Employes!E29="Actif",Employes!A29,"")</f>
      </c>
      <c r="C33" s="11">
        <f>IF(B33&lt;&gt;"",Employes!B29,"")</f>
      </c>
      <c r="D33" s="12">
        <f>IF(B33&lt;&gt;"",Employes!C29,"")</f>
      </c>
    </row>
    <row r="34" ht="22" customHeight="1">
      <c r="A34" s="16" t="inlineStr">
        <is>
          <t xml:space="preserve"/>
        </is>
      </c>
      <c r="B34" s="13">
        <f>IF(Employes!E30="Actif",Employes!A30,"")</f>
      </c>
      <c r="C34" s="14">
        <f>IF(B34&lt;&gt;"",Employes!B30,"")</f>
      </c>
      <c r="D34" s="15">
        <f>IF(B34&lt;&gt;"",Employes!C30,"")</f>
      </c>
    </row>
    <row r="35" ht="22" customHeight="1">
      <c r="A35" s="7" t="inlineStr">
        <is>
          <t xml:space="preserve"/>
        </is>
      </c>
      <c r="B35" s="10">
        <f>IF(Employes!E31="Actif",Employes!A31,"")</f>
      </c>
      <c r="C35" s="11">
        <f>IF(B35&lt;&gt;"",Employes!B31,"")</f>
      </c>
      <c r="D35" s="12">
        <f>IF(B35&lt;&gt;"",Employes!C31,"")</f>
      </c>
    </row>
    <row r="36" ht="22" customHeight="1">
      <c r="A36" s="16" t="inlineStr">
        <is>
          <t xml:space="preserve"/>
        </is>
      </c>
      <c r="B36" s="13">
        <f>IF(Employes!E32="Actif",Employes!A32,"")</f>
      </c>
      <c r="C36" s="14">
        <f>IF(B36&lt;&gt;"",Employes!B32,"")</f>
      </c>
      <c r="D36" s="15">
        <f>IF(B36&lt;&gt;"",Employes!C32,"")</f>
      </c>
    </row>
    <row r="37" ht="22" customHeight="1">
      <c r="A37" s="7" t="inlineStr">
        <is>
          <t xml:space="preserve"/>
        </is>
      </c>
      <c r="B37" s="10">
        <f>IF(Employes!E33="Actif",Employes!A33,"")</f>
      </c>
      <c r="C37" s="11">
        <f>IF(B37&lt;&gt;"",Employes!B33,"")</f>
      </c>
      <c r="D37" s="12">
        <f>IF(B37&lt;&gt;"",Employes!C33,"")</f>
      </c>
    </row>
    <row r="38" ht="22" customHeight="1">
      <c r="A38" s="16" t="inlineStr">
        <is>
          <t xml:space="preserve"/>
        </is>
      </c>
      <c r="B38" s="13">
        <f>IF(Employes!E34="Actif",Employes!A34,"")</f>
      </c>
      <c r="C38" s="14">
        <f>IF(B38&lt;&gt;"",Employes!B34,"")</f>
      </c>
      <c r="D38" s="15">
        <f>IF(B38&lt;&gt;"",Employes!C34,"")</f>
      </c>
    </row>
    <row r="39" ht="22" customHeight="1">
      <c r="A39" s="7" t="inlineStr">
        <is>
          <t xml:space="preserve"/>
        </is>
      </c>
      <c r="B39" s="10">
        <f>IF(Employes!E35="Actif",Employes!A35,"")</f>
      </c>
      <c r="C39" s="11">
        <f>IF(B39&lt;&gt;"",Employes!B35,"")</f>
      </c>
      <c r="D39" s="12">
        <f>IF(B39&lt;&gt;"",Employes!C35,"")</f>
      </c>
    </row>
    <row r="40" ht="22" customHeight="1">
      <c r="A40" s="16" t="inlineStr">
        <is>
          <t xml:space="preserve"/>
        </is>
      </c>
      <c r="B40" s="13">
        <f>IF(Employes!E36="Actif",Employes!A36,"")</f>
      </c>
      <c r="C40" s="14">
        <f>IF(B40&lt;&gt;"",Employes!B36,"")</f>
      </c>
      <c r="D40" s="15">
        <f>IF(B40&lt;&gt;"",Employes!C36,"")</f>
      </c>
    </row>
    <row r="41" ht="22" customHeight="1">
      <c r="A41" s="7" t="inlineStr">
        <is>
          <t xml:space="preserve"/>
        </is>
      </c>
      <c r="B41" s="10">
        <f>IF(Employes!E37="Actif",Employes!A37,"")</f>
      </c>
      <c r="C41" s="11">
        <f>IF(B41&lt;&gt;"",Employes!B37,"")</f>
      </c>
      <c r="D41" s="12">
        <f>IF(B41&lt;&gt;"",Employes!C37,"")</f>
      </c>
    </row>
    <row r="42" ht="22" customHeight="1">
      <c r="A42" s="16" t="inlineStr">
        <is>
          <t xml:space="preserve"/>
        </is>
      </c>
      <c r="B42" s="13">
        <f>IF(Employes!E38="Actif",Employes!A38,"")</f>
      </c>
      <c r="C42" s="14">
        <f>IF(B42&lt;&gt;"",Employes!B38,"")</f>
      </c>
      <c r="D42" s="15">
        <f>IF(B42&lt;&gt;"",Employes!C38,"")</f>
      </c>
    </row>
    <row r="43" ht="22" customHeight="1">
      <c r="A43" s="7" t="inlineStr">
        <is>
          <t xml:space="preserve"/>
        </is>
      </c>
      <c r="B43" s="10">
        <f>IF(Employes!E39="Actif",Employes!A39,"")</f>
      </c>
      <c r="C43" s="11">
        <f>IF(B43&lt;&gt;"",Employes!B39,"")</f>
      </c>
      <c r="D43" s="12">
        <f>IF(B43&lt;&gt;"",Employes!C39,"")</f>
      </c>
    </row>
    <row r="44" ht="22" customHeight="1">
      <c r="A44" s="16" t="inlineStr">
        <is>
          <t xml:space="preserve"/>
        </is>
      </c>
      <c r="B44" s="13">
        <f>IF(Employes!E40="Actif",Employes!A40,"")</f>
      </c>
      <c r="C44" s="14">
        <f>IF(B44&lt;&gt;"",Employes!B40,"")</f>
      </c>
      <c r="D44" s="15">
        <f>IF(B44&lt;&gt;"",Employes!C40,"")</f>
      </c>
    </row>
    <row r="45" ht="22" customHeight="1">
      <c r="A45" s="7" t="inlineStr">
        <is>
          <t xml:space="preserve"/>
        </is>
      </c>
      <c r="B45" s="10">
        <f>IF(Employes!E41="Actif",Employes!A41,"")</f>
      </c>
      <c r="C45" s="11">
        <f>IF(B45&lt;&gt;"",Employes!B41,"")</f>
      </c>
      <c r="D45" s="12">
        <f>IF(B45&lt;&gt;"",Employes!C41,"")</f>
      </c>
    </row>
    <row r="46" ht="22" customHeight="1">
      <c r="A46" s="16" t="inlineStr">
        <is>
          <t xml:space="preserve"/>
        </is>
      </c>
      <c r="B46" s="13">
        <f>IF(Employes!E42="Actif",Employes!A42,"")</f>
      </c>
      <c r="C46" s="14">
        <f>IF(B46&lt;&gt;"",Employes!B42,"")</f>
      </c>
      <c r="D46" s="15">
        <f>IF(B46&lt;&gt;"",Employes!C42,"")</f>
      </c>
    </row>
    <row r="47" ht="22" customHeight="1">
      <c r="A47" s="7" t="inlineStr">
        <is>
          <t xml:space="preserve"/>
        </is>
      </c>
      <c r="B47" s="10">
        <f>IF(Employes!E43="Actif",Employes!A43,"")</f>
      </c>
      <c r="C47" s="11">
        <f>IF(B47&lt;&gt;"",Employes!B43,"")</f>
      </c>
      <c r="D47" s="12">
        <f>IF(B47&lt;&gt;"",Employes!C43,"")</f>
      </c>
    </row>
    <row r="48" ht="22" customHeight="1">
      <c r="A48" s="16" t="inlineStr">
        <is>
          <t xml:space="preserve"/>
        </is>
      </c>
      <c r="B48" s="13">
        <f>IF(Employes!E44="Actif",Employes!A44,"")</f>
      </c>
      <c r="C48" s="14">
        <f>IF(B48&lt;&gt;"",Employes!B44,"")</f>
      </c>
      <c r="D48" s="15">
        <f>IF(B48&lt;&gt;"",Employes!C44,"")</f>
      </c>
    </row>
    <row r="49" ht="22" customHeight="1">
      <c r="A49" s="7" t="inlineStr">
        <is>
          <t xml:space="preserve"/>
        </is>
      </c>
      <c r="B49" s="10">
        <f>IF(Employes!E45="Actif",Employes!A45,"")</f>
      </c>
      <c r="C49" s="11">
        <f>IF(B49&lt;&gt;"",Employes!B45,"")</f>
      </c>
      <c r="D49" s="12">
        <f>IF(B49&lt;&gt;"",Employes!C45,"")</f>
      </c>
    </row>
    <row r="50" ht="22" customHeight="1">
      <c r="A50" s="16" t="inlineStr">
        <is>
          <t xml:space="preserve"/>
        </is>
      </c>
      <c r="B50" s="13">
        <f>IF(Employes!E46="Actif",Employes!A46,"")</f>
      </c>
      <c r="C50" s="14">
        <f>IF(B50&lt;&gt;"",Employes!B46,"")</f>
      </c>
      <c r="D50" s="15">
        <f>IF(B50&lt;&gt;"",Employes!C46,"")</f>
      </c>
    </row>
    <row r="51" ht="22" customHeight="1">
      <c r="A51" s="7" t="inlineStr">
        <is>
          <t xml:space="preserve"/>
        </is>
      </c>
      <c r="B51" s="10">
        <f>IF(Employes!E47="Actif",Employes!A47,"")</f>
      </c>
      <c r="C51" s="11">
        <f>IF(B51&lt;&gt;"",Employes!B47,"")</f>
      </c>
      <c r="D51" s="12">
        <f>IF(B51&lt;&gt;"",Employes!C47,"")</f>
      </c>
    </row>
    <row r="52" ht="22" customHeight="1">
      <c r="A52" s="16" t="inlineStr">
        <is>
          <t xml:space="preserve"/>
        </is>
      </c>
      <c r="B52" s="13">
        <f>IF(Employes!E48="Actif",Employes!A48,"")</f>
      </c>
      <c r="C52" s="14">
        <f>IF(B52&lt;&gt;"",Employes!B48,"")</f>
      </c>
      <c r="D52" s="15">
        <f>IF(B52&lt;&gt;"",Employes!C48,"")</f>
      </c>
    </row>
    <row r="53" ht="22" customHeight="1">
      <c r="A53" s="7" t="inlineStr">
        <is>
          <t xml:space="preserve"/>
        </is>
      </c>
      <c r="B53" s="10">
        <f>IF(Employes!E49="Actif",Employes!A49,"")</f>
      </c>
      <c r="C53" s="11">
        <f>IF(B53&lt;&gt;"",Employes!B49,"")</f>
      </c>
      <c r="D53" s="12">
        <f>IF(B53&lt;&gt;"",Employes!C49,"")</f>
      </c>
    </row>
    <row r="54" ht="22" customHeight="1">
      <c r="A54" s="16" t="inlineStr">
        <is>
          <t xml:space="preserve"/>
        </is>
      </c>
      <c r="B54" s="13">
        <f>IF(Employes!E50="Actif",Employes!A50,"")</f>
      </c>
      <c r="C54" s="14">
        <f>IF(B54&lt;&gt;"",Employes!B50,"")</f>
      </c>
      <c r="D54" s="15">
        <f>IF(B54&lt;&gt;"",Employes!C50,"")</f>
      </c>
    </row>
    <row r="55" ht="22" customHeight="1">
      <c r="A55" s="7" t="inlineStr">
        <is>
          <t xml:space="preserve"/>
        </is>
      </c>
      <c r="B55" s="10">
        <f>IF(Employes!E51="Actif",Employes!A51,"")</f>
      </c>
      <c r="C55" s="11">
        <f>IF(B55&lt;&gt;"",Employes!B51,"")</f>
      </c>
      <c r="D55" s="12">
        <f>IF(B55&lt;&gt;"",Employes!C51,"")</f>
      </c>
    </row>
    <row r="56" ht="22" customHeight="1">
      <c r="A56" s="16" t="inlineStr">
        <is>
          <t xml:space="preserve"/>
        </is>
      </c>
      <c r="B56" s="13">
        <f>IF(Employes!E52="Actif",Employes!A52,"")</f>
      </c>
      <c r="C56" s="14">
        <f>IF(B56&lt;&gt;"",Employes!B52,"")</f>
      </c>
      <c r="D56" s="15">
        <f>IF(B56&lt;&gt;"",Employes!C52,"")</f>
      </c>
    </row>
    <row r="57" ht="22" customHeight="1">
      <c r="A57" s="7" t="inlineStr">
        <is>
          <t xml:space="preserve"/>
        </is>
      </c>
      <c r="B57" s="10">
        <f>IF(Employes!E53="Actif",Employes!A53,"")</f>
      </c>
      <c r="C57" s="11">
        <f>IF(B57&lt;&gt;"",Employes!B53,"")</f>
      </c>
      <c r="D57" s="12">
        <f>IF(B57&lt;&gt;"",Employes!C53,"")</f>
      </c>
    </row>
    <row r="58" ht="22" customHeight="1">
      <c r="A58" s="16" t="inlineStr">
        <is>
          <t xml:space="preserve"/>
        </is>
      </c>
      <c r="B58" s="13">
        <f>IF(Employes!E54="Actif",Employes!A54,"")</f>
      </c>
      <c r="C58" s="14">
        <f>IF(B58&lt;&gt;"",Employes!B54,"")</f>
      </c>
      <c r="D58" s="15">
        <f>IF(B58&lt;&gt;"",Employes!C54,"")</f>
      </c>
    </row>
    <row r="59" ht="22" customHeight="1">
      <c r="A59" s="7" t="inlineStr">
        <is>
          <t xml:space="preserve"/>
        </is>
      </c>
      <c r="B59" s="10">
        <f>IF(Employes!E55="Actif",Employes!A55,"")</f>
      </c>
      <c r="C59" s="11">
        <f>IF(B59&lt;&gt;"",Employes!B55,"")</f>
      </c>
      <c r="D59" s="12">
        <f>IF(B59&lt;&gt;"",Employes!C55,"")</f>
      </c>
    </row>
    <row r="60" ht="22" customHeight="1">
      <c r="A60" s="16" t="inlineStr">
        <is>
          <t xml:space="preserve"/>
        </is>
      </c>
      <c r="B60" s="13">
        <f>IF(Employes!E56="Actif",Employes!A56,"")</f>
      </c>
      <c r="C60" s="14">
        <f>IF(B60&lt;&gt;"",Employes!B56,"")</f>
      </c>
      <c r="D60" s="15">
        <f>IF(B60&lt;&gt;"",Employes!C56,"")</f>
      </c>
    </row>
    <row r="61" ht="22" customHeight="1">
      <c r="A61" s="7" t="inlineStr">
        <is>
          <t xml:space="preserve"/>
        </is>
      </c>
      <c r="B61" s="10">
        <f>IF(Employes!E57="Actif",Employes!A57,"")</f>
      </c>
      <c r="C61" s="11">
        <f>IF(B61&lt;&gt;"",Employes!B57,"")</f>
      </c>
      <c r="D61" s="12">
        <f>IF(B61&lt;&gt;"",Employes!C57,"")</f>
      </c>
    </row>
    <row r="62" ht="22" customHeight="1">
      <c r="A62" s="16" t="inlineStr">
        <is>
          <t xml:space="preserve"/>
        </is>
      </c>
      <c r="B62" s="13">
        <f>IF(Employes!E58="Actif",Employes!A58,"")</f>
      </c>
      <c r="C62" s="14">
        <f>IF(B62&lt;&gt;"",Employes!B58,"")</f>
      </c>
      <c r="D62" s="15">
        <f>IF(B62&lt;&gt;"",Employes!C58,"")</f>
      </c>
    </row>
    <row r="63" ht="22" customHeight="1">
      <c r="A63" s="7" t="inlineStr">
        <is>
          <t xml:space="preserve"/>
        </is>
      </c>
      <c r="B63" s="10">
        <f>IF(Employes!E59="Actif",Employes!A59,"")</f>
      </c>
      <c r="C63" s="11">
        <f>IF(B63&lt;&gt;"",Employes!B59,"")</f>
      </c>
      <c r="D63" s="12">
        <f>IF(B63&lt;&gt;"",Employes!C59,"")</f>
      </c>
    </row>
    <row r="64" ht="22" customHeight="1">
      <c r="A64" s="16" t="inlineStr">
        <is>
          <t xml:space="preserve"/>
        </is>
      </c>
      <c r="B64" s="13">
        <f>IF(Employes!E60="Actif",Employes!A60,"")</f>
      </c>
      <c r="C64" s="14">
        <f>IF(B64&lt;&gt;"",Employes!B60,"")</f>
      </c>
      <c r="D64" s="15">
        <f>IF(B64&lt;&gt;"",Employes!C60,"")</f>
      </c>
    </row>
    <row r="65" ht="22" customHeight="1">
      <c r="A65" s="7" t="inlineStr">
        <is>
          <t xml:space="preserve"/>
        </is>
      </c>
      <c r="B65" s="10">
        <f>IF(Employes!E61="Actif",Employes!A61,"")</f>
      </c>
      <c r="C65" s="11">
        <f>IF(B65&lt;&gt;"",Employes!B61,"")</f>
      </c>
      <c r="D65" s="12">
        <f>IF(B65&lt;&gt;"",Employes!C61,"")</f>
      </c>
    </row>
    <row r="66" ht="22" customHeight="1">
      <c r="A66" s="16" t="inlineStr">
        <is>
          <t xml:space="preserve"/>
        </is>
      </c>
      <c r="B66" s="13">
        <f>IF(Employes!E62="Actif",Employes!A62,"")</f>
      </c>
      <c r="C66" s="14">
        <f>IF(B66&lt;&gt;"",Employes!B62,"")</f>
      </c>
      <c r="D66" s="15">
        <f>IF(B66&lt;&gt;"",Employes!C62,"")</f>
      </c>
    </row>
    <row r="67" ht="22" customHeight="1">
      <c r="A67" s="7" t="inlineStr">
        <is>
          <t xml:space="preserve"/>
        </is>
      </c>
      <c r="B67" s="10">
        <f>IF(Employes!E63="Actif",Employes!A63,"")</f>
      </c>
      <c r="C67" s="11">
        <f>IF(B67&lt;&gt;"",Employes!B63,"")</f>
      </c>
      <c r="D67" s="12">
        <f>IF(B67&lt;&gt;"",Employes!C63,"")</f>
      </c>
    </row>
    <row r="68" ht="22" customHeight="1">
      <c r="A68" s="16" t="inlineStr">
        <is>
          <t xml:space="preserve"/>
        </is>
      </c>
      <c r="B68" s="13">
        <f>IF(Employes!E64="Actif",Employes!A64,"")</f>
      </c>
      <c r="C68" s="14">
        <f>IF(B68&lt;&gt;"",Employes!B64,"")</f>
      </c>
      <c r="D68" s="15">
        <f>IF(B68&lt;&gt;"",Employes!C64,"")</f>
      </c>
    </row>
    <row r="69" ht="22" customHeight="1">
      <c r="A69" s="7" t="inlineStr">
        <is>
          <t xml:space="preserve"/>
        </is>
      </c>
      <c r="B69" s="10">
        <f>IF(Employes!E65="Actif",Employes!A65,"")</f>
      </c>
      <c r="C69" s="11">
        <f>IF(B69&lt;&gt;"",Employes!B65,"")</f>
      </c>
      <c r="D69" s="12">
        <f>IF(B69&lt;&gt;"",Employes!C65,"")</f>
      </c>
    </row>
    <row r="70" ht="22" customHeight="1">
      <c r="A70" s="16" t="inlineStr">
        <is>
          <t xml:space="preserve"/>
        </is>
      </c>
      <c r="B70" s="13">
        <f>IF(Employes!E66="Actif",Employes!A66,"")</f>
      </c>
      <c r="C70" s="14">
        <f>IF(B70&lt;&gt;"",Employes!B66,"")</f>
      </c>
      <c r="D70" s="15">
        <f>IF(B70&lt;&gt;"",Employes!C66,"")</f>
      </c>
    </row>
    <row r="71" ht="22" customHeight="1">
      <c r="A71" s="7" t="inlineStr">
        <is>
          <t xml:space="preserve"/>
        </is>
      </c>
      <c r="B71" s="10">
        <f>IF(Employes!E67="Actif",Employes!A67,"")</f>
      </c>
      <c r="C71" s="11">
        <f>IF(B71&lt;&gt;"",Employes!B67,"")</f>
      </c>
      <c r="D71" s="12">
        <f>IF(B71&lt;&gt;"",Employes!C67,"")</f>
      </c>
    </row>
    <row r="72" ht="22" customHeight="1">
      <c r="A72" s="16" t="inlineStr">
        <is>
          <t xml:space="preserve"/>
        </is>
      </c>
      <c r="B72" s="13">
        <f>IF(Employes!E68="Actif",Employes!A68,"")</f>
      </c>
      <c r="C72" s="14">
        <f>IF(B72&lt;&gt;"",Employes!B68,"")</f>
      </c>
      <c r="D72" s="15">
        <f>IF(B72&lt;&gt;"",Employes!C68,"")</f>
      </c>
    </row>
    <row r="73" ht="22" customHeight="1">
      <c r="A73" s="7" t="inlineStr">
        <is>
          <t xml:space="preserve"/>
        </is>
      </c>
      <c r="B73" s="10">
        <f>IF(Employes!E69="Actif",Employes!A69,"")</f>
      </c>
      <c r="C73" s="11">
        <f>IF(B73&lt;&gt;"",Employes!B69,"")</f>
      </c>
      <c r="D73" s="12">
        <f>IF(B73&lt;&gt;"",Employes!C69,"")</f>
      </c>
    </row>
    <row r="74" ht="22" customHeight="1">
      <c r="A74" s="16" t="inlineStr">
        <is>
          <t xml:space="preserve"/>
        </is>
      </c>
      <c r="B74" s="13">
        <f>IF(Employes!E70="Actif",Employes!A70,"")</f>
      </c>
      <c r="C74" s="14">
        <f>IF(B74&lt;&gt;"",Employes!B70,"")</f>
      </c>
      <c r="D74" s="15">
        <f>IF(B74&lt;&gt;"",Employes!C70,"")</f>
      </c>
    </row>
    <row r="75" ht="22" customHeight="1">
      <c r="A75" s="7" t="inlineStr">
        <is>
          <t xml:space="preserve"/>
        </is>
      </c>
      <c r="B75" s="10">
        <f>IF(Employes!E71="Actif",Employes!A71,"")</f>
      </c>
      <c r="C75" s="11">
        <f>IF(B75&lt;&gt;"",Employes!B71,"")</f>
      </c>
      <c r="D75" s="12">
        <f>IF(B75&lt;&gt;"",Employes!C71,"")</f>
      </c>
    </row>
    <row r="76" ht="22" customHeight="1">
      <c r="A76" s="16" t="inlineStr">
        <is>
          <t xml:space="preserve"/>
        </is>
      </c>
      <c r="B76" s="13">
        <f>IF(Employes!E72="Actif",Employes!A72,"")</f>
      </c>
      <c r="C76" s="14">
        <f>IF(B76&lt;&gt;"",Employes!B72,"")</f>
      </c>
      <c r="D76" s="15">
        <f>IF(B76&lt;&gt;"",Employes!C72,"")</f>
      </c>
    </row>
    <row r="77" ht="22" customHeight="1">
      <c r="A77" s="7" t="inlineStr">
        <is>
          <t xml:space="preserve"/>
        </is>
      </c>
      <c r="B77" s="10">
        <f>IF(Employes!E73="Actif",Employes!A73,"")</f>
      </c>
      <c r="C77" s="11">
        <f>IF(B77&lt;&gt;"",Employes!B73,"")</f>
      </c>
      <c r="D77" s="12">
        <f>IF(B77&lt;&gt;"",Employes!C73,"")</f>
      </c>
    </row>
    <row r="78" ht="22" customHeight="1">
      <c r="A78" s="16" t="inlineStr">
        <is>
          <t xml:space="preserve"/>
        </is>
      </c>
      <c r="B78" s="13">
        <f>IF(Employes!E74="Actif",Employes!A74,"")</f>
      </c>
      <c r="C78" s="14">
        <f>IF(B78&lt;&gt;"",Employes!B74,"")</f>
      </c>
      <c r="D78" s="15">
        <f>IF(B78&lt;&gt;"",Employes!C74,"")</f>
      </c>
    </row>
    <row r="79" ht="22" customHeight="1">
      <c r="A79" s="7" t="inlineStr">
        <is>
          <t xml:space="preserve"/>
        </is>
      </c>
      <c r="B79" s="10">
        <f>IF(Employes!E75="Actif",Employes!A75,"")</f>
      </c>
      <c r="C79" s="11">
        <f>IF(B79&lt;&gt;"",Employes!B75,"")</f>
      </c>
      <c r="D79" s="12">
        <f>IF(B79&lt;&gt;"",Employes!C75,"")</f>
      </c>
    </row>
    <row r="80" ht="22" customHeight="1">
      <c r="A80" s="16" t="inlineStr">
        <is>
          <t xml:space="preserve"/>
        </is>
      </c>
      <c r="B80" s="13">
        <f>IF(Employes!E76="Actif",Employes!A76,"")</f>
      </c>
      <c r="C80" s="14">
        <f>IF(B80&lt;&gt;"",Employes!B76,"")</f>
      </c>
      <c r="D80" s="15">
        <f>IF(B80&lt;&gt;"",Employes!C76,"")</f>
      </c>
    </row>
    <row r="81" ht="22" customHeight="1">
      <c r="A81" s="7" t="inlineStr">
        <is>
          <t xml:space="preserve"/>
        </is>
      </c>
      <c r="B81" s="10">
        <f>IF(Employes!E77="Actif",Employes!A77,"")</f>
      </c>
      <c r="C81" s="11">
        <f>IF(B81&lt;&gt;"",Employes!B77,"")</f>
      </c>
      <c r="D81" s="12">
        <f>IF(B81&lt;&gt;"",Employes!C77,"")</f>
      </c>
    </row>
    <row r="82" ht="22" customHeight="1">
      <c r="A82" s="16" t="inlineStr">
        <is>
          <t xml:space="preserve"/>
        </is>
      </c>
      <c r="B82" s="13">
        <f>IF(Employes!E78="Actif",Employes!A78,"")</f>
      </c>
      <c r="C82" s="14">
        <f>IF(B82&lt;&gt;"",Employes!B78,"")</f>
      </c>
      <c r="D82" s="15">
        <f>IF(B82&lt;&gt;"",Employes!C78,"")</f>
      </c>
    </row>
    <row r="83" ht="22" customHeight="1">
      <c r="A83" s="7" t="inlineStr">
        <is>
          <t xml:space="preserve"/>
        </is>
      </c>
      <c r="B83" s="10">
        <f>IF(Employes!E79="Actif",Employes!A79,"")</f>
      </c>
      <c r="C83" s="11">
        <f>IF(B83&lt;&gt;"",Employes!B79,"")</f>
      </c>
      <c r="D83" s="12">
        <f>IF(B83&lt;&gt;"",Employes!C79,"")</f>
      </c>
    </row>
    <row r="84" ht="22" customHeight="1">
      <c r="A84" s="16" t="inlineStr">
        <is>
          <t xml:space="preserve"/>
        </is>
      </c>
      <c r="B84" s="13">
        <f>IF(Employes!E80="Actif",Employes!A80,"")</f>
      </c>
      <c r="C84" s="14">
        <f>IF(B84&lt;&gt;"",Employes!B80,"")</f>
      </c>
      <c r="D84" s="15">
        <f>IF(B84&lt;&gt;"",Employes!C80,"")</f>
      </c>
    </row>
    <row r="85" ht="22" customHeight="1">
      <c r="A85" s="7" t="inlineStr">
        <is>
          <t xml:space="preserve"/>
        </is>
      </c>
      <c r="B85" s="10">
        <f>IF(Employes!E81="Actif",Employes!A81,"")</f>
      </c>
      <c r="C85" s="11">
        <f>IF(B85&lt;&gt;"",Employes!B81,"")</f>
      </c>
      <c r="D85" s="12">
        <f>IF(B85&lt;&gt;"",Employes!C81,"")</f>
      </c>
    </row>
    <row r="86" ht="22" customHeight="1">
      <c r="A86" s="16" t="inlineStr">
        <is>
          <t xml:space="preserve"/>
        </is>
      </c>
      <c r="B86" s="13">
        <f>IF(Employes!E82="Actif",Employes!A82,"")</f>
      </c>
      <c r="C86" s="14">
        <f>IF(B86&lt;&gt;"",Employes!B82,"")</f>
      </c>
      <c r="D86" s="15">
        <f>IF(B86&lt;&gt;"",Employes!C82,"")</f>
      </c>
    </row>
  </sheetData>
  <sheetProtection sheet="1" objects="1" scenarios="1" formatCells="0" formatColumns="0" formatRows="0" selectLockedCells="1" selectUnlockedCells="1"/>
  <mergeCells count="2">
    <mergeCell ref="A1:D1"/>
    <mergeCell ref="A2:D2"/>
  </mergeCells>
  <conditionalFormatting sqref="A7:A86">
    <cfRule type="cellIs" dxfId="0" priority="1" operator="equal">
      <formula>"X"</formula>
    </cfRule>
  </conditionalFormatting>
  <dataValidations count="1">
    <dataValidation type="list" allowBlank="1" showInputMessage="1" showErrorMessage="1" sqref="A7:A86">
      <formula1>"X,"</formula1>
    </dataValidation>
  </dataValidations>
  <printOptions horizontalCentered="1"/>
  <pageMargins left="0.4" right="0.4" top="0.5" bottom="0.5" header="0.2" footer="0.2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E82"/>
  <sheetViews>
    <sheetView showGridLines="0" workbookViewId="0">
      <pane ySplit="2" topLeftCell="A3" activePane="bottomRight" state="frozen"/>
      <selection pane="bottomRight" activeCell="A3" sqref="A3"/>
    </sheetView>
  </sheetViews>
  <sheetFormatPr defaultRowHeight="15"/>
  <cols>
    <col min="1" max="1" width="14" customWidth="1"/>
    <col min="2" max="2" width="30" customWidth="1"/>
    <col min="3" max="3" width="20" customWidth="1"/>
    <col min="4" max="4" width="16" customWidth="1"/>
    <col min="5" max="5" width="12" customWidth="1"/>
  </cols>
  <sheetData>
    <row r="1" ht="35" customHeight="1">
      <c r="A1" s="1" t="inlineStr">
        <is>
          <t xml:space="preserve">  LISTE DES EMPLOYÉS</t>
        </is>
      </c>
    </row>
    <row r="2" ht="26" customHeight="1">
      <c r="A2" s="4" t="inlineStr">
        <is>
          <t xml:space="preserve">ID Employé</t>
        </is>
      </c>
      <c r="B2" s="4" t="inlineStr">
        <is>
          <t xml:space="preserve">Nom et Prénom</t>
        </is>
      </c>
      <c r="C2" s="4" t="inlineStr">
        <is>
          <t xml:space="preserve">Poste</t>
        </is>
      </c>
      <c r="D2" s="4" t="inlineStr">
        <is>
          <t xml:space="preserve">Équipe</t>
        </is>
      </c>
      <c r="E2" s="4" t="inlineStr">
        <is>
          <t xml:space="preserve">Statut</t>
        </is>
      </c>
    </row>
    <row r="3">
      <c r="A3" s="10" t="inlineStr">
        <is>
          <t xml:space="preserve">EMP-001</t>
        </is>
      </c>
      <c r="B3" s="11" t="inlineStr">
        <is>
          <t xml:space="preserve">Ahmed Benali</t>
        </is>
      </c>
      <c r="C3" s="12" t="inlineStr">
        <is>
          <t xml:space="preserve">Maçon</t>
        </is>
      </c>
      <c r="D3" s="12" t="inlineStr">
        <is>
          <t xml:space="preserve">Équipe A</t>
        </is>
      </c>
      <c r="E3" s="12" t="inlineStr">
        <is>
          <t xml:space="preserve">Actif</t>
        </is>
      </c>
    </row>
    <row r="4">
      <c r="A4" s="13" t="inlineStr">
        <is>
          <t xml:space="preserve">EMP-002</t>
        </is>
      </c>
      <c r="B4" s="14" t="inlineStr">
        <is>
          <t xml:space="preserve">Youssef El Amrani</t>
        </is>
      </c>
      <c r="C4" s="15" t="inlineStr">
        <is>
          <t xml:space="preserve">Charpentier</t>
        </is>
      </c>
      <c r="D4" s="15" t="inlineStr">
        <is>
          <t xml:space="preserve">Équipe A</t>
        </is>
      </c>
      <c r="E4" s="15" t="inlineStr">
        <is>
          <t xml:space="preserve">Actif</t>
        </is>
      </c>
    </row>
    <row r="5">
      <c r="A5" s="10" t="inlineStr">
        <is>
          <t xml:space="preserve">EMP-003</t>
        </is>
      </c>
      <c r="B5" s="11" t="inlineStr">
        <is>
          <t xml:space="preserve">Karim Toumi</t>
        </is>
      </c>
      <c r="C5" s="12" t="inlineStr">
        <is>
          <t xml:space="preserve">Électricien</t>
        </is>
      </c>
      <c r="D5" s="12" t="inlineStr">
        <is>
          <t xml:space="preserve">Équipe B</t>
        </is>
      </c>
      <c r="E5" s="12" t="inlineStr">
        <is>
          <t xml:space="preserve">Actif</t>
        </is>
      </c>
    </row>
    <row r="6">
      <c r="A6" s="13" t="inlineStr">
        <is>
          <t xml:space="preserve">EMP-004</t>
        </is>
      </c>
      <c r="B6" s="14" t="inlineStr">
        <is>
          <t xml:space="preserve">Hassan Mansouri</t>
        </is>
      </c>
      <c r="C6" s="15" t="inlineStr">
        <is>
          <t xml:space="preserve">Plombier</t>
        </is>
      </c>
      <c r="D6" s="15" t="inlineStr">
        <is>
          <t xml:space="preserve">Équipe B</t>
        </is>
      </c>
      <c r="E6" s="15" t="inlineStr">
        <is>
          <t xml:space="preserve">Actif</t>
        </is>
      </c>
    </row>
    <row r="7">
      <c r="A7" s="10" t="inlineStr">
        <is>
          <t xml:space="preserve">EMP-005</t>
        </is>
      </c>
      <c r="B7" s="11" t="inlineStr">
        <is>
          <t xml:space="preserve">Rachid Bouazza</t>
        </is>
      </c>
      <c r="C7" s="12" t="inlineStr">
        <is>
          <t xml:space="preserve">Peintre</t>
        </is>
      </c>
      <c r="D7" s="12" t="inlineStr">
        <is>
          <t xml:space="preserve">Équipe A</t>
        </is>
      </c>
      <c r="E7" s="12" t="inlineStr">
        <is>
          <t xml:space="preserve">Actif</t>
        </is>
      </c>
    </row>
    <row r="8">
      <c r="A8" s="13" t="inlineStr">
        <is>
          <t xml:space="preserve">EMP-006</t>
        </is>
      </c>
      <c r="B8" s="14" t="inlineStr">
        <is>
          <t xml:space="preserve">Omar Zerhouni</t>
        </is>
      </c>
      <c r="C8" s="15" t="inlineStr">
        <is>
          <t xml:space="preserve">Manœuvre</t>
        </is>
      </c>
      <c r="D8" s="15" t="inlineStr">
        <is>
          <t xml:space="preserve">Équipe C</t>
        </is>
      </c>
      <c r="E8" s="15" t="inlineStr">
        <is>
          <t xml:space="preserve">Actif</t>
        </is>
      </c>
    </row>
    <row r="9">
      <c r="A9" s="10" t="inlineStr">
        <is>
          <t xml:space="preserve">EMP-007</t>
        </is>
      </c>
      <c r="B9" s="11" t="inlineStr">
        <is>
          <t xml:space="preserve">Mustapha Idrissi</t>
        </is>
      </c>
      <c r="C9" s="12" t="inlineStr">
        <is>
          <t xml:space="preserve">Ferronnier</t>
        </is>
      </c>
      <c r="D9" s="12" t="inlineStr">
        <is>
          <t xml:space="preserve">Équipe B</t>
        </is>
      </c>
      <c r="E9" s="12" t="inlineStr">
        <is>
          <t xml:space="preserve">Actif</t>
        </is>
      </c>
    </row>
    <row r="10">
      <c r="A10" s="13" t="inlineStr">
        <is>
          <t xml:space="preserve">EMP-008</t>
        </is>
      </c>
      <c r="B10" s="14" t="inlineStr">
        <is>
          <t xml:space="preserve">Khalid Fassi</t>
        </is>
      </c>
      <c r="C10" s="15" t="inlineStr">
        <is>
          <t xml:space="preserve">Coffreur</t>
        </is>
      </c>
      <c r="D10" s="15" t="inlineStr">
        <is>
          <t xml:space="preserve">Équipe A</t>
        </is>
      </c>
      <c r="E10" s="15" t="inlineStr">
        <is>
          <t xml:space="preserve">Actif</t>
        </is>
      </c>
    </row>
    <row r="11">
      <c r="A11" s="10" t="inlineStr">
        <is>
          <t xml:space="preserve">EMP-009</t>
        </is>
      </c>
      <c r="B11" s="11" t="inlineStr">
        <is>
          <t xml:space="preserve">Abdellatif Chraibi</t>
        </is>
      </c>
      <c r="C11" s="12" t="inlineStr">
        <is>
          <t xml:space="preserve">Grutier</t>
        </is>
      </c>
      <c r="D11" s="12" t="inlineStr">
        <is>
          <t xml:space="preserve">Équipe C</t>
        </is>
      </c>
      <c r="E11" s="12" t="inlineStr">
        <is>
          <t xml:space="preserve">Actif</t>
        </is>
      </c>
    </row>
    <row r="12">
      <c r="A12" s="13" t="inlineStr">
        <is>
          <t xml:space="preserve">EMP-010</t>
        </is>
      </c>
      <c r="B12" s="14" t="inlineStr">
        <is>
          <t xml:space="preserve">Said Benjelloun</t>
        </is>
      </c>
      <c r="C12" s="15" t="inlineStr">
        <is>
          <t xml:space="preserve">Chef d'équipe</t>
        </is>
      </c>
      <c r="D12" s="15" t="inlineStr">
        <is>
          <t xml:space="preserve">Équipe A</t>
        </is>
      </c>
      <c r="E12" s="15" t="inlineStr">
        <is>
          <t xml:space="preserve">Actif</t>
        </is>
      </c>
    </row>
    <row r="13">
      <c r="A13" s="12"/>
      <c r="B13" s="11"/>
      <c r="C13" s="12"/>
      <c r="D13" s="12"/>
      <c r="E13" s="12"/>
    </row>
    <row r="14">
      <c r="A14" s="15"/>
      <c r="B14" s="14"/>
      <c r="C14" s="15"/>
      <c r="D14" s="15"/>
      <c r="E14" s="15"/>
    </row>
    <row r="15">
      <c r="A15" s="12"/>
      <c r="B15" s="11"/>
      <c r="C15" s="12"/>
      <c r="D15" s="12"/>
      <c r="E15" s="12"/>
    </row>
    <row r="16">
      <c r="A16" s="15"/>
      <c r="B16" s="14"/>
      <c r="C16" s="15"/>
      <c r="D16" s="15"/>
      <c r="E16" s="15"/>
    </row>
    <row r="17">
      <c r="A17" s="12"/>
      <c r="B17" s="11"/>
      <c r="C17" s="12"/>
      <c r="D17" s="12"/>
      <c r="E17" s="12"/>
    </row>
    <row r="18">
      <c r="A18" s="15"/>
      <c r="B18" s="14"/>
      <c r="C18" s="15"/>
      <c r="D18" s="15"/>
      <c r="E18" s="15"/>
    </row>
    <row r="19">
      <c r="A19" s="12"/>
      <c r="B19" s="11"/>
      <c r="C19" s="12"/>
      <c r="D19" s="12"/>
      <c r="E19" s="12"/>
    </row>
    <row r="20">
      <c r="A20" s="15"/>
      <c r="B20" s="14"/>
      <c r="C20" s="15"/>
      <c r="D20" s="15"/>
      <c r="E20" s="15"/>
    </row>
    <row r="21">
      <c r="A21" s="12"/>
      <c r="B21" s="11"/>
      <c r="C21" s="12"/>
      <c r="D21" s="12"/>
      <c r="E21" s="12"/>
    </row>
    <row r="22">
      <c r="A22" s="15"/>
      <c r="B22" s="14"/>
      <c r="C22" s="15"/>
      <c r="D22" s="15"/>
      <c r="E22" s="15"/>
    </row>
    <row r="23">
      <c r="A23" s="12"/>
      <c r="B23" s="11"/>
      <c r="C23" s="12"/>
      <c r="D23" s="12"/>
      <c r="E23" s="12"/>
    </row>
    <row r="24">
      <c r="A24" s="15"/>
      <c r="B24" s="14"/>
      <c r="C24" s="15"/>
      <c r="D24" s="15"/>
      <c r="E24" s="15"/>
    </row>
    <row r="25">
      <c r="A25" s="12"/>
      <c r="B25" s="11"/>
      <c r="C25" s="12"/>
      <c r="D25" s="12"/>
      <c r="E25" s="12"/>
    </row>
    <row r="26">
      <c r="A26" s="15"/>
      <c r="B26" s="14"/>
      <c r="C26" s="15"/>
      <c r="D26" s="15"/>
      <c r="E26" s="15"/>
    </row>
    <row r="27">
      <c r="A27" s="12"/>
      <c r="B27" s="11"/>
      <c r="C27" s="12"/>
      <c r="D27" s="12"/>
      <c r="E27" s="12"/>
    </row>
    <row r="28">
      <c r="A28" s="15"/>
      <c r="B28" s="14"/>
      <c r="C28" s="15"/>
      <c r="D28" s="15"/>
      <c r="E28" s="15"/>
    </row>
    <row r="29">
      <c r="A29" s="12"/>
      <c r="B29" s="11"/>
      <c r="C29" s="12"/>
      <c r="D29" s="12"/>
      <c r="E29" s="12"/>
    </row>
    <row r="30">
      <c r="A30" s="15"/>
      <c r="B30" s="14"/>
      <c r="C30" s="15"/>
      <c r="D30" s="15"/>
      <c r="E30" s="15"/>
    </row>
    <row r="31">
      <c r="A31" s="12"/>
      <c r="B31" s="11"/>
      <c r="C31" s="12"/>
      <c r="D31" s="12"/>
      <c r="E31" s="12"/>
    </row>
    <row r="32">
      <c r="A32" s="15"/>
      <c r="B32" s="14"/>
      <c r="C32" s="15"/>
      <c r="D32" s="15"/>
      <c r="E32" s="15"/>
    </row>
    <row r="33">
      <c r="A33" s="12"/>
      <c r="B33" s="11"/>
      <c r="C33" s="12"/>
      <c r="D33" s="12"/>
      <c r="E33" s="12"/>
    </row>
    <row r="34">
      <c r="A34" s="15"/>
      <c r="B34" s="14"/>
      <c r="C34" s="15"/>
      <c r="D34" s="15"/>
      <c r="E34" s="15"/>
    </row>
    <row r="35">
      <c r="A35" s="12"/>
      <c r="B35" s="11"/>
      <c r="C35" s="12"/>
      <c r="D35" s="12"/>
      <c r="E35" s="12"/>
    </row>
    <row r="36">
      <c r="A36" s="15"/>
      <c r="B36" s="14"/>
      <c r="C36" s="15"/>
      <c r="D36" s="15"/>
      <c r="E36" s="15"/>
    </row>
    <row r="37">
      <c r="A37" s="12"/>
      <c r="B37" s="11"/>
      <c r="C37" s="12"/>
      <c r="D37" s="12"/>
      <c r="E37" s="12"/>
    </row>
    <row r="38">
      <c r="A38" s="15"/>
      <c r="B38" s="14"/>
      <c r="C38" s="15"/>
      <c r="D38" s="15"/>
      <c r="E38" s="15"/>
    </row>
    <row r="39">
      <c r="A39" s="12"/>
      <c r="B39" s="11"/>
      <c r="C39" s="12"/>
      <c r="D39" s="12"/>
      <c r="E39" s="12"/>
    </row>
    <row r="40">
      <c r="A40" s="15"/>
      <c r="B40" s="14"/>
      <c r="C40" s="15"/>
      <c r="D40" s="15"/>
      <c r="E40" s="15"/>
    </row>
    <row r="41">
      <c r="A41" s="12"/>
      <c r="B41" s="11"/>
      <c r="C41" s="12"/>
      <c r="D41" s="12"/>
      <c r="E41" s="12"/>
    </row>
    <row r="42">
      <c r="A42" s="15"/>
      <c r="B42" s="14"/>
      <c r="C42" s="15"/>
      <c r="D42" s="15"/>
      <c r="E42" s="15"/>
    </row>
    <row r="43">
      <c r="A43" s="12"/>
      <c r="B43" s="11"/>
      <c r="C43" s="12"/>
      <c r="D43" s="12"/>
      <c r="E43" s="12"/>
    </row>
    <row r="44">
      <c r="A44" s="15"/>
      <c r="B44" s="14"/>
      <c r="C44" s="15"/>
      <c r="D44" s="15"/>
      <c r="E44" s="15"/>
    </row>
    <row r="45">
      <c r="A45" s="12"/>
      <c r="B45" s="11"/>
      <c r="C45" s="12"/>
      <c r="D45" s="12"/>
      <c r="E45" s="12"/>
    </row>
    <row r="46">
      <c r="A46" s="15"/>
      <c r="B46" s="14"/>
      <c r="C46" s="15"/>
      <c r="D46" s="15"/>
      <c r="E46" s="15"/>
    </row>
    <row r="47">
      <c r="A47" s="12"/>
      <c r="B47" s="11"/>
      <c r="C47" s="12"/>
      <c r="D47" s="12"/>
      <c r="E47" s="12"/>
    </row>
    <row r="48">
      <c r="A48" s="15"/>
      <c r="B48" s="14"/>
      <c r="C48" s="15"/>
      <c r="D48" s="15"/>
      <c r="E48" s="15"/>
    </row>
    <row r="49">
      <c r="A49" s="12"/>
      <c r="B49" s="11"/>
      <c r="C49" s="12"/>
      <c r="D49" s="12"/>
      <c r="E49" s="12"/>
    </row>
    <row r="50">
      <c r="A50" s="15"/>
      <c r="B50" s="14"/>
      <c r="C50" s="15"/>
      <c r="D50" s="15"/>
      <c r="E50" s="15"/>
    </row>
    <row r="51">
      <c r="A51" s="12"/>
      <c r="B51" s="11"/>
      <c r="C51" s="12"/>
      <c r="D51" s="12"/>
      <c r="E51" s="12"/>
    </row>
    <row r="52">
      <c r="A52" s="15"/>
      <c r="B52" s="14"/>
      <c r="C52" s="15"/>
      <c r="D52" s="15"/>
      <c r="E52" s="15"/>
    </row>
    <row r="53">
      <c r="A53" s="12"/>
      <c r="B53" s="11"/>
      <c r="C53" s="12"/>
      <c r="D53" s="12"/>
      <c r="E53" s="12"/>
    </row>
    <row r="54">
      <c r="A54" s="15"/>
      <c r="B54" s="14"/>
      <c r="C54" s="15"/>
      <c r="D54" s="15"/>
      <c r="E54" s="15"/>
    </row>
    <row r="55">
      <c r="A55" s="12"/>
      <c r="B55" s="11"/>
      <c r="C55" s="12"/>
      <c r="D55" s="12"/>
      <c r="E55" s="12"/>
    </row>
    <row r="56">
      <c r="A56" s="15"/>
      <c r="B56" s="14"/>
      <c r="C56" s="15"/>
      <c r="D56" s="15"/>
      <c r="E56" s="15"/>
    </row>
    <row r="57">
      <c r="A57" s="12"/>
      <c r="B57" s="11"/>
      <c r="C57" s="12"/>
      <c r="D57" s="12"/>
      <c r="E57" s="12"/>
    </row>
    <row r="58">
      <c r="A58" s="15"/>
      <c r="B58" s="14"/>
      <c r="C58" s="15"/>
      <c r="D58" s="15"/>
      <c r="E58" s="15"/>
    </row>
    <row r="59">
      <c r="A59" s="12"/>
      <c r="B59" s="11"/>
      <c r="C59" s="12"/>
      <c r="D59" s="12"/>
      <c r="E59" s="12"/>
    </row>
    <row r="60">
      <c r="A60" s="15"/>
      <c r="B60" s="14"/>
      <c r="C60" s="15"/>
      <c r="D60" s="15"/>
      <c r="E60" s="15"/>
    </row>
    <row r="61">
      <c r="A61" s="12"/>
      <c r="B61" s="11"/>
      <c r="C61" s="12"/>
      <c r="D61" s="12"/>
      <c r="E61" s="12"/>
    </row>
    <row r="62">
      <c r="A62" s="15"/>
      <c r="B62" s="14"/>
      <c r="C62" s="15"/>
      <c r="D62" s="15"/>
      <c r="E62" s="15"/>
    </row>
    <row r="63">
      <c r="A63" s="12"/>
      <c r="B63" s="11"/>
      <c r="C63" s="12"/>
      <c r="D63" s="12"/>
      <c r="E63" s="12"/>
    </row>
    <row r="64">
      <c r="A64" s="15"/>
      <c r="B64" s="14"/>
      <c r="C64" s="15"/>
      <c r="D64" s="15"/>
      <c r="E64" s="15"/>
    </row>
    <row r="65">
      <c r="A65" s="12"/>
      <c r="B65" s="11"/>
      <c r="C65" s="12"/>
      <c r="D65" s="12"/>
      <c r="E65" s="12"/>
    </row>
    <row r="66">
      <c r="A66" s="15"/>
      <c r="B66" s="14"/>
      <c r="C66" s="15"/>
      <c r="D66" s="15"/>
      <c r="E66" s="15"/>
    </row>
    <row r="67">
      <c r="A67" s="12"/>
      <c r="B67" s="11"/>
      <c r="C67" s="12"/>
      <c r="D67" s="12"/>
      <c r="E67" s="12"/>
    </row>
    <row r="68">
      <c r="A68" s="15"/>
      <c r="B68" s="14"/>
      <c r="C68" s="15"/>
      <c r="D68" s="15"/>
      <c r="E68" s="15"/>
    </row>
    <row r="69">
      <c r="A69" s="12"/>
      <c r="B69" s="11"/>
      <c r="C69" s="12"/>
      <c r="D69" s="12"/>
      <c r="E69" s="12"/>
    </row>
    <row r="70">
      <c r="A70" s="15"/>
      <c r="B70" s="14"/>
      <c r="C70" s="15"/>
      <c r="D70" s="15"/>
      <c r="E70" s="15"/>
    </row>
    <row r="71">
      <c r="A71" s="12"/>
      <c r="B71" s="11"/>
      <c r="C71" s="12"/>
      <c r="D71" s="12"/>
      <c r="E71" s="12"/>
    </row>
    <row r="72">
      <c r="A72" s="15"/>
      <c r="B72" s="14"/>
      <c r="C72" s="15"/>
      <c r="D72" s="15"/>
      <c r="E72" s="15"/>
    </row>
    <row r="73">
      <c r="A73" s="12"/>
      <c r="B73" s="11"/>
      <c r="C73" s="12"/>
      <c r="D73" s="12"/>
      <c r="E73" s="12"/>
    </row>
    <row r="74">
      <c r="A74" s="15"/>
      <c r="B74" s="14"/>
      <c r="C74" s="15"/>
      <c r="D74" s="15"/>
      <c r="E74" s="15"/>
    </row>
    <row r="75">
      <c r="A75" s="12"/>
      <c r="B75" s="11"/>
      <c r="C75" s="12"/>
      <c r="D75" s="12"/>
      <c r="E75" s="12"/>
    </row>
    <row r="76">
      <c r="A76" s="15"/>
      <c r="B76" s="14"/>
      <c r="C76" s="15"/>
      <c r="D76" s="15"/>
      <c r="E76" s="15"/>
    </row>
    <row r="77">
      <c r="A77" s="12"/>
      <c r="B77" s="11"/>
      <c r="C77" s="12"/>
      <c r="D77" s="12"/>
      <c r="E77" s="12"/>
    </row>
    <row r="78">
      <c r="A78" s="15"/>
      <c r="B78" s="14"/>
      <c r="C78" s="15"/>
      <c r="D78" s="15"/>
      <c r="E78" s="15"/>
    </row>
    <row r="79">
      <c r="A79" s="12"/>
      <c r="B79" s="11"/>
      <c r="C79" s="12"/>
      <c r="D79" s="12"/>
      <c r="E79" s="12"/>
    </row>
    <row r="80">
      <c r="A80" s="15"/>
      <c r="B80" s="14"/>
      <c r="C80" s="15"/>
      <c r="D80" s="15"/>
      <c r="E80" s="15"/>
    </row>
    <row r="81">
      <c r="A81" s="12"/>
      <c r="B81" s="11"/>
      <c r="C81" s="12"/>
      <c r="D81" s="12"/>
      <c r="E81" s="12"/>
    </row>
    <row r="82">
      <c r="A82" s="15"/>
      <c r="B82" s="14"/>
      <c r="C82" s="15"/>
      <c r="D82" s="15"/>
      <c r="E82" s="15"/>
    </row>
  </sheetData>
  <mergeCells count="1">
    <mergeCell ref="A1:E1"/>
  </mergeCells>
  <conditionalFormatting sqref="E3:E82">
    <cfRule type="cellIs" dxfId="2" priority="1" operator="equal">
      <formula>"Actif"</formula>
    </cfRule>
  </conditionalFormatting>
  <conditionalFormatting sqref="E3:E82">
    <cfRule type="cellIs" dxfId="1" priority="2" operator="equal">
      <formula>"Inactif"</formula>
    </cfRule>
  </conditionalFormatting>
  <dataValidations count="1">
    <dataValidation type="list" allowBlank="1" showInputMessage="1" showErrorMessage="1" sqref="E3:E82">
      <formula1>"Actif,Inactif"</formula1>
    </dataValidation>
  </dataValidations>
  <printOptions horizontalCentered="1"/>
  <pageMargins left="0.4" right="0.4" top="0.5" bottom="0.5" header="0.2" footer="0.2"/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D7"/>
  <sheetViews>
    <sheetView showGridLines="0" workbookViewId="0"/>
  </sheetViews>
  <sheetFormatPr defaultRowHeight="15"/>
  <cols>
    <col min="1" max="1" width="6" customWidth="1"/>
    <col min="2" max="2" width="14" customWidth="1"/>
    <col min="3" max="3" width="34" customWidth="1"/>
    <col min="4" max="4" width="20" customWidth="1"/>
  </cols>
  <sheetData>
    <row r="1" ht="32" customHeight="1">
      <c r="A1" s="21" t="inlineStr">
        <is>
          <t xml:space="preserve">LISTE DE PRÉSENCE</t>
        </is>
      </c>
    </row>
    <row r="2" ht="18" customHeight="1">
      <c r="A2" s="22">
        <f>Parametres!B3</f>
      </c>
    </row>
    <row r="3" ht="20" customHeight="1">
      <c r="A3" s="23" t="inlineStr">
        <is>
          <t xml:space="preserve">Date :</t>
        </is>
      </c>
      <c r="B3" s="24">
        <f>'Presence du Jour'!B3</f>
      </c>
    </row>
    <row r="4" ht="20" customHeight="1">
      <c r="A4" s="23" t="inlineStr">
        <is>
          <t xml:space="preserve">Chantier :</t>
        </is>
      </c>
      <c r="B4" s="24">
        <f>'Presence du Jour'!B4</f>
      </c>
    </row>
    <row r="6" ht="24" customHeight="1">
      <c r="A6" s="25" t="inlineStr">
        <is>
          <t xml:space="preserve">N°</t>
        </is>
      </c>
      <c r="B6" s="25" t="inlineStr">
        <is>
          <t xml:space="preserve">ID</t>
        </is>
      </c>
      <c r="C6" s="25" t="inlineStr">
        <is>
          <t xml:space="preserve">Nom et Prénom</t>
        </is>
      </c>
      <c r="D6" s="25" t="inlineStr">
        <is>
          <t xml:space="preserve">Poste</t>
        </is>
      </c>
    </row>
    <row r="7" ht="20" customHeight="1">
      <c r="A7" s="12" t="inlineStr">
        <is>
          <t xml:space="preserve"/>
        </is>
      </c>
      <c r="B7" s="32" t="inlineStr">
        <is>
          <t xml:space="preserve">(Cette liste sera générée automatiquement par la macro « Enregistrer la journée »)</t>
        </is>
      </c>
    </row>
  </sheetData>
  <mergeCells count="3">
    <mergeCell ref="A1:D1"/>
    <mergeCell ref="A2:D2"/>
    <mergeCell ref="B7:D7"/>
  </mergeCells>
  <printOptions horizontalCentered="1"/>
  <pageMargins left="0.75" right="0.75" top="0.6" bottom="0.6" header="0.2" footer="0.2"/>
  <pageSetup paperSize="9" orientation="portrait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F9000"/>
    <pageSetUpPr fitToPage="1"/>
  </sheetPr>
  <dimension ref="A1:E1"/>
  <sheetViews>
    <sheetView workbookViewId="0">
      <pane ySplit="1" topLeftCell="A2" activePane="bottomRight" state="frozen"/>
      <selection pane="bottomRight" activeCell="A2" sqref="A2"/>
    </sheetView>
  </sheetViews>
  <sheetFormatPr defaultRowHeight="15"/>
  <cols>
    <col min="1" max="1" width="14" customWidth="1"/>
    <col min="2" max="2" width="14" customWidth="1"/>
    <col min="3" max="3" width="30" customWidth="1"/>
    <col min="4" max="4" width="20" customWidth="1"/>
    <col min="5" max="5" width="12" customWidth="1"/>
  </cols>
  <sheetData>
    <row r="1" ht="26" customHeight="1">
      <c r="A1" s="4" t="inlineStr">
        <is>
          <t xml:space="preserve">Date</t>
        </is>
      </c>
      <c r="B1" s="4" t="inlineStr">
        <is>
          <t xml:space="preserve">ID Employé</t>
        </is>
      </c>
      <c r="C1" s="4" t="inlineStr">
        <is>
          <t xml:space="preserve">Nom et Prénom</t>
        </is>
      </c>
      <c r="D1" s="4" t="inlineStr">
        <is>
          <t xml:space="preserve">Poste</t>
        </is>
      </c>
      <c r="E1" s="4" t="inlineStr">
        <is>
          <t xml:space="preserve">Statut</t>
        </is>
      </c>
    </row>
  </sheetData>
  <conditionalFormatting sqref="E2:E10000">
    <cfRule type="cellIs" dxfId="0" priority="1" operator="equal">
      <formula>"Present"</formula>
    </cfRule>
  </conditionalFormatting>
  <conditionalFormatting sqref="E2:E10000">
    <cfRule type="cellIs" dxfId="1" priority="2" operator="equal">
      <formula>"Absent"</formula>
    </cfRule>
  </conditionalFormatting>
  <printOptions horizontalCentered="1"/>
  <pageMargins left="0.4" right="0.4" top="0.5" bottom="0.5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  <pageSetUpPr fitToPage="1"/>
  </sheetPr>
  <dimension ref="A1:C12"/>
  <sheetViews>
    <sheetView showGridLines="0" workbookViewId="0"/>
  </sheetViews>
  <sheetFormatPr defaultRowHeight="15"/>
  <cols>
    <col min="1" max="1" width="28" customWidth="1"/>
    <col min="2" max="2" width="38" customWidth="1"/>
    <col min="3" max="3" width="32" customWidth="1"/>
  </cols>
  <sheetData>
    <row r="1" ht="38" customHeight="1">
      <c r="A1" s="1" t="inlineStr">
        <is>
          <t xml:space="preserve">  PARAMÈTRES DU SYSTÈME</t>
        </is>
      </c>
    </row>
    <row r="2" ht="20" customHeight="1">
      <c r="A2" s="3" t="inlineStr">
        <is>
          <t xml:space="preserve">  Configurez ici les informations de votre entreprise et du chantier</t>
        </is>
      </c>
    </row>
    <row r="3" ht="24" customHeight="1">
      <c r="A3" s="26" t="inlineStr">
        <is>
          <t xml:space="preserve">Nom de l'entreprise</t>
        </is>
      </c>
      <c r="B3" s="8" t="inlineStr">
        <is>
          <t xml:space="preserve">Mon Entreprise SARL</t>
        </is>
      </c>
      <c r="C3" s="27" t="inlineStr">
        <is>
          <t xml:space="preserve">Apparaît sur la liste à imprimer</t>
        </is>
      </c>
    </row>
    <row r="4" ht="24" customHeight="1">
      <c r="A4" s="26" t="inlineStr">
        <is>
          <t xml:space="preserve">Chantier par défaut</t>
        </is>
      </c>
      <c r="B4" s="8" t="inlineStr">
        <is>
          <t xml:space="preserve"/>
        </is>
      </c>
      <c r="C4" s="27" t="inlineStr">
        <is>
          <t xml:space="preserve">Pré-rempli dans Présence du Jour</t>
        </is>
      </c>
    </row>
    <row r="5" ht="24" customHeight="1">
      <c r="A5" s="26" t="inlineStr">
        <is>
          <t xml:space="preserve">Responsable</t>
        </is>
      </c>
      <c r="B5" s="8" t="inlineStr">
        <is>
          <t xml:space="preserve"/>
        </is>
      </c>
      <c r="C5" s="27" t="inlineStr">
        <is>
          <t xml:space="preserve">Nom du responsable de chantier</t>
        </is>
      </c>
    </row>
    <row r="6" ht="24" customHeight="1">
      <c r="A6" s="26" t="inlineStr">
        <is>
          <t xml:space="preserve">Téléphone</t>
        </is>
      </c>
      <c r="B6" s="8" t="inlineStr">
        <is>
          <t xml:space="preserve"/>
        </is>
      </c>
      <c r="C6" s="27" t="inlineStr">
        <is>
          <t xml:space="preserve">Numéro de contact</t>
        </is>
      </c>
    </row>
    <row r="7" ht="24" customHeight="1">
      <c r="A7" s="26" t="inlineStr">
        <is>
          <t xml:space="preserve">Ville / Site</t>
        </is>
      </c>
      <c r="B7" s="8" t="inlineStr">
        <is>
          <t xml:space="preserve"/>
        </is>
      </c>
      <c r="C7" s="27" t="inlineStr">
        <is>
          <t xml:space="preserve">Localisation du chantier</t>
        </is>
      </c>
    </row>
    <row r="8" ht="24" customHeight="1">
      <c r="A8" s="26" t="inlineStr">
        <is>
          <t xml:space="preserve">Chemin export PDF</t>
        </is>
      </c>
      <c r="B8" s="8" t="inlineStr">
        <is>
          <t xml:space="preserve">(même dossier que le classeur)</t>
        </is>
      </c>
      <c r="C8" s="27" t="inlineStr">
        <is>
          <t xml:space="preserve">Dossier de destination des fichiers PDF</t>
        </is>
      </c>
    </row>
    <row r="9" ht="24" customHeight="1">
      <c r="A9" s="26" t="inlineStr">
        <is>
          <t xml:space="preserve">Format de date</t>
        </is>
      </c>
      <c r="B9" s="8" t="inlineStr">
        <is>
          <t xml:space="preserve">jj/mm/aaaa</t>
        </is>
      </c>
      <c r="C9" s="27" t="inlineStr">
        <is>
          <t xml:space="preserve">Format d'affichage des dates</t>
        </is>
      </c>
    </row>
    <row r="11" ht="20" customHeight="1">
      <c r="A11" s="31" t="inlineStr">
        <is>
          <t xml:space="preserve">⚠️ IMPORTANT :</t>
        </is>
      </c>
    </row>
    <row r="12">
      <c r="A12" s="33" t="inlineStr">
        <is>
          <t xml:space="preserve">Sauvegardez toujours ce fichier au format .xlsm pour conserver les macros.</t>
        </is>
      </c>
    </row>
  </sheetData>
  <mergeCells count="2">
    <mergeCell ref="A1:C1"/>
    <mergeCell ref="A2:C2"/>
  </mergeCells>
  <printOptions horizontalCentered="1"/>
  <pageMargins left="0.4" right="0.4" top="0.5" bottom="0.5" header="0.2" footer="0.2"/>
  <pageSetup paperSize="9" orientation="portrait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A9D8F"/>
    <pageSetUpPr fitToPage="1"/>
  </sheetPr>
  <dimension ref="A1:B139"/>
  <sheetViews>
    <sheetView showGridLines="0" workbookViewId="0"/>
  </sheetViews>
  <sheetFormatPr defaultRowHeight="15"/>
  <cols>
    <col min="1" max="1" width="3" customWidth="1"/>
    <col min="2" max="2" width="85" customWidth="1"/>
  </cols>
  <sheetData>
    <row r="1" ht="38" customHeight="1">
      <c r="A1" s="1" t="inlineStr">
        <is>
          <t xml:space="preserve">  GUIDE D'UTILISATION</t>
        </is>
      </c>
    </row>
    <row r="2" ht="20" customHeight="1">
      <c r="A2" s="3" t="inlineStr">
        <is>
          <t xml:space="preserve">  Système de Gestion des Présences — Mode d'emploi complet</t>
        </is>
      </c>
    </row>
    <row r="4">
      <c r="B4" s="30" t="inlineStr">
        <is>
          <t xml:space="preserve"/>
        </is>
      </c>
    </row>
    <row r="5">
      <c r="B5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6">
      <c r="B6" s="28" t="inlineStr">
        <is>
          <t xml:space="preserve">1. PREMIÈRE CONFIGURATION</t>
        </is>
      </c>
    </row>
    <row r="7">
      <c r="B7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8">
      <c r="B8" s="30" t="inlineStr">
        <is>
          <t xml:space="preserve"/>
        </is>
      </c>
    </row>
    <row r="9">
      <c r="B9" s="29" t="inlineStr">
        <is>
          <t xml:space="preserve">▶ Ajouter des employés :</t>
        </is>
      </c>
    </row>
    <row r="10">
      <c r="B10" s="30" t="inlineStr">
        <is>
          <t xml:space="preserve">    1. Allez dans la feuille « Employés »</t>
        </is>
      </c>
    </row>
    <row r="11">
      <c r="B11" s="30" t="inlineStr">
        <is>
          <t xml:space="preserve">    2. Remplissez : ID, Nom et Prénom, Poste, Équipe, Statut</t>
        </is>
      </c>
    </row>
    <row r="12">
      <c r="B12" s="30" t="inlineStr">
        <is>
          <t xml:space="preserve">    3. Le statut doit être « Actif » ou « Inactif »</t>
        </is>
      </c>
    </row>
    <row r="13">
      <c r="B13" s="30" t="inlineStr">
        <is>
          <t xml:space="preserve">    4. Seuls les employés « Actif » apparaissent dans la feuille de présence</t>
        </is>
      </c>
    </row>
    <row r="14">
      <c r="B14" s="30" t="inlineStr">
        <is>
          <t xml:space="preserve">    5. Les IDs sont libres : utilisez vos propres identifiants</t>
        </is>
      </c>
    </row>
    <row r="15">
      <c r="B15" s="30" t="inlineStr">
        <is>
          <t xml:space="preserve"/>
        </is>
      </c>
    </row>
    <row r="16">
      <c r="B16" s="29" t="inlineStr">
        <is>
          <t xml:space="preserve">▶ Modifier un employé :</t>
        </is>
      </c>
    </row>
    <row r="17">
      <c r="B17" s="30" t="inlineStr">
        <is>
          <t xml:space="preserve">    - Modifiez directement dans la feuille « Employés »</t>
        </is>
      </c>
    </row>
    <row r="18">
      <c r="B18" s="30" t="inlineStr">
        <is>
          <t xml:space="preserve">    - Toutes les modifications se propagent automatiquement</t>
        </is>
      </c>
    </row>
    <row r="19">
      <c r="B19" s="30" t="inlineStr">
        <is>
          <t xml:space="preserve"/>
        </is>
      </c>
    </row>
    <row r="20">
      <c r="B20" s="29" t="inlineStr">
        <is>
          <t xml:space="preserve">▶ Désactiver un employé :</t>
        </is>
      </c>
    </row>
    <row r="21">
      <c r="B21" s="30" t="inlineStr">
        <is>
          <t xml:space="preserve">    - Changez son statut de « Actif » à « Inactif »</t>
        </is>
      </c>
    </row>
    <row r="22">
      <c r="B22" s="30" t="inlineStr">
        <is>
          <t xml:space="preserve">    - Il disparaîtra automatiquement de la feuille de présence</t>
        </is>
      </c>
    </row>
    <row r="23">
      <c r="B23" s="30" t="inlineStr">
        <is>
          <t xml:space="preserve">    - Ses données historiques sont conservées</t>
        </is>
      </c>
    </row>
    <row r="24">
      <c r="B24" s="30" t="inlineStr">
        <is>
          <t xml:space="preserve"/>
        </is>
      </c>
    </row>
    <row r="25">
      <c r="B25" s="29" t="inlineStr">
        <is>
          <t xml:space="preserve">▶ Personnaliser les paramètres :</t>
        </is>
      </c>
    </row>
    <row r="26">
      <c r="B26" s="30" t="inlineStr">
        <is>
          <t xml:space="preserve">    - Allez dans la feuille « Paramètres »</t>
        </is>
      </c>
    </row>
    <row r="27">
      <c r="B27" s="30" t="inlineStr">
        <is>
          <t xml:space="preserve">    - Renseignez le nom de votre entreprise</t>
        </is>
      </c>
    </row>
    <row r="28">
      <c r="B28" s="30" t="inlineStr">
        <is>
          <t xml:space="preserve">    - Ce nom apparaîtra sur la liste à imprimer</t>
        </is>
      </c>
    </row>
    <row r="29">
      <c r="B29" s="30" t="inlineStr">
        <is>
          <t xml:space="preserve"/>
        </is>
      </c>
    </row>
    <row r="30">
      <c r="B30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31">
      <c r="B31" s="28" t="inlineStr">
        <is>
          <t xml:space="preserve">2. UTILISATION QUOTIDIENNE (moins de 2 minutes)</t>
        </is>
      </c>
    </row>
    <row r="32">
      <c r="B32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33">
      <c r="B33" s="30" t="inlineStr">
        <is>
          <t xml:space="preserve"/>
        </is>
      </c>
    </row>
    <row r="34">
      <c r="B34" s="29" t="inlineStr">
        <is>
          <t xml:space="preserve">Chaque matin :</t>
        </is>
      </c>
    </row>
    <row r="35">
      <c r="B35" s="30" t="inlineStr">
        <is>
          <t xml:space="preserve"/>
        </is>
      </c>
    </row>
    <row r="36">
      <c r="B36" s="30" t="inlineStr">
        <is>
          <t xml:space="preserve">    1️⃣  Ouvrir le fichier (la feuille Présence du Jour s'affiche)</t>
        </is>
      </c>
    </row>
    <row r="37">
      <c r="B37" s="30" t="inlineStr">
        <is>
          <t xml:space="preserve">    2️⃣  Cliquer sur le bouton « Nouvelle journée »</t>
        </is>
      </c>
    </row>
    <row r="38">
      <c r="B38" s="30" t="inlineStr">
        <is>
          <t xml:space="preserve">        → Met la date du jour et décoche tout</t>
        </is>
      </c>
    </row>
    <row r="39">
      <c r="B39" s="30" t="inlineStr">
        <is>
          <t xml:space="preserve">    3️⃣  Cocher (X) uniquement les employés PRÉSENTS</t>
        </is>
      </c>
    </row>
    <row r="40">
      <c r="B40" s="30" t="inlineStr">
        <is>
          <t xml:space="preserve">    4️⃣  Cliquer sur « Enregistrer la journée »</t>
        </is>
      </c>
    </row>
    <row r="41">
      <c r="B41" s="30" t="inlineStr">
        <is>
          <t xml:space="preserve">        → Sauvegarde dans l'historique + génère la liste</t>
        </is>
      </c>
    </row>
    <row r="42">
      <c r="B42" s="30" t="inlineStr">
        <is>
          <t xml:space="preserve">    5️⃣  Cliquer sur « Imprimer » ou « Exporter PDF »</t>
        </is>
      </c>
    </row>
    <row r="43">
      <c r="B43" s="30" t="inlineStr">
        <is>
          <t xml:space="preserve">        → La liste est prête à envoyer à l'administration</t>
        </is>
      </c>
    </row>
    <row r="44">
      <c r="B44" s="30" t="inlineStr">
        <is>
          <t xml:space="preserve"/>
        </is>
      </c>
    </row>
    <row r="45">
      <c r="B45" s="30" t="inlineStr">
        <is>
          <t xml:space="preserve">    ✅ C'est terminé ! Aucune autre manipulation nécessaire.</t>
        </is>
      </c>
    </row>
    <row r="46">
      <c r="B46" s="30" t="inlineStr">
        <is>
          <t xml:space="preserve"/>
        </is>
      </c>
    </row>
    <row r="47">
      <c r="B47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48">
      <c r="B48" s="28" t="inlineStr">
        <is>
          <t xml:space="preserve">3. DESCRIPTION DES BOUTONS / MACROS</t>
        </is>
      </c>
    </row>
    <row r="49">
      <c r="B49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50">
      <c r="B50" s="30" t="inlineStr">
        <is>
          <t xml:space="preserve"/>
        </is>
      </c>
    </row>
    <row r="51">
      <c r="B51" s="29" t="inlineStr">
        <is>
          <t xml:space="preserve">🔵 NouvelleJournee</t>
        </is>
      </c>
    </row>
    <row r="52">
      <c r="B52" s="30" t="inlineStr">
        <is>
          <t xml:space="preserve">    - Met automatiquement la date du jour</t>
        </is>
      </c>
    </row>
    <row r="53">
      <c r="B53" s="30" t="inlineStr">
        <is>
          <t xml:space="preserve">    - Décoche toutes les cases de présence</t>
        </is>
      </c>
    </row>
    <row r="54">
      <c r="B54" s="30" t="inlineStr">
        <is>
          <t xml:space="preserve">    - Prépare une nouvelle journée vierge</t>
        </is>
      </c>
    </row>
    <row r="55">
      <c r="B55" s="30" t="inlineStr">
        <is>
          <t xml:space="preserve"/>
        </is>
      </c>
    </row>
    <row r="56">
      <c r="B56" s="29" t="inlineStr">
        <is>
          <t xml:space="preserve">🟢 EnregistrerJournee</t>
        </is>
      </c>
    </row>
    <row r="57">
      <c r="B57" s="30" t="inlineStr">
        <is>
          <t xml:space="preserve">    - Sauvegarde toutes les présences dans l'historique</t>
        </is>
      </c>
    </row>
    <row r="58">
      <c r="B58" s="30" t="inlineStr">
        <is>
          <t xml:space="preserve">    - Si la même date existe déjà, les anciennes données sont remplacées</t>
        </is>
      </c>
    </row>
    <row r="59">
      <c r="B59" s="30" t="inlineStr">
        <is>
          <t xml:space="preserve">    - Met à jour la « Liste à imprimer »</t>
        </is>
      </c>
    </row>
    <row r="60">
      <c r="B60" s="30" t="inlineStr">
        <is>
          <t xml:space="preserve">    - Affiche un message de confirmation</t>
        </is>
      </c>
    </row>
    <row r="61">
      <c r="B61" s="30" t="inlineStr">
        <is>
          <t xml:space="preserve"/>
        </is>
      </c>
    </row>
    <row r="62">
      <c r="B62" s="29" t="inlineStr">
        <is>
          <t xml:space="preserve">🟠 ImprimerListe</t>
        </is>
      </c>
    </row>
    <row r="63">
      <c r="B63" s="30" t="inlineStr">
        <is>
          <t xml:space="preserve">    - Ouvre l'aperçu avant impression</t>
        </is>
      </c>
    </row>
    <row r="64">
      <c r="B64" s="30" t="inlineStr">
        <is>
          <t xml:space="preserve">    - Sauvegarde automatiquement le fichier avant</t>
        </is>
      </c>
    </row>
    <row r="65">
      <c r="B65" s="30" t="inlineStr">
        <is>
          <t xml:space="preserve">    - Format A4, centré, professionnel</t>
        </is>
      </c>
    </row>
    <row r="66">
      <c r="B66" s="30" t="inlineStr">
        <is>
          <t xml:space="preserve"/>
        </is>
      </c>
    </row>
    <row r="67">
      <c r="B67" s="29" t="inlineStr">
        <is>
          <t xml:space="preserve">🔴 ExporterPDF</t>
        </is>
      </c>
    </row>
    <row r="68">
      <c r="B68" s="30" t="inlineStr">
        <is>
          <t xml:space="preserve">    - Génère un fichier PDF de la liste de présence</t>
        </is>
      </c>
    </row>
    <row r="69">
      <c r="B69" s="30" t="inlineStr">
        <is>
          <t xml:space="preserve">    - Nom automatique : Presence_AAAA-MM-JJ.pdf</t>
        </is>
      </c>
    </row>
    <row r="70">
      <c r="B70" s="30" t="inlineStr">
        <is>
          <t xml:space="preserve">    - S'ouvre automatiquement après création</t>
        </is>
      </c>
    </row>
    <row r="71">
      <c r="B71" s="30" t="inlineStr">
        <is>
          <t xml:space="preserve"/>
        </is>
      </c>
    </row>
    <row r="72">
      <c r="B72" s="29" t="inlineStr">
        <is>
          <t xml:space="preserve">⚪ ToutDecocher</t>
        </is>
      </c>
    </row>
    <row r="73">
      <c r="B73" s="30" t="inlineStr">
        <is>
          <t xml:space="preserve">    - Décoche rapidement toutes les présences</t>
        </is>
      </c>
    </row>
    <row r="74">
      <c r="B74" s="30" t="inlineStr">
        <is>
          <t xml:space="preserve"/>
        </is>
      </c>
    </row>
    <row r="75">
      <c r="B75" s="29" t="inlineStr">
        <is>
          <t xml:space="preserve">🔍 RechercherEmploye</t>
        </is>
      </c>
    </row>
    <row r="76">
      <c r="B76" s="30" t="inlineStr">
        <is>
          <t xml:space="preserve">    - Recherche un employé par son nom</t>
        </is>
      </c>
    </row>
    <row r="77">
      <c r="B77" s="30" t="inlineStr">
        <is>
          <t xml:space="preserve">    - Se positionne sur sa ligne</t>
        </is>
      </c>
    </row>
    <row r="78">
      <c r="B78" s="30" t="inlineStr">
        <is>
          <t xml:space="preserve"/>
        </is>
      </c>
    </row>
    <row r="79">
      <c r="B79" s="29" t="inlineStr">
        <is>
          <t xml:space="preserve">📅 ChargerHistoriqueParDate</t>
        </is>
      </c>
    </row>
    <row r="80">
      <c r="B80" s="30" t="inlineStr">
        <is>
          <t xml:space="preserve">    - Permet de sélectionner une date passée</t>
        </is>
      </c>
    </row>
    <row r="81">
      <c r="B81" s="30" t="inlineStr">
        <is>
          <t xml:space="preserve">    - Charge la liste des présents de ce jour</t>
        </is>
      </c>
    </row>
    <row r="82">
      <c r="B82" s="30" t="inlineStr">
        <is>
          <t xml:space="preserve">    - Permet de réimprimer une ancienne liste</t>
        </is>
      </c>
    </row>
    <row r="83">
      <c r="B83" s="30" t="inlineStr">
        <is>
          <t xml:space="preserve">    - Ne modifie JAMAIS les données enregistrées</t>
        </is>
      </c>
    </row>
    <row r="84">
      <c r="B84" s="30" t="inlineStr">
        <is>
          <t xml:space="preserve"/>
        </is>
      </c>
    </row>
    <row r="85">
      <c r="B85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86">
      <c r="B86" s="28" t="inlineStr">
        <is>
          <t xml:space="preserve">4. CONSULTER L'HISTORIQUE</t>
        </is>
      </c>
    </row>
    <row r="87">
      <c r="B87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88">
      <c r="B88" s="30" t="inlineStr">
        <is>
          <t xml:space="preserve"/>
        </is>
      </c>
    </row>
    <row r="89">
      <c r="B89" s="30" t="inlineStr">
        <is>
          <t xml:space="preserve">    - Allez dans la feuille « Historique »</t>
        </is>
      </c>
    </row>
    <row r="90">
      <c r="B90" s="30" t="inlineStr">
        <is>
          <t xml:space="preserve">    - Toutes les journées enregistrées y sont conservées</t>
        </is>
      </c>
    </row>
    <row r="91">
      <c r="B91" s="30" t="inlineStr">
        <is>
          <t xml:space="preserve">    - Colonnes : Date, ID, Nom, Poste, Statut (Présent/Absent)</t>
        </is>
      </c>
    </row>
    <row r="92">
      <c r="B92" s="30" t="inlineStr">
        <is>
          <t xml:space="preserve">    - L'historique n'est JAMAIS supprimé automatiquement</t>
        </is>
      </c>
    </row>
    <row r="93">
      <c r="B93" s="30" t="inlineStr">
        <is>
          <t xml:space="preserve">    - Vous pouvez utiliser les filtres Excel pour trier/filtrer</t>
        </is>
      </c>
    </row>
    <row r="94">
      <c r="B94" s="30" t="inlineStr">
        <is>
          <t xml:space="preserve"/>
        </is>
      </c>
    </row>
    <row r="95">
      <c r="B95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96">
      <c r="B96" s="28" t="inlineStr">
        <is>
          <t xml:space="preserve">5. RÉIMPRIMER UNE JOURNÉE PASSÉE</t>
        </is>
      </c>
    </row>
    <row r="97">
      <c r="B97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98">
      <c r="B98" s="30" t="inlineStr">
        <is>
          <t xml:space="preserve"/>
        </is>
      </c>
    </row>
    <row r="99">
      <c r="B99" s="30" t="inlineStr">
        <is>
          <t xml:space="preserve">    1. Exécutez la macro « ChargerHistoriqueParDate »</t>
        </is>
      </c>
    </row>
    <row r="100">
      <c r="B100" s="30" t="inlineStr">
        <is>
          <t xml:space="preserve">    2. Entrez la date (format : jj/mm/aaaa)</t>
        </is>
      </c>
    </row>
    <row r="101">
      <c r="B101" s="30" t="inlineStr">
        <is>
          <t xml:space="preserve">    3. La « Liste à imprimer » se met à jour</t>
        </is>
      </c>
    </row>
    <row r="102">
      <c r="B102" s="30" t="inlineStr">
        <is>
          <t xml:space="preserve">    4. Cliquez sur « Imprimer » ou « Exporter PDF »</t>
        </is>
      </c>
    </row>
    <row r="103">
      <c r="B103" s="30" t="inlineStr">
        <is>
          <t xml:space="preserve"/>
        </is>
      </c>
    </row>
    <row r="104">
      <c r="B104" s="31" t="inlineStr">
        <is>
          <t xml:space="preserve">    ⚠️ Cela ne modifie PAS les données enregistrées.</t>
        </is>
      </c>
    </row>
    <row r="105">
      <c r="B105" s="30" t="inlineStr">
        <is>
          <t xml:space="preserve"/>
        </is>
      </c>
    </row>
    <row r="106">
      <c r="B106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107">
      <c r="B107" s="28" t="inlineStr">
        <is>
          <t xml:space="preserve">6. SAUVEGARDE ET BONNES PRATIQUES</t>
        </is>
      </c>
    </row>
    <row r="108">
      <c r="B108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109">
      <c r="B109" s="30" t="inlineStr">
        <is>
          <t xml:space="preserve"/>
        </is>
      </c>
    </row>
    <row r="110">
      <c r="B110" s="29" t="inlineStr">
        <is>
          <t xml:space="preserve">Recommandations :</t>
        </is>
      </c>
    </row>
    <row r="111">
      <c r="B111" s="30" t="inlineStr">
        <is>
          <t xml:space="preserve">    ✓ Sauvegardez TOUJOURS en format .xlsm (avec macros)</t>
        </is>
      </c>
    </row>
    <row r="112">
      <c r="B112" s="30" t="inlineStr">
        <is>
          <t xml:space="preserve">    ✓ Faites une copie de sauvegarde chaque semaine</t>
        </is>
      </c>
    </row>
    <row r="113">
      <c r="B113" s="30" t="inlineStr">
        <is>
          <t xml:space="preserve">    ✓ Ne supprimez jamais le contenu de l'historique</t>
        </is>
      </c>
    </row>
    <row r="114">
      <c r="B114" s="30" t="inlineStr">
        <is>
          <t xml:space="preserve">    ✓ Gardez une copie sur clé USB ou cloud</t>
        </is>
      </c>
    </row>
    <row r="115">
      <c r="B115" s="30" t="inlineStr">
        <is>
          <t xml:space="preserve">    ✓ Si le fichier est partagé, une seule personne à la fois</t>
        </is>
      </c>
    </row>
    <row r="116">
      <c r="B116" s="30" t="inlineStr">
        <is>
          <t xml:space="preserve"/>
        </is>
      </c>
    </row>
    <row r="117">
      <c r="B117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118">
      <c r="B118" s="28" t="inlineStr">
        <is>
          <t xml:space="preserve">7. RÉSOLUTION DE PROBLÈMES</t>
        </is>
      </c>
    </row>
    <row r="119">
      <c r="B119" s="28" t="inlineStr">
        <is>
          <t xml:space="preserve">══════════════════════════════════════════════════════════════</t>
        </is>
      </c>
    </row>
    <row r="120">
      <c r="B120" s="30" t="inlineStr">
        <is>
          <t xml:space="preserve"/>
        </is>
      </c>
    </row>
    <row r="121">
      <c r="B121" s="29" t="inlineStr">
        <is>
          <t xml:space="preserve">❓ Les boutons/macros ne fonctionnent pas ?</t>
        </is>
      </c>
    </row>
    <row r="122">
      <c r="B122" s="30" t="inlineStr">
        <is>
          <t xml:space="preserve">    → Fichier &gt; Options &gt; Centre de gestion de la confidentialité</t>
        </is>
      </c>
    </row>
    <row r="123">
      <c r="B123" s="30" t="inlineStr">
        <is>
          <t xml:space="preserve">    → Paramètres des macros &gt; Activer toutes les macros</t>
        </is>
      </c>
    </row>
    <row r="124">
      <c r="B124" s="30" t="inlineStr">
        <is>
          <t xml:space="preserve">    → Redémarrez Excel</t>
        </is>
      </c>
    </row>
    <row r="125">
      <c r="B125" s="30" t="inlineStr">
        <is>
          <t xml:space="preserve"/>
        </is>
      </c>
    </row>
    <row r="126">
      <c r="B126" s="29" t="inlineStr">
        <is>
          <t xml:space="preserve">❓ Un employé n'apparaît pas dans la présence ?</t>
        </is>
      </c>
    </row>
    <row r="127">
      <c r="B127" s="30" t="inlineStr">
        <is>
          <t xml:space="preserve">    → Vérifiez que son statut est « Actif » (feuille Employés)</t>
        </is>
      </c>
    </row>
    <row r="128">
      <c r="B128" s="30" t="inlineStr">
        <is>
          <t xml:space="preserve">    → Vérifiez qu'il est bien dans les 80 premières lignes</t>
        </is>
      </c>
    </row>
    <row r="129">
      <c r="B129" s="30" t="inlineStr">
        <is>
          <t xml:space="preserve"/>
        </is>
      </c>
    </row>
    <row r="130">
      <c r="B130" s="29" t="inlineStr">
        <is>
          <t xml:space="preserve">❓ La date est incorrecte ?</t>
        </is>
      </c>
    </row>
    <row r="131">
      <c r="B131" s="30" t="inlineStr">
        <is>
          <t xml:space="preserve">    → Modifiez-la manuellement dans la cellule Date (B3)</t>
        </is>
      </c>
    </row>
    <row r="132">
      <c r="B132" s="30" t="inlineStr">
        <is>
          <t xml:space="preserve">    → Ou utilisez « Nouvelle journée » pour la mettre à aujourd'hui</t>
        </is>
      </c>
    </row>
    <row r="133">
      <c r="B133" s="30" t="inlineStr">
        <is>
          <t xml:space="preserve"/>
        </is>
      </c>
    </row>
    <row r="134">
      <c r="B134" s="29" t="inlineStr">
        <is>
          <t xml:space="preserve">❓ Comment ajouter des boutons visuels ?</t>
        </is>
      </c>
    </row>
    <row r="135">
      <c r="B135" s="30" t="inlineStr">
        <is>
          <t xml:space="preserve">    → Onglet Développeur &gt; Insérer &gt; Bouton (Contrôle de formulaire)</t>
        </is>
      </c>
    </row>
    <row r="136">
      <c r="B136" s="30" t="inlineStr">
        <is>
          <t xml:space="preserve">    → Dessinez le bouton et assignez la macro</t>
        </is>
      </c>
    </row>
    <row r="137">
      <c r="B137" s="30" t="inlineStr">
        <is>
          <t xml:space="preserve">    → Macros : NouvelleJournee, EnregistrerJournee, ImprimerListe,</t>
        </is>
      </c>
    </row>
    <row r="138">
      <c r="B138" s="30" t="inlineStr">
        <is>
          <t xml:space="preserve">       ExporterPDF, ToutDecocher, RechercherEmploye, ChargerHistoriqueParDate</t>
        </is>
      </c>
    </row>
    <row r="139">
      <c r="B139" s="30" t="inlineStr">
        <is>
          <t xml:space="preserve"/>
        </is>
      </c>
    </row>
  </sheetData>
  <mergeCells count="2">
    <mergeCell ref="A1:B1"/>
    <mergeCell ref="A2:B2"/>
  </mergeCells>
  <printOptions horizontalCentered="1"/>
  <pageMargins left="0.4" right="0.4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>
  <Application>Kiro xlsxgen</Applicat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Gestion des Presences</dc:title>
  <dc:creator>Kiro</dc:creator>
  <dcterms:created xsi:type="dcterms:W3CDTF">2026-07-06T23:32:23Z</dcterms:created>
  <dcterms:modified xsi:type="dcterms:W3CDTF">2026-07-06T23:32:23Z</dcterms:modified>
</cp:coreProperties>
</file>