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10000"/>
  <workbookPr defaultThemeVersion="166925"/>
  <bookViews>
    <workbookView activeTab="0"/>
  </bookViews>
  <sheets>
    <sheet name="Presence du Jour" sheetId="1" r:id="rId1"/>
    <sheet name="Employes" sheetId="2" r:id="rId2"/>
    <sheet name="Liste a imprimer" sheetId="3" r:id="rId3"/>
    <sheet name="Historique" sheetId="4" r:id="rId4"/>
    <sheet name="Parametres" sheetId="5" r:id="rId5"/>
    <sheet name="Guide" sheetId="6" r:id="rId6"/>
  </sheets>
  <definedNames>
    <definedName name="_xlnm.Print_Area" localSheetId="0">'Presence du Jour'!$A$1:$D$56</definedName>
    <definedName name="_xlnm.Print_Area" localSheetId="2">'Liste a imprimer'!$A$1:$D$58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1">
    <font>
      <sz val="11"/>
      <color rgb="FF000000"/>
      <name val="Calibri"/>
    </font>
    <font>
      <b/>
      <sz val="18"/>
      <color rgb="FFFFFF"/>
      <name val="Calibri"/>
    </font>
    <font>
      <b/>
      <sz val="16"/>
      <color rgb="FFFFFF"/>
      <name val="Calibri"/>
    </font>
    <font>
      <i/>
      <sz val="10"/>
      <color rgb="FFFFFF"/>
      <name val="Calibri"/>
    </font>
    <font>
      <b/>
      <sz val="11"/>
      <color rgb="FFFFFF"/>
      <name val="Calibri"/>
    </font>
    <font>
      <b/>
      <sz val="13"/>
      <color rgb="548235"/>
      <name val="Calibri"/>
    </font>
    <font>
      <b/>
      <sz val="12"/>
      <color rgb="FF000000"/>
      <name val="Calibri"/>
    </font>
    <font>
      <b/>
      <sz val="11"/>
      <color rgb="1F3864"/>
      <name val="Calibri"/>
    </font>
    <font>
      <b/>
      <sz val="11"/>
      <color rgb="1F3864"/>
      <name val="Calibri"/>
    </font>
    <font>
      <b/>
      <sz val="18"/>
      <color rgb="1F3864"/>
      <name val="Calibri"/>
    </font>
    <font>
      <b/>
      <sz val="9"/>
      <color rgb="548235"/>
      <name val="Calibri"/>
    </font>
    <font>
      <b/>
      <sz val="16"/>
      <color rgb="1F3864"/>
      <name val="Calibri"/>
    </font>
    <font>
      <i/>
      <sz val="10"/>
      <color rgb="808080"/>
      <name val="Calibri"/>
    </font>
    <font>
      <b/>
      <sz val="10"/>
      <color rgb="1F3864"/>
      <name val="Calibri"/>
    </font>
    <font>
      <b/>
      <sz val="11"/>
      <color rgb="FF000000"/>
      <name val="Calibri"/>
    </font>
    <font>
      <sz val="9"/>
      <color rgb="808080"/>
      <name val="Calibri"/>
    </font>
    <font>
      <b/>
      <sz val="13"/>
      <color rgb="2E75B6"/>
      <name val="Calibri"/>
    </font>
    <font>
      <b/>
      <sz val="11"/>
      <color rgb="548235"/>
      <name val="Calibri"/>
    </font>
    <font>
      <sz val="11"/>
      <color rgb="FF000000"/>
      <name val="Calibri"/>
    </font>
    <font>
      <b/>
      <sz val="10"/>
      <color rgb="C00000"/>
      <name val="Calibri"/>
    </font>
    <font>
      <sz val="8"/>
      <color rgb="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4E7E"/>
        <bgColor rgb="FF2E4E7E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EAF1FA"/>
        <bgColor rgb="FFEAF1FA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BF9000"/>
        <bgColor rgb="FFBF9000"/>
      </patternFill>
    </fill>
  </fills>
  <borders count="5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48235"/>
      </left>
      <right style="thin">
        <color rgb="FF548235"/>
      </right>
      <top style="thin">
        <color rgb="FF548235"/>
      </top>
      <bottom style="thin">
        <color rgb="FF548235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0" fillId="4" borderId="2" xfId="0" applyFill="1" applyBorder="1" applyAlignment="1" applyProtection="1">
      <alignment horizontal="left" vertical="center"/>
      <protection locked="0"/>
    </xf>
    <xf numFmtId="164" fontId="6" fillId="4" borderId="2" xfId="0" applyNumberFormat="1" applyFont="1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left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6" borderId="2" xfId="0" applyFill="1" applyBorder="1" applyAlignment="1" applyProtection="1">
      <alignment horizontal="left" vertical="center"/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9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164" fontId="14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 vertical="center"/>
      <protection locked="0"/>
    </xf>
    <xf numFmtId="0" fontId="20" fillId="0" borderId="0" xfId="0" applyFont="1"/>
  </cellXfs>
  <cellStyles count="1">
    <cellStyle name="Normal" xfId="0" builtinId="0"/>
  </cellStyles>
  <dxfs count="3">
    <dxf>
      <font>
        <b/>
        <color rgb="006100"/>
      </font>
      <fill>
        <patternFill>
          <bgColor rgb="FFC6EFCE"/>
        </patternFill>
      </fill>
    </dxf>
    <dxf>
      <font>
        <color rgb="C00000"/>
      </font>
      <fill>
        <patternFill>
          <bgColor rgb="FFF8CBAD"/>
        </patternFill>
      </fill>
    </dxf>
    <dxf>
      <font>
        <color rgb="006100"/>
      </font>
      <fill>
        <patternFill>
          <bgColor rgb="FFC6EF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  <pageSetUpPr fitToPage="1"/>
  </sheetPr>
  <dimension ref="A1:E56"/>
  <sheetViews>
    <sheetView showGridLines="0" workbookViewId="0">
      <pane ySplit="6" topLeftCell="A7" activePane="bottomRight" state="frozen"/>
      <selection pane="bottomRight" activeCell="A7" sqref="A7"/>
    </sheetView>
  </sheetViews>
  <sheetFormatPr defaultRowHeight="15"/>
  <cols>
    <col min="1" max="1" width="14" customWidth="1"/>
    <col min="2" max="2" width="14" customWidth="1"/>
    <col min="3" max="3" width="32" customWidth="1"/>
    <col min="4" max="4" width="20" customWidth="1"/>
    <col min="5" max="5" width="3" customWidth="1"/>
  </cols>
  <sheetData>
    <row r="1" ht="40" customHeight="1">
      <c r="A1" s="1" t="inlineStr">
        <is>
          <t xml:space="preserve">  GESTION DES PRÉSENCES</t>
        </is>
      </c>
    </row>
    <row r="2" ht="20" customHeight="1">
      <c r="A2" s="3" t="inlineStr">
        <is>
          <t xml:space="preserve">  Tapez X dans la colonne « Présent » pour chaque employé présent</t>
        </is>
      </c>
    </row>
    <row r="3" ht="26" customHeight="1">
      <c r="A3" s="19" t="inlineStr">
        <is>
          <t xml:space="preserve">Date :</t>
        </is>
      </c>
      <c r="B3" s="8">
        <v>46209</v>
      </c>
      <c r="C3" s="22" t="inlineStr">
        <is>
          <t xml:space="preserve">Présents</t>
        </is>
      </c>
      <c r="D3" s="21">
        <f>COUNTIF(A7:A56,"X")</f>
      </c>
    </row>
    <row r="4" ht="26" customHeight="1">
      <c r="A4" s="19" t="inlineStr">
        <is>
          <t xml:space="preserve">Chantier :</t>
        </is>
      </c>
      <c r="B4" s="7" t="inlineStr">
        <is>
          <t xml:space="preserve"/>
        </is>
      </c>
      <c r="C4" s="22" t="inlineStr">
        <is>
          <t xml:space="preserve">Total actifs</t>
        </is>
      </c>
      <c r="D4" s="21">
        <f>COUNTA(B7:B56)</f>
      </c>
    </row>
    <row r="6" ht="26" customHeight="1">
      <c r="A6" s="4" t="inlineStr">
        <is>
          <t xml:space="preserve">✓ Présent</t>
        </is>
      </c>
      <c r="B6" s="4" t="inlineStr">
        <is>
          <t xml:space="preserve">ID</t>
        </is>
      </c>
      <c r="C6" s="4" t="inlineStr">
        <is>
          <t xml:space="preserve">Nom et Prénom</t>
        </is>
      </c>
      <c r="D6" s="4" t="inlineStr">
        <is>
          <t xml:space="preserve">Poste</t>
        </is>
      </c>
    </row>
    <row r="7" ht="24" customHeight="1">
      <c r="A7" s="5" t="inlineStr">
        <is>
          <t xml:space="preserve"/>
        </is>
      </c>
      <c r="B7" s="13">
        <f>IF(Employes!E3="Actif",Employes!A3,"")</f>
      </c>
      <c r="C7" s="14">
        <f>IF(B7&lt;&gt;"",Employes!B3,"")</f>
      </c>
      <c r="D7" s="15">
        <f>IF(B7&lt;&gt;"",Employes!C3,"")</f>
      </c>
      <c r="E7" s="36">
        <f>IF(A7="X",COUNTIF(A$7:A7,"X"),"")</f>
      </c>
    </row>
    <row r="8" ht="24" customHeight="1">
      <c r="A8" s="6" t="inlineStr">
        <is>
          <t xml:space="preserve"/>
        </is>
      </c>
      <c r="B8" s="16">
        <f>IF(Employes!E4="Actif",Employes!A4,"")</f>
      </c>
      <c r="C8" s="17">
        <f>IF(B8&lt;&gt;"",Employes!B4,"")</f>
      </c>
      <c r="D8" s="18">
        <f>IF(B8&lt;&gt;"",Employes!C4,"")</f>
      </c>
      <c r="E8" s="36">
        <f>IF(A8="X",COUNTIF(A$7:A8,"X"),"")</f>
      </c>
    </row>
    <row r="9" ht="24" customHeight="1">
      <c r="A9" s="5" t="inlineStr">
        <is>
          <t xml:space="preserve"/>
        </is>
      </c>
      <c r="B9" s="13">
        <f>IF(Employes!E5="Actif",Employes!A5,"")</f>
      </c>
      <c r="C9" s="14">
        <f>IF(B9&lt;&gt;"",Employes!B5,"")</f>
      </c>
      <c r="D9" s="15">
        <f>IF(B9&lt;&gt;"",Employes!C5,"")</f>
      </c>
      <c r="E9" s="36">
        <f>IF(A9="X",COUNTIF(A$7:A9,"X"),"")</f>
      </c>
    </row>
    <row r="10" ht="24" customHeight="1">
      <c r="A10" s="6" t="inlineStr">
        <is>
          <t xml:space="preserve"/>
        </is>
      </c>
      <c r="B10" s="16">
        <f>IF(Employes!E6="Actif",Employes!A6,"")</f>
      </c>
      <c r="C10" s="17">
        <f>IF(B10&lt;&gt;"",Employes!B6,"")</f>
      </c>
      <c r="D10" s="18">
        <f>IF(B10&lt;&gt;"",Employes!C6,"")</f>
      </c>
      <c r="E10" s="36">
        <f>IF(A10="X",COUNTIF(A$7:A10,"X"),"")</f>
      </c>
    </row>
    <row r="11" ht="24" customHeight="1">
      <c r="A11" s="5" t="inlineStr">
        <is>
          <t xml:space="preserve"/>
        </is>
      </c>
      <c r="B11" s="13">
        <f>IF(Employes!E7="Actif",Employes!A7,"")</f>
      </c>
      <c r="C11" s="14">
        <f>IF(B11&lt;&gt;"",Employes!B7,"")</f>
      </c>
      <c r="D11" s="15">
        <f>IF(B11&lt;&gt;"",Employes!C7,"")</f>
      </c>
      <c r="E11" s="36">
        <f>IF(A11="X",COUNTIF(A$7:A11,"X"),"")</f>
      </c>
    </row>
    <row r="12" ht="24" customHeight="1">
      <c r="A12" s="6" t="inlineStr">
        <is>
          <t xml:space="preserve"/>
        </is>
      </c>
      <c r="B12" s="16">
        <f>IF(Employes!E8="Actif",Employes!A8,"")</f>
      </c>
      <c r="C12" s="17">
        <f>IF(B12&lt;&gt;"",Employes!B8,"")</f>
      </c>
      <c r="D12" s="18">
        <f>IF(B12&lt;&gt;"",Employes!C8,"")</f>
      </c>
      <c r="E12" s="36">
        <f>IF(A12="X",COUNTIF(A$7:A12,"X"),"")</f>
      </c>
    </row>
    <row r="13" ht="24" customHeight="1">
      <c r="A13" s="5" t="inlineStr">
        <is>
          <t xml:space="preserve"/>
        </is>
      </c>
      <c r="B13" s="13">
        <f>IF(Employes!E9="Actif",Employes!A9,"")</f>
      </c>
      <c r="C13" s="14">
        <f>IF(B13&lt;&gt;"",Employes!B9,"")</f>
      </c>
      <c r="D13" s="15">
        <f>IF(B13&lt;&gt;"",Employes!C9,"")</f>
      </c>
      <c r="E13" s="36">
        <f>IF(A13="X",COUNTIF(A$7:A13,"X"),"")</f>
      </c>
    </row>
    <row r="14" ht="24" customHeight="1">
      <c r="A14" s="6" t="inlineStr">
        <is>
          <t xml:space="preserve"/>
        </is>
      </c>
      <c r="B14" s="16">
        <f>IF(Employes!E10="Actif",Employes!A10,"")</f>
      </c>
      <c r="C14" s="17">
        <f>IF(B14&lt;&gt;"",Employes!B10,"")</f>
      </c>
      <c r="D14" s="18">
        <f>IF(B14&lt;&gt;"",Employes!C10,"")</f>
      </c>
      <c r="E14" s="36">
        <f>IF(A14="X",COUNTIF(A$7:A14,"X"),"")</f>
      </c>
    </row>
    <row r="15" ht="24" customHeight="1">
      <c r="A15" s="5" t="inlineStr">
        <is>
          <t xml:space="preserve"/>
        </is>
      </c>
      <c r="B15" s="13">
        <f>IF(Employes!E11="Actif",Employes!A11,"")</f>
      </c>
      <c r="C15" s="14">
        <f>IF(B15&lt;&gt;"",Employes!B11,"")</f>
      </c>
      <c r="D15" s="15">
        <f>IF(B15&lt;&gt;"",Employes!C11,"")</f>
      </c>
      <c r="E15" s="36">
        <f>IF(A15="X",COUNTIF(A$7:A15,"X"),"")</f>
      </c>
    </row>
    <row r="16" ht="24" customHeight="1">
      <c r="A16" s="6" t="inlineStr">
        <is>
          <t xml:space="preserve"/>
        </is>
      </c>
      <c r="B16" s="16">
        <f>IF(Employes!E12="Actif",Employes!A12,"")</f>
      </c>
      <c r="C16" s="17">
        <f>IF(B16&lt;&gt;"",Employes!B12,"")</f>
      </c>
      <c r="D16" s="18">
        <f>IF(B16&lt;&gt;"",Employes!C12,"")</f>
      </c>
      <c r="E16" s="36">
        <f>IF(A16="X",COUNTIF(A$7:A16,"X"),"")</f>
      </c>
    </row>
    <row r="17" ht="24" customHeight="1">
      <c r="A17" s="5" t="inlineStr">
        <is>
          <t xml:space="preserve"/>
        </is>
      </c>
      <c r="B17" s="13">
        <f>IF(Employes!E13="Actif",Employes!A13,"")</f>
      </c>
      <c r="C17" s="14">
        <f>IF(B17&lt;&gt;"",Employes!B13,"")</f>
      </c>
      <c r="D17" s="15">
        <f>IF(B17&lt;&gt;"",Employes!C13,"")</f>
      </c>
      <c r="E17" s="36">
        <f>IF(A17="X",COUNTIF(A$7:A17,"X"),"")</f>
      </c>
    </row>
    <row r="18" ht="24" customHeight="1">
      <c r="A18" s="6" t="inlineStr">
        <is>
          <t xml:space="preserve"/>
        </is>
      </c>
      <c r="B18" s="16">
        <f>IF(Employes!E14="Actif",Employes!A14,"")</f>
      </c>
      <c r="C18" s="17">
        <f>IF(B18&lt;&gt;"",Employes!B14,"")</f>
      </c>
      <c r="D18" s="18">
        <f>IF(B18&lt;&gt;"",Employes!C14,"")</f>
      </c>
      <c r="E18" s="36">
        <f>IF(A18="X",COUNTIF(A$7:A18,"X"),"")</f>
      </c>
    </row>
    <row r="19" ht="24" customHeight="1">
      <c r="A19" s="5" t="inlineStr">
        <is>
          <t xml:space="preserve"/>
        </is>
      </c>
      <c r="B19" s="13">
        <f>IF(Employes!E15="Actif",Employes!A15,"")</f>
      </c>
      <c r="C19" s="14">
        <f>IF(B19&lt;&gt;"",Employes!B15,"")</f>
      </c>
      <c r="D19" s="15">
        <f>IF(B19&lt;&gt;"",Employes!C15,"")</f>
      </c>
      <c r="E19" s="36">
        <f>IF(A19="X",COUNTIF(A$7:A19,"X"),"")</f>
      </c>
    </row>
    <row r="20" ht="24" customHeight="1">
      <c r="A20" s="6" t="inlineStr">
        <is>
          <t xml:space="preserve"/>
        </is>
      </c>
      <c r="B20" s="16">
        <f>IF(Employes!E16="Actif",Employes!A16,"")</f>
      </c>
      <c r="C20" s="17">
        <f>IF(B20&lt;&gt;"",Employes!B16,"")</f>
      </c>
      <c r="D20" s="18">
        <f>IF(B20&lt;&gt;"",Employes!C16,"")</f>
      </c>
      <c r="E20" s="36">
        <f>IF(A20="X",COUNTIF(A$7:A20,"X"),"")</f>
      </c>
    </row>
    <row r="21" ht="24" customHeight="1">
      <c r="A21" s="5" t="inlineStr">
        <is>
          <t xml:space="preserve"/>
        </is>
      </c>
      <c r="B21" s="13">
        <f>IF(Employes!E17="Actif",Employes!A17,"")</f>
      </c>
      <c r="C21" s="14">
        <f>IF(B21&lt;&gt;"",Employes!B17,"")</f>
      </c>
      <c r="D21" s="15">
        <f>IF(B21&lt;&gt;"",Employes!C17,"")</f>
      </c>
      <c r="E21" s="36">
        <f>IF(A21="X",COUNTIF(A$7:A21,"X"),"")</f>
      </c>
    </row>
    <row r="22" ht="24" customHeight="1">
      <c r="A22" s="6" t="inlineStr">
        <is>
          <t xml:space="preserve"/>
        </is>
      </c>
      <c r="B22" s="16">
        <f>IF(Employes!E18="Actif",Employes!A18,"")</f>
      </c>
      <c r="C22" s="17">
        <f>IF(B22&lt;&gt;"",Employes!B18,"")</f>
      </c>
      <c r="D22" s="18">
        <f>IF(B22&lt;&gt;"",Employes!C18,"")</f>
      </c>
      <c r="E22" s="36">
        <f>IF(A22="X",COUNTIF(A$7:A22,"X"),"")</f>
      </c>
    </row>
    <row r="23" ht="24" customHeight="1">
      <c r="A23" s="5" t="inlineStr">
        <is>
          <t xml:space="preserve"/>
        </is>
      </c>
      <c r="B23" s="13">
        <f>IF(Employes!E19="Actif",Employes!A19,"")</f>
      </c>
      <c r="C23" s="14">
        <f>IF(B23&lt;&gt;"",Employes!B19,"")</f>
      </c>
      <c r="D23" s="15">
        <f>IF(B23&lt;&gt;"",Employes!C19,"")</f>
      </c>
      <c r="E23" s="36">
        <f>IF(A23="X",COUNTIF(A$7:A23,"X"),"")</f>
      </c>
    </row>
    <row r="24" ht="24" customHeight="1">
      <c r="A24" s="6" t="inlineStr">
        <is>
          <t xml:space="preserve"/>
        </is>
      </c>
      <c r="B24" s="16">
        <f>IF(Employes!E20="Actif",Employes!A20,"")</f>
      </c>
      <c r="C24" s="17">
        <f>IF(B24&lt;&gt;"",Employes!B20,"")</f>
      </c>
      <c r="D24" s="18">
        <f>IF(B24&lt;&gt;"",Employes!C20,"")</f>
      </c>
      <c r="E24" s="36">
        <f>IF(A24="X",COUNTIF(A$7:A24,"X"),"")</f>
      </c>
    </row>
    <row r="25" ht="24" customHeight="1">
      <c r="A25" s="5" t="inlineStr">
        <is>
          <t xml:space="preserve"/>
        </is>
      </c>
      <c r="B25" s="13">
        <f>IF(Employes!E21="Actif",Employes!A21,"")</f>
      </c>
      <c r="C25" s="14">
        <f>IF(B25&lt;&gt;"",Employes!B21,"")</f>
      </c>
      <c r="D25" s="15">
        <f>IF(B25&lt;&gt;"",Employes!C21,"")</f>
      </c>
      <c r="E25" s="36">
        <f>IF(A25="X",COUNTIF(A$7:A25,"X"),"")</f>
      </c>
    </row>
    <row r="26" ht="24" customHeight="1">
      <c r="A26" s="6" t="inlineStr">
        <is>
          <t xml:space="preserve"/>
        </is>
      </c>
      <c r="B26" s="16">
        <f>IF(Employes!E22="Actif",Employes!A22,"")</f>
      </c>
      <c r="C26" s="17">
        <f>IF(B26&lt;&gt;"",Employes!B22,"")</f>
      </c>
      <c r="D26" s="18">
        <f>IF(B26&lt;&gt;"",Employes!C22,"")</f>
      </c>
      <c r="E26" s="36">
        <f>IF(A26="X",COUNTIF(A$7:A26,"X"),"")</f>
      </c>
    </row>
    <row r="27" ht="24" customHeight="1">
      <c r="A27" s="5" t="inlineStr">
        <is>
          <t xml:space="preserve"/>
        </is>
      </c>
      <c r="B27" s="13">
        <f>IF(Employes!E23="Actif",Employes!A23,"")</f>
      </c>
      <c r="C27" s="14">
        <f>IF(B27&lt;&gt;"",Employes!B23,"")</f>
      </c>
      <c r="D27" s="15">
        <f>IF(B27&lt;&gt;"",Employes!C23,"")</f>
      </c>
      <c r="E27" s="36">
        <f>IF(A27="X",COUNTIF(A$7:A27,"X"),"")</f>
      </c>
    </row>
    <row r="28" ht="24" customHeight="1">
      <c r="A28" s="6" t="inlineStr">
        <is>
          <t xml:space="preserve"/>
        </is>
      </c>
      <c r="B28" s="16">
        <f>IF(Employes!E24="Actif",Employes!A24,"")</f>
      </c>
      <c r="C28" s="17">
        <f>IF(B28&lt;&gt;"",Employes!B24,"")</f>
      </c>
      <c r="D28" s="18">
        <f>IF(B28&lt;&gt;"",Employes!C24,"")</f>
      </c>
      <c r="E28" s="36">
        <f>IF(A28="X",COUNTIF(A$7:A28,"X"),"")</f>
      </c>
    </row>
    <row r="29" ht="24" customHeight="1">
      <c r="A29" s="5" t="inlineStr">
        <is>
          <t xml:space="preserve"/>
        </is>
      </c>
      <c r="B29" s="13">
        <f>IF(Employes!E25="Actif",Employes!A25,"")</f>
      </c>
      <c r="C29" s="14">
        <f>IF(B29&lt;&gt;"",Employes!B25,"")</f>
      </c>
      <c r="D29" s="15">
        <f>IF(B29&lt;&gt;"",Employes!C25,"")</f>
      </c>
      <c r="E29" s="36">
        <f>IF(A29="X",COUNTIF(A$7:A29,"X"),"")</f>
      </c>
    </row>
    <row r="30" ht="24" customHeight="1">
      <c r="A30" s="6" t="inlineStr">
        <is>
          <t xml:space="preserve"/>
        </is>
      </c>
      <c r="B30" s="16">
        <f>IF(Employes!E26="Actif",Employes!A26,"")</f>
      </c>
      <c r="C30" s="17">
        <f>IF(B30&lt;&gt;"",Employes!B26,"")</f>
      </c>
      <c r="D30" s="18">
        <f>IF(B30&lt;&gt;"",Employes!C26,"")</f>
      </c>
      <c r="E30" s="36">
        <f>IF(A30="X",COUNTIF(A$7:A30,"X"),"")</f>
      </c>
    </row>
    <row r="31" ht="24" customHeight="1">
      <c r="A31" s="5" t="inlineStr">
        <is>
          <t xml:space="preserve"/>
        </is>
      </c>
      <c r="B31" s="13">
        <f>IF(Employes!E27="Actif",Employes!A27,"")</f>
      </c>
      <c r="C31" s="14">
        <f>IF(B31&lt;&gt;"",Employes!B27,"")</f>
      </c>
      <c r="D31" s="15">
        <f>IF(B31&lt;&gt;"",Employes!C27,"")</f>
      </c>
      <c r="E31" s="36">
        <f>IF(A31="X",COUNTIF(A$7:A31,"X"),"")</f>
      </c>
    </row>
    <row r="32" ht="24" customHeight="1">
      <c r="A32" s="6" t="inlineStr">
        <is>
          <t xml:space="preserve"/>
        </is>
      </c>
      <c r="B32" s="16">
        <f>IF(Employes!E28="Actif",Employes!A28,"")</f>
      </c>
      <c r="C32" s="17">
        <f>IF(B32&lt;&gt;"",Employes!B28,"")</f>
      </c>
      <c r="D32" s="18">
        <f>IF(B32&lt;&gt;"",Employes!C28,"")</f>
      </c>
      <c r="E32" s="36">
        <f>IF(A32="X",COUNTIF(A$7:A32,"X"),"")</f>
      </c>
    </row>
    <row r="33" ht="24" customHeight="1">
      <c r="A33" s="5" t="inlineStr">
        <is>
          <t xml:space="preserve"/>
        </is>
      </c>
      <c r="B33" s="13">
        <f>IF(Employes!E29="Actif",Employes!A29,"")</f>
      </c>
      <c r="C33" s="14">
        <f>IF(B33&lt;&gt;"",Employes!B29,"")</f>
      </c>
      <c r="D33" s="15">
        <f>IF(B33&lt;&gt;"",Employes!C29,"")</f>
      </c>
      <c r="E33" s="36">
        <f>IF(A33="X",COUNTIF(A$7:A33,"X"),"")</f>
      </c>
    </row>
    <row r="34" ht="24" customHeight="1">
      <c r="A34" s="6" t="inlineStr">
        <is>
          <t xml:space="preserve"/>
        </is>
      </c>
      <c r="B34" s="16">
        <f>IF(Employes!E30="Actif",Employes!A30,"")</f>
      </c>
      <c r="C34" s="17">
        <f>IF(B34&lt;&gt;"",Employes!B30,"")</f>
      </c>
      <c r="D34" s="18">
        <f>IF(B34&lt;&gt;"",Employes!C30,"")</f>
      </c>
      <c r="E34" s="36">
        <f>IF(A34="X",COUNTIF(A$7:A34,"X"),"")</f>
      </c>
    </row>
    <row r="35" ht="24" customHeight="1">
      <c r="A35" s="5" t="inlineStr">
        <is>
          <t xml:space="preserve"/>
        </is>
      </c>
      <c r="B35" s="13">
        <f>IF(Employes!E31="Actif",Employes!A31,"")</f>
      </c>
      <c r="C35" s="14">
        <f>IF(B35&lt;&gt;"",Employes!B31,"")</f>
      </c>
      <c r="D35" s="15">
        <f>IF(B35&lt;&gt;"",Employes!C31,"")</f>
      </c>
      <c r="E35" s="36">
        <f>IF(A35="X",COUNTIF(A$7:A35,"X"),"")</f>
      </c>
    </row>
    <row r="36" ht="24" customHeight="1">
      <c r="A36" s="6" t="inlineStr">
        <is>
          <t xml:space="preserve"/>
        </is>
      </c>
      <c r="B36" s="16">
        <f>IF(Employes!E32="Actif",Employes!A32,"")</f>
      </c>
      <c r="C36" s="17">
        <f>IF(B36&lt;&gt;"",Employes!B32,"")</f>
      </c>
      <c r="D36" s="18">
        <f>IF(B36&lt;&gt;"",Employes!C32,"")</f>
      </c>
      <c r="E36" s="36">
        <f>IF(A36="X",COUNTIF(A$7:A36,"X"),"")</f>
      </c>
    </row>
    <row r="37" ht="24" customHeight="1">
      <c r="A37" s="5" t="inlineStr">
        <is>
          <t xml:space="preserve"/>
        </is>
      </c>
      <c r="B37" s="13">
        <f>IF(Employes!E33="Actif",Employes!A33,"")</f>
      </c>
      <c r="C37" s="14">
        <f>IF(B37&lt;&gt;"",Employes!B33,"")</f>
      </c>
      <c r="D37" s="15">
        <f>IF(B37&lt;&gt;"",Employes!C33,"")</f>
      </c>
      <c r="E37" s="36">
        <f>IF(A37="X",COUNTIF(A$7:A37,"X"),"")</f>
      </c>
    </row>
    <row r="38" ht="24" customHeight="1">
      <c r="A38" s="6" t="inlineStr">
        <is>
          <t xml:space="preserve"/>
        </is>
      </c>
      <c r="B38" s="16">
        <f>IF(Employes!E34="Actif",Employes!A34,"")</f>
      </c>
      <c r="C38" s="17">
        <f>IF(B38&lt;&gt;"",Employes!B34,"")</f>
      </c>
      <c r="D38" s="18">
        <f>IF(B38&lt;&gt;"",Employes!C34,"")</f>
      </c>
      <c r="E38" s="36">
        <f>IF(A38="X",COUNTIF(A$7:A38,"X"),"")</f>
      </c>
    </row>
    <row r="39" ht="24" customHeight="1">
      <c r="A39" s="5" t="inlineStr">
        <is>
          <t xml:space="preserve"/>
        </is>
      </c>
      <c r="B39" s="13">
        <f>IF(Employes!E35="Actif",Employes!A35,"")</f>
      </c>
      <c r="C39" s="14">
        <f>IF(B39&lt;&gt;"",Employes!B35,"")</f>
      </c>
      <c r="D39" s="15">
        <f>IF(B39&lt;&gt;"",Employes!C35,"")</f>
      </c>
      <c r="E39" s="36">
        <f>IF(A39="X",COUNTIF(A$7:A39,"X"),"")</f>
      </c>
    </row>
    <row r="40" ht="24" customHeight="1">
      <c r="A40" s="6" t="inlineStr">
        <is>
          <t xml:space="preserve"/>
        </is>
      </c>
      <c r="B40" s="16">
        <f>IF(Employes!E36="Actif",Employes!A36,"")</f>
      </c>
      <c r="C40" s="17">
        <f>IF(B40&lt;&gt;"",Employes!B36,"")</f>
      </c>
      <c r="D40" s="18">
        <f>IF(B40&lt;&gt;"",Employes!C36,"")</f>
      </c>
      <c r="E40" s="36">
        <f>IF(A40="X",COUNTIF(A$7:A40,"X"),"")</f>
      </c>
    </row>
    <row r="41" ht="24" customHeight="1">
      <c r="A41" s="5" t="inlineStr">
        <is>
          <t xml:space="preserve"/>
        </is>
      </c>
      <c r="B41" s="13">
        <f>IF(Employes!E37="Actif",Employes!A37,"")</f>
      </c>
      <c r="C41" s="14">
        <f>IF(B41&lt;&gt;"",Employes!B37,"")</f>
      </c>
      <c r="D41" s="15">
        <f>IF(B41&lt;&gt;"",Employes!C37,"")</f>
      </c>
      <c r="E41" s="36">
        <f>IF(A41="X",COUNTIF(A$7:A41,"X"),"")</f>
      </c>
    </row>
    <row r="42" ht="24" customHeight="1">
      <c r="A42" s="6" t="inlineStr">
        <is>
          <t xml:space="preserve"/>
        </is>
      </c>
      <c r="B42" s="16">
        <f>IF(Employes!E38="Actif",Employes!A38,"")</f>
      </c>
      <c r="C42" s="17">
        <f>IF(B42&lt;&gt;"",Employes!B38,"")</f>
      </c>
      <c r="D42" s="18">
        <f>IF(B42&lt;&gt;"",Employes!C38,"")</f>
      </c>
      <c r="E42" s="36">
        <f>IF(A42="X",COUNTIF(A$7:A42,"X"),"")</f>
      </c>
    </row>
    <row r="43" ht="24" customHeight="1">
      <c r="A43" s="5" t="inlineStr">
        <is>
          <t xml:space="preserve"/>
        </is>
      </c>
      <c r="B43" s="13">
        <f>IF(Employes!E39="Actif",Employes!A39,"")</f>
      </c>
      <c r="C43" s="14">
        <f>IF(B43&lt;&gt;"",Employes!B39,"")</f>
      </c>
      <c r="D43" s="15">
        <f>IF(B43&lt;&gt;"",Employes!C39,"")</f>
      </c>
      <c r="E43" s="36">
        <f>IF(A43="X",COUNTIF(A$7:A43,"X"),"")</f>
      </c>
    </row>
    <row r="44" ht="24" customHeight="1">
      <c r="A44" s="6" t="inlineStr">
        <is>
          <t xml:space="preserve"/>
        </is>
      </c>
      <c r="B44" s="16">
        <f>IF(Employes!E40="Actif",Employes!A40,"")</f>
      </c>
      <c r="C44" s="17">
        <f>IF(B44&lt;&gt;"",Employes!B40,"")</f>
      </c>
      <c r="D44" s="18">
        <f>IF(B44&lt;&gt;"",Employes!C40,"")</f>
      </c>
      <c r="E44" s="36">
        <f>IF(A44="X",COUNTIF(A$7:A44,"X"),"")</f>
      </c>
    </row>
    <row r="45" ht="24" customHeight="1">
      <c r="A45" s="5" t="inlineStr">
        <is>
          <t xml:space="preserve"/>
        </is>
      </c>
      <c r="B45" s="13">
        <f>IF(Employes!E41="Actif",Employes!A41,"")</f>
      </c>
      <c r="C45" s="14">
        <f>IF(B45&lt;&gt;"",Employes!B41,"")</f>
      </c>
      <c r="D45" s="15">
        <f>IF(B45&lt;&gt;"",Employes!C41,"")</f>
      </c>
      <c r="E45" s="36">
        <f>IF(A45="X",COUNTIF(A$7:A45,"X"),"")</f>
      </c>
    </row>
    <row r="46" ht="24" customHeight="1">
      <c r="A46" s="6" t="inlineStr">
        <is>
          <t xml:space="preserve"/>
        </is>
      </c>
      <c r="B46" s="16">
        <f>IF(Employes!E42="Actif",Employes!A42,"")</f>
      </c>
      <c r="C46" s="17">
        <f>IF(B46&lt;&gt;"",Employes!B42,"")</f>
      </c>
      <c r="D46" s="18">
        <f>IF(B46&lt;&gt;"",Employes!C42,"")</f>
      </c>
      <c r="E46" s="36">
        <f>IF(A46="X",COUNTIF(A$7:A46,"X"),"")</f>
      </c>
    </row>
    <row r="47" ht="24" customHeight="1">
      <c r="A47" s="5" t="inlineStr">
        <is>
          <t xml:space="preserve"/>
        </is>
      </c>
      <c r="B47" s="13">
        <f>IF(Employes!E43="Actif",Employes!A43,"")</f>
      </c>
      <c r="C47" s="14">
        <f>IF(B47&lt;&gt;"",Employes!B43,"")</f>
      </c>
      <c r="D47" s="15">
        <f>IF(B47&lt;&gt;"",Employes!C43,"")</f>
      </c>
      <c r="E47" s="36">
        <f>IF(A47="X",COUNTIF(A$7:A47,"X"),"")</f>
      </c>
    </row>
    <row r="48" ht="24" customHeight="1">
      <c r="A48" s="6" t="inlineStr">
        <is>
          <t xml:space="preserve"/>
        </is>
      </c>
      <c r="B48" s="16">
        <f>IF(Employes!E44="Actif",Employes!A44,"")</f>
      </c>
      <c r="C48" s="17">
        <f>IF(B48&lt;&gt;"",Employes!B44,"")</f>
      </c>
      <c r="D48" s="18">
        <f>IF(B48&lt;&gt;"",Employes!C44,"")</f>
      </c>
      <c r="E48" s="36">
        <f>IF(A48="X",COUNTIF(A$7:A48,"X"),"")</f>
      </c>
    </row>
    <row r="49" ht="24" customHeight="1">
      <c r="A49" s="5" t="inlineStr">
        <is>
          <t xml:space="preserve"/>
        </is>
      </c>
      <c r="B49" s="13">
        <f>IF(Employes!E45="Actif",Employes!A45,"")</f>
      </c>
      <c r="C49" s="14">
        <f>IF(B49&lt;&gt;"",Employes!B45,"")</f>
      </c>
      <c r="D49" s="15">
        <f>IF(B49&lt;&gt;"",Employes!C45,"")</f>
      </c>
      <c r="E49" s="36">
        <f>IF(A49="X",COUNTIF(A$7:A49,"X"),"")</f>
      </c>
    </row>
    <row r="50" ht="24" customHeight="1">
      <c r="A50" s="6" t="inlineStr">
        <is>
          <t xml:space="preserve"/>
        </is>
      </c>
      <c r="B50" s="16">
        <f>IF(Employes!E46="Actif",Employes!A46,"")</f>
      </c>
      <c r="C50" s="17">
        <f>IF(B50&lt;&gt;"",Employes!B46,"")</f>
      </c>
      <c r="D50" s="18">
        <f>IF(B50&lt;&gt;"",Employes!C46,"")</f>
      </c>
      <c r="E50" s="36">
        <f>IF(A50="X",COUNTIF(A$7:A50,"X"),"")</f>
      </c>
    </row>
    <row r="51" ht="24" customHeight="1">
      <c r="A51" s="5" t="inlineStr">
        <is>
          <t xml:space="preserve"/>
        </is>
      </c>
      <c r="B51" s="13">
        <f>IF(Employes!E47="Actif",Employes!A47,"")</f>
      </c>
      <c r="C51" s="14">
        <f>IF(B51&lt;&gt;"",Employes!B47,"")</f>
      </c>
      <c r="D51" s="15">
        <f>IF(B51&lt;&gt;"",Employes!C47,"")</f>
      </c>
      <c r="E51" s="36">
        <f>IF(A51="X",COUNTIF(A$7:A51,"X"),"")</f>
      </c>
    </row>
    <row r="52" ht="24" customHeight="1">
      <c r="A52" s="6" t="inlineStr">
        <is>
          <t xml:space="preserve"/>
        </is>
      </c>
      <c r="B52" s="16">
        <f>IF(Employes!E48="Actif",Employes!A48,"")</f>
      </c>
      <c r="C52" s="17">
        <f>IF(B52&lt;&gt;"",Employes!B48,"")</f>
      </c>
      <c r="D52" s="18">
        <f>IF(B52&lt;&gt;"",Employes!C48,"")</f>
      </c>
      <c r="E52" s="36">
        <f>IF(A52="X",COUNTIF(A$7:A52,"X"),"")</f>
      </c>
    </row>
    <row r="53" ht="24" customHeight="1">
      <c r="A53" s="5" t="inlineStr">
        <is>
          <t xml:space="preserve"/>
        </is>
      </c>
      <c r="B53" s="13">
        <f>IF(Employes!E49="Actif",Employes!A49,"")</f>
      </c>
      <c r="C53" s="14">
        <f>IF(B53&lt;&gt;"",Employes!B49,"")</f>
      </c>
      <c r="D53" s="15">
        <f>IF(B53&lt;&gt;"",Employes!C49,"")</f>
      </c>
      <c r="E53" s="36">
        <f>IF(A53="X",COUNTIF(A$7:A53,"X"),"")</f>
      </c>
    </row>
    <row r="54" ht="24" customHeight="1">
      <c r="A54" s="6" t="inlineStr">
        <is>
          <t xml:space="preserve"/>
        </is>
      </c>
      <c r="B54" s="16">
        <f>IF(Employes!E50="Actif",Employes!A50,"")</f>
      </c>
      <c r="C54" s="17">
        <f>IF(B54&lt;&gt;"",Employes!B50,"")</f>
      </c>
      <c r="D54" s="18">
        <f>IF(B54&lt;&gt;"",Employes!C50,"")</f>
      </c>
      <c r="E54" s="36">
        <f>IF(A54="X",COUNTIF(A$7:A54,"X"),"")</f>
      </c>
    </row>
    <row r="55" ht="24" customHeight="1">
      <c r="A55" s="5" t="inlineStr">
        <is>
          <t xml:space="preserve"/>
        </is>
      </c>
      <c r="B55" s="13">
        <f>IF(Employes!E51="Actif",Employes!A51,"")</f>
      </c>
      <c r="C55" s="14">
        <f>IF(B55&lt;&gt;"",Employes!B51,"")</f>
      </c>
      <c r="D55" s="15">
        <f>IF(B55&lt;&gt;"",Employes!C51,"")</f>
      </c>
      <c r="E55" s="36">
        <f>IF(A55="X",COUNTIF(A$7:A55,"X"),"")</f>
      </c>
    </row>
    <row r="56" ht="24" customHeight="1">
      <c r="A56" s="6" t="inlineStr">
        <is>
          <t xml:space="preserve"/>
        </is>
      </c>
      <c r="B56" s="16">
        <f>IF(Employes!E52="Actif",Employes!A52,"")</f>
      </c>
      <c r="C56" s="17">
        <f>IF(B56&lt;&gt;"",Employes!B52,"")</f>
      </c>
      <c r="D56" s="18">
        <f>IF(B56&lt;&gt;"",Employes!C52,"")</f>
      </c>
      <c r="E56" s="36">
        <f>IF(A56="X",COUNTIF(A$7:A56,"X"),"")</f>
      </c>
    </row>
  </sheetData>
  <mergeCells count="2">
    <mergeCell ref="A1:D1"/>
    <mergeCell ref="A2:D2"/>
  </mergeCells>
  <conditionalFormatting sqref="A7:A56">
    <cfRule type="cellIs" dxfId="0" priority="1" operator="equal">
      <formula>"X"</formula>
    </cfRule>
  </conditionalFormatting>
  <dataValidations count="1">
    <dataValidation type="list" allowBlank="1" showInputMessage="1" showErrorMessage="1" sqref="A7:A56">
      <formula1>"X,"</formula1>
    </dataValidation>
  </dataValidations>
  <printOptions horizontalCentered="1"/>
  <pageMargins left="0.4" right="0.4" top="0.5" bottom="0.5" header="0.2" footer="0.2"/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A1:E52"/>
  <sheetViews>
    <sheetView showGridLines="0" workbookViewId="0">
      <pane ySplit="2" topLeftCell="A3" activePane="bottomRight" state="frozen"/>
      <selection pane="bottomRight" activeCell="A3" sqref="A3"/>
    </sheetView>
  </sheetViews>
  <sheetFormatPr defaultRowHeight="15"/>
  <cols>
    <col min="1" max="1" width="14" customWidth="1"/>
    <col min="2" max="2" width="30" customWidth="1"/>
    <col min="3" max="3" width="20" customWidth="1"/>
    <col min="4" max="4" width="16" customWidth="1"/>
    <col min="5" max="5" width="12" customWidth="1"/>
  </cols>
  <sheetData>
    <row r="1" ht="35" customHeight="1">
      <c r="A1" s="1" t="inlineStr">
        <is>
          <t xml:space="preserve">  LISTE DES EMPLOYÉS</t>
        </is>
      </c>
    </row>
    <row r="2" ht="26" customHeight="1">
      <c r="A2" s="4" t="inlineStr">
        <is>
          <t xml:space="preserve">ID Employé</t>
        </is>
      </c>
      <c r="B2" s="4" t="inlineStr">
        <is>
          <t xml:space="preserve">Nom et Prénom</t>
        </is>
      </c>
      <c r="C2" s="4" t="inlineStr">
        <is>
          <t xml:space="preserve">Poste</t>
        </is>
      </c>
      <c r="D2" s="4" t="inlineStr">
        <is>
          <t xml:space="preserve">Équipe</t>
        </is>
      </c>
      <c r="E2" s="4" t="inlineStr">
        <is>
          <t xml:space="preserve">Statut</t>
        </is>
      </c>
    </row>
    <row r="3">
      <c r="A3" s="10" t="inlineStr">
        <is>
          <t xml:space="preserve">EMP-001</t>
        </is>
      </c>
      <c r="B3" s="9" t="inlineStr">
        <is>
          <t xml:space="preserve">Ahmed Benali</t>
        </is>
      </c>
      <c r="C3" s="10" t="inlineStr">
        <is>
          <t xml:space="preserve">Maçon</t>
        </is>
      </c>
      <c r="D3" s="10" t="inlineStr">
        <is>
          <t xml:space="preserve">Équipe A</t>
        </is>
      </c>
      <c r="E3" s="10" t="inlineStr">
        <is>
          <t xml:space="preserve">Actif</t>
        </is>
      </c>
    </row>
    <row r="4">
      <c r="A4" s="12" t="inlineStr">
        <is>
          <t xml:space="preserve">EMP-002</t>
        </is>
      </c>
      <c r="B4" s="11" t="inlineStr">
        <is>
          <t xml:space="preserve">Youssef El Amrani</t>
        </is>
      </c>
      <c r="C4" s="12" t="inlineStr">
        <is>
          <t xml:space="preserve">Charpentier</t>
        </is>
      </c>
      <c r="D4" s="12" t="inlineStr">
        <is>
          <t xml:space="preserve">Équipe A</t>
        </is>
      </c>
      <c r="E4" s="12" t="inlineStr">
        <is>
          <t xml:space="preserve">Actif</t>
        </is>
      </c>
    </row>
    <row r="5">
      <c r="A5" s="10" t="inlineStr">
        <is>
          <t xml:space="preserve">EMP-003</t>
        </is>
      </c>
      <c r="B5" s="9" t="inlineStr">
        <is>
          <t xml:space="preserve">Karim Toumi</t>
        </is>
      </c>
      <c r="C5" s="10" t="inlineStr">
        <is>
          <t xml:space="preserve">Électricien</t>
        </is>
      </c>
      <c r="D5" s="10" t="inlineStr">
        <is>
          <t xml:space="preserve">Équipe B</t>
        </is>
      </c>
      <c r="E5" s="10" t="inlineStr">
        <is>
          <t xml:space="preserve">Actif</t>
        </is>
      </c>
    </row>
    <row r="6">
      <c r="A6" s="12" t="inlineStr">
        <is>
          <t xml:space="preserve">EMP-004</t>
        </is>
      </c>
      <c r="B6" s="11" t="inlineStr">
        <is>
          <t xml:space="preserve">Hassan Mansouri</t>
        </is>
      </c>
      <c r="C6" s="12" t="inlineStr">
        <is>
          <t xml:space="preserve">Plombier</t>
        </is>
      </c>
      <c r="D6" s="12" t="inlineStr">
        <is>
          <t xml:space="preserve">Équipe B</t>
        </is>
      </c>
      <c r="E6" s="12" t="inlineStr">
        <is>
          <t xml:space="preserve">Actif</t>
        </is>
      </c>
    </row>
    <row r="7">
      <c r="A7" s="10" t="inlineStr">
        <is>
          <t xml:space="preserve">EMP-005</t>
        </is>
      </c>
      <c r="B7" s="9" t="inlineStr">
        <is>
          <t xml:space="preserve">Rachid Bouazza</t>
        </is>
      </c>
      <c r="C7" s="10" t="inlineStr">
        <is>
          <t xml:space="preserve">Peintre</t>
        </is>
      </c>
      <c r="D7" s="10" t="inlineStr">
        <is>
          <t xml:space="preserve">Équipe A</t>
        </is>
      </c>
      <c r="E7" s="10" t="inlineStr">
        <is>
          <t xml:space="preserve">Actif</t>
        </is>
      </c>
    </row>
    <row r="8">
      <c r="A8" s="12" t="inlineStr">
        <is>
          <t xml:space="preserve">EMP-006</t>
        </is>
      </c>
      <c r="B8" s="11" t="inlineStr">
        <is>
          <t xml:space="preserve">Omar Zerhouni</t>
        </is>
      </c>
      <c r="C8" s="12" t="inlineStr">
        <is>
          <t xml:space="preserve">Manœuvre</t>
        </is>
      </c>
      <c r="D8" s="12" t="inlineStr">
        <is>
          <t xml:space="preserve">Équipe C</t>
        </is>
      </c>
      <c r="E8" s="12" t="inlineStr">
        <is>
          <t xml:space="preserve">Actif</t>
        </is>
      </c>
    </row>
    <row r="9">
      <c r="A9" s="10" t="inlineStr">
        <is>
          <t xml:space="preserve">EMP-007</t>
        </is>
      </c>
      <c r="B9" s="9" t="inlineStr">
        <is>
          <t xml:space="preserve">Mustapha Idrissi</t>
        </is>
      </c>
      <c r="C9" s="10" t="inlineStr">
        <is>
          <t xml:space="preserve">Ferronnier</t>
        </is>
      </c>
      <c r="D9" s="10" t="inlineStr">
        <is>
          <t xml:space="preserve">Équipe B</t>
        </is>
      </c>
      <c r="E9" s="10" t="inlineStr">
        <is>
          <t xml:space="preserve">Actif</t>
        </is>
      </c>
    </row>
    <row r="10">
      <c r="A10" s="12" t="inlineStr">
        <is>
          <t xml:space="preserve">EMP-008</t>
        </is>
      </c>
      <c r="B10" s="11" t="inlineStr">
        <is>
          <t xml:space="preserve">Khalid Fassi</t>
        </is>
      </c>
      <c r="C10" s="12" t="inlineStr">
        <is>
          <t xml:space="preserve">Coffreur</t>
        </is>
      </c>
      <c r="D10" s="12" t="inlineStr">
        <is>
          <t xml:space="preserve">Équipe A</t>
        </is>
      </c>
      <c r="E10" s="12" t="inlineStr">
        <is>
          <t xml:space="preserve">Actif</t>
        </is>
      </c>
    </row>
    <row r="11">
      <c r="A11" s="10" t="inlineStr">
        <is>
          <t xml:space="preserve">EMP-009</t>
        </is>
      </c>
      <c r="B11" s="9" t="inlineStr">
        <is>
          <t xml:space="preserve">Abdellatif Chraibi</t>
        </is>
      </c>
      <c r="C11" s="10" t="inlineStr">
        <is>
          <t xml:space="preserve">Grutier</t>
        </is>
      </c>
      <c r="D11" s="10" t="inlineStr">
        <is>
          <t xml:space="preserve">Équipe C</t>
        </is>
      </c>
      <c r="E11" s="10" t="inlineStr">
        <is>
          <t xml:space="preserve">Actif</t>
        </is>
      </c>
    </row>
    <row r="12">
      <c r="A12" s="12" t="inlineStr">
        <is>
          <t xml:space="preserve">EMP-010</t>
        </is>
      </c>
      <c r="B12" s="11" t="inlineStr">
        <is>
          <t xml:space="preserve">Said Benjelloun</t>
        </is>
      </c>
      <c r="C12" s="12" t="inlineStr">
        <is>
          <t xml:space="preserve">Chef d'équipe</t>
        </is>
      </c>
      <c r="D12" s="12" t="inlineStr">
        <is>
          <t xml:space="preserve">Équipe A</t>
        </is>
      </c>
      <c r="E12" s="12" t="inlineStr">
        <is>
          <t xml:space="preserve">Actif</t>
        </is>
      </c>
    </row>
    <row r="13">
      <c r="A13" s="10" t="inlineStr">
        <is>
          <t xml:space="preserve"/>
        </is>
      </c>
      <c r="B13" s="9" t="inlineStr">
        <is>
          <t xml:space="preserve"/>
        </is>
      </c>
      <c r="C13" s="10" t="inlineStr">
        <is>
          <t xml:space="preserve"/>
        </is>
      </c>
      <c r="D13" s="10" t="inlineStr">
        <is>
          <t xml:space="preserve"/>
        </is>
      </c>
      <c r="E13" s="10" t="inlineStr">
        <is>
          <t xml:space="preserve"/>
        </is>
      </c>
    </row>
    <row r="14">
      <c r="A14" s="12" t="inlineStr">
        <is>
          <t xml:space="preserve"/>
        </is>
      </c>
      <c r="B14" s="11" t="inlineStr">
        <is>
          <t xml:space="preserve"/>
        </is>
      </c>
      <c r="C14" s="12" t="inlineStr">
        <is>
          <t xml:space="preserve"/>
        </is>
      </c>
      <c r="D14" s="12" t="inlineStr">
        <is>
          <t xml:space="preserve"/>
        </is>
      </c>
      <c r="E14" s="12" t="inlineStr">
        <is>
          <t xml:space="preserve"/>
        </is>
      </c>
    </row>
    <row r="15">
      <c r="A15" s="10" t="inlineStr">
        <is>
          <t xml:space="preserve"/>
        </is>
      </c>
      <c r="B15" s="9" t="inlineStr">
        <is>
          <t xml:space="preserve"/>
        </is>
      </c>
      <c r="C15" s="10" t="inlineStr">
        <is>
          <t xml:space="preserve"/>
        </is>
      </c>
      <c r="D15" s="10" t="inlineStr">
        <is>
          <t xml:space="preserve"/>
        </is>
      </c>
      <c r="E15" s="10" t="inlineStr">
        <is>
          <t xml:space="preserve"/>
        </is>
      </c>
    </row>
    <row r="16">
      <c r="A16" s="12" t="inlineStr">
        <is>
          <t xml:space="preserve"/>
        </is>
      </c>
      <c r="B16" s="11" t="inlineStr">
        <is>
          <t xml:space="preserve"/>
        </is>
      </c>
      <c r="C16" s="12" t="inlineStr">
        <is>
          <t xml:space="preserve"/>
        </is>
      </c>
      <c r="D16" s="12" t="inlineStr">
        <is>
          <t xml:space="preserve"/>
        </is>
      </c>
      <c r="E16" s="12" t="inlineStr">
        <is>
          <t xml:space="preserve"/>
        </is>
      </c>
    </row>
    <row r="17">
      <c r="A17" s="10" t="inlineStr">
        <is>
          <t xml:space="preserve"/>
        </is>
      </c>
      <c r="B17" s="9" t="inlineStr">
        <is>
          <t xml:space="preserve"/>
        </is>
      </c>
      <c r="C17" s="10" t="inlineStr">
        <is>
          <t xml:space="preserve"/>
        </is>
      </c>
      <c r="D17" s="10" t="inlineStr">
        <is>
          <t xml:space="preserve"/>
        </is>
      </c>
      <c r="E17" s="10" t="inlineStr">
        <is>
          <t xml:space="preserve"/>
        </is>
      </c>
    </row>
    <row r="18">
      <c r="A18" s="12" t="inlineStr">
        <is>
          <t xml:space="preserve"/>
        </is>
      </c>
      <c r="B18" s="11" t="inlineStr">
        <is>
          <t xml:space="preserve"/>
        </is>
      </c>
      <c r="C18" s="12" t="inlineStr">
        <is>
          <t xml:space="preserve"/>
        </is>
      </c>
      <c r="D18" s="12" t="inlineStr">
        <is>
          <t xml:space="preserve"/>
        </is>
      </c>
      <c r="E18" s="12" t="inlineStr">
        <is>
          <t xml:space="preserve"/>
        </is>
      </c>
    </row>
    <row r="19">
      <c r="A19" s="10" t="inlineStr">
        <is>
          <t xml:space="preserve"/>
        </is>
      </c>
      <c r="B19" s="9" t="inlineStr">
        <is>
          <t xml:space="preserve"/>
        </is>
      </c>
      <c r="C19" s="10" t="inlineStr">
        <is>
          <t xml:space="preserve"/>
        </is>
      </c>
      <c r="D19" s="10" t="inlineStr">
        <is>
          <t xml:space="preserve"/>
        </is>
      </c>
      <c r="E19" s="10" t="inlineStr">
        <is>
          <t xml:space="preserve"/>
        </is>
      </c>
    </row>
    <row r="20">
      <c r="A20" s="12" t="inlineStr">
        <is>
          <t xml:space="preserve"/>
        </is>
      </c>
      <c r="B20" s="11" t="inlineStr">
        <is>
          <t xml:space="preserve"/>
        </is>
      </c>
      <c r="C20" s="12" t="inlineStr">
        <is>
          <t xml:space="preserve"/>
        </is>
      </c>
      <c r="D20" s="12" t="inlineStr">
        <is>
          <t xml:space="preserve"/>
        </is>
      </c>
      <c r="E20" s="12" t="inlineStr">
        <is>
          <t xml:space="preserve"/>
        </is>
      </c>
    </row>
    <row r="21">
      <c r="A21" s="10" t="inlineStr">
        <is>
          <t xml:space="preserve"/>
        </is>
      </c>
      <c r="B21" s="9" t="inlineStr">
        <is>
          <t xml:space="preserve"/>
        </is>
      </c>
      <c r="C21" s="10" t="inlineStr">
        <is>
          <t xml:space="preserve"/>
        </is>
      </c>
      <c r="D21" s="10" t="inlineStr">
        <is>
          <t xml:space="preserve"/>
        </is>
      </c>
      <c r="E21" s="10" t="inlineStr">
        <is>
          <t xml:space="preserve"/>
        </is>
      </c>
    </row>
    <row r="22">
      <c r="A22" s="12" t="inlineStr">
        <is>
          <t xml:space="preserve"/>
        </is>
      </c>
      <c r="B22" s="11" t="inlineStr">
        <is>
          <t xml:space="preserve"/>
        </is>
      </c>
      <c r="C22" s="12" t="inlineStr">
        <is>
          <t xml:space="preserve"/>
        </is>
      </c>
      <c r="D22" s="12" t="inlineStr">
        <is>
          <t xml:space="preserve"/>
        </is>
      </c>
      <c r="E22" s="12" t="inlineStr">
        <is>
          <t xml:space="preserve"/>
        </is>
      </c>
    </row>
    <row r="23">
      <c r="A23" s="10" t="inlineStr">
        <is>
          <t xml:space="preserve"/>
        </is>
      </c>
      <c r="B23" s="9" t="inlineStr">
        <is>
          <t xml:space="preserve"/>
        </is>
      </c>
      <c r="C23" s="10" t="inlineStr">
        <is>
          <t xml:space="preserve"/>
        </is>
      </c>
      <c r="D23" s="10" t="inlineStr">
        <is>
          <t xml:space="preserve"/>
        </is>
      </c>
      <c r="E23" s="10" t="inlineStr">
        <is>
          <t xml:space="preserve"/>
        </is>
      </c>
    </row>
    <row r="24">
      <c r="A24" s="12" t="inlineStr">
        <is>
          <t xml:space="preserve"/>
        </is>
      </c>
      <c r="B24" s="11" t="inlineStr">
        <is>
          <t xml:space="preserve"/>
        </is>
      </c>
      <c r="C24" s="12" t="inlineStr">
        <is>
          <t xml:space="preserve"/>
        </is>
      </c>
      <c r="D24" s="12" t="inlineStr">
        <is>
          <t xml:space="preserve"/>
        </is>
      </c>
      <c r="E24" s="12" t="inlineStr">
        <is>
          <t xml:space="preserve"/>
        </is>
      </c>
    </row>
    <row r="25">
      <c r="A25" s="10" t="inlineStr">
        <is>
          <t xml:space="preserve"/>
        </is>
      </c>
      <c r="B25" s="9" t="inlineStr">
        <is>
          <t xml:space="preserve"/>
        </is>
      </c>
      <c r="C25" s="10" t="inlineStr">
        <is>
          <t xml:space="preserve"/>
        </is>
      </c>
      <c r="D25" s="10" t="inlineStr">
        <is>
          <t xml:space="preserve"/>
        </is>
      </c>
      <c r="E25" s="10" t="inlineStr">
        <is>
          <t xml:space="preserve"/>
        </is>
      </c>
    </row>
    <row r="26">
      <c r="A26" s="12" t="inlineStr">
        <is>
          <t xml:space="preserve"/>
        </is>
      </c>
      <c r="B26" s="11" t="inlineStr">
        <is>
          <t xml:space="preserve"/>
        </is>
      </c>
      <c r="C26" s="12" t="inlineStr">
        <is>
          <t xml:space="preserve"/>
        </is>
      </c>
      <c r="D26" s="12" t="inlineStr">
        <is>
          <t xml:space="preserve"/>
        </is>
      </c>
      <c r="E26" s="12" t="inlineStr">
        <is>
          <t xml:space="preserve"/>
        </is>
      </c>
    </row>
    <row r="27">
      <c r="A27" s="10" t="inlineStr">
        <is>
          <t xml:space="preserve"/>
        </is>
      </c>
      <c r="B27" s="9" t="inlineStr">
        <is>
          <t xml:space="preserve"/>
        </is>
      </c>
      <c r="C27" s="10" t="inlineStr">
        <is>
          <t xml:space="preserve"/>
        </is>
      </c>
      <c r="D27" s="10" t="inlineStr">
        <is>
          <t xml:space="preserve"/>
        </is>
      </c>
      <c r="E27" s="10" t="inlineStr">
        <is>
          <t xml:space="preserve"/>
        </is>
      </c>
    </row>
    <row r="28">
      <c r="A28" s="12" t="inlineStr">
        <is>
          <t xml:space="preserve"/>
        </is>
      </c>
      <c r="B28" s="11" t="inlineStr">
        <is>
          <t xml:space="preserve"/>
        </is>
      </c>
      <c r="C28" s="12" t="inlineStr">
        <is>
          <t xml:space="preserve"/>
        </is>
      </c>
      <c r="D28" s="12" t="inlineStr">
        <is>
          <t xml:space="preserve"/>
        </is>
      </c>
      <c r="E28" s="12" t="inlineStr">
        <is>
          <t xml:space="preserve"/>
        </is>
      </c>
    </row>
    <row r="29">
      <c r="A29" s="10" t="inlineStr">
        <is>
          <t xml:space="preserve"/>
        </is>
      </c>
      <c r="B29" s="9" t="inlineStr">
        <is>
          <t xml:space="preserve"/>
        </is>
      </c>
      <c r="C29" s="10" t="inlineStr">
        <is>
          <t xml:space="preserve"/>
        </is>
      </c>
      <c r="D29" s="10" t="inlineStr">
        <is>
          <t xml:space="preserve"/>
        </is>
      </c>
      <c r="E29" s="10" t="inlineStr">
        <is>
          <t xml:space="preserve"/>
        </is>
      </c>
    </row>
    <row r="30">
      <c r="A30" s="12" t="inlineStr">
        <is>
          <t xml:space="preserve"/>
        </is>
      </c>
      <c r="B30" s="11" t="inlineStr">
        <is>
          <t xml:space="preserve"/>
        </is>
      </c>
      <c r="C30" s="12" t="inlineStr">
        <is>
          <t xml:space="preserve"/>
        </is>
      </c>
      <c r="D30" s="12" t="inlineStr">
        <is>
          <t xml:space="preserve"/>
        </is>
      </c>
      <c r="E30" s="12" t="inlineStr">
        <is>
          <t xml:space="preserve"/>
        </is>
      </c>
    </row>
    <row r="31">
      <c r="A31" s="10" t="inlineStr">
        <is>
          <t xml:space="preserve"/>
        </is>
      </c>
      <c r="B31" s="9" t="inlineStr">
        <is>
          <t xml:space="preserve"/>
        </is>
      </c>
      <c r="C31" s="10" t="inlineStr">
        <is>
          <t xml:space="preserve"/>
        </is>
      </c>
      <c r="D31" s="10" t="inlineStr">
        <is>
          <t xml:space="preserve"/>
        </is>
      </c>
      <c r="E31" s="10" t="inlineStr">
        <is>
          <t xml:space="preserve"/>
        </is>
      </c>
    </row>
    <row r="32">
      <c r="A32" s="12" t="inlineStr">
        <is>
          <t xml:space="preserve"/>
        </is>
      </c>
      <c r="B32" s="11" t="inlineStr">
        <is>
          <t xml:space="preserve"/>
        </is>
      </c>
      <c r="C32" s="12" t="inlineStr">
        <is>
          <t xml:space="preserve"/>
        </is>
      </c>
      <c r="D32" s="12" t="inlineStr">
        <is>
          <t xml:space="preserve"/>
        </is>
      </c>
      <c r="E32" s="12" t="inlineStr">
        <is>
          <t xml:space="preserve"/>
        </is>
      </c>
    </row>
    <row r="33">
      <c r="A33" s="10" t="inlineStr">
        <is>
          <t xml:space="preserve"/>
        </is>
      </c>
      <c r="B33" s="9" t="inlineStr">
        <is>
          <t xml:space="preserve"/>
        </is>
      </c>
      <c r="C33" s="10" t="inlineStr">
        <is>
          <t xml:space="preserve"/>
        </is>
      </c>
      <c r="D33" s="10" t="inlineStr">
        <is>
          <t xml:space="preserve"/>
        </is>
      </c>
      <c r="E33" s="10" t="inlineStr">
        <is>
          <t xml:space="preserve"/>
        </is>
      </c>
    </row>
    <row r="34">
      <c r="A34" s="12" t="inlineStr">
        <is>
          <t xml:space="preserve"/>
        </is>
      </c>
      <c r="B34" s="11" t="inlineStr">
        <is>
          <t xml:space="preserve"/>
        </is>
      </c>
      <c r="C34" s="12" t="inlineStr">
        <is>
          <t xml:space="preserve"/>
        </is>
      </c>
      <c r="D34" s="12" t="inlineStr">
        <is>
          <t xml:space="preserve"/>
        </is>
      </c>
      <c r="E34" s="12" t="inlineStr">
        <is>
          <t xml:space="preserve"/>
        </is>
      </c>
    </row>
    <row r="35">
      <c r="A35" s="10" t="inlineStr">
        <is>
          <t xml:space="preserve"/>
        </is>
      </c>
      <c r="B35" s="9" t="inlineStr">
        <is>
          <t xml:space="preserve"/>
        </is>
      </c>
      <c r="C35" s="10" t="inlineStr">
        <is>
          <t xml:space="preserve"/>
        </is>
      </c>
      <c r="D35" s="10" t="inlineStr">
        <is>
          <t xml:space="preserve"/>
        </is>
      </c>
      <c r="E35" s="10" t="inlineStr">
        <is>
          <t xml:space="preserve"/>
        </is>
      </c>
    </row>
    <row r="36">
      <c r="A36" s="12" t="inlineStr">
        <is>
          <t xml:space="preserve"/>
        </is>
      </c>
      <c r="B36" s="11" t="inlineStr">
        <is>
          <t xml:space="preserve"/>
        </is>
      </c>
      <c r="C36" s="12" t="inlineStr">
        <is>
          <t xml:space="preserve"/>
        </is>
      </c>
      <c r="D36" s="12" t="inlineStr">
        <is>
          <t xml:space="preserve"/>
        </is>
      </c>
      <c r="E36" s="12" t="inlineStr">
        <is>
          <t xml:space="preserve"/>
        </is>
      </c>
    </row>
    <row r="37">
      <c r="A37" s="10" t="inlineStr">
        <is>
          <t xml:space="preserve"/>
        </is>
      </c>
      <c r="B37" s="9" t="inlineStr">
        <is>
          <t xml:space="preserve"/>
        </is>
      </c>
      <c r="C37" s="10" t="inlineStr">
        <is>
          <t xml:space="preserve"/>
        </is>
      </c>
      <c r="D37" s="10" t="inlineStr">
        <is>
          <t xml:space="preserve"/>
        </is>
      </c>
      <c r="E37" s="10" t="inlineStr">
        <is>
          <t xml:space="preserve"/>
        </is>
      </c>
    </row>
    <row r="38">
      <c r="A38" s="12" t="inlineStr">
        <is>
          <t xml:space="preserve"/>
        </is>
      </c>
      <c r="B38" s="11" t="inlineStr">
        <is>
          <t xml:space="preserve"/>
        </is>
      </c>
      <c r="C38" s="12" t="inlineStr">
        <is>
          <t xml:space="preserve"/>
        </is>
      </c>
      <c r="D38" s="12" t="inlineStr">
        <is>
          <t xml:space="preserve"/>
        </is>
      </c>
      <c r="E38" s="12" t="inlineStr">
        <is>
          <t xml:space="preserve"/>
        </is>
      </c>
    </row>
    <row r="39">
      <c r="A39" s="10" t="inlineStr">
        <is>
          <t xml:space="preserve"/>
        </is>
      </c>
      <c r="B39" s="9" t="inlineStr">
        <is>
          <t xml:space="preserve"/>
        </is>
      </c>
      <c r="C39" s="10" t="inlineStr">
        <is>
          <t xml:space="preserve"/>
        </is>
      </c>
      <c r="D39" s="10" t="inlineStr">
        <is>
          <t xml:space="preserve"/>
        </is>
      </c>
      <c r="E39" s="10" t="inlineStr">
        <is>
          <t xml:space="preserve"/>
        </is>
      </c>
    </row>
    <row r="40">
      <c r="A40" s="12" t="inlineStr">
        <is>
          <t xml:space="preserve"/>
        </is>
      </c>
      <c r="B40" s="11" t="inlineStr">
        <is>
          <t xml:space="preserve"/>
        </is>
      </c>
      <c r="C40" s="12" t="inlineStr">
        <is>
          <t xml:space="preserve"/>
        </is>
      </c>
      <c r="D40" s="12" t="inlineStr">
        <is>
          <t xml:space="preserve"/>
        </is>
      </c>
      <c r="E40" s="12" t="inlineStr">
        <is>
          <t xml:space="preserve"/>
        </is>
      </c>
    </row>
    <row r="41">
      <c r="A41" s="10" t="inlineStr">
        <is>
          <t xml:space="preserve"/>
        </is>
      </c>
      <c r="B41" s="9" t="inlineStr">
        <is>
          <t xml:space="preserve"/>
        </is>
      </c>
      <c r="C41" s="10" t="inlineStr">
        <is>
          <t xml:space="preserve"/>
        </is>
      </c>
      <c r="D41" s="10" t="inlineStr">
        <is>
          <t xml:space="preserve"/>
        </is>
      </c>
      <c r="E41" s="10" t="inlineStr">
        <is>
          <t xml:space="preserve"/>
        </is>
      </c>
    </row>
    <row r="42">
      <c r="A42" s="12" t="inlineStr">
        <is>
          <t xml:space="preserve"/>
        </is>
      </c>
      <c r="B42" s="11" t="inlineStr">
        <is>
          <t xml:space="preserve"/>
        </is>
      </c>
      <c r="C42" s="12" t="inlineStr">
        <is>
          <t xml:space="preserve"/>
        </is>
      </c>
      <c r="D42" s="12" t="inlineStr">
        <is>
          <t xml:space="preserve"/>
        </is>
      </c>
      <c r="E42" s="12" t="inlineStr">
        <is>
          <t xml:space="preserve"/>
        </is>
      </c>
    </row>
    <row r="43">
      <c r="A43" s="10" t="inlineStr">
        <is>
          <t xml:space="preserve"/>
        </is>
      </c>
      <c r="B43" s="9" t="inlineStr">
        <is>
          <t xml:space="preserve"/>
        </is>
      </c>
      <c r="C43" s="10" t="inlineStr">
        <is>
          <t xml:space="preserve"/>
        </is>
      </c>
      <c r="D43" s="10" t="inlineStr">
        <is>
          <t xml:space="preserve"/>
        </is>
      </c>
      <c r="E43" s="10" t="inlineStr">
        <is>
          <t xml:space="preserve"/>
        </is>
      </c>
    </row>
    <row r="44">
      <c r="A44" s="12" t="inlineStr">
        <is>
          <t xml:space="preserve"/>
        </is>
      </c>
      <c r="B44" s="11" t="inlineStr">
        <is>
          <t xml:space="preserve"/>
        </is>
      </c>
      <c r="C44" s="12" t="inlineStr">
        <is>
          <t xml:space="preserve"/>
        </is>
      </c>
      <c r="D44" s="12" t="inlineStr">
        <is>
          <t xml:space="preserve"/>
        </is>
      </c>
      <c r="E44" s="12" t="inlineStr">
        <is>
          <t xml:space="preserve"/>
        </is>
      </c>
    </row>
    <row r="45">
      <c r="A45" s="10" t="inlineStr">
        <is>
          <t xml:space="preserve"/>
        </is>
      </c>
      <c r="B45" s="9" t="inlineStr">
        <is>
          <t xml:space="preserve"/>
        </is>
      </c>
      <c r="C45" s="10" t="inlineStr">
        <is>
          <t xml:space="preserve"/>
        </is>
      </c>
      <c r="D45" s="10" t="inlineStr">
        <is>
          <t xml:space="preserve"/>
        </is>
      </c>
      <c r="E45" s="10" t="inlineStr">
        <is>
          <t xml:space="preserve"/>
        </is>
      </c>
    </row>
    <row r="46">
      <c r="A46" s="12" t="inlineStr">
        <is>
          <t xml:space="preserve"/>
        </is>
      </c>
      <c r="B46" s="11" t="inlineStr">
        <is>
          <t xml:space="preserve"/>
        </is>
      </c>
      <c r="C46" s="12" t="inlineStr">
        <is>
          <t xml:space="preserve"/>
        </is>
      </c>
      <c r="D46" s="12" t="inlineStr">
        <is>
          <t xml:space="preserve"/>
        </is>
      </c>
      <c r="E46" s="12" t="inlineStr">
        <is>
          <t xml:space="preserve"/>
        </is>
      </c>
    </row>
    <row r="47">
      <c r="A47" s="10" t="inlineStr">
        <is>
          <t xml:space="preserve"/>
        </is>
      </c>
      <c r="B47" s="9" t="inlineStr">
        <is>
          <t xml:space="preserve"/>
        </is>
      </c>
      <c r="C47" s="10" t="inlineStr">
        <is>
          <t xml:space="preserve"/>
        </is>
      </c>
      <c r="D47" s="10" t="inlineStr">
        <is>
          <t xml:space="preserve"/>
        </is>
      </c>
      <c r="E47" s="10" t="inlineStr">
        <is>
          <t xml:space="preserve"/>
        </is>
      </c>
    </row>
    <row r="48">
      <c r="A48" s="12" t="inlineStr">
        <is>
          <t xml:space="preserve"/>
        </is>
      </c>
      <c r="B48" s="11" t="inlineStr">
        <is>
          <t xml:space="preserve"/>
        </is>
      </c>
      <c r="C48" s="12" t="inlineStr">
        <is>
          <t xml:space="preserve"/>
        </is>
      </c>
      <c r="D48" s="12" t="inlineStr">
        <is>
          <t xml:space="preserve"/>
        </is>
      </c>
      <c r="E48" s="12" t="inlineStr">
        <is>
          <t xml:space="preserve"/>
        </is>
      </c>
    </row>
    <row r="49">
      <c r="A49" s="10" t="inlineStr">
        <is>
          <t xml:space="preserve"/>
        </is>
      </c>
      <c r="B49" s="9" t="inlineStr">
        <is>
          <t xml:space="preserve"/>
        </is>
      </c>
      <c r="C49" s="10" t="inlineStr">
        <is>
          <t xml:space="preserve"/>
        </is>
      </c>
      <c r="D49" s="10" t="inlineStr">
        <is>
          <t xml:space="preserve"/>
        </is>
      </c>
      <c r="E49" s="10" t="inlineStr">
        <is>
          <t xml:space="preserve"/>
        </is>
      </c>
    </row>
    <row r="50">
      <c r="A50" s="12" t="inlineStr">
        <is>
          <t xml:space="preserve"/>
        </is>
      </c>
      <c r="B50" s="11" t="inlineStr">
        <is>
          <t xml:space="preserve"/>
        </is>
      </c>
      <c r="C50" s="12" t="inlineStr">
        <is>
          <t xml:space="preserve"/>
        </is>
      </c>
      <c r="D50" s="12" t="inlineStr">
        <is>
          <t xml:space="preserve"/>
        </is>
      </c>
      <c r="E50" s="12" t="inlineStr">
        <is>
          <t xml:space="preserve"/>
        </is>
      </c>
    </row>
    <row r="51">
      <c r="A51" s="10" t="inlineStr">
        <is>
          <t xml:space="preserve"/>
        </is>
      </c>
      <c r="B51" s="9" t="inlineStr">
        <is>
          <t xml:space="preserve"/>
        </is>
      </c>
      <c r="C51" s="10" t="inlineStr">
        <is>
          <t xml:space="preserve"/>
        </is>
      </c>
      <c r="D51" s="10" t="inlineStr">
        <is>
          <t xml:space="preserve"/>
        </is>
      </c>
      <c r="E51" s="10" t="inlineStr">
        <is>
          <t xml:space="preserve"/>
        </is>
      </c>
    </row>
    <row r="52">
      <c r="A52" s="12" t="inlineStr">
        <is>
          <t xml:space="preserve"/>
        </is>
      </c>
      <c r="B52" s="11" t="inlineStr">
        <is>
          <t xml:space="preserve"/>
        </is>
      </c>
      <c r="C52" s="12" t="inlineStr">
        <is>
          <t xml:space="preserve"/>
        </is>
      </c>
      <c r="D52" s="12" t="inlineStr">
        <is>
          <t xml:space="preserve"/>
        </is>
      </c>
      <c r="E52" s="12" t="inlineStr">
        <is>
          <t xml:space="preserve"/>
        </is>
      </c>
    </row>
  </sheetData>
  <mergeCells count="1">
    <mergeCell ref="A1:E1"/>
  </mergeCells>
  <conditionalFormatting sqref="E3:E52">
    <cfRule type="cellIs" dxfId="2" priority="1" operator="equal">
      <formula>"Actif"</formula>
    </cfRule>
  </conditionalFormatting>
  <conditionalFormatting sqref="E3:E52">
    <cfRule type="cellIs" dxfId="1" priority="2" operator="equal">
      <formula>"Inactif"</formula>
    </cfRule>
  </conditionalFormatting>
  <dataValidations count="1">
    <dataValidation type="list" allowBlank="1" showInputMessage="1" showErrorMessage="1" sqref="E3:E52">
      <formula1>"Actif,Inactif"</formula1>
    </dataValidation>
  </dataValidations>
  <printOptions horizontalCentered="1"/>
  <pageMargins left="0.4" right="0.4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A1:D58"/>
  <sheetViews>
    <sheetView showGridLines="0" workbookViewId="0"/>
  </sheetViews>
  <sheetFormatPr defaultRowHeight="15"/>
  <cols>
    <col min="1" max="1" width="6" customWidth="1"/>
    <col min="2" max="2" width="14" customWidth="1"/>
    <col min="3" max="3" width="34" customWidth="1"/>
    <col min="4" max="4" width="20" customWidth="1"/>
  </cols>
  <sheetData>
    <row r="1" ht="32" customHeight="1">
      <c r="A1" s="23" t="inlineStr">
        <is>
          <t xml:space="preserve">LISTE DE PRÉSENCE</t>
        </is>
      </c>
    </row>
    <row r="2" ht="18" customHeight="1">
      <c r="A2" s="24">
        <f>Parametres!B3</f>
      </c>
    </row>
    <row r="4" ht="22" customHeight="1">
      <c r="A4" s="25" t="inlineStr">
        <is>
          <t xml:space="preserve">Date :</t>
        </is>
      </c>
      <c r="B4" s="26">
        <f>'Presence du Jour'!B3</f>
      </c>
    </row>
    <row r="5" ht="22" customHeight="1">
      <c r="A5" s="25" t="inlineStr">
        <is>
          <t xml:space="preserve">Chantier :</t>
        </is>
      </c>
      <c r="B5" s="20">
        <f>'Presence du Jour'!B4</f>
      </c>
    </row>
    <row r="7" ht="24" customHeight="1">
      <c r="A7" s="27" t="inlineStr">
        <is>
          <t xml:space="preserve">N°</t>
        </is>
      </c>
      <c r="B7" s="27" t="inlineStr">
        <is>
          <t xml:space="preserve">ID</t>
        </is>
      </c>
      <c r="C7" s="27" t="inlineStr">
        <is>
          <t xml:space="preserve">Nom et Prénom</t>
        </is>
      </c>
      <c r="D7" s="27" t="inlineStr">
        <is>
          <t xml:space="preserve">Poste</t>
        </is>
      </c>
    </row>
    <row r="8">
      <c r="A8" s="15">
        <f>IF(IFERROR(INDEX('Presence du Jour'!B$7:B$56,MATCH(1,'Presence du Jour'!E$7:E$56,0)),"")&lt;&gt;"",1,"")</f>
      </c>
      <c r="B8" s="15">
        <f>IFERROR(INDEX('Presence du Jour'!B$7:B$56,MATCH(1,'Presence du Jour'!E$7:E$56,0)),"")</f>
      </c>
      <c r="C8" s="14">
        <f>IFERROR(INDEX('Presence du Jour'!C$7:C$56,MATCH(1,'Presence du Jour'!E$7:E$56,0)),"")</f>
      </c>
      <c r="D8" s="15">
        <f>IFERROR(INDEX('Presence du Jour'!D$7:D$56,MATCH(1,'Presence du Jour'!E$7:E$56,0)),"")</f>
      </c>
    </row>
    <row r="9">
      <c r="A9" s="18">
        <f>IF(IFERROR(INDEX('Presence du Jour'!B$7:B$56,MATCH(2,'Presence du Jour'!E$7:E$56,0)),"")&lt;&gt;"",2,"")</f>
      </c>
      <c r="B9" s="18">
        <f>IFERROR(INDEX('Presence du Jour'!B$7:B$56,MATCH(2,'Presence du Jour'!E$7:E$56,0)),"")</f>
      </c>
      <c r="C9" s="17">
        <f>IFERROR(INDEX('Presence du Jour'!C$7:C$56,MATCH(2,'Presence du Jour'!E$7:E$56,0)),"")</f>
      </c>
      <c r="D9" s="18">
        <f>IFERROR(INDEX('Presence du Jour'!D$7:D$56,MATCH(2,'Presence du Jour'!E$7:E$56,0)),"")</f>
      </c>
    </row>
    <row r="10">
      <c r="A10" s="15">
        <f>IF(IFERROR(INDEX('Presence du Jour'!B$7:B$56,MATCH(3,'Presence du Jour'!E$7:E$56,0)),"")&lt;&gt;"",3,"")</f>
      </c>
      <c r="B10" s="15">
        <f>IFERROR(INDEX('Presence du Jour'!B$7:B$56,MATCH(3,'Presence du Jour'!E$7:E$56,0)),"")</f>
      </c>
      <c r="C10" s="14">
        <f>IFERROR(INDEX('Presence du Jour'!C$7:C$56,MATCH(3,'Presence du Jour'!E$7:E$56,0)),"")</f>
      </c>
      <c r="D10" s="15">
        <f>IFERROR(INDEX('Presence du Jour'!D$7:D$56,MATCH(3,'Presence du Jour'!E$7:E$56,0)),"")</f>
      </c>
    </row>
    <row r="11">
      <c r="A11" s="18">
        <f>IF(IFERROR(INDEX('Presence du Jour'!B$7:B$56,MATCH(4,'Presence du Jour'!E$7:E$56,0)),"")&lt;&gt;"",4,"")</f>
      </c>
      <c r="B11" s="18">
        <f>IFERROR(INDEX('Presence du Jour'!B$7:B$56,MATCH(4,'Presence du Jour'!E$7:E$56,0)),"")</f>
      </c>
      <c r="C11" s="17">
        <f>IFERROR(INDEX('Presence du Jour'!C$7:C$56,MATCH(4,'Presence du Jour'!E$7:E$56,0)),"")</f>
      </c>
      <c r="D11" s="18">
        <f>IFERROR(INDEX('Presence du Jour'!D$7:D$56,MATCH(4,'Presence du Jour'!E$7:E$56,0)),"")</f>
      </c>
    </row>
    <row r="12">
      <c r="A12" s="15">
        <f>IF(IFERROR(INDEX('Presence du Jour'!B$7:B$56,MATCH(5,'Presence du Jour'!E$7:E$56,0)),"")&lt;&gt;"",5,"")</f>
      </c>
      <c r="B12" s="15">
        <f>IFERROR(INDEX('Presence du Jour'!B$7:B$56,MATCH(5,'Presence du Jour'!E$7:E$56,0)),"")</f>
      </c>
      <c r="C12" s="14">
        <f>IFERROR(INDEX('Presence du Jour'!C$7:C$56,MATCH(5,'Presence du Jour'!E$7:E$56,0)),"")</f>
      </c>
      <c r="D12" s="15">
        <f>IFERROR(INDEX('Presence du Jour'!D$7:D$56,MATCH(5,'Presence du Jour'!E$7:E$56,0)),"")</f>
      </c>
    </row>
    <row r="13">
      <c r="A13" s="18">
        <f>IF(IFERROR(INDEX('Presence du Jour'!B$7:B$56,MATCH(6,'Presence du Jour'!E$7:E$56,0)),"")&lt;&gt;"",6,"")</f>
      </c>
      <c r="B13" s="18">
        <f>IFERROR(INDEX('Presence du Jour'!B$7:B$56,MATCH(6,'Presence du Jour'!E$7:E$56,0)),"")</f>
      </c>
      <c r="C13" s="17">
        <f>IFERROR(INDEX('Presence du Jour'!C$7:C$56,MATCH(6,'Presence du Jour'!E$7:E$56,0)),"")</f>
      </c>
      <c r="D13" s="18">
        <f>IFERROR(INDEX('Presence du Jour'!D$7:D$56,MATCH(6,'Presence du Jour'!E$7:E$56,0)),"")</f>
      </c>
    </row>
    <row r="14">
      <c r="A14" s="15">
        <f>IF(IFERROR(INDEX('Presence du Jour'!B$7:B$56,MATCH(7,'Presence du Jour'!E$7:E$56,0)),"")&lt;&gt;"",7,"")</f>
      </c>
      <c r="B14" s="15">
        <f>IFERROR(INDEX('Presence du Jour'!B$7:B$56,MATCH(7,'Presence du Jour'!E$7:E$56,0)),"")</f>
      </c>
      <c r="C14" s="14">
        <f>IFERROR(INDEX('Presence du Jour'!C$7:C$56,MATCH(7,'Presence du Jour'!E$7:E$56,0)),"")</f>
      </c>
      <c r="D14" s="15">
        <f>IFERROR(INDEX('Presence du Jour'!D$7:D$56,MATCH(7,'Presence du Jour'!E$7:E$56,0)),"")</f>
      </c>
    </row>
    <row r="15">
      <c r="A15" s="18">
        <f>IF(IFERROR(INDEX('Presence du Jour'!B$7:B$56,MATCH(8,'Presence du Jour'!E$7:E$56,0)),"")&lt;&gt;"",8,"")</f>
      </c>
      <c r="B15" s="18">
        <f>IFERROR(INDEX('Presence du Jour'!B$7:B$56,MATCH(8,'Presence du Jour'!E$7:E$56,0)),"")</f>
      </c>
      <c r="C15" s="17">
        <f>IFERROR(INDEX('Presence du Jour'!C$7:C$56,MATCH(8,'Presence du Jour'!E$7:E$56,0)),"")</f>
      </c>
      <c r="D15" s="18">
        <f>IFERROR(INDEX('Presence du Jour'!D$7:D$56,MATCH(8,'Presence du Jour'!E$7:E$56,0)),"")</f>
      </c>
    </row>
    <row r="16">
      <c r="A16" s="15">
        <f>IF(IFERROR(INDEX('Presence du Jour'!B$7:B$56,MATCH(9,'Presence du Jour'!E$7:E$56,0)),"")&lt;&gt;"",9,"")</f>
      </c>
      <c r="B16" s="15">
        <f>IFERROR(INDEX('Presence du Jour'!B$7:B$56,MATCH(9,'Presence du Jour'!E$7:E$56,0)),"")</f>
      </c>
      <c r="C16" s="14">
        <f>IFERROR(INDEX('Presence du Jour'!C$7:C$56,MATCH(9,'Presence du Jour'!E$7:E$56,0)),"")</f>
      </c>
      <c r="D16" s="15">
        <f>IFERROR(INDEX('Presence du Jour'!D$7:D$56,MATCH(9,'Presence du Jour'!E$7:E$56,0)),"")</f>
      </c>
    </row>
    <row r="17">
      <c r="A17" s="18">
        <f>IF(IFERROR(INDEX('Presence du Jour'!B$7:B$56,MATCH(10,'Presence du Jour'!E$7:E$56,0)),"")&lt;&gt;"",10,"")</f>
      </c>
      <c r="B17" s="18">
        <f>IFERROR(INDEX('Presence du Jour'!B$7:B$56,MATCH(10,'Presence du Jour'!E$7:E$56,0)),"")</f>
      </c>
      <c r="C17" s="17">
        <f>IFERROR(INDEX('Presence du Jour'!C$7:C$56,MATCH(10,'Presence du Jour'!E$7:E$56,0)),"")</f>
      </c>
      <c r="D17" s="18">
        <f>IFERROR(INDEX('Presence du Jour'!D$7:D$56,MATCH(10,'Presence du Jour'!E$7:E$56,0)),"")</f>
      </c>
    </row>
    <row r="18">
      <c r="A18" s="15">
        <f>IF(IFERROR(INDEX('Presence du Jour'!B$7:B$56,MATCH(11,'Presence du Jour'!E$7:E$56,0)),"")&lt;&gt;"",11,"")</f>
      </c>
      <c r="B18" s="15">
        <f>IFERROR(INDEX('Presence du Jour'!B$7:B$56,MATCH(11,'Presence du Jour'!E$7:E$56,0)),"")</f>
      </c>
      <c r="C18" s="14">
        <f>IFERROR(INDEX('Presence du Jour'!C$7:C$56,MATCH(11,'Presence du Jour'!E$7:E$56,0)),"")</f>
      </c>
      <c r="D18" s="15">
        <f>IFERROR(INDEX('Presence du Jour'!D$7:D$56,MATCH(11,'Presence du Jour'!E$7:E$56,0)),"")</f>
      </c>
    </row>
    <row r="19">
      <c r="A19" s="18">
        <f>IF(IFERROR(INDEX('Presence du Jour'!B$7:B$56,MATCH(12,'Presence du Jour'!E$7:E$56,0)),"")&lt;&gt;"",12,"")</f>
      </c>
      <c r="B19" s="18">
        <f>IFERROR(INDEX('Presence du Jour'!B$7:B$56,MATCH(12,'Presence du Jour'!E$7:E$56,0)),"")</f>
      </c>
      <c r="C19" s="17">
        <f>IFERROR(INDEX('Presence du Jour'!C$7:C$56,MATCH(12,'Presence du Jour'!E$7:E$56,0)),"")</f>
      </c>
      <c r="D19" s="18">
        <f>IFERROR(INDEX('Presence du Jour'!D$7:D$56,MATCH(12,'Presence du Jour'!E$7:E$56,0)),"")</f>
      </c>
    </row>
    <row r="20">
      <c r="A20" s="15">
        <f>IF(IFERROR(INDEX('Presence du Jour'!B$7:B$56,MATCH(13,'Presence du Jour'!E$7:E$56,0)),"")&lt;&gt;"",13,"")</f>
      </c>
      <c r="B20" s="15">
        <f>IFERROR(INDEX('Presence du Jour'!B$7:B$56,MATCH(13,'Presence du Jour'!E$7:E$56,0)),"")</f>
      </c>
      <c r="C20" s="14">
        <f>IFERROR(INDEX('Presence du Jour'!C$7:C$56,MATCH(13,'Presence du Jour'!E$7:E$56,0)),"")</f>
      </c>
      <c r="D20" s="15">
        <f>IFERROR(INDEX('Presence du Jour'!D$7:D$56,MATCH(13,'Presence du Jour'!E$7:E$56,0)),"")</f>
      </c>
    </row>
    <row r="21">
      <c r="A21" s="18">
        <f>IF(IFERROR(INDEX('Presence du Jour'!B$7:B$56,MATCH(14,'Presence du Jour'!E$7:E$56,0)),"")&lt;&gt;"",14,"")</f>
      </c>
      <c r="B21" s="18">
        <f>IFERROR(INDEX('Presence du Jour'!B$7:B$56,MATCH(14,'Presence du Jour'!E$7:E$56,0)),"")</f>
      </c>
      <c r="C21" s="17">
        <f>IFERROR(INDEX('Presence du Jour'!C$7:C$56,MATCH(14,'Presence du Jour'!E$7:E$56,0)),"")</f>
      </c>
      <c r="D21" s="18">
        <f>IFERROR(INDEX('Presence du Jour'!D$7:D$56,MATCH(14,'Presence du Jour'!E$7:E$56,0)),"")</f>
      </c>
    </row>
    <row r="22">
      <c r="A22" s="15">
        <f>IF(IFERROR(INDEX('Presence du Jour'!B$7:B$56,MATCH(15,'Presence du Jour'!E$7:E$56,0)),"")&lt;&gt;"",15,"")</f>
      </c>
      <c r="B22" s="15">
        <f>IFERROR(INDEX('Presence du Jour'!B$7:B$56,MATCH(15,'Presence du Jour'!E$7:E$56,0)),"")</f>
      </c>
      <c r="C22" s="14">
        <f>IFERROR(INDEX('Presence du Jour'!C$7:C$56,MATCH(15,'Presence du Jour'!E$7:E$56,0)),"")</f>
      </c>
      <c r="D22" s="15">
        <f>IFERROR(INDEX('Presence du Jour'!D$7:D$56,MATCH(15,'Presence du Jour'!E$7:E$56,0)),"")</f>
      </c>
    </row>
    <row r="23">
      <c r="A23" s="18">
        <f>IF(IFERROR(INDEX('Presence du Jour'!B$7:B$56,MATCH(16,'Presence du Jour'!E$7:E$56,0)),"")&lt;&gt;"",16,"")</f>
      </c>
      <c r="B23" s="18">
        <f>IFERROR(INDEX('Presence du Jour'!B$7:B$56,MATCH(16,'Presence du Jour'!E$7:E$56,0)),"")</f>
      </c>
      <c r="C23" s="17">
        <f>IFERROR(INDEX('Presence du Jour'!C$7:C$56,MATCH(16,'Presence du Jour'!E$7:E$56,0)),"")</f>
      </c>
      <c r="D23" s="18">
        <f>IFERROR(INDEX('Presence du Jour'!D$7:D$56,MATCH(16,'Presence du Jour'!E$7:E$56,0)),"")</f>
      </c>
    </row>
    <row r="24">
      <c r="A24" s="15">
        <f>IF(IFERROR(INDEX('Presence du Jour'!B$7:B$56,MATCH(17,'Presence du Jour'!E$7:E$56,0)),"")&lt;&gt;"",17,"")</f>
      </c>
      <c r="B24" s="15">
        <f>IFERROR(INDEX('Presence du Jour'!B$7:B$56,MATCH(17,'Presence du Jour'!E$7:E$56,0)),"")</f>
      </c>
      <c r="C24" s="14">
        <f>IFERROR(INDEX('Presence du Jour'!C$7:C$56,MATCH(17,'Presence du Jour'!E$7:E$56,0)),"")</f>
      </c>
      <c r="D24" s="15">
        <f>IFERROR(INDEX('Presence du Jour'!D$7:D$56,MATCH(17,'Presence du Jour'!E$7:E$56,0)),"")</f>
      </c>
    </row>
    <row r="25">
      <c r="A25" s="18">
        <f>IF(IFERROR(INDEX('Presence du Jour'!B$7:B$56,MATCH(18,'Presence du Jour'!E$7:E$56,0)),"")&lt;&gt;"",18,"")</f>
      </c>
      <c r="B25" s="18">
        <f>IFERROR(INDEX('Presence du Jour'!B$7:B$56,MATCH(18,'Presence du Jour'!E$7:E$56,0)),"")</f>
      </c>
      <c r="C25" s="17">
        <f>IFERROR(INDEX('Presence du Jour'!C$7:C$56,MATCH(18,'Presence du Jour'!E$7:E$56,0)),"")</f>
      </c>
      <c r="D25" s="18">
        <f>IFERROR(INDEX('Presence du Jour'!D$7:D$56,MATCH(18,'Presence du Jour'!E$7:E$56,0)),"")</f>
      </c>
    </row>
    <row r="26">
      <c r="A26" s="15">
        <f>IF(IFERROR(INDEX('Presence du Jour'!B$7:B$56,MATCH(19,'Presence du Jour'!E$7:E$56,0)),"")&lt;&gt;"",19,"")</f>
      </c>
      <c r="B26" s="15">
        <f>IFERROR(INDEX('Presence du Jour'!B$7:B$56,MATCH(19,'Presence du Jour'!E$7:E$56,0)),"")</f>
      </c>
      <c r="C26" s="14">
        <f>IFERROR(INDEX('Presence du Jour'!C$7:C$56,MATCH(19,'Presence du Jour'!E$7:E$56,0)),"")</f>
      </c>
      <c r="D26" s="15">
        <f>IFERROR(INDEX('Presence du Jour'!D$7:D$56,MATCH(19,'Presence du Jour'!E$7:E$56,0)),"")</f>
      </c>
    </row>
    <row r="27">
      <c r="A27" s="18">
        <f>IF(IFERROR(INDEX('Presence du Jour'!B$7:B$56,MATCH(20,'Presence du Jour'!E$7:E$56,0)),"")&lt;&gt;"",20,"")</f>
      </c>
      <c r="B27" s="18">
        <f>IFERROR(INDEX('Presence du Jour'!B$7:B$56,MATCH(20,'Presence du Jour'!E$7:E$56,0)),"")</f>
      </c>
      <c r="C27" s="17">
        <f>IFERROR(INDEX('Presence du Jour'!C$7:C$56,MATCH(20,'Presence du Jour'!E$7:E$56,0)),"")</f>
      </c>
      <c r="D27" s="18">
        <f>IFERROR(INDEX('Presence du Jour'!D$7:D$56,MATCH(20,'Presence du Jour'!E$7:E$56,0)),"")</f>
      </c>
    </row>
    <row r="28">
      <c r="A28" s="15">
        <f>IF(IFERROR(INDEX('Presence du Jour'!B$7:B$56,MATCH(21,'Presence du Jour'!E$7:E$56,0)),"")&lt;&gt;"",21,"")</f>
      </c>
      <c r="B28" s="15">
        <f>IFERROR(INDEX('Presence du Jour'!B$7:B$56,MATCH(21,'Presence du Jour'!E$7:E$56,0)),"")</f>
      </c>
      <c r="C28" s="14">
        <f>IFERROR(INDEX('Presence du Jour'!C$7:C$56,MATCH(21,'Presence du Jour'!E$7:E$56,0)),"")</f>
      </c>
      <c r="D28" s="15">
        <f>IFERROR(INDEX('Presence du Jour'!D$7:D$56,MATCH(21,'Presence du Jour'!E$7:E$56,0)),"")</f>
      </c>
    </row>
    <row r="29">
      <c r="A29" s="18">
        <f>IF(IFERROR(INDEX('Presence du Jour'!B$7:B$56,MATCH(22,'Presence du Jour'!E$7:E$56,0)),"")&lt;&gt;"",22,"")</f>
      </c>
      <c r="B29" s="18">
        <f>IFERROR(INDEX('Presence du Jour'!B$7:B$56,MATCH(22,'Presence du Jour'!E$7:E$56,0)),"")</f>
      </c>
      <c r="C29" s="17">
        <f>IFERROR(INDEX('Presence du Jour'!C$7:C$56,MATCH(22,'Presence du Jour'!E$7:E$56,0)),"")</f>
      </c>
      <c r="D29" s="18">
        <f>IFERROR(INDEX('Presence du Jour'!D$7:D$56,MATCH(22,'Presence du Jour'!E$7:E$56,0)),"")</f>
      </c>
    </row>
    <row r="30">
      <c r="A30" s="15">
        <f>IF(IFERROR(INDEX('Presence du Jour'!B$7:B$56,MATCH(23,'Presence du Jour'!E$7:E$56,0)),"")&lt;&gt;"",23,"")</f>
      </c>
      <c r="B30" s="15">
        <f>IFERROR(INDEX('Presence du Jour'!B$7:B$56,MATCH(23,'Presence du Jour'!E$7:E$56,0)),"")</f>
      </c>
      <c r="C30" s="14">
        <f>IFERROR(INDEX('Presence du Jour'!C$7:C$56,MATCH(23,'Presence du Jour'!E$7:E$56,0)),"")</f>
      </c>
      <c r="D30" s="15">
        <f>IFERROR(INDEX('Presence du Jour'!D$7:D$56,MATCH(23,'Presence du Jour'!E$7:E$56,0)),"")</f>
      </c>
    </row>
    <row r="31">
      <c r="A31" s="18">
        <f>IF(IFERROR(INDEX('Presence du Jour'!B$7:B$56,MATCH(24,'Presence du Jour'!E$7:E$56,0)),"")&lt;&gt;"",24,"")</f>
      </c>
      <c r="B31" s="18">
        <f>IFERROR(INDEX('Presence du Jour'!B$7:B$56,MATCH(24,'Presence du Jour'!E$7:E$56,0)),"")</f>
      </c>
      <c r="C31" s="17">
        <f>IFERROR(INDEX('Presence du Jour'!C$7:C$56,MATCH(24,'Presence du Jour'!E$7:E$56,0)),"")</f>
      </c>
      <c r="D31" s="18">
        <f>IFERROR(INDEX('Presence du Jour'!D$7:D$56,MATCH(24,'Presence du Jour'!E$7:E$56,0)),"")</f>
      </c>
    </row>
    <row r="32">
      <c r="A32" s="15">
        <f>IF(IFERROR(INDEX('Presence du Jour'!B$7:B$56,MATCH(25,'Presence du Jour'!E$7:E$56,0)),"")&lt;&gt;"",25,"")</f>
      </c>
      <c r="B32" s="15">
        <f>IFERROR(INDEX('Presence du Jour'!B$7:B$56,MATCH(25,'Presence du Jour'!E$7:E$56,0)),"")</f>
      </c>
      <c r="C32" s="14">
        <f>IFERROR(INDEX('Presence du Jour'!C$7:C$56,MATCH(25,'Presence du Jour'!E$7:E$56,0)),"")</f>
      </c>
      <c r="D32" s="15">
        <f>IFERROR(INDEX('Presence du Jour'!D$7:D$56,MATCH(25,'Presence du Jour'!E$7:E$56,0)),"")</f>
      </c>
    </row>
    <row r="33">
      <c r="A33" s="18">
        <f>IF(IFERROR(INDEX('Presence du Jour'!B$7:B$56,MATCH(26,'Presence du Jour'!E$7:E$56,0)),"")&lt;&gt;"",26,"")</f>
      </c>
      <c r="B33" s="18">
        <f>IFERROR(INDEX('Presence du Jour'!B$7:B$56,MATCH(26,'Presence du Jour'!E$7:E$56,0)),"")</f>
      </c>
      <c r="C33" s="17">
        <f>IFERROR(INDEX('Presence du Jour'!C$7:C$56,MATCH(26,'Presence du Jour'!E$7:E$56,0)),"")</f>
      </c>
      <c r="D33" s="18">
        <f>IFERROR(INDEX('Presence du Jour'!D$7:D$56,MATCH(26,'Presence du Jour'!E$7:E$56,0)),"")</f>
      </c>
    </row>
    <row r="34">
      <c r="A34" s="15">
        <f>IF(IFERROR(INDEX('Presence du Jour'!B$7:B$56,MATCH(27,'Presence du Jour'!E$7:E$56,0)),"")&lt;&gt;"",27,"")</f>
      </c>
      <c r="B34" s="15">
        <f>IFERROR(INDEX('Presence du Jour'!B$7:B$56,MATCH(27,'Presence du Jour'!E$7:E$56,0)),"")</f>
      </c>
      <c r="C34" s="14">
        <f>IFERROR(INDEX('Presence du Jour'!C$7:C$56,MATCH(27,'Presence du Jour'!E$7:E$56,0)),"")</f>
      </c>
      <c r="D34" s="15">
        <f>IFERROR(INDEX('Presence du Jour'!D$7:D$56,MATCH(27,'Presence du Jour'!E$7:E$56,0)),"")</f>
      </c>
    </row>
    <row r="35">
      <c r="A35" s="18">
        <f>IF(IFERROR(INDEX('Presence du Jour'!B$7:B$56,MATCH(28,'Presence du Jour'!E$7:E$56,0)),"")&lt;&gt;"",28,"")</f>
      </c>
      <c r="B35" s="18">
        <f>IFERROR(INDEX('Presence du Jour'!B$7:B$56,MATCH(28,'Presence du Jour'!E$7:E$56,0)),"")</f>
      </c>
      <c r="C35" s="17">
        <f>IFERROR(INDEX('Presence du Jour'!C$7:C$56,MATCH(28,'Presence du Jour'!E$7:E$56,0)),"")</f>
      </c>
      <c r="D35" s="18">
        <f>IFERROR(INDEX('Presence du Jour'!D$7:D$56,MATCH(28,'Presence du Jour'!E$7:E$56,0)),"")</f>
      </c>
    </row>
    <row r="36">
      <c r="A36" s="15">
        <f>IF(IFERROR(INDEX('Presence du Jour'!B$7:B$56,MATCH(29,'Presence du Jour'!E$7:E$56,0)),"")&lt;&gt;"",29,"")</f>
      </c>
      <c r="B36" s="15">
        <f>IFERROR(INDEX('Presence du Jour'!B$7:B$56,MATCH(29,'Presence du Jour'!E$7:E$56,0)),"")</f>
      </c>
      <c r="C36" s="14">
        <f>IFERROR(INDEX('Presence du Jour'!C$7:C$56,MATCH(29,'Presence du Jour'!E$7:E$56,0)),"")</f>
      </c>
      <c r="D36" s="15">
        <f>IFERROR(INDEX('Presence du Jour'!D$7:D$56,MATCH(29,'Presence du Jour'!E$7:E$56,0)),"")</f>
      </c>
    </row>
    <row r="37">
      <c r="A37" s="18">
        <f>IF(IFERROR(INDEX('Presence du Jour'!B$7:B$56,MATCH(30,'Presence du Jour'!E$7:E$56,0)),"")&lt;&gt;"",30,"")</f>
      </c>
      <c r="B37" s="18">
        <f>IFERROR(INDEX('Presence du Jour'!B$7:B$56,MATCH(30,'Presence du Jour'!E$7:E$56,0)),"")</f>
      </c>
      <c r="C37" s="17">
        <f>IFERROR(INDEX('Presence du Jour'!C$7:C$56,MATCH(30,'Presence du Jour'!E$7:E$56,0)),"")</f>
      </c>
      <c r="D37" s="18">
        <f>IFERROR(INDEX('Presence du Jour'!D$7:D$56,MATCH(30,'Presence du Jour'!E$7:E$56,0)),"")</f>
      </c>
    </row>
    <row r="38">
      <c r="A38" s="15">
        <f>IF(IFERROR(INDEX('Presence du Jour'!B$7:B$56,MATCH(31,'Presence du Jour'!E$7:E$56,0)),"")&lt;&gt;"",31,"")</f>
      </c>
      <c r="B38" s="15">
        <f>IFERROR(INDEX('Presence du Jour'!B$7:B$56,MATCH(31,'Presence du Jour'!E$7:E$56,0)),"")</f>
      </c>
      <c r="C38" s="14">
        <f>IFERROR(INDEX('Presence du Jour'!C$7:C$56,MATCH(31,'Presence du Jour'!E$7:E$56,0)),"")</f>
      </c>
      <c r="D38" s="15">
        <f>IFERROR(INDEX('Presence du Jour'!D$7:D$56,MATCH(31,'Presence du Jour'!E$7:E$56,0)),"")</f>
      </c>
    </row>
    <row r="39">
      <c r="A39" s="18">
        <f>IF(IFERROR(INDEX('Presence du Jour'!B$7:B$56,MATCH(32,'Presence du Jour'!E$7:E$56,0)),"")&lt;&gt;"",32,"")</f>
      </c>
      <c r="B39" s="18">
        <f>IFERROR(INDEX('Presence du Jour'!B$7:B$56,MATCH(32,'Presence du Jour'!E$7:E$56,0)),"")</f>
      </c>
      <c r="C39" s="17">
        <f>IFERROR(INDEX('Presence du Jour'!C$7:C$56,MATCH(32,'Presence du Jour'!E$7:E$56,0)),"")</f>
      </c>
      <c r="D39" s="18">
        <f>IFERROR(INDEX('Presence du Jour'!D$7:D$56,MATCH(32,'Presence du Jour'!E$7:E$56,0)),"")</f>
      </c>
    </row>
    <row r="40">
      <c r="A40" s="15">
        <f>IF(IFERROR(INDEX('Presence du Jour'!B$7:B$56,MATCH(33,'Presence du Jour'!E$7:E$56,0)),"")&lt;&gt;"",33,"")</f>
      </c>
      <c r="B40" s="15">
        <f>IFERROR(INDEX('Presence du Jour'!B$7:B$56,MATCH(33,'Presence du Jour'!E$7:E$56,0)),"")</f>
      </c>
      <c r="C40" s="14">
        <f>IFERROR(INDEX('Presence du Jour'!C$7:C$56,MATCH(33,'Presence du Jour'!E$7:E$56,0)),"")</f>
      </c>
      <c r="D40" s="15">
        <f>IFERROR(INDEX('Presence du Jour'!D$7:D$56,MATCH(33,'Presence du Jour'!E$7:E$56,0)),"")</f>
      </c>
    </row>
    <row r="41">
      <c r="A41" s="18">
        <f>IF(IFERROR(INDEX('Presence du Jour'!B$7:B$56,MATCH(34,'Presence du Jour'!E$7:E$56,0)),"")&lt;&gt;"",34,"")</f>
      </c>
      <c r="B41" s="18">
        <f>IFERROR(INDEX('Presence du Jour'!B$7:B$56,MATCH(34,'Presence du Jour'!E$7:E$56,0)),"")</f>
      </c>
      <c r="C41" s="17">
        <f>IFERROR(INDEX('Presence du Jour'!C$7:C$56,MATCH(34,'Presence du Jour'!E$7:E$56,0)),"")</f>
      </c>
      <c r="D41" s="18">
        <f>IFERROR(INDEX('Presence du Jour'!D$7:D$56,MATCH(34,'Presence du Jour'!E$7:E$56,0)),"")</f>
      </c>
    </row>
    <row r="42">
      <c r="A42" s="15">
        <f>IF(IFERROR(INDEX('Presence du Jour'!B$7:B$56,MATCH(35,'Presence du Jour'!E$7:E$56,0)),"")&lt;&gt;"",35,"")</f>
      </c>
      <c r="B42" s="15">
        <f>IFERROR(INDEX('Presence du Jour'!B$7:B$56,MATCH(35,'Presence du Jour'!E$7:E$56,0)),"")</f>
      </c>
      <c r="C42" s="14">
        <f>IFERROR(INDEX('Presence du Jour'!C$7:C$56,MATCH(35,'Presence du Jour'!E$7:E$56,0)),"")</f>
      </c>
      <c r="D42" s="15">
        <f>IFERROR(INDEX('Presence du Jour'!D$7:D$56,MATCH(35,'Presence du Jour'!E$7:E$56,0)),"")</f>
      </c>
    </row>
    <row r="43">
      <c r="A43" s="18">
        <f>IF(IFERROR(INDEX('Presence du Jour'!B$7:B$56,MATCH(36,'Presence du Jour'!E$7:E$56,0)),"")&lt;&gt;"",36,"")</f>
      </c>
      <c r="B43" s="18">
        <f>IFERROR(INDEX('Presence du Jour'!B$7:B$56,MATCH(36,'Presence du Jour'!E$7:E$56,0)),"")</f>
      </c>
      <c r="C43" s="17">
        <f>IFERROR(INDEX('Presence du Jour'!C$7:C$56,MATCH(36,'Presence du Jour'!E$7:E$56,0)),"")</f>
      </c>
      <c r="D43" s="18">
        <f>IFERROR(INDEX('Presence du Jour'!D$7:D$56,MATCH(36,'Presence du Jour'!E$7:E$56,0)),"")</f>
      </c>
    </row>
    <row r="44">
      <c r="A44" s="15">
        <f>IF(IFERROR(INDEX('Presence du Jour'!B$7:B$56,MATCH(37,'Presence du Jour'!E$7:E$56,0)),"")&lt;&gt;"",37,"")</f>
      </c>
      <c r="B44" s="15">
        <f>IFERROR(INDEX('Presence du Jour'!B$7:B$56,MATCH(37,'Presence du Jour'!E$7:E$56,0)),"")</f>
      </c>
      <c r="C44" s="14">
        <f>IFERROR(INDEX('Presence du Jour'!C$7:C$56,MATCH(37,'Presence du Jour'!E$7:E$56,0)),"")</f>
      </c>
      <c r="D44" s="15">
        <f>IFERROR(INDEX('Presence du Jour'!D$7:D$56,MATCH(37,'Presence du Jour'!E$7:E$56,0)),"")</f>
      </c>
    </row>
    <row r="45">
      <c r="A45" s="18">
        <f>IF(IFERROR(INDEX('Presence du Jour'!B$7:B$56,MATCH(38,'Presence du Jour'!E$7:E$56,0)),"")&lt;&gt;"",38,"")</f>
      </c>
      <c r="B45" s="18">
        <f>IFERROR(INDEX('Presence du Jour'!B$7:B$56,MATCH(38,'Presence du Jour'!E$7:E$56,0)),"")</f>
      </c>
      <c r="C45" s="17">
        <f>IFERROR(INDEX('Presence du Jour'!C$7:C$56,MATCH(38,'Presence du Jour'!E$7:E$56,0)),"")</f>
      </c>
      <c r="D45" s="18">
        <f>IFERROR(INDEX('Presence du Jour'!D$7:D$56,MATCH(38,'Presence du Jour'!E$7:E$56,0)),"")</f>
      </c>
    </row>
    <row r="46">
      <c r="A46" s="15">
        <f>IF(IFERROR(INDEX('Presence du Jour'!B$7:B$56,MATCH(39,'Presence du Jour'!E$7:E$56,0)),"")&lt;&gt;"",39,"")</f>
      </c>
      <c r="B46" s="15">
        <f>IFERROR(INDEX('Presence du Jour'!B$7:B$56,MATCH(39,'Presence du Jour'!E$7:E$56,0)),"")</f>
      </c>
      <c r="C46" s="14">
        <f>IFERROR(INDEX('Presence du Jour'!C$7:C$56,MATCH(39,'Presence du Jour'!E$7:E$56,0)),"")</f>
      </c>
      <c r="D46" s="15">
        <f>IFERROR(INDEX('Presence du Jour'!D$7:D$56,MATCH(39,'Presence du Jour'!E$7:E$56,0)),"")</f>
      </c>
    </row>
    <row r="47">
      <c r="A47" s="18">
        <f>IF(IFERROR(INDEX('Presence du Jour'!B$7:B$56,MATCH(40,'Presence du Jour'!E$7:E$56,0)),"")&lt;&gt;"",40,"")</f>
      </c>
      <c r="B47" s="18">
        <f>IFERROR(INDEX('Presence du Jour'!B$7:B$56,MATCH(40,'Presence du Jour'!E$7:E$56,0)),"")</f>
      </c>
      <c r="C47" s="17">
        <f>IFERROR(INDEX('Presence du Jour'!C$7:C$56,MATCH(40,'Presence du Jour'!E$7:E$56,0)),"")</f>
      </c>
      <c r="D47" s="18">
        <f>IFERROR(INDEX('Presence du Jour'!D$7:D$56,MATCH(40,'Presence du Jour'!E$7:E$56,0)),"")</f>
      </c>
    </row>
    <row r="48">
      <c r="A48" s="15">
        <f>IF(IFERROR(INDEX('Presence du Jour'!B$7:B$56,MATCH(41,'Presence du Jour'!E$7:E$56,0)),"")&lt;&gt;"",41,"")</f>
      </c>
      <c r="B48" s="15">
        <f>IFERROR(INDEX('Presence du Jour'!B$7:B$56,MATCH(41,'Presence du Jour'!E$7:E$56,0)),"")</f>
      </c>
      <c r="C48" s="14">
        <f>IFERROR(INDEX('Presence du Jour'!C$7:C$56,MATCH(41,'Presence du Jour'!E$7:E$56,0)),"")</f>
      </c>
      <c r="D48" s="15">
        <f>IFERROR(INDEX('Presence du Jour'!D$7:D$56,MATCH(41,'Presence du Jour'!E$7:E$56,0)),"")</f>
      </c>
    </row>
    <row r="49">
      <c r="A49" s="18">
        <f>IF(IFERROR(INDEX('Presence du Jour'!B$7:B$56,MATCH(42,'Presence du Jour'!E$7:E$56,0)),"")&lt;&gt;"",42,"")</f>
      </c>
      <c r="B49" s="18">
        <f>IFERROR(INDEX('Presence du Jour'!B$7:B$56,MATCH(42,'Presence du Jour'!E$7:E$56,0)),"")</f>
      </c>
      <c r="C49" s="17">
        <f>IFERROR(INDEX('Presence du Jour'!C$7:C$56,MATCH(42,'Presence du Jour'!E$7:E$56,0)),"")</f>
      </c>
      <c r="D49" s="18">
        <f>IFERROR(INDEX('Presence du Jour'!D$7:D$56,MATCH(42,'Presence du Jour'!E$7:E$56,0)),"")</f>
      </c>
    </row>
    <row r="50">
      <c r="A50" s="15">
        <f>IF(IFERROR(INDEX('Presence du Jour'!B$7:B$56,MATCH(43,'Presence du Jour'!E$7:E$56,0)),"")&lt;&gt;"",43,"")</f>
      </c>
      <c r="B50" s="15">
        <f>IFERROR(INDEX('Presence du Jour'!B$7:B$56,MATCH(43,'Presence du Jour'!E$7:E$56,0)),"")</f>
      </c>
      <c r="C50" s="14">
        <f>IFERROR(INDEX('Presence du Jour'!C$7:C$56,MATCH(43,'Presence du Jour'!E$7:E$56,0)),"")</f>
      </c>
      <c r="D50" s="15">
        <f>IFERROR(INDEX('Presence du Jour'!D$7:D$56,MATCH(43,'Presence du Jour'!E$7:E$56,0)),"")</f>
      </c>
    </row>
    <row r="51">
      <c r="A51" s="18">
        <f>IF(IFERROR(INDEX('Presence du Jour'!B$7:B$56,MATCH(44,'Presence du Jour'!E$7:E$56,0)),"")&lt;&gt;"",44,"")</f>
      </c>
      <c r="B51" s="18">
        <f>IFERROR(INDEX('Presence du Jour'!B$7:B$56,MATCH(44,'Presence du Jour'!E$7:E$56,0)),"")</f>
      </c>
      <c r="C51" s="17">
        <f>IFERROR(INDEX('Presence du Jour'!C$7:C$56,MATCH(44,'Presence du Jour'!E$7:E$56,0)),"")</f>
      </c>
      <c r="D51" s="18">
        <f>IFERROR(INDEX('Presence du Jour'!D$7:D$56,MATCH(44,'Presence du Jour'!E$7:E$56,0)),"")</f>
      </c>
    </row>
    <row r="52">
      <c r="A52" s="15">
        <f>IF(IFERROR(INDEX('Presence du Jour'!B$7:B$56,MATCH(45,'Presence du Jour'!E$7:E$56,0)),"")&lt;&gt;"",45,"")</f>
      </c>
      <c r="B52" s="15">
        <f>IFERROR(INDEX('Presence du Jour'!B$7:B$56,MATCH(45,'Presence du Jour'!E$7:E$56,0)),"")</f>
      </c>
      <c r="C52" s="14">
        <f>IFERROR(INDEX('Presence du Jour'!C$7:C$56,MATCH(45,'Presence du Jour'!E$7:E$56,0)),"")</f>
      </c>
      <c r="D52" s="15">
        <f>IFERROR(INDEX('Presence du Jour'!D$7:D$56,MATCH(45,'Presence du Jour'!E$7:E$56,0)),"")</f>
      </c>
    </row>
    <row r="53">
      <c r="A53" s="18">
        <f>IF(IFERROR(INDEX('Presence du Jour'!B$7:B$56,MATCH(46,'Presence du Jour'!E$7:E$56,0)),"")&lt;&gt;"",46,"")</f>
      </c>
      <c r="B53" s="18">
        <f>IFERROR(INDEX('Presence du Jour'!B$7:B$56,MATCH(46,'Presence du Jour'!E$7:E$56,0)),"")</f>
      </c>
      <c r="C53" s="17">
        <f>IFERROR(INDEX('Presence du Jour'!C$7:C$56,MATCH(46,'Presence du Jour'!E$7:E$56,0)),"")</f>
      </c>
      <c r="D53" s="18">
        <f>IFERROR(INDEX('Presence du Jour'!D$7:D$56,MATCH(46,'Presence du Jour'!E$7:E$56,0)),"")</f>
      </c>
    </row>
    <row r="54">
      <c r="A54" s="15">
        <f>IF(IFERROR(INDEX('Presence du Jour'!B$7:B$56,MATCH(47,'Presence du Jour'!E$7:E$56,0)),"")&lt;&gt;"",47,"")</f>
      </c>
      <c r="B54" s="15">
        <f>IFERROR(INDEX('Presence du Jour'!B$7:B$56,MATCH(47,'Presence du Jour'!E$7:E$56,0)),"")</f>
      </c>
      <c r="C54" s="14">
        <f>IFERROR(INDEX('Presence du Jour'!C$7:C$56,MATCH(47,'Presence du Jour'!E$7:E$56,0)),"")</f>
      </c>
      <c r="D54" s="15">
        <f>IFERROR(INDEX('Presence du Jour'!D$7:D$56,MATCH(47,'Presence du Jour'!E$7:E$56,0)),"")</f>
      </c>
    </row>
    <row r="55">
      <c r="A55" s="18">
        <f>IF(IFERROR(INDEX('Presence du Jour'!B$7:B$56,MATCH(48,'Presence du Jour'!E$7:E$56,0)),"")&lt;&gt;"",48,"")</f>
      </c>
      <c r="B55" s="18">
        <f>IFERROR(INDEX('Presence du Jour'!B$7:B$56,MATCH(48,'Presence du Jour'!E$7:E$56,0)),"")</f>
      </c>
      <c r="C55" s="17">
        <f>IFERROR(INDEX('Presence du Jour'!C$7:C$56,MATCH(48,'Presence du Jour'!E$7:E$56,0)),"")</f>
      </c>
      <c r="D55" s="18">
        <f>IFERROR(INDEX('Presence du Jour'!D$7:D$56,MATCH(48,'Presence du Jour'!E$7:E$56,0)),"")</f>
      </c>
    </row>
    <row r="56">
      <c r="A56" s="15">
        <f>IF(IFERROR(INDEX('Presence du Jour'!B$7:B$56,MATCH(49,'Presence du Jour'!E$7:E$56,0)),"")&lt;&gt;"",49,"")</f>
      </c>
      <c r="B56" s="15">
        <f>IFERROR(INDEX('Presence du Jour'!B$7:B$56,MATCH(49,'Presence du Jour'!E$7:E$56,0)),"")</f>
      </c>
      <c r="C56" s="14">
        <f>IFERROR(INDEX('Presence du Jour'!C$7:C$56,MATCH(49,'Presence du Jour'!E$7:E$56,0)),"")</f>
      </c>
      <c r="D56" s="15">
        <f>IFERROR(INDEX('Presence du Jour'!D$7:D$56,MATCH(49,'Presence du Jour'!E$7:E$56,0)),"")</f>
      </c>
    </row>
    <row r="57">
      <c r="A57" s="18">
        <f>IF(IFERROR(INDEX('Presence du Jour'!B$7:B$56,MATCH(50,'Presence du Jour'!E$7:E$56,0)),"")&lt;&gt;"",50,"")</f>
      </c>
      <c r="B57" s="18">
        <f>IFERROR(INDEX('Presence du Jour'!B$7:B$56,MATCH(50,'Presence du Jour'!E$7:E$56,0)),"")</f>
      </c>
      <c r="C57" s="17">
        <f>IFERROR(INDEX('Presence du Jour'!C$7:C$56,MATCH(50,'Presence du Jour'!E$7:E$56,0)),"")</f>
      </c>
      <c r="D57" s="18">
        <f>IFERROR(INDEX('Presence du Jour'!D$7:D$56,MATCH(50,'Presence du Jour'!E$7:E$56,0)),"")</f>
      </c>
    </row>
    <row r="58">
      <c r="A58" s="25" t="inlineStr">
        <is>
          <t xml:space="preserve"/>
        </is>
      </c>
      <c r="B58" s="25" t="inlineStr">
        <is>
          <t xml:space="preserve">TOTAL :</t>
        </is>
      </c>
      <c r="C58" s="21">
        <f>COUNTIF('Presence du Jour'!A$7:A$56,"X")</f>
      </c>
    </row>
  </sheetData>
  <mergeCells count="4">
    <mergeCell ref="A1:D1"/>
    <mergeCell ref="A2:D2"/>
    <mergeCell ref="C4:D4"/>
    <mergeCell ref="B5:D5"/>
  </mergeCells>
  <printOptions horizontalCentered="1"/>
  <pageMargins left="0.75" right="0.75" top="0.6" bottom="0.6" header="0.2" footer="0.2"/>
  <pageSetup paperSize="9" orientation="portrait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F9000"/>
    <pageSetUpPr fitToPage="1"/>
  </sheetPr>
  <dimension ref="A1:E201"/>
  <sheetViews>
    <sheetView workbookViewId="0">
      <pane ySplit="1" topLeftCell="A2" activePane="bottomRight" state="frozen"/>
      <selection pane="bottomRight" activeCell="A2" sqref="A2"/>
    </sheetView>
  </sheetViews>
  <sheetFormatPr defaultRowHeight="15"/>
  <cols>
    <col min="1" max="1" width="14" customWidth="1"/>
    <col min="2" max="2" width="14" customWidth="1"/>
    <col min="3" max="3" width="30" customWidth="1"/>
    <col min="4" max="4" width="20" customWidth="1"/>
    <col min="5" max="5" width="12" customWidth="1"/>
  </cols>
  <sheetData>
    <row r="1" ht="26" customHeight="1">
      <c r="A1" s="34" t="inlineStr">
        <is>
          <t xml:space="preserve">Date</t>
        </is>
      </c>
      <c r="B1" s="34" t="inlineStr">
        <is>
          <t xml:space="preserve">ID</t>
        </is>
      </c>
      <c r="C1" s="34" t="inlineStr">
        <is>
          <t xml:space="preserve">Nom et Prénom</t>
        </is>
      </c>
      <c r="D1" s="34" t="inlineStr">
        <is>
          <t xml:space="preserve">Poste</t>
        </is>
      </c>
      <c r="E1" s="34" t="inlineStr">
        <is>
          <t xml:space="preserve">Présent</t>
        </is>
      </c>
    </row>
    <row r="2">
      <c r="A2" s="35"/>
      <c r="B2" s="35"/>
      <c r="C2" s="35"/>
      <c r="D2" s="35"/>
      <c r="E2" s="35"/>
    </row>
    <row r="3">
      <c r="A3" s="35"/>
      <c r="B3" s="35"/>
      <c r="C3" s="35"/>
      <c r="D3" s="35"/>
      <c r="E3" s="35"/>
    </row>
    <row r="4">
      <c r="A4" s="35"/>
      <c r="B4" s="35"/>
      <c r="C4" s="35"/>
      <c r="D4" s="35"/>
      <c r="E4" s="35"/>
    </row>
    <row r="5">
      <c r="A5" s="35"/>
      <c r="B5" s="35"/>
      <c r="C5" s="35"/>
      <c r="D5" s="35"/>
      <c r="E5" s="35"/>
    </row>
    <row r="6">
      <c r="A6" s="35"/>
      <c r="B6" s="35"/>
      <c r="C6" s="35"/>
      <c r="D6" s="35"/>
      <c r="E6" s="35"/>
    </row>
    <row r="7">
      <c r="A7" s="35"/>
      <c r="B7" s="35"/>
      <c r="C7" s="35"/>
      <c r="D7" s="35"/>
      <c r="E7" s="35"/>
    </row>
    <row r="8">
      <c r="A8" s="35"/>
      <c r="B8" s="35"/>
      <c r="C8" s="35"/>
      <c r="D8" s="35"/>
      <c r="E8" s="35"/>
    </row>
    <row r="9">
      <c r="A9" s="35"/>
      <c r="B9" s="35"/>
      <c r="C9" s="35"/>
      <c r="D9" s="35"/>
      <c r="E9" s="35"/>
    </row>
    <row r="10">
      <c r="A10" s="35"/>
      <c r="B10" s="35"/>
      <c r="C10" s="35"/>
      <c r="D10" s="35"/>
      <c r="E10" s="35"/>
    </row>
    <row r="11">
      <c r="A11" s="35"/>
      <c r="B11" s="35"/>
      <c r="C11" s="35"/>
      <c r="D11" s="35"/>
      <c r="E11" s="35"/>
    </row>
    <row r="12">
      <c r="A12" s="35"/>
      <c r="B12" s="35"/>
      <c r="C12" s="35"/>
      <c r="D12" s="35"/>
      <c r="E12" s="35"/>
    </row>
    <row r="13">
      <c r="A13" s="35"/>
      <c r="B13" s="35"/>
      <c r="C13" s="35"/>
      <c r="D13" s="35"/>
      <c r="E13" s="35"/>
    </row>
    <row r="14">
      <c r="A14" s="35"/>
      <c r="B14" s="35"/>
      <c r="C14" s="35"/>
      <c r="D14" s="35"/>
      <c r="E14" s="35"/>
    </row>
    <row r="15">
      <c r="A15" s="35"/>
      <c r="B15" s="35"/>
      <c r="C15" s="35"/>
      <c r="D15" s="35"/>
      <c r="E15" s="35"/>
    </row>
    <row r="16">
      <c r="A16" s="35"/>
      <c r="B16" s="35"/>
      <c r="C16" s="35"/>
      <c r="D16" s="35"/>
      <c r="E16" s="35"/>
    </row>
    <row r="17">
      <c r="A17" s="35"/>
      <c r="B17" s="35"/>
      <c r="C17" s="35"/>
      <c r="D17" s="35"/>
      <c r="E17" s="35"/>
    </row>
    <row r="18">
      <c r="A18" s="35"/>
      <c r="B18" s="35"/>
      <c r="C18" s="35"/>
      <c r="D18" s="35"/>
      <c r="E18" s="35"/>
    </row>
    <row r="19">
      <c r="A19" s="35"/>
      <c r="B19" s="35"/>
      <c r="C19" s="35"/>
      <c r="D19" s="35"/>
      <c r="E19" s="35"/>
    </row>
    <row r="20">
      <c r="A20" s="35"/>
      <c r="B20" s="35"/>
      <c r="C20" s="35"/>
      <c r="D20" s="35"/>
      <c r="E20" s="35"/>
    </row>
    <row r="21">
      <c r="A21" s="35"/>
      <c r="B21" s="35"/>
      <c r="C21" s="35"/>
      <c r="D21" s="35"/>
      <c r="E21" s="35"/>
    </row>
    <row r="22">
      <c r="A22" s="35"/>
      <c r="B22" s="35"/>
      <c r="C22" s="35"/>
      <c r="D22" s="35"/>
      <c r="E22" s="35"/>
    </row>
    <row r="23">
      <c r="A23" s="35"/>
      <c r="B23" s="35"/>
      <c r="C23" s="35"/>
      <c r="D23" s="35"/>
      <c r="E23" s="35"/>
    </row>
    <row r="24">
      <c r="A24" s="35"/>
      <c r="B24" s="35"/>
      <c r="C24" s="35"/>
      <c r="D24" s="35"/>
      <c r="E24" s="35"/>
    </row>
    <row r="25">
      <c r="A25" s="35"/>
      <c r="B25" s="35"/>
      <c r="C25" s="35"/>
      <c r="D25" s="35"/>
      <c r="E25" s="35"/>
    </row>
    <row r="26">
      <c r="A26" s="35"/>
      <c r="B26" s="35"/>
      <c r="C26" s="35"/>
      <c r="D26" s="35"/>
      <c r="E26" s="35"/>
    </row>
    <row r="27">
      <c r="A27" s="35"/>
      <c r="B27" s="35"/>
      <c r="C27" s="35"/>
      <c r="D27" s="35"/>
      <c r="E27" s="35"/>
    </row>
    <row r="28">
      <c r="A28" s="35"/>
      <c r="B28" s="35"/>
      <c r="C28" s="35"/>
      <c r="D28" s="35"/>
      <c r="E28" s="35"/>
    </row>
    <row r="29">
      <c r="A29" s="35"/>
      <c r="B29" s="35"/>
      <c r="C29" s="35"/>
      <c r="D29" s="35"/>
      <c r="E29" s="35"/>
    </row>
    <row r="30">
      <c r="A30" s="35"/>
      <c r="B30" s="35"/>
      <c r="C30" s="35"/>
      <c r="D30" s="35"/>
      <c r="E30" s="35"/>
    </row>
    <row r="31">
      <c r="A31" s="35"/>
      <c r="B31" s="35"/>
      <c r="C31" s="35"/>
      <c r="D31" s="35"/>
      <c r="E31" s="35"/>
    </row>
    <row r="32">
      <c r="A32" s="35"/>
      <c r="B32" s="35"/>
      <c r="C32" s="35"/>
      <c r="D32" s="35"/>
      <c r="E32" s="35"/>
    </row>
    <row r="33">
      <c r="A33" s="35"/>
      <c r="B33" s="35"/>
      <c r="C33" s="35"/>
      <c r="D33" s="35"/>
      <c r="E33" s="35"/>
    </row>
    <row r="34">
      <c r="A34" s="35"/>
      <c r="B34" s="35"/>
      <c r="C34" s="35"/>
      <c r="D34" s="35"/>
      <c r="E34" s="35"/>
    </row>
    <row r="35">
      <c r="A35" s="35"/>
      <c r="B35" s="35"/>
      <c r="C35" s="35"/>
      <c r="D35" s="35"/>
      <c r="E35" s="35"/>
    </row>
    <row r="36">
      <c r="A36" s="35"/>
      <c r="B36" s="35"/>
      <c r="C36" s="35"/>
      <c r="D36" s="35"/>
      <c r="E36" s="35"/>
    </row>
    <row r="37">
      <c r="A37" s="35"/>
      <c r="B37" s="35"/>
      <c r="C37" s="35"/>
      <c r="D37" s="35"/>
      <c r="E37" s="35"/>
    </row>
    <row r="38">
      <c r="A38" s="35"/>
      <c r="B38" s="35"/>
      <c r="C38" s="35"/>
      <c r="D38" s="35"/>
      <c r="E38" s="35"/>
    </row>
    <row r="39">
      <c r="A39" s="35"/>
      <c r="B39" s="35"/>
      <c r="C39" s="35"/>
      <c r="D39" s="35"/>
      <c r="E39" s="35"/>
    </row>
    <row r="40">
      <c r="A40" s="35"/>
      <c r="B40" s="35"/>
      <c r="C40" s="35"/>
      <c r="D40" s="35"/>
      <c r="E40" s="35"/>
    </row>
    <row r="41">
      <c r="A41" s="35"/>
      <c r="B41" s="35"/>
      <c r="C41" s="35"/>
      <c r="D41" s="35"/>
      <c r="E41" s="35"/>
    </row>
    <row r="42">
      <c r="A42" s="35"/>
      <c r="B42" s="35"/>
      <c r="C42" s="35"/>
      <c r="D42" s="35"/>
      <c r="E42" s="35"/>
    </row>
    <row r="43">
      <c r="A43" s="35"/>
      <c r="B43" s="35"/>
      <c r="C43" s="35"/>
      <c r="D43" s="35"/>
      <c r="E43" s="35"/>
    </row>
    <row r="44">
      <c r="A44" s="35"/>
      <c r="B44" s="35"/>
      <c r="C44" s="35"/>
      <c r="D44" s="35"/>
      <c r="E44" s="35"/>
    </row>
    <row r="45">
      <c r="A45" s="35"/>
      <c r="B45" s="35"/>
      <c r="C45" s="35"/>
      <c r="D45" s="35"/>
      <c r="E45" s="35"/>
    </row>
    <row r="46">
      <c r="A46" s="35"/>
      <c r="B46" s="35"/>
      <c r="C46" s="35"/>
      <c r="D46" s="35"/>
      <c r="E46" s="35"/>
    </row>
    <row r="47">
      <c r="A47" s="35"/>
      <c r="B47" s="35"/>
      <c r="C47" s="35"/>
      <c r="D47" s="35"/>
      <c r="E47" s="35"/>
    </row>
    <row r="48">
      <c r="A48" s="35"/>
      <c r="B48" s="35"/>
      <c r="C48" s="35"/>
      <c r="D48" s="35"/>
      <c r="E48" s="35"/>
    </row>
    <row r="49">
      <c r="A49" s="35"/>
      <c r="B49" s="35"/>
      <c r="C49" s="35"/>
      <c r="D49" s="35"/>
      <c r="E49" s="35"/>
    </row>
    <row r="50">
      <c r="A50" s="35"/>
      <c r="B50" s="35"/>
      <c r="C50" s="35"/>
      <c r="D50" s="35"/>
      <c r="E50" s="35"/>
    </row>
    <row r="51">
      <c r="A51" s="35"/>
      <c r="B51" s="35"/>
      <c r="C51" s="35"/>
      <c r="D51" s="35"/>
      <c r="E51" s="35"/>
    </row>
    <row r="52">
      <c r="A52" s="35"/>
      <c r="B52" s="35"/>
      <c r="C52" s="35"/>
      <c r="D52" s="35"/>
      <c r="E52" s="35"/>
    </row>
    <row r="53">
      <c r="A53" s="35"/>
      <c r="B53" s="35"/>
      <c r="C53" s="35"/>
      <c r="D53" s="35"/>
      <c r="E53" s="35"/>
    </row>
    <row r="54">
      <c r="A54" s="35"/>
      <c r="B54" s="35"/>
      <c r="C54" s="35"/>
      <c r="D54" s="35"/>
      <c r="E54" s="35"/>
    </row>
    <row r="55">
      <c r="A55" s="35"/>
      <c r="B55" s="35"/>
      <c r="C55" s="35"/>
      <c r="D55" s="35"/>
      <c r="E55" s="35"/>
    </row>
    <row r="56">
      <c r="A56" s="35"/>
      <c r="B56" s="35"/>
      <c r="C56" s="35"/>
      <c r="D56" s="35"/>
      <c r="E56" s="35"/>
    </row>
    <row r="57">
      <c r="A57" s="35"/>
      <c r="B57" s="35"/>
      <c r="C57" s="35"/>
      <c r="D57" s="35"/>
      <c r="E57" s="35"/>
    </row>
    <row r="58">
      <c r="A58" s="35"/>
      <c r="B58" s="35"/>
      <c r="C58" s="35"/>
      <c r="D58" s="35"/>
      <c r="E58" s="35"/>
    </row>
    <row r="59">
      <c r="A59" s="35"/>
      <c r="B59" s="35"/>
      <c r="C59" s="35"/>
      <c r="D59" s="35"/>
      <c r="E59" s="35"/>
    </row>
    <row r="60">
      <c r="A60" s="35"/>
      <c r="B60" s="35"/>
      <c r="C60" s="35"/>
      <c r="D60" s="35"/>
      <c r="E60" s="35"/>
    </row>
    <row r="61">
      <c r="A61" s="35"/>
      <c r="B61" s="35"/>
      <c r="C61" s="35"/>
      <c r="D61" s="35"/>
      <c r="E61" s="35"/>
    </row>
    <row r="62">
      <c r="A62" s="35"/>
      <c r="B62" s="35"/>
      <c r="C62" s="35"/>
      <c r="D62" s="35"/>
      <c r="E62" s="35"/>
    </row>
    <row r="63">
      <c r="A63" s="35"/>
      <c r="B63" s="35"/>
      <c r="C63" s="35"/>
      <c r="D63" s="35"/>
      <c r="E63" s="35"/>
    </row>
    <row r="64">
      <c r="A64" s="35"/>
      <c r="B64" s="35"/>
      <c r="C64" s="35"/>
      <c r="D64" s="35"/>
      <c r="E64" s="35"/>
    </row>
    <row r="65">
      <c r="A65" s="35"/>
      <c r="B65" s="35"/>
      <c r="C65" s="35"/>
      <c r="D65" s="35"/>
      <c r="E65" s="35"/>
    </row>
    <row r="66">
      <c r="A66" s="35"/>
      <c r="B66" s="35"/>
      <c r="C66" s="35"/>
      <c r="D66" s="35"/>
      <c r="E66" s="35"/>
    </row>
    <row r="67">
      <c r="A67" s="35"/>
      <c r="B67" s="35"/>
      <c r="C67" s="35"/>
      <c r="D67" s="35"/>
      <c r="E67" s="35"/>
    </row>
    <row r="68">
      <c r="A68" s="35"/>
      <c r="B68" s="35"/>
      <c r="C68" s="35"/>
      <c r="D68" s="35"/>
      <c r="E68" s="35"/>
    </row>
    <row r="69">
      <c r="A69" s="35"/>
      <c r="B69" s="35"/>
      <c r="C69" s="35"/>
      <c r="D69" s="35"/>
      <c r="E69" s="35"/>
    </row>
    <row r="70">
      <c r="A70" s="35"/>
      <c r="B70" s="35"/>
      <c r="C70" s="35"/>
      <c r="D70" s="35"/>
      <c r="E70" s="35"/>
    </row>
    <row r="71">
      <c r="A71" s="35"/>
      <c r="B71" s="35"/>
      <c r="C71" s="35"/>
      <c r="D71" s="35"/>
      <c r="E71" s="35"/>
    </row>
    <row r="72">
      <c r="A72" s="35"/>
      <c r="B72" s="35"/>
      <c r="C72" s="35"/>
      <c r="D72" s="35"/>
      <c r="E72" s="35"/>
    </row>
    <row r="73">
      <c r="A73" s="35"/>
      <c r="B73" s="35"/>
      <c r="C73" s="35"/>
      <c r="D73" s="35"/>
      <c r="E73" s="35"/>
    </row>
    <row r="74">
      <c r="A74" s="35"/>
      <c r="B74" s="35"/>
      <c r="C74" s="35"/>
      <c r="D74" s="35"/>
      <c r="E74" s="35"/>
    </row>
    <row r="75">
      <c r="A75" s="35"/>
      <c r="B75" s="35"/>
      <c r="C75" s="35"/>
      <c r="D75" s="35"/>
      <c r="E75" s="35"/>
    </row>
    <row r="76">
      <c r="A76" s="35"/>
      <c r="B76" s="35"/>
      <c r="C76" s="35"/>
      <c r="D76" s="35"/>
      <c r="E76" s="35"/>
    </row>
    <row r="77">
      <c r="A77" s="35"/>
      <c r="B77" s="35"/>
      <c r="C77" s="35"/>
      <c r="D77" s="35"/>
      <c r="E77" s="35"/>
    </row>
    <row r="78">
      <c r="A78" s="35"/>
      <c r="B78" s="35"/>
      <c r="C78" s="35"/>
      <c r="D78" s="35"/>
      <c r="E78" s="35"/>
    </row>
    <row r="79">
      <c r="A79" s="35"/>
      <c r="B79" s="35"/>
      <c r="C79" s="35"/>
      <c r="D79" s="35"/>
      <c r="E79" s="35"/>
    </row>
    <row r="80">
      <c r="A80" s="35"/>
      <c r="B80" s="35"/>
      <c r="C80" s="35"/>
      <c r="D80" s="35"/>
      <c r="E80" s="35"/>
    </row>
    <row r="81">
      <c r="A81" s="35"/>
      <c r="B81" s="35"/>
      <c r="C81" s="35"/>
      <c r="D81" s="35"/>
      <c r="E81" s="35"/>
    </row>
    <row r="82">
      <c r="A82" s="35"/>
      <c r="B82" s="35"/>
      <c r="C82" s="35"/>
      <c r="D82" s="35"/>
      <c r="E82" s="35"/>
    </row>
    <row r="83">
      <c r="A83" s="35"/>
      <c r="B83" s="35"/>
      <c r="C83" s="35"/>
      <c r="D83" s="35"/>
      <c r="E83" s="35"/>
    </row>
    <row r="84">
      <c r="A84" s="35"/>
      <c r="B84" s="35"/>
      <c r="C84" s="35"/>
      <c r="D84" s="35"/>
      <c r="E84" s="35"/>
    </row>
    <row r="85">
      <c r="A85" s="35"/>
      <c r="B85" s="35"/>
      <c r="C85" s="35"/>
      <c r="D85" s="35"/>
      <c r="E85" s="35"/>
    </row>
    <row r="86">
      <c r="A86" s="35"/>
      <c r="B86" s="35"/>
      <c r="C86" s="35"/>
      <c r="D86" s="35"/>
      <c r="E86" s="35"/>
    </row>
    <row r="87">
      <c r="A87" s="35"/>
      <c r="B87" s="35"/>
      <c r="C87" s="35"/>
      <c r="D87" s="35"/>
      <c r="E87" s="35"/>
    </row>
    <row r="88">
      <c r="A88" s="35"/>
      <c r="B88" s="35"/>
      <c r="C88" s="35"/>
      <c r="D88" s="35"/>
      <c r="E88" s="35"/>
    </row>
    <row r="89">
      <c r="A89" s="35"/>
      <c r="B89" s="35"/>
      <c r="C89" s="35"/>
      <c r="D89" s="35"/>
      <c r="E89" s="35"/>
    </row>
    <row r="90">
      <c r="A90" s="35"/>
      <c r="B90" s="35"/>
      <c r="C90" s="35"/>
      <c r="D90" s="35"/>
      <c r="E90" s="35"/>
    </row>
    <row r="91">
      <c r="A91" s="35"/>
      <c r="B91" s="35"/>
      <c r="C91" s="35"/>
      <c r="D91" s="35"/>
      <c r="E91" s="35"/>
    </row>
    <row r="92">
      <c r="A92" s="35"/>
      <c r="B92" s="35"/>
      <c r="C92" s="35"/>
      <c r="D92" s="35"/>
      <c r="E92" s="35"/>
    </row>
    <row r="93">
      <c r="A93" s="35"/>
      <c r="B93" s="35"/>
      <c r="C93" s="35"/>
      <c r="D93" s="35"/>
      <c r="E93" s="35"/>
    </row>
    <row r="94">
      <c r="A94" s="35"/>
      <c r="B94" s="35"/>
      <c r="C94" s="35"/>
      <c r="D94" s="35"/>
      <c r="E94" s="35"/>
    </row>
    <row r="95">
      <c r="A95" s="35"/>
      <c r="B95" s="35"/>
      <c r="C95" s="35"/>
      <c r="D95" s="35"/>
      <c r="E95" s="35"/>
    </row>
    <row r="96">
      <c r="A96" s="35"/>
      <c r="B96" s="35"/>
      <c r="C96" s="35"/>
      <c r="D96" s="35"/>
      <c r="E96" s="35"/>
    </row>
    <row r="97">
      <c r="A97" s="35"/>
      <c r="B97" s="35"/>
      <c r="C97" s="35"/>
      <c r="D97" s="35"/>
      <c r="E97" s="35"/>
    </row>
    <row r="98">
      <c r="A98" s="35"/>
      <c r="B98" s="35"/>
      <c r="C98" s="35"/>
      <c r="D98" s="35"/>
      <c r="E98" s="35"/>
    </row>
    <row r="99">
      <c r="A99" s="35"/>
      <c r="B99" s="35"/>
      <c r="C99" s="35"/>
      <c r="D99" s="35"/>
      <c r="E99" s="35"/>
    </row>
    <row r="100">
      <c r="A100" s="35"/>
      <c r="B100" s="35"/>
      <c r="C100" s="35"/>
      <c r="D100" s="35"/>
      <c r="E100" s="35"/>
    </row>
    <row r="101">
      <c r="A101" s="35"/>
      <c r="B101" s="35"/>
      <c r="C101" s="35"/>
      <c r="D101" s="35"/>
      <c r="E101" s="35"/>
    </row>
    <row r="102">
      <c r="A102" s="35"/>
      <c r="B102" s="35"/>
      <c r="C102" s="35"/>
      <c r="D102" s="35"/>
      <c r="E102" s="35"/>
    </row>
    <row r="103">
      <c r="A103" s="35"/>
      <c r="B103" s="35"/>
      <c r="C103" s="35"/>
      <c r="D103" s="35"/>
      <c r="E103" s="35"/>
    </row>
    <row r="104">
      <c r="A104" s="35"/>
      <c r="B104" s="35"/>
      <c r="C104" s="35"/>
      <c r="D104" s="35"/>
      <c r="E104" s="35"/>
    </row>
    <row r="105">
      <c r="A105" s="35"/>
      <c r="B105" s="35"/>
      <c r="C105" s="35"/>
      <c r="D105" s="35"/>
      <c r="E105" s="35"/>
    </row>
    <row r="106">
      <c r="A106" s="35"/>
      <c r="B106" s="35"/>
      <c r="C106" s="35"/>
      <c r="D106" s="35"/>
      <c r="E106" s="35"/>
    </row>
    <row r="107">
      <c r="A107" s="35"/>
      <c r="B107" s="35"/>
      <c r="C107" s="35"/>
      <c r="D107" s="35"/>
      <c r="E107" s="35"/>
    </row>
    <row r="108">
      <c r="A108" s="35"/>
      <c r="B108" s="35"/>
      <c r="C108" s="35"/>
      <c r="D108" s="35"/>
      <c r="E108" s="35"/>
    </row>
    <row r="109">
      <c r="A109" s="35"/>
      <c r="B109" s="35"/>
      <c r="C109" s="35"/>
      <c r="D109" s="35"/>
      <c r="E109" s="35"/>
    </row>
    <row r="110">
      <c r="A110" s="35"/>
      <c r="B110" s="35"/>
      <c r="C110" s="35"/>
      <c r="D110" s="35"/>
      <c r="E110" s="35"/>
    </row>
    <row r="111">
      <c r="A111" s="35"/>
      <c r="B111" s="35"/>
      <c r="C111" s="35"/>
      <c r="D111" s="35"/>
      <c r="E111" s="35"/>
    </row>
    <row r="112">
      <c r="A112" s="35"/>
      <c r="B112" s="35"/>
      <c r="C112" s="35"/>
      <c r="D112" s="35"/>
      <c r="E112" s="35"/>
    </row>
    <row r="113">
      <c r="A113" s="35"/>
      <c r="B113" s="35"/>
      <c r="C113" s="35"/>
      <c r="D113" s="35"/>
      <c r="E113" s="35"/>
    </row>
    <row r="114">
      <c r="A114" s="35"/>
      <c r="B114" s="35"/>
      <c r="C114" s="35"/>
      <c r="D114" s="35"/>
      <c r="E114" s="35"/>
    </row>
    <row r="115">
      <c r="A115" s="35"/>
      <c r="B115" s="35"/>
      <c r="C115" s="35"/>
      <c r="D115" s="35"/>
      <c r="E115" s="35"/>
    </row>
    <row r="116">
      <c r="A116" s="35"/>
      <c r="B116" s="35"/>
      <c r="C116" s="35"/>
      <c r="D116" s="35"/>
      <c r="E116" s="35"/>
    </row>
    <row r="117">
      <c r="A117" s="35"/>
      <c r="B117" s="35"/>
      <c r="C117" s="35"/>
      <c r="D117" s="35"/>
      <c r="E117" s="35"/>
    </row>
    <row r="118">
      <c r="A118" s="35"/>
      <c r="B118" s="35"/>
      <c r="C118" s="35"/>
      <c r="D118" s="35"/>
      <c r="E118" s="35"/>
    </row>
    <row r="119">
      <c r="A119" s="35"/>
      <c r="B119" s="35"/>
      <c r="C119" s="35"/>
      <c r="D119" s="35"/>
      <c r="E119" s="35"/>
    </row>
    <row r="120">
      <c r="A120" s="35"/>
      <c r="B120" s="35"/>
      <c r="C120" s="35"/>
      <c r="D120" s="35"/>
      <c r="E120" s="35"/>
    </row>
    <row r="121">
      <c r="A121" s="35"/>
      <c r="B121" s="35"/>
      <c r="C121" s="35"/>
      <c r="D121" s="35"/>
      <c r="E121" s="35"/>
    </row>
    <row r="122">
      <c r="A122" s="35"/>
      <c r="B122" s="35"/>
      <c r="C122" s="35"/>
      <c r="D122" s="35"/>
      <c r="E122" s="35"/>
    </row>
    <row r="123">
      <c r="A123" s="35"/>
      <c r="B123" s="35"/>
      <c r="C123" s="35"/>
      <c r="D123" s="35"/>
      <c r="E123" s="35"/>
    </row>
    <row r="124">
      <c r="A124" s="35"/>
      <c r="B124" s="35"/>
      <c r="C124" s="35"/>
      <c r="D124" s="35"/>
      <c r="E124" s="35"/>
    </row>
    <row r="125">
      <c r="A125" s="35"/>
      <c r="B125" s="35"/>
      <c r="C125" s="35"/>
      <c r="D125" s="35"/>
      <c r="E125" s="35"/>
    </row>
    <row r="126">
      <c r="A126" s="35"/>
      <c r="B126" s="35"/>
      <c r="C126" s="35"/>
      <c r="D126" s="35"/>
      <c r="E126" s="35"/>
    </row>
    <row r="127">
      <c r="A127" s="35"/>
      <c r="B127" s="35"/>
      <c r="C127" s="35"/>
      <c r="D127" s="35"/>
      <c r="E127" s="35"/>
    </row>
    <row r="128">
      <c r="A128" s="35"/>
      <c r="B128" s="35"/>
      <c r="C128" s="35"/>
      <c r="D128" s="35"/>
      <c r="E128" s="35"/>
    </row>
    <row r="129">
      <c r="A129" s="35"/>
      <c r="B129" s="35"/>
      <c r="C129" s="35"/>
      <c r="D129" s="35"/>
      <c r="E129" s="35"/>
    </row>
    <row r="130">
      <c r="A130" s="35"/>
      <c r="B130" s="35"/>
      <c r="C130" s="35"/>
      <c r="D130" s="35"/>
      <c r="E130" s="35"/>
    </row>
    <row r="131">
      <c r="A131" s="35"/>
      <c r="B131" s="35"/>
      <c r="C131" s="35"/>
      <c r="D131" s="35"/>
      <c r="E131" s="35"/>
    </row>
    <row r="132">
      <c r="A132" s="35"/>
      <c r="B132" s="35"/>
      <c r="C132" s="35"/>
      <c r="D132" s="35"/>
      <c r="E132" s="35"/>
    </row>
    <row r="133">
      <c r="A133" s="35"/>
      <c r="B133" s="35"/>
      <c r="C133" s="35"/>
      <c r="D133" s="35"/>
      <c r="E133" s="35"/>
    </row>
    <row r="134">
      <c r="A134" s="35"/>
      <c r="B134" s="35"/>
      <c r="C134" s="35"/>
      <c r="D134" s="35"/>
      <c r="E134" s="35"/>
    </row>
    <row r="135">
      <c r="A135" s="35"/>
      <c r="B135" s="35"/>
      <c r="C135" s="35"/>
      <c r="D135" s="35"/>
      <c r="E135" s="35"/>
    </row>
    <row r="136">
      <c r="A136" s="35"/>
      <c r="B136" s="35"/>
      <c r="C136" s="35"/>
      <c r="D136" s="35"/>
      <c r="E136" s="35"/>
    </row>
    <row r="137">
      <c r="A137" s="35"/>
      <c r="B137" s="35"/>
      <c r="C137" s="35"/>
      <c r="D137" s="35"/>
      <c r="E137" s="35"/>
    </row>
    <row r="138">
      <c r="A138" s="35"/>
      <c r="B138" s="35"/>
      <c r="C138" s="35"/>
      <c r="D138" s="35"/>
      <c r="E138" s="35"/>
    </row>
    <row r="139">
      <c r="A139" s="35"/>
      <c r="B139" s="35"/>
      <c r="C139" s="35"/>
      <c r="D139" s="35"/>
      <c r="E139" s="35"/>
    </row>
    <row r="140">
      <c r="A140" s="35"/>
      <c r="B140" s="35"/>
      <c r="C140" s="35"/>
      <c r="D140" s="35"/>
      <c r="E140" s="35"/>
    </row>
    <row r="141">
      <c r="A141" s="35"/>
      <c r="B141" s="35"/>
      <c r="C141" s="35"/>
      <c r="D141" s="35"/>
      <c r="E141" s="35"/>
    </row>
    <row r="142">
      <c r="A142" s="35"/>
      <c r="B142" s="35"/>
      <c r="C142" s="35"/>
      <c r="D142" s="35"/>
      <c r="E142" s="35"/>
    </row>
    <row r="143">
      <c r="A143" s="35"/>
      <c r="B143" s="35"/>
      <c r="C143" s="35"/>
      <c r="D143" s="35"/>
      <c r="E143" s="35"/>
    </row>
    <row r="144">
      <c r="A144" s="35"/>
      <c r="B144" s="35"/>
      <c r="C144" s="35"/>
      <c r="D144" s="35"/>
      <c r="E144" s="35"/>
    </row>
    <row r="145">
      <c r="A145" s="35"/>
      <c r="B145" s="35"/>
      <c r="C145" s="35"/>
      <c r="D145" s="35"/>
      <c r="E145" s="35"/>
    </row>
    <row r="146">
      <c r="A146" s="35"/>
      <c r="B146" s="35"/>
      <c r="C146" s="35"/>
      <c r="D146" s="35"/>
      <c r="E146" s="35"/>
    </row>
    <row r="147">
      <c r="A147" s="35"/>
      <c r="B147" s="35"/>
      <c r="C147" s="35"/>
      <c r="D147" s="35"/>
      <c r="E147" s="35"/>
    </row>
    <row r="148">
      <c r="A148" s="35"/>
      <c r="B148" s="35"/>
      <c r="C148" s="35"/>
      <c r="D148" s="35"/>
      <c r="E148" s="35"/>
    </row>
    <row r="149">
      <c r="A149" s="35"/>
      <c r="B149" s="35"/>
      <c r="C149" s="35"/>
      <c r="D149" s="35"/>
      <c r="E149" s="35"/>
    </row>
    <row r="150">
      <c r="A150" s="35"/>
      <c r="B150" s="35"/>
      <c r="C150" s="35"/>
      <c r="D150" s="35"/>
      <c r="E150" s="35"/>
    </row>
    <row r="151">
      <c r="A151" s="35"/>
      <c r="B151" s="35"/>
      <c r="C151" s="35"/>
      <c r="D151" s="35"/>
      <c r="E151" s="35"/>
    </row>
    <row r="152">
      <c r="A152" s="35"/>
      <c r="B152" s="35"/>
      <c r="C152" s="35"/>
      <c r="D152" s="35"/>
      <c r="E152" s="35"/>
    </row>
    <row r="153">
      <c r="A153" s="35"/>
      <c r="B153" s="35"/>
      <c r="C153" s="35"/>
      <c r="D153" s="35"/>
      <c r="E153" s="35"/>
    </row>
    <row r="154">
      <c r="A154" s="35"/>
      <c r="B154" s="35"/>
      <c r="C154" s="35"/>
      <c r="D154" s="35"/>
      <c r="E154" s="35"/>
    </row>
    <row r="155">
      <c r="A155" s="35"/>
      <c r="B155" s="35"/>
      <c r="C155" s="35"/>
      <c r="D155" s="35"/>
      <c r="E155" s="35"/>
    </row>
    <row r="156">
      <c r="A156" s="35"/>
      <c r="B156" s="35"/>
      <c r="C156" s="35"/>
      <c r="D156" s="35"/>
      <c r="E156" s="35"/>
    </row>
    <row r="157">
      <c r="A157" s="35"/>
      <c r="B157" s="35"/>
      <c r="C157" s="35"/>
      <c r="D157" s="35"/>
      <c r="E157" s="35"/>
    </row>
    <row r="158">
      <c r="A158" s="35"/>
      <c r="B158" s="35"/>
      <c r="C158" s="35"/>
      <c r="D158" s="35"/>
      <c r="E158" s="35"/>
    </row>
    <row r="159">
      <c r="A159" s="35"/>
      <c r="B159" s="35"/>
      <c r="C159" s="35"/>
      <c r="D159" s="35"/>
      <c r="E159" s="35"/>
    </row>
    <row r="160">
      <c r="A160" s="35"/>
      <c r="B160" s="35"/>
      <c r="C160" s="35"/>
      <c r="D160" s="35"/>
      <c r="E160" s="35"/>
    </row>
    <row r="161">
      <c r="A161" s="35"/>
      <c r="B161" s="35"/>
      <c r="C161" s="35"/>
      <c r="D161" s="35"/>
      <c r="E161" s="35"/>
    </row>
    <row r="162">
      <c r="A162" s="35"/>
      <c r="B162" s="35"/>
      <c r="C162" s="35"/>
      <c r="D162" s="35"/>
      <c r="E162" s="35"/>
    </row>
    <row r="163">
      <c r="A163" s="35"/>
      <c r="B163" s="35"/>
      <c r="C163" s="35"/>
      <c r="D163" s="35"/>
      <c r="E163" s="35"/>
    </row>
    <row r="164">
      <c r="A164" s="35"/>
      <c r="B164" s="35"/>
      <c r="C164" s="35"/>
      <c r="D164" s="35"/>
      <c r="E164" s="35"/>
    </row>
    <row r="165">
      <c r="A165" s="35"/>
      <c r="B165" s="35"/>
      <c r="C165" s="35"/>
      <c r="D165" s="35"/>
      <c r="E165" s="35"/>
    </row>
    <row r="166">
      <c r="A166" s="35"/>
      <c r="B166" s="35"/>
      <c r="C166" s="35"/>
      <c r="D166" s="35"/>
      <c r="E166" s="35"/>
    </row>
    <row r="167">
      <c r="A167" s="35"/>
      <c r="B167" s="35"/>
      <c r="C167" s="35"/>
      <c r="D167" s="35"/>
      <c r="E167" s="35"/>
    </row>
    <row r="168">
      <c r="A168" s="35"/>
      <c r="B168" s="35"/>
      <c r="C168" s="35"/>
      <c r="D168" s="35"/>
      <c r="E168" s="35"/>
    </row>
    <row r="169">
      <c r="A169" s="35"/>
      <c r="B169" s="35"/>
      <c r="C169" s="35"/>
      <c r="D169" s="35"/>
      <c r="E169" s="35"/>
    </row>
    <row r="170">
      <c r="A170" s="35"/>
      <c r="B170" s="35"/>
      <c r="C170" s="35"/>
      <c r="D170" s="35"/>
      <c r="E170" s="35"/>
    </row>
    <row r="171">
      <c r="A171" s="35"/>
      <c r="B171" s="35"/>
      <c r="C171" s="35"/>
      <c r="D171" s="35"/>
      <c r="E171" s="35"/>
    </row>
    <row r="172">
      <c r="A172" s="35"/>
      <c r="B172" s="35"/>
      <c r="C172" s="35"/>
      <c r="D172" s="35"/>
      <c r="E172" s="35"/>
    </row>
    <row r="173">
      <c r="A173" s="35"/>
      <c r="B173" s="35"/>
      <c r="C173" s="35"/>
      <c r="D173" s="35"/>
      <c r="E173" s="35"/>
    </row>
    <row r="174">
      <c r="A174" s="35"/>
      <c r="B174" s="35"/>
      <c r="C174" s="35"/>
      <c r="D174" s="35"/>
      <c r="E174" s="35"/>
    </row>
    <row r="175">
      <c r="A175" s="35"/>
      <c r="B175" s="35"/>
      <c r="C175" s="35"/>
      <c r="D175" s="35"/>
      <c r="E175" s="35"/>
    </row>
    <row r="176">
      <c r="A176" s="35"/>
      <c r="B176" s="35"/>
      <c r="C176" s="35"/>
      <c r="D176" s="35"/>
      <c r="E176" s="35"/>
    </row>
    <row r="177">
      <c r="A177" s="35"/>
      <c r="B177" s="35"/>
      <c r="C177" s="35"/>
      <c r="D177" s="35"/>
      <c r="E177" s="35"/>
    </row>
    <row r="178">
      <c r="A178" s="35"/>
      <c r="B178" s="35"/>
      <c r="C178" s="35"/>
      <c r="D178" s="35"/>
      <c r="E178" s="35"/>
    </row>
    <row r="179">
      <c r="A179" s="35"/>
      <c r="B179" s="35"/>
      <c r="C179" s="35"/>
      <c r="D179" s="35"/>
      <c r="E179" s="35"/>
    </row>
    <row r="180">
      <c r="A180" s="35"/>
      <c r="B180" s="35"/>
      <c r="C180" s="35"/>
      <c r="D180" s="35"/>
      <c r="E180" s="35"/>
    </row>
    <row r="181">
      <c r="A181" s="35"/>
      <c r="B181" s="35"/>
      <c r="C181" s="35"/>
      <c r="D181" s="35"/>
      <c r="E181" s="35"/>
    </row>
    <row r="182">
      <c r="A182" s="35"/>
      <c r="B182" s="35"/>
      <c r="C182" s="35"/>
      <c r="D182" s="35"/>
      <c r="E182" s="35"/>
    </row>
    <row r="183">
      <c r="A183" s="35"/>
      <c r="B183" s="35"/>
      <c r="C183" s="35"/>
      <c r="D183" s="35"/>
      <c r="E183" s="35"/>
    </row>
    <row r="184">
      <c r="A184" s="35"/>
      <c r="B184" s="35"/>
      <c r="C184" s="35"/>
      <c r="D184" s="35"/>
      <c r="E184" s="35"/>
    </row>
    <row r="185">
      <c r="A185" s="35"/>
      <c r="B185" s="35"/>
      <c r="C185" s="35"/>
      <c r="D185" s="35"/>
      <c r="E185" s="35"/>
    </row>
    <row r="186">
      <c r="A186" s="35"/>
      <c r="B186" s="35"/>
      <c r="C186" s="35"/>
      <c r="D186" s="35"/>
      <c r="E186" s="35"/>
    </row>
    <row r="187">
      <c r="A187" s="35"/>
      <c r="B187" s="35"/>
      <c r="C187" s="35"/>
      <c r="D187" s="35"/>
      <c r="E187" s="35"/>
    </row>
    <row r="188">
      <c r="A188" s="35"/>
      <c r="B188" s="35"/>
      <c r="C188" s="35"/>
      <c r="D188" s="35"/>
      <c r="E188" s="35"/>
    </row>
    <row r="189">
      <c r="A189" s="35"/>
      <c r="B189" s="35"/>
      <c r="C189" s="35"/>
      <c r="D189" s="35"/>
      <c r="E189" s="35"/>
    </row>
    <row r="190">
      <c r="A190" s="35"/>
      <c r="B190" s="35"/>
      <c r="C190" s="35"/>
      <c r="D190" s="35"/>
      <c r="E190" s="35"/>
    </row>
    <row r="191">
      <c r="A191" s="35"/>
      <c r="B191" s="35"/>
      <c r="C191" s="35"/>
      <c r="D191" s="35"/>
      <c r="E191" s="35"/>
    </row>
    <row r="192">
      <c r="A192" s="35"/>
      <c r="B192" s="35"/>
      <c r="C192" s="35"/>
      <c r="D192" s="35"/>
      <c r="E192" s="35"/>
    </row>
    <row r="193">
      <c r="A193" s="35"/>
      <c r="B193" s="35"/>
      <c r="C193" s="35"/>
      <c r="D193" s="35"/>
      <c r="E193" s="35"/>
    </row>
    <row r="194">
      <c r="A194" s="35"/>
      <c r="B194" s="35"/>
      <c r="C194" s="35"/>
      <c r="D194" s="35"/>
      <c r="E194" s="35"/>
    </row>
    <row r="195">
      <c r="A195" s="35"/>
      <c r="B195" s="35"/>
      <c r="C195" s="35"/>
      <c r="D195" s="35"/>
      <c r="E195" s="35"/>
    </row>
    <row r="196">
      <c r="A196" s="35"/>
      <c r="B196" s="35"/>
      <c r="C196" s="35"/>
      <c r="D196" s="35"/>
      <c r="E196" s="35"/>
    </row>
    <row r="197">
      <c r="A197" s="35"/>
      <c r="B197" s="35"/>
      <c r="C197" s="35"/>
      <c r="D197" s="35"/>
      <c r="E197" s="35"/>
    </row>
    <row r="198">
      <c r="A198" s="35"/>
      <c r="B198" s="35"/>
      <c r="C198" s="35"/>
      <c r="D198" s="35"/>
      <c r="E198" s="35"/>
    </row>
    <row r="199">
      <c r="A199" s="35"/>
      <c r="B199" s="35"/>
      <c r="C199" s="35"/>
      <c r="D199" s="35"/>
      <c r="E199" s="35"/>
    </row>
    <row r="200">
      <c r="A200" s="35"/>
      <c r="B200" s="35"/>
      <c r="C200" s="35"/>
      <c r="D200" s="35"/>
      <c r="E200" s="35"/>
    </row>
    <row r="201">
      <c r="A201" s="35"/>
      <c r="B201" s="35"/>
      <c r="C201" s="35"/>
      <c r="D201" s="35"/>
      <c r="E201" s="35"/>
    </row>
  </sheetData>
  <conditionalFormatting sqref="E2:E202">
    <cfRule type="cellIs" dxfId="0" priority="1" operator="equal">
      <formula>"Présent"</formula>
    </cfRule>
  </conditionalFormatting>
  <conditionalFormatting sqref="E2:E202">
    <cfRule type="cellIs" dxfId="1" priority="2" operator="equal">
      <formula>"Absent"</formula>
    </cfRule>
  </conditionalFormatting>
  <dataValidations count="1">
    <dataValidation type="list" allowBlank="1" showInputMessage="1" showErrorMessage="1" sqref="E2:E202">
      <formula1>"Présent,Absent"</formula1>
    </dataValidation>
  </dataValidations>
  <printOptions horizontalCentered="1"/>
  <pageMargins left="0.4" right="0.4" top="0.5" bottom="0.5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C7"/>
  <sheetViews>
    <sheetView showGridLines="0" workbookViewId="0"/>
  </sheetViews>
  <sheetFormatPr defaultRowHeight="15"/>
  <cols>
    <col min="1" max="1" width="28" customWidth="1"/>
    <col min="2" max="2" width="38" customWidth="1"/>
    <col min="3" max="3" width="32" customWidth="1"/>
  </cols>
  <sheetData>
    <row r="1" ht="38" customHeight="1">
      <c r="A1" s="1" t="inlineStr">
        <is>
          <t xml:space="preserve">  PARAMÈTRES</t>
        </is>
      </c>
    </row>
    <row r="2" ht="20" customHeight="1">
      <c r="A2" s="3" t="inlineStr">
        <is>
          <t xml:space="preserve">  Configurez les informations de votre entreprise</t>
        </is>
      </c>
    </row>
    <row r="3" ht="26" customHeight="1">
      <c r="A3" s="28" t="inlineStr">
        <is>
          <t xml:space="preserve">Nom de l'entreprise</t>
        </is>
      </c>
      <c r="B3" s="7" t="inlineStr">
        <is>
          <t xml:space="preserve">Mon Entreprise SARL</t>
        </is>
      </c>
      <c r="C3" s="29" t="inlineStr">
        <is>
          <t xml:space="preserve">Apparaît sur la liste imprimée</t>
        </is>
      </c>
    </row>
    <row r="4" ht="26" customHeight="1">
      <c r="A4" s="28" t="inlineStr">
        <is>
          <t xml:space="preserve">Chantier par défaut</t>
        </is>
      </c>
      <c r="B4" s="7" t="inlineStr">
        <is>
          <t xml:space="preserve"/>
        </is>
      </c>
      <c r="C4" s="29" t="inlineStr">
        <is>
          <t xml:space="preserve">Nom du chantier habituel</t>
        </is>
      </c>
    </row>
    <row r="5" ht="26" customHeight="1">
      <c r="A5" s="28" t="inlineStr">
        <is>
          <t xml:space="preserve">Responsable</t>
        </is>
      </c>
      <c r="B5" s="7" t="inlineStr">
        <is>
          <t xml:space="preserve"/>
        </is>
      </c>
      <c r="C5" s="29" t="inlineStr">
        <is>
          <t xml:space="preserve">Nom du chef de chantier</t>
        </is>
      </c>
    </row>
    <row r="6" ht="26" customHeight="1">
      <c r="A6" s="28" t="inlineStr">
        <is>
          <t xml:space="preserve">Téléphone</t>
        </is>
      </c>
      <c r="B6" s="7" t="inlineStr">
        <is>
          <t xml:space="preserve"/>
        </is>
      </c>
      <c r="C6" s="29" t="inlineStr">
        <is>
          <t xml:space="preserve">Contact</t>
        </is>
      </c>
    </row>
    <row r="7" ht="26" customHeight="1">
      <c r="A7" s="28" t="inlineStr">
        <is>
          <t xml:space="preserve">Ville</t>
        </is>
      </c>
      <c r="B7" s="7" t="inlineStr">
        <is>
          <t xml:space="preserve"/>
        </is>
      </c>
      <c r="C7" s="29" t="inlineStr">
        <is>
          <t xml:space="preserve">Localisation</t>
        </is>
      </c>
    </row>
  </sheetData>
  <mergeCells count="2">
    <mergeCell ref="A1:C1"/>
    <mergeCell ref="A2:C2"/>
  </mergeCells>
  <printOptions horizontalCentered="1"/>
  <pageMargins left="0.4" right="0.4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A9D8F"/>
  </sheetPr>
  <dimension ref="A1:B90"/>
  <sheetViews>
    <sheetView showGridLines="0" workbookViewId="0"/>
  </sheetViews>
  <sheetFormatPr defaultRowHeight="15"/>
  <cols>
    <col min="1" max="1" width="3" customWidth="1"/>
    <col min="2" max="2" width="90" customWidth="1"/>
  </cols>
  <sheetData>
    <row r="1" ht="38" customHeight="1">
      <c r="A1" s="1" t="inlineStr">
        <is>
          <t xml:space="preserve">  GUIDE D'UTILISATION</t>
        </is>
      </c>
    </row>
    <row r="2" ht="20" customHeight="1">
      <c r="A2" s="3" t="inlineStr">
        <is>
          <t xml:space="preserve">  Mode d'emploi — Système de Gestion des Présences</t>
        </is>
      </c>
    </row>
    <row r="4">
      <c r="B4" s="32" t="inlineStr">
        <is>
          <t xml:space="preserve"/>
        </is>
      </c>
    </row>
    <row r="5">
      <c r="B5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6">
      <c r="B6" s="30" t="inlineStr">
        <is>
          <t xml:space="preserve">1. UTILISATION QUOTIDIENNE (moins de 2 minutes)</t>
        </is>
      </c>
    </row>
    <row r="7">
      <c r="B7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8">
      <c r="B8" s="32" t="inlineStr">
        <is>
          <t xml:space="preserve"/>
        </is>
      </c>
    </row>
    <row r="9">
      <c r="B9" s="32" t="inlineStr">
        <is>
          <t xml:space="preserve">   1.  Ouvrez le fichier (feuille « Presence du Jour »)</t>
        </is>
      </c>
    </row>
    <row r="10">
      <c r="B10" s="32" t="inlineStr">
        <is>
          <t xml:space="preserve">   2.  Vérifiez la date en B3 (modifiez-la si besoin)</t>
        </is>
      </c>
    </row>
    <row r="11">
      <c r="B11" s="32" t="inlineStr">
        <is>
          <t xml:space="preserve">   3.  Tapez X dans la colonne « Présent » pour chaque employé présent</t>
        </is>
      </c>
    </row>
    <row r="12">
      <c r="B12" s="32" t="inlineStr">
        <is>
          <t xml:space="preserve">   4.  La « Liste à imprimer » se met à jour AUTOMATIQUEMENT</t>
        </is>
      </c>
    </row>
    <row r="13">
      <c r="B13" s="32" t="inlineStr">
        <is>
          <t xml:space="preserve">   5.  Allez dans la feuille « Liste a imprimer »</t>
        </is>
      </c>
    </row>
    <row r="14">
      <c r="B14" s="32" t="inlineStr">
        <is>
          <t xml:space="preserve">   6.  Imprimez (Ctrl+P / ⌘+P)</t>
        </is>
      </c>
    </row>
    <row r="15">
      <c r="B15" s="32" t="inlineStr">
        <is>
          <t xml:space="preserve"/>
        </is>
      </c>
    </row>
    <row r="16">
      <c r="B16" s="32" t="inlineStr">
        <is>
          <t xml:space="preserve">   ✅ C'est tout ! Aucune macro, aucun bouton nécessaire.</t>
        </is>
      </c>
    </row>
    <row r="17">
      <c r="B17" s="32" t="inlineStr">
        <is>
          <t xml:space="preserve"/>
        </is>
      </c>
    </row>
    <row r="18">
      <c r="B18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19">
      <c r="B19" s="30" t="inlineStr">
        <is>
          <t xml:space="preserve">2. AJOUTER / MODIFIER DES EMPLOYÉS</t>
        </is>
      </c>
    </row>
    <row r="20">
      <c r="B20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21">
      <c r="B21" s="32" t="inlineStr">
        <is>
          <t xml:space="preserve"/>
        </is>
      </c>
    </row>
    <row r="22">
      <c r="B22" s="31" t="inlineStr">
        <is>
          <t xml:space="preserve">▶ Ajouter un employé :</t>
        </is>
      </c>
    </row>
    <row r="23">
      <c r="B23" s="32" t="inlineStr">
        <is>
          <t xml:space="preserve">   - Allez dans la feuille « Employes »</t>
        </is>
      </c>
    </row>
    <row r="24">
      <c r="B24" s="32" t="inlineStr">
        <is>
          <t xml:space="preserve">   - Remplissez une nouvelle ligne : ID, Nom, Poste, Équipe, Statut</t>
        </is>
      </c>
    </row>
    <row r="25">
      <c r="B25" s="32" t="inlineStr">
        <is>
          <t xml:space="preserve">   - Mettez le statut à « Actif »</t>
        </is>
      </c>
    </row>
    <row r="26">
      <c r="B26" s="32" t="inlineStr">
        <is>
          <t xml:space="preserve">   - L'employé apparaît automatiquement dans « Presence du Jour »</t>
        </is>
      </c>
    </row>
    <row r="27">
      <c r="B27" s="32" t="inlineStr">
        <is>
          <t xml:space="preserve"/>
        </is>
      </c>
    </row>
    <row r="28">
      <c r="B28" s="31" t="inlineStr">
        <is>
          <t xml:space="preserve">▶ Désactiver un employé :</t>
        </is>
      </c>
    </row>
    <row r="29">
      <c r="B29" s="32" t="inlineStr">
        <is>
          <t xml:space="preserve">   - Changez son statut de « Actif » à « Inactif »</t>
        </is>
      </c>
    </row>
    <row r="30">
      <c r="B30" s="32" t="inlineStr">
        <is>
          <t xml:space="preserve">   - Il disparaît de la feuille de présence</t>
        </is>
      </c>
    </row>
    <row r="31">
      <c r="B31" s="32" t="inlineStr">
        <is>
          <t xml:space="preserve"/>
        </is>
      </c>
    </row>
    <row r="32">
      <c r="B32" s="31" t="inlineStr">
        <is>
          <t xml:space="preserve">▶ Modifier un nom ou poste :</t>
        </is>
      </c>
    </row>
    <row r="33">
      <c r="B33" s="32" t="inlineStr">
        <is>
          <t xml:space="preserve">   - Modifiez directement dans « Employes »</t>
        </is>
      </c>
    </row>
    <row r="34">
      <c r="B34" s="32" t="inlineStr">
        <is>
          <t xml:space="preserve">   - Le changement se propage automatiquement partout</t>
        </is>
      </c>
    </row>
    <row r="35">
      <c r="B35" s="32" t="inlineStr">
        <is>
          <t xml:space="preserve"/>
        </is>
      </c>
    </row>
    <row r="36">
      <c r="B36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37">
      <c r="B37" s="30" t="inlineStr">
        <is>
          <t xml:space="preserve">3. COMMENT ÇA MARCHE (formules automatiques)</t>
        </is>
      </c>
    </row>
    <row r="38">
      <c r="B38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39">
      <c r="B39" s="32" t="inlineStr">
        <is>
          <t xml:space="preserve"/>
        </is>
      </c>
    </row>
    <row r="40">
      <c r="B40" s="32" t="inlineStr">
        <is>
          <t xml:space="preserve">   • La feuille « Presence du Jour » affiche automatiquement</t>
        </is>
      </c>
    </row>
    <row r="41">
      <c r="B41" s="32" t="inlineStr">
        <is>
          <t xml:space="preserve">     tous les employés Actifs (via formules liées à « Employes »)</t>
        </is>
      </c>
    </row>
    <row r="42">
      <c r="B42" s="32" t="inlineStr">
        <is>
          <t xml:space="preserve"/>
        </is>
      </c>
    </row>
    <row r="43">
      <c r="B43" s="32" t="inlineStr">
        <is>
          <t xml:space="preserve">   • La feuille « Liste a imprimer » extrait automatiquement</t>
        </is>
      </c>
    </row>
    <row r="44">
      <c r="B44" s="32" t="inlineStr">
        <is>
          <t xml:space="preserve">     UNIQUEMENT les employés marqués X (via formules INDEX/MATCH)</t>
        </is>
      </c>
    </row>
    <row r="45">
      <c r="B45" s="32" t="inlineStr">
        <is>
          <t xml:space="preserve"/>
        </is>
      </c>
    </row>
    <row r="46">
      <c r="B46" s="32" t="inlineStr">
        <is>
          <t xml:space="preserve">   • Les compteurs (Présents / Total) se calculent en temps réel</t>
        </is>
      </c>
    </row>
    <row r="47">
      <c r="B47" s="32" t="inlineStr">
        <is>
          <t xml:space="preserve"/>
        </is>
      </c>
    </row>
    <row r="48">
      <c r="B48" s="32" t="inlineStr">
        <is>
          <t xml:space="preserve">   → Vous n'avez RIEN à copier/coller. Tout est automatique.</t>
        </is>
      </c>
    </row>
    <row r="49">
      <c r="B49" s="32" t="inlineStr">
        <is>
          <t xml:space="preserve"/>
        </is>
      </c>
    </row>
    <row r="50">
      <c r="B50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51">
      <c r="B51" s="30" t="inlineStr">
        <is>
          <t xml:space="preserve">4. HISTORIQUE (sauvegarde manuelle)</t>
        </is>
      </c>
    </row>
    <row r="52">
      <c r="B52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53">
      <c r="B53" s="32" t="inlineStr">
        <is>
          <t xml:space="preserve"/>
        </is>
      </c>
    </row>
    <row r="54">
      <c r="B54" s="32" t="inlineStr">
        <is>
          <t xml:space="preserve">   Sans macros, l'historique n'est pas automatique.</t>
        </is>
      </c>
    </row>
    <row r="55">
      <c r="B55" s="32" t="inlineStr">
        <is>
          <t xml:space="preserve">   Pour conserver un historique :</t>
        </is>
      </c>
    </row>
    <row r="56">
      <c r="B56" s="32" t="inlineStr">
        <is>
          <t xml:space="preserve"/>
        </is>
      </c>
    </row>
    <row r="57">
      <c r="B57" s="32" t="inlineStr">
        <is>
          <t xml:space="preserve">   Option A : Sauvegardez une copie du fichier chaque jour</t>
        </is>
      </c>
    </row>
    <row r="58">
      <c r="B58" s="32" t="inlineStr">
        <is>
          <t xml:space="preserve">              (ex: Presence_2026-07-06.xlsx)</t>
        </is>
      </c>
    </row>
    <row r="59">
      <c r="B59" s="32" t="inlineStr">
        <is>
          <t xml:space="preserve"/>
        </is>
      </c>
    </row>
    <row r="60">
      <c r="B60" s="32" t="inlineStr">
        <is>
          <t xml:space="preserve">   Option B : Avant de décocher, copiez manuellement les données</t>
        </is>
      </c>
    </row>
    <row r="61">
      <c r="B61" s="32" t="inlineStr">
        <is>
          <t xml:space="preserve">              dans la feuille « Historique »</t>
        </is>
      </c>
    </row>
    <row r="62">
      <c r="B62" s="32" t="inlineStr">
        <is>
          <t xml:space="preserve"/>
        </is>
      </c>
    </row>
    <row r="63">
      <c r="B63" s="32" t="inlineStr">
        <is>
          <t xml:space="preserve">   Option C : Exportez en PDF chaque jour (⌘+P &gt; PDF)</t>
        </is>
      </c>
    </row>
    <row r="64">
      <c r="B64" s="32" t="inlineStr">
        <is>
          <t xml:space="preserve"/>
        </is>
      </c>
    </row>
    <row r="65">
      <c r="B65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66">
      <c r="B66" s="30" t="inlineStr">
        <is>
          <t xml:space="preserve">5. IMPRIMER / EXPORTER PDF</t>
        </is>
      </c>
    </row>
    <row r="67">
      <c r="B67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68">
      <c r="B68" s="32" t="inlineStr">
        <is>
          <t xml:space="preserve"/>
        </is>
      </c>
    </row>
    <row r="69">
      <c r="B69" s="32" t="inlineStr">
        <is>
          <t xml:space="preserve">   1. Allez dans « Liste a imprimer »</t>
        </is>
      </c>
    </row>
    <row r="70">
      <c r="B70" s="32" t="inlineStr">
        <is>
          <t xml:space="preserve">   2. Ctrl+P (Windows) ou ⌘+P (Mac)</t>
        </is>
      </c>
    </row>
    <row r="71">
      <c r="B71" s="32" t="inlineStr">
        <is>
          <t xml:space="preserve">   3. Pour un PDF : choisissez « Save as PDF » dans l'impression</t>
        </is>
      </c>
    </row>
    <row r="72">
      <c r="B72" s="32" t="inlineStr">
        <is>
          <t xml:space="preserve">   4. La mise en page est déjà configurée (A4, centré)</t>
        </is>
      </c>
    </row>
    <row r="73">
      <c r="B73" s="32" t="inlineStr">
        <is>
          <t xml:space="preserve"/>
        </is>
      </c>
    </row>
    <row r="74">
      <c r="B74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75">
      <c r="B75" s="30" t="inlineStr">
        <is>
          <t xml:space="preserve">6. PARAMÈTRES</t>
        </is>
      </c>
    </row>
    <row r="76">
      <c r="B76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77">
      <c r="B77" s="32" t="inlineStr">
        <is>
          <t xml:space="preserve"/>
        </is>
      </c>
    </row>
    <row r="78">
      <c r="B78" s="32" t="inlineStr">
        <is>
          <t xml:space="preserve">   - Allez dans la feuille « Parametres »</t>
        </is>
      </c>
    </row>
    <row r="79">
      <c r="B79" s="32" t="inlineStr">
        <is>
          <t xml:space="preserve">   - Le nom d'entreprise en B3 apparaît sur la liste imprimée</t>
        </is>
      </c>
    </row>
    <row r="80">
      <c r="B80" s="32" t="inlineStr">
        <is>
          <t xml:space="preserve">   - Modifiez selon vos besoins</t>
        </is>
      </c>
    </row>
    <row r="81">
      <c r="B81" s="32" t="inlineStr">
        <is>
          <t xml:space="preserve"/>
        </is>
      </c>
    </row>
    <row r="82">
      <c r="B82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83">
      <c r="B83" s="30" t="inlineStr">
        <is>
          <t xml:space="preserve">7. CONSEILS</t>
        </is>
      </c>
    </row>
    <row r="84">
      <c r="B84" s="30" t="inlineStr">
        <is>
          <t xml:space="preserve">═══════════════════════════════════════════════════════════</t>
        </is>
      </c>
    </row>
    <row r="85">
      <c r="B85" s="32" t="inlineStr">
        <is>
          <t xml:space="preserve"/>
        </is>
      </c>
    </row>
    <row r="86">
      <c r="B86" s="33" t="inlineStr">
        <is>
          <t xml:space="preserve">   ⚠️  Ne supprimez pas les colonnes/lignes des feuilles protégées</t>
        </is>
      </c>
    </row>
    <row r="87">
      <c r="B87" s="33" t="inlineStr">
        <is>
          <t xml:space="preserve">   ⚠️  Sauvegardez régulièrement (⌘+S)</t>
        </is>
      </c>
    </row>
    <row r="88">
      <c r="B88" s="32" t="inlineStr">
        <is>
          <t xml:space="preserve">   ✓  Vous pouvez ajouter jusqu'à 50 employés</t>
        </is>
      </c>
    </row>
    <row r="89">
      <c r="B89" s="32" t="inlineStr">
        <is>
          <t xml:space="preserve">   ✓  Compatible Mac et PC, Excel en anglais ou français</t>
        </is>
      </c>
    </row>
    <row r="90">
      <c r="B90" s="32" t="inlineStr">
        <is>
          <t xml:space="preserve">   ✓  Pas besoin de macros — tout fonctionne avec des formules</t>
        </is>
      </c>
    </row>
  </sheetData>
  <mergeCells count="2">
    <mergeCell ref="A1:B1"/>
    <mergeCell ref="A2:B2"/>
  </mergeCells>
  <printOptions horizontalCentered="1"/>
  <pageMargins left="0.4" right="0.4" top="0.5" bottom="0.5" header="0.2" footer="0.2"/>
</worksheet>
</file>

<file path=docProps/app.xml><?xml version="1.0" encoding="utf-8"?>
<Properties xmlns="http://schemas.openxmlformats.org/officeDocument/2006/extended-properties">
  <Application>Kiro xlsxgen</Application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Gestion des Presences</dc:title>
  <dc:creator>Kiro</dc:creator>
  <dcterms:created xsi:type="dcterms:W3CDTF">2026-07-06T23:59:06Z</dcterms:created>
  <dcterms:modified xsi:type="dcterms:W3CDTF">2026-07-06T23:59:06Z</dcterms:modified>
</cp:coreProperties>
</file>